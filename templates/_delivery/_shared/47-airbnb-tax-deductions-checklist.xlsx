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hecklist" sheetId="2" state="visible" r:id="rId2"/>
  </sheets>
  <definedNames>
    <definedName name="_xlnm.Print_Area" localSheetId="0">'About'!$A$1:$A$19</definedName>
    <definedName name="_xlnm.Print_Titles" localSheetId="1">'Checklist'!$1:$7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8">
    <font>
      <name val="Calibri"/>
      <family val="2"/>
      <color theme="1"/>
      <sz val="11"/>
      <scheme val="minor"/>
    </font>
    <font>
      <name val="Cormorant Garamond"/>
      <b val="1"/>
      <color rgb="0012304E"/>
      <sz val="22"/>
    </font>
    <font>
      <name val="Cormorant Garamond"/>
      <b val="1"/>
      <color rgb="0012304E"/>
      <sz val="16"/>
    </font>
    <font>
      <name val="Inter"/>
      <color rgb="002B2B2B"/>
      <sz val="11"/>
    </font>
    <font>
      <name val="Inter"/>
      <i val="1"/>
      <color rgb="002B2B2B"/>
      <sz val="11"/>
    </font>
    <font>
      <name val="Cormorant Garamond"/>
      <b val="1"/>
      <color rgb="0012304E"/>
      <sz val="18"/>
    </font>
    <font>
      <name val="Inter"/>
      <i val="1"/>
      <color rgb="006B7280"/>
      <sz val="10"/>
    </font>
    <font>
      <name val="JetBrains Mono"/>
      <b val="1"/>
      <color rgb="0012304E"/>
      <sz val="9"/>
    </font>
    <font>
      <name val="JetBrains Mono"/>
      <b val="1"/>
      <color rgb="0012304E"/>
      <sz val="14"/>
    </font>
    <font>
      <name val="JetBrains Mono"/>
      <b val="1"/>
      <color rgb="00C9A24B"/>
      <sz val="14"/>
    </font>
    <font>
      <name val="Inter"/>
      <b val="1"/>
      <color rgb="00FFFFFF"/>
      <sz val="10"/>
    </font>
    <font>
      <name val="Cormorant Garamond"/>
      <b val="1"/>
      <color rgb="00C9A24B"/>
      <sz val="14"/>
    </font>
    <font>
      <name val="Inter"/>
      <b val="1"/>
      <color rgb="0012304E"/>
      <sz val="10.5"/>
    </font>
    <font>
      <name val="Inter"/>
      <color rgb="002B2B2B"/>
      <sz val="10"/>
    </font>
    <font>
      <name val="JetBrains Mono"/>
      <color rgb="0012304E"/>
      <sz val="8.5"/>
    </font>
    <font>
      <name val="JetBrains Mono"/>
      <color rgb="002B2B2B"/>
      <sz val="8.5"/>
    </font>
    <font>
      <name val="JetBrains Mono"/>
      <b val="1"/>
      <color rgb="00C9A24B"/>
      <sz val="8.5"/>
    </font>
    <font>
      <name val="JetBrains Mono"/>
      <color rgb="0012304E"/>
      <sz val="11"/>
    </font>
  </fonts>
  <fills count="7">
    <fill>
      <patternFill/>
    </fill>
    <fill>
      <patternFill patternType="gray125"/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F2E5C0"/>
      </patternFill>
    </fill>
    <fill>
      <patternFill patternType="solid">
        <fgColor rgb="0012304E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top" wrapText="1" indent="1"/>
    </xf>
    <xf numFmtId="0" fontId="3" fillId="2" borderId="0" applyAlignment="1" pivotButton="0" quotePrefix="0" xfId="0">
      <alignment horizontal="left" vertical="top" wrapText="1" indent="1"/>
    </xf>
    <xf numFmtId="0" fontId="4" fillId="3" borderId="0" applyAlignment="1" pivotButton="0" quotePrefix="0" xfId="0">
      <alignment horizontal="left" vertical="top" wrapText="1" indent="1"/>
    </xf>
    <xf numFmtId="0" fontId="5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 wrapText="1" indent="1"/>
    </xf>
    <xf numFmtId="0" fontId="13" fillId="2" borderId="1" applyAlignment="1" pivotButton="0" quotePrefix="0" xfId="0">
      <alignment horizontal="left" vertical="center" wrapText="1" indent="1"/>
    </xf>
    <xf numFmtId="0" fontId="14" fillId="2" borderId="1" applyAlignment="1" pivotButton="0" quotePrefix="0" xfId="0">
      <alignment horizontal="left" vertical="center" indent="1"/>
    </xf>
    <xf numFmtId="0" fontId="15" fillId="2" borderId="1" applyAlignment="1" pivotButton="0" quotePrefix="0" xfId="0">
      <alignment horizontal="left" vertical="center" indent="1"/>
    </xf>
    <xf numFmtId="0" fontId="16" fillId="2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right" vertical="center" indent="1"/>
    </xf>
    <xf numFmtId="0" fontId="13" fillId="6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 indent="1"/>
    </xf>
    <xf numFmtId="0" fontId="13" fillId="3" borderId="1" applyAlignment="1" pivotButton="0" quotePrefix="0" xfId="0">
      <alignment horizontal="left" vertical="center" wrapText="1" indent="1"/>
    </xf>
    <xf numFmtId="0" fontId="14" fillId="3" borderId="1" applyAlignment="1" pivotButton="0" quotePrefix="0" xfId="0">
      <alignment horizontal="left" vertical="center" indent="1"/>
    </xf>
    <xf numFmtId="0" fontId="15" fillId="3" borderId="1" applyAlignment="1" pivotButton="0" quotePrefix="0" xfId="0">
      <alignment horizontal="left" vertical="center" indent="1"/>
    </xf>
    <xf numFmtId="0" fontId="16" fillId="3" borderId="1" applyAlignment="1" pivotButton="0" quotePrefix="0" xfId="0">
      <alignment horizontal="left" vertical="center" indent="1"/>
    </xf>
    <xf numFmtId="0" fontId="16" fillId="2" borderId="1" applyAlignment="1" pivotButton="0" quotePrefix="0" xfId="0">
      <alignment horizontal="left" vertical="center" wrapText="1" indent="1"/>
    </xf>
    <xf numFmtId="0" fontId="16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">
    <dxf>
      <font>
        <name val="Inter"/>
        <b val="1"/>
        <color rgb="0012304E"/>
        <sz val="10"/>
      </font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0" customHeight="1">
      <c r="A1" s="1" t="inlineStr">
        <is>
          <t>47 Airbnb Tax Deductions Most Hosts Miss  ·  Companion Excel Checklist</t>
        </is>
      </c>
    </row>
    <row r="3" ht="28" customHeight="1">
      <c r="A3" s="2" t="inlineStr">
        <is>
          <t>How this works</t>
        </is>
      </c>
    </row>
    <row r="5" ht="60" customHeight="1">
      <c r="A5" s="3" t="inlineStr">
        <is>
          <t>1. Open the Checklist tab.
2. As you encounter or log an expense category from the 47, mark column G "Yes".
3. Enter the dollar amount in column H. The roll-up at the top updates live.
4. Use column I for notes (vendor, IRS publication you confirmed against, etc.).
5. In March, hand the populated checklist to your CPA. Watch them ask fewer questions.</t>
        </is>
      </c>
    </row>
    <row r="7" ht="24" customHeight="1">
      <c r="A7" s="2" t="inlineStr">
        <is>
          <t>Verify flags</t>
        </is>
      </c>
    </row>
    <row r="9" ht="60" customHeight="1">
      <c r="A9" s="3" t="inlineStr">
        <is>
          <t>Some entries are marked with "— verify" in the Section column. These are deductions where the underlying IRS rate, threshold, or rule must be confirmed against current-year IRS publications before acting. Common examples: bonus depreciation percentage (changes annually), Section 179 cap, IRS standard mileage rate, QBI safe-harbor specifics.</t>
        </is>
      </c>
    </row>
    <row r="11" ht="24" customHeight="1">
      <c r="A11" s="2" t="inlineStr">
        <is>
          <t>Disclaimer</t>
        </is>
      </c>
    </row>
    <row r="13" ht="90" customHeight="1">
      <c r="A13" s="4" t="inlineStr">
        <is>
          <t>This checklist is for educational purposes. It is not tax advice. Tax law changes annually; every cited rate, code section, and threshold must be verified against current-year IRS publications before you act on it. Consult your CPA for your specific situation. Canonical references: IRS Pub 527 (Residential Rental Property), Pub 463 (Travel/Gift/Car), Pub 535 (Business Expenses), Pub 946 (Depreciation), Pub 587 (Home Office), and Schedule E + Schedule C instructions.</t>
        </is>
      </c>
    </row>
    <row r="15" ht="24" customHeight="1">
      <c r="A15" s="2" t="inlineStr">
        <is>
          <t>Pair with the templates</t>
        </is>
      </c>
    </row>
    <row r="17" ht="60" customHeight="1">
      <c r="A17" s="3" t="inlineStr">
        <is>
          <t>Several rows in this checklist are auto-populated by templates from The STR Ledger:
  · Mileage (#24) — TAX-001 STR Mileage Log
  · Cleaning + maintenance, OTA fees, all 17 Schedule E categories — TAX-002 Single-Property P&amp;L Tracker
  · 1099-NEC threshold (relevant to entries #1, #14) — TAX-003 1099-NEC Tracker
  · Depreciation (#29-34) — TAX-002 (building) and Portfolio Master (asset-by-asset)
Full library at thestrledger.com.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I5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  <col width="36" customWidth="1" min="9" max="9"/>
  </cols>
  <sheetData>
    <row r="1" ht="32" customHeight="1">
      <c r="A1" s="5" t="inlineStr">
        <is>
          <t>The STR Ledger  ·  47 Airbnb Tax Deductions Most Hosts Miss  ·  Companion Checklist</t>
        </is>
      </c>
    </row>
    <row r="2" ht="18" customHeight="1">
      <c r="A2" s="6" t="inlineStr">
        <is>
          <t>Working draft — 2026 edition. Confirm every IRS rate against current-year publications before acting. Not tax advice — consult your CPA.</t>
        </is>
      </c>
    </row>
    <row r="4" ht="26" customHeight="1">
      <c r="A4" s="7" t="inlineStr">
        <is>
          <t>CAPTURED THIS YEAR</t>
        </is>
      </c>
      <c r="C4" s="8">
        <f>COUNTIF(G8:G54,"Yes")&amp;" of 47"</f>
        <v/>
      </c>
      <c r="D4" s="7" t="inlineStr">
        <is>
          <t>TOTAL $ DEDUCTIONS YTD</t>
        </is>
      </c>
      <c r="F4" s="9">
        <f>SUM(H8:H54)</f>
        <v/>
      </c>
      <c r="G4" s="7" t="inlineStr">
        <is>
          <t>VERIFY FLAGS REMAINING</t>
        </is>
      </c>
      <c r="I4" s="8">
        <f>COUNTIF(C8:C54,"*verify*")</f>
        <v/>
      </c>
    </row>
    <row r="5" ht="8" customHeight="1"/>
    <row r="7" ht="28" customHeight="1">
      <c r="A7" s="10" t="inlineStr">
        <is>
          <t>#</t>
        </is>
      </c>
      <c r="B7" s="10" t="inlineStr">
        <is>
          <t>Deduction</t>
        </is>
      </c>
      <c r="C7" s="10" t="inlineStr">
        <is>
          <t>Section</t>
        </is>
      </c>
      <c r="D7" s="10" t="inlineStr">
        <is>
          <t>Schedule line</t>
        </is>
      </c>
      <c r="E7" s="10" t="inlineStr">
        <is>
          <t>IRS reference</t>
        </is>
      </c>
      <c r="F7" s="10" t="inlineStr">
        <is>
          <t>Typical $ range</t>
        </is>
      </c>
      <c r="G7" s="10" t="inlineStr">
        <is>
          <t>Captured?</t>
        </is>
      </c>
      <c r="H7" s="10" t="inlineStr">
        <is>
          <t>$ amount YTD</t>
        </is>
      </c>
      <c r="I7" s="10" t="inlineStr">
        <is>
          <t>Notes</t>
        </is>
      </c>
    </row>
    <row r="8" ht="30" customHeight="1">
      <c r="A8" s="11" t="n">
        <v>1</v>
      </c>
      <c r="B8" s="12" t="inlineStr">
        <is>
          <t>Cleaning + maintenance fees paid to contractors</t>
        </is>
      </c>
      <c r="C8" s="13" t="inlineStr">
        <is>
          <t>Operating expenses</t>
        </is>
      </c>
      <c r="D8" s="14" t="inlineStr">
        <is>
          <t>Sched E Line 8</t>
        </is>
      </c>
      <c r="E8" s="15" t="inlineStr">
        <is>
          <t>Pub 527</t>
        </is>
      </c>
      <c r="F8" s="16" t="inlineStr">
        <is>
          <t>$3,000–$15,000/yr</t>
        </is>
      </c>
      <c r="G8" s="17" t="n"/>
      <c r="H8" s="18" t="n"/>
      <c r="I8" s="19" t="n"/>
    </row>
    <row r="9" ht="30" customHeight="1">
      <c r="A9" s="20" t="n">
        <v>2</v>
      </c>
      <c r="B9" s="21" t="inlineStr">
        <is>
          <t>Repairs (vs. improvements — treated differently)</t>
        </is>
      </c>
      <c r="C9" s="22" t="inlineStr">
        <is>
          <t>Operating expenses</t>
        </is>
      </c>
      <c r="D9" s="23" t="inlineStr">
        <is>
          <t>Sched E Line 15</t>
        </is>
      </c>
      <c r="E9" s="24" t="inlineStr">
        <is>
          <t>Pub 527</t>
        </is>
      </c>
      <c r="F9" s="25" t="inlineStr">
        <is>
          <t>$1,000–$8,000/yr</t>
        </is>
      </c>
      <c r="G9" s="17" t="n"/>
      <c r="H9" s="18" t="n"/>
      <c r="I9" s="19" t="n"/>
    </row>
    <row r="10" ht="30" customHeight="1">
      <c r="A10" s="11" t="n">
        <v>3</v>
      </c>
      <c r="B10" s="12" t="inlineStr">
        <is>
          <t>Supplies + consumables</t>
        </is>
      </c>
      <c r="C10" s="26" t="inlineStr">
        <is>
          <t>Operating expenses — verify</t>
        </is>
      </c>
      <c r="D10" s="14" t="inlineStr">
        <is>
          <t>Sched E Line 16</t>
        </is>
      </c>
      <c r="E10" s="15" t="inlineStr">
        <is>
          <t>Pub 527</t>
        </is>
      </c>
      <c r="F10" s="16" t="inlineStr">
        <is>
          <t>$1,500+ per property</t>
        </is>
      </c>
      <c r="G10" s="17" t="n"/>
      <c r="H10" s="18" t="n"/>
      <c r="I10" s="19" t="n"/>
    </row>
    <row r="11" ht="30" customHeight="1">
      <c r="A11" s="20" t="n">
        <v>4</v>
      </c>
      <c r="B11" s="21" t="inlineStr">
        <is>
          <t>Utilities — electric, gas, water, sewer, trash, propane</t>
        </is>
      </c>
      <c r="C11" s="22" t="inlineStr">
        <is>
          <t>Operating expenses</t>
        </is>
      </c>
      <c r="D11" s="23" t="inlineStr">
        <is>
          <t>Sched E Line 18</t>
        </is>
      </c>
      <c r="E11" s="24" t="inlineStr">
        <is>
          <t>Pub 527</t>
        </is>
      </c>
      <c r="F11" s="25" t="inlineStr">
        <is>
          <t>$1,800–$6,000/yr</t>
        </is>
      </c>
      <c r="G11" s="17" t="n"/>
      <c r="H11" s="18" t="n"/>
      <c r="I11" s="19" t="n"/>
    </row>
    <row r="12" ht="30" customHeight="1">
      <c r="A12" s="11" t="n">
        <v>5</v>
      </c>
      <c r="B12" s="12" t="inlineStr">
        <is>
          <t>Internet + cable + streaming services</t>
        </is>
      </c>
      <c r="C12" s="13" t="inlineStr">
        <is>
          <t>Operating expenses</t>
        </is>
      </c>
      <c r="D12" s="14" t="inlineStr">
        <is>
          <t>Sched E Line 18</t>
        </is>
      </c>
      <c r="E12" s="15" t="inlineStr">
        <is>
          <t>Pub 527</t>
        </is>
      </c>
      <c r="F12" s="16" t="inlineStr">
        <is>
          <t>$600–$1,800/yr per property</t>
        </is>
      </c>
      <c r="G12" s="17" t="n"/>
      <c r="H12" s="18" t="n"/>
      <c r="I12" s="19" t="n"/>
    </row>
    <row r="13" ht="30" customHeight="1">
      <c r="A13" s="20" t="n">
        <v>6</v>
      </c>
      <c r="B13" s="21" t="inlineStr">
        <is>
          <t>Property insurance + STR-specific liability rider</t>
        </is>
      </c>
      <c r="C13" s="22" t="inlineStr">
        <is>
          <t>Operating expenses</t>
        </is>
      </c>
      <c r="D13" s="23" t="inlineStr">
        <is>
          <t>Sched E Line 10</t>
        </is>
      </c>
      <c r="E13" s="24" t="inlineStr">
        <is>
          <t>Pub 527</t>
        </is>
      </c>
      <c r="F13" s="25" t="inlineStr">
        <is>
          <t>$1,200–$3,500/yr</t>
        </is>
      </c>
      <c r="G13" s="17" t="n"/>
      <c r="H13" s="18" t="n"/>
      <c r="I13" s="19" t="n"/>
    </row>
    <row r="14" ht="30" customHeight="1">
      <c r="A14" s="11" t="n">
        <v>7</v>
      </c>
      <c r="B14" s="12" t="inlineStr">
        <is>
          <t>Supplemental commercial liability (above platform coverage)</t>
        </is>
      </c>
      <c r="C14" s="13" t="inlineStr">
        <is>
          <t>Operating expenses</t>
        </is>
      </c>
      <c r="D14" s="14" t="inlineStr">
        <is>
          <t>Sched E Line 10</t>
        </is>
      </c>
      <c r="E14" s="15" t="inlineStr">
        <is>
          <t>Pub 527</t>
        </is>
      </c>
      <c r="F14" s="16" t="inlineStr">
        <is>
          <t>$400–$1,200/yr</t>
        </is>
      </c>
      <c r="G14" s="17" t="n"/>
      <c r="H14" s="18" t="n"/>
      <c r="I14" s="19" t="n"/>
    </row>
    <row r="15" ht="30" customHeight="1">
      <c r="A15" s="20" t="n">
        <v>8</v>
      </c>
      <c r="B15" s="21" t="inlineStr">
        <is>
          <t>Umbrella policy (rental-allocated portion)</t>
        </is>
      </c>
      <c r="C15" s="22" t="inlineStr">
        <is>
          <t>Operating expenses</t>
        </is>
      </c>
      <c r="D15" s="23" t="inlineStr">
        <is>
          <t>Sched E Line 10</t>
        </is>
      </c>
      <c r="E15" s="24" t="inlineStr">
        <is>
          <t>Pub 527</t>
        </is>
      </c>
      <c r="F15" s="25" t="inlineStr">
        <is>
          <t>$200–$600/yr</t>
        </is>
      </c>
      <c r="G15" s="17" t="n"/>
      <c r="H15" s="18" t="n"/>
      <c r="I15" s="19" t="n"/>
    </row>
    <row r="16" ht="30" customHeight="1">
      <c r="A16" s="11" t="n">
        <v>9</v>
      </c>
      <c r="B16" s="12" t="inlineStr">
        <is>
          <t>HOA/COA dues + special assessments</t>
        </is>
      </c>
      <c r="C16" s="26" t="inlineStr">
        <is>
          <t>Operating expenses — verify</t>
        </is>
      </c>
      <c r="D16" s="14" t="inlineStr">
        <is>
          <t>Sched E Line 17 or 19</t>
        </is>
      </c>
      <c r="E16" s="15" t="inlineStr">
        <is>
          <t>Pub 527</t>
        </is>
      </c>
      <c r="F16" s="16" t="inlineStr">
        <is>
          <t>$0–$8,000/yr</t>
        </is>
      </c>
      <c r="G16" s="17" t="n"/>
      <c r="H16" s="18" t="n"/>
      <c r="I16" s="19" t="n"/>
    </row>
    <row r="17" ht="30" customHeight="1">
      <c r="A17" s="20" t="n">
        <v>10</v>
      </c>
      <c r="B17" s="21" t="inlineStr">
        <is>
          <t>Property tax + STR-specific local levies</t>
        </is>
      </c>
      <c r="C17" s="22" t="inlineStr">
        <is>
          <t>Operating expenses</t>
        </is>
      </c>
      <c r="D17" s="23" t="inlineStr">
        <is>
          <t>Sched E Line 17</t>
        </is>
      </c>
      <c r="E17" s="24" t="inlineStr">
        <is>
          <t>Pub 527</t>
        </is>
      </c>
      <c r="F17" s="25" t="inlineStr">
        <is>
          <t>$1,500–$12,000/yr</t>
        </is>
      </c>
      <c r="G17" s="17" t="n"/>
      <c r="H17" s="18" t="n"/>
      <c r="I17" s="19" t="n"/>
    </row>
    <row r="18" ht="30" customHeight="1">
      <c r="A18" s="11" t="n">
        <v>11</v>
      </c>
      <c r="B18" s="12" t="inlineStr">
        <is>
          <t>Mortgage interest (full Form 1098 amount)</t>
        </is>
      </c>
      <c r="C18" s="26" t="inlineStr">
        <is>
          <t>Operating expenses — verify</t>
        </is>
      </c>
      <c r="D18" s="14" t="inlineStr">
        <is>
          <t>Sched E Line 13</t>
        </is>
      </c>
      <c r="E18" s="15" t="inlineStr">
        <is>
          <t>Form 1098 / Pub 527</t>
        </is>
      </c>
      <c r="F18" s="16" t="inlineStr">
        <is>
          <t>$8,000–$25,000/yr</t>
        </is>
      </c>
      <c r="G18" s="17" t="n"/>
      <c r="H18" s="18" t="n"/>
      <c r="I18" s="19" t="n"/>
    </row>
    <row r="19" ht="30" customHeight="1">
      <c r="A19" s="20" t="n">
        <v>12</v>
      </c>
      <c r="B19" s="21" t="inlineStr">
        <is>
          <t>Mortgage points (amortized over loan life)</t>
        </is>
      </c>
      <c r="C19" s="22" t="inlineStr">
        <is>
          <t>Operating expenses</t>
        </is>
      </c>
      <c r="D19" s="23" t="inlineStr">
        <is>
          <t>Sched E Line 13</t>
        </is>
      </c>
      <c r="E19" s="24" t="inlineStr">
        <is>
          <t>Pub 527</t>
        </is>
      </c>
      <c r="F19" s="25" t="inlineStr">
        <is>
          <t>$50–$500/yr</t>
        </is>
      </c>
      <c r="G19" s="17" t="n"/>
      <c r="H19" s="18" t="n"/>
      <c r="I19" s="19" t="n"/>
    </row>
    <row r="20" ht="30" customHeight="1">
      <c r="A20" s="11" t="n">
        <v>13</v>
      </c>
      <c r="B20" s="12" t="inlineStr">
        <is>
          <t>Other interest — HELOC + cards used for rental</t>
        </is>
      </c>
      <c r="C20" s="26" t="inlineStr">
        <is>
          <t>Operating expenses — verify</t>
        </is>
      </c>
      <c r="D20" s="14" t="inlineStr">
        <is>
          <t>Sched E Line 14</t>
        </is>
      </c>
      <c r="E20" s="15" t="inlineStr">
        <is>
          <t>§163 / Pub 527</t>
        </is>
      </c>
      <c r="F20" s="16" t="inlineStr">
        <is>
          <t>Varies</t>
        </is>
      </c>
      <c r="G20" s="17" t="n"/>
      <c r="H20" s="18" t="n"/>
      <c r="I20" s="19" t="n"/>
    </row>
    <row r="21" ht="30" customHeight="1">
      <c r="A21" s="20" t="n">
        <v>14</v>
      </c>
      <c r="B21" s="21" t="inlineStr">
        <is>
          <t>OTA fees + platform commissions</t>
        </is>
      </c>
      <c r="C21" s="22" t="inlineStr">
        <is>
          <t>Marketing, platform, and processing</t>
        </is>
      </c>
      <c r="D21" s="23" t="inlineStr">
        <is>
          <t>Sched E Line 19</t>
        </is>
      </c>
      <c r="E21" s="24" t="inlineStr">
        <is>
          <t>Pub 535</t>
        </is>
      </c>
      <c r="F21" s="25" t="inlineStr">
        <is>
          <t>$1,500–$12,000/yr</t>
        </is>
      </c>
      <c r="G21" s="17" t="n"/>
      <c r="H21" s="18" t="n"/>
      <c r="I21" s="19" t="n"/>
    </row>
    <row r="22" ht="30" customHeight="1">
      <c r="A22" s="11" t="n">
        <v>15</v>
      </c>
      <c r="B22" s="12" t="inlineStr">
        <is>
          <t>Payment processing fees (Stripe / Square / PayPal)</t>
        </is>
      </c>
      <c r="C22" s="13" t="inlineStr">
        <is>
          <t>Marketing, platform, and processing</t>
        </is>
      </c>
      <c r="D22" s="14" t="inlineStr">
        <is>
          <t>Sched E Line 19</t>
        </is>
      </c>
      <c r="E22" s="15" t="inlineStr">
        <is>
          <t>Pub 535</t>
        </is>
      </c>
      <c r="F22" s="16" t="inlineStr">
        <is>
          <t>$200–$2,000/yr</t>
        </is>
      </c>
      <c r="G22" s="17" t="n"/>
      <c r="H22" s="18" t="n"/>
      <c r="I22" s="19" t="n"/>
    </row>
    <row r="23" ht="30" customHeight="1">
      <c r="A23" s="20" t="n">
        <v>16</v>
      </c>
      <c r="B23" s="21" t="inlineStr">
        <is>
          <t>Listing photography (and 3D / video walkthroughs)</t>
        </is>
      </c>
      <c r="C23" s="27" t="inlineStr">
        <is>
          <t>Marketing, platform, and processing — verify</t>
        </is>
      </c>
      <c r="D23" s="23" t="inlineStr">
        <is>
          <t>Sched E Line 6</t>
        </is>
      </c>
      <c r="E23" s="24" t="inlineStr">
        <is>
          <t>Pub 535</t>
        </is>
      </c>
      <c r="F23" s="25" t="inlineStr">
        <is>
          <t>$300–$1,500 (one-time)</t>
        </is>
      </c>
      <c r="G23" s="17" t="n"/>
      <c r="H23" s="18" t="n"/>
      <c r="I23" s="19" t="n"/>
    </row>
    <row r="24" ht="30" customHeight="1">
      <c r="A24" s="11" t="n">
        <v>17</v>
      </c>
      <c r="B24" s="12" t="inlineStr">
        <is>
          <t>Listing copy + SEO services</t>
        </is>
      </c>
      <c r="C24" s="13" t="inlineStr">
        <is>
          <t>Marketing, platform, and processing</t>
        </is>
      </c>
      <c r="D24" s="14" t="inlineStr">
        <is>
          <t>Sched E Line 6</t>
        </is>
      </c>
      <c r="E24" s="15" t="inlineStr">
        <is>
          <t>Pub 535</t>
        </is>
      </c>
      <c r="F24" s="16" t="inlineStr">
        <is>
          <t>$100–$500/yr</t>
        </is>
      </c>
      <c r="G24" s="17" t="n"/>
      <c r="H24" s="18" t="n"/>
      <c r="I24" s="19" t="n"/>
    </row>
    <row r="25" ht="30" customHeight="1">
      <c r="A25" s="20" t="n">
        <v>18</v>
      </c>
      <c r="B25" s="21" t="inlineStr">
        <is>
          <t>Paid ads — Google, Meta, Pinterest</t>
        </is>
      </c>
      <c r="C25" s="22" t="inlineStr">
        <is>
          <t>Marketing, platform, and processing</t>
        </is>
      </c>
      <c r="D25" s="23" t="inlineStr">
        <is>
          <t>Sched E Line 6</t>
        </is>
      </c>
      <c r="E25" s="24" t="inlineStr">
        <is>
          <t>Pub 535</t>
        </is>
      </c>
      <c r="F25" s="25" t="inlineStr">
        <is>
          <t>$0–$3,000/yr</t>
        </is>
      </c>
      <c r="G25" s="17" t="n"/>
      <c r="H25" s="18" t="n"/>
      <c r="I25" s="19" t="n"/>
    </row>
    <row r="26" ht="30" customHeight="1">
      <c r="A26" s="11" t="n">
        <v>19</v>
      </c>
      <c r="B26" s="12" t="inlineStr">
        <is>
          <t>Property management fees</t>
        </is>
      </c>
      <c r="C26" s="13" t="inlineStr">
        <is>
          <t>Professional services</t>
        </is>
      </c>
      <c r="D26" s="14" t="inlineStr">
        <is>
          <t>Sched E Line 12</t>
        </is>
      </c>
      <c r="E26" s="15" t="inlineStr">
        <is>
          <t>Pub 527</t>
        </is>
      </c>
      <c r="F26" s="16" t="inlineStr">
        <is>
          <t>15–25% of gross</t>
        </is>
      </c>
      <c r="G26" s="17" t="n"/>
      <c r="H26" s="18" t="n"/>
      <c r="I26" s="19" t="n"/>
    </row>
    <row r="27" ht="30" customHeight="1">
      <c r="A27" s="20" t="n">
        <v>20</v>
      </c>
      <c r="B27" s="21" t="inlineStr">
        <is>
          <t>Tax prep / CPA fees (Schedule E allocated portion)</t>
        </is>
      </c>
      <c r="C27" s="22" t="inlineStr">
        <is>
          <t>Professional services</t>
        </is>
      </c>
      <c r="D27" s="23" t="inlineStr">
        <is>
          <t>Sched E Line 11</t>
        </is>
      </c>
      <c r="E27" s="24" t="inlineStr">
        <is>
          <t>Pub 535</t>
        </is>
      </c>
      <c r="F27" s="25" t="inlineStr">
        <is>
          <t>$300–$1,500/yr</t>
        </is>
      </c>
      <c r="G27" s="17" t="n"/>
      <c r="H27" s="18" t="n"/>
      <c r="I27" s="19" t="n"/>
    </row>
    <row r="28" ht="30" customHeight="1">
      <c r="A28" s="11" t="n">
        <v>21</v>
      </c>
      <c r="B28" s="12" t="inlineStr">
        <is>
          <t>Bookkeeping fees</t>
        </is>
      </c>
      <c r="C28" s="13" t="inlineStr">
        <is>
          <t>Professional services</t>
        </is>
      </c>
      <c r="D28" s="14" t="inlineStr">
        <is>
          <t>Sched E Line 11</t>
        </is>
      </c>
      <c r="E28" s="15" t="inlineStr">
        <is>
          <t>Pub 535</t>
        </is>
      </c>
      <c r="F28" s="16" t="inlineStr">
        <is>
          <t>$1,200–$6,000/yr</t>
        </is>
      </c>
      <c r="G28" s="17" t="n"/>
      <c r="H28" s="18" t="n"/>
      <c r="I28" s="19" t="n"/>
    </row>
    <row r="29" ht="30" customHeight="1">
      <c r="A29" s="20" t="n">
        <v>22</v>
      </c>
      <c r="B29" s="21" t="inlineStr">
        <is>
          <t>Legal fees (contracts, leases, eviction, entity setup)</t>
        </is>
      </c>
      <c r="C29" s="27" t="inlineStr">
        <is>
          <t>Professional services — verify</t>
        </is>
      </c>
      <c r="D29" s="23" t="inlineStr">
        <is>
          <t>Sched E Line 11</t>
        </is>
      </c>
      <c r="E29" s="24" t="inlineStr">
        <is>
          <t>§248 / Pub 535</t>
        </is>
      </c>
      <c r="F29" s="25" t="inlineStr">
        <is>
          <t>$0–$2,500/yr</t>
        </is>
      </c>
      <c r="G29" s="17" t="n"/>
      <c r="H29" s="18" t="n"/>
      <c r="I29" s="19" t="n"/>
    </row>
    <row r="30" ht="30" customHeight="1">
      <c r="A30" s="11" t="n">
        <v>23</v>
      </c>
      <c r="B30" s="12" t="inlineStr">
        <is>
          <t>Consulting + coaching fees</t>
        </is>
      </c>
      <c r="C30" s="13" t="inlineStr">
        <is>
          <t>Professional services</t>
        </is>
      </c>
      <c r="D30" s="14" t="inlineStr">
        <is>
          <t>Sched E Line 11</t>
        </is>
      </c>
      <c r="E30" s="15" t="inlineStr">
        <is>
          <t>Pub 535</t>
        </is>
      </c>
      <c r="F30" s="16" t="inlineStr">
        <is>
          <t>$0–$2,500/yr</t>
        </is>
      </c>
      <c r="G30" s="17" t="n"/>
      <c r="H30" s="18" t="n"/>
      <c r="I30" s="19" t="n"/>
    </row>
    <row r="31" ht="30" customHeight="1">
      <c r="A31" s="20" t="n">
        <v>24</v>
      </c>
      <c r="B31" s="21" t="inlineStr">
        <is>
          <t>Mileage at the IRS standard rate</t>
        </is>
      </c>
      <c r="C31" s="27" t="inlineStr">
        <is>
          <t>Travel + vehicle — verify</t>
        </is>
      </c>
      <c r="D31" s="23" t="inlineStr">
        <is>
          <t>Sched E Line 7</t>
        </is>
      </c>
      <c r="E31" s="24" t="inlineStr">
        <is>
          <t>Pub 463</t>
        </is>
      </c>
      <c r="F31" s="25" t="inlineStr">
        <is>
          <t>$1,050–$8,400+/yr</t>
        </is>
      </c>
      <c r="G31" s="17" t="n"/>
      <c r="H31" s="18" t="n"/>
      <c r="I31" s="19" t="n"/>
    </row>
    <row r="32" ht="30" customHeight="1">
      <c r="A32" s="11" t="n">
        <v>25</v>
      </c>
      <c r="B32" s="12" t="inlineStr">
        <is>
          <t>Vehicle actual costs (alternative to standard rate)</t>
        </is>
      </c>
      <c r="C32" s="13" t="inlineStr">
        <is>
          <t>Travel + vehicle</t>
        </is>
      </c>
      <c r="D32" s="14" t="inlineStr">
        <is>
          <t>Sched E Line 7</t>
        </is>
      </c>
      <c r="E32" s="15" t="inlineStr">
        <is>
          <t>Pub 463</t>
        </is>
      </c>
      <c r="F32" s="16" t="inlineStr">
        <is>
          <t>Varies by mileage + vehicle</t>
        </is>
      </c>
      <c r="G32" s="17" t="n"/>
      <c r="H32" s="18" t="n"/>
      <c r="I32" s="19" t="n"/>
    </row>
    <row r="33" ht="30" customHeight="1">
      <c r="A33" s="20" t="n">
        <v>26</v>
      </c>
      <c r="B33" s="21" t="inlineStr">
        <is>
          <t>Parking + tolls during business travel</t>
        </is>
      </c>
      <c r="C33" s="22" t="inlineStr">
        <is>
          <t>Travel + vehicle</t>
        </is>
      </c>
      <c r="D33" s="23" t="inlineStr">
        <is>
          <t>Sched E Line 7</t>
        </is>
      </c>
      <c r="E33" s="24" t="inlineStr">
        <is>
          <t>Pub 463</t>
        </is>
      </c>
      <c r="F33" s="25" t="inlineStr">
        <is>
          <t>$50–$300/yr</t>
        </is>
      </c>
      <c r="G33" s="17" t="n"/>
      <c r="H33" s="18" t="n"/>
      <c r="I33" s="19" t="n"/>
    </row>
    <row r="34" ht="30" customHeight="1">
      <c r="A34" s="11" t="n">
        <v>27</v>
      </c>
      <c r="B34" s="12" t="inlineStr">
        <is>
          <t>Out-of-town travel — flights, hotels, rentals</t>
        </is>
      </c>
      <c r="C34" s="13" t="inlineStr">
        <is>
          <t>Travel + vehicle</t>
        </is>
      </c>
      <c r="D34" s="14" t="inlineStr">
        <is>
          <t>Sched E Line 7</t>
        </is>
      </c>
      <c r="E34" s="15" t="inlineStr">
        <is>
          <t>Pub 463</t>
        </is>
      </c>
      <c r="F34" s="16" t="inlineStr">
        <is>
          <t>Varies</t>
        </is>
      </c>
      <c r="G34" s="17" t="n"/>
      <c r="H34" s="18" t="n"/>
      <c r="I34" s="19" t="n"/>
    </row>
    <row r="35" ht="30" customHeight="1">
      <c r="A35" s="20" t="n">
        <v>28</v>
      </c>
      <c r="B35" s="21" t="inlineStr">
        <is>
          <t>Business meals while at the property (50%)</t>
        </is>
      </c>
      <c r="C35" s="27" t="inlineStr">
        <is>
          <t>Travel + vehicle — verify</t>
        </is>
      </c>
      <c r="D35" s="23" t="inlineStr">
        <is>
          <t>Sched E Line 7</t>
        </is>
      </c>
      <c r="E35" s="24" t="inlineStr">
        <is>
          <t>§274 / Pub 463</t>
        </is>
      </c>
      <c r="F35" s="25" t="inlineStr">
        <is>
          <t>$100–$500/yr</t>
        </is>
      </c>
      <c r="G35" s="17" t="n"/>
      <c r="H35" s="18" t="n"/>
      <c r="I35" s="19" t="n"/>
    </row>
    <row r="36" ht="30" customHeight="1">
      <c r="A36" s="11" t="n">
        <v>29</v>
      </c>
      <c r="B36" s="12" t="inlineStr">
        <is>
          <t>Building depreciation — 27.5-year straight-line</t>
        </is>
      </c>
      <c r="C36" s="13" t="inlineStr">
        <is>
          <t>Depreciation — the biggest deduction most hosts skip</t>
        </is>
      </c>
      <c r="D36" s="14" t="inlineStr">
        <is>
          <t>Sched E Line 20</t>
        </is>
      </c>
      <c r="E36" s="15" t="inlineStr">
        <is>
          <t>Pub 946</t>
        </is>
      </c>
      <c r="F36" s="16" t="inlineStr">
        <is>
          <t>$8,000–$15,000+/yr</t>
        </is>
      </c>
      <c r="G36" s="17" t="n"/>
      <c r="H36" s="18" t="n"/>
      <c r="I36" s="19" t="n"/>
    </row>
    <row r="37" ht="30" customHeight="1">
      <c r="A37" s="20" t="n">
        <v>30</v>
      </c>
      <c r="B37" s="21" t="inlineStr">
        <is>
          <t>Improvements depreciation (15-yr or 5/7)</t>
        </is>
      </c>
      <c r="C37" s="22" t="inlineStr">
        <is>
          <t>Depreciation — the biggest deduction most hosts skip</t>
        </is>
      </c>
      <c r="D37" s="23" t="inlineStr">
        <is>
          <t>Sched E Line 20</t>
        </is>
      </c>
      <c r="E37" s="24" t="inlineStr">
        <is>
          <t>Pub 946</t>
        </is>
      </c>
      <c r="F37" s="25" t="inlineStr">
        <is>
          <t>$500–$5,000/yr</t>
        </is>
      </c>
      <c r="G37" s="17" t="n"/>
      <c r="H37" s="18" t="n"/>
      <c r="I37" s="19" t="n"/>
    </row>
    <row r="38" ht="30" customHeight="1">
      <c r="A38" s="11" t="n">
        <v>31</v>
      </c>
      <c r="B38" s="12" t="inlineStr">
        <is>
          <t>Furniture + appliances depreciation (5-yr or §179)</t>
        </is>
      </c>
      <c r="C38" s="26" t="inlineStr">
        <is>
          <t>Depreciation — the biggest deduction most hosts skip — verify</t>
        </is>
      </c>
      <c r="D38" s="14" t="inlineStr">
        <is>
          <t>Sched E Line 20</t>
        </is>
      </c>
      <c r="E38" s="15" t="inlineStr">
        <is>
          <t>§179 / Pub 946</t>
        </is>
      </c>
      <c r="F38" s="16" t="inlineStr">
        <is>
          <t>$1,500–$8,000 in year-1</t>
        </is>
      </c>
      <c r="G38" s="17" t="n"/>
      <c r="H38" s="18" t="n"/>
      <c r="I38" s="19" t="n"/>
    </row>
    <row r="39" ht="30" customHeight="1">
      <c r="A39" s="20" t="n">
        <v>32</v>
      </c>
      <c r="B39" s="21" t="inlineStr">
        <is>
          <t>Bonus depreciation (§168(k))</t>
        </is>
      </c>
      <c r="C39" s="27" t="inlineStr">
        <is>
          <t>Depreciation — the biggest deduction most hosts skip — verify</t>
        </is>
      </c>
      <c r="D39" s="23" t="inlineStr">
        <is>
          <t>Sched E Line 20</t>
        </is>
      </c>
      <c r="E39" s="24" t="inlineStr">
        <is>
          <t>§168(k)</t>
        </is>
      </c>
      <c r="F39" s="25" t="inlineStr">
        <is>
          <t>Varies, very large in year-1</t>
        </is>
      </c>
      <c r="G39" s="17" t="n"/>
      <c r="H39" s="18" t="n"/>
      <c r="I39" s="19" t="n"/>
    </row>
    <row r="40" ht="30" customHeight="1">
      <c r="A40" s="11" t="n">
        <v>33</v>
      </c>
      <c r="B40" s="12" t="inlineStr">
        <is>
          <t>Cost segregation study (accelerates depreciation)</t>
        </is>
      </c>
      <c r="C40" s="26" t="inlineStr">
        <is>
          <t>Depreciation — the biggest deduction most hosts skip — verify</t>
        </is>
      </c>
      <c r="D40" s="14" t="inlineStr">
        <is>
          <t>Sched E Line 20</t>
        </is>
      </c>
      <c r="E40" s="15" t="inlineStr">
        <is>
          <t>Pub 946</t>
        </is>
      </c>
      <c r="F40" s="16" t="inlineStr">
        <is>
          <t>$20K–$80K year-1 boost</t>
        </is>
      </c>
      <c r="G40" s="17" t="n"/>
      <c r="H40" s="18" t="n"/>
      <c r="I40" s="19" t="n"/>
    </row>
    <row r="41" ht="30" customHeight="1">
      <c r="A41" s="20" t="n">
        <v>34</v>
      </c>
      <c r="B41" s="21" t="inlineStr">
        <is>
          <t>Land improvements depreciation (15-year)</t>
        </is>
      </c>
      <c r="C41" s="22" t="inlineStr">
        <is>
          <t>Depreciation — the biggest deduction most hosts skip</t>
        </is>
      </c>
      <c r="D41" s="23" t="inlineStr">
        <is>
          <t>Sched E Line 20</t>
        </is>
      </c>
      <c r="E41" s="24" t="inlineStr">
        <is>
          <t>Pub 946</t>
        </is>
      </c>
      <c r="F41" s="25" t="inlineStr">
        <is>
          <t>$300–$2,500/yr</t>
        </is>
      </c>
      <c r="G41" s="17" t="n"/>
      <c r="H41" s="18" t="n"/>
      <c r="I41" s="19" t="n"/>
    </row>
    <row r="42" ht="30" customHeight="1">
      <c r="A42" s="11" t="n">
        <v>35</v>
      </c>
      <c r="B42" s="12" t="inlineStr">
        <is>
          <t>STR Loophole — active vs. passive treatment</t>
        </is>
      </c>
      <c r="C42" s="26" t="inlineStr">
        <is>
          <t>Advanced moves most hosts have never heard of — verify</t>
        </is>
      </c>
      <c r="D42" s="14" t="inlineStr">
        <is>
          <t>Schedule treatment</t>
        </is>
      </c>
      <c r="E42" s="15" t="inlineStr">
        <is>
          <t>IRC §469</t>
        </is>
      </c>
      <c r="F42" s="16" t="inlineStr">
        <is>
          <t>Saves $5K–$50K+ for high-W2 hosts</t>
        </is>
      </c>
      <c r="G42" s="17" t="n"/>
      <c r="H42" s="18" t="n"/>
      <c r="I42" s="19" t="n"/>
    </row>
    <row r="43" ht="30" customHeight="1">
      <c r="A43" s="20" t="n">
        <v>36</v>
      </c>
      <c r="B43" s="21" t="inlineStr">
        <is>
          <t>Pre-startup costs (deductible up to $5K year-1)</t>
        </is>
      </c>
      <c r="C43" s="27" t="inlineStr">
        <is>
          <t>Advanced moves most hosts have never heard of — verify</t>
        </is>
      </c>
      <c r="D43" s="23" t="inlineStr">
        <is>
          <t>Sched E Line 19</t>
        </is>
      </c>
      <c r="E43" s="24" t="inlineStr">
        <is>
          <t>IRC §195</t>
        </is>
      </c>
      <c r="F43" s="25" t="inlineStr">
        <is>
          <t>$1,500–$5,000 year-1</t>
        </is>
      </c>
      <c r="G43" s="17" t="n"/>
      <c r="H43" s="18" t="n"/>
      <c r="I43" s="19" t="n"/>
    </row>
    <row r="44" ht="30" customHeight="1">
      <c r="A44" s="11" t="n">
        <v>37</v>
      </c>
      <c r="B44" s="12" t="inlineStr">
        <is>
          <t>Organizational costs (LLC formation)</t>
        </is>
      </c>
      <c r="C44" s="26" t="inlineStr">
        <is>
          <t>Advanced moves most hosts have never heard of — verify</t>
        </is>
      </c>
      <c r="D44" s="14" t="inlineStr">
        <is>
          <t>Sched E Line 19</t>
        </is>
      </c>
      <c r="E44" s="15" t="inlineStr">
        <is>
          <t>IRC §248</t>
        </is>
      </c>
      <c r="F44" s="16" t="inlineStr">
        <is>
          <t>$300–$1,500</t>
        </is>
      </c>
      <c r="G44" s="17" t="n"/>
      <c r="H44" s="18" t="n"/>
      <c r="I44" s="19" t="n"/>
    </row>
    <row r="45" ht="30" customHeight="1">
      <c r="A45" s="20" t="n">
        <v>38</v>
      </c>
      <c r="B45" s="21" t="inlineStr">
        <is>
          <t>Augusta Rule — rent your own home tax-free</t>
        </is>
      </c>
      <c r="C45" s="27" t="inlineStr">
        <is>
          <t>Advanced moves most hosts have never heard of — verify</t>
        </is>
      </c>
      <c r="D45" s="23" t="inlineStr">
        <is>
          <t>Personal return</t>
        </is>
      </c>
      <c r="E45" s="24" t="inlineStr">
        <is>
          <t>§280A(g)</t>
        </is>
      </c>
      <c r="F45" s="25" t="inlineStr">
        <is>
          <t>$5,000–$15,000/yr</t>
        </is>
      </c>
      <c r="G45" s="17" t="n"/>
      <c r="H45" s="18" t="n"/>
      <c r="I45" s="19" t="n"/>
    </row>
    <row r="46" ht="30" customHeight="1">
      <c r="A46" s="11" t="n">
        <v>39</v>
      </c>
      <c r="B46" s="12" t="inlineStr">
        <is>
          <t>Home office deduction</t>
        </is>
      </c>
      <c r="C46" s="26" t="inlineStr">
        <is>
          <t>Advanced moves most hosts have never heard of — verify</t>
        </is>
      </c>
      <c r="D46" s="14" t="inlineStr">
        <is>
          <t>Form 8829 / Sched E Line 19</t>
        </is>
      </c>
      <c r="E46" s="15" t="inlineStr">
        <is>
          <t>Pub 587</t>
        </is>
      </c>
      <c r="F46" s="16" t="inlineStr">
        <is>
          <t>$500–$3,000/yr</t>
        </is>
      </c>
      <c r="G46" s="17" t="n"/>
      <c r="H46" s="18" t="n"/>
      <c r="I46" s="19" t="n"/>
    </row>
    <row r="47" ht="30" customHeight="1">
      <c r="A47" s="20" t="n">
        <v>40</v>
      </c>
      <c r="B47" s="21" t="inlineStr">
        <is>
          <t>Cell phone (business-use percentage)</t>
        </is>
      </c>
      <c r="C47" s="22" t="inlineStr">
        <is>
          <t>Advanced moves most hosts have never heard of</t>
        </is>
      </c>
      <c r="D47" s="23" t="inlineStr">
        <is>
          <t>Sched E Line 19</t>
        </is>
      </c>
      <c r="E47" s="24" t="inlineStr">
        <is>
          <t>Pub 535</t>
        </is>
      </c>
      <c r="F47" s="25" t="inlineStr">
        <is>
          <t>$300–$800/yr</t>
        </is>
      </c>
      <c r="G47" s="17" t="n"/>
      <c r="H47" s="18" t="n"/>
      <c r="I47" s="19" t="n"/>
    </row>
    <row r="48" ht="30" customHeight="1">
      <c r="A48" s="11" t="n">
        <v>41</v>
      </c>
      <c r="B48" s="12" t="inlineStr">
        <is>
          <t>Home internet (business-use percentage)</t>
        </is>
      </c>
      <c r="C48" s="13" t="inlineStr">
        <is>
          <t>Advanced moves most hosts have never heard of</t>
        </is>
      </c>
      <c r="D48" s="14" t="inlineStr">
        <is>
          <t>Sched E Line 19</t>
        </is>
      </c>
      <c r="E48" s="15" t="inlineStr">
        <is>
          <t>Pub 535</t>
        </is>
      </c>
      <c r="F48" s="16" t="inlineStr">
        <is>
          <t>$200–$500/yr</t>
        </is>
      </c>
      <c r="G48" s="17" t="n"/>
      <c r="H48" s="18" t="n"/>
      <c r="I48" s="19" t="n"/>
    </row>
    <row r="49" ht="30" customHeight="1">
      <c r="A49" s="20" t="n">
        <v>42</v>
      </c>
      <c r="B49" s="21" t="inlineStr">
        <is>
          <t>Software + SaaS subscriptions</t>
        </is>
      </c>
      <c r="C49" s="22" t="inlineStr">
        <is>
          <t>Advanced moves most hosts have never heard of</t>
        </is>
      </c>
      <c r="D49" s="23" t="inlineStr">
        <is>
          <t>Sched E Line 19</t>
        </is>
      </c>
      <c r="E49" s="24" t="inlineStr">
        <is>
          <t>Pub 535</t>
        </is>
      </c>
      <c r="F49" s="25" t="inlineStr">
        <is>
          <t>$400–$2,000/yr</t>
        </is>
      </c>
      <c r="G49" s="17" t="n"/>
      <c r="H49" s="18" t="n"/>
      <c r="I49" s="19" t="n"/>
    </row>
    <row r="50" ht="30" customHeight="1">
      <c r="A50" s="11" t="n">
        <v>43</v>
      </c>
      <c r="B50" s="12" t="inlineStr">
        <is>
          <t>Education + courses (improving existing business)</t>
        </is>
      </c>
      <c r="C50" s="26" t="inlineStr">
        <is>
          <t>Advanced moves most hosts have never heard of — verify</t>
        </is>
      </c>
      <c r="D50" s="14" t="inlineStr">
        <is>
          <t>Sched E Line 19</t>
        </is>
      </c>
      <c r="E50" s="15" t="inlineStr">
        <is>
          <t>Pub 535</t>
        </is>
      </c>
      <c r="F50" s="16" t="inlineStr">
        <is>
          <t>$200–$2,000/yr</t>
        </is>
      </c>
      <c r="G50" s="17" t="n"/>
      <c r="H50" s="18" t="n"/>
      <c r="I50" s="19" t="n"/>
    </row>
    <row r="51" ht="30" customHeight="1">
      <c r="A51" s="20" t="n">
        <v>44</v>
      </c>
      <c r="B51" s="21" t="inlineStr">
        <is>
          <t>Bank + credit card fees (dedicated business accounts)</t>
        </is>
      </c>
      <c r="C51" s="22" t="inlineStr">
        <is>
          <t>Advanced moves most hosts have never heard of</t>
        </is>
      </c>
      <c r="D51" s="23" t="inlineStr">
        <is>
          <t>Sched E Line 19</t>
        </is>
      </c>
      <c r="E51" s="24" t="inlineStr">
        <is>
          <t>Pub 535</t>
        </is>
      </c>
      <c r="F51" s="25" t="inlineStr">
        <is>
          <t>$100–$500/yr</t>
        </is>
      </c>
      <c r="G51" s="17" t="n"/>
      <c r="H51" s="18" t="n"/>
      <c r="I51" s="19" t="n"/>
    </row>
    <row r="52" ht="30" customHeight="1">
      <c r="A52" s="11" t="n">
        <v>45</v>
      </c>
      <c r="B52" s="12" t="inlineStr">
        <is>
          <t>Refunds + chargebacks given to guests</t>
        </is>
      </c>
      <c r="C52" s="26" t="inlineStr">
        <is>
          <t>Advanced moves most hosts have never heard of — verify</t>
        </is>
      </c>
      <c r="D52" s="14" t="inlineStr">
        <is>
          <t>Net against gross rents</t>
        </is>
      </c>
      <c r="E52" s="15" t="inlineStr">
        <is>
          <t>Pub 527</t>
        </is>
      </c>
      <c r="F52" s="16" t="inlineStr">
        <is>
          <t>Varies</t>
        </is>
      </c>
      <c r="G52" s="17" t="n"/>
      <c r="H52" s="18" t="n"/>
      <c r="I52" s="19" t="n"/>
    </row>
    <row r="53" ht="30" customHeight="1">
      <c r="A53" s="20" t="n">
        <v>46</v>
      </c>
      <c r="B53" s="21" t="inlineStr">
        <is>
          <t>Bad debt — unpaid bookings (accrual basis)</t>
        </is>
      </c>
      <c r="C53" s="27" t="inlineStr">
        <is>
          <t>Advanced moves most hosts have never heard of — verify</t>
        </is>
      </c>
      <c r="D53" s="23" t="inlineStr">
        <is>
          <t>Sched E Line 19</t>
        </is>
      </c>
      <c r="E53" s="24" t="inlineStr">
        <is>
          <t>Pub 535</t>
        </is>
      </c>
      <c r="F53" s="25" t="inlineStr">
        <is>
          <t>Rare</t>
        </is>
      </c>
      <c r="G53" s="17" t="n"/>
      <c r="H53" s="18" t="n"/>
      <c r="I53" s="19" t="n"/>
    </row>
    <row r="54" ht="30" customHeight="1">
      <c r="A54" s="11" t="n">
        <v>47</v>
      </c>
      <c r="B54" s="12" t="inlineStr">
        <is>
          <t>QBI deduction — 20% of net rental income (§199A)</t>
        </is>
      </c>
      <c r="C54" s="26" t="inlineStr">
        <is>
          <t>Advanced moves most hosts have never heard of — verify</t>
        </is>
      </c>
      <c r="D54" s="14" t="inlineStr">
        <is>
          <t>Below the line — Form 8995</t>
        </is>
      </c>
      <c r="E54" s="15" t="inlineStr">
        <is>
          <t>§199A / Rev Proc 2019-38</t>
        </is>
      </c>
      <c r="F54" s="16" t="inlineStr">
        <is>
          <t>20% of net rental income</t>
        </is>
      </c>
      <c r="G54" s="17" t="n"/>
      <c r="H54" s="18" t="n"/>
      <c r="I54" s="19" t="n"/>
    </row>
  </sheetData>
  <mergeCells count="5">
    <mergeCell ref="A4:B4"/>
    <mergeCell ref="G4:H4"/>
    <mergeCell ref="A2:I2"/>
    <mergeCell ref="A1:I1"/>
    <mergeCell ref="D4:E4"/>
  </mergeCells>
  <conditionalFormatting sqref="G8:G54">
    <cfRule type="cellIs" priority="1" operator="equal" dxfId="0">
      <formula>"Yes"</formula>
    </cfRule>
  </conditionalFormatting>
  <dataValidations count="1">
    <dataValidation sqref="G8:G54" showDropDown="0" showInputMessage="0" showErrorMessage="0" allowBlank="1" promptTitle="Captured?" prompt="Captured this year?" type="list">
      <formula1>"Yes,No"</formula1>
    </dataValidation>
  </dataValidation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47 Airbnb Tax Deductions — Companion Checklist</dc:title>
  <dc:description xmlns:dc="http://purl.org/dc/elements/1.1/">Companion Excel checklist for the 47-deductions hero magnet.</dc:description>
  <dcterms:created xmlns:dcterms="http://purl.org/dc/terms/" xmlns:xsi="http://www.w3.org/2001/XMLSchema-instance" xsi:type="dcterms:W3CDTF">2026-05-04T16:30:54Z</dcterms:created>
  <dcterms:modified xmlns:dcterms="http://purl.org/dc/terms/" xmlns:xsi="http://www.w3.org/2001/XMLSchema-instance" xsi:type="dcterms:W3CDTF">2026-05-04T16:30:54Z</dcterms:modified>
</cp:coreProperties>
</file>