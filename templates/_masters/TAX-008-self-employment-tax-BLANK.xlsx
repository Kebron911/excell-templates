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Net SE Income" sheetId="2" state="visible" r:id="rId2"/>
    <sheet xmlns:r="http://schemas.openxmlformats.org/officeDocument/2006/relationships" name="Wage Base &amp; W-2" sheetId="3" state="visible" r:id="rId3"/>
    <sheet xmlns:r="http://schemas.openxmlformats.org/officeDocument/2006/relationships" name="Adjustments" sheetId="4" state="visible" r:id="rId4"/>
    <sheet xmlns:r="http://schemas.openxmlformats.org/officeDocument/2006/relationships" name="SE Tax Calc" sheetId="5" state="visible" r:id="rId5"/>
    <sheet xmlns:r="http://schemas.openxmlformats.org/officeDocument/2006/relationships" name="Schedule SE Map" sheetId="6" state="visible" r:id="rId6"/>
    <sheet xmlns:r="http://schemas.openxmlformats.org/officeDocument/2006/relationships" name="Launch" sheetId="7" state="visible" r:id="rId7"/>
    <sheet xmlns:r="http://schemas.openxmlformats.org/officeDocument/2006/relationships" name="Settings" sheetId="8" state="visible" r:id="rId8"/>
  </sheets>
  <definedNames>
    <definedName name="_xlnm.Print_Area" localSheetId="0">'Start'!$A$1:$L$47</definedName>
    <definedName name="_xlnm.Print_Titles" localSheetId="4">'SE Tax Calc'!$1:$4</definedName>
    <definedName name="_xlnm.Print_Area" localSheetId="4">'SE Tax Calc'!$A$1:$L$24</definedName>
    <definedName name="_xlnm.Print_Titles" localSheetId="5">'Schedule SE Map'!$1:$5</definedName>
    <definedName name="_xlnm.Print_Area" localSheetId="5">'Schedule SE Map'!$A$1:$C$21</definedName>
    <definedName name="_xlnm.Print_Area" localSheetId="6">'Launch'!$A$1:$L$27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&quot;$&quot;#,##0;[Red](&quot;$&quot;#,##0)"/>
    <numFmt numFmtId="166" formatCode="0.0%"/>
  </numFmts>
  <fonts count="35">
    <font>
      <name val="Calibri"/>
      <family val="2"/>
      <color theme="1"/>
      <sz val="11"/>
      <scheme val="minor"/>
    </font>
    <font>
      <name val="Georgia"/>
      <color rgb="00F6EFE2"/>
      <sz val="14"/>
    </font>
    <font>
      <name val="Georgia"/>
      <b val="1"/>
      <color rgb="00F6EFE2"/>
      <sz val="36"/>
    </font>
    <font>
      <name val="Georgia"/>
      <i val="1"/>
      <color rgb="00C9A24B"/>
      <sz val="14"/>
    </font>
    <font>
      <name val="Georgia"/>
      <b val="1"/>
      <color rgb="00C9A24B"/>
      <sz val="16"/>
    </font>
    <font>
      <name val="Consolas"/>
      <color rgb="00C9A24B"/>
      <sz val="9"/>
    </font>
    <font>
      <name val="Georgia"/>
      <b val="1"/>
      <color rgb="0012304E"/>
      <sz val="16"/>
    </font>
    <font>
      <name val="Georgia"/>
      <b val="1"/>
      <color rgb="0012304E"/>
      <sz val="14"/>
    </font>
    <font>
      <name val="Calibri"/>
      <color rgb="002B2B2B"/>
      <sz val="11"/>
    </font>
    <font>
      <name val="Georgia"/>
      <b val="1"/>
      <color rgb="00F6EFE2"/>
      <sz val="13"/>
    </font>
    <font>
      <name val="Georgia"/>
      <b val="1"/>
      <color rgb="0012304E"/>
      <sz val="12"/>
    </font>
    <font>
      <name val="Georgia"/>
      <b val="1"/>
      <color rgb="00C9A24B"/>
      <sz val="14"/>
    </font>
    <font>
      <name val="Calibri"/>
      <b val="1"/>
      <color rgb="00C9A24B"/>
      <sz val="11"/>
    </font>
    <font>
      <name val="Calibri"/>
      <color rgb="006B7280"/>
      <sz val="10"/>
    </font>
    <font>
      <name val="Calibri"/>
      <i val="1"/>
      <color rgb="00C9A24B"/>
      <sz val="10"/>
    </font>
    <font>
      <name val="Consolas"/>
      <b val="1"/>
      <color rgb="00C9A24B"/>
      <sz val="9"/>
    </font>
    <font>
      <name val="Georgia"/>
      <b val="1"/>
      <color rgb="0012304E"/>
      <sz val="13"/>
    </font>
    <font>
      <name val="Georgia"/>
      <b val="1"/>
      <color rgb="00F6EFE2"/>
      <sz val="28"/>
    </font>
    <font>
      <name val="Georgia"/>
      <i val="1"/>
      <color rgb="00C9A24B"/>
      <sz val="12"/>
    </font>
    <font>
      <name val="Calibri"/>
      <i val="1"/>
      <color rgb="002B2B2B"/>
      <sz val="10"/>
    </font>
    <font>
      <name val="Consolas"/>
      <b val="1"/>
      <color rgb="0012304E"/>
      <sz val="10"/>
    </font>
    <font>
      <name val="Calibri"/>
      <b val="1"/>
      <color rgb="002B2B2B"/>
      <sz val="11"/>
    </font>
    <font>
      <name val="Calibri"/>
      <i val="1"/>
      <color rgb="002B2B2B"/>
      <sz val="11"/>
    </font>
    <font>
      <name val="Calibri"/>
      <i val="1"/>
      <color rgb="0012304E"/>
      <sz val="10"/>
    </font>
    <font>
      <name val="Consolas"/>
      <b val="1"/>
      <color rgb="00C9A24B"/>
      <sz val="10"/>
    </font>
    <font>
      <name val="Calibri"/>
      <b val="1"/>
      <color rgb="00FFFFFF"/>
      <sz val="11"/>
    </font>
    <font>
      <name val="Georgia"/>
      <b val="1"/>
      <color rgb="00F6EFE2"/>
      <sz val="12"/>
    </font>
    <font>
      <name val="Georgia"/>
      <b val="1"/>
      <color rgb="00F6EFE2"/>
      <sz val="32"/>
    </font>
    <font>
      <name val="Georgia"/>
      <b val="1"/>
      <color rgb="00C9A24B"/>
      <sz val="28"/>
    </font>
    <font>
      <name val="Calibri"/>
      <color rgb="006B7280"/>
      <sz val="9"/>
    </font>
    <font>
      <name val="Consolas"/>
      <b val="1"/>
      <color rgb="0012304E"/>
      <sz val="9"/>
    </font>
    <font>
      <name val="Georgia"/>
      <b val="1"/>
      <color rgb="0012304E"/>
      <sz val="28"/>
    </font>
    <font>
      <name val="Georgia"/>
      <b val="1"/>
      <color rgb="0012304E"/>
      <sz val="22"/>
    </font>
    <font>
      <name val="Calibri"/>
      <i val="1"/>
      <color rgb="006B7280"/>
      <sz val="10"/>
    </font>
    <font>
      <name val="Calibri"/>
      <color rgb="006B7280"/>
      <sz val="11"/>
    </font>
  </fonts>
  <fills count="9">
    <fill>
      <patternFill/>
    </fill>
    <fill>
      <patternFill patternType="gray125"/>
    </fill>
    <fill>
      <patternFill patternType="solid">
        <fgColor rgb="0012304E"/>
      </patternFill>
    </fill>
    <fill>
      <patternFill patternType="solid">
        <fgColor rgb="00F6EFE2"/>
      </patternFill>
    </fill>
    <fill>
      <patternFill patternType="solid">
        <fgColor rgb="00EFE5D0"/>
      </patternFill>
    </fill>
    <fill>
      <patternFill patternType="solid">
        <fgColor rgb="00C9A24B"/>
      </patternFill>
    </fill>
    <fill>
      <patternFill patternType="solid">
        <fgColor rgb="00E2C884"/>
      </patternFill>
    </fill>
    <fill>
      <patternFill patternType="solid">
        <fgColor rgb="00FFF7D6"/>
      </patternFill>
    </fill>
    <fill>
      <patternFill patternType="solid">
        <fgColor rgb="00EDEDED"/>
      </patternFill>
    </fill>
  </fills>
  <borders count="22">
    <border>
      <left/>
      <right/>
      <top/>
      <bottom/>
      <diagonal/>
    </border>
    <border>
      <top style="medium">
        <color rgb="00C9A24B"/>
      </top>
    </border>
    <border>
      <left style="medium">
        <color rgb="00C9A24B"/>
      </left>
      <right style="medium">
        <color rgb="00C9A24B"/>
      </right>
      <top style="medium">
        <color rgb="00C9A24B"/>
      </top>
      <bottom style="medium">
        <color rgb="00C9A24B"/>
      </bottom>
    </border>
    <border>
      <top style="thin">
        <color rgb="00C9A24B"/>
      </top>
    </border>
    <border>
      <left style="medium">
        <color rgb="0012304E"/>
      </left>
      <right style="medium">
        <color rgb="0012304E"/>
      </right>
      <top style="medium">
        <color rgb="0012304E"/>
      </top>
      <bottom style="medium">
        <color rgb="0012304E"/>
      </bottom>
    </border>
    <border>
      <left style="thin">
        <color rgb="00C9A24B"/>
      </left>
      <right/>
      <top style="thin">
        <color rgb="00C9A24B"/>
      </top>
    </border>
    <border>
      <left/>
      <right/>
      <top style="thin">
        <color rgb="00C9A24B"/>
      </top>
    </border>
    <border>
      <left/>
      <right style="thin">
        <color rgb="00C9A24B"/>
      </right>
      <top style="thin">
        <color rgb="00C9A24B"/>
      </top>
    </border>
    <border>
      <left style="thin">
        <color rgb="00C9A24B"/>
      </left>
      <right/>
      <top/>
      <bottom style="thin">
        <color rgb="00C9A24B"/>
      </bottom>
    </border>
    <border>
      <left/>
      <right/>
      <top/>
      <bottom style="thin">
        <color rgb="00C9A24B"/>
      </bottom>
    </border>
    <border>
      <left/>
      <right style="thin">
        <color rgb="00C9A24B"/>
      </right>
      <top/>
      <bottom style="thin">
        <color rgb="00C9A24B"/>
      </bottom>
    </border>
    <border>
      <left style="thin">
        <color rgb="00C9A24B"/>
      </left>
      <right/>
      <top/>
      <bottom/>
    </border>
    <border>
      <left/>
      <right style="thin">
        <color rgb="00C9A24B"/>
      </right>
      <top/>
      <bottom/>
    </border>
    <border>
      <left style="thin">
        <color rgb="00C9A24B"/>
      </left>
      <right style="thin">
        <color rgb="00C9A24B"/>
      </right>
      <top style="thin">
        <color rgb="00C9A24B"/>
      </top>
      <bottom style="thin">
        <color rgb="00C9A24B"/>
      </bottom>
    </border>
    <border>
      <left style="thin">
        <color rgb="00C9A24B"/>
      </left>
      <right/>
      <top style="thin">
        <color rgb="00C9A24B"/>
      </top>
      <bottom style="thin">
        <color rgb="00C9A24B"/>
      </bottom>
    </border>
    <border>
      <left/>
      <right/>
      <top style="thin">
        <color rgb="00C9A24B"/>
      </top>
      <bottom style="thin">
        <color rgb="00C9A24B"/>
      </bottom>
    </border>
    <border>
      <left/>
      <right style="thin">
        <color rgb="00C9A24B"/>
      </right>
      <top style="thin">
        <color rgb="00C9A24B"/>
      </top>
      <bottom style="thin">
        <color rgb="00C9A24B"/>
      </bottom>
    </border>
    <border>
      <left style="thin">
        <color rgb="0012304E"/>
      </left>
      <right style="thin">
        <color rgb="0012304E"/>
      </right>
      <top style="thin">
        <color rgb="0012304E"/>
      </top>
      <bottom style="thin">
        <color rgb="0012304E"/>
      </bottom>
    </border>
    <border>
      <left style="thin">
        <color rgb="00C9A24B"/>
      </left>
      <right/>
      <top style="thin">
        <color rgb="00C9A24B"/>
      </top>
      <bottom/>
    </border>
    <border>
      <left/>
      <right/>
      <top style="thin">
        <color rgb="00C9A24B"/>
      </top>
      <bottom/>
    </border>
    <border>
      <left/>
      <right style="thin">
        <color rgb="00C9A24B"/>
      </right>
      <top style="thin">
        <color rgb="00C9A24B"/>
      </top>
      <bottom/>
    </border>
    <border>
      <left/>
      <right/>
      <top/>
      <bottom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6" fillId="3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left" vertical="center" indent="1"/>
    </xf>
    <xf numFmtId="0" fontId="9" fillId="2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10" fillId="0" borderId="0" applyAlignment="1" pivotButton="0" quotePrefix="0" xfId="0">
      <alignment horizontal="left" vertical="center" indent="1"/>
    </xf>
    <xf numFmtId="0" fontId="11" fillId="0" borderId="0" applyAlignment="1" pivotButton="0" quotePrefix="0" xfId="0">
      <alignment horizontal="right" vertical="center" indent="1"/>
    </xf>
    <xf numFmtId="0" fontId="8" fillId="0" borderId="0" applyAlignment="1" pivotButton="0" quotePrefix="0" xfId="0">
      <alignment horizontal="left" vertical="center" indent="2"/>
    </xf>
    <xf numFmtId="0" fontId="8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right" vertical="center" indent="1"/>
    </xf>
    <xf numFmtId="0" fontId="0" fillId="0" borderId="3" pivotButton="0" quotePrefix="0" xfId="0"/>
    <xf numFmtId="0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center" vertical="center"/>
    </xf>
    <xf numFmtId="0" fontId="16" fillId="5" borderId="4" applyAlignment="1" pivotButton="0" quotePrefix="0" xfId="0">
      <alignment horizontal="center" vertical="center" wrapText="1"/>
    </xf>
    <xf numFmtId="0" fontId="0" fillId="0" borderId="4" pivotButton="0" quotePrefix="0" xfId="0"/>
    <xf numFmtId="0" fontId="17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/>
    </xf>
    <xf numFmtId="0" fontId="19" fillId="3" borderId="0" applyAlignment="1" pivotButton="0" quotePrefix="0" xfId="0">
      <alignment horizontal="center" vertical="center"/>
    </xf>
    <xf numFmtId="0" fontId="20" fillId="6" borderId="0" applyAlignment="1" pivotButton="0" quotePrefix="0" xfId="0">
      <alignment horizontal="left" vertical="center" indent="1"/>
    </xf>
    <xf numFmtId="0" fontId="21" fillId="3" borderId="5" applyAlignment="1" pivotButton="0" quotePrefix="0" xfId="0">
      <alignment horizontal="right" vertical="center" indent="1"/>
    </xf>
    <xf numFmtId="164" fontId="8" fillId="7" borderId="6" applyAlignment="1" pivotButton="0" quotePrefix="0" xfId="0">
      <alignment horizontal="right" vertical="center" indent="1"/>
    </xf>
    <xf numFmtId="0" fontId="0" fillId="3" borderId="6" pivotButton="0" quotePrefix="0" xfId="0"/>
    <xf numFmtId="0" fontId="0" fillId="3" borderId="7" pivotButton="0" quotePrefix="0" xfId="0"/>
    <xf numFmtId="0" fontId="21" fillId="3" borderId="11" applyAlignment="1" pivotButton="0" quotePrefix="0" xfId="0">
      <alignment horizontal="right" vertical="center" indent="1"/>
    </xf>
    <xf numFmtId="164" fontId="8" fillId="7" borderId="0" applyAlignment="1" pivotButton="0" quotePrefix="0" xfId="0">
      <alignment horizontal="right" vertical="center" indent="1"/>
    </xf>
    <xf numFmtId="0" fontId="0" fillId="3" borderId="12" pivotButton="0" quotePrefix="0" xfId="0"/>
    <xf numFmtId="0" fontId="21" fillId="3" borderId="8" applyAlignment="1" pivotButton="0" quotePrefix="0" xfId="0">
      <alignment horizontal="right" vertical="center" indent="1"/>
    </xf>
    <xf numFmtId="164" fontId="8" fillId="7" borderId="9" applyAlignment="1" pivotButton="0" quotePrefix="0" xfId="0">
      <alignment horizontal="right" vertical="center" indent="1"/>
    </xf>
    <xf numFmtId="0" fontId="0" fillId="3" borderId="9" pivotButton="0" quotePrefix="0" xfId="0"/>
    <xf numFmtId="0" fontId="0" fillId="3" borderId="10" pivotButton="0" quotePrefix="0" xfId="0"/>
    <xf numFmtId="0" fontId="10" fillId="6" borderId="0" applyAlignment="1" pivotButton="0" quotePrefix="0" xfId="0">
      <alignment horizontal="right" vertical="center" indent="1"/>
    </xf>
    <xf numFmtId="164" fontId="11" fillId="6" borderId="0" applyAlignment="1" pivotButton="0" quotePrefix="0" xfId="0">
      <alignment horizontal="right" vertical="center"/>
    </xf>
    <xf numFmtId="0" fontId="23" fillId="6" borderId="0" applyAlignment="1" pivotButton="0" quotePrefix="0" xfId="0">
      <alignment horizontal="left" vertical="center" wrapText="1" indent="2"/>
    </xf>
    <xf numFmtId="0" fontId="16" fillId="3" borderId="13" applyAlignment="1" pivotButton="0" quotePrefix="0" xfId="0">
      <alignment horizontal="center" vertical="center" wrapText="1"/>
    </xf>
    <xf numFmtId="0" fontId="0" fillId="0" borderId="13" pivotButton="0" quotePrefix="0" xfId="0"/>
    <xf numFmtId="0" fontId="21" fillId="0" borderId="0" applyAlignment="1" pivotButton="0" quotePrefix="0" xfId="0">
      <alignment horizontal="right" vertical="center" indent="1"/>
    </xf>
    <xf numFmtId="164" fontId="22" fillId="8" borderId="0" applyAlignment="1" pivotButton="0" quotePrefix="0" xfId="0">
      <alignment horizontal="right" vertical="center"/>
    </xf>
    <xf numFmtId="0" fontId="21" fillId="3" borderId="14" applyAlignment="1" pivotButton="0" quotePrefix="0" xfId="0">
      <alignment horizontal="right" vertical="center" indent="1"/>
    </xf>
    <xf numFmtId="0" fontId="8" fillId="7" borderId="15" applyAlignment="1" pivotButton="0" quotePrefix="0" xfId="0">
      <alignment horizontal="left" vertical="center" indent="1"/>
    </xf>
    <xf numFmtId="0" fontId="0" fillId="3" borderId="15" pivotButton="0" quotePrefix="0" xfId="0"/>
    <xf numFmtId="0" fontId="0" fillId="3" borderId="16" pivotButton="0" quotePrefix="0" xfId="0"/>
    <xf numFmtId="0" fontId="24" fillId="2" borderId="0" applyAlignment="1" pivotButton="0" quotePrefix="0" xfId="0">
      <alignment horizontal="right" vertical="center" indent="2"/>
    </xf>
    <xf numFmtId="0" fontId="19" fillId="3" borderId="0" applyAlignment="1" pivotButton="0" quotePrefix="0" xfId="0">
      <alignment horizontal="left" vertical="center" indent="1"/>
    </xf>
    <xf numFmtId="165" fontId="22" fillId="8" borderId="0" applyAlignment="1" pivotButton="0" quotePrefix="0" xfId="0">
      <alignment horizontal="right" vertical="center"/>
    </xf>
    <xf numFmtId="165" fontId="11" fillId="6" borderId="0" applyAlignment="1" pivotButton="0" quotePrefix="0" xfId="0">
      <alignment horizontal="right" vertical="center"/>
    </xf>
    <xf numFmtId="0" fontId="25" fillId="2" borderId="17" applyAlignment="1" pivotButton="0" quotePrefix="0" xfId="0">
      <alignment horizontal="center" vertical="center"/>
    </xf>
    <xf numFmtId="0" fontId="26" fillId="2" borderId="0" applyAlignment="1" pivotButton="0" quotePrefix="0" xfId="0">
      <alignment horizontal="left" vertical="center" indent="1"/>
    </xf>
    <xf numFmtId="0" fontId="24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indent="1"/>
    </xf>
    <xf numFmtId="0" fontId="10" fillId="6" borderId="0" applyAlignment="1" pivotButton="0" quotePrefix="0" xfId="0">
      <alignment horizontal="left" vertical="center" indent="1"/>
    </xf>
    <xf numFmtId="165" fontId="10" fillId="6" borderId="0" applyAlignment="1" pivotButton="0" quotePrefix="0" xfId="0">
      <alignment horizontal="right" vertical="center"/>
    </xf>
    <xf numFmtId="0" fontId="22" fillId="8" borderId="0" applyAlignment="1" pivotButton="0" quotePrefix="0" xfId="0">
      <alignment horizontal="right" vertical="center"/>
    </xf>
    <xf numFmtId="0" fontId="27" fillId="2" borderId="0" applyAlignment="1" pivotButton="0" quotePrefix="0" xfId="0">
      <alignment horizontal="center" vertical="center"/>
    </xf>
    <xf numFmtId="0" fontId="15" fillId="3" borderId="18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30" fillId="3" borderId="18" applyAlignment="1" pivotButton="0" quotePrefix="0" xfId="0">
      <alignment horizontal="center"/>
    </xf>
    <xf numFmtId="164" fontId="28" fillId="3" borderId="11" applyAlignment="1" pivotButton="0" quotePrefix="0" xfId="0">
      <alignment horizontal="center" vertical="center"/>
    </xf>
    <xf numFmtId="0" fontId="0" fillId="0" borderId="21" pivotButton="0" quotePrefix="0" xfId="0"/>
    <xf numFmtId="0" fontId="0" fillId="0" borderId="12" pivotButton="0" quotePrefix="0" xfId="0"/>
    <xf numFmtId="164" fontId="31" fillId="3" borderId="11" applyAlignment="1" pivotButton="0" quotePrefix="0" xfId="0">
      <alignment horizontal="center" vertical="center"/>
    </xf>
    <xf numFmtId="164" fontId="32" fillId="3" borderId="11" applyAlignment="1" pivotButton="0" quotePrefix="0" xfId="0">
      <alignment horizontal="center" vertical="center"/>
    </xf>
    <xf numFmtId="0" fontId="0" fillId="0" borderId="11" pivotButton="0" quotePrefix="0" xfId="0"/>
    <xf numFmtId="0" fontId="29" fillId="3" borderId="8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25" fillId="5" borderId="0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right" vertical="center"/>
    </xf>
    <xf numFmtId="1" fontId="8" fillId="7" borderId="0" applyAlignment="1" pivotButton="0" quotePrefix="0" xfId="0">
      <alignment horizontal="left" vertical="center"/>
    </xf>
    <xf numFmtId="164" fontId="8" fillId="7" borderId="0" applyAlignment="1" pivotButton="0" quotePrefix="0" xfId="0">
      <alignment horizontal="left" vertical="center"/>
    </xf>
    <xf numFmtId="166" fontId="8" fillId="7" borderId="0" applyAlignment="1" pivotButton="0" quotePrefix="0" xfId="0">
      <alignment horizontal="left" vertical="center"/>
    </xf>
    <xf numFmtId="10" fontId="8" fillId="7" borderId="0" applyAlignment="1" pivotButton="0" quotePrefix="0" xfId="0">
      <alignment horizontal="left" vertical="center"/>
    </xf>
    <xf numFmtId="0" fontId="33" fillId="0" borderId="0" pivotButton="0" quotePrefix="0" xfId="0"/>
    <xf numFmtId="0" fontId="8" fillId="0" borderId="0" pivotButton="0" quotePrefix="0" xfId="0"/>
    <xf numFmtId="164" fontId="34" fillId="0" borderId="0" pivotButton="0" quotePrefix="0" xfId="0"/>
    <xf numFmtId="0" fontId="1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2304E"/>
    <outlinePr summaryBelow="1" summaryRight="1"/>
    <pageSetUpPr fitToPage="1"/>
  </sheetPr>
  <dimension ref="A1:L4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2" customHeight="1">
      <c r="A2" s="2" t="inlineStr">
        <is>
          <t>The STR Ledger</t>
        </is>
      </c>
      <c r="G2" s="1" t="n"/>
      <c r="H2" s="1" t="n"/>
      <c r="I2" s="1" t="n"/>
      <c r="J2" s="1" t="n"/>
      <c r="K2" s="1" t="n"/>
      <c r="L2" s="1" t="n"/>
    </row>
    <row r="3" ht="22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8" customHeight="1">
      <c r="A4" s="3" t="inlineStr">
        <is>
          <t>SE Tax Calculator</t>
        </is>
      </c>
    </row>
    <row r="5" ht="22" customHeight="1">
      <c r="A5" s="4" t="inlineStr">
        <is>
          <t>Compute your 15.3% SE tax. Know what you owe.</t>
        </is>
      </c>
    </row>
    <row r="6" ht="32" customHeight="1">
      <c r="A6" s="5">
        <f>IF(IFERROR('SE Tax Calc'!B17,0)&gt;0,"⚠  SE tax due = "&amp;TEXT('SE Tax Calc'!B17,"$#,##0")&amp;"  ·  ½ deductible = "&amp;TEXT('SE Tax Calc'!B18,"$#,##0"),"📊  Enter your Net SE Income to see your SE tax.")</f>
        <v/>
      </c>
    </row>
    <row r="7" ht="22" customHeight="1">
      <c r="A7" s="6" t="inlineStr">
        <is>
          <t>TAX-008 · v2.3 · BLANK</t>
        </is>
      </c>
    </row>
    <row r="8" ht="22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</row>
    <row r="11" ht="28" customHeight="1">
      <c r="A11" s="8" t="inlineStr">
        <is>
          <t>What you'll get</t>
        </is>
      </c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</row>
    <row r="13" ht="22" customHeight="1">
      <c r="A13" s="9" t="inlineStr">
        <is>
          <t>💰 SE TAX $</t>
        </is>
      </c>
      <c r="E13" s="9" t="inlineStr">
        <is>
          <t>📉 ½ ADJUSTMENT</t>
        </is>
      </c>
      <c r="I13" s="9" t="inlineStr">
        <is>
          <t>📄 SCHEDULE SE</t>
        </is>
      </c>
    </row>
    <row r="14" ht="22" customHeight="1">
      <c r="A14" s="10" t="inlineStr">
        <is>
          <t>Your total Schedule SE Line 12 with SS + Medicare + Addl Medicare.</t>
        </is>
      </c>
      <c r="E14" s="10" t="inlineStr">
        <is>
          <t>Schedule 1 Line 15 — 50% of SE tax deductible above the line.</t>
        </is>
      </c>
      <c r="I14" s="10" t="inlineStr">
        <is>
          <t>Print-ready Schedule SE Part I + Part II mirror for your CPA.</t>
        </is>
      </c>
    </row>
    <row r="15" ht="22" customHeight="1"/>
    <row r="16" ht="22" customHeight="1"/>
    <row r="17" ht="22" customHeight="1"/>
    <row r="18" ht="22" customHeight="1"/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</row>
    <row r="23" ht="24" customHeight="1">
      <c r="A23" s="12" t="inlineStr">
        <is>
          <t>Quick Start — be done in 5 minutes</t>
        </is>
      </c>
    </row>
    <row r="24">
      <c r="A24" s="11" t="n"/>
      <c r="B24" s="13" t="inlineStr">
        <is>
          <t>① Net SE income (Schedule C / F / K-1)</t>
        </is>
      </c>
      <c r="G24" s="11" t="n"/>
      <c r="H24" s="13" t="inlineStr">
        <is>
          <t>④ Review SE Tax Calc — auto-computed</t>
        </is>
      </c>
    </row>
    <row r="25">
      <c r="A25" s="11" t="n"/>
      <c r="B25" s="13" t="inlineStr">
        <is>
          <t>② W-2 wages this year (yours + spouse if MFJ)</t>
        </is>
      </c>
      <c r="G25" s="11" t="n"/>
      <c r="H25" s="13" t="inlineStr">
        <is>
          <t>⑤ Print Schedule SE Map for your CPA</t>
        </is>
      </c>
    </row>
    <row r="26">
      <c r="A26" s="11" t="n"/>
      <c r="B26" s="13" t="inlineStr">
        <is>
          <t>③ Filing status (drives Additional Medicare threshold)</t>
        </is>
      </c>
      <c r="G26" s="11" t="n"/>
      <c r="H26" s="11" t="n"/>
      <c r="I26" s="11" t="n"/>
      <c r="J26" s="11" t="n"/>
      <c r="K26" s="11" t="n"/>
      <c r="L26" s="11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</row>
    <row r="30" ht="22" customHeight="1">
      <c r="A30" s="14">
        <f>HYPERLINK("#'Net SE Income'!A5", "GET STARTED — ENTER NET SE INCOME  →")</f>
        <v/>
      </c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</row>
    <row r="31" ht="22" customHeight="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</row>
    <row r="32" ht="22" customHeight="1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</row>
    <row r="33" ht="22" customHeight="1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</row>
    <row r="36">
      <c r="A36" s="16" t="inlineStr">
        <is>
          <t>Progress:</t>
        </is>
      </c>
      <c r="G36" s="17">
        <f>TEXT((COUNTA('Net SE Income'!B8:B10) + COUNTA('Wage Base &amp; W-2'!B8:B9) + COUNTA('Adjustments'!B8))/6,"0%") &amp; " complete"</f>
        <v/>
      </c>
    </row>
    <row r="38" ht="18" customHeight="1">
      <c r="A38" s="18" t="inlineStr">
        <is>
          <t>① Net SE Income</t>
        </is>
      </c>
      <c r="G38" s="19">
        <f>IF(COUNTA('Net SE Income'!B8:B10)=3,"✅ Done",IF(COUNTA('Net SE Income'!B8:B10)=0,"⏳ Empty","⏳ "&amp;COUNTA('Net SE Income'!B8:B10)&amp;" of 3"))</f>
        <v/>
      </c>
      <c r="K38" s="20">
        <f>HYPERLINK("#'Net SE Income'!A5","→ go")</f>
        <v/>
      </c>
    </row>
    <row r="39" ht="18" customHeight="1">
      <c r="A39" s="18" t="inlineStr">
        <is>
          <t>② Wage Base &amp; W-2</t>
        </is>
      </c>
      <c r="G39" s="19">
        <f>IF(COUNTA('Wage Base &amp; W-2'!B8:B9)=2,"✅ Done",IF(COUNTA('Wage Base &amp; W-2'!B8:B9)=0,"⏳ Empty","⏳ "&amp;COUNTA('Wage Base &amp; W-2'!B8:B9)&amp;" of 2"))</f>
        <v/>
      </c>
      <c r="K39" s="20">
        <f>HYPERLINK("#'Wage Base &amp; W-2'!A5","→ go")</f>
        <v/>
      </c>
    </row>
    <row r="40" ht="18" customHeight="1">
      <c r="A40" s="18" t="inlineStr">
        <is>
          <t>③ Adjustments</t>
        </is>
      </c>
      <c r="G40" s="19">
        <f>IF(COUNTA('Adjustments'!B8)=1,"✅ Done",IF(COUNTA('Adjustments'!B8)=0,"⏳ Empty","⏳ "&amp;COUNTA('Adjustments'!B8)&amp;" of 1"))</f>
        <v/>
      </c>
      <c r="K40" s="20">
        <f>HYPERLINK("#'Adjustments'!A5","→ go")</f>
        <v/>
      </c>
    </row>
    <row r="45">
      <c r="A45" s="21" t="n"/>
      <c r="B45" s="21" t="n"/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</row>
    <row r="46" ht="18" customHeight="1">
      <c r="A46" s="22" t="inlineStr">
        <is>
          <t>Questions? hello@thestrledger.com</t>
        </is>
      </c>
    </row>
    <row r="47" ht="18" customHeight="1">
      <c r="A47" s="23" t="inlineStr">
        <is>
          <t>TAX-008 · v2.2 · Free updates forever</t>
        </is>
      </c>
    </row>
  </sheetData>
  <mergeCells count="32">
    <mergeCell ref="A7:L7"/>
    <mergeCell ref="B25:F25"/>
    <mergeCell ref="A46:L46"/>
    <mergeCell ref="A14:D18"/>
    <mergeCell ref="A13:D13"/>
    <mergeCell ref="I14:L18"/>
    <mergeCell ref="A2:F2"/>
    <mergeCell ref="I13:L13"/>
    <mergeCell ref="G40:J40"/>
    <mergeCell ref="H25:L25"/>
    <mergeCell ref="A47:L47"/>
    <mergeCell ref="A5:L5"/>
    <mergeCell ref="A23:L23"/>
    <mergeCell ref="K40:L40"/>
    <mergeCell ref="A4:L4"/>
    <mergeCell ref="A38:F38"/>
    <mergeCell ref="G39:J39"/>
    <mergeCell ref="A30:L33"/>
    <mergeCell ref="G38:J38"/>
    <mergeCell ref="A40:F40"/>
    <mergeCell ref="K39:L39"/>
    <mergeCell ref="A39:F39"/>
    <mergeCell ref="E14:H18"/>
    <mergeCell ref="E13:H13"/>
    <mergeCell ref="B24:F24"/>
    <mergeCell ref="A36:F36"/>
    <mergeCell ref="G36:L36"/>
    <mergeCell ref="A11:L11"/>
    <mergeCell ref="K38:L38"/>
    <mergeCell ref="H24:L24"/>
    <mergeCell ref="A6:L6"/>
    <mergeCell ref="B26:F26"/>
  </mergeCells>
  <pageMargins left="0.5" right="0.5" top="0.5" bottom="0.5" header="0.5" footer="0.5"/>
  <pageSetup orientation="portrait" paperSize="1" fitToHeight="1" fitToWidth="1"/>
</worksheet>
</file>

<file path=xl/worksheets/sheet2.xml><?xml version="1.0" encoding="utf-8"?>
<worksheet xmlns="http://schemas.openxmlformats.org/spreadsheetml/2006/main">
  <sheetPr>
    <tabColor rgb="00F6EFE2"/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4">
        <f>HYPERLINK("#'Start'!A1", "← START")</f>
        <v/>
      </c>
      <c r="B2" s="15" t="n"/>
      <c r="C2" s="15" t="n"/>
      <c r="D2" s="24" t="inlineStr">
        <is>
          <t>SECTION 1 OF 3</t>
        </is>
      </c>
      <c r="J2" s="25">
        <f>HYPERLINK("#'Wage Base &amp; W-2'!A5", "NEXT →")</f>
        <v/>
      </c>
      <c r="K2" s="26" t="n"/>
      <c r="L2" s="26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36" customHeight="1">
      <c r="A4" s="27" t="inlineStr">
        <is>
          <t>Net SE Income</t>
        </is>
      </c>
    </row>
    <row r="5" ht="18" customHeight="1">
      <c r="A5" s="28" t="inlineStr">
        <is>
          <t>Schedule C / F / K-1 — IRS Schedule SE Lines 1a, 1b, 2.</t>
        </is>
      </c>
    </row>
    <row r="6" ht="22" customHeight="1">
      <c r="A6" s="29" t="inlineStr">
        <is>
          <t>Fill the highlighted fields below.</t>
        </is>
      </c>
    </row>
    <row r="7" ht="20" customHeight="1">
      <c r="A7" s="30" t="inlineStr">
        <is>
          <t>NET SE INCOME</t>
        </is>
      </c>
    </row>
    <row r="8" ht="22" customHeight="1">
      <c r="A8" s="31" t="inlineStr">
        <is>
          <t>Schedule C net profit ($):</t>
        </is>
      </c>
      <c r="B8" s="32" t="n"/>
      <c r="C8" s="33" t="n"/>
      <c r="D8" s="33" t="n"/>
      <c r="E8" s="33" t="n"/>
      <c r="F8" s="33" t="n"/>
      <c r="G8" s="33" t="n"/>
      <c r="H8" s="33" t="n"/>
      <c r="I8" s="33" t="n"/>
      <c r="J8" s="33" t="n"/>
      <c r="K8" s="33" t="n"/>
      <c r="L8" s="34" t="n"/>
    </row>
    <row r="9" ht="22" customHeight="1">
      <c r="A9" s="35" t="inlineStr">
        <is>
          <t>Schedule F net farm profit ($):</t>
        </is>
      </c>
      <c r="B9" s="36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37" t="n"/>
    </row>
    <row r="10" ht="22" customHeight="1">
      <c r="A10" s="38" t="inlineStr">
        <is>
          <t>Partnership SE income (K-1 Box 14A):</t>
        </is>
      </c>
      <c r="B10" s="39" t="n"/>
      <c r="C10" s="40" t="n"/>
      <c r="D10" s="40" t="n"/>
      <c r="E10" s="40" t="n"/>
      <c r="F10" s="40" t="n"/>
      <c r="G10" s="40" t="n"/>
      <c r="H10" s="40" t="n"/>
      <c r="I10" s="40" t="n"/>
      <c r="J10" s="40" t="n"/>
      <c r="K10" s="40" t="n"/>
      <c r="L10" s="41" t="n"/>
    </row>
    <row r="12" ht="24" customHeight="1">
      <c r="A12" s="42" t="inlineStr">
        <is>
          <t>Total net SE income (Line 3):</t>
        </is>
      </c>
      <c r="B12" s="43">
        <f>SUM(B8:B10)</f>
        <v/>
      </c>
    </row>
    <row r="14" ht="36" customHeight="1">
      <c r="A14" s="44" t="inlineStr">
        <is>
          <t>ⓘ De minimis exception (IRC §1402(a)): if total Net SE Income is &lt; $400, no SE tax owed. Schedule E rental income is NOT subject to SE tax — only Schedule C (active business) and Schedule F (farm) income.</t>
        </is>
      </c>
    </row>
    <row r="16" ht="22" customHeight="1">
      <c r="A16" s="45">
        <f>HYPERLINK("#'Start'!A1", "← Back: Start")</f>
        <v/>
      </c>
      <c r="B16" s="46" t="n"/>
      <c r="C16" s="46" t="n"/>
      <c r="D16" s="46" t="n"/>
      <c r="E16" s="46" t="n"/>
      <c r="F16" s="46" t="n"/>
      <c r="G16" s="45">
        <f>HYPERLINK("#'Wage Base &amp; W-2'!A5", "Next: Wage Base &amp; W-2 →")</f>
        <v/>
      </c>
      <c r="H16" s="46" t="n"/>
      <c r="I16" s="46" t="n"/>
      <c r="J16" s="46" t="n"/>
      <c r="K16" s="46" t="n"/>
      <c r="L16" s="46" t="n"/>
    </row>
    <row r="17" ht="22" customHeight="1">
      <c r="A17" s="46" t="n"/>
      <c r="B17" s="46" t="n"/>
      <c r="C17" s="46" t="n"/>
      <c r="D17" s="46" t="n"/>
      <c r="E17" s="46" t="n"/>
      <c r="F17" s="46" t="n"/>
      <c r="G17" s="46" t="n"/>
      <c r="H17" s="46" t="n"/>
      <c r="I17" s="46" t="n"/>
      <c r="J17" s="46" t="n"/>
      <c r="K17" s="46" t="n"/>
      <c r="L17" s="46" t="n"/>
    </row>
  </sheetData>
  <mergeCells count="10">
    <mergeCell ref="G16:L17"/>
    <mergeCell ref="J2:L2"/>
    <mergeCell ref="D2:I2"/>
    <mergeCell ref="A7:L7"/>
    <mergeCell ref="A16:F17"/>
    <mergeCell ref="A5:L5"/>
    <mergeCell ref="A14:L14"/>
    <mergeCell ref="A6:L6"/>
    <mergeCell ref="A2:C2"/>
    <mergeCell ref="A4:L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6EFE2"/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4">
        <f>HYPERLINK("#'Net SE Income'!A5", "← BACK")</f>
        <v/>
      </c>
      <c r="B2" s="15" t="n"/>
      <c r="C2" s="15" t="n"/>
      <c r="D2" s="24" t="inlineStr">
        <is>
          <t>SECTION 2 OF 3</t>
        </is>
      </c>
      <c r="J2" s="25">
        <f>HYPERLINK("#'Adjustments'!A5", "NEXT →")</f>
        <v/>
      </c>
      <c r="K2" s="26" t="n"/>
      <c r="L2" s="26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36" customHeight="1">
      <c r="A4" s="27" t="inlineStr">
        <is>
          <t>Wage Base &amp; W-2</t>
        </is>
      </c>
    </row>
    <row r="5" ht="18" customHeight="1">
      <c r="A5" s="28" t="inlineStr">
        <is>
          <t>W-2 wages count toward the SS wage base — Schedule SE Line 8a.</t>
        </is>
      </c>
    </row>
    <row r="6" ht="22" customHeight="1">
      <c r="A6" s="29" t="inlineStr">
        <is>
          <t>Fill the highlighted fields below.</t>
        </is>
      </c>
    </row>
    <row r="7" ht="20" customHeight="1">
      <c r="A7" s="30" t="inlineStr">
        <is>
          <t>WAGE BASE &amp; W-2</t>
        </is>
      </c>
    </row>
    <row r="8" ht="22" customHeight="1">
      <c r="A8" s="31" t="inlineStr">
        <is>
          <t>Your W-2 wages this year ($):</t>
        </is>
      </c>
      <c r="B8" s="32" t="n"/>
      <c r="C8" s="33" t="n"/>
      <c r="D8" s="33" t="n"/>
      <c r="E8" s="33" t="n"/>
      <c r="F8" s="33" t="n"/>
      <c r="G8" s="33" t="n"/>
      <c r="H8" s="33" t="n"/>
      <c r="I8" s="33" t="n"/>
      <c r="J8" s="33" t="n"/>
      <c r="K8" s="33" t="n"/>
      <c r="L8" s="34" t="n"/>
    </row>
    <row r="9" ht="22" customHeight="1">
      <c r="A9" s="38" t="inlineStr">
        <is>
          <t>Spouse W-2 wages this year ($, MFJ):</t>
        </is>
      </c>
      <c r="B9" s="39" t="n"/>
      <c r="C9" s="40" t="n"/>
      <c r="D9" s="40" t="n"/>
      <c r="E9" s="40" t="n"/>
      <c r="F9" s="40" t="n"/>
      <c r="G9" s="40" t="n"/>
      <c r="H9" s="40" t="n"/>
      <c r="I9" s="40" t="n"/>
      <c r="J9" s="40" t="n"/>
      <c r="K9" s="40" t="n"/>
      <c r="L9" s="41" t="n"/>
    </row>
    <row r="11" ht="18" customHeight="1">
      <c r="A11" s="47" t="inlineStr">
        <is>
          <t>Social Security wage base (Settings):</t>
        </is>
      </c>
      <c r="B11" s="48">
        <f>Settings!B6</f>
        <v/>
      </c>
    </row>
    <row r="13" ht="36" customHeight="1">
      <c r="A13" s="44" t="inlineStr">
        <is>
          <t>ⓘ The Social Security portion of SE tax (12.4%) only applies to income up to the wage base. Your W-2 wages this year fill that base first; SE income above what's left of the base owes only the 2.9% Medicare portion. If you've already maxed your W-2 above the wage base, NO SS portion of SE tax applies.</t>
        </is>
      </c>
    </row>
    <row r="15" ht="22" customHeight="1">
      <c r="A15" s="45">
        <f>HYPERLINK("#'Net SE Income'!A5", "← Back: Net SE Income")</f>
        <v/>
      </c>
      <c r="B15" s="46" t="n"/>
      <c r="C15" s="46" t="n"/>
      <c r="D15" s="46" t="n"/>
      <c r="E15" s="46" t="n"/>
      <c r="F15" s="46" t="n"/>
      <c r="G15" s="45">
        <f>HYPERLINK("#'Adjustments'!A5", "Next: Adjustments →")</f>
        <v/>
      </c>
      <c r="H15" s="46" t="n"/>
      <c r="I15" s="46" t="n"/>
      <c r="J15" s="46" t="n"/>
      <c r="K15" s="46" t="n"/>
      <c r="L15" s="46" t="n"/>
    </row>
    <row r="16" ht="22" customHeight="1">
      <c r="A16" s="46" t="n"/>
      <c r="B16" s="46" t="n"/>
      <c r="C16" s="46" t="n"/>
      <c r="D16" s="46" t="n"/>
      <c r="E16" s="46" t="n"/>
      <c r="F16" s="46" t="n"/>
      <c r="G16" s="46" t="n"/>
      <c r="H16" s="46" t="n"/>
      <c r="I16" s="46" t="n"/>
      <c r="J16" s="46" t="n"/>
      <c r="K16" s="46" t="n"/>
      <c r="L16" s="46" t="n"/>
    </row>
  </sheetData>
  <mergeCells count="10">
    <mergeCell ref="J2:L2"/>
    <mergeCell ref="D2:I2"/>
    <mergeCell ref="A7:L7"/>
    <mergeCell ref="G15:L16"/>
    <mergeCell ref="A5:L5"/>
    <mergeCell ref="A13:L13"/>
    <mergeCell ref="A6:L6"/>
    <mergeCell ref="A2:C2"/>
    <mergeCell ref="A4:L4"/>
    <mergeCell ref="A15:F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6EFE2"/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4">
        <f>HYPERLINK("#'Wage Base &amp; W-2'!A5", "← BACK")</f>
        <v/>
      </c>
      <c r="B2" s="15" t="n"/>
      <c r="C2" s="15" t="n"/>
      <c r="D2" s="24" t="inlineStr">
        <is>
          <t>SECTION 3 OF 3</t>
        </is>
      </c>
      <c r="J2" s="25">
        <f>HYPERLINK("#'SE Tax Calc'!A5", "NEXT →")</f>
        <v/>
      </c>
      <c r="K2" s="26" t="n"/>
      <c r="L2" s="26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36" customHeight="1">
      <c r="A4" s="27" t="inlineStr">
        <is>
          <t>Adjustments</t>
        </is>
      </c>
    </row>
    <row r="5" ht="18" customHeight="1">
      <c r="A5" s="28" t="inlineStr">
        <is>
          <t>Filing status — drives Additional Medicare 0.9% threshold.</t>
        </is>
      </c>
    </row>
    <row r="6" ht="22" customHeight="1">
      <c r="A6" s="29" t="inlineStr">
        <is>
          <t>Fill the highlighted fields below.</t>
        </is>
      </c>
    </row>
    <row r="7" ht="20" customHeight="1">
      <c r="A7" s="30" t="inlineStr">
        <is>
          <t>ADJUSTMENTS</t>
        </is>
      </c>
    </row>
    <row r="8" ht="22" customHeight="1">
      <c r="A8" s="49" t="inlineStr">
        <is>
          <t>Filing status:</t>
        </is>
      </c>
      <c r="B8" s="50" t="n"/>
      <c r="C8" s="51" t="n"/>
      <c r="D8" s="51" t="n"/>
      <c r="E8" s="51" t="n"/>
      <c r="F8" s="51" t="n"/>
      <c r="G8" s="51" t="n"/>
      <c r="H8" s="51" t="n"/>
      <c r="I8" s="51" t="n"/>
      <c r="J8" s="51" t="n"/>
      <c r="K8" s="51" t="n"/>
      <c r="L8" s="52" t="n"/>
    </row>
    <row r="10" ht="18" customHeight="1">
      <c r="A10" s="47" t="inlineStr">
        <is>
          <t>Additional Medicare 0.9% threshold:</t>
        </is>
      </c>
      <c r="B10" s="48">
        <f>IF(B8="MFJ",250000,IF(B8="MFS",125000,200000))</f>
        <v/>
      </c>
    </row>
    <row r="12" ht="36" customHeight="1">
      <c r="A12" s="44" t="inlineStr">
        <is>
          <t>ⓘ Additional Medicare tax (IRC §1401(b)(2)): 0.9% applies to Medicare wages + SE income above $200K (Single/HoH), $250K (MFJ), or $125K (MFS). Combined with the regular 2.9% Medicare, this stacks to 3.8% on income above the threshold.</t>
        </is>
      </c>
    </row>
    <row r="14" ht="22" customHeight="1">
      <c r="A14" s="45">
        <f>HYPERLINK("#'Wage Base &amp; W-2'!A5", "← Back: Wage Base &amp; W-2")</f>
        <v/>
      </c>
      <c r="B14" s="46" t="n"/>
      <c r="C14" s="46" t="n"/>
      <c r="D14" s="46" t="n"/>
      <c r="E14" s="46" t="n"/>
      <c r="F14" s="46" t="n"/>
      <c r="G14" s="45">
        <f>HYPERLINK("#'SE Tax Calc'!A5", "Next: SE Tax Calc →")</f>
        <v/>
      </c>
      <c r="H14" s="46" t="n"/>
      <c r="I14" s="46" t="n"/>
      <c r="J14" s="46" t="n"/>
      <c r="K14" s="46" t="n"/>
      <c r="L14" s="46" t="n"/>
    </row>
    <row r="15" ht="22" customHeight="1">
      <c r="A15" s="46" t="n"/>
      <c r="B15" s="46" t="n"/>
      <c r="C15" s="46" t="n"/>
      <c r="D15" s="46" t="n"/>
      <c r="E15" s="46" t="n"/>
      <c r="F15" s="46" t="n"/>
      <c r="G15" s="46" t="n"/>
      <c r="H15" s="46" t="n"/>
      <c r="I15" s="46" t="n"/>
      <c r="J15" s="46" t="n"/>
      <c r="K15" s="46" t="n"/>
      <c r="L15" s="46" t="n"/>
    </row>
  </sheetData>
  <mergeCells count="10">
    <mergeCell ref="J2:L2"/>
    <mergeCell ref="D2:I2"/>
    <mergeCell ref="A7:L7"/>
    <mergeCell ref="A12:L12"/>
    <mergeCell ref="A14:F15"/>
    <mergeCell ref="A5:L5"/>
    <mergeCell ref="G14:L15"/>
    <mergeCell ref="A6:L6"/>
    <mergeCell ref="A2:C2"/>
    <mergeCell ref="A4:L4"/>
  </mergeCells>
  <dataValidations count="1">
    <dataValidation sqref="B8" showDropDown="0" showInputMessage="0" showErrorMessage="0" allowBlank="1" type="list">
      <formula1>"Single,MFJ,HoH,MFS"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6EFE2"/>
    <outlinePr summaryBelow="1" summaryRight="1"/>
    <pageSetUpPr fitToPage="1"/>
  </sheetPr>
  <dimension ref="A1:L23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4">
        <f>HYPERLINK("#'Adjustments'!A1", "← BACK")</f>
        <v/>
      </c>
      <c r="B2" s="15" t="n"/>
      <c r="C2" s="15" t="n"/>
      <c r="D2" s="53" t="inlineStr">
        <is>
          <t>SE TAX CALC</t>
        </is>
      </c>
      <c r="J2" s="25">
        <f>HYPERLINK("#'Schedule SE Map'!A1", "NEXT →")</f>
        <v/>
      </c>
      <c r="K2" s="26" t="n"/>
      <c r="L2" s="26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54" t="inlineStr">
        <is>
          <t>Step-by-step SE tax computation — Schedule SE Lines 3-12.</t>
        </is>
      </c>
    </row>
    <row r="5" ht="18" customHeight="1">
      <c r="A5" s="47" t="inlineStr">
        <is>
          <t>Net SE income (from Net SE Income tab):</t>
        </is>
      </c>
      <c r="B5" s="55">
        <f>'Net SE Income'!B12</f>
        <v/>
      </c>
    </row>
    <row r="6" ht="18" customHeight="1">
      <c r="A6" s="47" t="inlineStr">
        <is>
          <t>× 92.35% (employer-equivalent factor):</t>
        </is>
      </c>
      <c r="B6" s="55">
        <f>B5*0.9235</f>
        <v/>
      </c>
    </row>
    <row r="7" ht="18" customHeight="1">
      <c r="A7" s="47" t="inlineStr">
        <is>
          <t>Net Earnings from SE (NESE) — Line 4a:</t>
        </is>
      </c>
      <c r="B7" s="55">
        <f>B6</f>
        <v/>
      </c>
    </row>
    <row r="8" ht="18" customHeight="1">
      <c r="A8" s="47" t="inlineStr">
        <is>
          <t>Your W-2 wages this year:</t>
        </is>
      </c>
      <c r="B8" s="55">
        <f>'Wage Base &amp; W-2'!B8</f>
        <v/>
      </c>
    </row>
    <row r="9" ht="18" customHeight="1">
      <c r="A9" s="47" t="inlineStr">
        <is>
          <t>Social Security wage base (Settings):</t>
        </is>
      </c>
      <c r="B9" s="55">
        <f>Settings!B6</f>
        <v/>
      </c>
    </row>
    <row r="10" ht="18" customHeight="1">
      <c r="A10" s="47" t="inlineStr">
        <is>
          <t>Wage-base headroom (= base − W-2):</t>
        </is>
      </c>
      <c r="B10" s="55">
        <f>MAX(B9-B8,0)</f>
        <v/>
      </c>
    </row>
    <row r="11" ht="18" customHeight="1">
      <c r="A11" s="47" t="inlineStr">
        <is>
          <t>SS-portion subject to 12.4%:</t>
        </is>
      </c>
      <c r="B11" s="55">
        <f>MIN(B7,B10)</f>
        <v/>
      </c>
    </row>
    <row r="12" ht="18" customHeight="1">
      <c r="A12" s="47" t="inlineStr">
        <is>
          <t>Social Security tax (Line 10):</t>
        </is>
      </c>
      <c r="B12" s="55">
        <f>B11*0.124</f>
        <v/>
      </c>
    </row>
    <row r="13" ht="18" customHeight="1">
      <c r="A13" s="47" t="inlineStr">
        <is>
          <t>Medicare tax (Line 11) — 2.9% × NESE:</t>
        </is>
      </c>
      <c r="B13" s="55">
        <f>B7*0.029</f>
        <v/>
      </c>
    </row>
    <row r="14" ht="18" customHeight="1">
      <c r="A14" s="47" t="inlineStr">
        <is>
          <t>Combined NESE + W-2 (for Addl Medicare check):</t>
        </is>
      </c>
      <c r="B14" s="55">
        <f>B7+B8+'Wage Base &amp; W-2'!B9</f>
        <v/>
      </c>
    </row>
    <row r="15" ht="18" customHeight="1">
      <c r="A15" s="47" t="inlineStr">
        <is>
          <t>Additional Medicare threshold (filing-status):</t>
        </is>
      </c>
      <c r="B15" s="55">
        <f>IF('Adjustments'!B8="MFJ",250000,IF('Adjustments'!B8="MFS",125000,200000))</f>
        <v/>
      </c>
    </row>
    <row r="16" ht="18" customHeight="1">
      <c r="A16" s="47" t="inlineStr">
        <is>
          <t>Additional Medicare tax (0.9% × excess):</t>
        </is>
      </c>
      <c r="B16" s="55">
        <f>MAX(B14-B15,0)*0.009</f>
        <v/>
      </c>
    </row>
    <row r="17" ht="18" customHeight="1">
      <c r="A17" s="42" t="inlineStr">
        <is>
          <t>TOTAL SE TAX (Line 12) — to Sched 2 Line 4:</t>
        </is>
      </c>
      <c r="B17" s="56">
        <f>B12+B13+B16</f>
        <v/>
      </c>
    </row>
    <row r="18" ht="18" customHeight="1">
      <c r="A18" s="47" t="inlineStr">
        <is>
          <t>½ SE tax adjustment (Sched 1 Line 15):</t>
        </is>
      </c>
      <c r="B18" s="55">
        <f>B17/2</f>
        <v/>
      </c>
    </row>
    <row r="20" ht="36" customHeight="1">
      <c r="A20" s="44" t="inlineStr">
        <is>
          <t>ⓘ Half-SE-tax adjustment is deductible above the line on Schedule 1 Line 15 — it reduces AGI directly. The other half is what you actually pay. If you have a spouse with separate SE income (MFJ), each spouse computes their own SE tax separately — they DO NOT combine.</t>
        </is>
      </c>
    </row>
    <row r="22" ht="22" customHeight="1">
      <c r="A22" s="45">
        <f>HYPERLINK("#'Adjustments'!A5", "← Back: Adjustments")</f>
        <v/>
      </c>
      <c r="B22" s="46" t="n"/>
      <c r="C22" s="46" t="n"/>
      <c r="D22" s="46" t="n"/>
      <c r="E22" s="46" t="n"/>
      <c r="F22" s="46" t="n"/>
      <c r="G22" s="45">
        <f>HYPERLINK("#'Schedule SE Map'!A1", "Next: Schedule SE Map →")</f>
        <v/>
      </c>
      <c r="H22" s="46" t="n"/>
      <c r="I22" s="46" t="n"/>
      <c r="J22" s="46" t="n"/>
      <c r="K22" s="46" t="n"/>
      <c r="L22" s="46" t="n"/>
    </row>
    <row r="23" ht="22" customHeight="1">
      <c r="A23" s="46" t="n"/>
      <c r="B23" s="46" t="n"/>
      <c r="C23" s="46" t="n"/>
      <c r="D23" s="46" t="n"/>
      <c r="E23" s="46" t="n"/>
      <c r="F23" s="46" t="n"/>
      <c r="G23" s="46" t="n"/>
      <c r="H23" s="46" t="n"/>
      <c r="I23" s="46" t="n"/>
      <c r="J23" s="46" t="n"/>
      <c r="K23" s="46" t="n"/>
      <c r="L23" s="46" t="n"/>
    </row>
  </sheetData>
  <mergeCells count="7">
    <mergeCell ref="A20:L20"/>
    <mergeCell ref="J2:L2"/>
    <mergeCell ref="D2:I2"/>
    <mergeCell ref="G22:L23"/>
    <mergeCell ref="A22:F23"/>
    <mergeCell ref="A2:C2"/>
    <mergeCell ref="A4:L4"/>
  </mergeCells>
  <pageMargins left="0.5" right="0.5" top="0.5" bottom="0.5" header="0.5" footer="0.5"/>
  <pageSetup orientation="portrait" paperSize="1" fitToHeight="1" fitToWidth="1"/>
</worksheet>
</file>

<file path=xl/worksheets/sheet6.xml><?xml version="1.0" encoding="utf-8"?>
<worksheet xmlns="http://schemas.openxmlformats.org/spreadsheetml/2006/main">
  <sheetPr>
    <tabColor rgb="00C9A24B"/>
    <outlinePr summaryBelow="1" summaryRight="1"/>
    <pageSetUpPr fitToPage="1"/>
  </sheetPr>
  <dimension ref="A1:L20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18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4">
        <f>HYPERLINK("#'SE Tax Calc'!A1", "← BACK")</f>
        <v/>
      </c>
      <c r="B2" s="15" t="n"/>
      <c r="C2" s="15" t="n"/>
      <c r="D2" s="53" t="inlineStr">
        <is>
          <t>SCHEDULE SE MAP</t>
        </is>
      </c>
      <c r="J2" s="25">
        <f>HYPERLINK("#'Launch'!A1", "NEXT →")</f>
        <v/>
      </c>
      <c r="K2" s="26" t="n"/>
      <c r="L2" s="26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54" t="inlineStr">
        <is>
          <t>Print this — IRS Schedule SE Part I + Part II mirror.</t>
        </is>
      </c>
    </row>
    <row r="5" ht="20" customHeight="1">
      <c r="A5" s="57" t="inlineStr">
        <is>
          <t>Line</t>
        </is>
      </c>
      <c r="B5" s="57" t="inlineStr">
        <is>
          <t>Description</t>
        </is>
      </c>
      <c r="C5" s="57" t="inlineStr">
        <is>
          <t>Amount</t>
        </is>
      </c>
    </row>
    <row r="6" ht="22" customHeight="1">
      <c r="A6" s="58" t="inlineStr">
        <is>
          <t xml:space="preserve">  PART I — PART I — SELF-EMPLOYMENT TAX</t>
        </is>
      </c>
    </row>
    <row r="7" ht="18" customHeight="1">
      <c r="A7" s="59" t="inlineStr">
        <is>
          <t>1a</t>
        </is>
      </c>
      <c r="B7" s="60" t="inlineStr">
        <is>
          <t>Net farm profit</t>
        </is>
      </c>
      <c r="C7" s="55">
        <f>'Net SE Income'!B9</f>
        <v/>
      </c>
    </row>
    <row r="8" ht="18" customHeight="1">
      <c r="A8" s="59" t="inlineStr">
        <is>
          <t>2</t>
        </is>
      </c>
      <c r="B8" s="60" t="inlineStr">
        <is>
          <t>Net Schedule C profit</t>
        </is>
      </c>
      <c r="C8" s="55">
        <f>'Net SE Income'!B8</f>
        <v/>
      </c>
    </row>
    <row r="9" ht="18" customHeight="1">
      <c r="A9" s="59" t="inlineStr"/>
      <c r="B9" s="60" t="inlineStr">
        <is>
          <t>Partnership SE (K-1 Box 14A)</t>
        </is>
      </c>
      <c r="C9" s="55">
        <f>'Net SE Income'!B10</f>
        <v/>
      </c>
    </row>
    <row r="10" ht="18" customHeight="1">
      <c r="A10" s="59" t="inlineStr">
        <is>
          <t>3</t>
        </is>
      </c>
      <c r="B10" s="60" t="inlineStr">
        <is>
          <t>Combined (sum)</t>
        </is>
      </c>
      <c r="C10" s="55">
        <f>C7+C8+C9</f>
        <v/>
      </c>
    </row>
    <row r="11" ht="18" customHeight="1">
      <c r="A11" s="59" t="inlineStr">
        <is>
          <t>4a</t>
        </is>
      </c>
      <c r="B11" s="60" t="inlineStr">
        <is>
          <t>Multiply Line 3 by 92.35%</t>
        </is>
      </c>
      <c r="C11" s="55">
        <f>C10*0.9235</f>
        <v/>
      </c>
    </row>
    <row r="12" ht="18" customHeight="1">
      <c r="A12" s="59" t="inlineStr">
        <is>
          <t>8a</t>
        </is>
      </c>
      <c r="B12" s="60" t="inlineStr">
        <is>
          <t>Total SS wages this year (W-2)</t>
        </is>
      </c>
      <c r="C12" s="55">
        <f>'Wage Base &amp; W-2'!B8</f>
        <v/>
      </c>
    </row>
    <row r="13" ht="18" customHeight="1">
      <c r="A13" s="59" t="inlineStr">
        <is>
          <t>8d</t>
        </is>
      </c>
      <c r="B13" s="60" t="inlineStr">
        <is>
          <t>Subtotal (W-2 entered for wage base):</t>
        </is>
      </c>
      <c r="C13" s="55">
        <f>C12</f>
        <v/>
      </c>
    </row>
    <row r="14" ht="18" customHeight="1">
      <c r="A14" s="59" t="inlineStr">
        <is>
          <t>9</t>
        </is>
      </c>
      <c r="B14" s="60" t="inlineStr">
        <is>
          <t>Subtract: SS wage base − W-2:</t>
        </is>
      </c>
      <c r="C14" s="55">
        <f>MAX(Settings!B6-C12,0)</f>
        <v/>
      </c>
    </row>
    <row r="15" ht="18" customHeight="1">
      <c r="A15" s="59" t="inlineStr">
        <is>
          <t>10</t>
        </is>
      </c>
      <c r="B15" s="60" t="inlineStr">
        <is>
          <t>SS portion (smaller of 4a or 9 × 12.4%):</t>
        </is>
      </c>
      <c r="C15" s="55">
        <f>MIN(C11,C14)*0.124</f>
        <v/>
      </c>
    </row>
    <row r="16" ht="18" customHeight="1">
      <c r="A16" s="59" t="inlineStr">
        <is>
          <t>11</t>
        </is>
      </c>
      <c r="B16" s="60" t="inlineStr">
        <is>
          <t>Medicare portion (Line 4a × 2.9%):</t>
        </is>
      </c>
      <c r="C16" s="55">
        <f>C11*0.029</f>
        <v/>
      </c>
    </row>
    <row r="17" ht="18" customHeight="1">
      <c r="A17" s="59" t="inlineStr">
        <is>
          <t>12</t>
        </is>
      </c>
      <c r="B17" s="61" t="inlineStr">
        <is>
          <t>Total SE tax (Line 10 + 11)</t>
        </is>
      </c>
      <c r="C17" s="62">
        <f>C15+C16</f>
        <v/>
      </c>
    </row>
    <row r="18" ht="18" customHeight="1">
      <c r="A18" s="59" t="inlineStr">
        <is>
          <t>13</t>
        </is>
      </c>
      <c r="B18" s="60" t="inlineStr">
        <is>
          <t>½ SE tax adjustment</t>
        </is>
      </c>
      <c r="C18" s="55">
        <f>C17/2</f>
        <v/>
      </c>
    </row>
    <row r="19" ht="22" customHeight="1">
      <c r="A19" s="58" t="inlineStr">
        <is>
          <t xml:space="preserve">  PART II — PART II — OPTIONAL METHODS</t>
        </is>
      </c>
    </row>
    <row r="20" ht="18" customHeight="1">
      <c r="A20" s="59" t="inlineStr"/>
      <c r="B20" s="60" t="inlineStr">
        <is>
          <t>(Not commonly used — see Sched SE for farm/non-farm methods)</t>
        </is>
      </c>
      <c r="C20" s="63" t="inlineStr">
        <is>
          <t>""</t>
        </is>
      </c>
    </row>
  </sheetData>
  <mergeCells count="6">
    <mergeCell ref="J2:L2"/>
    <mergeCell ref="D2:I2"/>
    <mergeCell ref="A19:C19"/>
    <mergeCell ref="A6:C6"/>
    <mergeCell ref="A2:C2"/>
    <mergeCell ref="A4:L4"/>
  </mergeCells>
  <pageMargins left="0.5" right="0.5" top="0.5" bottom="0.5" header="0.5" footer="0.5"/>
  <pageSetup orientation="portrait" paperSize="1" fitToHeight="1" fitToWidth="1"/>
</worksheet>
</file>

<file path=xl/worksheets/sheet7.xml><?xml version="1.0" encoding="utf-8"?>
<worksheet xmlns="http://schemas.openxmlformats.org/spreadsheetml/2006/main">
  <sheetPr>
    <tabColor rgb="00C9A24B"/>
    <outlinePr summaryBelow="1" summaryRight="1"/>
    <pageSetUpPr fitToPage="1"/>
  </sheetPr>
  <dimension ref="A1:L2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4">
        <f>HYPERLINK("#'Schedule SE Map'!A1", "← BACK")</f>
        <v/>
      </c>
      <c r="B2" s="15" t="n"/>
      <c r="C2" s="15" t="n"/>
      <c r="D2" s="53" t="inlineStr">
        <is>
          <t>LAUNCH</t>
        </is>
      </c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2" customHeight="1">
      <c r="A4" s="64" t="inlineStr">
        <is>
          <t>Your SE tax for the year</t>
        </is>
      </c>
    </row>
    <row r="5" ht="20" customHeight="1">
      <c r="A5" s="28" t="inlineStr">
        <is>
          <t>Schedule 2 Line 4 + Schedule 1 Line 15.</t>
        </is>
      </c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</row>
    <row r="9">
      <c r="A9" s="65" t="inlineStr">
        <is>
          <t>TOTAL SE TAX</t>
        </is>
      </c>
      <c r="B9" s="66" t="n"/>
      <c r="C9" s="66" t="n"/>
      <c r="D9" s="67" t="n"/>
      <c r="E9" s="68" t="inlineStr">
        <is>
          <t>½ ADJUSTMENT</t>
        </is>
      </c>
      <c r="F9" s="66" t="n"/>
      <c r="G9" s="66" t="n"/>
      <c r="H9" s="67" t="n"/>
      <c r="I9" s="68" t="inlineStr">
        <is>
          <t>NESE (Line 4a)</t>
        </is>
      </c>
      <c r="J9" s="66" t="n"/>
      <c r="K9" s="66" t="n"/>
      <c r="L9" s="67" t="n"/>
    </row>
    <row r="10">
      <c r="A10" s="69">
        <f>'SE Tax Calc'!B17</f>
        <v/>
      </c>
      <c r="B10" s="70" t="n"/>
      <c r="C10" s="70" t="n"/>
      <c r="D10" s="71" t="n"/>
      <c r="E10" s="72">
        <f>'SE Tax Calc'!B18</f>
        <v/>
      </c>
      <c r="F10" s="70" t="n"/>
      <c r="G10" s="70" t="n"/>
      <c r="H10" s="71" t="n"/>
      <c r="I10" s="73">
        <f>'SE Tax Calc'!B7</f>
        <v/>
      </c>
      <c r="J10" s="70" t="n"/>
      <c r="K10" s="70" t="n"/>
      <c r="L10" s="71" t="n"/>
    </row>
    <row r="11">
      <c r="A11" s="74" t="n"/>
      <c r="B11" s="70" t="n"/>
      <c r="C11" s="70" t="n"/>
      <c r="D11" s="71" t="n"/>
      <c r="E11" s="74" t="n"/>
      <c r="F11" s="70" t="n"/>
      <c r="G11" s="70" t="n"/>
      <c r="H11" s="71" t="n"/>
      <c r="I11" s="74" t="n"/>
      <c r="J11" s="70" t="n"/>
      <c r="K11" s="70" t="n"/>
      <c r="L11" s="71" t="n"/>
    </row>
    <row r="12">
      <c r="A12" s="75" t="inlineStr">
        <is>
          <t>to Schedule 2 Line 4</t>
        </is>
      </c>
      <c r="B12" s="76" t="n"/>
      <c r="C12" s="76" t="n"/>
      <c r="D12" s="77" t="n"/>
      <c r="E12" s="75" t="inlineStr">
        <is>
          <t>to Schedule 1 Line 15</t>
        </is>
      </c>
      <c r="F12" s="76" t="n"/>
      <c r="G12" s="76" t="n"/>
      <c r="H12" s="77" t="n"/>
      <c r="I12" s="75" t="inlineStr">
        <is>
          <t>net earnings from SE</t>
        </is>
      </c>
      <c r="J12" s="76" t="n"/>
      <c r="K12" s="76" t="n"/>
      <c r="L12" s="7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</row>
    <row r="16" ht="24" customHeight="1">
      <c r="A16" s="14">
        <f>HYPERLINK("#'Schedule SE Map'!A1", "📄  PRINT SCHEDULE SE MAP  →")</f>
        <v/>
      </c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</row>
    <row r="17" ht="24" customHeight="1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</row>
    <row r="18" ht="24" customHeight="1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</row>
    <row r="19" ht="24" customHeight="1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24" customHeight="1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</row>
    <row r="23" ht="36" customHeight="1">
      <c r="A23" s="78" t="inlineStr">
        <is>
          <t>💡 Upgrade to the Tax Season Bundle ($147).</t>
        </is>
      </c>
    </row>
    <row r="25">
      <c r="A25" s="21" t="n"/>
      <c r="B25" s="21" t="n"/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</row>
    <row r="26" ht="18" customHeight="1">
      <c r="A26" s="22" t="inlineStr">
        <is>
          <t>Questions? hello@thestrledger.com</t>
        </is>
      </c>
    </row>
    <row r="27" ht="18" customHeight="1">
      <c r="A27" s="23" t="inlineStr">
        <is>
          <t>TAX-008 · v2.2 · Free updates forever</t>
        </is>
      </c>
    </row>
  </sheetData>
  <mergeCells count="17">
    <mergeCell ref="A26:L26"/>
    <mergeCell ref="D2:L2"/>
    <mergeCell ref="A9:D9"/>
    <mergeCell ref="E9:H9"/>
    <mergeCell ref="I9:L9"/>
    <mergeCell ref="A12:D12"/>
    <mergeCell ref="A16:L20"/>
    <mergeCell ref="E12:H12"/>
    <mergeCell ref="A5:L5"/>
    <mergeCell ref="I12:L12"/>
    <mergeCell ref="A23:L23"/>
    <mergeCell ref="E10:H11"/>
    <mergeCell ref="A27:L27"/>
    <mergeCell ref="I10:L11"/>
    <mergeCell ref="A10:D11"/>
    <mergeCell ref="A2:C2"/>
    <mergeCell ref="A4:L4"/>
  </mergeCells>
  <pageMargins left="0.5" right="0.5" top="0.5" bottom="0.5" header="0.5" footer="0.5"/>
  <pageSetup orientation="portrait" paperSize="1" fitToHeight="1" fitToWidth="1"/>
</worksheet>
</file>

<file path=xl/worksheets/sheet8.xml><?xml version="1.0" encoding="utf-8"?>
<worksheet xmlns="http://schemas.openxmlformats.org/spreadsheetml/2006/main">
  <sheetPr>
    <tabColor rgb="00F6EFE2"/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4">
        <f>HYPERLINK("#'Launch'!A1", "← BACK")</f>
        <v/>
      </c>
      <c r="B2" s="15" t="n"/>
      <c r="C2" s="15" t="n"/>
      <c r="D2" s="53" t="inlineStr">
        <is>
          <t>SETTINGS</t>
        </is>
      </c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54" t="inlineStr">
        <is>
          <t>Active tax year · SS wage base · rates.</t>
        </is>
      </c>
    </row>
    <row r="5" ht="18" customHeight="1">
      <c r="A5" s="79" t="inlineStr">
        <is>
          <t>Active tax year:</t>
        </is>
      </c>
      <c r="B5" s="80" t="n">
        <v>2026</v>
      </c>
    </row>
    <row r="6" ht="18" customHeight="1">
      <c r="A6" s="79" t="inlineStr">
        <is>
          <t>SS wage base ($):</t>
        </is>
      </c>
      <c r="B6" s="81" t="n">
        <v>176100</v>
      </c>
    </row>
    <row r="7" ht="18" customHeight="1">
      <c r="A7" s="79" t="inlineStr">
        <is>
          <t>SS rate (12.4%):</t>
        </is>
      </c>
      <c r="B7" s="82" t="n">
        <v>0.124</v>
      </c>
    </row>
    <row r="8" ht="18" customHeight="1">
      <c r="A8" s="79" t="inlineStr">
        <is>
          <t>Medicare rate (2.9%):</t>
        </is>
      </c>
      <c r="B8" s="82" t="n">
        <v>0.029</v>
      </c>
    </row>
    <row r="9" ht="18" customHeight="1">
      <c r="A9" s="79" t="inlineStr">
        <is>
          <t>Additional Medicare rate (0.9%):</t>
        </is>
      </c>
      <c r="B9" s="83" t="n">
        <v>0.008999999999999999</v>
      </c>
    </row>
    <row r="10" ht="18" customHeight="1">
      <c r="A10" s="79" t="inlineStr">
        <is>
          <t>NESE factor (92.35%):</t>
        </is>
      </c>
      <c r="B10" s="83" t="n">
        <v>0.9235</v>
      </c>
    </row>
    <row r="11" ht="8" customHeight="1"/>
    <row r="12">
      <c r="A12" s="84" t="inlineStr">
        <is>
          <t>Historical wage bases:</t>
        </is>
      </c>
    </row>
    <row r="13">
      <c r="A13" s="85" t="inlineStr">
        <is>
          <t>2023:</t>
        </is>
      </c>
      <c r="B13" s="86" t="n">
        <v>160200</v>
      </c>
    </row>
    <row r="14">
      <c r="A14" s="85" t="inlineStr">
        <is>
          <t>2024:</t>
        </is>
      </c>
      <c r="B14" s="86" t="n">
        <v>168600</v>
      </c>
    </row>
    <row r="15">
      <c r="A15" s="85" t="inlineStr">
        <is>
          <t>2025:</t>
        </is>
      </c>
      <c r="B15" s="86" t="n">
        <v>176100</v>
      </c>
    </row>
    <row r="16" ht="8" customHeight="1"/>
    <row r="17" ht="22" customHeight="1">
      <c r="A17" s="87" t="inlineStr">
        <is>
          <t>Year-end Archive</t>
        </is>
      </c>
    </row>
    <row r="18" ht="18" customHeight="1">
      <c r="A18" s="57" t="inlineStr">
        <is>
          <t>Year</t>
        </is>
      </c>
      <c r="B18" s="57" t="inlineStr">
        <is>
          <t>NESE</t>
        </is>
      </c>
      <c r="C18" s="57" t="inlineStr">
        <is>
          <t>SE Tax</t>
        </is>
      </c>
      <c r="D18" s="57" t="inlineStr">
        <is>
          <t>½ Adjustment</t>
        </is>
      </c>
    </row>
    <row r="19" ht="16" customHeight="1">
      <c r="A19" s="85" t="n">
        <v>2024</v>
      </c>
      <c r="B19" s="81" t="n"/>
      <c r="C19" s="81" t="n"/>
      <c r="D19" s="81" t="n"/>
    </row>
    <row r="20" ht="16" customHeight="1">
      <c r="A20" s="85" t="n">
        <v>2025</v>
      </c>
      <c r="B20" s="81" t="n"/>
      <c r="C20" s="81" t="n"/>
      <c r="D20" s="81" t="n"/>
    </row>
    <row r="21" ht="16" customHeight="1">
      <c r="A21" s="85" t="n">
        <v>2026</v>
      </c>
      <c r="B21" s="81" t="n"/>
      <c r="C21" s="81" t="n"/>
      <c r="D21" s="81" t="n"/>
    </row>
    <row r="22" ht="16" customHeight="1">
      <c r="A22" s="85" t="n">
        <v>2027</v>
      </c>
      <c r="B22" s="81" t="n"/>
      <c r="C22" s="81" t="n"/>
      <c r="D22" s="81" t="n"/>
    </row>
    <row r="23" ht="16" customHeight="1">
      <c r="A23" s="85" t="n">
        <v>2028</v>
      </c>
      <c r="B23" s="81" t="n"/>
      <c r="C23" s="81" t="n"/>
      <c r="D23" s="81" t="n"/>
    </row>
    <row r="24" ht="16" customHeight="1">
      <c r="A24" s="85" t="n">
        <v>2029</v>
      </c>
      <c r="B24" s="81" t="n"/>
      <c r="C24" s="81" t="n"/>
      <c r="D24" s="81" t="n"/>
    </row>
    <row r="25" ht="16" customHeight="1">
      <c r="A25" s="85" t="n">
        <v>2030</v>
      </c>
      <c r="B25" s="81" t="n"/>
      <c r="C25" s="81" t="n"/>
      <c r="D25" s="81" t="n"/>
    </row>
  </sheetData>
  <mergeCells count="3">
    <mergeCell ref="D2:L2"/>
    <mergeCell ref="A2:C2"/>
    <mergeCell ref="A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STR Ledger</dc:creator>
  <dc:title xmlns:dc="http://purl.org/dc/elements/1.1/">Self-Employment Tax Calculator — The STR Ledger</dc:title>
  <dc:description xmlns:dc="http://purl.org/dc/elements/1.1/">IRS Schedule SE calculator (15.3% SE tax) for STR hosts on Schedule C.</dc:description>
  <dcterms:created xmlns:dcterms="http://purl.org/dc/terms/" xmlns:xsi="http://www.w3.org/2001/XMLSchema-instance" xsi:type="dcterms:W3CDTF">2026-05-03T19:06:22Z</dcterms:created>
  <dcterms:modified xmlns:dcterms="http://purl.org/dc/terms/" xmlns:xsi="http://www.w3.org/2001/XMLSchema-instance" xsi:type="dcterms:W3CDTF">2026-05-03T19:06:22Z</dcterms:modified>
</cp:coreProperties>
</file>