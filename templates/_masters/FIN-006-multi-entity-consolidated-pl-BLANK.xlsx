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Entity Setup" sheetId="2" state="visible" r:id="rId2"/>
    <sheet xmlns:r="http://schemas.openxmlformats.org/officeDocument/2006/relationships" name="Per-Entity P&amp;L" sheetId="3" state="visible" r:id="rId3"/>
    <sheet xmlns:r="http://schemas.openxmlformats.org/officeDocument/2006/relationships" name="Intercompan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Member Distributions" sheetId="6" state="visible" r:id="rId6"/>
    <sheet xmlns:r="http://schemas.openxmlformats.org/officeDocument/2006/relationships" name="K-1 Worksheet" sheetId="7" state="visible" r:id="rId7"/>
    <sheet xmlns:r="http://schemas.openxmlformats.org/officeDocument/2006/relationships" name="Settings" sheetId="8" state="visible" r:id="rId8"/>
  </sheets>
  <definedNames>
    <definedName name="_xlnm.Print_Area" localSheetId="0">'Start'!$A$1:$L$31</definedName>
    <definedName name="_xlnm.Print_Titles" localSheetId="1">'Entity Setup'!$1:$5</definedName>
    <definedName name="_xlnm.Print_Titles" localSheetId="2">'Per-Entity P&amp;L'!$1:$5</definedName>
    <definedName name="_xlnm.Print_Titles" localSheetId="3">'Intercompany'!$1:$5</definedName>
    <definedName name="_xlnm.Print_Titles" localSheetId="4">'Consolidated P&amp;L'!$1:$5</definedName>
    <definedName name="_xlnm.Print_Titles" localSheetId="5">'Member Distributions'!$1:$5</definedName>
    <definedName name="_xlnm.Print_Titles" localSheetId="6">'K-1 Worksheet'!$1:$7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2"/>
    </font>
    <font>
      <name val="Consolas"/>
      <b val="1"/>
      <color rgb="00C9A24B"/>
      <sz val="8"/>
    </font>
    <font>
      <name val="Georgia"/>
      <b val="1"/>
      <color rgb="00C9A24B"/>
      <sz val="22"/>
    </font>
    <font>
      <name val="Consolas"/>
      <b val="1"/>
      <color rgb="00B5725E"/>
      <sz val="8"/>
    </font>
    <font>
      <name val="Georgia"/>
      <b val="1"/>
      <color rgb="00B5725E"/>
      <sz val="22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color rgb="002B2B2B"/>
      <sz val="11"/>
    </font>
    <font>
      <name val="Calibri"/>
      <b val="1"/>
      <color rgb="0012304E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Calibri"/>
      <color rgb="002B2B2B"/>
      <sz val="10"/>
    </font>
    <font>
      <name val="Georgia"/>
      <b val="1"/>
      <color rgb="00B91C1C"/>
      <sz val="11"/>
    </font>
    <font>
      <name val="Georgia"/>
      <b val="1"/>
      <color rgb="00C9A24B"/>
      <sz val="12"/>
    </font>
    <font>
      <name val="Consolas"/>
      <b val="1"/>
      <color rgb="0012304E"/>
      <sz val="10"/>
    </font>
    <font>
      <name val="Calibri"/>
      <b val="1"/>
      <color rgb="0012304E"/>
      <sz val="12"/>
    </font>
    <font>
      <name val="Georgia"/>
      <b val="1"/>
      <color rgb="00F6EFE2"/>
      <sz val="11"/>
    </font>
    <font>
      <name val="Calibri"/>
      <i val="1"/>
      <color rgb="00B5725E"/>
      <sz val="11"/>
    </font>
    <font>
      <name val="Georgia"/>
      <b val="1"/>
      <color rgb="00F6EFE2"/>
      <sz val="14"/>
    </font>
    <font>
      <name val="Calibri"/>
      <i val="1"/>
      <color rgb="006B7280"/>
      <sz val="9"/>
    </font>
    <font>
      <name val="Calibri"/>
      <b val="1"/>
      <color rgb="002B2B2B"/>
      <sz val="11"/>
    </font>
    <font>
      <name val="Georgia"/>
      <b val="1"/>
      <color rgb="0012304E"/>
      <sz val="11"/>
    </font>
    <font>
      <name val="Georgia"/>
      <b val="1"/>
      <color rgb="00F6EFE2"/>
      <sz val="12"/>
    </font>
    <font>
      <name val="Calibri"/>
      <b val="1"/>
      <color rgb="002B2B2B"/>
      <sz val="12"/>
    </font>
    <font>
      <name val="Georgia"/>
      <b val="1"/>
      <color rgb="0012304E"/>
      <sz val="14"/>
    </font>
    <font>
      <name val="Consolas"/>
      <b val="1"/>
      <color rgb="0012304E"/>
      <sz val="9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  <fill>
      <patternFill patternType="solid">
        <fgColor rgb="00EFE5D0"/>
      </patternFill>
    </fill>
  </fills>
  <borders count="21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medium">
        <color rgb="00C9A24B"/>
      </left>
      <right/>
      <top style="medium">
        <color rgb="00C9A24B"/>
      </top>
      <bottom/>
    </border>
    <border>
      <left style="medium">
        <color rgb="00C9A24B"/>
      </left>
      <right/>
      <top/>
      <bottom style="medium">
        <color rgb="00C9A24B"/>
      </bottom>
    </border>
    <border>
      <left/>
      <right/>
      <top style="medium">
        <color rgb="00C9A24B"/>
      </top>
      <bottom/>
    </border>
    <border>
      <left/>
      <right/>
      <top/>
      <bottom style="medium">
        <color rgb="00C9A24B"/>
      </bottom>
    </border>
    <border>
      <left/>
      <right style="medium">
        <color rgb="00C9A24B"/>
      </right>
      <top style="medium">
        <color rgb="00C9A24B"/>
      </top>
      <bottom/>
    </border>
    <border>
      <left/>
      <right style="medium">
        <color rgb="00C9A24B"/>
      </right>
      <top/>
      <bottom style="medium">
        <color rgb="00C9A24B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6" fillId="3" borderId="4" applyAlignment="1" pivotButton="0" quotePrefix="0" xfId="0">
      <alignment horizontal="center" vertical="center"/>
    </xf>
    <xf numFmtId="164" fontId="8" fillId="3" borderId="4" applyAlignment="1" pivotButton="0" quotePrefix="0" xfId="0">
      <alignment horizontal="center" vertical="center"/>
    </xf>
    <xf numFmtId="164" fontId="10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3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1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2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2" fillId="4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 indent="2"/>
    </xf>
    <xf numFmtId="0" fontId="17" fillId="3" borderId="0" applyAlignment="1" pivotButton="0" quotePrefix="0" xfId="0">
      <alignment horizontal="left" vertical="center" indent="1"/>
    </xf>
    <xf numFmtId="0" fontId="13" fillId="2" borderId="14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 indent="2"/>
    </xf>
    <xf numFmtId="0" fontId="19" fillId="0" borderId="0" applyAlignment="1" pivotButton="0" quotePrefix="0" xfId="0">
      <alignment horizontal="left" vertical="center" indent="1"/>
    </xf>
    <xf numFmtId="164" fontId="18" fillId="5" borderId="0" applyAlignment="1" pivotButton="0" quotePrefix="0" xfId="0">
      <alignment horizontal="left" vertical="center"/>
    </xf>
    <xf numFmtId="164" fontId="21" fillId="6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 indent="2"/>
    </xf>
    <xf numFmtId="164" fontId="20" fillId="6" borderId="0" applyAlignment="1" pivotButton="0" quotePrefix="0" xfId="0">
      <alignment horizontal="right" vertical="center"/>
    </xf>
    <xf numFmtId="0" fontId="23" fillId="0" borderId="0" applyAlignment="1" pivotButton="0" quotePrefix="0" xfId="0">
      <alignment horizontal="right" vertical="center" indent="1"/>
    </xf>
    <xf numFmtId="164" fontId="23" fillId="6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right" vertical="center" indent="1"/>
    </xf>
    <xf numFmtId="165" fontId="18" fillId="5" borderId="0" applyAlignment="1" pivotButton="0" quotePrefix="0" xfId="0">
      <alignment horizontal="left" vertical="center"/>
    </xf>
    <xf numFmtId="166" fontId="18" fillId="5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 indent="1"/>
    </xf>
    <xf numFmtId="164" fontId="24" fillId="6" borderId="0" applyAlignment="1" pivotButton="0" quotePrefix="0" xfId="0">
      <alignment horizontal="right" vertical="center"/>
    </xf>
    <xf numFmtId="0" fontId="25" fillId="7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indent="1"/>
    </xf>
    <xf numFmtId="164" fontId="12" fillId="6" borderId="0" applyAlignment="1" pivotButton="0" quotePrefix="0" xfId="0">
      <alignment horizontal="right" vertical="center"/>
    </xf>
    <xf numFmtId="0" fontId="30" fillId="8" borderId="0" applyAlignment="1" pivotButton="0" quotePrefix="0" xfId="0">
      <alignment horizontal="left" vertical="top" wrapText="1" indent="1"/>
    </xf>
    <xf numFmtId="0" fontId="27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right" vertical="center" indent="1"/>
    </xf>
    <xf numFmtId="164" fontId="28" fillId="6" borderId="0" applyAlignment="1" pivotButton="0" quotePrefix="0" xfId="0">
      <alignment horizontal="right" vertical="center"/>
    </xf>
    <xf numFmtId="0" fontId="29" fillId="2" borderId="0" applyAlignment="1" pivotButton="0" quotePrefix="0" xfId="0">
      <alignment horizontal="right" vertical="center" indent="1"/>
    </xf>
    <xf numFmtId="164" fontId="29" fillId="2" borderId="0" applyAlignment="1" pivotButton="0" quotePrefix="0" xfId="0">
      <alignment horizontal="right" vertical="center" indent="1"/>
    </xf>
    <xf numFmtId="0" fontId="31" fillId="3" borderId="0" applyAlignment="1" pivotButton="0" quotePrefix="0" xfId="0">
      <alignment horizontal="left" vertical="center" indent="1"/>
    </xf>
    <xf numFmtId="164" fontId="32" fillId="6" borderId="0" applyAlignment="1" pivotButton="0" quotePrefix="0" xfId="0">
      <alignment horizontal="right" vertical="center"/>
    </xf>
    <xf numFmtId="0" fontId="33" fillId="2" borderId="0" applyAlignment="1" pivotButton="0" quotePrefix="0" xfId="0">
      <alignment horizontal="right" vertical="center" indent="1"/>
    </xf>
    <xf numFmtId="164" fontId="33" fillId="2" borderId="0" applyAlignment="1" pivotButton="0" quotePrefix="0" xfId="0">
      <alignment horizontal="right" vertical="center"/>
    </xf>
    <xf numFmtId="0" fontId="32" fillId="7" borderId="15" applyAlignment="1" pivotButton="0" quotePrefix="0" xfId="0">
      <alignment horizontal="left" vertical="center" wrapText="1" indent="2"/>
    </xf>
    <xf numFmtId="0" fontId="0" fillId="0" borderId="17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20" pivotButton="0" quotePrefix="0" xfId="0"/>
    <xf numFmtId="0" fontId="30" fillId="0" borderId="0" applyAlignment="1" pivotButton="0" quotePrefix="0" xfId="0">
      <alignment horizontal="left" vertical="center" indent="2"/>
    </xf>
    <xf numFmtId="9" fontId="18" fillId="5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 indent="1"/>
    </xf>
    <xf numFmtId="0" fontId="34" fillId="0" borderId="0" applyAlignment="1" pivotButton="0" quotePrefix="0" xfId="0">
      <alignment horizontal="right" vertical="center" indent="1"/>
    </xf>
    <xf numFmtId="1" fontId="35" fillId="5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wrapText="1" indent="1"/>
    </xf>
    <xf numFmtId="0" fontId="36" fillId="7" borderId="0" pivotButton="0" quotePrefix="0" xfId="0"/>
    <xf numFmtId="0" fontId="17" fillId="6" borderId="0" applyAlignment="1" pivotButton="0" quotePrefix="0" xfId="0">
      <alignment horizontal="right" vertical="center"/>
    </xf>
    <xf numFmtId="0" fontId="5" fillId="0" borderId="0" pivotButton="0" quotePrefix="0" xfId="0"/>
    <xf numFmtId="0" fontId="18" fillId="5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Multi-Entity Consolidated P&amp;L</t>
        </is>
      </c>
    </row>
    <row r="5" ht="22" customHeight="1">
      <c r="A5" s="4" t="inlineStr">
        <is>
          <t>One workbook for the whole holding-company stack. CPA-ready.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FIN-006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ACTIVE ENTITIES</t>
        </is>
      </c>
      <c r="B10" s="7" t="n"/>
      <c r="C10" s="8" t="n"/>
      <c r="D10" s="6" t="inlineStr">
        <is>
          <t>CONSOLIDATED REVENUE</t>
        </is>
      </c>
      <c r="E10" s="7" t="n"/>
      <c r="F10" s="8" t="n"/>
      <c r="G10" s="9" t="inlineStr">
        <is>
          <t>CONSOLIDATED NOI</t>
        </is>
      </c>
      <c r="H10" s="7" t="n"/>
      <c r="I10" s="8" t="n"/>
      <c r="J10" s="10" t="inlineStr">
        <is>
          <t>DISTRIBUTIONS YTD</t>
        </is>
      </c>
      <c r="K10" s="7" t="n"/>
      <c r="L10" s="8" t="n"/>
    </row>
    <row r="11">
      <c r="A11" s="11">
        <f>COUNTA('Entity Setup'!A6:A15)</f>
        <v/>
      </c>
      <c r="B11" s="12" t="n"/>
      <c r="C11" s="13" t="n"/>
      <c r="D11" s="14">
        <f>'Consolidated P&amp;L'!B7</f>
        <v/>
      </c>
      <c r="E11" s="12" t="n"/>
      <c r="F11" s="13" t="n"/>
      <c r="G11" s="15">
        <f>'Consolidated P&amp;L'!B24</f>
        <v/>
      </c>
      <c r="H11" s="12" t="n"/>
      <c r="I11" s="13" t="n"/>
      <c r="J11" s="16">
        <f>'Member Distributions'!N17</f>
        <v/>
      </c>
      <c r="K11" s="12" t="n"/>
      <c r="L11" s="13" t="n"/>
    </row>
    <row r="12">
      <c r="A12" s="17" t="n"/>
      <c r="B12" s="12" t="n"/>
      <c r="C12" s="13" t="n"/>
      <c r="D12" s="17" t="n"/>
      <c r="E12" s="12" t="n"/>
      <c r="F12" s="13" t="n"/>
      <c r="G12" s="17" t="n"/>
      <c r="H12" s="12" t="n"/>
      <c r="I12" s="13" t="n"/>
      <c r="J12" s="17" t="n"/>
      <c r="K12" s="12" t="n"/>
      <c r="L12" s="13" t="n"/>
    </row>
    <row r="13">
      <c r="A13" s="17" t="n"/>
      <c r="B13" s="12" t="n"/>
      <c r="C13" s="13" t="n"/>
      <c r="D13" s="17" t="n"/>
      <c r="E13" s="12" t="n"/>
      <c r="F13" s="13" t="n"/>
      <c r="G13" s="17" t="n"/>
      <c r="H13" s="12" t="n"/>
      <c r="I13" s="13" t="n"/>
      <c r="J13" s="17" t="n"/>
      <c r="K13" s="12" t="n"/>
      <c r="L13" s="13" t="n"/>
    </row>
    <row r="14">
      <c r="A14" s="18" t="inlineStr"/>
      <c r="B14" s="12" t="n"/>
      <c r="C14" s="13" t="n"/>
      <c r="D14" s="18" t="inlineStr"/>
      <c r="E14" s="12" t="n"/>
      <c r="F14" s="13" t="n"/>
      <c r="G14" s="18" t="inlineStr"/>
      <c r="H14" s="12" t="n"/>
      <c r="I14" s="13" t="n"/>
      <c r="J14" s="18" t="inlineStr"/>
      <c r="K14" s="12" t="n"/>
      <c r="L14" s="13" t="n"/>
    </row>
    <row r="15">
      <c r="A15" s="19" t="n"/>
      <c r="B15" s="20" t="n"/>
      <c r="C15" s="21" t="n"/>
      <c r="D15" s="19" t="n"/>
      <c r="E15" s="20" t="n"/>
      <c r="F15" s="21" t="n"/>
      <c r="G15" s="19" t="n"/>
      <c r="H15" s="20" t="n"/>
      <c r="I15" s="21" t="n"/>
      <c r="J15" s="19" t="n"/>
      <c r="K15" s="20" t="n"/>
      <c r="L15" s="21" t="n"/>
    </row>
    <row r="18" ht="22" customHeight="1">
      <c r="A18" s="22">
        <f>HYPERLINK("#'Entity Setup'!A1", "Entity Setup")</f>
        <v/>
      </c>
      <c r="B18" s="23" t="n"/>
      <c r="C18" s="23" t="n"/>
      <c r="D18" s="22">
        <f>HYPERLINK("#'Per-Entity P&amp;L'!A1", "Per-Entity P&amp;L")</f>
        <v/>
      </c>
      <c r="E18" s="23" t="n"/>
      <c r="F18" s="23" t="n"/>
      <c r="G18" s="22">
        <f>HYPERLINK("#'Intercompany'!A1", "Intercompany")</f>
        <v/>
      </c>
      <c r="H18" s="23" t="n"/>
      <c r="I18" s="23" t="n"/>
      <c r="J18" s="24">
        <f>HYPERLINK("#'Settings'!A1", "Settings")</f>
        <v/>
      </c>
      <c r="K18" s="25" t="n"/>
      <c r="L18" s="25" t="n"/>
    </row>
    <row r="19" ht="22" customHeight="1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5" t="n"/>
      <c r="K19" s="25" t="n"/>
      <c r="L19" s="25" t="n"/>
    </row>
    <row r="20" ht="22" customHeight="1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5" t="n"/>
      <c r="K20" s="25" t="n"/>
      <c r="L20" s="25" t="n"/>
    </row>
    <row r="22" ht="22" customHeight="1">
      <c r="A22" s="26">
        <f>HYPERLINK("#'Consolidated P&amp;L'!A1", "Consolidated P&amp;L")</f>
        <v/>
      </c>
      <c r="B22" s="27" t="n"/>
      <c r="C22" s="27" t="n"/>
      <c r="D22" s="26">
        <f>HYPERLINK("#'Member Distributions'!A1", "Member Distributions")</f>
        <v/>
      </c>
      <c r="E22" s="27" t="n"/>
      <c r="F22" s="27" t="n"/>
      <c r="G22" s="26">
        <f>HYPERLINK("#'K-1 Worksheet'!A1", "K-1 Worksheet")</f>
        <v/>
      </c>
      <c r="H22" s="27" t="n"/>
      <c r="I22" s="27" t="n"/>
      <c r="J22" s="24">
        <f>HYPERLINK("#'Settings'!A1", "Settings")</f>
        <v/>
      </c>
      <c r="K22" s="25" t="n"/>
      <c r="L22" s="25" t="n"/>
    </row>
    <row r="23" ht="22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5" t="n"/>
      <c r="K23" s="25" t="n"/>
      <c r="L23" s="25" t="n"/>
    </row>
    <row r="24" ht="22" customHeight="1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5" t="n"/>
      <c r="K24" s="25" t="n"/>
      <c r="L24" s="25" t="n"/>
    </row>
    <row r="27" ht="32" customHeight="1">
      <c r="A27" s="28" t="inlineStr">
        <is>
          <t>Hand-off ready. Print Consolidated P&amp;L + K-1 Worksheet for your CPA — questions to hello@thestrledger.com.</t>
        </is>
      </c>
    </row>
    <row r="29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</row>
    <row r="30" ht="18" customHeight="1">
      <c r="A30" s="30" t="inlineStr">
        <is>
          <t>Questions? hello@thestrledger.com</t>
        </is>
      </c>
    </row>
    <row r="31" ht="18" customHeight="1">
      <c r="A31" s="31" t="inlineStr">
        <is>
          <t>FIN-006 · v1.0 · BLANK · Free updates forever</t>
        </is>
      </c>
    </row>
  </sheetData>
  <mergeCells count="27">
    <mergeCell ref="A7:L7"/>
    <mergeCell ref="G10:I10"/>
    <mergeCell ref="D14:F15"/>
    <mergeCell ref="J14:L15"/>
    <mergeCell ref="A27:L27"/>
    <mergeCell ref="D11:F13"/>
    <mergeCell ref="A2:F2"/>
    <mergeCell ref="J11:L13"/>
    <mergeCell ref="A18:C20"/>
    <mergeCell ref="G18:I20"/>
    <mergeCell ref="A5:L5"/>
    <mergeCell ref="A4:L4"/>
    <mergeCell ref="A10:C10"/>
    <mergeCell ref="A22:C24"/>
    <mergeCell ref="D18:F20"/>
    <mergeCell ref="J22:L24"/>
    <mergeCell ref="G22:I24"/>
    <mergeCell ref="J18:L20"/>
    <mergeCell ref="A31:L31"/>
    <mergeCell ref="D10:F10"/>
    <mergeCell ref="A30:L30"/>
    <mergeCell ref="J10:L10"/>
    <mergeCell ref="G14:I15"/>
    <mergeCell ref="D22:F24"/>
    <mergeCell ref="A14:C15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4" customWidth="1" min="4" max="4"/>
    <col width="18" customWidth="1" min="5" max="5"/>
    <col width="18" customWidth="1" min="6" max="6"/>
    <col width="26" customWidth="1" min="7" max="7"/>
    <col width="28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HYPERLINK("#'Start'!A1", "← BACK")</f>
        <v/>
      </c>
      <c r="B2" s="23" t="n"/>
      <c r="C2" s="23" t="n"/>
      <c r="D2" s="32" t="inlineStr">
        <is>
          <t>ENTITY SETUP</t>
        </is>
      </c>
      <c r="J2" s="26">
        <f>HYPERLINK("#'Per-Entity P&amp;L'!A1",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3" t="inlineStr">
        <is>
          <t>One row per LLC (capacity 10). Entity name drives the dropdowns on Per-Entity P&amp;L, Intercompany, and K-1 Worksheet.</t>
        </is>
      </c>
    </row>
    <row r="5" ht="24" customHeight="1">
      <c r="A5" s="34" t="inlineStr">
        <is>
          <t>Entity name</t>
        </is>
      </c>
      <c r="B5" s="34" t="inlineStr">
        <is>
          <t>EIN</t>
        </is>
      </c>
      <c r="C5" s="34" t="inlineStr">
        <is>
          <t>State of formation</t>
        </is>
      </c>
      <c r="D5" s="34" t="inlineStr">
        <is>
          <t>Property assigned</t>
        </is>
      </c>
      <c r="E5" s="34" t="inlineStr">
        <is>
          <t>Registered agent</t>
        </is>
      </c>
      <c r="F5" s="34" t="inlineStr">
        <is>
          <t>Tax classification</t>
        </is>
      </c>
      <c r="G5" s="34" t="inlineStr">
        <is>
          <t>Members</t>
        </is>
      </c>
      <c r="H5" s="34" t="inlineStr">
        <is>
          <t>Notes</t>
        </is>
      </c>
    </row>
    <row r="6" ht="18" customHeight="1">
      <c r="A6" s="35" t="n"/>
      <c r="B6" s="35" t="n"/>
      <c r="C6" s="35" t="n"/>
      <c r="D6" s="35" t="n"/>
      <c r="E6" s="35" t="n"/>
      <c r="F6" s="35" t="n"/>
      <c r="G6" s="35" t="n"/>
      <c r="H6" s="35" t="n"/>
    </row>
    <row r="7" ht="18" customHeight="1">
      <c r="A7" s="35" t="n"/>
      <c r="B7" s="35" t="n"/>
      <c r="C7" s="35" t="n"/>
      <c r="D7" s="35" t="n"/>
      <c r="E7" s="35" t="n"/>
      <c r="F7" s="35" t="n"/>
      <c r="G7" s="35" t="n"/>
      <c r="H7" s="35" t="n"/>
    </row>
    <row r="8" ht="18" customHeight="1">
      <c r="A8" s="35" t="n"/>
      <c r="B8" s="35" t="n"/>
      <c r="C8" s="35" t="n"/>
      <c r="D8" s="35" t="n"/>
      <c r="E8" s="35" t="n"/>
      <c r="F8" s="35" t="n"/>
      <c r="G8" s="35" t="n"/>
      <c r="H8" s="35" t="n"/>
    </row>
    <row r="9" ht="18" customHeight="1">
      <c r="A9" s="35" t="n"/>
      <c r="B9" s="35" t="n"/>
      <c r="C9" s="35" t="n"/>
      <c r="D9" s="35" t="n"/>
      <c r="E9" s="35" t="n"/>
      <c r="F9" s="35" t="n"/>
      <c r="G9" s="35" t="n"/>
      <c r="H9" s="35" t="n"/>
    </row>
    <row r="10" ht="18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</row>
    <row r="11" ht="18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</row>
    <row r="12" ht="18" customHeight="1">
      <c r="A12" s="35" t="n"/>
      <c r="B12" s="35" t="n"/>
      <c r="C12" s="35" t="n"/>
      <c r="D12" s="35" t="n"/>
      <c r="E12" s="35" t="n"/>
      <c r="F12" s="35" t="n"/>
      <c r="G12" s="35" t="n"/>
      <c r="H12" s="35" t="n"/>
    </row>
    <row r="13" ht="18" customHeight="1">
      <c r="A13" s="35" t="n"/>
      <c r="B13" s="35" t="n"/>
      <c r="C13" s="35" t="n"/>
      <c r="D13" s="35" t="n"/>
      <c r="E13" s="35" t="n"/>
      <c r="F13" s="35" t="n"/>
      <c r="G13" s="35" t="n"/>
      <c r="H13" s="35" t="n"/>
    </row>
    <row r="14" ht="18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</row>
    <row r="15" ht="18" customHeight="1">
      <c r="A15" s="35" t="n"/>
      <c r="B15" s="35" t="n"/>
      <c r="C15" s="35" t="n"/>
      <c r="D15" s="35" t="n"/>
      <c r="E15" s="35" t="n"/>
      <c r="F15" s="35" t="n"/>
      <c r="G15" s="35" t="n"/>
      <c r="H15" s="35" t="n"/>
    </row>
  </sheetData>
  <mergeCells count="4">
    <mergeCell ref="J2:L2"/>
    <mergeCell ref="D2:I2"/>
    <mergeCell ref="A2:C2"/>
    <mergeCell ref="A4:L4"/>
  </mergeCells>
  <dataValidations count="1">
    <dataValidation sqref="F6:F15" showDropDown="0" showInputMessage="0" showErrorMessage="0" allowBlank="1" type="list">
      <formula1>"LLC-disregarded,LLC-partnership,LLC-S-corp,Other"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N11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HYPERLINK("#'Entity Setup'!A1", "← BACK")</f>
        <v/>
      </c>
      <c r="B2" s="23" t="n"/>
      <c r="C2" s="23" t="n"/>
      <c r="D2" s="32" t="inlineStr">
        <is>
          <t>PER-ENTITY P&amp;L</t>
        </is>
      </c>
      <c r="J2" s="26">
        <f>HYPERLINK("#'Intercompany'!A1",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3" t="inlineStr">
        <is>
          <t>One section per LLC (capacity 5). Each section: revenue + 12 expense lines + NOI, by month. Settings → B5 active tax year drives the period.</t>
        </is>
      </c>
    </row>
    <row r="6" ht="26" customHeight="1">
      <c r="A6" s="36">
        <f>IF('Entity Setup'!A6="","(Entity slot 1 — empty)","ENTITY: "&amp;'Entity Setup'!A6)</f>
        <v/>
      </c>
    </row>
    <row r="7" ht="22" customHeight="1">
      <c r="A7" s="34" t="inlineStr">
        <is>
          <t>Category</t>
        </is>
      </c>
      <c r="B7" s="34" t="inlineStr">
        <is>
          <t>Jan</t>
        </is>
      </c>
      <c r="C7" s="34" t="inlineStr">
        <is>
          <t>Feb</t>
        </is>
      </c>
      <c r="D7" s="34" t="inlineStr">
        <is>
          <t>Mar</t>
        </is>
      </c>
      <c r="E7" s="34" t="inlineStr">
        <is>
          <t>Apr</t>
        </is>
      </c>
      <c r="F7" s="34" t="inlineStr">
        <is>
          <t>May</t>
        </is>
      </c>
      <c r="G7" s="34" t="inlineStr">
        <is>
          <t>Jun</t>
        </is>
      </c>
      <c r="H7" s="34" t="inlineStr">
        <is>
          <t>Jul</t>
        </is>
      </c>
      <c r="I7" s="34" t="inlineStr">
        <is>
          <t>Aug</t>
        </is>
      </c>
      <c r="J7" s="34" t="inlineStr">
        <is>
          <t>Sep</t>
        </is>
      </c>
      <c r="K7" s="34" t="inlineStr">
        <is>
          <t>Oct</t>
        </is>
      </c>
      <c r="L7" s="34" t="inlineStr">
        <is>
          <t>Nov</t>
        </is>
      </c>
      <c r="M7" s="34" t="inlineStr">
        <is>
          <t>Dec</t>
        </is>
      </c>
      <c r="N7" s="34" t="inlineStr">
        <is>
          <t>YTD</t>
        </is>
      </c>
    </row>
    <row r="8" ht="20" customHeight="1">
      <c r="A8" s="37" t="inlineStr">
        <is>
          <t>Revenue (rents + fees)</t>
        </is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9">
        <f>SUM(B8:M8)</f>
        <v/>
      </c>
    </row>
    <row r="9" ht="16" customHeight="1">
      <c r="A9" s="40" t="inlineStr">
        <is>
          <t>Advertising</t>
        </is>
      </c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41">
        <f>SUM(B9:M9)</f>
        <v/>
      </c>
    </row>
    <row r="10" ht="16" customHeight="1">
      <c r="A10" s="40" t="inlineStr">
        <is>
          <t>Cleaning + maintenance</t>
        </is>
      </c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41">
        <f>SUM(B10:M10)</f>
        <v/>
      </c>
    </row>
    <row r="11" ht="16" customHeight="1">
      <c r="A11" s="40" t="inlineStr">
        <is>
          <t>Insurance</t>
        </is>
      </c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41">
        <f>SUM(B11:M11)</f>
        <v/>
      </c>
    </row>
    <row r="12" ht="16" customHeight="1">
      <c r="A12" s="40" t="inlineStr">
        <is>
          <t>Legal + professional</t>
        </is>
      </c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41">
        <f>SUM(B12:M12)</f>
        <v/>
      </c>
    </row>
    <row r="13" ht="16" customHeight="1">
      <c r="A13" s="40" t="inlineStr">
        <is>
          <t>Management fees (intercompany)</t>
        </is>
      </c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41">
        <f>SUM(B13:M13)</f>
        <v/>
      </c>
    </row>
    <row r="14" ht="16" customHeight="1">
      <c r="A14" s="40" t="inlineStr">
        <is>
          <t>Mortgage interest</t>
        </is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41">
        <f>SUM(B14:M14)</f>
        <v/>
      </c>
    </row>
    <row r="15" ht="16" customHeight="1">
      <c r="A15" s="40" t="inlineStr">
        <is>
          <t>Repairs</t>
        </is>
      </c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41">
        <f>SUM(B15:M15)</f>
        <v/>
      </c>
    </row>
    <row r="16" ht="16" customHeight="1">
      <c r="A16" s="40" t="inlineStr">
        <is>
          <t>Supplies</t>
        </is>
      </c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41">
        <f>SUM(B16:M16)</f>
        <v/>
      </c>
    </row>
    <row r="17" ht="16" customHeight="1">
      <c r="A17" s="40" t="inlineStr">
        <is>
          <t>Property taxes</t>
        </is>
      </c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41">
        <f>SUM(B17:M17)</f>
        <v/>
      </c>
    </row>
    <row r="18" ht="16" customHeight="1">
      <c r="A18" s="40" t="inlineStr">
        <is>
          <t>Utilities</t>
        </is>
      </c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41">
        <f>SUM(B18:M18)</f>
        <v/>
      </c>
    </row>
    <row r="19" ht="16" customHeight="1">
      <c r="A19" s="40" t="inlineStr">
        <is>
          <t>Platform fees</t>
        </is>
      </c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41">
        <f>SUM(B19:M19)</f>
        <v/>
      </c>
    </row>
    <row r="20" ht="16" customHeight="1">
      <c r="A20" s="40" t="inlineStr">
        <is>
          <t>Other</t>
        </is>
      </c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41">
        <f>SUM(B20:M20)</f>
        <v/>
      </c>
    </row>
    <row r="21" ht="20" customHeight="1">
      <c r="A21" s="42" t="inlineStr">
        <is>
          <t>TOTAL EXPENSES</t>
        </is>
      </c>
      <c r="B21" s="43">
        <f>SUM(B9:B20)</f>
        <v/>
      </c>
      <c r="C21" s="43">
        <f>SUM(C9:C20)</f>
        <v/>
      </c>
      <c r="D21" s="43">
        <f>SUM(D9:D20)</f>
        <v/>
      </c>
      <c r="E21" s="43">
        <f>SUM(E9:E20)</f>
        <v/>
      </c>
      <c r="F21" s="43">
        <f>SUM(F9:F20)</f>
        <v/>
      </c>
      <c r="G21" s="43">
        <f>SUM(G9:G20)</f>
        <v/>
      </c>
      <c r="H21" s="43">
        <f>SUM(H9:H20)</f>
        <v/>
      </c>
      <c r="I21" s="43">
        <f>SUM(I9:I20)</f>
        <v/>
      </c>
      <c r="J21" s="43">
        <f>SUM(J9:J20)</f>
        <v/>
      </c>
      <c r="K21" s="43">
        <f>SUM(K9:K20)</f>
        <v/>
      </c>
      <c r="L21" s="43">
        <f>SUM(L9:L20)</f>
        <v/>
      </c>
      <c r="M21" s="43">
        <f>SUM(M9:M20)</f>
        <v/>
      </c>
      <c r="N21" s="43">
        <f>SUM(N9:N20)</f>
        <v/>
      </c>
    </row>
    <row r="22" ht="22" customHeight="1">
      <c r="A22" s="44" t="inlineStr">
        <is>
          <t>NOI (Revenue − Expenses)</t>
        </is>
      </c>
      <c r="B22" s="39">
        <f>B8-B21</f>
        <v/>
      </c>
      <c r="C22" s="39">
        <f>C8-C21</f>
        <v/>
      </c>
      <c r="D22" s="39">
        <f>D8-D21</f>
        <v/>
      </c>
      <c r="E22" s="39">
        <f>E8-E21</f>
        <v/>
      </c>
      <c r="F22" s="39">
        <f>F8-F21</f>
        <v/>
      </c>
      <c r="G22" s="39">
        <f>G8-G21</f>
        <v/>
      </c>
      <c r="H22" s="39">
        <f>H8-H21</f>
        <v/>
      </c>
      <c r="I22" s="39">
        <f>I8-I21</f>
        <v/>
      </c>
      <c r="J22" s="39">
        <f>J8-J21</f>
        <v/>
      </c>
      <c r="K22" s="39">
        <f>K8-K21</f>
        <v/>
      </c>
      <c r="L22" s="39">
        <f>L8-L21</f>
        <v/>
      </c>
      <c r="M22" s="39">
        <f>M8-M21</f>
        <v/>
      </c>
      <c r="N22" s="39">
        <f>N8-N21</f>
        <v/>
      </c>
    </row>
    <row r="28" ht="26" customHeight="1">
      <c r="A28" s="36">
        <f>IF('Entity Setup'!A7="","(Entity slot 2 — empty)","ENTITY: "&amp;'Entity Setup'!A7)</f>
        <v/>
      </c>
    </row>
    <row r="29" ht="22" customHeight="1">
      <c r="A29" s="34" t="inlineStr">
        <is>
          <t>Category</t>
        </is>
      </c>
      <c r="B29" s="34" t="inlineStr">
        <is>
          <t>Jan</t>
        </is>
      </c>
      <c r="C29" s="34" t="inlineStr">
        <is>
          <t>Feb</t>
        </is>
      </c>
      <c r="D29" s="34" t="inlineStr">
        <is>
          <t>Mar</t>
        </is>
      </c>
      <c r="E29" s="34" t="inlineStr">
        <is>
          <t>Apr</t>
        </is>
      </c>
      <c r="F29" s="34" t="inlineStr">
        <is>
          <t>May</t>
        </is>
      </c>
      <c r="G29" s="34" t="inlineStr">
        <is>
          <t>Jun</t>
        </is>
      </c>
      <c r="H29" s="34" t="inlineStr">
        <is>
          <t>Jul</t>
        </is>
      </c>
      <c r="I29" s="34" t="inlineStr">
        <is>
          <t>Aug</t>
        </is>
      </c>
      <c r="J29" s="34" t="inlineStr">
        <is>
          <t>Sep</t>
        </is>
      </c>
      <c r="K29" s="34" t="inlineStr">
        <is>
          <t>Oct</t>
        </is>
      </c>
      <c r="L29" s="34" t="inlineStr">
        <is>
          <t>Nov</t>
        </is>
      </c>
      <c r="M29" s="34" t="inlineStr">
        <is>
          <t>Dec</t>
        </is>
      </c>
      <c r="N29" s="34" t="inlineStr">
        <is>
          <t>YTD</t>
        </is>
      </c>
    </row>
    <row r="30" ht="20" customHeight="1">
      <c r="A30" s="37" t="inlineStr">
        <is>
          <t>Revenue (rents + fees)</t>
        </is>
      </c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9">
        <f>SUM(B30:M30)</f>
        <v/>
      </c>
    </row>
    <row r="31" ht="16" customHeight="1">
      <c r="A31" s="40" t="inlineStr">
        <is>
          <t>Advertising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41">
        <f>SUM(B31:M31)</f>
        <v/>
      </c>
    </row>
    <row r="32" ht="16" customHeight="1">
      <c r="A32" s="40" t="inlineStr">
        <is>
          <t>Cleaning + maintenance</t>
        </is>
      </c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41">
        <f>SUM(B32:M32)</f>
        <v/>
      </c>
    </row>
    <row r="33" ht="16" customHeight="1">
      <c r="A33" s="40" t="inlineStr">
        <is>
          <t>Insurance</t>
        </is>
      </c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41">
        <f>SUM(B33:M33)</f>
        <v/>
      </c>
    </row>
    <row r="34" ht="16" customHeight="1">
      <c r="A34" s="40" t="inlineStr">
        <is>
          <t>Legal + professional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41">
        <f>SUM(B34:M34)</f>
        <v/>
      </c>
    </row>
    <row r="35" ht="16" customHeight="1">
      <c r="A35" s="40" t="inlineStr">
        <is>
          <t>Management fees (intercompany)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41">
        <f>SUM(B35:M35)</f>
        <v/>
      </c>
    </row>
    <row r="36" ht="16" customHeight="1">
      <c r="A36" s="40" t="inlineStr">
        <is>
          <t>Mortgage interest</t>
        </is>
      </c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41">
        <f>SUM(B36:M36)</f>
        <v/>
      </c>
    </row>
    <row r="37" ht="16" customHeight="1">
      <c r="A37" s="40" t="inlineStr">
        <is>
          <t>Repairs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41">
        <f>SUM(B37:M37)</f>
        <v/>
      </c>
    </row>
    <row r="38" ht="16" customHeight="1">
      <c r="A38" s="40" t="inlineStr">
        <is>
          <t>Supplies</t>
        </is>
      </c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41">
        <f>SUM(B38:M38)</f>
        <v/>
      </c>
    </row>
    <row r="39" ht="16" customHeight="1">
      <c r="A39" s="40" t="inlineStr">
        <is>
          <t>Property taxes</t>
        </is>
      </c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41">
        <f>SUM(B39:M39)</f>
        <v/>
      </c>
    </row>
    <row r="40" ht="16" customHeight="1">
      <c r="A40" s="40" t="inlineStr">
        <is>
          <t>Utilities</t>
        </is>
      </c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41">
        <f>SUM(B40:M40)</f>
        <v/>
      </c>
    </row>
    <row r="41" ht="16" customHeight="1">
      <c r="A41" s="40" t="inlineStr">
        <is>
          <t>Platform fees</t>
        </is>
      </c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41">
        <f>SUM(B41:M41)</f>
        <v/>
      </c>
    </row>
    <row r="42" ht="16" customHeight="1">
      <c r="A42" s="40" t="inlineStr">
        <is>
          <t>Other</t>
        </is>
      </c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41">
        <f>SUM(B42:M42)</f>
        <v/>
      </c>
    </row>
    <row r="43" ht="20" customHeight="1">
      <c r="A43" s="42" t="inlineStr">
        <is>
          <t>TOTAL EXPENSES</t>
        </is>
      </c>
      <c r="B43" s="43">
        <f>SUM(B31:B42)</f>
        <v/>
      </c>
      <c r="C43" s="43">
        <f>SUM(C31:C42)</f>
        <v/>
      </c>
      <c r="D43" s="43">
        <f>SUM(D31:D42)</f>
        <v/>
      </c>
      <c r="E43" s="43">
        <f>SUM(E31:E42)</f>
        <v/>
      </c>
      <c r="F43" s="43">
        <f>SUM(F31:F42)</f>
        <v/>
      </c>
      <c r="G43" s="43">
        <f>SUM(G31:G42)</f>
        <v/>
      </c>
      <c r="H43" s="43">
        <f>SUM(H31:H42)</f>
        <v/>
      </c>
      <c r="I43" s="43">
        <f>SUM(I31:I42)</f>
        <v/>
      </c>
      <c r="J43" s="43">
        <f>SUM(J31:J42)</f>
        <v/>
      </c>
      <c r="K43" s="43">
        <f>SUM(K31:K42)</f>
        <v/>
      </c>
      <c r="L43" s="43">
        <f>SUM(L31:L42)</f>
        <v/>
      </c>
      <c r="M43" s="43">
        <f>SUM(M31:M42)</f>
        <v/>
      </c>
      <c r="N43" s="43">
        <f>SUM(N31:N42)</f>
        <v/>
      </c>
    </row>
    <row r="44" ht="22" customHeight="1">
      <c r="A44" s="44" t="inlineStr">
        <is>
          <t>NOI (Revenue − Expenses)</t>
        </is>
      </c>
      <c r="B44" s="39">
        <f>B30-B43</f>
        <v/>
      </c>
      <c r="C44" s="39">
        <f>C30-C43</f>
        <v/>
      </c>
      <c r="D44" s="39">
        <f>D30-D43</f>
        <v/>
      </c>
      <c r="E44" s="39">
        <f>E30-E43</f>
        <v/>
      </c>
      <c r="F44" s="39">
        <f>F30-F43</f>
        <v/>
      </c>
      <c r="G44" s="39">
        <f>G30-G43</f>
        <v/>
      </c>
      <c r="H44" s="39">
        <f>H30-H43</f>
        <v/>
      </c>
      <c r="I44" s="39">
        <f>I30-I43</f>
        <v/>
      </c>
      <c r="J44" s="39">
        <f>J30-J43</f>
        <v/>
      </c>
      <c r="K44" s="39">
        <f>K30-K43</f>
        <v/>
      </c>
      <c r="L44" s="39">
        <f>L30-L43</f>
        <v/>
      </c>
      <c r="M44" s="39">
        <f>M30-M43</f>
        <v/>
      </c>
      <c r="N44" s="39">
        <f>N30-N43</f>
        <v/>
      </c>
    </row>
    <row r="50" ht="26" customHeight="1">
      <c r="A50" s="36">
        <f>IF('Entity Setup'!A8="","(Entity slot 3 — empty)","ENTITY: "&amp;'Entity Setup'!A8)</f>
        <v/>
      </c>
    </row>
    <row r="51" ht="22" customHeight="1">
      <c r="A51" s="34" t="inlineStr">
        <is>
          <t>Category</t>
        </is>
      </c>
      <c r="B51" s="34" t="inlineStr">
        <is>
          <t>Jan</t>
        </is>
      </c>
      <c r="C51" s="34" t="inlineStr">
        <is>
          <t>Feb</t>
        </is>
      </c>
      <c r="D51" s="34" t="inlineStr">
        <is>
          <t>Mar</t>
        </is>
      </c>
      <c r="E51" s="34" t="inlineStr">
        <is>
          <t>Apr</t>
        </is>
      </c>
      <c r="F51" s="34" t="inlineStr">
        <is>
          <t>May</t>
        </is>
      </c>
      <c r="G51" s="34" t="inlineStr">
        <is>
          <t>Jun</t>
        </is>
      </c>
      <c r="H51" s="34" t="inlineStr">
        <is>
          <t>Jul</t>
        </is>
      </c>
      <c r="I51" s="34" t="inlineStr">
        <is>
          <t>Aug</t>
        </is>
      </c>
      <c r="J51" s="34" t="inlineStr">
        <is>
          <t>Sep</t>
        </is>
      </c>
      <c r="K51" s="34" t="inlineStr">
        <is>
          <t>Oct</t>
        </is>
      </c>
      <c r="L51" s="34" t="inlineStr">
        <is>
          <t>Nov</t>
        </is>
      </c>
      <c r="M51" s="34" t="inlineStr">
        <is>
          <t>Dec</t>
        </is>
      </c>
      <c r="N51" s="34" t="inlineStr">
        <is>
          <t>YTD</t>
        </is>
      </c>
    </row>
    <row r="52" ht="20" customHeight="1">
      <c r="A52" s="37" t="inlineStr">
        <is>
          <t>Revenue (rents + fees)</t>
        </is>
      </c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9">
        <f>SUM(B52:M52)</f>
        <v/>
      </c>
    </row>
    <row r="53" ht="16" customHeight="1">
      <c r="A53" s="40" t="inlineStr">
        <is>
          <t>Advertising</t>
        </is>
      </c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41">
        <f>SUM(B53:M53)</f>
        <v/>
      </c>
    </row>
    <row r="54" ht="16" customHeight="1">
      <c r="A54" s="40" t="inlineStr">
        <is>
          <t>Cleaning + maintenance</t>
        </is>
      </c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8" t="n"/>
      <c r="N54" s="41">
        <f>SUM(B54:M54)</f>
        <v/>
      </c>
    </row>
    <row r="55" ht="16" customHeight="1">
      <c r="A55" s="40" t="inlineStr">
        <is>
          <t>Insurance</t>
        </is>
      </c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41">
        <f>SUM(B55:M55)</f>
        <v/>
      </c>
    </row>
    <row r="56" ht="16" customHeight="1">
      <c r="A56" s="40" t="inlineStr">
        <is>
          <t>Legal + professional</t>
        </is>
      </c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41">
        <f>SUM(B56:M56)</f>
        <v/>
      </c>
    </row>
    <row r="57" ht="16" customHeight="1">
      <c r="A57" s="40" t="inlineStr">
        <is>
          <t>Management fees (intercompany)</t>
        </is>
      </c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41">
        <f>SUM(B57:M57)</f>
        <v/>
      </c>
    </row>
    <row r="58" ht="16" customHeight="1">
      <c r="A58" s="40" t="inlineStr">
        <is>
          <t>Mortgage interest</t>
        </is>
      </c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41">
        <f>SUM(B58:M58)</f>
        <v/>
      </c>
    </row>
    <row r="59" ht="16" customHeight="1">
      <c r="A59" s="40" t="inlineStr">
        <is>
          <t>Repairs</t>
        </is>
      </c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41">
        <f>SUM(B59:M59)</f>
        <v/>
      </c>
    </row>
    <row r="60" ht="16" customHeight="1">
      <c r="A60" s="40" t="inlineStr">
        <is>
          <t>Supplies</t>
        </is>
      </c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41">
        <f>SUM(B60:M60)</f>
        <v/>
      </c>
    </row>
    <row r="61" ht="16" customHeight="1">
      <c r="A61" s="40" t="inlineStr">
        <is>
          <t>Property taxes</t>
        </is>
      </c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41">
        <f>SUM(B61:M61)</f>
        <v/>
      </c>
    </row>
    <row r="62" ht="16" customHeight="1">
      <c r="A62" s="40" t="inlineStr">
        <is>
          <t>Utilities</t>
        </is>
      </c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41">
        <f>SUM(B62:M62)</f>
        <v/>
      </c>
    </row>
    <row r="63" ht="16" customHeight="1">
      <c r="A63" s="40" t="inlineStr">
        <is>
          <t>Platform fees</t>
        </is>
      </c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41">
        <f>SUM(B63:M63)</f>
        <v/>
      </c>
    </row>
    <row r="64" ht="16" customHeight="1">
      <c r="A64" s="40" t="inlineStr">
        <is>
          <t>Other</t>
        </is>
      </c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41">
        <f>SUM(B64:M64)</f>
        <v/>
      </c>
    </row>
    <row r="65" ht="20" customHeight="1">
      <c r="A65" s="42" t="inlineStr">
        <is>
          <t>TOTAL EXPENSES</t>
        </is>
      </c>
      <c r="B65" s="43">
        <f>SUM(B53:B64)</f>
        <v/>
      </c>
      <c r="C65" s="43">
        <f>SUM(C53:C64)</f>
        <v/>
      </c>
      <c r="D65" s="43">
        <f>SUM(D53:D64)</f>
        <v/>
      </c>
      <c r="E65" s="43">
        <f>SUM(E53:E64)</f>
        <v/>
      </c>
      <c r="F65" s="43">
        <f>SUM(F53:F64)</f>
        <v/>
      </c>
      <c r="G65" s="43">
        <f>SUM(G53:G64)</f>
        <v/>
      </c>
      <c r="H65" s="43">
        <f>SUM(H53:H64)</f>
        <v/>
      </c>
      <c r="I65" s="43">
        <f>SUM(I53:I64)</f>
        <v/>
      </c>
      <c r="J65" s="43">
        <f>SUM(J53:J64)</f>
        <v/>
      </c>
      <c r="K65" s="43">
        <f>SUM(K53:K64)</f>
        <v/>
      </c>
      <c r="L65" s="43">
        <f>SUM(L53:L64)</f>
        <v/>
      </c>
      <c r="M65" s="43">
        <f>SUM(M53:M64)</f>
        <v/>
      </c>
      <c r="N65" s="43">
        <f>SUM(N53:N64)</f>
        <v/>
      </c>
    </row>
    <row r="66" ht="22" customHeight="1">
      <c r="A66" s="44" t="inlineStr">
        <is>
          <t>NOI (Revenue − Expenses)</t>
        </is>
      </c>
      <c r="B66" s="39">
        <f>B52-B65</f>
        <v/>
      </c>
      <c r="C66" s="39">
        <f>C52-C65</f>
        <v/>
      </c>
      <c r="D66" s="39">
        <f>D52-D65</f>
        <v/>
      </c>
      <c r="E66" s="39">
        <f>E52-E65</f>
        <v/>
      </c>
      <c r="F66" s="39">
        <f>F52-F65</f>
        <v/>
      </c>
      <c r="G66" s="39">
        <f>G52-G65</f>
        <v/>
      </c>
      <c r="H66" s="39">
        <f>H52-H65</f>
        <v/>
      </c>
      <c r="I66" s="39">
        <f>I52-I65</f>
        <v/>
      </c>
      <c r="J66" s="39">
        <f>J52-J65</f>
        <v/>
      </c>
      <c r="K66" s="39">
        <f>K52-K65</f>
        <v/>
      </c>
      <c r="L66" s="39">
        <f>L52-L65</f>
        <v/>
      </c>
      <c r="M66" s="39">
        <f>M52-M65</f>
        <v/>
      </c>
      <c r="N66" s="39">
        <f>N52-N65</f>
        <v/>
      </c>
    </row>
    <row r="72" ht="26" customHeight="1">
      <c r="A72" s="36">
        <f>IF('Entity Setup'!A9="","(Entity slot 4 — empty)","ENTITY: "&amp;'Entity Setup'!A9)</f>
        <v/>
      </c>
    </row>
    <row r="73" ht="22" customHeight="1">
      <c r="A73" s="34" t="inlineStr">
        <is>
          <t>Category</t>
        </is>
      </c>
      <c r="B73" s="34" t="inlineStr">
        <is>
          <t>Jan</t>
        </is>
      </c>
      <c r="C73" s="34" t="inlineStr">
        <is>
          <t>Feb</t>
        </is>
      </c>
      <c r="D73" s="34" t="inlineStr">
        <is>
          <t>Mar</t>
        </is>
      </c>
      <c r="E73" s="34" t="inlineStr">
        <is>
          <t>Apr</t>
        </is>
      </c>
      <c r="F73" s="34" t="inlineStr">
        <is>
          <t>May</t>
        </is>
      </c>
      <c r="G73" s="34" t="inlineStr">
        <is>
          <t>Jun</t>
        </is>
      </c>
      <c r="H73" s="34" t="inlineStr">
        <is>
          <t>Jul</t>
        </is>
      </c>
      <c r="I73" s="34" t="inlineStr">
        <is>
          <t>Aug</t>
        </is>
      </c>
      <c r="J73" s="34" t="inlineStr">
        <is>
          <t>Sep</t>
        </is>
      </c>
      <c r="K73" s="34" t="inlineStr">
        <is>
          <t>Oct</t>
        </is>
      </c>
      <c r="L73" s="34" t="inlineStr">
        <is>
          <t>Nov</t>
        </is>
      </c>
      <c r="M73" s="34" t="inlineStr">
        <is>
          <t>Dec</t>
        </is>
      </c>
      <c r="N73" s="34" t="inlineStr">
        <is>
          <t>YTD</t>
        </is>
      </c>
    </row>
    <row r="74" ht="20" customHeight="1">
      <c r="A74" s="37" t="inlineStr">
        <is>
          <t>Revenue (rents + fees)</t>
        </is>
      </c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9">
        <f>SUM(B74:M74)</f>
        <v/>
      </c>
    </row>
    <row r="75" ht="16" customHeight="1">
      <c r="A75" s="40" t="inlineStr">
        <is>
          <t>Advertising</t>
        </is>
      </c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41">
        <f>SUM(B75:M75)</f>
        <v/>
      </c>
    </row>
    <row r="76" ht="16" customHeight="1">
      <c r="A76" s="40" t="inlineStr">
        <is>
          <t>Cleaning + maintenance</t>
        </is>
      </c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41">
        <f>SUM(B76:M76)</f>
        <v/>
      </c>
    </row>
    <row r="77" ht="16" customHeight="1">
      <c r="A77" s="40" t="inlineStr">
        <is>
          <t>Insurance</t>
        </is>
      </c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41">
        <f>SUM(B77:M77)</f>
        <v/>
      </c>
    </row>
    <row r="78" ht="16" customHeight="1">
      <c r="A78" s="40" t="inlineStr">
        <is>
          <t>Legal + professional</t>
        </is>
      </c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41">
        <f>SUM(B78:M78)</f>
        <v/>
      </c>
    </row>
    <row r="79" ht="16" customHeight="1">
      <c r="A79" s="40" t="inlineStr">
        <is>
          <t>Management fees (intercompany)</t>
        </is>
      </c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41">
        <f>SUM(B79:M79)</f>
        <v/>
      </c>
    </row>
    <row r="80" ht="16" customHeight="1">
      <c r="A80" s="40" t="inlineStr">
        <is>
          <t>Mortgage interest</t>
        </is>
      </c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41">
        <f>SUM(B80:M80)</f>
        <v/>
      </c>
    </row>
    <row r="81" ht="16" customHeight="1">
      <c r="A81" s="40" t="inlineStr">
        <is>
          <t>Repairs</t>
        </is>
      </c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41">
        <f>SUM(B81:M81)</f>
        <v/>
      </c>
    </row>
    <row r="82" ht="16" customHeight="1">
      <c r="A82" s="40" t="inlineStr">
        <is>
          <t>Supplies</t>
        </is>
      </c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41">
        <f>SUM(B82:M82)</f>
        <v/>
      </c>
    </row>
    <row r="83" ht="16" customHeight="1">
      <c r="A83" s="40" t="inlineStr">
        <is>
          <t>Property taxes</t>
        </is>
      </c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41">
        <f>SUM(B83:M83)</f>
        <v/>
      </c>
    </row>
    <row r="84" ht="16" customHeight="1">
      <c r="A84" s="40" t="inlineStr">
        <is>
          <t>Utilities</t>
        </is>
      </c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41">
        <f>SUM(B84:M84)</f>
        <v/>
      </c>
    </row>
    <row r="85" ht="16" customHeight="1">
      <c r="A85" s="40" t="inlineStr">
        <is>
          <t>Platform fees</t>
        </is>
      </c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41">
        <f>SUM(B85:M85)</f>
        <v/>
      </c>
    </row>
    <row r="86" ht="16" customHeight="1">
      <c r="A86" s="40" t="inlineStr">
        <is>
          <t>Other</t>
        </is>
      </c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41">
        <f>SUM(B86:M86)</f>
        <v/>
      </c>
    </row>
    <row r="87" ht="20" customHeight="1">
      <c r="A87" s="42" t="inlineStr">
        <is>
          <t>TOTAL EXPENSES</t>
        </is>
      </c>
      <c r="B87" s="43">
        <f>SUM(B75:B86)</f>
        <v/>
      </c>
      <c r="C87" s="43">
        <f>SUM(C75:C86)</f>
        <v/>
      </c>
      <c r="D87" s="43">
        <f>SUM(D75:D86)</f>
        <v/>
      </c>
      <c r="E87" s="43">
        <f>SUM(E75:E86)</f>
        <v/>
      </c>
      <c r="F87" s="43">
        <f>SUM(F75:F86)</f>
        <v/>
      </c>
      <c r="G87" s="43">
        <f>SUM(G75:G86)</f>
        <v/>
      </c>
      <c r="H87" s="43">
        <f>SUM(H75:H86)</f>
        <v/>
      </c>
      <c r="I87" s="43">
        <f>SUM(I75:I86)</f>
        <v/>
      </c>
      <c r="J87" s="43">
        <f>SUM(J75:J86)</f>
        <v/>
      </c>
      <c r="K87" s="43">
        <f>SUM(K75:K86)</f>
        <v/>
      </c>
      <c r="L87" s="43">
        <f>SUM(L75:L86)</f>
        <v/>
      </c>
      <c r="M87" s="43">
        <f>SUM(M75:M86)</f>
        <v/>
      </c>
      <c r="N87" s="43">
        <f>SUM(N75:N86)</f>
        <v/>
      </c>
    </row>
    <row r="88" ht="22" customHeight="1">
      <c r="A88" s="44" t="inlineStr">
        <is>
          <t>NOI (Revenue − Expenses)</t>
        </is>
      </c>
      <c r="B88" s="39">
        <f>B74-B87</f>
        <v/>
      </c>
      <c r="C88" s="39">
        <f>C74-C87</f>
        <v/>
      </c>
      <c r="D88" s="39">
        <f>D74-D87</f>
        <v/>
      </c>
      <c r="E88" s="39">
        <f>E74-E87</f>
        <v/>
      </c>
      <c r="F88" s="39">
        <f>F74-F87</f>
        <v/>
      </c>
      <c r="G88" s="39">
        <f>G74-G87</f>
        <v/>
      </c>
      <c r="H88" s="39">
        <f>H74-H87</f>
        <v/>
      </c>
      <c r="I88" s="39">
        <f>I74-I87</f>
        <v/>
      </c>
      <c r="J88" s="39">
        <f>J74-J87</f>
        <v/>
      </c>
      <c r="K88" s="39">
        <f>K74-K87</f>
        <v/>
      </c>
      <c r="L88" s="39">
        <f>L74-L87</f>
        <v/>
      </c>
      <c r="M88" s="39">
        <f>M74-M87</f>
        <v/>
      </c>
      <c r="N88" s="39">
        <f>N74-N87</f>
        <v/>
      </c>
    </row>
    <row r="94" ht="26" customHeight="1">
      <c r="A94" s="36">
        <f>IF('Entity Setup'!A10="","(Entity slot 5 — empty)","ENTITY: "&amp;'Entity Setup'!A10)</f>
        <v/>
      </c>
    </row>
    <row r="95" ht="22" customHeight="1">
      <c r="A95" s="34" t="inlineStr">
        <is>
          <t>Category</t>
        </is>
      </c>
      <c r="B95" s="34" t="inlineStr">
        <is>
          <t>Jan</t>
        </is>
      </c>
      <c r="C95" s="34" t="inlineStr">
        <is>
          <t>Feb</t>
        </is>
      </c>
      <c r="D95" s="34" t="inlineStr">
        <is>
          <t>Mar</t>
        </is>
      </c>
      <c r="E95" s="34" t="inlineStr">
        <is>
          <t>Apr</t>
        </is>
      </c>
      <c r="F95" s="34" t="inlineStr">
        <is>
          <t>May</t>
        </is>
      </c>
      <c r="G95" s="34" t="inlineStr">
        <is>
          <t>Jun</t>
        </is>
      </c>
      <c r="H95" s="34" t="inlineStr">
        <is>
          <t>Jul</t>
        </is>
      </c>
      <c r="I95" s="34" t="inlineStr">
        <is>
          <t>Aug</t>
        </is>
      </c>
      <c r="J95" s="34" t="inlineStr">
        <is>
          <t>Sep</t>
        </is>
      </c>
      <c r="K95" s="34" t="inlineStr">
        <is>
          <t>Oct</t>
        </is>
      </c>
      <c r="L95" s="34" t="inlineStr">
        <is>
          <t>Nov</t>
        </is>
      </c>
      <c r="M95" s="34" t="inlineStr">
        <is>
          <t>Dec</t>
        </is>
      </c>
      <c r="N95" s="34" t="inlineStr">
        <is>
          <t>YTD</t>
        </is>
      </c>
    </row>
    <row r="96" ht="20" customHeight="1">
      <c r="A96" s="37" t="inlineStr">
        <is>
          <t>Revenue (rents + fees)</t>
        </is>
      </c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9">
        <f>SUM(B96:M96)</f>
        <v/>
      </c>
    </row>
    <row r="97" ht="16" customHeight="1">
      <c r="A97" s="40" t="inlineStr">
        <is>
          <t>Advertising</t>
        </is>
      </c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41">
        <f>SUM(B97:M97)</f>
        <v/>
      </c>
    </row>
    <row r="98" ht="16" customHeight="1">
      <c r="A98" s="40" t="inlineStr">
        <is>
          <t>Cleaning + maintenance</t>
        </is>
      </c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41">
        <f>SUM(B98:M98)</f>
        <v/>
      </c>
    </row>
    <row r="99" ht="16" customHeight="1">
      <c r="A99" s="40" t="inlineStr">
        <is>
          <t>Insurance</t>
        </is>
      </c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41">
        <f>SUM(B99:M99)</f>
        <v/>
      </c>
    </row>
    <row r="100" ht="16" customHeight="1">
      <c r="A100" s="40" t="inlineStr">
        <is>
          <t>Legal + professional</t>
        </is>
      </c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41">
        <f>SUM(B100:M100)</f>
        <v/>
      </c>
    </row>
    <row r="101" ht="16" customHeight="1">
      <c r="A101" s="40" t="inlineStr">
        <is>
          <t>Management fees (intercompany)</t>
        </is>
      </c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41">
        <f>SUM(B101:M101)</f>
        <v/>
      </c>
    </row>
    <row r="102" ht="16" customHeight="1">
      <c r="A102" s="40" t="inlineStr">
        <is>
          <t>Mortgage interest</t>
        </is>
      </c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41">
        <f>SUM(B102:M102)</f>
        <v/>
      </c>
    </row>
    <row r="103" ht="16" customHeight="1">
      <c r="A103" s="40" t="inlineStr">
        <is>
          <t>Repairs</t>
        </is>
      </c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41">
        <f>SUM(B103:M103)</f>
        <v/>
      </c>
    </row>
    <row r="104" ht="16" customHeight="1">
      <c r="A104" s="40" t="inlineStr">
        <is>
          <t>Supplies</t>
        </is>
      </c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41">
        <f>SUM(B104:M104)</f>
        <v/>
      </c>
    </row>
    <row r="105" ht="16" customHeight="1">
      <c r="A105" s="40" t="inlineStr">
        <is>
          <t>Property taxes</t>
        </is>
      </c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41">
        <f>SUM(B105:M105)</f>
        <v/>
      </c>
    </row>
    <row r="106" ht="16" customHeight="1">
      <c r="A106" s="40" t="inlineStr">
        <is>
          <t>Utilities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41">
        <f>SUM(B106:M106)</f>
        <v/>
      </c>
    </row>
    <row r="107" ht="16" customHeight="1">
      <c r="A107" s="40" t="inlineStr">
        <is>
          <t>Platform fees</t>
        </is>
      </c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41">
        <f>SUM(B107:M107)</f>
        <v/>
      </c>
    </row>
    <row r="108" ht="16" customHeight="1">
      <c r="A108" s="40" t="inlineStr">
        <is>
          <t>Other</t>
        </is>
      </c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41">
        <f>SUM(B108:M108)</f>
        <v/>
      </c>
    </row>
    <row r="109" ht="20" customHeight="1">
      <c r="A109" s="42" t="inlineStr">
        <is>
          <t>TOTAL EXPENSES</t>
        </is>
      </c>
      <c r="B109" s="43">
        <f>SUM(B97:B108)</f>
        <v/>
      </c>
      <c r="C109" s="43">
        <f>SUM(C97:C108)</f>
        <v/>
      </c>
      <c r="D109" s="43">
        <f>SUM(D97:D108)</f>
        <v/>
      </c>
      <c r="E109" s="43">
        <f>SUM(E97:E108)</f>
        <v/>
      </c>
      <c r="F109" s="43">
        <f>SUM(F97:F108)</f>
        <v/>
      </c>
      <c r="G109" s="43">
        <f>SUM(G97:G108)</f>
        <v/>
      </c>
      <c r="H109" s="43">
        <f>SUM(H97:H108)</f>
        <v/>
      </c>
      <c r="I109" s="43">
        <f>SUM(I97:I108)</f>
        <v/>
      </c>
      <c r="J109" s="43">
        <f>SUM(J97:J108)</f>
        <v/>
      </c>
      <c r="K109" s="43">
        <f>SUM(K97:K108)</f>
        <v/>
      </c>
      <c r="L109" s="43">
        <f>SUM(L97:L108)</f>
        <v/>
      </c>
      <c r="M109" s="43">
        <f>SUM(M97:M108)</f>
        <v/>
      </c>
      <c r="N109" s="43">
        <f>SUM(N97:N108)</f>
        <v/>
      </c>
    </row>
    <row r="110" ht="22" customHeight="1">
      <c r="A110" s="44" t="inlineStr">
        <is>
          <t>NOI (Revenue − Expenses)</t>
        </is>
      </c>
      <c r="B110" s="39">
        <f>B96-B109</f>
        <v/>
      </c>
      <c r="C110" s="39">
        <f>C96-C109</f>
        <v/>
      </c>
      <c r="D110" s="39">
        <f>D96-D109</f>
        <v/>
      </c>
      <c r="E110" s="39">
        <f>E96-E109</f>
        <v/>
      </c>
      <c r="F110" s="39">
        <f>F96-F109</f>
        <v/>
      </c>
      <c r="G110" s="39">
        <f>G96-G109</f>
        <v/>
      </c>
      <c r="H110" s="39">
        <f>H96-H109</f>
        <v/>
      </c>
      <c r="I110" s="39">
        <f>I96-I109</f>
        <v/>
      </c>
      <c r="J110" s="39">
        <f>J96-J109</f>
        <v/>
      </c>
      <c r="K110" s="39">
        <f>K96-K109</f>
        <v/>
      </c>
      <c r="L110" s="39">
        <f>L96-L109</f>
        <v/>
      </c>
      <c r="M110" s="39">
        <f>M96-M109</f>
        <v/>
      </c>
      <c r="N110" s="39">
        <f>N96-N109</f>
        <v/>
      </c>
    </row>
  </sheetData>
  <mergeCells count="9">
    <mergeCell ref="J2:L2"/>
    <mergeCell ref="D2:I2"/>
    <mergeCell ref="A6:N6"/>
    <mergeCell ref="A50:N50"/>
    <mergeCell ref="A4:N4"/>
    <mergeCell ref="A72:N72"/>
    <mergeCell ref="A28:N28"/>
    <mergeCell ref="A2:C2"/>
    <mergeCell ref="A94:N94"/>
  </mergeCells>
  <conditionalFormatting sqref="B22:N2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B44:N44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B66:N66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B88:N8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B110:N110">
    <cfRule type="cellIs" priority="9" operator="lessThan" dxfId="0">
      <formula>0</formula>
    </cfRule>
    <cfRule type="cellIs" priority="10" operator="greaterThan" dxfId="1">
      <formula>0</formula>
    </cfRule>
  </conditionalFormatting>
  <pageMargins left="0.3" right="0.3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6" customWidth="1" min="4" max="4"/>
    <col width="12" customWidth="1" min="5" max="5"/>
    <col width="18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HYPERLINK("#'Per-Entity P&amp;L'!A1", "← BACK")</f>
        <v/>
      </c>
      <c r="B2" s="23" t="n"/>
      <c r="C2" s="23" t="n"/>
      <c r="D2" s="32" t="inlineStr">
        <is>
          <t>INTERCOMPANY</t>
        </is>
      </c>
      <c r="J2" s="26">
        <f>HYPERLINK("#'Consolidated P&amp;L'!A1",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0" customHeight="1">
      <c r="A4" s="33" t="inlineStr">
        <is>
          <t>Eliminations register (capacity 30). Management fees, shared-service allocations, inter-LLC loans. 'Eliminated at consolidation?' = Yes removes the entry from the Consolidated P&amp;L.</t>
        </is>
      </c>
    </row>
    <row r="5" ht="24" customHeight="1">
      <c r="A5" s="34" t="inlineStr">
        <is>
          <t>Date</t>
        </is>
      </c>
      <c r="B5" s="34" t="inlineStr">
        <is>
          <t>From entity</t>
        </is>
      </c>
      <c r="C5" s="34" t="inlineStr">
        <is>
          <t>To entity</t>
        </is>
      </c>
      <c r="D5" s="34" t="inlineStr">
        <is>
          <t>Description</t>
        </is>
      </c>
      <c r="E5" s="34" t="inlineStr">
        <is>
          <t>Amount</t>
        </is>
      </c>
      <c r="F5" s="34" t="inlineStr">
        <is>
          <t>Type</t>
        </is>
      </c>
      <c r="G5" s="34" t="inlineStr">
        <is>
          <t>Eliminated?</t>
        </is>
      </c>
    </row>
    <row r="6" ht="16" customHeight="1">
      <c r="A6" s="45" t="n"/>
      <c r="B6" s="35" t="n"/>
      <c r="C6" s="35" t="n"/>
      <c r="D6" s="35" t="n"/>
      <c r="E6" s="46" t="n"/>
      <c r="F6" s="35" t="n"/>
      <c r="G6" s="35" t="n"/>
    </row>
    <row r="7" ht="16" customHeight="1">
      <c r="A7" s="45" t="n"/>
      <c r="B7" s="35" t="n"/>
      <c r="C7" s="35" t="n"/>
      <c r="D7" s="35" t="n"/>
      <c r="E7" s="46" t="n"/>
      <c r="F7" s="35" t="n"/>
      <c r="G7" s="35" t="n"/>
    </row>
    <row r="8" ht="16" customHeight="1">
      <c r="A8" s="45" t="n"/>
      <c r="B8" s="35" t="n"/>
      <c r="C8" s="35" t="n"/>
      <c r="D8" s="35" t="n"/>
      <c r="E8" s="46" t="n"/>
      <c r="F8" s="35" t="n"/>
      <c r="G8" s="35" t="n"/>
    </row>
    <row r="9" ht="16" customHeight="1">
      <c r="A9" s="45" t="n"/>
      <c r="B9" s="35" t="n"/>
      <c r="C9" s="35" t="n"/>
      <c r="D9" s="35" t="n"/>
      <c r="E9" s="46" t="n"/>
      <c r="F9" s="35" t="n"/>
      <c r="G9" s="35" t="n"/>
    </row>
    <row r="10" ht="16" customHeight="1">
      <c r="A10" s="45" t="n"/>
      <c r="B10" s="35" t="n"/>
      <c r="C10" s="35" t="n"/>
      <c r="D10" s="35" t="n"/>
      <c r="E10" s="46" t="n"/>
      <c r="F10" s="35" t="n"/>
      <c r="G10" s="35" t="n"/>
    </row>
    <row r="11" ht="16" customHeight="1">
      <c r="A11" s="45" t="n"/>
      <c r="B11" s="35" t="n"/>
      <c r="C11" s="35" t="n"/>
      <c r="D11" s="35" t="n"/>
      <c r="E11" s="46" t="n"/>
      <c r="F11" s="35" t="n"/>
      <c r="G11" s="35" t="n"/>
    </row>
    <row r="12" ht="16" customHeight="1">
      <c r="A12" s="45" t="n"/>
      <c r="B12" s="35" t="n"/>
      <c r="C12" s="35" t="n"/>
      <c r="D12" s="35" t="n"/>
      <c r="E12" s="46" t="n"/>
      <c r="F12" s="35" t="n"/>
      <c r="G12" s="35" t="n"/>
    </row>
    <row r="13" ht="16" customHeight="1">
      <c r="A13" s="45" t="n"/>
      <c r="B13" s="35" t="n"/>
      <c r="C13" s="35" t="n"/>
      <c r="D13" s="35" t="n"/>
      <c r="E13" s="46" t="n"/>
      <c r="F13" s="35" t="n"/>
      <c r="G13" s="35" t="n"/>
    </row>
    <row r="14" ht="16" customHeight="1">
      <c r="A14" s="45" t="n"/>
      <c r="B14" s="35" t="n"/>
      <c r="C14" s="35" t="n"/>
      <c r="D14" s="35" t="n"/>
      <c r="E14" s="46" t="n"/>
      <c r="F14" s="35" t="n"/>
      <c r="G14" s="35" t="n"/>
    </row>
    <row r="15" ht="16" customHeight="1">
      <c r="A15" s="45" t="n"/>
      <c r="B15" s="35" t="n"/>
      <c r="C15" s="35" t="n"/>
      <c r="D15" s="35" t="n"/>
      <c r="E15" s="46" t="n"/>
      <c r="F15" s="35" t="n"/>
      <c r="G15" s="35" t="n"/>
    </row>
    <row r="16" ht="16" customHeight="1">
      <c r="A16" s="45" t="n"/>
      <c r="B16" s="35" t="n"/>
      <c r="C16" s="35" t="n"/>
      <c r="D16" s="35" t="n"/>
      <c r="E16" s="46" t="n"/>
      <c r="F16" s="35" t="n"/>
      <c r="G16" s="35" t="n"/>
    </row>
    <row r="17" ht="16" customHeight="1">
      <c r="A17" s="45" t="n"/>
      <c r="B17" s="35" t="n"/>
      <c r="C17" s="35" t="n"/>
      <c r="D17" s="35" t="n"/>
      <c r="E17" s="46" t="n"/>
      <c r="F17" s="35" t="n"/>
      <c r="G17" s="35" t="n"/>
    </row>
    <row r="18" ht="16" customHeight="1">
      <c r="A18" s="45" t="n"/>
      <c r="B18" s="35" t="n"/>
      <c r="C18" s="35" t="n"/>
      <c r="D18" s="35" t="n"/>
      <c r="E18" s="46" t="n"/>
      <c r="F18" s="35" t="n"/>
      <c r="G18" s="35" t="n"/>
    </row>
    <row r="19" ht="16" customHeight="1">
      <c r="A19" s="45" t="n"/>
      <c r="B19" s="35" t="n"/>
      <c r="C19" s="35" t="n"/>
      <c r="D19" s="35" t="n"/>
      <c r="E19" s="46" t="n"/>
      <c r="F19" s="35" t="n"/>
      <c r="G19" s="35" t="n"/>
    </row>
    <row r="20" ht="16" customHeight="1">
      <c r="A20" s="45" t="n"/>
      <c r="B20" s="35" t="n"/>
      <c r="C20" s="35" t="n"/>
      <c r="D20" s="35" t="n"/>
      <c r="E20" s="46" t="n"/>
      <c r="F20" s="35" t="n"/>
      <c r="G20" s="35" t="n"/>
    </row>
    <row r="21" ht="16" customHeight="1">
      <c r="A21" s="45" t="n"/>
      <c r="B21" s="35" t="n"/>
      <c r="C21" s="35" t="n"/>
      <c r="D21" s="35" t="n"/>
      <c r="E21" s="46" t="n"/>
      <c r="F21" s="35" t="n"/>
      <c r="G21" s="35" t="n"/>
    </row>
    <row r="22" ht="16" customHeight="1">
      <c r="A22" s="45" t="n"/>
      <c r="B22" s="35" t="n"/>
      <c r="C22" s="35" t="n"/>
      <c r="D22" s="35" t="n"/>
      <c r="E22" s="46" t="n"/>
      <c r="F22" s="35" t="n"/>
      <c r="G22" s="35" t="n"/>
    </row>
    <row r="23" ht="16" customHeight="1">
      <c r="A23" s="45" t="n"/>
      <c r="B23" s="35" t="n"/>
      <c r="C23" s="35" t="n"/>
      <c r="D23" s="35" t="n"/>
      <c r="E23" s="46" t="n"/>
      <c r="F23" s="35" t="n"/>
      <c r="G23" s="35" t="n"/>
    </row>
    <row r="24" ht="16" customHeight="1">
      <c r="A24" s="45" t="n"/>
      <c r="B24" s="35" t="n"/>
      <c r="C24" s="35" t="n"/>
      <c r="D24" s="35" t="n"/>
      <c r="E24" s="46" t="n"/>
      <c r="F24" s="35" t="n"/>
      <c r="G24" s="35" t="n"/>
    </row>
    <row r="25" ht="16" customHeight="1">
      <c r="A25" s="45" t="n"/>
      <c r="B25" s="35" t="n"/>
      <c r="C25" s="35" t="n"/>
      <c r="D25" s="35" t="n"/>
      <c r="E25" s="46" t="n"/>
      <c r="F25" s="35" t="n"/>
      <c r="G25" s="35" t="n"/>
    </row>
    <row r="26" ht="16" customHeight="1">
      <c r="A26" s="45" t="n"/>
      <c r="B26" s="35" t="n"/>
      <c r="C26" s="35" t="n"/>
      <c r="D26" s="35" t="n"/>
      <c r="E26" s="46" t="n"/>
      <c r="F26" s="35" t="n"/>
      <c r="G26" s="35" t="n"/>
    </row>
    <row r="27" ht="16" customHeight="1">
      <c r="A27" s="45" t="n"/>
      <c r="B27" s="35" t="n"/>
      <c r="C27" s="35" t="n"/>
      <c r="D27" s="35" t="n"/>
      <c r="E27" s="46" t="n"/>
      <c r="F27" s="35" t="n"/>
      <c r="G27" s="35" t="n"/>
    </row>
    <row r="28" ht="16" customHeight="1">
      <c r="A28" s="45" t="n"/>
      <c r="B28" s="35" t="n"/>
      <c r="C28" s="35" t="n"/>
      <c r="D28" s="35" t="n"/>
      <c r="E28" s="46" t="n"/>
      <c r="F28" s="35" t="n"/>
      <c r="G28" s="35" t="n"/>
    </row>
    <row r="29" ht="16" customHeight="1">
      <c r="A29" s="45" t="n"/>
      <c r="B29" s="35" t="n"/>
      <c r="C29" s="35" t="n"/>
      <c r="D29" s="35" t="n"/>
      <c r="E29" s="46" t="n"/>
      <c r="F29" s="35" t="n"/>
      <c r="G29" s="35" t="n"/>
    </row>
    <row r="30" ht="16" customHeight="1">
      <c r="A30" s="45" t="n"/>
      <c r="B30" s="35" t="n"/>
      <c r="C30" s="35" t="n"/>
      <c r="D30" s="35" t="n"/>
      <c r="E30" s="46" t="n"/>
      <c r="F30" s="35" t="n"/>
      <c r="G30" s="35" t="n"/>
    </row>
    <row r="31" ht="16" customHeight="1">
      <c r="A31" s="45" t="n"/>
      <c r="B31" s="35" t="n"/>
      <c r="C31" s="35" t="n"/>
      <c r="D31" s="35" t="n"/>
      <c r="E31" s="46" t="n"/>
      <c r="F31" s="35" t="n"/>
      <c r="G31" s="35" t="n"/>
    </row>
    <row r="32" ht="16" customHeight="1">
      <c r="A32" s="45" t="n"/>
      <c r="B32" s="35" t="n"/>
      <c r="C32" s="35" t="n"/>
      <c r="D32" s="35" t="n"/>
      <c r="E32" s="46" t="n"/>
      <c r="F32" s="35" t="n"/>
      <c r="G32" s="35" t="n"/>
    </row>
    <row r="33" ht="16" customHeight="1">
      <c r="A33" s="45" t="n"/>
      <c r="B33" s="35" t="n"/>
      <c r="C33" s="35" t="n"/>
      <c r="D33" s="35" t="n"/>
      <c r="E33" s="46" t="n"/>
      <c r="F33" s="35" t="n"/>
      <c r="G33" s="35" t="n"/>
    </row>
    <row r="34" ht="16" customHeight="1">
      <c r="A34" s="45" t="n"/>
      <c r="B34" s="35" t="n"/>
      <c r="C34" s="35" t="n"/>
      <c r="D34" s="35" t="n"/>
      <c r="E34" s="46" t="n"/>
      <c r="F34" s="35" t="n"/>
      <c r="G34" s="35" t="n"/>
    </row>
    <row r="35" ht="16" customHeight="1">
      <c r="A35" s="45" t="n"/>
      <c r="B35" s="35" t="n"/>
      <c r="C35" s="35" t="n"/>
      <c r="D35" s="35" t="n"/>
      <c r="E35" s="46" t="n"/>
      <c r="F35" s="35" t="n"/>
      <c r="G35" s="35" t="n"/>
    </row>
    <row r="37" ht="22" customHeight="1">
      <c r="A37" s="47" t="inlineStr">
        <is>
          <t>ELIMINATED TOTAL (Type=Mgmt fee, Eliminated=Yes):</t>
        </is>
      </c>
      <c r="E37" s="48">
        <f>SUMIFS(E6:E35,F6:F35,"Management fee",G6:G35,"Yes")</f>
        <v/>
      </c>
    </row>
  </sheetData>
  <mergeCells count="5">
    <mergeCell ref="A37:D37"/>
    <mergeCell ref="J2:L2"/>
    <mergeCell ref="D2:I2"/>
    <mergeCell ref="A2:C2"/>
    <mergeCell ref="A4:L4"/>
  </mergeCells>
  <dataValidations count="4">
    <dataValidation sqref="B6:B35" showDropDown="0" showInputMessage="0" showErrorMessage="0" allowBlank="1" type="list">
      <formula1>='Entity Setup'!$A$6:$A$15</formula1>
    </dataValidation>
    <dataValidation sqref="C6:C35" showDropDown="0" showInputMessage="0" showErrorMessage="0" allowBlank="1" type="list">
      <formula1>='Entity Setup'!$A$6:$A$15</formula1>
    </dataValidation>
    <dataValidation sqref="F6:F35" showDropDown="0" showInputMessage="0" showErrorMessage="0" allowBlank="1" type="list">
      <formula1>"Management fee,Allocation,Loan,Other"</formula1>
    </dataValidation>
    <dataValidation sqref="G6:G3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4" customWidth="1" min="3" max="3"/>
    <col width="32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HYPERLINK("#'Intercompany'!A1", "← BACK")</f>
        <v/>
      </c>
      <c r="B2" s="23" t="n"/>
      <c r="C2" s="23" t="n"/>
      <c r="D2" s="32" t="inlineStr">
        <is>
          <t>CONSOLIDATED P&amp;L</t>
        </is>
      </c>
      <c r="J2" s="26">
        <f>HYPERLINK("#'Member Distributions'!A1",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3" t="inlineStr">
        <is>
          <t>Holding-company-level roll-up. Sum of entity P&amp;Ls minus intercompany eliminations. Print-ready for CPA hand-off. Tax year: Settings → B5.</t>
        </is>
      </c>
    </row>
    <row r="5" ht="24" customHeight="1">
      <c r="A5" s="34" t="inlineStr">
        <is>
          <t>Category</t>
        </is>
      </c>
      <c r="B5" s="34" t="inlineStr">
        <is>
          <t>Consolidated YTD</t>
        </is>
      </c>
      <c r="D5" s="49">
        <f>"For tax year "&amp;Settings!$B$5</f>
        <v/>
      </c>
    </row>
    <row r="7" ht="24" customHeight="1">
      <c r="A7" s="50" t="inlineStr">
        <is>
          <t>Revenue (rents + fees)</t>
        </is>
      </c>
      <c r="B7" s="51">
        <f>'Per-Entity P&amp;L'!N8+'Per-Entity P&amp;L'!N30+'Per-Entity P&amp;L'!N52+'Per-Entity P&amp;L'!N74+'Per-Entity P&amp;L'!N96</f>
        <v/>
      </c>
      <c r="D7" s="52" t="inlineStr">
        <is>
          <t>READ-OUT NOTES
• Pre-elim NOI sums every entity's net.
• Symmetric intercompany activity (mgmt fee charged AND paid) nets to zero at consolidation.
• If you only recorded one side of an intercompany, adjust the Eliminations row manually.
• Print this tab + the K-1 Worksheet for your CPA hand-off.</t>
        </is>
      </c>
    </row>
    <row r="8"/>
    <row r="9" ht="22" customHeight="1">
      <c r="A9" s="53" t="inlineStr">
        <is>
          <t>EXPENSES</t>
        </is>
      </c>
    </row>
    <row r="10" ht="16" customHeight="1">
      <c r="A10" s="40" t="inlineStr">
        <is>
          <t>Advertising</t>
        </is>
      </c>
      <c r="B10" s="41">
        <f>'Per-Entity P&amp;L'!N9+'Per-Entity P&amp;L'!N31+'Per-Entity P&amp;L'!N53+'Per-Entity P&amp;L'!N75+'Per-Entity P&amp;L'!N97</f>
        <v/>
      </c>
    </row>
    <row r="11" ht="16" customHeight="1">
      <c r="A11" s="40" t="inlineStr">
        <is>
          <t>Cleaning + maintenance</t>
        </is>
      </c>
      <c r="B11" s="41">
        <f>'Per-Entity P&amp;L'!N10+'Per-Entity P&amp;L'!N32+'Per-Entity P&amp;L'!N54+'Per-Entity P&amp;L'!N76+'Per-Entity P&amp;L'!N98</f>
        <v/>
      </c>
    </row>
    <row r="12" ht="16" customHeight="1">
      <c r="A12" s="40" t="inlineStr">
        <is>
          <t>Insurance</t>
        </is>
      </c>
      <c r="B12" s="41">
        <f>'Per-Entity P&amp;L'!N11+'Per-Entity P&amp;L'!N33+'Per-Entity P&amp;L'!N55+'Per-Entity P&amp;L'!N77+'Per-Entity P&amp;L'!N99</f>
        <v/>
      </c>
    </row>
    <row r="13" ht="16" customHeight="1">
      <c r="A13" s="40" t="inlineStr">
        <is>
          <t>Legal + professional</t>
        </is>
      </c>
      <c r="B13" s="41">
        <f>'Per-Entity P&amp;L'!N12+'Per-Entity P&amp;L'!N34+'Per-Entity P&amp;L'!N56+'Per-Entity P&amp;L'!N78+'Per-Entity P&amp;L'!N100</f>
        <v/>
      </c>
    </row>
    <row r="14" ht="16" customHeight="1">
      <c r="A14" s="40" t="inlineStr">
        <is>
          <t>Management fees (intercompany)</t>
        </is>
      </c>
      <c r="B14" s="41">
        <f>'Per-Entity P&amp;L'!N13+'Per-Entity P&amp;L'!N35+'Per-Entity P&amp;L'!N57+'Per-Entity P&amp;L'!N79+'Per-Entity P&amp;L'!N101</f>
        <v/>
      </c>
    </row>
    <row r="15" ht="16" customHeight="1">
      <c r="A15" s="40" t="inlineStr">
        <is>
          <t>Mortgage interest</t>
        </is>
      </c>
      <c r="B15" s="41">
        <f>'Per-Entity P&amp;L'!N14+'Per-Entity P&amp;L'!N36+'Per-Entity P&amp;L'!N58+'Per-Entity P&amp;L'!N80+'Per-Entity P&amp;L'!N102</f>
        <v/>
      </c>
    </row>
    <row r="16" ht="16" customHeight="1">
      <c r="A16" s="40" t="inlineStr">
        <is>
          <t>Repairs</t>
        </is>
      </c>
      <c r="B16" s="41">
        <f>'Per-Entity P&amp;L'!N15+'Per-Entity P&amp;L'!N37+'Per-Entity P&amp;L'!N59+'Per-Entity P&amp;L'!N81+'Per-Entity P&amp;L'!N103</f>
        <v/>
      </c>
    </row>
    <row r="17" ht="16" customHeight="1">
      <c r="A17" s="40" t="inlineStr">
        <is>
          <t>Supplies</t>
        </is>
      </c>
      <c r="B17" s="41">
        <f>'Per-Entity P&amp;L'!N16+'Per-Entity P&amp;L'!N38+'Per-Entity P&amp;L'!N60+'Per-Entity P&amp;L'!N82+'Per-Entity P&amp;L'!N104</f>
        <v/>
      </c>
    </row>
    <row r="18" ht="16" customHeight="1">
      <c r="A18" s="40" t="inlineStr">
        <is>
          <t>Property taxes</t>
        </is>
      </c>
      <c r="B18" s="41">
        <f>'Per-Entity P&amp;L'!N17+'Per-Entity P&amp;L'!N39+'Per-Entity P&amp;L'!N61+'Per-Entity P&amp;L'!N83+'Per-Entity P&amp;L'!N105</f>
        <v/>
      </c>
    </row>
    <row r="19" ht="16" customHeight="1">
      <c r="A19" s="40" t="inlineStr">
        <is>
          <t>Utilities</t>
        </is>
      </c>
      <c r="B19" s="41">
        <f>'Per-Entity P&amp;L'!N18+'Per-Entity P&amp;L'!N40+'Per-Entity P&amp;L'!N62+'Per-Entity P&amp;L'!N84+'Per-Entity P&amp;L'!N106</f>
        <v/>
      </c>
    </row>
    <row r="20" ht="16" customHeight="1">
      <c r="A20" s="40" t="inlineStr">
        <is>
          <t>Platform fees</t>
        </is>
      </c>
      <c r="B20" s="41">
        <f>'Per-Entity P&amp;L'!N19+'Per-Entity P&amp;L'!N41+'Per-Entity P&amp;L'!N63+'Per-Entity P&amp;L'!N85+'Per-Entity P&amp;L'!N107</f>
        <v/>
      </c>
    </row>
    <row r="21" ht="16" customHeight="1">
      <c r="A21" s="40" t="inlineStr">
        <is>
          <t>Other</t>
        </is>
      </c>
      <c r="B21" s="41">
        <f>'Per-Entity P&amp;L'!N20+'Per-Entity P&amp;L'!N42+'Per-Entity P&amp;L'!N64+'Per-Entity P&amp;L'!N86+'Per-Entity P&amp;L'!N108</f>
        <v/>
      </c>
    </row>
    <row r="22" ht="22" customHeight="1">
      <c r="A22" s="42" t="inlineStr">
        <is>
          <t>TOTAL EXPENSES (pre-elimination)</t>
        </is>
      </c>
      <c r="B22" s="43">
        <f>SUM(B10:B21)</f>
        <v/>
      </c>
    </row>
    <row r="23" ht="20" customHeight="1">
      <c r="A23" s="54" t="inlineStr">
        <is>
          <t>Pre-elimination NOI</t>
        </is>
      </c>
      <c r="B23" s="41">
        <f>B7-B22</f>
        <v/>
      </c>
    </row>
    <row r="24" ht="20" customHeight="1">
      <c r="A24" s="55" t="inlineStr">
        <is>
          <t>Less: intercompany eliminations</t>
        </is>
      </c>
      <c r="B24" s="56">
        <f>SUMIFS(Intercompany!E6:E35,Intercompany!G6:G35,"Yes")</f>
        <v/>
      </c>
    </row>
    <row r="25" ht="30" customHeight="1">
      <c r="A25" s="57" t="inlineStr">
        <is>
          <t>CONSOLIDATED NOI</t>
        </is>
      </c>
      <c r="B25" s="58">
        <f>B23</f>
        <v/>
      </c>
    </row>
  </sheetData>
  <mergeCells count="7">
    <mergeCell ref="J2:L2"/>
    <mergeCell ref="D2:I2"/>
    <mergeCell ref="D7:D25"/>
    <mergeCell ref="A9:B9"/>
    <mergeCell ref="D5"/>
    <mergeCell ref="A2:C2"/>
    <mergeCell ref="A4:L4"/>
  </mergeCells>
  <conditionalFormatting sqref="B25">
    <cfRule type="cellIs" priority="1" operator="lessThan" dxfId="0">
      <formula>0</formula>
    </cfRule>
  </conditionalFormatting>
  <pageMargins left="0.5" right="0.5" top="0.5" bottom="0.5" header="0.5" footer="0.5"/>
  <pageSetup orientation="portrait" paperSize="1" fitToHeight="1" fitToWidth="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N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HYPERLINK("#'Consolidated P&amp;L'!A1", "← BACK")</f>
        <v/>
      </c>
      <c r="B2" s="23" t="n"/>
      <c r="C2" s="23" t="n"/>
      <c r="D2" s="32" t="inlineStr">
        <is>
          <t>MEMBER DISTRIBUTIONS</t>
        </is>
      </c>
      <c r="J2" s="26">
        <f>HYPERLINK("#'K-1 Worksheet'!A1",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3" t="inlineStr">
        <is>
          <t>Cash distributions to members across all entities. Rows pull from Settings → Member List. YTD totals roll up to Start tab.</t>
        </is>
      </c>
    </row>
    <row r="5" ht="22" customHeight="1">
      <c r="A5" s="34" t="inlineStr">
        <is>
          <t>Member</t>
        </is>
      </c>
      <c r="B5" s="34" t="inlineStr">
        <is>
          <t>Jan</t>
        </is>
      </c>
      <c r="C5" s="34" t="inlineStr">
        <is>
          <t>Feb</t>
        </is>
      </c>
      <c r="D5" s="34" t="inlineStr">
        <is>
          <t>Mar</t>
        </is>
      </c>
      <c r="E5" s="34" t="inlineStr">
        <is>
          <t>Apr</t>
        </is>
      </c>
      <c r="F5" s="34" t="inlineStr">
        <is>
          <t>May</t>
        </is>
      </c>
      <c r="G5" s="34" t="inlineStr">
        <is>
          <t>Jun</t>
        </is>
      </c>
      <c r="H5" s="34" t="inlineStr">
        <is>
          <t>Jul</t>
        </is>
      </c>
      <c r="I5" s="34" t="inlineStr">
        <is>
          <t>Aug</t>
        </is>
      </c>
      <c r="J5" s="34" t="inlineStr">
        <is>
          <t>Sep</t>
        </is>
      </c>
      <c r="K5" s="34" t="inlineStr">
        <is>
          <t>Oct</t>
        </is>
      </c>
      <c r="L5" s="34" t="inlineStr">
        <is>
          <t>Nov</t>
        </is>
      </c>
      <c r="M5" s="34" t="inlineStr">
        <is>
          <t>Dec</t>
        </is>
      </c>
      <c r="N5" s="34" t="inlineStr">
        <is>
          <t>YTD</t>
        </is>
      </c>
    </row>
    <row r="6" ht="18" customHeight="1">
      <c r="A6" s="59">
        <f>IFERROR(Settings!B18,"")</f>
        <v/>
      </c>
      <c r="B6" s="38" t="n"/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60">
        <f>SUM(B6:M6)</f>
        <v/>
      </c>
    </row>
    <row r="7" ht="18" customHeight="1">
      <c r="A7" s="59">
        <f>IFERROR(Settings!B19,"")</f>
        <v/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60">
        <f>SUM(B7:M7)</f>
        <v/>
      </c>
    </row>
    <row r="8" ht="18" customHeight="1">
      <c r="A8" s="59">
        <f>IFERROR(Settings!B20,"")</f>
        <v/>
      </c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60">
        <f>SUM(B8:M8)</f>
        <v/>
      </c>
    </row>
    <row r="9" ht="18" customHeight="1">
      <c r="A9" s="59">
        <f>IFERROR(Settings!B21,"")</f>
        <v/>
      </c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60">
        <f>SUM(B9:M9)</f>
        <v/>
      </c>
    </row>
    <row r="10" ht="18" customHeight="1">
      <c r="A10" s="59">
        <f>IFERROR(Settings!B22,"")</f>
        <v/>
      </c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60">
        <f>SUM(B10:M10)</f>
        <v/>
      </c>
    </row>
    <row r="11" ht="18" customHeight="1">
      <c r="A11" s="59">
        <f>IFERROR(Settings!B23,"")</f>
        <v/>
      </c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60">
        <f>SUM(B11:M11)</f>
        <v/>
      </c>
    </row>
    <row r="12" ht="18" customHeight="1">
      <c r="A12" s="59">
        <f>IFERROR(Settings!B24,"")</f>
        <v/>
      </c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60">
        <f>SUM(B12:M12)</f>
        <v/>
      </c>
    </row>
    <row r="13" ht="18" customHeight="1">
      <c r="A13" s="59">
        <f>IFERROR(Settings!B25,"")</f>
        <v/>
      </c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60">
        <f>SUM(B13:M13)</f>
        <v/>
      </c>
    </row>
    <row r="14" ht="18" customHeight="1">
      <c r="A14" s="59">
        <f>IFERROR(Settings!B26,"")</f>
        <v/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60">
        <f>SUM(B14:M14)</f>
        <v/>
      </c>
    </row>
    <row r="15" ht="18" customHeight="1">
      <c r="A15" s="59">
        <f>IFERROR(Settings!B27,"")</f>
        <v/>
      </c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60">
        <f>SUM(B15:M15)</f>
        <v/>
      </c>
    </row>
    <row r="17" ht="24" customHeight="1">
      <c r="A17" s="61" t="inlineStr">
        <is>
          <t>TOTAL DISTRIBUTIONS</t>
        </is>
      </c>
      <c r="B17" s="62">
        <f>SUM(B6:B15)</f>
        <v/>
      </c>
      <c r="C17" s="62">
        <f>SUM(C6:C15)</f>
        <v/>
      </c>
      <c r="D17" s="62">
        <f>SUM(D6:D15)</f>
        <v/>
      </c>
      <c r="E17" s="62">
        <f>SUM(E6:E15)</f>
        <v/>
      </c>
      <c r="F17" s="62">
        <f>SUM(F6:F15)</f>
        <v/>
      </c>
      <c r="G17" s="62">
        <f>SUM(G6:G15)</f>
        <v/>
      </c>
      <c r="H17" s="62">
        <f>SUM(H6:H15)</f>
        <v/>
      </c>
      <c r="I17" s="62">
        <f>SUM(I6:I15)</f>
        <v/>
      </c>
      <c r="J17" s="62">
        <f>SUM(J6:J15)</f>
        <v/>
      </c>
      <c r="K17" s="62">
        <f>SUM(K6:K15)</f>
        <v/>
      </c>
      <c r="L17" s="62">
        <f>SUM(L6:L15)</f>
        <v/>
      </c>
      <c r="M17" s="62">
        <f>SUM(M6:M15)</f>
        <v/>
      </c>
      <c r="N17" s="62">
        <f>SUM(N6:N15)</f>
        <v/>
      </c>
    </row>
  </sheetData>
  <mergeCells count="4">
    <mergeCell ref="A4:N4"/>
    <mergeCell ref="J2:L2"/>
    <mergeCell ref="D2:I2"/>
    <mergeCell ref="A2:C2"/>
  </mergeCells>
  <pageMargins left="0.4" right="0.4" top="0.5" bottom="0.5" header="0.5" footer="0.5"/>
  <pageSetup orientation="landscape" paperSize="1" fitToHeight="1" fitToWidth="1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  <col width="18" customWidth="1" min="5" max="5"/>
    <col width="16" customWidth="1" min="6" max="6"/>
    <col width="18" customWidth="1" min="7" max="7"/>
    <col width="24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HYPERLINK("#'Member Distributions'!A1", "← BACK")</f>
        <v/>
      </c>
      <c r="B2" s="23" t="n"/>
      <c r="C2" s="23" t="n"/>
      <c r="D2" s="32" t="inlineStr">
        <is>
          <t>K-1 WORKSHEET</t>
        </is>
      </c>
      <c r="J2" s="26">
        <f>HYPERLINK("#'Settings'!A1", "NEXT →")</f>
        <v/>
      </c>
      <c r="K2" s="27" t="n"/>
      <c r="L2" s="2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6" customHeight="1">
      <c r="A4" s="63" t="inlineStr">
        <is>
          <t xml:space="preserve">  CPA HAND-OFF NOTICE — These are working figures, NOT a filed K-1. Schedule K-1 (Form 1065) preparation is your CPA's job. The numbers below show your share of each LLC's ordinary income and distributions for the active tax year on Settings → B5. Hand this tab to your CPA.</t>
        </is>
      </c>
      <c r="B4" s="64" t="n"/>
      <c r="C4" s="64" t="n"/>
      <c r="D4" s="64" t="n"/>
      <c r="E4" s="64" t="n"/>
      <c r="F4" s="64" t="n"/>
      <c r="G4" s="64" t="n"/>
      <c r="H4" s="65" t="n"/>
    </row>
    <row r="5" ht="26" customHeight="1">
      <c r="A5" s="66" t="n"/>
      <c r="B5" s="67" t="n"/>
      <c r="C5" s="67" t="n"/>
      <c r="D5" s="67" t="n"/>
      <c r="E5" s="67" t="n"/>
      <c r="F5" s="67" t="n"/>
      <c r="G5" s="67" t="n"/>
      <c r="H5" s="68" t="n"/>
    </row>
    <row r="6" ht="18" customHeight="1">
      <c r="A6" s="69" t="inlineStr">
        <is>
          <t>Tax year: (see Settings)  ·  Ordinary income = Member % × Entity NOI  ·  Distributions pulled from Member Distributions tab</t>
        </is>
      </c>
    </row>
    <row r="7" ht="24" customHeight="1">
      <c r="A7" s="34" t="inlineStr">
        <is>
          <t>Member</t>
        </is>
      </c>
      <c r="B7" s="34" t="inlineStr">
        <is>
          <t>Entity</t>
        </is>
      </c>
      <c r="C7" s="34" t="inlineStr">
        <is>
          <t>Ownership %</t>
        </is>
      </c>
      <c r="D7" s="34" t="inlineStr">
        <is>
          <t>Entity NOI (YTD)</t>
        </is>
      </c>
      <c r="E7" s="34" t="inlineStr">
        <is>
          <t>Allocated ordinary income</t>
        </is>
      </c>
      <c r="F7" s="34" t="inlineStr">
        <is>
          <t>Distributions YTD</t>
        </is>
      </c>
      <c r="G7" s="34" t="inlineStr">
        <is>
          <t>Capital balance (manual)</t>
        </is>
      </c>
      <c r="H7" s="34" t="inlineStr">
        <is>
          <t>Notes</t>
        </is>
      </c>
    </row>
    <row r="8" ht="18" customHeight="1">
      <c r="A8" s="35" t="n"/>
      <c r="B8" s="35" t="n"/>
      <c r="C8" s="70" t="n"/>
      <c r="D8" s="41" t="n"/>
      <c r="E8" s="41" t="n"/>
      <c r="F8" s="41" t="n"/>
      <c r="G8" s="35" t="n"/>
      <c r="H8" s="35" t="n"/>
    </row>
    <row r="9" ht="18" customHeight="1">
      <c r="A9" s="35" t="n"/>
      <c r="B9" s="35" t="n"/>
      <c r="C9" s="70" t="n"/>
      <c r="D9" s="41" t="n"/>
      <c r="E9" s="41" t="n"/>
      <c r="F9" s="41" t="n"/>
      <c r="G9" s="35" t="n"/>
      <c r="H9" s="35" t="n"/>
    </row>
    <row r="10" ht="18" customHeight="1">
      <c r="A10" s="35" t="n"/>
      <c r="B10" s="35" t="n"/>
      <c r="C10" s="70" t="n"/>
      <c r="D10" s="41" t="n"/>
      <c r="E10" s="41" t="n"/>
      <c r="F10" s="41" t="n"/>
      <c r="G10" s="35" t="n"/>
      <c r="H10" s="35" t="n"/>
    </row>
    <row r="11" ht="18" customHeight="1">
      <c r="A11" s="35" t="n"/>
      <c r="B11" s="35" t="n"/>
      <c r="C11" s="70" t="n"/>
      <c r="D11" s="41" t="n"/>
      <c r="E11" s="41" t="n"/>
      <c r="F11" s="41" t="n"/>
      <c r="G11" s="35" t="n"/>
      <c r="H11" s="35" t="n"/>
    </row>
    <row r="12" ht="18" customHeight="1">
      <c r="A12" s="35" t="n"/>
      <c r="B12" s="35" t="n"/>
      <c r="C12" s="70" t="n"/>
      <c r="D12" s="41" t="n"/>
      <c r="E12" s="41" t="n"/>
      <c r="F12" s="41" t="n"/>
      <c r="G12" s="35" t="n"/>
      <c r="H12" s="35" t="n"/>
    </row>
    <row r="13" ht="18" customHeight="1">
      <c r="A13" s="35" t="n"/>
      <c r="B13" s="35" t="n"/>
      <c r="C13" s="70" t="n"/>
      <c r="D13" s="41" t="n"/>
      <c r="E13" s="41" t="n"/>
      <c r="F13" s="41" t="n"/>
      <c r="G13" s="35" t="n"/>
      <c r="H13" s="35" t="n"/>
    </row>
    <row r="14" ht="18" customHeight="1">
      <c r="A14" s="35" t="n"/>
      <c r="B14" s="35" t="n"/>
      <c r="C14" s="70" t="n"/>
      <c r="D14" s="41" t="n"/>
      <c r="E14" s="41" t="n"/>
      <c r="F14" s="41" t="n"/>
      <c r="G14" s="35" t="n"/>
      <c r="H14" s="35" t="n"/>
    </row>
    <row r="15" ht="18" customHeight="1">
      <c r="A15" s="35" t="n"/>
      <c r="B15" s="35" t="n"/>
      <c r="C15" s="70" t="n"/>
      <c r="D15" s="41" t="n"/>
      <c r="E15" s="41" t="n"/>
      <c r="F15" s="41" t="n"/>
      <c r="G15" s="35" t="n"/>
      <c r="H15" s="35" t="n"/>
    </row>
    <row r="16" ht="18" customHeight="1">
      <c r="A16" s="35" t="n"/>
      <c r="B16" s="35" t="n"/>
      <c r="C16" s="70" t="n"/>
      <c r="D16" s="41" t="n"/>
      <c r="E16" s="41" t="n"/>
      <c r="F16" s="41" t="n"/>
      <c r="G16" s="35" t="n"/>
      <c r="H16" s="35" t="n"/>
    </row>
    <row r="17" ht="18" customHeight="1">
      <c r="A17" s="35" t="n"/>
      <c r="B17" s="35" t="n"/>
      <c r="C17" s="70" t="n"/>
      <c r="D17" s="41" t="n"/>
      <c r="E17" s="41" t="n"/>
      <c r="F17" s="41" t="n"/>
      <c r="G17" s="35" t="n"/>
      <c r="H17" s="35" t="n"/>
    </row>
    <row r="18" ht="18" customHeight="1">
      <c r="A18" s="35" t="n"/>
      <c r="B18" s="35" t="n"/>
      <c r="C18" s="70" t="n"/>
      <c r="D18" s="41" t="n"/>
      <c r="E18" s="41" t="n"/>
      <c r="F18" s="41" t="n"/>
      <c r="G18" s="35" t="n"/>
      <c r="H18" s="35" t="n"/>
    </row>
    <row r="19" ht="18" customHeight="1">
      <c r="A19" s="35" t="n"/>
      <c r="B19" s="35" t="n"/>
      <c r="C19" s="70" t="n"/>
      <c r="D19" s="41" t="n"/>
      <c r="E19" s="41" t="n"/>
      <c r="F19" s="41" t="n"/>
      <c r="G19" s="35" t="n"/>
      <c r="H19" s="35" t="n"/>
    </row>
    <row r="20" ht="18" customHeight="1">
      <c r="A20" s="35" t="n"/>
      <c r="B20" s="35" t="n"/>
      <c r="C20" s="70" t="n"/>
      <c r="D20" s="41" t="n"/>
      <c r="E20" s="41" t="n"/>
      <c r="F20" s="41" t="n"/>
      <c r="G20" s="35" t="n"/>
      <c r="H20" s="35" t="n"/>
    </row>
    <row r="21" ht="18" customHeight="1">
      <c r="A21" s="35" t="n"/>
      <c r="B21" s="35" t="n"/>
      <c r="C21" s="70" t="n"/>
      <c r="D21" s="41" t="n"/>
      <c r="E21" s="41" t="n"/>
      <c r="F21" s="41" t="n"/>
      <c r="G21" s="35" t="n"/>
      <c r="H21" s="35" t="n"/>
    </row>
    <row r="22" ht="18" customHeight="1">
      <c r="A22" s="35" t="n"/>
      <c r="B22" s="35" t="n"/>
      <c r="C22" s="70" t="n"/>
      <c r="D22" s="41" t="n"/>
      <c r="E22" s="41" t="n"/>
      <c r="F22" s="41" t="n"/>
      <c r="G22" s="35" t="n"/>
      <c r="H22" s="35" t="n"/>
    </row>
    <row r="23" ht="18" customHeight="1">
      <c r="A23" s="35" t="n"/>
      <c r="B23" s="35" t="n"/>
      <c r="C23" s="70" t="n"/>
      <c r="D23" s="41" t="n"/>
      <c r="E23" s="41" t="n"/>
      <c r="F23" s="41" t="n"/>
      <c r="G23" s="35" t="n"/>
      <c r="H23" s="35" t="n"/>
    </row>
    <row r="24" ht="18" customHeight="1">
      <c r="A24" s="35" t="n"/>
      <c r="B24" s="35" t="n"/>
      <c r="C24" s="70" t="n"/>
      <c r="D24" s="41" t="n"/>
      <c r="E24" s="41" t="n"/>
      <c r="F24" s="41" t="n"/>
      <c r="G24" s="35" t="n"/>
      <c r="H24" s="35" t="n"/>
    </row>
    <row r="25" ht="18" customHeight="1">
      <c r="A25" s="35" t="n"/>
      <c r="B25" s="35" t="n"/>
      <c r="C25" s="70" t="n"/>
      <c r="D25" s="41" t="n"/>
      <c r="E25" s="41" t="n"/>
      <c r="F25" s="41" t="n"/>
      <c r="G25" s="35" t="n"/>
      <c r="H25" s="35" t="n"/>
    </row>
    <row r="26" ht="18" customHeight="1">
      <c r="A26" s="35" t="n"/>
      <c r="B26" s="35" t="n"/>
      <c r="C26" s="70" t="n"/>
      <c r="D26" s="41" t="n"/>
      <c r="E26" s="41" t="n"/>
      <c r="F26" s="41" t="n"/>
      <c r="G26" s="35" t="n"/>
      <c r="H26" s="35" t="n"/>
    </row>
    <row r="27" ht="18" customHeight="1">
      <c r="A27" s="35" t="n"/>
      <c r="B27" s="35" t="n"/>
      <c r="C27" s="70" t="n"/>
      <c r="D27" s="41" t="n"/>
      <c r="E27" s="41" t="n"/>
      <c r="F27" s="41" t="n"/>
      <c r="G27" s="35" t="n"/>
      <c r="H27" s="35" t="n"/>
    </row>
    <row r="30" ht="16" customHeight="1">
      <c r="A30" s="71" t="inlineStr">
        <is>
          <t>K-1 prep is the CPA's job. Working figures only — does NOT account for guaranteed payments, basis adjustments, special allocations, or passive-activity loss limitations. Provide this sheet plus the Consolidated P&amp;L to your CPA.</t>
        </is>
      </c>
    </row>
    <row r="31" ht="16" customHeight="1"/>
  </sheetData>
  <mergeCells count="6">
    <mergeCell ref="J2:L2"/>
    <mergeCell ref="D2:I2"/>
    <mergeCell ref="A4:H5"/>
    <mergeCell ref="A2:C2"/>
    <mergeCell ref="A30:H31"/>
    <mergeCell ref="A6:H6"/>
  </mergeCells>
  <dataValidations count="2">
    <dataValidation sqref="A8:A27" showDropDown="0" showInputMessage="0" showErrorMessage="0" allowBlank="1" type="list">
      <formula1>=Settings!$B$18:$B$27</formula1>
    </dataValidation>
    <dataValidation sqref="B8:B27" showDropDown="0" showInputMessage="0" showErrorMessage="0" allowBlank="1" type="list">
      <formula1>='Entity Setup'!$A$6:$A$15</formula1>
    </dataValidation>
  </dataValidations>
  <pageMargins left="0.4" right="0.4" top="0.5" bottom="0.5" header="0.5" footer="0.5"/>
  <pageSetup orientation="landscape" paperSize="1" fitToHeight="1" fitToWidth="1"/>
</worksheet>
</file>

<file path=xl/worksheets/sheet8.xml><?xml version="1.0" encoding="utf-8"?>
<worksheet xmlns="http://schemas.openxmlformats.org/spreadsheetml/2006/main">
  <sheetPr>
    <tabColor rgb="0012304E"/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" customWidth="1" min="3" max="3"/>
    <col width="18" customWidth="1" min="4" max="4"/>
    <col width="22" customWidth="1" min="5" max="5"/>
    <col width="22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2">
        <f>HYPERLINK("#'K-1 Worksheet'!A1", "← BACK")</f>
        <v/>
      </c>
      <c r="B2" s="23" t="n"/>
      <c r="C2" s="23" t="n"/>
      <c r="D2" s="32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3" t="inlineStr">
        <is>
          <t>Active tax year drives all P&amp;L formulas. Member list feeds the K-1 Worksheet and Member Distributions dropdowns.</t>
        </is>
      </c>
    </row>
    <row r="5" ht="28" customHeight="1">
      <c r="A5" s="72" t="inlineStr">
        <is>
          <t>Active tax year:</t>
        </is>
      </c>
      <c r="B5" s="73">
        <f>YEAR(TODAY())</f>
        <v/>
      </c>
      <c r="D5" s="74" t="inlineStr">
        <is>
          <t>Type the tax year here. All consolidation tabs filter by this.</t>
        </is>
      </c>
    </row>
    <row r="7" ht="20" customHeight="1">
      <c r="A7" s="75" t="inlineStr">
        <is>
          <t>ENTITY LIST  (mirrors Entity Setup col A)</t>
        </is>
      </c>
    </row>
    <row r="8" ht="16" customHeight="1">
      <c r="B8" s="76">
        <f>IFERROR('Entity Setup'!A6,"")</f>
        <v/>
      </c>
    </row>
    <row r="9" ht="16" customHeight="1">
      <c r="B9" s="76">
        <f>IFERROR('Entity Setup'!A7,"")</f>
        <v/>
      </c>
    </row>
    <row r="10" ht="16" customHeight="1">
      <c r="B10" s="76">
        <f>IFERROR('Entity Setup'!A8,"")</f>
        <v/>
      </c>
    </row>
    <row r="11" ht="16" customHeight="1">
      <c r="B11" s="76">
        <f>IFERROR('Entity Setup'!A9,"")</f>
        <v/>
      </c>
    </row>
    <row r="12" ht="16" customHeight="1">
      <c r="B12" s="76">
        <f>IFERROR('Entity Setup'!A10,"")</f>
        <v/>
      </c>
    </row>
    <row r="13" ht="16" customHeight="1">
      <c r="B13" s="76">
        <f>IFERROR('Entity Setup'!A11,"")</f>
        <v/>
      </c>
    </row>
    <row r="14" ht="16" customHeight="1">
      <c r="B14" s="76">
        <f>IFERROR('Entity Setup'!A12,"")</f>
        <v/>
      </c>
    </row>
    <row r="15" ht="16" customHeight="1">
      <c r="B15" s="76">
        <f>IFERROR('Entity Setup'!A13,"")</f>
        <v/>
      </c>
    </row>
    <row r="16" ht="16" customHeight="1">
      <c r="B16" s="76">
        <f>IFERROR('Entity Setup'!A14,"")</f>
        <v/>
      </c>
    </row>
    <row r="17" ht="16" customHeight="1">
      <c r="B17" s="76">
        <f>IFERROR('Entity Setup'!A15,"")</f>
        <v/>
      </c>
    </row>
    <row r="19" ht="20" customHeight="1">
      <c r="A19" s="75" t="inlineStr">
        <is>
          <t>MEMBER LIST  (Name | last4 | role)</t>
        </is>
      </c>
    </row>
    <row r="20">
      <c r="B20" s="77" t="inlineStr">
        <is>
          <t>Name</t>
        </is>
      </c>
      <c r="D20" s="77" t="inlineStr">
        <is>
          <t>EIN/SSN last4</t>
        </is>
      </c>
      <c r="E20" s="77" t="inlineStr">
        <is>
          <t>Role</t>
        </is>
      </c>
    </row>
    <row r="21" ht="18" customHeight="1">
      <c r="B21" s="35" t="n"/>
      <c r="D21" s="78" t="n"/>
      <c r="E21" s="35" t="n"/>
    </row>
    <row r="22" ht="18" customHeight="1">
      <c r="B22" s="35" t="n"/>
      <c r="D22" s="78" t="n"/>
      <c r="E22" s="35" t="n"/>
    </row>
    <row r="23" ht="18" customHeight="1">
      <c r="B23" s="35" t="n"/>
      <c r="D23" s="78" t="n"/>
      <c r="E23" s="35" t="n"/>
    </row>
    <row r="24" ht="18" customHeight="1">
      <c r="B24" s="35" t="n"/>
      <c r="D24" s="78" t="n"/>
      <c r="E24" s="35" t="n"/>
    </row>
    <row r="25" ht="18" customHeight="1">
      <c r="B25" s="35" t="n"/>
      <c r="D25" s="78" t="n"/>
      <c r="E25" s="35" t="n"/>
    </row>
    <row r="26" ht="18" customHeight="1">
      <c r="B26" s="35" t="n"/>
      <c r="D26" s="78" t="n"/>
      <c r="E26" s="35" t="n"/>
    </row>
    <row r="27" ht="18" customHeight="1">
      <c r="B27" s="35" t="n"/>
      <c r="D27" s="78" t="n"/>
      <c r="E27" s="35" t="n"/>
    </row>
    <row r="28" ht="18" customHeight="1">
      <c r="B28" s="35" t="n"/>
      <c r="D28" s="78" t="n"/>
      <c r="E28" s="35" t="n"/>
    </row>
    <row r="29" ht="18" customHeight="1">
      <c r="B29" s="35" t="n"/>
      <c r="D29" s="78" t="n"/>
      <c r="E29" s="35" t="n"/>
    </row>
    <row r="30" ht="18" customHeight="1">
      <c r="B30" s="35" t="n"/>
      <c r="D30" s="78" t="n"/>
      <c r="E30" s="35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</row>
    <row r="34" ht="18" customHeight="1">
      <c r="A34" s="30" t="inlineStr">
        <is>
          <t>Questions? hello@thestrledger.com</t>
        </is>
      </c>
    </row>
    <row r="35" ht="18" customHeight="1">
      <c r="A35" s="31" t="inlineStr">
        <is>
          <t>FIN-006 · v1.0 · BLANK · Free updates forever</t>
        </is>
      </c>
    </row>
  </sheetData>
  <mergeCells count="8">
    <mergeCell ref="D2:L2"/>
    <mergeCell ref="A7:B7"/>
    <mergeCell ref="A19:E19"/>
    <mergeCell ref="A35:L35"/>
    <mergeCell ref="D5:G5"/>
    <mergeCell ref="A34:L34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Multi-Entity Consolidated P&amp;L — The STR Ledger</dc:title>
  <dc:description xmlns:dc="http://purl.org/dc/elements/1.1/">Consolidated P&amp;L for STR hosts who hold each property in its own LLC. Per-entity P&amp;L + intercompany eliminations + member distributions + K-1 working figures for CPA hand-off.</dc:description>
  <dcterms:created xmlns:dcterms="http://purl.org/dc/terms/" xmlns:xsi="http://www.w3.org/2001/XMLSchema-instance" xsi:type="dcterms:W3CDTF">2026-05-03T19:05:00Z</dcterms:created>
  <dcterms:modified xmlns:dcterms="http://purl.org/dc/terms/" xmlns:xsi="http://www.w3.org/2001/XMLSchema-instance" xsi:type="dcterms:W3CDTF">2026-05-03T19:05:00Z</dcterms:modified>
</cp:coreProperties>
</file>