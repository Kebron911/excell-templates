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Lease Terms" sheetId="2" state="visible" r:id="rId2"/>
    <sheet xmlns:r="http://schemas.openxmlformats.org/officeDocument/2006/relationships" name="Setup Costs" sheetId="3" state="visible" r:id="rId3"/>
    <sheet xmlns:r="http://schemas.openxmlformats.org/officeDocument/2006/relationships" name="Revenue Projection" sheetId="4" state="visible" r:id="rId4"/>
    <sheet xmlns:r="http://schemas.openxmlformats.org/officeDocument/2006/relationships" name="Operating Math" sheetId="5" state="visible" r:id="rId5"/>
    <sheet xmlns:r="http://schemas.openxmlformats.org/officeDocument/2006/relationships" name="Stress Test" sheetId="6" state="visible" r:id="rId6"/>
    <sheet xmlns:r="http://schemas.openxmlformats.org/officeDocument/2006/relationships" name="MTR Fallback" sheetId="7" state="visible" r:id="rId7"/>
    <sheet xmlns:r="http://schemas.openxmlformats.org/officeDocument/2006/relationships" name="Landlord Pitch" sheetId="8" state="visible" r:id="rId8"/>
  </sheets>
  <definedNames>
    <definedName name="_xlnm.Print_Area" localSheetId="0">'Start'!$A$1:$L$38</definedName>
    <definedName name="_xlnm.Print_Area" localSheetId="7">'Landlord Pitch'!$A$1:$G$50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0.0%"/>
  </numFmts>
  <fonts count="41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Georgia"/>
      <b val="1"/>
      <color rgb="00C9A24B"/>
      <sz val="24"/>
    </font>
    <font>
      <name val="Consolas"/>
      <b val="1"/>
      <color rgb="0012304E"/>
      <sz val="9"/>
    </font>
    <font>
      <name val="Consolas"/>
      <b val="1"/>
      <color rgb="00C9A24B"/>
      <sz val="9"/>
    </font>
    <font>
      <name val="Georgia"/>
      <b val="1"/>
      <color rgb="0012304E"/>
      <sz val="24"/>
    </font>
    <font>
      <name val="Georgia"/>
      <b val="1"/>
      <color rgb="0012304E"/>
      <sz val="12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b val="1"/>
      <color rgb="00B91C1C"/>
      <sz val="10"/>
    </font>
    <font>
      <name val="Georgia"/>
      <b val="1"/>
      <color rgb="0012304E"/>
      <sz val="14"/>
    </font>
    <font>
      <name val="Georgia"/>
      <b val="1"/>
      <color rgb="00C9A24B"/>
      <sz val="14"/>
    </font>
    <font>
      <name val="Georgia"/>
      <b val="1"/>
      <color rgb="00B5725E"/>
      <sz val="14"/>
    </font>
    <font>
      <name val="Calibri"/>
      <i val="1"/>
      <color rgb="002B2B2B"/>
      <sz val="11"/>
    </font>
    <font>
      <name val="Calibri"/>
      <color rgb="002B2B2B"/>
      <sz val="10"/>
    </font>
    <font>
      <name val="Georgia"/>
      <b val="1"/>
      <color rgb="0012304E"/>
      <sz val="16"/>
    </font>
    <font>
      <name val="Georgia"/>
      <b val="1"/>
      <color rgb="00C9A24B"/>
      <sz val="16"/>
    </font>
    <font>
      <name val="Georgia"/>
      <b val="1"/>
      <color rgb="00C9A24B"/>
      <sz val="12"/>
    </font>
    <font>
      <name val="Georgia"/>
      <b val="1"/>
      <color rgb="00B5725E"/>
      <sz val="12"/>
    </font>
    <font>
      <name val="Calibri"/>
      <i val="1"/>
      <color rgb="006B7280"/>
      <sz val="10"/>
    </font>
    <font>
      <name val="Georgia"/>
      <b val="1"/>
      <color rgb="00C9A24B"/>
      <sz val="20"/>
    </font>
    <font>
      <name val="Consolas"/>
      <i val="1"/>
      <color rgb="006B7280"/>
      <sz val="12"/>
    </font>
    <font>
      <name val="Georgia"/>
      <b val="1"/>
      <color rgb="001A1A1A"/>
      <sz val="24"/>
    </font>
    <font>
      <name val="Georgia"/>
      <b val="1"/>
      <color rgb="001A1A1A"/>
      <sz val="12"/>
    </font>
    <font>
      <name val="Calibri"/>
      <b val="1"/>
      <color rgb="001A1A1A"/>
      <sz val="11"/>
    </font>
    <font>
      <name val="Calibri"/>
      <color rgb="001A1A1A"/>
      <sz val="11"/>
    </font>
    <font>
      <name val="Calibri"/>
      <color rgb="001A1A1A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FE5D0"/>
      </patternFill>
    </fill>
    <fill>
      <patternFill patternType="solid">
        <fgColor rgb="00EDEDED"/>
      </patternFill>
    </fill>
  </fills>
  <borders count="10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top style="medium">
        <color rgb="00C9A24B"/>
      </top>
      <bottom style="medium">
        <color rgb="00C9A24B"/>
      </bottom>
    </border>
    <border>
      <left style="dashed">
        <color rgb="006B7280"/>
      </left>
      <right style="dashed">
        <color rgb="006B7280"/>
      </right>
      <top style="dashed">
        <color rgb="006B7280"/>
      </top>
      <bottom style="dashed">
        <color rgb="006B7280"/>
      </bottom>
    </border>
    <border>
      <bottom style="medium">
        <color rgb="001A1A1A"/>
      </bottom>
    </border>
    <border>
      <bottom style="thin">
        <color rgb="001A1A1A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4" fillId="5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 vertical="center" indent="2"/>
    </xf>
    <xf numFmtId="0" fontId="18" fillId="3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1" fontId="21" fillId="6" borderId="0" applyAlignment="1" pivotButton="0" quotePrefix="0" xfId="0">
      <alignment horizontal="center" vertical="center"/>
    </xf>
    <xf numFmtId="165" fontId="21" fillId="6" borderId="0" applyAlignment="1" pivotButton="0" quotePrefix="0" xfId="0">
      <alignment horizontal="center" vertical="center"/>
    </xf>
    <xf numFmtId="3" fontId="21" fillId="6" borderId="0" applyAlignment="1" pivotButton="0" quotePrefix="0" xfId="0">
      <alignment horizontal="center" vertical="center"/>
    </xf>
    <xf numFmtId="164" fontId="21" fillId="6" borderId="0" applyAlignment="1" pivotButton="0" quotePrefix="0" xfId="0">
      <alignment horizontal="center" vertical="center"/>
    </xf>
    <xf numFmtId="166" fontId="21" fillId="6" borderId="0" applyAlignment="1" pivotButton="0" quotePrefix="0" xfId="0">
      <alignment horizontal="center" vertical="center"/>
    </xf>
    <xf numFmtId="0" fontId="23" fillId="7" borderId="0" applyAlignment="1" pivotButton="0" quotePrefix="0" xfId="0">
      <alignment horizontal="left" vertical="center" wrapText="1" indent="2"/>
    </xf>
    <xf numFmtId="0" fontId="14" fillId="2" borderId="5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164" fontId="24" fillId="4" borderId="6" applyAlignment="1" pivotButton="0" quotePrefix="0" xfId="0">
      <alignment horizontal="center" vertical="center"/>
    </xf>
    <xf numFmtId="164" fontId="25" fillId="4" borderId="6" applyAlignment="1" pivotButton="0" quotePrefix="0" xfId="0">
      <alignment horizontal="center" vertical="center"/>
    </xf>
    <xf numFmtId="164" fontId="26" fillId="4" borderId="6" applyAlignment="1" pivotButton="0" quotePrefix="0" xfId="0">
      <alignment horizontal="center" vertical="center"/>
    </xf>
    <xf numFmtId="164" fontId="25" fillId="4" borderId="0" applyAlignment="1" pivotButton="0" quotePrefix="0" xfId="0">
      <alignment horizontal="center" vertical="center"/>
    </xf>
    <xf numFmtId="2" fontId="21" fillId="6" borderId="0" applyAlignment="1" pivotButton="0" quotePrefix="0" xfId="0">
      <alignment horizontal="center" vertical="center"/>
    </xf>
    <xf numFmtId="165" fontId="27" fillId="8" borderId="0" applyAlignment="1" pivotButton="0" quotePrefix="0" xfId="0">
      <alignment horizontal="center" vertical="center"/>
    </xf>
    <xf numFmtId="164" fontId="27" fillId="8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28" fillId="7" borderId="0" applyAlignment="1" pivotButton="0" quotePrefix="0" xfId="0">
      <alignment horizontal="left" vertical="top" wrapText="1" indent="2"/>
    </xf>
    <xf numFmtId="0" fontId="24" fillId="0" borderId="0" applyAlignment="1" pivotButton="0" quotePrefix="0" xfId="0">
      <alignment horizontal="right" vertical="center" indent="1"/>
    </xf>
    <xf numFmtId="164" fontId="29" fillId="4" borderId="0" applyAlignment="1" pivotButton="0" quotePrefix="0" xfId="0">
      <alignment horizontal="center" vertical="center"/>
    </xf>
    <xf numFmtId="164" fontId="30" fillId="4" borderId="0" applyAlignment="1" pivotButton="0" quotePrefix="0" xfId="0">
      <alignment horizontal="center" vertical="center"/>
    </xf>
    <xf numFmtId="164" fontId="11" fillId="8" borderId="0" applyAlignment="1" pivotButton="0" quotePrefix="0" xfId="0">
      <alignment horizontal="center" vertical="center"/>
    </xf>
    <xf numFmtId="164" fontId="31" fillId="8" borderId="0" applyAlignment="1" pivotButton="0" quotePrefix="0" xfId="0">
      <alignment horizontal="center" vertical="center"/>
    </xf>
    <xf numFmtId="164" fontId="32" fillId="8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indent="1"/>
    </xf>
    <xf numFmtId="166" fontId="27" fillId="8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33" fillId="7" borderId="0" applyAlignment="1" pivotButton="0" quotePrefix="0" xfId="0">
      <alignment horizontal="left" vertical="top" wrapText="1" indent="2"/>
    </xf>
    <xf numFmtId="0" fontId="6" fillId="0" borderId="0" applyAlignment="1" pivotButton="0" quotePrefix="0" xfId="0">
      <alignment horizontal="center" vertical="center"/>
    </xf>
    <xf numFmtId="0" fontId="34" fillId="4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35" fillId="0" borderId="7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7" fillId="0" borderId="8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center" indent="1"/>
    </xf>
    <xf numFmtId="164" fontId="39" fillId="0" borderId="0" applyAlignment="1" pivotButton="0" quotePrefix="0" xfId="0">
      <alignment horizontal="left" vertical="center" indent="1"/>
    </xf>
    <xf numFmtId="166" fontId="39" fillId="0" borderId="0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 wrapText="1" indent="1"/>
    </xf>
    <xf numFmtId="0" fontId="38" fillId="0" borderId="0" pivotButton="0" quotePrefix="0" xfId="0"/>
    <xf numFmtId="0" fontId="0" fillId="0" borderId="9" pivotButton="0" quotePrefix="0" xfId="0"/>
    <xf numFmtId="0" fontId="2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</patternFill>
      </fill>
    </dxf>
    <dxf>
      <fill>
        <patternFill patternType="solid">
          <fgColor rgb="00FFF3BF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Rental Arbitrage Analyzer</t>
        </is>
      </c>
    </row>
    <row r="5" ht="22" customHeight="1">
      <c r="A5" s="4" t="inlineStr">
        <is>
          <t>Will the numbers actually work — through Year 2?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ACQ-003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IF('Lease Terms'!C7="","(enter property on Lease Terms tab)",'Lease Terms'!C7)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VERDICT</t>
        </is>
      </c>
    </row>
    <row r="14" ht="30" customHeight="1">
      <c r="A14" s="9">
        <f>'Stress Test'!B22</f>
        <v/>
      </c>
    </row>
    <row r="15" ht="18" customHeight="1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8" customHeight="1">
      <c r="A17" s="10" t="inlineStr">
        <is>
          <t>Y1 MONTHLY CASH FLOW</t>
        </is>
      </c>
      <c r="G17" s="11" t="inlineStr">
        <is>
          <t>STABILIZED MONTHLY CASH FLOW</t>
        </is>
      </c>
    </row>
    <row r="18" ht="28" customHeight="1">
      <c r="A18" s="12">
        <f>'Operating Math'!C22</f>
        <v/>
      </c>
      <c r="G18" s="13">
        <f>'Operating Math'!D22</f>
        <v/>
      </c>
    </row>
    <row r="19" ht="18" customHeight="1"/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24" customHeight="1">
      <c r="A21" s="14">
        <f>'Stress Test'!B23</f>
        <v/>
      </c>
      <c r="G21" s="14">
        <f>'MTR Fallback'!B16</f>
        <v/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5" ht="22" customHeight="1">
      <c r="A25" s="15">
        <f>HYPERLINK("#'Lease Terms'!A1", "Lease Terms")</f>
        <v/>
      </c>
      <c r="B25" s="16" t="n"/>
      <c r="C25" s="16" t="n"/>
      <c r="D25" s="15">
        <f>HYPERLINK("#'Setup Costs'!A1", "Setup Costs")</f>
        <v/>
      </c>
      <c r="E25" s="16" t="n"/>
      <c r="F25" s="16" t="n"/>
      <c r="G25" s="15">
        <f>HYPERLINK("#'Revenue Projection'!A1", "Revenue")</f>
        <v/>
      </c>
      <c r="H25" s="16" t="n"/>
      <c r="I25" s="16" t="n"/>
      <c r="J25" s="15">
        <f>HYPERLINK("#'Operating Math'!A1", "Operating")</f>
        <v/>
      </c>
      <c r="K25" s="16" t="n"/>
      <c r="L25" s="16" t="n"/>
    </row>
    <row r="26" ht="22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 ht="22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</row>
    <row r="29" ht="22" customHeight="1">
      <c r="A29" s="17">
        <f>HYPERLINK("#'Stress Test'!A1", "→  Stress Test")</f>
        <v/>
      </c>
      <c r="B29" s="18" t="n"/>
      <c r="C29" s="18" t="n"/>
      <c r="D29" s="18" t="n"/>
      <c r="E29" s="17">
        <f>HYPERLINK("#'MTR Fallback'!A1", "→  MTR Fallback")</f>
        <v/>
      </c>
      <c r="F29" s="18" t="n"/>
      <c r="G29" s="18" t="n"/>
      <c r="H29" s="18" t="n"/>
      <c r="I29" s="19">
        <f>HYPERLINK("#'Landlord Pitch'!A1", "→  Landlord Pitch Page")</f>
        <v/>
      </c>
      <c r="J29" s="20" t="n"/>
      <c r="K29" s="20" t="n"/>
      <c r="L29" s="20" t="n"/>
    </row>
    <row r="30" ht="22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20" t="n"/>
      <c r="J30" s="20" t="n"/>
      <c r="K30" s="20" t="n"/>
      <c r="L30" s="20" t="n"/>
    </row>
    <row r="31" ht="22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20" t="n"/>
      <c r="J31" s="20" t="n"/>
      <c r="K31" s="20" t="n"/>
      <c r="L31" s="20" t="n"/>
    </row>
    <row r="34" ht="30" customHeight="1">
      <c r="A34" s="21" t="inlineStr">
        <is>
          <t>Want to underwrite owned properties too? Get the STR Deal Analyzer (ACQ-001) at thestrledger.com — $47.</t>
        </is>
      </c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</row>
    <row r="37" ht="18" customHeight="1">
      <c r="A37" s="23" t="inlineStr">
        <is>
          <t>Questions? hello@thestrledger.com</t>
        </is>
      </c>
    </row>
    <row r="38" ht="18" customHeight="1">
      <c r="A38" s="24" t="inlineStr">
        <is>
          <t>ACQ-003 · v1.0 · DEMO · Free updates forever</t>
        </is>
      </c>
    </row>
  </sheetData>
  <mergeCells count="23">
    <mergeCell ref="A7:L7"/>
    <mergeCell ref="A37:L37"/>
    <mergeCell ref="A29:D31"/>
    <mergeCell ref="A25:C27"/>
    <mergeCell ref="A21:F21"/>
    <mergeCell ref="I29:L31"/>
    <mergeCell ref="A2:F2"/>
    <mergeCell ref="A5:L5"/>
    <mergeCell ref="A17:F17"/>
    <mergeCell ref="J25:L27"/>
    <mergeCell ref="D25:F27"/>
    <mergeCell ref="A4:L4"/>
    <mergeCell ref="A38:L38"/>
    <mergeCell ref="A13:L13"/>
    <mergeCell ref="E29:H31"/>
    <mergeCell ref="A34:L34"/>
    <mergeCell ref="G25:I27"/>
    <mergeCell ref="G21:L21"/>
    <mergeCell ref="A18:F19"/>
    <mergeCell ref="A11:L11"/>
    <mergeCell ref="G18:L19"/>
    <mergeCell ref="G17:L17"/>
    <mergeCell ref="A14:L1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HYPERLINK("#'Start'!A1", "← BACK")</f>
        <v/>
      </c>
      <c r="B2" s="16" t="n"/>
      <c r="C2" s="16" t="n"/>
      <c r="D2" s="25" t="inlineStr">
        <is>
          <t>LEASE TERMS</t>
        </is>
      </c>
      <c r="J2" s="17">
        <f>HYPERLINK("#'Setup Costs'!A1",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1 of 4 — what the landlord is offering</t>
        </is>
      </c>
    </row>
    <row r="6" ht="24" customHeight="1">
      <c r="A6" s="27" t="inlineStr">
        <is>
          <t>PROPERTY</t>
        </is>
      </c>
    </row>
    <row r="7" ht="18" customHeight="1">
      <c r="B7" s="28" t="inlineStr">
        <is>
          <t>Property address:</t>
        </is>
      </c>
      <c r="C7" s="29" t="inlineStr">
        <is>
          <t>428 Linden Ave, Unit 3B</t>
        </is>
      </c>
    </row>
    <row r="8" ht="18" customHeight="1">
      <c r="B8" s="28" t="inlineStr">
        <is>
          <t>City, State, Zip:</t>
        </is>
      </c>
      <c r="C8" s="29" t="inlineStr">
        <is>
          <t>Denver, CO 80218</t>
        </is>
      </c>
    </row>
    <row r="9" ht="18" customHeight="1">
      <c r="B9" s="28" t="inlineStr">
        <is>
          <t>Unit type:</t>
        </is>
      </c>
      <c r="C9" s="29" t="inlineStr">
        <is>
          <t>Apartment</t>
        </is>
      </c>
      <c r="E9" s="30" t="inlineStr">
        <is>
          <t>Dropdown</t>
        </is>
      </c>
    </row>
    <row r="10" ht="18" customHeight="1">
      <c r="B10" s="28" t="inlineStr">
        <is>
          <t>Bedrooms:</t>
        </is>
      </c>
      <c r="C10" s="31" t="n">
        <v>2</v>
      </c>
    </row>
    <row r="11" ht="18" customHeight="1">
      <c r="B11" s="28" t="inlineStr">
        <is>
          <t>Bathrooms:</t>
        </is>
      </c>
      <c r="C11" s="32" t="n">
        <v>1.5</v>
      </c>
    </row>
    <row r="12" ht="18" customHeight="1">
      <c r="B12" s="28" t="inlineStr">
        <is>
          <t>Square feet:</t>
        </is>
      </c>
      <c r="C12" s="33" t="n">
        <v>980</v>
      </c>
    </row>
    <row r="14" ht="24" customHeight="1">
      <c r="A14" s="27" t="inlineStr">
        <is>
          <t>LEASE FINANCIALS</t>
        </is>
      </c>
    </row>
    <row r="15" ht="18" customHeight="1">
      <c r="B15" s="28" t="inlineStr">
        <is>
          <t>Monthly rent ($):</t>
        </is>
      </c>
      <c r="C15" s="34" t="n">
        <v>2400</v>
      </c>
      <c r="E15" s="30" t="inlineStr">
        <is>
          <t>What the landlord wants you to pay</t>
        </is>
      </c>
    </row>
    <row r="16" ht="18" customHeight="1">
      <c r="B16" s="28" t="inlineStr">
        <is>
          <t>Security deposit ($):</t>
        </is>
      </c>
      <c r="C16" s="34" t="n">
        <v>4800</v>
      </c>
      <c r="E16" s="30" t="inlineStr">
        <is>
          <t>Typically 1-2 months' rent</t>
        </is>
      </c>
    </row>
    <row r="17" ht="18" customHeight="1">
      <c r="B17" s="28" t="inlineStr">
        <is>
          <t>Lease term (months):</t>
        </is>
      </c>
      <c r="C17" s="31" t="n">
        <v>12</v>
      </c>
      <c r="E17" s="30" t="inlineStr">
        <is>
          <t>12 typical</t>
        </is>
      </c>
    </row>
    <row r="18" ht="18" customHeight="1">
      <c r="B18" s="28" t="inlineStr">
        <is>
          <t>Lease start date:</t>
        </is>
      </c>
      <c r="C18" s="29" t="inlineStr">
        <is>
          <t>2026-06-01</t>
        </is>
      </c>
    </row>
    <row r="19" ht="18" customHeight="1">
      <c r="B19" s="28" t="inlineStr">
        <is>
          <t>Renewal escalator (%):</t>
        </is>
      </c>
      <c r="C19" s="35" t="n">
        <v>0.05</v>
      </c>
      <c r="E19" s="30" t="inlineStr">
        <is>
          <t>Year-2+ rent hike clause. Default 5%.</t>
        </is>
      </c>
    </row>
    <row r="21" ht="24" customHeight="1">
      <c r="A21" s="27" t="inlineStr">
        <is>
          <t>RESTRICTIONS  (the deal-killers)</t>
        </is>
      </c>
    </row>
    <row r="22" ht="18" customHeight="1">
      <c r="B22" s="28" t="inlineStr">
        <is>
          <t>Sublet allowed?</t>
        </is>
      </c>
      <c r="C22" s="29" t="inlineStr">
        <is>
          <t>Conditional</t>
        </is>
      </c>
      <c r="E22" s="30" t="inlineStr">
        <is>
          <t>Yes / No / Conditional. NO = STR illegal under this lease.</t>
        </is>
      </c>
    </row>
    <row r="23" ht="18" customHeight="1">
      <c r="B23" s="28" t="inlineStr">
        <is>
          <t>STR-zone allowed?</t>
        </is>
      </c>
      <c r="C23" s="29" t="inlineStr">
        <is>
          <t>Yes</t>
        </is>
      </c>
      <c r="E23" s="30" t="inlineStr">
        <is>
          <t>City zoning permits short-term rentals?</t>
        </is>
      </c>
    </row>
    <row r="24" ht="18" customHeight="1">
      <c r="B24" s="28" t="inlineStr">
        <is>
          <t>Insurance addendum req.?</t>
        </is>
      </c>
      <c r="C24" s="29" t="inlineStr">
        <is>
          <t>Yes</t>
        </is>
      </c>
      <c r="E24" s="30" t="inlineStr">
        <is>
          <t>Most landlord-friendly. Plan to carry $1M liability.</t>
        </is>
      </c>
    </row>
    <row r="25" ht="18" customHeight="1">
      <c r="B25" s="28" t="inlineStr">
        <is>
          <t>Pets allowed?</t>
        </is>
      </c>
      <c r="C25" s="29" t="inlineStr">
        <is>
          <t>No</t>
        </is>
      </c>
      <c r="E25" s="30" t="inlineStr">
        <is>
          <t>Yes / No</t>
        </is>
      </c>
    </row>
    <row r="27" ht="30" customHeight="1">
      <c r="A27" s="36">
        <f>IF(OR(C22="No",C23="No"),"RED FLAG: Sublet or STR-zone is NO — this property cannot legally run as STR. The Verdict will lock to PASS.",IF(OR(C22="Conditional",C23="Unsure"),"YELLOW FLAG: Get the sublet allowance and STR-zoning in WRITING from the landlord and city before signing.","All restrictions clear — STR-eligible under this lease."))</f>
        <v/>
      </c>
    </row>
    <row r="29" ht="24" customHeight="1">
      <c r="A29" s="27" t="inlineStr">
        <is>
          <t>EARLY-TERM CLAUSE  +  LANDLORD CONTACT</t>
        </is>
      </c>
    </row>
    <row r="30" ht="18" customHeight="1">
      <c r="B30" s="28" t="inlineStr">
        <is>
          <t>Early-termination clause:</t>
        </is>
      </c>
      <c r="C30" s="29" t="inlineStr">
        <is>
          <t>60-day notice + 2 months' rent</t>
        </is>
      </c>
      <c r="E30" s="30" t="inlineStr">
        <is>
          <t>Free text. Most arbitrage operators want a 60-day exit.</t>
        </is>
      </c>
    </row>
    <row r="31" ht="18" customHeight="1">
      <c r="B31" s="28" t="inlineStr">
        <is>
          <t>Landlord name / entity:</t>
        </is>
      </c>
      <c r="C31" s="29" t="inlineStr">
        <is>
          <t>Kestrel Property Group, LLC</t>
        </is>
      </c>
    </row>
    <row r="32" ht="18" customHeight="1">
      <c r="B32" s="28" t="inlineStr">
        <is>
          <t>Landlord contact:</t>
        </is>
      </c>
      <c r="C32" s="29" t="inlineStr">
        <is>
          <t>Maria Chen · maria@kestrelpg.com · (303) 555-0142</t>
        </is>
      </c>
      <c r="E32" s="30" t="inlineStr">
        <is>
          <t>Name · email · phone</t>
        </is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</row>
    <row r="36" ht="18" customHeight="1">
      <c r="A36" s="23" t="inlineStr">
        <is>
          <t>Questions? hello@thestrledger.com</t>
        </is>
      </c>
    </row>
    <row r="37" ht="18" customHeight="1">
      <c r="A37" s="24" t="inlineStr">
        <is>
          <t>ACQ-003 · Lease Terms</t>
        </is>
      </c>
    </row>
  </sheetData>
  <mergeCells count="22">
    <mergeCell ref="D2:I2"/>
    <mergeCell ref="A37:L37"/>
    <mergeCell ref="E24:L24"/>
    <mergeCell ref="A27:L27"/>
    <mergeCell ref="E23:L23"/>
    <mergeCell ref="A21:L21"/>
    <mergeCell ref="A2:C2"/>
    <mergeCell ref="E17:L17"/>
    <mergeCell ref="A14:L14"/>
    <mergeCell ref="E19:L19"/>
    <mergeCell ref="A4:L4"/>
    <mergeCell ref="E9:L9"/>
    <mergeCell ref="J2:L2"/>
    <mergeCell ref="A29:L29"/>
    <mergeCell ref="E30:L30"/>
    <mergeCell ref="E15:L15"/>
    <mergeCell ref="E25:L25"/>
    <mergeCell ref="E16:L16"/>
    <mergeCell ref="E32:L32"/>
    <mergeCell ref="A36:L36"/>
    <mergeCell ref="A6:L6"/>
    <mergeCell ref="E22:L22"/>
  </mergeCells>
  <dataValidations count="5">
    <dataValidation sqref="C9" showDropDown="0" showInputMessage="0" showErrorMessage="0" allowBlank="1" type="list">
      <formula1>"Apartment,Condo,Townhouse,Single-family,Duplex unit,Other"</formula1>
    </dataValidation>
    <dataValidation sqref="C22" showDropDown="0" showInputMessage="0" showErrorMessage="0" allowBlank="1" type="list">
      <formula1>"Yes,No,Conditional"</formula1>
    </dataValidation>
    <dataValidation sqref="C23" showDropDown="0" showInputMessage="0" showErrorMessage="0" allowBlank="1" type="list">
      <formula1>"Yes,No,Unsure"</formula1>
    </dataValidation>
    <dataValidation sqref="C24" showDropDown="0" showInputMessage="0" showErrorMessage="0" allowBlank="1" type="list">
      <formula1>"Yes,No"</formula1>
    </dataValidation>
    <dataValidation sqref="C2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6" customWidth="1" min="6" max="6"/>
    <col width="3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HYPERLINK("#'Lease Terms'!A1", "← BACK")</f>
        <v/>
      </c>
      <c r="B2" s="16" t="n"/>
      <c r="C2" s="16" t="n"/>
      <c r="D2" s="25" t="inlineStr">
        <is>
          <t>SETUP COSTS</t>
        </is>
      </c>
      <c r="J2" s="17">
        <f>HYPERLINK("#'Revenue Projection'!A1",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6" t="inlineStr">
        <is>
          <t>Section 2 of 4 — one-time furnish + tech + supplies. Smaller than owned-property setup (no major appliances — landlord supplies those).</t>
        </is>
      </c>
    </row>
    <row r="6" ht="22" customHeight="1">
      <c r="B6" s="37" t="inlineStr">
        <is>
          <t>Category</t>
        </is>
      </c>
      <c r="C6" s="37" t="inlineStr">
        <is>
          <t>Low ($)</t>
        </is>
      </c>
      <c r="D6" s="37" t="inlineStr">
        <is>
          <t>Mid ($)</t>
        </is>
      </c>
      <c r="E6" s="37" t="inlineStr">
        <is>
          <t>High ($)</t>
        </is>
      </c>
      <c r="G6" s="37" t="inlineStr">
        <is>
          <t>Note</t>
        </is>
      </c>
    </row>
    <row r="7" ht="18" customHeight="1">
      <c r="B7" s="38" t="inlineStr">
        <is>
          <t>Kitchen — cookware/plates/utensils</t>
        </is>
      </c>
      <c r="C7" s="34" t="n">
        <v>1200</v>
      </c>
      <c r="D7" s="34" t="n">
        <v>2000</v>
      </c>
      <c r="E7" s="34" t="n">
        <v>3200</v>
      </c>
      <c r="G7" s="30" t="inlineStr">
        <is>
          <t>Coffee maker, knives, full kit for 6</t>
        </is>
      </c>
    </row>
    <row r="8" ht="18" customHeight="1">
      <c r="B8" s="38" t="inlineStr">
        <is>
          <t>Bedding — mattresses/linens/towels</t>
        </is>
      </c>
      <c r="C8" s="34" t="n">
        <v>1500</v>
      </c>
      <c r="D8" s="34" t="n">
        <v>2400</v>
      </c>
      <c r="E8" s="34" t="n">
        <v>3600</v>
      </c>
      <c r="G8" s="30" t="inlineStr">
        <is>
          <t>Hotel-grade for premium ADR</t>
        </is>
      </c>
    </row>
    <row r="9" ht="18" customHeight="1">
      <c r="B9" s="38" t="inlineStr">
        <is>
          <t>Bath — toilet brush/scale/shower</t>
        </is>
      </c>
      <c r="C9" s="34" t="n">
        <v>400</v>
      </c>
      <c r="D9" s="34" t="n">
        <v>650</v>
      </c>
      <c r="E9" s="34" t="n">
        <v>900</v>
      </c>
      <c r="G9" s="30" t="inlineStr">
        <is>
          <t>Soft launch consumables included</t>
        </is>
      </c>
    </row>
    <row r="10" ht="18" customHeight="1">
      <c r="B10" s="38" t="inlineStr">
        <is>
          <t>Living — sofa/coffee table/TV</t>
        </is>
      </c>
      <c r="C10" s="34" t="n">
        <v>1800</v>
      </c>
      <c r="D10" s="34" t="n">
        <v>2800</v>
      </c>
      <c r="E10" s="34" t="n">
        <v>4200</v>
      </c>
      <c r="G10" s="30" t="inlineStr">
        <is>
          <t>Sleeper sofa raises occupancy</t>
        </is>
      </c>
    </row>
    <row r="11" ht="18" customHeight="1">
      <c r="B11" s="38" t="inlineStr">
        <is>
          <t>Decor — art/rug/lamps</t>
        </is>
      </c>
      <c r="C11" s="34" t="n">
        <v>600</v>
      </c>
      <c r="D11" s="34" t="n">
        <v>1100</v>
      </c>
      <c r="E11" s="34" t="n">
        <v>1800</v>
      </c>
      <c r="G11" s="30" t="inlineStr">
        <is>
          <t>Photogenic = better listing photos</t>
        </is>
      </c>
    </row>
    <row r="12" ht="18" customHeight="1">
      <c r="B12" s="38" t="inlineStr">
        <is>
          <t>Tech — smart locks/Wi-Fi/cameras</t>
        </is>
      </c>
      <c r="C12" s="34" t="n">
        <v>700</v>
      </c>
      <c r="D12" s="34" t="n">
        <v>1100</v>
      </c>
      <c r="E12" s="34" t="n">
        <v>1700</v>
      </c>
      <c r="G12" s="30" t="inlineStr">
        <is>
          <t>Schlage / eero / Ring Outdoor</t>
        </is>
      </c>
    </row>
    <row r="13" ht="18" customHeight="1">
      <c r="B13" s="38" t="inlineStr">
        <is>
          <t>Security — exterior cameras/sensors</t>
        </is>
      </c>
      <c r="C13" s="34" t="n">
        <v>200</v>
      </c>
      <c r="D13" s="34" t="n">
        <v>450</v>
      </c>
      <c r="E13" s="34" t="n">
        <v>700</v>
      </c>
      <c r="G13" s="30" t="inlineStr">
        <is>
          <t>Required by some city STR ordinances</t>
        </is>
      </c>
    </row>
    <row r="14" ht="18" customHeight="1">
      <c r="B14" s="38" t="inlineStr">
        <is>
          <t>Cleaning supplies (start kit)</t>
        </is>
      </c>
      <c r="C14" s="34" t="n">
        <v>300</v>
      </c>
      <c r="D14" s="34" t="n">
        <v>500</v>
      </c>
      <c r="E14" s="34" t="n">
        <v>800</v>
      </c>
      <c r="G14" s="30" t="inlineStr">
        <is>
          <t>Mop / vacuum / starter chemicals</t>
        </is>
      </c>
    </row>
    <row r="15" ht="18" customHeight="1">
      <c r="B15" s="38" t="inlineStr">
        <is>
          <t>Initial deep clean</t>
        </is>
      </c>
      <c r="C15" s="34" t="n">
        <v>150</v>
      </c>
      <c r="D15" s="34" t="n">
        <v>300</v>
      </c>
      <c r="E15" s="34" t="n">
        <v>500</v>
      </c>
      <c r="G15" s="30" t="inlineStr">
        <is>
          <t>Pro deep-clean before listing</t>
        </is>
      </c>
    </row>
    <row r="16" ht="18" customHeight="1">
      <c r="B16" s="38" t="inlineStr">
        <is>
          <t>Small tools / fasteners / hooks</t>
        </is>
      </c>
      <c r="C16" s="34" t="n">
        <v>200</v>
      </c>
      <c r="D16" s="34" t="n">
        <v>400</v>
      </c>
      <c r="E16" s="34" t="n">
        <v>700</v>
      </c>
      <c r="G16" s="30" t="inlineStr">
        <is>
          <t>Drill, level, picture hangers</t>
        </is>
      </c>
    </row>
    <row r="17" ht="18" customHeight="1">
      <c r="B17" s="38" t="inlineStr">
        <is>
          <t>Outdoor — patio set / firepit</t>
        </is>
      </c>
      <c r="C17" s="34" t="n">
        <v>300</v>
      </c>
      <c r="D17" s="34" t="n">
        <v>600</v>
      </c>
      <c r="E17" s="34" t="n">
        <v>1000</v>
      </c>
      <c r="G17" s="30" t="inlineStr">
        <is>
          <t>If unit has outdoor space</t>
        </is>
      </c>
    </row>
    <row r="18" ht="18" customHeight="1">
      <c r="B18" s="38" t="inlineStr">
        <is>
          <t>Consumables — soap/coffee/paper</t>
        </is>
      </c>
      <c r="C18" s="34" t="n">
        <v>250</v>
      </c>
      <c r="D18" s="34" t="n">
        <v>450</v>
      </c>
      <c r="E18" s="34" t="n">
        <v>700</v>
      </c>
      <c r="G18" s="30" t="inlineStr">
        <is>
          <t>First 3 months of restock</t>
        </is>
      </c>
    </row>
    <row r="19" ht="18" customHeight="1">
      <c r="B19" s="38" t="inlineStr">
        <is>
          <t>Signage / lockbox / welcome book</t>
        </is>
      </c>
      <c r="C19" s="34" t="n">
        <v>100</v>
      </c>
      <c r="D19" s="34" t="n">
        <v>250</v>
      </c>
      <c r="E19" s="34" t="n">
        <v>400</v>
      </c>
      <c r="G19" s="30" t="inlineStr">
        <is>
          <t>Includes printed welcome book</t>
        </is>
      </c>
    </row>
    <row r="20" ht="18" customHeight="1">
      <c r="B20" s="38" t="inlineStr">
        <is>
          <t>Buffer (5-8% of mid total)</t>
        </is>
      </c>
      <c r="C20" s="34" t="n">
        <v>500</v>
      </c>
      <c r="D20" s="34" t="n">
        <v>800</v>
      </c>
      <c r="E20" s="34" t="n">
        <v>1300</v>
      </c>
      <c r="G20" s="30" t="inlineStr">
        <is>
          <t>Always overruns. Always.</t>
        </is>
      </c>
    </row>
    <row r="22" ht="26" customHeight="1">
      <c r="B22" s="39" t="inlineStr">
        <is>
          <t>TOTAL SETUP COST</t>
        </is>
      </c>
      <c r="C22" s="40">
        <f>SUM(C7:C20)</f>
        <v/>
      </c>
      <c r="D22" s="41">
        <f>SUM(D7:D20)</f>
        <v/>
      </c>
      <c r="E22" s="42">
        <f>SUM(E7:E20)</f>
        <v/>
      </c>
    </row>
    <row r="24" ht="24" customHeight="1">
      <c r="B24" s="39" t="inlineStr">
        <is>
          <t>Cash to launch (deposit + Mid setup):</t>
        </is>
      </c>
      <c r="D24" s="43">
        <f>'Lease Terms'!C16+D22</f>
        <v/>
      </c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23" t="inlineStr">
        <is>
          <t>Questions? hello@thestrledger.com</t>
        </is>
      </c>
    </row>
    <row r="29" ht="18" customHeight="1">
      <c r="A29" s="24" t="inlineStr">
        <is>
          <t>ACQ-003 · Setup Costs</t>
        </is>
      </c>
    </row>
  </sheetData>
  <mergeCells count="6">
    <mergeCell ref="J2:L2"/>
    <mergeCell ref="D2:I2"/>
    <mergeCell ref="A29:L29"/>
    <mergeCell ref="A28:L28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HYPERLINK("#'Setup Costs'!A1", "← BACK")</f>
        <v/>
      </c>
      <c r="B2" s="16" t="n"/>
      <c r="C2" s="16" t="n"/>
      <c r="D2" s="25" t="inlineStr">
        <is>
          <t>REVENUE PROJECTION</t>
        </is>
      </c>
      <c r="J2" s="17">
        <f>HYPERLINK("#'Operating Math'!A1",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3 of 4 — paste from AirDNA / Rabbu / KeyData. Haircut Y1 hard.</t>
        </is>
      </c>
    </row>
    <row r="6" ht="24" customHeight="1">
      <c r="A6" s="27" t="inlineStr">
        <is>
          <t>MARKET ASSUMPTIONS</t>
        </is>
      </c>
    </row>
    <row r="7" ht="18" customHeight="1">
      <c r="B7" s="28" t="inlineStr">
        <is>
          <t>ADR — avg nightly rate ($):</t>
        </is>
      </c>
      <c r="C7" s="34" t="n">
        <v>185</v>
      </c>
      <c r="E7" s="30" t="inlineStr">
        <is>
          <t>Paste from AirDNA</t>
        </is>
      </c>
    </row>
    <row r="8" ht="18" customHeight="1">
      <c r="B8" s="28" t="inlineStr">
        <is>
          <t>Stabilized occupancy (%):</t>
        </is>
      </c>
      <c r="C8" s="35" t="n">
        <v>0.7</v>
      </c>
      <c r="E8" s="30" t="inlineStr">
        <is>
          <t>Year 2-3 expected</t>
        </is>
      </c>
    </row>
    <row r="9" ht="18" customHeight="1">
      <c r="B9" s="28" t="inlineStr">
        <is>
          <t>Year 1 occupancy (%):</t>
        </is>
      </c>
      <c r="C9" s="35" t="n">
        <v>0.42</v>
      </c>
      <c r="E9" s="30" t="inlineStr">
        <is>
          <t>Default 60% of stabilized — arbitrage Y1 is harder</t>
        </is>
      </c>
    </row>
    <row r="10" ht="18" customHeight="1">
      <c r="B10" s="28" t="inlineStr">
        <is>
          <t>Avg length of stay (nights):</t>
        </is>
      </c>
      <c r="C10" s="32" t="n">
        <v>2.8</v>
      </c>
      <c r="E10" s="30" t="inlineStr">
        <is>
          <t>1.5-7 typical</t>
        </is>
      </c>
    </row>
    <row r="11" ht="18" customHeight="1">
      <c r="B11" s="28" t="inlineStr">
        <is>
          <t>Cleaning fee charged ($):</t>
        </is>
      </c>
      <c r="C11" s="34" t="n">
        <v>145</v>
      </c>
      <c r="E11" s="30" t="inlineStr">
        <is>
          <t>What guests pay (separate from cleaning paid)</t>
        </is>
      </c>
    </row>
    <row r="12" ht="18" customHeight="1">
      <c r="B12" s="28" t="inlineStr">
        <is>
          <t>Platform commission (%):</t>
        </is>
      </c>
      <c r="C12" s="35" t="n">
        <v>0.15</v>
      </c>
      <c r="E12" s="30" t="inlineStr">
        <is>
          <t>Airbnb 15%, VRBO 8%, direct 0-3%</t>
        </is>
      </c>
    </row>
    <row r="13" ht="18" customHeight="1">
      <c r="B13" s="28" t="inlineStr">
        <is>
          <t>Seasonality factor (multiplier):</t>
        </is>
      </c>
      <c r="C13" s="44" t="n">
        <v>1</v>
      </c>
      <c r="E13" s="30" t="inlineStr">
        <is>
          <t>1.00 = neutral; 1.10 = peak market; 0.90 = off-peak</t>
        </is>
      </c>
    </row>
    <row r="15" ht="24" customHeight="1">
      <c r="A15" s="27" t="inlineStr">
        <is>
          <t>DERIVED  (monthly)</t>
        </is>
      </c>
    </row>
    <row r="16" ht="18" customHeight="1">
      <c r="B16" s="28" t="inlineStr">
        <is>
          <t>Y1 booked nights / mo:</t>
        </is>
      </c>
      <c r="C16" s="45">
        <f>C9*30.42*C13</f>
        <v/>
      </c>
    </row>
    <row r="17" ht="18" customHeight="1">
      <c r="B17" s="28" t="inlineStr">
        <is>
          <t>Stabilized booked nights / mo:</t>
        </is>
      </c>
      <c r="C17" s="45">
        <f>C8*30.42*C13</f>
        <v/>
      </c>
    </row>
    <row r="18" ht="18" customHeight="1">
      <c r="B18" s="28" t="inlineStr">
        <is>
          <t>Y1 turnovers / mo:</t>
        </is>
      </c>
      <c r="C18" s="45">
        <f>C16/C10</f>
        <v/>
      </c>
    </row>
    <row r="19" ht="18" customHeight="1">
      <c r="B19" s="28" t="inlineStr">
        <is>
          <t>Stabilized turnovers / mo:</t>
        </is>
      </c>
      <c r="C19" s="45">
        <f>C17/C10</f>
        <v/>
      </c>
    </row>
    <row r="20" ht="18" customHeight="1">
      <c r="B20" s="28" t="inlineStr">
        <is>
          <t>Y1 gross revenue / mo:</t>
        </is>
      </c>
      <c r="C20" s="46">
        <f>C16*C7+C18*C11</f>
        <v/>
      </c>
    </row>
    <row r="21" ht="18" customHeight="1">
      <c r="B21" s="28" t="inlineStr">
        <is>
          <t>Stabilized gross revenue / mo:</t>
        </is>
      </c>
      <c r="C21" s="46">
        <f>C17*C7+C19*C11</f>
        <v/>
      </c>
    </row>
    <row r="22" ht="22" customHeight="1">
      <c r="B22" s="39" t="inlineStr">
        <is>
          <t>Y1 net revenue / mo (after platform):</t>
        </is>
      </c>
      <c r="C22" s="43">
        <f>C20*(1-C12)</f>
        <v/>
      </c>
    </row>
    <row r="23" ht="22" customHeight="1">
      <c r="B23" s="39" t="inlineStr">
        <is>
          <t>Stabilized net revenue / mo:</t>
        </is>
      </c>
      <c r="C23" s="43">
        <f>C21*(1-C12)</f>
        <v/>
      </c>
    </row>
    <row r="26" ht="20" customHeight="1">
      <c r="A26" s="47" t="inlineStr">
        <is>
          <t>PASTE FROM AIRDNA / RABBU / KEYDATA</t>
        </is>
      </c>
    </row>
    <row r="27" ht="18" customHeight="1">
      <c r="A27" s="48" t="inlineStr">
        <is>
          <t>Pull market RevPAR, ADR, and occupancy from AirDNA Markets. Look for the same beds/baths/unit type. Then haircut: arbitrage Y1 occupancy is roughly 60% of stabilized, not 80%. Ramp time is real — listings need ~50 reviews before they crack the algorithm.</t>
        </is>
      </c>
    </row>
    <row r="28" ht="18" customHeight="1"/>
    <row r="29" ht="18" customHeight="1"/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</row>
    <row r="33" ht="18" customHeight="1">
      <c r="A33" s="23" t="inlineStr">
        <is>
          <t>Questions? hello@thestrledger.com</t>
        </is>
      </c>
    </row>
    <row r="34" ht="18" customHeight="1">
      <c r="A34" s="24" t="inlineStr">
        <is>
          <t>ACQ-003 · Revenue</t>
        </is>
      </c>
    </row>
  </sheetData>
  <mergeCells count="17">
    <mergeCell ref="A26:L26"/>
    <mergeCell ref="E9:L9"/>
    <mergeCell ref="E12:L12"/>
    <mergeCell ref="J2:L2"/>
    <mergeCell ref="D2:I2"/>
    <mergeCell ref="A15:L15"/>
    <mergeCell ref="A33:L33"/>
    <mergeCell ref="E7:L7"/>
    <mergeCell ref="A27:L29"/>
    <mergeCell ref="E11:L11"/>
    <mergeCell ref="E10:L10"/>
    <mergeCell ref="A6:L6"/>
    <mergeCell ref="E13:L13"/>
    <mergeCell ref="E8:L8"/>
    <mergeCell ref="A34:L34"/>
    <mergeCell ref="A2:C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6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HYPERLINK("#'Revenue Projection'!A1", "← BACK")</f>
        <v/>
      </c>
      <c r="B2" s="16" t="n"/>
      <c r="C2" s="16" t="n"/>
      <c r="D2" s="25" t="inlineStr">
        <is>
          <t>OPERATING MATH</t>
        </is>
      </c>
      <c r="J2" s="17">
        <f>HYPERLINK("#'Stress Test'!A1",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4 of 4 — monthly cash flow. Y1 vs Stabilized side-by-side.</t>
        </is>
      </c>
    </row>
    <row r="6" ht="22" customHeight="1">
      <c r="B6" s="37" t="inlineStr">
        <is>
          <t>Line item</t>
        </is>
      </c>
      <c r="C6" s="37" t="inlineStr">
        <is>
          <t>Year 1 / mo</t>
        </is>
      </c>
      <c r="D6" s="37" t="inlineStr">
        <is>
          <t>Stabilized / mo</t>
        </is>
      </c>
      <c r="E6" s="37" t="inlineStr">
        <is>
          <t>Note</t>
        </is>
      </c>
    </row>
    <row r="7" ht="24" customHeight="1">
      <c r="A7" s="27" t="inlineStr">
        <is>
          <t>MONTHLY OPERATING COSTS</t>
        </is>
      </c>
    </row>
    <row r="8" ht="18" customHeight="1">
      <c r="B8" s="28" t="inlineStr">
        <is>
          <t>Rent (from Lease Terms):</t>
        </is>
      </c>
      <c r="C8" s="46">
        <f>'Lease Terms'!C15</f>
        <v/>
      </c>
      <c r="D8" s="46">
        <f>C8</f>
        <v/>
      </c>
      <c r="E8" s="30" t="inlineStr">
        <is>
          <t>Auto-pulled</t>
        </is>
      </c>
    </row>
    <row r="9" ht="18" customHeight="1">
      <c r="B9" s="28" t="inlineStr">
        <is>
          <t>Utilities ($):</t>
        </is>
      </c>
      <c r="C9" s="34" t="n">
        <v>220</v>
      </c>
      <c r="D9" s="34" t="n">
        <v>220</v>
      </c>
      <c r="E9" s="30" t="inlineStr">
        <is>
          <t>Electric/gas/water/trash</t>
        </is>
      </c>
    </row>
    <row r="10" ht="18" customHeight="1">
      <c r="B10" s="28" t="inlineStr">
        <is>
          <t>Internet ($):</t>
        </is>
      </c>
      <c r="C10" s="34" t="n">
        <v>80</v>
      </c>
      <c r="D10" s="34" t="n">
        <v>80</v>
      </c>
      <c r="E10" s="30" t="inlineStr"/>
    </row>
    <row r="11" ht="18" customHeight="1">
      <c r="B11" s="28" t="inlineStr">
        <is>
          <t>Software / PMS ($):</t>
        </is>
      </c>
      <c r="C11" s="34" t="n">
        <v>40</v>
      </c>
      <c r="D11" s="34" t="n">
        <v>40</v>
      </c>
      <c r="E11" s="30" t="inlineStr">
        <is>
          <t>Hospitable, Hostfully, etc.</t>
        </is>
      </c>
    </row>
    <row r="12" ht="18" customHeight="1">
      <c r="B12" s="28" t="inlineStr">
        <is>
          <t>Cleaning paid ($/turnover):</t>
        </is>
      </c>
      <c r="C12" s="34" t="n">
        <v>135</v>
      </c>
      <c r="D12" s="34" t="n">
        <v>135</v>
      </c>
      <c r="E12" s="30" t="inlineStr">
        <is>
          <t>What you pay your cleaner</t>
        </is>
      </c>
    </row>
    <row r="13" ht="18" customHeight="1">
      <c r="B13" s="28" t="inlineStr">
        <is>
          <t>Supplies ($/turnover):</t>
        </is>
      </c>
      <c r="C13" s="34" t="n">
        <v>18</v>
      </c>
      <c r="D13" s="34" t="n">
        <v>18</v>
      </c>
      <c r="E13" s="30" t="inlineStr">
        <is>
          <t>Soap, paper, coffee restock</t>
        </is>
      </c>
    </row>
    <row r="14" ht="18" customHeight="1">
      <c r="B14" s="28" t="inlineStr">
        <is>
          <t>Marketing ($):</t>
        </is>
      </c>
      <c r="C14" s="34" t="n">
        <v>45</v>
      </c>
      <c r="D14" s="34" t="n">
        <v>45</v>
      </c>
      <c r="E14" s="30" t="inlineStr">
        <is>
          <t>Photos refresh, Pinterest ads</t>
        </is>
      </c>
    </row>
    <row r="15" ht="18" customHeight="1">
      <c r="B15" s="28" t="inlineStr">
        <is>
          <t>Insurance ($):</t>
        </is>
      </c>
      <c r="C15" s="34" t="n">
        <v>85</v>
      </c>
      <c r="D15" s="34" t="n">
        <v>85</v>
      </c>
      <c r="E15" s="30" t="inlineStr">
        <is>
          <t>Proper / Slice STR-specific</t>
        </is>
      </c>
    </row>
    <row r="16" ht="18" customHeight="1">
      <c r="B16" s="28" t="inlineStr">
        <is>
          <t>Other ($):</t>
        </is>
      </c>
      <c r="C16" s="34" t="n">
        <v>40</v>
      </c>
      <c r="D16" s="34" t="n">
        <v>40</v>
      </c>
      <c r="E16" s="30" t="inlineStr"/>
    </row>
    <row r="18" ht="24" customHeight="1">
      <c r="A18" s="27" t="inlineStr">
        <is>
          <t>ROLL-UP</t>
        </is>
      </c>
    </row>
    <row r="19" ht="20" customHeight="1">
      <c r="B19" s="28" t="inlineStr">
        <is>
          <t>Total operating cost / mo:</t>
        </is>
      </c>
      <c r="C19" s="46">
        <f>C8+C9+C10+C11+C14+C15+C16+(C12+C13)*'Revenue Projection'!C18</f>
        <v/>
      </c>
      <c r="D19" s="46">
        <f>D8+D9+D10+D11+D14+D15+D16+(D12+D13)*'Revenue Projection'!C19</f>
        <v/>
      </c>
    </row>
    <row r="20" ht="20" customHeight="1">
      <c r="B20" s="28" t="inlineStr">
        <is>
          <t>Net revenue / mo:</t>
        </is>
      </c>
      <c r="C20" s="46">
        <f>'Revenue Projection'!C22</f>
        <v/>
      </c>
      <c r="D20" s="46">
        <f>'Revenue Projection'!C23</f>
        <v/>
      </c>
    </row>
    <row r="22" ht="28" customHeight="1">
      <c r="B22" s="49" t="inlineStr">
        <is>
          <t>MONTHLY CASH FLOW:</t>
        </is>
      </c>
      <c r="C22" s="50">
        <f>C20-C19</f>
        <v/>
      </c>
      <c r="D22" s="51">
        <f>D20-D19</f>
        <v/>
      </c>
    </row>
    <row r="23" ht="18" customHeight="1">
      <c r="B23" s="28" t="inlineStr">
        <is>
          <t>Annual cash flow:</t>
        </is>
      </c>
      <c r="C23" s="46">
        <f>C22*12</f>
        <v/>
      </c>
      <c r="D23" s="46">
        <f>D22*12</f>
        <v/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8" customHeight="1">
      <c r="A27" s="23" t="inlineStr">
        <is>
          <t>Questions? hello@thestrledger.com</t>
        </is>
      </c>
    </row>
    <row r="28" ht="18" customHeight="1">
      <c r="A28" s="24" t="inlineStr">
        <is>
          <t>ACQ-003 · Operating Math</t>
        </is>
      </c>
    </row>
  </sheetData>
  <mergeCells count="8">
    <mergeCell ref="J2:L2"/>
    <mergeCell ref="D2:I2"/>
    <mergeCell ref="A7:L7"/>
    <mergeCell ref="A28:L28"/>
    <mergeCell ref="A18:L18"/>
    <mergeCell ref="A27:L27"/>
    <mergeCell ref="A2:C2"/>
    <mergeCell ref="A4:L4"/>
  </mergeCells>
  <conditionalFormatting sqref="C22">
    <cfRule type="cellIs" priority="1" operator="lessThan" dxfId="0" stopIfTrue="0">
      <formula>0</formula>
    </cfRule>
    <cfRule type="cellIs" priority="2" operator="between" dxfId="1" stopIfTrue="0">
      <formula>0</formula>
      <formula>300</formula>
    </cfRule>
    <cfRule type="cellIs" priority="3" operator="greaterThan" dxfId="2" stopIfTrue="0">
      <formula>300</formula>
    </cfRule>
  </conditionalFormatting>
  <conditionalFormatting sqref="D22">
    <cfRule type="cellIs" priority="4" operator="lessThan" dxfId="0" stopIfTrue="0">
      <formula>0</formula>
    </cfRule>
    <cfRule type="cellIs" priority="5" operator="between" dxfId="1" stopIfTrue="0">
      <formula>0</formula>
      <formula>300</formula>
    </cfRule>
    <cfRule type="cellIs" priority="6" operator="greaterThan" dxfId="2" stopIfTrue="0">
      <formula>300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18" customWidth="1" min="5" max="5"/>
    <col width="6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HYPERLINK("#'Operating Math'!A1", "← BACK")</f>
        <v/>
      </c>
      <c r="B2" s="16" t="n"/>
      <c r="C2" s="16" t="n"/>
      <c r="D2" s="25" t="inlineStr">
        <is>
          <t>STRESS TEST</t>
        </is>
      </c>
      <c r="J2" s="17">
        <f>HYPERLINK("#'MTR Fallback'!A1",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6" t="inlineStr">
        <is>
          <t>The arbitrage killer is the Year-2 rent escalator. Most gurus skip it. This tab bakes a 5% escalator into Year 2 and a 7%+ shock case.</t>
        </is>
      </c>
    </row>
    <row r="6" ht="24" customHeight="1">
      <c r="B6" s="37" t="inlineStr">
        <is>
          <t>Metric</t>
        </is>
      </c>
      <c r="C6" s="37" t="inlineStr">
        <is>
          <t>Base (Y1)</t>
        </is>
      </c>
      <c r="D6" s="37" t="inlineStr">
        <is>
          <t>Y2 + 5% escalator</t>
        </is>
      </c>
      <c r="E6" s="37" t="inlineStr">
        <is>
          <t>Worst case</t>
        </is>
      </c>
      <c r="G6" s="37" t="inlineStr">
        <is>
          <t>Method</t>
        </is>
      </c>
    </row>
    <row r="7" ht="20" customHeight="1">
      <c r="B7" s="28" t="inlineStr">
        <is>
          <t>Monthly cash flow:</t>
        </is>
      </c>
      <c r="C7" s="52">
        <f>'Operating Math'!C22</f>
        <v/>
      </c>
      <c r="D7" s="53">
        <f>('Operating Math'!D22 - 'Lease Terms'!C15*'Lease Terms'!C19)</f>
        <v/>
      </c>
      <c r="E7" s="54">
        <f>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</f>
        <v/>
      </c>
      <c r="G7" s="30" t="inlineStr">
        <is>
          <t>Net rev − total opex</t>
        </is>
      </c>
    </row>
    <row r="8" ht="20" customHeight="1">
      <c r="B8" s="55" t="inlineStr">
        <is>
          <t>Annual cash flow:</t>
        </is>
      </c>
      <c r="C8" s="46">
        <f>'Operating Math'!C22*12</f>
        <v/>
      </c>
      <c r="D8" s="46">
        <f>('Operating Math'!D22 - 'Lease Terms'!C15*'Lease Terms'!C19)*12</f>
        <v/>
      </c>
      <c r="E8" s="46">
        <f>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Projection'!C10)))*12</f>
        <v/>
      </c>
      <c r="G8" s="30" t="inlineStr">
        <is>
          <t>Monthly × 12</t>
        </is>
      </c>
    </row>
    <row r="9" ht="20" customHeight="1">
      <c r="B9" s="55" t="inlineStr">
        <is>
          <t>Effective rent paid:</t>
        </is>
      </c>
      <c r="C9" s="46">
        <f>'Lease Terms'!C15</f>
        <v/>
      </c>
      <c r="D9" s="46">
        <f>'Lease Terms'!C15*(1+'Lease Terms'!C19)</f>
        <v/>
      </c>
      <c r="E9" s="46">
        <f>'Lease Terms'!C15*1.07</f>
        <v/>
      </c>
      <c r="G9" s="30" t="inlineStr">
        <is>
          <t>Year-2 escalator applied</t>
        </is>
      </c>
    </row>
    <row r="10" ht="20" customHeight="1">
      <c r="B10" s="55" t="inlineStr">
        <is>
          <t>Net revenue / mo:</t>
        </is>
      </c>
      <c r="C10" s="46">
        <f>'Revenue Projection'!C22</f>
        <v/>
      </c>
      <c r="D10" s="46">
        <f>'Revenue Projection'!C23</f>
        <v/>
      </c>
      <c r="E10" s="46">
        <f>((('Revenue Projection'!C8-0.10)*30.42*'Revenue Projection'!C13)*'Revenue Projection'!C7 + (('Revenue Projection'!C8-0.10)*30.42*'Revenue Projection'!C13/'Revenue Projection'!C10)*'Revenue Projection'!C11)*(1-'Revenue Projection'!C12)</f>
        <v/>
      </c>
      <c r="G10" s="30" t="inlineStr">
        <is>
          <t>After platform commission</t>
        </is>
      </c>
    </row>
    <row r="11" ht="20" customHeight="1">
      <c r="B11" s="55" t="inlineStr">
        <is>
          <t>Cash margin:</t>
        </is>
      </c>
      <c r="C11" s="56">
        <f>IFERROR('Operating Math'!C22/'Revenue Projection'!C22,0)</f>
        <v/>
      </c>
      <c r="D11" s="56">
        <f>IFERROR(('Operating Math'!D22 - 'Lease Terms'!C15*'Lease Terms'!C19)/'Revenue Projection'!C23,0)</f>
        <v/>
      </c>
      <c r="E11" s="56">
        <f>IFERROR((((('Revenue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Projection'!C10)))/((('Revenue Projection'!C8-0.10)*30.42*'Revenue Projection'!C13)*'Revenue Projection'!C7 + (('Revenue Projection'!C8-0.10)*30.42*'Revenue Projection'!C13/'Revenue Projection'!C10)*'Revenue Projection'!C11)*(1-'Revenue Projection'!C12),0)</f>
        <v/>
      </c>
      <c r="G11" s="30" t="inlineStr">
        <is>
          <t>Cash flow ÷ net revenue</t>
        </is>
      </c>
    </row>
    <row r="13" ht="26" customHeight="1">
      <c r="B13" s="39" t="inlineStr">
        <is>
          <t>Verdict:</t>
        </is>
      </c>
      <c r="C13" s="57">
        <f>IF('Operating Math'!C22&gt;300,"DEAL",IF('Operating Math'!C22&gt;0,"MARGINAL","FAIL"))</f>
        <v/>
      </c>
      <c r="D13" s="57">
        <f>IF(('Operating Math'!D22 - 'Lease Terms'!C15*'Lease Terms'!C19)&gt;300,"DEAL",IF(('Operating Math'!D22 - 'Lease Terms'!C15*'Lease Terms'!C19)&gt;0,"MARGINAL","FAIL"))</f>
        <v/>
      </c>
      <c r="E13" s="57">
        <f>IF((((('Revenue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Projection'!C10)))&gt;300,"DEAL",IF((((('Revenue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Projection'!C10)))&gt;0,"MARGINAL","FAIL"))</f>
        <v/>
      </c>
    </row>
    <row r="16" ht="18" customHeight="1">
      <c r="A16" s="58" t="inlineStr">
        <is>
          <t>Stress test method: Year-2 column applies the renewal escalator from Lease Terms directly to rent, holds occupancy at stabilized. Worst-case applies a 7% rent shock, drops occupancy 10 percentage points, and adds 15% to supplies cost. If the worst-case column shows DEAL or MARGINAL — your underwriting has a real safety margin. If it shows FAIL — the deal works only if your assumptions hold perfectly. Most don't.</t>
        </is>
      </c>
    </row>
    <row r="17" ht="18" customHeight="1"/>
    <row r="18" ht="18" customHeight="1"/>
    <row r="19" ht="18" customHeight="1"/>
    <row r="21" ht="18" customHeight="1">
      <c r="B21" s="59" t="inlineStr">
        <is>
          <t>OVERALL VERDICT</t>
        </is>
      </c>
    </row>
    <row r="22" ht="36" customHeight="1">
      <c r="B22" s="60">
        <f>IF(OR('Lease Terms'!C22="No",'Lease Terms'!C23="No"),"PASS — illegal under current lease",IF(AND('Operating Math'!C22&gt;0,(((('Revenue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Projection'!C10)))&gt;0),"DEAL",IF('Operating Math'!C22&gt;0,"MARGINAL — survives Y1 but fails worst case","PASS — Y1 cash flow negative")))</f>
        <v/>
      </c>
    </row>
    <row r="23" ht="24" customHeight="1">
      <c r="B23" s="61">
        <f>IF((((('Revenue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Projection'!C10)))&gt;0,"Stress survives ($"&amp;TEXT((((('Revenue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Projection'!C10))),"#,##0")&amp;"/mo worst)",IF((((('Revenue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Projection'!C10)))&gt;-200,"Stress marginal (−$"&amp;TEXT(ABS((((('Revenue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Projection'!C10)))),"#,##0")&amp;"/mo)","Stress fails (−$"&amp;TEXT(ABS((((('Revenue Projection'!C8-0.10)*30.42*'Revenue Projection'!C13)*'Revenue Projection'!C7 + (('Revenue Projection'!C8-0.10)*30.42*'Revenue Projection'!C13/'Revenue Projection'!C10)*'Revenue Projection'!C11)*(1-'Revenue Projection'!C12) - ('Lease Terms'!C15*1.07 + 'Operating Math'!D9 + 'Operating Math'!D10 + 'Operating Math'!D11 + 'Operating Math'!D14 + 'Operating Math'!D15 + 'Operating Math'!D16 + ('Operating Math'!D12 + 'Operating Math'!D13*1.15)*((('Revenue Projection'!C8-0.10)*30.42*'Revenue Projection'!C13)/'Revenue Projection'!C10)))),"#,##0")&amp;"/mo)"))</f>
        <v/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8" customHeight="1">
      <c r="A27" s="23" t="inlineStr">
        <is>
          <t>Questions? hello@thestrledger.com</t>
        </is>
      </c>
    </row>
    <row r="28" ht="18" customHeight="1">
      <c r="A28" s="24" t="inlineStr">
        <is>
          <t>ACQ-003 · Stress Test</t>
        </is>
      </c>
    </row>
  </sheetData>
  <mergeCells count="10">
    <mergeCell ref="B23:E23"/>
    <mergeCell ref="B22:E22"/>
    <mergeCell ref="J2:L2"/>
    <mergeCell ref="D2:I2"/>
    <mergeCell ref="A16:L19"/>
    <mergeCell ref="A28:L28"/>
    <mergeCell ref="B21:E21"/>
    <mergeCell ref="A27:L27"/>
    <mergeCell ref="A2:C2"/>
    <mergeCell ref="A4:L4"/>
  </mergeCells>
  <conditionalFormatting sqref="C7">
    <cfRule type="cellIs" priority="1" operator="lessThan" dxfId="0" stopIfTrue="0">
      <formula>0</formula>
    </cfRule>
    <cfRule type="cellIs" priority="2" operator="between" dxfId="1" stopIfTrue="0">
      <formula>0</formula>
      <formula>300</formula>
    </cfRule>
    <cfRule type="cellIs" priority="3" operator="greaterThan" dxfId="2" stopIfTrue="0">
      <formula>300</formula>
    </cfRule>
  </conditionalFormatting>
  <conditionalFormatting sqref="D7">
    <cfRule type="cellIs" priority="4" operator="lessThan" dxfId="0" stopIfTrue="0">
      <formula>0</formula>
    </cfRule>
    <cfRule type="cellIs" priority="5" operator="between" dxfId="1" stopIfTrue="0">
      <formula>0</formula>
      <formula>300</formula>
    </cfRule>
    <cfRule type="cellIs" priority="6" operator="greaterThan" dxfId="2" stopIfTrue="0">
      <formula>300</formula>
    </cfRule>
  </conditionalFormatting>
  <conditionalFormatting sqref="E7">
    <cfRule type="cellIs" priority="7" operator="lessThan" dxfId="0" stopIfTrue="0">
      <formula>0</formula>
    </cfRule>
    <cfRule type="cellIs" priority="8" operator="between" dxfId="1" stopIfTrue="0">
      <formula>0</formula>
      <formula>300</formula>
    </cfRule>
    <cfRule type="cellIs" priority="9" operator="greaterThan" dxfId="2" stopIfTrue="0">
      <formula>300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HYPERLINK("#'Stress Test'!A1", "← BACK")</f>
        <v/>
      </c>
      <c r="B2" s="16" t="n"/>
      <c r="C2" s="16" t="n"/>
      <c r="D2" s="25" t="inlineStr">
        <is>
          <t>MTR FALLBACK</t>
        </is>
      </c>
      <c r="J2" s="17">
        <f>HYPERLINK("#'Landlord Pitch'!A1",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8" customHeight="1">
      <c r="A4" s="26" t="inlineStr">
        <is>
          <t>Plan B: if the STR play fails, can mid-term-rental (corporate housing, travel nurses, insurance displacement) cover the rent? Real arbitrage operators have an exit. Gurus don't.</t>
        </is>
      </c>
    </row>
    <row r="6" ht="24" customHeight="1">
      <c r="A6" s="27" t="inlineStr">
        <is>
          <t>MTR INPUTS  (paste from Furnished Finder)</t>
        </is>
      </c>
    </row>
    <row r="7" ht="18" customHeight="1">
      <c r="B7" s="28" t="inlineStr">
        <is>
          <t>MTR rent / mo ($):</t>
        </is>
      </c>
      <c r="C7" s="34" t="n">
        <v>3400</v>
      </c>
      <c r="E7" s="30" t="inlineStr">
        <is>
          <t>30+ day stays. Furnished Finder 'rent' field.</t>
        </is>
      </c>
    </row>
    <row r="8" ht="18" customHeight="1">
      <c r="B8" s="28" t="inlineStr">
        <is>
          <t>MTR occupancy (%):</t>
        </is>
      </c>
      <c r="C8" s="35" t="n">
        <v>0.9</v>
      </c>
      <c r="E8" s="30" t="inlineStr">
        <is>
          <t>Once contracted, ~90% on signed term</t>
        </is>
      </c>
    </row>
    <row r="9" ht="18" customHeight="1">
      <c r="B9" s="28" t="inlineStr">
        <is>
          <t>Utilities ($/mo):</t>
        </is>
      </c>
      <c r="C9" s="34" t="n">
        <v>240</v>
      </c>
      <c r="E9" s="30" t="inlineStr">
        <is>
          <t>Sometimes pass-through to MTR tenant</t>
        </is>
      </c>
    </row>
    <row r="10" ht="18" customHeight="1">
      <c r="B10" s="28" t="inlineStr">
        <is>
          <t>Insurance ($/mo):</t>
        </is>
      </c>
      <c r="C10" s="34" t="n">
        <v>85</v>
      </c>
    </row>
    <row r="11" ht="18" customHeight="1">
      <c r="B11" s="28" t="inlineStr">
        <is>
          <t>Minor cleaning ($/mo):</t>
        </is>
      </c>
      <c r="C11" s="34" t="n">
        <v>90</v>
      </c>
      <c r="E11" s="30" t="inlineStr">
        <is>
          <t>Quarterly turnover ÷ 3</t>
        </is>
      </c>
    </row>
    <row r="13" ht="24" customHeight="1">
      <c r="A13" s="27" t="inlineStr">
        <is>
          <t>MTR CASH FLOW</t>
        </is>
      </c>
    </row>
    <row r="14" ht="18" customHeight="1">
      <c r="B14" s="28" t="inlineStr">
        <is>
          <t>Net MTR revenue / mo:</t>
        </is>
      </c>
      <c r="C14" s="46">
        <f>C7*C8</f>
        <v/>
      </c>
    </row>
    <row r="15" ht="22" customHeight="1">
      <c r="B15" s="39" t="inlineStr">
        <is>
          <t>MTR cash flow / mo:</t>
        </is>
      </c>
      <c r="C15" s="43">
        <f>C14-'Lease Terms'!C15-C9-C10-C11</f>
        <v/>
      </c>
    </row>
    <row r="16" ht="28" customHeight="1">
      <c r="B16" s="62">
        <f>IF(C15&gt;0,"MTR covers rent: $"&amp;TEXT(C15,"#,##0")&amp;"/mo cushion",IF(C15&gt;-300,"MTR shortfall: $"&amp;TEXT(ABS(C15),"#,##0")&amp;"/mo (manageable)","MTR cannot cover rent: $"&amp;TEXT(ABS(C15),"#,##0")&amp;"/mo gap"))</f>
        <v/>
      </c>
    </row>
    <row r="19" ht="16" customHeight="1">
      <c r="A19" s="58" t="inlineStr">
        <is>
          <t>Mid-term rentals (30+ days) skip Airbnb's platform fee, skip per-stay cleaning, and stabilize at ~90% occupancy once a tenant signs. Travel-nurse contracts run 13 weeks; corporate housing 60-180 days; insurance displacement (people whose homes burned/flooded) often 6+ months. Pull MTR rents from Furnished Finder for your zip code. If MTR covers rent + a small cushion — your downside is bounded. If MTR shortfall is large — DO NOT sign this lease. The escape hatch isn't there.</t>
        </is>
      </c>
    </row>
    <row r="20" ht="16" customHeight="1"/>
    <row r="21" ht="16" customHeight="1"/>
    <row r="22" ht="16" customHeight="1"/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8" customHeight="1">
      <c r="A26" s="23" t="inlineStr">
        <is>
          <t>Questions? hello@thestrledger.com</t>
        </is>
      </c>
    </row>
    <row r="27" ht="18" customHeight="1">
      <c r="A27" s="24" t="inlineStr">
        <is>
          <t>ACQ-003 · MTR Fallback</t>
        </is>
      </c>
    </row>
  </sheetData>
  <mergeCells count="14">
    <mergeCell ref="A26:L26"/>
    <mergeCell ref="E9:L9"/>
    <mergeCell ref="J2:L2"/>
    <mergeCell ref="D2:I2"/>
    <mergeCell ref="B16:L16"/>
    <mergeCell ref="E7:L7"/>
    <mergeCell ref="E11:L11"/>
    <mergeCell ref="A13:L13"/>
    <mergeCell ref="A19:L22"/>
    <mergeCell ref="A6:L6"/>
    <mergeCell ref="E8:L8"/>
    <mergeCell ref="A27:L27"/>
    <mergeCell ref="A2:C2"/>
    <mergeCell ref="A4:L4"/>
  </mergeCells>
  <conditionalFormatting sqref="C15">
    <cfRule type="cellIs" priority="1" operator="lessThan" dxfId="0" stopIfTrue="0">
      <formula>-300</formula>
    </cfRule>
    <cfRule type="cellIs" priority="2" operator="between" dxfId="1" stopIfTrue="0">
      <formula>-300</formula>
      <formula>0</formula>
    </cfRule>
    <cfRule type="cellIs" priority="3" operator="greaterThan" dxfId="2" stopIfTrue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A1:F49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  <col width="22" customWidth="1" min="4" max="4"/>
    <col width="22" customWidth="1" min="5" max="5"/>
    <col width="18" customWidth="1" min="6" max="6"/>
    <col width="3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0" customHeight="1">
      <c r="A1" s="15">
        <f>HYPERLINK("#'Start'!A1", "← BACK")</f>
        <v/>
      </c>
      <c r="B1" s="16" t="n"/>
    </row>
    <row r="3" ht="24" customHeight="1">
      <c r="B3" s="63" t="inlineStr">
        <is>
          <t>[ YOUR LOGO HERE ]</t>
        </is>
      </c>
    </row>
    <row r="4" ht="24" customHeight="1"/>
    <row r="6" ht="36" customHeight="1">
      <c r="B6" s="64" t="inlineStr">
        <is>
          <t>Master-Lease Proposal</t>
        </is>
      </c>
    </row>
    <row r="7" ht="18" customHeight="1">
      <c r="B7" s="65">
        <f>"Date prepared: "&amp;TEXT(TODAY(),"mmmm d, yyyy")</f>
        <v/>
      </c>
    </row>
    <row r="9" ht="22" customHeight="1">
      <c r="B9" s="66" t="inlineStr">
        <is>
          <t>PROPOSED TENANT</t>
        </is>
      </c>
    </row>
    <row r="10" ht="18" customHeight="1">
      <c r="B10" s="67" t="inlineStr">
        <is>
          <t>Operator:</t>
        </is>
      </c>
      <c r="C10" s="68" t="inlineStr">
        <is>
          <t>Apex Stay Co.</t>
        </is>
      </c>
    </row>
    <row r="11" ht="18" customHeight="1">
      <c r="B11" s="67" t="inlineStr">
        <is>
          <t>Entity / LLC:</t>
        </is>
      </c>
      <c r="C11" s="68" t="inlineStr">
        <is>
          <t>Apex Stay Holdings LLC</t>
        </is>
      </c>
    </row>
    <row r="12" ht="18" customHeight="1">
      <c r="B12" s="67" t="inlineStr">
        <is>
          <t>Contact:</t>
        </is>
      </c>
      <c r="C12" s="68" t="inlineStr">
        <is>
          <t>Daniel Harrison · daniel@apexstay.co · (720) 555-0188</t>
        </is>
      </c>
    </row>
    <row r="13" ht="18" customHeight="1">
      <c r="B13" s="67" t="inlineStr">
        <is>
          <t>Business:</t>
        </is>
      </c>
      <c r="C13" s="68" t="inlineStr">
        <is>
          <t>Professionally managed mid-term + short-term housing operator.</t>
        </is>
      </c>
    </row>
    <row r="15" ht="22" customHeight="1">
      <c r="B15" s="66" t="inlineStr">
        <is>
          <t>PROPERTY</t>
        </is>
      </c>
    </row>
    <row r="16" ht="18" customHeight="1">
      <c r="B16" s="67" t="inlineStr">
        <is>
          <t>Address:</t>
        </is>
      </c>
      <c r="C16" s="69">
        <f>'Lease Terms'!C7</f>
        <v/>
      </c>
    </row>
    <row r="17" ht="18" customHeight="1">
      <c r="B17" s="67" t="inlineStr">
        <is>
          <t>Unit type:</t>
        </is>
      </c>
      <c r="C17" s="69">
        <f>'Lease Terms'!C9&amp;" · "&amp;'Lease Terms'!C10&amp;" bd / "&amp;'Lease Terms'!C11&amp;" ba"</f>
        <v/>
      </c>
    </row>
    <row r="19" ht="22" customHeight="1">
      <c r="B19" s="66" t="inlineStr">
        <is>
          <t>PROPOSED TERMS</t>
        </is>
      </c>
    </row>
    <row r="20" ht="18" customHeight="1">
      <c r="B20" s="67" t="inlineStr">
        <is>
          <t>Monthly rent:</t>
        </is>
      </c>
      <c r="C20" s="70">
        <f>'Lease Terms'!C15</f>
        <v/>
      </c>
    </row>
    <row r="21" ht="18" customHeight="1">
      <c r="B21" s="67" t="inlineStr">
        <is>
          <t>Security deposit:</t>
        </is>
      </c>
      <c r="C21" s="70">
        <f>'Lease Terms'!C16</f>
        <v/>
      </c>
    </row>
    <row r="22" ht="18" customHeight="1">
      <c r="B22" s="67" t="inlineStr">
        <is>
          <t>Lease term:</t>
        </is>
      </c>
      <c r="C22" s="69">
        <f>'Lease Terms'!C17&amp;" months"</f>
        <v/>
      </c>
    </row>
    <row r="23" ht="18" customHeight="1">
      <c r="B23" s="67" t="inlineStr">
        <is>
          <t>Start date:</t>
        </is>
      </c>
      <c r="C23" s="69">
        <f>'Lease Terms'!C18</f>
        <v/>
      </c>
    </row>
    <row r="24" ht="18" customHeight="1">
      <c r="B24" s="67" t="inlineStr">
        <is>
          <t>Renewal escalator:</t>
        </is>
      </c>
      <c r="C24" s="71">
        <f>'Lease Terms'!C19</f>
        <v/>
      </c>
    </row>
    <row r="25" ht="18" customHeight="1">
      <c r="B25" s="67" t="inlineStr">
        <is>
          <t>Tenant pays:</t>
        </is>
      </c>
      <c r="C25" s="69" t="inlineStr">
        <is>
          <t>Utilities · internet · insurance · cleaning · repairs &lt;$200</t>
        </is>
      </c>
    </row>
    <row r="26" ht="18" customHeight="1">
      <c r="B26" s="67" t="inlineStr">
        <is>
          <t>Landlord pays:</t>
        </is>
      </c>
      <c r="C26" s="69" t="inlineStr">
        <is>
          <t>Property tax · HOA · structural repairs · major systems</t>
        </is>
      </c>
    </row>
    <row r="28" ht="22" customHeight="1">
      <c r="B28" s="66" t="inlineStr">
        <is>
          <t>WHY THIS WORKS FOR YOU</t>
        </is>
      </c>
    </row>
    <row r="29" ht="20" customHeight="1">
      <c r="B29" s="72" t="inlineStr">
        <is>
          <t xml:space="preserve">  +  Guaranteed rent — paid on the 1st whether or not the unit is booked. You collect either way.</t>
        </is>
      </c>
    </row>
    <row r="30" ht="20" customHeight="1">
      <c r="B30" s="72" t="inlineStr">
        <is>
          <t xml:space="preserve">  +  Zero tenant turnover — one professional operator, not a revolving door of renters.</t>
        </is>
      </c>
    </row>
    <row r="31" ht="20" customHeight="1">
      <c r="B31" s="72" t="inlineStr">
        <is>
          <t xml:space="preserve">  +  Premium maintenance — we treat this unit like our reputation depends on it (because it does).</t>
        </is>
      </c>
    </row>
    <row r="32" ht="20" customHeight="1">
      <c r="B32" s="72" t="inlineStr">
        <is>
          <t xml:space="preserve">  +  Tenant carries $1M liability + STR rider — your asset is over-insured, not under.</t>
        </is>
      </c>
    </row>
    <row r="33" ht="20" customHeight="1">
      <c r="B33" s="72" t="inlineStr">
        <is>
          <t xml:space="preserve">  +  Indemnification clause — guests' actions are our liability, never yours.</t>
        </is>
      </c>
    </row>
    <row r="35" ht="22" customHeight="1">
      <c r="B35" s="66" t="inlineStr">
        <is>
          <t>REFERENCES  +  PRIOR HISTORY</t>
        </is>
      </c>
    </row>
    <row r="36" ht="22" customHeight="1">
      <c r="B36" s="67" t="inlineStr">
        <is>
          <t>Reference 1:</t>
        </is>
      </c>
      <c r="C36" s="73" t="inlineStr">
        <is>
          <t>James Whitman · Pearl St Properties · (303) 555-0119</t>
        </is>
      </c>
    </row>
    <row r="37" ht="22" customHeight="1">
      <c r="B37" s="67" t="inlineStr">
        <is>
          <t>Reference 2:</t>
        </is>
      </c>
      <c r="C37" s="73" t="inlineStr">
        <is>
          <t>Anita Reyes · Highland Holdings · (720) 555-0177</t>
        </is>
      </c>
    </row>
    <row r="38" ht="22" customHeight="1">
      <c r="B38" s="67" t="inlineStr">
        <is>
          <t>Prior history:</t>
        </is>
      </c>
      <c r="C38" s="73" t="inlineStr">
        <is>
          <t>3 prior master-lease units in Denver metro since 2024 — zero late payments, all renewed.</t>
        </is>
      </c>
    </row>
    <row r="41" ht="22" customHeight="1">
      <c r="B41" s="66" t="inlineStr">
        <is>
          <t>SIGNATURES</t>
        </is>
      </c>
    </row>
    <row r="43" ht="28" customHeight="1">
      <c r="B43" s="74" t="inlineStr">
        <is>
          <t>Tenant signature:</t>
        </is>
      </c>
      <c r="C43" s="75" t="n"/>
      <c r="F43" s="74" t="inlineStr">
        <is>
          <t>Date:</t>
        </is>
      </c>
    </row>
    <row r="45" ht="28" customHeight="1">
      <c r="B45" s="74" t="inlineStr">
        <is>
          <t>Landlord signature:</t>
        </is>
      </c>
      <c r="C45" s="75" t="n"/>
      <c r="F45" s="74" t="inlineStr">
        <is>
          <t>Date:</t>
        </is>
      </c>
    </row>
    <row r="48" ht="14" customHeight="1">
      <c r="B48" s="76" t="inlineStr">
        <is>
          <t>This proposal is non-binding and subject to a formal master-lease agreement. Both parties should consult an attorney before signing.</t>
        </is>
      </c>
    </row>
    <row r="49" ht="14" customHeight="1"/>
  </sheetData>
  <mergeCells count="34">
    <mergeCell ref="B7:F7"/>
    <mergeCell ref="C17:F17"/>
    <mergeCell ref="C23:F23"/>
    <mergeCell ref="C38:F38"/>
    <mergeCell ref="B31:F31"/>
    <mergeCell ref="A1:B1"/>
    <mergeCell ref="C37:F37"/>
    <mergeCell ref="C43:E43"/>
    <mergeCell ref="C13:F13"/>
    <mergeCell ref="C24:F24"/>
    <mergeCell ref="B41:F41"/>
    <mergeCell ref="B48:F49"/>
    <mergeCell ref="B29:F29"/>
    <mergeCell ref="C20:F20"/>
    <mergeCell ref="C26:F26"/>
    <mergeCell ref="B28:F28"/>
    <mergeCell ref="B19:F19"/>
    <mergeCell ref="C16:F16"/>
    <mergeCell ref="C25:F25"/>
    <mergeCell ref="C10:F10"/>
    <mergeCell ref="B9:F9"/>
    <mergeCell ref="C22:F22"/>
    <mergeCell ref="B30:F30"/>
    <mergeCell ref="B3:F4"/>
    <mergeCell ref="B6:F6"/>
    <mergeCell ref="B15:F15"/>
    <mergeCell ref="B33:F33"/>
    <mergeCell ref="C45:E45"/>
    <mergeCell ref="C12:F12"/>
    <mergeCell ref="C21:F21"/>
    <mergeCell ref="C11:F11"/>
    <mergeCell ref="B32:F32"/>
    <mergeCell ref="C36:F36"/>
    <mergeCell ref="B35:F35"/>
  </mergeCells>
  <pageMargins left="0.6" right="0.6" top="0.6" bottom="0.6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Rental Arbitrage Analyzer — The STR Ledger</dc:title>
  <dc:description xmlns:dc="http://purl.org/dc/elements/1.1/">Rental arbitrage underwriting workbook — lease vs. revenue spread, Year-2 rent-escalator stress test, MTR fallback, landlord pitch page.</dc:description>
  <dcterms:created xmlns:dcterms="http://purl.org/dc/terms/" xmlns:xsi="http://www.w3.org/2001/XMLSchema-instance" xsi:type="dcterms:W3CDTF">2026-05-03T19:06:01Z</dcterms:created>
  <dcterms:modified xmlns:dcterms="http://purl.org/dc/terms/" xmlns:xsi="http://www.w3.org/2001/XMLSchema-instance" xsi:type="dcterms:W3CDTF">2026-05-03T19:06:01Z</dcterms:modified>
</cp:coreProperties>
</file>