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Depreciation" sheetId="5" state="visible" r:id="rId5"/>
    <sheet xmlns:r="http://schemas.openxmlformats.org/officeDocument/2006/relationships" name="Loss Limitations" sheetId="6" state="visible" r:id="rId6"/>
    <sheet xmlns:r="http://schemas.openxmlformats.org/officeDocument/2006/relationships" name="Schedule E Map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'Start'!$A$1:$L$49</definedName>
    <definedName name="_xlnm.Print_Titles" localSheetId="6">'Schedule E Map'!$1:$5</definedName>
    <definedName name="_xlnm.Print_Area" localSheetId="6">'Schedule E Map'!$A$1:$L$33</definedName>
    <definedName name="_xlnm.Print_Area" localSheetId="7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"/>
    <numFmt numFmtId="167" formatCode="&quot;$&quot;#,##0;[Red](&quot;$&quot;#,##0)"/>
  </numFmts>
  <fonts count="3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b val="1"/>
      <color rgb="0012304E"/>
      <sz val="11"/>
    </font>
    <font>
      <name val="Consolas"/>
      <b val="1"/>
      <color rgb="0012304E"/>
      <sz val="10"/>
    </font>
    <font>
      <name val="Calibri"/>
      <i val="1"/>
      <color rgb="002B2B2B"/>
      <sz val="11"/>
    </font>
    <font>
      <name val="Consolas"/>
      <b val="1"/>
      <color rgb="00C9A24B"/>
      <sz val="10"/>
    </font>
    <font>
      <name val="Calibri"/>
      <i val="1"/>
      <color rgb="006B7280"/>
      <sz val="11"/>
    </font>
    <font>
      <name val="Georgia"/>
      <b val="1"/>
      <color rgb="00F6EFE2"/>
      <sz val="12"/>
    </font>
    <font>
      <name val="Georgia"/>
      <b val="1"/>
      <color rgb="00F6EFE2"/>
      <sz val="14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Georgia"/>
      <b val="1"/>
      <color rgb="00C9A24B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i val="1"/>
      <color rgb="00B91C1C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2C884"/>
      </patternFill>
    </fill>
    <fill>
      <patternFill patternType="solid">
        <fgColor rgb="00EDEDED"/>
      </patternFill>
    </fill>
  </fills>
  <borders count="16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" fontId="7" fillId="6" borderId="0" applyAlignment="1" pivotButton="0" quotePrefix="0" xfId="0">
      <alignment horizontal="left" vertical="center"/>
    </xf>
    <xf numFmtId="1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 wrapText="1" indent="2"/>
    </xf>
    <xf numFmtId="165" fontId="7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right" vertical="center" indent="1"/>
    </xf>
    <xf numFmtId="165" fontId="22" fillId="7" borderId="0" applyAlignment="1" pivotButton="0" quotePrefix="0" xfId="0">
      <alignment horizontal="right" vertical="center" indent="1"/>
    </xf>
    <xf numFmtId="166" fontId="7" fillId="6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right" vertical="center" indent="1"/>
    </xf>
    <xf numFmtId="0" fontId="24" fillId="8" borderId="0" applyAlignment="1" pivotButton="0" quotePrefix="0" xfId="0">
      <alignment horizontal="left" vertical="center" indent="1"/>
    </xf>
    <xf numFmtId="0" fontId="15" fillId="3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25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24" fillId="8" borderId="0" applyAlignment="1" pivotButton="0" quotePrefix="0" xfId="0">
      <alignment horizontal="right" vertical="center"/>
    </xf>
    <xf numFmtId="1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1"/>
    </xf>
    <xf numFmtId="167" fontId="22" fillId="7" borderId="0" applyAlignment="1" pivotButton="0" quotePrefix="0" xfId="0">
      <alignment horizontal="right" vertical="center" indent="1"/>
    </xf>
    <xf numFmtId="0" fontId="27" fillId="2" borderId="0" applyAlignment="1" pivotButton="0" quotePrefix="0" xfId="0">
      <alignment horizontal="left" vertical="center" indent="1"/>
    </xf>
    <xf numFmtId="167" fontId="28" fillId="2" borderId="0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center" vertical="center" wrapText="1"/>
    </xf>
    <xf numFmtId="0" fontId="29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3" borderId="7" applyAlignment="1" pivotButton="0" quotePrefix="0" xfId="0">
      <alignment horizontal="center"/>
    </xf>
    <xf numFmtId="0" fontId="30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7" fontId="32" fillId="3" borderId="10" applyAlignment="1" pivotButton="0" quotePrefix="0" xfId="0">
      <alignment horizontal="center" vertical="center"/>
    </xf>
    <xf numFmtId="0" fontId="33" fillId="3" borderId="10" applyAlignment="1" pivotButton="0" quotePrefix="0" xfId="0">
      <alignment horizontal="center" vertical="center"/>
    </xf>
    <xf numFmtId="0" fontId="0" fillId="0" borderId="10" pivotButton="0" quotePrefix="0" xfId="0"/>
    <xf numFmtId="0" fontId="31" fillId="3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34" fillId="0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34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167" fontId="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Schedule E Tax-Prep Workbook</t>
        </is>
      </c>
    </row>
    <row r="5" ht="22" customHeight="1">
      <c r="A5" s="4" t="inlineStr">
        <is>
          <t>Hand your CPA a finished Schedule 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TAX-004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hand to your CPA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📄 SCHEDULE E</t>
        </is>
      </c>
      <c r="E13" s="8" t="inlineStr">
        <is>
          <t>📊 PER-PROPERTY P&amp;L</t>
        </is>
      </c>
      <c r="I13" s="8" t="inlineStr">
        <is>
          <t>⚖ LOSS LIMITS</t>
        </is>
      </c>
    </row>
    <row r="14" ht="22" customHeight="1">
      <c r="A14" s="9" t="inlineStr">
        <is>
          <t>Print-ready Lines 1-26, three properties per page.</t>
        </is>
      </c>
      <c r="E14" s="9" t="inlineStr">
        <is>
          <t>Rents − expenses − depreciation per property.</t>
        </is>
      </c>
      <c r="I14" s="9" t="inlineStr">
        <is>
          <t>Active + material participation flagged, $25K rule applied.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4" customHeight="1">
      <c r="A22" s="11" t="inlineStr">
        <is>
          <t>Quick Start — be done in 30 minutes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2" t="inlineStr">
        <is>
          <t>① Property identity (address, type, days)</t>
        </is>
      </c>
      <c r="G24" s="10" t="n"/>
      <c r="H24" s="12" t="inlineStr">
        <is>
          <t>④ Depreciation basis + prior accumulated</t>
        </is>
      </c>
    </row>
    <row r="25">
      <c r="A25" s="10" t="n"/>
      <c r="B25" s="12" t="inlineStr">
        <is>
          <t>② Rents received per property</t>
        </is>
      </c>
      <c r="G25" s="10" t="n"/>
      <c r="H25" s="12" t="inlineStr">
        <is>
          <t>⑤ Material-participation answer + AGI</t>
        </is>
      </c>
    </row>
    <row r="26">
      <c r="A26" s="10" t="n"/>
      <c r="B26" s="12" t="inlineStr">
        <is>
          <t>③ All 14 Schedule E expense lines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HYPERLINK("#'Property Info'!A5", "GET STARTED — FILL PROPERTY INFO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TEXT((COUNTA('Property Info'!B8:D15) + COUNTA('Income'!B8:D10) + COUNTA('Expenses'!B8:D21) + COUNTA('Depreciation'!B8:D12) + COUNTA('Loss Limitations'!B8:B11,'Loss Limitations'!B14:D14))/97,"0%") &amp; " complete"</f>
        <v/>
      </c>
    </row>
    <row r="38" ht="18" customHeight="1">
      <c r="A38" s="17" t="inlineStr">
        <is>
          <t>① Property Info</t>
        </is>
      </c>
      <c r="G38" s="18">
        <f>IF(COUNTA('Property Info'!B8:D15)=24,"✅ Done",IF(COUNTA('Property Info'!B8:D15)=0,"⏳ Empty","⏳ "&amp;COUNTA('Property Info'!B8:D15)&amp;" of 24"))</f>
        <v/>
      </c>
      <c r="K38" s="19">
        <f>HYPERLINK("#'Property Info'!A5","→ go")</f>
        <v/>
      </c>
    </row>
    <row r="39" ht="18" customHeight="1">
      <c r="A39" s="17" t="inlineStr">
        <is>
          <t>② Income</t>
        </is>
      </c>
      <c r="G39" s="18">
        <f>IF(COUNTA('Income'!B8:D10)=9,"✅ Done",IF(COUNTA('Income'!B8:D10)=0,"⏳ Empty","⏳ "&amp;COUNTA('Income'!B8:D10)&amp;" of 9"))</f>
        <v/>
      </c>
      <c r="K39" s="19">
        <f>HYPERLINK("#'Income'!A5","→ go")</f>
        <v/>
      </c>
    </row>
    <row r="40" ht="18" customHeight="1">
      <c r="A40" s="17" t="inlineStr">
        <is>
          <t>③ Expenses</t>
        </is>
      </c>
      <c r="G40" s="18">
        <f>IF(COUNTA('Expenses'!B8:D21)=42,"✅ Done",IF(COUNTA('Expenses'!B8:D21)=0,"⏳ Empty","⏳ "&amp;COUNTA('Expenses'!B8:D21)&amp;" of 42"))</f>
        <v/>
      </c>
      <c r="K40" s="19">
        <f>HYPERLINK("#'Expenses'!A5","→ go")</f>
        <v/>
      </c>
    </row>
    <row r="41" ht="18" customHeight="1">
      <c r="A41" s="17" t="inlineStr">
        <is>
          <t>④ Depreciation</t>
        </is>
      </c>
      <c r="G41" s="18">
        <f>IF(COUNTA('Depreciation'!B8:D12)=15,"✅ Done",IF(COUNTA('Depreciation'!B8:D12)=0,"⏳ Empty","⏳ "&amp;COUNTA('Depreciation'!B8:D12)&amp;" of 15"))</f>
        <v/>
      </c>
      <c r="K41" s="19">
        <f>HYPERLINK("#'Depreciation'!A5","→ go")</f>
        <v/>
      </c>
    </row>
    <row r="42" ht="18" customHeight="1">
      <c r="A42" s="17" t="inlineStr">
        <is>
          <t>⑤ Loss Limitations</t>
        </is>
      </c>
      <c r="G42" s="18">
        <f>IF(COUNTA('Loss Limitations'!B8:B11,'Loss Limitations'!B14:D14)=7,"✅ Done",IF(COUNTA('Loss Limitations'!B8:B11,'Loss Limitations'!B14:D14)=0,"⏳ Empty","⏳ "&amp;COUNTA('Loss Limitations'!B8:B11,'Loss Limitations'!B14:D14)&amp;" of 7"))</f>
        <v/>
      </c>
      <c r="K42" s="19">
        <f>HYPERLINK("#'Loss Limitations'!A5","→ go")</f>
        <v/>
      </c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</row>
    <row r="48" ht="18" customHeight="1">
      <c r="A48" s="21" t="inlineStr">
        <is>
          <t>Questions? hello@thestrledger.com</t>
        </is>
      </c>
    </row>
    <row r="49" ht="18" customHeight="1">
      <c r="A49" s="22" t="inlineStr">
        <is>
          <t>TAX-004 · v2.2 · Free updates forever</t>
        </is>
      </c>
    </row>
  </sheetData>
  <mergeCells count="37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5:L5"/>
    <mergeCell ref="K41:L41"/>
    <mergeCell ref="A22:L22"/>
    <mergeCell ref="K40:L40"/>
    <mergeCell ref="A4:L4"/>
    <mergeCell ref="G42:J42"/>
    <mergeCell ref="A38:F38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A49:L49"/>
    <mergeCell ref="H24:L24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5</t>
        </is>
      </c>
      <c r="J2" s="24">
        <f>HYPERLINK("#'Income'!A5",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Property Info</t>
        </is>
      </c>
    </row>
    <row r="5" ht="18" customHeight="1">
      <c r="A5" s="27" t="inlineStr">
        <is>
          <t>Identity, days rented, ownership — Schedule E Lines 1-2.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Property address</t>
        </is>
      </c>
      <c r="B8" s="31" t="n"/>
      <c r="C8" s="31" t="n"/>
      <c r="D8" s="31" t="n"/>
    </row>
    <row r="9" ht="18" customHeight="1">
      <c r="A9" s="30" t="inlineStr">
        <is>
          <t>Type (Schedule E code 1-8)</t>
        </is>
      </c>
      <c r="B9" s="31" t="n"/>
      <c r="C9" s="31" t="n"/>
      <c r="D9" s="31" t="n"/>
    </row>
    <row r="10" ht="18" customHeight="1">
      <c r="A10" s="30" t="inlineStr">
        <is>
          <t>Fair-rental days</t>
        </is>
      </c>
      <c r="B10" s="32" t="n"/>
      <c r="C10" s="32" t="n"/>
      <c r="D10" s="32" t="n"/>
    </row>
    <row r="11" ht="18" customHeight="1">
      <c r="A11" s="30" t="inlineStr">
        <is>
          <t>Personal-use days</t>
        </is>
      </c>
      <c r="B11" s="32" t="n"/>
      <c r="C11" s="32" t="n"/>
      <c r="D11" s="32" t="n"/>
    </row>
    <row r="12" ht="18" customHeight="1">
      <c r="A12" s="30" t="inlineStr">
        <is>
          <t>% ownership</t>
        </is>
      </c>
      <c r="B12" s="33" t="n"/>
      <c r="C12" s="33" t="n"/>
      <c r="D12" s="33" t="n"/>
    </row>
    <row r="13" ht="18" customHeight="1">
      <c r="A13" s="30" t="inlineStr">
        <is>
          <t>Date placed in service</t>
        </is>
      </c>
      <c r="B13" s="34" t="n"/>
      <c r="C13" s="34" t="n"/>
      <c r="D13" s="34" t="n"/>
    </row>
    <row r="14" ht="18" customHeight="1">
      <c r="A14" s="30" t="inlineStr">
        <is>
          <t>EIN (if any)</t>
        </is>
      </c>
      <c r="B14" s="31" t="n"/>
      <c r="C14" s="31" t="n"/>
      <c r="D14" s="31" t="n"/>
    </row>
    <row r="15" ht="18" customHeight="1">
      <c r="A15" s="30" t="inlineStr">
        <is>
          <t>QJV election (Y/N)</t>
        </is>
      </c>
      <c r="B15" s="31" t="n"/>
      <c r="C15" s="31" t="n"/>
      <c r="D15" s="31" t="n"/>
    </row>
    <row r="17" ht="32" customHeight="1">
      <c r="A17" s="35" t="inlineStr">
        <is>
          <t>⚠ Personal-use days &gt; 14 OR &gt; 10% of rental days triggers vacation-home rules (IRC §280A) — limits deductions to rental income. Flag for your CPA if exceeded.</t>
        </is>
      </c>
    </row>
  </sheetData>
  <mergeCells count="7">
    <mergeCell ref="J2:L2"/>
    <mergeCell ref="D2:I2"/>
    <mergeCell ref="A5:L5"/>
    <mergeCell ref="A6:L6"/>
    <mergeCell ref="A17:L17"/>
    <mergeCell ref="A2:C2"/>
    <mergeCell ref="A4:L4"/>
  </mergeCells>
  <dataValidations count="2">
    <dataValidation sqref="B9:D9" showDropDown="0" showInputMessage="0" showErrorMessage="0" allowBlank="1" type="list">
      <formula1>"1,2,3,4,5,7,8"</formula1>
    </dataValidation>
    <dataValidation sqref="B15:D1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HYPERLINK("#'Property Info'!A5", "← BACK")</f>
        <v/>
      </c>
      <c r="B2" s="14" t="n"/>
      <c r="C2" s="14" t="n"/>
      <c r="D2" s="23" t="inlineStr">
        <is>
          <t>SECTION 2 OF 5</t>
        </is>
      </c>
      <c r="J2" s="24">
        <f>HYPERLINK("#'Expenses'!A5",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Income</t>
        </is>
      </c>
    </row>
    <row r="5" ht="18" customHeight="1">
      <c r="A5" s="27" t="inlineStr">
        <is>
          <t>Rents and royalties received — Schedule E Lines 3-4.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Rents received ($)</t>
        </is>
      </c>
      <c r="B8" s="36" t="n"/>
      <c r="C8" s="36" t="n"/>
      <c r="D8" s="36" t="n"/>
    </row>
    <row r="9" ht="18" customHeight="1">
      <c r="A9" s="30" t="inlineStr">
        <is>
          <t>Royalties ($)</t>
        </is>
      </c>
      <c r="B9" s="36" t="n"/>
      <c r="C9" s="36" t="n"/>
      <c r="D9" s="36" t="n"/>
    </row>
    <row r="10" ht="18" customHeight="1">
      <c r="A10" s="30" t="inlineStr">
        <is>
          <t>Refundable deposits held (memo)</t>
        </is>
      </c>
      <c r="B10" s="36" t="n"/>
      <c r="C10" s="36" t="n"/>
      <c r="D10" s="36" t="n"/>
    </row>
    <row r="11" ht="22" customHeight="1">
      <c r="A11" s="37" t="inlineStr">
        <is>
          <t>TOTAL INCOME (Lines 3 + 4)</t>
        </is>
      </c>
      <c r="B11" s="38">
        <f>SUM(B8:B9)</f>
        <v/>
      </c>
      <c r="C11" s="38">
        <f>SUM(C8:C9)</f>
        <v/>
      </c>
      <c r="D11" s="38">
        <f>SUM(D8:D9)</f>
        <v/>
      </c>
    </row>
    <row r="12" ht="32" customHeight="1">
      <c r="A12" s="35" t="inlineStr">
        <is>
          <t>⚠ Refundable security deposits are NOT income (IRC §61) — list them as memo only. Forfeited deposits become income in the year of forfeiture; track separately on the Expenses tab.</t>
        </is>
      </c>
    </row>
  </sheetData>
  <mergeCells count="7">
    <mergeCell ref="J2:L2"/>
    <mergeCell ref="D2:I2"/>
    <mergeCell ref="A12:L12"/>
    <mergeCell ref="A5:L5"/>
    <mergeCell ref="A6:L6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HYPERLINK("#'Income'!A5", "← BACK")</f>
        <v/>
      </c>
      <c r="B2" s="14" t="n"/>
      <c r="C2" s="14" t="n"/>
      <c r="D2" s="23" t="inlineStr">
        <is>
          <t>SECTION 3 OF 5</t>
        </is>
      </c>
      <c r="J2" s="24">
        <f>HYPERLINK("#'Depreciation'!A5",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Expenses</t>
        </is>
      </c>
    </row>
    <row r="5" ht="18" customHeight="1">
      <c r="A5" s="27" t="inlineStr">
        <is>
          <t>All 14 Schedule E Part I expense lines (5-19).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5  Advertising</t>
        </is>
      </c>
      <c r="B8" s="36" t="n"/>
      <c r="C8" s="36" t="n"/>
      <c r="D8" s="36" t="n"/>
    </row>
    <row r="9" ht="18" customHeight="1">
      <c r="A9" s="30" t="inlineStr">
        <is>
          <t>6  Auto and travel</t>
        </is>
      </c>
      <c r="B9" s="36" t="n"/>
      <c r="C9" s="36" t="n"/>
      <c r="D9" s="36" t="n"/>
    </row>
    <row r="10" ht="18" customHeight="1">
      <c r="A10" s="30" t="inlineStr">
        <is>
          <t>7  Cleaning and maintenance</t>
        </is>
      </c>
      <c r="B10" s="36" t="n"/>
      <c r="C10" s="36" t="n"/>
      <c r="D10" s="36" t="n"/>
    </row>
    <row r="11" ht="18" customHeight="1">
      <c r="A11" s="30" t="inlineStr">
        <is>
          <t>8  Commissions</t>
        </is>
      </c>
      <c r="B11" s="36" t="n"/>
      <c r="C11" s="36" t="n"/>
      <c r="D11" s="36" t="n"/>
    </row>
    <row r="12" ht="18" customHeight="1">
      <c r="A12" s="30" t="inlineStr">
        <is>
          <t>9  Insurance</t>
        </is>
      </c>
      <c r="B12" s="36" t="n"/>
      <c r="C12" s="36" t="n"/>
      <c r="D12" s="36" t="n"/>
    </row>
    <row r="13" ht="18" customHeight="1">
      <c r="A13" s="30" t="inlineStr">
        <is>
          <t>10 Legal and professional</t>
        </is>
      </c>
      <c r="B13" s="36" t="n"/>
      <c r="C13" s="36" t="n"/>
      <c r="D13" s="36" t="n"/>
    </row>
    <row r="14" ht="18" customHeight="1">
      <c r="A14" s="30" t="inlineStr">
        <is>
          <t>11 Management fees</t>
        </is>
      </c>
      <c r="B14" s="36" t="n"/>
      <c r="C14" s="36" t="n"/>
      <c r="D14" s="36" t="n"/>
    </row>
    <row r="15" ht="18" customHeight="1">
      <c r="A15" s="30" t="inlineStr">
        <is>
          <t>12 Mortgage interest (banks)</t>
        </is>
      </c>
      <c r="B15" s="36" t="n"/>
      <c r="C15" s="36" t="n"/>
      <c r="D15" s="36" t="n"/>
    </row>
    <row r="16" ht="18" customHeight="1">
      <c r="A16" s="30" t="inlineStr">
        <is>
          <t>13 Other interest</t>
        </is>
      </c>
      <c r="B16" s="36" t="n"/>
      <c r="C16" s="36" t="n"/>
      <c r="D16" s="36" t="n"/>
    </row>
    <row r="17" ht="18" customHeight="1">
      <c r="A17" s="30" t="inlineStr">
        <is>
          <t>14 Repairs</t>
        </is>
      </c>
      <c r="B17" s="36" t="n"/>
      <c r="C17" s="36" t="n"/>
      <c r="D17" s="36" t="n"/>
    </row>
    <row r="18" ht="18" customHeight="1">
      <c r="A18" s="30" t="inlineStr">
        <is>
          <t>15 Supplies</t>
        </is>
      </c>
      <c r="B18" s="36" t="n"/>
      <c r="C18" s="36" t="n"/>
      <c r="D18" s="36" t="n"/>
    </row>
    <row r="19" ht="18" customHeight="1">
      <c r="A19" s="30" t="inlineStr">
        <is>
          <t>16 Taxes</t>
        </is>
      </c>
      <c r="B19" s="36" t="n"/>
      <c r="C19" s="36" t="n"/>
      <c r="D19" s="36" t="n"/>
    </row>
    <row r="20" ht="18" customHeight="1">
      <c r="A20" s="30" t="inlineStr">
        <is>
          <t>17 Utilities</t>
        </is>
      </c>
      <c r="B20" s="36" t="n"/>
      <c r="C20" s="36" t="n"/>
      <c r="D20" s="36" t="n"/>
    </row>
    <row r="21" ht="18" customHeight="1">
      <c r="A21" s="30" t="inlineStr">
        <is>
          <t>19 Other (list)</t>
        </is>
      </c>
      <c r="B21" s="36" t="n"/>
      <c r="C21" s="36" t="n"/>
      <c r="D21" s="36" t="n"/>
    </row>
    <row r="23" ht="22" customHeight="1">
      <c r="A23" s="37" t="inlineStr">
        <is>
          <t>TOTAL EXPENSES (Line 20)</t>
        </is>
      </c>
      <c r="B23" s="38">
        <f>SUM(B8:B21)</f>
        <v/>
      </c>
      <c r="C23" s="38">
        <f>SUM(C8:C21)</f>
        <v/>
      </c>
      <c r="D23" s="38">
        <f>SUM(D8:D21)</f>
        <v/>
      </c>
    </row>
  </sheetData>
  <mergeCells count="6">
    <mergeCell ref="J2:L2"/>
    <mergeCell ref="D2:I2"/>
    <mergeCell ref="A5:L5"/>
    <mergeCell ref="A6:L6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HYPERLINK("#'Expenses'!A5", "← BACK")</f>
        <v/>
      </c>
      <c r="B2" s="14" t="n"/>
      <c r="C2" s="14" t="n"/>
      <c r="D2" s="23" t="inlineStr">
        <is>
          <t>SECTION 4 OF 5</t>
        </is>
      </c>
      <c r="J2" s="24">
        <f>HYPERLINK("#'Loss Limitations'!A5",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Depreciation</t>
        </is>
      </c>
    </row>
    <row r="5" ht="18" customHeight="1">
      <c r="A5" s="27" t="inlineStr">
        <is>
          <t>Per-property basis + recovery — Schedule E Line 18.</t>
        </is>
      </c>
    </row>
    <row r="6" ht="22" customHeight="1">
      <c r="A6" s="28" t="inlineStr">
        <is>
          <t>Fill the highlighted fields for each of your properties (3 max).</t>
        </is>
      </c>
    </row>
    <row r="7" ht="20" customHeight="1">
      <c r="A7" s="6" t="inlineStr"/>
      <c r="B7" s="29" t="inlineStr">
        <is>
          <t>Smokies Ridge</t>
        </is>
      </c>
      <c r="C7" s="29" t="inlineStr">
        <is>
          <t>Creek Side</t>
        </is>
      </c>
      <c r="D7" s="29" t="inlineStr">
        <is>
          <t>Lakehouse A</t>
        </is>
      </c>
    </row>
    <row r="8" ht="18" customHeight="1">
      <c r="A8" s="30" t="inlineStr">
        <is>
          <t>Depreciable basis ($, building only)</t>
        </is>
      </c>
      <c r="B8" s="36" t="n"/>
      <c r="C8" s="36" t="n"/>
      <c r="D8" s="36" t="n"/>
    </row>
    <row r="9" ht="18" customHeight="1">
      <c r="A9" s="30" t="inlineStr">
        <is>
          <t>Date placed in service</t>
        </is>
      </c>
      <c r="B9" s="34" t="n"/>
      <c r="C9" s="34" t="n"/>
      <c r="D9" s="34" t="n"/>
    </row>
    <row r="10" ht="18" customHeight="1">
      <c r="A10" s="30" t="inlineStr">
        <is>
          <t>Recovery period (27.5 / 39 yr)</t>
        </is>
      </c>
      <c r="B10" s="39" t="n"/>
      <c r="C10" s="39" t="n"/>
      <c r="D10" s="39" t="n"/>
    </row>
    <row r="11" ht="18" customHeight="1">
      <c r="A11" s="30" t="inlineStr">
        <is>
          <t>Convention (mid-month)</t>
        </is>
      </c>
      <c r="B11" s="31" t="n"/>
      <c r="C11" s="31" t="n"/>
      <c r="D11" s="31" t="n"/>
    </row>
    <row r="12" ht="18" customHeight="1">
      <c r="A12" s="30" t="inlineStr">
        <is>
          <t>Accumulated prior depreciation ($)</t>
        </is>
      </c>
      <c r="B12" s="36" t="n"/>
      <c r="C12" s="36" t="n"/>
      <c r="D12" s="36" t="n"/>
    </row>
    <row r="14" ht="32" customHeight="1">
      <c r="A14" s="35" t="inlineStr">
        <is>
          <t>ⓘ Default for residential STR is 27.5-year MACRS straight-line (non-residential = 39 yr). Building only — land is NOT depreciable. First-year and disposal-year prorate via mid-month convention. Customers electing accelerated depreciation (Section 179, bonus) should use the Section 179 Planner (TAX-009) and feed the result into Line 18 below.</t>
        </is>
      </c>
    </row>
    <row r="16" ht="22" customHeight="1">
      <c r="A16" s="37" t="inlineStr">
        <is>
          <t>ANNUAL DEPRECIATION (Schedule E Line 18)</t>
        </is>
      </c>
      <c r="B16" s="38">
        <f>IF(AND(B8&lt;&gt;"",B10&lt;&gt;""),B8/B10,0)</f>
        <v/>
      </c>
      <c r="C16" s="38">
        <f>IF(AND(C8&lt;&gt;"",C10&lt;&gt;""),C8/C10,0)</f>
        <v/>
      </c>
      <c r="D16" s="38">
        <f>IF(AND(D8&lt;&gt;"",D10&lt;&gt;""),D8/D10,0)</f>
        <v/>
      </c>
    </row>
  </sheetData>
  <mergeCells count="7">
    <mergeCell ref="J2:L2"/>
    <mergeCell ref="D2:I2"/>
    <mergeCell ref="A5:L5"/>
    <mergeCell ref="A14:L14"/>
    <mergeCell ref="A6:L6"/>
    <mergeCell ref="A2:C2"/>
    <mergeCell ref="A4:L4"/>
  </mergeCells>
  <dataValidations count="2">
    <dataValidation sqref="B10:D10" showDropDown="0" showInputMessage="0" showErrorMessage="0" allowBlank="1" type="list">
      <formula1>"27.5,39"</formula1>
    </dataValidation>
    <dataValidation sqref="B11:D11" showDropDown="0" showInputMessage="0" showErrorMessage="0" allowBlank="1" type="list">
      <formula1>"MM,MQ,HY"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HYPERLINK("#'Depreciation'!A5", "← BACK")</f>
        <v/>
      </c>
      <c r="B2" s="14" t="n"/>
      <c r="C2" s="14" t="n"/>
      <c r="D2" s="23" t="inlineStr">
        <is>
          <t>SECTION 5 OF 5</t>
        </is>
      </c>
      <c r="J2" s="24">
        <f>HYPERLINK("#'Schedule E Map'!A5",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Loss Limitations</t>
        </is>
      </c>
    </row>
    <row r="5" ht="18" customHeight="1">
      <c r="A5" s="27" t="inlineStr">
        <is>
          <t>Active vs. material participation — IRC §469.</t>
        </is>
      </c>
    </row>
    <row r="6" ht="22" customHeight="1">
      <c r="A6" s="28" t="inlineStr">
        <is>
          <t>Portfolio-level participation drives loss treatment under IRC §469. Hours must be contemporaneously documented.</t>
        </is>
      </c>
    </row>
    <row r="7" ht="20" customHeight="1">
      <c r="A7" s="40" t="inlineStr">
        <is>
          <t>LOSS LIMITATIONS</t>
        </is>
      </c>
    </row>
    <row r="8" ht="18" customHeight="1">
      <c r="A8" s="30" t="inlineStr">
        <is>
          <t>Filing AGI ($, for $25K phase-out)</t>
        </is>
      </c>
      <c r="B8" s="36" t="n"/>
    </row>
    <row r="9" ht="18" customHeight="1">
      <c r="A9" s="30" t="inlineStr">
        <is>
          <t>Active Participation? (Y/N)</t>
        </is>
      </c>
      <c r="B9" s="31" t="n"/>
    </row>
    <row r="10" ht="18" customHeight="1">
      <c r="A10" s="30" t="inlineStr">
        <is>
          <t>Material Participation? (Y/N STR loophole)</t>
        </is>
      </c>
      <c r="B10" s="31" t="n"/>
    </row>
    <row r="11" ht="18" customHeight="1">
      <c r="A11" s="30" t="inlineStr">
        <is>
          <t>Prior-year suspended losses ($)</t>
        </is>
      </c>
      <c r="B11" s="31" t="n"/>
    </row>
    <row r="13" ht="20" customHeight="1">
      <c r="A13" s="41" t="inlineStr">
        <is>
          <t>Per-property participation:</t>
        </is>
      </c>
      <c r="B13" s="29" t="inlineStr">
        <is>
          <t>Smokies Ridge</t>
        </is>
      </c>
      <c r="C13" s="29" t="inlineStr">
        <is>
          <t>Creek Side</t>
        </is>
      </c>
      <c r="D13" s="29" t="inlineStr">
        <is>
          <t>Lakehouse A</t>
        </is>
      </c>
    </row>
    <row r="14" ht="18" customHeight="1">
      <c r="A14" s="30" t="inlineStr">
        <is>
          <t>Hours of personal services this year (per prop)</t>
        </is>
      </c>
      <c r="B14" s="32" t="n"/>
      <c r="C14" s="32" t="n"/>
      <c r="D14" s="32" t="n"/>
    </row>
    <row r="16" ht="20" customHeight="1">
      <c r="A16" s="30" t="inlineStr">
        <is>
          <t>$25K offset eligible? (Active + AGI ≤ $100K, phases out to $150K)</t>
        </is>
      </c>
      <c r="B16" s="42">
        <f>IF(AND(B9="Y",B8&lt;=100000),"Yes — full $25K",IF(AND(B9="Y",B8&lt;150000),"Partial — phase-out range","No — AGI &gt; $150K or not active"))</f>
        <v/>
      </c>
    </row>
    <row r="17" ht="20" customHeight="1">
      <c r="A17" s="30" t="inlineStr">
        <is>
          <t>STR loophole (material participation, non-passive)?</t>
        </is>
      </c>
      <c r="B17" s="42">
        <f>IF(B10="Y","Yes — losses offset W-2 income (IRC §469(c)(7))","No — losses limited to passive income or carryforward")</f>
        <v/>
      </c>
    </row>
    <row r="18" ht="20" customHeight="1">
      <c r="A18" s="30" t="inlineStr">
        <is>
          <t>Total per-property hours:</t>
        </is>
      </c>
      <c r="B18" s="42">
        <f>SUM(B14:D14)</f>
        <v/>
      </c>
    </row>
    <row r="19" ht="20" customHeight="1">
      <c r="A19" s="30" t="inlineStr">
        <is>
          <t>500-hour test met (single-property)?</t>
        </is>
      </c>
      <c r="B19" s="42">
        <f>IF(MAX(B14:D14)&gt;=500,"Yes (one property meets it)","No — combined-activity election may apply (consult CPA)")</f>
        <v/>
      </c>
    </row>
    <row r="21" ht="36" customHeight="1">
      <c r="A21" s="35" t="inlineStr">
        <is>
          <t>⚖ Passive losses you can't use this year carry forward to next year (no expiration). When you sell the property, suspended losses release in full against the gain (IRC §469(g)).</t>
        </is>
      </c>
    </row>
    <row r="23" ht="22" customHeight="1">
      <c r="A23" s="43">
        <f>HYPERLINK("#'Depreciation'!A5", "← Back: Depreciation")</f>
        <v/>
      </c>
      <c r="B23" s="44" t="n"/>
      <c r="C23" s="44" t="n"/>
      <c r="D23" s="44" t="n"/>
      <c r="E23" s="44" t="n"/>
      <c r="F23" s="44" t="n"/>
      <c r="G23" s="43">
        <f>HYPERLINK("#'Schedule E Map'!A5", "Next: Schedule E Map →")</f>
        <v/>
      </c>
      <c r="H23" s="44" t="n"/>
      <c r="I23" s="44" t="n"/>
      <c r="J23" s="44" t="n"/>
      <c r="K23" s="44" t="n"/>
      <c r="L23" s="44" t="n"/>
    </row>
    <row r="24" ht="22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</row>
  </sheetData>
  <mergeCells count="14">
    <mergeCell ref="A23:F24"/>
    <mergeCell ref="J2:L2"/>
    <mergeCell ref="D2:I2"/>
    <mergeCell ref="A7:L7"/>
    <mergeCell ref="B19:D19"/>
    <mergeCell ref="A5:L5"/>
    <mergeCell ref="B16:D16"/>
    <mergeCell ref="B17:D17"/>
    <mergeCell ref="B18:D18"/>
    <mergeCell ref="A6:L6"/>
    <mergeCell ref="G23:L24"/>
    <mergeCell ref="A21:L21"/>
    <mergeCell ref="A2:C2"/>
    <mergeCell ref="A4:L4"/>
  </mergeCells>
  <dataValidations count="2"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HYPERLINK("#'Loss Limitations'!A1", "← BACK")</f>
        <v/>
      </c>
      <c r="B2" s="14" t="n"/>
      <c r="C2" s="14" t="n"/>
      <c r="D2" s="45" t="inlineStr">
        <is>
          <t>SCHEDULE E MAP</t>
        </is>
      </c>
      <c r="J2" s="24">
        <f>HYPERLINK("#'Launch'!A1",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Print this tab and hand it to your CPA. Lines 1-26 mirror IRS Schedule E (Form 1040), Part I.</t>
        </is>
      </c>
    </row>
    <row r="5" ht="20" customHeight="1">
      <c r="A5" s="29" t="inlineStr">
        <is>
          <t>Line</t>
        </is>
      </c>
      <c r="B5" s="29" t="inlineStr">
        <is>
          <t>Description</t>
        </is>
      </c>
      <c r="C5" s="29" t="inlineStr">
        <is>
          <t>A</t>
        </is>
      </c>
      <c r="D5" s="29" t="inlineStr">
        <is>
          <t>B</t>
        </is>
      </c>
      <c r="E5" s="29" t="inlineStr">
        <is>
          <t>C</t>
        </is>
      </c>
    </row>
    <row r="6" ht="18" customHeight="1">
      <c r="A6" s="6" t="inlineStr"/>
      <c r="B6" s="47" t="inlineStr">
        <is>
          <t>Property name</t>
        </is>
      </c>
      <c r="C6" s="48" t="inlineStr">
        <is>
          <t>Smokies Ridge</t>
        </is>
      </c>
      <c r="D6" s="48" t="inlineStr">
        <is>
          <t>Creek Side</t>
        </is>
      </c>
      <c r="E6" s="48" t="inlineStr">
        <is>
          <t>Lakehouse A</t>
        </is>
      </c>
    </row>
    <row r="7" ht="8" customHeight="1"/>
    <row r="8" ht="16" customHeight="1">
      <c r="A8" s="49" t="inlineStr">
        <is>
          <t>1a</t>
        </is>
      </c>
      <c r="B8" s="50" t="inlineStr">
        <is>
          <t>Property address</t>
        </is>
      </c>
      <c r="C8" s="51">
        <f>'Property Info'!B8</f>
        <v/>
      </c>
      <c r="D8" s="51">
        <f>'Property Info'!C8</f>
        <v/>
      </c>
      <c r="E8" s="51">
        <f>'Property Info'!D8</f>
        <v/>
      </c>
    </row>
    <row r="9" ht="16" customHeight="1">
      <c r="A9" s="49" t="inlineStr">
        <is>
          <t>1b</t>
        </is>
      </c>
      <c r="B9" s="50" t="inlineStr">
        <is>
          <t>Type</t>
        </is>
      </c>
      <c r="C9" s="51">
        <f>'Property Info'!B9</f>
        <v/>
      </c>
      <c r="D9" s="51">
        <f>'Property Info'!C9</f>
        <v/>
      </c>
      <c r="E9" s="51">
        <f>'Property Info'!D9</f>
        <v/>
      </c>
    </row>
    <row r="10" ht="16" customHeight="1">
      <c r="A10" s="49" t="inlineStr">
        <is>
          <t>2</t>
        </is>
      </c>
      <c r="B10" s="50" t="inlineStr">
        <is>
          <t>Fair rental days</t>
        </is>
      </c>
      <c r="C10" s="52">
        <f>'Property Info'!B10</f>
        <v/>
      </c>
      <c r="D10" s="52">
        <f>'Property Info'!C10</f>
        <v/>
      </c>
      <c r="E10" s="52">
        <f>'Property Info'!D10</f>
        <v/>
      </c>
    </row>
    <row r="11" ht="16" customHeight="1">
      <c r="A11" s="49" t="inlineStr">
        <is>
          <t>2</t>
        </is>
      </c>
      <c r="B11" s="50" t="inlineStr">
        <is>
          <t>Personal use days</t>
        </is>
      </c>
      <c r="C11" s="52">
        <f>'Property Info'!B11</f>
        <v/>
      </c>
      <c r="D11" s="52">
        <f>'Property Info'!C11</f>
        <v/>
      </c>
      <c r="E11" s="52">
        <f>'Property Info'!D11</f>
        <v/>
      </c>
    </row>
    <row r="12" ht="16" customHeight="1">
      <c r="A12" s="49" t="inlineStr">
        <is>
          <t>3</t>
        </is>
      </c>
      <c r="B12" s="50" t="inlineStr">
        <is>
          <t>Rents received</t>
        </is>
      </c>
      <c r="C12" s="53">
        <f>'Income'!B8</f>
        <v/>
      </c>
      <c r="D12" s="53">
        <f>'Income'!C8</f>
        <v/>
      </c>
      <c r="E12" s="53">
        <f>'Income'!D8</f>
        <v/>
      </c>
    </row>
    <row r="13" ht="16" customHeight="1">
      <c r="A13" s="49" t="inlineStr">
        <is>
          <t>4</t>
        </is>
      </c>
      <c r="B13" s="50" t="inlineStr">
        <is>
          <t>Royalties received</t>
        </is>
      </c>
      <c r="C13" s="53">
        <f>'Income'!B9</f>
        <v/>
      </c>
      <c r="D13" s="53">
        <f>'Income'!C9</f>
        <v/>
      </c>
      <c r="E13" s="53">
        <f>'Income'!D9</f>
        <v/>
      </c>
    </row>
    <row r="14" ht="16" customHeight="1">
      <c r="A14" s="49" t="inlineStr">
        <is>
          <t>5</t>
        </is>
      </c>
      <c r="B14" s="50" t="inlineStr">
        <is>
          <t>Advertising</t>
        </is>
      </c>
      <c r="C14" s="53">
        <f>'Expenses'!B8</f>
        <v/>
      </c>
      <c r="D14" s="53">
        <f>'Expenses'!C8</f>
        <v/>
      </c>
      <c r="E14" s="53">
        <f>'Expenses'!D8</f>
        <v/>
      </c>
    </row>
    <row r="15" ht="16" customHeight="1">
      <c r="A15" s="49" t="inlineStr">
        <is>
          <t>6</t>
        </is>
      </c>
      <c r="B15" s="50" t="inlineStr">
        <is>
          <t>Auto and travel</t>
        </is>
      </c>
      <c r="C15" s="53">
        <f>'Expenses'!B9</f>
        <v/>
      </c>
      <c r="D15" s="53">
        <f>'Expenses'!C9</f>
        <v/>
      </c>
      <c r="E15" s="53">
        <f>'Expenses'!D9</f>
        <v/>
      </c>
    </row>
    <row r="16" ht="16" customHeight="1">
      <c r="A16" s="49" t="inlineStr">
        <is>
          <t>7</t>
        </is>
      </c>
      <c r="B16" s="50" t="inlineStr">
        <is>
          <t>Cleaning and maintenance</t>
        </is>
      </c>
      <c r="C16" s="53">
        <f>'Expenses'!B10</f>
        <v/>
      </c>
      <c r="D16" s="53">
        <f>'Expenses'!C10</f>
        <v/>
      </c>
      <c r="E16" s="53">
        <f>'Expenses'!D10</f>
        <v/>
      </c>
    </row>
    <row r="17" ht="16" customHeight="1">
      <c r="A17" s="49" t="inlineStr">
        <is>
          <t>8</t>
        </is>
      </c>
      <c r="B17" s="50" t="inlineStr">
        <is>
          <t>Commissions</t>
        </is>
      </c>
      <c r="C17" s="53">
        <f>'Expenses'!B11</f>
        <v/>
      </c>
      <c r="D17" s="53">
        <f>'Expenses'!C11</f>
        <v/>
      </c>
      <c r="E17" s="53">
        <f>'Expenses'!D11</f>
        <v/>
      </c>
    </row>
    <row r="18" ht="16" customHeight="1">
      <c r="A18" s="49" t="inlineStr">
        <is>
          <t>9</t>
        </is>
      </c>
      <c r="B18" s="50" t="inlineStr">
        <is>
          <t>Insurance</t>
        </is>
      </c>
      <c r="C18" s="53">
        <f>'Expenses'!B12</f>
        <v/>
      </c>
      <c r="D18" s="53">
        <f>'Expenses'!C12</f>
        <v/>
      </c>
      <c r="E18" s="53">
        <f>'Expenses'!D12</f>
        <v/>
      </c>
    </row>
    <row r="19" ht="16" customHeight="1">
      <c r="A19" s="49" t="inlineStr">
        <is>
          <t>10</t>
        </is>
      </c>
      <c r="B19" s="50" t="inlineStr">
        <is>
          <t>Legal and professional</t>
        </is>
      </c>
      <c r="C19" s="53">
        <f>'Expenses'!B13</f>
        <v/>
      </c>
      <c r="D19" s="53">
        <f>'Expenses'!C13</f>
        <v/>
      </c>
      <c r="E19" s="53">
        <f>'Expenses'!D13</f>
        <v/>
      </c>
    </row>
    <row r="20" ht="16" customHeight="1">
      <c r="A20" s="49" t="inlineStr">
        <is>
          <t>11</t>
        </is>
      </c>
      <c r="B20" s="50" t="inlineStr">
        <is>
          <t>Management fees</t>
        </is>
      </c>
      <c r="C20" s="53">
        <f>'Expenses'!B14</f>
        <v/>
      </c>
      <c r="D20" s="53">
        <f>'Expenses'!C14</f>
        <v/>
      </c>
      <c r="E20" s="53">
        <f>'Expenses'!D14</f>
        <v/>
      </c>
    </row>
    <row r="21" ht="16" customHeight="1">
      <c r="A21" s="49" t="inlineStr">
        <is>
          <t>12</t>
        </is>
      </c>
      <c r="B21" s="50" t="inlineStr">
        <is>
          <t>Mortgage interest paid (banks)</t>
        </is>
      </c>
      <c r="C21" s="53">
        <f>'Expenses'!B15</f>
        <v/>
      </c>
      <c r="D21" s="53">
        <f>'Expenses'!C15</f>
        <v/>
      </c>
      <c r="E21" s="53">
        <f>'Expenses'!D15</f>
        <v/>
      </c>
    </row>
    <row r="22" ht="16" customHeight="1">
      <c r="A22" s="49" t="inlineStr">
        <is>
          <t>13</t>
        </is>
      </c>
      <c r="B22" s="50" t="inlineStr">
        <is>
          <t>Other interest</t>
        </is>
      </c>
      <c r="C22" s="53">
        <f>'Expenses'!B16</f>
        <v/>
      </c>
      <c r="D22" s="53">
        <f>'Expenses'!C16</f>
        <v/>
      </c>
      <c r="E22" s="53">
        <f>'Expenses'!D16</f>
        <v/>
      </c>
    </row>
    <row r="23" ht="16" customHeight="1">
      <c r="A23" s="49" t="inlineStr">
        <is>
          <t>14</t>
        </is>
      </c>
      <c r="B23" s="50" t="inlineStr">
        <is>
          <t>Repairs</t>
        </is>
      </c>
      <c r="C23" s="53">
        <f>'Expenses'!B17</f>
        <v/>
      </c>
      <c r="D23" s="53">
        <f>'Expenses'!C17</f>
        <v/>
      </c>
      <c r="E23" s="53">
        <f>'Expenses'!D17</f>
        <v/>
      </c>
    </row>
    <row r="24" ht="16" customHeight="1">
      <c r="A24" s="49" t="inlineStr">
        <is>
          <t>15</t>
        </is>
      </c>
      <c r="B24" s="50" t="inlineStr">
        <is>
          <t>Supplies</t>
        </is>
      </c>
      <c r="C24" s="53">
        <f>'Expenses'!B18</f>
        <v/>
      </c>
      <c r="D24" s="53">
        <f>'Expenses'!C18</f>
        <v/>
      </c>
      <c r="E24" s="53">
        <f>'Expenses'!D18</f>
        <v/>
      </c>
    </row>
    <row r="25" ht="16" customHeight="1">
      <c r="A25" s="49" t="inlineStr">
        <is>
          <t>16</t>
        </is>
      </c>
      <c r="B25" s="50" t="inlineStr">
        <is>
          <t>Taxes</t>
        </is>
      </c>
      <c r="C25" s="53">
        <f>'Expenses'!B19</f>
        <v/>
      </c>
      <c r="D25" s="53">
        <f>'Expenses'!C19</f>
        <v/>
      </c>
      <c r="E25" s="53">
        <f>'Expenses'!D19</f>
        <v/>
      </c>
    </row>
    <row r="26" ht="16" customHeight="1">
      <c r="A26" s="49" t="inlineStr">
        <is>
          <t>17</t>
        </is>
      </c>
      <c r="B26" s="50" t="inlineStr">
        <is>
          <t>Utilities</t>
        </is>
      </c>
      <c r="C26" s="53">
        <f>'Expenses'!B20</f>
        <v/>
      </c>
      <c r="D26" s="53">
        <f>'Expenses'!C20</f>
        <v/>
      </c>
      <c r="E26" s="53">
        <f>'Expenses'!D20</f>
        <v/>
      </c>
    </row>
    <row r="27" ht="22" customHeight="1">
      <c r="A27" s="49" t="inlineStr">
        <is>
          <t>20</t>
        </is>
      </c>
      <c r="B27" s="54" t="inlineStr">
        <is>
          <t>Total expenses (Lines 5-19)</t>
        </is>
      </c>
      <c r="C27" s="38">
        <f>SUM(C12:C26)</f>
        <v/>
      </c>
      <c r="D27" s="38">
        <f>SUM(D12:D26)</f>
        <v/>
      </c>
      <c r="E27" s="38">
        <f>SUM(E12:E26)</f>
        <v/>
      </c>
    </row>
    <row r="28" ht="22" customHeight="1">
      <c r="A28" s="49" t="inlineStr">
        <is>
          <t>21</t>
        </is>
      </c>
      <c r="B28" s="54" t="inlineStr">
        <is>
          <t>Income or (loss) [Lines 3+4 − 20]</t>
        </is>
      </c>
      <c r="C28" s="55">
        <f>C12+C13-C27</f>
        <v/>
      </c>
      <c r="D28" s="55">
        <f>D12+D13-D27</f>
        <v/>
      </c>
      <c r="E28" s="55">
        <f>E12+E13-E27</f>
        <v/>
      </c>
    </row>
    <row r="29" ht="8" customHeight="1"/>
    <row r="30" ht="28" customHeight="1">
      <c r="A30" s="49" t="inlineStr">
        <is>
          <t>26</t>
        </is>
      </c>
      <c r="B30" s="56" t="inlineStr">
        <is>
          <t>Total rental real estate income or (loss) — to Form 1040 Schedule 1 Line 5</t>
        </is>
      </c>
      <c r="C30" s="57">
        <f>SUM(C28:E28)</f>
        <v/>
      </c>
      <c r="E30" s="1" t="inlineStr"/>
    </row>
    <row r="31" ht="8" customHeight="1"/>
    <row r="32" ht="28" customHeight="1">
      <c r="A32" s="58">
        <f>IF('Loss Limitations'!B10="Y","→ Material participation: losses non-passive, offset W-2 income.","→ Passive: losses limited to passive income; carry forward suspended losses (Form 8582).")</f>
        <v/>
      </c>
    </row>
  </sheetData>
  <mergeCells count="6">
    <mergeCell ref="J2:L2"/>
    <mergeCell ref="D2:I2"/>
    <mergeCell ref="C30:D30"/>
    <mergeCell ref="A32:L32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HYPERLINK("#'Schedule E Map'!A1", "← BACK")</f>
        <v/>
      </c>
      <c r="B2" s="14" t="n"/>
      <c r="C2" s="14" t="n"/>
      <c r="D2" s="45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Your Schedule E is ready</t>
        </is>
      </c>
    </row>
    <row r="5" ht="20" customHeight="1">
      <c r="A5" s="27" t="inlineStr">
        <is>
          <t>Print the Schedule E Map and send it to your CPA.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9" t="inlineStr">
        <is>
          <t>COMPLETION</t>
        </is>
      </c>
      <c r="B9" s="60" t="n"/>
      <c r="C9" s="60" t="n"/>
      <c r="D9" s="61" t="n"/>
      <c r="E9" s="62" t="inlineStr">
        <is>
          <t>SCHEDULE E LINE 26</t>
        </is>
      </c>
      <c r="F9" s="60" t="n"/>
      <c r="G9" s="60" t="n"/>
      <c r="H9" s="61" t="n"/>
      <c r="I9" s="59" t="inlineStr">
        <is>
          <t>STATUS</t>
        </is>
      </c>
      <c r="J9" s="60" t="n"/>
      <c r="K9" s="60" t="n"/>
      <c r="L9" s="61" t="n"/>
    </row>
    <row r="10">
      <c r="A10" s="63">
        <f>TEXT((COUNTA('Property Info'!B8:D15) + COUNTA('Income'!B8:D10) + COUNTA('Expenses'!B8:D21) + COUNTA('Depreciation'!B8:D12) + COUNTA('Loss Limitations'!B8:B11,'Loss Limitations'!B14:D14))/97,"0%")</f>
        <v/>
      </c>
      <c r="B10" s="64" t="n"/>
      <c r="C10" s="64" t="n"/>
      <c r="D10" s="65" t="n"/>
      <c r="E10" s="66">
        <f>'Schedule E Map'!C30</f>
        <v/>
      </c>
      <c r="F10" s="64" t="n"/>
      <c r="G10" s="64" t="n"/>
      <c r="H10" s="65" t="n"/>
      <c r="I10" s="67">
        <f>IF((IF('Property Info'!B8="",1,0) + IF('Property Info'!B9="",1,0) + IF('Income'!B8="",1,0) + IF('Expenses'!B15="",1,0) + IF('Depreciation'!B8="",1,0))=0,"READY",IF((IF('Property Info'!B8="",1,0) + IF('Property Info'!B9="",1,0) + IF('Income'!B8="",1,0) + IF('Expenses'!B15="",1,0) + IF('Depreciation'!B8="",1,0))&lt;=2,"MINOR","NEEDS WORK"))</f>
        <v/>
      </c>
      <c r="J10" s="64" t="n"/>
      <c r="K10" s="64" t="n"/>
      <c r="L10" s="65" t="n"/>
    </row>
    <row r="11">
      <c r="A11" s="68" t="n"/>
      <c r="B11" s="64" t="n"/>
      <c r="C11" s="64" t="n"/>
      <c r="D11" s="65" t="n"/>
      <c r="E11" s="68" t="n"/>
      <c r="F11" s="64" t="n"/>
      <c r="G11" s="64" t="n"/>
      <c r="H11" s="65" t="n"/>
      <c r="I11" s="68" t="n"/>
      <c r="J11" s="64" t="n"/>
      <c r="K11" s="64" t="n"/>
      <c r="L11" s="65" t="n"/>
    </row>
    <row r="12">
      <c r="A12" s="69" t="inlineStr">
        <is>
          <t>of 97 fields filled</t>
        </is>
      </c>
      <c r="B12" s="70" t="n"/>
      <c r="C12" s="70" t="n"/>
      <c r="D12" s="71" t="n"/>
      <c r="E12" s="69" t="inlineStr">
        <is>
          <t>to Form 1040 Schedule 1 Line 5</t>
        </is>
      </c>
      <c r="F12" s="70" t="n"/>
      <c r="G12" s="70" t="n"/>
      <c r="H12" s="71" t="n"/>
      <c r="I12" s="69" t="inlineStr">
        <is>
          <t>0 missing = green</t>
        </is>
      </c>
      <c r="J12" s="70" t="n"/>
      <c r="K12" s="70" t="n"/>
      <c r="L12" s="71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6" ht="24" customHeight="1">
      <c r="A16" s="13">
        <f>HYPERLINK("#'Schedule E Map'!A1", "📄  PRINT SCHEDULE E MAP 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18" customHeight="1">
      <c r="A21" s="72" t="inlineStr">
        <is>
          <t>Tip: print 1 page (the Schedule E Map tab) and email it with your supporting workbook to your CPA — saves billable hours.</t>
        </is>
      </c>
    </row>
    <row r="23" ht="36" customHeight="1">
      <c r="A23" s="73" t="inlineStr">
        <is>
          <t>💡 Upgrade to the Tax Season Bundle ($147) at thestrledger.com/tax-bundle — Schedule E + Schedule C + Mileage + 1099 + Home Office + Section 179 + Quarterly Estimateds + Per-Diem.</t>
        </is>
      </c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 ht="18" customHeight="1">
      <c r="A26" s="21" t="inlineStr">
        <is>
          <t>Questions? hello@thestrledger.com</t>
        </is>
      </c>
    </row>
    <row r="27" ht="18" customHeight="1">
      <c r="A27" s="22" t="inlineStr">
        <is>
          <t>TAX-004 · v2.2 · Free updates forever</t>
        </is>
      </c>
    </row>
  </sheetData>
  <mergeCells count="18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21:L2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HYPERLINK("#'Launch'!A1", "← BACK")</f>
        <v/>
      </c>
      <c r="B2" s="14" t="n"/>
      <c r="C2" s="14" t="n"/>
      <c r="D2" s="4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Active tax year · Schedule classification · references</t>
        </is>
      </c>
    </row>
    <row r="5" ht="18" customHeight="1">
      <c r="A5" s="74" t="inlineStr">
        <is>
          <t>Active tax year:</t>
        </is>
      </c>
      <c r="B5" s="32" t="n">
        <v>2026</v>
      </c>
    </row>
    <row r="6" ht="18" customHeight="1">
      <c r="A6" s="74" t="inlineStr">
        <is>
          <t>Schedule classification:</t>
        </is>
      </c>
      <c r="B6" s="31" t="inlineStr">
        <is>
          <t>Schedule E (passive)</t>
        </is>
      </c>
    </row>
    <row r="7" ht="28" customHeight="1">
      <c r="A7" s="75" t="inlineStr">
        <is>
          <t>⚠ Substantial-services trigger: if you provide cleaning DURING stays, meals, or concierge, IRS requires Schedule C (15.3% SE tax).</t>
        </is>
      </c>
    </row>
    <row r="8" ht="10" customHeight="1"/>
    <row r="9" ht="22" customHeight="1">
      <c r="A9" s="76" t="inlineStr">
        <is>
          <t>Year-end Archive</t>
        </is>
      </c>
    </row>
    <row r="10" ht="28" customHeight="1">
      <c r="A10" s="77" t="inlineStr">
        <is>
          <t>Each January, copy total Net (Line 26) into the row for the closing year, then update the Active tax year above.</t>
        </is>
      </c>
    </row>
    <row r="11" ht="18" customHeight="1">
      <c r="A11" s="29" t="inlineStr">
        <is>
          <t>Year</t>
        </is>
      </c>
      <c r="B11" s="29" t="inlineStr">
        <is>
          <t>Schedule E Line 26</t>
        </is>
      </c>
      <c r="C11" s="29" t="inlineStr">
        <is>
          <t>Active/Material?</t>
        </is>
      </c>
    </row>
    <row r="12" ht="16" customHeight="1">
      <c r="A12" s="78" t="n">
        <v>2024</v>
      </c>
      <c r="B12" s="79" t="n"/>
      <c r="C12" s="31" t="n"/>
    </row>
    <row r="13" ht="16" customHeight="1">
      <c r="A13" s="78" t="n">
        <v>2025</v>
      </c>
      <c r="B13" s="79" t="n"/>
      <c r="C13" s="31" t="n"/>
    </row>
    <row r="14" ht="16" customHeight="1">
      <c r="A14" s="78" t="n">
        <v>2026</v>
      </c>
      <c r="B14" s="79" t="n"/>
      <c r="C14" s="31" t="n"/>
    </row>
    <row r="15" ht="16" customHeight="1">
      <c r="A15" s="78" t="n">
        <v>2027</v>
      </c>
      <c r="B15" s="79" t="n"/>
      <c r="C15" s="31" t="n"/>
    </row>
    <row r="16" ht="16" customHeight="1">
      <c r="A16" s="78" t="n">
        <v>2028</v>
      </c>
      <c r="B16" s="79" t="n"/>
      <c r="C16" s="31" t="n"/>
    </row>
    <row r="17" ht="16" customHeight="1">
      <c r="A17" s="78" t="n">
        <v>2029</v>
      </c>
      <c r="B17" s="79" t="n"/>
      <c r="C17" s="31" t="n"/>
    </row>
    <row r="18" ht="16" customHeight="1">
      <c r="A18" s="78" t="n">
        <v>2030</v>
      </c>
      <c r="B18" s="79" t="n"/>
      <c r="C18" s="31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 ht="18" customHeight="1">
      <c r="A22" s="21" t="inlineStr">
        <is>
          <t>Questions? hello@thestrledger.com</t>
        </is>
      </c>
    </row>
    <row r="23" ht="18" customHeight="1">
      <c r="A23" s="22" t="inlineStr">
        <is>
          <t>TAX-004 · v2.2 · Free updates forever</t>
        </is>
      </c>
    </row>
  </sheetData>
  <mergeCells count="7">
    <mergeCell ref="D2:L2"/>
    <mergeCell ref="A7:E7"/>
    <mergeCell ref="A10:E10"/>
    <mergeCell ref="A23:L23"/>
    <mergeCell ref="A22:L22"/>
    <mergeCell ref="A2:C2"/>
    <mergeCell ref="A4:L4"/>
  </mergeCells>
  <dataValidations count="1">
    <dataValidation sqref="B6" showDropDown="0" showInputMessage="0" showErrorMessage="0" allowBlank="1" type="list">
      <formula1>"Schedule E (passive),Schedule C (active),Ask my CPA"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Schedule E Tax-Prep Workbook — The STR Ledger</dc:title>
  <dc:description xmlns:dc="http://purl.org/dc/elements/1.1/">IRS-compliant Schedule E (Form 1040) tax-prep workbook for STR hosts. Three properties, full Part I mapping.</dc:description>
  <dcterms:created xmlns:dcterms="http://purl.org/dc/terms/" xmlns:xsi="http://www.w3.org/2001/XMLSchema-instance" xsi:type="dcterms:W3CDTF">2026-05-03T19:06:19Z</dcterms:created>
  <dcterms:modified xmlns:dcterms="http://purl.org/dc/terms/" xmlns:xsi="http://www.w3.org/2001/XMLSchema-instance" xsi:type="dcterms:W3CDTF">2026-05-03T19:06:19Z</dcterms:modified>
</cp:coreProperties>
</file>