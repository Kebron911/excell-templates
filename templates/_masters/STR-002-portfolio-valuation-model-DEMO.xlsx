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Per Property" sheetId="2" state="visible" r:id="rId2"/>
    <sheet xmlns:r="http://schemas.openxmlformats.org/officeDocument/2006/relationships" name="Cap Rate Reference" sheetId="3" state="visible" r:id="rId3"/>
    <sheet xmlns:r="http://schemas.openxmlformats.org/officeDocument/2006/relationships" name="Equity Summary" sheetId="4" state="visible" r:id="rId4"/>
    <sheet xmlns:r="http://schemas.openxmlformats.org/officeDocument/2006/relationships" name="Settings" sheetId="5" state="visible" r:id="rId5"/>
  </sheets>
  <definedNames>
    <definedName name="_xlnm.Print_Area" localSheetId="0">'Start'!$A$1:$L$33</definedName>
    <definedName name="_xlnm.Print_Titles" localSheetId="1">'Per Property'!$1:$6</definedName>
    <definedName name="_xlnm.Print_Area" localSheetId="1">'Per Property'!$A$1:$O$22</definedName>
    <definedName name="_xlnm.Print_Area" localSheetId="3">'Equity Summary'!$A$1:$L$29</definedName>
  </definedNames>
  <calcPr calcId="124519" fullCalcOnLoad="1"/>
</workbook>
</file>

<file path=xl/styles.xml><?xml version="1.0" encoding="utf-8"?>
<styleSheet xmlns="http://schemas.openxmlformats.org/spreadsheetml/2006/main">
  <numFmts count="3">
    <numFmt numFmtId="164" formatCode="&quot;$&quot;#,##0"/>
    <numFmt numFmtId="165" formatCode="0.0%"/>
    <numFmt numFmtId="166" formatCode="0.0"/>
  </numFmts>
  <fonts count="28">
    <font>
      <name val="Calibri"/>
      <family val="2"/>
      <color theme="1"/>
      <sz val="11"/>
      <scheme val="minor"/>
    </font>
    <font>
      <name val="Georgia"/>
      <color rgb="00F6EFE2"/>
      <sz val="14"/>
    </font>
    <font>
      <name val="Georgia"/>
      <b val="1"/>
      <color rgb="00F6EFE2"/>
      <sz val="30"/>
    </font>
    <font>
      <name val="Georgia"/>
      <i val="1"/>
      <color rgb="00C9A24B"/>
      <sz val="14"/>
    </font>
    <font>
      <name val="Consolas"/>
      <color rgb="00C9A24B"/>
      <sz val="9"/>
    </font>
    <font>
      <name val="Consolas"/>
      <b val="1"/>
      <color rgb="0012304E"/>
      <sz val="9"/>
    </font>
    <font>
      <name val="Georgia"/>
      <b val="1"/>
      <color rgb="0012304E"/>
      <sz val="22"/>
    </font>
    <font>
      <name val="Georgia"/>
      <b val="1"/>
      <color rgb="00C9A24B"/>
      <sz val="22"/>
    </font>
    <font>
      <name val="Georgia"/>
      <i val="1"/>
      <color rgb="006B7280"/>
      <sz val="12"/>
    </font>
    <font>
      <name val="Consolas"/>
      <b val="1"/>
      <color rgb="0012304E"/>
      <sz val="10"/>
    </font>
    <font>
      <name val="Georgia"/>
      <b val="1"/>
      <color rgb="00C9A24B"/>
      <sz val="28"/>
    </font>
    <font>
      <name val="Georgia"/>
      <b val="1"/>
      <color rgb="00F6EFE2"/>
      <sz val="13"/>
    </font>
    <font>
      <name val="Georgia"/>
      <b val="1"/>
      <color rgb="0012304E"/>
      <sz val="13"/>
    </font>
    <font>
      <name val="Calibri"/>
      <b val="1"/>
      <color rgb="00FFFFFF"/>
      <sz val="11"/>
    </font>
    <font>
      <name val="Calibri"/>
      <color rgb="006B7280"/>
      <sz val="10"/>
    </font>
    <font>
      <name val="Calibri"/>
      <i val="1"/>
      <color rgb="00C9A24B"/>
      <sz val="10"/>
    </font>
    <font>
      <name val="Consolas"/>
      <b val="1"/>
      <color rgb="00C9A24B"/>
      <sz val="10"/>
    </font>
    <font>
      <name val="Calibri"/>
      <i val="1"/>
      <color rgb="002B2B2B"/>
      <sz val="10"/>
    </font>
    <font>
      <name val="Calibri"/>
      <i val="1"/>
      <color rgb="002B2B2B"/>
      <sz val="11"/>
    </font>
    <font>
      <name val="Calibri"/>
      <color rgb="002B2B2B"/>
      <sz val="11"/>
    </font>
    <font>
      <name val="Calibri"/>
      <b val="1"/>
      <color rgb="0012304E"/>
      <sz val="11"/>
    </font>
    <font>
      <name val="Georgia"/>
      <b val="1"/>
      <color rgb="00F6EFE2"/>
      <sz val="12"/>
    </font>
    <font>
      <name val="Georgia"/>
      <b val="1"/>
      <color rgb="00C9A24B"/>
      <sz val="12"/>
    </font>
    <font>
      <name val="Calibri"/>
      <b val="1"/>
      <color rgb="00F6EFE2"/>
      <sz val="11"/>
    </font>
    <font>
      <name val="Calibri"/>
      <color rgb="002B2B2B"/>
      <sz val="10"/>
    </font>
    <font>
      <name val="Georgia"/>
      <b val="1"/>
      <color rgb="0012304E"/>
      <sz val="12"/>
    </font>
    <font>
      <name val="Georgia"/>
      <b val="1"/>
      <color rgb="00C9A24B"/>
      <sz val="14"/>
    </font>
    <font>
      <name val="Calibri"/>
      <b val="1"/>
      <color rgb="002B2B2B"/>
      <sz val="11"/>
    </font>
  </fonts>
  <fills count="9">
    <fill>
      <patternFill/>
    </fill>
    <fill>
      <patternFill patternType="gray125"/>
    </fill>
    <fill>
      <patternFill patternType="solid">
        <fgColor rgb="0012304E"/>
      </patternFill>
    </fill>
    <fill>
      <patternFill patternType="solid">
        <fgColor rgb="00F6EFE2"/>
      </patternFill>
    </fill>
    <fill>
      <patternFill patternType="solid">
        <fgColor rgb="00E2C884"/>
      </patternFill>
    </fill>
    <fill>
      <patternFill patternType="solid">
        <fgColor rgb="00C9A24B"/>
      </patternFill>
    </fill>
    <fill>
      <patternFill patternType="solid">
        <fgColor rgb="00EDEDED"/>
      </patternFill>
    </fill>
    <fill>
      <patternFill patternType="solid">
        <fgColor rgb="00FFF7D6"/>
      </patternFill>
    </fill>
    <fill>
      <patternFill patternType="solid">
        <fgColor rgb="00EFE5D0"/>
      </patternFill>
    </fill>
  </fills>
  <borders count="5">
    <border>
      <left/>
      <right/>
      <top/>
      <bottom/>
      <diagonal/>
    </border>
    <border>
      <left style="medium">
        <color rgb="00C9A24B"/>
      </left>
      <right style="medium">
        <color rgb="00C9A24B"/>
      </right>
      <top style="medium">
        <color rgb="00C9A24B"/>
      </top>
      <bottom style="medium">
        <color rgb="00C9A24B"/>
      </bottom>
    </border>
    <border>
      <left style="medium">
        <color rgb="0012304E"/>
      </left>
      <right style="medium">
        <color rgb="0012304E"/>
      </right>
      <top style="medium">
        <color rgb="0012304E"/>
      </top>
      <bottom style="medium">
        <color rgb="0012304E"/>
      </bottom>
    </border>
    <border>
      <top style="thin">
        <color rgb="00C9A24B"/>
      </top>
    </border>
    <border>
      <left style="thin">
        <color rgb="0012304E"/>
      </left>
      <right style="thin">
        <color rgb="0012304E"/>
      </right>
      <top style="thin">
        <color rgb="0012304E"/>
      </top>
      <bottom style="thin">
        <color rgb="0012304E"/>
      </bottom>
    </border>
  </borders>
  <cellStyleXfs count="1">
    <xf numFmtId="0" fontId="0" fillId="0" borderId="0"/>
  </cellStyleXfs>
  <cellXfs count="48">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0" fillId="3" borderId="0" pivotButton="0" quotePrefix="0" xfId="0"/>
    <xf numFmtId="0" fontId="5" fillId="4" borderId="0" applyAlignment="1" pivotButton="0" quotePrefix="0" xfId="0">
      <alignment horizontal="center" vertical="center"/>
    </xf>
    <xf numFmtId="164" fontId="6" fillId="3" borderId="0" applyAlignment="1" pivotButton="0" quotePrefix="0" xfId="0">
      <alignment horizontal="center" vertical="center"/>
    </xf>
    <xf numFmtId="164" fontId="7" fillId="3" borderId="0" applyAlignment="1" pivotButton="0" quotePrefix="0" xfId="0">
      <alignment horizontal="center" vertical="center"/>
    </xf>
    <xf numFmtId="165" fontId="6" fillId="3" borderId="0" applyAlignment="1" pivotButton="0" quotePrefix="0" xfId="0">
      <alignment horizontal="center" vertical="center"/>
    </xf>
    <xf numFmtId="0" fontId="8" fillId="3" borderId="0" applyAlignment="1" pivotButton="0" quotePrefix="0" xfId="0">
      <alignment horizontal="center" vertical="center"/>
    </xf>
    <xf numFmtId="0" fontId="9" fillId="3" borderId="0" applyAlignment="1" pivotButton="0" quotePrefix="0" xfId="0">
      <alignment horizontal="center" vertical="center"/>
    </xf>
    <xf numFmtId="164" fontId="10" fillId="3" borderId="0" applyAlignment="1" pivotButton="0" quotePrefix="0" xfId="0">
      <alignment horizontal="center" vertical="center"/>
    </xf>
    <xf numFmtId="0" fontId="11" fillId="2" borderId="1" applyAlignment="1" pivotButton="0" quotePrefix="0" xfId="0">
      <alignment horizontal="center" vertical="center" wrapText="1"/>
    </xf>
    <xf numFmtId="0" fontId="0" fillId="0" borderId="1" pivotButton="0" quotePrefix="0" xfId="0"/>
    <xf numFmtId="0" fontId="12" fillId="5" borderId="2" applyAlignment="1" pivotButton="0" quotePrefix="0" xfId="0">
      <alignment horizontal="center" vertical="center" wrapText="1"/>
    </xf>
    <xf numFmtId="0" fontId="0" fillId="0" borderId="2" pivotButton="0" quotePrefix="0" xfId="0"/>
    <xf numFmtId="0" fontId="13" fillId="5" borderId="0" applyAlignment="1" pivotButton="0" quotePrefix="0" xfId="0">
      <alignment horizontal="center" vertical="center" wrapText="1"/>
    </xf>
    <xf numFmtId="0" fontId="0" fillId="0" borderId="3" pivotButton="0" quotePrefix="0" xfId="0"/>
    <xf numFmtId="0" fontId="14" fillId="0" borderId="0" applyAlignment="1" pivotButton="0" quotePrefix="0" xfId="0">
      <alignment horizontal="center" vertical="center"/>
    </xf>
    <xf numFmtId="0" fontId="15" fillId="0" borderId="0" applyAlignment="1" pivotButton="0" quotePrefix="0" xfId="0">
      <alignment horizontal="center" vertical="center"/>
    </xf>
    <xf numFmtId="0" fontId="16" fillId="2" borderId="0" applyAlignment="1" pivotButton="0" quotePrefix="0" xfId="0">
      <alignment horizontal="right" vertical="center" indent="2"/>
    </xf>
    <xf numFmtId="0" fontId="17" fillId="3" borderId="0" applyAlignment="1" pivotButton="0" quotePrefix="0" xfId="0">
      <alignment horizontal="left" vertical="center" indent="1"/>
    </xf>
    <xf numFmtId="0" fontId="13" fillId="2" borderId="4" applyAlignment="1" pivotButton="0" quotePrefix="0" xfId="0">
      <alignment horizontal="center" vertical="center" wrapText="1"/>
    </xf>
    <xf numFmtId="0" fontId="18" fillId="6" borderId="0" applyAlignment="1" pivotButton="0" quotePrefix="0" xfId="0">
      <alignment horizontal="left" vertical="center" indent="1"/>
    </xf>
    <xf numFmtId="164" fontId="19" fillId="7" borderId="0" applyAlignment="1" pivotButton="0" quotePrefix="0" xfId="0">
      <alignment horizontal="right" vertical="center"/>
    </xf>
    <xf numFmtId="10" fontId="18" fillId="6" borderId="0" applyAlignment="1" pivotButton="0" quotePrefix="0" xfId="0">
      <alignment horizontal="center" vertical="center"/>
    </xf>
    <xf numFmtId="164" fontId="18" fillId="6" borderId="0" applyAlignment="1" pivotButton="0" quotePrefix="0" xfId="0">
      <alignment horizontal="right" vertical="center"/>
    </xf>
    <xf numFmtId="1" fontId="19" fillId="7" borderId="0" applyAlignment="1" pivotButton="0" quotePrefix="0" xfId="0">
      <alignment horizontal="center" vertical="center"/>
    </xf>
    <xf numFmtId="166" fontId="19" fillId="7" borderId="0" applyAlignment="1" pivotButton="0" quotePrefix="0" xfId="0">
      <alignment horizontal="center" vertical="center"/>
    </xf>
    <xf numFmtId="2" fontId="19" fillId="7" borderId="0" applyAlignment="1" pivotButton="0" quotePrefix="0" xfId="0">
      <alignment horizontal="center" vertical="center"/>
    </xf>
    <xf numFmtId="164" fontId="20" fillId="4" borderId="0" applyAlignment="1" pivotButton="0" quotePrefix="0" xfId="0">
      <alignment horizontal="right" vertical="center"/>
    </xf>
    <xf numFmtId="165" fontId="18" fillId="6" borderId="0" applyAlignment="1" pivotButton="0" quotePrefix="0" xfId="0">
      <alignment horizontal="center" vertical="center"/>
    </xf>
    <xf numFmtId="0" fontId="21" fillId="2" borderId="0" applyAlignment="1" pivotButton="0" quotePrefix="0" xfId="0">
      <alignment horizontal="left" vertical="center" indent="1"/>
    </xf>
    <xf numFmtId="164" fontId="22" fillId="2" borderId="0" applyAlignment="1" pivotButton="0" quotePrefix="0" xfId="0">
      <alignment horizontal="right" vertical="center"/>
    </xf>
    <xf numFmtId="164" fontId="23" fillId="2" borderId="0" applyAlignment="1" pivotButton="0" quotePrefix="0" xfId="0">
      <alignment horizontal="right" vertical="center"/>
    </xf>
    <xf numFmtId="165" fontId="23" fillId="2" borderId="0" applyAlignment="1" pivotButton="0" quotePrefix="0" xfId="0">
      <alignment horizontal="center" vertical="center"/>
    </xf>
    <xf numFmtId="0" fontId="13" fillId="2" borderId="4" applyAlignment="1" pivotButton="0" quotePrefix="0" xfId="0">
      <alignment horizontal="center" vertical="center"/>
    </xf>
    <xf numFmtId="0" fontId="19" fillId="7" borderId="0" applyAlignment="1" pivotButton="0" quotePrefix="0" xfId="0">
      <alignment horizontal="left" vertical="center" indent="1"/>
    </xf>
    <xf numFmtId="10" fontId="19" fillId="7" borderId="0" applyAlignment="1" pivotButton="0" quotePrefix="0" xfId="0">
      <alignment horizontal="center" vertical="center"/>
    </xf>
    <xf numFmtId="0" fontId="9" fillId="4" borderId="0" applyAlignment="1" pivotButton="0" quotePrefix="0" xfId="0">
      <alignment horizontal="left" vertical="center" indent="2"/>
    </xf>
    <xf numFmtId="0" fontId="24" fillId="8" borderId="0" applyAlignment="1" pivotButton="0" quotePrefix="0" xfId="0">
      <alignment horizontal="left" vertical="top" wrapText="1" indent="2"/>
    </xf>
    <xf numFmtId="0" fontId="21" fillId="2" borderId="0" applyAlignment="1" pivotButton="0" quotePrefix="0" xfId="0">
      <alignment horizontal="left" vertical="center" indent="2"/>
    </xf>
    <xf numFmtId="0" fontId="25" fillId="0" borderId="0" applyAlignment="1" pivotButton="0" quotePrefix="0" xfId="0">
      <alignment horizontal="right" vertical="center" indent="1"/>
    </xf>
    <xf numFmtId="164" fontId="26" fillId="4" borderId="0" applyAlignment="1" pivotButton="0" quotePrefix="0" xfId="0">
      <alignment horizontal="center" vertical="center"/>
    </xf>
    <xf numFmtId="0" fontId="27" fillId="0" borderId="0" applyAlignment="1" pivotButton="0" quotePrefix="0" xfId="0">
      <alignment horizontal="right" vertical="center" indent="1"/>
    </xf>
    <xf numFmtId="164" fontId="18"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Equity by Property</a:t>
            </a:r>
          </a:p>
        </rich>
      </tx>
    </title>
    <plotArea>
      <pieChart>
        <varyColors val="1"/>
        <ser>
          <idx val="0"/>
          <order val="0"/>
          <tx>
            <strRef>
              <f>'Equity Summary'!F6</f>
            </strRef>
          </tx>
          <spPr>
            <a:ln xmlns:a="http://schemas.openxmlformats.org/drawingml/2006/main">
              <a:prstDash val="solid"/>
            </a:ln>
          </spPr>
          <dPt>
            <idx val="0"/>
            <spPr>
              <a:solidFill xmlns:a="http://schemas.openxmlformats.org/drawingml/2006/main">
                <a:srgbClr val="12304E"/>
              </a:solidFill>
              <a:ln xmlns:a="http://schemas.openxmlformats.org/drawingml/2006/main">
                <a:prstDash val="solid"/>
              </a:ln>
            </spPr>
          </dPt>
          <dPt>
            <idx val="1"/>
            <spPr>
              <a:solidFill xmlns:a="http://schemas.openxmlformats.org/drawingml/2006/main">
                <a:srgbClr val="C9A24B"/>
              </a:solidFill>
              <a:ln xmlns:a="http://schemas.openxmlformats.org/drawingml/2006/main">
                <a:prstDash val="solid"/>
              </a:ln>
            </spPr>
          </dPt>
          <dPt>
            <idx val="2"/>
            <spPr>
              <a:solidFill xmlns:a="http://schemas.openxmlformats.org/drawingml/2006/main">
                <a:srgbClr val="B5725E"/>
              </a:solidFill>
              <a:ln xmlns:a="http://schemas.openxmlformats.org/drawingml/2006/main">
                <a:prstDash val="solid"/>
              </a:ln>
            </spPr>
          </dPt>
          <dPt>
            <idx val="3"/>
            <spPr>
              <a:solidFill xmlns:a="http://schemas.openxmlformats.org/drawingml/2006/main">
                <a:srgbClr val="2A4867"/>
              </a:solidFill>
              <a:ln xmlns:a="http://schemas.openxmlformats.org/drawingml/2006/main">
                <a:prstDash val="solid"/>
              </a:ln>
            </spPr>
          </dPt>
          <dPt>
            <idx val="4"/>
            <spPr>
              <a:solidFill xmlns:a="http://schemas.openxmlformats.org/drawingml/2006/main">
                <a:srgbClr val="E2C884"/>
              </a:solidFill>
              <a:ln xmlns:a="http://schemas.openxmlformats.org/drawingml/2006/main">
                <a:prstDash val="solid"/>
              </a:ln>
            </spPr>
          </dPt>
          <dPt>
            <idx val="5"/>
            <spPr>
              <a:solidFill xmlns:a="http://schemas.openxmlformats.org/drawingml/2006/main">
                <a:srgbClr val="0A1F35"/>
              </a:solidFill>
              <a:ln xmlns:a="http://schemas.openxmlformats.org/drawingml/2006/main">
                <a:prstDash val="solid"/>
              </a:ln>
            </spPr>
          </dPt>
          <dPt>
            <idx val="6"/>
            <spPr>
              <a:solidFill xmlns:a="http://schemas.openxmlformats.org/drawingml/2006/main">
                <a:srgbClr val="EFE5D0"/>
              </a:solidFill>
              <a:ln xmlns:a="http://schemas.openxmlformats.org/drawingml/2006/main">
                <a:prstDash val="solid"/>
              </a:ln>
            </spPr>
          </dPt>
          <cat>
            <numRef>
              <f>'Equity Summary'!$E$13:$E$22</f>
            </numRef>
          </cat>
          <val>
            <numRef>
              <f>'Equity Summary'!$F$7:$F$22</f>
            </numRef>
          </val>
        </ser>
        <dLbls>
          <showCatName val="1"/>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5</row>
      <rowOff>0</rowOff>
    </from>
    <ext cx="46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2304E"/>
    <outlinePr summaryBelow="1" summaryRight="1"/>
    <pageSetUpPr fitToPage="1"/>
  </sheetPr>
  <dimension ref="A1:L33"/>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4" customHeight="1">
      <c r="A4" s="3" t="inlineStr">
        <is>
          <t>Portfolio Valuation Model</t>
        </is>
      </c>
    </row>
    <row r="5" ht="22" customHeight="1">
      <c r="A5" s="4" t="inlineStr">
        <is>
          <t>Three valuation methods. One number a buyer would pay.</t>
        </is>
      </c>
    </row>
    <row r="6" ht="22" customHeight="1">
      <c r="A6" s="1" t="n"/>
      <c r="B6" s="1" t="n"/>
      <c r="C6" s="1" t="n"/>
      <c r="D6" s="1" t="n"/>
      <c r="E6" s="1" t="n"/>
      <c r="F6" s="1" t="n"/>
      <c r="G6" s="1" t="n"/>
      <c r="H6" s="1" t="n"/>
      <c r="I6" s="1" t="n"/>
      <c r="J6" s="1" t="n"/>
      <c r="K6" s="1" t="n"/>
      <c r="L6" s="1" t="n"/>
    </row>
    <row r="7" ht="22" customHeight="1">
      <c r="A7" s="5" t="inlineStr">
        <is>
          <t>STR-002 · v1.0 · DEMO</t>
        </is>
      </c>
    </row>
    <row r="8" ht="22" customHeight="1">
      <c r="A8" s="1" t="n"/>
      <c r="B8" s="1" t="n"/>
      <c r="C8" s="1" t="n"/>
      <c r="D8" s="1" t="n"/>
      <c r="E8" s="1" t="n"/>
      <c r="F8" s="1" t="n"/>
      <c r="G8" s="1" t="n"/>
      <c r="H8" s="1" t="n"/>
      <c r="I8" s="1" t="n"/>
      <c r="J8" s="1" t="n"/>
      <c r="K8" s="1" t="n"/>
      <c r="L8" s="1" t="n"/>
    </row>
    <row r="10">
      <c r="A10" s="6" t="n"/>
      <c r="B10" s="6" t="n"/>
      <c r="C10" s="6" t="n"/>
      <c r="D10" s="6" t="n"/>
      <c r="E10" s="6" t="n"/>
      <c r="F10" s="6" t="n"/>
      <c r="G10" s="6" t="n"/>
      <c r="H10" s="6" t="n"/>
      <c r="I10" s="6" t="n"/>
      <c r="J10" s="6" t="n"/>
      <c r="K10" s="6" t="n"/>
      <c r="L10" s="6" t="n"/>
    </row>
    <row r="11" ht="18" customHeight="1">
      <c r="A11" s="7" t="inlineStr">
        <is>
          <t>PORTFOLIO MARKET VALUE</t>
        </is>
      </c>
      <c r="E11" s="7" t="inlineStr">
        <is>
          <t>TOTAL EQUITY</t>
        </is>
      </c>
      <c r="I11" s="7" t="inlineStr">
        <is>
          <t>PORTFOLIO LTV</t>
        </is>
      </c>
    </row>
    <row r="12" ht="28" customHeight="1">
      <c r="A12" s="8">
        <f>'Equity Summary'!C7</f>
        <v/>
      </c>
      <c r="E12" s="9">
        <f>'Equity Summary'!C9</f>
        <v/>
      </c>
      <c r="I12" s="10">
        <f>'Equity Summary'!C10</f>
        <v/>
      </c>
    </row>
    <row r="13" ht="16" customHeight="1"/>
    <row r="14" ht="16" customHeight="1"/>
    <row r="15">
      <c r="A15" s="6" t="n"/>
      <c r="B15" s="6" t="n"/>
      <c r="C15" s="6" t="n"/>
      <c r="D15" s="6" t="n"/>
      <c r="E15" s="6" t="n"/>
      <c r="F15" s="6" t="n"/>
      <c r="G15" s="6" t="n"/>
      <c r="H15" s="6" t="n"/>
      <c r="I15" s="6" t="n"/>
      <c r="J15" s="6" t="n"/>
      <c r="K15" s="6" t="n"/>
      <c r="L15" s="6" t="n"/>
    </row>
    <row r="16" ht="22" customHeight="1">
      <c r="A16" s="11">
        <f>"As of "&amp;TEXT(Settings!B5,"yyyy")&amp;" · "&amp;COUNTIF(Settings!B7:B16,"&lt;&gt;")&amp;" properties tracked"</f>
        <v/>
      </c>
    </row>
    <row r="17">
      <c r="A17" s="6" t="n"/>
      <c r="B17" s="6" t="n"/>
      <c r="C17" s="6" t="n"/>
      <c r="D17" s="6" t="n"/>
      <c r="E17" s="6" t="n"/>
      <c r="F17" s="6" t="n"/>
      <c r="G17" s="6" t="n"/>
      <c r="H17" s="6" t="n"/>
      <c r="I17" s="6" t="n"/>
      <c r="J17" s="6" t="n"/>
      <c r="K17" s="6" t="n"/>
      <c r="L17" s="6" t="n"/>
    </row>
    <row r="18" ht="18" customHeight="1">
      <c r="A18" s="12" t="inlineStr">
        <is>
          <t>WHAT A BUYER WOULD PAY</t>
        </is>
      </c>
    </row>
    <row r="19" ht="36" customHeight="1">
      <c r="A19" s="13">
        <f>'Equity Summary'!C7</f>
        <v/>
      </c>
    </row>
    <row r="20"/>
    <row r="21">
      <c r="A21" s="6" t="n"/>
      <c r="B21" s="6" t="n"/>
      <c r="C21" s="6" t="n"/>
      <c r="D21" s="6" t="n"/>
      <c r="E21" s="6" t="n"/>
      <c r="F21" s="6" t="n"/>
      <c r="G21" s="6" t="n"/>
      <c r="H21" s="6" t="n"/>
      <c r="I21" s="6" t="n"/>
      <c r="J21" s="6" t="n"/>
      <c r="K21" s="6" t="n"/>
      <c r="L21" s="6" t="n"/>
    </row>
    <row r="22">
      <c r="A22" s="6" t="n"/>
      <c r="B22" s="6" t="n"/>
      <c r="C22" s="6" t="n"/>
      <c r="D22" s="6" t="n"/>
      <c r="E22" s="6" t="n"/>
      <c r="F22" s="6" t="n"/>
      <c r="G22" s="6" t="n"/>
      <c r="H22" s="6" t="n"/>
      <c r="I22" s="6" t="n"/>
      <c r="J22" s="6" t="n"/>
      <c r="K22" s="6" t="n"/>
      <c r="L22" s="6" t="n"/>
    </row>
    <row r="24" ht="22" customHeight="1">
      <c r="A24" s="14">
        <f>HYPERLINK("#'Per Property'!A1", "Per Property")</f>
        <v/>
      </c>
      <c r="B24" s="15" t="n"/>
      <c r="C24" s="15" t="n"/>
      <c r="D24" s="14">
        <f>HYPERLINK("#'Cap Rate Reference'!A1", "Cap Rate Reference")</f>
        <v/>
      </c>
      <c r="E24" s="15" t="n"/>
      <c r="F24" s="15" t="n"/>
      <c r="G24" s="16">
        <f>HYPERLINK("#'Equity Summary'!A1", "Equity Summary")</f>
        <v/>
      </c>
      <c r="H24" s="17" t="n"/>
      <c r="I24" s="17" t="n"/>
      <c r="J24" s="14">
        <f>HYPERLINK("#'Settings'!A1", "Settings")</f>
        <v/>
      </c>
      <c r="K24" s="15" t="n"/>
      <c r="L24" s="15" t="n"/>
    </row>
    <row r="25" ht="22" customHeight="1">
      <c r="A25" s="15" t="n"/>
      <c r="B25" s="15" t="n"/>
      <c r="C25" s="15" t="n"/>
      <c r="D25" s="15" t="n"/>
      <c r="E25" s="15" t="n"/>
      <c r="F25" s="15" t="n"/>
      <c r="G25" s="17" t="n"/>
      <c r="H25" s="17" t="n"/>
      <c r="I25" s="17" t="n"/>
      <c r="J25" s="15" t="n"/>
      <c r="K25" s="15" t="n"/>
      <c r="L25" s="15" t="n"/>
    </row>
    <row r="26" ht="22" customHeight="1">
      <c r="A26" s="15" t="n"/>
      <c r="B26" s="15" t="n"/>
      <c r="C26" s="15" t="n"/>
      <c r="D26" s="15" t="n"/>
      <c r="E26" s="15" t="n"/>
      <c r="F26" s="15" t="n"/>
      <c r="G26" s="17" t="n"/>
      <c r="H26" s="17" t="n"/>
      <c r="I26" s="17" t="n"/>
      <c r="J26" s="15" t="n"/>
      <c r="K26" s="15" t="n"/>
      <c r="L26" s="15" t="n"/>
    </row>
    <row r="29" ht="36" customHeight="1">
      <c r="A29" s="18" t="inlineStr">
        <is>
          <t>💡  Run this annually — and any time you're talking refi or sale. Free updates forever at thestrledger.com.</t>
        </is>
      </c>
    </row>
    <row r="31">
      <c r="A31" s="19" t="n"/>
      <c r="B31" s="19" t="n"/>
      <c r="C31" s="19" t="n"/>
      <c r="D31" s="19" t="n"/>
      <c r="E31" s="19" t="n"/>
      <c r="F31" s="19" t="n"/>
      <c r="G31" s="19" t="n"/>
      <c r="H31" s="19" t="n"/>
      <c r="I31" s="19" t="n"/>
      <c r="J31" s="19" t="n"/>
      <c r="K31" s="19" t="n"/>
      <c r="L31" s="19" t="n"/>
    </row>
    <row r="32" ht="18" customHeight="1">
      <c r="A32" s="20" t="inlineStr">
        <is>
          <t>Questions? hello@thestrledger.com</t>
        </is>
      </c>
    </row>
    <row r="33" ht="18" customHeight="1">
      <c r="A33" s="21" t="inlineStr">
        <is>
          <t>STR-002 · v1.0 · DEMO · Free updates forever</t>
        </is>
      </c>
    </row>
  </sheetData>
  <mergeCells count="20">
    <mergeCell ref="A12:D14"/>
    <mergeCell ref="A16:L16"/>
    <mergeCell ref="A7:L7"/>
    <mergeCell ref="A19:L20"/>
    <mergeCell ref="A18:L18"/>
    <mergeCell ref="J24:L26"/>
    <mergeCell ref="A2:F2"/>
    <mergeCell ref="G24:I26"/>
    <mergeCell ref="A33:L33"/>
    <mergeCell ref="A5:L5"/>
    <mergeCell ref="A32:L32"/>
    <mergeCell ref="E12:H14"/>
    <mergeCell ref="A11:D11"/>
    <mergeCell ref="I11:L11"/>
    <mergeCell ref="A4:L4"/>
    <mergeCell ref="D24:F26"/>
    <mergeCell ref="A29:L29"/>
    <mergeCell ref="A24:C26"/>
    <mergeCell ref="I12:L14"/>
    <mergeCell ref="E11:H11"/>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B5725E"/>
    <outlinePr summaryBelow="1" summaryRight="1"/>
    <pageSetUpPr fitToPage="1"/>
  </sheetPr>
  <dimension ref="A1:O2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0" customWidth="1" min="3" max="3"/>
    <col width="14" customWidth="1" min="4" max="4"/>
    <col width="14" customWidth="1" min="5" max="5"/>
    <col width="7" customWidth="1" min="6" max="6"/>
    <col width="7" customWidth="1" min="7" max="7"/>
    <col width="14" customWidth="1" min="8" max="8"/>
    <col width="14" customWidth="1" min="9" max="9"/>
    <col width="8" customWidth="1" min="10" max="10"/>
    <col width="14" customWidth="1" min="11" max="11"/>
    <col width="14" customWidth="1" min="12" max="12"/>
    <col width="14" customWidth="1" min="13" max="13"/>
    <col width="14" customWidth="1" min="14" max="14"/>
    <col width="9" customWidth="1" min="15" max="15"/>
  </cols>
  <sheetData>
    <row r="1" ht="8" customHeight="1">
      <c r="A1" s="1" t="n"/>
      <c r="B1" s="1" t="n"/>
      <c r="C1" s="1" t="n"/>
      <c r="D1" s="1" t="n"/>
      <c r="E1" s="1" t="n"/>
      <c r="F1" s="1" t="n"/>
      <c r="G1" s="1" t="n"/>
      <c r="H1" s="1" t="n"/>
      <c r="I1" s="1" t="n"/>
      <c r="J1" s="1" t="n"/>
      <c r="K1" s="1" t="n"/>
      <c r="L1" s="1" t="n"/>
    </row>
    <row r="2" ht="28" customHeight="1">
      <c r="A2" s="14">
        <f>HYPERLINK("#'Start'!A1", "← BACK")</f>
        <v/>
      </c>
      <c r="B2" s="15" t="n"/>
      <c r="C2" s="15" t="n"/>
      <c r="D2" s="22" t="inlineStr">
        <is>
          <t>PER PROPERTY</t>
        </is>
      </c>
      <c r="J2" s="16">
        <f>HYPERLINK("#'Cap Rate Reference'!A1", "NEXT →")</f>
        <v/>
      </c>
      <c r="K2" s="17" t="n"/>
      <c r="L2" s="17" t="n"/>
    </row>
    <row r="3" ht="6" customHeight="1">
      <c r="A3" s="1" t="n"/>
      <c r="B3" s="1" t="n"/>
      <c r="C3" s="1" t="n"/>
      <c r="D3" s="1" t="n"/>
      <c r="E3" s="1" t="n"/>
      <c r="F3" s="1" t="n"/>
      <c r="G3" s="1" t="n"/>
      <c r="H3" s="1" t="n"/>
      <c r="I3" s="1" t="n"/>
      <c r="J3" s="1" t="n"/>
      <c r="K3" s="1" t="n"/>
      <c r="L3" s="1" t="n"/>
    </row>
    <row r="4" ht="18" customHeight="1">
      <c r="A4" s="23" t="inlineStr">
        <is>
          <t>Three methods averaged into final value column · capacity 10 properties</t>
        </is>
      </c>
    </row>
    <row r="6" ht="32" customHeight="1">
      <c r="A6" s="24" t="inlineStr">
        <is>
          <t>Property</t>
        </is>
      </c>
      <c r="B6" s="24" t="inlineStr">
        <is>
          <t>NOI YTD</t>
        </is>
      </c>
      <c r="C6" s="24" t="inlineStr">
        <is>
          <t>Cap rate</t>
        </is>
      </c>
      <c r="D6" s="24" t="inlineStr">
        <is>
          <t>M1: Cap×NOI</t>
        </is>
      </c>
      <c r="E6" s="24" t="inlineStr">
        <is>
          <t>Comp $/BR</t>
        </is>
      </c>
      <c r="F6" s="24" t="inlineStr">
        <is>
          <t>Beds</t>
        </is>
      </c>
      <c r="G6" s="24" t="inlineStr">
        <is>
          <t>Baths</t>
        </is>
      </c>
      <c r="H6" s="24" t="inlineStr">
        <is>
          <t>M2: Comp value</t>
        </is>
      </c>
      <c r="I6" s="24" t="inlineStr">
        <is>
          <t>Annual gross rent</t>
        </is>
      </c>
      <c r="J6" s="24" t="inlineStr">
        <is>
          <t>GRM</t>
        </is>
      </c>
      <c r="K6" s="24" t="inlineStr">
        <is>
          <t>M3: GRM×Rent</t>
        </is>
      </c>
      <c r="L6" s="24" t="inlineStr">
        <is>
          <t>Average value</t>
        </is>
      </c>
      <c r="M6" s="24" t="inlineStr">
        <is>
          <t>Loan balance</t>
        </is>
      </c>
      <c r="N6" s="24" t="inlineStr">
        <is>
          <t>Equity</t>
        </is>
      </c>
      <c r="O6" s="24" t="inlineStr">
        <is>
          <t>LTV</t>
        </is>
      </c>
    </row>
    <row r="7" ht="20" customHeight="1">
      <c r="A7" s="25">
        <f>Settings!B7</f>
        <v/>
      </c>
      <c r="B7" s="26" t="n">
        <v>42000</v>
      </c>
      <c r="C7" s="27">
        <f>IFERROR(VLOOKUP(Settings!C7,'Cap Rate Reference'!A7:B16,2,FALSE),0)</f>
        <v/>
      </c>
      <c r="D7" s="28">
        <f>IF(OR(B7="",C7=0,C7=""),"",B7/C7)</f>
        <v/>
      </c>
      <c r="E7" s="26" t="n">
        <v>195000</v>
      </c>
      <c r="F7" s="29" t="n">
        <v>3</v>
      </c>
      <c r="G7" s="30" t="n">
        <v>2</v>
      </c>
      <c r="H7" s="28">
        <f>IF(OR(E7="",F7=""),"",E7*F7*(1+MAX(0,G7-F7)*0.05))</f>
        <v/>
      </c>
      <c r="I7" s="26" t="n">
        <v>96000</v>
      </c>
      <c r="J7" s="31" t="n">
        <v>6.04</v>
      </c>
      <c r="K7" s="28">
        <f>IF(OR(I7="",J7=""),"",I7*J7)</f>
        <v/>
      </c>
      <c r="L7" s="32">
        <f>IFERROR(AVERAGE(IF(ISNUMBER(D7),D7),IF(ISNUMBER(H7),H7),IF(ISNUMBER(K7),K7)),"")</f>
        <v/>
      </c>
      <c r="M7" s="26" t="n">
        <v>364000</v>
      </c>
      <c r="N7" s="28">
        <f>IF(OR(L7="",M7=""),"",L7-M7)</f>
        <v/>
      </c>
      <c r="O7" s="33">
        <f>IF(OR(L7="",L7=0,M7=""),"",M7/L7)</f>
        <v/>
      </c>
    </row>
    <row r="8" ht="20" customHeight="1">
      <c r="A8" s="25">
        <f>Settings!B8</f>
        <v/>
      </c>
      <c r="B8" s="26" t="n">
        <v>48000</v>
      </c>
      <c r="C8" s="27">
        <f>IFERROR(VLOOKUP(Settings!C8,'Cap Rate Reference'!A7:B16,2,FALSE),0)</f>
        <v/>
      </c>
      <c r="D8" s="28">
        <f>IF(OR(B8="",C8=0,C8=""),"",B8/C8)</f>
        <v/>
      </c>
      <c r="E8" s="26" t="n">
        <v>240000</v>
      </c>
      <c r="F8" s="29" t="n">
        <v>3</v>
      </c>
      <c r="G8" s="30" t="n">
        <v>2.5</v>
      </c>
      <c r="H8" s="28">
        <f>IF(OR(E8="",F8=""),"",E8*F8*(1+MAX(0,G8-F8)*0.05))</f>
        <v/>
      </c>
      <c r="I8" s="26" t="n">
        <v>110000</v>
      </c>
      <c r="J8" s="31" t="n">
        <v>6.55</v>
      </c>
      <c r="K8" s="28">
        <f>IF(OR(I8="",J8=""),"",I8*J8)</f>
        <v/>
      </c>
      <c r="L8" s="32">
        <f>IFERROR(AVERAGE(IF(ISNUMBER(D8),D8),IF(ISNUMBER(H8),H8),IF(ISNUMBER(K8),K8)),"")</f>
        <v/>
      </c>
      <c r="M8" s="26" t="n">
        <v>469000</v>
      </c>
      <c r="N8" s="28">
        <f>IF(OR(L8="",M8=""),"",L8-M8)</f>
        <v/>
      </c>
      <c r="O8" s="33">
        <f>IF(OR(L8="",L8=0,M8=""),"",M8/L8)</f>
        <v/>
      </c>
    </row>
    <row r="9" ht="20" customHeight="1">
      <c r="A9" s="25">
        <f>Settings!B9</f>
        <v/>
      </c>
      <c r="B9" s="26" t="n">
        <v>34000</v>
      </c>
      <c r="C9" s="27">
        <f>IFERROR(VLOOKUP(Settings!C9,'Cap Rate Reference'!A7:B16,2,FALSE),0)</f>
        <v/>
      </c>
      <c r="D9" s="28">
        <f>IF(OR(B9="",C9=0,C9=""),"",B9/C9)</f>
        <v/>
      </c>
      <c r="E9" s="26" t="n">
        <v>150000</v>
      </c>
      <c r="F9" s="29" t="n">
        <v>3</v>
      </c>
      <c r="G9" s="30" t="n">
        <v>2</v>
      </c>
      <c r="H9" s="28">
        <f>IF(OR(E9="",F9=""),"",E9*F9*(1+MAX(0,G9-F9)*0.05))</f>
        <v/>
      </c>
      <c r="I9" s="26" t="n">
        <v>78000</v>
      </c>
      <c r="J9" s="31" t="n">
        <v>5.64</v>
      </c>
      <c r="K9" s="28">
        <f>IF(OR(I9="",J9=""),"",I9*J9)</f>
        <v/>
      </c>
      <c r="L9" s="32">
        <f>IFERROR(AVERAGE(IF(ISNUMBER(D9),D9),IF(ISNUMBER(H9),H9),IF(ISNUMBER(K9),K9)),"")</f>
        <v/>
      </c>
      <c r="M9" s="26" t="n">
        <v>270000</v>
      </c>
      <c r="N9" s="28">
        <f>IF(OR(L9="",M9=""),"",L9-M9)</f>
        <v/>
      </c>
      <c r="O9" s="33">
        <f>IF(OR(L9="",L9=0,M9=""),"",M9/L9)</f>
        <v/>
      </c>
    </row>
    <row r="10" ht="20" customHeight="1">
      <c r="A10" s="25">
        <f>Settings!B10</f>
        <v/>
      </c>
      <c r="B10" s="26" t="n"/>
      <c r="C10" s="27">
        <f>IFERROR(VLOOKUP(Settings!C10,'Cap Rate Reference'!A7:B16,2,FALSE),0)</f>
        <v/>
      </c>
      <c r="D10" s="28">
        <f>IF(OR(B10="",C10=0,C10=""),"",B10/C10)</f>
        <v/>
      </c>
      <c r="E10" s="26" t="n"/>
      <c r="F10" s="29" t="n"/>
      <c r="G10" s="30" t="n"/>
      <c r="H10" s="28">
        <f>IF(OR(E10="",F10=""),"",E10*F10*(1+MAX(0,G10-F10)*0.05))</f>
        <v/>
      </c>
      <c r="I10" s="26" t="n"/>
      <c r="J10" s="31" t="n"/>
      <c r="K10" s="28">
        <f>IF(OR(I10="",J10=""),"",I10*J10)</f>
        <v/>
      </c>
      <c r="L10" s="32">
        <f>IFERROR(AVERAGE(IF(ISNUMBER(D10),D10),IF(ISNUMBER(H10),H10),IF(ISNUMBER(K10),K10)),"")</f>
        <v/>
      </c>
      <c r="M10" s="26" t="n"/>
      <c r="N10" s="28">
        <f>IF(OR(L10="",M10=""),"",L10-M10)</f>
        <v/>
      </c>
      <c r="O10" s="33">
        <f>IF(OR(L10="",L10=0,M10=""),"",M10/L10)</f>
        <v/>
      </c>
    </row>
    <row r="11" ht="20" customHeight="1">
      <c r="A11" s="25">
        <f>Settings!B11</f>
        <v/>
      </c>
      <c r="B11" s="26" t="n"/>
      <c r="C11" s="27">
        <f>IFERROR(VLOOKUP(Settings!C11,'Cap Rate Reference'!A7:B16,2,FALSE),0)</f>
        <v/>
      </c>
      <c r="D11" s="28">
        <f>IF(OR(B11="",C11=0,C11=""),"",B11/C11)</f>
        <v/>
      </c>
      <c r="E11" s="26" t="n"/>
      <c r="F11" s="29" t="n"/>
      <c r="G11" s="30" t="n"/>
      <c r="H11" s="28">
        <f>IF(OR(E11="",F11=""),"",E11*F11*(1+MAX(0,G11-F11)*0.05))</f>
        <v/>
      </c>
      <c r="I11" s="26" t="n"/>
      <c r="J11" s="31" t="n"/>
      <c r="K11" s="28">
        <f>IF(OR(I11="",J11=""),"",I11*J11)</f>
        <v/>
      </c>
      <c r="L11" s="32">
        <f>IFERROR(AVERAGE(IF(ISNUMBER(D11),D11),IF(ISNUMBER(H11),H11),IF(ISNUMBER(K11),K11)),"")</f>
        <v/>
      </c>
      <c r="M11" s="26" t="n"/>
      <c r="N11" s="28">
        <f>IF(OR(L11="",M11=""),"",L11-M11)</f>
        <v/>
      </c>
      <c r="O11" s="33">
        <f>IF(OR(L11="",L11=0,M11=""),"",M11/L11)</f>
        <v/>
      </c>
    </row>
    <row r="12" ht="20" customHeight="1">
      <c r="A12" s="25">
        <f>Settings!B12</f>
        <v/>
      </c>
      <c r="B12" s="26" t="n"/>
      <c r="C12" s="27">
        <f>IFERROR(VLOOKUP(Settings!C12,'Cap Rate Reference'!A7:B16,2,FALSE),0)</f>
        <v/>
      </c>
      <c r="D12" s="28">
        <f>IF(OR(B12="",C12=0,C12=""),"",B12/C12)</f>
        <v/>
      </c>
      <c r="E12" s="26" t="n"/>
      <c r="F12" s="29" t="n"/>
      <c r="G12" s="30" t="n"/>
      <c r="H12" s="28">
        <f>IF(OR(E12="",F12=""),"",E12*F12*(1+MAX(0,G12-F12)*0.05))</f>
        <v/>
      </c>
      <c r="I12" s="26" t="n"/>
      <c r="J12" s="31" t="n"/>
      <c r="K12" s="28">
        <f>IF(OR(I12="",J12=""),"",I12*J12)</f>
        <v/>
      </c>
      <c r="L12" s="32">
        <f>IFERROR(AVERAGE(IF(ISNUMBER(D12),D12),IF(ISNUMBER(H12),H12),IF(ISNUMBER(K12),K12)),"")</f>
        <v/>
      </c>
      <c r="M12" s="26" t="n"/>
      <c r="N12" s="28">
        <f>IF(OR(L12="",M12=""),"",L12-M12)</f>
        <v/>
      </c>
      <c r="O12" s="33">
        <f>IF(OR(L12="",L12=0,M12=""),"",M12/L12)</f>
        <v/>
      </c>
    </row>
    <row r="13" ht="20" customHeight="1">
      <c r="A13" s="25">
        <f>Settings!B13</f>
        <v/>
      </c>
      <c r="B13" s="26" t="n"/>
      <c r="C13" s="27">
        <f>IFERROR(VLOOKUP(Settings!C13,'Cap Rate Reference'!A7:B16,2,FALSE),0)</f>
        <v/>
      </c>
      <c r="D13" s="28">
        <f>IF(OR(B13="",C13=0,C13=""),"",B13/C13)</f>
        <v/>
      </c>
      <c r="E13" s="26" t="n"/>
      <c r="F13" s="29" t="n"/>
      <c r="G13" s="30" t="n"/>
      <c r="H13" s="28">
        <f>IF(OR(E13="",F13=""),"",E13*F13*(1+MAX(0,G13-F13)*0.05))</f>
        <v/>
      </c>
      <c r="I13" s="26" t="n"/>
      <c r="J13" s="31" t="n"/>
      <c r="K13" s="28">
        <f>IF(OR(I13="",J13=""),"",I13*J13)</f>
        <v/>
      </c>
      <c r="L13" s="32">
        <f>IFERROR(AVERAGE(IF(ISNUMBER(D13),D13),IF(ISNUMBER(H13),H13),IF(ISNUMBER(K13),K13)),"")</f>
        <v/>
      </c>
      <c r="M13" s="26" t="n"/>
      <c r="N13" s="28">
        <f>IF(OR(L13="",M13=""),"",L13-M13)</f>
        <v/>
      </c>
      <c r="O13" s="33">
        <f>IF(OR(L13="",L13=0,M13=""),"",M13/L13)</f>
        <v/>
      </c>
    </row>
    <row r="14" ht="20" customHeight="1">
      <c r="A14" s="25">
        <f>Settings!B14</f>
        <v/>
      </c>
      <c r="B14" s="26" t="n"/>
      <c r="C14" s="27">
        <f>IFERROR(VLOOKUP(Settings!C14,'Cap Rate Reference'!A7:B16,2,FALSE),0)</f>
        <v/>
      </c>
      <c r="D14" s="28">
        <f>IF(OR(B14="",C14=0,C14=""),"",B14/C14)</f>
        <v/>
      </c>
      <c r="E14" s="26" t="n"/>
      <c r="F14" s="29" t="n"/>
      <c r="G14" s="30" t="n"/>
      <c r="H14" s="28">
        <f>IF(OR(E14="",F14=""),"",E14*F14*(1+MAX(0,G14-F14)*0.05))</f>
        <v/>
      </c>
      <c r="I14" s="26" t="n"/>
      <c r="J14" s="31" t="n"/>
      <c r="K14" s="28">
        <f>IF(OR(I14="",J14=""),"",I14*J14)</f>
        <v/>
      </c>
      <c r="L14" s="32">
        <f>IFERROR(AVERAGE(IF(ISNUMBER(D14),D14),IF(ISNUMBER(H14),H14),IF(ISNUMBER(K14),K14)),"")</f>
        <v/>
      </c>
      <c r="M14" s="26" t="n"/>
      <c r="N14" s="28">
        <f>IF(OR(L14="",M14=""),"",L14-M14)</f>
        <v/>
      </c>
      <c r="O14" s="33">
        <f>IF(OR(L14="",L14=0,M14=""),"",M14/L14)</f>
        <v/>
      </c>
    </row>
    <row r="15" ht="20" customHeight="1">
      <c r="A15" s="25">
        <f>Settings!B15</f>
        <v/>
      </c>
      <c r="B15" s="26" t="n"/>
      <c r="C15" s="27">
        <f>IFERROR(VLOOKUP(Settings!C15,'Cap Rate Reference'!A7:B16,2,FALSE),0)</f>
        <v/>
      </c>
      <c r="D15" s="28">
        <f>IF(OR(B15="",C15=0,C15=""),"",B15/C15)</f>
        <v/>
      </c>
      <c r="E15" s="26" t="n"/>
      <c r="F15" s="29" t="n"/>
      <c r="G15" s="30" t="n"/>
      <c r="H15" s="28">
        <f>IF(OR(E15="",F15=""),"",E15*F15*(1+MAX(0,G15-F15)*0.05))</f>
        <v/>
      </c>
      <c r="I15" s="26" t="n"/>
      <c r="J15" s="31" t="n"/>
      <c r="K15" s="28">
        <f>IF(OR(I15="",J15=""),"",I15*J15)</f>
        <v/>
      </c>
      <c r="L15" s="32">
        <f>IFERROR(AVERAGE(IF(ISNUMBER(D15),D15),IF(ISNUMBER(H15),H15),IF(ISNUMBER(K15),K15)),"")</f>
        <v/>
      </c>
      <c r="M15" s="26" t="n"/>
      <c r="N15" s="28">
        <f>IF(OR(L15="",M15=""),"",L15-M15)</f>
        <v/>
      </c>
      <c r="O15" s="33">
        <f>IF(OR(L15="",L15=0,M15=""),"",M15/L15)</f>
        <v/>
      </c>
    </row>
    <row r="16" ht="20" customHeight="1">
      <c r="A16" s="25">
        <f>Settings!B16</f>
        <v/>
      </c>
      <c r="B16" s="26" t="n"/>
      <c r="C16" s="27">
        <f>IFERROR(VLOOKUP(Settings!C16,'Cap Rate Reference'!A7:B16,2,FALSE),0)</f>
        <v/>
      </c>
      <c r="D16" s="28">
        <f>IF(OR(B16="",C16=0,C16=""),"",B16/C16)</f>
        <v/>
      </c>
      <c r="E16" s="26" t="n"/>
      <c r="F16" s="29" t="n"/>
      <c r="G16" s="30" t="n"/>
      <c r="H16" s="28">
        <f>IF(OR(E16="",F16=""),"",E16*F16*(1+MAX(0,G16-F16)*0.05))</f>
        <v/>
      </c>
      <c r="I16" s="26" t="n"/>
      <c r="J16" s="31" t="n"/>
      <c r="K16" s="28">
        <f>IF(OR(I16="",J16=""),"",I16*J16)</f>
        <v/>
      </c>
      <c r="L16" s="32">
        <f>IFERROR(AVERAGE(IF(ISNUMBER(D16),D16),IF(ISNUMBER(H16),H16),IF(ISNUMBER(K16),K16)),"")</f>
        <v/>
      </c>
      <c r="M16" s="26" t="n"/>
      <c r="N16" s="28">
        <f>IF(OR(L16="",M16=""),"",L16-M16)</f>
        <v/>
      </c>
      <c r="O16" s="33">
        <f>IF(OR(L16="",L16=0,M16=""),"",M16/L16)</f>
        <v/>
      </c>
    </row>
    <row r="17" ht="24" customHeight="1">
      <c r="A17" s="34" t="inlineStr">
        <is>
          <t>PORTFOLIO TOTAL</t>
        </is>
      </c>
      <c r="B17" s="1" t="n"/>
      <c r="C17" s="1" t="n"/>
      <c r="D17" s="1" t="n"/>
      <c r="E17" s="1" t="n"/>
      <c r="F17" s="1" t="n"/>
      <c r="G17" s="1" t="n"/>
      <c r="H17" s="1" t="n"/>
      <c r="I17" s="1" t="n"/>
      <c r="J17" s="1" t="n"/>
      <c r="K17" s="1" t="n"/>
      <c r="L17" s="35">
        <f>SUMIF(L7:L16,"&lt;&gt;")</f>
        <v/>
      </c>
      <c r="M17" s="36">
        <f>SUM(M7:M16)</f>
        <v/>
      </c>
      <c r="N17" s="35">
        <f>SUMIF(N7:N16,"&lt;&gt;")</f>
        <v/>
      </c>
      <c r="O17" s="37">
        <f>IFERROR(M17/L17,0)</f>
        <v/>
      </c>
    </row>
    <row r="20">
      <c r="A20" s="19" t="n"/>
      <c r="B20" s="19" t="n"/>
      <c r="C20" s="19" t="n"/>
      <c r="D20" s="19" t="n"/>
      <c r="E20" s="19" t="n"/>
      <c r="F20" s="19" t="n"/>
      <c r="G20" s="19" t="n"/>
      <c r="H20" s="19" t="n"/>
      <c r="I20" s="19" t="n"/>
      <c r="J20" s="19" t="n"/>
      <c r="K20" s="19" t="n"/>
      <c r="L20" s="19" t="n"/>
    </row>
    <row r="21" ht="18" customHeight="1">
      <c r="A21" s="20" t="inlineStr">
        <is>
          <t>Questions? hello@thestrledger.com</t>
        </is>
      </c>
    </row>
    <row r="22" ht="18" customHeight="1">
      <c r="A22" s="21" t="inlineStr">
        <is>
          <t>STR-002 · Per Property</t>
        </is>
      </c>
    </row>
  </sheetData>
  <mergeCells count="6">
    <mergeCell ref="J2:L2"/>
    <mergeCell ref="D2:I2"/>
    <mergeCell ref="A22:L22"/>
    <mergeCell ref="A21:L21"/>
    <mergeCell ref="A2:C2"/>
    <mergeCell ref="A4:L4"/>
  </mergeCells>
  <pageMargins left="0.4" right="0.4" top="0.5" bottom="0.5" header="0.5" footer="0.5"/>
  <pageSetup orientation="landscape" paperSize="1" fitToHeight="1" fitToWidth="1"/>
</worksheet>
</file>

<file path=xl/worksheets/sheet3.xml><?xml version="1.0" encoding="utf-8"?>
<worksheet xmlns="http://schemas.openxmlformats.org/spreadsheetml/2006/main">
  <sheetPr>
    <tabColor rgb="00E2C884"/>
    <outlinePr summaryBelow="1" summaryRight="1"/>
    <pageSetUpPr/>
  </sheetPr>
  <dimension ref="A1:L28"/>
  <sheetViews>
    <sheetView workbookViewId="0">
      <selection activeCell="A1" sqref="A1"/>
    </sheetView>
  </sheetViews>
  <sheetFormatPr baseColWidth="8" defaultRowHeight="15"/>
  <cols>
    <col width="28" customWidth="1" min="1" max="1"/>
    <col width="14" customWidth="1" min="2" max="2"/>
    <col width="4" customWidth="1" min="3" max="3"/>
    <col width="12" customWidth="1" min="4" max="4"/>
    <col width="12"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4">
        <f>HYPERLINK("#'Per Property'!A1", "← BACK")</f>
        <v/>
      </c>
      <c r="B2" s="15" t="n"/>
      <c r="C2" s="15" t="n"/>
      <c r="D2" s="22" t="inlineStr">
        <is>
          <t>CAP RATE REFERENCE</t>
        </is>
      </c>
      <c r="J2" s="16">
        <f>HYPERLINK("#'Equity Summary'!A1", "NEXT →")</f>
        <v/>
      </c>
      <c r="K2" s="17" t="n"/>
      <c r="L2" s="17" t="n"/>
    </row>
    <row r="3" ht="6" customHeight="1">
      <c r="A3" s="1" t="n"/>
      <c r="B3" s="1" t="n"/>
      <c r="C3" s="1" t="n"/>
      <c r="D3" s="1" t="n"/>
      <c r="E3" s="1" t="n"/>
      <c r="F3" s="1" t="n"/>
      <c r="G3" s="1" t="n"/>
      <c r="H3" s="1" t="n"/>
      <c r="I3" s="1" t="n"/>
      <c r="J3" s="1" t="n"/>
      <c r="K3" s="1" t="n"/>
      <c r="L3" s="1" t="n"/>
    </row>
    <row r="4" ht="18" customHeight="1">
      <c r="A4" s="23" t="inlineStr">
        <is>
          <t>Edit ranges per your actual market — Per Property tab VLOOKUPs against this table.</t>
        </is>
      </c>
    </row>
    <row r="6" ht="22" customHeight="1">
      <c r="A6" s="38" t="inlineStr">
        <is>
          <t>Market type</t>
        </is>
      </c>
      <c r="B6" s="38" t="inlineStr">
        <is>
          <t>Cap rate</t>
        </is>
      </c>
      <c r="D6" s="38" t="inlineStr">
        <is>
          <t>Range low</t>
        </is>
      </c>
      <c r="E6" s="38" t="inlineStr">
        <is>
          <t>Range high</t>
        </is>
      </c>
    </row>
    <row r="7" ht="20" customHeight="1">
      <c r="A7" s="39" t="inlineStr">
        <is>
          <t>Mountain resort STR</t>
        </is>
      </c>
      <c r="B7" s="40" t="n">
        <v>0.075</v>
      </c>
      <c r="D7" s="40" t="n">
        <v>0.06</v>
      </c>
      <c r="E7" s="40" t="n">
        <v>0.08</v>
      </c>
    </row>
    <row r="8" ht="20" customHeight="1">
      <c r="A8" s="39" t="inlineStr">
        <is>
          <t>Beach STR</t>
        </is>
      </c>
      <c r="B8" s="40" t="n">
        <v>0.07000000000000001</v>
      </c>
      <c r="D8" s="40" t="n">
        <v>0.07000000000000001</v>
      </c>
      <c r="E8" s="40" t="n">
        <v>0.09</v>
      </c>
    </row>
    <row r="9" ht="20" customHeight="1">
      <c r="A9" s="39" t="inlineStr">
        <is>
          <t>Urban STR</t>
        </is>
      </c>
      <c r="B9" s="40" t="n">
        <v>0.09</v>
      </c>
      <c r="D9" s="40" t="n">
        <v>0.08</v>
      </c>
      <c r="E9" s="40" t="n">
        <v>0.1</v>
      </c>
    </row>
    <row r="10" ht="20" customHeight="1">
      <c r="A10" s="39" t="inlineStr">
        <is>
          <t>Rural / cabin</t>
        </is>
      </c>
      <c r="B10" s="40" t="n">
        <v>0.08</v>
      </c>
      <c r="D10" s="40" t="n">
        <v>0.08</v>
      </c>
      <c r="E10" s="40" t="n">
        <v>0.12</v>
      </c>
    </row>
    <row r="11" ht="20" customHeight="1">
      <c r="A11" s="39" t="n"/>
      <c r="B11" s="40" t="n"/>
      <c r="D11" s="40" t="n"/>
      <c r="E11" s="40" t="n"/>
    </row>
    <row r="12" ht="20" customHeight="1">
      <c r="A12" s="39" t="n"/>
      <c r="B12" s="40" t="n"/>
      <c r="D12" s="40" t="n"/>
      <c r="E12" s="40" t="n"/>
    </row>
    <row r="13" ht="20" customHeight="1">
      <c r="A13" s="39" t="n"/>
      <c r="B13" s="40" t="n"/>
      <c r="D13" s="40" t="n"/>
      <c r="E13" s="40" t="n"/>
    </row>
    <row r="14" ht="20" customHeight="1">
      <c r="A14" s="39" t="n"/>
      <c r="B14" s="40" t="n"/>
      <c r="D14" s="40" t="n"/>
      <c r="E14" s="40" t="n"/>
    </row>
    <row r="15" ht="20" customHeight="1">
      <c r="A15" s="39" t="n"/>
      <c r="B15" s="40" t="n"/>
      <c r="D15" s="40" t="n"/>
      <c r="E15" s="40" t="n"/>
    </row>
    <row r="16" ht="20" customHeight="1">
      <c r="A16" s="39" t="n"/>
      <c r="B16" s="40" t="n"/>
      <c r="D16" s="40" t="n"/>
      <c r="E16" s="40" t="n"/>
    </row>
    <row r="19" ht="20" customHeight="1">
      <c r="A19" s="41" t="inlineStr">
        <is>
          <t>WHY THESE RANGES?</t>
        </is>
      </c>
    </row>
    <row r="20" ht="18" customHeight="1">
      <c r="A20" s="42" t="inlineStr">
        <is>
          <t>STR cap rates run higher than long-term rentals because operating risk is higher and revenue is more volatile. Mountain/beach resort markets compress to 6-8% (institutional appetite); urban and rural stay in the 8-12% zone (thinner buyer pool). When in doubt, ask a local STR-savvy commercial broker for a recent comp sale and back-solve the cap from their NOI.</t>
        </is>
      </c>
    </row>
    <row r="21" ht="18" customHeight="1"/>
    <row r="22" ht="18" customHeight="1"/>
    <row r="23" ht="18" customHeight="1"/>
    <row r="26">
      <c r="A26" s="19" t="n"/>
      <c r="B26" s="19" t="n"/>
      <c r="C26" s="19" t="n"/>
      <c r="D26" s="19" t="n"/>
      <c r="E26" s="19" t="n"/>
      <c r="F26" s="19" t="n"/>
      <c r="G26" s="19" t="n"/>
      <c r="H26" s="19" t="n"/>
      <c r="I26" s="19" t="n"/>
      <c r="J26" s="19" t="n"/>
      <c r="K26" s="19" t="n"/>
      <c r="L26" s="19" t="n"/>
    </row>
    <row r="27" ht="18" customHeight="1">
      <c r="A27" s="20" t="inlineStr">
        <is>
          <t>Questions? hello@thestrledger.com</t>
        </is>
      </c>
    </row>
    <row r="28" ht="18" customHeight="1">
      <c r="A28" s="21" t="inlineStr">
        <is>
          <t>STR-002 · Cap Rate Reference</t>
        </is>
      </c>
    </row>
  </sheetData>
  <mergeCells count="8">
    <mergeCell ref="J2:L2"/>
    <mergeCell ref="D2:I2"/>
    <mergeCell ref="A20:L23"/>
    <mergeCell ref="A19:L19"/>
    <mergeCell ref="A28:L28"/>
    <mergeCell ref="A27:L27"/>
    <mergeCell ref="A2:C2"/>
    <mergeCell ref="A4:L4"/>
  </mergeCells>
  <pageMargins left="0.75" right="0.75" top="1" bottom="1" header="0.5" footer="0.5"/>
</worksheet>
</file>

<file path=xl/worksheets/sheet4.xml><?xml version="1.0" encoding="utf-8"?>
<worksheet xmlns="http://schemas.openxmlformats.org/spreadsheetml/2006/main">
  <sheetPr>
    <tabColor rgb="00C9A24B"/>
    <outlinePr summaryBelow="1" summaryRight="1"/>
    <pageSetUpPr fitToPage="1"/>
  </sheetPr>
  <dimension ref="A1:L29"/>
  <sheetViews>
    <sheetView workbookViewId="0">
      <selection activeCell="A1" sqref="A1"/>
    </sheetView>
  </sheetViews>
  <sheetFormatPr baseColWidth="8" defaultRowHeight="15"/>
  <cols>
    <col width="4" customWidth="1" min="1" max="1"/>
    <col width="30" customWidth="1" min="2" max="2"/>
    <col width="18" customWidth="1" min="3" max="3"/>
    <col width="4" customWidth="1" min="4" max="4"/>
    <col width="22" customWidth="1" min="5" max="5"/>
    <col width="16"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4">
        <f>HYPERLINK("#'Cap Rate Reference'!A1", "← BACK")</f>
        <v/>
      </c>
      <c r="B2" s="15" t="n"/>
      <c r="C2" s="15" t="n"/>
      <c r="D2" s="22" t="inlineStr">
        <is>
          <t>EQUITY SUMMARY</t>
        </is>
      </c>
      <c r="J2" s="16">
        <f>HYPERLINK("#'Settings'!A1", "NEXT →")</f>
        <v/>
      </c>
      <c r="K2" s="17" t="n"/>
      <c r="L2" s="17" t="n"/>
    </row>
    <row r="3" ht="6" customHeight="1">
      <c r="A3" s="1" t="n"/>
      <c r="B3" s="1" t="n"/>
      <c r="C3" s="1" t="n"/>
      <c r="D3" s="1" t="n"/>
      <c r="E3" s="1" t="n"/>
      <c r="F3" s="1" t="n"/>
      <c r="G3" s="1" t="n"/>
      <c r="H3" s="1" t="n"/>
      <c r="I3" s="1" t="n"/>
      <c r="J3" s="1" t="n"/>
      <c r="K3" s="1" t="n"/>
      <c r="L3" s="1" t="n"/>
    </row>
    <row r="4" ht="18" customHeight="1">
      <c r="A4" s="23" t="inlineStr">
        <is>
          <t>Roll-up of value, debt, equity, and LTV — plus per-property equity pie chart.</t>
        </is>
      </c>
    </row>
    <row r="6" ht="24" customHeight="1">
      <c r="A6" s="43" t="inlineStr">
        <is>
          <t>PORTFOLIO ROLL-UP</t>
        </is>
      </c>
    </row>
    <row r="7" ht="22" customHeight="1">
      <c r="B7" s="44" t="inlineStr">
        <is>
          <t>Total portfolio market value:</t>
        </is>
      </c>
      <c r="C7" s="45">
        <f>'Per Property'!L17</f>
        <v/>
      </c>
    </row>
    <row r="8" ht="18" customHeight="1">
      <c r="B8" s="46" t="inlineStr">
        <is>
          <t>Total loan balances:</t>
        </is>
      </c>
      <c r="C8" s="47">
        <f>'Per Property'!M17</f>
        <v/>
      </c>
    </row>
    <row r="9" ht="22" customHeight="1">
      <c r="B9" s="44" t="inlineStr">
        <is>
          <t>Total equity:</t>
        </is>
      </c>
      <c r="C9" s="45">
        <f>'Per Property'!N17</f>
        <v/>
      </c>
    </row>
    <row r="10" ht="18" customHeight="1">
      <c r="B10" s="46" t="inlineStr">
        <is>
          <t>Portfolio LTV:</t>
        </is>
      </c>
      <c r="C10" s="33">
        <f>'Per Property'!O17</f>
        <v/>
      </c>
    </row>
    <row r="12" ht="24" customHeight="1">
      <c r="E12" s="38" t="inlineStr">
        <is>
          <t>Property</t>
        </is>
      </c>
      <c r="F12" s="38" t="inlineStr">
        <is>
          <t>Equity</t>
        </is>
      </c>
    </row>
    <row r="13" ht="18" customHeight="1">
      <c r="E13" s="25">
        <f>Settings!B7</f>
        <v/>
      </c>
      <c r="F13" s="28">
        <f>IFERROR(IF('Per Property'!N13="",0,'Per Property'!N13),0)</f>
        <v/>
      </c>
    </row>
    <row r="14" ht="18" customHeight="1">
      <c r="E14" s="25">
        <f>Settings!B8</f>
        <v/>
      </c>
      <c r="F14" s="28">
        <f>IFERROR(IF('Per Property'!N14="",0,'Per Property'!N14),0)</f>
        <v/>
      </c>
    </row>
    <row r="15" ht="18" customHeight="1">
      <c r="E15" s="25">
        <f>Settings!B9</f>
        <v/>
      </c>
      <c r="F15" s="28">
        <f>IFERROR(IF('Per Property'!N15="",0,'Per Property'!N15),0)</f>
        <v/>
      </c>
    </row>
    <row r="16" ht="18" customHeight="1">
      <c r="E16" s="25">
        <f>Settings!B10</f>
        <v/>
      </c>
      <c r="F16" s="28">
        <f>IFERROR(IF('Per Property'!N16="",0,'Per Property'!N16),0)</f>
        <v/>
      </c>
    </row>
    <row r="17" ht="18" customHeight="1">
      <c r="E17" s="25">
        <f>Settings!B11</f>
        <v/>
      </c>
      <c r="F17" s="28">
        <f>IFERROR(IF('Per Property'!N17="",0,'Per Property'!N17),0)</f>
        <v/>
      </c>
    </row>
    <row r="18" ht="18" customHeight="1">
      <c r="E18" s="25">
        <f>Settings!B12</f>
        <v/>
      </c>
      <c r="F18" s="28">
        <f>IFERROR(IF('Per Property'!N18="",0,'Per Property'!N18),0)</f>
        <v/>
      </c>
    </row>
    <row r="19" ht="18" customHeight="1">
      <c r="E19" s="25">
        <f>Settings!B13</f>
        <v/>
      </c>
      <c r="F19" s="28">
        <f>IFERROR(IF('Per Property'!N19="",0,'Per Property'!N19),0)</f>
        <v/>
      </c>
    </row>
    <row r="20" ht="20" customHeight="1">
      <c r="A20" s="41" t="inlineStr">
        <is>
          <t>VALUATION METHODS</t>
        </is>
      </c>
    </row>
    <row r="21" ht="18" customHeight="1">
      <c r="A21" s="42" t="inlineStr">
        <is>
          <t>Method 1 — Income (Cap × NOI): NOI ÷ market cap rate. The number a buyer with a calculator runs.   Method 2 — Sales comparison ($/BR × beds, half-bath premium): the number a residential agent runs.   Method 3 — Gross Rent Multiplier (rent × GRM): the back-of-the-envelope an experienced STR investor runs. The three averaged is your defensible valuation — when one method is wildly off, dig in before quoting it.</t>
        </is>
      </c>
    </row>
    <row r="22" ht="18" customHeight="1"/>
    <row r="23" ht="18" customHeight="1"/>
    <row r="24" ht="18" customHeight="1"/>
    <row r="27">
      <c r="A27" s="19" t="n"/>
      <c r="B27" s="19" t="n"/>
      <c r="C27" s="19" t="n"/>
      <c r="D27" s="19" t="n"/>
      <c r="E27" s="19" t="n"/>
      <c r="F27" s="19" t="n"/>
      <c r="G27" s="19" t="n"/>
      <c r="H27" s="19" t="n"/>
      <c r="I27" s="19" t="n"/>
      <c r="J27" s="19" t="n"/>
      <c r="K27" s="19" t="n"/>
      <c r="L27" s="19" t="n"/>
    </row>
    <row r="28" ht="18" customHeight="1">
      <c r="A28" s="20" t="inlineStr">
        <is>
          <t>Questions? hello@thestrledger.com</t>
        </is>
      </c>
    </row>
    <row r="29" ht="18" customHeight="1">
      <c r="A29" s="21" t="inlineStr">
        <is>
          <t>STR-002 · Equity Summary</t>
        </is>
      </c>
    </row>
  </sheetData>
  <mergeCells count="9">
    <mergeCell ref="A20:L20"/>
    <mergeCell ref="A21:L24"/>
    <mergeCell ref="J2:L2"/>
    <mergeCell ref="D2:I2"/>
    <mergeCell ref="A29:L29"/>
    <mergeCell ref="A28:L28"/>
    <mergeCell ref="A6:L6"/>
    <mergeCell ref="A2:C2"/>
    <mergeCell ref="A4:L4"/>
  </mergeCells>
  <pageMargins left="0.4" right="0.4" top="0.5" bottom="0.5" header="0.5" footer="0.5"/>
  <pageSetup orientation="landscape" paperSize="1" fitToHeight="1" fitToWidth="1"/>
  <drawing xmlns:r="http://schemas.openxmlformats.org/officeDocument/2006/relationships" r:id="rId1"/>
</worksheet>
</file>

<file path=xl/worksheets/sheet5.xml><?xml version="1.0" encoding="utf-8"?>
<worksheet xmlns="http://schemas.openxmlformats.org/spreadsheetml/2006/main">
  <sheetPr>
    <tabColor rgb="00EFE5D0"/>
    <outlinePr summaryBelow="1" summaryRight="1"/>
    <pageSetUpPr/>
  </sheetPr>
  <dimension ref="A1:L29"/>
  <sheetViews>
    <sheetView workbookViewId="0">
      <selection activeCell="A1" sqref="A1"/>
    </sheetView>
  </sheetViews>
  <sheetFormatPr baseColWidth="8" defaultRowHeight="15"/>
  <cols>
    <col width="4" customWidth="1" min="1" max="1"/>
    <col width="26" customWidth="1" min="2" max="2"/>
    <col width="26" customWidth="1" min="3" max="3"/>
    <col width="4" customWidth="1" min="4" max="4"/>
    <col width="3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4">
        <f>HYPERLINK("#'Equity Summary'!A1", "← BACK")</f>
        <v/>
      </c>
      <c r="B2" s="15" t="n"/>
      <c r="C2" s="15" t="n"/>
      <c r="D2" s="22" t="inlineStr">
        <is>
          <t>SETTINGS</t>
        </is>
      </c>
    </row>
    <row r="3" ht="6" customHeight="1">
      <c r="A3" s="1" t="n"/>
      <c r="B3" s="1" t="n"/>
      <c r="C3" s="1" t="n"/>
      <c r="D3" s="1" t="n"/>
      <c r="E3" s="1" t="n"/>
      <c r="F3" s="1" t="n"/>
      <c r="G3" s="1" t="n"/>
      <c r="H3" s="1" t="n"/>
      <c r="I3" s="1" t="n"/>
      <c r="J3" s="1" t="n"/>
      <c r="K3" s="1" t="n"/>
      <c r="L3" s="1" t="n"/>
    </row>
    <row r="4" ht="18" customHeight="1">
      <c r="A4" s="23" t="inlineStr">
        <is>
          <t>Property roster, valuation date, and market types — single source of truth.</t>
        </is>
      </c>
    </row>
    <row r="5" ht="22" customHeight="1">
      <c r="B5" s="46" t="inlineStr">
        <is>
          <t>Valuation date:</t>
        </is>
      </c>
      <c r="C5" s="29" t="n">
        <v>2026</v>
      </c>
    </row>
    <row r="6" ht="22" customHeight="1">
      <c r="B6" s="38" t="inlineStr">
        <is>
          <t>Property name</t>
        </is>
      </c>
      <c r="C6" s="38" t="inlineStr">
        <is>
          <t>Market type</t>
        </is>
      </c>
    </row>
    <row r="7" ht="20" customHeight="1">
      <c r="B7" s="39" t="inlineStr">
        <is>
          <t>Smokies Ridge</t>
        </is>
      </c>
      <c r="C7" s="39" t="inlineStr">
        <is>
          <t>Mountain resort STR</t>
        </is>
      </c>
    </row>
    <row r="8" ht="20" customHeight="1">
      <c r="B8" s="39" t="inlineStr">
        <is>
          <t>Lakehouse</t>
        </is>
      </c>
      <c r="C8" s="39" t="inlineStr">
        <is>
          <t>Beach STR</t>
        </is>
      </c>
    </row>
    <row r="9" ht="20" customHeight="1">
      <c r="B9" s="39" t="inlineStr">
        <is>
          <t>Creek Side</t>
        </is>
      </c>
      <c r="C9" s="39" t="inlineStr">
        <is>
          <t>Rural / cabin</t>
        </is>
      </c>
    </row>
    <row r="10" ht="20" customHeight="1">
      <c r="B10" s="39" t="n"/>
      <c r="C10" s="39" t="n"/>
    </row>
    <row r="11" ht="20" customHeight="1">
      <c r="B11" s="39" t="n"/>
      <c r="C11" s="39" t="n"/>
    </row>
    <row r="12" ht="20" customHeight="1">
      <c r="B12" s="39" t="n"/>
      <c r="C12" s="39" t="n"/>
    </row>
    <row r="13" ht="20" customHeight="1">
      <c r="B13" s="39" t="n"/>
      <c r="C13" s="39" t="n"/>
    </row>
    <row r="14" ht="20" customHeight="1">
      <c r="B14" s="39" t="n"/>
      <c r="C14" s="39" t="n"/>
    </row>
    <row r="15" ht="20" customHeight="1">
      <c r="B15" s="39" t="n"/>
      <c r="C15" s="39" t="n"/>
    </row>
    <row r="16" ht="20" customHeight="1">
      <c r="B16" s="39" t="n"/>
      <c r="C16" s="39" t="n"/>
    </row>
    <row r="19" ht="20" customHeight="1">
      <c r="A19" s="41" t="inlineStr">
        <is>
          <t>HOW TO USE</t>
        </is>
      </c>
    </row>
    <row r="20" ht="18" customHeight="1">
      <c r="A20" s="42" t="inlineStr">
        <is>
          <t>1) Set valuation year above.   2) List each property and pick its market type from the dropdown (drives cap rate via Cap Rate Reference).   3) Customize the Cap Rate Reference table for your actual sub-market — Gatlinburg's cap is not Aspen's.   4) Fill NOI, comps, rent, GRM, and loan balance on the Per Property tab.   5) Read the answer on Start and Equity Summary.</t>
        </is>
      </c>
    </row>
    <row r="21" ht="18" customHeight="1"/>
    <row r="22" ht="18" customHeight="1"/>
    <row r="23" ht="18" customHeight="1"/>
    <row r="24" ht="18" customHeight="1"/>
    <row r="27">
      <c r="A27" s="19" t="n"/>
      <c r="B27" s="19" t="n"/>
      <c r="C27" s="19" t="n"/>
      <c r="D27" s="19" t="n"/>
      <c r="E27" s="19" t="n"/>
      <c r="F27" s="19" t="n"/>
      <c r="G27" s="19" t="n"/>
      <c r="H27" s="19" t="n"/>
      <c r="I27" s="19" t="n"/>
      <c r="J27" s="19" t="n"/>
      <c r="K27" s="19" t="n"/>
      <c r="L27" s="19" t="n"/>
    </row>
    <row r="28" ht="18" customHeight="1">
      <c r="A28" s="20" t="inlineStr">
        <is>
          <t>Questions? hello@thestrledger.com</t>
        </is>
      </c>
    </row>
    <row r="29" ht="18" customHeight="1">
      <c r="A29" s="21" t="inlineStr">
        <is>
          <t>STR-002 · Settings</t>
        </is>
      </c>
    </row>
  </sheetData>
  <mergeCells count="7">
    <mergeCell ref="D2:L2"/>
    <mergeCell ref="A29:L29"/>
    <mergeCell ref="A19:L19"/>
    <mergeCell ref="A20:L24"/>
    <mergeCell ref="A28:L28"/>
    <mergeCell ref="A2:C2"/>
    <mergeCell ref="A4:L4"/>
  </mergeCells>
  <dataValidations count="1">
    <dataValidation sqref="C7:C16" showDropDown="0" showInputMessage="0" showErrorMessage="0" allowBlank="1" type="list">
      <formula1>='Cap Rate Reference'!$A$7:$A$16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Portfolio Valuation Model — The STR Ledger</dc:title>
  <dc:description xmlns:dc="http://purl.org/dc/elements/1.1/">Portfolio market-value workbook using 3 valuation methods averaged (cap rate x NOI, comparable sales per BR, GRM x rent), with equity, LTV, and per-property equity pie chart.</dc:description>
  <dcterms:created xmlns:dcterms="http://purl.org/dc/terms/" xmlns:xsi="http://www.w3.org/2001/XMLSchema-instance" xsi:type="dcterms:W3CDTF">2026-05-03T12:41:25Z</dcterms:created>
  <dcterms:modified xmlns:dcterms="http://purl.org/dc/terms/" xmlns:xsi="http://www.w3.org/2001/XMLSchema-instance" xsi:type="dcterms:W3CDTF">2026-05-03T12:41:25Z</dcterms:modified>
</cp:coreProperties>
</file>