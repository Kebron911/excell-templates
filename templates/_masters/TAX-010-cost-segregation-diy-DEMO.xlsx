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sheetId="1" state="visible" r:id="rId1"/>
    <sheet xmlns:r="http://schemas.openxmlformats.org/officeDocument/2006/relationships" name="Property Basics" sheetId="2" state="visible" r:id="rId2"/>
    <sheet xmlns:r="http://schemas.openxmlformats.org/officeDocument/2006/relationships" name="Land Allocation" sheetId="3" state="visible" r:id="rId3"/>
    <sheet xmlns:r="http://schemas.openxmlformats.org/officeDocument/2006/relationships" name="5-Year Property" sheetId="4" state="visible" r:id="rId4"/>
    <sheet xmlns:r="http://schemas.openxmlformats.org/officeDocument/2006/relationships" name="7-Year Property" sheetId="5" state="visible" r:id="rId5"/>
    <sheet xmlns:r="http://schemas.openxmlformats.org/officeDocument/2006/relationships" name="15-Year Property" sheetId="6" state="visible" r:id="rId6"/>
    <sheet xmlns:r="http://schemas.openxmlformats.org/officeDocument/2006/relationships" name="Y1 Summary" sheetId="7" state="visible" r:id="rId7"/>
    <sheet xmlns:r="http://schemas.openxmlformats.org/officeDocument/2006/relationships" name="Form 4562 Mirror" sheetId="8" state="visible" r:id="rId8"/>
    <sheet xmlns:r="http://schemas.openxmlformats.org/officeDocument/2006/relationships" name="Launch" sheetId="9" state="visible" r:id="rId9"/>
    <sheet xmlns:r="http://schemas.openxmlformats.org/officeDocument/2006/relationships" name="Settings" sheetId="10" state="visible" r:id="rId10"/>
  </sheets>
  <definedNames>
    <definedName name="_xlnm.Print_Area" localSheetId="0">'Start'!$A$1:$L$48</definedName>
    <definedName name="_xlnm.Print_Titles" localSheetId="6">'Y1 Summary'!$1:$5</definedName>
    <definedName name="_xlnm.Print_Area" localSheetId="6">'Y1 Summary'!$A$1:$F$35</definedName>
    <definedName name="_xlnm.Print_Titles" localSheetId="7">'Form 4562 Mirror'!$1:$5</definedName>
    <definedName name="_xlnm.Print_Area" localSheetId="7">'Form 4562 Mirror'!$A$1:$C$22</definedName>
    <definedName name="_xlnm.Print_Area" localSheetId="8">'Launch'!$A$1:$L$50</definedName>
  </definedNames>
  <calcPr calcId="124519" fullCalcOnLoad="1"/>
</workbook>
</file>

<file path=xl/styles.xml><?xml version="1.0" encoding="utf-8"?>
<styleSheet xmlns="http://schemas.openxmlformats.org/spreadsheetml/2006/main">
  <numFmts count="4">
    <numFmt numFmtId="164" formatCode="&quot;$&quot;#,##0"/>
    <numFmt numFmtId="165" formatCode="yyyy-mm-dd"/>
    <numFmt numFmtId="166" formatCode="0.0%"/>
    <numFmt numFmtId="167" formatCode="0.000%"/>
  </numFmts>
  <fonts count="38">
    <font>
      <name val="Calibri"/>
      <family val="2"/>
      <color theme="1"/>
      <sz val="11"/>
      <scheme val="minor"/>
    </font>
    <font>
      <name val="Georgia"/>
      <color rgb="00F6EFE2"/>
      <sz val="14"/>
    </font>
    <font>
      <name val="Georgia"/>
      <b val="1"/>
      <color rgb="00F6EFE2"/>
      <sz val="36"/>
    </font>
    <font>
      <name val="Georgia"/>
      <i val="1"/>
      <color rgb="00C9A24B"/>
      <sz val="14"/>
    </font>
    <font>
      <name val="Consolas"/>
      <color rgb="00C9A24B"/>
      <sz val="9"/>
    </font>
    <font>
      <name val="Georgia"/>
      <b val="1"/>
      <color rgb="0012304E"/>
      <sz val="16"/>
    </font>
    <font>
      <name val="Georgia"/>
      <b val="1"/>
      <color rgb="0012304E"/>
      <sz val="14"/>
    </font>
    <font>
      <name val="Calibri"/>
      <color rgb="002B2B2B"/>
      <sz val="11"/>
    </font>
    <font>
      <name val="Georgia"/>
      <b val="1"/>
      <color rgb="00F6EFE2"/>
      <sz val="13"/>
    </font>
    <font>
      <name val="Georgia"/>
      <b val="1"/>
      <color rgb="0012304E"/>
      <sz val="12"/>
    </font>
    <font>
      <name val="Georgia"/>
      <b val="1"/>
      <color rgb="00C9A24B"/>
      <sz val="14"/>
    </font>
    <font>
      <name val="Calibri"/>
      <b val="1"/>
      <color rgb="00C9A24B"/>
      <sz val="11"/>
    </font>
    <font>
      <name val="Calibri"/>
      <color rgb="006B7280"/>
      <sz val="10"/>
    </font>
    <font>
      <name val="Calibri"/>
      <i val="1"/>
      <color rgb="00C9A24B"/>
      <sz val="10"/>
    </font>
    <font>
      <name val="Consolas"/>
      <b val="1"/>
      <color rgb="00C9A24B"/>
      <sz val="9"/>
    </font>
    <font>
      <name val="Georgia"/>
      <b val="1"/>
      <color rgb="0012304E"/>
      <sz val="13"/>
    </font>
    <font>
      <name val="Georgia"/>
      <b val="1"/>
      <color rgb="00F6EFE2"/>
      <sz val="28"/>
    </font>
    <font>
      <name val="Georgia"/>
      <i val="1"/>
      <color rgb="00C9A24B"/>
      <sz val="12"/>
    </font>
    <font>
      <name val="Calibri"/>
      <i val="1"/>
      <color rgb="002B2B2B"/>
      <sz val="10"/>
    </font>
    <font>
      <name val="Consolas"/>
      <b val="1"/>
      <color rgb="0012304E"/>
      <sz val="10"/>
    </font>
    <font>
      <name val="Calibri"/>
      <b val="1"/>
      <color rgb="002B2B2B"/>
      <sz val="11"/>
    </font>
    <font>
      <name val="Calibri"/>
      <i val="1"/>
      <color rgb="002B2B2B"/>
      <sz val="11"/>
    </font>
    <font>
      <name val="Calibri"/>
      <i val="1"/>
      <color rgb="0012304E"/>
      <sz val="10"/>
    </font>
    <font>
      <name val="Calibri"/>
      <b val="1"/>
      <color rgb="00B91C1C"/>
      <sz val="10"/>
    </font>
    <font>
      <name val="Calibri"/>
      <b val="1"/>
      <color rgb="00FFFFFF"/>
      <sz val="11"/>
    </font>
    <font>
      <name val="Consolas"/>
      <b val="1"/>
      <color rgb="00C9A24B"/>
      <sz val="10"/>
    </font>
    <font>
      <name val="Calibri"/>
      <b val="1"/>
      <color rgb="0012304E"/>
      <sz val="11"/>
    </font>
    <font>
      <name val="Calibri"/>
      <color rgb="006B7280"/>
      <sz val="11"/>
    </font>
    <font>
      <name val="Calibri"/>
      <i val="1"/>
      <color rgb="006B7280"/>
      <sz val="11"/>
    </font>
    <font>
      <name val="Georgia"/>
      <b val="1"/>
      <color rgb="00F6EFE2"/>
      <sz val="12"/>
    </font>
    <font>
      <name val="Georgia"/>
      <b val="1"/>
      <color rgb="00F6EFE2"/>
      <sz val="14"/>
    </font>
    <font>
      <name val="Georgia"/>
      <b val="1"/>
      <color rgb="00F6EFE2"/>
      <sz val="32"/>
    </font>
    <font>
      <name val="Georgia"/>
      <b val="1"/>
      <color rgb="00C9A24B"/>
      <sz val="28"/>
    </font>
    <font>
      <name val="Calibri"/>
      <color rgb="006B7280"/>
      <sz val="9"/>
    </font>
    <font>
      <name val="Consolas"/>
      <b val="1"/>
      <color rgb="0012304E"/>
      <sz val="9"/>
    </font>
    <font>
      <name val="Georgia"/>
      <b val="1"/>
      <color rgb="0012304E"/>
      <sz val="28"/>
    </font>
    <font>
      <name val="Calibri"/>
      <color rgb="002B2B2B"/>
      <sz val="10"/>
    </font>
    <font>
      <name val="Calibri"/>
      <i val="1"/>
      <color rgb="006B7280"/>
      <sz val="10"/>
    </font>
  </fonts>
  <fills count="10">
    <fill>
      <patternFill/>
    </fill>
    <fill>
      <patternFill patternType="gray125"/>
    </fill>
    <fill>
      <patternFill patternType="solid">
        <fgColor rgb="0012304E"/>
      </patternFill>
    </fill>
    <fill>
      <patternFill patternType="solid">
        <fgColor rgb="00F6EFE2"/>
      </patternFill>
    </fill>
    <fill>
      <patternFill patternType="solid">
        <fgColor rgb="00EFE5D0"/>
      </patternFill>
    </fill>
    <fill>
      <patternFill patternType="solid">
        <fgColor rgb="00C9A24B"/>
      </patternFill>
    </fill>
    <fill>
      <patternFill patternType="solid">
        <fgColor rgb="00E2C884"/>
      </patternFill>
    </fill>
    <fill>
      <patternFill patternType="solid">
        <fgColor rgb="00FFF7D6"/>
      </patternFill>
    </fill>
    <fill>
      <patternFill patternType="solid">
        <fgColor rgb="00EDEDED"/>
      </patternFill>
    </fill>
    <fill>
      <patternFill patternType="solid">
        <fgColor rgb="00FCE7E7"/>
      </patternFill>
    </fill>
  </fills>
  <borders count="19">
    <border>
      <left/>
      <right/>
      <top/>
      <bottom/>
      <diagonal/>
    </border>
    <border>
      <top style="medium">
        <color rgb="00C9A24B"/>
      </top>
    </border>
    <border>
      <left style="medium">
        <color rgb="00C9A24B"/>
      </left>
      <right style="medium">
        <color rgb="00C9A24B"/>
      </right>
      <top style="medium">
        <color rgb="00C9A24B"/>
      </top>
      <bottom style="medium">
        <color rgb="00C9A24B"/>
      </bottom>
    </border>
    <border>
      <top style="thin">
        <color rgb="00C9A24B"/>
      </top>
    </border>
    <border>
      <left style="medium">
        <color rgb="0012304E"/>
      </left>
      <right style="medium">
        <color rgb="0012304E"/>
      </right>
      <top style="medium">
        <color rgb="0012304E"/>
      </top>
      <bottom style="medium">
        <color rgb="0012304E"/>
      </bottom>
    </border>
    <border>
      <left style="thin">
        <color rgb="00C9A24B"/>
      </left>
      <right/>
      <top style="thin">
        <color rgb="00C9A24B"/>
      </top>
    </border>
    <border>
      <left/>
      <right/>
      <top style="thin">
        <color rgb="00C9A24B"/>
      </top>
    </border>
    <border>
      <left/>
      <right style="thin">
        <color rgb="00C9A24B"/>
      </right>
      <top style="thin">
        <color rgb="00C9A24B"/>
      </top>
    </border>
    <border>
      <left style="thin">
        <color rgb="00C9A24B"/>
      </left>
      <right/>
      <top/>
      <bottom style="thin">
        <color rgb="00C9A24B"/>
      </bottom>
    </border>
    <border>
      <left/>
      <right/>
      <top/>
      <bottom style="thin">
        <color rgb="00C9A24B"/>
      </bottom>
    </border>
    <border>
      <left/>
      <right style="thin">
        <color rgb="00C9A24B"/>
      </right>
      <top/>
      <bottom style="thin">
        <color rgb="00C9A24B"/>
      </bottom>
    </border>
    <border>
      <left style="thin">
        <color rgb="00C9A24B"/>
      </left>
      <right/>
      <top/>
      <bottom/>
    </border>
    <border>
      <left/>
      <right style="thin">
        <color rgb="00C9A24B"/>
      </right>
      <top/>
      <bottom/>
    </border>
    <border>
      <left style="thin">
        <color rgb="00C9A24B"/>
      </left>
      <right style="thin">
        <color rgb="00C9A24B"/>
      </right>
      <top style="thin">
        <color rgb="00C9A24B"/>
      </top>
      <bottom style="thin">
        <color rgb="00C9A24B"/>
      </bottom>
    </border>
    <border>
      <left style="thin">
        <color rgb="0012304E"/>
      </left>
      <right style="thin">
        <color rgb="0012304E"/>
      </right>
      <top style="thin">
        <color rgb="0012304E"/>
      </top>
      <bottom style="thin">
        <color rgb="0012304E"/>
      </bottom>
    </border>
    <border>
      <left style="thin">
        <color rgb="00C9A24B"/>
      </left>
      <right/>
      <top style="thin">
        <color rgb="00C9A24B"/>
      </top>
      <bottom/>
    </border>
    <border>
      <left/>
      <right/>
      <top style="thin">
        <color rgb="00C9A24B"/>
      </top>
      <bottom/>
    </border>
    <border>
      <left/>
      <right style="thin">
        <color rgb="00C9A24B"/>
      </right>
      <top style="thin">
        <color rgb="00C9A24B"/>
      </top>
      <bottom/>
    </border>
    <border>
      <left/>
      <right/>
      <top/>
      <bottom/>
    </border>
  </borders>
  <cellStyleXfs count="1">
    <xf numFmtId="0" fontId="0" fillId="0" borderId="0"/>
  </cellStyleXfs>
  <cellXfs count="111">
    <xf numFmtId="0" fontId="0" fillId="0" borderId="0" pivotButton="0" quotePrefix="0" xfId="0"/>
    <xf numFmtId="0" fontId="0" fillId="2" borderId="0" pivotButton="0" quotePrefix="0" xfId="0"/>
    <xf numFmtId="0" fontId="1" fillId="2" borderId="0" applyAlignment="1" pivotButton="0" quotePrefix="0" xfId="0">
      <alignment horizontal="left" vertical="center" indent="2"/>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applyAlignment="1" pivotButton="0" quotePrefix="0" xfId="0">
      <alignment horizontal="center" vertical="center"/>
    </xf>
    <xf numFmtId="0" fontId="0" fillId="3" borderId="0" pivotButton="0" quotePrefix="0" xfId="0"/>
    <xf numFmtId="0" fontId="5" fillId="3" borderId="0" applyAlignment="1" pivotButton="0" quotePrefix="0" xfId="0">
      <alignment horizontal="center" vertical="center"/>
    </xf>
    <xf numFmtId="0" fontId="6" fillId="3" borderId="1" applyAlignment="1" pivotButton="0" quotePrefix="0" xfId="0">
      <alignment horizontal="center" vertical="center"/>
    </xf>
    <xf numFmtId="0" fontId="7" fillId="3" borderId="0" applyAlignment="1" pivotButton="0" quotePrefix="0" xfId="0">
      <alignment horizontal="center" vertical="center" wrapText="1"/>
    </xf>
    <xf numFmtId="0" fontId="0" fillId="4" borderId="0" pivotButton="0" quotePrefix="0" xfId="0"/>
    <xf numFmtId="0" fontId="6" fillId="4" borderId="0" applyAlignment="1" pivotButton="0" quotePrefix="0" xfId="0">
      <alignment horizontal="center" vertical="center"/>
    </xf>
    <xf numFmtId="0" fontId="7" fillId="4" borderId="0" applyAlignment="1" pivotButton="0" quotePrefix="0" xfId="0">
      <alignment horizontal="left" vertical="center" indent="1"/>
    </xf>
    <xf numFmtId="0" fontId="8" fillId="2" borderId="2" applyAlignment="1" pivotButton="0" quotePrefix="0" xfId="0">
      <alignment horizontal="center" vertical="center" wrapText="1"/>
    </xf>
    <xf numFmtId="0" fontId="0" fillId="0" borderId="2" pivotButton="0" quotePrefix="0" xfId="0"/>
    <xf numFmtId="0" fontId="9" fillId="0" borderId="0" applyAlignment="1" pivotButton="0" quotePrefix="0" xfId="0">
      <alignment horizontal="left" vertical="center" indent="1"/>
    </xf>
    <xf numFmtId="0" fontId="10" fillId="0" borderId="0" applyAlignment="1" pivotButton="0" quotePrefix="0" xfId="0">
      <alignment horizontal="right" vertical="center" indent="1"/>
    </xf>
    <xf numFmtId="0" fontId="7" fillId="0" borderId="0" applyAlignment="1" pivotButton="0" quotePrefix="0" xfId="0">
      <alignment horizontal="left" vertical="center" indent="2"/>
    </xf>
    <xf numFmtId="0" fontId="7" fillId="0" borderId="0" applyAlignment="1" pivotButton="0" quotePrefix="0" xfId="0">
      <alignment horizontal="left" vertical="center"/>
    </xf>
    <xf numFmtId="0" fontId="11" fillId="0" borderId="0" applyAlignment="1" pivotButton="0" quotePrefix="0" xfId="0">
      <alignment horizontal="right" vertical="center" indent="1"/>
    </xf>
    <xf numFmtId="0" fontId="0" fillId="0" borderId="3" pivotButton="0" quotePrefix="0" xfId="0"/>
    <xf numFmtId="0" fontId="12" fillId="0" borderId="0" applyAlignment="1" pivotButton="0" quotePrefix="0" xfId="0">
      <alignment horizontal="center" vertical="center"/>
    </xf>
    <xf numFmtId="0" fontId="13" fillId="0" borderId="0" applyAlignment="1" pivotButton="0" quotePrefix="0" xfId="0">
      <alignment horizontal="center" vertical="center"/>
    </xf>
    <xf numFmtId="0" fontId="14" fillId="2" borderId="0" applyAlignment="1" pivotButton="0" quotePrefix="0" xfId="0">
      <alignment horizontal="center" vertical="center"/>
    </xf>
    <xf numFmtId="0" fontId="15" fillId="5" borderId="4" applyAlignment="1" pivotButton="0" quotePrefix="0" xfId="0">
      <alignment horizontal="center" vertical="center" wrapText="1"/>
    </xf>
    <xf numFmtId="0" fontId="0" fillId="0" borderId="4" pivotButton="0" quotePrefix="0" xfId="0"/>
    <xf numFmtId="0" fontId="16" fillId="2" borderId="0" applyAlignment="1" pivotButton="0" quotePrefix="0" xfId="0">
      <alignment horizontal="center" vertical="center"/>
    </xf>
    <xf numFmtId="0" fontId="17" fillId="2" borderId="0" applyAlignment="1" pivotButton="0" quotePrefix="0" xfId="0">
      <alignment horizontal="center" vertical="center"/>
    </xf>
    <xf numFmtId="0" fontId="18" fillId="3" borderId="0" applyAlignment="1" pivotButton="0" quotePrefix="0" xfId="0">
      <alignment horizontal="center" vertical="center"/>
    </xf>
    <xf numFmtId="0" fontId="19" fillId="6" borderId="0" applyAlignment="1" pivotButton="0" quotePrefix="0" xfId="0">
      <alignment horizontal="left" vertical="center" indent="1"/>
    </xf>
    <xf numFmtId="0" fontId="20" fillId="3" borderId="5" applyAlignment="1" pivotButton="0" quotePrefix="0" xfId="0">
      <alignment horizontal="right" vertical="center" indent="1"/>
    </xf>
    <xf numFmtId="164" fontId="7" fillId="7" borderId="6" applyAlignment="1" pivotButton="0" quotePrefix="0" xfId="0">
      <alignment horizontal="left" vertical="center" indent="1"/>
    </xf>
    <xf numFmtId="0" fontId="0" fillId="3" borderId="6" pivotButton="0" quotePrefix="0" xfId="0"/>
    <xf numFmtId="0" fontId="0" fillId="3" borderId="7" pivotButton="0" quotePrefix="0" xfId="0"/>
    <xf numFmtId="0" fontId="20" fillId="3" borderId="11" applyAlignment="1" pivotButton="0" quotePrefix="0" xfId="0">
      <alignment horizontal="right" vertical="center" indent="1"/>
    </xf>
    <xf numFmtId="164" fontId="7" fillId="7" borderId="0" applyAlignment="1" pivotButton="0" quotePrefix="0" xfId="0">
      <alignment horizontal="left" vertical="center" indent="1"/>
    </xf>
    <xf numFmtId="0" fontId="0" fillId="3" borderId="12" pivotButton="0" quotePrefix="0" xfId="0"/>
    <xf numFmtId="0" fontId="9" fillId="6" borderId="11" applyAlignment="1" pivotButton="0" quotePrefix="0" xfId="0">
      <alignment horizontal="right" vertical="center" indent="1"/>
    </xf>
    <xf numFmtId="164" fontId="10" fillId="6" borderId="0" applyAlignment="1" pivotButton="0" quotePrefix="0" xfId="0">
      <alignment horizontal="left" vertical="center" indent="1"/>
    </xf>
    <xf numFmtId="49" fontId="7" fillId="7" borderId="0" applyAlignment="1" pivotButton="0" quotePrefix="0" xfId="0">
      <alignment horizontal="left" vertical="center" indent="1"/>
    </xf>
    <xf numFmtId="165" fontId="7" fillId="7" borderId="0" applyAlignment="1" pivotButton="0" quotePrefix="0" xfId="0">
      <alignment horizontal="left" vertical="center" indent="1"/>
    </xf>
    <xf numFmtId="0" fontId="20" fillId="3" borderId="8" applyAlignment="1" pivotButton="0" quotePrefix="0" xfId="0">
      <alignment horizontal="right" vertical="center" indent="1"/>
    </xf>
    <xf numFmtId="49" fontId="7" fillId="7" borderId="9" applyAlignment="1" pivotButton="0" quotePrefix="0" xfId="0">
      <alignment horizontal="left" vertical="center" indent="1"/>
    </xf>
    <xf numFmtId="0" fontId="0" fillId="3" borderId="9" pivotButton="0" quotePrefix="0" xfId="0"/>
    <xf numFmtId="0" fontId="0" fillId="3" borderId="10" pivotButton="0" quotePrefix="0" xfId="0"/>
    <xf numFmtId="0" fontId="22" fillId="6" borderId="0" applyAlignment="1" pivotButton="0" quotePrefix="0" xfId="0">
      <alignment horizontal="left" vertical="center" wrapText="1" indent="2"/>
    </xf>
    <xf numFmtId="0" fontId="15" fillId="3" borderId="13" applyAlignment="1" pivotButton="0" quotePrefix="0" xfId="0">
      <alignment horizontal="center" vertical="center" wrapText="1"/>
    </xf>
    <xf numFmtId="0" fontId="0" fillId="0" borderId="13" pivotButton="0" quotePrefix="0" xfId="0"/>
    <xf numFmtId="164" fontId="21" fillId="8" borderId="0" applyAlignment="1" pivotButton="0" quotePrefix="0" xfId="0">
      <alignment horizontal="right" vertical="center" indent="1"/>
    </xf>
    <xf numFmtId="166" fontId="21" fillId="8" borderId="0" applyAlignment="1" pivotButton="0" quotePrefix="0" xfId="0">
      <alignment horizontal="right" vertical="center" indent="1"/>
    </xf>
    <xf numFmtId="164" fontId="10" fillId="6" borderId="0" applyAlignment="1" pivotButton="0" quotePrefix="0" xfId="0">
      <alignment horizontal="right" vertical="center" indent="1"/>
    </xf>
    <xf numFmtId="0" fontId="9" fillId="6" borderId="8" applyAlignment="1" pivotButton="0" quotePrefix="0" xfId="0">
      <alignment horizontal="right" vertical="center" indent="1"/>
    </xf>
    <xf numFmtId="164" fontId="10" fillId="6" borderId="9" applyAlignment="1" pivotButton="0" quotePrefix="0" xfId="0">
      <alignment horizontal="right" vertical="center" indent="1"/>
    </xf>
    <xf numFmtId="0" fontId="23" fillId="9" borderId="0" applyAlignment="1" pivotButton="0" quotePrefix="0" xfId="0">
      <alignment horizontal="left" vertical="center" wrapText="1" indent="2"/>
    </xf>
    <xf numFmtId="0" fontId="24" fillId="2" borderId="14" applyAlignment="1" pivotButton="0" quotePrefix="0" xfId="0">
      <alignment horizontal="center" vertical="center"/>
    </xf>
    <xf numFmtId="0" fontId="25" fillId="0" borderId="0" applyAlignment="1" pivotButton="0" quotePrefix="0" xfId="0">
      <alignment horizontal="center" vertical="center"/>
    </xf>
    <xf numFmtId="0" fontId="7" fillId="7" borderId="0" applyAlignment="1" pivotButton="0" quotePrefix="0" xfId="0">
      <alignment horizontal="left" vertical="center" indent="1"/>
    </xf>
    <xf numFmtId="164" fontId="7" fillId="7" borderId="0" applyAlignment="1" pivotButton="0" quotePrefix="0" xfId="0">
      <alignment horizontal="right" vertical="center" indent="1"/>
    </xf>
    <xf numFmtId="0" fontId="9" fillId="6" borderId="0" applyAlignment="1" pivotButton="0" quotePrefix="0" xfId="0">
      <alignment horizontal="right" vertical="center" indent="1"/>
    </xf>
    <xf numFmtId="0" fontId="25" fillId="2" borderId="0" applyAlignment="1" pivotButton="0" quotePrefix="0" xfId="0">
      <alignment horizontal="right" vertical="center" indent="2"/>
    </xf>
    <xf numFmtId="0" fontId="18" fillId="3" borderId="0" applyAlignment="1" pivotButton="0" quotePrefix="0" xfId="0">
      <alignment horizontal="left" vertical="center" indent="1"/>
    </xf>
    <xf numFmtId="0" fontId="20" fillId="0" borderId="0" applyAlignment="1" pivotButton="0" quotePrefix="0" xfId="0">
      <alignment horizontal="left" vertical="center" indent="2"/>
    </xf>
    <xf numFmtId="164" fontId="21" fillId="8" borderId="0" applyAlignment="1" pivotButton="0" quotePrefix="0" xfId="0">
      <alignment horizontal="right" vertical="center"/>
    </xf>
    <xf numFmtId="166" fontId="21" fillId="8" borderId="0" applyAlignment="1" pivotButton="0" quotePrefix="0" xfId="0">
      <alignment horizontal="center" vertical="center"/>
    </xf>
    <xf numFmtId="164" fontId="26" fillId="8" borderId="0" applyAlignment="1" pivotButton="0" quotePrefix="0" xfId="0">
      <alignment horizontal="right" vertical="center"/>
    </xf>
    <xf numFmtId="0" fontId="27" fillId="8" borderId="0" applyAlignment="1" pivotButton="0" quotePrefix="0" xfId="0">
      <alignment horizontal="center" vertical="center"/>
    </xf>
    <xf numFmtId="167" fontId="21" fillId="8" borderId="0" applyAlignment="1" pivotButton="0" quotePrefix="0" xfId="0">
      <alignment horizontal="center" vertical="center"/>
    </xf>
    <xf numFmtId="0" fontId="28" fillId="0" borderId="0" applyAlignment="1" pivotButton="0" quotePrefix="0" xfId="0">
      <alignment horizontal="left" vertical="center" indent="2"/>
    </xf>
    <xf numFmtId="164" fontId="28" fillId="8" borderId="0" applyAlignment="1" pivotButton="0" quotePrefix="0" xfId="0">
      <alignment horizontal="right" vertical="center"/>
    </xf>
    <xf numFmtId="0" fontId="9" fillId="6" borderId="0" applyAlignment="1" pivotButton="0" quotePrefix="0" xfId="0">
      <alignment horizontal="left" vertical="center" indent="2"/>
    </xf>
    <xf numFmtId="164" fontId="9" fillId="6" borderId="0" applyAlignment="1" pivotButton="0" quotePrefix="0" xfId="0">
      <alignment horizontal="right" vertical="center" indent="1"/>
    </xf>
    <xf numFmtId="0" fontId="0" fillId="6" borderId="0" pivotButton="0" quotePrefix="0" xfId="0"/>
    <xf numFmtId="164" fontId="21" fillId="8" borderId="6" applyAlignment="1" pivotButton="0" quotePrefix="0" xfId="0">
      <alignment horizontal="right" vertical="center" indent="1"/>
    </xf>
    <xf numFmtId="164" fontId="26" fillId="8" borderId="0" applyAlignment="1" pivotButton="0" quotePrefix="0" xfId="0">
      <alignment horizontal="right" vertical="center" indent="1"/>
    </xf>
    <xf numFmtId="0" fontId="29" fillId="2" borderId="0" applyAlignment="1" pivotButton="0" quotePrefix="0" xfId="0">
      <alignment horizontal="left" vertical="center" indent="1"/>
    </xf>
    <xf numFmtId="0" fontId="7" fillId="0" borderId="0" applyAlignment="1" pivotButton="0" quotePrefix="0" xfId="0">
      <alignment horizontal="left" vertical="center" indent="1"/>
    </xf>
    <xf numFmtId="0" fontId="9" fillId="6" borderId="0" applyAlignment="1" pivotButton="0" quotePrefix="0" xfId="0">
      <alignment horizontal="left" vertical="center" indent="1"/>
    </xf>
    <xf numFmtId="164" fontId="9" fillId="6" borderId="0" applyAlignment="1" pivotButton="0" quotePrefix="0" xfId="0">
      <alignment horizontal="right" vertical="center"/>
    </xf>
    <xf numFmtId="0" fontId="30" fillId="2" borderId="0" applyAlignment="1" pivotButton="0" quotePrefix="0" xfId="0">
      <alignment horizontal="left" vertical="center" indent="1"/>
    </xf>
    <xf numFmtId="164" fontId="30" fillId="2" borderId="0" applyAlignment="1" pivotButton="0" quotePrefix="0" xfId="0">
      <alignment horizontal="right" vertical="center"/>
    </xf>
    <xf numFmtId="0" fontId="22" fillId="6" borderId="0" applyAlignment="1" pivotButton="0" quotePrefix="0" xfId="0">
      <alignment horizontal="left" vertical="center" indent="2"/>
    </xf>
    <xf numFmtId="0" fontId="31" fillId="2" borderId="0" applyAlignment="1" pivotButton="0" quotePrefix="0" xfId="0">
      <alignment horizontal="center" vertical="center"/>
    </xf>
    <xf numFmtId="0" fontId="14" fillId="3" borderId="15" applyAlignment="1" pivotButton="0" quotePrefix="0" xfId="0">
      <alignment horizontal="center"/>
    </xf>
    <xf numFmtId="0" fontId="0" fillId="0" borderId="16" pivotButton="0" quotePrefix="0" xfId="0"/>
    <xf numFmtId="0" fontId="0" fillId="0" borderId="17" pivotButton="0" quotePrefix="0" xfId="0"/>
    <xf numFmtId="0" fontId="34" fillId="3" borderId="15" applyAlignment="1" pivotButton="0" quotePrefix="0" xfId="0">
      <alignment horizontal="center"/>
    </xf>
    <xf numFmtId="164" fontId="32" fillId="3" borderId="11" applyAlignment="1" pivotButton="0" quotePrefix="0" xfId="0">
      <alignment horizontal="center" vertical="center"/>
    </xf>
    <xf numFmtId="0" fontId="0" fillId="0" borderId="18" pivotButton="0" quotePrefix="0" xfId="0"/>
    <xf numFmtId="0" fontId="0" fillId="0" borderId="12" pivotButton="0" quotePrefix="0" xfId="0"/>
    <xf numFmtId="164" fontId="35" fillId="3" borderId="11" applyAlignment="1" pivotButton="0" quotePrefix="0" xfId="0">
      <alignment horizontal="center" vertical="center"/>
    </xf>
    <xf numFmtId="0" fontId="0" fillId="0" borderId="11" pivotButton="0" quotePrefix="0" xfId="0"/>
    <xf numFmtId="0" fontId="33" fillId="3" borderId="8" applyAlignment="1" pivotButton="0" quotePrefix="0" xfId="0">
      <alignment horizontal="center"/>
    </xf>
    <xf numFmtId="0" fontId="0" fillId="0" borderId="9" pivotButton="0" quotePrefix="0" xfId="0"/>
    <xf numFmtId="0" fontId="0" fillId="0" borderId="10" pivotButton="0" quotePrefix="0" xfId="0"/>
    <xf numFmtId="0" fontId="36" fillId="3" borderId="5" applyAlignment="1" pivotButton="0" quotePrefix="0" xfId="0">
      <alignment horizontal="left" vertical="center" wrapText="1" indent="2"/>
    </xf>
    <xf numFmtId="0" fontId="36" fillId="3" borderId="11" applyAlignment="1" pivotButton="0" quotePrefix="0" xfId="0">
      <alignment horizontal="left" vertical="center" indent="4"/>
    </xf>
    <xf numFmtId="0" fontId="0" fillId="3" borderId="11" pivotButton="0" quotePrefix="0" xfId="0"/>
    <xf numFmtId="0" fontId="7" fillId="7" borderId="0" applyAlignment="1" pivotButton="0" quotePrefix="0" xfId="0">
      <alignment horizontal="left" vertical="center"/>
    </xf>
    <xf numFmtId="0" fontId="7" fillId="7" borderId="9" applyAlignment="1" pivotButton="0" quotePrefix="0" xfId="0">
      <alignment horizontal="left" vertical="center"/>
    </xf>
    <xf numFmtId="0" fontId="36" fillId="3" borderId="5" applyAlignment="1" pivotButton="0" quotePrefix="0" xfId="0">
      <alignment horizontal="left" vertical="top" wrapText="1" indent="2"/>
    </xf>
    <xf numFmtId="0" fontId="0" fillId="3" borderId="8" pivotButton="0" quotePrefix="0" xfId="0"/>
    <xf numFmtId="0" fontId="24" fillId="5" borderId="0" applyAlignment="1" pivotButton="0" quotePrefix="0" xfId="0">
      <alignment horizontal="center" vertical="center" wrapText="1"/>
    </xf>
    <xf numFmtId="0" fontId="20" fillId="0" borderId="0" applyAlignment="1" pivotButton="0" quotePrefix="0" xfId="0">
      <alignment horizontal="right" vertical="center"/>
    </xf>
    <xf numFmtId="1" fontId="7" fillId="7" borderId="0" applyAlignment="1" pivotButton="0" quotePrefix="0" xfId="0">
      <alignment horizontal="left" vertical="center"/>
    </xf>
    <xf numFmtId="166" fontId="7" fillId="7" borderId="0" applyAlignment="1" pivotButton="0" quotePrefix="0" xfId="0">
      <alignment horizontal="left" vertical="center"/>
    </xf>
    <xf numFmtId="10" fontId="7" fillId="7" borderId="0" applyAlignment="1" pivotButton="0" quotePrefix="0" xfId="0">
      <alignment horizontal="left" vertical="center"/>
    </xf>
    <xf numFmtId="0" fontId="37" fillId="0" borderId="0" pivotButton="0" quotePrefix="0" xfId="0"/>
    <xf numFmtId="0" fontId="7" fillId="0" borderId="0" applyAlignment="1" pivotButton="0" quotePrefix="0" xfId="0">
      <alignment horizontal="right" vertical="center" indent="1"/>
    </xf>
    <xf numFmtId="9" fontId="27" fillId="0" borderId="0" pivotButton="0" quotePrefix="0" xfId="0"/>
    <xf numFmtId="0" fontId="37" fillId="0" borderId="0" applyAlignment="1" pivotButton="0" quotePrefix="0" xfId="0">
      <alignment horizontal="right" vertical="center" indent="1"/>
    </xf>
    <xf numFmtId="10" fontId="2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2304E"/>
    <outlinePr summaryBelow="1" summaryRight="1"/>
    <pageSetUpPr fitToPage="1"/>
  </sheetPr>
  <dimension ref="A1:L48"/>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22" customHeight="1">
      <c r="A1" s="1" t="n"/>
      <c r="B1" s="1" t="n"/>
      <c r="C1" s="1" t="n"/>
      <c r="D1" s="1" t="n"/>
      <c r="E1" s="1" t="n"/>
      <c r="F1" s="1" t="n"/>
      <c r="G1" s="1" t="n"/>
      <c r="H1" s="1" t="n"/>
      <c r="I1" s="1" t="n"/>
      <c r="J1" s="1" t="n"/>
      <c r="K1" s="1" t="n"/>
      <c r="L1" s="1" t="n"/>
    </row>
    <row r="2" ht="22" customHeight="1">
      <c r="A2" s="2" t="inlineStr">
        <is>
          <t>The STR Ledger</t>
        </is>
      </c>
      <c r="G2" s="1" t="n"/>
      <c r="H2" s="1" t="n"/>
      <c r="I2" s="1" t="n"/>
      <c r="J2" s="1" t="n"/>
      <c r="K2" s="1" t="n"/>
      <c r="L2" s="1" t="n"/>
    </row>
    <row r="3" ht="22" customHeight="1">
      <c r="A3" s="1" t="n"/>
      <c r="B3" s="1" t="n"/>
      <c r="C3" s="1" t="n"/>
      <c r="D3" s="1" t="n"/>
      <c r="E3" s="1" t="n"/>
      <c r="F3" s="1" t="n"/>
      <c r="G3" s="1" t="n"/>
      <c r="H3" s="1" t="n"/>
      <c r="I3" s="1" t="n"/>
      <c r="J3" s="1" t="n"/>
      <c r="K3" s="1" t="n"/>
      <c r="L3" s="1" t="n"/>
    </row>
    <row r="4" ht="48" customHeight="1">
      <c r="A4" s="3" t="inlineStr">
        <is>
          <t>Cost Segregation DIY</t>
        </is>
      </c>
    </row>
    <row r="5" ht="22" customHeight="1">
      <c r="A5" s="4" t="inlineStr">
        <is>
          <t>Pull 5 years of depreciation into one. The IRS-acceptable DIY method.</t>
        </is>
      </c>
    </row>
    <row r="6" ht="22" customHeight="1">
      <c r="A6" s="1" t="n"/>
      <c r="B6" s="1" t="n"/>
      <c r="C6" s="1" t="n"/>
      <c r="D6" s="1" t="n"/>
      <c r="E6" s="1" t="n"/>
      <c r="F6" s="1" t="n"/>
      <c r="G6" s="1" t="n"/>
      <c r="H6" s="1" t="n"/>
      <c r="I6" s="1" t="n"/>
      <c r="J6" s="1" t="n"/>
      <c r="K6" s="1" t="n"/>
      <c r="L6" s="1" t="n"/>
    </row>
    <row r="7" ht="22" customHeight="1">
      <c r="A7" s="5" t="inlineStr">
        <is>
          <t>TAX-010 · v2.3 · DEMO</t>
        </is>
      </c>
    </row>
    <row r="8" ht="22" customHeight="1">
      <c r="A8" s="1" t="n"/>
      <c r="B8" s="1" t="n"/>
      <c r="C8" s="1" t="n"/>
      <c r="D8" s="1" t="n"/>
      <c r="E8" s="1" t="n"/>
      <c r="F8" s="1" t="n"/>
      <c r="G8" s="1" t="n"/>
      <c r="H8" s="1" t="n"/>
      <c r="I8" s="1" t="n"/>
      <c r="J8" s="1" t="n"/>
      <c r="K8" s="1" t="n"/>
      <c r="L8" s="1" t="n"/>
    </row>
    <row r="10">
      <c r="A10" s="6" t="n"/>
      <c r="B10" s="6" t="n"/>
      <c r="C10" s="6" t="n"/>
      <c r="D10" s="6" t="n"/>
      <c r="E10" s="6" t="n"/>
      <c r="F10" s="6" t="n"/>
      <c r="G10" s="6" t="n"/>
      <c r="H10" s="6" t="n"/>
      <c r="I10" s="6" t="n"/>
      <c r="J10" s="6" t="n"/>
      <c r="K10" s="6" t="n"/>
      <c r="L10" s="6" t="n"/>
    </row>
    <row r="11" ht="28" customHeight="1">
      <c r="A11" s="7" t="inlineStr">
        <is>
          <t>What you'll get</t>
        </is>
      </c>
    </row>
    <row r="12">
      <c r="A12" s="6" t="n"/>
      <c r="B12" s="6" t="n"/>
      <c r="C12" s="6" t="n"/>
      <c r="D12" s="6" t="n"/>
      <c r="E12" s="6" t="n"/>
      <c r="F12" s="6" t="n"/>
      <c r="G12" s="6" t="n"/>
      <c r="H12" s="6" t="n"/>
      <c r="I12" s="6" t="n"/>
      <c r="J12" s="6" t="n"/>
      <c r="K12" s="6" t="n"/>
      <c r="L12" s="6" t="n"/>
    </row>
    <row r="13" ht="22" customHeight="1">
      <c r="A13" s="8" t="inlineStr">
        <is>
          <t>⚡ MUCH BIGGER YEAR 1</t>
        </is>
      </c>
      <c r="E13" s="8" t="inlineStr">
        <is>
          <t>🛡 AUDIT-DEFENSIBLE</t>
        </is>
      </c>
      <c r="I13" s="8" t="inlineStr">
        <is>
          <t>📄 CPA HAND-OFF</t>
        </is>
      </c>
    </row>
    <row r="14" ht="22" customHeight="1">
      <c r="A14" s="9" t="inlineStr">
        <is>
          <t>Reclassify 5/7/15-year components out of the default 27.5-year schedule. Overlay bonus depreciation. Typical STR pulls $30K–$60K extra into Year 1.</t>
        </is>
      </c>
      <c r="E14" s="9" t="inlineStr">
        <is>
          <t>Methodology disclosure block, supporting-document checklist, and per-class sanity guardrails — built per the IRS Cost Segregation Audit Techniques Guide.</t>
        </is>
      </c>
      <c r="I14" s="9" t="inlineStr">
        <is>
          <t>Print-ready Form 4562 mirror (Parts I / II / III) plus the per-asset breakdown your CPA needs — including for a Form 3115 retroactive catch-up.</t>
        </is>
      </c>
    </row>
    <row r="15" ht="22" customHeight="1"/>
    <row r="16" ht="22" customHeight="1"/>
    <row r="17" ht="22" customHeight="1"/>
    <row r="18" ht="22" customHeight="1"/>
    <row r="19" ht="22" customHeight="1"/>
    <row r="20">
      <c r="A20" s="6" t="n"/>
      <c r="B20" s="6" t="n"/>
      <c r="C20" s="6" t="n"/>
      <c r="D20" s="6" t="n"/>
      <c r="E20" s="6" t="n"/>
      <c r="F20" s="6" t="n"/>
      <c r="G20" s="6" t="n"/>
      <c r="H20" s="6" t="n"/>
      <c r="I20" s="6" t="n"/>
      <c r="J20" s="6" t="n"/>
      <c r="K20" s="6" t="n"/>
      <c r="L20" s="6" t="n"/>
    </row>
    <row r="22">
      <c r="A22" s="10" t="n"/>
      <c r="B22" s="10" t="n"/>
      <c r="C22" s="10" t="n"/>
      <c r="D22" s="10" t="n"/>
      <c r="E22" s="10" t="n"/>
      <c r="F22" s="10" t="n"/>
      <c r="G22" s="10" t="n"/>
      <c r="H22" s="10" t="n"/>
      <c r="I22" s="10" t="n"/>
      <c r="J22" s="10" t="n"/>
      <c r="K22" s="10" t="n"/>
      <c r="L22" s="10" t="n"/>
    </row>
    <row r="23" ht="24" customHeight="1">
      <c r="A23" s="11" t="inlineStr">
        <is>
          <t>Quick Start — be done in 90 minutes</t>
        </is>
      </c>
    </row>
    <row r="24">
      <c r="A24" s="10" t="n"/>
      <c r="B24" s="12" t="inlineStr">
        <is>
          <t>① Property Basics: purchase + closing + placed-in-service</t>
        </is>
      </c>
      <c r="G24" s="10" t="n"/>
      <c r="H24" s="12" t="inlineStr">
        <is>
          <t>④ Itemize 7-year (furniture, electronics, kitchen)</t>
        </is>
      </c>
    </row>
    <row r="25">
      <c r="A25" s="10" t="n"/>
      <c r="B25" s="12" t="inlineStr">
        <is>
          <t>② Land Allocation: county-assessor ratio method</t>
        </is>
      </c>
      <c r="G25" s="10" t="n"/>
      <c r="H25" s="12" t="inlineStr">
        <is>
          <t>⑤ Itemize 15-year exterior (drive, landscape, fence, deck)</t>
        </is>
      </c>
    </row>
    <row r="26">
      <c r="A26" s="10" t="n"/>
      <c r="B26" s="12" t="inlineStr">
        <is>
          <t>③ Itemize 5-year property (carpet, appliances, hot tub…)</t>
        </is>
      </c>
      <c r="G26" s="10" t="n"/>
      <c r="H26" s="12" t="inlineStr">
        <is>
          <t>⑥ Print Form 4562 mirror — hand to CPA</t>
        </is>
      </c>
    </row>
    <row r="27">
      <c r="A27" s="10" t="n"/>
      <c r="B27" s="10" t="n"/>
      <c r="C27" s="10" t="n"/>
      <c r="D27" s="10" t="n"/>
      <c r="E27" s="10" t="n"/>
      <c r="F27" s="10" t="n"/>
      <c r="G27" s="10" t="n"/>
      <c r="H27" s="10" t="n"/>
      <c r="I27" s="10" t="n"/>
      <c r="J27" s="10" t="n"/>
      <c r="K27" s="10" t="n"/>
      <c r="L27" s="10" t="n"/>
    </row>
    <row r="28">
      <c r="A28" s="10" t="n"/>
      <c r="B28" s="10" t="n"/>
      <c r="C28" s="10" t="n"/>
      <c r="D28" s="10" t="n"/>
      <c r="E28" s="10" t="n"/>
      <c r="F28" s="10" t="n"/>
      <c r="G28" s="10" t="n"/>
      <c r="H28" s="10" t="n"/>
      <c r="I28" s="10" t="n"/>
      <c r="J28" s="10" t="n"/>
      <c r="K28" s="10" t="n"/>
      <c r="L28" s="10" t="n"/>
    </row>
    <row r="29">
      <c r="A29" s="10" t="n"/>
      <c r="B29" s="10" t="n"/>
      <c r="C29" s="10" t="n"/>
      <c r="D29" s="10" t="n"/>
      <c r="E29" s="10" t="n"/>
      <c r="F29" s="10" t="n"/>
      <c r="G29" s="10" t="n"/>
      <c r="H29" s="10" t="n"/>
      <c r="I29" s="10" t="n"/>
      <c r="J29" s="10" t="n"/>
      <c r="K29" s="10" t="n"/>
      <c r="L29" s="10" t="n"/>
    </row>
    <row r="31" ht="22" customHeight="1">
      <c r="A31" s="13">
        <f>HYPERLINK("#'Property Basics'!A5", "GET STARTED — PROPERTY BASICS  →")</f>
        <v/>
      </c>
      <c r="B31" s="14" t="n"/>
      <c r="C31" s="14" t="n"/>
      <c r="D31" s="14" t="n"/>
      <c r="E31" s="14" t="n"/>
      <c r="F31" s="14" t="n"/>
      <c r="G31" s="14" t="n"/>
      <c r="H31" s="14" t="n"/>
      <c r="I31" s="14" t="n"/>
      <c r="J31" s="14" t="n"/>
      <c r="K31" s="14" t="n"/>
      <c r="L31" s="14" t="n"/>
    </row>
    <row r="32" ht="22" customHeight="1">
      <c r="A32" s="14" t="n"/>
      <c r="B32" s="14" t="n"/>
      <c r="C32" s="14" t="n"/>
      <c r="D32" s="14" t="n"/>
      <c r="E32" s="14" t="n"/>
      <c r="F32" s="14" t="n"/>
      <c r="G32" s="14" t="n"/>
      <c r="H32" s="14" t="n"/>
      <c r="I32" s="14" t="n"/>
      <c r="J32" s="14" t="n"/>
      <c r="K32" s="14" t="n"/>
      <c r="L32" s="14" t="n"/>
    </row>
    <row r="33" ht="22" customHeight="1">
      <c r="A33" s="14" t="n"/>
      <c r="B33" s="14" t="n"/>
      <c r="C33" s="14" t="n"/>
      <c r="D33" s="14" t="n"/>
      <c r="E33" s="14" t="n"/>
      <c r="F33" s="14" t="n"/>
      <c r="G33" s="14" t="n"/>
      <c r="H33" s="14" t="n"/>
      <c r="I33" s="14" t="n"/>
      <c r="J33" s="14" t="n"/>
      <c r="K33" s="14" t="n"/>
      <c r="L33" s="14" t="n"/>
    </row>
    <row r="34" ht="22" customHeight="1">
      <c r="A34" s="14" t="n"/>
      <c r="B34" s="14" t="n"/>
      <c r="C34" s="14" t="n"/>
      <c r="D34" s="14" t="n"/>
      <c r="E34" s="14" t="n"/>
      <c r="F34" s="14" t="n"/>
      <c r="G34" s="14" t="n"/>
      <c r="H34" s="14" t="n"/>
      <c r="I34" s="14" t="n"/>
      <c r="J34" s="14" t="n"/>
      <c r="K34" s="14" t="n"/>
      <c r="L34" s="14" t="n"/>
    </row>
    <row r="37">
      <c r="A37" s="15" t="inlineStr">
        <is>
          <t>Progress:</t>
        </is>
      </c>
      <c r="G37" s="16">
        <f>TEXT(MIN((COUNTA('Property Basics'!B8:B9,'Property Basics'!B11:B13) + COUNTA('Land Allocation'!B8:B9) + COUNTA('5-Year Property'!C8:C19) + COUNTA('7-Year Property'!C8:C17) + COUNTA('15-Year Property'!C8:C17))/39,1),"0%") &amp; " complete"</f>
        <v/>
      </c>
    </row>
    <row r="39" ht="18" customHeight="1">
      <c r="A39" s="17" t="inlineStr">
        <is>
          <t>① Property Basics</t>
        </is>
      </c>
      <c r="G39" s="18">
        <f>IF(COUNTA('Property Basics'!B8:B9,'Property Basics'!B11:B13)=0,"⏳ Empty","⏳ "&amp;COUNTA('Property Basics'!B8:B9,'Property Basics'!B11:B13)&amp;" of up to 5")</f>
        <v/>
      </c>
      <c r="K39" s="19">
        <f>HYPERLINK("#'Property Basics'!A5","→ go")</f>
        <v/>
      </c>
    </row>
    <row r="40" ht="18" customHeight="1">
      <c r="A40" s="17" t="inlineStr">
        <is>
          <t>② Land Allocation</t>
        </is>
      </c>
      <c r="G40" s="18">
        <f>IF(COUNTA('Land Allocation'!B8:B9)=0,"⏳ Empty","⏳ "&amp;COUNTA('Land Allocation'!B8:B9)&amp;" of up to 2")</f>
        <v/>
      </c>
      <c r="K40" s="19">
        <f>HYPERLINK("#'Land Allocation'!A5","→ go")</f>
        <v/>
      </c>
    </row>
    <row r="41" ht="18" customHeight="1">
      <c r="A41" s="17" t="inlineStr">
        <is>
          <t>③ 5-Year Property</t>
        </is>
      </c>
      <c r="G41" s="18">
        <f>IF(COUNTA('5-Year Property'!C8:C19)=0,"⏳ Empty","⏳ "&amp;COUNTA('5-Year Property'!C8:C19)&amp;" of up to 12")</f>
        <v/>
      </c>
      <c r="K41" s="19">
        <f>HYPERLINK("#'5-Year Property'!A5","→ go")</f>
        <v/>
      </c>
    </row>
    <row r="42" ht="18" customHeight="1">
      <c r="A42" s="17" t="inlineStr">
        <is>
          <t>④ 7-Year Property</t>
        </is>
      </c>
      <c r="G42" s="18">
        <f>IF(COUNTA('7-Year Property'!C8:C17)=0,"○ Skipped (optional)","⏳ "&amp;COUNTA('7-Year Property'!C8:C17)&amp;" item(s) entered")</f>
        <v/>
      </c>
      <c r="K42" s="19">
        <f>HYPERLINK("#'7-Year Property'!A5","→ go")</f>
        <v/>
      </c>
    </row>
    <row r="43" ht="18" customHeight="1">
      <c r="A43" s="17" t="inlineStr">
        <is>
          <t>⑤ 15-Year Property</t>
        </is>
      </c>
      <c r="G43" s="18">
        <f>IF(COUNTA('15-Year Property'!C8:C17)=0,"⏳ Empty","⏳ "&amp;COUNTA('15-Year Property'!C8:C17)&amp;" of up to 10")</f>
        <v/>
      </c>
      <c r="K43" s="19">
        <f>HYPERLINK("#'15-Year Property'!A5","→ go")</f>
        <v/>
      </c>
    </row>
    <row r="46">
      <c r="A46" s="20" t="n"/>
      <c r="B46" s="20" t="n"/>
      <c r="C46" s="20" t="n"/>
      <c r="D46" s="20" t="n"/>
      <c r="E46" s="20" t="n"/>
      <c r="F46" s="20" t="n"/>
      <c r="G46" s="20" t="n"/>
      <c r="H46" s="20" t="n"/>
      <c r="I46" s="20" t="n"/>
      <c r="J46" s="20" t="n"/>
      <c r="K46" s="20" t="n"/>
      <c r="L46" s="20" t="n"/>
    </row>
    <row r="47" ht="18" customHeight="1">
      <c r="A47" s="21" t="inlineStr">
        <is>
          <t>Questions? hello@thestrledger.com</t>
        </is>
      </c>
    </row>
    <row r="48" ht="18" customHeight="1">
      <c r="A48" s="22" t="inlineStr">
        <is>
          <t>TAX-010 · v2.3 · Free updates forever</t>
        </is>
      </c>
    </row>
  </sheetData>
  <mergeCells count="38">
    <mergeCell ref="A41:F41"/>
    <mergeCell ref="H26:L26"/>
    <mergeCell ref="A7:L7"/>
    <mergeCell ref="G37:L37"/>
    <mergeCell ref="B25:F25"/>
    <mergeCell ref="A37:F37"/>
    <mergeCell ref="A31:L34"/>
    <mergeCell ref="G41:J41"/>
    <mergeCell ref="A13:D13"/>
    <mergeCell ref="E14:H19"/>
    <mergeCell ref="A2:F2"/>
    <mergeCell ref="I13:L13"/>
    <mergeCell ref="G40:J40"/>
    <mergeCell ref="A42:F42"/>
    <mergeCell ref="H25:L25"/>
    <mergeCell ref="A47:L47"/>
    <mergeCell ref="A5:L5"/>
    <mergeCell ref="A23:L23"/>
    <mergeCell ref="G43:J43"/>
    <mergeCell ref="K41:L41"/>
    <mergeCell ref="K40:L40"/>
    <mergeCell ref="A4:L4"/>
    <mergeCell ref="G42:J42"/>
    <mergeCell ref="A43:F43"/>
    <mergeCell ref="K43:L43"/>
    <mergeCell ref="G39:J39"/>
    <mergeCell ref="K42:L42"/>
    <mergeCell ref="A40:F40"/>
    <mergeCell ref="K39:L39"/>
    <mergeCell ref="A39:F39"/>
    <mergeCell ref="A14:D19"/>
    <mergeCell ref="E13:H13"/>
    <mergeCell ref="A48:L48"/>
    <mergeCell ref="I14:L19"/>
    <mergeCell ref="B24:F24"/>
    <mergeCell ref="A11:L11"/>
    <mergeCell ref="H24:L24"/>
    <mergeCell ref="B26:F26"/>
  </mergeCells>
  <pageMargins left="0.5" right="0.5" top="0.5" bottom="0.5" header="0.5" footer="0.5"/>
  <pageSetup orientation="portrait" paperSize="1" fitToHeight="1" fitToWidth="1"/>
</worksheet>
</file>

<file path=xl/worksheets/sheet2.xml><?xml version="1.0" encoding="utf-8"?>
<worksheet xmlns="http://schemas.openxmlformats.org/spreadsheetml/2006/main">
  <sheetPr>
    <tabColor rgb="00F6EFE2"/>
    <outlinePr summaryBelow="1" summaryRight="1"/>
    <pageSetUpPr/>
  </sheetPr>
  <dimension ref="A1:L20"/>
  <sheetViews>
    <sheetView workbookViewId="0">
      <selection activeCell="A1" sqref="A1"/>
    </sheetView>
  </sheetViews>
  <sheetFormatPr baseColWidth="8" defaultRowHeight="15"/>
  <cols>
    <col width="44" customWidth="1" min="1" max="1"/>
    <col width="26" customWidth="1" min="2" max="2"/>
    <col width="6"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3">
        <f>HYPERLINK("#'Start'!A1", "← START")</f>
        <v/>
      </c>
      <c r="B2" s="14" t="n"/>
      <c r="C2" s="14" t="n"/>
      <c r="D2" s="23" t="inlineStr">
        <is>
          <t>SECTION 1 OF 5</t>
        </is>
      </c>
      <c r="J2" s="24">
        <f>HYPERLINK("#'Land Allocation'!A5", "NEXT →")</f>
        <v/>
      </c>
      <c r="K2" s="25" t="n"/>
      <c r="L2" s="25" t="n"/>
    </row>
    <row r="3" ht="6" customHeight="1">
      <c r="A3" s="1" t="n"/>
      <c r="B3" s="1" t="n"/>
      <c r="C3" s="1" t="n"/>
      <c r="D3" s="1" t="n"/>
      <c r="E3" s="1" t="n"/>
      <c r="F3" s="1" t="n"/>
      <c r="G3" s="1" t="n"/>
      <c r="H3" s="1" t="n"/>
      <c r="I3" s="1" t="n"/>
      <c r="J3" s="1" t="n"/>
      <c r="K3" s="1" t="n"/>
      <c r="L3" s="1" t="n"/>
    </row>
    <row r="4" ht="36" customHeight="1">
      <c r="A4" s="26" t="inlineStr">
        <is>
          <t>Property Basics</t>
        </is>
      </c>
    </row>
    <row r="5" ht="18" customHeight="1">
      <c r="A5" s="27" t="inlineStr">
        <is>
          <t>Purchase price, closing costs, placed-in-service date.</t>
        </is>
      </c>
    </row>
    <row r="6" ht="22" customHeight="1">
      <c r="A6" s="28" t="inlineStr">
        <is>
          <t>Fill the highlighted fields below.</t>
        </is>
      </c>
    </row>
    <row r="7" ht="20" customHeight="1">
      <c r="A7" s="29" t="inlineStr">
        <is>
          <t>PURCHASE + PLACED-IN-SERVICE</t>
        </is>
      </c>
    </row>
    <row r="8" ht="22" customHeight="1">
      <c r="A8" s="30" t="inlineStr">
        <is>
          <t>Purchase price ($):</t>
        </is>
      </c>
      <c r="B8" s="31" t="n">
        <v>480000</v>
      </c>
      <c r="C8" s="32" t="n"/>
      <c r="D8" s="32" t="n"/>
      <c r="E8" s="32" t="n"/>
      <c r="F8" s="32" t="n"/>
      <c r="G8" s="32" t="n"/>
      <c r="H8" s="32" t="n"/>
      <c r="I8" s="32" t="n"/>
      <c r="J8" s="32" t="n"/>
      <c r="K8" s="32" t="n"/>
      <c r="L8" s="33" t="n"/>
    </row>
    <row r="9" ht="22" customHeight="1">
      <c r="A9" s="34" t="inlineStr">
        <is>
          <t>Capitalizable closing/title costs ($):</t>
        </is>
      </c>
      <c r="B9" s="35" t="n">
        <v>8000</v>
      </c>
      <c r="C9" s="6" t="n"/>
      <c r="D9" s="6" t="n"/>
      <c r="E9" s="6" t="n"/>
      <c r="F9" s="6" t="n"/>
      <c r="G9" s="6" t="n"/>
      <c r="H9" s="6" t="n"/>
      <c r="I9" s="6" t="n"/>
      <c r="J9" s="6" t="n"/>
      <c r="K9" s="6" t="n"/>
      <c r="L9" s="36" t="n"/>
    </row>
    <row r="10" ht="22" customHeight="1">
      <c r="A10" s="37" t="inlineStr">
        <is>
          <t>TOTAL BASIS:</t>
        </is>
      </c>
      <c r="B10" s="38">
        <f>B8+B9</f>
        <v/>
      </c>
      <c r="C10" s="6" t="n"/>
      <c r="D10" s="6" t="n"/>
      <c r="E10" s="6" t="n"/>
      <c r="F10" s="6" t="n"/>
      <c r="G10" s="6" t="n"/>
      <c r="H10" s="6" t="n"/>
      <c r="I10" s="6" t="n"/>
      <c r="J10" s="6" t="n"/>
      <c r="K10" s="6" t="n"/>
      <c r="L10" s="36" t="n"/>
    </row>
    <row r="11" ht="22" customHeight="1">
      <c r="A11" s="34" t="inlineStr">
        <is>
          <t>Property address:</t>
        </is>
      </c>
      <c r="B11" s="39" t="inlineStr">
        <is>
          <t>1247 Wears Valley Rd, Sevierville TN 37862</t>
        </is>
      </c>
      <c r="C11" s="6" t="n"/>
      <c r="D11" s="6" t="n"/>
      <c r="E11" s="6" t="n"/>
      <c r="F11" s="6" t="n"/>
      <c r="G11" s="6" t="n"/>
      <c r="H11" s="6" t="n"/>
      <c r="I11" s="6" t="n"/>
      <c r="J11" s="6" t="n"/>
      <c r="K11" s="6" t="n"/>
      <c r="L11" s="36" t="n"/>
    </row>
    <row r="12" ht="22" customHeight="1">
      <c r="A12" s="34" t="inlineStr">
        <is>
          <t>Placed-in-service date:</t>
        </is>
      </c>
      <c r="B12" s="40" t="n">
        <v>46127</v>
      </c>
      <c r="C12" s="6" t="n"/>
      <c r="D12" s="6" t="n"/>
      <c r="E12" s="6" t="n"/>
      <c r="F12" s="6" t="n"/>
      <c r="G12" s="6" t="n"/>
      <c r="H12" s="6" t="n"/>
      <c r="I12" s="6" t="n"/>
      <c r="J12" s="6" t="n"/>
      <c r="K12" s="6" t="n"/>
      <c r="L12" s="36" t="n"/>
    </row>
    <row r="13" ht="22" customHeight="1">
      <c r="A13" s="41" t="inlineStr">
        <is>
          <t>Schedule classification:</t>
        </is>
      </c>
      <c r="B13" s="42" t="inlineStr">
        <is>
          <t>Schedule E (passive)</t>
        </is>
      </c>
      <c r="C13" s="43" t="n"/>
      <c r="D13" s="43" t="n"/>
      <c r="E13" s="43" t="n"/>
      <c r="F13" s="43" t="n"/>
      <c r="G13" s="43" t="n"/>
      <c r="H13" s="43" t="n"/>
      <c r="I13" s="43" t="n"/>
      <c r="J13" s="43" t="n"/>
      <c r="K13" s="43" t="n"/>
      <c r="L13" s="44" t="n"/>
    </row>
    <row r="15" ht="38" customHeight="1">
      <c r="A15" s="45" t="inlineStr">
        <is>
          <t>ⓘ Capitalizable closing costs include title insurance, recording fees, transfer taxes, attorney fees, and survey costs — NOT prepaid insurance, prepaid property tax, or financing points (those are deducted differently). Your settlement statement (HUD-1 / Closing Disclosure) lists each line item — when in doubt, ask your CPA which lines are capitalizable.</t>
        </is>
      </c>
    </row>
    <row r="17" ht="38" customHeight="1">
      <c r="A17" s="45" t="inlineStr">
        <is>
          <t>ⓘ Placed-in-service date drives the 27.5-year mid-month convention for the building residual. Most STRs are placed in service the day they're first marketed for rental (listing live + photos), not the closing date. Document this with your first listing screenshot.</t>
        </is>
      </c>
    </row>
    <row r="19" ht="22" customHeight="1">
      <c r="A19" s="46">
        <f>HYPERLINK("#'Start'!A1", "← Back: Start")</f>
        <v/>
      </c>
      <c r="B19" s="47" t="n"/>
      <c r="C19" s="47" t="n"/>
      <c r="D19" s="47" t="n"/>
      <c r="E19" s="47" t="n"/>
      <c r="F19" s="47" t="n"/>
      <c r="G19" s="46">
        <f>HYPERLINK("#'Land Allocation'!A5", "Next: Land Allocation →")</f>
        <v/>
      </c>
      <c r="H19" s="47" t="n"/>
      <c r="I19" s="47" t="n"/>
      <c r="J19" s="47" t="n"/>
      <c r="K19" s="47" t="n"/>
      <c r="L19" s="47" t="n"/>
    </row>
    <row r="20" ht="22" customHeight="1">
      <c r="A20" s="47" t="n"/>
      <c r="B20" s="47" t="n"/>
      <c r="C20" s="47" t="n"/>
      <c r="D20" s="47" t="n"/>
      <c r="E20" s="47" t="n"/>
      <c r="F20" s="47" t="n"/>
      <c r="G20" s="47" t="n"/>
      <c r="H20" s="47" t="n"/>
      <c r="I20" s="47" t="n"/>
      <c r="J20" s="47" t="n"/>
      <c r="K20" s="47" t="n"/>
      <c r="L20" s="47" t="n"/>
    </row>
  </sheetData>
  <mergeCells count="11">
    <mergeCell ref="J2:L2"/>
    <mergeCell ref="D2:I2"/>
    <mergeCell ref="A7:L7"/>
    <mergeCell ref="A15:L15"/>
    <mergeCell ref="A19:F20"/>
    <mergeCell ref="G19:L20"/>
    <mergeCell ref="A5:L5"/>
    <mergeCell ref="A6:L6"/>
    <mergeCell ref="A17:L17"/>
    <mergeCell ref="A2:C2"/>
    <mergeCell ref="A4:L4"/>
  </mergeCells>
  <dataValidations count="1">
    <dataValidation sqref="B13" showDropDown="0" showInputMessage="0" showErrorMessage="0" allowBlank="1" type="list">
      <formula1>"Schedule E (passive),Schedule C (active),Ask my CPA"</formula1>
    </dataValidation>
  </dataValidations>
  <pageMargins left="0.75" right="0.75" top="1" bottom="1" header="0.5" footer="0.5"/>
</worksheet>
</file>

<file path=xl/worksheets/sheet3.xml><?xml version="1.0" encoding="utf-8"?>
<worksheet xmlns="http://schemas.openxmlformats.org/spreadsheetml/2006/main">
  <sheetPr>
    <tabColor rgb="00F6EFE2"/>
    <outlinePr summaryBelow="1" summaryRight="1"/>
    <pageSetUpPr/>
  </sheetPr>
  <dimension ref="A1:L22"/>
  <sheetViews>
    <sheetView workbookViewId="0">
      <selection activeCell="A1" sqref="A1"/>
    </sheetView>
  </sheetViews>
  <sheetFormatPr baseColWidth="8" defaultRowHeight="15"/>
  <cols>
    <col width="44" customWidth="1" min="1" max="1"/>
    <col width="26" customWidth="1" min="2" max="2"/>
    <col width="6"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3">
        <f>HYPERLINK("#'Property Basics'!A5", "← BACK")</f>
        <v/>
      </c>
      <c r="B2" s="14" t="n"/>
      <c r="C2" s="14" t="n"/>
      <c r="D2" s="23" t="inlineStr">
        <is>
          <t>SECTION 2 OF 5</t>
        </is>
      </c>
      <c r="J2" s="24">
        <f>HYPERLINK("#'5-Year Property'!A5", "NEXT →")</f>
        <v/>
      </c>
      <c r="K2" s="25" t="n"/>
      <c r="L2" s="25" t="n"/>
    </row>
    <row r="3" ht="6" customHeight="1">
      <c r="A3" s="1" t="n"/>
      <c r="B3" s="1" t="n"/>
      <c r="C3" s="1" t="n"/>
      <c r="D3" s="1" t="n"/>
      <c r="E3" s="1" t="n"/>
      <c r="F3" s="1" t="n"/>
      <c r="G3" s="1" t="n"/>
      <c r="H3" s="1" t="n"/>
      <c r="I3" s="1" t="n"/>
      <c r="J3" s="1" t="n"/>
      <c r="K3" s="1" t="n"/>
      <c r="L3" s="1" t="n"/>
    </row>
    <row r="4" ht="36" customHeight="1">
      <c r="A4" s="26" t="inlineStr">
        <is>
          <t>Land Allocation</t>
        </is>
      </c>
    </row>
    <row r="5" ht="18" customHeight="1">
      <c r="A5" s="27" t="inlineStr">
        <is>
          <t>County tax assessor ratio method — separates land from depreciable basis.</t>
        </is>
      </c>
    </row>
    <row r="6" ht="22" customHeight="1">
      <c r="A6" s="28" t="inlineStr">
        <is>
          <t>Look up your county tax assessor's land + improvements values for the property — usually free online.</t>
        </is>
      </c>
    </row>
    <row r="7" ht="20" customHeight="1">
      <c r="A7" s="29" t="inlineStr">
        <is>
          <t>COUNTY TAX ASSESSOR RATIO</t>
        </is>
      </c>
    </row>
    <row r="8" ht="22" customHeight="1">
      <c r="A8" s="30" t="inlineStr">
        <is>
          <t>County tax assessor — LAND value ($):</t>
        </is>
      </c>
      <c r="B8" s="31" t="n">
        <v>80000</v>
      </c>
      <c r="C8" s="32" t="n"/>
      <c r="D8" s="32" t="n"/>
      <c r="E8" s="32" t="n"/>
      <c r="F8" s="32" t="n"/>
      <c r="G8" s="32" t="n"/>
      <c r="H8" s="32" t="n"/>
      <c r="I8" s="32" t="n"/>
      <c r="J8" s="32" t="n"/>
      <c r="K8" s="32" t="n"/>
      <c r="L8" s="33" t="n"/>
    </row>
    <row r="9" ht="22" customHeight="1">
      <c r="A9" s="34" t="inlineStr">
        <is>
          <t>County tax assessor — IMPROVEMENTS value ($):</t>
        </is>
      </c>
      <c r="B9" s="35" t="n">
        <v>408000</v>
      </c>
      <c r="C9" s="6" t="n"/>
      <c r="D9" s="6" t="n"/>
      <c r="E9" s="6" t="n"/>
      <c r="F9" s="6" t="n"/>
      <c r="G9" s="6" t="n"/>
      <c r="H9" s="6" t="n"/>
      <c r="I9" s="6" t="n"/>
      <c r="J9" s="6" t="n"/>
      <c r="K9" s="6" t="n"/>
      <c r="L9" s="36" t="n"/>
    </row>
    <row r="10" ht="22" customHeight="1">
      <c r="A10" s="34" t="inlineStr">
        <is>
          <t>County total (land + improvements):</t>
        </is>
      </c>
      <c r="B10" s="48">
        <f>B8+B9</f>
        <v/>
      </c>
      <c r="C10" s="6" t="n"/>
      <c r="D10" s="6" t="n"/>
      <c r="E10" s="6" t="n"/>
      <c r="F10" s="6" t="n"/>
      <c r="G10" s="6" t="n"/>
      <c r="H10" s="6" t="n"/>
      <c r="I10" s="6" t="n"/>
      <c r="J10" s="6" t="n"/>
      <c r="K10" s="6" t="n"/>
      <c r="L10" s="36" t="n"/>
    </row>
    <row r="11" ht="22" customHeight="1">
      <c r="A11" s="34" t="inlineStr">
        <is>
          <t>Land ratio (land ÷ county total):</t>
        </is>
      </c>
      <c r="B11" s="49">
        <f>IFERROR(B8/B10,0)</f>
        <v/>
      </c>
      <c r="C11" s="6" t="n"/>
      <c r="D11" s="6" t="n"/>
      <c r="E11" s="6" t="n"/>
      <c r="F11" s="6" t="n"/>
      <c r="G11" s="6" t="n"/>
      <c r="H11" s="6" t="n"/>
      <c r="I11" s="6" t="n"/>
      <c r="J11" s="6" t="n"/>
      <c r="K11" s="6" t="n"/>
      <c r="L11" s="36" t="n"/>
    </row>
    <row r="12" ht="22" customHeight="1">
      <c r="A12" s="37" t="inlineStr">
        <is>
          <t>ALLOCATED LAND ($) — non-depreciable:</t>
        </is>
      </c>
      <c r="B12" s="50">
        <f>'Property Basics'!B10*B11</f>
        <v/>
      </c>
      <c r="C12" s="6" t="n"/>
      <c r="D12" s="6" t="n"/>
      <c r="E12" s="6" t="n"/>
      <c r="F12" s="6" t="n"/>
      <c r="G12" s="6" t="n"/>
      <c r="H12" s="6" t="n"/>
      <c r="I12" s="6" t="n"/>
      <c r="J12" s="6" t="n"/>
      <c r="K12" s="6" t="n"/>
      <c r="L12" s="36" t="n"/>
    </row>
    <row r="13" ht="22" customHeight="1">
      <c r="A13" s="51" t="inlineStr">
        <is>
          <t>DEPRECIABLE IMPROVEMENTS BASIS:</t>
        </is>
      </c>
      <c r="B13" s="52">
        <f>'Property Basics'!B10-B12</f>
        <v/>
      </c>
      <c r="C13" s="43" t="n"/>
      <c r="D13" s="43" t="n"/>
      <c r="E13" s="43" t="n"/>
      <c r="F13" s="43" t="n"/>
      <c r="G13" s="43" t="n"/>
      <c r="H13" s="43" t="n"/>
      <c r="I13" s="43" t="n"/>
      <c r="J13" s="43" t="n"/>
      <c r="K13" s="43" t="n"/>
      <c r="L13" s="44" t="n"/>
    </row>
    <row r="15" ht="30" customHeight="1">
      <c r="A15" s="53">
        <f>IF(B11=0,"",IF(B11&lt;0.1,"⚠ Land ratio under 10% — confirm county assessor values are correct. STR land is rarely below 10%.",IF(B11&gt;0.35,"⚠ Land ratio over 35% — confirm county assessor values. High land ratio reduces depreciable basis significantly.","")))</f>
        <v/>
      </c>
    </row>
    <row r="17" ht="38" customHeight="1">
      <c r="A17" s="45" t="inlineStr">
        <is>
          <t>ⓘ The county tax assessor ratio method is the default IRS-accepted approach for DIY land allocation. Alternatives: (a) use the appraisal report's land value if your purchase appraisal broke it out, or (b) hire a land appraiser for ~$300 if you believe the county ratio is unreasonable. Document whichever method you use in the Launch tab's methodology block.</t>
        </is>
      </c>
    </row>
    <row r="19" ht="38" customHeight="1">
      <c r="A19" s="45" t="inlineStr">
        <is>
          <t>ⓘ Land is NEVER depreciable — this is the single most-audited line in cost segregation. Auditors compare your land allocation to county records. If you allocate less to land than the county does, be prepared to defend why (e.g., appraisal report, comparable sales).</t>
        </is>
      </c>
    </row>
    <row r="21" ht="22" customHeight="1">
      <c r="A21" s="46">
        <f>HYPERLINK("#'Property Basics'!A5", "← Back: Property Basics")</f>
        <v/>
      </c>
      <c r="B21" s="47" t="n"/>
      <c r="C21" s="47" t="n"/>
      <c r="D21" s="47" t="n"/>
      <c r="E21" s="47" t="n"/>
      <c r="F21" s="47" t="n"/>
      <c r="G21" s="46">
        <f>HYPERLINK("#'5-Year Property'!A5", "Next: 5-Year Property →")</f>
        <v/>
      </c>
      <c r="H21" s="47" t="n"/>
      <c r="I21" s="47" t="n"/>
      <c r="J21" s="47" t="n"/>
      <c r="K21" s="47" t="n"/>
      <c r="L21" s="47" t="n"/>
    </row>
    <row r="22" ht="22" customHeight="1">
      <c r="A22" s="47" t="n"/>
      <c r="B22" s="47" t="n"/>
      <c r="C22" s="47" t="n"/>
      <c r="D22" s="47" t="n"/>
      <c r="E22" s="47" t="n"/>
      <c r="F22" s="47" t="n"/>
      <c r="G22" s="47" t="n"/>
      <c r="H22" s="47" t="n"/>
      <c r="I22" s="47" t="n"/>
      <c r="J22" s="47" t="n"/>
      <c r="K22" s="47" t="n"/>
      <c r="L22" s="47" t="n"/>
    </row>
  </sheetData>
  <mergeCells count="12">
    <mergeCell ref="G21:L22"/>
    <mergeCell ref="J2:L2"/>
    <mergeCell ref="D2:I2"/>
    <mergeCell ref="A7:L7"/>
    <mergeCell ref="A15:L15"/>
    <mergeCell ref="A19:L19"/>
    <mergeCell ref="A5:L5"/>
    <mergeCell ref="A21:F22"/>
    <mergeCell ref="A6:L6"/>
    <mergeCell ref="A17:L17"/>
    <mergeCell ref="A2:C2"/>
    <mergeCell ref="A4:L4"/>
  </mergeCells>
  <pageMargins left="0.75" right="0.75" top="1" bottom="1" header="0.5" footer="0.5"/>
</worksheet>
</file>

<file path=xl/worksheets/sheet4.xml><?xml version="1.0" encoding="utf-8"?>
<worksheet xmlns="http://schemas.openxmlformats.org/spreadsheetml/2006/main">
  <sheetPr>
    <tabColor rgb="00F6EFE2"/>
    <outlinePr summaryBelow="1" summaryRight="1"/>
    <pageSetUpPr/>
  </sheetPr>
  <dimension ref="A1:L27"/>
  <sheetViews>
    <sheetView workbookViewId="0">
      <selection activeCell="A1" sqref="A1"/>
    </sheetView>
  </sheetViews>
  <sheetFormatPr baseColWidth="8" defaultRowHeight="15"/>
  <cols>
    <col width="6" customWidth="1" min="1" max="1"/>
    <col width="50" customWidth="1" min="2" max="2"/>
    <col width="1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s>
  <sheetData>
    <row r="1" ht="8" customHeight="1">
      <c r="A1" s="1" t="n"/>
      <c r="B1" s="1" t="n"/>
      <c r="C1" s="1" t="n"/>
      <c r="D1" s="1" t="n"/>
      <c r="E1" s="1" t="n"/>
      <c r="F1" s="1" t="n"/>
      <c r="G1" s="1" t="n"/>
      <c r="H1" s="1" t="n"/>
      <c r="I1" s="1" t="n"/>
      <c r="J1" s="1" t="n"/>
      <c r="K1" s="1" t="n"/>
      <c r="L1" s="1" t="n"/>
    </row>
    <row r="2" ht="28" customHeight="1">
      <c r="A2" s="13">
        <f>HYPERLINK("#'Land Allocation'!A5", "← BACK")</f>
        <v/>
      </c>
      <c r="B2" s="14" t="n"/>
      <c r="C2" s="14" t="n"/>
      <c r="D2" s="23" t="inlineStr">
        <is>
          <t>SECTION 3 OF 5</t>
        </is>
      </c>
      <c r="J2" s="24">
        <f>HYPERLINK("#'7-Year Property'!A5", "NEXT →")</f>
        <v/>
      </c>
      <c r="K2" s="25" t="n"/>
      <c r="L2" s="25" t="n"/>
    </row>
    <row r="3" ht="6" customHeight="1">
      <c r="A3" s="1" t="n"/>
      <c r="B3" s="1" t="n"/>
      <c r="C3" s="1" t="n"/>
      <c r="D3" s="1" t="n"/>
      <c r="E3" s="1" t="n"/>
      <c r="F3" s="1" t="n"/>
      <c r="G3" s="1" t="n"/>
      <c r="H3" s="1" t="n"/>
      <c r="I3" s="1" t="n"/>
      <c r="J3" s="1" t="n"/>
      <c r="K3" s="1" t="n"/>
      <c r="L3" s="1" t="n"/>
    </row>
    <row r="4" ht="36" customHeight="1">
      <c r="A4" s="26" t="inlineStr">
        <is>
          <t>5-Year Property</t>
        </is>
      </c>
    </row>
    <row r="5" ht="18" customHeight="1">
      <c r="A5" s="27" t="inlineStr">
        <is>
          <t>Carpet, appliances, decorative lighting, hot tub, smart-home gear, etc.</t>
        </is>
      </c>
    </row>
    <row r="6" ht="22" customHeight="1">
      <c r="A6" s="28" t="inlineStr">
        <is>
          <t>5-year MACRS = personal property used in the rental — the highest-value reclassification class for STRs.</t>
        </is>
      </c>
    </row>
    <row r="7" ht="20" customHeight="1">
      <c r="A7" s="54" t="inlineStr">
        <is>
          <t>#</t>
        </is>
      </c>
      <c r="B7" s="54" t="inlineStr">
        <is>
          <t>Item description</t>
        </is>
      </c>
      <c r="C7" s="54" t="inlineStr">
        <is>
          <t>Amount ($)</t>
        </is>
      </c>
      <c r="D7" s="1" t="n"/>
      <c r="E7" s="1" t="n"/>
      <c r="F7" s="1" t="n"/>
      <c r="G7" s="1" t="n"/>
      <c r="H7" s="1" t="n"/>
      <c r="I7" s="1" t="n"/>
      <c r="J7" s="1" t="n"/>
      <c r="K7" s="1" t="n"/>
      <c r="L7" s="1" t="n"/>
    </row>
    <row r="8" ht="18" customHeight="1">
      <c r="A8" s="55" t="n">
        <v>1</v>
      </c>
      <c r="B8" s="56" t="inlineStr">
        <is>
          <t>Whole-home furniture package (3BR)</t>
        </is>
      </c>
      <c r="C8" s="57" t="n">
        <v>32000</v>
      </c>
    </row>
    <row r="9" ht="18" customHeight="1">
      <c r="A9" s="55" t="n">
        <v>2</v>
      </c>
      <c r="B9" s="56" t="inlineStr">
        <is>
          <t>Stainless appliance package (fridge/range/DW/W+D)</t>
        </is>
      </c>
      <c r="C9" s="57" t="n">
        <v>12500</v>
      </c>
    </row>
    <row r="10" ht="18" customHeight="1">
      <c r="A10" s="55" t="n">
        <v>3</v>
      </c>
      <c r="B10" s="56" t="inlineStr">
        <is>
          <t>Hot tub (8-person, installed)</t>
        </is>
      </c>
      <c r="C10" s="57" t="n">
        <v>14500</v>
      </c>
    </row>
    <row r="11" ht="18" customHeight="1">
      <c r="A11" s="55" t="n">
        <v>4</v>
      </c>
      <c r="B11" s="56" t="inlineStr">
        <is>
          <t>Game room equipment (pool table + arcade)</t>
        </is>
      </c>
      <c r="C11" s="57" t="n">
        <v>9800</v>
      </c>
    </row>
    <row r="12" ht="18" customHeight="1">
      <c r="A12" s="55" t="n">
        <v>5</v>
      </c>
      <c r="B12" s="56" t="inlineStr">
        <is>
          <t>Smart TVs + wall mounts × 4</t>
        </is>
      </c>
      <c r="C12" s="57" t="n">
        <v>4500</v>
      </c>
    </row>
    <row r="13" ht="18" customHeight="1">
      <c r="A13" s="55" t="n">
        <v>6</v>
      </c>
      <c r="B13" s="56" t="inlineStr">
        <is>
          <t>Window treatments (custom blackouts × 9)</t>
        </is>
      </c>
      <c r="C13" s="57" t="n">
        <v>4200</v>
      </c>
    </row>
    <row r="14" ht="18" customHeight="1">
      <c r="A14" s="55" t="n">
        <v>7</v>
      </c>
      <c r="B14" s="56" t="inlineStr">
        <is>
          <t>Decorative lighting + ceiling fans</t>
        </is>
      </c>
      <c r="C14" s="57" t="n">
        <v>3800</v>
      </c>
    </row>
    <row r="15" ht="18" customHeight="1">
      <c r="A15" s="55" t="n">
        <v>8</v>
      </c>
      <c r="B15" s="56" t="inlineStr">
        <is>
          <t>Smart locks + Ring camera package</t>
        </is>
      </c>
      <c r="C15" s="57" t="n">
        <v>2200</v>
      </c>
    </row>
    <row r="16" ht="18" customHeight="1">
      <c r="A16" s="55" t="n">
        <v>9</v>
      </c>
      <c r="B16" s="56" t="inlineStr">
        <is>
          <t>Initial linens + kitchenware package</t>
        </is>
      </c>
      <c r="C16" s="57" t="n">
        <v>1500</v>
      </c>
    </row>
    <row r="17" ht="18" customHeight="1">
      <c r="A17" s="55" t="n">
        <v>10</v>
      </c>
      <c r="B17" s="56" t="n"/>
      <c r="C17" s="57" t="n"/>
    </row>
    <row r="18" ht="18" customHeight="1">
      <c r="A18" s="55" t="n">
        <v>11</v>
      </c>
      <c r="B18" s="56" t="n"/>
      <c r="C18" s="57" t="n"/>
    </row>
    <row r="19" ht="18" customHeight="1">
      <c r="A19" s="55" t="n">
        <v>12</v>
      </c>
      <c r="B19" s="56" t="n"/>
      <c r="C19" s="57" t="n"/>
    </row>
    <row r="20" ht="24" customHeight="1">
      <c r="B20" s="58" t="inlineStr">
        <is>
          <t>TOTAL:</t>
        </is>
      </c>
      <c r="C20" s="50">
        <f>SUM(C8:C19)</f>
        <v/>
      </c>
    </row>
    <row r="22" ht="38" customHeight="1">
      <c r="A22" s="45" t="inlineStr">
        <is>
          <t>ⓘ Common 5-year items: appliances (fridge, range, dishwasher, W/D), carpet + area rugs, decorative lighting + ceiling fans, window treatments + blinds, hot tubs + saunas, smart locks + cameras, smart TVs, game-room equipment, initial linens + kitchenware. Some 5-year items also qualify for §179 — see TAX-009 Section 179 Planner.</t>
        </is>
      </c>
    </row>
    <row r="24" ht="38" customHeight="1">
      <c r="A24" s="45" t="inlineStr">
        <is>
          <t>ⓘ For each item, keep supporting documents: vendor invoices, purchase agreement furniture inventory, photos with date metadata, or an inspector report itemization. Vague descriptions ('misc furnishings', 'fixtures') are the #1 audit weak point — be specific and itemized.</t>
        </is>
      </c>
    </row>
    <row r="26" ht="22" customHeight="1">
      <c r="A26" s="46">
        <f>HYPERLINK("#'Land Allocation'!A5", "← Back: Land Allocation")</f>
        <v/>
      </c>
      <c r="B26" s="47" t="n"/>
      <c r="C26" s="47" t="n"/>
      <c r="D26" s="47" t="n"/>
      <c r="E26" s="47" t="n"/>
      <c r="F26" s="47" t="n"/>
      <c r="G26" s="46">
        <f>HYPERLINK("#'7-Year Property'!A5", "Next: 7-Year Property →")</f>
        <v/>
      </c>
      <c r="H26" s="47" t="n"/>
      <c r="I26" s="47" t="n"/>
      <c r="J26" s="47" t="n"/>
      <c r="K26" s="47" t="n"/>
      <c r="L26" s="47" t="n"/>
    </row>
    <row r="27" ht="22" customHeight="1">
      <c r="A27" s="47" t="n"/>
      <c r="B27" s="47" t="n"/>
      <c r="C27" s="47" t="n"/>
      <c r="D27" s="47" t="n"/>
      <c r="E27" s="47" t="n"/>
      <c r="F27" s="47" t="n"/>
      <c r="G27" s="47" t="n"/>
      <c r="H27" s="47" t="n"/>
      <c r="I27" s="47" t="n"/>
      <c r="J27" s="47" t="n"/>
      <c r="K27" s="47" t="n"/>
      <c r="L27" s="47" t="n"/>
    </row>
  </sheetData>
  <mergeCells count="10">
    <mergeCell ref="A24:L24"/>
    <mergeCell ref="J2:L2"/>
    <mergeCell ref="D2:I2"/>
    <mergeCell ref="A5:L5"/>
    <mergeCell ref="G26:L27"/>
    <mergeCell ref="A6:L6"/>
    <mergeCell ref="A22:L22"/>
    <mergeCell ref="A26:F27"/>
    <mergeCell ref="A2:C2"/>
    <mergeCell ref="A4:L4"/>
  </mergeCells>
  <pageMargins left="0.75" right="0.75" top="1" bottom="1" header="0.5" footer="0.5"/>
</worksheet>
</file>

<file path=xl/worksheets/sheet5.xml><?xml version="1.0" encoding="utf-8"?>
<worksheet xmlns="http://schemas.openxmlformats.org/spreadsheetml/2006/main">
  <sheetPr>
    <tabColor rgb="00F6EFE2"/>
    <outlinePr summaryBelow="1" summaryRight="1"/>
    <pageSetUpPr/>
  </sheetPr>
  <dimension ref="A1:L25"/>
  <sheetViews>
    <sheetView workbookViewId="0">
      <selection activeCell="A1" sqref="A1"/>
    </sheetView>
  </sheetViews>
  <sheetFormatPr baseColWidth="8" defaultRowHeight="15"/>
  <cols>
    <col width="6" customWidth="1" min="1" max="1"/>
    <col width="50" customWidth="1" min="2" max="2"/>
    <col width="1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s>
  <sheetData>
    <row r="1" ht="8" customHeight="1">
      <c r="A1" s="1" t="n"/>
      <c r="B1" s="1" t="n"/>
      <c r="C1" s="1" t="n"/>
      <c r="D1" s="1" t="n"/>
      <c r="E1" s="1" t="n"/>
      <c r="F1" s="1" t="n"/>
      <c r="G1" s="1" t="n"/>
      <c r="H1" s="1" t="n"/>
      <c r="I1" s="1" t="n"/>
      <c r="J1" s="1" t="n"/>
      <c r="K1" s="1" t="n"/>
      <c r="L1" s="1" t="n"/>
    </row>
    <row r="2" ht="28" customHeight="1">
      <c r="A2" s="13">
        <f>HYPERLINK("#'5-Year Property'!A5", "← BACK")</f>
        <v/>
      </c>
      <c r="B2" s="14" t="n"/>
      <c r="C2" s="14" t="n"/>
      <c r="D2" s="23" t="inlineStr">
        <is>
          <t>SECTION 4 OF 5</t>
        </is>
      </c>
      <c r="J2" s="24">
        <f>HYPERLINK("#'15-Year Property'!A5", "NEXT →")</f>
        <v/>
      </c>
      <c r="K2" s="25" t="n"/>
      <c r="L2" s="25" t="n"/>
    </row>
    <row r="3" ht="6" customHeight="1">
      <c r="A3" s="1" t="n"/>
      <c r="B3" s="1" t="n"/>
      <c r="C3" s="1" t="n"/>
      <c r="D3" s="1" t="n"/>
      <c r="E3" s="1" t="n"/>
      <c r="F3" s="1" t="n"/>
      <c r="G3" s="1" t="n"/>
      <c r="H3" s="1" t="n"/>
      <c r="I3" s="1" t="n"/>
      <c r="J3" s="1" t="n"/>
      <c r="K3" s="1" t="n"/>
      <c r="L3" s="1" t="n"/>
    </row>
    <row r="4" ht="36" customHeight="1">
      <c r="A4" s="26" t="inlineStr">
        <is>
          <t>7-Year Property</t>
        </is>
      </c>
    </row>
    <row r="5" ht="18" customHeight="1">
      <c r="A5" s="27" t="inlineStr">
        <is>
          <t>Furniture, electronics, kitchen equipment with 7-year recovery.</t>
        </is>
      </c>
    </row>
    <row r="6" ht="22" customHeight="1">
      <c r="A6" s="28" t="inlineStr">
        <is>
          <t>7-year MACRS = office/business furniture and certain equipment. Optional — can be combined into 5-year if simpler.</t>
        </is>
      </c>
    </row>
    <row r="7" ht="20" customHeight="1">
      <c r="A7" s="54" t="inlineStr">
        <is>
          <t>#</t>
        </is>
      </c>
      <c r="B7" s="54" t="inlineStr">
        <is>
          <t>Item description</t>
        </is>
      </c>
      <c r="C7" s="54" t="inlineStr">
        <is>
          <t>Amount ($)</t>
        </is>
      </c>
      <c r="D7" s="1" t="n"/>
      <c r="E7" s="1" t="n"/>
      <c r="F7" s="1" t="n"/>
      <c r="G7" s="1" t="n"/>
      <c r="H7" s="1" t="n"/>
      <c r="I7" s="1" t="n"/>
      <c r="J7" s="1" t="n"/>
      <c r="K7" s="1" t="n"/>
      <c r="L7" s="1" t="n"/>
    </row>
    <row r="8" ht="18" customHeight="1">
      <c r="A8" s="55" t="n">
        <v>1</v>
      </c>
      <c r="B8" s="56" t="n"/>
      <c r="C8" s="57" t="n"/>
    </row>
    <row r="9" ht="18" customHeight="1">
      <c r="A9" s="55" t="n">
        <v>2</v>
      </c>
      <c r="B9" s="56" t="n"/>
      <c r="C9" s="57" t="n"/>
    </row>
    <row r="10" ht="18" customHeight="1">
      <c r="A10" s="55" t="n">
        <v>3</v>
      </c>
      <c r="B10" s="56" t="n"/>
      <c r="C10" s="57" t="n"/>
    </row>
    <row r="11" ht="18" customHeight="1">
      <c r="A11" s="55" t="n">
        <v>4</v>
      </c>
      <c r="B11" s="56" t="n"/>
      <c r="C11" s="57" t="n"/>
    </row>
    <row r="12" ht="18" customHeight="1">
      <c r="A12" s="55" t="n">
        <v>5</v>
      </c>
      <c r="B12" s="56" t="n"/>
      <c r="C12" s="57" t="n"/>
    </row>
    <row r="13" ht="18" customHeight="1">
      <c r="A13" s="55" t="n">
        <v>6</v>
      </c>
      <c r="B13" s="56" t="n"/>
      <c r="C13" s="57" t="n"/>
    </row>
    <row r="14" ht="18" customHeight="1">
      <c r="A14" s="55" t="n">
        <v>7</v>
      </c>
      <c r="B14" s="56" t="n"/>
      <c r="C14" s="57" t="n"/>
    </row>
    <row r="15" ht="18" customHeight="1">
      <c r="A15" s="55" t="n">
        <v>8</v>
      </c>
      <c r="B15" s="56" t="n"/>
      <c r="C15" s="57" t="n"/>
    </row>
    <row r="16" ht="18" customHeight="1">
      <c r="A16" s="55" t="n">
        <v>9</v>
      </c>
      <c r="B16" s="56" t="n"/>
      <c r="C16" s="57" t="n"/>
    </row>
    <row r="17" ht="18" customHeight="1">
      <c r="A17" s="55" t="n">
        <v>10</v>
      </c>
      <c r="B17" s="56" t="n"/>
      <c r="C17" s="57" t="n"/>
    </row>
    <row r="18" ht="24" customHeight="1">
      <c r="B18" s="58" t="inlineStr">
        <is>
          <t>TOTAL:</t>
        </is>
      </c>
      <c r="C18" s="50">
        <f>SUM(C8:C17)</f>
        <v/>
      </c>
    </row>
    <row r="20" ht="38" customHeight="1">
      <c r="A20" s="45" t="inlineStr">
        <is>
          <t>ⓘ Common 7-year items: office furniture (if you have a workspace in the rental), some commercial-grade kitchen equipment, agricultural or specialty equipment. Most STR personal property fits better in 5-year — leave this tab empty if your items are clearly 5-year.</t>
        </is>
      </c>
    </row>
    <row r="22" ht="38" customHeight="1">
      <c r="A22" s="45" t="inlineStr">
        <is>
          <t>ⓘ For each item, keep supporting documents: vendor invoices, purchase agreement furniture inventory, photos with date metadata, or an inspector report itemization. Vague descriptions ('misc furnishings', 'fixtures') are the #1 audit weak point — be specific and itemized.</t>
        </is>
      </c>
    </row>
    <row r="24" ht="22" customHeight="1">
      <c r="A24" s="46">
        <f>HYPERLINK("#'5-Year Property'!A5", "← Back: 5-Year Property")</f>
        <v/>
      </c>
      <c r="B24" s="47" t="n"/>
      <c r="C24" s="47" t="n"/>
      <c r="D24" s="47" t="n"/>
      <c r="E24" s="47" t="n"/>
      <c r="F24" s="47" t="n"/>
      <c r="G24" s="46">
        <f>HYPERLINK("#'15-Year Property'!A5", "Next: 15-Year Property →")</f>
        <v/>
      </c>
      <c r="H24" s="47" t="n"/>
      <c r="I24" s="47" t="n"/>
      <c r="J24" s="47" t="n"/>
      <c r="K24" s="47" t="n"/>
      <c r="L24" s="47" t="n"/>
    </row>
    <row r="25" ht="22" customHeight="1">
      <c r="A25" s="47" t="n"/>
      <c r="B25" s="47" t="n"/>
      <c r="C25" s="47" t="n"/>
      <c r="D25" s="47" t="n"/>
      <c r="E25" s="47" t="n"/>
      <c r="F25" s="47" t="n"/>
      <c r="G25" s="47" t="n"/>
      <c r="H25" s="47" t="n"/>
      <c r="I25" s="47" t="n"/>
      <c r="J25" s="47" t="n"/>
      <c r="K25" s="47" t="n"/>
      <c r="L25" s="47" t="n"/>
    </row>
  </sheetData>
  <mergeCells count="10">
    <mergeCell ref="A20:L20"/>
    <mergeCell ref="J2:L2"/>
    <mergeCell ref="D2:I2"/>
    <mergeCell ref="G24:L25"/>
    <mergeCell ref="A5:L5"/>
    <mergeCell ref="A6:L6"/>
    <mergeCell ref="A22:L22"/>
    <mergeCell ref="A24:F25"/>
    <mergeCell ref="A2:C2"/>
    <mergeCell ref="A4:L4"/>
  </mergeCells>
  <pageMargins left="0.75" right="0.75" top="1" bottom="1" header="0.5" footer="0.5"/>
</worksheet>
</file>

<file path=xl/worksheets/sheet6.xml><?xml version="1.0" encoding="utf-8"?>
<worksheet xmlns="http://schemas.openxmlformats.org/spreadsheetml/2006/main">
  <sheetPr>
    <tabColor rgb="00F6EFE2"/>
    <outlinePr summaryBelow="1" summaryRight="1"/>
    <pageSetUpPr/>
  </sheetPr>
  <dimension ref="A1:L25"/>
  <sheetViews>
    <sheetView workbookViewId="0">
      <selection activeCell="A1" sqref="A1"/>
    </sheetView>
  </sheetViews>
  <sheetFormatPr baseColWidth="8" defaultRowHeight="15"/>
  <cols>
    <col width="6" customWidth="1" min="1" max="1"/>
    <col width="50" customWidth="1" min="2" max="2"/>
    <col width="16"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s>
  <sheetData>
    <row r="1" ht="8" customHeight="1">
      <c r="A1" s="1" t="n"/>
      <c r="B1" s="1" t="n"/>
      <c r="C1" s="1" t="n"/>
      <c r="D1" s="1" t="n"/>
      <c r="E1" s="1" t="n"/>
      <c r="F1" s="1" t="n"/>
      <c r="G1" s="1" t="n"/>
      <c r="H1" s="1" t="n"/>
      <c r="I1" s="1" t="n"/>
      <c r="J1" s="1" t="n"/>
      <c r="K1" s="1" t="n"/>
      <c r="L1" s="1" t="n"/>
    </row>
    <row r="2" ht="28" customHeight="1">
      <c r="A2" s="13">
        <f>HYPERLINK("#'7-Year Property'!A5", "← BACK")</f>
        <v/>
      </c>
      <c r="B2" s="14" t="n"/>
      <c r="C2" s="14" t="n"/>
      <c r="D2" s="23" t="inlineStr">
        <is>
          <t>SECTION 5 OF 5</t>
        </is>
      </c>
      <c r="J2" s="24">
        <f>HYPERLINK("#'Y1 Summary'!A5", "NEXT →")</f>
        <v/>
      </c>
      <c r="K2" s="25" t="n"/>
      <c r="L2" s="25" t="n"/>
    </row>
    <row r="3" ht="6" customHeight="1">
      <c r="A3" s="1" t="n"/>
      <c r="B3" s="1" t="n"/>
      <c r="C3" s="1" t="n"/>
      <c r="D3" s="1" t="n"/>
      <c r="E3" s="1" t="n"/>
      <c r="F3" s="1" t="n"/>
      <c r="G3" s="1" t="n"/>
      <c r="H3" s="1" t="n"/>
      <c r="I3" s="1" t="n"/>
      <c r="J3" s="1" t="n"/>
      <c r="K3" s="1" t="n"/>
      <c r="L3" s="1" t="n"/>
    </row>
    <row r="4" ht="36" customHeight="1">
      <c r="A4" s="26" t="inlineStr">
        <is>
          <t>15-Year Property</t>
        </is>
      </c>
    </row>
    <row r="5" ht="18" customHeight="1">
      <c r="A5" s="27" t="inlineStr">
        <is>
          <t>Land improvements — driveway, landscaping, fencing, exterior lighting.</t>
        </is>
      </c>
    </row>
    <row r="6" ht="22" customHeight="1">
      <c r="A6" s="28" t="inlineStr">
        <is>
          <t>15-year MACRS = land improvements. NOT the land itself — things attached to or done to the land outside the building.</t>
        </is>
      </c>
    </row>
    <row r="7" ht="20" customHeight="1">
      <c r="A7" s="54" t="inlineStr">
        <is>
          <t>#</t>
        </is>
      </c>
      <c r="B7" s="54" t="inlineStr">
        <is>
          <t>Item description</t>
        </is>
      </c>
      <c r="C7" s="54" t="inlineStr">
        <is>
          <t>Amount ($)</t>
        </is>
      </c>
      <c r="D7" s="1" t="n"/>
      <c r="E7" s="1" t="n"/>
      <c r="F7" s="1" t="n"/>
      <c r="G7" s="1" t="n"/>
      <c r="H7" s="1" t="n"/>
      <c r="I7" s="1" t="n"/>
      <c r="J7" s="1" t="n"/>
      <c r="K7" s="1" t="n"/>
      <c r="L7" s="1" t="n"/>
    </row>
    <row r="8" ht="18" customHeight="1">
      <c r="A8" s="55" t="n">
        <v>1</v>
      </c>
      <c r="B8" s="56" t="inlineStr">
        <is>
          <t>Hot tub deck + stairs</t>
        </is>
      </c>
      <c r="C8" s="57" t="n">
        <v>7000</v>
      </c>
    </row>
    <row r="9" ht="18" customHeight="1">
      <c r="A9" s="55" t="n">
        <v>2</v>
      </c>
      <c r="B9" s="56" t="inlineStr">
        <is>
          <t>Privacy fence (back yard, 220 ft)</t>
        </is>
      </c>
      <c r="C9" s="57" t="n">
        <v>6500</v>
      </c>
    </row>
    <row r="10" ht="18" customHeight="1">
      <c r="A10" s="55" t="n">
        <v>3</v>
      </c>
      <c r="B10" s="56" t="inlineStr">
        <is>
          <t>Gravel driveway extension + parking</t>
        </is>
      </c>
      <c r="C10" s="57" t="n">
        <v>9500</v>
      </c>
    </row>
    <row r="11" ht="18" customHeight="1">
      <c r="A11" s="55" t="n">
        <v>4</v>
      </c>
      <c r="B11" s="56" t="inlineStr">
        <is>
          <t>Landscaping (perennials, mulch, wall)</t>
        </is>
      </c>
      <c r="C11" s="57" t="n">
        <v>7200</v>
      </c>
    </row>
    <row r="12" ht="18" customHeight="1">
      <c r="A12" s="55" t="n">
        <v>5</v>
      </c>
      <c r="B12" s="56" t="inlineStr">
        <is>
          <t>Exterior lighting (path/flood/accent)</t>
        </is>
      </c>
      <c r="C12" s="57" t="n">
        <v>4800</v>
      </c>
    </row>
    <row r="13" ht="18" customHeight="1">
      <c r="A13" s="55" t="n">
        <v>6</v>
      </c>
      <c r="B13" s="56" t="n"/>
      <c r="C13" s="57" t="n"/>
    </row>
    <row r="14" ht="18" customHeight="1">
      <c r="A14" s="55" t="n">
        <v>7</v>
      </c>
      <c r="B14" s="56" t="n"/>
      <c r="C14" s="57" t="n"/>
    </row>
    <row r="15" ht="18" customHeight="1">
      <c r="A15" s="55" t="n">
        <v>8</v>
      </c>
      <c r="B15" s="56" t="n"/>
      <c r="C15" s="57" t="n"/>
    </row>
    <row r="16" ht="18" customHeight="1">
      <c r="A16" s="55" t="n">
        <v>9</v>
      </c>
      <c r="B16" s="56" t="n"/>
      <c r="C16" s="57" t="n"/>
    </row>
    <row r="17" ht="18" customHeight="1">
      <c r="A17" s="55" t="n">
        <v>10</v>
      </c>
      <c r="B17" s="56" t="n"/>
      <c r="C17" s="57" t="n"/>
    </row>
    <row r="18" ht="24" customHeight="1">
      <c r="B18" s="58" t="inlineStr">
        <is>
          <t>TOTAL:</t>
        </is>
      </c>
      <c r="C18" s="50">
        <f>SUM(C8:C17)</f>
        <v/>
      </c>
    </row>
    <row r="20" ht="38" customHeight="1">
      <c r="A20" s="45" t="inlineStr">
        <is>
          <t>ⓘ Common 15-year items: driveway + parking pad, landscaping (plantings, retaining walls, mulch), exterior lighting (path, flood, accent), fencing, exterior decks + stairs (if separate from the building), in-ground sprinklers, walkways, exterior signage. Land improvements are eligible for bonus depreciation (40% in 2026).</t>
        </is>
      </c>
    </row>
    <row r="22" ht="38" customHeight="1">
      <c r="A22" s="45" t="inlineStr">
        <is>
          <t>ⓘ For each item, keep supporting documents: vendor invoices, purchase agreement furniture inventory, photos with date metadata, or an inspector report itemization. Vague descriptions ('misc furnishings', 'fixtures') are the #1 audit weak point — be specific and itemized.</t>
        </is>
      </c>
    </row>
    <row r="24" ht="22" customHeight="1">
      <c r="A24" s="46">
        <f>HYPERLINK("#'7-Year Property'!A5", "← Back: 7-Year Property")</f>
        <v/>
      </c>
      <c r="B24" s="47" t="n"/>
      <c r="C24" s="47" t="n"/>
      <c r="D24" s="47" t="n"/>
      <c r="E24" s="47" t="n"/>
      <c r="F24" s="47" t="n"/>
      <c r="G24" s="46">
        <f>HYPERLINK("#'Y1 Summary'!A5", "Next: Y1 Summary →")</f>
        <v/>
      </c>
      <c r="H24" s="47" t="n"/>
      <c r="I24" s="47" t="n"/>
      <c r="J24" s="47" t="n"/>
      <c r="K24" s="47" t="n"/>
      <c r="L24" s="47" t="n"/>
    </row>
    <row r="25" ht="22" customHeight="1">
      <c r="A25" s="47" t="n"/>
      <c r="B25" s="47" t="n"/>
      <c r="C25" s="47" t="n"/>
      <c r="D25" s="47" t="n"/>
      <c r="E25" s="47" t="n"/>
      <c r="F25" s="47" t="n"/>
      <c r="G25" s="47" t="n"/>
      <c r="H25" s="47" t="n"/>
      <c r="I25" s="47" t="n"/>
      <c r="J25" s="47" t="n"/>
      <c r="K25" s="47" t="n"/>
      <c r="L25" s="47" t="n"/>
    </row>
  </sheetData>
  <mergeCells count="10">
    <mergeCell ref="A20:L20"/>
    <mergeCell ref="J2:L2"/>
    <mergeCell ref="D2:I2"/>
    <mergeCell ref="G24:L25"/>
    <mergeCell ref="A5:L5"/>
    <mergeCell ref="A6:L6"/>
    <mergeCell ref="A22:L22"/>
    <mergeCell ref="A24:F25"/>
    <mergeCell ref="A2:C2"/>
    <mergeCell ref="A4:L4"/>
  </mergeCells>
  <pageMargins left="0.75" right="0.75" top="1" bottom="1" header="0.5" footer="0.5"/>
</worksheet>
</file>

<file path=xl/worksheets/sheet7.xml><?xml version="1.0" encoding="utf-8"?>
<worksheet xmlns="http://schemas.openxmlformats.org/spreadsheetml/2006/main">
  <sheetPr>
    <tabColor rgb="00C9A24B"/>
    <outlinePr summaryBelow="1" summaryRight="1"/>
    <pageSetUpPr fitToPage="1"/>
  </sheetPr>
  <dimension ref="A1:L33"/>
  <sheetViews>
    <sheetView workbookViewId="0">
      <selection activeCell="A1" sqref="A1"/>
    </sheetView>
  </sheetViews>
  <sheetFormatPr baseColWidth="8" defaultRowHeight="15"/>
  <cols>
    <col width="22" customWidth="1" min="1" max="1"/>
    <col width="18" customWidth="1" min="2" max="2"/>
    <col width="14" customWidth="1" min="3" max="3"/>
    <col width="14" customWidth="1" min="4" max="4"/>
    <col width="14" customWidth="1" min="5" max="5"/>
    <col width="1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3">
        <f>HYPERLINK("#'15-Year Property'!A1", "← BACK")</f>
        <v/>
      </c>
      <c r="B2" s="14" t="n"/>
      <c r="C2" s="14" t="n"/>
      <c r="D2" s="59" t="inlineStr">
        <is>
          <t>Y1 SUMMARY</t>
        </is>
      </c>
      <c r="J2" s="24">
        <f>HYPERLINK("#'Form 4562 Mirror'!A1", "NEXT →")</f>
        <v/>
      </c>
      <c r="K2" s="25" t="n"/>
      <c r="L2" s="25" t="n"/>
    </row>
    <row r="3" ht="6" customHeight="1">
      <c r="A3" s="1" t="n"/>
      <c r="B3" s="1" t="n"/>
      <c r="C3" s="1" t="n"/>
      <c r="D3" s="1" t="n"/>
      <c r="E3" s="1" t="n"/>
      <c r="F3" s="1" t="n"/>
      <c r="G3" s="1" t="n"/>
      <c r="H3" s="1" t="n"/>
      <c r="I3" s="1" t="n"/>
      <c r="J3" s="1" t="n"/>
      <c r="K3" s="1" t="n"/>
      <c r="L3" s="1" t="n"/>
    </row>
    <row r="4" ht="22" customHeight="1">
      <c r="A4" s="60" t="inlineStr">
        <is>
          <t>Per-class Year 1 deduction with bonus overlay, vs. naive 27.5-year baseline. Settings drives the bonus % and marginal rate.</t>
        </is>
      </c>
    </row>
    <row r="6" ht="22" customHeight="1">
      <c r="A6" s="54" t="inlineStr">
        <is>
          <t>Class</t>
        </is>
      </c>
      <c r="B6" s="54" t="inlineStr">
        <is>
          <t>Basis ($)</t>
        </is>
      </c>
      <c r="C6" s="54" t="inlineStr">
        <is>
          <t>Bonus %</t>
        </is>
      </c>
      <c r="D6" s="54" t="inlineStr">
        <is>
          <t>Bonus $</t>
        </is>
      </c>
      <c r="E6" s="54" t="inlineStr">
        <is>
          <t>Non-bonus × MACRS Y1 %</t>
        </is>
      </c>
      <c r="F6" s="54" t="inlineStr">
        <is>
          <t>Total Y1 ($)</t>
        </is>
      </c>
    </row>
    <row r="7" ht="20" customHeight="1">
      <c r="A7" s="61" t="inlineStr">
        <is>
          <t>5-year</t>
        </is>
      </c>
      <c r="B7" s="62">
        <f>'5-Year Property'!C20</f>
        <v/>
      </c>
      <c r="C7" s="63">
        <f>Settings!$B$6</f>
        <v/>
      </c>
      <c r="D7" s="62">
        <f>B7*C7</f>
        <v/>
      </c>
      <c r="E7" s="62">
        <f>(B7-D7)*Settings!$B$8</f>
        <v/>
      </c>
      <c r="F7" s="64">
        <f>D7+E7</f>
        <v/>
      </c>
    </row>
    <row r="8" ht="20" customHeight="1">
      <c r="A8" s="61" t="inlineStr">
        <is>
          <t>7-year</t>
        </is>
      </c>
      <c r="B8" s="62">
        <f>'7-Year Property'!C18</f>
        <v/>
      </c>
      <c r="C8" s="63">
        <f>Settings!$B$6</f>
        <v/>
      </c>
      <c r="D8" s="62">
        <f>B8*C8</f>
        <v/>
      </c>
      <c r="E8" s="62">
        <f>(B8-D8)*Settings!$B$9</f>
        <v/>
      </c>
      <c r="F8" s="64">
        <f>D8+E8</f>
        <v/>
      </c>
    </row>
    <row r="9" ht="20" customHeight="1">
      <c r="A9" s="61" t="inlineStr">
        <is>
          <t>15-year</t>
        </is>
      </c>
      <c r="B9" s="62">
        <f>'15-Year Property'!C18</f>
        <v/>
      </c>
      <c r="C9" s="63">
        <f>Settings!$B$6</f>
        <v/>
      </c>
      <c r="D9" s="62">
        <f>B9*C9</f>
        <v/>
      </c>
      <c r="E9" s="62">
        <f>(B9-D9)*Settings!$B$10</f>
        <v/>
      </c>
      <c r="F9" s="64">
        <f>D9+E9</f>
        <v/>
      </c>
    </row>
    <row r="10" ht="20" customHeight="1">
      <c r="A10" s="61" t="inlineStr">
        <is>
          <t>27.5-yr (residual)</t>
        </is>
      </c>
      <c r="B10" s="62">
        <f>'Land Allocation'!B13-B7-B8-B9</f>
        <v/>
      </c>
      <c r="C10" s="65" t="inlineStr">
        <is>
          <t>—</t>
        </is>
      </c>
      <c r="D10" s="62" t="n">
        <v>0</v>
      </c>
      <c r="E10" s="66">
        <f>IFERROR((12.5-MONTH('Property Basics'!B12))/12/27.5,0)</f>
        <v/>
      </c>
      <c r="F10" s="64">
        <f>B10*E10</f>
        <v/>
      </c>
    </row>
    <row r="11" ht="20" customHeight="1">
      <c r="A11" s="67" t="inlineStr">
        <is>
          <t>Land (non-depreciable)</t>
        </is>
      </c>
      <c r="B11" s="68">
        <f>'Land Allocation'!B12</f>
        <v/>
      </c>
      <c r="C11" s="65" t="inlineStr">
        <is>
          <t>—</t>
        </is>
      </c>
      <c r="D11" s="65" t="inlineStr">
        <is>
          <t>—</t>
        </is>
      </c>
      <c r="E11" s="65" t="inlineStr">
        <is>
          <t>—</t>
        </is>
      </c>
      <c r="F11" s="65" t="inlineStr">
        <is>
          <t>—</t>
        </is>
      </c>
    </row>
    <row r="12" ht="28" customHeight="1">
      <c r="A12" s="69" t="inlineStr">
        <is>
          <t>TOTAL</t>
        </is>
      </c>
      <c r="B12" s="70">
        <f>'Property Basics'!B10</f>
        <v/>
      </c>
      <c r="C12" s="71" t="n"/>
      <c r="D12" s="71" t="n"/>
      <c r="E12" s="71" t="n"/>
      <c r="F12" s="50">
        <f>SUM(F7:F10)</f>
        <v/>
      </c>
    </row>
    <row r="14" ht="30" customHeight="1">
      <c r="A14" s="53">
        <f>IFERROR(IF((B7+B8+B9)/'Land Allocation'!B13&gt;0.4,"⚠ Reclassification at "&amp;TEXT((B7+B8+B9)/'Land Allocation'!B13,"0.0%")&amp;" of improvements basis — above the typical 25–35% defensible range. Consider an engineer-led study (&gt;$750K acquisition) or reduce reclassifications.",""),"")</f>
        <v/>
      </c>
    </row>
    <row r="16" ht="20" customHeight="1">
      <c r="A16" s="29" t="inlineStr">
        <is>
          <t>NAIVE 27.5-YR BASELINE — WHAT YOU SAVED</t>
        </is>
      </c>
    </row>
    <row r="17" ht="22" customHeight="1">
      <c r="A17" s="30" t="inlineStr">
        <is>
          <t>Naive Y1 deduction (everything at 27.5-yr):</t>
        </is>
      </c>
      <c r="B17" s="32" t="n"/>
      <c r="C17" s="32" t="n"/>
      <c r="D17" s="32" t="n"/>
      <c r="E17" s="32" t="n"/>
      <c r="F17" s="72">
        <f>'Land Allocation'!B13*E10</f>
        <v/>
      </c>
      <c r="G17" s="32" t="n"/>
      <c r="H17" s="32" t="n"/>
      <c r="I17" s="32" t="n"/>
      <c r="J17" s="32" t="n"/>
      <c r="K17" s="32" t="n"/>
      <c r="L17" s="33" t="n"/>
    </row>
    <row r="18" ht="22" customHeight="1">
      <c r="A18" s="34" t="inlineStr">
        <is>
          <t>Accelerated Y1 deduction (this workbook):</t>
        </is>
      </c>
      <c r="B18" s="6" t="n"/>
      <c r="C18" s="6" t="n"/>
      <c r="D18" s="6" t="n"/>
      <c r="E18" s="6" t="n"/>
      <c r="F18" s="48">
        <f>F12</f>
        <v/>
      </c>
      <c r="G18" s="6" t="n"/>
      <c r="H18" s="6" t="n"/>
      <c r="I18" s="6" t="n"/>
      <c r="J18" s="6" t="n"/>
      <c r="K18" s="6" t="n"/>
      <c r="L18" s="36" t="n"/>
    </row>
    <row r="19" ht="22" customHeight="1">
      <c r="A19" s="37" t="inlineStr">
        <is>
          <t>EXTRA Y1 DEDUCTION:</t>
        </is>
      </c>
      <c r="B19" s="6" t="n"/>
      <c r="C19" s="6" t="n"/>
      <c r="D19" s="6" t="n"/>
      <c r="E19" s="6" t="n"/>
      <c r="F19" s="50">
        <f>F18-F17</f>
        <v/>
      </c>
      <c r="G19" s="6" t="n"/>
      <c r="H19" s="6" t="n"/>
      <c r="I19" s="6" t="n"/>
      <c r="J19" s="6" t="n"/>
      <c r="K19" s="6" t="n"/>
      <c r="L19" s="36" t="n"/>
    </row>
    <row r="20" ht="22" customHeight="1">
      <c r="A20" s="51" t="inlineStr">
        <is>
          <t>Y1 TAX SAVINGS @ marginal rate:</t>
        </is>
      </c>
      <c r="B20" s="43" t="n"/>
      <c r="C20" s="43" t="n"/>
      <c r="D20" s="43" t="n"/>
      <c r="E20" s="43" t="n"/>
      <c r="F20" s="52">
        <f>F19*Settings!$B$7</f>
        <v/>
      </c>
      <c r="G20" s="43" t="n"/>
      <c r="H20" s="43" t="n"/>
      <c r="I20" s="43" t="n"/>
      <c r="J20" s="43" t="n"/>
      <c r="K20" s="43" t="n"/>
      <c r="L20" s="44" t="n"/>
    </row>
    <row r="23" ht="20" customHeight="1">
      <c r="A23" s="29" t="inlineStr">
        <is>
          <t>5-YEAR MACRS SCHEDULE (NON-BONUS PORTIONS)</t>
        </is>
      </c>
    </row>
    <row r="24" ht="20" customHeight="1">
      <c r="A24" s="54" t="inlineStr">
        <is>
          <t>Year</t>
        </is>
      </c>
      <c r="B24" s="54" t="inlineStr">
        <is>
          <t>5-yr</t>
        </is>
      </c>
      <c r="C24" s="54" t="inlineStr">
        <is>
          <t>7-yr</t>
        </is>
      </c>
      <c r="D24" s="54" t="inlineStr">
        <is>
          <t>15-yr</t>
        </is>
      </c>
      <c r="E24" s="54" t="inlineStr">
        <is>
          <t>27.5-yr (bldg)</t>
        </is>
      </c>
      <c r="F24" s="54" t="inlineStr">
        <is>
          <t>Total</t>
        </is>
      </c>
    </row>
    <row r="25" ht="18" customHeight="1">
      <c r="A25" s="55" t="inlineStr">
        <is>
          <t>Year 1</t>
        </is>
      </c>
      <c r="B25" s="48">
        <f>(B7-D7)*0.2</f>
        <v/>
      </c>
      <c r="C25" s="48">
        <f>(B8-D8)*0.1429</f>
        <v/>
      </c>
      <c r="D25" s="48">
        <f>(B9-D9)*0.05</f>
        <v/>
      </c>
      <c r="E25" s="48">
        <f>B10*E10</f>
        <v/>
      </c>
      <c r="F25" s="73">
        <f>SUM(B25:E25)</f>
        <v/>
      </c>
    </row>
    <row r="26" ht="18" customHeight="1">
      <c r="A26" s="55" t="inlineStr">
        <is>
          <t>Year 2</t>
        </is>
      </c>
      <c r="B26" s="48">
        <f>(B7-D7)*0.32</f>
        <v/>
      </c>
      <c r="C26" s="48">
        <f>(B8-D8)*0.2449</f>
        <v/>
      </c>
      <c r="D26" s="48">
        <f>(B9-D9)*0.095</f>
        <v/>
      </c>
      <c r="E26" s="48">
        <f>B10/27.5</f>
        <v/>
      </c>
      <c r="F26" s="73">
        <f>SUM(B26:E26)</f>
        <v/>
      </c>
    </row>
    <row r="27" ht="18" customHeight="1">
      <c r="A27" s="55" t="inlineStr">
        <is>
          <t>Year 3</t>
        </is>
      </c>
      <c r="B27" s="48">
        <f>(B7-D7)*0.192</f>
        <v/>
      </c>
      <c r="C27" s="48">
        <f>(B8-D8)*0.1749</f>
        <v/>
      </c>
      <c r="D27" s="48">
        <f>(B9-D9)*0.0855</f>
        <v/>
      </c>
      <c r="E27" s="48">
        <f>B10/27.5</f>
        <v/>
      </c>
      <c r="F27" s="73">
        <f>SUM(B27:E27)</f>
        <v/>
      </c>
    </row>
    <row r="28" ht="18" customHeight="1">
      <c r="A28" s="55" t="inlineStr">
        <is>
          <t>Year 4</t>
        </is>
      </c>
      <c r="B28" s="48">
        <f>(B7-D7)*0.1152</f>
        <v/>
      </c>
      <c r="C28" s="48">
        <f>(B8-D8)*0.1249</f>
        <v/>
      </c>
      <c r="D28" s="48">
        <f>(B9-D9)*0.077</f>
        <v/>
      </c>
      <c r="E28" s="48">
        <f>B10/27.5</f>
        <v/>
      </c>
      <c r="F28" s="73">
        <f>SUM(B28:E28)</f>
        <v/>
      </c>
    </row>
    <row r="29" ht="18" customHeight="1">
      <c r="A29" s="55" t="inlineStr">
        <is>
          <t>Year 5</t>
        </is>
      </c>
      <c r="B29" s="48">
        <f>(B7-D7)*0.1152</f>
        <v/>
      </c>
      <c r="C29" s="48">
        <f>(B8-D8)*0.0893</f>
        <v/>
      </c>
      <c r="D29" s="48">
        <f>(B9-D9)*0.0693</f>
        <v/>
      </c>
      <c r="E29" s="48">
        <f>B10/27.5</f>
        <v/>
      </c>
      <c r="F29" s="73">
        <f>SUM(B29:E29)</f>
        <v/>
      </c>
    </row>
    <row r="31" ht="38" customHeight="1">
      <c r="A31" s="45" t="inlineStr">
        <is>
          <t>ⓘ Year 1 totals above show the NON-BONUS portions only — add the bonus depreciation row (F12 minus E10×B10 etc.) to get the full Y1 number from the table at the top. The Form 4562 Mirror tab consolidates everything into the IRS line items your CPA needs.</t>
        </is>
      </c>
    </row>
    <row r="33" ht="38" customHeight="1">
      <c r="A33" s="45" t="inlineStr">
        <is>
          <t>ⓘ The 27.5-yr (bldg) Year 1 reflects the mid-month convention based on your placed-in-service month. Years 2+ use the full 1/27.5 = 3.636% annual rate. Bonus depreciation does NOT apply to the 27.5-yr residual (only to property with recovery period ≤ 20 years).</t>
        </is>
      </c>
    </row>
  </sheetData>
  <mergeCells count="13">
    <mergeCell ref="A16:L16"/>
    <mergeCell ref="J2:L2"/>
    <mergeCell ref="D2:I2"/>
    <mergeCell ref="A20:E20"/>
    <mergeCell ref="A33:L33"/>
    <mergeCell ref="A23:L23"/>
    <mergeCell ref="A19:E19"/>
    <mergeCell ref="A14:L14"/>
    <mergeCell ref="A31:L31"/>
    <mergeCell ref="A17:E17"/>
    <mergeCell ref="A18:E18"/>
    <mergeCell ref="A2:C2"/>
    <mergeCell ref="A4:L4"/>
  </mergeCells>
  <pageMargins left="0.5" right="0.5" top="0.5" bottom="0.5" header="0.5" footer="0.5"/>
  <pageSetup orientation="landscape" paperSize="1" fitToHeight="1" fitToWidth="1"/>
</worksheet>
</file>

<file path=xl/worksheets/sheet8.xml><?xml version="1.0" encoding="utf-8"?>
<worksheet xmlns="http://schemas.openxmlformats.org/spreadsheetml/2006/main">
  <sheetPr>
    <tabColor rgb="00C9A24B"/>
    <outlinePr summaryBelow="1" summaryRight="1"/>
    <pageSetUpPr fitToPage="1"/>
  </sheetPr>
  <dimension ref="A1:L21"/>
  <sheetViews>
    <sheetView workbookViewId="0">
      <selection activeCell="A1" sqref="A1"/>
    </sheetView>
  </sheetViews>
  <sheetFormatPr baseColWidth="8" defaultRowHeight="15"/>
  <cols>
    <col width="6" customWidth="1" min="1" max="1"/>
    <col width="50" customWidth="1" min="2" max="2"/>
    <col width="18" customWidth="1" min="3" max="3"/>
    <col width="6" customWidth="1" min="4" max="4"/>
    <col width="6" customWidth="1" min="5" max="5"/>
    <col width="6" customWidth="1" min="6" max="6"/>
    <col width="6" customWidth="1" min="7" max="7"/>
    <col width="6" customWidth="1" min="8" max="8"/>
    <col width="6" customWidth="1" min="9" max="9"/>
    <col width="6" customWidth="1" min="10" max="10"/>
    <col width="6" customWidth="1" min="11" max="11"/>
    <col width="6" customWidth="1" min="12" max="12"/>
  </cols>
  <sheetData>
    <row r="1" ht="8" customHeight="1">
      <c r="A1" s="1" t="n"/>
      <c r="B1" s="1" t="n"/>
      <c r="C1" s="1" t="n"/>
      <c r="D1" s="1" t="n"/>
      <c r="E1" s="1" t="n"/>
      <c r="F1" s="1" t="n"/>
      <c r="G1" s="1" t="n"/>
      <c r="H1" s="1" t="n"/>
      <c r="I1" s="1" t="n"/>
      <c r="J1" s="1" t="n"/>
      <c r="K1" s="1" t="n"/>
      <c r="L1" s="1" t="n"/>
    </row>
    <row r="2" ht="28" customHeight="1">
      <c r="A2" s="13">
        <f>HYPERLINK("#'Y1 Summary'!A1", "← BACK")</f>
        <v/>
      </c>
      <c r="B2" s="14" t="n"/>
      <c r="C2" s="14" t="n"/>
      <c r="D2" s="59" t="inlineStr">
        <is>
          <t>FORM 4562 MIRROR</t>
        </is>
      </c>
      <c r="J2" s="24">
        <f>HYPERLINK("#'Launch'!A1", "NEXT →")</f>
        <v/>
      </c>
      <c r="K2" s="25" t="n"/>
      <c r="L2" s="25" t="n"/>
    </row>
    <row r="3" ht="6" customHeight="1">
      <c r="A3" s="1" t="n"/>
      <c r="B3" s="1" t="n"/>
      <c r="C3" s="1" t="n"/>
      <c r="D3" s="1" t="n"/>
      <c r="E3" s="1" t="n"/>
      <c r="F3" s="1" t="n"/>
      <c r="G3" s="1" t="n"/>
      <c r="H3" s="1" t="n"/>
      <c r="I3" s="1" t="n"/>
      <c r="J3" s="1" t="n"/>
      <c r="K3" s="1" t="n"/>
      <c r="L3" s="1" t="n"/>
    </row>
    <row r="4" ht="18" customHeight="1">
      <c r="A4" s="60" t="inlineStr">
        <is>
          <t>IRS Form 4562 — Parts II (Bonus) and III (MACRS) for your CPA. Print this and attach to the asset detail.</t>
        </is>
      </c>
    </row>
    <row r="5" ht="20" customHeight="1">
      <c r="A5" s="54" t="inlineStr">
        <is>
          <t>Line</t>
        </is>
      </c>
      <c r="B5" s="54" t="inlineStr">
        <is>
          <t>Description</t>
        </is>
      </c>
      <c r="C5" s="54" t="inlineStr">
        <is>
          <t>Amount</t>
        </is>
      </c>
    </row>
    <row r="6" ht="24" customHeight="1">
      <c r="A6" s="74" t="inlineStr">
        <is>
          <t xml:space="preserve">  Part II — PART II — SPECIAL DEPRECIATION (BONUS)</t>
        </is>
      </c>
    </row>
    <row r="7" ht="20" customHeight="1">
      <c r="A7" s="55" t="inlineStr">
        <is>
          <t>14a</t>
        </is>
      </c>
      <c r="B7" s="75" t="inlineStr">
        <is>
          <t>Bonus depr — 5-yr property:</t>
        </is>
      </c>
      <c r="C7" s="62">
        <f>'Y1 Summary'!D7</f>
        <v/>
      </c>
    </row>
    <row r="8" ht="20" customHeight="1">
      <c r="A8" s="55" t="inlineStr">
        <is>
          <t>14b</t>
        </is>
      </c>
      <c r="B8" s="75" t="inlineStr">
        <is>
          <t>Bonus depr — 7-yr property:</t>
        </is>
      </c>
      <c r="C8" s="62">
        <f>'Y1 Summary'!D8</f>
        <v/>
      </c>
    </row>
    <row r="9" ht="20" customHeight="1">
      <c r="A9" s="55" t="inlineStr">
        <is>
          <t>14c</t>
        </is>
      </c>
      <c r="B9" s="75" t="inlineStr">
        <is>
          <t>Bonus depr — 15-yr property:</t>
        </is>
      </c>
      <c r="C9" s="62">
        <f>'Y1 Summary'!D9</f>
        <v/>
      </c>
    </row>
    <row r="10" ht="20" customHeight="1">
      <c r="A10" s="55" t="inlineStr">
        <is>
          <t>14</t>
        </is>
      </c>
      <c r="B10" s="76" t="inlineStr">
        <is>
          <t>Total bonus depreciation (sum 14a–14c):</t>
        </is>
      </c>
      <c r="C10" s="77">
        <f>'Y1 Summary'!D7+'Y1 Summary'!D8+'Y1 Summary'!D9</f>
        <v/>
      </c>
    </row>
    <row r="11" ht="24" customHeight="1">
      <c r="A11" s="74" t="inlineStr">
        <is>
          <t xml:space="preserve">  Part III — PART III — MACRS DEPRECIATION (CURRENT YEAR)</t>
        </is>
      </c>
    </row>
    <row r="12" ht="20" customHeight="1">
      <c r="A12" s="55" t="inlineStr">
        <is>
          <t>19a</t>
        </is>
      </c>
      <c r="B12" s="75" t="inlineStr">
        <is>
          <t>5-year property — non-bonus basis × Y1 %:</t>
        </is>
      </c>
      <c r="C12" s="62">
        <f>'Y1 Summary'!E7</f>
        <v/>
      </c>
    </row>
    <row r="13" ht="20" customHeight="1">
      <c r="A13" s="55" t="inlineStr">
        <is>
          <t>19b</t>
        </is>
      </c>
      <c r="B13" s="75" t="inlineStr">
        <is>
          <t>7-year property — non-bonus basis × Y1 %:</t>
        </is>
      </c>
      <c r="C13" s="62">
        <f>'Y1 Summary'!E8</f>
        <v/>
      </c>
    </row>
    <row r="14" ht="20" customHeight="1">
      <c r="A14" s="55" t="inlineStr">
        <is>
          <t>19c</t>
        </is>
      </c>
      <c r="B14" s="75" t="inlineStr">
        <is>
          <t>15-year property — non-bonus basis × Y1 %:</t>
        </is>
      </c>
      <c r="C14" s="62">
        <f>'Y1 Summary'!E9</f>
        <v/>
      </c>
    </row>
    <row r="15" ht="20" customHeight="1">
      <c r="A15" s="55" t="inlineStr">
        <is>
          <t>19h</t>
        </is>
      </c>
      <c r="B15" s="76" t="inlineStr">
        <is>
          <t>27.5-yr residential (mid-month conv.):</t>
        </is>
      </c>
      <c r="C15" s="77">
        <f>'Y1 Summary'!F10</f>
        <v/>
      </c>
    </row>
    <row r="16" ht="20" customHeight="1">
      <c r="A16" s="55" t="inlineStr">
        <is>
          <t>21</t>
        </is>
      </c>
      <c r="B16" s="76" t="inlineStr">
        <is>
          <t>Total MACRS this year (sum 19a–19h):</t>
        </is>
      </c>
      <c r="C16" s="77">
        <f>'Y1 Summary'!E7+'Y1 Summary'!E8+'Y1 Summary'!E9+'Y1 Summary'!F10</f>
        <v/>
      </c>
    </row>
    <row r="17" ht="24" customHeight="1">
      <c r="A17" s="74" t="inlineStr">
        <is>
          <t xml:space="preserve">  Part IV — PART IV — SUMMARY</t>
        </is>
      </c>
    </row>
    <row r="18" ht="20" customHeight="1">
      <c r="A18" s="55" t="inlineStr">
        <is>
          <t>22</t>
        </is>
      </c>
      <c r="B18" s="78" t="inlineStr">
        <is>
          <t>GRAND TOTAL Y1 DEDUCTION:</t>
        </is>
      </c>
      <c r="C18" s="79">
        <f>'Y1 Summary'!F12</f>
        <v/>
      </c>
    </row>
    <row r="19" ht="24" customHeight="1">
      <c r="A19" s="74" t="inlineStr">
        <is>
          <t xml:space="preserve">  Routing — ROUTING — where this lands on your return</t>
        </is>
      </c>
    </row>
    <row r="20" ht="20" customHeight="1">
      <c r="A20" s="80" t="inlineStr">
        <is>
          <t xml:space="preserve">  If Schedule E filer: Form 4562 → Sched E Line 18</t>
        </is>
      </c>
    </row>
    <row r="21" ht="20" customHeight="1">
      <c r="A21" s="80" t="inlineStr">
        <is>
          <t xml:space="preserve">  If Schedule C filer: Form 4562 → Sched C Line 13</t>
        </is>
      </c>
    </row>
  </sheetData>
  <mergeCells count="10">
    <mergeCell ref="J2:L2"/>
    <mergeCell ref="D2:I2"/>
    <mergeCell ref="A11:C11"/>
    <mergeCell ref="A19:C19"/>
    <mergeCell ref="A6:C6"/>
    <mergeCell ref="A17:C17"/>
    <mergeCell ref="A21:C21"/>
    <mergeCell ref="A20:C20"/>
    <mergeCell ref="A2:C2"/>
    <mergeCell ref="A4:L4"/>
  </mergeCells>
  <pageMargins left="0.5" right="0.5" top="0.5" bottom="0.5" header="0.5" footer="0.5"/>
  <pageSetup orientation="portrait" paperSize="1" fitToHeight="1" fitToWidth="1"/>
</worksheet>
</file>

<file path=xl/worksheets/sheet9.xml><?xml version="1.0" encoding="utf-8"?>
<worksheet xmlns="http://schemas.openxmlformats.org/spreadsheetml/2006/main">
  <sheetPr>
    <tabColor rgb="00C9A24B"/>
    <outlinePr summaryBelow="1" summaryRight="1"/>
    <pageSetUpPr fitToPage="1"/>
  </sheetPr>
  <dimension ref="A1:L50"/>
  <sheetViews>
    <sheetView workbookViewId="0">
      <selection activeCell="A1" sqref="A1"/>
    </sheetView>
  </sheetViews>
  <sheetFormatPr baseColWidth="8" defaultRowHeight="15"/>
  <cols>
    <col width="8" customWidth="1" min="1" max="1"/>
    <col width="8"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c r="A1" s="1" t="n"/>
      <c r="B1" s="1" t="n"/>
      <c r="C1" s="1" t="n"/>
      <c r="D1" s="1" t="n"/>
      <c r="E1" s="1" t="n"/>
      <c r="F1" s="1" t="n"/>
      <c r="G1" s="1" t="n"/>
      <c r="H1" s="1" t="n"/>
      <c r="I1" s="1" t="n"/>
      <c r="J1" s="1" t="n"/>
      <c r="K1" s="1" t="n"/>
      <c r="L1" s="1" t="n"/>
    </row>
    <row r="2" ht="28" customHeight="1">
      <c r="A2" s="13">
        <f>HYPERLINK("#'Form 4562 Mirror'!A1", "← BACK")</f>
        <v/>
      </c>
      <c r="B2" s="14" t="n"/>
      <c r="C2" s="14" t="n"/>
      <c r="D2" s="59" t="inlineStr">
        <is>
          <t>LAUNCH</t>
        </is>
      </c>
    </row>
    <row r="3">
      <c r="A3" s="1" t="n"/>
      <c r="B3" s="1" t="n"/>
      <c r="C3" s="1" t="n"/>
      <c r="D3" s="1" t="n"/>
      <c r="E3" s="1" t="n"/>
      <c r="F3" s="1" t="n"/>
      <c r="G3" s="1" t="n"/>
      <c r="H3" s="1" t="n"/>
      <c r="I3" s="1" t="n"/>
      <c r="J3" s="1" t="n"/>
      <c r="K3" s="1" t="n"/>
      <c r="L3" s="1" t="n"/>
    </row>
    <row r="4" ht="42" customHeight="1">
      <c r="A4" s="81" t="inlineStr">
        <is>
          <t>Your cost segregation is ready</t>
        </is>
      </c>
    </row>
    <row r="5" ht="20" customHeight="1">
      <c r="A5" s="27" t="inlineStr">
        <is>
          <t>Print Form 4562 Mirror, complete the methodology block below, and hand both to your CPA.</t>
        </is>
      </c>
    </row>
    <row r="6">
      <c r="A6" s="1" t="n"/>
      <c r="B6" s="1" t="n"/>
      <c r="C6" s="1" t="n"/>
      <c r="D6" s="1" t="n"/>
      <c r="E6" s="1" t="n"/>
      <c r="F6" s="1" t="n"/>
      <c r="G6" s="1" t="n"/>
      <c r="H6" s="1" t="n"/>
      <c r="I6" s="1" t="n"/>
      <c r="J6" s="1" t="n"/>
      <c r="K6" s="1" t="n"/>
      <c r="L6" s="1" t="n"/>
    </row>
    <row r="8">
      <c r="A8" s="6" t="n"/>
      <c r="B8" s="6" t="n"/>
      <c r="C8" s="6" t="n"/>
      <c r="D8" s="6" t="n"/>
      <c r="E8" s="6" t="n"/>
      <c r="F8" s="6" t="n"/>
      <c r="G8" s="6" t="n"/>
      <c r="H8" s="6" t="n"/>
      <c r="I8" s="6" t="n"/>
      <c r="J8" s="6" t="n"/>
      <c r="K8" s="6" t="n"/>
      <c r="L8" s="6" t="n"/>
    </row>
    <row r="9">
      <c r="A9" s="82" t="inlineStr">
        <is>
          <t>TOTAL Y1 DEDUCTION</t>
        </is>
      </c>
      <c r="B9" s="83" t="n"/>
      <c r="C9" s="83" t="n"/>
      <c r="D9" s="84" t="n"/>
      <c r="E9" s="85" t="inlineStr">
        <is>
          <t>EXTRA vs. NAIVE 27.5-YR</t>
        </is>
      </c>
      <c r="F9" s="83" t="n"/>
      <c r="G9" s="83" t="n"/>
      <c r="H9" s="84" t="n"/>
      <c r="I9" s="85" t="inlineStr">
        <is>
          <t>Y1 TAX SAVINGS</t>
        </is>
      </c>
      <c r="J9" s="83" t="n"/>
      <c r="K9" s="83" t="n"/>
      <c r="L9" s="84" t="n"/>
    </row>
    <row r="10">
      <c r="A10" s="86">
        <f>'Y1 Summary'!F12</f>
        <v/>
      </c>
      <c r="B10" s="87" t="n"/>
      <c r="C10" s="87" t="n"/>
      <c r="D10" s="88" t="n"/>
      <c r="E10" s="89">
        <f>'Y1 Summary'!F19</f>
        <v/>
      </c>
      <c r="F10" s="87" t="n"/>
      <c r="G10" s="87" t="n"/>
      <c r="H10" s="88" t="n"/>
      <c r="I10" s="89">
        <f>'Y1 Summary'!F20</f>
        <v/>
      </c>
      <c r="J10" s="87" t="n"/>
      <c r="K10" s="87" t="n"/>
      <c r="L10" s="88" t="n"/>
    </row>
    <row r="11">
      <c r="A11" s="90" t="n"/>
      <c r="B11" s="87" t="n"/>
      <c r="C11" s="87" t="n"/>
      <c r="D11" s="88" t="n"/>
      <c r="E11" s="90" t="n"/>
      <c r="F11" s="87" t="n"/>
      <c r="G11" s="87" t="n"/>
      <c r="H11" s="88" t="n"/>
      <c r="I11" s="90" t="n"/>
      <c r="J11" s="87" t="n"/>
      <c r="K11" s="87" t="n"/>
      <c r="L11" s="88" t="n"/>
    </row>
    <row r="12">
      <c r="A12" s="91" t="inlineStr">
        <is>
          <t>Bonus + MACRS, all classes</t>
        </is>
      </c>
      <c r="B12" s="92" t="n"/>
      <c r="C12" s="92" t="n"/>
      <c r="D12" s="93" t="n"/>
      <c r="E12" s="91" t="inlineStr">
        <is>
          <t>extra Y1 deduction this gives you</t>
        </is>
      </c>
      <c r="F12" s="92" t="n"/>
      <c r="G12" s="92" t="n"/>
      <c r="H12" s="93" t="n"/>
      <c r="I12" s="91" t="inlineStr">
        <is>
          <t>at your marginal rate (Settings)</t>
        </is>
      </c>
      <c r="J12" s="92" t="n"/>
      <c r="K12" s="92" t="n"/>
      <c r="L12" s="93" t="n"/>
    </row>
    <row r="13">
      <c r="A13" s="6" t="n"/>
      <c r="B13" s="6" t="n"/>
      <c r="C13" s="6" t="n"/>
      <c r="D13" s="6" t="n"/>
      <c r="E13" s="6" t="n"/>
      <c r="F13" s="6" t="n"/>
      <c r="G13" s="6" t="n"/>
      <c r="H13" s="6" t="n"/>
      <c r="I13" s="6" t="n"/>
      <c r="J13" s="6" t="n"/>
      <c r="K13" s="6" t="n"/>
      <c r="L13" s="6" t="n"/>
    </row>
    <row r="16" ht="22" customHeight="1">
      <c r="A16" s="13">
        <f>HYPERLINK("#'Form 4562 Mirror'!A1", "📄  PRINT FORM 4562 MIRROR  →")</f>
        <v/>
      </c>
      <c r="B16" s="14" t="n"/>
      <c r="C16" s="14" t="n"/>
      <c r="D16" s="14" t="n"/>
      <c r="E16" s="14" t="n"/>
      <c r="F16" s="14" t="n"/>
      <c r="G16" s="14" t="n"/>
      <c r="H16" s="14" t="n"/>
      <c r="I16" s="14" t="n"/>
      <c r="J16" s="14" t="n"/>
      <c r="K16" s="14" t="n"/>
      <c r="L16" s="14" t="n"/>
    </row>
    <row r="17" ht="22" customHeight="1">
      <c r="A17" s="14" t="n"/>
      <c r="B17" s="14" t="n"/>
      <c r="C17" s="14" t="n"/>
      <c r="D17" s="14" t="n"/>
      <c r="E17" s="14" t="n"/>
      <c r="F17" s="14" t="n"/>
      <c r="G17" s="14" t="n"/>
      <c r="H17" s="14" t="n"/>
      <c r="I17" s="14" t="n"/>
      <c r="J17" s="14" t="n"/>
      <c r="K17" s="14" t="n"/>
      <c r="L17" s="14" t="n"/>
    </row>
    <row r="18" ht="22" customHeight="1">
      <c r="A18" s="14" t="n"/>
      <c r="B18" s="14" t="n"/>
      <c r="C18" s="14" t="n"/>
      <c r="D18" s="14" t="n"/>
      <c r="E18" s="14" t="n"/>
      <c r="F18" s="14" t="n"/>
      <c r="G18" s="14" t="n"/>
      <c r="H18" s="14" t="n"/>
      <c r="I18" s="14" t="n"/>
      <c r="J18" s="14" t="n"/>
      <c r="K18" s="14" t="n"/>
      <c r="L18" s="14" t="n"/>
    </row>
    <row r="19" ht="22" customHeight="1">
      <c r="A19" s="14" t="n"/>
      <c r="B19" s="14" t="n"/>
      <c r="C19" s="14" t="n"/>
      <c r="D19" s="14" t="n"/>
      <c r="E19" s="14" t="n"/>
      <c r="F19" s="14" t="n"/>
      <c r="G19" s="14" t="n"/>
      <c r="H19" s="14" t="n"/>
      <c r="I19" s="14" t="n"/>
      <c r="J19" s="14" t="n"/>
      <c r="K19" s="14" t="n"/>
      <c r="L19" s="14" t="n"/>
    </row>
    <row r="22" ht="20" customHeight="1">
      <c r="A22" s="29" t="inlineStr">
        <is>
          <t>AUDIT-DEFENSE — METHODOLOGY DISCLOSURE (SIGN + DATE)</t>
        </is>
      </c>
    </row>
    <row r="23" ht="30" customHeight="1">
      <c r="A23" s="94" t="inlineStr">
        <is>
          <t>I used the DIY rule-of-thumb cost segregation method described in the IRS Cost Segregation Audit Techniques Guide. Allocations were derived from the sources checked below:</t>
        </is>
      </c>
      <c r="B23" s="32" t="n"/>
      <c r="C23" s="32" t="n"/>
      <c r="D23" s="32" t="n"/>
      <c r="E23" s="32" t="n"/>
      <c r="F23" s="32" t="n"/>
      <c r="G23" s="32" t="n"/>
      <c r="H23" s="32" t="n"/>
      <c r="I23" s="32" t="n"/>
      <c r="J23" s="32" t="n"/>
      <c r="K23" s="32" t="n"/>
      <c r="L23" s="33" t="n"/>
    </row>
    <row r="24" ht="18" customHeight="1">
      <c r="A24" s="95" t="inlineStr">
        <is>
          <t>[ ] Purchase agreement / settlement statement (HUD-1 / Closing Disclosure)</t>
        </is>
      </c>
      <c r="B24" s="6" t="n"/>
      <c r="C24" s="6" t="n"/>
      <c r="D24" s="6" t="n"/>
      <c r="E24" s="6" t="n"/>
      <c r="F24" s="6" t="n"/>
      <c r="G24" s="6" t="n"/>
      <c r="H24" s="6" t="n"/>
      <c r="I24" s="6" t="n"/>
      <c r="J24" s="6" t="n"/>
      <c r="K24" s="6" t="n"/>
      <c r="L24" s="36" t="n"/>
    </row>
    <row r="25" ht="18" customHeight="1">
      <c r="A25" s="95" t="inlineStr">
        <is>
          <t>[ ] Appraisal report (provides land + improvements split)</t>
        </is>
      </c>
      <c r="B25" s="6" t="n"/>
      <c r="C25" s="6" t="n"/>
      <c r="D25" s="6" t="n"/>
      <c r="E25" s="6" t="n"/>
      <c r="F25" s="6" t="n"/>
      <c r="G25" s="6" t="n"/>
      <c r="H25" s="6" t="n"/>
      <c r="I25" s="6" t="n"/>
      <c r="J25" s="6" t="n"/>
      <c r="K25" s="6" t="n"/>
      <c r="L25" s="36" t="n"/>
    </row>
    <row r="26" ht="18" customHeight="1">
      <c r="A26" s="95" t="inlineStr">
        <is>
          <t>[ ] County tax assessor records (for land allocation ratio)</t>
        </is>
      </c>
      <c r="B26" s="6" t="n"/>
      <c r="C26" s="6" t="n"/>
      <c r="D26" s="6" t="n"/>
      <c r="E26" s="6" t="n"/>
      <c r="F26" s="6" t="n"/>
      <c r="G26" s="6" t="n"/>
      <c r="H26" s="6" t="n"/>
      <c r="I26" s="6" t="n"/>
      <c r="J26" s="6" t="n"/>
      <c r="K26" s="6" t="n"/>
      <c r="L26" s="36" t="n"/>
    </row>
    <row r="27" ht="18" customHeight="1">
      <c r="A27" s="95" t="inlineStr">
        <is>
          <t>[ ] Pre-purchase inspector report (itemized fixtures + components)</t>
        </is>
      </c>
      <c r="B27" s="6" t="n"/>
      <c r="C27" s="6" t="n"/>
      <c r="D27" s="6" t="n"/>
      <c r="E27" s="6" t="n"/>
      <c r="F27" s="6" t="n"/>
      <c r="G27" s="6" t="n"/>
      <c r="H27" s="6" t="n"/>
      <c r="I27" s="6" t="n"/>
      <c r="J27" s="6" t="n"/>
      <c r="K27" s="6" t="n"/>
      <c r="L27" s="36" t="n"/>
    </row>
    <row r="28" ht="18" customHeight="1">
      <c r="A28" s="95" t="inlineStr">
        <is>
          <t>[ ] Vendor invoices for post-purchase furniture/appliances</t>
        </is>
      </c>
      <c r="B28" s="6" t="n"/>
      <c r="C28" s="6" t="n"/>
      <c r="D28" s="6" t="n"/>
      <c r="E28" s="6" t="n"/>
      <c r="F28" s="6" t="n"/>
      <c r="G28" s="6" t="n"/>
      <c r="H28" s="6" t="n"/>
      <c r="I28" s="6" t="n"/>
      <c r="J28" s="6" t="n"/>
      <c r="K28" s="6" t="n"/>
      <c r="L28" s="36" t="n"/>
    </row>
    <row r="29" ht="18" customHeight="1">
      <c r="A29" s="95" t="inlineStr">
        <is>
          <t>[ ] Photographs with date metadata (before-rental documentation)</t>
        </is>
      </c>
      <c r="B29" s="6" t="n"/>
      <c r="C29" s="6" t="n"/>
      <c r="D29" s="6" t="n"/>
      <c r="E29" s="6" t="n"/>
      <c r="F29" s="6" t="n"/>
      <c r="G29" s="6" t="n"/>
      <c r="H29" s="6" t="n"/>
      <c r="I29" s="6" t="n"/>
      <c r="J29" s="6" t="n"/>
      <c r="K29" s="6" t="n"/>
      <c r="L29" s="36" t="n"/>
    </row>
    <row r="30" ht="18" customHeight="1">
      <c r="A30" s="95" t="inlineStr">
        <is>
          <t>[ ] Industry benchmark percentages (RSMeans, AICPA, etc.)</t>
        </is>
      </c>
      <c r="B30" s="6" t="n"/>
      <c r="C30" s="6" t="n"/>
      <c r="D30" s="6" t="n"/>
      <c r="E30" s="6" t="n"/>
      <c r="F30" s="6" t="n"/>
      <c r="G30" s="6" t="n"/>
      <c r="H30" s="6" t="n"/>
      <c r="I30" s="6" t="n"/>
      <c r="J30" s="6" t="n"/>
      <c r="K30" s="6" t="n"/>
      <c r="L30" s="36" t="n"/>
    </row>
    <row r="31">
      <c r="A31" s="96" t="n"/>
      <c r="B31" s="6" t="n"/>
      <c r="C31" s="6" t="n"/>
      <c r="D31" s="6" t="n"/>
      <c r="E31" s="6" t="n"/>
      <c r="F31" s="6" t="n"/>
      <c r="G31" s="6" t="n"/>
      <c r="H31" s="6" t="n"/>
      <c r="I31" s="6" t="n"/>
      <c r="J31" s="6" t="n"/>
      <c r="K31" s="6" t="n"/>
      <c r="L31" s="36" t="n"/>
    </row>
    <row r="32" ht="26" customHeight="1">
      <c r="A32" s="34" t="inlineStr">
        <is>
          <t>Taxpayer signature:</t>
        </is>
      </c>
      <c r="B32" s="6" t="n"/>
      <c r="C32" s="6" t="n"/>
      <c r="D32" s="6" t="n"/>
      <c r="E32" s="6" t="n"/>
      <c r="F32" s="6" t="n"/>
      <c r="G32" s="97" t="n"/>
      <c r="H32" s="6" t="n"/>
      <c r="I32" s="6" t="n"/>
      <c r="J32" s="6" t="n"/>
      <c r="K32" s="6" t="n"/>
      <c r="L32" s="36" t="n"/>
    </row>
    <row r="33" ht="22" customHeight="1">
      <c r="A33" s="41" t="inlineStr">
        <is>
          <t>Date:</t>
        </is>
      </c>
      <c r="B33" s="43" t="n"/>
      <c r="C33" s="43" t="n"/>
      <c r="D33" s="43" t="n"/>
      <c r="E33" s="43" t="n"/>
      <c r="F33" s="43" t="n"/>
      <c r="G33" s="98" t="n"/>
      <c r="H33" s="43" t="n"/>
      <c r="I33" s="43" t="n"/>
      <c r="J33" s="43" t="n"/>
      <c r="K33" s="43" t="n"/>
      <c r="L33" s="44" t="n"/>
    </row>
    <row r="35" ht="20" customHeight="1">
      <c r="A35" s="29" t="inlineStr">
        <is>
          <t>WHEN TO HIRE AN ENGINEER INSTEAD</t>
        </is>
      </c>
    </row>
    <row r="36" ht="18" customHeight="1">
      <c r="A36" s="99" t="inlineStr">
        <is>
          <t>Hire an engineer-led study (typical cost $3K–$8K) when ANY of the following:
  • Acquisition cost over $750K  •  Multi-building or multi-unit property
  • Major land improvements (large parking, complex landscaping)
  • You're in a high audit-risk bracket (&gt;$500K AGI) or the deduction will exceed $100K
  • You've owned the property 5+ years and want a Form 3115 catch-up — engineer adds rigor</t>
        </is>
      </c>
      <c r="B36" s="32" t="n"/>
      <c r="C36" s="32" t="n"/>
      <c r="D36" s="32" t="n"/>
      <c r="E36" s="32" t="n"/>
      <c r="F36" s="32" t="n"/>
      <c r="G36" s="32" t="n"/>
      <c r="H36" s="32" t="n"/>
      <c r="I36" s="32" t="n"/>
      <c r="J36" s="32" t="n"/>
      <c r="K36" s="32" t="n"/>
      <c r="L36" s="33" t="n"/>
    </row>
    <row r="37" ht="18" customHeight="1">
      <c r="A37" s="96" t="n"/>
      <c r="B37" s="6" t="n"/>
      <c r="C37" s="6" t="n"/>
      <c r="D37" s="6" t="n"/>
      <c r="E37" s="6" t="n"/>
      <c r="F37" s="6" t="n"/>
      <c r="G37" s="6" t="n"/>
      <c r="H37" s="6" t="n"/>
      <c r="I37" s="6" t="n"/>
      <c r="J37" s="6" t="n"/>
      <c r="K37" s="6" t="n"/>
      <c r="L37" s="36" t="n"/>
    </row>
    <row r="38" ht="18" customHeight="1">
      <c r="A38" s="100" t="n"/>
      <c r="B38" s="43" t="n"/>
      <c r="C38" s="43" t="n"/>
      <c r="D38" s="43" t="n"/>
      <c r="E38" s="43" t="n"/>
      <c r="F38" s="43" t="n"/>
      <c r="G38" s="43" t="n"/>
      <c r="H38" s="43" t="n"/>
      <c r="I38" s="43" t="n"/>
      <c r="J38" s="43" t="n"/>
      <c r="K38" s="43" t="n"/>
      <c r="L38" s="44" t="n"/>
    </row>
    <row r="40" ht="20" customHeight="1">
      <c r="A40" s="29" t="inlineStr">
        <is>
          <t>OWNED 1+ YEARS? FORM 3115 RETROACTIVE CATCH-UP</t>
        </is>
      </c>
    </row>
    <row r="41" ht="18" customHeight="1">
      <c r="A41" s="99" t="inlineStr">
        <is>
          <t>If you've already filed returns depreciating this property at the default 27.5-yr, you can apply this cost-seg retroactively via Form 3115 (Application for Change in Accounting Method) with an IRC §481(a) catch-up adjustment.
  • The catch-up is the difference between accumulated depreciation under the new method vs. what you've already deducted — claimed in a single year on the year of change.
  • This workbook does NOT compute the §481(a) adjustment — the per-asset breakdown above is what your CPA needs to file Form 3115. Hand them both.</t>
        </is>
      </c>
      <c r="B41" s="32" t="n"/>
      <c r="C41" s="32" t="n"/>
      <c r="D41" s="32" t="n"/>
      <c r="E41" s="32" t="n"/>
      <c r="F41" s="32" t="n"/>
      <c r="G41" s="32" t="n"/>
      <c r="H41" s="32" t="n"/>
      <c r="I41" s="32" t="n"/>
      <c r="J41" s="32" t="n"/>
      <c r="K41" s="32" t="n"/>
      <c r="L41" s="33" t="n"/>
    </row>
    <row r="42" ht="18" customHeight="1">
      <c r="A42" s="96" t="n"/>
      <c r="B42" s="6" t="n"/>
      <c r="C42" s="6" t="n"/>
      <c r="D42" s="6" t="n"/>
      <c r="E42" s="6" t="n"/>
      <c r="F42" s="6" t="n"/>
      <c r="G42" s="6" t="n"/>
      <c r="H42" s="6" t="n"/>
      <c r="I42" s="6" t="n"/>
      <c r="J42" s="6" t="n"/>
      <c r="K42" s="6" t="n"/>
      <c r="L42" s="36" t="n"/>
    </row>
    <row r="43" ht="18" customHeight="1">
      <c r="A43" s="100" t="n"/>
      <c r="B43" s="43" t="n"/>
      <c r="C43" s="43" t="n"/>
      <c r="D43" s="43" t="n"/>
      <c r="E43" s="43" t="n"/>
      <c r="F43" s="43" t="n"/>
      <c r="G43" s="43" t="n"/>
      <c r="H43" s="43" t="n"/>
      <c r="I43" s="43" t="n"/>
      <c r="J43" s="43" t="n"/>
      <c r="K43" s="43" t="n"/>
      <c r="L43" s="44" t="n"/>
    </row>
    <row r="46" ht="36" customHeight="1">
      <c r="A46" s="101" t="inlineStr">
        <is>
          <t>💡 Upgrade to the Tax Season Bundle ($147) — TAX-001/002/003/009/010 + Schedule E workbook.</t>
        </is>
      </c>
    </row>
    <row r="48">
      <c r="A48" s="20" t="n"/>
      <c r="B48" s="20" t="n"/>
      <c r="C48" s="20" t="n"/>
      <c r="D48" s="20" t="n"/>
      <c r="E48" s="20" t="n"/>
      <c r="F48" s="20" t="n"/>
      <c r="G48" s="20" t="n"/>
      <c r="H48" s="20" t="n"/>
      <c r="I48" s="20" t="n"/>
      <c r="J48" s="20" t="n"/>
      <c r="K48" s="20" t="n"/>
      <c r="L48" s="20" t="n"/>
    </row>
    <row r="49" ht="18" customHeight="1">
      <c r="A49" s="21" t="inlineStr">
        <is>
          <t>Questions? hello@thestrledger.com</t>
        </is>
      </c>
    </row>
    <row r="50" ht="18" customHeight="1">
      <c r="A50" s="22" t="inlineStr">
        <is>
          <t>TAX-010 · v2.3 · Free updates forever</t>
        </is>
      </c>
    </row>
  </sheetData>
  <mergeCells count="34">
    <mergeCell ref="D2:L2"/>
    <mergeCell ref="A25:L25"/>
    <mergeCell ref="A41:L43"/>
    <mergeCell ref="A46:L46"/>
    <mergeCell ref="A27:L27"/>
    <mergeCell ref="A2:C2"/>
    <mergeCell ref="E10:H11"/>
    <mergeCell ref="A50:L50"/>
    <mergeCell ref="A26:L26"/>
    <mergeCell ref="A33:F33"/>
    <mergeCell ref="G33:L33"/>
    <mergeCell ref="A9:D9"/>
    <mergeCell ref="I9:L9"/>
    <mergeCell ref="E12:H12"/>
    <mergeCell ref="A5:L5"/>
    <mergeCell ref="A23:L23"/>
    <mergeCell ref="A32:F32"/>
    <mergeCell ref="A22:L22"/>
    <mergeCell ref="A35:L35"/>
    <mergeCell ref="A4:L4"/>
    <mergeCell ref="A29:L29"/>
    <mergeCell ref="G32:L32"/>
    <mergeCell ref="A16:L19"/>
    <mergeCell ref="A28:L28"/>
    <mergeCell ref="A40:L40"/>
    <mergeCell ref="I10:L11"/>
    <mergeCell ref="A10:D11"/>
    <mergeCell ref="A24:L24"/>
    <mergeCell ref="A30:L30"/>
    <mergeCell ref="E9:H9"/>
    <mergeCell ref="A12:D12"/>
    <mergeCell ref="A49:L49"/>
    <mergeCell ref="I12:L12"/>
    <mergeCell ref="A36:L38"/>
  </mergeCells>
  <pageMargins left="0.5" right="0.5" top="0.5" bottom="0.5" header="0.5" footer="0.5"/>
  <pageSetup orientation="portrait" paperSize="1" fitToHeight="1" fitToWidth="1"/>
</worksheet>
</file>

<file path=xl/worksheets/sheet10.xml><?xml version="1.0" encoding="utf-8"?>
<worksheet xmlns="http://schemas.openxmlformats.org/spreadsheetml/2006/main">
  <sheetPr>
    <tabColor rgb="00F6EFE2"/>
    <outlinePr summaryBelow="1" summaryRight="1"/>
    <pageSetUpPr/>
  </sheetPr>
  <dimension ref="A1:L30"/>
  <sheetViews>
    <sheetView workbookViewId="0">
      <selection activeCell="A1" sqref="A1"/>
    </sheetView>
  </sheetViews>
  <sheetFormatPr baseColWidth="8" defaultRowHeight="15"/>
  <cols>
    <col width="42" customWidth="1" min="1" max="1"/>
    <col width="18" customWidth="1" min="2" max="2"/>
    <col width="6"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ht="8" customHeight="1">
      <c r="A1" s="1" t="n"/>
      <c r="B1" s="1" t="n"/>
      <c r="C1" s="1" t="n"/>
      <c r="D1" s="1" t="n"/>
      <c r="E1" s="1" t="n"/>
      <c r="F1" s="1" t="n"/>
      <c r="G1" s="1" t="n"/>
      <c r="H1" s="1" t="n"/>
      <c r="I1" s="1" t="n"/>
      <c r="J1" s="1" t="n"/>
      <c r="K1" s="1" t="n"/>
      <c r="L1" s="1" t="n"/>
    </row>
    <row r="2" ht="28" customHeight="1">
      <c r="A2" s="13">
        <f>HYPERLINK("#'Launch'!A1", "← BACK")</f>
        <v/>
      </c>
      <c r="B2" s="14" t="n"/>
      <c r="C2" s="14" t="n"/>
      <c r="D2" s="59" t="inlineStr">
        <is>
          <t>SETTINGS</t>
        </is>
      </c>
    </row>
    <row r="3" ht="6" customHeight="1">
      <c r="A3" s="1" t="n"/>
      <c r="B3" s="1" t="n"/>
      <c r="C3" s="1" t="n"/>
      <c r="D3" s="1" t="n"/>
      <c r="E3" s="1" t="n"/>
      <c r="F3" s="1" t="n"/>
      <c r="G3" s="1" t="n"/>
      <c r="H3" s="1" t="n"/>
      <c r="I3" s="1" t="n"/>
      <c r="J3" s="1" t="n"/>
      <c r="K3" s="1" t="n"/>
      <c r="L3" s="1" t="n"/>
    </row>
    <row r="4" ht="18" customHeight="1">
      <c r="A4" s="60" t="inlineStr">
        <is>
          <t>Active tax year · bonus depreciation % · marginal rate · MACRS Y1 % per class.</t>
        </is>
      </c>
    </row>
    <row r="5" ht="18" customHeight="1">
      <c r="A5" s="102" t="inlineStr">
        <is>
          <t>Active tax year:</t>
        </is>
      </c>
      <c r="B5" s="103" t="n">
        <v>2026</v>
      </c>
    </row>
    <row r="6" ht="18" customHeight="1">
      <c r="A6" s="102" t="inlineStr">
        <is>
          <t>Bonus depreciation % (placed in service Y1):</t>
        </is>
      </c>
      <c r="B6" s="104" t="n">
        <v>0.4</v>
      </c>
    </row>
    <row r="7" ht="18" customHeight="1">
      <c r="A7" s="102" t="inlineStr">
        <is>
          <t>Marginal tax rate (for Y1 savings calc):</t>
        </is>
      </c>
      <c r="B7" s="104" t="n">
        <v>0.24</v>
      </c>
    </row>
    <row r="8" ht="18" customHeight="1">
      <c r="A8" s="102" t="inlineStr">
        <is>
          <t>MACRS Y1 % — 5-year property:</t>
        </is>
      </c>
      <c r="B8" s="105" t="n">
        <v>0.2</v>
      </c>
    </row>
    <row r="9" ht="18" customHeight="1">
      <c r="A9" s="102" t="inlineStr">
        <is>
          <t>MACRS Y1 % — 7-year property:</t>
        </is>
      </c>
      <c r="B9" s="105" t="n">
        <v>0.1429</v>
      </c>
    </row>
    <row r="10" ht="18" customHeight="1">
      <c r="A10" s="102" t="inlineStr">
        <is>
          <t>MACRS Y1 % — 15-year property:</t>
        </is>
      </c>
      <c r="B10" s="105" t="n">
        <v>0.05</v>
      </c>
    </row>
    <row r="12" ht="8" customHeight="1"/>
    <row r="13">
      <c r="A13" s="106" t="inlineStr">
        <is>
          <t>Historical bonus depreciation %:</t>
        </is>
      </c>
    </row>
    <row r="14">
      <c r="A14" s="107" t="inlineStr">
        <is>
          <t>2022:</t>
        </is>
      </c>
      <c r="B14" s="108" t="n">
        <v>1</v>
      </c>
    </row>
    <row r="15">
      <c r="A15" s="107" t="inlineStr">
        <is>
          <t>2023:</t>
        </is>
      </c>
      <c r="B15" s="108" t="n">
        <v>0.8</v>
      </c>
    </row>
    <row r="16">
      <c r="A16" s="107" t="inlineStr">
        <is>
          <t>2024:</t>
        </is>
      </c>
      <c r="B16" s="108" t="n">
        <v>0.6</v>
      </c>
    </row>
    <row r="17">
      <c r="A17" s="107" t="inlineStr">
        <is>
          <t>2025:</t>
        </is>
      </c>
      <c r="B17" s="108" t="n">
        <v>0.4</v>
      </c>
    </row>
    <row r="18">
      <c r="A18" s="107" t="inlineStr">
        <is>
          <t>2026:</t>
        </is>
      </c>
      <c r="B18" s="108" t="n">
        <v>0.4</v>
      </c>
    </row>
    <row r="19">
      <c r="A19" s="107" t="inlineStr">
        <is>
          <t>2027:</t>
        </is>
      </c>
      <c r="B19" s="108" t="n">
        <v>0.2</v>
      </c>
    </row>
    <row r="20">
      <c r="A20" s="107" t="inlineStr">
        <is>
          <t>2028:</t>
        </is>
      </c>
      <c r="B20" s="108" t="n">
        <v>0</v>
      </c>
    </row>
    <row r="22" ht="8" customHeight="1"/>
    <row r="23">
      <c r="A23" s="109" t="inlineStr">
        <is>
          <t>MACRS reference (200% DB half-year):</t>
        </is>
      </c>
    </row>
    <row r="24">
      <c r="A24" s="107" t="inlineStr">
        <is>
          <t>5-yr Y1:</t>
        </is>
      </c>
      <c r="B24" s="110" t="n">
        <v>0.2</v>
      </c>
    </row>
    <row r="25">
      <c r="A25" s="107" t="inlineStr">
        <is>
          <t>5-yr Y2:</t>
        </is>
      </c>
      <c r="B25" s="110" t="n">
        <v>0.32</v>
      </c>
    </row>
    <row r="26">
      <c r="A26" s="107" t="inlineStr">
        <is>
          <t>5-yr Y3:</t>
        </is>
      </c>
      <c r="B26" s="110" t="n">
        <v>0.192</v>
      </c>
    </row>
    <row r="27">
      <c r="A27" s="107" t="inlineStr">
        <is>
          <t>7-yr Y1:</t>
        </is>
      </c>
      <c r="B27" s="110" t="n">
        <v>0.1429</v>
      </c>
    </row>
    <row r="28">
      <c r="A28" s="107" t="inlineStr">
        <is>
          <t>7-yr Y2:</t>
        </is>
      </c>
      <c r="B28" s="110" t="n">
        <v>0.2449</v>
      </c>
    </row>
    <row r="29">
      <c r="A29" s="107" t="inlineStr">
        <is>
          <t>15-yr Y1:</t>
        </is>
      </c>
      <c r="B29" s="110" t="n">
        <v>0.05</v>
      </c>
    </row>
    <row r="30">
      <c r="A30" s="107" t="inlineStr">
        <is>
          <t>15-yr Y2:</t>
        </is>
      </c>
      <c r="B30" s="110" t="n">
        <v>0.095</v>
      </c>
    </row>
  </sheetData>
  <mergeCells count="3">
    <mergeCell ref="D2:L2"/>
    <mergeCell ref="A2:C2"/>
    <mergeCell ref="A4:L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The STR Ledger</dc:creator>
  <dc:title xmlns:dc="http://purl.org/dc/elements/1.1/">Cost Segregation DIY — The STR Ledger</dc:title>
  <dc:description xmlns:dc="http://purl.org/dc/elements/1.1/">DIY cost segregation workbook for STR hosts — reclassify 5/7/15-year property out of the default 27.5-yr schedule, with bonus-depreciation overlay and Form 4562 mirror for CPA hand-off.</dc:description>
  <dcterms:created xmlns:dcterms="http://purl.org/dc/terms/" xmlns:xsi="http://www.w3.org/2001/XMLSchema-instance" xsi:type="dcterms:W3CDTF">2026-04-26T13:10:39Z</dcterms:created>
  <dcterms:modified xmlns:dcterms="http://purl.org/dc/terms/" xmlns:xsi="http://www.w3.org/2001/XMLSchema-instance" xsi:type="dcterms:W3CDTF">2026-04-26T13:10:39Z</dcterms:modified>
</cp:coreProperties>
</file>