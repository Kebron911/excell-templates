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Bills Log" sheetId="2" state="visible" r:id="rId2"/>
    <sheet xmlns:r="http://schemas.openxmlformats.org/officeDocument/2006/relationships" name="Property Matrix" sheetId="3" state="visible" r:id="rId3"/>
    <sheet xmlns:r="http://schemas.openxmlformats.org/officeDocument/2006/relationships" name="Trend &amp; Anomalies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'Start'!$A$1:$L$48</definedName>
    <definedName name="_xlnm.Print_Titles" localSheetId="1">'Bills Log'!$1:$5</definedName>
    <definedName name="_xlnm.Print_Titles" localSheetId="2">'Property Matrix'!$1:$5</definedName>
    <definedName name="_xlnm._FilterDatabase" localSheetId="3" hidden="1">'Trend &amp; Anomalies'!$A$5:$H$221</definedName>
    <definedName name="_xlnm.Print_Titles" localSheetId="3">'Trend &amp; Anomalies'!$1:$5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yyyy-mm-dd"/>
    <numFmt numFmtId="166" formatCode="&quot;$&quot;#,##0.00"/>
    <numFmt numFmtId="167" formatCode="#,##0.0"/>
    <numFmt numFmtId="168" formatCode="&quot;$&quot;#,##0.0000"/>
    <numFmt numFmtId="169" formatCode="0.0%"/>
    <numFmt numFmtId="170" formatCode="&quot;$&quot;#,##0;[Red]&quot;-$&quot;#,##0"/>
  </numFmts>
  <fonts count="31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Georgia"/>
      <b val="1"/>
      <color rgb="00C9A24B"/>
      <sz val="16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28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28"/>
    </font>
    <font>
      <name val="Consolas"/>
      <b val="1"/>
      <color rgb="00B91C1C"/>
      <sz val="9"/>
    </font>
    <font>
      <name val="Georgia"/>
      <b val="1"/>
      <color rgb="00B91C1C"/>
      <sz val="28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2B2B2B"/>
      <sz val="11"/>
    </font>
    <font>
      <name val="Georgia"/>
      <b val="1"/>
      <color rgb="0012304E"/>
      <sz val="14"/>
    </font>
    <font>
      <name val="Calibri"/>
      <b val="1"/>
      <i val="1"/>
      <color rgb="0012304E"/>
      <sz val="11"/>
    </font>
    <font>
      <name val="Calibri"/>
      <b val="1"/>
      <color rgb="0012304E"/>
      <sz val="11"/>
    </font>
    <font>
      <name val="Calibri"/>
      <color rgb="002B2B2B"/>
      <sz val="10"/>
    </font>
    <font>
      <name val="Calibri"/>
      <b val="1"/>
      <color rgb="00B91C1C"/>
      <sz val="10"/>
    </font>
    <font>
      <name val="Calibri"/>
      <b val="1"/>
      <color rgb="002B2B2B"/>
      <sz val="11"/>
    </font>
    <font>
      <name val="Calibri"/>
      <i val="1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2"/>
    </xf>
    <xf numFmtId="0" fontId="7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7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2" fillId="3" borderId="2" applyAlignment="1" pivotButton="0" quotePrefix="0" xfId="0">
      <alignment horizontal="center"/>
    </xf>
    <xf numFmtId="0" fontId="14" fillId="3" borderId="2" applyAlignment="1" pivotButton="0" quotePrefix="0" xfId="0">
      <alignment horizontal="center"/>
    </xf>
    <xf numFmtId="164" fontId="10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4" fontId="13" fillId="3" borderId="5" applyAlignment="1" pivotButton="0" quotePrefix="0" xfId="0">
      <alignment horizontal="center" vertical="center"/>
    </xf>
    <xf numFmtId="1" fontId="15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1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6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6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7" fillId="4" borderId="0" applyAlignment="1" pivotButton="0" quotePrefix="0" xfId="0">
      <alignment horizontal="center" vertical="center" wrapText="1"/>
    </xf>
    <xf numFmtId="0" fontId="18" fillId="6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right" vertical="center" indent="2"/>
    </xf>
    <xf numFmtId="0" fontId="22" fillId="3" borderId="0" applyAlignment="1" pivotButton="0" quotePrefix="0" xfId="0">
      <alignment horizontal="left" vertical="center" indent="1"/>
    </xf>
    <xf numFmtId="0" fontId="18" fillId="2" borderId="14" applyAlignment="1" pivotButton="0" quotePrefix="0" xfId="0">
      <alignment horizontal="center" vertical="center"/>
    </xf>
    <xf numFmtId="165" fontId="7" fillId="7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166" fontId="7" fillId="7" borderId="0" applyAlignment="1" pivotButton="0" quotePrefix="0" xfId="0">
      <alignment horizontal="left" vertical="center"/>
    </xf>
    <xf numFmtId="167" fontId="7" fillId="7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center" vertical="center"/>
    </xf>
    <xf numFmtId="168" fontId="23" fillId="8" borderId="0" applyAlignment="1" pivotButton="0" quotePrefix="0" xfId="0">
      <alignment horizontal="right" vertical="center"/>
    </xf>
    <xf numFmtId="0" fontId="24" fillId="4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164" fontId="23" fillId="8" borderId="0" applyAlignment="1" pivotButton="0" quotePrefix="0" xfId="0">
      <alignment horizontal="right" vertical="center"/>
    </xf>
    <xf numFmtId="164" fontId="25" fillId="8" borderId="0" applyAlignment="1" pivotButton="0" quotePrefix="0" xfId="0">
      <alignment horizontal="right" vertical="center"/>
    </xf>
    <xf numFmtId="0" fontId="26" fillId="0" borderId="0" applyAlignment="1" pivotButton="0" quotePrefix="0" xfId="0">
      <alignment horizontal="left" vertical="center" indent="1"/>
    </xf>
    <xf numFmtId="0" fontId="21" fillId="2" borderId="0" applyAlignment="1" pivotButton="0" quotePrefix="0" xfId="0">
      <alignment horizontal="right" vertical="center"/>
    </xf>
    <xf numFmtId="1" fontId="21" fillId="2" borderId="0" applyAlignment="1" pivotButton="0" quotePrefix="0" xfId="0">
      <alignment horizontal="left" vertical="center" indent="1"/>
    </xf>
    <xf numFmtId="0" fontId="27" fillId="0" borderId="0" applyAlignment="1" pivotButton="0" quotePrefix="0" xfId="0">
      <alignment horizontal="left" vertical="center" indent="1"/>
    </xf>
    <xf numFmtId="169" fontId="23" fillId="8" borderId="0" applyAlignment="1" pivotButton="0" quotePrefix="0" xfId="0">
      <alignment horizontal="right" vertical="center"/>
    </xf>
    <xf numFmtId="170" fontId="23" fillId="8" borderId="0" applyAlignment="1" pivotButton="0" quotePrefix="0" xfId="0">
      <alignment horizontal="right" vertical="center"/>
    </xf>
    <xf numFmtId="0" fontId="28" fillId="4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right" vertical="center"/>
    </xf>
    <xf numFmtId="1" fontId="7" fillId="7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 wrapText="1" indent="1"/>
    </xf>
    <xf numFmtId="0" fontId="29" fillId="0" borderId="0" applyAlignment="1" pivotButton="0" quotePrefix="0" xfId="0">
      <alignment horizontal="right" vertical="top"/>
    </xf>
  </cellXfs>
  <cellStyles count="1">
    <cellStyle name="Normal" xfId="0" builtinId="0" hidden="0"/>
  </cellStyles>
  <dxfs count="1">
    <dxf>
      <fill>
        <patternFill patternType="solid">
          <fgColor rgb="00E2C8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$ by Month — Property 1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Matrix'!$B$7:$M$7</f>
            </numRef>
          </cat>
          <val>
            <numRef>
              <f>'Property Matrix'!$B$14</f>
            </numRef>
          </val>
        </ser>
        <ser>
          <idx val="1"/>
          <order val="1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Matrix'!$B$7:$M$7</f>
            </numRef>
          </cat>
          <val>
            <numRef>
              <f>'Property Matrix'!$C$14</f>
            </numRef>
          </val>
        </ser>
        <ser>
          <idx val="2"/>
          <order val="2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Matrix'!$B$7:$M$7</f>
            </numRef>
          </cat>
          <val>
            <numRef>
              <f>'Property Matrix'!$D$14</f>
            </numRef>
          </val>
        </ser>
        <ser>
          <idx val="3"/>
          <order val="3"/>
          <spPr>
            <a:solidFill xmlns:a="http://schemas.openxmlformats.org/drawingml/2006/main">
              <a:srgbClr val="2A4867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Matrix'!$B$7:$M$7</f>
            </numRef>
          </cat>
          <val>
            <numRef>
              <f>'Property Matrix'!$E$14</f>
            </numRef>
          </val>
        </ser>
        <ser>
          <idx val="4"/>
          <order val="4"/>
          <spPr>
            <a:solidFill xmlns:a="http://schemas.openxmlformats.org/drawingml/2006/main">
              <a:srgbClr val="E2C884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Matrix'!$B$7:$M$7</f>
            </numRef>
          </cat>
          <val>
            <numRef>
              <f>'Property Matrix'!$F$14</f>
            </numRef>
          </val>
        </ser>
        <ser>
          <idx val="5"/>
          <order val="5"/>
          <spPr>
            <a:solidFill xmlns:a="http://schemas.openxmlformats.org/drawingml/2006/main">
              <a:srgbClr val="0A1F35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Matrix'!$B$7:$M$7</f>
            </numRef>
          </cat>
          <val>
            <numRef>
              <f>'Property Matrix'!$G$14</f>
            </numRef>
          </val>
        </ser>
        <ser>
          <idx val="6"/>
          <order val="6"/>
          <spPr>
            <a:solidFill xmlns:a="http://schemas.openxmlformats.org/drawingml/2006/main">
              <a:srgbClr val="EFE5D0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Matrix'!$B$7:$M$7</f>
            </numRef>
          </cat>
          <val>
            <numRef>
              <f>'Property Matrix'!$H$14</f>
            </numRef>
          </val>
        </ser>
        <ser>
          <idx val="7"/>
          <order val="7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Matrix'!$B$7:$M$7</f>
            </numRef>
          </cat>
          <val>
            <numRef>
              <f>'Property Matrix'!$I$14</f>
            </numRef>
          </val>
        </ser>
        <ser>
          <idx val="8"/>
          <order val="8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Matrix'!$B$7:$M$7</f>
            </numRef>
          </cat>
          <val>
            <numRef>
              <f>'Property Matrix'!$J$14</f>
            </numRef>
          </val>
        </ser>
        <ser>
          <idx val="9"/>
          <order val="9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Matrix'!$B$7:$M$7</f>
            </numRef>
          </cat>
          <val>
            <numRef>
              <f>'Property Matrix'!$K$14</f>
            </numRef>
          </val>
        </ser>
        <ser>
          <idx val="10"/>
          <order val="10"/>
          <spPr>
            <a:solidFill xmlns:a="http://schemas.openxmlformats.org/drawingml/2006/main">
              <a:srgbClr val="2A4867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Matrix'!$B$7:$M$7</f>
            </numRef>
          </cat>
          <val>
            <numRef>
              <f>'Property Matrix'!$L$14</f>
            </numRef>
          </val>
        </ser>
        <ser>
          <idx val="11"/>
          <order val="11"/>
          <spPr>
            <a:solidFill xmlns:a="http://schemas.openxmlformats.org/drawingml/2006/main">
              <a:srgbClr val="E2C884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Matrix'!$B$7:$M$7</f>
            </numRef>
          </cat>
          <val>
            <numRef>
              <f>'Property Matrix'!$M$14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$ by Month — Property 2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Matrix'!$B$29:$M$29</f>
            </numRef>
          </cat>
          <val>
            <numRef>
              <f>'Property Matrix'!$B$36</f>
            </numRef>
          </val>
        </ser>
        <ser>
          <idx val="1"/>
          <order val="1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Matrix'!$B$29:$M$29</f>
            </numRef>
          </cat>
          <val>
            <numRef>
              <f>'Property Matrix'!$C$36</f>
            </numRef>
          </val>
        </ser>
        <ser>
          <idx val="2"/>
          <order val="2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Matrix'!$B$29:$M$29</f>
            </numRef>
          </cat>
          <val>
            <numRef>
              <f>'Property Matrix'!$D$36</f>
            </numRef>
          </val>
        </ser>
        <ser>
          <idx val="3"/>
          <order val="3"/>
          <spPr>
            <a:solidFill xmlns:a="http://schemas.openxmlformats.org/drawingml/2006/main">
              <a:srgbClr val="2A4867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Matrix'!$B$29:$M$29</f>
            </numRef>
          </cat>
          <val>
            <numRef>
              <f>'Property Matrix'!$E$36</f>
            </numRef>
          </val>
        </ser>
        <ser>
          <idx val="4"/>
          <order val="4"/>
          <spPr>
            <a:solidFill xmlns:a="http://schemas.openxmlformats.org/drawingml/2006/main">
              <a:srgbClr val="E2C884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Matrix'!$B$29:$M$29</f>
            </numRef>
          </cat>
          <val>
            <numRef>
              <f>'Property Matrix'!$F$36</f>
            </numRef>
          </val>
        </ser>
        <ser>
          <idx val="5"/>
          <order val="5"/>
          <spPr>
            <a:solidFill xmlns:a="http://schemas.openxmlformats.org/drawingml/2006/main">
              <a:srgbClr val="0A1F35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Matrix'!$B$29:$M$29</f>
            </numRef>
          </cat>
          <val>
            <numRef>
              <f>'Property Matrix'!$G$36</f>
            </numRef>
          </val>
        </ser>
        <ser>
          <idx val="6"/>
          <order val="6"/>
          <spPr>
            <a:solidFill xmlns:a="http://schemas.openxmlformats.org/drawingml/2006/main">
              <a:srgbClr val="EFE5D0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Matrix'!$B$29:$M$29</f>
            </numRef>
          </cat>
          <val>
            <numRef>
              <f>'Property Matrix'!$H$36</f>
            </numRef>
          </val>
        </ser>
        <ser>
          <idx val="7"/>
          <order val="7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Matrix'!$B$29:$M$29</f>
            </numRef>
          </cat>
          <val>
            <numRef>
              <f>'Property Matrix'!$I$36</f>
            </numRef>
          </val>
        </ser>
        <ser>
          <idx val="8"/>
          <order val="8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Matrix'!$B$29:$M$29</f>
            </numRef>
          </cat>
          <val>
            <numRef>
              <f>'Property Matrix'!$J$36</f>
            </numRef>
          </val>
        </ser>
        <ser>
          <idx val="9"/>
          <order val="9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Matrix'!$B$29:$M$29</f>
            </numRef>
          </cat>
          <val>
            <numRef>
              <f>'Property Matrix'!$K$36</f>
            </numRef>
          </val>
        </ser>
        <ser>
          <idx val="10"/>
          <order val="10"/>
          <spPr>
            <a:solidFill xmlns:a="http://schemas.openxmlformats.org/drawingml/2006/main">
              <a:srgbClr val="2A4867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Matrix'!$B$29:$M$29</f>
            </numRef>
          </cat>
          <val>
            <numRef>
              <f>'Property Matrix'!$L$36</f>
            </numRef>
          </val>
        </ser>
        <ser>
          <idx val="11"/>
          <order val="11"/>
          <spPr>
            <a:solidFill xmlns:a="http://schemas.openxmlformats.org/drawingml/2006/main">
              <a:srgbClr val="E2C884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Matrix'!$B$29:$M$29</f>
            </numRef>
          </cat>
          <val>
            <numRef>
              <f>'Property Matrix'!$M$36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$ by Month — Property 3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Matrix'!$B$51:$M$51</f>
            </numRef>
          </cat>
          <val>
            <numRef>
              <f>'Property Matrix'!$B$58</f>
            </numRef>
          </val>
        </ser>
        <ser>
          <idx val="1"/>
          <order val="1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Matrix'!$B$51:$M$51</f>
            </numRef>
          </cat>
          <val>
            <numRef>
              <f>'Property Matrix'!$C$58</f>
            </numRef>
          </val>
        </ser>
        <ser>
          <idx val="2"/>
          <order val="2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Matrix'!$B$51:$M$51</f>
            </numRef>
          </cat>
          <val>
            <numRef>
              <f>'Property Matrix'!$D$58</f>
            </numRef>
          </val>
        </ser>
        <ser>
          <idx val="3"/>
          <order val="3"/>
          <spPr>
            <a:solidFill xmlns:a="http://schemas.openxmlformats.org/drawingml/2006/main">
              <a:srgbClr val="2A4867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Matrix'!$B$51:$M$51</f>
            </numRef>
          </cat>
          <val>
            <numRef>
              <f>'Property Matrix'!$E$58</f>
            </numRef>
          </val>
        </ser>
        <ser>
          <idx val="4"/>
          <order val="4"/>
          <spPr>
            <a:solidFill xmlns:a="http://schemas.openxmlformats.org/drawingml/2006/main">
              <a:srgbClr val="E2C884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Matrix'!$B$51:$M$51</f>
            </numRef>
          </cat>
          <val>
            <numRef>
              <f>'Property Matrix'!$F$58</f>
            </numRef>
          </val>
        </ser>
        <ser>
          <idx val="5"/>
          <order val="5"/>
          <spPr>
            <a:solidFill xmlns:a="http://schemas.openxmlformats.org/drawingml/2006/main">
              <a:srgbClr val="0A1F35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Matrix'!$B$51:$M$51</f>
            </numRef>
          </cat>
          <val>
            <numRef>
              <f>'Property Matrix'!$G$58</f>
            </numRef>
          </val>
        </ser>
        <ser>
          <idx val="6"/>
          <order val="6"/>
          <spPr>
            <a:solidFill xmlns:a="http://schemas.openxmlformats.org/drawingml/2006/main">
              <a:srgbClr val="EFE5D0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Matrix'!$B$51:$M$51</f>
            </numRef>
          </cat>
          <val>
            <numRef>
              <f>'Property Matrix'!$H$58</f>
            </numRef>
          </val>
        </ser>
        <ser>
          <idx val="7"/>
          <order val="7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Matrix'!$B$51:$M$51</f>
            </numRef>
          </cat>
          <val>
            <numRef>
              <f>'Property Matrix'!$I$58</f>
            </numRef>
          </val>
        </ser>
        <ser>
          <idx val="8"/>
          <order val="8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Matrix'!$B$51:$M$51</f>
            </numRef>
          </cat>
          <val>
            <numRef>
              <f>'Property Matrix'!$J$58</f>
            </numRef>
          </val>
        </ser>
        <ser>
          <idx val="9"/>
          <order val="9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Matrix'!$B$51:$M$51</f>
            </numRef>
          </cat>
          <val>
            <numRef>
              <f>'Property Matrix'!$K$58</f>
            </numRef>
          </val>
        </ser>
        <ser>
          <idx val="10"/>
          <order val="10"/>
          <spPr>
            <a:solidFill xmlns:a="http://schemas.openxmlformats.org/drawingml/2006/main">
              <a:srgbClr val="2A4867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Matrix'!$B$51:$M$51</f>
            </numRef>
          </cat>
          <val>
            <numRef>
              <f>'Property Matrix'!$L$58</f>
            </numRef>
          </val>
        </ser>
        <ser>
          <idx val="11"/>
          <order val="11"/>
          <spPr>
            <a:solidFill xmlns:a="http://schemas.openxmlformats.org/drawingml/2006/main">
              <a:srgbClr val="E2C884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Matrix'!$B$51:$M$51</f>
            </numRef>
          </cat>
          <val>
            <numRef>
              <f>'Property Matrix'!$M$58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648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37</row>
      <rowOff>0</rowOff>
    </from>
    <ext cx="648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59</row>
      <rowOff>0</rowOff>
    </from>
    <ext cx="648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Utility Usage + Trend</t>
        </is>
      </c>
    </row>
    <row r="5" ht="22" customHeight="1">
      <c r="A5" s="4" t="inlineStr">
        <is>
          <t>Catch a leak before it costs a month.</t>
        </is>
      </c>
    </row>
    <row r="6" ht="32" customHeight="1">
      <c r="A6" s="5">
        <f>IF(COUNTA('Bills Log'!B6:B505)=0,"📊  Log your first bill to see your verdict.",IF('Trend &amp; Anomalies'!$B$3=0,"✅  No anomalies detected — usage is steady year-over-year.","⚠  "&amp;'Trend &amp; Anomalies'!$B$3&amp;" anomalies detected — see Trend &amp; Anomalies tab."))</f>
        <v/>
      </c>
    </row>
    <row r="7" ht="22" customHeight="1">
      <c r="A7" s="6" t="inlineStr">
        <is>
          <t>OPS-007 · v2.2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7" t="inlineStr">
        <is>
          <t>WHAT THIS DOES</t>
        </is>
      </c>
    </row>
    <row r="11">
      <c r="A11" s="8" t="inlineStr">
        <is>
          <t>Track every utility bill (electric, gas, water, internet, trash, propane) per property in a 12-column matrix. The Trend &amp; Anomalies tab compares each month to the prior year and flags any service whose bill jumped &gt;25% — your early warning system for leaks, runaway HVAC, and price hikes you didn't see coming.</t>
        </is>
      </c>
    </row>
    <row r="12"/>
    <row r="13"/>
    <row r="14"/>
    <row r="15"/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8" ht="20" customHeight="1">
      <c r="A18" s="7" t="inlineStr">
        <is>
          <t>HOW TO USE</t>
        </is>
      </c>
    </row>
    <row r="19" ht="20" customHeight="1">
      <c r="A19" s="10" t="inlineStr">
        <is>
          <t>① Settings: list your properties + confirm active year.</t>
        </is>
      </c>
    </row>
    <row r="20" ht="20" customHeight="1">
      <c r="A20" s="10" t="inlineStr">
        <is>
          <t>② Bills Log: log every utility bill — date, property, service, $, usage, notes.</t>
        </is>
      </c>
    </row>
    <row r="21" ht="20" customHeight="1">
      <c r="A21" s="10" t="inlineStr">
        <is>
          <t>③ Property Matrix: per-property 12-month roll-up by service (auto).</t>
        </is>
      </c>
    </row>
    <row r="22" ht="20" customHeight="1">
      <c r="A22" s="10" t="inlineStr">
        <is>
          <t>④ Trend &amp; Anomalies: scan the ⚠ flags — anything &gt;25% YoY needs a look.</t>
        </is>
      </c>
    </row>
    <row r="23" ht="20" customHeight="1">
      <c r="A23" s="10" t="inlineStr">
        <is>
          <t>⑤ Bump 'Active tax year' on Settings each January so YoY checks stay aligned.</t>
        </is>
      </c>
    </row>
    <row r="24" ht="20" customHeight="1">
      <c r="A24" s="10" t="inlineStr">
        <is>
          <t>⑥ Log bills the day they arrive — backfilling kills the trend signal.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</row>
    <row r="27" ht="22" customHeight="1">
      <c r="A27" s="12">
        <f>HYPERLINK("#'Bills Log'!A6", "→  LOG A BILL")</f>
        <v/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 ht="22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22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</row>
    <row r="30" ht="22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</row>
    <row r="32">
      <c r="A32" s="14" t="inlineStr">
        <is>
          <t>YTD UTILITY $</t>
        </is>
      </c>
      <c r="B32" s="15" t="n"/>
      <c r="C32" s="15" t="n"/>
      <c r="D32" s="16" t="n"/>
      <c r="E32" s="17" t="inlineStr">
        <is>
          <t>AVG $/MONTH</t>
        </is>
      </c>
      <c r="F32" s="15" t="n"/>
      <c r="G32" s="15" t="n"/>
      <c r="H32" s="16" t="n"/>
      <c r="I32" s="18" t="inlineStr">
        <is>
          <t>ANOMALIES</t>
        </is>
      </c>
      <c r="J32" s="15" t="n"/>
      <c r="K32" s="15" t="n"/>
      <c r="L32" s="16" t="n"/>
    </row>
    <row r="33">
      <c r="A33" s="19">
        <f>SUMIFS('Bills Log'!F:F,'Bills Log'!A:A,"&gt;="&amp;DATE(Settings!$B$5,1,1),'Bills Log'!A:A,"&lt;"&amp;DATE(Settings!$B$5+1,1,1))</f>
        <v/>
      </c>
      <c r="B33" s="20" t="n"/>
      <c r="C33" s="20" t="n"/>
      <c r="D33" s="21" t="n"/>
      <c r="E33" s="22">
        <f>IFERROR(SUMIFS('Bills Log'!F:F,'Bills Log'!A:A,"&gt;="&amp;DATE(Settings!$B$5,1,1),'Bills Log'!A:A,"&lt;"&amp;DATE(Settings!$B$5+1,1,1))/12,0)</f>
        <v/>
      </c>
      <c r="F33" s="20" t="n"/>
      <c r="G33" s="20" t="n"/>
      <c r="H33" s="21" t="n"/>
      <c r="I33" s="23">
        <f>'Trend &amp; Anomalies'!$B$3</f>
        <v/>
      </c>
      <c r="J33" s="20" t="n"/>
      <c r="K33" s="20" t="n"/>
      <c r="L33" s="21" t="n"/>
    </row>
    <row r="34">
      <c r="A34" s="24" t="n"/>
      <c r="B34" s="20" t="n"/>
      <c r="C34" s="20" t="n"/>
      <c r="D34" s="21" t="n"/>
      <c r="E34" s="24" t="n"/>
      <c r="F34" s="20" t="n"/>
      <c r="G34" s="20" t="n"/>
      <c r="H34" s="21" t="n"/>
      <c r="I34" s="24" t="n"/>
      <c r="J34" s="20" t="n"/>
      <c r="K34" s="20" t="n"/>
      <c r="L34" s="21" t="n"/>
    </row>
    <row r="35">
      <c r="A35" s="25" t="inlineStr">
        <is>
          <t>all properties combined</t>
        </is>
      </c>
      <c r="B35" s="26" t="n"/>
      <c r="C35" s="26" t="n"/>
      <c r="D35" s="27" t="n"/>
      <c r="E35" s="25" t="inlineStr">
        <is>
          <t>across all services</t>
        </is>
      </c>
      <c r="F35" s="26" t="n"/>
      <c r="G35" s="26" t="n"/>
      <c r="H35" s="27" t="n"/>
      <c r="I35" s="25" t="inlineStr">
        <is>
          <t>YoY jumps &gt;25%</t>
        </is>
      </c>
      <c r="J35" s="26" t="n"/>
      <c r="K35" s="26" t="n"/>
      <c r="L35" s="27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9" ht="22" customHeight="1">
      <c r="A39" s="28">
        <f>HYPERLINK("#'Bills Log'!A1", "Bills Log")</f>
        <v/>
      </c>
      <c r="B39" s="29" t="n"/>
      <c r="C39" s="29" t="n"/>
      <c r="D39" s="28">
        <f>HYPERLINK("#'Property Matrix'!A1", "Property Matrix")</f>
        <v/>
      </c>
      <c r="E39" s="29" t="n"/>
      <c r="F39" s="29" t="n"/>
      <c r="G39" s="30">
        <f>HYPERLINK("#'Trend &amp; Anomalies'!A1", "⚠ Trend &amp; Anomalies")</f>
        <v/>
      </c>
      <c r="H39" s="31" t="n"/>
      <c r="I39" s="31" t="n"/>
      <c r="J39" s="28">
        <f>HYPERLINK("#'Settings'!A1", "Settings")</f>
        <v/>
      </c>
      <c r="K39" s="29" t="n"/>
      <c r="L39" s="29" t="n"/>
    </row>
    <row r="40" ht="22" customHeight="1">
      <c r="A40" s="29" t="n"/>
      <c r="B40" s="29" t="n"/>
      <c r="C40" s="29" t="n"/>
      <c r="D40" s="29" t="n"/>
      <c r="E40" s="29" t="n"/>
      <c r="F40" s="29" t="n"/>
      <c r="G40" s="31" t="n"/>
      <c r="H40" s="31" t="n"/>
      <c r="I40" s="31" t="n"/>
      <c r="J40" s="29" t="n"/>
      <c r="K40" s="29" t="n"/>
      <c r="L40" s="29" t="n"/>
    </row>
    <row r="42" ht="36" customHeight="1">
      <c r="A42" s="32" t="inlineStr">
        <is>
          <t>⚠ ANOMALY = a month's bill jumped &gt;25% vs the same month last year. Common causes: leak, AC/heat running while vacant, rate hike, or a misread meter. Check the Trend &amp; Anomalies tab monthly.</t>
        </is>
      </c>
    </row>
    <row r="44" ht="30" customHeight="1">
      <c r="A44" s="33" t="inlineStr">
        <is>
          <t>💡 Upgrade to the Full version at thestrledger.com/upgrade — multi-property, depreciation, multi-LLC support.</t>
        </is>
      </c>
    </row>
    <row r="46">
      <c r="A46" s="34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</row>
    <row r="47" ht="18" customHeight="1">
      <c r="A47" s="35" t="inlineStr">
        <is>
          <t>Questions? hello@thestrledger.com</t>
        </is>
      </c>
    </row>
    <row r="48" ht="18" customHeight="1">
      <c r="A48" s="36" t="inlineStr">
        <is>
          <t>OPS-007 · v2.2 · Free updates forever</t>
        </is>
      </c>
    </row>
  </sheetData>
  <mergeCells count="31">
    <mergeCell ref="A7:L7"/>
    <mergeCell ref="A11:L15"/>
    <mergeCell ref="A35:D35"/>
    <mergeCell ref="E33:H34"/>
    <mergeCell ref="D39:F40"/>
    <mergeCell ref="I35:L35"/>
    <mergeCell ref="A18:L18"/>
    <mergeCell ref="A39:C40"/>
    <mergeCell ref="E32:H32"/>
    <mergeCell ref="A21:L21"/>
    <mergeCell ref="A2:F2"/>
    <mergeCell ref="J39:L40"/>
    <mergeCell ref="A42:L42"/>
    <mergeCell ref="A47:L47"/>
    <mergeCell ref="A5:L5"/>
    <mergeCell ref="A23:L23"/>
    <mergeCell ref="A22:L22"/>
    <mergeCell ref="I33:L34"/>
    <mergeCell ref="A4:L4"/>
    <mergeCell ref="A20:L20"/>
    <mergeCell ref="G39:I40"/>
    <mergeCell ref="A10:L10"/>
    <mergeCell ref="A19:L19"/>
    <mergeCell ref="A33:D34"/>
    <mergeCell ref="E35:H35"/>
    <mergeCell ref="I32:L32"/>
    <mergeCell ref="A48:L48"/>
    <mergeCell ref="A24:L24"/>
    <mergeCell ref="A27:L30"/>
    <mergeCell ref="A6:L6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28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HYPERLINK("#'Start'!A1", "← BACK")</f>
        <v/>
      </c>
      <c r="B2" s="13" t="n"/>
      <c r="C2" s="13" t="n"/>
      <c r="D2" s="37" t="inlineStr">
        <is>
          <t>BILLS LOG</t>
        </is>
      </c>
      <c r="J2" s="30">
        <f>HYPERLINK("#'Property Matrix'!A1", "NEXT →")</f>
        <v/>
      </c>
      <c r="K2" s="31" t="n"/>
      <c r="L2" s="31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One row per utility bill — date, property, service, $, usage</t>
        </is>
      </c>
    </row>
    <row r="5" ht="20" customHeight="1">
      <c r="A5" s="39" t="inlineStr">
        <is>
          <t>Bill Date</t>
        </is>
      </c>
      <c r="B5" s="39" t="inlineStr">
        <is>
          <t>Property</t>
        </is>
      </c>
      <c r="C5" s="39" t="inlineStr">
        <is>
          <t>Service</t>
        </is>
      </c>
      <c r="D5" s="39" t="inlineStr">
        <is>
          <t>Period Start</t>
        </is>
      </c>
      <c r="E5" s="39" t="inlineStr">
        <is>
          <t>Period End</t>
        </is>
      </c>
      <c r="F5" s="39" t="inlineStr">
        <is>
          <t>$ Amount</t>
        </is>
      </c>
      <c r="G5" s="39" t="inlineStr">
        <is>
          <t>Usage</t>
        </is>
      </c>
      <c r="H5" s="39" t="inlineStr">
        <is>
          <t>Units</t>
        </is>
      </c>
      <c r="I5" s="39" t="inlineStr">
        <is>
          <t>$/Unit</t>
        </is>
      </c>
      <c r="J5" s="39" t="inlineStr">
        <is>
          <t>Notes</t>
        </is>
      </c>
    </row>
    <row r="6">
      <c r="A6" s="40" t="n"/>
      <c r="B6" s="41" t="n"/>
      <c r="C6" s="41" t="n"/>
      <c r="D6" s="40" t="n"/>
      <c r="E6" s="40" t="n"/>
      <c r="F6" s="42" t="n"/>
      <c r="G6" s="43" t="n"/>
      <c r="H6" s="44" t="n"/>
      <c r="I6" s="45">
        <f>IFERROR(F6/G6,"")</f>
        <v/>
      </c>
      <c r="J6" s="41" t="n"/>
    </row>
    <row r="7">
      <c r="A7" s="40" t="n"/>
      <c r="B7" s="41" t="n"/>
      <c r="C7" s="41" t="n"/>
      <c r="D7" s="40" t="n"/>
      <c r="E7" s="40" t="n"/>
      <c r="F7" s="42" t="n"/>
      <c r="G7" s="43" t="n"/>
      <c r="H7" s="44" t="n"/>
      <c r="I7" s="45">
        <f>IFERROR(F7/G7,"")</f>
        <v/>
      </c>
      <c r="J7" s="41" t="n"/>
    </row>
    <row r="8">
      <c r="A8" s="40" t="n"/>
      <c r="B8" s="41" t="n"/>
      <c r="C8" s="41" t="n"/>
      <c r="D8" s="40" t="n"/>
      <c r="E8" s="40" t="n"/>
      <c r="F8" s="42" t="n"/>
      <c r="G8" s="43" t="n"/>
      <c r="H8" s="44" t="n"/>
      <c r="I8" s="45">
        <f>IFERROR(F8/G8,"")</f>
        <v/>
      </c>
      <c r="J8" s="41" t="n"/>
    </row>
    <row r="9">
      <c r="A9" s="40" t="n"/>
      <c r="B9" s="41" t="n"/>
      <c r="C9" s="41" t="n"/>
      <c r="D9" s="40" t="n"/>
      <c r="E9" s="40" t="n"/>
      <c r="F9" s="42" t="n"/>
      <c r="G9" s="43" t="n"/>
      <c r="H9" s="44" t="n"/>
      <c r="I9" s="45">
        <f>IFERROR(F9/G9,"")</f>
        <v/>
      </c>
      <c r="J9" s="41" t="n"/>
    </row>
    <row r="10">
      <c r="A10" s="40" t="n"/>
      <c r="B10" s="41" t="n"/>
      <c r="C10" s="41" t="n"/>
      <c r="D10" s="40" t="n"/>
      <c r="E10" s="40" t="n"/>
      <c r="F10" s="42" t="n"/>
      <c r="G10" s="43" t="n"/>
      <c r="H10" s="44" t="n"/>
      <c r="I10" s="45">
        <f>IFERROR(F10/G10,"")</f>
        <v/>
      </c>
      <c r="J10" s="41" t="n"/>
    </row>
    <row r="11">
      <c r="A11" s="40" t="n"/>
      <c r="B11" s="41" t="n"/>
      <c r="C11" s="41" t="n"/>
      <c r="D11" s="40" t="n"/>
      <c r="E11" s="40" t="n"/>
      <c r="F11" s="42" t="n"/>
      <c r="G11" s="43" t="n"/>
      <c r="H11" s="44" t="n"/>
      <c r="I11" s="45">
        <f>IFERROR(F11/G11,"")</f>
        <v/>
      </c>
      <c r="J11" s="41" t="n"/>
    </row>
    <row r="12">
      <c r="A12" s="40" t="n"/>
      <c r="B12" s="41" t="n"/>
      <c r="C12" s="41" t="n"/>
      <c r="D12" s="40" t="n"/>
      <c r="E12" s="40" t="n"/>
      <c r="F12" s="42" t="n"/>
      <c r="G12" s="43" t="n"/>
      <c r="H12" s="44" t="n"/>
      <c r="I12" s="45">
        <f>IFERROR(F12/G12,"")</f>
        <v/>
      </c>
      <c r="J12" s="41" t="n"/>
    </row>
    <row r="13">
      <c r="A13" s="40" t="n"/>
      <c r="B13" s="41" t="n"/>
      <c r="C13" s="41" t="n"/>
      <c r="D13" s="40" t="n"/>
      <c r="E13" s="40" t="n"/>
      <c r="F13" s="42" t="n"/>
      <c r="G13" s="43" t="n"/>
      <c r="H13" s="44" t="n"/>
      <c r="I13" s="45">
        <f>IFERROR(F13/G13,"")</f>
        <v/>
      </c>
      <c r="J13" s="41" t="n"/>
    </row>
    <row r="14">
      <c r="A14" s="40" t="n"/>
      <c r="B14" s="41" t="n"/>
      <c r="C14" s="41" t="n"/>
      <c r="D14" s="40" t="n"/>
      <c r="E14" s="40" t="n"/>
      <c r="F14" s="42" t="n"/>
      <c r="G14" s="43" t="n"/>
      <c r="H14" s="44" t="n"/>
      <c r="I14" s="45">
        <f>IFERROR(F14/G14,"")</f>
        <v/>
      </c>
      <c r="J14" s="41" t="n"/>
    </row>
    <row r="15">
      <c r="A15" s="40" t="n"/>
      <c r="B15" s="41" t="n"/>
      <c r="C15" s="41" t="n"/>
      <c r="D15" s="40" t="n"/>
      <c r="E15" s="40" t="n"/>
      <c r="F15" s="42" t="n"/>
      <c r="G15" s="43" t="n"/>
      <c r="H15" s="44" t="n"/>
      <c r="I15" s="45">
        <f>IFERROR(F15/G15,"")</f>
        <v/>
      </c>
      <c r="J15" s="41" t="n"/>
    </row>
    <row r="16">
      <c r="A16" s="40" t="n"/>
      <c r="B16" s="41" t="n"/>
      <c r="C16" s="41" t="n"/>
      <c r="D16" s="40" t="n"/>
      <c r="E16" s="40" t="n"/>
      <c r="F16" s="42" t="n"/>
      <c r="G16" s="43" t="n"/>
      <c r="H16" s="44" t="n"/>
      <c r="I16" s="45">
        <f>IFERROR(F16/G16,"")</f>
        <v/>
      </c>
      <c r="J16" s="41" t="n"/>
    </row>
    <row r="17">
      <c r="A17" s="40" t="n"/>
      <c r="B17" s="41" t="n"/>
      <c r="C17" s="41" t="n"/>
      <c r="D17" s="40" t="n"/>
      <c r="E17" s="40" t="n"/>
      <c r="F17" s="42" t="n"/>
      <c r="G17" s="43" t="n"/>
      <c r="H17" s="44" t="n"/>
      <c r="I17" s="45">
        <f>IFERROR(F17/G17,"")</f>
        <v/>
      </c>
      <c r="J17" s="41" t="n"/>
    </row>
    <row r="18">
      <c r="A18" s="40" t="n"/>
      <c r="B18" s="41" t="n"/>
      <c r="C18" s="41" t="n"/>
      <c r="D18" s="40" t="n"/>
      <c r="E18" s="40" t="n"/>
      <c r="F18" s="42" t="n"/>
      <c r="G18" s="43" t="n"/>
      <c r="H18" s="44" t="n"/>
      <c r="I18" s="45">
        <f>IFERROR(F18/G18,"")</f>
        <v/>
      </c>
      <c r="J18" s="41" t="n"/>
    </row>
    <row r="19">
      <c r="A19" s="40" t="n"/>
      <c r="B19" s="41" t="n"/>
      <c r="C19" s="41" t="n"/>
      <c r="D19" s="40" t="n"/>
      <c r="E19" s="40" t="n"/>
      <c r="F19" s="42" t="n"/>
      <c r="G19" s="43" t="n"/>
      <c r="H19" s="44" t="n"/>
      <c r="I19" s="45">
        <f>IFERROR(F19/G19,"")</f>
        <v/>
      </c>
      <c r="J19" s="41" t="n"/>
    </row>
    <row r="20">
      <c r="A20" s="40" t="n"/>
      <c r="B20" s="41" t="n"/>
      <c r="C20" s="41" t="n"/>
      <c r="D20" s="40" t="n"/>
      <c r="E20" s="40" t="n"/>
      <c r="F20" s="42" t="n"/>
      <c r="G20" s="43" t="n"/>
      <c r="H20" s="44" t="n"/>
      <c r="I20" s="45">
        <f>IFERROR(F20/G20,"")</f>
        <v/>
      </c>
      <c r="J20" s="41" t="n"/>
    </row>
    <row r="21">
      <c r="A21" s="40" t="n"/>
      <c r="B21" s="41" t="n"/>
      <c r="C21" s="41" t="n"/>
      <c r="D21" s="40" t="n"/>
      <c r="E21" s="40" t="n"/>
      <c r="F21" s="42" t="n"/>
      <c r="G21" s="43" t="n"/>
      <c r="H21" s="44" t="n"/>
      <c r="I21" s="45">
        <f>IFERROR(F21/G21,"")</f>
        <v/>
      </c>
      <c r="J21" s="41" t="n"/>
    </row>
    <row r="22">
      <c r="A22" s="40" t="n"/>
      <c r="B22" s="41" t="n"/>
      <c r="C22" s="41" t="n"/>
      <c r="D22" s="40" t="n"/>
      <c r="E22" s="40" t="n"/>
      <c r="F22" s="42" t="n"/>
      <c r="G22" s="43" t="n"/>
      <c r="H22" s="44" t="n"/>
      <c r="I22" s="45">
        <f>IFERROR(F22/G22,"")</f>
        <v/>
      </c>
      <c r="J22" s="41" t="n"/>
    </row>
    <row r="23">
      <c r="A23" s="40" t="n"/>
      <c r="B23" s="41" t="n"/>
      <c r="C23" s="41" t="n"/>
      <c r="D23" s="40" t="n"/>
      <c r="E23" s="40" t="n"/>
      <c r="F23" s="42" t="n"/>
      <c r="G23" s="43" t="n"/>
      <c r="H23" s="44" t="n"/>
      <c r="I23" s="45">
        <f>IFERROR(F23/G23,"")</f>
        <v/>
      </c>
      <c r="J23" s="41" t="n"/>
    </row>
    <row r="24">
      <c r="A24" s="40" t="n"/>
      <c r="B24" s="41" t="n"/>
      <c r="C24" s="41" t="n"/>
      <c r="D24" s="40" t="n"/>
      <c r="E24" s="40" t="n"/>
      <c r="F24" s="42" t="n"/>
      <c r="G24" s="43" t="n"/>
      <c r="H24" s="44" t="n"/>
      <c r="I24" s="45">
        <f>IFERROR(F24/G24,"")</f>
        <v/>
      </c>
      <c r="J24" s="41" t="n"/>
    </row>
    <row r="25">
      <c r="A25" s="40" t="n"/>
      <c r="B25" s="41" t="n"/>
      <c r="C25" s="41" t="n"/>
      <c r="D25" s="40" t="n"/>
      <c r="E25" s="40" t="n"/>
      <c r="F25" s="42" t="n"/>
      <c r="G25" s="43" t="n"/>
      <c r="H25" s="44" t="n"/>
      <c r="I25" s="45">
        <f>IFERROR(F25/G25,"")</f>
        <v/>
      </c>
      <c r="J25" s="41" t="n"/>
    </row>
    <row r="26">
      <c r="A26" s="40" t="n"/>
      <c r="B26" s="41" t="n"/>
      <c r="C26" s="41" t="n"/>
      <c r="D26" s="40" t="n"/>
      <c r="E26" s="40" t="n"/>
      <c r="F26" s="42" t="n"/>
      <c r="G26" s="43" t="n"/>
      <c r="H26" s="44" t="n"/>
      <c r="I26" s="45">
        <f>IFERROR(F26/G26,"")</f>
        <v/>
      </c>
      <c r="J26" s="41" t="n"/>
    </row>
    <row r="27">
      <c r="A27" s="40" t="n"/>
      <c r="B27" s="41" t="n"/>
      <c r="C27" s="41" t="n"/>
      <c r="D27" s="40" t="n"/>
      <c r="E27" s="40" t="n"/>
      <c r="F27" s="42" t="n"/>
      <c r="G27" s="43" t="n"/>
      <c r="H27" s="44" t="n"/>
      <c r="I27" s="45">
        <f>IFERROR(F27/G27,"")</f>
        <v/>
      </c>
      <c r="J27" s="41" t="n"/>
    </row>
    <row r="28">
      <c r="A28" s="40" t="n"/>
      <c r="B28" s="41" t="n"/>
      <c r="C28" s="41" t="n"/>
      <c r="D28" s="40" t="n"/>
      <c r="E28" s="40" t="n"/>
      <c r="F28" s="42" t="n"/>
      <c r="G28" s="43" t="n"/>
      <c r="H28" s="44" t="n"/>
      <c r="I28" s="45">
        <f>IFERROR(F28/G28,"")</f>
        <v/>
      </c>
      <c r="J28" s="41" t="n"/>
    </row>
    <row r="29">
      <c r="A29" s="40" t="n"/>
      <c r="B29" s="41" t="n"/>
      <c r="C29" s="41" t="n"/>
      <c r="D29" s="40" t="n"/>
      <c r="E29" s="40" t="n"/>
      <c r="F29" s="42" t="n"/>
      <c r="G29" s="43" t="n"/>
      <c r="H29" s="44" t="n"/>
      <c r="I29" s="45">
        <f>IFERROR(F29/G29,"")</f>
        <v/>
      </c>
      <c r="J29" s="41" t="n"/>
    </row>
    <row r="30">
      <c r="A30" s="40" t="n"/>
      <c r="B30" s="41" t="n"/>
      <c r="C30" s="41" t="n"/>
      <c r="D30" s="40" t="n"/>
      <c r="E30" s="40" t="n"/>
      <c r="F30" s="42" t="n"/>
      <c r="G30" s="43" t="n"/>
      <c r="H30" s="44" t="n"/>
      <c r="I30" s="45">
        <f>IFERROR(F30/G30,"")</f>
        <v/>
      </c>
      <c r="J30" s="41" t="n"/>
    </row>
    <row r="31">
      <c r="A31" s="40" t="n"/>
      <c r="B31" s="41" t="n"/>
      <c r="C31" s="41" t="n"/>
      <c r="D31" s="40" t="n"/>
      <c r="E31" s="40" t="n"/>
      <c r="F31" s="42" t="n"/>
      <c r="G31" s="43" t="n"/>
      <c r="H31" s="44" t="n"/>
      <c r="I31" s="45">
        <f>IFERROR(F31/G31,"")</f>
        <v/>
      </c>
      <c r="J31" s="41" t="n"/>
    </row>
    <row r="32">
      <c r="A32" s="40" t="n"/>
      <c r="B32" s="41" t="n"/>
      <c r="C32" s="41" t="n"/>
      <c r="D32" s="40" t="n"/>
      <c r="E32" s="40" t="n"/>
      <c r="F32" s="42" t="n"/>
      <c r="G32" s="43" t="n"/>
      <c r="H32" s="44" t="n"/>
      <c r="I32" s="45">
        <f>IFERROR(F32/G32,"")</f>
        <v/>
      </c>
      <c r="J32" s="41" t="n"/>
    </row>
    <row r="33">
      <c r="A33" s="40" t="n"/>
      <c r="B33" s="41" t="n"/>
      <c r="C33" s="41" t="n"/>
      <c r="D33" s="40" t="n"/>
      <c r="E33" s="40" t="n"/>
      <c r="F33" s="42" t="n"/>
      <c r="G33" s="43" t="n"/>
      <c r="H33" s="44" t="n"/>
      <c r="I33" s="45">
        <f>IFERROR(F33/G33,"")</f>
        <v/>
      </c>
      <c r="J33" s="41" t="n"/>
    </row>
    <row r="34">
      <c r="A34" s="40" t="n"/>
      <c r="B34" s="41" t="n"/>
      <c r="C34" s="41" t="n"/>
      <c r="D34" s="40" t="n"/>
      <c r="E34" s="40" t="n"/>
      <c r="F34" s="42" t="n"/>
      <c r="G34" s="43" t="n"/>
      <c r="H34" s="44" t="n"/>
      <c r="I34" s="45">
        <f>IFERROR(F34/G34,"")</f>
        <v/>
      </c>
      <c r="J34" s="41" t="n"/>
    </row>
    <row r="35">
      <c r="A35" s="40" t="n"/>
      <c r="B35" s="41" t="n"/>
      <c r="C35" s="41" t="n"/>
      <c r="D35" s="40" t="n"/>
      <c r="E35" s="40" t="n"/>
      <c r="F35" s="42" t="n"/>
      <c r="G35" s="43" t="n"/>
      <c r="H35" s="44" t="n"/>
      <c r="I35" s="45">
        <f>IFERROR(F35/G35,"")</f>
        <v/>
      </c>
      <c r="J35" s="41" t="n"/>
    </row>
    <row r="36">
      <c r="A36" s="40" t="n"/>
      <c r="B36" s="41" t="n"/>
      <c r="C36" s="41" t="n"/>
      <c r="D36" s="40" t="n"/>
      <c r="E36" s="40" t="n"/>
      <c r="F36" s="42" t="n"/>
      <c r="G36" s="43" t="n"/>
      <c r="H36" s="44" t="n"/>
      <c r="I36" s="45">
        <f>IFERROR(F36/G36,"")</f>
        <v/>
      </c>
      <c r="J36" s="41" t="n"/>
    </row>
    <row r="37">
      <c r="A37" s="40" t="n"/>
      <c r="B37" s="41" t="n"/>
      <c r="C37" s="41" t="n"/>
      <c r="D37" s="40" t="n"/>
      <c r="E37" s="40" t="n"/>
      <c r="F37" s="42" t="n"/>
      <c r="G37" s="43" t="n"/>
      <c r="H37" s="44" t="n"/>
      <c r="I37" s="45">
        <f>IFERROR(F37/G37,"")</f>
        <v/>
      </c>
      <c r="J37" s="41" t="n"/>
    </row>
    <row r="38">
      <c r="A38" s="40" t="n"/>
      <c r="B38" s="41" t="n"/>
      <c r="C38" s="41" t="n"/>
      <c r="D38" s="40" t="n"/>
      <c r="E38" s="40" t="n"/>
      <c r="F38" s="42" t="n"/>
      <c r="G38" s="43" t="n"/>
      <c r="H38" s="44" t="n"/>
      <c r="I38" s="45">
        <f>IFERROR(F38/G38,"")</f>
        <v/>
      </c>
      <c r="J38" s="41" t="n"/>
    </row>
    <row r="39">
      <c r="A39" s="40" t="n"/>
      <c r="B39" s="41" t="n"/>
      <c r="C39" s="41" t="n"/>
      <c r="D39" s="40" t="n"/>
      <c r="E39" s="40" t="n"/>
      <c r="F39" s="42" t="n"/>
      <c r="G39" s="43" t="n"/>
      <c r="H39" s="44" t="n"/>
      <c r="I39" s="45">
        <f>IFERROR(F39/G39,"")</f>
        <v/>
      </c>
      <c r="J39" s="41" t="n"/>
    </row>
    <row r="40">
      <c r="A40" s="40" t="n"/>
      <c r="B40" s="41" t="n"/>
      <c r="C40" s="41" t="n"/>
      <c r="D40" s="40" t="n"/>
      <c r="E40" s="40" t="n"/>
      <c r="F40" s="42" t="n"/>
      <c r="G40" s="43" t="n"/>
      <c r="H40" s="44" t="n"/>
      <c r="I40" s="45">
        <f>IFERROR(F40/G40,"")</f>
        <v/>
      </c>
      <c r="J40" s="41" t="n"/>
    </row>
    <row r="41">
      <c r="A41" s="40" t="n"/>
      <c r="B41" s="41" t="n"/>
      <c r="C41" s="41" t="n"/>
      <c r="D41" s="40" t="n"/>
      <c r="E41" s="40" t="n"/>
      <c r="F41" s="42" t="n"/>
      <c r="G41" s="43" t="n"/>
      <c r="H41" s="44" t="n"/>
      <c r="I41" s="45">
        <f>IFERROR(F41/G41,"")</f>
        <v/>
      </c>
      <c r="J41" s="41" t="n"/>
    </row>
    <row r="42">
      <c r="A42" s="40" t="n"/>
      <c r="B42" s="41" t="n"/>
      <c r="C42" s="41" t="n"/>
      <c r="D42" s="40" t="n"/>
      <c r="E42" s="40" t="n"/>
      <c r="F42" s="42" t="n"/>
      <c r="G42" s="43" t="n"/>
      <c r="H42" s="44" t="n"/>
      <c r="I42" s="45">
        <f>IFERROR(F42/G42,"")</f>
        <v/>
      </c>
      <c r="J42" s="41" t="n"/>
    </row>
    <row r="43">
      <c r="A43" s="40" t="n"/>
      <c r="B43" s="41" t="n"/>
      <c r="C43" s="41" t="n"/>
      <c r="D43" s="40" t="n"/>
      <c r="E43" s="40" t="n"/>
      <c r="F43" s="42" t="n"/>
      <c r="G43" s="43" t="n"/>
      <c r="H43" s="44" t="n"/>
      <c r="I43" s="45">
        <f>IFERROR(F43/G43,"")</f>
        <v/>
      </c>
      <c r="J43" s="41" t="n"/>
    </row>
    <row r="44">
      <c r="A44" s="40" t="n"/>
      <c r="B44" s="41" t="n"/>
      <c r="C44" s="41" t="n"/>
      <c r="D44" s="40" t="n"/>
      <c r="E44" s="40" t="n"/>
      <c r="F44" s="42" t="n"/>
      <c r="G44" s="43" t="n"/>
      <c r="H44" s="44" t="n"/>
      <c r="I44" s="45">
        <f>IFERROR(F44/G44,"")</f>
        <v/>
      </c>
      <c r="J44" s="41" t="n"/>
    </row>
    <row r="45">
      <c r="A45" s="40" t="n"/>
      <c r="B45" s="41" t="n"/>
      <c r="C45" s="41" t="n"/>
      <c r="D45" s="40" t="n"/>
      <c r="E45" s="40" t="n"/>
      <c r="F45" s="42" t="n"/>
      <c r="G45" s="43" t="n"/>
      <c r="H45" s="44" t="n"/>
      <c r="I45" s="45">
        <f>IFERROR(F45/G45,"")</f>
        <v/>
      </c>
      <c r="J45" s="41" t="n"/>
    </row>
    <row r="46">
      <c r="A46" s="40" t="n"/>
      <c r="B46" s="41" t="n"/>
      <c r="C46" s="41" t="n"/>
      <c r="D46" s="40" t="n"/>
      <c r="E46" s="40" t="n"/>
      <c r="F46" s="42" t="n"/>
      <c r="G46" s="43" t="n"/>
      <c r="H46" s="44" t="n"/>
      <c r="I46" s="45">
        <f>IFERROR(F46/G46,"")</f>
        <v/>
      </c>
      <c r="J46" s="41" t="n"/>
    </row>
    <row r="47">
      <c r="A47" s="40" t="n"/>
      <c r="B47" s="41" t="n"/>
      <c r="C47" s="41" t="n"/>
      <c r="D47" s="40" t="n"/>
      <c r="E47" s="40" t="n"/>
      <c r="F47" s="42" t="n"/>
      <c r="G47" s="43" t="n"/>
      <c r="H47" s="44" t="n"/>
      <c r="I47" s="45">
        <f>IFERROR(F47/G47,"")</f>
        <v/>
      </c>
      <c r="J47" s="41" t="n"/>
    </row>
    <row r="48">
      <c r="A48" s="40" t="n"/>
      <c r="B48" s="41" t="n"/>
      <c r="C48" s="41" t="n"/>
      <c r="D48" s="40" t="n"/>
      <c r="E48" s="40" t="n"/>
      <c r="F48" s="42" t="n"/>
      <c r="G48" s="43" t="n"/>
      <c r="H48" s="44" t="n"/>
      <c r="I48" s="45">
        <f>IFERROR(F48/G48,"")</f>
        <v/>
      </c>
      <c r="J48" s="41" t="n"/>
    </row>
    <row r="49">
      <c r="A49" s="40" t="n"/>
      <c r="B49" s="41" t="n"/>
      <c r="C49" s="41" t="n"/>
      <c r="D49" s="40" t="n"/>
      <c r="E49" s="40" t="n"/>
      <c r="F49" s="42" t="n"/>
      <c r="G49" s="43" t="n"/>
      <c r="H49" s="44" t="n"/>
      <c r="I49" s="45">
        <f>IFERROR(F49/G49,"")</f>
        <v/>
      </c>
      <c r="J49" s="41" t="n"/>
    </row>
    <row r="50">
      <c r="A50" s="40" t="n"/>
      <c r="B50" s="41" t="n"/>
      <c r="C50" s="41" t="n"/>
      <c r="D50" s="40" t="n"/>
      <c r="E50" s="40" t="n"/>
      <c r="F50" s="42" t="n"/>
      <c r="G50" s="43" t="n"/>
      <c r="H50" s="44" t="n"/>
      <c r="I50" s="45">
        <f>IFERROR(F50/G50,"")</f>
        <v/>
      </c>
      <c r="J50" s="41" t="n"/>
    </row>
    <row r="51">
      <c r="A51" s="40" t="n"/>
      <c r="B51" s="41" t="n"/>
      <c r="C51" s="41" t="n"/>
      <c r="D51" s="40" t="n"/>
      <c r="E51" s="40" t="n"/>
      <c r="F51" s="42" t="n"/>
      <c r="G51" s="43" t="n"/>
      <c r="H51" s="44" t="n"/>
      <c r="I51" s="45">
        <f>IFERROR(F51/G51,"")</f>
        <v/>
      </c>
      <c r="J51" s="41" t="n"/>
    </row>
    <row r="52">
      <c r="A52" s="40" t="n"/>
      <c r="B52" s="41" t="n"/>
      <c r="C52" s="41" t="n"/>
      <c r="D52" s="40" t="n"/>
      <c r="E52" s="40" t="n"/>
      <c r="F52" s="42" t="n"/>
      <c r="G52" s="43" t="n"/>
      <c r="H52" s="44" t="n"/>
      <c r="I52" s="45">
        <f>IFERROR(F52/G52,"")</f>
        <v/>
      </c>
      <c r="J52" s="41" t="n"/>
    </row>
    <row r="53">
      <c r="A53" s="40" t="n"/>
      <c r="B53" s="41" t="n"/>
      <c r="C53" s="41" t="n"/>
      <c r="D53" s="40" t="n"/>
      <c r="E53" s="40" t="n"/>
      <c r="F53" s="42" t="n"/>
      <c r="G53" s="43" t="n"/>
      <c r="H53" s="44" t="n"/>
      <c r="I53" s="45">
        <f>IFERROR(F53/G53,"")</f>
        <v/>
      </c>
      <c r="J53" s="41" t="n"/>
    </row>
    <row r="54">
      <c r="A54" s="40" t="n"/>
      <c r="B54" s="41" t="n"/>
      <c r="C54" s="41" t="n"/>
      <c r="D54" s="40" t="n"/>
      <c r="E54" s="40" t="n"/>
      <c r="F54" s="42" t="n"/>
      <c r="G54" s="43" t="n"/>
      <c r="H54" s="44" t="n"/>
      <c r="I54" s="45">
        <f>IFERROR(F54/G54,"")</f>
        <v/>
      </c>
      <c r="J54" s="41" t="n"/>
    </row>
    <row r="55">
      <c r="A55" s="40" t="n"/>
      <c r="B55" s="41" t="n"/>
      <c r="C55" s="41" t="n"/>
      <c r="D55" s="40" t="n"/>
      <c r="E55" s="40" t="n"/>
      <c r="F55" s="42" t="n"/>
      <c r="G55" s="43" t="n"/>
      <c r="H55" s="44" t="n"/>
      <c r="I55" s="45">
        <f>IFERROR(F55/G55,"")</f>
        <v/>
      </c>
      <c r="J55" s="41" t="n"/>
    </row>
    <row r="56">
      <c r="A56" s="40" t="n"/>
      <c r="B56" s="41" t="n"/>
      <c r="C56" s="41" t="n"/>
      <c r="D56" s="40" t="n"/>
      <c r="E56" s="40" t="n"/>
      <c r="F56" s="42" t="n"/>
      <c r="G56" s="43" t="n"/>
      <c r="H56" s="44" t="n"/>
      <c r="I56" s="45">
        <f>IFERROR(F56/G56,"")</f>
        <v/>
      </c>
      <c r="J56" s="41" t="n"/>
    </row>
    <row r="57">
      <c r="A57" s="40" t="n"/>
      <c r="B57" s="41" t="n"/>
      <c r="C57" s="41" t="n"/>
      <c r="D57" s="40" t="n"/>
      <c r="E57" s="40" t="n"/>
      <c r="F57" s="42" t="n"/>
      <c r="G57" s="43" t="n"/>
      <c r="H57" s="44" t="n"/>
      <c r="I57" s="45">
        <f>IFERROR(F57/G57,"")</f>
        <v/>
      </c>
      <c r="J57" s="41" t="n"/>
    </row>
    <row r="58">
      <c r="A58" s="40" t="n"/>
      <c r="B58" s="41" t="n"/>
      <c r="C58" s="41" t="n"/>
      <c r="D58" s="40" t="n"/>
      <c r="E58" s="40" t="n"/>
      <c r="F58" s="42" t="n"/>
      <c r="G58" s="43" t="n"/>
      <c r="H58" s="44" t="n"/>
      <c r="I58" s="45">
        <f>IFERROR(F58/G58,"")</f>
        <v/>
      </c>
      <c r="J58" s="41" t="n"/>
    </row>
    <row r="59">
      <c r="A59" s="40" t="n"/>
      <c r="B59" s="41" t="n"/>
      <c r="C59" s="41" t="n"/>
      <c r="D59" s="40" t="n"/>
      <c r="E59" s="40" t="n"/>
      <c r="F59" s="42" t="n"/>
      <c r="G59" s="43" t="n"/>
      <c r="H59" s="44" t="n"/>
      <c r="I59" s="45">
        <f>IFERROR(F59/G59,"")</f>
        <v/>
      </c>
      <c r="J59" s="41" t="n"/>
    </row>
    <row r="60">
      <c r="A60" s="40" t="n"/>
      <c r="B60" s="41" t="n"/>
      <c r="C60" s="41" t="n"/>
      <c r="D60" s="40" t="n"/>
      <c r="E60" s="40" t="n"/>
      <c r="F60" s="42" t="n"/>
      <c r="G60" s="43" t="n"/>
      <c r="H60" s="44" t="n"/>
      <c r="I60" s="45">
        <f>IFERROR(F60/G60,"")</f>
        <v/>
      </c>
      <c r="J60" s="41" t="n"/>
    </row>
    <row r="61">
      <c r="A61" s="40" t="n"/>
      <c r="B61" s="41" t="n"/>
      <c r="C61" s="41" t="n"/>
      <c r="D61" s="40" t="n"/>
      <c r="E61" s="40" t="n"/>
      <c r="F61" s="42" t="n"/>
      <c r="G61" s="43" t="n"/>
      <c r="H61" s="44" t="n"/>
      <c r="I61" s="45">
        <f>IFERROR(F61/G61,"")</f>
        <v/>
      </c>
      <c r="J61" s="41" t="n"/>
    </row>
    <row r="62">
      <c r="A62" s="40" t="n"/>
      <c r="B62" s="41" t="n"/>
      <c r="C62" s="41" t="n"/>
      <c r="D62" s="40" t="n"/>
      <c r="E62" s="40" t="n"/>
      <c r="F62" s="42" t="n"/>
      <c r="G62" s="43" t="n"/>
      <c r="H62" s="44" t="n"/>
      <c r="I62" s="45">
        <f>IFERROR(F62/G62,"")</f>
        <v/>
      </c>
      <c r="J62" s="41" t="n"/>
    </row>
    <row r="63">
      <c r="A63" s="40" t="n"/>
      <c r="B63" s="41" t="n"/>
      <c r="C63" s="41" t="n"/>
      <c r="D63" s="40" t="n"/>
      <c r="E63" s="40" t="n"/>
      <c r="F63" s="42" t="n"/>
      <c r="G63" s="43" t="n"/>
      <c r="H63" s="44" t="n"/>
      <c r="I63" s="45">
        <f>IFERROR(F63/G63,"")</f>
        <v/>
      </c>
      <c r="J63" s="41" t="n"/>
    </row>
    <row r="64">
      <c r="A64" s="40" t="n"/>
      <c r="B64" s="41" t="n"/>
      <c r="C64" s="41" t="n"/>
      <c r="D64" s="40" t="n"/>
      <c r="E64" s="40" t="n"/>
      <c r="F64" s="42" t="n"/>
      <c r="G64" s="43" t="n"/>
      <c r="H64" s="44" t="n"/>
      <c r="I64" s="45">
        <f>IFERROR(F64/G64,"")</f>
        <v/>
      </c>
      <c r="J64" s="41" t="n"/>
    </row>
    <row r="65">
      <c r="A65" s="40" t="n"/>
      <c r="B65" s="41" t="n"/>
      <c r="C65" s="41" t="n"/>
      <c r="D65" s="40" t="n"/>
      <c r="E65" s="40" t="n"/>
      <c r="F65" s="42" t="n"/>
      <c r="G65" s="43" t="n"/>
      <c r="H65" s="44" t="n"/>
      <c r="I65" s="45">
        <f>IFERROR(F65/G65,"")</f>
        <v/>
      </c>
      <c r="J65" s="41" t="n"/>
    </row>
    <row r="66">
      <c r="A66" s="40" t="n"/>
      <c r="B66" s="41" t="n"/>
      <c r="C66" s="41" t="n"/>
      <c r="D66" s="40" t="n"/>
      <c r="E66" s="40" t="n"/>
      <c r="F66" s="42" t="n"/>
      <c r="G66" s="43" t="n"/>
      <c r="H66" s="44" t="n"/>
      <c r="I66" s="45">
        <f>IFERROR(F66/G66,"")</f>
        <v/>
      </c>
      <c r="J66" s="41" t="n"/>
    </row>
    <row r="67">
      <c r="A67" s="40" t="n"/>
      <c r="B67" s="41" t="n"/>
      <c r="C67" s="41" t="n"/>
      <c r="D67" s="40" t="n"/>
      <c r="E67" s="40" t="n"/>
      <c r="F67" s="42" t="n"/>
      <c r="G67" s="43" t="n"/>
      <c r="H67" s="44" t="n"/>
      <c r="I67" s="45">
        <f>IFERROR(F67/G67,"")</f>
        <v/>
      </c>
      <c r="J67" s="41" t="n"/>
    </row>
    <row r="68">
      <c r="A68" s="40" t="n"/>
      <c r="B68" s="41" t="n"/>
      <c r="C68" s="41" t="n"/>
      <c r="D68" s="40" t="n"/>
      <c r="E68" s="40" t="n"/>
      <c r="F68" s="42" t="n"/>
      <c r="G68" s="43" t="n"/>
      <c r="H68" s="44" t="n"/>
      <c r="I68" s="45">
        <f>IFERROR(F68/G68,"")</f>
        <v/>
      </c>
      <c r="J68" s="41" t="n"/>
    </row>
    <row r="69">
      <c r="A69" s="40" t="n"/>
      <c r="B69" s="41" t="n"/>
      <c r="C69" s="41" t="n"/>
      <c r="D69" s="40" t="n"/>
      <c r="E69" s="40" t="n"/>
      <c r="F69" s="42" t="n"/>
      <c r="G69" s="43" t="n"/>
      <c r="H69" s="44" t="n"/>
      <c r="I69" s="45">
        <f>IFERROR(F69/G69,"")</f>
        <v/>
      </c>
      <c r="J69" s="41" t="n"/>
    </row>
    <row r="70">
      <c r="A70" s="40" t="n"/>
      <c r="B70" s="41" t="n"/>
      <c r="C70" s="41" t="n"/>
      <c r="D70" s="40" t="n"/>
      <c r="E70" s="40" t="n"/>
      <c r="F70" s="42" t="n"/>
      <c r="G70" s="43" t="n"/>
      <c r="H70" s="44" t="n"/>
      <c r="I70" s="45">
        <f>IFERROR(F70/G70,"")</f>
        <v/>
      </c>
      <c r="J70" s="41" t="n"/>
    </row>
    <row r="71">
      <c r="A71" s="40" t="n"/>
      <c r="B71" s="41" t="n"/>
      <c r="C71" s="41" t="n"/>
      <c r="D71" s="40" t="n"/>
      <c r="E71" s="40" t="n"/>
      <c r="F71" s="42" t="n"/>
      <c r="G71" s="43" t="n"/>
      <c r="H71" s="44" t="n"/>
      <c r="I71" s="45">
        <f>IFERROR(F71/G71,"")</f>
        <v/>
      </c>
      <c r="J71" s="41" t="n"/>
    </row>
    <row r="72">
      <c r="A72" s="40" t="n"/>
      <c r="B72" s="41" t="n"/>
      <c r="C72" s="41" t="n"/>
      <c r="D72" s="40" t="n"/>
      <c r="E72" s="40" t="n"/>
      <c r="F72" s="42" t="n"/>
      <c r="G72" s="43" t="n"/>
      <c r="H72" s="44" t="n"/>
      <c r="I72" s="45">
        <f>IFERROR(F72/G72,"")</f>
        <v/>
      </c>
      <c r="J72" s="41" t="n"/>
    </row>
    <row r="73">
      <c r="A73" s="40" t="n"/>
      <c r="B73" s="41" t="n"/>
      <c r="C73" s="41" t="n"/>
      <c r="D73" s="40" t="n"/>
      <c r="E73" s="40" t="n"/>
      <c r="F73" s="42" t="n"/>
      <c r="G73" s="43" t="n"/>
      <c r="H73" s="44" t="n"/>
      <c r="I73" s="45">
        <f>IFERROR(F73/G73,"")</f>
        <v/>
      </c>
      <c r="J73" s="41" t="n"/>
    </row>
    <row r="74">
      <c r="A74" s="40" t="n"/>
      <c r="B74" s="41" t="n"/>
      <c r="C74" s="41" t="n"/>
      <c r="D74" s="40" t="n"/>
      <c r="E74" s="40" t="n"/>
      <c r="F74" s="42" t="n"/>
      <c r="G74" s="43" t="n"/>
      <c r="H74" s="44" t="n"/>
      <c r="I74" s="45">
        <f>IFERROR(F74/G74,"")</f>
        <v/>
      </c>
      <c r="J74" s="41" t="n"/>
    </row>
    <row r="75">
      <c r="A75" s="40" t="n"/>
      <c r="B75" s="41" t="n"/>
      <c r="C75" s="41" t="n"/>
      <c r="D75" s="40" t="n"/>
      <c r="E75" s="40" t="n"/>
      <c r="F75" s="42" t="n"/>
      <c r="G75" s="43" t="n"/>
      <c r="H75" s="44" t="n"/>
      <c r="I75" s="45">
        <f>IFERROR(F75/G75,"")</f>
        <v/>
      </c>
      <c r="J75" s="41" t="n"/>
    </row>
    <row r="76">
      <c r="A76" s="40" t="n"/>
      <c r="B76" s="41" t="n"/>
      <c r="C76" s="41" t="n"/>
      <c r="D76" s="40" t="n"/>
      <c r="E76" s="40" t="n"/>
      <c r="F76" s="42" t="n"/>
      <c r="G76" s="43" t="n"/>
      <c r="H76" s="44" t="n"/>
      <c r="I76" s="45">
        <f>IFERROR(F76/G76,"")</f>
        <v/>
      </c>
      <c r="J76" s="41" t="n"/>
    </row>
    <row r="77">
      <c r="A77" s="40" t="n"/>
      <c r="B77" s="41" t="n"/>
      <c r="C77" s="41" t="n"/>
      <c r="D77" s="40" t="n"/>
      <c r="E77" s="40" t="n"/>
      <c r="F77" s="42" t="n"/>
      <c r="G77" s="43" t="n"/>
      <c r="H77" s="44" t="n"/>
      <c r="I77" s="45">
        <f>IFERROR(F77/G77,"")</f>
        <v/>
      </c>
      <c r="J77" s="41" t="n"/>
    </row>
    <row r="78">
      <c r="A78" s="40" t="n"/>
      <c r="B78" s="41" t="n"/>
      <c r="C78" s="41" t="n"/>
      <c r="D78" s="40" t="n"/>
      <c r="E78" s="40" t="n"/>
      <c r="F78" s="42" t="n"/>
      <c r="G78" s="43" t="n"/>
      <c r="H78" s="44" t="n"/>
      <c r="I78" s="45">
        <f>IFERROR(F78/G78,"")</f>
        <v/>
      </c>
      <c r="J78" s="41" t="n"/>
    </row>
    <row r="79">
      <c r="A79" s="40" t="n"/>
      <c r="B79" s="41" t="n"/>
      <c r="C79" s="41" t="n"/>
      <c r="D79" s="40" t="n"/>
      <c r="E79" s="40" t="n"/>
      <c r="F79" s="42" t="n"/>
      <c r="G79" s="43" t="n"/>
      <c r="H79" s="44" t="n"/>
      <c r="I79" s="45">
        <f>IFERROR(F79/G79,"")</f>
        <v/>
      </c>
      <c r="J79" s="41" t="n"/>
    </row>
    <row r="80">
      <c r="A80" s="40" t="n"/>
      <c r="B80" s="41" t="n"/>
      <c r="C80" s="41" t="n"/>
      <c r="D80" s="40" t="n"/>
      <c r="E80" s="40" t="n"/>
      <c r="F80" s="42" t="n"/>
      <c r="G80" s="43" t="n"/>
      <c r="H80" s="44" t="n"/>
      <c r="I80" s="45">
        <f>IFERROR(F80/G80,"")</f>
        <v/>
      </c>
      <c r="J80" s="41" t="n"/>
    </row>
    <row r="81">
      <c r="A81" s="40" t="n"/>
      <c r="B81" s="41" t="n"/>
      <c r="C81" s="41" t="n"/>
      <c r="D81" s="40" t="n"/>
      <c r="E81" s="40" t="n"/>
      <c r="F81" s="42" t="n"/>
      <c r="G81" s="43" t="n"/>
      <c r="H81" s="44" t="n"/>
      <c r="I81" s="45">
        <f>IFERROR(F81/G81,"")</f>
        <v/>
      </c>
      <c r="J81" s="41" t="n"/>
    </row>
    <row r="82">
      <c r="A82" s="40" t="n"/>
      <c r="B82" s="41" t="n"/>
      <c r="C82" s="41" t="n"/>
      <c r="D82" s="40" t="n"/>
      <c r="E82" s="40" t="n"/>
      <c r="F82" s="42" t="n"/>
      <c r="G82" s="43" t="n"/>
      <c r="H82" s="44" t="n"/>
      <c r="I82" s="45">
        <f>IFERROR(F82/G82,"")</f>
        <v/>
      </c>
      <c r="J82" s="41" t="n"/>
    </row>
    <row r="83">
      <c r="A83" s="40" t="n"/>
      <c r="B83" s="41" t="n"/>
      <c r="C83" s="41" t="n"/>
      <c r="D83" s="40" t="n"/>
      <c r="E83" s="40" t="n"/>
      <c r="F83" s="42" t="n"/>
      <c r="G83" s="43" t="n"/>
      <c r="H83" s="44" t="n"/>
      <c r="I83" s="45">
        <f>IFERROR(F83/G83,"")</f>
        <v/>
      </c>
      <c r="J83" s="41" t="n"/>
    </row>
    <row r="84">
      <c r="A84" s="40" t="n"/>
      <c r="B84" s="41" t="n"/>
      <c r="C84" s="41" t="n"/>
      <c r="D84" s="40" t="n"/>
      <c r="E84" s="40" t="n"/>
      <c r="F84" s="42" t="n"/>
      <c r="G84" s="43" t="n"/>
      <c r="H84" s="44" t="n"/>
      <c r="I84" s="45">
        <f>IFERROR(F84/G84,"")</f>
        <v/>
      </c>
      <c r="J84" s="41" t="n"/>
    </row>
    <row r="85">
      <c r="A85" s="40" t="n"/>
      <c r="B85" s="41" t="n"/>
      <c r="C85" s="41" t="n"/>
      <c r="D85" s="40" t="n"/>
      <c r="E85" s="40" t="n"/>
      <c r="F85" s="42" t="n"/>
      <c r="G85" s="43" t="n"/>
      <c r="H85" s="44" t="n"/>
      <c r="I85" s="45">
        <f>IFERROR(F85/G85,"")</f>
        <v/>
      </c>
      <c r="J85" s="41" t="n"/>
    </row>
    <row r="86">
      <c r="A86" s="40" t="n"/>
      <c r="B86" s="41" t="n"/>
      <c r="C86" s="41" t="n"/>
      <c r="D86" s="40" t="n"/>
      <c r="E86" s="40" t="n"/>
      <c r="F86" s="42" t="n"/>
      <c r="G86" s="43" t="n"/>
      <c r="H86" s="44" t="n"/>
      <c r="I86" s="45">
        <f>IFERROR(F86/G86,"")</f>
        <v/>
      </c>
      <c r="J86" s="41" t="n"/>
    </row>
    <row r="87">
      <c r="A87" s="40" t="n"/>
      <c r="B87" s="41" t="n"/>
      <c r="C87" s="41" t="n"/>
      <c r="D87" s="40" t="n"/>
      <c r="E87" s="40" t="n"/>
      <c r="F87" s="42" t="n"/>
      <c r="G87" s="43" t="n"/>
      <c r="H87" s="44" t="n"/>
      <c r="I87" s="45">
        <f>IFERROR(F87/G87,"")</f>
        <v/>
      </c>
      <c r="J87" s="41" t="n"/>
    </row>
    <row r="88">
      <c r="A88" s="40" t="n"/>
      <c r="B88" s="41" t="n"/>
      <c r="C88" s="41" t="n"/>
      <c r="D88" s="40" t="n"/>
      <c r="E88" s="40" t="n"/>
      <c r="F88" s="42" t="n"/>
      <c r="G88" s="43" t="n"/>
      <c r="H88" s="44" t="n"/>
      <c r="I88" s="45">
        <f>IFERROR(F88/G88,"")</f>
        <v/>
      </c>
      <c r="J88" s="41" t="n"/>
    </row>
    <row r="89">
      <c r="A89" s="40" t="n"/>
      <c r="B89" s="41" t="n"/>
      <c r="C89" s="41" t="n"/>
      <c r="D89" s="40" t="n"/>
      <c r="E89" s="40" t="n"/>
      <c r="F89" s="42" t="n"/>
      <c r="G89" s="43" t="n"/>
      <c r="H89" s="44" t="n"/>
      <c r="I89" s="45">
        <f>IFERROR(F89/G89,"")</f>
        <v/>
      </c>
      <c r="J89" s="41" t="n"/>
    </row>
    <row r="90">
      <c r="A90" s="40" t="n"/>
      <c r="B90" s="41" t="n"/>
      <c r="C90" s="41" t="n"/>
      <c r="D90" s="40" t="n"/>
      <c r="E90" s="40" t="n"/>
      <c r="F90" s="42" t="n"/>
      <c r="G90" s="43" t="n"/>
      <c r="H90" s="44" t="n"/>
      <c r="I90" s="45">
        <f>IFERROR(F90/G90,"")</f>
        <v/>
      </c>
      <c r="J90" s="41" t="n"/>
    </row>
    <row r="91">
      <c r="A91" s="40" t="n"/>
      <c r="B91" s="41" t="n"/>
      <c r="C91" s="41" t="n"/>
      <c r="D91" s="40" t="n"/>
      <c r="E91" s="40" t="n"/>
      <c r="F91" s="42" t="n"/>
      <c r="G91" s="43" t="n"/>
      <c r="H91" s="44" t="n"/>
      <c r="I91" s="45">
        <f>IFERROR(F91/G91,"")</f>
        <v/>
      </c>
      <c r="J91" s="41" t="n"/>
    </row>
    <row r="92">
      <c r="A92" s="40" t="n"/>
      <c r="B92" s="41" t="n"/>
      <c r="C92" s="41" t="n"/>
      <c r="D92" s="40" t="n"/>
      <c r="E92" s="40" t="n"/>
      <c r="F92" s="42" t="n"/>
      <c r="G92" s="43" t="n"/>
      <c r="H92" s="44" t="n"/>
      <c r="I92" s="45">
        <f>IFERROR(F92/G92,"")</f>
        <v/>
      </c>
      <c r="J92" s="41" t="n"/>
    </row>
    <row r="93">
      <c r="A93" s="40" t="n"/>
      <c r="B93" s="41" t="n"/>
      <c r="C93" s="41" t="n"/>
      <c r="D93" s="40" t="n"/>
      <c r="E93" s="40" t="n"/>
      <c r="F93" s="42" t="n"/>
      <c r="G93" s="43" t="n"/>
      <c r="H93" s="44" t="n"/>
      <c r="I93" s="45">
        <f>IFERROR(F93/G93,"")</f>
        <v/>
      </c>
      <c r="J93" s="41" t="n"/>
    </row>
    <row r="94">
      <c r="A94" s="40" t="n"/>
      <c r="B94" s="41" t="n"/>
      <c r="C94" s="41" t="n"/>
      <c r="D94" s="40" t="n"/>
      <c r="E94" s="40" t="n"/>
      <c r="F94" s="42" t="n"/>
      <c r="G94" s="43" t="n"/>
      <c r="H94" s="44" t="n"/>
      <c r="I94" s="45">
        <f>IFERROR(F94/G94,"")</f>
        <v/>
      </c>
      <c r="J94" s="41" t="n"/>
    </row>
    <row r="95">
      <c r="A95" s="40" t="n"/>
      <c r="B95" s="41" t="n"/>
      <c r="C95" s="41" t="n"/>
      <c r="D95" s="40" t="n"/>
      <c r="E95" s="40" t="n"/>
      <c r="F95" s="42" t="n"/>
      <c r="G95" s="43" t="n"/>
      <c r="H95" s="44" t="n"/>
      <c r="I95" s="45">
        <f>IFERROR(F95/G95,"")</f>
        <v/>
      </c>
      <c r="J95" s="41" t="n"/>
    </row>
    <row r="96">
      <c r="A96" s="40" t="n"/>
      <c r="B96" s="41" t="n"/>
      <c r="C96" s="41" t="n"/>
      <c r="D96" s="40" t="n"/>
      <c r="E96" s="40" t="n"/>
      <c r="F96" s="42" t="n"/>
      <c r="G96" s="43" t="n"/>
      <c r="H96" s="44" t="n"/>
      <c r="I96" s="45">
        <f>IFERROR(F96/G96,"")</f>
        <v/>
      </c>
      <c r="J96" s="41" t="n"/>
    </row>
    <row r="97">
      <c r="A97" s="40" t="n"/>
      <c r="B97" s="41" t="n"/>
      <c r="C97" s="41" t="n"/>
      <c r="D97" s="40" t="n"/>
      <c r="E97" s="40" t="n"/>
      <c r="F97" s="42" t="n"/>
      <c r="G97" s="43" t="n"/>
      <c r="H97" s="44" t="n"/>
      <c r="I97" s="45">
        <f>IFERROR(F97/G97,"")</f>
        <v/>
      </c>
      <c r="J97" s="41" t="n"/>
    </row>
    <row r="98">
      <c r="A98" s="40" t="n"/>
      <c r="B98" s="41" t="n"/>
      <c r="C98" s="41" t="n"/>
      <c r="D98" s="40" t="n"/>
      <c r="E98" s="40" t="n"/>
      <c r="F98" s="42" t="n"/>
      <c r="G98" s="43" t="n"/>
      <c r="H98" s="44" t="n"/>
      <c r="I98" s="45">
        <f>IFERROR(F98/G98,"")</f>
        <v/>
      </c>
      <c r="J98" s="41" t="n"/>
    </row>
    <row r="99">
      <c r="A99" s="40" t="n"/>
      <c r="B99" s="41" t="n"/>
      <c r="C99" s="41" t="n"/>
      <c r="D99" s="40" t="n"/>
      <c r="E99" s="40" t="n"/>
      <c r="F99" s="42" t="n"/>
      <c r="G99" s="43" t="n"/>
      <c r="H99" s="44" t="n"/>
      <c r="I99" s="45">
        <f>IFERROR(F99/G99,"")</f>
        <v/>
      </c>
      <c r="J99" s="41" t="n"/>
    </row>
    <row r="100">
      <c r="A100" s="40" t="n"/>
      <c r="B100" s="41" t="n"/>
      <c r="C100" s="41" t="n"/>
      <c r="D100" s="40" t="n"/>
      <c r="E100" s="40" t="n"/>
      <c r="F100" s="42" t="n"/>
      <c r="G100" s="43" t="n"/>
      <c r="H100" s="44" t="n"/>
      <c r="I100" s="45">
        <f>IFERROR(F100/G100,"")</f>
        <v/>
      </c>
      <c r="J100" s="41" t="n"/>
    </row>
    <row r="101">
      <c r="A101" s="40" t="n"/>
      <c r="B101" s="41" t="n"/>
      <c r="C101" s="41" t="n"/>
      <c r="D101" s="40" t="n"/>
      <c r="E101" s="40" t="n"/>
      <c r="F101" s="42" t="n"/>
      <c r="G101" s="43" t="n"/>
      <c r="H101" s="44" t="n"/>
      <c r="I101" s="45">
        <f>IFERROR(F101/G101,"")</f>
        <v/>
      </c>
      <c r="J101" s="41" t="n"/>
    </row>
    <row r="102">
      <c r="A102" s="40" t="n"/>
      <c r="B102" s="41" t="n"/>
      <c r="C102" s="41" t="n"/>
      <c r="D102" s="40" t="n"/>
      <c r="E102" s="40" t="n"/>
      <c r="F102" s="42" t="n"/>
      <c r="G102" s="43" t="n"/>
      <c r="H102" s="44" t="n"/>
      <c r="I102" s="45">
        <f>IFERROR(F102/G102,"")</f>
        <v/>
      </c>
      <c r="J102" s="41" t="n"/>
    </row>
    <row r="103">
      <c r="A103" s="40" t="n"/>
      <c r="B103" s="41" t="n"/>
      <c r="C103" s="41" t="n"/>
      <c r="D103" s="40" t="n"/>
      <c r="E103" s="40" t="n"/>
      <c r="F103" s="42" t="n"/>
      <c r="G103" s="43" t="n"/>
      <c r="H103" s="44" t="n"/>
      <c r="I103" s="45">
        <f>IFERROR(F103/G103,"")</f>
        <v/>
      </c>
      <c r="J103" s="41" t="n"/>
    </row>
    <row r="104">
      <c r="A104" s="40" t="n"/>
      <c r="B104" s="41" t="n"/>
      <c r="C104" s="41" t="n"/>
      <c r="D104" s="40" t="n"/>
      <c r="E104" s="40" t="n"/>
      <c r="F104" s="42" t="n"/>
      <c r="G104" s="43" t="n"/>
      <c r="H104" s="44" t="n"/>
      <c r="I104" s="45">
        <f>IFERROR(F104/G104,"")</f>
        <v/>
      </c>
      <c r="J104" s="41" t="n"/>
    </row>
    <row r="105">
      <c r="A105" s="40" t="n"/>
      <c r="B105" s="41" t="n"/>
      <c r="C105" s="41" t="n"/>
      <c r="D105" s="40" t="n"/>
      <c r="E105" s="40" t="n"/>
      <c r="F105" s="42" t="n"/>
      <c r="G105" s="43" t="n"/>
      <c r="H105" s="44" t="n"/>
      <c r="I105" s="45">
        <f>IFERROR(F105/G105,"")</f>
        <v/>
      </c>
      <c r="J105" s="41" t="n"/>
    </row>
    <row r="106">
      <c r="A106" s="40" t="n"/>
      <c r="B106" s="41" t="n"/>
      <c r="C106" s="41" t="n"/>
      <c r="D106" s="40" t="n"/>
      <c r="E106" s="40" t="n"/>
      <c r="F106" s="42" t="n"/>
      <c r="G106" s="43" t="n"/>
      <c r="H106" s="44" t="n"/>
      <c r="I106" s="45">
        <f>IFERROR(F106/G106,"")</f>
        <v/>
      </c>
      <c r="J106" s="41" t="n"/>
    </row>
    <row r="107">
      <c r="A107" s="40" t="n"/>
      <c r="B107" s="41" t="n"/>
      <c r="C107" s="41" t="n"/>
      <c r="D107" s="40" t="n"/>
      <c r="E107" s="40" t="n"/>
      <c r="F107" s="42" t="n"/>
      <c r="G107" s="43" t="n"/>
      <c r="H107" s="44" t="n"/>
      <c r="I107" s="45">
        <f>IFERROR(F107/G107,"")</f>
        <v/>
      </c>
      <c r="J107" s="41" t="n"/>
    </row>
    <row r="108">
      <c r="A108" s="40" t="n"/>
      <c r="B108" s="41" t="n"/>
      <c r="C108" s="41" t="n"/>
      <c r="D108" s="40" t="n"/>
      <c r="E108" s="40" t="n"/>
      <c r="F108" s="42" t="n"/>
      <c r="G108" s="43" t="n"/>
      <c r="H108" s="44" t="n"/>
      <c r="I108" s="45">
        <f>IFERROR(F108/G108,"")</f>
        <v/>
      </c>
      <c r="J108" s="41" t="n"/>
    </row>
    <row r="109">
      <c r="A109" s="40" t="n"/>
      <c r="B109" s="41" t="n"/>
      <c r="C109" s="41" t="n"/>
      <c r="D109" s="40" t="n"/>
      <c r="E109" s="40" t="n"/>
      <c r="F109" s="42" t="n"/>
      <c r="G109" s="43" t="n"/>
      <c r="H109" s="44" t="n"/>
      <c r="I109" s="45">
        <f>IFERROR(F109/G109,"")</f>
        <v/>
      </c>
      <c r="J109" s="41" t="n"/>
    </row>
    <row r="110">
      <c r="A110" s="40" t="n"/>
      <c r="B110" s="41" t="n"/>
      <c r="C110" s="41" t="n"/>
      <c r="D110" s="40" t="n"/>
      <c r="E110" s="40" t="n"/>
      <c r="F110" s="42" t="n"/>
      <c r="G110" s="43" t="n"/>
      <c r="H110" s="44" t="n"/>
      <c r="I110" s="45">
        <f>IFERROR(F110/G110,"")</f>
        <v/>
      </c>
      <c r="J110" s="41" t="n"/>
    </row>
    <row r="111">
      <c r="A111" s="40" t="n"/>
      <c r="B111" s="41" t="n"/>
      <c r="C111" s="41" t="n"/>
      <c r="D111" s="40" t="n"/>
      <c r="E111" s="40" t="n"/>
      <c r="F111" s="42" t="n"/>
      <c r="G111" s="43" t="n"/>
      <c r="H111" s="44" t="n"/>
      <c r="I111" s="45">
        <f>IFERROR(F111/G111,"")</f>
        <v/>
      </c>
      <c r="J111" s="41" t="n"/>
    </row>
    <row r="112">
      <c r="A112" s="40" t="n"/>
      <c r="B112" s="41" t="n"/>
      <c r="C112" s="41" t="n"/>
      <c r="D112" s="40" t="n"/>
      <c r="E112" s="40" t="n"/>
      <c r="F112" s="42" t="n"/>
      <c r="G112" s="43" t="n"/>
      <c r="H112" s="44" t="n"/>
      <c r="I112" s="45">
        <f>IFERROR(F112/G112,"")</f>
        <v/>
      </c>
      <c r="J112" s="41" t="n"/>
    </row>
    <row r="113">
      <c r="A113" s="40" t="n"/>
      <c r="B113" s="41" t="n"/>
      <c r="C113" s="41" t="n"/>
      <c r="D113" s="40" t="n"/>
      <c r="E113" s="40" t="n"/>
      <c r="F113" s="42" t="n"/>
      <c r="G113" s="43" t="n"/>
      <c r="H113" s="44" t="n"/>
      <c r="I113" s="45">
        <f>IFERROR(F113/G113,"")</f>
        <v/>
      </c>
      <c r="J113" s="41" t="n"/>
    </row>
    <row r="114">
      <c r="A114" s="40" t="n"/>
      <c r="B114" s="41" t="n"/>
      <c r="C114" s="41" t="n"/>
      <c r="D114" s="40" t="n"/>
      <c r="E114" s="40" t="n"/>
      <c r="F114" s="42" t="n"/>
      <c r="G114" s="43" t="n"/>
      <c r="H114" s="44" t="n"/>
      <c r="I114" s="45">
        <f>IFERROR(F114/G114,"")</f>
        <v/>
      </c>
      <c r="J114" s="41" t="n"/>
    </row>
    <row r="115">
      <c r="A115" s="40" t="n"/>
      <c r="B115" s="41" t="n"/>
      <c r="C115" s="41" t="n"/>
      <c r="D115" s="40" t="n"/>
      <c r="E115" s="40" t="n"/>
      <c r="F115" s="42" t="n"/>
      <c r="G115" s="43" t="n"/>
      <c r="H115" s="44" t="n"/>
      <c r="I115" s="45">
        <f>IFERROR(F115/G115,"")</f>
        <v/>
      </c>
      <c r="J115" s="41" t="n"/>
    </row>
    <row r="116">
      <c r="A116" s="40" t="n"/>
      <c r="B116" s="41" t="n"/>
      <c r="C116" s="41" t="n"/>
      <c r="D116" s="40" t="n"/>
      <c r="E116" s="40" t="n"/>
      <c r="F116" s="42" t="n"/>
      <c r="G116" s="43" t="n"/>
      <c r="H116" s="44" t="n"/>
      <c r="I116" s="45">
        <f>IFERROR(F116/G116,"")</f>
        <v/>
      </c>
      <c r="J116" s="41" t="n"/>
    </row>
    <row r="117">
      <c r="A117" s="40" t="n"/>
      <c r="B117" s="41" t="n"/>
      <c r="C117" s="41" t="n"/>
      <c r="D117" s="40" t="n"/>
      <c r="E117" s="40" t="n"/>
      <c r="F117" s="42" t="n"/>
      <c r="G117" s="43" t="n"/>
      <c r="H117" s="44" t="n"/>
      <c r="I117" s="45">
        <f>IFERROR(F117/G117,"")</f>
        <v/>
      </c>
      <c r="J117" s="41" t="n"/>
    </row>
    <row r="118">
      <c r="A118" s="40" t="n"/>
      <c r="B118" s="41" t="n"/>
      <c r="C118" s="41" t="n"/>
      <c r="D118" s="40" t="n"/>
      <c r="E118" s="40" t="n"/>
      <c r="F118" s="42" t="n"/>
      <c r="G118" s="43" t="n"/>
      <c r="H118" s="44" t="n"/>
      <c r="I118" s="45">
        <f>IFERROR(F118/G118,"")</f>
        <v/>
      </c>
      <c r="J118" s="41" t="n"/>
    </row>
    <row r="119">
      <c r="A119" s="40" t="n"/>
      <c r="B119" s="41" t="n"/>
      <c r="C119" s="41" t="n"/>
      <c r="D119" s="40" t="n"/>
      <c r="E119" s="40" t="n"/>
      <c r="F119" s="42" t="n"/>
      <c r="G119" s="43" t="n"/>
      <c r="H119" s="44" t="n"/>
      <c r="I119" s="45">
        <f>IFERROR(F119/G119,"")</f>
        <v/>
      </c>
      <c r="J119" s="41" t="n"/>
    </row>
    <row r="120">
      <c r="A120" s="40" t="n"/>
      <c r="B120" s="41" t="n"/>
      <c r="C120" s="41" t="n"/>
      <c r="D120" s="40" t="n"/>
      <c r="E120" s="40" t="n"/>
      <c r="F120" s="42" t="n"/>
      <c r="G120" s="43" t="n"/>
      <c r="H120" s="44" t="n"/>
      <c r="I120" s="45">
        <f>IFERROR(F120/G120,"")</f>
        <v/>
      </c>
      <c r="J120" s="41" t="n"/>
    </row>
    <row r="121">
      <c r="A121" s="40" t="n"/>
      <c r="B121" s="41" t="n"/>
      <c r="C121" s="41" t="n"/>
      <c r="D121" s="40" t="n"/>
      <c r="E121" s="40" t="n"/>
      <c r="F121" s="42" t="n"/>
      <c r="G121" s="43" t="n"/>
      <c r="H121" s="44" t="n"/>
      <c r="I121" s="45">
        <f>IFERROR(F121/G121,"")</f>
        <v/>
      </c>
      <c r="J121" s="41" t="n"/>
    </row>
    <row r="122">
      <c r="A122" s="40" t="n"/>
      <c r="B122" s="41" t="n"/>
      <c r="C122" s="41" t="n"/>
      <c r="D122" s="40" t="n"/>
      <c r="E122" s="40" t="n"/>
      <c r="F122" s="42" t="n"/>
      <c r="G122" s="43" t="n"/>
      <c r="H122" s="44" t="n"/>
      <c r="I122" s="45">
        <f>IFERROR(F122/G122,"")</f>
        <v/>
      </c>
      <c r="J122" s="41" t="n"/>
    </row>
    <row r="123">
      <c r="A123" s="40" t="n"/>
      <c r="B123" s="41" t="n"/>
      <c r="C123" s="41" t="n"/>
      <c r="D123" s="40" t="n"/>
      <c r="E123" s="40" t="n"/>
      <c r="F123" s="42" t="n"/>
      <c r="G123" s="43" t="n"/>
      <c r="H123" s="44" t="n"/>
      <c r="I123" s="45">
        <f>IFERROR(F123/G123,"")</f>
        <v/>
      </c>
      <c r="J123" s="41" t="n"/>
    </row>
    <row r="124">
      <c r="A124" s="40" t="n"/>
      <c r="B124" s="41" t="n"/>
      <c r="C124" s="41" t="n"/>
      <c r="D124" s="40" t="n"/>
      <c r="E124" s="40" t="n"/>
      <c r="F124" s="42" t="n"/>
      <c r="G124" s="43" t="n"/>
      <c r="H124" s="44" t="n"/>
      <c r="I124" s="45">
        <f>IFERROR(F124/G124,"")</f>
        <v/>
      </c>
      <c r="J124" s="41" t="n"/>
    </row>
    <row r="125">
      <c r="A125" s="40" t="n"/>
      <c r="B125" s="41" t="n"/>
      <c r="C125" s="41" t="n"/>
      <c r="D125" s="40" t="n"/>
      <c r="E125" s="40" t="n"/>
      <c r="F125" s="42" t="n"/>
      <c r="G125" s="43" t="n"/>
      <c r="H125" s="44" t="n"/>
      <c r="I125" s="45">
        <f>IFERROR(F125/G125,"")</f>
        <v/>
      </c>
      <c r="J125" s="41" t="n"/>
    </row>
    <row r="126">
      <c r="A126" s="40" t="n"/>
      <c r="B126" s="41" t="n"/>
      <c r="C126" s="41" t="n"/>
      <c r="D126" s="40" t="n"/>
      <c r="E126" s="40" t="n"/>
      <c r="F126" s="42" t="n"/>
      <c r="G126" s="43" t="n"/>
      <c r="H126" s="44" t="n"/>
      <c r="I126" s="45">
        <f>IFERROR(F126/G126,"")</f>
        <v/>
      </c>
      <c r="J126" s="41" t="n"/>
    </row>
    <row r="127">
      <c r="A127" s="40" t="n"/>
      <c r="B127" s="41" t="n"/>
      <c r="C127" s="41" t="n"/>
      <c r="D127" s="40" t="n"/>
      <c r="E127" s="40" t="n"/>
      <c r="F127" s="42" t="n"/>
      <c r="G127" s="43" t="n"/>
      <c r="H127" s="44" t="n"/>
      <c r="I127" s="45">
        <f>IFERROR(F127/G127,"")</f>
        <v/>
      </c>
      <c r="J127" s="41" t="n"/>
    </row>
    <row r="128">
      <c r="A128" s="40" t="n"/>
      <c r="B128" s="41" t="n"/>
      <c r="C128" s="41" t="n"/>
      <c r="D128" s="40" t="n"/>
      <c r="E128" s="40" t="n"/>
      <c r="F128" s="42" t="n"/>
      <c r="G128" s="43" t="n"/>
      <c r="H128" s="44" t="n"/>
      <c r="I128" s="45">
        <f>IFERROR(F128/G128,"")</f>
        <v/>
      </c>
      <c r="J128" s="41" t="n"/>
    </row>
    <row r="129">
      <c r="A129" s="40" t="n"/>
      <c r="B129" s="41" t="n"/>
      <c r="C129" s="41" t="n"/>
      <c r="D129" s="40" t="n"/>
      <c r="E129" s="40" t="n"/>
      <c r="F129" s="42" t="n"/>
      <c r="G129" s="43" t="n"/>
      <c r="H129" s="44" t="n"/>
      <c r="I129" s="45">
        <f>IFERROR(F129/G129,"")</f>
        <v/>
      </c>
      <c r="J129" s="41" t="n"/>
    </row>
    <row r="130">
      <c r="A130" s="40" t="n"/>
      <c r="B130" s="41" t="n"/>
      <c r="C130" s="41" t="n"/>
      <c r="D130" s="40" t="n"/>
      <c r="E130" s="40" t="n"/>
      <c r="F130" s="42" t="n"/>
      <c r="G130" s="43" t="n"/>
      <c r="H130" s="44" t="n"/>
      <c r="I130" s="45">
        <f>IFERROR(F130/G130,"")</f>
        <v/>
      </c>
      <c r="J130" s="41" t="n"/>
    </row>
    <row r="131">
      <c r="A131" s="40" t="n"/>
      <c r="B131" s="41" t="n"/>
      <c r="C131" s="41" t="n"/>
      <c r="D131" s="40" t="n"/>
      <c r="E131" s="40" t="n"/>
      <c r="F131" s="42" t="n"/>
      <c r="G131" s="43" t="n"/>
      <c r="H131" s="44" t="n"/>
      <c r="I131" s="45">
        <f>IFERROR(F131/G131,"")</f>
        <v/>
      </c>
      <c r="J131" s="41" t="n"/>
    </row>
    <row r="132">
      <c r="A132" s="40" t="n"/>
      <c r="B132" s="41" t="n"/>
      <c r="C132" s="41" t="n"/>
      <c r="D132" s="40" t="n"/>
      <c r="E132" s="40" t="n"/>
      <c r="F132" s="42" t="n"/>
      <c r="G132" s="43" t="n"/>
      <c r="H132" s="44" t="n"/>
      <c r="I132" s="45">
        <f>IFERROR(F132/G132,"")</f>
        <v/>
      </c>
      <c r="J132" s="41" t="n"/>
    </row>
    <row r="133">
      <c r="A133" s="40" t="n"/>
      <c r="B133" s="41" t="n"/>
      <c r="C133" s="41" t="n"/>
      <c r="D133" s="40" t="n"/>
      <c r="E133" s="40" t="n"/>
      <c r="F133" s="42" t="n"/>
      <c r="G133" s="43" t="n"/>
      <c r="H133" s="44" t="n"/>
      <c r="I133" s="45">
        <f>IFERROR(F133/G133,"")</f>
        <v/>
      </c>
      <c r="J133" s="41" t="n"/>
    </row>
    <row r="134">
      <c r="A134" s="40" t="n"/>
      <c r="B134" s="41" t="n"/>
      <c r="C134" s="41" t="n"/>
      <c r="D134" s="40" t="n"/>
      <c r="E134" s="40" t="n"/>
      <c r="F134" s="42" t="n"/>
      <c r="G134" s="43" t="n"/>
      <c r="H134" s="44" t="n"/>
      <c r="I134" s="45">
        <f>IFERROR(F134/G134,"")</f>
        <v/>
      </c>
      <c r="J134" s="41" t="n"/>
    </row>
    <row r="135">
      <c r="A135" s="40" t="n"/>
      <c r="B135" s="41" t="n"/>
      <c r="C135" s="41" t="n"/>
      <c r="D135" s="40" t="n"/>
      <c r="E135" s="40" t="n"/>
      <c r="F135" s="42" t="n"/>
      <c r="G135" s="43" t="n"/>
      <c r="H135" s="44" t="n"/>
      <c r="I135" s="45">
        <f>IFERROR(F135/G135,"")</f>
        <v/>
      </c>
      <c r="J135" s="41" t="n"/>
    </row>
    <row r="136">
      <c r="A136" s="40" t="n"/>
      <c r="B136" s="41" t="n"/>
      <c r="C136" s="41" t="n"/>
      <c r="D136" s="40" t="n"/>
      <c r="E136" s="40" t="n"/>
      <c r="F136" s="42" t="n"/>
      <c r="G136" s="43" t="n"/>
      <c r="H136" s="44" t="n"/>
      <c r="I136" s="45">
        <f>IFERROR(F136/G136,"")</f>
        <v/>
      </c>
      <c r="J136" s="41" t="n"/>
    </row>
    <row r="137">
      <c r="A137" s="40" t="n"/>
      <c r="B137" s="41" t="n"/>
      <c r="C137" s="41" t="n"/>
      <c r="D137" s="40" t="n"/>
      <c r="E137" s="40" t="n"/>
      <c r="F137" s="42" t="n"/>
      <c r="G137" s="43" t="n"/>
      <c r="H137" s="44" t="n"/>
      <c r="I137" s="45">
        <f>IFERROR(F137/G137,"")</f>
        <v/>
      </c>
      <c r="J137" s="41" t="n"/>
    </row>
    <row r="138">
      <c r="A138" s="40" t="n"/>
      <c r="B138" s="41" t="n"/>
      <c r="C138" s="41" t="n"/>
      <c r="D138" s="40" t="n"/>
      <c r="E138" s="40" t="n"/>
      <c r="F138" s="42" t="n"/>
      <c r="G138" s="43" t="n"/>
      <c r="H138" s="44" t="n"/>
      <c r="I138" s="45">
        <f>IFERROR(F138/G138,"")</f>
        <v/>
      </c>
      <c r="J138" s="41" t="n"/>
    </row>
    <row r="139">
      <c r="A139" s="40" t="n"/>
      <c r="B139" s="41" t="n"/>
      <c r="C139" s="41" t="n"/>
      <c r="D139" s="40" t="n"/>
      <c r="E139" s="40" t="n"/>
      <c r="F139" s="42" t="n"/>
      <c r="G139" s="43" t="n"/>
      <c r="H139" s="44" t="n"/>
      <c r="I139" s="45">
        <f>IFERROR(F139/G139,"")</f>
        <v/>
      </c>
      <c r="J139" s="41" t="n"/>
    </row>
    <row r="140">
      <c r="A140" s="40" t="n"/>
      <c r="B140" s="41" t="n"/>
      <c r="C140" s="41" t="n"/>
      <c r="D140" s="40" t="n"/>
      <c r="E140" s="40" t="n"/>
      <c r="F140" s="42" t="n"/>
      <c r="G140" s="43" t="n"/>
      <c r="H140" s="44" t="n"/>
      <c r="I140" s="45">
        <f>IFERROR(F140/G140,"")</f>
        <v/>
      </c>
      <c r="J140" s="41" t="n"/>
    </row>
    <row r="141">
      <c r="A141" s="40" t="n"/>
      <c r="B141" s="41" t="n"/>
      <c r="C141" s="41" t="n"/>
      <c r="D141" s="40" t="n"/>
      <c r="E141" s="40" t="n"/>
      <c r="F141" s="42" t="n"/>
      <c r="G141" s="43" t="n"/>
      <c r="H141" s="44" t="n"/>
      <c r="I141" s="45">
        <f>IFERROR(F141/G141,"")</f>
        <v/>
      </c>
      <c r="J141" s="41" t="n"/>
    </row>
    <row r="142">
      <c r="A142" s="40" t="n"/>
      <c r="B142" s="41" t="n"/>
      <c r="C142" s="41" t="n"/>
      <c r="D142" s="40" t="n"/>
      <c r="E142" s="40" t="n"/>
      <c r="F142" s="42" t="n"/>
      <c r="G142" s="43" t="n"/>
      <c r="H142" s="44" t="n"/>
      <c r="I142" s="45">
        <f>IFERROR(F142/G142,"")</f>
        <v/>
      </c>
      <c r="J142" s="41" t="n"/>
    </row>
    <row r="143">
      <c r="A143" s="40" t="n"/>
      <c r="B143" s="41" t="n"/>
      <c r="C143" s="41" t="n"/>
      <c r="D143" s="40" t="n"/>
      <c r="E143" s="40" t="n"/>
      <c r="F143" s="42" t="n"/>
      <c r="G143" s="43" t="n"/>
      <c r="H143" s="44" t="n"/>
      <c r="I143" s="45">
        <f>IFERROR(F143/G143,"")</f>
        <v/>
      </c>
      <c r="J143" s="41" t="n"/>
    </row>
    <row r="144">
      <c r="A144" s="40" t="n"/>
      <c r="B144" s="41" t="n"/>
      <c r="C144" s="41" t="n"/>
      <c r="D144" s="40" t="n"/>
      <c r="E144" s="40" t="n"/>
      <c r="F144" s="42" t="n"/>
      <c r="G144" s="43" t="n"/>
      <c r="H144" s="44" t="n"/>
      <c r="I144" s="45">
        <f>IFERROR(F144/G144,"")</f>
        <v/>
      </c>
      <c r="J144" s="41" t="n"/>
    </row>
    <row r="145">
      <c r="A145" s="40" t="n"/>
      <c r="B145" s="41" t="n"/>
      <c r="C145" s="41" t="n"/>
      <c r="D145" s="40" t="n"/>
      <c r="E145" s="40" t="n"/>
      <c r="F145" s="42" t="n"/>
      <c r="G145" s="43" t="n"/>
      <c r="H145" s="44" t="n"/>
      <c r="I145" s="45">
        <f>IFERROR(F145/G145,"")</f>
        <v/>
      </c>
      <c r="J145" s="41" t="n"/>
    </row>
    <row r="146">
      <c r="A146" s="40" t="n"/>
      <c r="B146" s="41" t="n"/>
      <c r="C146" s="41" t="n"/>
      <c r="D146" s="40" t="n"/>
      <c r="E146" s="40" t="n"/>
      <c r="F146" s="42" t="n"/>
      <c r="G146" s="43" t="n"/>
      <c r="H146" s="44" t="n"/>
      <c r="I146" s="45">
        <f>IFERROR(F146/G146,"")</f>
        <v/>
      </c>
      <c r="J146" s="41" t="n"/>
    </row>
    <row r="147">
      <c r="A147" s="40" t="n"/>
      <c r="B147" s="41" t="n"/>
      <c r="C147" s="41" t="n"/>
      <c r="D147" s="40" t="n"/>
      <c r="E147" s="40" t="n"/>
      <c r="F147" s="42" t="n"/>
      <c r="G147" s="43" t="n"/>
      <c r="H147" s="44" t="n"/>
      <c r="I147" s="45">
        <f>IFERROR(F147/G147,"")</f>
        <v/>
      </c>
      <c r="J147" s="41" t="n"/>
    </row>
    <row r="148">
      <c r="A148" s="40" t="n"/>
      <c r="B148" s="41" t="n"/>
      <c r="C148" s="41" t="n"/>
      <c r="D148" s="40" t="n"/>
      <c r="E148" s="40" t="n"/>
      <c r="F148" s="42" t="n"/>
      <c r="G148" s="43" t="n"/>
      <c r="H148" s="44" t="n"/>
      <c r="I148" s="45">
        <f>IFERROR(F148/G148,"")</f>
        <v/>
      </c>
      <c r="J148" s="41" t="n"/>
    </row>
    <row r="149">
      <c r="A149" s="40" t="n"/>
      <c r="B149" s="41" t="n"/>
      <c r="C149" s="41" t="n"/>
      <c r="D149" s="40" t="n"/>
      <c r="E149" s="40" t="n"/>
      <c r="F149" s="42" t="n"/>
      <c r="G149" s="43" t="n"/>
      <c r="H149" s="44" t="n"/>
      <c r="I149" s="45">
        <f>IFERROR(F149/G149,"")</f>
        <v/>
      </c>
      <c r="J149" s="41" t="n"/>
    </row>
    <row r="150">
      <c r="A150" s="40" t="n"/>
      <c r="B150" s="41" t="n"/>
      <c r="C150" s="41" t="n"/>
      <c r="D150" s="40" t="n"/>
      <c r="E150" s="40" t="n"/>
      <c r="F150" s="42" t="n"/>
      <c r="G150" s="43" t="n"/>
      <c r="H150" s="44" t="n"/>
      <c r="I150" s="45">
        <f>IFERROR(F150/G150,"")</f>
        <v/>
      </c>
      <c r="J150" s="41" t="n"/>
    </row>
    <row r="151">
      <c r="A151" s="40" t="n"/>
      <c r="B151" s="41" t="n"/>
      <c r="C151" s="41" t="n"/>
      <c r="D151" s="40" t="n"/>
      <c r="E151" s="40" t="n"/>
      <c r="F151" s="42" t="n"/>
      <c r="G151" s="43" t="n"/>
      <c r="H151" s="44" t="n"/>
      <c r="I151" s="45">
        <f>IFERROR(F151/G151,"")</f>
        <v/>
      </c>
      <c r="J151" s="41" t="n"/>
    </row>
    <row r="152">
      <c r="A152" s="40" t="n"/>
      <c r="B152" s="41" t="n"/>
      <c r="C152" s="41" t="n"/>
      <c r="D152" s="40" t="n"/>
      <c r="E152" s="40" t="n"/>
      <c r="F152" s="42" t="n"/>
      <c r="G152" s="43" t="n"/>
      <c r="H152" s="44" t="n"/>
      <c r="I152" s="45">
        <f>IFERROR(F152/G152,"")</f>
        <v/>
      </c>
      <c r="J152" s="41" t="n"/>
    </row>
    <row r="153">
      <c r="A153" s="40" t="n"/>
      <c r="B153" s="41" t="n"/>
      <c r="C153" s="41" t="n"/>
      <c r="D153" s="40" t="n"/>
      <c r="E153" s="40" t="n"/>
      <c r="F153" s="42" t="n"/>
      <c r="G153" s="43" t="n"/>
      <c r="H153" s="44" t="n"/>
      <c r="I153" s="45">
        <f>IFERROR(F153/G153,"")</f>
        <v/>
      </c>
      <c r="J153" s="41" t="n"/>
    </row>
    <row r="154">
      <c r="A154" s="40" t="n"/>
      <c r="B154" s="41" t="n"/>
      <c r="C154" s="41" t="n"/>
      <c r="D154" s="40" t="n"/>
      <c r="E154" s="40" t="n"/>
      <c r="F154" s="42" t="n"/>
      <c r="G154" s="43" t="n"/>
      <c r="H154" s="44" t="n"/>
      <c r="I154" s="45">
        <f>IFERROR(F154/G154,"")</f>
        <v/>
      </c>
      <c r="J154" s="41" t="n"/>
    </row>
    <row r="155">
      <c r="A155" s="40" t="n"/>
      <c r="B155" s="41" t="n"/>
      <c r="C155" s="41" t="n"/>
      <c r="D155" s="40" t="n"/>
      <c r="E155" s="40" t="n"/>
      <c r="F155" s="42" t="n"/>
      <c r="G155" s="43" t="n"/>
      <c r="H155" s="44" t="n"/>
      <c r="I155" s="45">
        <f>IFERROR(F155/G155,"")</f>
        <v/>
      </c>
      <c r="J155" s="41" t="n"/>
    </row>
    <row r="156">
      <c r="A156" s="40" t="n"/>
      <c r="B156" s="41" t="n"/>
      <c r="C156" s="41" t="n"/>
      <c r="D156" s="40" t="n"/>
      <c r="E156" s="40" t="n"/>
      <c r="F156" s="42" t="n"/>
      <c r="G156" s="43" t="n"/>
      <c r="H156" s="44" t="n"/>
      <c r="I156" s="45">
        <f>IFERROR(F156/G156,"")</f>
        <v/>
      </c>
      <c r="J156" s="41" t="n"/>
    </row>
    <row r="157">
      <c r="A157" s="40" t="n"/>
      <c r="B157" s="41" t="n"/>
      <c r="C157" s="41" t="n"/>
      <c r="D157" s="40" t="n"/>
      <c r="E157" s="40" t="n"/>
      <c r="F157" s="42" t="n"/>
      <c r="G157" s="43" t="n"/>
      <c r="H157" s="44" t="n"/>
      <c r="I157" s="45">
        <f>IFERROR(F157/G157,"")</f>
        <v/>
      </c>
      <c r="J157" s="41" t="n"/>
    </row>
    <row r="158">
      <c r="A158" s="40" t="n"/>
      <c r="B158" s="41" t="n"/>
      <c r="C158" s="41" t="n"/>
      <c r="D158" s="40" t="n"/>
      <c r="E158" s="40" t="n"/>
      <c r="F158" s="42" t="n"/>
      <c r="G158" s="43" t="n"/>
      <c r="H158" s="44" t="n"/>
      <c r="I158" s="45">
        <f>IFERROR(F158/G158,"")</f>
        <v/>
      </c>
      <c r="J158" s="41" t="n"/>
    </row>
    <row r="159">
      <c r="A159" s="40" t="n"/>
      <c r="B159" s="41" t="n"/>
      <c r="C159" s="41" t="n"/>
      <c r="D159" s="40" t="n"/>
      <c r="E159" s="40" t="n"/>
      <c r="F159" s="42" t="n"/>
      <c r="G159" s="43" t="n"/>
      <c r="H159" s="44" t="n"/>
      <c r="I159" s="45">
        <f>IFERROR(F159/G159,"")</f>
        <v/>
      </c>
      <c r="J159" s="41" t="n"/>
    </row>
    <row r="160">
      <c r="A160" s="40" t="n"/>
      <c r="B160" s="41" t="n"/>
      <c r="C160" s="41" t="n"/>
      <c r="D160" s="40" t="n"/>
      <c r="E160" s="40" t="n"/>
      <c r="F160" s="42" t="n"/>
      <c r="G160" s="43" t="n"/>
      <c r="H160" s="44" t="n"/>
      <c r="I160" s="45">
        <f>IFERROR(F160/G160,"")</f>
        <v/>
      </c>
      <c r="J160" s="41" t="n"/>
    </row>
    <row r="161">
      <c r="A161" s="40" t="n"/>
      <c r="B161" s="41" t="n"/>
      <c r="C161" s="41" t="n"/>
      <c r="D161" s="40" t="n"/>
      <c r="E161" s="40" t="n"/>
      <c r="F161" s="42" t="n"/>
      <c r="G161" s="43" t="n"/>
      <c r="H161" s="44" t="n"/>
      <c r="I161" s="45">
        <f>IFERROR(F161/G161,"")</f>
        <v/>
      </c>
      <c r="J161" s="41" t="n"/>
    </row>
    <row r="162">
      <c r="A162" s="40" t="n"/>
      <c r="B162" s="41" t="n"/>
      <c r="C162" s="41" t="n"/>
      <c r="D162" s="40" t="n"/>
      <c r="E162" s="40" t="n"/>
      <c r="F162" s="42" t="n"/>
      <c r="G162" s="43" t="n"/>
      <c r="H162" s="44" t="n"/>
      <c r="I162" s="45">
        <f>IFERROR(F162/G162,"")</f>
        <v/>
      </c>
      <c r="J162" s="41" t="n"/>
    </row>
    <row r="163">
      <c r="A163" s="40" t="n"/>
      <c r="B163" s="41" t="n"/>
      <c r="C163" s="41" t="n"/>
      <c r="D163" s="40" t="n"/>
      <c r="E163" s="40" t="n"/>
      <c r="F163" s="42" t="n"/>
      <c r="G163" s="43" t="n"/>
      <c r="H163" s="44" t="n"/>
      <c r="I163" s="45">
        <f>IFERROR(F163/G163,"")</f>
        <v/>
      </c>
      <c r="J163" s="41" t="n"/>
    </row>
    <row r="164">
      <c r="A164" s="40" t="n"/>
      <c r="B164" s="41" t="n"/>
      <c r="C164" s="41" t="n"/>
      <c r="D164" s="40" t="n"/>
      <c r="E164" s="40" t="n"/>
      <c r="F164" s="42" t="n"/>
      <c r="G164" s="43" t="n"/>
      <c r="H164" s="44" t="n"/>
      <c r="I164" s="45">
        <f>IFERROR(F164/G164,"")</f>
        <v/>
      </c>
      <c r="J164" s="41" t="n"/>
    </row>
    <row r="165">
      <c r="A165" s="40" t="n"/>
      <c r="B165" s="41" t="n"/>
      <c r="C165" s="41" t="n"/>
      <c r="D165" s="40" t="n"/>
      <c r="E165" s="40" t="n"/>
      <c r="F165" s="42" t="n"/>
      <c r="G165" s="43" t="n"/>
      <c r="H165" s="44" t="n"/>
      <c r="I165" s="45">
        <f>IFERROR(F165/G165,"")</f>
        <v/>
      </c>
      <c r="J165" s="41" t="n"/>
    </row>
    <row r="166">
      <c r="A166" s="40" t="n"/>
      <c r="B166" s="41" t="n"/>
      <c r="C166" s="41" t="n"/>
      <c r="D166" s="40" t="n"/>
      <c r="E166" s="40" t="n"/>
      <c r="F166" s="42" t="n"/>
      <c r="G166" s="43" t="n"/>
      <c r="H166" s="44" t="n"/>
      <c r="I166" s="45">
        <f>IFERROR(F166/G166,"")</f>
        <v/>
      </c>
      <c r="J166" s="41" t="n"/>
    </row>
    <row r="167">
      <c r="A167" s="40" t="n"/>
      <c r="B167" s="41" t="n"/>
      <c r="C167" s="41" t="n"/>
      <c r="D167" s="40" t="n"/>
      <c r="E167" s="40" t="n"/>
      <c r="F167" s="42" t="n"/>
      <c r="G167" s="43" t="n"/>
      <c r="H167" s="44" t="n"/>
      <c r="I167" s="45">
        <f>IFERROR(F167/G167,"")</f>
        <v/>
      </c>
      <c r="J167" s="41" t="n"/>
    </row>
    <row r="168">
      <c r="A168" s="40" t="n"/>
      <c r="B168" s="41" t="n"/>
      <c r="C168" s="41" t="n"/>
      <c r="D168" s="40" t="n"/>
      <c r="E168" s="40" t="n"/>
      <c r="F168" s="42" t="n"/>
      <c r="G168" s="43" t="n"/>
      <c r="H168" s="44" t="n"/>
      <c r="I168" s="45">
        <f>IFERROR(F168/G168,"")</f>
        <v/>
      </c>
      <c r="J168" s="41" t="n"/>
    </row>
    <row r="169">
      <c r="A169" s="40" t="n"/>
      <c r="B169" s="41" t="n"/>
      <c r="C169" s="41" t="n"/>
      <c r="D169" s="40" t="n"/>
      <c r="E169" s="40" t="n"/>
      <c r="F169" s="42" t="n"/>
      <c r="G169" s="43" t="n"/>
      <c r="H169" s="44" t="n"/>
      <c r="I169" s="45">
        <f>IFERROR(F169/G169,"")</f>
        <v/>
      </c>
      <c r="J169" s="41" t="n"/>
    </row>
    <row r="170">
      <c r="A170" s="40" t="n"/>
      <c r="B170" s="41" t="n"/>
      <c r="C170" s="41" t="n"/>
      <c r="D170" s="40" t="n"/>
      <c r="E170" s="40" t="n"/>
      <c r="F170" s="42" t="n"/>
      <c r="G170" s="43" t="n"/>
      <c r="H170" s="44" t="n"/>
      <c r="I170" s="45">
        <f>IFERROR(F170/G170,"")</f>
        <v/>
      </c>
      <c r="J170" s="41" t="n"/>
    </row>
    <row r="171">
      <c r="A171" s="40" t="n"/>
      <c r="B171" s="41" t="n"/>
      <c r="C171" s="41" t="n"/>
      <c r="D171" s="40" t="n"/>
      <c r="E171" s="40" t="n"/>
      <c r="F171" s="42" t="n"/>
      <c r="G171" s="43" t="n"/>
      <c r="H171" s="44" t="n"/>
      <c r="I171" s="45">
        <f>IFERROR(F171/G171,"")</f>
        <v/>
      </c>
      <c r="J171" s="41" t="n"/>
    </row>
    <row r="172">
      <c r="A172" s="40" t="n"/>
      <c r="B172" s="41" t="n"/>
      <c r="C172" s="41" t="n"/>
      <c r="D172" s="40" t="n"/>
      <c r="E172" s="40" t="n"/>
      <c r="F172" s="42" t="n"/>
      <c r="G172" s="43" t="n"/>
      <c r="H172" s="44" t="n"/>
      <c r="I172" s="45">
        <f>IFERROR(F172/G172,"")</f>
        <v/>
      </c>
      <c r="J172" s="41" t="n"/>
    </row>
    <row r="173">
      <c r="A173" s="40" t="n"/>
      <c r="B173" s="41" t="n"/>
      <c r="C173" s="41" t="n"/>
      <c r="D173" s="40" t="n"/>
      <c r="E173" s="40" t="n"/>
      <c r="F173" s="42" t="n"/>
      <c r="G173" s="43" t="n"/>
      <c r="H173" s="44" t="n"/>
      <c r="I173" s="45">
        <f>IFERROR(F173/G173,"")</f>
        <v/>
      </c>
      <c r="J173" s="41" t="n"/>
    </row>
    <row r="174">
      <c r="A174" s="40" t="n"/>
      <c r="B174" s="41" t="n"/>
      <c r="C174" s="41" t="n"/>
      <c r="D174" s="40" t="n"/>
      <c r="E174" s="40" t="n"/>
      <c r="F174" s="42" t="n"/>
      <c r="G174" s="43" t="n"/>
      <c r="H174" s="44" t="n"/>
      <c r="I174" s="45">
        <f>IFERROR(F174/G174,"")</f>
        <v/>
      </c>
      <c r="J174" s="41" t="n"/>
    </row>
    <row r="175">
      <c r="A175" s="40" t="n"/>
      <c r="B175" s="41" t="n"/>
      <c r="C175" s="41" t="n"/>
      <c r="D175" s="40" t="n"/>
      <c r="E175" s="40" t="n"/>
      <c r="F175" s="42" t="n"/>
      <c r="G175" s="43" t="n"/>
      <c r="H175" s="44" t="n"/>
      <c r="I175" s="45">
        <f>IFERROR(F175/G175,"")</f>
        <v/>
      </c>
      <c r="J175" s="41" t="n"/>
    </row>
    <row r="176">
      <c r="A176" s="40" t="n"/>
      <c r="B176" s="41" t="n"/>
      <c r="C176" s="41" t="n"/>
      <c r="D176" s="40" t="n"/>
      <c r="E176" s="40" t="n"/>
      <c r="F176" s="42" t="n"/>
      <c r="G176" s="43" t="n"/>
      <c r="H176" s="44" t="n"/>
      <c r="I176" s="45">
        <f>IFERROR(F176/G176,"")</f>
        <v/>
      </c>
      <c r="J176" s="41" t="n"/>
    </row>
    <row r="177">
      <c r="A177" s="40" t="n"/>
      <c r="B177" s="41" t="n"/>
      <c r="C177" s="41" t="n"/>
      <c r="D177" s="40" t="n"/>
      <c r="E177" s="40" t="n"/>
      <c r="F177" s="42" t="n"/>
      <c r="G177" s="43" t="n"/>
      <c r="H177" s="44" t="n"/>
      <c r="I177" s="45">
        <f>IFERROR(F177/G177,"")</f>
        <v/>
      </c>
      <c r="J177" s="41" t="n"/>
    </row>
    <row r="178">
      <c r="A178" s="40" t="n"/>
      <c r="B178" s="41" t="n"/>
      <c r="C178" s="41" t="n"/>
      <c r="D178" s="40" t="n"/>
      <c r="E178" s="40" t="n"/>
      <c r="F178" s="42" t="n"/>
      <c r="G178" s="43" t="n"/>
      <c r="H178" s="44" t="n"/>
      <c r="I178" s="45">
        <f>IFERROR(F178/G178,"")</f>
        <v/>
      </c>
      <c r="J178" s="41" t="n"/>
    </row>
    <row r="179">
      <c r="A179" s="40" t="n"/>
      <c r="B179" s="41" t="n"/>
      <c r="C179" s="41" t="n"/>
      <c r="D179" s="40" t="n"/>
      <c r="E179" s="40" t="n"/>
      <c r="F179" s="42" t="n"/>
      <c r="G179" s="43" t="n"/>
      <c r="H179" s="44" t="n"/>
      <c r="I179" s="45">
        <f>IFERROR(F179/G179,"")</f>
        <v/>
      </c>
      <c r="J179" s="41" t="n"/>
    </row>
    <row r="180">
      <c r="A180" s="40" t="n"/>
      <c r="B180" s="41" t="n"/>
      <c r="C180" s="41" t="n"/>
      <c r="D180" s="40" t="n"/>
      <c r="E180" s="40" t="n"/>
      <c r="F180" s="42" t="n"/>
      <c r="G180" s="43" t="n"/>
      <c r="H180" s="44" t="n"/>
      <c r="I180" s="45">
        <f>IFERROR(F180/G180,"")</f>
        <v/>
      </c>
      <c r="J180" s="41" t="n"/>
    </row>
    <row r="181">
      <c r="A181" s="40" t="n"/>
      <c r="B181" s="41" t="n"/>
      <c r="C181" s="41" t="n"/>
      <c r="D181" s="40" t="n"/>
      <c r="E181" s="40" t="n"/>
      <c r="F181" s="42" t="n"/>
      <c r="G181" s="43" t="n"/>
      <c r="H181" s="44" t="n"/>
      <c r="I181" s="45">
        <f>IFERROR(F181/G181,"")</f>
        <v/>
      </c>
      <c r="J181" s="41" t="n"/>
    </row>
    <row r="182">
      <c r="A182" s="40" t="n"/>
      <c r="B182" s="41" t="n"/>
      <c r="C182" s="41" t="n"/>
      <c r="D182" s="40" t="n"/>
      <c r="E182" s="40" t="n"/>
      <c r="F182" s="42" t="n"/>
      <c r="G182" s="43" t="n"/>
      <c r="H182" s="44" t="n"/>
      <c r="I182" s="45">
        <f>IFERROR(F182/G182,"")</f>
        <v/>
      </c>
      <c r="J182" s="41" t="n"/>
    </row>
    <row r="183">
      <c r="A183" s="40" t="n"/>
      <c r="B183" s="41" t="n"/>
      <c r="C183" s="41" t="n"/>
      <c r="D183" s="40" t="n"/>
      <c r="E183" s="40" t="n"/>
      <c r="F183" s="42" t="n"/>
      <c r="G183" s="43" t="n"/>
      <c r="H183" s="44" t="n"/>
      <c r="I183" s="45">
        <f>IFERROR(F183/G183,"")</f>
        <v/>
      </c>
      <c r="J183" s="41" t="n"/>
    </row>
    <row r="184">
      <c r="A184" s="40" t="n"/>
      <c r="B184" s="41" t="n"/>
      <c r="C184" s="41" t="n"/>
      <c r="D184" s="40" t="n"/>
      <c r="E184" s="40" t="n"/>
      <c r="F184" s="42" t="n"/>
      <c r="G184" s="43" t="n"/>
      <c r="H184" s="44" t="n"/>
      <c r="I184" s="45">
        <f>IFERROR(F184/G184,"")</f>
        <v/>
      </c>
      <c r="J184" s="41" t="n"/>
    </row>
    <row r="185">
      <c r="A185" s="40" t="n"/>
      <c r="B185" s="41" t="n"/>
      <c r="C185" s="41" t="n"/>
      <c r="D185" s="40" t="n"/>
      <c r="E185" s="40" t="n"/>
      <c r="F185" s="42" t="n"/>
      <c r="G185" s="43" t="n"/>
      <c r="H185" s="44" t="n"/>
      <c r="I185" s="45">
        <f>IFERROR(F185/G185,"")</f>
        <v/>
      </c>
      <c r="J185" s="41" t="n"/>
    </row>
    <row r="186">
      <c r="A186" s="40" t="n"/>
      <c r="B186" s="41" t="n"/>
      <c r="C186" s="41" t="n"/>
      <c r="D186" s="40" t="n"/>
      <c r="E186" s="40" t="n"/>
      <c r="F186" s="42" t="n"/>
      <c r="G186" s="43" t="n"/>
      <c r="H186" s="44" t="n"/>
      <c r="I186" s="45">
        <f>IFERROR(F186/G186,"")</f>
        <v/>
      </c>
      <c r="J186" s="41" t="n"/>
    </row>
    <row r="187">
      <c r="A187" s="40" t="n"/>
      <c r="B187" s="41" t="n"/>
      <c r="C187" s="41" t="n"/>
      <c r="D187" s="40" t="n"/>
      <c r="E187" s="40" t="n"/>
      <c r="F187" s="42" t="n"/>
      <c r="G187" s="43" t="n"/>
      <c r="H187" s="44" t="n"/>
      <c r="I187" s="45">
        <f>IFERROR(F187/G187,"")</f>
        <v/>
      </c>
      <c r="J187" s="41" t="n"/>
    </row>
    <row r="188">
      <c r="A188" s="40" t="n"/>
      <c r="B188" s="41" t="n"/>
      <c r="C188" s="41" t="n"/>
      <c r="D188" s="40" t="n"/>
      <c r="E188" s="40" t="n"/>
      <c r="F188" s="42" t="n"/>
      <c r="G188" s="43" t="n"/>
      <c r="H188" s="44" t="n"/>
      <c r="I188" s="45">
        <f>IFERROR(F188/G188,"")</f>
        <v/>
      </c>
      <c r="J188" s="41" t="n"/>
    </row>
    <row r="189">
      <c r="A189" s="40" t="n"/>
      <c r="B189" s="41" t="n"/>
      <c r="C189" s="41" t="n"/>
      <c r="D189" s="40" t="n"/>
      <c r="E189" s="40" t="n"/>
      <c r="F189" s="42" t="n"/>
      <c r="G189" s="43" t="n"/>
      <c r="H189" s="44" t="n"/>
      <c r="I189" s="45">
        <f>IFERROR(F189/G189,"")</f>
        <v/>
      </c>
      <c r="J189" s="41" t="n"/>
    </row>
    <row r="190">
      <c r="A190" s="40" t="n"/>
      <c r="B190" s="41" t="n"/>
      <c r="C190" s="41" t="n"/>
      <c r="D190" s="40" t="n"/>
      <c r="E190" s="40" t="n"/>
      <c r="F190" s="42" t="n"/>
      <c r="G190" s="43" t="n"/>
      <c r="H190" s="44" t="n"/>
      <c r="I190" s="45">
        <f>IFERROR(F190/G190,"")</f>
        <v/>
      </c>
      <c r="J190" s="41" t="n"/>
    </row>
    <row r="191">
      <c r="A191" s="40" t="n"/>
      <c r="B191" s="41" t="n"/>
      <c r="C191" s="41" t="n"/>
      <c r="D191" s="40" t="n"/>
      <c r="E191" s="40" t="n"/>
      <c r="F191" s="42" t="n"/>
      <c r="G191" s="43" t="n"/>
      <c r="H191" s="44" t="n"/>
      <c r="I191" s="45">
        <f>IFERROR(F191/G191,"")</f>
        <v/>
      </c>
      <c r="J191" s="41" t="n"/>
    </row>
    <row r="192">
      <c r="A192" s="40" t="n"/>
      <c r="B192" s="41" t="n"/>
      <c r="C192" s="41" t="n"/>
      <c r="D192" s="40" t="n"/>
      <c r="E192" s="40" t="n"/>
      <c r="F192" s="42" t="n"/>
      <c r="G192" s="43" t="n"/>
      <c r="H192" s="44" t="n"/>
      <c r="I192" s="45">
        <f>IFERROR(F192/G192,"")</f>
        <v/>
      </c>
      <c r="J192" s="41" t="n"/>
    </row>
    <row r="193">
      <c r="A193" s="40" t="n"/>
      <c r="B193" s="41" t="n"/>
      <c r="C193" s="41" t="n"/>
      <c r="D193" s="40" t="n"/>
      <c r="E193" s="40" t="n"/>
      <c r="F193" s="42" t="n"/>
      <c r="G193" s="43" t="n"/>
      <c r="H193" s="44" t="n"/>
      <c r="I193" s="45">
        <f>IFERROR(F193/G193,"")</f>
        <v/>
      </c>
      <c r="J193" s="41" t="n"/>
    </row>
    <row r="194">
      <c r="A194" s="40" t="n"/>
      <c r="B194" s="41" t="n"/>
      <c r="C194" s="41" t="n"/>
      <c r="D194" s="40" t="n"/>
      <c r="E194" s="40" t="n"/>
      <c r="F194" s="42" t="n"/>
      <c r="G194" s="43" t="n"/>
      <c r="H194" s="44" t="n"/>
      <c r="I194" s="45">
        <f>IFERROR(F194/G194,"")</f>
        <v/>
      </c>
      <c r="J194" s="41" t="n"/>
    </row>
    <row r="195">
      <c r="A195" s="40" t="n"/>
      <c r="B195" s="41" t="n"/>
      <c r="C195" s="41" t="n"/>
      <c r="D195" s="40" t="n"/>
      <c r="E195" s="40" t="n"/>
      <c r="F195" s="42" t="n"/>
      <c r="G195" s="43" t="n"/>
      <c r="H195" s="44" t="n"/>
      <c r="I195" s="45">
        <f>IFERROR(F195/G195,"")</f>
        <v/>
      </c>
      <c r="J195" s="41" t="n"/>
    </row>
    <row r="196">
      <c r="A196" s="40" t="n"/>
      <c r="B196" s="41" t="n"/>
      <c r="C196" s="41" t="n"/>
      <c r="D196" s="40" t="n"/>
      <c r="E196" s="40" t="n"/>
      <c r="F196" s="42" t="n"/>
      <c r="G196" s="43" t="n"/>
      <c r="H196" s="44" t="n"/>
      <c r="I196" s="45">
        <f>IFERROR(F196/G196,"")</f>
        <v/>
      </c>
      <c r="J196" s="41" t="n"/>
    </row>
    <row r="197">
      <c r="A197" s="40" t="n"/>
      <c r="B197" s="41" t="n"/>
      <c r="C197" s="41" t="n"/>
      <c r="D197" s="40" t="n"/>
      <c r="E197" s="40" t="n"/>
      <c r="F197" s="42" t="n"/>
      <c r="G197" s="43" t="n"/>
      <c r="H197" s="44" t="n"/>
      <c r="I197" s="45">
        <f>IFERROR(F197/G197,"")</f>
        <v/>
      </c>
      <c r="J197" s="41" t="n"/>
    </row>
    <row r="198">
      <c r="A198" s="40" t="n"/>
      <c r="B198" s="41" t="n"/>
      <c r="C198" s="41" t="n"/>
      <c r="D198" s="40" t="n"/>
      <c r="E198" s="40" t="n"/>
      <c r="F198" s="42" t="n"/>
      <c r="G198" s="43" t="n"/>
      <c r="H198" s="44" t="n"/>
      <c r="I198" s="45">
        <f>IFERROR(F198/G198,"")</f>
        <v/>
      </c>
      <c r="J198" s="41" t="n"/>
    </row>
    <row r="199">
      <c r="A199" s="40" t="n"/>
      <c r="B199" s="41" t="n"/>
      <c r="C199" s="41" t="n"/>
      <c r="D199" s="40" t="n"/>
      <c r="E199" s="40" t="n"/>
      <c r="F199" s="42" t="n"/>
      <c r="G199" s="43" t="n"/>
      <c r="H199" s="44" t="n"/>
      <c r="I199" s="45">
        <f>IFERROR(F199/G199,"")</f>
        <v/>
      </c>
      <c r="J199" s="41" t="n"/>
    </row>
    <row r="200">
      <c r="A200" s="40" t="n"/>
      <c r="B200" s="41" t="n"/>
      <c r="C200" s="41" t="n"/>
      <c r="D200" s="40" t="n"/>
      <c r="E200" s="40" t="n"/>
      <c r="F200" s="42" t="n"/>
      <c r="G200" s="43" t="n"/>
      <c r="H200" s="44" t="n"/>
      <c r="I200" s="45">
        <f>IFERROR(F200/G200,"")</f>
        <v/>
      </c>
      <c r="J200" s="41" t="n"/>
    </row>
    <row r="201">
      <c r="A201" s="40" t="n"/>
      <c r="B201" s="41" t="n"/>
      <c r="C201" s="41" t="n"/>
      <c r="D201" s="40" t="n"/>
      <c r="E201" s="40" t="n"/>
      <c r="F201" s="42" t="n"/>
      <c r="G201" s="43" t="n"/>
      <c r="H201" s="44" t="n"/>
      <c r="I201" s="45">
        <f>IFERROR(F201/G201,"")</f>
        <v/>
      </c>
      <c r="J201" s="41" t="n"/>
    </row>
    <row r="202">
      <c r="A202" s="40" t="n"/>
      <c r="B202" s="41" t="n"/>
      <c r="C202" s="41" t="n"/>
      <c r="D202" s="40" t="n"/>
      <c r="E202" s="40" t="n"/>
      <c r="F202" s="42" t="n"/>
      <c r="G202" s="43" t="n"/>
      <c r="H202" s="44" t="n"/>
      <c r="I202" s="45">
        <f>IFERROR(F202/G202,"")</f>
        <v/>
      </c>
      <c r="J202" s="41" t="n"/>
    </row>
    <row r="203">
      <c r="A203" s="40" t="n"/>
      <c r="B203" s="41" t="n"/>
      <c r="C203" s="41" t="n"/>
      <c r="D203" s="40" t="n"/>
      <c r="E203" s="40" t="n"/>
      <c r="F203" s="42" t="n"/>
      <c r="G203" s="43" t="n"/>
      <c r="H203" s="44" t="n"/>
      <c r="I203" s="45">
        <f>IFERROR(F203/G203,"")</f>
        <v/>
      </c>
      <c r="J203" s="41" t="n"/>
    </row>
    <row r="204">
      <c r="A204" s="40" t="n"/>
      <c r="B204" s="41" t="n"/>
      <c r="C204" s="41" t="n"/>
      <c r="D204" s="40" t="n"/>
      <c r="E204" s="40" t="n"/>
      <c r="F204" s="42" t="n"/>
      <c r="G204" s="43" t="n"/>
      <c r="H204" s="44" t="n"/>
      <c r="I204" s="45">
        <f>IFERROR(F204/G204,"")</f>
        <v/>
      </c>
      <c r="J204" s="41" t="n"/>
    </row>
    <row r="205">
      <c r="A205" s="40" t="n"/>
      <c r="B205" s="41" t="n"/>
      <c r="C205" s="41" t="n"/>
      <c r="D205" s="40" t="n"/>
      <c r="E205" s="40" t="n"/>
      <c r="F205" s="42" t="n"/>
      <c r="G205" s="43" t="n"/>
      <c r="H205" s="44" t="n"/>
      <c r="I205" s="45">
        <f>IFERROR(F205/G205,"")</f>
        <v/>
      </c>
      <c r="J205" s="41" t="n"/>
    </row>
    <row r="206">
      <c r="A206" s="40" t="n"/>
      <c r="B206" s="41" t="n"/>
      <c r="C206" s="41" t="n"/>
      <c r="D206" s="40" t="n"/>
      <c r="E206" s="40" t="n"/>
      <c r="F206" s="42" t="n"/>
      <c r="G206" s="43" t="n"/>
      <c r="H206" s="44" t="n"/>
      <c r="I206" s="45">
        <f>IFERROR(F206/G206,"")</f>
        <v/>
      </c>
      <c r="J206" s="41" t="n"/>
    </row>
    <row r="207">
      <c r="A207" s="40" t="n"/>
      <c r="B207" s="41" t="n"/>
      <c r="C207" s="41" t="n"/>
      <c r="D207" s="40" t="n"/>
      <c r="E207" s="40" t="n"/>
      <c r="F207" s="42" t="n"/>
      <c r="G207" s="43" t="n"/>
      <c r="H207" s="44" t="n"/>
      <c r="I207" s="45">
        <f>IFERROR(F207/G207,"")</f>
        <v/>
      </c>
      <c r="J207" s="41" t="n"/>
    </row>
    <row r="208">
      <c r="A208" s="40" t="n"/>
      <c r="B208" s="41" t="n"/>
      <c r="C208" s="41" t="n"/>
      <c r="D208" s="40" t="n"/>
      <c r="E208" s="40" t="n"/>
      <c r="F208" s="42" t="n"/>
      <c r="G208" s="43" t="n"/>
      <c r="H208" s="44" t="n"/>
      <c r="I208" s="45">
        <f>IFERROR(F208/G208,"")</f>
        <v/>
      </c>
      <c r="J208" s="41" t="n"/>
    </row>
    <row r="209">
      <c r="A209" s="40" t="n"/>
      <c r="B209" s="41" t="n"/>
      <c r="C209" s="41" t="n"/>
      <c r="D209" s="40" t="n"/>
      <c r="E209" s="40" t="n"/>
      <c r="F209" s="42" t="n"/>
      <c r="G209" s="43" t="n"/>
      <c r="H209" s="44" t="n"/>
      <c r="I209" s="45">
        <f>IFERROR(F209/G209,"")</f>
        <v/>
      </c>
      <c r="J209" s="41" t="n"/>
    </row>
    <row r="210">
      <c r="A210" s="40" t="n"/>
      <c r="B210" s="41" t="n"/>
      <c r="C210" s="41" t="n"/>
      <c r="D210" s="40" t="n"/>
      <c r="E210" s="40" t="n"/>
      <c r="F210" s="42" t="n"/>
      <c r="G210" s="43" t="n"/>
      <c r="H210" s="44" t="n"/>
      <c r="I210" s="45">
        <f>IFERROR(F210/G210,"")</f>
        <v/>
      </c>
      <c r="J210" s="41" t="n"/>
    </row>
    <row r="211">
      <c r="A211" s="40" t="n"/>
      <c r="B211" s="41" t="n"/>
      <c r="C211" s="41" t="n"/>
      <c r="D211" s="40" t="n"/>
      <c r="E211" s="40" t="n"/>
      <c r="F211" s="42" t="n"/>
      <c r="G211" s="43" t="n"/>
      <c r="H211" s="44" t="n"/>
      <c r="I211" s="45">
        <f>IFERROR(F211/G211,"")</f>
        <v/>
      </c>
      <c r="J211" s="41" t="n"/>
    </row>
    <row r="212">
      <c r="A212" s="40" t="n"/>
      <c r="B212" s="41" t="n"/>
      <c r="C212" s="41" t="n"/>
      <c r="D212" s="40" t="n"/>
      <c r="E212" s="40" t="n"/>
      <c r="F212" s="42" t="n"/>
      <c r="G212" s="43" t="n"/>
      <c r="H212" s="44" t="n"/>
      <c r="I212" s="45">
        <f>IFERROR(F212/G212,"")</f>
        <v/>
      </c>
      <c r="J212" s="41" t="n"/>
    </row>
    <row r="213">
      <c r="A213" s="40" t="n"/>
      <c r="B213" s="41" t="n"/>
      <c r="C213" s="41" t="n"/>
      <c r="D213" s="40" t="n"/>
      <c r="E213" s="40" t="n"/>
      <c r="F213" s="42" t="n"/>
      <c r="G213" s="43" t="n"/>
      <c r="H213" s="44" t="n"/>
      <c r="I213" s="45">
        <f>IFERROR(F213/G213,"")</f>
        <v/>
      </c>
      <c r="J213" s="41" t="n"/>
    </row>
    <row r="214">
      <c r="A214" s="40" t="n"/>
      <c r="B214" s="41" t="n"/>
      <c r="C214" s="41" t="n"/>
      <c r="D214" s="40" t="n"/>
      <c r="E214" s="40" t="n"/>
      <c r="F214" s="42" t="n"/>
      <c r="G214" s="43" t="n"/>
      <c r="H214" s="44" t="n"/>
      <c r="I214" s="45">
        <f>IFERROR(F214/G214,"")</f>
        <v/>
      </c>
      <c r="J214" s="41" t="n"/>
    </row>
    <row r="215">
      <c r="A215" s="40" t="n"/>
      <c r="B215" s="41" t="n"/>
      <c r="C215" s="41" t="n"/>
      <c r="D215" s="40" t="n"/>
      <c r="E215" s="40" t="n"/>
      <c r="F215" s="42" t="n"/>
      <c r="G215" s="43" t="n"/>
      <c r="H215" s="44" t="n"/>
      <c r="I215" s="45">
        <f>IFERROR(F215/G215,"")</f>
        <v/>
      </c>
      <c r="J215" s="41" t="n"/>
    </row>
    <row r="216">
      <c r="A216" s="40" t="n"/>
      <c r="B216" s="41" t="n"/>
      <c r="C216" s="41" t="n"/>
      <c r="D216" s="40" t="n"/>
      <c r="E216" s="40" t="n"/>
      <c r="F216" s="42" t="n"/>
      <c r="G216" s="43" t="n"/>
      <c r="H216" s="44" t="n"/>
      <c r="I216" s="45">
        <f>IFERROR(F216/G216,"")</f>
        <v/>
      </c>
      <c r="J216" s="41" t="n"/>
    </row>
    <row r="217">
      <c r="A217" s="40" t="n"/>
      <c r="B217" s="41" t="n"/>
      <c r="C217" s="41" t="n"/>
      <c r="D217" s="40" t="n"/>
      <c r="E217" s="40" t="n"/>
      <c r="F217" s="42" t="n"/>
      <c r="G217" s="43" t="n"/>
      <c r="H217" s="44" t="n"/>
      <c r="I217" s="45">
        <f>IFERROR(F217/G217,"")</f>
        <v/>
      </c>
      <c r="J217" s="41" t="n"/>
    </row>
    <row r="218">
      <c r="A218" s="40" t="n"/>
      <c r="B218" s="41" t="n"/>
      <c r="C218" s="41" t="n"/>
      <c r="D218" s="40" t="n"/>
      <c r="E218" s="40" t="n"/>
      <c r="F218" s="42" t="n"/>
      <c r="G218" s="43" t="n"/>
      <c r="H218" s="44" t="n"/>
      <c r="I218" s="45">
        <f>IFERROR(F218/G218,"")</f>
        <v/>
      </c>
      <c r="J218" s="41" t="n"/>
    </row>
    <row r="219">
      <c r="A219" s="40" t="n"/>
      <c r="B219" s="41" t="n"/>
      <c r="C219" s="41" t="n"/>
      <c r="D219" s="40" t="n"/>
      <c r="E219" s="40" t="n"/>
      <c r="F219" s="42" t="n"/>
      <c r="G219" s="43" t="n"/>
      <c r="H219" s="44" t="n"/>
      <c r="I219" s="45">
        <f>IFERROR(F219/G219,"")</f>
        <v/>
      </c>
      <c r="J219" s="41" t="n"/>
    </row>
    <row r="220">
      <c r="A220" s="40" t="n"/>
      <c r="B220" s="41" t="n"/>
      <c r="C220" s="41" t="n"/>
      <c r="D220" s="40" t="n"/>
      <c r="E220" s="40" t="n"/>
      <c r="F220" s="42" t="n"/>
      <c r="G220" s="43" t="n"/>
      <c r="H220" s="44" t="n"/>
      <c r="I220" s="45">
        <f>IFERROR(F220/G220,"")</f>
        <v/>
      </c>
      <c r="J220" s="41" t="n"/>
    </row>
    <row r="221">
      <c r="A221" s="40" t="n"/>
      <c r="B221" s="41" t="n"/>
      <c r="C221" s="41" t="n"/>
      <c r="D221" s="40" t="n"/>
      <c r="E221" s="40" t="n"/>
      <c r="F221" s="42" t="n"/>
      <c r="G221" s="43" t="n"/>
      <c r="H221" s="44" t="n"/>
      <c r="I221" s="45">
        <f>IFERROR(F221/G221,"")</f>
        <v/>
      </c>
      <c r="J221" s="41" t="n"/>
    </row>
    <row r="222">
      <c r="A222" s="40" t="n"/>
      <c r="B222" s="41" t="n"/>
      <c r="C222" s="41" t="n"/>
      <c r="D222" s="40" t="n"/>
      <c r="E222" s="40" t="n"/>
      <c r="F222" s="42" t="n"/>
      <c r="G222" s="43" t="n"/>
      <c r="H222" s="44" t="n"/>
      <c r="I222" s="45">
        <f>IFERROR(F222/G222,"")</f>
        <v/>
      </c>
      <c r="J222" s="41" t="n"/>
    </row>
    <row r="223">
      <c r="A223" s="40" t="n"/>
      <c r="B223" s="41" t="n"/>
      <c r="C223" s="41" t="n"/>
      <c r="D223" s="40" t="n"/>
      <c r="E223" s="40" t="n"/>
      <c r="F223" s="42" t="n"/>
      <c r="G223" s="43" t="n"/>
      <c r="H223" s="44" t="n"/>
      <c r="I223" s="45">
        <f>IFERROR(F223/G223,"")</f>
        <v/>
      </c>
      <c r="J223" s="41" t="n"/>
    </row>
    <row r="224">
      <c r="A224" s="40" t="n"/>
      <c r="B224" s="41" t="n"/>
      <c r="C224" s="41" t="n"/>
      <c r="D224" s="40" t="n"/>
      <c r="E224" s="40" t="n"/>
      <c r="F224" s="42" t="n"/>
      <c r="G224" s="43" t="n"/>
      <c r="H224" s="44" t="n"/>
      <c r="I224" s="45">
        <f>IFERROR(F224/G224,"")</f>
        <v/>
      </c>
      <c r="J224" s="41" t="n"/>
    </row>
    <row r="225">
      <c r="A225" s="40" t="n"/>
      <c r="B225" s="41" t="n"/>
      <c r="C225" s="41" t="n"/>
      <c r="D225" s="40" t="n"/>
      <c r="E225" s="40" t="n"/>
      <c r="F225" s="42" t="n"/>
      <c r="G225" s="43" t="n"/>
      <c r="H225" s="44" t="n"/>
      <c r="I225" s="45">
        <f>IFERROR(F225/G225,"")</f>
        <v/>
      </c>
      <c r="J225" s="41" t="n"/>
    </row>
    <row r="226">
      <c r="A226" s="40" t="n"/>
      <c r="B226" s="41" t="n"/>
      <c r="C226" s="41" t="n"/>
      <c r="D226" s="40" t="n"/>
      <c r="E226" s="40" t="n"/>
      <c r="F226" s="42" t="n"/>
      <c r="G226" s="43" t="n"/>
      <c r="H226" s="44" t="n"/>
      <c r="I226" s="45">
        <f>IFERROR(F226/G226,"")</f>
        <v/>
      </c>
      <c r="J226" s="41" t="n"/>
    </row>
    <row r="227">
      <c r="A227" s="40" t="n"/>
      <c r="B227" s="41" t="n"/>
      <c r="C227" s="41" t="n"/>
      <c r="D227" s="40" t="n"/>
      <c r="E227" s="40" t="n"/>
      <c r="F227" s="42" t="n"/>
      <c r="G227" s="43" t="n"/>
      <c r="H227" s="44" t="n"/>
      <c r="I227" s="45">
        <f>IFERROR(F227/G227,"")</f>
        <v/>
      </c>
      <c r="J227" s="41" t="n"/>
    </row>
    <row r="228">
      <c r="A228" s="40" t="n"/>
      <c r="B228" s="41" t="n"/>
      <c r="C228" s="41" t="n"/>
      <c r="D228" s="40" t="n"/>
      <c r="E228" s="40" t="n"/>
      <c r="F228" s="42" t="n"/>
      <c r="G228" s="43" t="n"/>
      <c r="H228" s="44" t="n"/>
      <c r="I228" s="45">
        <f>IFERROR(F228/G228,"")</f>
        <v/>
      </c>
      <c r="J228" s="41" t="n"/>
    </row>
    <row r="229">
      <c r="A229" s="40" t="n"/>
      <c r="B229" s="41" t="n"/>
      <c r="C229" s="41" t="n"/>
      <c r="D229" s="40" t="n"/>
      <c r="E229" s="40" t="n"/>
      <c r="F229" s="42" t="n"/>
      <c r="G229" s="43" t="n"/>
      <c r="H229" s="44" t="n"/>
      <c r="I229" s="45">
        <f>IFERROR(F229/G229,"")</f>
        <v/>
      </c>
      <c r="J229" s="41" t="n"/>
    </row>
    <row r="230">
      <c r="A230" s="40" t="n"/>
      <c r="B230" s="41" t="n"/>
      <c r="C230" s="41" t="n"/>
      <c r="D230" s="40" t="n"/>
      <c r="E230" s="40" t="n"/>
      <c r="F230" s="42" t="n"/>
      <c r="G230" s="43" t="n"/>
      <c r="H230" s="44" t="n"/>
      <c r="I230" s="45">
        <f>IFERROR(F230/G230,"")</f>
        <v/>
      </c>
      <c r="J230" s="41" t="n"/>
    </row>
    <row r="231">
      <c r="A231" s="40" t="n"/>
      <c r="B231" s="41" t="n"/>
      <c r="C231" s="41" t="n"/>
      <c r="D231" s="40" t="n"/>
      <c r="E231" s="40" t="n"/>
      <c r="F231" s="42" t="n"/>
      <c r="G231" s="43" t="n"/>
      <c r="H231" s="44" t="n"/>
      <c r="I231" s="45">
        <f>IFERROR(F231/G231,"")</f>
        <v/>
      </c>
      <c r="J231" s="41" t="n"/>
    </row>
    <row r="232">
      <c r="A232" s="40" t="n"/>
      <c r="B232" s="41" t="n"/>
      <c r="C232" s="41" t="n"/>
      <c r="D232" s="40" t="n"/>
      <c r="E232" s="40" t="n"/>
      <c r="F232" s="42" t="n"/>
      <c r="G232" s="43" t="n"/>
      <c r="H232" s="44" t="n"/>
      <c r="I232" s="45">
        <f>IFERROR(F232/G232,"")</f>
        <v/>
      </c>
      <c r="J232" s="41" t="n"/>
    </row>
    <row r="233">
      <c r="A233" s="40" t="n"/>
      <c r="B233" s="41" t="n"/>
      <c r="C233" s="41" t="n"/>
      <c r="D233" s="40" t="n"/>
      <c r="E233" s="40" t="n"/>
      <c r="F233" s="42" t="n"/>
      <c r="G233" s="43" t="n"/>
      <c r="H233" s="44" t="n"/>
      <c r="I233" s="45">
        <f>IFERROR(F233/G233,"")</f>
        <v/>
      </c>
      <c r="J233" s="41" t="n"/>
    </row>
    <row r="234">
      <c r="A234" s="40" t="n"/>
      <c r="B234" s="41" t="n"/>
      <c r="C234" s="41" t="n"/>
      <c r="D234" s="40" t="n"/>
      <c r="E234" s="40" t="n"/>
      <c r="F234" s="42" t="n"/>
      <c r="G234" s="43" t="n"/>
      <c r="H234" s="44" t="n"/>
      <c r="I234" s="45">
        <f>IFERROR(F234/G234,"")</f>
        <v/>
      </c>
      <c r="J234" s="41" t="n"/>
    </row>
    <row r="235">
      <c r="A235" s="40" t="n"/>
      <c r="B235" s="41" t="n"/>
      <c r="C235" s="41" t="n"/>
      <c r="D235" s="40" t="n"/>
      <c r="E235" s="40" t="n"/>
      <c r="F235" s="42" t="n"/>
      <c r="G235" s="43" t="n"/>
      <c r="H235" s="44" t="n"/>
      <c r="I235" s="45">
        <f>IFERROR(F235/G235,"")</f>
        <v/>
      </c>
      <c r="J235" s="41" t="n"/>
    </row>
    <row r="236">
      <c r="A236" s="40" t="n"/>
      <c r="B236" s="41" t="n"/>
      <c r="C236" s="41" t="n"/>
      <c r="D236" s="40" t="n"/>
      <c r="E236" s="40" t="n"/>
      <c r="F236" s="42" t="n"/>
      <c r="G236" s="43" t="n"/>
      <c r="H236" s="44" t="n"/>
      <c r="I236" s="45">
        <f>IFERROR(F236/G236,"")</f>
        <v/>
      </c>
      <c r="J236" s="41" t="n"/>
    </row>
    <row r="237">
      <c r="A237" s="40" t="n"/>
      <c r="B237" s="41" t="n"/>
      <c r="C237" s="41" t="n"/>
      <c r="D237" s="40" t="n"/>
      <c r="E237" s="40" t="n"/>
      <c r="F237" s="42" t="n"/>
      <c r="G237" s="43" t="n"/>
      <c r="H237" s="44" t="n"/>
      <c r="I237" s="45">
        <f>IFERROR(F237/G237,"")</f>
        <v/>
      </c>
      <c r="J237" s="41" t="n"/>
    </row>
    <row r="238">
      <c r="A238" s="40" t="n"/>
      <c r="B238" s="41" t="n"/>
      <c r="C238" s="41" t="n"/>
      <c r="D238" s="40" t="n"/>
      <c r="E238" s="40" t="n"/>
      <c r="F238" s="42" t="n"/>
      <c r="G238" s="43" t="n"/>
      <c r="H238" s="44" t="n"/>
      <c r="I238" s="45">
        <f>IFERROR(F238/G238,"")</f>
        <v/>
      </c>
      <c r="J238" s="41" t="n"/>
    </row>
    <row r="239">
      <c r="A239" s="40" t="n"/>
      <c r="B239" s="41" t="n"/>
      <c r="C239" s="41" t="n"/>
      <c r="D239" s="40" t="n"/>
      <c r="E239" s="40" t="n"/>
      <c r="F239" s="42" t="n"/>
      <c r="G239" s="43" t="n"/>
      <c r="H239" s="44" t="n"/>
      <c r="I239" s="45">
        <f>IFERROR(F239/G239,"")</f>
        <v/>
      </c>
      <c r="J239" s="41" t="n"/>
    </row>
    <row r="240">
      <c r="A240" s="40" t="n"/>
      <c r="B240" s="41" t="n"/>
      <c r="C240" s="41" t="n"/>
      <c r="D240" s="40" t="n"/>
      <c r="E240" s="40" t="n"/>
      <c r="F240" s="42" t="n"/>
      <c r="G240" s="43" t="n"/>
      <c r="H240" s="44" t="n"/>
      <c r="I240" s="45">
        <f>IFERROR(F240/G240,"")</f>
        <v/>
      </c>
      <c r="J240" s="41" t="n"/>
    </row>
    <row r="241">
      <c r="A241" s="40" t="n"/>
      <c r="B241" s="41" t="n"/>
      <c r="C241" s="41" t="n"/>
      <c r="D241" s="40" t="n"/>
      <c r="E241" s="40" t="n"/>
      <c r="F241" s="42" t="n"/>
      <c r="G241" s="43" t="n"/>
      <c r="H241" s="44" t="n"/>
      <c r="I241" s="45">
        <f>IFERROR(F241/G241,"")</f>
        <v/>
      </c>
      <c r="J241" s="41" t="n"/>
    </row>
    <row r="242">
      <c r="A242" s="40" t="n"/>
      <c r="B242" s="41" t="n"/>
      <c r="C242" s="41" t="n"/>
      <c r="D242" s="40" t="n"/>
      <c r="E242" s="40" t="n"/>
      <c r="F242" s="42" t="n"/>
      <c r="G242" s="43" t="n"/>
      <c r="H242" s="44" t="n"/>
      <c r="I242" s="45">
        <f>IFERROR(F242/G242,"")</f>
        <v/>
      </c>
      <c r="J242" s="41" t="n"/>
    </row>
    <row r="243">
      <c r="A243" s="40" t="n"/>
      <c r="B243" s="41" t="n"/>
      <c r="C243" s="41" t="n"/>
      <c r="D243" s="40" t="n"/>
      <c r="E243" s="40" t="n"/>
      <c r="F243" s="42" t="n"/>
      <c r="G243" s="43" t="n"/>
      <c r="H243" s="44" t="n"/>
      <c r="I243" s="45">
        <f>IFERROR(F243/G243,"")</f>
        <v/>
      </c>
      <c r="J243" s="41" t="n"/>
    </row>
    <row r="244">
      <c r="A244" s="40" t="n"/>
      <c r="B244" s="41" t="n"/>
      <c r="C244" s="41" t="n"/>
      <c r="D244" s="40" t="n"/>
      <c r="E244" s="40" t="n"/>
      <c r="F244" s="42" t="n"/>
      <c r="G244" s="43" t="n"/>
      <c r="H244" s="44" t="n"/>
      <c r="I244" s="45">
        <f>IFERROR(F244/G244,"")</f>
        <v/>
      </c>
      <c r="J244" s="41" t="n"/>
    </row>
    <row r="245">
      <c r="A245" s="40" t="n"/>
      <c r="B245" s="41" t="n"/>
      <c r="C245" s="41" t="n"/>
      <c r="D245" s="40" t="n"/>
      <c r="E245" s="40" t="n"/>
      <c r="F245" s="42" t="n"/>
      <c r="G245" s="43" t="n"/>
      <c r="H245" s="44" t="n"/>
      <c r="I245" s="45">
        <f>IFERROR(F245/G245,"")</f>
        <v/>
      </c>
      <c r="J245" s="41" t="n"/>
    </row>
    <row r="246">
      <c r="A246" s="40" t="n"/>
      <c r="B246" s="41" t="n"/>
      <c r="C246" s="41" t="n"/>
      <c r="D246" s="40" t="n"/>
      <c r="E246" s="40" t="n"/>
      <c r="F246" s="42" t="n"/>
      <c r="G246" s="43" t="n"/>
      <c r="H246" s="44" t="n"/>
      <c r="I246" s="45">
        <f>IFERROR(F246/G246,"")</f>
        <v/>
      </c>
      <c r="J246" s="41" t="n"/>
    </row>
    <row r="247">
      <c r="A247" s="40" t="n"/>
      <c r="B247" s="41" t="n"/>
      <c r="C247" s="41" t="n"/>
      <c r="D247" s="40" t="n"/>
      <c r="E247" s="40" t="n"/>
      <c r="F247" s="42" t="n"/>
      <c r="G247" s="43" t="n"/>
      <c r="H247" s="44" t="n"/>
      <c r="I247" s="45">
        <f>IFERROR(F247/G247,"")</f>
        <v/>
      </c>
      <c r="J247" s="41" t="n"/>
    </row>
    <row r="248">
      <c r="A248" s="40" t="n"/>
      <c r="B248" s="41" t="n"/>
      <c r="C248" s="41" t="n"/>
      <c r="D248" s="40" t="n"/>
      <c r="E248" s="40" t="n"/>
      <c r="F248" s="42" t="n"/>
      <c r="G248" s="43" t="n"/>
      <c r="H248" s="44" t="n"/>
      <c r="I248" s="45">
        <f>IFERROR(F248/G248,"")</f>
        <v/>
      </c>
      <c r="J248" s="41" t="n"/>
    </row>
    <row r="249">
      <c r="A249" s="40" t="n"/>
      <c r="B249" s="41" t="n"/>
      <c r="C249" s="41" t="n"/>
      <c r="D249" s="40" t="n"/>
      <c r="E249" s="40" t="n"/>
      <c r="F249" s="42" t="n"/>
      <c r="G249" s="43" t="n"/>
      <c r="H249" s="44" t="n"/>
      <c r="I249" s="45">
        <f>IFERROR(F249/G249,"")</f>
        <v/>
      </c>
      <c r="J249" s="41" t="n"/>
    </row>
    <row r="250">
      <c r="A250" s="40" t="n"/>
      <c r="B250" s="41" t="n"/>
      <c r="C250" s="41" t="n"/>
      <c r="D250" s="40" t="n"/>
      <c r="E250" s="40" t="n"/>
      <c r="F250" s="42" t="n"/>
      <c r="G250" s="43" t="n"/>
      <c r="H250" s="44" t="n"/>
      <c r="I250" s="45">
        <f>IFERROR(F250/G250,"")</f>
        <v/>
      </c>
      <c r="J250" s="41" t="n"/>
    </row>
    <row r="251">
      <c r="A251" s="40" t="n"/>
      <c r="B251" s="41" t="n"/>
      <c r="C251" s="41" t="n"/>
      <c r="D251" s="40" t="n"/>
      <c r="E251" s="40" t="n"/>
      <c r="F251" s="42" t="n"/>
      <c r="G251" s="43" t="n"/>
      <c r="H251" s="44" t="n"/>
      <c r="I251" s="45">
        <f>IFERROR(F251/G251,"")</f>
        <v/>
      </c>
      <c r="J251" s="41" t="n"/>
    </row>
    <row r="252">
      <c r="A252" s="40" t="n"/>
      <c r="B252" s="41" t="n"/>
      <c r="C252" s="41" t="n"/>
      <c r="D252" s="40" t="n"/>
      <c r="E252" s="40" t="n"/>
      <c r="F252" s="42" t="n"/>
      <c r="G252" s="43" t="n"/>
      <c r="H252" s="44" t="n"/>
      <c r="I252" s="45">
        <f>IFERROR(F252/G252,"")</f>
        <v/>
      </c>
      <c r="J252" s="41" t="n"/>
    </row>
    <row r="253">
      <c r="A253" s="40" t="n"/>
      <c r="B253" s="41" t="n"/>
      <c r="C253" s="41" t="n"/>
      <c r="D253" s="40" t="n"/>
      <c r="E253" s="40" t="n"/>
      <c r="F253" s="42" t="n"/>
      <c r="G253" s="43" t="n"/>
      <c r="H253" s="44" t="n"/>
      <c r="I253" s="45">
        <f>IFERROR(F253/G253,"")</f>
        <v/>
      </c>
      <c r="J253" s="41" t="n"/>
    </row>
    <row r="254">
      <c r="A254" s="40" t="n"/>
      <c r="B254" s="41" t="n"/>
      <c r="C254" s="41" t="n"/>
      <c r="D254" s="40" t="n"/>
      <c r="E254" s="40" t="n"/>
      <c r="F254" s="42" t="n"/>
      <c r="G254" s="43" t="n"/>
      <c r="H254" s="44" t="n"/>
      <c r="I254" s="45">
        <f>IFERROR(F254/G254,"")</f>
        <v/>
      </c>
      <c r="J254" s="41" t="n"/>
    </row>
    <row r="255">
      <c r="A255" s="40" t="n"/>
      <c r="B255" s="41" t="n"/>
      <c r="C255" s="41" t="n"/>
      <c r="D255" s="40" t="n"/>
      <c r="E255" s="40" t="n"/>
      <c r="F255" s="42" t="n"/>
      <c r="G255" s="43" t="n"/>
      <c r="H255" s="44" t="n"/>
      <c r="I255" s="45">
        <f>IFERROR(F255/G255,"")</f>
        <v/>
      </c>
      <c r="J255" s="41" t="n"/>
    </row>
    <row r="256">
      <c r="A256" s="40" t="n"/>
      <c r="B256" s="41" t="n"/>
      <c r="C256" s="41" t="n"/>
      <c r="D256" s="40" t="n"/>
      <c r="E256" s="40" t="n"/>
      <c r="F256" s="42" t="n"/>
      <c r="G256" s="43" t="n"/>
      <c r="H256" s="44" t="n"/>
      <c r="I256" s="45">
        <f>IFERROR(F256/G256,"")</f>
        <v/>
      </c>
      <c r="J256" s="41" t="n"/>
    </row>
    <row r="257">
      <c r="A257" s="40" t="n"/>
      <c r="B257" s="41" t="n"/>
      <c r="C257" s="41" t="n"/>
      <c r="D257" s="40" t="n"/>
      <c r="E257" s="40" t="n"/>
      <c r="F257" s="42" t="n"/>
      <c r="G257" s="43" t="n"/>
      <c r="H257" s="44" t="n"/>
      <c r="I257" s="45">
        <f>IFERROR(F257/G257,"")</f>
        <v/>
      </c>
      <c r="J257" s="41" t="n"/>
    </row>
    <row r="258">
      <c r="A258" s="40" t="n"/>
      <c r="B258" s="41" t="n"/>
      <c r="C258" s="41" t="n"/>
      <c r="D258" s="40" t="n"/>
      <c r="E258" s="40" t="n"/>
      <c r="F258" s="42" t="n"/>
      <c r="G258" s="43" t="n"/>
      <c r="H258" s="44" t="n"/>
      <c r="I258" s="45">
        <f>IFERROR(F258/G258,"")</f>
        <v/>
      </c>
      <c r="J258" s="41" t="n"/>
    </row>
    <row r="259">
      <c r="A259" s="40" t="n"/>
      <c r="B259" s="41" t="n"/>
      <c r="C259" s="41" t="n"/>
      <c r="D259" s="40" t="n"/>
      <c r="E259" s="40" t="n"/>
      <c r="F259" s="42" t="n"/>
      <c r="G259" s="43" t="n"/>
      <c r="H259" s="44" t="n"/>
      <c r="I259" s="45">
        <f>IFERROR(F259/G259,"")</f>
        <v/>
      </c>
      <c r="J259" s="41" t="n"/>
    </row>
    <row r="260">
      <c r="A260" s="40" t="n"/>
      <c r="B260" s="41" t="n"/>
      <c r="C260" s="41" t="n"/>
      <c r="D260" s="40" t="n"/>
      <c r="E260" s="40" t="n"/>
      <c r="F260" s="42" t="n"/>
      <c r="G260" s="43" t="n"/>
      <c r="H260" s="44" t="n"/>
      <c r="I260" s="45">
        <f>IFERROR(F260/G260,"")</f>
        <v/>
      </c>
      <c r="J260" s="41" t="n"/>
    </row>
    <row r="261">
      <c r="A261" s="40" t="n"/>
      <c r="B261" s="41" t="n"/>
      <c r="C261" s="41" t="n"/>
      <c r="D261" s="40" t="n"/>
      <c r="E261" s="40" t="n"/>
      <c r="F261" s="42" t="n"/>
      <c r="G261" s="43" t="n"/>
      <c r="H261" s="44" t="n"/>
      <c r="I261" s="45">
        <f>IFERROR(F261/G261,"")</f>
        <v/>
      </c>
      <c r="J261" s="41" t="n"/>
    </row>
    <row r="262">
      <c r="A262" s="40" t="n"/>
      <c r="B262" s="41" t="n"/>
      <c r="C262" s="41" t="n"/>
      <c r="D262" s="40" t="n"/>
      <c r="E262" s="40" t="n"/>
      <c r="F262" s="42" t="n"/>
      <c r="G262" s="43" t="n"/>
      <c r="H262" s="44" t="n"/>
      <c r="I262" s="45">
        <f>IFERROR(F262/G262,"")</f>
        <v/>
      </c>
      <c r="J262" s="41" t="n"/>
    </row>
    <row r="263">
      <c r="A263" s="40" t="n"/>
      <c r="B263" s="41" t="n"/>
      <c r="C263" s="41" t="n"/>
      <c r="D263" s="40" t="n"/>
      <c r="E263" s="40" t="n"/>
      <c r="F263" s="42" t="n"/>
      <c r="G263" s="43" t="n"/>
      <c r="H263" s="44" t="n"/>
      <c r="I263" s="45">
        <f>IFERROR(F263/G263,"")</f>
        <v/>
      </c>
      <c r="J263" s="41" t="n"/>
    </row>
    <row r="264">
      <c r="A264" s="40" t="n"/>
      <c r="B264" s="41" t="n"/>
      <c r="C264" s="41" t="n"/>
      <c r="D264" s="40" t="n"/>
      <c r="E264" s="40" t="n"/>
      <c r="F264" s="42" t="n"/>
      <c r="G264" s="43" t="n"/>
      <c r="H264" s="44" t="n"/>
      <c r="I264" s="45">
        <f>IFERROR(F264/G264,"")</f>
        <v/>
      </c>
      <c r="J264" s="41" t="n"/>
    </row>
    <row r="265">
      <c r="A265" s="40" t="n"/>
      <c r="B265" s="41" t="n"/>
      <c r="C265" s="41" t="n"/>
      <c r="D265" s="40" t="n"/>
      <c r="E265" s="40" t="n"/>
      <c r="F265" s="42" t="n"/>
      <c r="G265" s="43" t="n"/>
      <c r="H265" s="44" t="n"/>
      <c r="I265" s="45">
        <f>IFERROR(F265/G265,"")</f>
        <v/>
      </c>
      <c r="J265" s="41" t="n"/>
    </row>
    <row r="266">
      <c r="A266" s="40" t="n"/>
      <c r="B266" s="41" t="n"/>
      <c r="C266" s="41" t="n"/>
      <c r="D266" s="40" t="n"/>
      <c r="E266" s="40" t="n"/>
      <c r="F266" s="42" t="n"/>
      <c r="G266" s="43" t="n"/>
      <c r="H266" s="44" t="n"/>
      <c r="I266" s="45">
        <f>IFERROR(F266/G266,"")</f>
        <v/>
      </c>
      <c r="J266" s="41" t="n"/>
    </row>
    <row r="267">
      <c r="A267" s="40" t="n"/>
      <c r="B267" s="41" t="n"/>
      <c r="C267" s="41" t="n"/>
      <c r="D267" s="40" t="n"/>
      <c r="E267" s="40" t="n"/>
      <c r="F267" s="42" t="n"/>
      <c r="G267" s="43" t="n"/>
      <c r="H267" s="44" t="n"/>
      <c r="I267" s="45">
        <f>IFERROR(F267/G267,"")</f>
        <v/>
      </c>
      <c r="J267" s="41" t="n"/>
    </row>
    <row r="268">
      <c r="A268" s="40" t="n"/>
      <c r="B268" s="41" t="n"/>
      <c r="C268" s="41" t="n"/>
      <c r="D268" s="40" t="n"/>
      <c r="E268" s="40" t="n"/>
      <c r="F268" s="42" t="n"/>
      <c r="G268" s="43" t="n"/>
      <c r="H268" s="44" t="n"/>
      <c r="I268" s="45">
        <f>IFERROR(F268/G268,"")</f>
        <v/>
      </c>
      <c r="J268" s="41" t="n"/>
    </row>
    <row r="269">
      <c r="A269" s="40" t="n"/>
      <c r="B269" s="41" t="n"/>
      <c r="C269" s="41" t="n"/>
      <c r="D269" s="40" t="n"/>
      <c r="E269" s="40" t="n"/>
      <c r="F269" s="42" t="n"/>
      <c r="G269" s="43" t="n"/>
      <c r="H269" s="44" t="n"/>
      <c r="I269" s="45">
        <f>IFERROR(F269/G269,"")</f>
        <v/>
      </c>
      <c r="J269" s="41" t="n"/>
    </row>
    <row r="270">
      <c r="A270" s="40" t="n"/>
      <c r="B270" s="41" t="n"/>
      <c r="C270" s="41" t="n"/>
      <c r="D270" s="40" t="n"/>
      <c r="E270" s="40" t="n"/>
      <c r="F270" s="42" t="n"/>
      <c r="G270" s="43" t="n"/>
      <c r="H270" s="44" t="n"/>
      <c r="I270" s="45">
        <f>IFERROR(F270/G270,"")</f>
        <v/>
      </c>
      <c r="J270" s="41" t="n"/>
    </row>
    <row r="271">
      <c r="A271" s="40" t="n"/>
      <c r="B271" s="41" t="n"/>
      <c r="C271" s="41" t="n"/>
      <c r="D271" s="40" t="n"/>
      <c r="E271" s="40" t="n"/>
      <c r="F271" s="42" t="n"/>
      <c r="G271" s="43" t="n"/>
      <c r="H271" s="44" t="n"/>
      <c r="I271" s="45">
        <f>IFERROR(F271/G271,"")</f>
        <v/>
      </c>
      <c r="J271" s="41" t="n"/>
    </row>
    <row r="272">
      <c r="A272" s="40" t="n"/>
      <c r="B272" s="41" t="n"/>
      <c r="C272" s="41" t="n"/>
      <c r="D272" s="40" t="n"/>
      <c r="E272" s="40" t="n"/>
      <c r="F272" s="42" t="n"/>
      <c r="G272" s="43" t="n"/>
      <c r="H272" s="44" t="n"/>
      <c r="I272" s="45">
        <f>IFERROR(F272/G272,"")</f>
        <v/>
      </c>
      <c r="J272" s="41" t="n"/>
    </row>
    <row r="273">
      <c r="A273" s="40" t="n"/>
      <c r="B273" s="41" t="n"/>
      <c r="C273" s="41" t="n"/>
      <c r="D273" s="40" t="n"/>
      <c r="E273" s="40" t="n"/>
      <c r="F273" s="42" t="n"/>
      <c r="G273" s="43" t="n"/>
      <c r="H273" s="44" t="n"/>
      <c r="I273" s="45">
        <f>IFERROR(F273/G273,"")</f>
        <v/>
      </c>
      <c r="J273" s="41" t="n"/>
    </row>
    <row r="274">
      <c r="A274" s="40" t="n"/>
      <c r="B274" s="41" t="n"/>
      <c r="C274" s="41" t="n"/>
      <c r="D274" s="40" t="n"/>
      <c r="E274" s="40" t="n"/>
      <c r="F274" s="42" t="n"/>
      <c r="G274" s="43" t="n"/>
      <c r="H274" s="44" t="n"/>
      <c r="I274" s="45">
        <f>IFERROR(F274/G274,"")</f>
        <v/>
      </c>
      <c r="J274" s="41" t="n"/>
    </row>
    <row r="275">
      <c r="A275" s="40" t="n"/>
      <c r="B275" s="41" t="n"/>
      <c r="C275" s="41" t="n"/>
      <c r="D275" s="40" t="n"/>
      <c r="E275" s="40" t="n"/>
      <c r="F275" s="42" t="n"/>
      <c r="G275" s="43" t="n"/>
      <c r="H275" s="44" t="n"/>
      <c r="I275" s="45">
        <f>IFERROR(F275/G275,"")</f>
        <v/>
      </c>
      <c r="J275" s="41" t="n"/>
    </row>
    <row r="276">
      <c r="A276" s="40" t="n"/>
      <c r="B276" s="41" t="n"/>
      <c r="C276" s="41" t="n"/>
      <c r="D276" s="40" t="n"/>
      <c r="E276" s="40" t="n"/>
      <c r="F276" s="42" t="n"/>
      <c r="G276" s="43" t="n"/>
      <c r="H276" s="44" t="n"/>
      <c r="I276" s="45">
        <f>IFERROR(F276/G276,"")</f>
        <v/>
      </c>
      <c r="J276" s="41" t="n"/>
    </row>
    <row r="277">
      <c r="A277" s="40" t="n"/>
      <c r="B277" s="41" t="n"/>
      <c r="C277" s="41" t="n"/>
      <c r="D277" s="40" t="n"/>
      <c r="E277" s="40" t="n"/>
      <c r="F277" s="42" t="n"/>
      <c r="G277" s="43" t="n"/>
      <c r="H277" s="44" t="n"/>
      <c r="I277" s="45">
        <f>IFERROR(F277/G277,"")</f>
        <v/>
      </c>
      <c r="J277" s="41" t="n"/>
    </row>
    <row r="278">
      <c r="A278" s="40" t="n"/>
      <c r="B278" s="41" t="n"/>
      <c r="C278" s="41" t="n"/>
      <c r="D278" s="40" t="n"/>
      <c r="E278" s="40" t="n"/>
      <c r="F278" s="42" t="n"/>
      <c r="G278" s="43" t="n"/>
      <c r="H278" s="44" t="n"/>
      <c r="I278" s="45">
        <f>IFERROR(F278/G278,"")</f>
        <v/>
      </c>
      <c r="J278" s="41" t="n"/>
    </row>
    <row r="279">
      <c r="A279" s="40" t="n"/>
      <c r="B279" s="41" t="n"/>
      <c r="C279" s="41" t="n"/>
      <c r="D279" s="40" t="n"/>
      <c r="E279" s="40" t="n"/>
      <c r="F279" s="42" t="n"/>
      <c r="G279" s="43" t="n"/>
      <c r="H279" s="44" t="n"/>
      <c r="I279" s="45">
        <f>IFERROR(F279/G279,"")</f>
        <v/>
      </c>
      <c r="J279" s="41" t="n"/>
    </row>
    <row r="280">
      <c r="A280" s="40" t="n"/>
      <c r="B280" s="41" t="n"/>
      <c r="C280" s="41" t="n"/>
      <c r="D280" s="40" t="n"/>
      <c r="E280" s="40" t="n"/>
      <c r="F280" s="42" t="n"/>
      <c r="G280" s="43" t="n"/>
      <c r="H280" s="44" t="n"/>
      <c r="I280" s="45">
        <f>IFERROR(F280/G280,"")</f>
        <v/>
      </c>
      <c r="J280" s="41" t="n"/>
    </row>
    <row r="281">
      <c r="A281" s="40" t="n"/>
      <c r="B281" s="41" t="n"/>
      <c r="C281" s="41" t="n"/>
      <c r="D281" s="40" t="n"/>
      <c r="E281" s="40" t="n"/>
      <c r="F281" s="42" t="n"/>
      <c r="G281" s="43" t="n"/>
      <c r="H281" s="44" t="n"/>
      <c r="I281" s="45">
        <f>IFERROR(F281/G281,"")</f>
        <v/>
      </c>
      <c r="J281" s="41" t="n"/>
    </row>
    <row r="282">
      <c r="A282" s="40" t="n"/>
      <c r="B282" s="41" t="n"/>
      <c r="C282" s="41" t="n"/>
      <c r="D282" s="40" t="n"/>
      <c r="E282" s="40" t="n"/>
      <c r="F282" s="42" t="n"/>
      <c r="G282" s="43" t="n"/>
      <c r="H282" s="44" t="n"/>
      <c r="I282" s="45">
        <f>IFERROR(F282/G282,"")</f>
        <v/>
      </c>
      <c r="J282" s="41" t="n"/>
    </row>
    <row r="283">
      <c r="A283" s="40" t="n"/>
      <c r="B283" s="41" t="n"/>
      <c r="C283" s="41" t="n"/>
      <c r="D283" s="40" t="n"/>
      <c r="E283" s="40" t="n"/>
      <c r="F283" s="42" t="n"/>
      <c r="G283" s="43" t="n"/>
      <c r="H283" s="44" t="n"/>
      <c r="I283" s="45">
        <f>IFERROR(F283/G283,"")</f>
        <v/>
      </c>
      <c r="J283" s="41" t="n"/>
    </row>
    <row r="284">
      <c r="A284" s="40" t="n"/>
      <c r="B284" s="41" t="n"/>
      <c r="C284" s="41" t="n"/>
      <c r="D284" s="40" t="n"/>
      <c r="E284" s="40" t="n"/>
      <c r="F284" s="42" t="n"/>
      <c r="G284" s="43" t="n"/>
      <c r="H284" s="44" t="n"/>
      <c r="I284" s="45">
        <f>IFERROR(F284/G284,"")</f>
        <v/>
      </c>
      <c r="J284" s="41" t="n"/>
    </row>
    <row r="285">
      <c r="A285" s="40" t="n"/>
      <c r="B285" s="41" t="n"/>
      <c r="C285" s="41" t="n"/>
      <c r="D285" s="40" t="n"/>
      <c r="E285" s="40" t="n"/>
      <c r="F285" s="42" t="n"/>
      <c r="G285" s="43" t="n"/>
      <c r="H285" s="44" t="n"/>
      <c r="I285" s="45">
        <f>IFERROR(F285/G285,"")</f>
        <v/>
      </c>
      <c r="J285" s="41" t="n"/>
    </row>
    <row r="286">
      <c r="A286" s="40" t="n"/>
      <c r="B286" s="41" t="n"/>
      <c r="C286" s="41" t="n"/>
      <c r="D286" s="40" t="n"/>
      <c r="E286" s="40" t="n"/>
      <c r="F286" s="42" t="n"/>
      <c r="G286" s="43" t="n"/>
      <c r="H286" s="44" t="n"/>
      <c r="I286" s="45">
        <f>IFERROR(F286/G286,"")</f>
        <v/>
      </c>
      <c r="J286" s="41" t="n"/>
    </row>
    <row r="287">
      <c r="A287" s="40" t="n"/>
      <c r="B287" s="41" t="n"/>
      <c r="C287" s="41" t="n"/>
      <c r="D287" s="40" t="n"/>
      <c r="E287" s="40" t="n"/>
      <c r="F287" s="42" t="n"/>
      <c r="G287" s="43" t="n"/>
      <c r="H287" s="44" t="n"/>
      <c r="I287" s="45">
        <f>IFERROR(F287/G287,"")</f>
        <v/>
      </c>
      <c r="J287" s="41" t="n"/>
    </row>
    <row r="288">
      <c r="A288" s="40" t="n"/>
      <c r="B288" s="41" t="n"/>
      <c r="C288" s="41" t="n"/>
      <c r="D288" s="40" t="n"/>
      <c r="E288" s="40" t="n"/>
      <c r="F288" s="42" t="n"/>
      <c r="G288" s="43" t="n"/>
      <c r="H288" s="44" t="n"/>
      <c r="I288" s="45">
        <f>IFERROR(F288/G288,"")</f>
        <v/>
      </c>
      <c r="J288" s="41" t="n"/>
    </row>
    <row r="289">
      <c r="A289" s="40" t="n"/>
      <c r="B289" s="41" t="n"/>
      <c r="C289" s="41" t="n"/>
      <c r="D289" s="40" t="n"/>
      <c r="E289" s="40" t="n"/>
      <c r="F289" s="42" t="n"/>
      <c r="G289" s="43" t="n"/>
      <c r="H289" s="44" t="n"/>
      <c r="I289" s="45">
        <f>IFERROR(F289/G289,"")</f>
        <v/>
      </c>
      <c r="J289" s="41" t="n"/>
    </row>
    <row r="290">
      <c r="A290" s="40" t="n"/>
      <c r="B290" s="41" t="n"/>
      <c r="C290" s="41" t="n"/>
      <c r="D290" s="40" t="n"/>
      <c r="E290" s="40" t="n"/>
      <c r="F290" s="42" t="n"/>
      <c r="G290" s="43" t="n"/>
      <c r="H290" s="44" t="n"/>
      <c r="I290" s="45">
        <f>IFERROR(F290/G290,"")</f>
        <v/>
      </c>
      <c r="J290" s="41" t="n"/>
    </row>
    <row r="291">
      <c r="A291" s="40" t="n"/>
      <c r="B291" s="41" t="n"/>
      <c r="C291" s="41" t="n"/>
      <c r="D291" s="40" t="n"/>
      <c r="E291" s="40" t="n"/>
      <c r="F291" s="42" t="n"/>
      <c r="G291" s="43" t="n"/>
      <c r="H291" s="44" t="n"/>
      <c r="I291" s="45">
        <f>IFERROR(F291/G291,"")</f>
        <v/>
      </c>
      <c r="J291" s="41" t="n"/>
    </row>
    <row r="292">
      <c r="A292" s="40" t="n"/>
      <c r="B292" s="41" t="n"/>
      <c r="C292" s="41" t="n"/>
      <c r="D292" s="40" t="n"/>
      <c r="E292" s="40" t="n"/>
      <c r="F292" s="42" t="n"/>
      <c r="G292" s="43" t="n"/>
      <c r="H292" s="44" t="n"/>
      <c r="I292" s="45">
        <f>IFERROR(F292/G292,"")</f>
        <v/>
      </c>
      <c r="J292" s="41" t="n"/>
    </row>
    <row r="293">
      <c r="A293" s="40" t="n"/>
      <c r="B293" s="41" t="n"/>
      <c r="C293" s="41" t="n"/>
      <c r="D293" s="40" t="n"/>
      <c r="E293" s="40" t="n"/>
      <c r="F293" s="42" t="n"/>
      <c r="G293" s="43" t="n"/>
      <c r="H293" s="44" t="n"/>
      <c r="I293" s="45">
        <f>IFERROR(F293/G293,"")</f>
        <v/>
      </c>
      <c r="J293" s="41" t="n"/>
    </row>
    <row r="294">
      <c r="A294" s="40" t="n"/>
      <c r="B294" s="41" t="n"/>
      <c r="C294" s="41" t="n"/>
      <c r="D294" s="40" t="n"/>
      <c r="E294" s="40" t="n"/>
      <c r="F294" s="42" t="n"/>
      <c r="G294" s="43" t="n"/>
      <c r="H294" s="44" t="n"/>
      <c r="I294" s="45">
        <f>IFERROR(F294/G294,"")</f>
        <v/>
      </c>
      <c r="J294" s="41" t="n"/>
    </row>
    <row r="295">
      <c r="A295" s="40" t="n"/>
      <c r="B295" s="41" t="n"/>
      <c r="C295" s="41" t="n"/>
      <c r="D295" s="40" t="n"/>
      <c r="E295" s="40" t="n"/>
      <c r="F295" s="42" t="n"/>
      <c r="G295" s="43" t="n"/>
      <c r="H295" s="44" t="n"/>
      <c r="I295" s="45">
        <f>IFERROR(F295/G295,"")</f>
        <v/>
      </c>
      <c r="J295" s="41" t="n"/>
    </row>
    <row r="296">
      <c r="A296" s="40" t="n"/>
      <c r="B296" s="41" t="n"/>
      <c r="C296" s="41" t="n"/>
      <c r="D296" s="40" t="n"/>
      <c r="E296" s="40" t="n"/>
      <c r="F296" s="42" t="n"/>
      <c r="G296" s="43" t="n"/>
      <c r="H296" s="44" t="n"/>
      <c r="I296" s="45">
        <f>IFERROR(F296/G296,"")</f>
        <v/>
      </c>
      <c r="J296" s="41" t="n"/>
    </row>
    <row r="297">
      <c r="A297" s="40" t="n"/>
      <c r="B297" s="41" t="n"/>
      <c r="C297" s="41" t="n"/>
      <c r="D297" s="40" t="n"/>
      <c r="E297" s="40" t="n"/>
      <c r="F297" s="42" t="n"/>
      <c r="G297" s="43" t="n"/>
      <c r="H297" s="44" t="n"/>
      <c r="I297" s="45">
        <f>IFERROR(F297/G297,"")</f>
        <v/>
      </c>
      <c r="J297" s="41" t="n"/>
    </row>
    <row r="298">
      <c r="A298" s="40" t="n"/>
      <c r="B298" s="41" t="n"/>
      <c r="C298" s="41" t="n"/>
      <c r="D298" s="40" t="n"/>
      <c r="E298" s="40" t="n"/>
      <c r="F298" s="42" t="n"/>
      <c r="G298" s="43" t="n"/>
      <c r="H298" s="44" t="n"/>
      <c r="I298" s="45">
        <f>IFERROR(F298/G298,"")</f>
        <v/>
      </c>
      <c r="J298" s="41" t="n"/>
    </row>
    <row r="299">
      <c r="A299" s="40" t="n"/>
      <c r="B299" s="41" t="n"/>
      <c r="C299" s="41" t="n"/>
      <c r="D299" s="40" t="n"/>
      <c r="E299" s="40" t="n"/>
      <c r="F299" s="42" t="n"/>
      <c r="G299" s="43" t="n"/>
      <c r="H299" s="44" t="n"/>
      <c r="I299" s="45">
        <f>IFERROR(F299/G299,"")</f>
        <v/>
      </c>
      <c r="J299" s="41" t="n"/>
    </row>
    <row r="300">
      <c r="A300" s="40" t="n"/>
      <c r="B300" s="41" t="n"/>
      <c r="C300" s="41" t="n"/>
      <c r="D300" s="40" t="n"/>
      <c r="E300" s="40" t="n"/>
      <c r="F300" s="42" t="n"/>
      <c r="G300" s="43" t="n"/>
      <c r="H300" s="44" t="n"/>
      <c r="I300" s="45">
        <f>IFERROR(F300/G300,"")</f>
        <v/>
      </c>
      <c r="J300" s="41" t="n"/>
    </row>
    <row r="301">
      <c r="A301" s="40" t="n"/>
      <c r="B301" s="41" t="n"/>
      <c r="C301" s="41" t="n"/>
      <c r="D301" s="40" t="n"/>
      <c r="E301" s="40" t="n"/>
      <c r="F301" s="42" t="n"/>
      <c r="G301" s="43" t="n"/>
      <c r="H301" s="44" t="n"/>
      <c r="I301" s="45">
        <f>IFERROR(F301/G301,"")</f>
        <v/>
      </c>
      <c r="J301" s="41" t="n"/>
    </row>
    <row r="302">
      <c r="A302" s="40" t="n"/>
      <c r="B302" s="41" t="n"/>
      <c r="C302" s="41" t="n"/>
      <c r="D302" s="40" t="n"/>
      <c r="E302" s="40" t="n"/>
      <c r="F302" s="42" t="n"/>
      <c r="G302" s="43" t="n"/>
      <c r="H302" s="44" t="n"/>
      <c r="I302" s="45">
        <f>IFERROR(F302/G302,"")</f>
        <v/>
      </c>
      <c r="J302" s="41" t="n"/>
    </row>
    <row r="303">
      <c r="A303" s="40" t="n"/>
      <c r="B303" s="41" t="n"/>
      <c r="C303" s="41" t="n"/>
      <c r="D303" s="40" t="n"/>
      <c r="E303" s="40" t="n"/>
      <c r="F303" s="42" t="n"/>
      <c r="G303" s="43" t="n"/>
      <c r="H303" s="44" t="n"/>
      <c r="I303" s="45">
        <f>IFERROR(F303/G303,"")</f>
        <v/>
      </c>
      <c r="J303" s="41" t="n"/>
    </row>
    <row r="304">
      <c r="A304" s="40" t="n"/>
      <c r="B304" s="41" t="n"/>
      <c r="C304" s="41" t="n"/>
      <c r="D304" s="40" t="n"/>
      <c r="E304" s="40" t="n"/>
      <c r="F304" s="42" t="n"/>
      <c r="G304" s="43" t="n"/>
      <c r="H304" s="44" t="n"/>
      <c r="I304" s="45">
        <f>IFERROR(F304/G304,"")</f>
        <v/>
      </c>
      <c r="J304" s="41" t="n"/>
    </row>
    <row r="305">
      <c r="A305" s="40" t="n"/>
      <c r="B305" s="41" t="n"/>
      <c r="C305" s="41" t="n"/>
      <c r="D305" s="40" t="n"/>
      <c r="E305" s="40" t="n"/>
      <c r="F305" s="42" t="n"/>
      <c r="G305" s="43" t="n"/>
      <c r="H305" s="44" t="n"/>
      <c r="I305" s="45">
        <f>IFERROR(F305/G305,"")</f>
        <v/>
      </c>
      <c r="J305" s="41" t="n"/>
    </row>
    <row r="306">
      <c r="A306" s="40" t="n"/>
      <c r="B306" s="41" t="n"/>
      <c r="C306" s="41" t="n"/>
      <c r="D306" s="40" t="n"/>
      <c r="E306" s="40" t="n"/>
      <c r="F306" s="42" t="n"/>
      <c r="G306" s="43" t="n"/>
      <c r="H306" s="44" t="n"/>
      <c r="I306" s="45">
        <f>IFERROR(F306/G306,"")</f>
        <v/>
      </c>
      <c r="J306" s="41" t="n"/>
    </row>
    <row r="307">
      <c r="A307" s="40" t="n"/>
      <c r="B307" s="41" t="n"/>
      <c r="C307" s="41" t="n"/>
      <c r="D307" s="40" t="n"/>
      <c r="E307" s="40" t="n"/>
      <c r="F307" s="42" t="n"/>
      <c r="G307" s="43" t="n"/>
      <c r="H307" s="44" t="n"/>
      <c r="I307" s="45">
        <f>IFERROR(F307/G307,"")</f>
        <v/>
      </c>
      <c r="J307" s="41" t="n"/>
    </row>
    <row r="308">
      <c r="A308" s="40" t="n"/>
      <c r="B308" s="41" t="n"/>
      <c r="C308" s="41" t="n"/>
      <c r="D308" s="40" t="n"/>
      <c r="E308" s="40" t="n"/>
      <c r="F308" s="42" t="n"/>
      <c r="G308" s="43" t="n"/>
      <c r="H308" s="44" t="n"/>
      <c r="I308" s="45">
        <f>IFERROR(F308/G308,"")</f>
        <v/>
      </c>
      <c r="J308" s="41" t="n"/>
    </row>
    <row r="309">
      <c r="A309" s="40" t="n"/>
      <c r="B309" s="41" t="n"/>
      <c r="C309" s="41" t="n"/>
      <c r="D309" s="40" t="n"/>
      <c r="E309" s="40" t="n"/>
      <c r="F309" s="42" t="n"/>
      <c r="G309" s="43" t="n"/>
      <c r="H309" s="44" t="n"/>
      <c r="I309" s="45">
        <f>IFERROR(F309/G309,"")</f>
        <v/>
      </c>
      <c r="J309" s="41" t="n"/>
    </row>
    <row r="310">
      <c r="A310" s="40" t="n"/>
      <c r="B310" s="41" t="n"/>
      <c r="C310" s="41" t="n"/>
      <c r="D310" s="40" t="n"/>
      <c r="E310" s="40" t="n"/>
      <c r="F310" s="42" t="n"/>
      <c r="G310" s="43" t="n"/>
      <c r="H310" s="44" t="n"/>
      <c r="I310" s="45">
        <f>IFERROR(F310/G310,"")</f>
        <v/>
      </c>
      <c r="J310" s="41" t="n"/>
    </row>
    <row r="311">
      <c r="A311" s="40" t="n"/>
      <c r="B311" s="41" t="n"/>
      <c r="C311" s="41" t="n"/>
      <c r="D311" s="40" t="n"/>
      <c r="E311" s="40" t="n"/>
      <c r="F311" s="42" t="n"/>
      <c r="G311" s="43" t="n"/>
      <c r="H311" s="44" t="n"/>
      <c r="I311" s="45">
        <f>IFERROR(F311/G311,"")</f>
        <v/>
      </c>
      <c r="J311" s="41" t="n"/>
    </row>
    <row r="312">
      <c r="A312" s="40" t="n"/>
      <c r="B312" s="41" t="n"/>
      <c r="C312" s="41" t="n"/>
      <c r="D312" s="40" t="n"/>
      <c r="E312" s="40" t="n"/>
      <c r="F312" s="42" t="n"/>
      <c r="G312" s="43" t="n"/>
      <c r="H312" s="44" t="n"/>
      <c r="I312" s="45">
        <f>IFERROR(F312/G312,"")</f>
        <v/>
      </c>
      <c r="J312" s="41" t="n"/>
    </row>
    <row r="313">
      <c r="A313" s="40" t="n"/>
      <c r="B313" s="41" t="n"/>
      <c r="C313" s="41" t="n"/>
      <c r="D313" s="40" t="n"/>
      <c r="E313" s="40" t="n"/>
      <c r="F313" s="42" t="n"/>
      <c r="G313" s="43" t="n"/>
      <c r="H313" s="44" t="n"/>
      <c r="I313" s="45">
        <f>IFERROR(F313/G313,"")</f>
        <v/>
      </c>
      <c r="J313" s="41" t="n"/>
    </row>
    <row r="314">
      <c r="A314" s="40" t="n"/>
      <c r="B314" s="41" t="n"/>
      <c r="C314" s="41" t="n"/>
      <c r="D314" s="40" t="n"/>
      <c r="E314" s="40" t="n"/>
      <c r="F314" s="42" t="n"/>
      <c r="G314" s="43" t="n"/>
      <c r="H314" s="44" t="n"/>
      <c r="I314" s="45">
        <f>IFERROR(F314/G314,"")</f>
        <v/>
      </c>
      <c r="J314" s="41" t="n"/>
    </row>
    <row r="315">
      <c r="A315" s="40" t="n"/>
      <c r="B315" s="41" t="n"/>
      <c r="C315" s="41" t="n"/>
      <c r="D315" s="40" t="n"/>
      <c r="E315" s="40" t="n"/>
      <c r="F315" s="42" t="n"/>
      <c r="G315" s="43" t="n"/>
      <c r="H315" s="44" t="n"/>
      <c r="I315" s="45">
        <f>IFERROR(F315/G315,"")</f>
        <v/>
      </c>
      <c r="J315" s="41" t="n"/>
    </row>
    <row r="316">
      <c r="A316" s="40" t="n"/>
      <c r="B316" s="41" t="n"/>
      <c r="C316" s="41" t="n"/>
      <c r="D316" s="40" t="n"/>
      <c r="E316" s="40" t="n"/>
      <c r="F316" s="42" t="n"/>
      <c r="G316" s="43" t="n"/>
      <c r="H316" s="44" t="n"/>
      <c r="I316" s="45">
        <f>IFERROR(F316/G316,"")</f>
        <v/>
      </c>
      <c r="J316" s="41" t="n"/>
    </row>
    <row r="317">
      <c r="A317" s="40" t="n"/>
      <c r="B317" s="41" t="n"/>
      <c r="C317" s="41" t="n"/>
      <c r="D317" s="40" t="n"/>
      <c r="E317" s="40" t="n"/>
      <c r="F317" s="42" t="n"/>
      <c r="G317" s="43" t="n"/>
      <c r="H317" s="44" t="n"/>
      <c r="I317" s="45">
        <f>IFERROR(F317/G317,"")</f>
        <v/>
      </c>
      <c r="J317" s="41" t="n"/>
    </row>
    <row r="318">
      <c r="A318" s="40" t="n"/>
      <c r="B318" s="41" t="n"/>
      <c r="C318" s="41" t="n"/>
      <c r="D318" s="40" t="n"/>
      <c r="E318" s="40" t="n"/>
      <c r="F318" s="42" t="n"/>
      <c r="G318" s="43" t="n"/>
      <c r="H318" s="44" t="n"/>
      <c r="I318" s="45">
        <f>IFERROR(F318/G318,"")</f>
        <v/>
      </c>
      <c r="J318" s="41" t="n"/>
    </row>
    <row r="319">
      <c r="A319" s="40" t="n"/>
      <c r="B319" s="41" t="n"/>
      <c r="C319" s="41" t="n"/>
      <c r="D319" s="40" t="n"/>
      <c r="E319" s="40" t="n"/>
      <c r="F319" s="42" t="n"/>
      <c r="G319" s="43" t="n"/>
      <c r="H319" s="44" t="n"/>
      <c r="I319" s="45">
        <f>IFERROR(F319/G319,"")</f>
        <v/>
      </c>
      <c r="J319" s="41" t="n"/>
    </row>
    <row r="320">
      <c r="A320" s="40" t="n"/>
      <c r="B320" s="41" t="n"/>
      <c r="C320" s="41" t="n"/>
      <c r="D320" s="40" t="n"/>
      <c r="E320" s="40" t="n"/>
      <c r="F320" s="42" t="n"/>
      <c r="G320" s="43" t="n"/>
      <c r="H320" s="44" t="n"/>
      <c r="I320" s="45">
        <f>IFERROR(F320/G320,"")</f>
        <v/>
      </c>
      <c r="J320" s="41" t="n"/>
    </row>
    <row r="321">
      <c r="A321" s="40" t="n"/>
      <c r="B321" s="41" t="n"/>
      <c r="C321" s="41" t="n"/>
      <c r="D321" s="40" t="n"/>
      <c r="E321" s="40" t="n"/>
      <c r="F321" s="42" t="n"/>
      <c r="G321" s="43" t="n"/>
      <c r="H321" s="44" t="n"/>
      <c r="I321" s="45">
        <f>IFERROR(F321/G321,"")</f>
        <v/>
      </c>
      <c r="J321" s="41" t="n"/>
    </row>
    <row r="322">
      <c r="A322" s="40" t="n"/>
      <c r="B322" s="41" t="n"/>
      <c r="C322" s="41" t="n"/>
      <c r="D322" s="40" t="n"/>
      <c r="E322" s="40" t="n"/>
      <c r="F322" s="42" t="n"/>
      <c r="G322" s="43" t="n"/>
      <c r="H322" s="44" t="n"/>
      <c r="I322" s="45">
        <f>IFERROR(F322/G322,"")</f>
        <v/>
      </c>
      <c r="J322" s="41" t="n"/>
    </row>
    <row r="323">
      <c r="A323" s="40" t="n"/>
      <c r="B323" s="41" t="n"/>
      <c r="C323" s="41" t="n"/>
      <c r="D323" s="40" t="n"/>
      <c r="E323" s="40" t="n"/>
      <c r="F323" s="42" t="n"/>
      <c r="G323" s="43" t="n"/>
      <c r="H323" s="44" t="n"/>
      <c r="I323" s="45">
        <f>IFERROR(F323/G323,"")</f>
        <v/>
      </c>
      <c r="J323" s="41" t="n"/>
    </row>
    <row r="324">
      <c r="A324" s="40" t="n"/>
      <c r="B324" s="41" t="n"/>
      <c r="C324" s="41" t="n"/>
      <c r="D324" s="40" t="n"/>
      <c r="E324" s="40" t="n"/>
      <c r="F324" s="42" t="n"/>
      <c r="G324" s="43" t="n"/>
      <c r="H324" s="44" t="n"/>
      <c r="I324" s="45">
        <f>IFERROR(F324/G324,"")</f>
        <v/>
      </c>
      <c r="J324" s="41" t="n"/>
    </row>
    <row r="325">
      <c r="A325" s="40" t="n"/>
      <c r="B325" s="41" t="n"/>
      <c r="C325" s="41" t="n"/>
      <c r="D325" s="40" t="n"/>
      <c r="E325" s="40" t="n"/>
      <c r="F325" s="42" t="n"/>
      <c r="G325" s="43" t="n"/>
      <c r="H325" s="44" t="n"/>
      <c r="I325" s="45">
        <f>IFERROR(F325/G325,"")</f>
        <v/>
      </c>
      <c r="J325" s="41" t="n"/>
    </row>
    <row r="326">
      <c r="A326" s="40" t="n"/>
      <c r="B326" s="41" t="n"/>
      <c r="C326" s="41" t="n"/>
      <c r="D326" s="40" t="n"/>
      <c r="E326" s="40" t="n"/>
      <c r="F326" s="42" t="n"/>
      <c r="G326" s="43" t="n"/>
      <c r="H326" s="44" t="n"/>
      <c r="I326" s="45">
        <f>IFERROR(F326/G326,"")</f>
        <v/>
      </c>
      <c r="J326" s="41" t="n"/>
    </row>
    <row r="327">
      <c r="A327" s="40" t="n"/>
      <c r="B327" s="41" t="n"/>
      <c r="C327" s="41" t="n"/>
      <c r="D327" s="40" t="n"/>
      <c r="E327" s="40" t="n"/>
      <c r="F327" s="42" t="n"/>
      <c r="G327" s="43" t="n"/>
      <c r="H327" s="44" t="n"/>
      <c r="I327" s="45">
        <f>IFERROR(F327/G327,"")</f>
        <v/>
      </c>
      <c r="J327" s="41" t="n"/>
    </row>
    <row r="328">
      <c r="A328" s="40" t="n"/>
      <c r="B328" s="41" t="n"/>
      <c r="C328" s="41" t="n"/>
      <c r="D328" s="40" t="n"/>
      <c r="E328" s="40" t="n"/>
      <c r="F328" s="42" t="n"/>
      <c r="G328" s="43" t="n"/>
      <c r="H328" s="44" t="n"/>
      <c r="I328" s="45">
        <f>IFERROR(F328/G328,"")</f>
        <v/>
      </c>
      <c r="J328" s="41" t="n"/>
    </row>
    <row r="329">
      <c r="A329" s="40" t="n"/>
      <c r="B329" s="41" t="n"/>
      <c r="C329" s="41" t="n"/>
      <c r="D329" s="40" t="n"/>
      <c r="E329" s="40" t="n"/>
      <c r="F329" s="42" t="n"/>
      <c r="G329" s="43" t="n"/>
      <c r="H329" s="44" t="n"/>
      <c r="I329" s="45">
        <f>IFERROR(F329/G329,"")</f>
        <v/>
      </c>
      <c r="J329" s="41" t="n"/>
    </row>
    <row r="330">
      <c r="A330" s="40" t="n"/>
      <c r="B330" s="41" t="n"/>
      <c r="C330" s="41" t="n"/>
      <c r="D330" s="40" t="n"/>
      <c r="E330" s="40" t="n"/>
      <c r="F330" s="42" t="n"/>
      <c r="G330" s="43" t="n"/>
      <c r="H330" s="44" t="n"/>
      <c r="I330" s="45">
        <f>IFERROR(F330/G330,"")</f>
        <v/>
      </c>
      <c r="J330" s="41" t="n"/>
    </row>
    <row r="331">
      <c r="A331" s="40" t="n"/>
      <c r="B331" s="41" t="n"/>
      <c r="C331" s="41" t="n"/>
      <c r="D331" s="40" t="n"/>
      <c r="E331" s="40" t="n"/>
      <c r="F331" s="42" t="n"/>
      <c r="G331" s="43" t="n"/>
      <c r="H331" s="44" t="n"/>
      <c r="I331" s="45">
        <f>IFERROR(F331/G331,"")</f>
        <v/>
      </c>
      <c r="J331" s="41" t="n"/>
    </row>
    <row r="332">
      <c r="A332" s="40" t="n"/>
      <c r="B332" s="41" t="n"/>
      <c r="C332" s="41" t="n"/>
      <c r="D332" s="40" t="n"/>
      <c r="E332" s="40" t="n"/>
      <c r="F332" s="42" t="n"/>
      <c r="G332" s="43" t="n"/>
      <c r="H332" s="44" t="n"/>
      <c r="I332" s="45">
        <f>IFERROR(F332/G332,"")</f>
        <v/>
      </c>
      <c r="J332" s="41" t="n"/>
    </row>
    <row r="333">
      <c r="A333" s="40" t="n"/>
      <c r="B333" s="41" t="n"/>
      <c r="C333" s="41" t="n"/>
      <c r="D333" s="40" t="n"/>
      <c r="E333" s="40" t="n"/>
      <c r="F333" s="42" t="n"/>
      <c r="G333" s="43" t="n"/>
      <c r="H333" s="44" t="n"/>
      <c r="I333" s="45">
        <f>IFERROR(F333/G333,"")</f>
        <v/>
      </c>
      <c r="J333" s="41" t="n"/>
    </row>
    <row r="334">
      <c r="A334" s="40" t="n"/>
      <c r="B334" s="41" t="n"/>
      <c r="C334" s="41" t="n"/>
      <c r="D334" s="40" t="n"/>
      <c r="E334" s="40" t="n"/>
      <c r="F334" s="42" t="n"/>
      <c r="G334" s="43" t="n"/>
      <c r="H334" s="44" t="n"/>
      <c r="I334" s="45">
        <f>IFERROR(F334/G334,"")</f>
        <v/>
      </c>
      <c r="J334" s="41" t="n"/>
    </row>
    <row r="335">
      <c r="A335" s="40" t="n"/>
      <c r="B335" s="41" t="n"/>
      <c r="C335" s="41" t="n"/>
      <c r="D335" s="40" t="n"/>
      <c r="E335" s="40" t="n"/>
      <c r="F335" s="42" t="n"/>
      <c r="G335" s="43" t="n"/>
      <c r="H335" s="44" t="n"/>
      <c r="I335" s="45">
        <f>IFERROR(F335/G335,"")</f>
        <v/>
      </c>
      <c r="J335" s="41" t="n"/>
    </row>
    <row r="336">
      <c r="A336" s="40" t="n"/>
      <c r="B336" s="41" t="n"/>
      <c r="C336" s="41" t="n"/>
      <c r="D336" s="40" t="n"/>
      <c r="E336" s="40" t="n"/>
      <c r="F336" s="42" t="n"/>
      <c r="G336" s="43" t="n"/>
      <c r="H336" s="44" t="n"/>
      <c r="I336" s="45">
        <f>IFERROR(F336/G336,"")</f>
        <v/>
      </c>
      <c r="J336" s="41" t="n"/>
    </row>
    <row r="337">
      <c r="A337" s="40" t="n"/>
      <c r="B337" s="41" t="n"/>
      <c r="C337" s="41" t="n"/>
      <c r="D337" s="40" t="n"/>
      <c r="E337" s="40" t="n"/>
      <c r="F337" s="42" t="n"/>
      <c r="G337" s="43" t="n"/>
      <c r="H337" s="44" t="n"/>
      <c r="I337" s="45">
        <f>IFERROR(F337/G337,"")</f>
        <v/>
      </c>
      <c r="J337" s="41" t="n"/>
    </row>
    <row r="338">
      <c r="A338" s="40" t="n"/>
      <c r="B338" s="41" t="n"/>
      <c r="C338" s="41" t="n"/>
      <c r="D338" s="40" t="n"/>
      <c r="E338" s="40" t="n"/>
      <c r="F338" s="42" t="n"/>
      <c r="G338" s="43" t="n"/>
      <c r="H338" s="44" t="n"/>
      <c r="I338" s="45">
        <f>IFERROR(F338/G338,"")</f>
        <v/>
      </c>
      <c r="J338" s="41" t="n"/>
    </row>
    <row r="339">
      <c r="A339" s="40" t="n"/>
      <c r="B339" s="41" t="n"/>
      <c r="C339" s="41" t="n"/>
      <c r="D339" s="40" t="n"/>
      <c r="E339" s="40" t="n"/>
      <c r="F339" s="42" t="n"/>
      <c r="G339" s="43" t="n"/>
      <c r="H339" s="44" t="n"/>
      <c r="I339" s="45">
        <f>IFERROR(F339/G339,"")</f>
        <v/>
      </c>
      <c r="J339" s="41" t="n"/>
    </row>
    <row r="340">
      <c r="A340" s="40" t="n"/>
      <c r="B340" s="41" t="n"/>
      <c r="C340" s="41" t="n"/>
      <c r="D340" s="40" t="n"/>
      <c r="E340" s="40" t="n"/>
      <c r="F340" s="42" t="n"/>
      <c r="G340" s="43" t="n"/>
      <c r="H340" s="44" t="n"/>
      <c r="I340" s="45">
        <f>IFERROR(F340/G340,"")</f>
        <v/>
      </c>
      <c r="J340" s="41" t="n"/>
    </row>
    <row r="341">
      <c r="A341" s="40" t="n"/>
      <c r="B341" s="41" t="n"/>
      <c r="C341" s="41" t="n"/>
      <c r="D341" s="40" t="n"/>
      <c r="E341" s="40" t="n"/>
      <c r="F341" s="42" t="n"/>
      <c r="G341" s="43" t="n"/>
      <c r="H341" s="44" t="n"/>
      <c r="I341" s="45">
        <f>IFERROR(F341/G341,"")</f>
        <v/>
      </c>
      <c r="J341" s="41" t="n"/>
    </row>
    <row r="342">
      <c r="A342" s="40" t="n"/>
      <c r="B342" s="41" t="n"/>
      <c r="C342" s="41" t="n"/>
      <c r="D342" s="40" t="n"/>
      <c r="E342" s="40" t="n"/>
      <c r="F342" s="42" t="n"/>
      <c r="G342" s="43" t="n"/>
      <c r="H342" s="44" t="n"/>
      <c r="I342" s="45">
        <f>IFERROR(F342/G342,"")</f>
        <v/>
      </c>
      <c r="J342" s="41" t="n"/>
    </row>
    <row r="343">
      <c r="A343" s="40" t="n"/>
      <c r="B343" s="41" t="n"/>
      <c r="C343" s="41" t="n"/>
      <c r="D343" s="40" t="n"/>
      <c r="E343" s="40" t="n"/>
      <c r="F343" s="42" t="n"/>
      <c r="G343" s="43" t="n"/>
      <c r="H343" s="44" t="n"/>
      <c r="I343" s="45">
        <f>IFERROR(F343/G343,"")</f>
        <v/>
      </c>
      <c r="J343" s="41" t="n"/>
    </row>
    <row r="344">
      <c r="A344" s="40" t="n"/>
      <c r="B344" s="41" t="n"/>
      <c r="C344" s="41" t="n"/>
      <c r="D344" s="40" t="n"/>
      <c r="E344" s="40" t="n"/>
      <c r="F344" s="42" t="n"/>
      <c r="G344" s="43" t="n"/>
      <c r="H344" s="44" t="n"/>
      <c r="I344" s="45">
        <f>IFERROR(F344/G344,"")</f>
        <v/>
      </c>
      <c r="J344" s="41" t="n"/>
    </row>
    <row r="345">
      <c r="A345" s="40" t="n"/>
      <c r="B345" s="41" t="n"/>
      <c r="C345" s="41" t="n"/>
      <c r="D345" s="40" t="n"/>
      <c r="E345" s="40" t="n"/>
      <c r="F345" s="42" t="n"/>
      <c r="G345" s="43" t="n"/>
      <c r="H345" s="44" t="n"/>
      <c r="I345" s="45">
        <f>IFERROR(F345/G345,"")</f>
        <v/>
      </c>
      <c r="J345" s="41" t="n"/>
    </row>
    <row r="346">
      <c r="A346" s="40" t="n"/>
      <c r="B346" s="41" t="n"/>
      <c r="C346" s="41" t="n"/>
      <c r="D346" s="40" t="n"/>
      <c r="E346" s="40" t="n"/>
      <c r="F346" s="42" t="n"/>
      <c r="G346" s="43" t="n"/>
      <c r="H346" s="44" t="n"/>
      <c r="I346" s="45">
        <f>IFERROR(F346/G346,"")</f>
        <v/>
      </c>
      <c r="J346" s="41" t="n"/>
    </row>
    <row r="347">
      <c r="A347" s="40" t="n"/>
      <c r="B347" s="41" t="n"/>
      <c r="C347" s="41" t="n"/>
      <c r="D347" s="40" t="n"/>
      <c r="E347" s="40" t="n"/>
      <c r="F347" s="42" t="n"/>
      <c r="G347" s="43" t="n"/>
      <c r="H347" s="44" t="n"/>
      <c r="I347" s="45">
        <f>IFERROR(F347/G347,"")</f>
        <v/>
      </c>
      <c r="J347" s="41" t="n"/>
    </row>
    <row r="348">
      <c r="A348" s="40" t="n"/>
      <c r="B348" s="41" t="n"/>
      <c r="C348" s="41" t="n"/>
      <c r="D348" s="40" t="n"/>
      <c r="E348" s="40" t="n"/>
      <c r="F348" s="42" t="n"/>
      <c r="G348" s="43" t="n"/>
      <c r="H348" s="44" t="n"/>
      <c r="I348" s="45">
        <f>IFERROR(F348/G348,"")</f>
        <v/>
      </c>
      <c r="J348" s="41" t="n"/>
    </row>
    <row r="349">
      <c r="A349" s="40" t="n"/>
      <c r="B349" s="41" t="n"/>
      <c r="C349" s="41" t="n"/>
      <c r="D349" s="40" t="n"/>
      <c r="E349" s="40" t="n"/>
      <c r="F349" s="42" t="n"/>
      <c r="G349" s="43" t="n"/>
      <c r="H349" s="44" t="n"/>
      <c r="I349" s="45">
        <f>IFERROR(F349/G349,"")</f>
        <v/>
      </c>
      <c r="J349" s="41" t="n"/>
    </row>
    <row r="350">
      <c r="A350" s="40" t="n"/>
      <c r="B350" s="41" t="n"/>
      <c r="C350" s="41" t="n"/>
      <c r="D350" s="40" t="n"/>
      <c r="E350" s="40" t="n"/>
      <c r="F350" s="42" t="n"/>
      <c r="G350" s="43" t="n"/>
      <c r="H350" s="44" t="n"/>
      <c r="I350" s="45">
        <f>IFERROR(F350/G350,"")</f>
        <v/>
      </c>
      <c r="J350" s="41" t="n"/>
    </row>
    <row r="351">
      <c r="A351" s="40" t="n"/>
      <c r="B351" s="41" t="n"/>
      <c r="C351" s="41" t="n"/>
      <c r="D351" s="40" t="n"/>
      <c r="E351" s="40" t="n"/>
      <c r="F351" s="42" t="n"/>
      <c r="G351" s="43" t="n"/>
      <c r="H351" s="44" t="n"/>
      <c r="I351" s="45">
        <f>IFERROR(F351/G351,"")</f>
        <v/>
      </c>
      <c r="J351" s="41" t="n"/>
    </row>
    <row r="352">
      <c r="A352" s="40" t="n"/>
      <c r="B352" s="41" t="n"/>
      <c r="C352" s="41" t="n"/>
      <c r="D352" s="40" t="n"/>
      <c r="E352" s="40" t="n"/>
      <c r="F352" s="42" t="n"/>
      <c r="G352" s="43" t="n"/>
      <c r="H352" s="44" t="n"/>
      <c r="I352" s="45">
        <f>IFERROR(F352/G352,"")</f>
        <v/>
      </c>
      <c r="J352" s="41" t="n"/>
    </row>
    <row r="353">
      <c r="A353" s="40" t="n"/>
      <c r="B353" s="41" t="n"/>
      <c r="C353" s="41" t="n"/>
      <c r="D353" s="40" t="n"/>
      <c r="E353" s="40" t="n"/>
      <c r="F353" s="42" t="n"/>
      <c r="G353" s="43" t="n"/>
      <c r="H353" s="44" t="n"/>
      <c r="I353" s="45">
        <f>IFERROR(F353/G353,"")</f>
        <v/>
      </c>
      <c r="J353" s="41" t="n"/>
    </row>
    <row r="354">
      <c r="A354" s="40" t="n"/>
      <c r="B354" s="41" t="n"/>
      <c r="C354" s="41" t="n"/>
      <c r="D354" s="40" t="n"/>
      <c r="E354" s="40" t="n"/>
      <c r="F354" s="42" t="n"/>
      <c r="G354" s="43" t="n"/>
      <c r="H354" s="44" t="n"/>
      <c r="I354" s="45">
        <f>IFERROR(F354/G354,"")</f>
        <v/>
      </c>
      <c r="J354" s="41" t="n"/>
    </row>
    <row r="355">
      <c r="A355" s="40" t="n"/>
      <c r="B355" s="41" t="n"/>
      <c r="C355" s="41" t="n"/>
      <c r="D355" s="40" t="n"/>
      <c r="E355" s="40" t="n"/>
      <c r="F355" s="42" t="n"/>
      <c r="G355" s="43" t="n"/>
      <c r="H355" s="44" t="n"/>
      <c r="I355" s="45">
        <f>IFERROR(F355/G355,"")</f>
        <v/>
      </c>
      <c r="J355" s="41" t="n"/>
    </row>
    <row r="356">
      <c r="A356" s="40" t="n"/>
      <c r="B356" s="41" t="n"/>
      <c r="C356" s="41" t="n"/>
      <c r="D356" s="40" t="n"/>
      <c r="E356" s="40" t="n"/>
      <c r="F356" s="42" t="n"/>
      <c r="G356" s="43" t="n"/>
      <c r="H356" s="44" t="n"/>
      <c r="I356" s="45">
        <f>IFERROR(F356/G356,"")</f>
        <v/>
      </c>
      <c r="J356" s="41" t="n"/>
    </row>
    <row r="357">
      <c r="A357" s="40" t="n"/>
      <c r="B357" s="41" t="n"/>
      <c r="C357" s="41" t="n"/>
      <c r="D357" s="40" t="n"/>
      <c r="E357" s="40" t="n"/>
      <c r="F357" s="42" t="n"/>
      <c r="G357" s="43" t="n"/>
      <c r="H357" s="44" t="n"/>
      <c r="I357" s="45">
        <f>IFERROR(F357/G357,"")</f>
        <v/>
      </c>
      <c r="J357" s="41" t="n"/>
    </row>
    <row r="358">
      <c r="A358" s="40" t="n"/>
      <c r="B358" s="41" t="n"/>
      <c r="C358" s="41" t="n"/>
      <c r="D358" s="40" t="n"/>
      <c r="E358" s="40" t="n"/>
      <c r="F358" s="42" t="n"/>
      <c r="G358" s="43" t="n"/>
      <c r="H358" s="44" t="n"/>
      <c r="I358" s="45">
        <f>IFERROR(F358/G358,"")</f>
        <v/>
      </c>
      <c r="J358" s="41" t="n"/>
    </row>
    <row r="359">
      <c r="A359" s="40" t="n"/>
      <c r="B359" s="41" t="n"/>
      <c r="C359" s="41" t="n"/>
      <c r="D359" s="40" t="n"/>
      <c r="E359" s="40" t="n"/>
      <c r="F359" s="42" t="n"/>
      <c r="G359" s="43" t="n"/>
      <c r="H359" s="44" t="n"/>
      <c r="I359" s="45">
        <f>IFERROR(F359/G359,"")</f>
        <v/>
      </c>
      <c r="J359" s="41" t="n"/>
    </row>
    <row r="360">
      <c r="A360" s="40" t="n"/>
      <c r="B360" s="41" t="n"/>
      <c r="C360" s="41" t="n"/>
      <c r="D360" s="40" t="n"/>
      <c r="E360" s="40" t="n"/>
      <c r="F360" s="42" t="n"/>
      <c r="G360" s="43" t="n"/>
      <c r="H360" s="44" t="n"/>
      <c r="I360" s="45">
        <f>IFERROR(F360/G360,"")</f>
        <v/>
      </c>
      <c r="J360" s="41" t="n"/>
    </row>
    <row r="361">
      <c r="A361" s="40" t="n"/>
      <c r="B361" s="41" t="n"/>
      <c r="C361" s="41" t="n"/>
      <c r="D361" s="40" t="n"/>
      <c r="E361" s="40" t="n"/>
      <c r="F361" s="42" t="n"/>
      <c r="G361" s="43" t="n"/>
      <c r="H361" s="44" t="n"/>
      <c r="I361" s="45">
        <f>IFERROR(F361/G361,"")</f>
        <v/>
      </c>
      <c r="J361" s="41" t="n"/>
    </row>
    <row r="362">
      <c r="A362" s="40" t="n"/>
      <c r="B362" s="41" t="n"/>
      <c r="C362" s="41" t="n"/>
      <c r="D362" s="40" t="n"/>
      <c r="E362" s="40" t="n"/>
      <c r="F362" s="42" t="n"/>
      <c r="G362" s="43" t="n"/>
      <c r="H362" s="44" t="n"/>
      <c r="I362" s="45">
        <f>IFERROR(F362/G362,"")</f>
        <v/>
      </c>
      <c r="J362" s="41" t="n"/>
    </row>
    <row r="363">
      <c r="A363" s="40" t="n"/>
      <c r="B363" s="41" t="n"/>
      <c r="C363" s="41" t="n"/>
      <c r="D363" s="40" t="n"/>
      <c r="E363" s="40" t="n"/>
      <c r="F363" s="42" t="n"/>
      <c r="G363" s="43" t="n"/>
      <c r="H363" s="44" t="n"/>
      <c r="I363" s="45">
        <f>IFERROR(F363/G363,"")</f>
        <v/>
      </c>
      <c r="J363" s="41" t="n"/>
    </row>
    <row r="364">
      <c r="A364" s="40" t="n"/>
      <c r="B364" s="41" t="n"/>
      <c r="C364" s="41" t="n"/>
      <c r="D364" s="40" t="n"/>
      <c r="E364" s="40" t="n"/>
      <c r="F364" s="42" t="n"/>
      <c r="G364" s="43" t="n"/>
      <c r="H364" s="44" t="n"/>
      <c r="I364" s="45">
        <f>IFERROR(F364/G364,"")</f>
        <v/>
      </c>
      <c r="J364" s="41" t="n"/>
    </row>
    <row r="365">
      <c r="A365" s="40" t="n"/>
      <c r="B365" s="41" t="n"/>
      <c r="C365" s="41" t="n"/>
      <c r="D365" s="40" t="n"/>
      <c r="E365" s="40" t="n"/>
      <c r="F365" s="42" t="n"/>
      <c r="G365" s="43" t="n"/>
      <c r="H365" s="44" t="n"/>
      <c r="I365" s="45">
        <f>IFERROR(F365/G365,"")</f>
        <v/>
      </c>
      <c r="J365" s="41" t="n"/>
    </row>
    <row r="366">
      <c r="A366" s="40" t="n"/>
      <c r="B366" s="41" t="n"/>
      <c r="C366" s="41" t="n"/>
      <c r="D366" s="40" t="n"/>
      <c r="E366" s="40" t="n"/>
      <c r="F366" s="42" t="n"/>
      <c r="G366" s="43" t="n"/>
      <c r="H366" s="44" t="n"/>
      <c r="I366" s="45">
        <f>IFERROR(F366/G366,"")</f>
        <v/>
      </c>
      <c r="J366" s="41" t="n"/>
    </row>
    <row r="367">
      <c r="A367" s="40" t="n"/>
      <c r="B367" s="41" t="n"/>
      <c r="C367" s="41" t="n"/>
      <c r="D367" s="40" t="n"/>
      <c r="E367" s="40" t="n"/>
      <c r="F367" s="42" t="n"/>
      <c r="G367" s="43" t="n"/>
      <c r="H367" s="44" t="n"/>
      <c r="I367" s="45">
        <f>IFERROR(F367/G367,"")</f>
        <v/>
      </c>
      <c r="J367" s="41" t="n"/>
    </row>
    <row r="368">
      <c r="A368" s="40" t="n"/>
      <c r="B368" s="41" t="n"/>
      <c r="C368" s="41" t="n"/>
      <c r="D368" s="40" t="n"/>
      <c r="E368" s="40" t="n"/>
      <c r="F368" s="42" t="n"/>
      <c r="G368" s="43" t="n"/>
      <c r="H368" s="44" t="n"/>
      <c r="I368" s="45">
        <f>IFERROR(F368/G368,"")</f>
        <v/>
      </c>
      <c r="J368" s="41" t="n"/>
    </row>
    <row r="369">
      <c r="A369" s="40" t="n"/>
      <c r="B369" s="41" t="n"/>
      <c r="C369" s="41" t="n"/>
      <c r="D369" s="40" t="n"/>
      <c r="E369" s="40" t="n"/>
      <c r="F369" s="42" t="n"/>
      <c r="G369" s="43" t="n"/>
      <c r="H369" s="44" t="n"/>
      <c r="I369" s="45">
        <f>IFERROR(F369/G369,"")</f>
        <v/>
      </c>
      <c r="J369" s="41" t="n"/>
    </row>
    <row r="370">
      <c r="A370" s="40" t="n"/>
      <c r="B370" s="41" t="n"/>
      <c r="C370" s="41" t="n"/>
      <c r="D370" s="40" t="n"/>
      <c r="E370" s="40" t="n"/>
      <c r="F370" s="42" t="n"/>
      <c r="G370" s="43" t="n"/>
      <c r="H370" s="44" t="n"/>
      <c r="I370" s="45">
        <f>IFERROR(F370/G370,"")</f>
        <v/>
      </c>
      <c r="J370" s="41" t="n"/>
    </row>
    <row r="371">
      <c r="A371" s="40" t="n"/>
      <c r="B371" s="41" t="n"/>
      <c r="C371" s="41" t="n"/>
      <c r="D371" s="40" t="n"/>
      <c r="E371" s="40" t="n"/>
      <c r="F371" s="42" t="n"/>
      <c r="G371" s="43" t="n"/>
      <c r="H371" s="44" t="n"/>
      <c r="I371" s="45">
        <f>IFERROR(F371/G371,"")</f>
        <v/>
      </c>
      <c r="J371" s="41" t="n"/>
    </row>
    <row r="372">
      <c r="A372" s="40" t="n"/>
      <c r="B372" s="41" t="n"/>
      <c r="C372" s="41" t="n"/>
      <c r="D372" s="40" t="n"/>
      <c r="E372" s="40" t="n"/>
      <c r="F372" s="42" t="n"/>
      <c r="G372" s="43" t="n"/>
      <c r="H372" s="44" t="n"/>
      <c r="I372" s="45">
        <f>IFERROR(F372/G372,"")</f>
        <v/>
      </c>
      <c r="J372" s="41" t="n"/>
    </row>
    <row r="373">
      <c r="A373" s="40" t="n"/>
      <c r="B373" s="41" t="n"/>
      <c r="C373" s="41" t="n"/>
      <c r="D373" s="40" t="n"/>
      <c r="E373" s="40" t="n"/>
      <c r="F373" s="42" t="n"/>
      <c r="G373" s="43" t="n"/>
      <c r="H373" s="44" t="n"/>
      <c r="I373" s="45">
        <f>IFERROR(F373/G373,"")</f>
        <v/>
      </c>
      <c r="J373" s="41" t="n"/>
    </row>
    <row r="374">
      <c r="A374" s="40" t="n"/>
      <c r="B374" s="41" t="n"/>
      <c r="C374" s="41" t="n"/>
      <c r="D374" s="40" t="n"/>
      <c r="E374" s="40" t="n"/>
      <c r="F374" s="42" t="n"/>
      <c r="G374" s="43" t="n"/>
      <c r="H374" s="44" t="n"/>
      <c r="I374" s="45">
        <f>IFERROR(F374/G374,"")</f>
        <v/>
      </c>
      <c r="J374" s="41" t="n"/>
    </row>
    <row r="375">
      <c r="A375" s="40" t="n"/>
      <c r="B375" s="41" t="n"/>
      <c r="C375" s="41" t="n"/>
      <c r="D375" s="40" t="n"/>
      <c r="E375" s="40" t="n"/>
      <c r="F375" s="42" t="n"/>
      <c r="G375" s="43" t="n"/>
      <c r="H375" s="44" t="n"/>
      <c r="I375" s="45">
        <f>IFERROR(F375/G375,"")</f>
        <v/>
      </c>
      <c r="J375" s="41" t="n"/>
    </row>
    <row r="376">
      <c r="A376" s="40" t="n"/>
      <c r="B376" s="41" t="n"/>
      <c r="C376" s="41" t="n"/>
      <c r="D376" s="40" t="n"/>
      <c r="E376" s="40" t="n"/>
      <c r="F376" s="42" t="n"/>
      <c r="G376" s="43" t="n"/>
      <c r="H376" s="44" t="n"/>
      <c r="I376" s="45">
        <f>IFERROR(F376/G376,"")</f>
        <v/>
      </c>
      <c r="J376" s="41" t="n"/>
    </row>
    <row r="377">
      <c r="A377" s="40" t="n"/>
      <c r="B377" s="41" t="n"/>
      <c r="C377" s="41" t="n"/>
      <c r="D377" s="40" t="n"/>
      <c r="E377" s="40" t="n"/>
      <c r="F377" s="42" t="n"/>
      <c r="G377" s="43" t="n"/>
      <c r="H377" s="44" t="n"/>
      <c r="I377" s="45">
        <f>IFERROR(F377/G377,"")</f>
        <v/>
      </c>
      <c r="J377" s="41" t="n"/>
    </row>
    <row r="378">
      <c r="A378" s="40" t="n"/>
      <c r="B378" s="41" t="n"/>
      <c r="C378" s="41" t="n"/>
      <c r="D378" s="40" t="n"/>
      <c r="E378" s="40" t="n"/>
      <c r="F378" s="42" t="n"/>
      <c r="G378" s="43" t="n"/>
      <c r="H378" s="44" t="n"/>
      <c r="I378" s="45">
        <f>IFERROR(F378/G378,"")</f>
        <v/>
      </c>
      <c r="J378" s="41" t="n"/>
    </row>
    <row r="379">
      <c r="A379" s="40" t="n"/>
      <c r="B379" s="41" t="n"/>
      <c r="C379" s="41" t="n"/>
      <c r="D379" s="40" t="n"/>
      <c r="E379" s="40" t="n"/>
      <c r="F379" s="42" t="n"/>
      <c r="G379" s="43" t="n"/>
      <c r="H379" s="44" t="n"/>
      <c r="I379" s="45">
        <f>IFERROR(F379/G379,"")</f>
        <v/>
      </c>
      <c r="J379" s="41" t="n"/>
    </row>
    <row r="380">
      <c r="A380" s="40" t="n"/>
      <c r="B380" s="41" t="n"/>
      <c r="C380" s="41" t="n"/>
      <c r="D380" s="40" t="n"/>
      <c r="E380" s="40" t="n"/>
      <c r="F380" s="42" t="n"/>
      <c r="G380" s="43" t="n"/>
      <c r="H380" s="44" t="n"/>
      <c r="I380" s="45">
        <f>IFERROR(F380/G380,"")</f>
        <v/>
      </c>
      <c r="J380" s="41" t="n"/>
    </row>
    <row r="381">
      <c r="A381" s="40" t="n"/>
      <c r="B381" s="41" t="n"/>
      <c r="C381" s="41" t="n"/>
      <c r="D381" s="40" t="n"/>
      <c r="E381" s="40" t="n"/>
      <c r="F381" s="42" t="n"/>
      <c r="G381" s="43" t="n"/>
      <c r="H381" s="44" t="n"/>
      <c r="I381" s="45">
        <f>IFERROR(F381/G381,"")</f>
        <v/>
      </c>
      <c r="J381" s="41" t="n"/>
    </row>
    <row r="382">
      <c r="A382" s="40" t="n"/>
      <c r="B382" s="41" t="n"/>
      <c r="C382" s="41" t="n"/>
      <c r="D382" s="40" t="n"/>
      <c r="E382" s="40" t="n"/>
      <c r="F382" s="42" t="n"/>
      <c r="G382" s="43" t="n"/>
      <c r="H382" s="44" t="n"/>
      <c r="I382" s="45">
        <f>IFERROR(F382/G382,"")</f>
        <v/>
      </c>
      <c r="J382" s="41" t="n"/>
    </row>
    <row r="383">
      <c r="A383" s="40" t="n"/>
      <c r="B383" s="41" t="n"/>
      <c r="C383" s="41" t="n"/>
      <c r="D383" s="40" t="n"/>
      <c r="E383" s="40" t="n"/>
      <c r="F383" s="42" t="n"/>
      <c r="G383" s="43" t="n"/>
      <c r="H383" s="44" t="n"/>
      <c r="I383" s="45">
        <f>IFERROR(F383/G383,"")</f>
        <v/>
      </c>
      <c r="J383" s="41" t="n"/>
    </row>
    <row r="384">
      <c r="A384" s="40" t="n"/>
      <c r="B384" s="41" t="n"/>
      <c r="C384" s="41" t="n"/>
      <c r="D384" s="40" t="n"/>
      <c r="E384" s="40" t="n"/>
      <c r="F384" s="42" t="n"/>
      <c r="G384" s="43" t="n"/>
      <c r="H384" s="44" t="n"/>
      <c r="I384" s="45">
        <f>IFERROR(F384/G384,"")</f>
        <v/>
      </c>
      <c r="J384" s="41" t="n"/>
    </row>
    <row r="385">
      <c r="A385" s="40" t="n"/>
      <c r="B385" s="41" t="n"/>
      <c r="C385" s="41" t="n"/>
      <c r="D385" s="40" t="n"/>
      <c r="E385" s="40" t="n"/>
      <c r="F385" s="42" t="n"/>
      <c r="G385" s="43" t="n"/>
      <c r="H385" s="44" t="n"/>
      <c r="I385" s="45">
        <f>IFERROR(F385/G385,"")</f>
        <v/>
      </c>
      <c r="J385" s="41" t="n"/>
    </row>
    <row r="386">
      <c r="A386" s="40" t="n"/>
      <c r="B386" s="41" t="n"/>
      <c r="C386" s="41" t="n"/>
      <c r="D386" s="40" t="n"/>
      <c r="E386" s="40" t="n"/>
      <c r="F386" s="42" t="n"/>
      <c r="G386" s="43" t="n"/>
      <c r="H386" s="44" t="n"/>
      <c r="I386" s="45">
        <f>IFERROR(F386/G386,"")</f>
        <v/>
      </c>
      <c r="J386" s="41" t="n"/>
    </row>
    <row r="387">
      <c r="A387" s="40" t="n"/>
      <c r="B387" s="41" t="n"/>
      <c r="C387" s="41" t="n"/>
      <c r="D387" s="40" t="n"/>
      <c r="E387" s="40" t="n"/>
      <c r="F387" s="42" t="n"/>
      <c r="G387" s="43" t="n"/>
      <c r="H387" s="44" t="n"/>
      <c r="I387" s="45">
        <f>IFERROR(F387/G387,"")</f>
        <v/>
      </c>
      <c r="J387" s="41" t="n"/>
    </row>
    <row r="388">
      <c r="A388" s="40" t="n"/>
      <c r="B388" s="41" t="n"/>
      <c r="C388" s="41" t="n"/>
      <c r="D388" s="40" t="n"/>
      <c r="E388" s="40" t="n"/>
      <c r="F388" s="42" t="n"/>
      <c r="G388" s="43" t="n"/>
      <c r="H388" s="44" t="n"/>
      <c r="I388" s="45">
        <f>IFERROR(F388/G388,"")</f>
        <v/>
      </c>
      <c r="J388" s="41" t="n"/>
    </row>
    <row r="389">
      <c r="A389" s="40" t="n"/>
      <c r="B389" s="41" t="n"/>
      <c r="C389" s="41" t="n"/>
      <c r="D389" s="40" t="n"/>
      <c r="E389" s="40" t="n"/>
      <c r="F389" s="42" t="n"/>
      <c r="G389" s="43" t="n"/>
      <c r="H389" s="44" t="n"/>
      <c r="I389" s="45">
        <f>IFERROR(F389/G389,"")</f>
        <v/>
      </c>
      <c r="J389" s="41" t="n"/>
    </row>
    <row r="390">
      <c r="A390" s="40" t="n"/>
      <c r="B390" s="41" t="n"/>
      <c r="C390" s="41" t="n"/>
      <c r="D390" s="40" t="n"/>
      <c r="E390" s="40" t="n"/>
      <c r="F390" s="42" t="n"/>
      <c r="G390" s="43" t="n"/>
      <c r="H390" s="44" t="n"/>
      <c r="I390" s="45">
        <f>IFERROR(F390/G390,"")</f>
        <v/>
      </c>
      <c r="J390" s="41" t="n"/>
    </row>
    <row r="391">
      <c r="A391" s="40" t="n"/>
      <c r="B391" s="41" t="n"/>
      <c r="C391" s="41" t="n"/>
      <c r="D391" s="40" t="n"/>
      <c r="E391" s="40" t="n"/>
      <c r="F391" s="42" t="n"/>
      <c r="G391" s="43" t="n"/>
      <c r="H391" s="44" t="n"/>
      <c r="I391" s="45">
        <f>IFERROR(F391/G391,"")</f>
        <v/>
      </c>
      <c r="J391" s="41" t="n"/>
    </row>
    <row r="392">
      <c r="A392" s="40" t="n"/>
      <c r="B392" s="41" t="n"/>
      <c r="C392" s="41" t="n"/>
      <c r="D392" s="40" t="n"/>
      <c r="E392" s="40" t="n"/>
      <c r="F392" s="42" t="n"/>
      <c r="G392" s="43" t="n"/>
      <c r="H392" s="44" t="n"/>
      <c r="I392" s="45">
        <f>IFERROR(F392/G392,"")</f>
        <v/>
      </c>
      <c r="J392" s="41" t="n"/>
    </row>
    <row r="393">
      <c r="A393" s="40" t="n"/>
      <c r="B393" s="41" t="n"/>
      <c r="C393" s="41" t="n"/>
      <c r="D393" s="40" t="n"/>
      <c r="E393" s="40" t="n"/>
      <c r="F393" s="42" t="n"/>
      <c r="G393" s="43" t="n"/>
      <c r="H393" s="44" t="n"/>
      <c r="I393" s="45">
        <f>IFERROR(F393/G393,"")</f>
        <v/>
      </c>
      <c r="J393" s="41" t="n"/>
    </row>
    <row r="394">
      <c r="A394" s="40" t="n"/>
      <c r="B394" s="41" t="n"/>
      <c r="C394" s="41" t="n"/>
      <c r="D394" s="40" t="n"/>
      <c r="E394" s="40" t="n"/>
      <c r="F394" s="42" t="n"/>
      <c r="G394" s="43" t="n"/>
      <c r="H394" s="44" t="n"/>
      <c r="I394" s="45">
        <f>IFERROR(F394/G394,"")</f>
        <v/>
      </c>
      <c r="J394" s="41" t="n"/>
    </row>
    <row r="395">
      <c r="A395" s="40" t="n"/>
      <c r="B395" s="41" t="n"/>
      <c r="C395" s="41" t="n"/>
      <c r="D395" s="40" t="n"/>
      <c r="E395" s="40" t="n"/>
      <c r="F395" s="42" t="n"/>
      <c r="G395" s="43" t="n"/>
      <c r="H395" s="44" t="n"/>
      <c r="I395" s="45">
        <f>IFERROR(F395/G395,"")</f>
        <v/>
      </c>
      <c r="J395" s="41" t="n"/>
    </row>
    <row r="396">
      <c r="A396" s="40" t="n"/>
      <c r="B396" s="41" t="n"/>
      <c r="C396" s="41" t="n"/>
      <c r="D396" s="40" t="n"/>
      <c r="E396" s="40" t="n"/>
      <c r="F396" s="42" t="n"/>
      <c r="G396" s="43" t="n"/>
      <c r="H396" s="44" t="n"/>
      <c r="I396" s="45">
        <f>IFERROR(F396/G396,"")</f>
        <v/>
      </c>
      <c r="J396" s="41" t="n"/>
    </row>
    <row r="397">
      <c r="A397" s="40" t="n"/>
      <c r="B397" s="41" t="n"/>
      <c r="C397" s="41" t="n"/>
      <c r="D397" s="40" t="n"/>
      <c r="E397" s="40" t="n"/>
      <c r="F397" s="42" t="n"/>
      <c r="G397" s="43" t="n"/>
      <c r="H397" s="44" t="n"/>
      <c r="I397" s="45">
        <f>IFERROR(F397/G397,"")</f>
        <v/>
      </c>
      <c r="J397" s="41" t="n"/>
    </row>
    <row r="398">
      <c r="A398" s="40" t="n"/>
      <c r="B398" s="41" t="n"/>
      <c r="C398" s="41" t="n"/>
      <c r="D398" s="40" t="n"/>
      <c r="E398" s="40" t="n"/>
      <c r="F398" s="42" t="n"/>
      <c r="G398" s="43" t="n"/>
      <c r="H398" s="44" t="n"/>
      <c r="I398" s="45">
        <f>IFERROR(F398/G398,"")</f>
        <v/>
      </c>
      <c r="J398" s="41" t="n"/>
    </row>
    <row r="399">
      <c r="A399" s="40" t="n"/>
      <c r="B399" s="41" t="n"/>
      <c r="C399" s="41" t="n"/>
      <c r="D399" s="40" t="n"/>
      <c r="E399" s="40" t="n"/>
      <c r="F399" s="42" t="n"/>
      <c r="G399" s="43" t="n"/>
      <c r="H399" s="44" t="n"/>
      <c r="I399" s="45">
        <f>IFERROR(F399/G399,"")</f>
        <v/>
      </c>
      <c r="J399" s="41" t="n"/>
    </row>
    <row r="400">
      <c r="A400" s="40" t="n"/>
      <c r="B400" s="41" t="n"/>
      <c r="C400" s="41" t="n"/>
      <c r="D400" s="40" t="n"/>
      <c r="E400" s="40" t="n"/>
      <c r="F400" s="42" t="n"/>
      <c r="G400" s="43" t="n"/>
      <c r="H400" s="44" t="n"/>
      <c r="I400" s="45">
        <f>IFERROR(F400/G400,"")</f>
        <v/>
      </c>
      <c r="J400" s="41" t="n"/>
    </row>
    <row r="401">
      <c r="A401" s="40" t="n"/>
      <c r="B401" s="41" t="n"/>
      <c r="C401" s="41" t="n"/>
      <c r="D401" s="40" t="n"/>
      <c r="E401" s="40" t="n"/>
      <c r="F401" s="42" t="n"/>
      <c r="G401" s="43" t="n"/>
      <c r="H401" s="44" t="n"/>
      <c r="I401" s="45">
        <f>IFERROR(F401/G401,"")</f>
        <v/>
      </c>
      <c r="J401" s="41" t="n"/>
    </row>
    <row r="402">
      <c r="A402" s="40" t="n"/>
      <c r="B402" s="41" t="n"/>
      <c r="C402" s="41" t="n"/>
      <c r="D402" s="40" t="n"/>
      <c r="E402" s="40" t="n"/>
      <c r="F402" s="42" t="n"/>
      <c r="G402" s="43" t="n"/>
      <c r="H402" s="44" t="n"/>
      <c r="I402" s="45">
        <f>IFERROR(F402/G402,"")</f>
        <v/>
      </c>
      <c r="J402" s="41" t="n"/>
    </row>
    <row r="403">
      <c r="A403" s="40" t="n"/>
      <c r="B403" s="41" t="n"/>
      <c r="C403" s="41" t="n"/>
      <c r="D403" s="40" t="n"/>
      <c r="E403" s="40" t="n"/>
      <c r="F403" s="42" t="n"/>
      <c r="G403" s="43" t="n"/>
      <c r="H403" s="44" t="n"/>
      <c r="I403" s="45">
        <f>IFERROR(F403/G403,"")</f>
        <v/>
      </c>
      <c r="J403" s="41" t="n"/>
    </row>
    <row r="404">
      <c r="A404" s="40" t="n"/>
      <c r="B404" s="41" t="n"/>
      <c r="C404" s="41" t="n"/>
      <c r="D404" s="40" t="n"/>
      <c r="E404" s="40" t="n"/>
      <c r="F404" s="42" t="n"/>
      <c r="G404" s="43" t="n"/>
      <c r="H404" s="44" t="n"/>
      <c r="I404" s="45">
        <f>IFERROR(F404/G404,"")</f>
        <v/>
      </c>
      <c r="J404" s="41" t="n"/>
    </row>
    <row r="405">
      <c r="A405" s="40" t="n"/>
      <c r="B405" s="41" t="n"/>
      <c r="C405" s="41" t="n"/>
      <c r="D405" s="40" t="n"/>
      <c r="E405" s="40" t="n"/>
      <c r="F405" s="42" t="n"/>
      <c r="G405" s="43" t="n"/>
      <c r="H405" s="44" t="n"/>
      <c r="I405" s="45">
        <f>IFERROR(F405/G405,"")</f>
        <v/>
      </c>
      <c r="J405" s="41" t="n"/>
    </row>
    <row r="406">
      <c r="A406" s="40" t="n"/>
      <c r="B406" s="41" t="n"/>
      <c r="C406" s="41" t="n"/>
      <c r="D406" s="40" t="n"/>
      <c r="E406" s="40" t="n"/>
      <c r="F406" s="42" t="n"/>
      <c r="G406" s="43" t="n"/>
      <c r="H406" s="44" t="n"/>
      <c r="I406" s="45">
        <f>IFERROR(F406/G406,"")</f>
        <v/>
      </c>
      <c r="J406" s="41" t="n"/>
    </row>
    <row r="407">
      <c r="A407" s="40" t="n"/>
      <c r="B407" s="41" t="n"/>
      <c r="C407" s="41" t="n"/>
      <c r="D407" s="40" t="n"/>
      <c r="E407" s="40" t="n"/>
      <c r="F407" s="42" t="n"/>
      <c r="G407" s="43" t="n"/>
      <c r="H407" s="44" t="n"/>
      <c r="I407" s="45">
        <f>IFERROR(F407/G407,"")</f>
        <v/>
      </c>
      <c r="J407" s="41" t="n"/>
    </row>
    <row r="408">
      <c r="A408" s="40" t="n"/>
      <c r="B408" s="41" t="n"/>
      <c r="C408" s="41" t="n"/>
      <c r="D408" s="40" t="n"/>
      <c r="E408" s="40" t="n"/>
      <c r="F408" s="42" t="n"/>
      <c r="G408" s="43" t="n"/>
      <c r="H408" s="44" t="n"/>
      <c r="I408" s="45">
        <f>IFERROR(F408/G408,"")</f>
        <v/>
      </c>
      <c r="J408" s="41" t="n"/>
    </row>
    <row r="409">
      <c r="A409" s="40" t="n"/>
      <c r="B409" s="41" t="n"/>
      <c r="C409" s="41" t="n"/>
      <c r="D409" s="40" t="n"/>
      <c r="E409" s="40" t="n"/>
      <c r="F409" s="42" t="n"/>
      <c r="G409" s="43" t="n"/>
      <c r="H409" s="44" t="n"/>
      <c r="I409" s="45">
        <f>IFERROR(F409/G409,"")</f>
        <v/>
      </c>
      <c r="J409" s="41" t="n"/>
    </row>
    <row r="410">
      <c r="A410" s="40" t="n"/>
      <c r="B410" s="41" t="n"/>
      <c r="C410" s="41" t="n"/>
      <c r="D410" s="40" t="n"/>
      <c r="E410" s="40" t="n"/>
      <c r="F410" s="42" t="n"/>
      <c r="G410" s="43" t="n"/>
      <c r="H410" s="44" t="n"/>
      <c r="I410" s="45">
        <f>IFERROR(F410/G410,"")</f>
        <v/>
      </c>
      <c r="J410" s="41" t="n"/>
    </row>
    <row r="411">
      <c r="A411" s="40" t="n"/>
      <c r="B411" s="41" t="n"/>
      <c r="C411" s="41" t="n"/>
      <c r="D411" s="40" t="n"/>
      <c r="E411" s="40" t="n"/>
      <c r="F411" s="42" t="n"/>
      <c r="G411" s="43" t="n"/>
      <c r="H411" s="44" t="n"/>
      <c r="I411" s="45">
        <f>IFERROR(F411/G411,"")</f>
        <v/>
      </c>
      <c r="J411" s="41" t="n"/>
    </row>
    <row r="412">
      <c r="A412" s="40" t="n"/>
      <c r="B412" s="41" t="n"/>
      <c r="C412" s="41" t="n"/>
      <c r="D412" s="40" t="n"/>
      <c r="E412" s="40" t="n"/>
      <c r="F412" s="42" t="n"/>
      <c r="G412" s="43" t="n"/>
      <c r="H412" s="44" t="n"/>
      <c r="I412" s="45">
        <f>IFERROR(F412/G412,"")</f>
        <v/>
      </c>
      <c r="J412" s="41" t="n"/>
    </row>
    <row r="413">
      <c r="A413" s="40" t="n"/>
      <c r="B413" s="41" t="n"/>
      <c r="C413" s="41" t="n"/>
      <c r="D413" s="40" t="n"/>
      <c r="E413" s="40" t="n"/>
      <c r="F413" s="42" t="n"/>
      <c r="G413" s="43" t="n"/>
      <c r="H413" s="44" t="n"/>
      <c r="I413" s="45">
        <f>IFERROR(F413/G413,"")</f>
        <v/>
      </c>
      <c r="J413" s="41" t="n"/>
    </row>
    <row r="414">
      <c r="A414" s="40" t="n"/>
      <c r="B414" s="41" t="n"/>
      <c r="C414" s="41" t="n"/>
      <c r="D414" s="40" t="n"/>
      <c r="E414" s="40" t="n"/>
      <c r="F414" s="42" t="n"/>
      <c r="G414" s="43" t="n"/>
      <c r="H414" s="44" t="n"/>
      <c r="I414" s="45">
        <f>IFERROR(F414/G414,"")</f>
        <v/>
      </c>
      <c r="J414" s="41" t="n"/>
    </row>
    <row r="415">
      <c r="A415" s="40" t="n"/>
      <c r="B415" s="41" t="n"/>
      <c r="C415" s="41" t="n"/>
      <c r="D415" s="40" t="n"/>
      <c r="E415" s="40" t="n"/>
      <c r="F415" s="42" t="n"/>
      <c r="G415" s="43" t="n"/>
      <c r="H415" s="44" t="n"/>
      <c r="I415" s="45">
        <f>IFERROR(F415/G415,"")</f>
        <v/>
      </c>
      <c r="J415" s="41" t="n"/>
    </row>
    <row r="416">
      <c r="A416" s="40" t="n"/>
      <c r="B416" s="41" t="n"/>
      <c r="C416" s="41" t="n"/>
      <c r="D416" s="40" t="n"/>
      <c r="E416" s="40" t="n"/>
      <c r="F416" s="42" t="n"/>
      <c r="G416" s="43" t="n"/>
      <c r="H416" s="44" t="n"/>
      <c r="I416" s="45">
        <f>IFERROR(F416/G416,"")</f>
        <v/>
      </c>
      <c r="J416" s="41" t="n"/>
    </row>
    <row r="417">
      <c r="A417" s="40" t="n"/>
      <c r="B417" s="41" t="n"/>
      <c r="C417" s="41" t="n"/>
      <c r="D417" s="40" t="n"/>
      <c r="E417" s="40" t="n"/>
      <c r="F417" s="42" t="n"/>
      <c r="G417" s="43" t="n"/>
      <c r="H417" s="44" t="n"/>
      <c r="I417" s="45">
        <f>IFERROR(F417/G417,"")</f>
        <v/>
      </c>
      <c r="J417" s="41" t="n"/>
    </row>
    <row r="418">
      <c r="A418" s="40" t="n"/>
      <c r="B418" s="41" t="n"/>
      <c r="C418" s="41" t="n"/>
      <c r="D418" s="40" t="n"/>
      <c r="E418" s="40" t="n"/>
      <c r="F418" s="42" t="n"/>
      <c r="G418" s="43" t="n"/>
      <c r="H418" s="44" t="n"/>
      <c r="I418" s="45">
        <f>IFERROR(F418/G418,"")</f>
        <v/>
      </c>
      <c r="J418" s="41" t="n"/>
    </row>
    <row r="419">
      <c r="A419" s="40" t="n"/>
      <c r="B419" s="41" t="n"/>
      <c r="C419" s="41" t="n"/>
      <c r="D419" s="40" t="n"/>
      <c r="E419" s="40" t="n"/>
      <c r="F419" s="42" t="n"/>
      <c r="G419" s="43" t="n"/>
      <c r="H419" s="44" t="n"/>
      <c r="I419" s="45">
        <f>IFERROR(F419/G419,"")</f>
        <v/>
      </c>
      <c r="J419" s="41" t="n"/>
    </row>
    <row r="420">
      <c r="A420" s="40" t="n"/>
      <c r="B420" s="41" t="n"/>
      <c r="C420" s="41" t="n"/>
      <c r="D420" s="40" t="n"/>
      <c r="E420" s="40" t="n"/>
      <c r="F420" s="42" t="n"/>
      <c r="G420" s="43" t="n"/>
      <c r="H420" s="44" t="n"/>
      <c r="I420" s="45">
        <f>IFERROR(F420/G420,"")</f>
        <v/>
      </c>
      <c r="J420" s="41" t="n"/>
    </row>
    <row r="421">
      <c r="A421" s="40" t="n"/>
      <c r="B421" s="41" t="n"/>
      <c r="C421" s="41" t="n"/>
      <c r="D421" s="40" t="n"/>
      <c r="E421" s="40" t="n"/>
      <c r="F421" s="42" t="n"/>
      <c r="G421" s="43" t="n"/>
      <c r="H421" s="44" t="n"/>
      <c r="I421" s="45">
        <f>IFERROR(F421/G421,"")</f>
        <v/>
      </c>
      <c r="J421" s="41" t="n"/>
    </row>
    <row r="422">
      <c r="A422" s="40" t="n"/>
      <c r="B422" s="41" t="n"/>
      <c r="C422" s="41" t="n"/>
      <c r="D422" s="40" t="n"/>
      <c r="E422" s="40" t="n"/>
      <c r="F422" s="42" t="n"/>
      <c r="G422" s="43" t="n"/>
      <c r="H422" s="44" t="n"/>
      <c r="I422" s="45">
        <f>IFERROR(F422/G422,"")</f>
        <v/>
      </c>
      <c r="J422" s="41" t="n"/>
    </row>
    <row r="423">
      <c r="A423" s="40" t="n"/>
      <c r="B423" s="41" t="n"/>
      <c r="C423" s="41" t="n"/>
      <c r="D423" s="40" t="n"/>
      <c r="E423" s="40" t="n"/>
      <c r="F423" s="42" t="n"/>
      <c r="G423" s="43" t="n"/>
      <c r="H423" s="44" t="n"/>
      <c r="I423" s="45">
        <f>IFERROR(F423/G423,"")</f>
        <v/>
      </c>
      <c r="J423" s="41" t="n"/>
    </row>
    <row r="424">
      <c r="A424" s="40" t="n"/>
      <c r="B424" s="41" t="n"/>
      <c r="C424" s="41" t="n"/>
      <c r="D424" s="40" t="n"/>
      <c r="E424" s="40" t="n"/>
      <c r="F424" s="42" t="n"/>
      <c r="G424" s="43" t="n"/>
      <c r="H424" s="44" t="n"/>
      <c r="I424" s="45">
        <f>IFERROR(F424/G424,"")</f>
        <v/>
      </c>
      <c r="J424" s="41" t="n"/>
    </row>
    <row r="425">
      <c r="A425" s="40" t="n"/>
      <c r="B425" s="41" t="n"/>
      <c r="C425" s="41" t="n"/>
      <c r="D425" s="40" t="n"/>
      <c r="E425" s="40" t="n"/>
      <c r="F425" s="42" t="n"/>
      <c r="G425" s="43" t="n"/>
      <c r="H425" s="44" t="n"/>
      <c r="I425" s="45">
        <f>IFERROR(F425/G425,"")</f>
        <v/>
      </c>
      <c r="J425" s="41" t="n"/>
    </row>
    <row r="426">
      <c r="A426" s="40" t="n"/>
      <c r="B426" s="41" t="n"/>
      <c r="C426" s="41" t="n"/>
      <c r="D426" s="40" t="n"/>
      <c r="E426" s="40" t="n"/>
      <c r="F426" s="42" t="n"/>
      <c r="G426" s="43" t="n"/>
      <c r="H426" s="44" t="n"/>
      <c r="I426" s="45">
        <f>IFERROR(F426/G426,"")</f>
        <v/>
      </c>
      <c r="J426" s="41" t="n"/>
    </row>
    <row r="427">
      <c r="A427" s="40" t="n"/>
      <c r="B427" s="41" t="n"/>
      <c r="C427" s="41" t="n"/>
      <c r="D427" s="40" t="n"/>
      <c r="E427" s="40" t="n"/>
      <c r="F427" s="42" t="n"/>
      <c r="G427" s="43" t="n"/>
      <c r="H427" s="44" t="n"/>
      <c r="I427" s="45">
        <f>IFERROR(F427/G427,"")</f>
        <v/>
      </c>
      <c r="J427" s="41" t="n"/>
    </row>
    <row r="428">
      <c r="A428" s="40" t="n"/>
      <c r="B428" s="41" t="n"/>
      <c r="C428" s="41" t="n"/>
      <c r="D428" s="40" t="n"/>
      <c r="E428" s="40" t="n"/>
      <c r="F428" s="42" t="n"/>
      <c r="G428" s="43" t="n"/>
      <c r="H428" s="44" t="n"/>
      <c r="I428" s="45">
        <f>IFERROR(F428/G428,"")</f>
        <v/>
      </c>
      <c r="J428" s="41" t="n"/>
    </row>
    <row r="429">
      <c r="A429" s="40" t="n"/>
      <c r="B429" s="41" t="n"/>
      <c r="C429" s="41" t="n"/>
      <c r="D429" s="40" t="n"/>
      <c r="E429" s="40" t="n"/>
      <c r="F429" s="42" t="n"/>
      <c r="G429" s="43" t="n"/>
      <c r="H429" s="44" t="n"/>
      <c r="I429" s="45">
        <f>IFERROR(F429/G429,"")</f>
        <v/>
      </c>
      <c r="J429" s="41" t="n"/>
    </row>
    <row r="430">
      <c r="A430" s="40" t="n"/>
      <c r="B430" s="41" t="n"/>
      <c r="C430" s="41" t="n"/>
      <c r="D430" s="40" t="n"/>
      <c r="E430" s="40" t="n"/>
      <c r="F430" s="42" t="n"/>
      <c r="G430" s="43" t="n"/>
      <c r="H430" s="44" t="n"/>
      <c r="I430" s="45">
        <f>IFERROR(F430/G430,"")</f>
        <v/>
      </c>
      <c r="J430" s="41" t="n"/>
    </row>
    <row r="431">
      <c r="A431" s="40" t="n"/>
      <c r="B431" s="41" t="n"/>
      <c r="C431" s="41" t="n"/>
      <c r="D431" s="40" t="n"/>
      <c r="E431" s="40" t="n"/>
      <c r="F431" s="42" t="n"/>
      <c r="G431" s="43" t="n"/>
      <c r="H431" s="44" t="n"/>
      <c r="I431" s="45">
        <f>IFERROR(F431/G431,"")</f>
        <v/>
      </c>
      <c r="J431" s="41" t="n"/>
    </row>
    <row r="432">
      <c r="A432" s="40" t="n"/>
      <c r="B432" s="41" t="n"/>
      <c r="C432" s="41" t="n"/>
      <c r="D432" s="40" t="n"/>
      <c r="E432" s="40" t="n"/>
      <c r="F432" s="42" t="n"/>
      <c r="G432" s="43" t="n"/>
      <c r="H432" s="44" t="n"/>
      <c r="I432" s="45">
        <f>IFERROR(F432/G432,"")</f>
        <v/>
      </c>
      <c r="J432" s="41" t="n"/>
    </row>
    <row r="433">
      <c r="A433" s="40" t="n"/>
      <c r="B433" s="41" t="n"/>
      <c r="C433" s="41" t="n"/>
      <c r="D433" s="40" t="n"/>
      <c r="E433" s="40" t="n"/>
      <c r="F433" s="42" t="n"/>
      <c r="G433" s="43" t="n"/>
      <c r="H433" s="44" t="n"/>
      <c r="I433" s="45">
        <f>IFERROR(F433/G433,"")</f>
        <v/>
      </c>
      <c r="J433" s="41" t="n"/>
    </row>
    <row r="434">
      <c r="A434" s="40" t="n"/>
      <c r="B434" s="41" t="n"/>
      <c r="C434" s="41" t="n"/>
      <c r="D434" s="40" t="n"/>
      <c r="E434" s="40" t="n"/>
      <c r="F434" s="42" t="n"/>
      <c r="G434" s="43" t="n"/>
      <c r="H434" s="44" t="n"/>
      <c r="I434" s="45">
        <f>IFERROR(F434/G434,"")</f>
        <v/>
      </c>
      <c r="J434" s="41" t="n"/>
    </row>
    <row r="435">
      <c r="A435" s="40" t="n"/>
      <c r="B435" s="41" t="n"/>
      <c r="C435" s="41" t="n"/>
      <c r="D435" s="40" t="n"/>
      <c r="E435" s="40" t="n"/>
      <c r="F435" s="42" t="n"/>
      <c r="G435" s="43" t="n"/>
      <c r="H435" s="44" t="n"/>
      <c r="I435" s="45">
        <f>IFERROR(F435/G435,"")</f>
        <v/>
      </c>
      <c r="J435" s="41" t="n"/>
    </row>
    <row r="436">
      <c r="A436" s="40" t="n"/>
      <c r="B436" s="41" t="n"/>
      <c r="C436" s="41" t="n"/>
      <c r="D436" s="40" t="n"/>
      <c r="E436" s="40" t="n"/>
      <c r="F436" s="42" t="n"/>
      <c r="G436" s="43" t="n"/>
      <c r="H436" s="44" t="n"/>
      <c r="I436" s="45">
        <f>IFERROR(F436/G436,"")</f>
        <v/>
      </c>
      <c r="J436" s="41" t="n"/>
    </row>
    <row r="437">
      <c r="A437" s="40" t="n"/>
      <c r="B437" s="41" t="n"/>
      <c r="C437" s="41" t="n"/>
      <c r="D437" s="40" t="n"/>
      <c r="E437" s="40" t="n"/>
      <c r="F437" s="42" t="n"/>
      <c r="G437" s="43" t="n"/>
      <c r="H437" s="44" t="n"/>
      <c r="I437" s="45">
        <f>IFERROR(F437/G437,"")</f>
        <v/>
      </c>
      <c r="J437" s="41" t="n"/>
    </row>
    <row r="438">
      <c r="A438" s="40" t="n"/>
      <c r="B438" s="41" t="n"/>
      <c r="C438" s="41" t="n"/>
      <c r="D438" s="40" t="n"/>
      <c r="E438" s="40" t="n"/>
      <c r="F438" s="42" t="n"/>
      <c r="G438" s="43" t="n"/>
      <c r="H438" s="44" t="n"/>
      <c r="I438" s="45">
        <f>IFERROR(F438/G438,"")</f>
        <v/>
      </c>
      <c r="J438" s="41" t="n"/>
    </row>
    <row r="439">
      <c r="A439" s="40" t="n"/>
      <c r="B439" s="41" t="n"/>
      <c r="C439" s="41" t="n"/>
      <c r="D439" s="40" t="n"/>
      <c r="E439" s="40" t="n"/>
      <c r="F439" s="42" t="n"/>
      <c r="G439" s="43" t="n"/>
      <c r="H439" s="44" t="n"/>
      <c r="I439" s="45">
        <f>IFERROR(F439/G439,"")</f>
        <v/>
      </c>
      <c r="J439" s="41" t="n"/>
    </row>
    <row r="440">
      <c r="A440" s="40" t="n"/>
      <c r="B440" s="41" t="n"/>
      <c r="C440" s="41" t="n"/>
      <c r="D440" s="40" t="n"/>
      <c r="E440" s="40" t="n"/>
      <c r="F440" s="42" t="n"/>
      <c r="G440" s="43" t="n"/>
      <c r="H440" s="44" t="n"/>
      <c r="I440" s="45">
        <f>IFERROR(F440/G440,"")</f>
        <v/>
      </c>
      <c r="J440" s="41" t="n"/>
    </row>
    <row r="441">
      <c r="A441" s="40" t="n"/>
      <c r="B441" s="41" t="n"/>
      <c r="C441" s="41" t="n"/>
      <c r="D441" s="40" t="n"/>
      <c r="E441" s="40" t="n"/>
      <c r="F441" s="42" t="n"/>
      <c r="G441" s="43" t="n"/>
      <c r="H441" s="44" t="n"/>
      <c r="I441" s="45">
        <f>IFERROR(F441/G441,"")</f>
        <v/>
      </c>
      <c r="J441" s="41" t="n"/>
    </row>
    <row r="442">
      <c r="A442" s="40" t="n"/>
      <c r="B442" s="41" t="n"/>
      <c r="C442" s="41" t="n"/>
      <c r="D442" s="40" t="n"/>
      <c r="E442" s="40" t="n"/>
      <c r="F442" s="42" t="n"/>
      <c r="G442" s="43" t="n"/>
      <c r="H442" s="44" t="n"/>
      <c r="I442" s="45">
        <f>IFERROR(F442/G442,"")</f>
        <v/>
      </c>
      <c r="J442" s="41" t="n"/>
    </row>
    <row r="443">
      <c r="A443" s="40" t="n"/>
      <c r="B443" s="41" t="n"/>
      <c r="C443" s="41" t="n"/>
      <c r="D443" s="40" t="n"/>
      <c r="E443" s="40" t="n"/>
      <c r="F443" s="42" t="n"/>
      <c r="G443" s="43" t="n"/>
      <c r="H443" s="44" t="n"/>
      <c r="I443" s="45">
        <f>IFERROR(F443/G443,"")</f>
        <v/>
      </c>
      <c r="J443" s="41" t="n"/>
    </row>
    <row r="444">
      <c r="A444" s="40" t="n"/>
      <c r="B444" s="41" t="n"/>
      <c r="C444" s="41" t="n"/>
      <c r="D444" s="40" t="n"/>
      <c r="E444" s="40" t="n"/>
      <c r="F444" s="42" t="n"/>
      <c r="G444" s="43" t="n"/>
      <c r="H444" s="44" t="n"/>
      <c r="I444" s="45">
        <f>IFERROR(F444/G444,"")</f>
        <v/>
      </c>
      <c r="J444" s="41" t="n"/>
    </row>
    <row r="445">
      <c r="A445" s="40" t="n"/>
      <c r="B445" s="41" t="n"/>
      <c r="C445" s="41" t="n"/>
      <c r="D445" s="40" t="n"/>
      <c r="E445" s="40" t="n"/>
      <c r="F445" s="42" t="n"/>
      <c r="G445" s="43" t="n"/>
      <c r="H445" s="44" t="n"/>
      <c r="I445" s="45">
        <f>IFERROR(F445/G445,"")</f>
        <v/>
      </c>
      <c r="J445" s="41" t="n"/>
    </row>
    <row r="446">
      <c r="A446" s="40" t="n"/>
      <c r="B446" s="41" t="n"/>
      <c r="C446" s="41" t="n"/>
      <c r="D446" s="40" t="n"/>
      <c r="E446" s="40" t="n"/>
      <c r="F446" s="42" t="n"/>
      <c r="G446" s="43" t="n"/>
      <c r="H446" s="44" t="n"/>
      <c r="I446" s="45">
        <f>IFERROR(F446/G446,"")</f>
        <v/>
      </c>
      <c r="J446" s="41" t="n"/>
    </row>
    <row r="447">
      <c r="A447" s="40" t="n"/>
      <c r="B447" s="41" t="n"/>
      <c r="C447" s="41" t="n"/>
      <c r="D447" s="40" t="n"/>
      <c r="E447" s="40" t="n"/>
      <c r="F447" s="42" t="n"/>
      <c r="G447" s="43" t="n"/>
      <c r="H447" s="44" t="n"/>
      <c r="I447" s="45">
        <f>IFERROR(F447/G447,"")</f>
        <v/>
      </c>
      <c r="J447" s="41" t="n"/>
    </row>
    <row r="448">
      <c r="A448" s="40" t="n"/>
      <c r="B448" s="41" t="n"/>
      <c r="C448" s="41" t="n"/>
      <c r="D448" s="40" t="n"/>
      <c r="E448" s="40" t="n"/>
      <c r="F448" s="42" t="n"/>
      <c r="G448" s="43" t="n"/>
      <c r="H448" s="44" t="n"/>
      <c r="I448" s="45">
        <f>IFERROR(F448/G448,"")</f>
        <v/>
      </c>
      <c r="J448" s="41" t="n"/>
    </row>
    <row r="449">
      <c r="A449" s="40" t="n"/>
      <c r="B449" s="41" t="n"/>
      <c r="C449" s="41" t="n"/>
      <c r="D449" s="40" t="n"/>
      <c r="E449" s="40" t="n"/>
      <c r="F449" s="42" t="n"/>
      <c r="G449" s="43" t="n"/>
      <c r="H449" s="44" t="n"/>
      <c r="I449" s="45">
        <f>IFERROR(F449/G449,"")</f>
        <v/>
      </c>
      <c r="J449" s="41" t="n"/>
    </row>
    <row r="450">
      <c r="A450" s="40" t="n"/>
      <c r="B450" s="41" t="n"/>
      <c r="C450" s="41" t="n"/>
      <c r="D450" s="40" t="n"/>
      <c r="E450" s="40" t="n"/>
      <c r="F450" s="42" t="n"/>
      <c r="G450" s="43" t="n"/>
      <c r="H450" s="44" t="n"/>
      <c r="I450" s="45">
        <f>IFERROR(F450/G450,"")</f>
        <v/>
      </c>
      <c r="J450" s="41" t="n"/>
    </row>
    <row r="451">
      <c r="A451" s="40" t="n"/>
      <c r="B451" s="41" t="n"/>
      <c r="C451" s="41" t="n"/>
      <c r="D451" s="40" t="n"/>
      <c r="E451" s="40" t="n"/>
      <c r="F451" s="42" t="n"/>
      <c r="G451" s="43" t="n"/>
      <c r="H451" s="44" t="n"/>
      <c r="I451" s="45">
        <f>IFERROR(F451/G451,"")</f>
        <v/>
      </c>
      <c r="J451" s="41" t="n"/>
    </row>
    <row r="452">
      <c r="A452" s="40" t="n"/>
      <c r="B452" s="41" t="n"/>
      <c r="C452" s="41" t="n"/>
      <c r="D452" s="40" t="n"/>
      <c r="E452" s="40" t="n"/>
      <c r="F452" s="42" t="n"/>
      <c r="G452" s="43" t="n"/>
      <c r="H452" s="44" t="n"/>
      <c r="I452" s="45">
        <f>IFERROR(F452/G452,"")</f>
        <v/>
      </c>
      <c r="J452" s="41" t="n"/>
    </row>
    <row r="453">
      <c r="A453" s="40" t="n"/>
      <c r="B453" s="41" t="n"/>
      <c r="C453" s="41" t="n"/>
      <c r="D453" s="40" t="n"/>
      <c r="E453" s="40" t="n"/>
      <c r="F453" s="42" t="n"/>
      <c r="G453" s="43" t="n"/>
      <c r="H453" s="44" t="n"/>
      <c r="I453" s="45">
        <f>IFERROR(F453/G453,"")</f>
        <v/>
      </c>
      <c r="J453" s="41" t="n"/>
    </row>
    <row r="454">
      <c r="A454" s="40" t="n"/>
      <c r="B454" s="41" t="n"/>
      <c r="C454" s="41" t="n"/>
      <c r="D454" s="40" t="n"/>
      <c r="E454" s="40" t="n"/>
      <c r="F454" s="42" t="n"/>
      <c r="G454" s="43" t="n"/>
      <c r="H454" s="44" t="n"/>
      <c r="I454" s="45">
        <f>IFERROR(F454/G454,"")</f>
        <v/>
      </c>
      <c r="J454" s="41" t="n"/>
    </row>
    <row r="455">
      <c r="A455" s="40" t="n"/>
      <c r="B455" s="41" t="n"/>
      <c r="C455" s="41" t="n"/>
      <c r="D455" s="40" t="n"/>
      <c r="E455" s="40" t="n"/>
      <c r="F455" s="42" t="n"/>
      <c r="G455" s="43" t="n"/>
      <c r="H455" s="44" t="n"/>
      <c r="I455" s="45">
        <f>IFERROR(F455/G455,"")</f>
        <v/>
      </c>
      <c r="J455" s="41" t="n"/>
    </row>
    <row r="456">
      <c r="A456" s="40" t="n"/>
      <c r="B456" s="41" t="n"/>
      <c r="C456" s="41" t="n"/>
      <c r="D456" s="40" t="n"/>
      <c r="E456" s="40" t="n"/>
      <c r="F456" s="42" t="n"/>
      <c r="G456" s="43" t="n"/>
      <c r="H456" s="44" t="n"/>
      <c r="I456" s="45">
        <f>IFERROR(F456/G456,"")</f>
        <v/>
      </c>
      <c r="J456" s="41" t="n"/>
    </row>
    <row r="457">
      <c r="A457" s="40" t="n"/>
      <c r="B457" s="41" t="n"/>
      <c r="C457" s="41" t="n"/>
      <c r="D457" s="40" t="n"/>
      <c r="E457" s="40" t="n"/>
      <c r="F457" s="42" t="n"/>
      <c r="G457" s="43" t="n"/>
      <c r="H457" s="44" t="n"/>
      <c r="I457" s="45">
        <f>IFERROR(F457/G457,"")</f>
        <v/>
      </c>
      <c r="J457" s="41" t="n"/>
    </row>
    <row r="458">
      <c r="A458" s="40" t="n"/>
      <c r="B458" s="41" t="n"/>
      <c r="C458" s="41" t="n"/>
      <c r="D458" s="40" t="n"/>
      <c r="E458" s="40" t="n"/>
      <c r="F458" s="42" t="n"/>
      <c r="G458" s="43" t="n"/>
      <c r="H458" s="44" t="n"/>
      <c r="I458" s="45">
        <f>IFERROR(F458/G458,"")</f>
        <v/>
      </c>
      <c r="J458" s="41" t="n"/>
    </row>
    <row r="459">
      <c r="A459" s="40" t="n"/>
      <c r="B459" s="41" t="n"/>
      <c r="C459" s="41" t="n"/>
      <c r="D459" s="40" t="n"/>
      <c r="E459" s="40" t="n"/>
      <c r="F459" s="42" t="n"/>
      <c r="G459" s="43" t="n"/>
      <c r="H459" s="44" t="n"/>
      <c r="I459" s="45">
        <f>IFERROR(F459/G459,"")</f>
        <v/>
      </c>
      <c r="J459" s="41" t="n"/>
    </row>
    <row r="460">
      <c r="A460" s="40" t="n"/>
      <c r="B460" s="41" t="n"/>
      <c r="C460" s="41" t="n"/>
      <c r="D460" s="40" t="n"/>
      <c r="E460" s="40" t="n"/>
      <c r="F460" s="42" t="n"/>
      <c r="G460" s="43" t="n"/>
      <c r="H460" s="44" t="n"/>
      <c r="I460" s="45">
        <f>IFERROR(F460/G460,"")</f>
        <v/>
      </c>
      <c r="J460" s="41" t="n"/>
    </row>
    <row r="461">
      <c r="A461" s="40" t="n"/>
      <c r="B461" s="41" t="n"/>
      <c r="C461" s="41" t="n"/>
      <c r="D461" s="40" t="n"/>
      <c r="E461" s="40" t="n"/>
      <c r="F461" s="42" t="n"/>
      <c r="G461" s="43" t="n"/>
      <c r="H461" s="44" t="n"/>
      <c r="I461" s="45">
        <f>IFERROR(F461/G461,"")</f>
        <v/>
      </c>
      <c r="J461" s="41" t="n"/>
    </row>
    <row r="462">
      <c r="A462" s="40" t="n"/>
      <c r="B462" s="41" t="n"/>
      <c r="C462" s="41" t="n"/>
      <c r="D462" s="40" t="n"/>
      <c r="E462" s="40" t="n"/>
      <c r="F462" s="42" t="n"/>
      <c r="G462" s="43" t="n"/>
      <c r="H462" s="44" t="n"/>
      <c r="I462" s="45">
        <f>IFERROR(F462/G462,"")</f>
        <v/>
      </c>
      <c r="J462" s="41" t="n"/>
    </row>
    <row r="463">
      <c r="A463" s="40" t="n"/>
      <c r="B463" s="41" t="n"/>
      <c r="C463" s="41" t="n"/>
      <c r="D463" s="40" t="n"/>
      <c r="E463" s="40" t="n"/>
      <c r="F463" s="42" t="n"/>
      <c r="G463" s="43" t="n"/>
      <c r="H463" s="44" t="n"/>
      <c r="I463" s="45">
        <f>IFERROR(F463/G463,"")</f>
        <v/>
      </c>
      <c r="J463" s="41" t="n"/>
    </row>
    <row r="464">
      <c r="A464" s="40" t="n"/>
      <c r="B464" s="41" t="n"/>
      <c r="C464" s="41" t="n"/>
      <c r="D464" s="40" t="n"/>
      <c r="E464" s="40" t="n"/>
      <c r="F464" s="42" t="n"/>
      <c r="G464" s="43" t="n"/>
      <c r="H464" s="44" t="n"/>
      <c r="I464" s="45">
        <f>IFERROR(F464/G464,"")</f>
        <v/>
      </c>
      <c r="J464" s="41" t="n"/>
    </row>
    <row r="465">
      <c r="A465" s="40" t="n"/>
      <c r="B465" s="41" t="n"/>
      <c r="C465" s="41" t="n"/>
      <c r="D465" s="40" t="n"/>
      <c r="E465" s="40" t="n"/>
      <c r="F465" s="42" t="n"/>
      <c r="G465" s="43" t="n"/>
      <c r="H465" s="44" t="n"/>
      <c r="I465" s="45">
        <f>IFERROR(F465/G465,"")</f>
        <v/>
      </c>
      <c r="J465" s="41" t="n"/>
    </row>
    <row r="466">
      <c r="A466" s="40" t="n"/>
      <c r="B466" s="41" t="n"/>
      <c r="C466" s="41" t="n"/>
      <c r="D466" s="40" t="n"/>
      <c r="E466" s="40" t="n"/>
      <c r="F466" s="42" t="n"/>
      <c r="G466" s="43" t="n"/>
      <c r="H466" s="44" t="n"/>
      <c r="I466" s="45">
        <f>IFERROR(F466/G466,"")</f>
        <v/>
      </c>
      <c r="J466" s="41" t="n"/>
    </row>
    <row r="467">
      <c r="A467" s="40" t="n"/>
      <c r="B467" s="41" t="n"/>
      <c r="C467" s="41" t="n"/>
      <c r="D467" s="40" t="n"/>
      <c r="E467" s="40" t="n"/>
      <c r="F467" s="42" t="n"/>
      <c r="G467" s="43" t="n"/>
      <c r="H467" s="44" t="n"/>
      <c r="I467" s="45">
        <f>IFERROR(F467/G467,"")</f>
        <v/>
      </c>
      <c r="J467" s="41" t="n"/>
    </row>
    <row r="468">
      <c r="A468" s="40" t="n"/>
      <c r="B468" s="41" t="n"/>
      <c r="C468" s="41" t="n"/>
      <c r="D468" s="40" t="n"/>
      <c r="E468" s="40" t="n"/>
      <c r="F468" s="42" t="n"/>
      <c r="G468" s="43" t="n"/>
      <c r="H468" s="44" t="n"/>
      <c r="I468" s="45">
        <f>IFERROR(F468/G468,"")</f>
        <v/>
      </c>
      <c r="J468" s="41" t="n"/>
    </row>
    <row r="469">
      <c r="A469" s="40" t="n"/>
      <c r="B469" s="41" t="n"/>
      <c r="C469" s="41" t="n"/>
      <c r="D469" s="40" t="n"/>
      <c r="E469" s="40" t="n"/>
      <c r="F469" s="42" t="n"/>
      <c r="G469" s="43" t="n"/>
      <c r="H469" s="44" t="n"/>
      <c r="I469" s="45">
        <f>IFERROR(F469/G469,"")</f>
        <v/>
      </c>
      <c r="J469" s="41" t="n"/>
    </row>
    <row r="470">
      <c r="A470" s="40" t="n"/>
      <c r="B470" s="41" t="n"/>
      <c r="C470" s="41" t="n"/>
      <c r="D470" s="40" t="n"/>
      <c r="E470" s="40" t="n"/>
      <c r="F470" s="42" t="n"/>
      <c r="G470" s="43" t="n"/>
      <c r="H470" s="44" t="n"/>
      <c r="I470" s="45">
        <f>IFERROR(F470/G470,"")</f>
        <v/>
      </c>
      <c r="J470" s="41" t="n"/>
    </row>
    <row r="471">
      <c r="A471" s="40" t="n"/>
      <c r="B471" s="41" t="n"/>
      <c r="C471" s="41" t="n"/>
      <c r="D471" s="40" t="n"/>
      <c r="E471" s="40" t="n"/>
      <c r="F471" s="42" t="n"/>
      <c r="G471" s="43" t="n"/>
      <c r="H471" s="44" t="n"/>
      <c r="I471" s="45">
        <f>IFERROR(F471/G471,"")</f>
        <v/>
      </c>
      <c r="J471" s="41" t="n"/>
    </row>
    <row r="472">
      <c r="A472" s="40" t="n"/>
      <c r="B472" s="41" t="n"/>
      <c r="C472" s="41" t="n"/>
      <c r="D472" s="40" t="n"/>
      <c r="E472" s="40" t="n"/>
      <c r="F472" s="42" t="n"/>
      <c r="G472" s="43" t="n"/>
      <c r="H472" s="44" t="n"/>
      <c r="I472" s="45">
        <f>IFERROR(F472/G472,"")</f>
        <v/>
      </c>
      <c r="J472" s="41" t="n"/>
    </row>
    <row r="473">
      <c r="A473" s="40" t="n"/>
      <c r="B473" s="41" t="n"/>
      <c r="C473" s="41" t="n"/>
      <c r="D473" s="40" t="n"/>
      <c r="E473" s="40" t="n"/>
      <c r="F473" s="42" t="n"/>
      <c r="G473" s="43" t="n"/>
      <c r="H473" s="44" t="n"/>
      <c r="I473" s="45">
        <f>IFERROR(F473/G473,"")</f>
        <v/>
      </c>
      <c r="J473" s="41" t="n"/>
    </row>
    <row r="474">
      <c r="A474" s="40" t="n"/>
      <c r="B474" s="41" t="n"/>
      <c r="C474" s="41" t="n"/>
      <c r="D474" s="40" t="n"/>
      <c r="E474" s="40" t="n"/>
      <c r="F474" s="42" t="n"/>
      <c r="G474" s="43" t="n"/>
      <c r="H474" s="44" t="n"/>
      <c r="I474" s="45">
        <f>IFERROR(F474/G474,"")</f>
        <v/>
      </c>
      <c r="J474" s="41" t="n"/>
    </row>
    <row r="475">
      <c r="A475" s="40" t="n"/>
      <c r="B475" s="41" t="n"/>
      <c r="C475" s="41" t="n"/>
      <c r="D475" s="40" t="n"/>
      <c r="E475" s="40" t="n"/>
      <c r="F475" s="42" t="n"/>
      <c r="G475" s="43" t="n"/>
      <c r="H475" s="44" t="n"/>
      <c r="I475" s="45">
        <f>IFERROR(F475/G475,"")</f>
        <v/>
      </c>
      <c r="J475" s="41" t="n"/>
    </row>
    <row r="476">
      <c r="A476" s="40" t="n"/>
      <c r="B476" s="41" t="n"/>
      <c r="C476" s="41" t="n"/>
      <c r="D476" s="40" t="n"/>
      <c r="E476" s="40" t="n"/>
      <c r="F476" s="42" t="n"/>
      <c r="G476" s="43" t="n"/>
      <c r="H476" s="44" t="n"/>
      <c r="I476" s="45">
        <f>IFERROR(F476/G476,"")</f>
        <v/>
      </c>
      <c r="J476" s="41" t="n"/>
    </row>
    <row r="477">
      <c r="A477" s="40" t="n"/>
      <c r="B477" s="41" t="n"/>
      <c r="C477" s="41" t="n"/>
      <c r="D477" s="40" t="n"/>
      <c r="E477" s="40" t="n"/>
      <c r="F477" s="42" t="n"/>
      <c r="G477" s="43" t="n"/>
      <c r="H477" s="44" t="n"/>
      <c r="I477" s="45">
        <f>IFERROR(F477/G477,"")</f>
        <v/>
      </c>
      <c r="J477" s="41" t="n"/>
    </row>
    <row r="478">
      <c r="A478" s="40" t="n"/>
      <c r="B478" s="41" t="n"/>
      <c r="C478" s="41" t="n"/>
      <c r="D478" s="40" t="n"/>
      <c r="E478" s="40" t="n"/>
      <c r="F478" s="42" t="n"/>
      <c r="G478" s="43" t="n"/>
      <c r="H478" s="44" t="n"/>
      <c r="I478" s="45">
        <f>IFERROR(F478/G478,"")</f>
        <v/>
      </c>
      <c r="J478" s="41" t="n"/>
    </row>
    <row r="479">
      <c r="A479" s="40" t="n"/>
      <c r="B479" s="41" t="n"/>
      <c r="C479" s="41" t="n"/>
      <c r="D479" s="40" t="n"/>
      <c r="E479" s="40" t="n"/>
      <c r="F479" s="42" t="n"/>
      <c r="G479" s="43" t="n"/>
      <c r="H479" s="44" t="n"/>
      <c r="I479" s="45">
        <f>IFERROR(F479/G479,"")</f>
        <v/>
      </c>
      <c r="J479" s="41" t="n"/>
    </row>
    <row r="480">
      <c r="A480" s="40" t="n"/>
      <c r="B480" s="41" t="n"/>
      <c r="C480" s="41" t="n"/>
      <c r="D480" s="40" t="n"/>
      <c r="E480" s="40" t="n"/>
      <c r="F480" s="42" t="n"/>
      <c r="G480" s="43" t="n"/>
      <c r="H480" s="44" t="n"/>
      <c r="I480" s="45">
        <f>IFERROR(F480/G480,"")</f>
        <v/>
      </c>
      <c r="J480" s="41" t="n"/>
    </row>
    <row r="481">
      <c r="A481" s="40" t="n"/>
      <c r="B481" s="41" t="n"/>
      <c r="C481" s="41" t="n"/>
      <c r="D481" s="40" t="n"/>
      <c r="E481" s="40" t="n"/>
      <c r="F481" s="42" t="n"/>
      <c r="G481" s="43" t="n"/>
      <c r="H481" s="44" t="n"/>
      <c r="I481" s="45">
        <f>IFERROR(F481/G481,"")</f>
        <v/>
      </c>
      <c r="J481" s="41" t="n"/>
    </row>
    <row r="482">
      <c r="A482" s="40" t="n"/>
      <c r="B482" s="41" t="n"/>
      <c r="C482" s="41" t="n"/>
      <c r="D482" s="40" t="n"/>
      <c r="E482" s="40" t="n"/>
      <c r="F482" s="42" t="n"/>
      <c r="G482" s="43" t="n"/>
      <c r="H482" s="44" t="n"/>
      <c r="I482" s="45">
        <f>IFERROR(F482/G482,"")</f>
        <v/>
      </c>
      <c r="J482" s="41" t="n"/>
    </row>
    <row r="483">
      <c r="A483" s="40" t="n"/>
      <c r="B483" s="41" t="n"/>
      <c r="C483" s="41" t="n"/>
      <c r="D483" s="40" t="n"/>
      <c r="E483" s="40" t="n"/>
      <c r="F483" s="42" t="n"/>
      <c r="G483" s="43" t="n"/>
      <c r="H483" s="44" t="n"/>
      <c r="I483" s="45">
        <f>IFERROR(F483/G483,"")</f>
        <v/>
      </c>
      <c r="J483" s="41" t="n"/>
    </row>
    <row r="484">
      <c r="A484" s="40" t="n"/>
      <c r="B484" s="41" t="n"/>
      <c r="C484" s="41" t="n"/>
      <c r="D484" s="40" t="n"/>
      <c r="E484" s="40" t="n"/>
      <c r="F484" s="42" t="n"/>
      <c r="G484" s="43" t="n"/>
      <c r="H484" s="44" t="n"/>
      <c r="I484" s="45">
        <f>IFERROR(F484/G484,"")</f>
        <v/>
      </c>
      <c r="J484" s="41" t="n"/>
    </row>
    <row r="485">
      <c r="A485" s="40" t="n"/>
      <c r="B485" s="41" t="n"/>
      <c r="C485" s="41" t="n"/>
      <c r="D485" s="40" t="n"/>
      <c r="E485" s="40" t="n"/>
      <c r="F485" s="42" t="n"/>
      <c r="G485" s="43" t="n"/>
      <c r="H485" s="44" t="n"/>
      <c r="I485" s="45">
        <f>IFERROR(F485/G485,"")</f>
        <v/>
      </c>
      <c r="J485" s="41" t="n"/>
    </row>
    <row r="486">
      <c r="A486" s="40" t="n"/>
      <c r="B486" s="41" t="n"/>
      <c r="C486" s="41" t="n"/>
      <c r="D486" s="40" t="n"/>
      <c r="E486" s="40" t="n"/>
      <c r="F486" s="42" t="n"/>
      <c r="G486" s="43" t="n"/>
      <c r="H486" s="44" t="n"/>
      <c r="I486" s="45">
        <f>IFERROR(F486/G486,"")</f>
        <v/>
      </c>
      <c r="J486" s="41" t="n"/>
    </row>
    <row r="487">
      <c r="A487" s="40" t="n"/>
      <c r="B487" s="41" t="n"/>
      <c r="C487" s="41" t="n"/>
      <c r="D487" s="40" t="n"/>
      <c r="E487" s="40" t="n"/>
      <c r="F487" s="42" t="n"/>
      <c r="G487" s="43" t="n"/>
      <c r="H487" s="44" t="n"/>
      <c r="I487" s="45">
        <f>IFERROR(F487/G487,"")</f>
        <v/>
      </c>
      <c r="J487" s="41" t="n"/>
    </row>
    <row r="488">
      <c r="A488" s="40" t="n"/>
      <c r="B488" s="41" t="n"/>
      <c r="C488" s="41" t="n"/>
      <c r="D488" s="40" t="n"/>
      <c r="E488" s="40" t="n"/>
      <c r="F488" s="42" t="n"/>
      <c r="G488" s="43" t="n"/>
      <c r="H488" s="44" t="n"/>
      <c r="I488" s="45">
        <f>IFERROR(F488/G488,"")</f>
        <v/>
      </c>
      <c r="J488" s="41" t="n"/>
    </row>
    <row r="489">
      <c r="A489" s="40" t="n"/>
      <c r="B489" s="41" t="n"/>
      <c r="C489" s="41" t="n"/>
      <c r="D489" s="40" t="n"/>
      <c r="E489" s="40" t="n"/>
      <c r="F489" s="42" t="n"/>
      <c r="G489" s="43" t="n"/>
      <c r="H489" s="44" t="n"/>
      <c r="I489" s="45">
        <f>IFERROR(F489/G489,"")</f>
        <v/>
      </c>
      <c r="J489" s="41" t="n"/>
    </row>
    <row r="490">
      <c r="A490" s="40" t="n"/>
      <c r="B490" s="41" t="n"/>
      <c r="C490" s="41" t="n"/>
      <c r="D490" s="40" t="n"/>
      <c r="E490" s="40" t="n"/>
      <c r="F490" s="42" t="n"/>
      <c r="G490" s="43" t="n"/>
      <c r="H490" s="44" t="n"/>
      <c r="I490" s="45">
        <f>IFERROR(F490/G490,"")</f>
        <v/>
      </c>
      <c r="J490" s="41" t="n"/>
    </row>
    <row r="491">
      <c r="A491" s="40" t="n"/>
      <c r="B491" s="41" t="n"/>
      <c r="C491" s="41" t="n"/>
      <c r="D491" s="40" t="n"/>
      <c r="E491" s="40" t="n"/>
      <c r="F491" s="42" t="n"/>
      <c r="G491" s="43" t="n"/>
      <c r="H491" s="44" t="n"/>
      <c r="I491" s="45">
        <f>IFERROR(F491/G491,"")</f>
        <v/>
      </c>
      <c r="J491" s="41" t="n"/>
    </row>
    <row r="492">
      <c r="A492" s="40" t="n"/>
      <c r="B492" s="41" t="n"/>
      <c r="C492" s="41" t="n"/>
      <c r="D492" s="40" t="n"/>
      <c r="E492" s="40" t="n"/>
      <c r="F492" s="42" t="n"/>
      <c r="G492" s="43" t="n"/>
      <c r="H492" s="44" t="n"/>
      <c r="I492" s="45">
        <f>IFERROR(F492/G492,"")</f>
        <v/>
      </c>
      <c r="J492" s="41" t="n"/>
    </row>
    <row r="493">
      <c r="A493" s="40" t="n"/>
      <c r="B493" s="41" t="n"/>
      <c r="C493" s="41" t="n"/>
      <c r="D493" s="40" t="n"/>
      <c r="E493" s="40" t="n"/>
      <c r="F493" s="42" t="n"/>
      <c r="G493" s="43" t="n"/>
      <c r="H493" s="44" t="n"/>
      <c r="I493" s="45">
        <f>IFERROR(F493/G493,"")</f>
        <v/>
      </c>
      <c r="J493" s="41" t="n"/>
    </row>
    <row r="494">
      <c r="A494" s="40" t="n"/>
      <c r="B494" s="41" t="n"/>
      <c r="C494" s="41" t="n"/>
      <c r="D494" s="40" t="n"/>
      <c r="E494" s="40" t="n"/>
      <c r="F494" s="42" t="n"/>
      <c r="G494" s="43" t="n"/>
      <c r="H494" s="44" t="n"/>
      <c r="I494" s="45">
        <f>IFERROR(F494/G494,"")</f>
        <v/>
      </c>
      <c r="J494" s="41" t="n"/>
    </row>
    <row r="495">
      <c r="A495" s="40" t="n"/>
      <c r="B495" s="41" t="n"/>
      <c r="C495" s="41" t="n"/>
      <c r="D495" s="40" t="n"/>
      <c r="E495" s="40" t="n"/>
      <c r="F495" s="42" t="n"/>
      <c r="G495" s="43" t="n"/>
      <c r="H495" s="44" t="n"/>
      <c r="I495" s="45">
        <f>IFERROR(F495/G495,"")</f>
        <v/>
      </c>
      <c r="J495" s="41" t="n"/>
    </row>
    <row r="496">
      <c r="A496" s="40" t="n"/>
      <c r="B496" s="41" t="n"/>
      <c r="C496" s="41" t="n"/>
      <c r="D496" s="40" t="n"/>
      <c r="E496" s="40" t="n"/>
      <c r="F496" s="42" t="n"/>
      <c r="G496" s="43" t="n"/>
      <c r="H496" s="44" t="n"/>
      <c r="I496" s="45">
        <f>IFERROR(F496/G496,"")</f>
        <v/>
      </c>
      <c r="J496" s="41" t="n"/>
    </row>
    <row r="497">
      <c r="A497" s="40" t="n"/>
      <c r="B497" s="41" t="n"/>
      <c r="C497" s="41" t="n"/>
      <c r="D497" s="40" t="n"/>
      <c r="E497" s="40" t="n"/>
      <c r="F497" s="42" t="n"/>
      <c r="G497" s="43" t="n"/>
      <c r="H497" s="44" t="n"/>
      <c r="I497" s="45">
        <f>IFERROR(F497/G497,"")</f>
        <v/>
      </c>
      <c r="J497" s="41" t="n"/>
    </row>
    <row r="498">
      <c r="A498" s="40" t="n"/>
      <c r="B498" s="41" t="n"/>
      <c r="C498" s="41" t="n"/>
      <c r="D498" s="40" t="n"/>
      <c r="E498" s="40" t="n"/>
      <c r="F498" s="42" t="n"/>
      <c r="G498" s="43" t="n"/>
      <c r="H498" s="44" t="n"/>
      <c r="I498" s="45">
        <f>IFERROR(F498/G498,"")</f>
        <v/>
      </c>
      <c r="J498" s="41" t="n"/>
    </row>
    <row r="499">
      <c r="A499" s="40" t="n"/>
      <c r="B499" s="41" t="n"/>
      <c r="C499" s="41" t="n"/>
      <c r="D499" s="40" t="n"/>
      <c r="E499" s="40" t="n"/>
      <c r="F499" s="42" t="n"/>
      <c r="G499" s="43" t="n"/>
      <c r="H499" s="44" t="n"/>
      <c r="I499" s="45">
        <f>IFERROR(F499/G499,"")</f>
        <v/>
      </c>
      <c r="J499" s="41" t="n"/>
    </row>
    <row r="500">
      <c r="A500" s="40" t="n"/>
      <c r="B500" s="41" t="n"/>
      <c r="C500" s="41" t="n"/>
      <c r="D500" s="40" t="n"/>
      <c r="E500" s="40" t="n"/>
      <c r="F500" s="42" t="n"/>
      <c r="G500" s="43" t="n"/>
      <c r="H500" s="44" t="n"/>
      <c r="I500" s="45">
        <f>IFERROR(F500/G500,"")</f>
        <v/>
      </c>
      <c r="J500" s="41" t="n"/>
    </row>
    <row r="501">
      <c r="A501" s="40" t="n"/>
      <c r="B501" s="41" t="n"/>
      <c r="C501" s="41" t="n"/>
      <c r="D501" s="40" t="n"/>
      <c r="E501" s="40" t="n"/>
      <c r="F501" s="42" t="n"/>
      <c r="G501" s="43" t="n"/>
      <c r="H501" s="44" t="n"/>
      <c r="I501" s="45">
        <f>IFERROR(F501/G501,"")</f>
        <v/>
      </c>
      <c r="J501" s="41" t="n"/>
    </row>
    <row r="502">
      <c r="A502" s="40" t="n"/>
      <c r="B502" s="41" t="n"/>
      <c r="C502" s="41" t="n"/>
      <c r="D502" s="40" t="n"/>
      <c r="E502" s="40" t="n"/>
      <c r="F502" s="42" t="n"/>
      <c r="G502" s="43" t="n"/>
      <c r="H502" s="44" t="n"/>
      <c r="I502" s="45">
        <f>IFERROR(F502/G502,"")</f>
        <v/>
      </c>
      <c r="J502" s="41" t="n"/>
    </row>
    <row r="503">
      <c r="A503" s="40" t="n"/>
      <c r="B503" s="41" t="n"/>
      <c r="C503" s="41" t="n"/>
      <c r="D503" s="40" t="n"/>
      <c r="E503" s="40" t="n"/>
      <c r="F503" s="42" t="n"/>
      <c r="G503" s="43" t="n"/>
      <c r="H503" s="44" t="n"/>
      <c r="I503" s="45">
        <f>IFERROR(F503/G503,"")</f>
        <v/>
      </c>
      <c r="J503" s="41" t="n"/>
    </row>
    <row r="504">
      <c r="A504" s="40" t="n"/>
      <c r="B504" s="41" t="n"/>
      <c r="C504" s="41" t="n"/>
      <c r="D504" s="40" t="n"/>
      <c r="E504" s="40" t="n"/>
      <c r="F504" s="42" t="n"/>
      <c r="G504" s="43" t="n"/>
      <c r="H504" s="44" t="n"/>
      <c r="I504" s="45">
        <f>IFERROR(F504/G504,"")</f>
        <v/>
      </c>
      <c r="J504" s="41" t="n"/>
    </row>
    <row r="505">
      <c r="A505" s="40" t="n"/>
      <c r="B505" s="41" t="n"/>
      <c r="C505" s="41" t="n"/>
      <c r="D505" s="40" t="n"/>
      <c r="E505" s="40" t="n"/>
      <c r="F505" s="42" t="n"/>
      <c r="G505" s="43" t="n"/>
      <c r="H505" s="44" t="n"/>
      <c r="I505" s="45">
        <f>IFERROR(F505/G505,"")</f>
        <v/>
      </c>
      <c r="J505" s="41" t="n"/>
    </row>
  </sheetData>
  <mergeCells count="4">
    <mergeCell ref="J2:L2"/>
    <mergeCell ref="D2:I2"/>
    <mergeCell ref="A2:C2"/>
    <mergeCell ref="A4:L4"/>
  </mergeCells>
  <dataValidations count="2">
    <dataValidation sqref="B6:B505" showDropDown="0" showInputMessage="0" showErrorMessage="0" allowBlank="1" type="list">
      <formula1>=Settings!$B$7:$B$16</formula1>
    </dataValidation>
    <dataValidation sqref="C6:C505" showDropDown="0" showInputMessage="0" showErrorMessage="0" allowBlank="1" type="list">
      <formula1>=Settings!$B$18:$B$25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O5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HYPERLINK("#'Bills Log'!A1", "← BACK")</f>
        <v/>
      </c>
      <c r="B2" s="13" t="n"/>
      <c r="C2" s="13" t="n"/>
      <c r="D2" s="37" t="inlineStr">
        <is>
          <t>PROPERTY MATRIX</t>
        </is>
      </c>
      <c r="J2" s="30">
        <f>HYPERLINK("#'Trend &amp; Anomalies'!A1", "NEXT →")</f>
        <v/>
      </c>
      <c r="K2" s="31" t="n"/>
      <c r="L2" s="31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Per-property 12-month roll-up — auto-rolled from Bills Log</t>
        </is>
      </c>
    </row>
    <row r="6" ht="22" customHeight="1">
      <c r="A6" s="46">
        <f>"Property: "&amp;Settings!$B$7</f>
        <v/>
      </c>
    </row>
    <row r="7" ht="18" customHeight="1">
      <c r="A7" s="39" t="inlineStr">
        <is>
          <t>Service</t>
        </is>
      </c>
      <c r="B7" s="39" t="inlineStr">
        <is>
          <t>Jan</t>
        </is>
      </c>
      <c r="C7" s="39" t="inlineStr">
        <is>
          <t>Feb</t>
        </is>
      </c>
      <c r="D7" s="39" t="inlineStr">
        <is>
          <t>Mar</t>
        </is>
      </c>
      <c r="E7" s="39" t="inlineStr">
        <is>
          <t>Apr</t>
        </is>
      </c>
      <c r="F7" s="39" t="inlineStr">
        <is>
          <t>May</t>
        </is>
      </c>
      <c r="G7" s="39" t="inlineStr">
        <is>
          <t>Jun</t>
        </is>
      </c>
      <c r="H7" s="39" t="inlineStr">
        <is>
          <t>Jul</t>
        </is>
      </c>
      <c r="I7" s="39" t="inlineStr">
        <is>
          <t>Aug</t>
        </is>
      </c>
      <c r="J7" s="39" t="inlineStr">
        <is>
          <t>Sep</t>
        </is>
      </c>
      <c r="K7" s="39" t="inlineStr">
        <is>
          <t>Oct</t>
        </is>
      </c>
      <c r="L7" s="39" t="inlineStr">
        <is>
          <t>Nov</t>
        </is>
      </c>
      <c r="M7" s="39" t="inlineStr">
        <is>
          <t>Dec</t>
        </is>
      </c>
      <c r="N7" s="39" t="inlineStr">
        <is>
          <t>Total</t>
        </is>
      </c>
      <c r="O7" s="39" t="inlineStr">
        <is>
          <t>Avg</t>
        </is>
      </c>
    </row>
    <row r="8" ht="16" customHeight="1">
      <c r="A8" s="47" t="inlineStr">
        <is>
          <t>Electric</t>
        </is>
      </c>
      <c r="B8" s="48">
        <f>SUMIFS('Bills Log'!$F$6:$F$505,'Bills Log'!$A$6:$A$505,"&gt;="&amp;DATE(Settings!$B$5,1,1),'Bills Log'!$A$6:$A$505,"&lt;"&amp;DATE(Settings!$B$5,2,1),'Bills Log'!$B$6:$B$505,Settings!$B$7,'Bills Log'!$C$6:$C$505,$A8)</f>
        <v/>
      </c>
      <c r="C8" s="48">
        <f>SUMIFS('Bills Log'!$F$6:$F$505,'Bills Log'!$A$6:$A$505,"&gt;="&amp;DATE(Settings!$B$5,2,1),'Bills Log'!$A$6:$A$505,"&lt;"&amp;DATE(Settings!$B$5,3,1),'Bills Log'!$B$6:$B$505,Settings!$B$7,'Bills Log'!$C$6:$C$505,$A8)</f>
        <v/>
      </c>
      <c r="D8" s="48">
        <f>SUMIFS('Bills Log'!$F$6:$F$505,'Bills Log'!$A$6:$A$505,"&gt;="&amp;DATE(Settings!$B$5,3,1),'Bills Log'!$A$6:$A$505,"&lt;"&amp;DATE(Settings!$B$5,4,1),'Bills Log'!$B$6:$B$505,Settings!$B$7,'Bills Log'!$C$6:$C$505,$A8)</f>
        <v/>
      </c>
      <c r="E8" s="48">
        <f>SUMIFS('Bills Log'!$F$6:$F$505,'Bills Log'!$A$6:$A$505,"&gt;="&amp;DATE(Settings!$B$5,4,1),'Bills Log'!$A$6:$A$505,"&lt;"&amp;DATE(Settings!$B$5,5,1),'Bills Log'!$B$6:$B$505,Settings!$B$7,'Bills Log'!$C$6:$C$505,$A8)</f>
        <v/>
      </c>
      <c r="F8" s="48">
        <f>SUMIFS('Bills Log'!$F$6:$F$505,'Bills Log'!$A$6:$A$505,"&gt;="&amp;DATE(Settings!$B$5,5,1),'Bills Log'!$A$6:$A$505,"&lt;"&amp;DATE(Settings!$B$5,6,1),'Bills Log'!$B$6:$B$505,Settings!$B$7,'Bills Log'!$C$6:$C$505,$A8)</f>
        <v/>
      </c>
      <c r="G8" s="48">
        <f>SUMIFS('Bills Log'!$F$6:$F$505,'Bills Log'!$A$6:$A$505,"&gt;="&amp;DATE(Settings!$B$5,6,1),'Bills Log'!$A$6:$A$505,"&lt;"&amp;DATE(Settings!$B$5,7,1),'Bills Log'!$B$6:$B$505,Settings!$B$7,'Bills Log'!$C$6:$C$505,$A8)</f>
        <v/>
      </c>
      <c r="H8" s="48">
        <f>SUMIFS('Bills Log'!$F$6:$F$505,'Bills Log'!$A$6:$A$505,"&gt;="&amp;DATE(Settings!$B$5,7,1),'Bills Log'!$A$6:$A$505,"&lt;"&amp;DATE(Settings!$B$5,8,1),'Bills Log'!$B$6:$B$505,Settings!$B$7,'Bills Log'!$C$6:$C$505,$A8)</f>
        <v/>
      </c>
      <c r="I8" s="48">
        <f>SUMIFS('Bills Log'!$F$6:$F$505,'Bills Log'!$A$6:$A$505,"&gt;="&amp;DATE(Settings!$B$5,8,1),'Bills Log'!$A$6:$A$505,"&lt;"&amp;DATE(Settings!$B$5,9,1),'Bills Log'!$B$6:$B$505,Settings!$B$7,'Bills Log'!$C$6:$C$505,$A8)</f>
        <v/>
      </c>
      <c r="J8" s="48">
        <f>SUMIFS('Bills Log'!$F$6:$F$505,'Bills Log'!$A$6:$A$505,"&gt;="&amp;DATE(Settings!$B$5,9,1),'Bills Log'!$A$6:$A$505,"&lt;"&amp;DATE(Settings!$B$5,10,1),'Bills Log'!$B$6:$B$505,Settings!$B$7,'Bills Log'!$C$6:$C$505,$A8)</f>
        <v/>
      </c>
      <c r="K8" s="48">
        <f>SUMIFS('Bills Log'!$F$6:$F$505,'Bills Log'!$A$6:$A$505,"&gt;="&amp;DATE(Settings!$B$5,10,1),'Bills Log'!$A$6:$A$505,"&lt;"&amp;DATE(Settings!$B$5,11,1),'Bills Log'!$B$6:$B$505,Settings!$B$7,'Bills Log'!$C$6:$C$505,$A8)</f>
        <v/>
      </c>
      <c r="L8" s="48">
        <f>SUMIFS('Bills Log'!$F$6:$F$505,'Bills Log'!$A$6:$A$505,"&gt;="&amp;DATE(Settings!$B$5,11,1),'Bills Log'!$A$6:$A$505,"&lt;"&amp;DATE(Settings!$B$5,12,1),'Bills Log'!$B$6:$B$505,Settings!$B$7,'Bills Log'!$C$6:$C$505,$A8)</f>
        <v/>
      </c>
      <c r="M8" s="48">
        <f>SUMIFS('Bills Log'!$F$6:$F$505,'Bills Log'!$A$6:$A$505,"&gt;="&amp;DATE(Settings!$B$5,12,1),'Bills Log'!$A$6:$A$505,"&lt;"&amp;DATE(Settings!$B$5+1,1,1),'Bills Log'!$B$6:$B$505,Settings!$B$7,'Bills Log'!$C$6:$C$505,$A8)</f>
        <v/>
      </c>
      <c r="N8" s="49">
        <f>SUM(B8:M8)</f>
        <v/>
      </c>
      <c r="O8" s="48">
        <f>IFERROR(N8/12,0)</f>
        <v/>
      </c>
    </row>
    <row r="9" ht="16" customHeight="1">
      <c r="A9" s="47" t="inlineStr">
        <is>
          <t>Gas</t>
        </is>
      </c>
      <c r="B9" s="48">
        <f>SUMIFS('Bills Log'!$F$6:$F$505,'Bills Log'!$A$6:$A$505,"&gt;="&amp;DATE(Settings!$B$5,1,1),'Bills Log'!$A$6:$A$505,"&lt;"&amp;DATE(Settings!$B$5,2,1),'Bills Log'!$B$6:$B$505,Settings!$B$7,'Bills Log'!$C$6:$C$505,$A9)</f>
        <v/>
      </c>
      <c r="C9" s="48">
        <f>SUMIFS('Bills Log'!$F$6:$F$505,'Bills Log'!$A$6:$A$505,"&gt;="&amp;DATE(Settings!$B$5,2,1),'Bills Log'!$A$6:$A$505,"&lt;"&amp;DATE(Settings!$B$5,3,1),'Bills Log'!$B$6:$B$505,Settings!$B$7,'Bills Log'!$C$6:$C$505,$A9)</f>
        <v/>
      </c>
      <c r="D9" s="48">
        <f>SUMIFS('Bills Log'!$F$6:$F$505,'Bills Log'!$A$6:$A$505,"&gt;="&amp;DATE(Settings!$B$5,3,1),'Bills Log'!$A$6:$A$505,"&lt;"&amp;DATE(Settings!$B$5,4,1),'Bills Log'!$B$6:$B$505,Settings!$B$7,'Bills Log'!$C$6:$C$505,$A9)</f>
        <v/>
      </c>
      <c r="E9" s="48">
        <f>SUMIFS('Bills Log'!$F$6:$F$505,'Bills Log'!$A$6:$A$505,"&gt;="&amp;DATE(Settings!$B$5,4,1),'Bills Log'!$A$6:$A$505,"&lt;"&amp;DATE(Settings!$B$5,5,1),'Bills Log'!$B$6:$B$505,Settings!$B$7,'Bills Log'!$C$6:$C$505,$A9)</f>
        <v/>
      </c>
      <c r="F9" s="48">
        <f>SUMIFS('Bills Log'!$F$6:$F$505,'Bills Log'!$A$6:$A$505,"&gt;="&amp;DATE(Settings!$B$5,5,1),'Bills Log'!$A$6:$A$505,"&lt;"&amp;DATE(Settings!$B$5,6,1),'Bills Log'!$B$6:$B$505,Settings!$B$7,'Bills Log'!$C$6:$C$505,$A9)</f>
        <v/>
      </c>
      <c r="G9" s="48">
        <f>SUMIFS('Bills Log'!$F$6:$F$505,'Bills Log'!$A$6:$A$505,"&gt;="&amp;DATE(Settings!$B$5,6,1),'Bills Log'!$A$6:$A$505,"&lt;"&amp;DATE(Settings!$B$5,7,1),'Bills Log'!$B$6:$B$505,Settings!$B$7,'Bills Log'!$C$6:$C$505,$A9)</f>
        <v/>
      </c>
      <c r="H9" s="48">
        <f>SUMIFS('Bills Log'!$F$6:$F$505,'Bills Log'!$A$6:$A$505,"&gt;="&amp;DATE(Settings!$B$5,7,1),'Bills Log'!$A$6:$A$505,"&lt;"&amp;DATE(Settings!$B$5,8,1),'Bills Log'!$B$6:$B$505,Settings!$B$7,'Bills Log'!$C$6:$C$505,$A9)</f>
        <v/>
      </c>
      <c r="I9" s="48">
        <f>SUMIFS('Bills Log'!$F$6:$F$505,'Bills Log'!$A$6:$A$505,"&gt;="&amp;DATE(Settings!$B$5,8,1),'Bills Log'!$A$6:$A$505,"&lt;"&amp;DATE(Settings!$B$5,9,1),'Bills Log'!$B$6:$B$505,Settings!$B$7,'Bills Log'!$C$6:$C$505,$A9)</f>
        <v/>
      </c>
      <c r="J9" s="48">
        <f>SUMIFS('Bills Log'!$F$6:$F$505,'Bills Log'!$A$6:$A$505,"&gt;="&amp;DATE(Settings!$B$5,9,1),'Bills Log'!$A$6:$A$505,"&lt;"&amp;DATE(Settings!$B$5,10,1),'Bills Log'!$B$6:$B$505,Settings!$B$7,'Bills Log'!$C$6:$C$505,$A9)</f>
        <v/>
      </c>
      <c r="K9" s="48">
        <f>SUMIFS('Bills Log'!$F$6:$F$505,'Bills Log'!$A$6:$A$505,"&gt;="&amp;DATE(Settings!$B$5,10,1),'Bills Log'!$A$6:$A$505,"&lt;"&amp;DATE(Settings!$B$5,11,1),'Bills Log'!$B$6:$B$505,Settings!$B$7,'Bills Log'!$C$6:$C$505,$A9)</f>
        <v/>
      </c>
      <c r="L9" s="48">
        <f>SUMIFS('Bills Log'!$F$6:$F$505,'Bills Log'!$A$6:$A$505,"&gt;="&amp;DATE(Settings!$B$5,11,1),'Bills Log'!$A$6:$A$505,"&lt;"&amp;DATE(Settings!$B$5,12,1),'Bills Log'!$B$6:$B$505,Settings!$B$7,'Bills Log'!$C$6:$C$505,$A9)</f>
        <v/>
      </c>
      <c r="M9" s="48">
        <f>SUMIFS('Bills Log'!$F$6:$F$505,'Bills Log'!$A$6:$A$505,"&gt;="&amp;DATE(Settings!$B$5,12,1),'Bills Log'!$A$6:$A$505,"&lt;"&amp;DATE(Settings!$B$5+1,1,1),'Bills Log'!$B$6:$B$505,Settings!$B$7,'Bills Log'!$C$6:$C$505,$A9)</f>
        <v/>
      </c>
      <c r="N9" s="49">
        <f>SUM(B9:M9)</f>
        <v/>
      </c>
      <c r="O9" s="48">
        <f>IFERROR(N9/12,0)</f>
        <v/>
      </c>
    </row>
    <row r="10" ht="16" customHeight="1">
      <c r="A10" s="47" t="inlineStr">
        <is>
          <t>Water</t>
        </is>
      </c>
      <c r="B10" s="48">
        <f>SUMIFS('Bills Log'!$F$6:$F$505,'Bills Log'!$A$6:$A$505,"&gt;="&amp;DATE(Settings!$B$5,1,1),'Bills Log'!$A$6:$A$505,"&lt;"&amp;DATE(Settings!$B$5,2,1),'Bills Log'!$B$6:$B$505,Settings!$B$7,'Bills Log'!$C$6:$C$505,$A10)</f>
        <v/>
      </c>
      <c r="C10" s="48">
        <f>SUMIFS('Bills Log'!$F$6:$F$505,'Bills Log'!$A$6:$A$505,"&gt;="&amp;DATE(Settings!$B$5,2,1),'Bills Log'!$A$6:$A$505,"&lt;"&amp;DATE(Settings!$B$5,3,1),'Bills Log'!$B$6:$B$505,Settings!$B$7,'Bills Log'!$C$6:$C$505,$A10)</f>
        <v/>
      </c>
      <c r="D10" s="48">
        <f>SUMIFS('Bills Log'!$F$6:$F$505,'Bills Log'!$A$6:$A$505,"&gt;="&amp;DATE(Settings!$B$5,3,1),'Bills Log'!$A$6:$A$505,"&lt;"&amp;DATE(Settings!$B$5,4,1),'Bills Log'!$B$6:$B$505,Settings!$B$7,'Bills Log'!$C$6:$C$505,$A10)</f>
        <v/>
      </c>
      <c r="E10" s="48">
        <f>SUMIFS('Bills Log'!$F$6:$F$505,'Bills Log'!$A$6:$A$505,"&gt;="&amp;DATE(Settings!$B$5,4,1),'Bills Log'!$A$6:$A$505,"&lt;"&amp;DATE(Settings!$B$5,5,1),'Bills Log'!$B$6:$B$505,Settings!$B$7,'Bills Log'!$C$6:$C$505,$A10)</f>
        <v/>
      </c>
      <c r="F10" s="48">
        <f>SUMIFS('Bills Log'!$F$6:$F$505,'Bills Log'!$A$6:$A$505,"&gt;="&amp;DATE(Settings!$B$5,5,1),'Bills Log'!$A$6:$A$505,"&lt;"&amp;DATE(Settings!$B$5,6,1),'Bills Log'!$B$6:$B$505,Settings!$B$7,'Bills Log'!$C$6:$C$505,$A10)</f>
        <v/>
      </c>
      <c r="G10" s="48">
        <f>SUMIFS('Bills Log'!$F$6:$F$505,'Bills Log'!$A$6:$A$505,"&gt;="&amp;DATE(Settings!$B$5,6,1),'Bills Log'!$A$6:$A$505,"&lt;"&amp;DATE(Settings!$B$5,7,1),'Bills Log'!$B$6:$B$505,Settings!$B$7,'Bills Log'!$C$6:$C$505,$A10)</f>
        <v/>
      </c>
      <c r="H10" s="48">
        <f>SUMIFS('Bills Log'!$F$6:$F$505,'Bills Log'!$A$6:$A$505,"&gt;="&amp;DATE(Settings!$B$5,7,1),'Bills Log'!$A$6:$A$505,"&lt;"&amp;DATE(Settings!$B$5,8,1),'Bills Log'!$B$6:$B$505,Settings!$B$7,'Bills Log'!$C$6:$C$505,$A10)</f>
        <v/>
      </c>
      <c r="I10" s="48">
        <f>SUMIFS('Bills Log'!$F$6:$F$505,'Bills Log'!$A$6:$A$505,"&gt;="&amp;DATE(Settings!$B$5,8,1),'Bills Log'!$A$6:$A$505,"&lt;"&amp;DATE(Settings!$B$5,9,1),'Bills Log'!$B$6:$B$505,Settings!$B$7,'Bills Log'!$C$6:$C$505,$A10)</f>
        <v/>
      </c>
      <c r="J10" s="48">
        <f>SUMIFS('Bills Log'!$F$6:$F$505,'Bills Log'!$A$6:$A$505,"&gt;="&amp;DATE(Settings!$B$5,9,1),'Bills Log'!$A$6:$A$505,"&lt;"&amp;DATE(Settings!$B$5,10,1),'Bills Log'!$B$6:$B$505,Settings!$B$7,'Bills Log'!$C$6:$C$505,$A10)</f>
        <v/>
      </c>
      <c r="K10" s="48">
        <f>SUMIFS('Bills Log'!$F$6:$F$505,'Bills Log'!$A$6:$A$505,"&gt;="&amp;DATE(Settings!$B$5,10,1),'Bills Log'!$A$6:$A$505,"&lt;"&amp;DATE(Settings!$B$5,11,1),'Bills Log'!$B$6:$B$505,Settings!$B$7,'Bills Log'!$C$6:$C$505,$A10)</f>
        <v/>
      </c>
      <c r="L10" s="48">
        <f>SUMIFS('Bills Log'!$F$6:$F$505,'Bills Log'!$A$6:$A$505,"&gt;="&amp;DATE(Settings!$B$5,11,1),'Bills Log'!$A$6:$A$505,"&lt;"&amp;DATE(Settings!$B$5,12,1),'Bills Log'!$B$6:$B$505,Settings!$B$7,'Bills Log'!$C$6:$C$505,$A10)</f>
        <v/>
      </c>
      <c r="M10" s="48">
        <f>SUMIFS('Bills Log'!$F$6:$F$505,'Bills Log'!$A$6:$A$505,"&gt;="&amp;DATE(Settings!$B$5,12,1),'Bills Log'!$A$6:$A$505,"&lt;"&amp;DATE(Settings!$B$5+1,1,1),'Bills Log'!$B$6:$B$505,Settings!$B$7,'Bills Log'!$C$6:$C$505,$A10)</f>
        <v/>
      </c>
      <c r="N10" s="49">
        <f>SUM(B10:M10)</f>
        <v/>
      </c>
      <c r="O10" s="48">
        <f>IFERROR(N10/12,0)</f>
        <v/>
      </c>
    </row>
    <row r="11" ht="16" customHeight="1">
      <c r="A11" s="47" t="inlineStr">
        <is>
          <t>Internet</t>
        </is>
      </c>
      <c r="B11" s="48">
        <f>SUMIFS('Bills Log'!$F$6:$F$505,'Bills Log'!$A$6:$A$505,"&gt;="&amp;DATE(Settings!$B$5,1,1),'Bills Log'!$A$6:$A$505,"&lt;"&amp;DATE(Settings!$B$5,2,1),'Bills Log'!$B$6:$B$505,Settings!$B$7,'Bills Log'!$C$6:$C$505,$A11)</f>
        <v/>
      </c>
      <c r="C11" s="48">
        <f>SUMIFS('Bills Log'!$F$6:$F$505,'Bills Log'!$A$6:$A$505,"&gt;="&amp;DATE(Settings!$B$5,2,1),'Bills Log'!$A$6:$A$505,"&lt;"&amp;DATE(Settings!$B$5,3,1),'Bills Log'!$B$6:$B$505,Settings!$B$7,'Bills Log'!$C$6:$C$505,$A11)</f>
        <v/>
      </c>
      <c r="D11" s="48">
        <f>SUMIFS('Bills Log'!$F$6:$F$505,'Bills Log'!$A$6:$A$505,"&gt;="&amp;DATE(Settings!$B$5,3,1),'Bills Log'!$A$6:$A$505,"&lt;"&amp;DATE(Settings!$B$5,4,1),'Bills Log'!$B$6:$B$505,Settings!$B$7,'Bills Log'!$C$6:$C$505,$A11)</f>
        <v/>
      </c>
      <c r="E11" s="48">
        <f>SUMIFS('Bills Log'!$F$6:$F$505,'Bills Log'!$A$6:$A$505,"&gt;="&amp;DATE(Settings!$B$5,4,1),'Bills Log'!$A$6:$A$505,"&lt;"&amp;DATE(Settings!$B$5,5,1),'Bills Log'!$B$6:$B$505,Settings!$B$7,'Bills Log'!$C$6:$C$505,$A11)</f>
        <v/>
      </c>
      <c r="F11" s="48">
        <f>SUMIFS('Bills Log'!$F$6:$F$505,'Bills Log'!$A$6:$A$505,"&gt;="&amp;DATE(Settings!$B$5,5,1),'Bills Log'!$A$6:$A$505,"&lt;"&amp;DATE(Settings!$B$5,6,1),'Bills Log'!$B$6:$B$505,Settings!$B$7,'Bills Log'!$C$6:$C$505,$A11)</f>
        <v/>
      </c>
      <c r="G11" s="48">
        <f>SUMIFS('Bills Log'!$F$6:$F$505,'Bills Log'!$A$6:$A$505,"&gt;="&amp;DATE(Settings!$B$5,6,1),'Bills Log'!$A$6:$A$505,"&lt;"&amp;DATE(Settings!$B$5,7,1),'Bills Log'!$B$6:$B$505,Settings!$B$7,'Bills Log'!$C$6:$C$505,$A11)</f>
        <v/>
      </c>
      <c r="H11" s="48">
        <f>SUMIFS('Bills Log'!$F$6:$F$505,'Bills Log'!$A$6:$A$505,"&gt;="&amp;DATE(Settings!$B$5,7,1),'Bills Log'!$A$6:$A$505,"&lt;"&amp;DATE(Settings!$B$5,8,1),'Bills Log'!$B$6:$B$505,Settings!$B$7,'Bills Log'!$C$6:$C$505,$A11)</f>
        <v/>
      </c>
      <c r="I11" s="48">
        <f>SUMIFS('Bills Log'!$F$6:$F$505,'Bills Log'!$A$6:$A$505,"&gt;="&amp;DATE(Settings!$B$5,8,1),'Bills Log'!$A$6:$A$505,"&lt;"&amp;DATE(Settings!$B$5,9,1),'Bills Log'!$B$6:$B$505,Settings!$B$7,'Bills Log'!$C$6:$C$505,$A11)</f>
        <v/>
      </c>
      <c r="J11" s="48">
        <f>SUMIFS('Bills Log'!$F$6:$F$505,'Bills Log'!$A$6:$A$505,"&gt;="&amp;DATE(Settings!$B$5,9,1),'Bills Log'!$A$6:$A$505,"&lt;"&amp;DATE(Settings!$B$5,10,1),'Bills Log'!$B$6:$B$505,Settings!$B$7,'Bills Log'!$C$6:$C$505,$A11)</f>
        <v/>
      </c>
      <c r="K11" s="48">
        <f>SUMIFS('Bills Log'!$F$6:$F$505,'Bills Log'!$A$6:$A$505,"&gt;="&amp;DATE(Settings!$B$5,10,1),'Bills Log'!$A$6:$A$505,"&lt;"&amp;DATE(Settings!$B$5,11,1),'Bills Log'!$B$6:$B$505,Settings!$B$7,'Bills Log'!$C$6:$C$505,$A11)</f>
        <v/>
      </c>
      <c r="L11" s="48">
        <f>SUMIFS('Bills Log'!$F$6:$F$505,'Bills Log'!$A$6:$A$505,"&gt;="&amp;DATE(Settings!$B$5,11,1),'Bills Log'!$A$6:$A$505,"&lt;"&amp;DATE(Settings!$B$5,12,1),'Bills Log'!$B$6:$B$505,Settings!$B$7,'Bills Log'!$C$6:$C$505,$A11)</f>
        <v/>
      </c>
      <c r="M11" s="48">
        <f>SUMIFS('Bills Log'!$F$6:$F$505,'Bills Log'!$A$6:$A$505,"&gt;="&amp;DATE(Settings!$B$5,12,1),'Bills Log'!$A$6:$A$505,"&lt;"&amp;DATE(Settings!$B$5+1,1,1),'Bills Log'!$B$6:$B$505,Settings!$B$7,'Bills Log'!$C$6:$C$505,$A11)</f>
        <v/>
      </c>
      <c r="N11" s="49">
        <f>SUM(B11:M11)</f>
        <v/>
      </c>
      <c r="O11" s="48">
        <f>IFERROR(N11/12,0)</f>
        <v/>
      </c>
    </row>
    <row r="12" ht="16" customHeight="1">
      <c r="A12" s="47" t="inlineStr">
        <is>
          <t>Trash</t>
        </is>
      </c>
      <c r="B12" s="48">
        <f>SUMIFS('Bills Log'!$F$6:$F$505,'Bills Log'!$A$6:$A$505,"&gt;="&amp;DATE(Settings!$B$5,1,1),'Bills Log'!$A$6:$A$505,"&lt;"&amp;DATE(Settings!$B$5,2,1),'Bills Log'!$B$6:$B$505,Settings!$B$7,'Bills Log'!$C$6:$C$505,$A12)</f>
        <v/>
      </c>
      <c r="C12" s="48">
        <f>SUMIFS('Bills Log'!$F$6:$F$505,'Bills Log'!$A$6:$A$505,"&gt;="&amp;DATE(Settings!$B$5,2,1),'Bills Log'!$A$6:$A$505,"&lt;"&amp;DATE(Settings!$B$5,3,1),'Bills Log'!$B$6:$B$505,Settings!$B$7,'Bills Log'!$C$6:$C$505,$A12)</f>
        <v/>
      </c>
      <c r="D12" s="48">
        <f>SUMIFS('Bills Log'!$F$6:$F$505,'Bills Log'!$A$6:$A$505,"&gt;="&amp;DATE(Settings!$B$5,3,1),'Bills Log'!$A$6:$A$505,"&lt;"&amp;DATE(Settings!$B$5,4,1),'Bills Log'!$B$6:$B$505,Settings!$B$7,'Bills Log'!$C$6:$C$505,$A12)</f>
        <v/>
      </c>
      <c r="E12" s="48">
        <f>SUMIFS('Bills Log'!$F$6:$F$505,'Bills Log'!$A$6:$A$505,"&gt;="&amp;DATE(Settings!$B$5,4,1),'Bills Log'!$A$6:$A$505,"&lt;"&amp;DATE(Settings!$B$5,5,1),'Bills Log'!$B$6:$B$505,Settings!$B$7,'Bills Log'!$C$6:$C$505,$A12)</f>
        <v/>
      </c>
      <c r="F12" s="48">
        <f>SUMIFS('Bills Log'!$F$6:$F$505,'Bills Log'!$A$6:$A$505,"&gt;="&amp;DATE(Settings!$B$5,5,1),'Bills Log'!$A$6:$A$505,"&lt;"&amp;DATE(Settings!$B$5,6,1),'Bills Log'!$B$6:$B$505,Settings!$B$7,'Bills Log'!$C$6:$C$505,$A12)</f>
        <v/>
      </c>
      <c r="G12" s="48">
        <f>SUMIFS('Bills Log'!$F$6:$F$505,'Bills Log'!$A$6:$A$505,"&gt;="&amp;DATE(Settings!$B$5,6,1),'Bills Log'!$A$6:$A$505,"&lt;"&amp;DATE(Settings!$B$5,7,1),'Bills Log'!$B$6:$B$505,Settings!$B$7,'Bills Log'!$C$6:$C$505,$A12)</f>
        <v/>
      </c>
      <c r="H12" s="48">
        <f>SUMIFS('Bills Log'!$F$6:$F$505,'Bills Log'!$A$6:$A$505,"&gt;="&amp;DATE(Settings!$B$5,7,1),'Bills Log'!$A$6:$A$505,"&lt;"&amp;DATE(Settings!$B$5,8,1),'Bills Log'!$B$6:$B$505,Settings!$B$7,'Bills Log'!$C$6:$C$505,$A12)</f>
        <v/>
      </c>
      <c r="I12" s="48">
        <f>SUMIFS('Bills Log'!$F$6:$F$505,'Bills Log'!$A$6:$A$505,"&gt;="&amp;DATE(Settings!$B$5,8,1),'Bills Log'!$A$6:$A$505,"&lt;"&amp;DATE(Settings!$B$5,9,1),'Bills Log'!$B$6:$B$505,Settings!$B$7,'Bills Log'!$C$6:$C$505,$A12)</f>
        <v/>
      </c>
      <c r="J12" s="48">
        <f>SUMIFS('Bills Log'!$F$6:$F$505,'Bills Log'!$A$6:$A$505,"&gt;="&amp;DATE(Settings!$B$5,9,1),'Bills Log'!$A$6:$A$505,"&lt;"&amp;DATE(Settings!$B$5,10,1),'Bills Log'!$B$6:$B$505,Settings!$B$7,'Bills Log'!$C$6:$C$505,$A12)</f>
        <v/>
      </c>
      <c r="K12" s="48">
        <f>SUMIFS('Bills Log'!$F$6:$F$505,'Bills Log'!$A$6:$A$505,"&gt;="&amp;DATE(Settings!$B$5,10,1),'Bills Log'!$A$6:$A$505,"&lt;"&amp;DATE(Settings!$B$5,11,1),'Bills Log'!$B$6:$B$505,Settings!$B$7,'Bills Log'!$C$6:$C$505,$A12)</f>
        <v/>
      </c>
      <c r="L12" s="48">
        <f>SUMIFS('Bills Log'!$F$6:$F$505,'Bills Log'!$A$6:$A$505,"&gt;="&amp;DATE(Settings!$B$5,11,1),'Bills Log'!$A$6:$A$505,"&lt;"&amp;DATE(Settings!$B$5,12,1),'Bills Log'!$B$6:$B$505,Settings!$B$7,'Bills Log'!$C$6:$C$505,$A12)</f>
        <v/>
      </c>
      <c r="M12" s="48">
        <f>SUMIFS('Bills Log'!$F$6:$F$505,'Bills Log'!$A$6:$A$505,"&gt;="&amp;DATE(Settings!$B$5,12,1),'Bills Log'!$A$6:$A$505,"&lt;"&amp;DATE(Settings!$B$5+1,1,1),'Bills Log'!$B$6:$B$505,Settings!$B$7,'Bills Log'!$C$6:$C$505,$A12)</f>
        <v/>
      </c>
      <c r="N12" s="49">
        <f>SUM(B12:M12)</f>
        <v/>
      </c>
      <c r="O12" s="48">
        <f>IFERROR(N12/12,0)</f>
        <v/>
      </c>
    </row>
    <row r="13" ht="16" customHeight="1">
      <c r="A13" s="47" t="inlineStr">
        <is>
          <t>Propane</t>
        </is>
      </c>
      <c r="B13" s="48">
        <f>SUMIFS('Bills Log'!$F$6:$F$505,'Bills Log'!$A$6:$A$505,"&gt;="&amp;DATE(Settings!$B$5,1,1),'Bills Log'!$A$6:$A$505,"&lt;"&amp;DATE(Settings!$B$5,2,1),'Bills Log'!$B$6:$B$505,Settings!$B$7,'Bills Log'!$C$6:$C$505,$A13)</f>
        <v/>
      </c>
      <c r="C13" s="48">
        <f>SUMIFS('Bills Log'!$F$6:$F$505,'Bills Log'!$A$6:$A$505,"&gt;="&amp;DATE(Settings!$B$5,2,1),'Bills Log'!$A$6:$A$505,"&lt;"&amp;DATE(Settings!$B$5,3,1),'Bills Log'!$B$6:$B$505,Settings!$B$7,'Bills Log'!$C$6:$C$505,$A13)</f>
        <v/>
      </c>
      <c r="D13" s="48">
        <f>SUMIFS('Bills Log'!$F$6:$F$505,'Bills Log'!$A$6:$A$505,"&gt;="&amp;DATE(Settings!$B$5,3,1),'Bills Log'!$A$6:$A$505,"&lt;"&amp;DATE(Settings!$B$5,4,1),'Bills Log'!$B$6:$B$505,Settings!$B$7,'Bills Log'!$C$6:$C$505,$A13)</f>
        <v/>
      </c>
      <c r="E13" s="48">
        <f>SUMIFS('Bills Log'!$F$6:$F$505,'Bills Log'!$A$6:$A$505,"&gt;="&amp;DATE(Settings!$B$5,4,1),'Bills Log'!$A$6:$A$505,"&lt;"&amp;DATE(Settings!$B$5,5,1),'Bills Log'!$B$6:$B$505,Settings!$B$7,'Bills Log'!$C$6:$C$505,$A13)</f>
        <v/>
      </c>
      <c r="F13" s="48">
        <f>SUMIFS('Bills Log'!$F$6:$F$505,'Bills Log'!$A$6:$A$505,"&gt;="&amp;DATE(Settings!$B$5,5,1),'Bills Log'!$A$6:$A$505,"&lt;"&amp;DATE(Settings!$B$5,6,1),'Bills Log'!$B$6:$B$505,Settings!$B$7,'Bills Log'!$C$6:$C$505,$A13)</f>
        <v/>
      </c>
      <c r="G13" s="48">
        <f>SUMIFS('Bills Log'!$F$6:$F$505,'Bills Log'!$A$6:$A$505,"&gt;="&amp;DATE(Settings!$B$5,6,1),'Bills Log'!$A$6:$A$505,"&lt;"&amp;DATE(Settings!$B$5,7,1),'Bills Log'!$B$6:$B$505,Settings!$B$7,'Bills Log'!$C$6:$C$505,$A13)</f>
        <v/>
      </c>
      <c r="H13" s="48">
        <f>SUMIFS('Bills Log'!$F$6:$F$505,'Bills Log'!$A$6:$A$505,"&gt;="&amp;DATE(Settings!$B$5,7,1),'Bills Log'!$A$6:$A$505,"&lt;"&amp;DATE(Settings!$B$5,8,1),'Bills Log'!$B$6:$B$505,Settings!$B$7,'Bills Log'!$C$6:$C$505,$A13)</f>
        <v/>
      </c>
      <c r="I13" s="48">
        <f>SUMIFS('Bills Log'!$F$6:$F$505,'Bills Log'!$A$6:$A$505,"&gt;="&amp;DATE(Settings!$B$5,8,1),'Bills Log'!$A$6:$A$505,"&lt;"&amp;DATE(Settings!$B$5,9,1),'Bills Log'!$B$6:$B$505,Settings!$B$7,'Bills Log'!$C$6:$C$505,$A13)</f>
        <v/>
      </c>
      <c r="J13" s="48">
        <f>SUMIFS('Bills Log'!$F$6:$F$505,'Bills Log'!$A$6:$A$505,"&gt;="&amp;DATE(Settings!$B$5,9,1),'Bills Log'!$A$6:$A$505,"&lt;"&amp;DATE(Settings!$B$5,10,1),'Bills Log'!$B$6:$B$505,Settings!$B$7,'Bills Log'!$C$6:$C$505,$A13)</f>
        <v/>
      </c>
      <c r="K13" s="48">
        <f>SUMIFS('Bills Log'!$F$6:$F$505,'Bills Log'!$A$6:$A$505,"&gt;="&amp;DATE(Settings!$B$5,10,1),'Bills Log'!$A$6:$A$505,"&lt;"&amp;DATE(Settings!$B$5,11,1),'Bills Log'!$B$6:$B$505,Settings!$B$7,'Bills Log'!$C$6:$C$505,$A13)</f>
        <v/>
      </c>
      <c r="L13" s="48">
        <f>SUMIFS('Bills Log'!$F$6:$F$505,'Bills Log'!$A$6:$A$505,"&gt;="&amp;DATE(Settings!$B$5,11,1),'Bills Log'!$A$6:$A$505,"&lt;"&amp;DATE(Settings!$B$5,12,1),'Bills Log'!$B$6:$B$505,Settings!$B$7,'Bills Log'!$C$6:$C$505,$A13)</f>
        <v/>
      </c>
      <c r="M13" s="48">
        <f>SUMIFS('Bills Log'!$F$6:$F$505,'Bills Log'!$A$6:$A$505,"&gt;="&amp;DATE(Settings!$B$5,12,1),'Bills Log'!$A$6:$A$505,"&lt;"&amp;DATE(Settings!$B$5+1,1,1),'Bills Log'!$B$6:$B$505,Settings!$B$7,'Bills Log'!$C$6:$C$505,$A13)</f>
        <v/>
      </c>
      <c r="N13" s="49">
        <f>SUM(B13:M13)</f>
        <v/>
      </c>
      <c r="O13" s="48">
        <f>IFERROR(N13/12,0)</f>
        <v/>
      </c>
    </row>
    <row r="14" ht="18" customHeight="1">
      <c r="A14" s="50" t="inlineStr">
        <is>
          <t>TOTAL</t>
        </is>
      </c>
      <c r="B14" s="49">
        <f>SUM(B8:B13)</f>
        <v/>
      </c>
      <c r="C14" s="49">
        <f>SUM(C8:C13)</f>
        <v/>
      </c>
      <c r="D14" s="49">
        <f>SUM(D8:D13)</f>
        <v/>
      </c>
      <c r="E14" s="49">
        <f>SUM(E8:E13)</f>
        <v/>
      </c>
      <c r="F14" s="49">
        <f>SUM(F8:F13)</f>
        <v/>
      </c>
      <c r="G14" s="49">
        <f>SUM(G8:G13)</f>
        <v/>
      </c>
      <c r="H14" s="49">
        <f>SUM(H8:H13)</f>
        <v/>
      </c>
      <c r="I14" s="49">
        <f>SUM(I8:I13)</f>
        <v/>
      </c>
      <c r="J14" s="49">
        <f>SUM(J8:J13)</f>
        <v/>
      </c>
      <c r="K14" s="49">
        <f>SUM(K8:K13)</f>
        <v/>
      </c>
      <c r="L14" s="49">
        <f>SUM(L8:L13)</f>
        <v/>
      </c>
      <c r="M14" s="49">
        <f>SUM(M8:M13)</f>
        <v/>
      </c>
      <c r="N14" s="49">
        <f>SUM(N8:N13)</f>
        <v/>
      </c>
      <c r="O14" s="49">
        <f>SUM(O8:O13)</f>
        <v/>
      </c>
    </row>
    <row r="28" ht="22" customHeight="1">
      <c r="A28" s="46">
        <f>"Property: "&amp;Settings!$B$8</f>
        <v/>
      </c>
    </row>
    <row r="29" ht="18" customHeight="1">
      <c r="A29" s="39" t="inlineStr">
        <is>
          <t>Service</t>
        </is>
      </c>
      <c r="B29" s="39" t="inlineStr">
        <is>
          <t>Jan</t>
        </is>
      </c>
      <c r="C29" s="39" t="inlineStr">
        <is>
          <t>Feb</t>
        </is>
      </c>
      <c r="D29" s="39" t="inlineStr">
        <is>
          <t>Mar</t>
        </is>
      </c>
      <c r="E29" s="39" t="inlineStr">
        <is>
          <t>Apr</t>
        </is>
      </c>
      <c r="F29" s="39" t="inlineStr">
        <is>
          <t>May</t>
        </is>
      </c>
      <c r="G29" s="39" t="inlineStr">
        <is>
          <t>Jun</t>
        </is>
      </c>
      <c r="H29" s="39" t="inlineStr">
        <is>
          <t>Jul</t>
        </is>
      </c>
      <c r="I29" s="39" t="inlineStr">
        <is>
          <t>Aug</t>
        </is>
      </c>
      <c r="J29" s="39" t="inlineStr">
        <is>
          <t>Sep</t>
        </is>
      </c>
      <c r="K29" s="39" t="inlineStr">
        <is>
          <t>Oct</t>
        </is>
      </c>
      <c r="L29" s="39" t="inlineStr">
        <is>
          <t>Nov</t>
        </is>
      </c>
      <c r="M29" s="39" t="inlineStr">
        <is>
          <t>Dec</t>
        </is>
      </c>
      <c r="N29" s="39" t="inlineStr">
        <is>
          <t>Total</t>
        </is>
      </c>
      <c r="O29" s="39" t="inlineStr">
        <is>
          <t>Avg</t>
        </is>
      </c>
    </row>
    <row r="30" ht="16" customHeight="1">
      <c r="A30" s="47" t="inlineStr">
        <is>
          <t>Electric</t>
        </is>
      </c>
      <c r="B30" s="48">
        <f>SUMIFS('Bills Log'!$F$6:$F$505,'Bills Log'!$A$6:$A$505,"&gt;="&amp;DATE(Settings!$B$5,1,1),'Bills Log'!$A$6:$A$505,"&lt;"&amp;DATE(Settings!$B$5,2,1),'Bills Log'!$B$6:$B$505,Settings!$B$8,'Bills Log'!$C$6:$C$505,$A30)</f>
        <v/>
      </c>
      <c r="C30" s="48">
        <f>SUMIFS('Bills Log'!$F$6:$F$505,'Bills Log'!$A$6:$A$505,"&gt;="&amp;DATE(Settings!$B$5,2,1),'Bills Log'!$A$6:$A$505,"&lt;"&amp;DATE(Settings!$B$5,3,1),'Bills Log'!$B$6:$B$505,Settings!$B$8,'Bills Log'!$C$6:$C$505,$A30)</f>
        <v/>
      </c>
      <c r="D30" s="48">
        <f>SUMIFS('Bills Log'!$F$6:$F$505,'Bills Log'!$A$6:$A$505,"&gt;="&amp;DATE(Settings!$B$5,3,1),'Bills Log'!$A$6:$A$505,"&lt;"&amp;DATE(Settings!$B$5,4,1),'Bills Log'!$B$6:$B$505,Settings!$B$8,'Bills Log'!$C$6:$C$505,$A30)</f>
        <v/>
      </c>
      <c r="E30" s="48">
        <f>SUMIFS('Bills Log'!$F$6:$F$505,'Bills Log'!$A$6:$A$505,"&gt;="&amp;DATE(Settings!$B$5,4,1),'Bills Log'!$A$6:$A$505,"&lt;"&amp;DATE(Settings!$B$5,5,1),'Bills Log'!$B$6:$B$505,Settings!$B$8,'Bills Log'!$C$6:$C$505,$A30)</f>
        <v/>
      </c>
      <c r="F30" s="48">
        <f>SUMIFS('Bills Log'!$F$6:$F$505,'Bills Log'!$A$6:$A$505,"&gt;="&amp;DATE(Settings!$B$5,5,1),'Bills Log'!$A$6:$A$505,"&lt;"&amp;DATE(Settings!$B$5,6,1),'Bills Log'!$B$6:$B$505,Settings!$B$8,'Bills Log'!$C$6:$C$505,$A30)</f>
        <v/>
      </c>
      <c r="G30" s="48">
        <f>SUMIFS('Bills Log'!$F$6:$F$505,'Bills Log'!$A$6:$A$505,"&gt;="&amp;DATE(Settings!$B$5,6,1),'Bills Log'!$A$6:$A$505,"&lt;"&amp;DATE(Settings!$B$5,7,1),'Bills Log'!$B$6:$B$505,Settings!$B$8,'Bills Log'!$C$6:$C$505,$A30)</f>
        <v/>
      </c>
      <c r="H30" s="48">
        <f>SUMIFS('Bills Log'!$F$6:$F$505,'Bills Log'!$A$6:$A$505,"&gt;="&amp;DATE(Settings!$B$5,7,1),'Bills Log'!$A$6:$A$505,"&lt;"&amp;DATE(Settings!$B$5,8,1),'Bills Log'!$B$6:$B$505,Settings!$B$8,'Bills Log'!$C$6:$C$505,$A30)</f>
        <v/>
      </c>
      <c r="I30" s="48">
        <f>SUMIFS('Bills Log'!$F$6:$F$505,'Bills Log'!$A$6:$A$505,"&gt;="&amp;DATE(Settings!$B$5,8,1),'Bills Log'!$A$6:$A$505,"&lt;"&amp;DATE(Settings!$B$5,9,1),'Bills Log'!$B$6:$B$505,Settings!$B$8,'Bills Log'!$C$6:$C$505,$A30)</f>
        <v/>
      </c>
      <c r="J30" s="48">
        <f>SUMIFS('Bills Log'!$F$6:$F$505,'Bills Log'!$A$6:$A$505,"&gt;="&amp;DATE(Settings!$B$5,9,1),'Bills Log'!$A$6:$A$505,"&lt;"&amp;DATE(Settings!$B$5,10,1),'Bills Log'!$B$6:$B$505,Settings!$B$8,'Bills Log'!$C$6:$C$505,$A30)</f>
        <v/>
      </c>
      <c r="K30" s="48">
        <f>SUMIFS('Bills Log'!$F$6:$F$505,'Bills Log'!$A$6:$A$505,"&gt;="&amp;DATE(Settings!$B$5,10,1),'Bills Log'!$A$6:$A$505,"&lt;"&amp;DATE(Settings!$B$5,11,1),'Bills Log'!$B$6:$B$505,Settings!$B$8,'Bills Log'!$C$6:$C$505,$A30)</f>
        <v/>
      </c>
      <c r="L30" s="48">
        <f>SUMIFS('Bills Log'!$F$6:$F$505,'Bills Log'!$A$6:$A$505,"&gt;="&amp;DATE(Settings!$B$5,11,1),'Bills Log'!$A$6:$A$505,"&lt;"&amp;DATE(Settings!$B$5,12,1),'Bills Log'!$B$6:$B$505,Settings!$B$8,'Bills Log'!$C$6:$C$505,$A30)</f>
        <v/>
      </c>
      <c r="M30" s="48">
        <f>SUMIFS('Bills Log'!$F$6:$F$505,'Bills Log'!$A$6:$A$505,"&gt;="&amp;DATE(Settings!$B$5,12,1),'Bills Log'!$A$6:$A$505,"&lt;"&amp;DATE(Settings!$B$5+1,1,1),'Bills Log'!$B$6:$B$505,Settings!$B$8,'Bills Log'!$C$6:$C$505,$A30)</f>
        <v/>
      </c>
      <c r="N30" s="49">
        <f>SUM(B30:M30)</f>
        <v/>
      </c>
      <c r="O30" s="48">
        <f>IFERROR(N30/12,0)</f>
        <v/>
      </c>
    </row>
    <row r="31" ht="16" customHeight="1">
      <c r="A31" s="47" t="inlineStr">
        <is>
          <t>Gas</t>
        </is>
      </c>
      <c r="B31" s="48">
        <f>SUMIFS('Bills Log'!$F$6:$F$505,'Bills Log'!$A$6:$A$505,"&gt;="&amp;DATE(Settings!$B$5,1,1),'Bills Log'!$A$6:$A$505,"&lt;"&amp;DATE(Settings!$B$5,2,1),'Bills Log'!$B$6:$B$505,Settings!$B$8,'Bills Log'!$C$6:$C$505,$A31)</f>
        <v/>
      </c>
      <c r="C31" s="48">
        <f>SUMIFS('Bills Log'!$F$6:$F$505,'Bills Log'!$A$6:$A$505,"&gt;="&amp;DATE(Settings!$B$5,2,1),'Bills Log'!$A$6:$A$505,"&lt;"&amp;DATE(Settings!$B$5,3,1),'Bills Log'!$B$6:$B$505,Settings!$B$8,'Bills Log'!$C$6:$C$505,$A31)</f>
        <v/>
      </c>
      <c r="D31" s="48">
        <f>SUMIFS('Bills Log'!$F$6:$F$505,'Bills Log'!$A$6:$A$505,"&gt;="&amp;DATE(Settings!$B$5,3,1),'Bills Log'!$A$6:$A$505,"&lt;"&amp;DATE(Settings!$B$5,4,1),'Bills Log'!$B$6:$B$505,Settings!$B$8,'Bills Log'!$C$6:$C$505,$A31)</f>
        <v/>
      </c>
      <c r="E31" s="48">
        <f>SUMIFS('Bills Log'!$F$6:$F$505,'Bills Log'!$A$6:$A$505,"&gt;="&amp;DATE(Settings!$B$5,4,1),'Bills Log'!$A$6:$A$505,"&lt;"&amp;DATE(Settings!$B$5,5,1),'Bills Log'!$B$6:$B$505,Settings!$B$8,'Bills Log'!$C$6:$C$505,$A31)</f>
        <v/>
      </c>
      <c r="F31" s="48">
        <f>SUMIFS('Bills Log'!$F$6:$F$505,'Bills Log'!$A$6:$A$505,"&gt;="&amp;DATE(Settings!$B$5,5,1),'Bills Log'!$A$6:$A$505,"&lt;"&amp;DATE(Settings!$B$5,6,1),'Bills Log'!$B$6:$B$505,Settings!$B$8,'Bills Log'!$C$6:$C$505,$A31)</f>
        <v/>
      </c>
      <c r="G31" s="48">
        <f>SUMIFS('Bills Log'!$F$6:$F$505,'Bills Log'!$A$6:$A$505,"&gt;="&amp;DATE(Settings!$B$5,6,1),'Bills Log'!$A$6:$A$505,"&lt;"&amp;DATE(Settings!$B$5,7,1),'Bills Log'!$B$6:$B$505,Settings!$B$8,'Bills Log'!$C$6:$C$505,$A31)</f>
        <v/>
      </c>
      <c r="H31" s="48">
        <f>SUMIFS('Bills Log'!$F$6:$F$505,'Bills Log'!$A$6:$A$505,"&gt;="&amp;DATE(Settings!$B$5,7,1),'Bills Log'!$A$6:$A$505,"&lt;"&amp;DATE(Settings!$B$5,8,1),'Bills Log'!$B$6:$B$505,Settings!$B$8,'Bills Log'!$C$6:$C$505,$A31)</f>
        <v/>
      </c>
      <c r="I31" s="48">
        <f>SUMIFS('Bills Log'!$F$6:$F$505,'Bills Log'!$A$6:$A$505,"&gt;="&amp;DATE(Settings!$B$5,8,1),'Bills Log'!$A$6:$A$505,"&lt;"&amp;DATE(Settings!$B$5,9,1),'Bills Log'!$B$6:$B$505,Settings!$B$8,'Bills Log'!$C$6:$C$505,$A31)</f>
        <v/>
      </c>
      <c r="J31" s="48">
        <f>SUMIFS('Bills Log'!$F$6:$F$505,'Bills Log'!$A$6:$A$505,"&gt;="&amp;DATE(Settings!$B$5,9,1),'Bills Log'!$A$6:$A$505,"&lt;"&amp;DATE(Settings!$B$5,10,1),'Bills Log'!$B$6:$B$505,Settings!$B$8,'Bills Log'!$C$6:$C$505,$A31)</f>
        <v/>
      </c>
      <c r="K31" s="48">
        <f>SUMIFS('Bills Log'!$F$6:$F$505,'Bills Log'!$A$6:$A$505,"&gt;="&amp;DATE(Settings!$B$5,10,1),'Bills Log'!$A$6:$A$505,"&lt;"&amp;DATE(Settings!$B$5,11,1),'Bills Log'!$B$6:$B$505,Settings!$B$8,'Bills Log'!$C$6:$C$505,$A31)</f>
        <v/>
      </c>
      <c r="L31" s="48">
        <f>SUMIFS('Bills Log'!$F$6:$F$505,'Bills Log'!$A$6:$A$505,"&gt;="&amp;DATE(Settings!$B$5,11,1),'Bills Log'!$A$6:$A$505,"&lt;"&amp;DATE(Settings!$B$5,12,1),'Bills Log'!$B$6:$B$505,Settings!$B$8,'Bills Log'!$C$6:$C$505,$A31)</f>
        <v/>
      </c>
      <c r="M31" s="48">
        <f>SUMIFS('Bills Log'!$F$6:$F$505,'Bills Log'!$A$6:$A$505,"&gt;="&amp;DATE(Settings!$B$5,12,1),'Bills Log'!$A$6:$A$505,"&lt;"&amp;DATE(Settings!$B$5+1,1,1),'Bills Log'!$B$6:$B$505,Settings!$B$8,'Bills Log'!$C$6:$C$505,$A31)</f>
        <v/>
      </c>
      <c r="N31" s="49">
        <f>SUM(B31:M31)</f>
        <v/>
      </c>
      <c r="O31" s="48">
        <f>IFERROR(N31/12,0)</f>
        <v/>
      </c>
    </row>
    <row r="32" ht="16" customHeight="1">
      <c r="A32" s="47" t="inlineStr">
        <is>
          <t>Water</t>
        </is>
      </c>
      <c r="B32" s="48">
        <f>SUMIFS('Bills Log'!$F$6:$F$505,'Bills Log'!$A$6:$A$505,"&gt;="&amp;DATE(Settings!$B$5,1,1),'Bills Log'!$A$6:$A$505,"&lt;"&amp;DATE(Settings!$B$5,2,1),'Bills Log'!$B$6:$B$505,Settings!$B$8,'Bills Log'!$C$6:$C$505,$A32)</f>
        <v/>
      </c>
      <c r="C32" s="48">
        <f>SUMIFS('Bills Log'!$F$6:$F$505,'Bills Log'!$A$6:$A$505,"&gt;="&amp;DATE(Settings!$B$5,2,1),'Bills Log'!$A$6:$A$505,"&lt;"&amp;DATE(Settings!$B$5,3,1),'Bills Log'!$B$6:$B$505,Settings!$B$8,'Bills Log'!$C$6:$C$505,$A32)</f>
        <v/>
      </c>
      <c r="D32" s="48">
        <f>SUMIFS('Bills Log'!$F$6:$F$505,'Bills Log'!$A$6:$A$505,"&gt;="&amp;DATE(Settings!$B$5,3,1),'Bills Log'!$A$6:$A$505,"&lt;"&amp;DATE(Settings!$B$5,4,1),'Bills Log'!$B$6:$B$505,Settings!$B$8,'Bills Log'!$C$6:$C$505,$A32)</f>
        <v/>
      </c>
      <c r="E32" s="48">
        <f>SUMIFS('Bills Log'!$F$6:$F$505,'Bills Log'!$A$6:$A$505,"&gt;="&amp;DATE(Settings!$B$5,4,1),'Bills Log'!$A$6:$A$505,"&lt;"&amp;DATE(Settings!$B$5,5,1),'Bills Log'!$B$6:$B$505,Settings!$B$8,'Bills Log'!$C$6:$C$505,$A32)</f>
        <v/>
      </c>
      <c r="F32" s="48">
        <f>SUMIFS('Bills Log'!$F$6:$F$505,'Bills Log'!$A$6:$A$505,"&gt;="&amp;DATE(Settings!$B$5,5,1),'Bills Log'!$A$6:$A$505,"&lt;"&amp;DATE(Settings!$B$5,6,1),'Bills Log'!$B$6:$B$505,Settings!$B$8,'Bills Log'!$C$6:$C$505,$A32)</f>
        <v/>
      </c>
      <c r="G32" s="48">
        <f>SUMIFS('Bills Log'!$F$6:$F$505,'Bills Log'!$A$6:$A$505,"&gt;="&amp;DATE(Settings!$B$5,6,1),'Bills Log'!$A$6:$A$505,"&lt;"&amp;DATE(Settings!$B$5,7,1),'Bills Log'!$B$6:$B$505,Settings!$B$8,'Bills Log'!$C$6:$C$505,$A32)</f>
        <v/>
      </c>
      <c r="H32" s="48">
        <f>SUMIFS('Bills Log'!$F$6:$F$505,'Bills Log'!$A$6:$A$505,"&gt;="&amp;DATE(Settings!$B$5,7,1),'Bills Log'!$A$6:$A$505,"&lt;"&amp;DATE(Settings!$B$5,8,1),'Bills Log'!$B$6:$B$505,Settings!$B$8,'Bills Log'!$C$6:$C$505,$A32)</f>
        <v/>
      </c>
      <c r="I32" s="48">
        <f>SUMIFS('Bills Log'!$F$6:$F$505,'Bills Log'!$A$6:$A$505,"&gt;="&amp;DATE(Settings!$B$5,8,1),'Bills Log'!$A$6:$A$505,"&lt;"&amp;DATE(Settings!$B$5,9,1),'Bills Log'!$B$6:$B$505,Settings!$B$8,'Bills Log'!$C$6:$C$505,$A32)</f>
        <v/>
      </c>
      <c r="J32" s="48">
        <f>SUMIFS('Bills Log'!$F$6:$F$505,'Bills Log'!$A$6:$A$505,"&gt;="&amp;DATE(Settings!$B$5,9,1),'Bills Log'!$A$6:$A$505,"&lt;"&amp;DATE(Settings!$B$5,10,1),'Bills Log'!$B$6:$B$505,Settings!$B$8,'Bills Log'!$C$6:$C$505,$A32)</f>
        <v/>
      </c>
      <c r="K32" s="48">
        <f>SUMIFS('Bills Log'!$F$6:$F$505,'Bills Log'!$A$6:$A$505,"&gt;="&amp;DATE(Settings!$B$5,10,1),'Bills Log'!$A$6:$A$505,"&lt;"&amp;DATE(Settings!$B$5,11,1),'Bills Log'!$B$6:$B$505,Settings!$B$8,'Bills Log'!$C$6:$C$505,$A32)</f>
        <v/>
      </c>
      <c r="L32" s="48">
        <f>SUMIFS('Bills Log'!$F$6:$F$505,'Bills Log'!$A$6:$A$505,"&gt;="&amp;DATE(Settings!$B$5,11,1),'Bills Log'!$A$6:$A$505,"&lt;"&amp;DATE(Settings!$B$5,12,1),'Bills Log'!$B$6:$B$505,Settings!$B$8,'Bills Log'!$C$6:$C$505,$A32)</f>
        <v/>
      </c>
      <c r="M32" s="48">
        <f>SUMIFS('Bills Log'!$F$6:$F$505,'Bills Log'!$A$6:$A$505,"&gt;="&amp;DATE(Settings!$B$5,12,1),'Bills Log'!$A$6:$A$505,"&lt;"&amp;DATE(Settings!$B$5+1,1,1),'Bills Log'!$B$6:$B$505,Settings!$B$8,'Bills Log'!$C$6:$C$505,$A32)</f>
        <v/>
      </c>
      <c r="N32" s="49">
        <f>SUM(B32:M32)</f>
        <v/>
      </c>
      <c r="O32" s="48">
        <f>IFERROR(N32/12,0)</f>
        <v/>
      </c>
    </row>
    <row r="33" ht="16" customHeight="1">
      <c r="A33" s="47" t="inlineStr">
        <is>
          <t>Internet</t>
        </is>
      </c>
      <c r="B33" s="48">
        <f>SUMIFS('Bills Log'!$F$6:$F$505,'Bills Log'!$A$6:$A$505,"&gt;="&amp;DATE(Settings!$B$5,1,1),'Bills Log'!$A$6:$A$505,"&lt;"&amp;DATE(Settings!$B$5,2,1),'Bills Log'!$B$6:$B$505,Settings!$B$8,'Bills Log'!$C$6:$C$505,$A33)</f>
        <v/>
      </c>
      <c r="C33" s="48">
        <f>SUMIFS('Bills Log'!$F$6:$F$505,'Bills Log'!$A$6:$A$505,"&gt;="&amp;DATE(Settings!$B$5,2,1),'Bills Log'!$A$6:$A$505,"&lt;"&amp;DATE(Settings!$B$5,3,1),'Bills Log'!$B$6:$B$505,Settings!$B$8,'Bills Log'!$C$6:$C$505,$A33)</f>
        <v/>
      </c>
      <c r="D33" s="48">
        <f>SUMIFS('Bills Log'!$F$6:$F$505,'Bills Log'!$A$6:$A$505,"&gt;="&amp;DATE(Settings!$B$5,3,1),'Bills Log'!$A$6:$A$505,"&lt;"&amp;DATE(Settings!$B$5,4,1),'Bills Log'!$B$6:$B$505,Settings!$B$8,'Bills Log'!$C$6:$C$505,$A33)</f>
        <v/>
      </c>
      <c r="E33" s="48">
        <f>SUMIFS('Bills Log'!$F$6:$F$505,'Bills Log'!$A$6:$A$505,"&gt;="&amp;DATE(Settings!$B$5,4,1),'Bills Log'!$A$6:$A$505,"&lt;"&amp;DATE(Settings!$B$5,5,1),'Bills Log'!$B$6:$B$505,Settings!$B$8,'Bills Log'!$C$6:$C$505,$A33)</f>
        <v/>
      </c>
      <c r="F33" s="48">
        <f>SUMIFS('Bills Log'!$F$6:$F$505,'Bills Log'!$A$6:$A$505,"&gt;="&amp;DATE(Settings!$B$5,5,1),'Bills Log'!$A$6:$A$505,"&lt;"&amp;DATE(Settings!$B$5,6,1),'Bills Log'!$B$6:$B$505,Settings!$B$8,'Bills Log'!$C$6:$C$505,$A33)</f>
        <v/>
      </c>
      <c r="G33" s="48">
        <f>SUMIFS('Bills Log'!$F$6:$F$505,'Bills Log'!$A$6:$A$505,"&gt;="&amp;DATE(Settings!$B$5,6,1),'Bills Log'!$A$6:$A$505,"&lt;"&amp;DATE(Settings!$B$5,7,1),'Bills Log'!$B$6:$B$505,Settings!$B$8,'Bills Log'!$C$6:$C$505,$A33)</f>
        <v/>
      </c>
      <c r="H33" s="48">
        <f>SUMIFS('Bills Log'!$F$6:$F$505,'Bills Log'!$A$6:$A$505,"&gt;="&amp;DATE(Settings!$B$5,7,1),'Bills Log'!$A$6:$A$505,"&lt;"&amp;DATE(Settings!$B$5,8,1),'Bills Log'!$B$6:$B$505,Settings!$B$8,'Bills Log'!$C$6:$C$505,$A33)</f>
        <v/>
      </c>
      <c r="I33" s="48">
        <f>SUMIFS('Bills Log'!$F$6:$F$505,'Bills Log'!$A$6:$A$505,"&gt;="&amp;DATE(Settings!$B$5,8,1),'Bills Log'!$A$6:$A$505,"&lt;"&amp;DATE(Settings!$B$5,9,1),'Bills Log'!$B$6:$B$505,Settings!$B$8,'Bills Log'!$C$6:$C$505,$A33)</f>
        <v/>
      </c>
      <c r="J33" s="48">
        <f>SUMIFS('Bills Log'!$F$6:$F$505,'Bills Log'!$A$6:$A$505,"&gt;="&amp;DATE(Settings!$B$5,9,1),'Bills Log'!$A$6:$A$505,"&lt;"&amp;DATE(Settings!$B$5,10,1),'Bills Log'!$B$6:$B$505,Settings!$B$8,'Bills Log'!$C$6:$C$505,$A33)</f>
        <v/>
      </c>
      <c r="K33" s="48">
        <f>SUMIFS('Bills Log'!$F$6:$F$505,'Bills Log'!$A$6:$A$505,"&gt;="&amp;DATE(Settings!$B$5,10,1),'Bills Log'!$A$6:$A$505,"&lt;"&amp;DATE(Settings!$B$5,11,1),'Bills Log'!$B$6:$B$505,Settings!$B$8,'Bills Log'!$C$6:$C$505,$A33)</f>
        <v/>
      </c>
      <c r="L33" s="48">
        <f>SUMIFS('Bills Log'!$F$6:$F$505,'Bills Log'!$A$6:$A$505,"&gt;="&amp;DATE(Settings!$B$5,11,1),'Bills Log'!$A$6:$A$505,"&lt;"&amp;DATE(Settings!$B$5,12,1),'Bills Log'!$B$6:$B$505,Settings!$B$8,'Bills Log'!$C$6:$C$505,$A33)</f>
        <v/>
      </c>
      <c r="M33" s="48">
        <f>SUMIFS('Bills Log'!$F$6:$F$505,'Bills Log'!$A$6:$A$505,"&gt;="&amp;DATE(Settings!$B$5,12,1),'Bills Log'!$A$6:$A$505,"&lt;"&amp;DATE(Settings!$B$5+1,1,1),'Bills Log'!$B$6:$B$505,Settings!$B$8,'Bills Log'!$C$6:$C$505,$A33)</f>
        <v/>
      </c>
      <c r="N33" s="49">
        <f>SUM(B33:M33)</f>
        <v/>
      </c>
      <c r="O33" s="48">
        <f>IFERROR(N33/12,0)</f>
        <v/>
      </c>
    </row>
    <row r="34" ht="16" customHeight="1">
      <c r="A34" s="47" t="inlineStr">
        <is>
          <t>Trash</t>
        </is>
      </c>
      <c r="B34" s="48">
        <f>SUMIFS('Bills Log'!$F$6:$F$505,'Bills Log'!$A$6:$A$505,"&gt;="&amp;DATE(Settings!$B$5,1,1),'Bills Log'!$A$6:$A$505,"&lt;"&amp;DATE(Settings!$B$5,2,1),'Bills Log'!$B$6:$B$505,Settings!$B$8,'Bills Log'!$C$6:$C$505,$A34)</f>
        <v/>
      </c>
      <c r="C34" s="48">
        <f>SUMIFS('Bills Log'!$F$6:$F$505,'Bills Log'!$A$6:$A$505,"&gt;="&amp;DATE(Settings!$B$5,2,1),'Bills Log'!$A$6:$A$505,"&lt;"&amp;DATE(Settings!$B$5,3,1),'Bills Log'!$B$6:$B$505,Settings!$B$8,'Bills Log'!$C$6:$C$505,$A34)</f>
        <v/>
      </c>
      <c r="D34" s="48">
        <f>SUMIFS('Bills Log'!$F$6:$F$505,'Bills Log'!$A$6:$A$505,"&gt;="&amp;DATE(Settings!$B$5,3,1),'Bills Log'!$A$6:$A$505,"&lt;"&amp;DATE(Settings!$B$5,4,1),'Bills Log'!$B$6:$B$505,Settings!$B$8,'Bills Log'!$C$6:$C$505,$A34)</f>
        <v/>
      </c>
      <c r="E34" s="48">
        <f>SUMIFS('Bills Log'!$F$6:$F$505,'Bills Log'!$A$6:$A$505,"&gt;="&amp;DATE(Settings!$B$5,4,1),'Bills Log'!$A$6:$A$505,"&lt;"&amp;DATE(Settings!$B$5,5,1),'Bills Log'!$B$6:$B$505,Settings!$B$8,'Bills Log'!$C$6:$C$505,$A34)</f>
        <v/>
      </c>
      <c r="F34" s="48">
        <f>SUMIFS('Bills Log'!$F$6:$F$505,'Bills Log'!$A$6:$A$505,"&gt;="&amp;DATE(Settings!$B$5,5,1),'Bills Log'!$A$6:$A$505,"&lt;"&amp;DATE(Settings!$B$5,6,1),'Bills Log'!$B$6:$B$505,Settings!$B$8,'Bills Log'!$C$6:$C$505,$A34)</f>
        <v/>
      </c>
      <c r="G34" s="48">
        <f>SUMIFS('Bills Log'!$F$6:$F$505,'Bills Log'!$A$6:$A$505,"&gt;="&amp;DATE(Settings!$B$5,6,1),'Bills Log'!$A$6:$A$505,"&lt;"&amp;DATE(Settings!$B$5,7,1),'Bills Log'!$B$6:$B$505,Settings!$B$8,'Bills Log'!$C$6:$C$505,$A34)</f>
        <v/>
      </c>
      <c r="H34" s="48">
        <f>SUMIFS('Bills Log'!$F$6:$F$505,'Bills Log'!$A$6:$A$505,"&gt;="&amp;DATE(Settings!$B$5,7,1),'Bills Log'!$A$6:$A$505,"&lt;"&amp;DATE(Settings!$B$5,8,1),'Bills Log'!$B$6:$B$505,Settings!$B$8,'Bills Log'!$C$6:$C$505,$A34)</f>
        <v/>
      </c>
      <c r="I34" s="48">
        <f>SUMIFS('Bills Log'!$F$6:$F$505,'Bills Log'!$A$6:$A$505,"&gt;="&amp;DATE(Settings!$B$5,8,1),'Bills Log'!$A$6:$A$505,"&lt;"&amp;DATE(Settings!$B$5,9,1),'Bills Log'!$B$6:$B$505,Settings!$B$8,'Bills Log'!$C$6:$C$505,$A34)</f>
        <v/>
      </c>
      <c r="J34" s="48">
        <f>SUMIFS('Bills Log'!$F$6:$F$505,'Bills Log'!$A$6:$A$505,"&gt;="&amp;DATE(Settings!$B$5,9,1),'Bills Log'!$A$6:$A$505,"&lt;"&amp;DATE(Settings!$B$5,10,1),'Bills Log'!$B$6:$B$505,Settings!$B$8,'Bills Log'!$C$6:$C$505,$A34)</f>
        <v/>
      </c>
      <c r="K34" s="48">
        <f>SUMIFS('Bills Log'!$F$6:$F$505,'Bills Log'!$A$6:$A$505,"&gt;="&amp;DATE(Settings!$B$5,10,1),'Bills Log'!$A$6:$A$505,"&lt;"&amp;DATE(Settings!$B$5,11,1),'Bills Log'!$B$6:$B$505,Settings!$B$8,'Bills Log'!$C$6:$C$505,$A34)</f>
        <v/>
      </c>
      <c r="L34" s="48">
        <f>SUMIFS('Bills Log'!$F$6:$F$505,'Bills Log'!$A$6:$A$505,"&gt;="&amp;DATE(Settings!$B$5,11,1),'Bills Log'!$A$6:$A$505,"&lt;"&amp;DATE(Settings!$B$5,12,1),'Bills Log'!$B$6:$B$505,Settings!$B$8,'Bills Log'!$C$6:$C$505,$A34)</f>
        <v/>
      </c>
      <c r="M34" s="48">
        <f>SUMIFS('Bills Log'!$F$6:$F$505,'Bills Log'!$A$6:$A$505,"&gt;="&amp;DATE(Settings!$B$5,12,1),'Bills Log'!$A$6:$A$505,"&lt;"&amp;DATE(Settings!$B$5+1,1,1),'Bills Log'!$B$6:$B$505,Settings!$B$8,'Bills Log'!$C$6:$C$505,$A34)</f>
        <v/>
      </c>
      <c r="N34" s="49">
        <f>SUM(B34:M34)</f>
        <v/>
      </c>
      <c r="O34" s="48">
        <f>IFERROR(N34/12,0)</f>
        <v/>
      </c>
    </row>
    <row r="35" ht="16" customHeight="1">
      <c r="A35" s="47" t="inlineStr">
        <is>
          <t>Propane</t>
        </is>
      </c>
      <c r="B35" s="48">
        <f>SUMIFS('Bills Log'!$F$6:$F$505,'Bills Log'!$A$6:$A$505,"&gt;="&amp;DATE(Settings!$B$5,1,1),'Bills Log'!$A$6:$A$505,"&lt;"&amp;DATE(Settings!$B$5,2,1),'Bills Log'!$B$6:$B$505,Settings!$B$8,'Bills Log'!$C$6:$C$505,$A35)</f>
        <v/>
      </c>
      <c r="C35" s="48">
        <f>SUMIFS('Bills Log'!$F$6:$F$505,'Bills Log'!$A$6:$A$505,"&gt;="&amp;DATE(Settings!$B$5,2,1),'Bills Log'!$A$6:$A$505,"&lt;"&amp;DATE(Settings!$B$5,3,1),'Bills Log'!$B$6:$B$505,Settings!$B$8,'Bills Log'!$C$6:$C$505,$A35)</f>
        <v/>
      </c>
      <c r="D35" s="48">
        <f>SUMIFS('Bills Log'!$F$6:$F$505,'Bills Log'!$A$6:$A$505,"&gt;="&amp;DATE(Settings!$B$5,3,1),'Bills Log'!$A$6:$A$505,"&lt;"&amp;DATE(Settings!$B$5,4,1),'Bills Log'!$B$6:$B$505,Settings!$B$8,'Bills Log'!$C$6:$C$505,$A35)</f>
        <v/>
      </c>
      <c r="E35" s="48">
        <f>SUMIFS('Bills Log'!$F$6:$F$505,'Bills Log'!$A$6:$A$505,"&gt;="&amp;DATE(Settings!$B$5,4,1),'Bills Log'!$A$6:$A$505,"&lt;"&amp;DATE(Settings!$B$5,5,1),'Bills Log'!$B$6:$B$505,Settings!$B$8,'Bills Log'!$C$6:$C$505,$A35)</f>
        <v/>
      </c>
      <c r="F35" s="48">
        <f>SUMIFS('Bills Log'!$F$6:$F$505,'Bills Log'!$A$6:$A$505,"&gt;="&amp;DATE(Settings!$B$5,5,1),'Bills Log'!$A$6:$A$505,"&lt;"&amp;DATE(Settings!$B$5,6,1),'Bills Log'!$B$6:$B$505,Settings!$B$8,'Bills Log'!$C$6:$C$505,$A35)</f>
        <v/>
      </c>
      <c r="G35" s="48">
        <f>SUMIFS('Bills Log'!$F$6:$F$505,'Bills Log'!$A$6:$A$505,"&gt;="&amp;DATE(Settings!$B$5,6,1),'Bills Log'!$A$6:$A$505,"&lt;"&amp;DATE(Settings!$B$5,7,1),'Bills Log'!$B$6:$B$505,Settings!$B$8,'Bills Log'!$C$6:$C$505,$A35)</f>
        <v/>
      </c>
      <c r="H35" s="48">
        <f>SUMIFS('Bills Log'!$F$6:$F$505,'Bills Log'!$A$6:$A$505,"&gt;="&amp;DATE(Settings!$B$5,7,1),'Bills Log'!$A$6:$A$505,"&lt;"&amp;DATE(Settings!$B$5,8,1),'Bills Log'!$B$6:$B$505,Settings!$B$8,'Bills Log'!$C$6:$C$505,$A35)</f>
        <v/>
      </c>
      <c r="I35" s="48">
        <f>SUMIFS('Bills Log'!$F$6:$F$505,'Bills Log'!$A$6:$A$505,"&gt;="&amp;DATE(Settings!$B$5,8,1),'Bills Log'!$A$6:$A$505,"&lt;"&amp;DATE(Settings!$B$5,9,1),'Bills Log'!$B$6:$B$505,Settings!$B$8,'Bills Log'!$C$6:$C$505,$A35)</f>
        <v/>
      </c>
      <c r="J35" s="48">
        <f>SUMIFS('Bills Log'!$F$6:$F$505,'Bills Log'!$A$6:$A$505,"&gt;="&amp;DATE(Settings!$B$5,9,1),'Bills Log'!$A$6:$A$505,"&lt;"&amp;DATE(Settings!$B$5,10,1),'Bills Log'!$B$6:$B$505,Settings!$B$8,'Bills Log'!$C$6:$C$505,$A35)</f>
        <v/>
      </c>
      <c r="K35" s="48">
        <f>SUMIFS('Bills Log'!$F$6:$F$505,'Bills Log'!$A$6:$A$505,"&gt;="&amp;DATE(Settings!$B$5,10,1),'Bills Log'!$A$6:$A$505,"&lt;"&amp;DATE(Settings!$B$5,11,1),'Bills Log'!$B$6:$B$505,Settings!$B$8,'Bills Log'!$C$6:$C$505,$A35)</f>
        <v/>
      </c>
      <c r="L35" s="48">
        <f>SUMIFS('Bills Log'!$F$6:$F$505,'Bills Log'!$A$6:$A$505,"&gt;="&amp;DATE(Settings!$B$5,11,1),'Bills Log'!$A$6:$A$505,"&lt;"&amp;DATE(Settings!$B$5,12,1),'Bills Log'!$B$6:$B$505,Settings!$B$8,'Bills Log'!$C$6:$C$505,$A35)</f>
        <v/>
      </c>
      <c r="M35" s="48">
        <f>SUMIFS('Bills Log'!$F$6:$F$505,'Bills Log'!$A$6:$A$505,"&gt;="&amp;DATE(Settings!$B$5,12,1),'Bills Log'!$A$6:$A$505,"&lt;"&amp;DATE(Settings!$B$5+1,1,1),'Bills Log'!$B$6:$B$505,Settings!$B$8,'Bills Log'!$C$6:$C$505,$A35)</f>
        <v/>
      </c>
      <c r="N35" s="49">
        <f>SUM(B35:M35)</f>
        <v/>
      </c>
      <c r="O35" s="48">
        <f>IFERROR(N35/12,0)</f>
        <v/>
      </c>
    </row>
    <row r="36" ht="18" customHeight="1">
      <c r="A36" s="50" t="inlineStr">
        <is>
          <t>TOTAL</t>
        </is>
      </c>
      <c r="B36" s="49">
        <f>SUM(B30:B35)</f>
        <v/>
      </c>
      <c r="C36" s="49">
        <f>SUM(C30:C35)</f>
        <v/>
      </c>
      <c r="D36" s="49">
        <f>SUM(D30:D35)</f>
        <v/>
      </c>
      <c r="E36" s="49">
        <f>SUM(E30:E35)</f>
        <v/>
      </c>
      <c r="F36" s="49">
        <f>SUM(F30:F35)</f>
        <v/>
      </c>
      <c r="G36" s="49">
        <f>SUM(G30:G35)</f>
        <v/>
      </c>
      <c r="H36" s="49">
        <f>SUM(H30:H35)</f>
        <v/>
      </c>
      <c r="I36" s="49">
        <f>SUM(I30:I35)</f>
        <v/>
      </c>
      <c r="J36" s="49">
        <f>SUM(J30:J35)</f>
        <v/>
      </c>
      <c r="K36" s="49">
        <f>SUM(K30:K35)</f>
        <v/>
      </c>
      <c r="L36" s="49">
        <f>SUM(L30:L35)</f>
        <v/>
      </c>
      <c r="M36" s="49">
        <f>SUM(M30:M35)</f>
        <v/>
      </c>
      <c r="N36" s="49">
        <f>SUM(N30:N35)</f>
        <v/>
      </c>
      <c r="O36" s="49">
        <f>SUM(O30:O35)</f>
        <v/>
      </c>
    </row>
    <row r="50" ht="22" customHeight="1">
      <c r="A50" s="46">
        <f>"Property: "&amp;Settings!$B$9</f>
        <v/>
      </c>
    </row>
    <row r="51" ht="18" customHeight="1">
      <c r="A51" s="39" t="inlineStr">
        <is>
          <t>Service</t>
        </is>
      </c>
      <c r="B51" s="39" t="inlineStr">
        <is>
          <t>Jan</t>
        </is>
      </c>
      <c r="C51" s="39" t="inlineStr">
        <is>
          <t>Feb</t>
        </is>
      </c>
      <c r="D51" s="39" t="inlineStr">
        <is>
          <t>Mar</t>
        </is>
      </c>
      <c r="E51" s="39" t="inlineStr">
        <is>
          <t>Apr</t>
        </is>
      </c>
      <c r="F51" s="39" t="inlineStr">
        <is>
          <t>May</t>
        </is>
      </c>
      <c r="G51" s="39" t="inlineStr">
        <is>
          <t>Jun</t>
        </is>
      </c>
      <c r="H51" s="39" t="inlineStr">
        <is>
          <t>Jul</t>
        </is>
      </c>
      <c r="I51" s="39" t="inlineStr">
        <is>
          <t>Aug</t>
        </is>
      </c>
      <c r="J51" s="39" t="inlineStr">
        <is>
          <t>Sep</t>
        </is>
      </c>
      <c r="K51" s="39" t="inlineStr">
        <is>
          <t>Oct</t>
        </is>
      </c>
      <c r="L51" s="39" t="inlineStr">
        <is>
          <t>Nov</t>
        </is>
      </c>
      <c r="M51" s="39" t="inlineStr">
        <is>
          <t>Dec</t>
        </is>
      </c>
      <c r="N51" s="39" t="inlineStr">
        <is>
          <t>Total</t>
        </is>
      </c>
      <c r="O51" s="39" t="inlineStr">
        <is>
          <t>Avg</t>
        </is>
      </c>
    </row>
    <row r="52" ht="16" customHeight="1">
      <c r="A52" s="47" t="inlineStr">
        <is>
          <t>Electric</t>
        </is>
      </c>
      <c r="B52" s="48">
        <f>SUMIFS('Bills Log'!$F$6:$F$505,'Bills Log'!$A$6:$A$505,"&gt;="&amp;DATE(Settings!$B$5,1,1),'Bills Log'!$A$6:$A$505,"&lt;"&amp;DATE(Settings!$B$5,2,1),'Bills Log'!$B$6:$B$505,Settings!$B$9,'Bills Log'!$C$6:$C$505,$A52)</f>
        <v/>
      </c>
      <c r="C52" s="48">
        <f>SUMIFS('Bills Log'!$F$6:$F$505,'Bills Log'!$A$6:$A$505,"&gt;="&amp;DATE(Settings!$B$5,2,1),'Bills Log'!$A$6:$A$505,"&lt;"&amp;DATE(Settings!$B$5,3,1),'Bills Log'!$B$6:$B$505,Settings!$B$9,'Bills Log'!$C$6:$C$505,$A52)</f>
        <v/>
      </c>
      <c r="D52" s="48">
        <f>SUMIFS('Bills Log'!$F$6:$F$505,'Bills Log'!$A$6:$A$505,"&gt;="&amp;DATE(Settings!$B$5,3,1),'Bills Log'!$A$6:$A$505,"&lt;"&amp;DATE(Settings!$B$5,4,1),'Bills Log'!$B$6:$B$505,Settings!$B$9,'Bills Log'!$C$6:$C$505,$A52)</f>
        <v/>
      </c>
      <c r="E52" s="48">
        <f>SUMIFS('Bills Log'!$F$6:$F$505,'Bills Log'!$A$6:$A$505,"&gt;="&amp;DATE(Settings!$B$5,4,1),'Bills Log'!$A$6:$A$505,"&lt;"&amp;DATE(Settings!$B$5,5,1),'Bills Log'!$B$6:$B$505,Settings!$B$9,'Bills Log'!$C$6:$C$505,$A52)</f>
        <v/>
      </c>
      <c r="F52" s="48">
        <f>SUMIFS('Bills Log'!$F$6:$F$505,'Bills Log'!$A$6:$A$505,"&gt;="&amp;DATE(Settings!$B$5,5,1),'Bills Log'!$A$6:$A$505,"&lt;"&amp;DATE(Settings!$B$5,6,1),'Bills Log'!$B$6:$B$505,Settings!$B$9,'Bills Log'!$C$6:$C$505,$A52)</f>
        <v/>
      </c>
      <c r="G52" s="48">
        <f>SUMIFS('Bills Log'!$F$6:$F$505,'Bills Log'!$A$6:$A$505,"&gt;="&amp;DATE(Settings!$B$5,6,1),'Bills Log'!$A$6:$A$505,"&lt;"&amp;DATE(Settings!$B$5,7,1),'Bills Log'!$B$6:$B$505,Settings!$B$9,'Bills Log'!$C$6:$C$505,$A52)</f>
        <v/>
      </c>
      <c r="H52" s="48">
        <f>SUMIFS('Bills Log'!$F$6:$F$505,'Bills Log'!$A$6:$A$505,"&gt;="&amp;DATE(Settings!$B$5,7,1),'Bills Log'!$A$6:$A$505,"&lt;"&amp;DATE(Settings!$B$5,8,1),'Bills Log'!$B$6:$B$505,Settings!$B$9,'Bills Log'!$C$6:$C$505,$A52)</f>
        <v/>
      </c>
      <c r="I52" s="48">
        <f>SUMIFS('Bills Log'!$F$6:$F$505,'Bills Log'!$A$6:$A$505,"&gt;="&amp;DATE(Settings!$B$5,8,1),'Bills Log'!$A$6:$A$505,"&lt;"&amp;DATE(Settings!$B$5,9,1),'Bills Log'!$B$6:$B$505,Settings!$B$9,'Bills Log'!$C$6:$C$505,$A52)</f>
        <v/>
      </c>
      <c r="J52" s="48">
        <f>SUMIFS('Bills Log'!$F$6:$F$505,'Bills Log'!$A$6:$A$505,"&gt;="&amp;DATE(Settings!$B$5,9,1),'Bills Log'!$A$6:$A$505,"&lt;"&amp;DATE(Settings!$B$5,10,1),'Bills Log'!$B$6:$B$505,Settings!$B$9,'Bills Log'!$C$6:$C$505,$A52)</f>
        <v/>
      </c>
      <c r="K52" s="48">
        <f>SUMIFS('Bills Log'!$F$6:$F$505,'Bills Log'!$A$6:$A$505,"&gt;="&amp;DATE(Settings!$B$5,10,1),'Bills Log'!$A$6:$A$505,"&lt;"&amp;DATE(Settings!$B$5,11,1),'Bills Log'!$B$6:$B$505,Settings!$B$9,'Bills Log'!$C$6:$C$505,$A52)</f>
        <v/>
      </c>
      <c r="L52" s="48">
        <f>SUMIFS('Bills Log'!$F$6:$F$505,'Bills Log'!$A$6:$A$505,"&gt;="&amp;DATE(Settings!$B$5,11,1),'Bills Log'!$A$6:$A$505,"&lt;"&amp;DATE(Settings!$B$5,12,1),'Bills Log'!$B$6:$B$505,Settings!$B$9,'Bills Log'!$C$6:$C$505,$A52)</f>
        <v/>
      </c>
      <c r="M52" s="48">
        <f>SUMIFS('Bills Log'!$F$6:$F$505,'Bills Log'!$A$6:$A$505,"&gt;="&amp;DATE(Settings!$B$5,12,1),'Bills Log'!$A$6:$A$505,"&lt;"&amp;DATE(Settings!$B$5+1,1,1),'Bills Log'!$B$6:$B$505,Settings!$B$9,'Bills Log'!$C$6:$C$505,$A52)</f>
        <v/>
      </c>
      <c r="N52" s="49">
        <f>SUM(B52:M52)</f>
        <v/>
      </c>
      <c r="O52" s="48">
        <f>IFERROR(N52/12,0)</f>
        <v/>
      </c>
    </row>
    <row r="53" ht="16" customHeight="1">
      <c r="A53" s="47" t="inlineStr">
        <is>
          <t>Gas</t>
        </is>
      </c>
      <c r="B53" s="48">
        <f>SUMIFS('Bills Log'!$F$6:$F$505,'Bills Log'!$A$6:$A$505,"&gt;="&amp;DATE(Settings!$B$5,1,1),'Bills Log'!$A$6:$A$505,"&lt;"&amp;DATE(Settings!$B$5,2,1),'Bills Log'!$B$6:$B$505,Settings!$B$9,'Bills Log'!$C$6:$C$505,$A53)</f>
        <v/>
      </c>
      <c r="C53" s="48">
        <f>SUMIFS('Bills Log'!$F$6:$F$505,'Bills Log'!$A$6:$A$505,"&gt;="&amp;DATE(Settings!$B$5,2,1),'Bills Log'!$A$6:$A$505,"&lt;"&amp;DATE(Settings!$B$5,3,1),'Bills Log'!$B$6:$B$505,Settings!$B$9,'Bills Log'!$C$6:$C$505,$A53)</f>
        <v/>
      </c>
      <c r="D53" s="48">
        <f>SUMIFS('Bills Log'!$F$6:$F$505,'Bills Log'!$A$6:$A$505,"&gt;="&amp;DATE(Settings!$B$5,3,1),'Bills Log'!$A$6:$A$505,"&lt;"&amp;DATE(Settings!$B$5,4,1),'Bills Log'!$B$6:$B$505,Settings!$B$9,'Bills Log'!$C$6:$C$505,$A53)</f>
        <v/>
      </c>
      <c r="E53" s="48">
        <f>SUMIFS('Bills Log'!$F$6:$F$505,'Bills Log'!$A$6:$A$505,"&gt;="&amp;DATE(Settings!$B$5,4,1),'Bills Log'!$A$6:$A$505,"&lt;"&amp;DATE(Settings!$B$5,5,1),'Bills Log'!$B$6:$B$505,Settings!$B$9,'Bills Log'!$C$6:$C$505,$A53)</f>
        <v/>
      </c>
      <c r="F53" s="48">
        <f>SUMIFS('Bills Log'!$F$6:$F$505,'Bills Log'!$A$6:$A$505,"&gt;="&amp;DATE(Settings!$B$5,5,1),'Bills Log'!$A$6:$A$505,"&lt;"&amp;DATE(Settings!$B$5,6,1),'Bills Log'!$B$6:$B$505,Settings!$B$9,'Bills Log'!$C$6:$C$505,$A53)</f>
        <v/>
      </c>
      <c r="G53" s="48">
        <f>SUMIFS('Bills Log'!$F$6:$F$505,'Bills Log'!$A$6:$A$505,"&gt;="&amp;DATE(Settings!$B$5,6,1),'Bills Log'!$A$6:$A$505,"&lt;"&amp;DATE(Settings!$B$5,7,1),'Bills Log'!$B$6:$B$505,Settings!$B$9,'Bills Log'!$C$6:$C$505,$A53)</f>
        <v/>
      </c>
      <c r="H53" s="48">
        <f>SUMIFS('Bills Log'!$F$6:$F$505,'Bills Log'!$A$6:$A$505,"&gt;="&amp;DATE(Settings!$B$5,7,1),'Bills Log'!$A$6:$A$505,"&lt;"&amp;DATE(Settings!$B$5,8,1),'Bills Log'!$B$6:$B$505,Settings!$B$9,'Bills Log'!$C$6:$C$505,$A53)</f>
        <v/>
      </c>
      <c r="I53" s="48">
        <f>SUMIFS('Bills Log'!$F$6:$F$505,'Bills Log'!$A$6:$A$505,"&gt;="&amp;DATE(Settings!$B$5,8,1),'Bills Log'!$A$6:$A$505,"&lt;"&amp;DATE(Settings!$B$5,9,1),'Bills Log'!$B$6:$B$505,Settings!$B$9,'Bills Log'!$C$6:$C$505,$A53)</f>
        <v/>
      </c>
      <c r="J53" s="48">
        <f>SUMIFS('Bills Log'!$F$6:$F$505,'Bills Log'!$A$6:$A$505,"&gt;="&amp;DATE(Settings!$B$5,9,1),'Bills Log'!$A$6:$A$505,"&lt;"&amp;DATE(Settings!$B$5,10,1),'Bills Log'!$B$6:$B$505,Settings!$B$9,'Bills Log'!$C$6:$C$505,$A53)</f>
        <v/>
      </c>
      <c r="K53" s="48">
        <f>SUMIFS('Bills Log'!$F$6:$F$505,'Bills Log'!$A$6:$A$505,"&gt;="&amp;DATE(Settings!$B$5,10,1),'Bills Log'!$A$6:$A$505,"&lt;"&amp;DATE(Settings!$B$5,11,1),'Bills Log'!$B$6:$B$505,Settings!$B$9,'Bills Log'!$C$6:$C$505,$A53)</f>
        <v/>
      </c>
      <c r="L53" s="48">
        <f>SUMIFS('Bills Log'!$F$6:$F$505,'Bills Log'!$A$6:$A$505,"&gt;="&amp;DATE(Settings!$B$5,11,1),'Bills Log'!$A$6:$A$505,"&lt;"&amp;DATE(Settings!$B$5,12,1),'Bills Log'!$B$6:$B$505,Settings!$B$9,'Bills Log'!$C$6:$C$505,$A53)</f>
        <v/>
      </c>
      <c r="M53" s="48">
        <f>SUMIFS('Bills Log'!$F$6:$F$505,'Bills Log'!$A$6:$A$505,"&gt;="&amp;DATE(Settings!$B$5,12,1),'Bills Log'!$A$6:$A$505,"&lt;"&amp;DATE(Settings!$B$5+1,1,1),'Bills Log'!$B$6:$B$505,Settings!$B$9,'Bills Log'!$C$6:$C$505,$A53)</f>
        <v/>
      </c>
      <c r="N53" s="49">
        <f>SUM(B53:M53)</f>
        <v/>
      </c>
      <c r="O53" s="48">
        <f>IFERROR(N53/12,0)</f>
        <v/>
      </c>
    </row>
    <row r="54" ht="16" customHeight="1">
      <c r="A54" s="47" t="inlineStr">
        <is>
          <t>Water</t>
        </is>
      </c>
      <c r="B54" s="48">
        <f>SUMIFS('Bills Log'!$F$6:$F$505,'Bills Log'!$A$6:$A$505,"&gt;="&amp;DATE(Settings!$B$5,1,1),'Bills Log'!$A$6:$A$505,"&lt;"&amp;DATE(Settings!$B$5,2,1),'Bills Log'!$B$6:$B$505,Settings!$B$9,'Bills Log'!$C$6:$C$505,$A54)</f>
        <v/>
      </c>
      <c r="C54" s="48">
        <f>SUMIFS('Bills Log'!$F$6:$F$505,'Bills Log'!$A$6:$A$505,"&gt;="&amp;DATE(Settings!$B$5,2,1),'Bills Log'!$A$6:$A$505,"&lt;"&amp;DATE(Settings!$B$5,3,1),'Bills Log'!$B$6:$B$505,Settings!$B$9,'Bills Log'!$C$6:$C$505,$A54)</f>
        <v/>
      </c>
      <c r="D54" s="48">
        <f>SUMIFS('Bills Log'!$F$6:$F$505,'Bills Log'!$A$6:$A$505,"&gt;="&amp;DATE(Settings!$B$5,3,1),'Bills Log'!$A$6:$A$505,"&lt;"&amp;DATE(Settings!$B$5,4,1),'Bills Log'!$B$6:$B$505,Settings!$B$9,'Bills Log'!$C$6:$C$505,$A54)</f>
        <v/>
      </c>
      <c r="E54" s="48">
        <f>SUMIFS('Bills Log'!$F$6:$F$505,'Bills Log'!$A$6:$A$505,"&gt;="&amp;DATE(Settings!$B$5,4,1),'Bills Log'!$A$6:$A$505,"&lt;"&amp;DATE(Settings!$B$5,5,1),'Bills Log'!$B$6:$B$505,Settings!$B$9,'Bills Log'!$C$6:$C$505,$A54)</f>
        <v/>
      </c>
      <c r="F54" s="48">
        <f>SUMIFS('Bills Log'!$F$6:$F$505,'Bills Log'!$A$6:$A$505,"&gt;="&amp;DATE(Settings!$B$5,5,1),'Bills Log'!$A$6:$A$505,"&lt;"&amp;DATE(Settings!$B$5,6,1),'Bills Log'!$B$6:$B$505,Settings!$B$9,'Bills Log'!$C$6:$C$505,$A54)</f>
        <v/>
      </c>
      <c r="G54" s="48">
        <f>SUMIFS('Bills Log'!$F$6:$F$505,'Bills Log'!$A$6:$A$505,"&gt;="&amp;DATE(Settings!$B$5,6,1),'Bills Log'!$A$6:$A$505,"&lt;"&amp;DATE(Settings!$B$5,7,1),'Bills Log'!$B$6:$B$505,Settings!$B$9,'Bills Log'!$C$6:$C$505,$A54)</f>
        <v/>
      </c>
      <c r="H54" s="48">
        <f>SUMIFS('Bills Log'!$F$6:$F$505,'Bills Log'!$A$6:$A$505,"&gt;="&amp;DATE(Settings!$B$5,7,1),'Bills Log'!$A$6:$A$505,"&lt;"&amp;DATE(Settings!$B$5,8,1),'Bills Log'!$B$6:$B$505,Settings!$B$9,'Bills Log'!$C$6:$C$505,$A54)</f>
        <v/>
      </c>
      <c r="I54" s="48">
        <f>SUMIFS('Bills Log'!$F$6:$F$505,'Bills Log'!$A$6:$A$505,"&gt;="&amp;DATE(Settings!$B$5,8,1),'Bills Log'!$A$6:$A$505,"&lt;"&amp;DATE(Settings!$B$5,9,1),'Bills Log'!$B$6:$B$505,Settings!$B$9,'Bills Log'!$C$6:$C$505,$A54)</f>
        <v/>
      </c>
      <c r="J54" s="48">
        <f>SUMIFS('Bills Log'!$F$6:$F$505,'Bills Log'!$A$6:$A$505,"&gt;="&amp;DATE(Settings!$B$5,9,1),'Bills Log'!$A$6:$A$505,"&lt;"&amp;DATE(Settings!$B$5,10,1),'Bills Log'!$B$6:$B$505,Settings!$B$9,'Bills Log'!$C$6:$C$505,$A54)</f>
        <v/>
      </c>
      <c r="K54" s="48">
        <f>SUMIFS('Bills Log'!$F$6:$F$505,'Bills Log'!$A$6:$A$505,"&gt;="&amp;DATE(Settings!$B$5,10,1),'Bills Log'!$A$6:$A$505,"&lt;"&amp;DATE(Settings!$B$5,11,1),'Bills Log'!$B$6:$B$505,Settings!$B$9,'Bills Log'!$C$6:$C$505,$A54)</f>
        <v/>
      </c>
      <c r="L54" s="48">
        <f>SUMIFS('Bills Log'!$F$6:$F$505,'Bills Log'!$A$6:$A$505,"&gt;="&amp;DATE(Settings!$B$5,11,1),'Bills Log'!$A$6:$A$505,"&lt;"&amp;DATE(Settings!$B$5,12,1),'Bills Log'!$B$6:$B$505,Settings!$B$9,'Bills Log'!$C$6:$C$505,$A54)</f>
        <v/>
      </c>
      <c r="M54" s="48">
        <f>SUMIFS('Bills Log'!$F$6:$F$505,'Bills Log'!$A$6:$A$505,"&gt;="&amp;DATE(Settings!$B$5,12,1),'Bills Log'!$A$6:$A$505,"&lt;"&amp;DATE(Settings!$B$5+1,1,1),'Bills Log'!$B$6:$B$505,Settings!$B$9,'Bills Log'!$C$6:$C$505,$A54)</f>
        <v/>
      </c>
      <c r="N54" s="49">
        <f>SUM(B54:M54)</f>
        <v/>
      </c>
      <c r="O54" s="48">
        <f>IFERROR(N54/12,0)</f>
        <v/>
      </c>
    </row>
    <row r="55" ht="16" customHeight="1">
      <c r="A55" s="47" t="inlineStr">
        <is>
          <t>Internet</t>
        </is>
      </c>
      <c r="B55" s="48">
        <f>SUMIFS('Bills Log'!$F$6:$F$505,'Bills Log'!$A$6:$A$505,"&gt;="&amp;DATE(Settings!$B$5,1,1),'Bills Log'!$A$6:$A$505,"&lt;"&amp;DATE(Settings!$B$5,2,1),'Bills Log'!$B$6:$B$505,Settings!$B$9,'Bills Log'!$C$6:$C$505,$A55)</f>
        <v/>
      </c>
      <c r="C55" s="48">
        <f>SUMIFS('Bills Log'!$F$6:$F$505,'Bills Log'!$A$6:$A$505,"&gt;="&amp;DATE(Settings!$B$5,2,1),'Bills Log'!$A$6:$A$505,"&lt;"&amp;DATE(Settings!$B$5,3,1),'Bills Log'!$B$6:$B$505,Settings!$B$9,'Bills Log'!$C$6:$C$505,$A55)</f>
        <v/>
      </c>
      <c r="D55" s="48">
        <f>SUMIFS('Bills Log'!$F$6:$F$505,'Bills Log'!$A$6:$A$505,"&gt;="&amp;DATE(Settings!$B$5,3,1),'Bills Log'!$A$6:$A$505,"&lt;"&amp;DATE(Settings!$B$5,4,1),'Bills Log'!$B$6:$B$505,Settings!$B$9,'Bills Log'!$C$6:$C$505,$A55)</f>
        <v/>
      </c>
      <c r="E55" s="48">
        <f>SUMIFS('Bills Log'!$F$6:$F$505,'Bills Log'!$A$6:$A$505,"&gt;="&amp;DATE(Settings!$B$5,4,1),'Bills Log'!$A$6:$A$505,"&lt;"&amp;DATE(Settings!$B$5,5,1),'Bills Log'!$B$6:$B$505,Settings!$B$9,'Bills Log'!$C$6:$C$505,$A55)</f>
        <v/>
      </c>
      <c r="F55" s="48">
        <f>SUMIFS('Bills Log'!$F$6:$F$505,'Bills Log'!$A$6:$A$505,"&gt;="&amp;DATE(Settings!$B$5,5,1),'Bills Log'!$A$6:$A$505,"&lt;"&amp;DATE(Settings!$B$5,6,1),'Bills Log'!$B$6:$B$505,Settings!$B$9,'Bills Log'!$C$6:$C$505,$A55)</f>
        <v/>
      </c>
      <c r="G55" s="48">
        <f>SUMIFS('Bills Log'!$F$6:$F$505,'Bills Log'!$A$6:$A$505,"&gt;="&amp;DATE(Settings!$B$5,6,1),'Bills Log'!$A$6:$A$505,"&lt;"&amp;DATE(Settings!$B$5,7,1),'Bills Log'!$B$6:$B$505,Settings!$B$9,'Bills Log'!$C$6:$C$505,$A55)</f>
        <v/>
      </c>
      <c r="H55" s="48">
        <f>SUMIFS('Bills Log'!$F$6:$F$505,'Bills Log'!$A$6:$A$505,"&gt;="&amp;DATE(Settings!$B$5,7,1),'Bills Log'!$A$6:$A$505,"&lt;"&amp;DATE(Settings!$B$5,8,1),'Bills Log'!$B$6:$B$505,Settings!$B$9,'Bills Log'!$C$6:$C$505,$A55)</f>
        <v/>
      </c>
      <c r="I55" s="48">
        <f>SUMIFS('Bills Log'!$F$6:$F$505,'Bills Log'!$A$6:$A$505,"&gt;="&amp;DATE(Settings!$B$5,8,1),'Bills Log'!$A$6:$A$505,"&lt;"&amp;DATE(Settings!$B$5,9,1),'Bills Log'!$B$6:$B$505,Settings!$B$9,'Bills Log'!$C$6:$C$505,$A55)</f>
        <v/>
      </c>
      <c r="J55" s="48">
        <f>SUMIFS('Bills Log'!$F$6:$F$505,'Bills Log'!$A$6:$A$505,"&gt;="&amp;DATE(Settings!$B$5,9,1),'Bills Log'!$A$6:$A$505,"&lt;"&amp;DATE(Settings!$B$5,10,1),'Bills Log'!$B$6:$B$505,Settings!$B$9,'Bills Log'!$C$6:$C$505,$A55)</f>
        <v/>
      </c>
      <c r="K55" s="48">
        <f>SUMIFS('Bills Log'!$F$6:$F$505,'Bills Log'!$A$6:$A$505,"&gt;="&amp;DATE(Settings!$B$5,10,1),'Bills Log'!$A$6:$A$505,"&lt;"&amp;DATE(Settings!$B$5,11,1),'Bills Log'!$B$6:$B$505,Settings!$B$9,'Bills Log'!$C$6:$C$505,$A55)</f>
        <v/>
      </c>
      <c r="L55" s="48">
        <f>SUMIFS('Bills Log'!$F$6:$F$505,'Bills Log'!$A$6:$A$505,"&gt;="&amp;DATE(Settings!$B$5,11,1),'Bills Log'!$A$6:$A$505,"&lt;"&amp;DATE(Settings!$B$5,12,1),'Bills Log'!$B$6:$B$505,Settings!$B$9,'Bills Log'!$C$6:$C$505,$A55)</f>
        <v/>
      </c>
      <c r="M55" s="48">
        <f>SUMIFS('Bills Log'!$F$6:$F$505,'Bills Log'!$A$6:$A$505,"&gt;="&amp;DATE(Settings!$B$5,12,1),'Bills Log'!$A$6:$A$505,"&lt;"&amp;DATE(Settings!$B$5+1,1,1),'Bills Log'!$B$6:$B$505,Settings!$B$9,'Bills Log'!$C$6:$C$505,$A55)</f>
        <v/>
      </c>
      <c r="N55" s="49">
        <f>SUM(B55:M55)</f>
        <v/>
      </c>
      <c r="O55" s="48">
        <f>IFERROR(N55/12,0)</f>
        <v/>
      </c>
    </row>
    <row r="56" ht="16" customHeight="1">
      <c r="A56" s="47" t="inlineStr">
        <is>
          <t>Trash</t>
        </is>
      </c>
      <c r="B56" s="48">
        <f>SUMIFS('Bills Log'!$F$6:$F$505,'Bills Log'!$A$6:$A$505,"&gt;="&amp;DATE(Settings!$B$5,1,1),'Bills Log'!$A$6:$A$505,"&lt;"&amp;DATE(Settings!$B$5,2,1),'Bills Log'!$B$6:$B$505,Settings!$B$9,'Bills Log'!$C$6:$C$505,$A56)</f>
        <v/>
      </c>
      <c r="C56" s="48">
        <f>SUMIFS('Bills Log'!$F$6:$F$505,'Bills Log'!$A$6:$A$505,"&gt;="&amp;DATE(Settings!$B$5,2,1),'Bills Log'!$A$6:$A$505,"&lt;"&amp;DATE(Settings!$B$5,3,1),'Bills Log'!$B$6:$B$505,Settings!$B$9,'Bills Log'!$C$6:$C$505,$A56)</f>
        <v/>
      </c>
      <c r="D56" s="48">
        <f>SUMIFS('Bills Log'!$F$6:$F$505,'Bills Log'!$A$6:$A$505,"&gt;="&amp;DATE(Settings!$B$5,3,1),'Bills Log'!$A$6:$A$505,"&lt;"&amp;DATE(Settings!$B$5,4,1),'Bills Log'!$B$6:$B$505,Settings!$B$9,'Bills Log'!$C$6:$C$505,$A56)</f>
        <v/>
      </c>
      <c r="E56" s="48">
        <f>SUMIFS('Bills Log'!$F$6:$F$505,'Bills Log'!$A$6:$A$505,"&gt;="&amp;DATE(Settings!$B$5,4,1),'Bills Log'!$A$6:$A$505,"&lt;"&amp;DATE(Settings!$B$5,5,1),'Bills Log'!$B$6:$B$505,Settings!$B$9,'Bills Log'!$C$6:$C$505,$A56)</f>
        <v/>
      </c>
      <c r="F56" s="48">
        <f>SUMIFS('Bills Log'!$F$6:$F$505,'Bills Log'!$A$6:$A$505,"&gt;="&amp;DATE(Settings!$B$5,5,1),'Bills Log'!$A$6:$A$505,"&lt;"&amp;DATE(Settings!$B$5,6,1),'Bills Log'!$B$6:$B$505,Settings!$B$9,'Bills Log'!$C$6:$C$505,$A56)</f>
        <v/>
      </c>
      <c r="G56" s="48">
        <f>SUMIFS('Bills Log'!$F$6:$F$505,'Bills Log'!$A$6:$A$505,"&gt;="&amp;DATE(Settings!$B$5,6,1),'Bills Log'!$A$6:$A$505,"&lt;"&amp;DATE(Settings!$B$5,7,1),'Bills Log'!$B$6:$B$505,Settings!$B$9,'Bills Log'!$C$6:$C$505,$A56)</f>
        <v/>
      </c>
      <c r="H56" s="48">
        <f>SUMIFS('Bills Log'!$F$6:$F$505,'Bills Log'!$A$6:$A$505,"&gt;="&amp;DATE(Settings!$B$5,7,1),'Bills Log'!$A$6:$A$505,"&lt;"&amp;DATE(Settings!$B$5,8,1),'Bills Log'!$B$6:$B$505,Settings!$B$9,'Bills Log'!$C$6:$C$505,$A56)</f>
        <v/>
      </c>
      <c r="I56" s="48">
        <f>SUMIFS('Bills Log'!$F$6:$F$505,'Bills Log'!$A$6:$A$505,"&gt;="&amp;DATE(Settings!$B$5,8,1),'Bills Log'!$A$6:$A$505,"&lt;"&amp;DATE(Settings!$B$5,9,1),'Bills Log'!$B$6:$B$505,Settings!$B$9,'Bills Log'!$C$6:$C$505,$A56)</f>
        <v/>
      </c>
      <c r="J56" s="48">
        <f>SUMIFS('Bills Log'!$F$6:$F$505,'Bills Log'!$A$6:$A$505,"&gt;="&amp;DATE(Settings!$B$5,9,1),'Bills Log'!$A$6:$A$505,"&lt;"&amp;DATE(Settings!$B$5,10,1),'Bills Log'!$B$6:$B$505,Settings!$B$9,'Bills Log'!$C$6:$C$505,$A56)</f>
        <v/>
      </c>
      <c r="K56" s="48">
        <f>SUMIFS('Bills Log'!$F$6:$F$505,'Bills Log'!$A$6:$A$505,"&gt;="&amp;DATE(Settings!$B$5,10,1),'Bills Log'!$A$6:$A$505,"&lt;"&amp;DATE(Settings!$B$5,11,1),'Bills Log'!$B$6:$B$505,Settings!$B$9,'Bills Log'!$C$6:$C$505,$A56)</f>
        <v/>
      </c>
      <c r="L56" s="48">
        <f>SUMIFS('Bills Log'!$F$6:$F$505,'Bills Log'!$A$6:$A$505,"&gt;="&amp;DATE(Settings!$B$5,11,1),'Bills Log'!$A$6:$A$505,"&lt;"&amp;DATE(Settings!$B$5,12,1),'Bills Log'!$B$6:$B$505,Settings!$B$9,'Bills Log'!$C$6:$C$505,$A56)</f>
        <v/>
      </c>
      <c r="M56" s="48">
        <f>SUMIFS('Bills Log'!$F$6:$F$505,'Bills Log'!$A$6:$A$505,"&gt;="&amp;DATE(Settings!$B$5,12,1),'Bills Log'!$A$6:$A$505,"&lt;"&amp;DATE(Settings!$B$5+1,1,1),'Bills Log'!$B$6:$B$505,Settings!$B$9,'Bills Log'!$C$6:$C$505,$A56)</f>
        <v/>
      </c>
      <c r="N56" s="49">
        <f>SUM(B56:M56)</f>
        <v/>
      </c>
      <c r="O56" s="48">
        <f>IFERROR(N56/12,0)</f>
        <v/>
      </c>
    </row>
    <row r="57" ht="16" customHeight="1">
      <c r="A57" s="47" t="inlineStr">
        <is>
          <t>Propane</t>
        </is>
      </c>
      <c r="B57" s="48">
        <f>SUMIFS('Bills Log'!$F$6:$F$505,'Bills Log'!$A$6:$A$505,"&gt;="&amp;DATE(Settings!$B$5,1,1),'Bills Log'!$A$6:$A$505,"&lt;"&amp;DATE(Settings!$B$5,2,1),'Bills Log'!$B$6:$B$505,Settings!$B$9,'Bills Log'!$C$6:$C$505,$A57)</f>
        <v/>
      </c>
      <c r="C57" s="48">
        <f>SUMIFS('Bills Log'!$F$6:$F$505,'Bills Log'!$A$6:$A$505,"&gt;="&amp;DATE(Settings!$B$5,2,1),'Bills Log'!$A$6:$A$505,"&lt;"&amp;DATE(Settings!$B$5,3,1),'Bills Log'!$B$6:$B$505,Settings!$B$9,'Bills Log'!$C$6:$C$505,$A57)</f>
        <v/>
      </c>
      <c r="D57" s="48">
        <f>SUMIFS('Bills Log'!$F$6:$F$505,'Bills Log'!$A$6:$A$505,"&gt;="&amp;DATE(Settings!$B$5,3,1),'Bills Log'!$A$6:$A$505,"&lt;"&amp;DATE(Settings!$B$5,4,1),'Bills Log'!$B$6:$B$505,Settings!$B$9,'Bills Log'!$C$6:$C$505,$A57)</f>
        <v/>
      </c>
      <c r="E57" s="48">
        <f>SUMIFS('Bills Log'!$F$6:$F$505,'Bills Log'!$A$6:$A$505,"&gt;="&amp;DATE(Settings!$B$5,4,1),'Bills Log'!$A$6:$A$505,"&lt;"&amp;DATE(Settings!$B$5,5,1),'Bills Log'!$B$6:$B$505,Settings!$B$9,'Bills Log'!$C$6:$C$505,$A57)</f>
        <v/>
      </c>
      <c r="F57" s="48">
        <f>SUMIFS('Bills Log'!$F$6:$F$505,'Bills Log'!$A$6:$A$505,"&gt;="&amp;DATE(Settings!$B$5,5,1),'Bills Log'!$A$6:$A$505,"&lt;"&amp;DATE(Settings!$B$5,6,1),'Bills Log'!$B$6:$B$505,Settings!$B$9,'Bills Log'!$C$6:$C$505,$A57)</f>
        <v/>
      </c>
      <c r="G57" s="48">
        <f>SUMIFS('Bills Log'!$F$6:$F$505,'Bills Log'!$A$6:$A$505,"&gt;="&amp;DATE(Settings!$B$5,6,1),'Bills Log'!$A$6:$A$505,"&lt;"&amp;DATE(Settings!$B$5,7,1),'Bills Log'!$B$6:$B$505,Settings!$B$9,'Bills Log'!$C$6:$C$505,$A57)</f>
        <v/>
      </c>
      <c r="H57" s="48">
        <f>SUMIFS('Bills Log'!$F$6:$F$505,'Bills Log'!$A$6:$A$505,"&gt;="&amp;DATE(Settings!$B$5,7,1),'Bills Log'!$A$6:$A$505,"&lt;"&amp;DATE(Settings!$B$5,8,1),'Bills Log'!$B$6:$B$505,Settings!$B$9,'Bills Log'!$C$6:$C$505,$A57)</f>
        <v/>
      </c>
      <c r="I57" s="48">
        <f>SUMIFS('Bills Log'!$F$6:$F$505,'Bills Log'!$A$6:$A$505,"&gt;="&amp;DATE(Settings!$B$5,8,1),'Bills Log'!$A$6:$A$505,"&lt;"&amp;DATE(Settings!$B$5,9,1),'Bills Log'!$B$6:$B$505,Settings!$B$9,'Bills Log'!$C$6:$C$505,$A57)</f>
        <v/>
      </c>
      <c r="J57" s="48">
        <f>SUMIFS('Bills Log'!$F$6:$F$505,'Bills Log'!$A$6:$A$505,"&gt;="&amp;DATE(Settings!$B$5,9,1),'Bills Log'!$A$6:$A$505,"&lt;"&amp;DATE(Settings!$B$5,10,1),'Bills Log'!$B$6:$B$505,Settings!$B$9,'Bills Log'!$C$6:$C$505,$A57)</f>
        <v/>
      </c>
      <c r="K57" s="48">
        <f>SUMIFS('Bills Log'!$F$6:$F$505,'Bills Log'!$A$6:$A$505,"&gt;="&amp;DATE(Settings!$B$5,10,1),'Bills Log'!$A$6:$A$505,"&lt;"&amp;DATE(Settings!$B$5,11,1),'Bills Log'!$B$6:$B$505,Settings!$B$9,'Bills Log'!$C$6:$C$505,$A57)</f>
        <v/>
      </c>
      <c r="L57" s="48">
        <f>SUMIFS('Bills Log'!$F$6:$F$505,'Bills Log'!$A$6:$A$505,"&gt;="&amp;DATE(Settings!$B$5,11,1),'Bills Log'!$A$6:$A$505,"&lt;"&amp;DATE(Settings!$B$5,12,1),'Bills Log'!$B$6:$B$505,Settings!$B$9,'Bills Log'!$C$6:$C$505,$A57)</f>
        <v/>
      </c>
      <c r="M57" s="48">
        <f>SUMIFS('Bills Log'!$F$6:$F$505,'Bills Log'!$A$6:$A$505,"&gt;="&amp;DATE(Settings!$B$5,12,1),'Bills Log'!$A$6:$A$505,"&lt;"&amp;DATE(Settings!$B$5+1,1,1),'Bills Log'!$B$6:$B$505,Settings!$B$9,'Bills Log'!$C$6:$C$505,$A57)</f>
        <v/>
      </c>
      <c r="N57" s="49">
        <f>SUM(B57:M57)</f>
        <v/>
      </c>
      <c r="O57" s="48">
        <f>IFERROR(N57/12,0)</f>
        <v/>
      </c>
    </row>
    <row r="58" ht="18" customHeight="1">
      <c r="A58" s="50" t="inlineStr">
        <is>
          <t>TOTAL</t>
        </is>
      </c>
      <c r="B58" s="49">
        <f>SUM(B52:B57)</f>
        <v/>
      </c>
      <c r="C58" s="49">
        <f>SUM(C52:C57)</f>
        <v/>
      </c>
      <c r="D58" s="49">
        <f>SUM(D52:D57)</f>
        <v/>
      </c>
      <c r="E58" s="49">
        <f>SUM(E52:E57)</f>
        <v/>
      </c>
      <c r="F58" s="49">
        <f>SUM(F52:F57)</f>
        <v/>
      </c>
      <c r="G58" s="49">
        <f>SUM(G52:G57)</f>
        <v/>
      </c>
      <c r="H58" s="49">
        <f>SUM(H52:H57)</f>
        <v/>
      </c>
      <c r="I58" s="49">
        <f>SUM(I52:I57)</f>
        <v/>
      </c>
      <c r="J58" s="49">
        <f>SUM(J52:J57)</f>
        <v/>
      </c>
      <c r="K58" s="49">
        <f>SUM(K52:K57)</f>
        <v/>
      </c>
      <c r="L58" s="49">
        <f>SUM(L52:L57)</f>
        <v/>
      </c>
      <c r="M58" s="49">
        <f>SUM(M52:M57)</f>
        <v/>
      </c>
      <c r="N58" s="49">
        <f>SUM(N52:N57)</f>
        <v/>
      </c>
      <c r="O58" s="49">
        <f>SUM(O52:O57)</f>
        <v/>
      </c>
    </row>
  </sheetData>
  <mergeCells count="7">
    <mergeCell ref="J2:L2"/>
    <mergeCell ref="D2:I2"/>
    <mergeCell ref="A28:O28"/>
    <mergeCell ref="A6:O6"/>
    <mergeCell ref="A50:O50"/>
    <mergeCell ref="A2:C2"/>
    <mergeCell ref="A4:L4"/>
  </mergeCells>
  <pageMargins left="0.4" right="0.4" top="0.5" bottom="0.5" header="0.5" footer="0.5"/>
  <pageSetup orientation="landscape" paperSize="1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2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HYPERLINK("#'Property Matrix'!A1", "← BACK")</f>
        <v/>
      </c>
      <c r="B2" s="13" t="n"/>
      <c r="C2" s="13" t="n"/>
      <c r="D2" s="37" t="inlineStr">
        <is>
          <t>TREND &amp; ANOMALIES</t>
        </is>
      </c>
      <c r="J2" s="30">
        <f>HYPERLINK("#'Settings'!A1", "NEXT →")</f>
        <v/>
      </c>
      <c r="K2" s="31" t="n"/>
      <c r="L2" s="31" t="n"/>
    </row>
    <row r="3" ht="6" customHeight="1">
      <c r="A3" s="51" t="inlineStr">
        <is>
          <t>Anomalies:</t>
        </is>
      </c>
      <c r="B3" s="52">
        <f>COUNTIF(H6:H221,"⚠*")</f>
        <v/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Year-over-year check — anomaly if a month's bill jumped &gt;25% vs prior year</t>
        </is>
      </c>
    </row>
    <row r="5" ht="20" customHeight="1">
      <c r="A5" s="39" t="inlineStr">
        <is>
          <t>Property</t>
        </is>
      </c>
      <c r="B5" s="39" t="inlineStr">
        <is>
          <t>Service</t>
        </is>
      </c>
      <c r="C5" s="39" t="inlineStr">
        <is>
          <t>Month</t>
        </is>
      </c>
      <c r="D5" s="39" t="inlineStr">
        <is>
          <t>Current Yr $</t>
        </is>
      </c>
      <c r="E5" s="39" t="inlineStr">
        <is>
          <t>Prior Yr $</t>
        </is>
      </c>
      <c r="F5" s="39" t="inlineStr">
        <is>
          <t>YoY %</t>
        </is>
      </c>
      <c r="G5" s="39" t="inlineStr">
        <is>
          <t>Δ $</t>
        </is>
      </c>
      <c r="H5" s="39" t="inlineStr">
        <is>
          <t>Anomaly</t>
        </is>
      </c>
    </row>
    <row r="6" ht="14" customHeight="1">
      <c r="A6" s="53">
        <f>Settings!$B$7</f>
        <v/>
      </c>
      <c r="B6" s="53" t="inlineStr">
        <is>
          <t>Electric</t>
        </is>
      </c>
      <c r="C6" s="35" t="inlineStr">
        <is>
          <t>Jan</t>
        </is>
      </c>
      <c r="D6" s="48">
        <f>SUMIFS('Bills Log'!$F$6:$F$505,'Bills Log'!$A$6:$A$505,"&gt;="&amp;DATE(Settings!$B$5,1,1),'Bills Log'!$A$6:$A$505,"&lt;"&amp;DATE(Settings!$B$5,2,1),'Bills Log'!$B$6:$B$505,A6,'Bills Log'!$C$6:$C$505,B6)</f>
        <v/>
      </c>
      <c r="E6" s="48">
        <f>SUMIFS('Bills Log'!$F$6:$F$505,'Bills Log'!$A$6:$A$505,"&gt;="&amp;DATE(Settings!$B$5-1,1,1),'Bills Log'!$A$6:$A$505,"&lt;"&amp;DATE((Settings!$B$5-1),2,1),'Bills Log'!$B$6:$B$505,A6,'Bills Log'!$C$6:$C$505,B6)</f>
        <v/>
      </c>
      <c r="F6" s="54">
        <f>IFERROR(IF(E6=0,"",D6/E6-1),"")</f>
        <v/>
      </c>
      <c r="G6" s="55">
        <f>D6-E6</f>
        <v/>
      </c>
      <c r="H6" s="56">
        <f>IFERROR(IF(ABS(D6/E6-1)&gt;0.25,"⚠ "&amp;ROUND((D6/E6-1)*100,0)&amp;"%",""),"")</f>
        <v/>
      </c>
    </row>
    <row r="7" ht="14" customHeight="1">
      <c r="A7" s="53">
        <f>Settings!$B$7</f>
        <v/>
      </c>
      <c r="B7" s="53" t="inlineStr">
        <is>
          <t>Electric</t>
        </is>
      </c>
      <c r="C7" s="35" t="inlineStr">
        <is>
          <t>Feb</t>
        </is>
      </c>
      <c r="D7" s="48">
        <f>SUMIFS('Bills Log'!$F$6:$F$505,'Bills Log'!$A$6:$A$505,"&gt;="&amp;DATE(Settings!$B$5,2,1),'Bills Log'!$A$6:$A$505,"&lt;"&amp;DATE(Settings!$B$5,3,1),'Bills Log'!$B$6:$B$505,A7,'Bills Log'!$C$6:$C$505,B7)</f>
        <v/>
      </c>
      <c r="E7" s="48">
        <f>SUMIFS('Bills Log'!$F$6:$F$505,'Bills Log'!$A$6:$A$505,"&gt;="&amp;DATE(Settings!$B$5-1,2,1),'Bills Log'!$A$6:$A$505,"&lt;"&amp;DATE((Settings!$B$5-1),3,1),'Bills Log'!$B$6:$B$505,A7,'Bills Log'!$C$6:$C$505,B7)</f>
        <v/>
      </c>
      <c r="F7" s="54">
        <f>IFERROR(IF(E7=0,"",D7/E7-1),"")</f>
        <v/>
      </c>
      <c r="G7" s="55">
        <f>D7-E7</f>
        <v/>
      </c>
      <c r="H7" s="56">
        <f>IFERROR(IF(ABS(D7/E7-1)&gt;0.25,"⚠ "&amp;ROUND((D7/E7-1)*100,0)&amp;"%",""),"")</f>
        <v/>
      </c>
    </row>
    <row r="8" ht="14" customHeight="1">
      <c r="A8" s="53">
        <f>Settings!$B$7</f>
        <v/>
      </c>
      <c r="B8" s="53" t="inlineStr">
        <is>
          <t>Electric</t>
        </is>
      </c>
      <c r="C8" s="35" t="inlineStr">
        <is>
          <t>Mar</t>
        </is>
      </c>
      <c r="D8" s="48">
        <f>SUMIFS('Bills Log'!$F$6:$F$505,'Bills Log'!$A$6:$A$505,"&gt;="&amp;DATE(Settings!$B$5,3,1),'Bills Log'!$A$6:$A$505,"&lt;"&amp;DATE(Settings!$B$5,4,1),'Bills Log'!$B$6:$B$505,A8,'Bills Log'!$C$6:$C$505,B8)</f>
        <v/>
      </c>
      <c r="E8" s="48">
        <f>SUMIFS('Bills Log'!$F$6:$F$505,'Bills Log'!$A$6:$A$505,"&gt;="&amp;DATE(Settings!$B$5-1,3,1),'Bills Log'!$A$6:$A$505,"&lt;"&amp;DATE((Settings!$B$5-1),4,1),'Bills Log'!$B$6:$B$505,A8,'Bills Log'!$C$6:$C$505,B8)</f>
        <v/>
      </c>
      <c r="F8" s="54">
        <f>IFERROR(IF(E8=0,"",D8/E8-1),"")</f>
        <v/>
      </c>
      <c r="G8" s="55">
        <f>D8-E8</f>
        <v/>
      </c>
      <c r="H8" s="56">
        <f>IFERROR(IF(ABS(D8/E8-1)&gt;0.25,"⚠ "&amp;ROUND((D8/E8-1)*100,0)&amp;"%",""),"")</f>
        <v/>
      </c>
    </row>
    <row r="9" ht="14" customHeight="1">
      <c r="A9" s="53">
        <f>Settings!$B$7</f>
        <v/>
      </c>
      <c r="B9" s="53" t="inlineStr">
        <is>
          <t>Electric</t>
        </is>
      </c>
      <c r="C9" s="35" t="inlineStr">
        <is>
          <t>Apr</t>
        </is>
      </c>
      <c r="D9" s="48">
        <f>SUMIFS('Bills Log'!$F$6:$F$505,'Bills Log'!$A$6:$A$505,"&gt;="&amp;DATE(Settings!$B$5,4,1),'Bills Log'!$A$6:$A$505,"&lt;"&amp;DATE(Settings!$B$5,5,1),'Bills Log'!$B$6:$B$505,A9,'Bills Log'!$C$6:$C$505,B9)</f>
        <v/>
      </c>
      <c r="E9" s="48">
        <f>SUMIFS('Bills Log'!$F$6:$F$505,'Bills Log'!$A$6:$A$505,"&gt;="&amp;DATE(Settings!$B$5-1,4,1),'Bills Log'!$A$6:$A$505,"&lt;"&amp;DATE((Settings!$B$5-1),5,1),'Bills Log'!$B$6:$B$505,A9,'Bills Log'!$C$6:$C$505,B9)</f>
        <v/>
      </c>
      <c r="F9" s="54">
        <f>IFERROR(IF(E9=0,"",D9/E9-1),"")</f>
        <v/>
      </c>
      <c r="G9" s="55">
        <f>D9-E9</f>
        <v/>
      </c>
      <c r="H9" s="56">
        <f>IFERROR(IF(ABS(D9/E9-1)&gt;0.25,"⚠ "&amp;ROUND((D9/E9-1)*100,0)&amp;"%",""),"")</f>
        <v/>
      </c>
    </row>
    <row r="10" ht="14" customHeight="1">
      <c r="A10" s="53">
        <f>Settings!$B$7</f>
        <v/>
      </c>
      <c r="B10" s="53" t="inlineStr">
        <is>
          <t>Electric</t>
        </is>
      </c>
      <c r="C10" s="35" t="inlineStr">
        <is>
          <t>May</t>
        </is>
      </c>
      <c r="D10" s="48">
        <f>SUMIFS('Bills Log'!$F$6:$F$505,'Bills Log'!$A$6:$A$505,"&gt;="&amp;DATE(Settings!$B$5,5,1),'Bills Log'!$A$6:$A$505,"&lt;"&amp;DATE(Settings!$B$5,6,1),'Bills Log'!$B$6:$B$505,A10,'Bills Log'!$C$6:$C$505,B10)</f>
        <v/>
      </c>
      <c r="E10" s="48">
        <f>SUMIFS('Bills Log'!$F$6:$F$505,'Bills Log'!$A$6:$A$505,"&gt;="&amp;DATE(Settings!$B$5-1,5,1),'Bills Log'!$A$6:$A$505,"&lt;"&amp;DATE((Settings!$B$5-1),6,1),'Bills Log'!$B$6:$B$505,A10,'Bills Log'!$C$6:$C$505,B10)</f>
        <v/>
      </c>
      <c r="F10" s="54">
        <f>IFERROR(IF(E10=0,"",D10/E10-1),"")</f>
        <v/>
      </c>
      <c r="G10" s="55">
        <f>D10-E10</f>
        <v/>
      </c>
      <c r="H10" s="56">
        <f>IFERROR(IF(ABS(D10/E10-1)&gt;0.25,"⚠ "&amp;ROUND((D10/E10-1)*100,0)&amp;"%",""),"")</f>
        <v/>
      </c>
    </row>
    <row r="11" ht="14" customHeight="1">
      <c r="A11" s="53">
        <f>Settings!$B$7</f>
        <v/>
      </c>
      <c r="B11" s="53" t="inlineStr">
        <is>
          <t>Electric</t>
        </is>
      </c>
      <c r="C11" s="35" t="inlineStr">
        <is>
          <t>Jun</t>
        </is>
      </c>
      <c r="D11" s="48">
        <f>SUMIFS('Bills Log'!$F$6:$F$505,'Bills Log'!$A$6:$A$505,"&gt;="&amp;DATE(Settings!$B$5,6,1),'Bills Log'!$A$6:$A$505,"&lt;"&amp;DATE(Settings!$B$5,7,1),'Bills Log'!$B$6:$B$505,A11,'Bills Log'!$C$6:$C$505,B11)</f>
        <v/>
      </c>
      <c r="E11" s="48">
        <f>SUMIFS('Bills Log'!$F$6:$F$505,'Bills Log'!$A$6:$A$505,"&gt;="&amp;DATE(Settings!$B$5-1,6,1),'Bills Log'!$A$6:$A$505,"&lt;"&amp;DATE((Settings!$B$5-1),7,1),'Bills Log'!$B$6:$B$505,A11,'Bills Log'!$C$6:$C$505,B11)</f>
        <v/>
      </c>
      <c r="F11" s="54">
        <f>IFERROR(IF(E11=0,"",D11/E11-1),"")</f>
        <v/>
      </c>
      <c r="G11" s="55">
        <f>D11-E11</f>
        <v/>
      </c>
      <c r="H11" s="56">
        <f>IFERROR(IF(ABS(D11/E11-1)&gt;0.25,"⚠ "&amp;ROUND((D11/E11-1)*100,0)&amp;"%",""),"")</f>
        <v/>
      </c>
    </row>
    <row r="12" ht="14" customHeight="1">
      <c r="A12" s="53">
        <f>Settings!$B$7</f>
        <v/>
      </c>
      <c r="B12" s="53" t="inlineStr">
        <is>
          <t>Electric</t>
        </is>
      </c>
      <c r="C12" s="35" t="inlineStr">
        <is>
          <t>Jul</t>
        </is>
      </c>
      <c r="D12" s="48">
        <f>SUMIFS('Bills Log'!$F$6:$F$505,'Bills Log'!$A$6:$A$505,"&gt;="&amp;DATE(Settings!$B$5,7,1),'Bills Log'!$A$6:$A$505,"&lt;"&amp;DATE(Settings!$B$5,8,1),'Bills Log'!$B$6:$B$505,A12,'Bills Log'!$C$6:$C$505,B12)</f>
        <v/>
      </c>
      <c r="E12" s="48">
        <f>SUMIFS('Bills Log'!$F$6:$F$505,'Bills Log'!$A$6:$A$505,"&gt;="&amp;DATE(Settings!$B$5-1,7,1),'Bills Log'!$A$6:$A$505,"&lt;"&amp;DATE((Settings!$B$5-1),8,1),'Bills Log'!$B$6:$B$505,A12,'Bills Log'!$C$6:$C$505,B12)</f>
        <v/>
      </c>
      <c r="F12" s="54">
        <f>IFERROR(IF(E12=0,"",D12/E12-1),"")</f>
        <v/>
      </c>
      <c r="G12" s="55">
        <f>D12-E12</f>
        <v/>
      </c>
      <c r="H12" s="56">
        <f>IFERROR(IF(ABS(D12/E12-1)&gt;0.25,"⚠ "&amp;ROUND((D12/E12-1)*100,0)&amp;"%",""),"")</f>
        <v/>
      </c>
    </row>
    <row r="13" ht="14" customHeight="1">
      <c r="A13" s="53">
        <f>Settings!$B$7</f>
        <v/>
      </c>
      <c r="B13" s="53" t="inlineStr">
        <is>
          <t>Electric</t>
        </is>
      </c>
      <c r="C13" s="35" t="inlineStr">
        <is>
          <t>Aug</t>
        </is>
      </c>
      <c r="D13" s="48">
        <f>SUMIFS('Bills Log'!$F$6:$F$505,'Bills Log'!$A$6:$A$505,"&gt;="&amp;DATE(Settings!$B$5,8,1),'Bills Log'!$A$6:$A$505,"&lt;"&amp;DATE(Settings!$B$5,9,1),'Bills Log'!$B$6:$B$505,A13,'Bills Log'!$C$6:$C$505,B13)</f>
        <v/>
      </c>
      <c r="E13" s="48">
        <f>SUMIFS('Bills Log'!$F$6:$F$505,'Bills Log'!$A$6:$A$505,"&gt;="&amp;DATE(Settings!$B$5-1,8,1),'Bills Log'!$A$6:$A$505,"&lt;"&amp;DATE((Settings!$B$5-1),9,1),'Bills Log'!$B$6:$B$505,A13,'Bills Log'!$C$6:$C$505,B13)</f>
        <v/>
      </c>
      <c r="F13" s="54">
        <f>IFERROR(IF(E13=0,"",D13/E13-1),"")</f>
        <v/>
      </c>
      <c r="G13" s="55">
        <f>D13-E13</f>
        <v/>
      </c>
      <c r="H13" s="56">
        <f>IFERROR(IF(ABS(D13/E13-1)&gt;0.25,"⚠ "&amp;ROUND((D13/E13-1)*100,0)&amp;"%",""),"")</f>
        <v/>
      </c>
    </row>
    <row r="14" ht="14" customHeight="1">
      <c r="A14" s="53">
        <f>Settings!$B$7</f>
        <v/>
      </c>
      <c r="B14" s="53" t="inlineStr">
        <is>
          <t>Electric</t>
        </is>
      </c>
      <c r="C14" s="35" t="inlineStr">
        <is>
          <t>Sep</t>
        </is>
      </c>
      <c r="D14" s="48">
        <f>SUMIFS('Bills Log'!$F$6:$F$505,'Bills Log'!$A$6:$A$505,"&gt;="&amp;DATE(Settings!$B$5,9,1),'Bills Log'!$A$6:$A$505,"&lt;"&amp;DATE(Settings!$B$5,10,1),'Bills Log'!$B$6:$B$505,A14,'Bills Log'!$C$6:$C$505,B14)</f>
        <v/>
      </c>
      <c r="E14" s="48">
        <f>SUMIFS('Bills Log'!$F$6:$F$505,'Bills Log'!$A$6:$A$505,"&gt;="&amp;DATE(Settings!$B$5-1,9,1),'Bills Log'!$A$6:$A$505,"&lt;"&amp;DATE((Settings!$B$5-1),10,1),'Bills Log'!$B$6:$B$505,A14,'Bills Log'!$C$6:$C$505,B14)</f>
        <v/>
      </c>
      <c r="F14" s="54">
        <f>IFERROR(IF(E14=0,"",D14/E14-1),"")</f>
        <v/>
      </c>
      <c r="G14" s="55">
        <f>D14-E14</f>
        <v/>
      </c>
      <c r="H14" s="56">
        <f>IFERROR(IF(ABS(D14/E14-1)&gt;0.25,"⚠ "&amp;ROUND((D14/E14-1)*100,0)&amp;"%",""),"")</f>
        <v/>
      </c>
    </row>
    <row r="15" ht="14" customHeight="1">
      <c r="A15" s="53">
        <f>Settings!$B$7</f>
        <v/>
      </c>
      <c r="B15" s="53" t="inlineStr">
        <is>
          <t>Electric</t>
        </is>
      </c>
      <c r="C15" s="35" t="inlineStr">
        <is>
          <t>Oct</t>
        </is>
      </c>
      <c r="D15" s="48">
        <f>SUMIFS('Bills Log'!$F$6:$F$505,'Bills Log'!$A$6:$A$505,"&gt;="&amp;DATE(Settings!$B$5,10,1),'Bills Log'!$A$6:$A$505,"&lt;"&amp;DATE(Settings!$B$5,11,1),'Bills Log'!$B$6:$B$505,A15,'Bills Log'!$C$6:$C$505,B15)</f>
        <v/>
      </c>
      <c r="E15" s="48">
        <f>SUMIFS('Bills Log'!$F$6:$F$505,'Bills Log'!$A$6:$A$505,"&gt;="&amp;DATE(Settings!$B$5-1,10,1),'Bills Log'!$A$6:$A$505,"&lt;"&amp;DATE((Settings!$B$5-1),11,1),'Bills Log'!$B$6:$B$505,A15,'Bills Log'!$C$6:$C$505,B15)</f>
        <v/>
      </c>
      <c r="F15" s="54">
        <f>IFERROR(IF(E15=0,"",D15/E15-1),"")</f>
        <v/>
      </c>
      <c r="G15" s="55">
        <f>D15-E15</f>
        <v/>
      </c>
      <c r="H15" s="56">
        <f>IFERROR(IF(ABS(D15/E15-1)&gt;0.25,"⚠ "&amp;ROUND((D15/E15-1)*100,0)&amp;"%",""),"")</f>
        <v/>
      </c>
    </row>
    <row r="16" ht="14" customHeight="1">
      <c r="A16" s="53">
        <f>Settings!$B$7</f>
        <v/>
      </c>
      <c r="B16" s="53" t="inlineStr">
        <is>
          <t>Electric</t>
        </is>
      </c>
      <c r="C16" s="35" t="inlineStr">
        <is>
          <t>Nov</t>
        </is>
      </c>
      <c r="D16" s="48">
        <f>SUMIFS('Bills Log'!$F$6:$F$505,'Bills Log'!$A$6:$A$505,"&gt;="&amp;DATE(Settings!$B$5,11,1),'Bills Log'!$A$6:$A$505,"&lt;"&amp;DATE(Settings!$B$5,12,1),'Bills Log'!$B$6:$B$505,A16,'Bills Log'!$C$6:$C$505,B16)</f>
        <v/>
      </c>
      <c r="E16" s="48">
        <f>SUMIFS('Bills Log'!$F$6:$F$505,'Bills Log'!$A$6:$A$505,"&gt;="&amp;DATE(Settings!$B$5-1,11,1),'Bills Log'!$A$6:$A$505,"&lt;"&amp;DATE((Settings!$B$5-1),12,1),'Bills Log'!$B$6:$B$505,A16,'Bills Log'!$C$6:$C$505,B16)</f>
        <v/>
      </c>
      <c r="F16" s="54">
        <f>IFERROR(IF(E16=0,"",D16/E16-1),"")</f>
        <v/>
      </c>
      <c r="G16" s="55">
        <f>D16-E16</f>
        <v/>
      </c>
      <c r="H16" s="56">
        <f>IFERROR(IF(ABS(D16/E16-1)&gt;0.25,"⚠ "&amp;ROUND((D16/E16-1)*100,0)&amp;"%",""),"")</f>
        <v/>
      </c>
    </row>
    <row r="17" ht="14" customHeight="1">
      <c r="A17" s="53">
        <f>Settings!$B$7</f>
        <v/>
      </c>
      <c r="B17" s="53" t="inlineStr">
        <is>
          <t>Electric</t>
        </is>
      </c>
      <c r="C17" s="35" t="inlineStr">
        <is>
          <t>Dec</t>
        </is>
      </c>
      <c r="D17" s="48">
        <f>SUMIFS('Bills Log'!$F$6:$F$505,'Bills Log'!$A$6:$A$505,"&gt;="&amp;DATE(Settings!$B$5,12,1),'Bills Log'!$A$6:$A$505,"&lt;"&amp;DATE(Settings!$B$5+1,1,1),'Bills Log'!$B$6:$B$505,A17,'Bills Log'!$C$6:$C$505,B17)</f>
        <v/>
      </c>
      <c r="E17" s="48">
        <f>SUMIFS('Bills Log'!$F$6:$F$505,'Bills Log'!$A$6:$A$505,"&gt;="&amp;DATE(Settings!$B$5-1,12,1),'Bills Log'!$A$6:$A$505,"&lt;"&amp;DATE(Settings!$B$5,1,1),'Bills Log'!$B$6:$B$505,A17,'Bills Log'!$C$6:$C$505,B17)</f>
        <v/>
      </c>
      <c r="F17" s="54">
        <f>IFERROR(IF(E17=0,"",D17/E17-1),"")</f>
        <v/>
      </c>
      <c r="G17" s="55">
        <f>D17-E17</f>
        <v/>
      </c>
      <c r="H17" s="56">
        <f>IFERROR(IF(ABS(D17/E17-1)&gt;0.25,"⚠ "&amp;ROUND((D17/E17-1)*100,0)&amp;"%",""),"")</f>
        <v/>
      </c>
    </row>
    <row r="18" ht="14" customHeight="1">
      <c r="A18" s="53">
        <f>Settings!$B$7</f>
        <v/>
      </c>
      <c r="B18" s="53" t="inlineStr">
        <is>
          <t>Gas</t>
        </is>
      </c>
      <c r="C18" s="35" t="inlineStr">
        <is>
          <t>Jan</t>
        </is>
      </c>
      <c r="D18" s="48">
        <f>SUMIFS('Bills Log'!$F$6:$F$505,'Bills Log'!$A$6:$A$505,"&gt;="&amp;DATE(Settings!$B$5,1,1),'Bills Log'!$A$6:$A$505,"&lt;"&amp;DATE(Settings!$B$5,2,1),'Bills Log'!$B$6:$B$505,A18,'Bills Log'!$C$6:$C$505,B18)</f>
        <v/>
      </c>
      <c r="E18" s="48">
        <f>SUMIFS('Bills Log'!$F$6:$F$505,'Bills Log'!$A$6:$A$505,"&gt;="&amp;DATE(Settings!$B$5-1,1,1),'Bills Log'!$A$6:$A$505,"&lt;"&amp;DATE((Settings!$B$5-1),2,1),'Bills Log'!$B$6:$B$505,A18,'Bills Log'!$C$6:$C$505,B18)</f>
        <v/>
      </c>
      <c r="F18" s="54">
        <f>IFERROR(IF(E18=0,"",D18/E18-1),"")</f>
        <v/>
      </c>
      <c r="G18" s="55">
        <f>D18-E18</f>
        <v/>
      </c>
      <c r="H18" s="56">
        <f>IFERROR(IF(ABS(D18/E18-1)&gt;0.25,"⚠ "&amp;ROUND((D18/E18-1)*100,0)&amp;"%",""),"")</f>
        <v/>
      </c>
    </row>
    <row r="19" ht="14" customHeight="1">
      <c r="A19" s="53">
        <f>Settings!$B$7</f>
        <v/>
      </c>
      <c r="B19" s="53" t="inlineStr">
        <is>
          <t>Gas</t>
        </is>
      </c>
      <c r="C19" s="35" t="inlineStr">
        <is>
          <t>Feb</t>
        </is>
      </c>
      <c r="D19" s="48">
        <f>SUMIFS('Bills Log'!$F$6:$F$505,'Bills Log'!$A$6:$A$505,"&gt;="&amp;DATE(Settings!$B$5,2,1),'Bills Log'!$A$6:$A$505,"&lt;"&amp;DATE(Settings!$B$5,3,1),'Bills Log'!$B$6:$B$505,A19,'Bills Log'!$C$6:$C$505,B19)</f>
        <v/>
      </c>
      <c r="E19" s="48">
        <f>SUMIFS('Bills Log'!$F$6:$F$505,'Bills Log'!$A$6:$A$505,"&gt;="&amp;DATE(Settings!$B$5-1,2,1),'Bills Log'!$A$6:$A$505,"&lt;"&amp;DATE((Settings!$B$5-1),3,1),'Bills Log'!$B$6:$B$505,A19,'Bills Log'!$C$6:$C$505,B19)</f>
        <v/>
      </c>
      <c r="F19" s="54">
        <f>IFERROR(IF(E19=0,"",D19/E19-1),"")</f>
        <v/>
      </c>
      <c r="G19" s="55">
        <f>D19-E19</f>
        <v/>
      </c>
      <c r="H19" s="56">
        <f>IFERROR(IF(ABS(D19/E19-1)&gt;0.25,"⚠ "&amp;ROUND((D19/E19-1)*100,0)&amp;"%",""),"")</f>
        <v/>
      </c>
    </row>
    <row r="20" ht="14" customHeight="1">
      <c r="A20" s="53">
        <f>Settings!$B$7</f>
        <v/>
      </c>
      <c r="B20" s="53" t="inlineStr">
        <is>
          <t>Gas</t>
        </is>
      </c>
      <c r="C20" s="35" t="inlineStr">
        <is>
          <t>Mar</t>
        </is>
      </c>
      <c r="D20" s="48">
        <f>SUMIFS('Bills Log'!$F$6:$F$505,'Bills Log'!$A$6:$A$505,"&gt;="&amp;DATE(Settings!$B$5,3,1),'Bills Log'!$A$6:$A$505,"&lt;"&amp;DATE(Settings!$B$5,4,1),'Bills Log'!$B$6:$B$505,A20,'Bills Log'!$C$6:$C$505,B20)</f>
        <v/>
      </c>
      <c r="E20" s="48">
        <f>SUMIFS('Bills Log'!$F$6:$F$505,'Bills Log'!$A$6:$A$505,"&gt;="&amp;DATE(Settings!$B$5-1,3,1),'Bills Log'!$A$6:$A$505,"&lt;"&amp;DATE((Settings!$B$5-1),4,1),'Bills Log'!$B$6:$B$505,A20,'Bills Log'!$C$6:$C$505,B20)</f>
        <v/>
      </c>
      <c r="F20" s="54">
        <f>IFERROR(IF(E20=0,"",D20/E20-1),"")</f>
        <v/>
      </c>
      <c r="G20" s="55">
        <f>D20-E20</f>
        <v/>
      </c>
      <c r="H20" s="56">
        <f>IFERROR(IF(ABS(D20/E20-1)&gt;0.25,"⚠ "&amp;ROUND((D20/E20-1)*100,0)&amp;"%",""),"")</f>
        <v/>
      </c>
    </row>
    <row r="21" ht="14" customHeight="1">
      <c r="A21" s="53">
        <f>Settings!$B$7</f>
        <v/>
      </c>
      <c r="B21" s="53" t="inlineStr">
        <is>
          <t>Gas</t>
        </is>
      </c>
      <c r="C21" s="35" t="inlineStr">
        <is>
          <t>Apr</t>
        </is>
      </c>
      <c r="D21" s="48">
        <f>SUMIFS('Bills Log'!$F$6:$F$505,'Bills Log'!$A$6:$A$505,"&gt;="&amp;DATE(Settings!$B$5,4,1),'Bills Log'!$A$6:$A$505,"&lt;"&amp;DATE(Settings!$B$5,5,1),'Bills Log'!$B$6:$B$505,A21,'Bills Log'!$C$6:$C$505,B21)</f>
        <v/>
      </c>
      <c r="E21" s="48">
        <f>SUMIFS('Bills Log'!$F$6:$F$505,'Bills Log'!$A$6:$A$505,"&gt;="&amp;DATE(Settings!$B$5-1,4,1),'Bills Log'!$A$6:$A$505,"&lt;"&amp;DATE((Settings!$B$5-1),5,1),'Bills Log'!$B$6:$B$505,A21,'Bills Log'!$C$6:$C$505,B21)</f>
        <v/>
      </c>
      <c r="F21" s="54">
        <f>IFERROR(IF(E21=0,"",D21/E21-1),"")</f>
        <v/>
      </c>
      <c r="G21" s="55">
        <f>D21-E21</f>
        <v/>
      </c>
      <c r="H21" s="56">
        <f>IFERROR(IF(ABS(D21/E21-1)&gt;0.25,"⚠ "&amp;ROUND((D21/E21-1)*100,0)&amp;"%",""),"")</f>
        <v/>
      </c>
    </row>
    <row r="22" ht="14" customHeight="1">
      <c r="A22" s="53">
        <f>Settings!$B$7</f>
        <v/>
      </c>
      <c r="B22" s="53" t="inlineStr">
        <is>
          <t>Gas</t>
        </is>
      </c>
      <c r="C22" s="35" t="inlineStr">
        <is>
          <t>May</t>
        </is>
      </c>
      <c r="D22" s="48">
        <f>SUMIFS('Bills Log'!$F$6:$F$505,'Bills Log'!$A$6:$A$505,"&gt;="&amp;DATE(Settings!$B$5,5,1),'Bills Log'!$A$6:$A$505,"&lt;"&amp;DATE(Settings!$B$5,6,1),'Bills Log'!$B$6:$B$505,A22,'Bills Log'!$C$6:$C$505,B22)</f>
        <v/>
      </c>
      <c r="E22" s="48">
        <f>SUMIFS('Bills Log'!$F$6:$F$505,'Bills Log'!$A$6:$A$505,"&gt;="&amp;DATE(Settings!$B$5-1,5,1),'Bills Log'!$A$6:$A$505,"&lt;"&amp;DATE((Settings!$B$5-1),6,1),'Bills Log'!$B$6:$B$505,A22,'Bills Log'!$C$6:$C$505,B22)</f>
        <v/>
      </c>
      <c r="F22" s="54">
        <f>IFERROR(IF(E22=0,"",D22/E22-1),"")</f>
        <v/>
      </c>
      <c r="G22" s="55">
        <f>D22-E22</f>
        <v/>
      </c>
      <c r="H22" s="56">
        <f>IFERROR(IF(ABS(D22/E22-1)&gt;0.25,"⚠ "&amp;ROUND((D22/E22-1)*100,0)&amp;"%",""),"")</f>
        <v/>
      </c>
    </row>
    <row r="23" ht="14" customHeight="1">
      <c r="A23" s="53">
        <f>Settings!$B$7</f>
        <v/>
      </c>
      <c r="B23" s="53" t="inlineStr">
        <is>
          <t>Gas</t>
        </is>
      </c>
      <c r="C23" s="35" t="inlineStr">
        <is>
          <t>Jun</t>
        </is>
      </c>
      <c r="D23" s="48">
        <f>SUMIFS('Bills Log'!$F$6:$F$505,'Bills Log'!$A$6:$A$505,"&gt;="&amp;DATE(Settings!$B$5,6,1),'Bills Log'!$A$6:$A$505,"&lt;"&amp;DATE(Settings!$B$5,7,1),'Bills Log'!$B$6:$B$505,A23,'Bills Log'!$C$6:$C$505,B23)</f>
        <v/>
      </c>
      <c r="E23" s="48">
        <f>SUMIFS('Bills Log'!$F$6:$F$505,'Bills Log'!$A$6:$A$505,"&gt;="&amp;DATE(Settings!$B$5-1,6,1),'Bills Log'!$A$6:$A$505,"&lt;"&amp;DATE((Settings!$B$5-1),7,1),'Bills Log'!$B$6:$B$505,A23,'Bills Log'!$C$6:$C$505,B23)</f>
        <v/>
      </c>
      <c r="F23" s="54">
        <f>IFERROR(IF(E23=0,"",D23/E23-1),"")</f>
        <v/>
      </c>
      <c r="G23" s="55">
        <f>D23-E23</f>
        <v/>
      </c>
      <c r="H23" s="56">
        <f>IFERROR(IF(ABS(D23/E23-1)&gt;0.25,"⚠ "&amp;ROUND((D23/E23-1)*100,0)&amp;"%",""),"")</f>
        <v/>
      </c>
    </row>
    <row r="24" ht="14" customHeight="1">
      <c r="A24" s="53">
        <f>Settings!$B$7</f>
        <v/>
      </c>
      <c r="B24" s="53" t="inlineStr">
        <is>
          <t>Gas</t>
        </is>
      </c>
      <c r="C24" s="35" t="inlineStr">
        <is>
          <t>Jul</t>
        </is>
      </c>
      <c r="D24" s="48">
        <f>SUMIFS('Bills Log'!$F$6:$F$505,'Bills Log'!$A$6:$A$505,"&gt;="&amp;DATE(Settings!$B$5,7,1),'Bills Log'!$A$6:$A$505,"&lt;"&amp;DATE(Settings!$B$5,8,1),'Bills Log'!$B$6:$B$505,A24,'Bills Log'!$C$6:$C$505,B24)</f>
        <v/>
      </c>
      <c r="E24" s="48">
        <f>SUMIFS('Bills Log'!$F$6:$F$505,'Bills Log'!$A$6:$A$505,"&gt;="&amp;DATE(Settings!$B$5-1,7,1),'Bills Log'!$A$6:$A$505,"&lt;"&amp;DATE((Settings!$B$5-1),8,1),'Bills Log'!$B$6:$B$505,A24,'Bills Log'!$C$6:$C$505,B24)</f>
        <v/>
      </c>
      <c r="F24" s="54">
        <f>IFERROR(IF(E24=0,"",D24/E24-1),"")</f>
        <v/>
      </c>
      <c r="G24" s="55">
        <f>D24-E24</f>
        <v/>
      </c>
      <c r="H24" s="56">
        <f>IFERROR(IF(ABS(D24/E24-1)&gt;0.25,"⚠ "&amp;ROUND((D24/E24-1)*100,0)&amp;"%",""),"")</f>
        <v/>
      </c>
    </row>
    <row r="25" ht="14" customHeight="1">
      <c r="A25" s="53">
        <f>Settings!$B$7</f>
        <v/>
      </c>
      <c r="B25" s="53" t="inlineStr">
        <is>
          <t>Gas</t>
        </is>
      </c>
      <c r="C25" s="35" t="inlineStr">
        <is>
          <t>Aug</t>
        </is>
      </c>
      <c r="D25" s="48">
        <f>SUMIFS('Bills Log'!$F$6:$F$505,'Bills Log'!$A$6:$A$505,"&gt;="&amp;DATE(Settings!$B$5,8,1),'Bills Log'!$A$6:$A$505,"&lt;"&amp;DATE(Settings!$B$5,9,1),'Bills Log'!$B$6:$B$505,A25,'Bills Log'!$C$6:$C$505,B25)</f>
        <v/>
      </c>
      <c r="E25" s="48">
        <f>SUMIFS('Bills Log'!$F$6:$F$505,'Bills Log'!$A$6:$A$505,"&gt;="&amp;DATE(Settings!$B$5-1,8,1),'Bills Log'!$A$6:$A$505,"&lt;"&amp;DATE((Settings!$B$5-1),9,1),'Bills Log'!$B$6:$B$505,A25,'Bills Log'!$C$6:$C$505,B25)</f>
        <v/>
      </c>
      <c r="F25" s="54">
        <f>IFERROR(IF(E25=0,"",D25/E25-1),"")</f>
        <v/>
      </c>
      <c r="G25" s="55">
        <f>D25-E25</f>
        <v/>
      </c>
      <c r="H25" s="56">
        <f>IFERROR(IF(ABS(D25/E25-1)&gt;0.25,"⚠ "&amp;ROUND((D25/E25-1)*100,0)&amp;"%",""),"")</f>
        <v/>
      </c>
    </row>
    <row r="26" ht="14" customHeight="1">
      <c r="A26" s="53">
        <f>Settings!$B$7</f>
        <v/>
      </c>
      <c r="B26" s="53" t="inlineStr">
        <is>
          <t>Gas</t>
        </is>
      </c>
      <c r="C26" s="35" t="inlineStr">
        <is>
          <t>Sep</t>
        </is>
      </c>
      <c r="D26" s="48">
        <f>SUMIFS('Bills Log'!$F$6:$F$505,'Bills Log'!$A$6:$A$505,"&gt;="&amp;DATE(Settings!$B$5,9,1),'Bills Log'!$A$6:$A$505,"&lt;"&amp;DATE(Settings!$B$5,10,1),'Bills Log'!$B$6:$B$505,A26,'Bills Log'!$C$6:$C$505,B26)</f>
        <v/>
      </c>
      <c r="E26" s="48">
        <f>SUMIFS('Bills Log'!$F$6:$F$505,'Bills Log'!$A$6:$A$505,"&gt;="&amp;DATE(Settings!$B$5-1,9,1),'Bills Log'!$A$6:$A$505,"&lt;"&amp;DATE((Settings!$B$5-1),10,1),'Bills Log'!$B$6:$B$505,A26,'Bills Log'!$C$6:$C$505,B26)</f>
        <v/>
      </c>
      <c r="F26" s="54">
        <f>IFERROR(IF(E26=0,"",D26/E26-1),"")</f>
        <v/>
      </c>
      <c r="G26" s="55">
        <f>D26-E26</f>
        <v/>
      </c>
      <c r="H26" s="56">
        <f>IFERROR(IF(ABS(D26/E26-1)&gt;0.25,"⚠ "&amp;ROUND((D26/E26-1)*100,0)&amp;"%",""),"")</f>
        <v/>
      </c>
    </row>
    <row r="27" ht="14" customHeight="1">
      <c r="A27" s="53">
        <f>Settings!$B$7</f>
        <v/>
      </c>
      <c r="B27" s="53" t="inlineStr">
        <is>
          <t>Gas</t>
        </is>
      </c>
      <c r="C27" s="35" t="inlineStr">
        <is>
          <t>Oct</t>
        </is>
      </c>
      <c r="D27" s="48">
        <f>SUMIFS('Bills Log'!$F$6:$F$505,'Bills Log'!$A$6:$A$505,"&gt;="&amp;DATE(Settings!$B$5,10,1),'Bills Log'!$A$6:$A$505,"&lt;"&amp;DATE(Settings!$B$5,11,1),'Bills Log'!$B$6:$B$505,A27,'Bills Log'!$C$6:$C$505,B27)</f>
        <v/>
      </c>
      <c r="E27" s="48">
        <f>SUMIFS('Bills Log'!$F$6:$F$505,'Bills Log'!$A$6:$A$505,"&gt;="&amp;DATE(Settings!$B$5-1,10,1),'Bills Log'!$A$6:$A$505,"&lt;"&amp;DATE((Settings!$B$5-1),11,1),'Bills Log'!$B$6:$B$505,A27,'Bills Log'!$C$6:$C$505,B27)</f>
        <v/>
      </c>
      <c r="F27" s="54">
        <f>IFERROR(IF(E27=0,"",D27/E27-1),"")</f>
        <v/>
      </c>
      <c r="G27" s="55">
        <f>D27-E27</f>
        <v/>
      </c>
      <c r="H27" s="56">
        <f>IFERROR(IF(ABS(D27/E27-1)&gt;0.25,"⚠ "&amp;ROUND((D27/E27-1)*100,0)&amp;"%",""),"")</f>
        <v/>
      </c>
    </row>
    <row r="28" ht="14" customHeight="1">
      <c r="A28" s="53">
        <f>Settings!$B$7</f>
        <v/>
      </c>
      <c r="B28" s="53" t="inlineStr">
        <is>
          <t>Gas</t>
        </is>
      </c>
      <c r="C28" s="35" t="inlineStr">
        <is>
          <t>Nov</t>
        </is>
      </c>
      <c r="D28" s="48">
        <f>SUMIFS('Bills Log'!$F$6:$F$505,'Bills Log'!$A$6:$A$505,"&gt;="&amp;DATE(Settings!$B$5,11,1),'Bills Log'!$A$6:$A$505,"&lt;"&amp;DATE(Settings!$B$5,12,1),'Bills Log'!$B$6:$B$505,A28,'Bills Log'!$C$6:$C$505,B28)</f>
        <v/>
      </c>
      <c r="E28" s="48">
        <f>SUMIFS('Bills Log'!$F$6:$F$505,'Bills Log'!$A$6:$A$505,"&gt;="&amp;DATE(Settings!$B$5-1,11,1),'Bills Log'!$A$6:$A$505,"&lt;"&amp;DATE((Settings!$B$5-1),12,1),'Bills Log'!$B$6:$B$505,A28,'Bills Log'!$C$6:$C$505,B28)</f>
        <v/>
      </c>
      <c r="F28" s="54">
        <f>IFERROR(IF(E28=0,"",D28/E28-1),"")</f>
        <v/>
      </c>
      <c r="G28" s="55">
        <f>D28-E28</f>
        <v/>
      </c>
      <c r="H28" s="56">
        <f>IFERROR(IF(ABS(D28/E28-1)&gt;0.25,"⚠ "&amp;ROUND((D28/E28-1)*100,0)&amp;"%",""),"")</f>
        <v/>
      </c>
    </row>
    <row r="29" ht="14" customHeight="1">
      <c r="A29" s="53">
        <f>Settings!$B$7</f>
        <v/>
      </c>
      <c r="B29" s="53" t="inlineStr">
        <is>
          <t>Gas</t>
        </is>
      </c>
      <c r="C29" s="35" t="inlineStr">
        <is>
          <t>Dec</t>
        </is>
      </c>
      <c r="D29" s="48">
        <f>SUMIFS('Bills Log'!$F$6:$F$505,'Bills Log'!$A$6:$A$505,"&gt;="&amp;DATE(Settings!$B$5,12,1),'Bills Log'!$A$6:$A$505,"&lt;"&amp;DATE(Settings!$B$5+1,1,1),'Bills Log'!$B$6:$B$505,A29,'Bills Log'!$C$6:$C$505,B29)</f>
        <v/>
      </c>
      <c r="E29" s="48">
        <f>SUMIFS('Bills Log'!$F$6:$F$505,'Bills Log'!$A$6:$A$505,"&gt;="&amp;DATE(Settings!$B$5-1,12,1),'Bills Log'!$A$6:$A$505,"&lt;"&amp;DATE(Settings!$B$5,1,1),'Bills Log'!$B$6:$B$505,A29,'Bills Log'!$C$6:$C$505,B29)</f>
        <v/>
      </c>
      <c r="F29" s="54">
        <f>IFERROR(IF(E29=0,"",D29/E29-1),"")</f>
        <v/>
      </c>
      <c r="G29" s="55">
        <f>D29-E29</f>
        <v/>
      </c>
      <c r="H29" s="56">
        <f>IFERROR(IF(ABS(D29/E29-1)&gt;0.25,"⚠ "&amp;ROUND((D29/E29-1)*100,0)&amp;"%",""),"")</f>
        <v/>
      </c>
    </row>
    <row r="30" ht="14" customHeight="1">
      <c r="A30" s="53">
        <f>Settings!$B$7</f>
        <v/>
      </c>
      <c r="B30" s="53" t="inlineStr">
        <is>
          <t>Water</t>
        </is>
      </c>
      <c r="C30" s="35" t="inlineStr">
        <is>
          <t>Jan</t>
        </is>
      </c>
      <c r="D30" s="48">
        <f>SUMIFS('Bills Log'!$F$6:$F$505,'Bills Log'!$A$6:$A$505,"&gt;="&amp;DATE(Settings!$B$5,1,1),'Bills Log'!$A$6:$A$505,"&lt;"&amp;DATE(Settings!$B$5,2,1),'Bills Log'!$B$6:$B$505,A30,'Bills Log'!$C$6:$C$505,B30)</f>
        <v/>
      </c>
      <c r="E30" s="48">
        <f>SUMIFS('Bills Log'!$F$6:$F$505,'Bills Log'!$A$6:$A$505,"&gt;="&amp;DATE(Settings!$B$5-1,1,1),'Bills Log'!$A$6:$A$505,"&lt;"&amp;DATE((Settings!$B$5-1),2,1),'Bills Log'!$B$6:$B$505,A30,'Bills Log'!$C$6:$C$505,B30)</f>
        <v/>
      </c>
      <c r="F30" s="54">
        <f>IFERROR(IF(E30=0,"",D30/E30-1),"")</f>
        <v/>
      </c>
      <c r="G30" s="55">
        <f>D30-E30</f>
        <v/>
      </c>
      <c r="H30" s="56">
        <f>IFERROR(IF(ABS(D30/E30-1)&gt;0.25,"⚠ "&amp;ROUND((D30/E30-1)*100,0)&amp;"%",""),"")</f>
        <v/>
      </c>
    </row>
    <row r="31" ht="14" customHeight="1">
      <c r="A31" s="53">
        <f>Settings!$B$7</f>
        <v/>
      </c>
      <c r="B31" s="53" t="inlineStr">
        <is>
          <t>Water</t>
        </is>
      </c>
      <c r="C31" s="35" t="inlineStr">
        <is>
          <t>Feb</t>
        </is>
      </c>
      <c r="D31" s="48">
        <f>SUMIFS('Bills Log'!$F$6:$F$505,'Bills Log'!$A$6:$A$505,"&gt;="&amp;DATE(Settings!$B$5,2,1),'Bills Log'!$A$6:$A$505,"&lt;"&amp;DATE(Settings!$B$5,3,1),'Bills Log'!$B$6:$B$505,A31,'Bills Log'!$C$6:$C$505,B31)</f>
        <v/>
      </c>
      <c r="E31" s="48">
        <f>SUMIFS('Bills Log'!$F$6:$F$505,'Bills Log'!$A$6:$A$505,"&gt;="&amp;DATE(Settings!$B$5-1,2,1),'Bills Log'!$A$6:$A$505,"&lt;"&amp;DATE((Settings!$B$5-1),3,1),'Bills Log'!$B$6:$B$505,A31,'Bills Log'!$C$6:$C$505,B31)</f>
        <v/>
      </c>
      <c r="F31" s="54">
        <f>IFERROR(IF(E31=0,"",D31/E31-1),"")</f>
        <v/>
      </c>
      <c r="G31" s="55">
        <f>D31-E31</f>
        <v/>
      </c>
      <c r="H31" s="56">
        <f>IFERROR(IF(ABS(D31/E31-1)&gt;0.25,"⚠ "&amp;ROUND((D31/E31-1)*100,0)&amp;"%",""),"")</f>
        <v/>
      </c>
    </row>
    <row r="32" ht="14" customHeight="1">
      <c r="A32" s="53">
        <f>Settings!$B$7</f>
        <v/>
      </c>
      <c r="B32" s="53" t="inlineStr">
        <is>
          <t>Water</t>
        </is>
      </c>
      <c r="C32" s="35" t="inlineStr">
        <is>
          <t>Mar</t>
        </is>
      </c>
      <c r="D32" s="48">
        <f>SUMIFS('Bills Log'!$F$6:$F$505,'Bills Log'!$A$6:$A$505,"&gt;="&amp;DATE(Settings!$B$5,3,1),'Bills Log'!$A$6:$A$505,"&lt;"&amp;DATE(Settings!$B$5,4,1),'Bills Log'!$B$6:$B$505,A32,'Bills Log'!$C$6:$C$505,B32)</f>
        <v/>
      </c>
      <c r="E32" s="48">
        <f>SUMIFS('Bills Log'!$F$6:$F$505,'Bills Log'!$A$6:$A$505,"&gt;="&amp;DATE(Settings!$B$5-1,3,1),'Bills Log'!$A$6:$A$505,"&lt;"&amp;DATE((Settings!$B$5-1),4,1),'Bills Log'!$B$6:$B$505,A32,'Bills Log'!$C$6:$C$505,B32)</f>
        <v/>
      </c>
      <c r="F32" s="54">
        <f>IFERROR(IF(E32=0,"",D32/E32-1),"")</f>
        <v/>
      </c>
      <c r="G32" s="55">
        <f>D32-E32</f>
        <v/>
      </c>
      <c r="H32" s="56">
        <f>IFERROR(IF(ABS(D32/E32-1)&gt;0.25,"⚠ "&amp;ROUND((D32/E32-1)*100,0)&amp;"%",""),"")</f>
        <v/>
      </c>
    </row>
    <row r="33" ht="14" customHeight="1">
      <c r="A33" s="53">
        <f>Settings!$B$7</f>
        <v/>
      </c>
      <c r="B33" s="53" t="inlineStr">
        <is>
          <t>Water</t>
        </is>
      </c>
      <c r="C33" s="35" t="inlineStr">
        <is>
          <t>Apr</t>
        </is>
      </c>
      <c r="D33" s="48">
        <f>SUMIFS('Bills Log'!$F$6:$F$505,'Bills Log'!$A$6:$A$505,"&gt;="&amp;DATE(Settings!$B$5,4,1),'Bills Log'!$A$6:$A$505,"&lt;"&amp;DATE(Settings!$B$5,5,1),'Bills Log'!$B$6:$B$505,A33,'Bills Log'!$C$6:$C$505,B33)</f>
        <v/>
      </c>
      <c r="E33" s="48">
        <f>SUMIFS('Bills Log'!$F$6:$F$505,'Bills Log'!$A$6:$A$505,"&gt;="&amp;DATE(Settings!$B$5-1,4,1),'Bills Log'!$A$6:$A$505,"&lt;"&amp;DATE((Settings!$B$5-1),5,1),'Bills Log'!$B$6:$B$505,A33,'Bills Log'!$C$6:$C$505,B33)</f>
        <v/>
      </c>
      <c r="F33" s="54">
        <f>IFERROR(IF(E33=0,"",D33/E33-1),"")</f>
        <v/>
      </c>
      <c r="G33" s="55">
        <f>D33-E33</f>
        <v/>
      </c>
      <c r="H33" s="56">
        <f>IFERROR(IF(ABS(D33/E33-1)&gt;0.25,"⚠ "&amp;ROUND((D33/E33-1)*100,0)&amp;"%",""),"")</f>
        <v/>
      </c>
    </row>
    <row r="34" ht="14" customHeight="1">
      <c r="A34" s="53">
        <f>Settings!$B$7</f>
        <v/>
      </c>
      <c r="B34" s="53" t="inlineStr">
        <is>
          <t>Water</t>
        </is>
      </c>
      <c r="C34" s="35" t="inlineStr">
        <is>
          <t>May</t>
        </is>
      </c>
      <c r="D34" s="48">
        <f>SUMIFS('Bills Log'!$F$6:$F$505,'Bills Log'!$A$6:$A$505,"&gt;="&amp;DATE(Settings!$B$5,5,1),'Bills Log'!$A$6:$A$505,"&lt;"&amp;DATE(Settings!$B$5,6,1),'Bills Log'!$B$6:$B$505,A34,'Bills Log'!$C$6:$C$505,B34)</f>
        <v/>
      </c>
      <c r="E34" s="48">
        <f>SUMIFS('Bills Log'!$F$6:$F$505,'Bills Log'!$A$6:$A$505,"&gt;="&amp;DATE(Settings!$B$5-1,5,1),'Bills Log'!$A$6:$A$505,"&lt;"&amp;DATE((Settings!$B$5-1),6,1),'Bills Log'!$B$6:$B$505,A34,'Bills Log'!$C$6:$C$505,B34)</f>
        <v/>
      </c>
      <c r="F34" s="54">
        <f>IFERROR(IF(E34=0,"",D34/E34-1),"")</f>
        <v/>
      </c>
      <c r="G34" s="55">
        <f>D34-E34</f>
        <v/>
      </c>
      <c r="H34" s="56">
        <f>IFERROR(IF(ABS(D34/E34-1)&gt;0.25,"⚠ "&amp;ROUND((D34/E34-1)*100,0)&amp;"%",""),"")</f>
        <v/>
      </c>
    </row>
    <row r="35" ht="14" customHeight="1">
      <c r="A35" s="53">
        <f>Settings!$B$7</f>
        <v/>
      </c>
      <c r="B35" s="53" t="inlineStr">
        <is>
          <t>Water</t>
        </is>
      </c>
      <c r="C35" s="35" t="inlineStr">
        <is>
          <t>Jun</t>
        </is>
      </c>
      <c r="D35" s="48">
        <f>SUMIFS('Bills Log'!$F$6:$F$505,'Bills Log'!$A$6:$A$505,"&gt;="&amp;DATE(Settings!$B$5,6,1),'Bills Log'!$A$6:$A$505,"&lt;"&amp;DATE(Settings!$B$5,7,1),'Bills Log'!$B$6:$B$505,A35,'Bills Log'!$C$6:$C$505,B35)</f>
        <v/>
      </c>
      <c r="E35" s="48">
        <f>SUMIFS('Bills Log'!$F$6:$F$505,'Bills Log'!$A$6:$A$505,"&gt;="&amp;DATE(Settings!$B$5-1,6,1),'Bills Log'!$A$6:$A$505,"&lt;"&amp;DATE((Settings!$B$5-1),7,1),'Bills Log'!$B$6:$B$505,A35,'Bills Log'!$C$6:$C$505,B35)</f>
        <v/>
      </c>
      <c r="F35" s="54">
        <f>IFERROR(IF(E35=0,"",D35/E35-1),"")</f>
        <v/>
      </c>
      <c r="G35" s="55">
        <f>D35-E35</f>
        <v/>
      </c>
      <c r="H35" s="56">
        <f>IFERROR(IF(ABS(D35/E35-1)&gt;0.25,"⚠ "&amp;ROUND((D35/E35-1)*100,0)&amp;"%",""),"")</f>
        <v/>
      </c>
    </row>
    <row r="36" ht="14" customHeight="1">
      <c r="A36" s="53">
        <f>Settings!$B$7</f>
        <v/>
      </c>
      <c r="B36" s="53" t="inlineStr">
        <is>
          <t>Water</t>
        </is>
      </c>
      <c r="C36" s="35" t="inlineStr">
        <is>
          <t>Jul</t>
        </is>
      </c>
      <c r="D36" s="48">
        <f>SUMIFS('Bills Log'!$F$6:$F$505,'Bills Log'!$A$6:$A$505,"&gt;="&amp;DATE(Settings!$B$5,7,1),'Bills Log'!$A$6:$A$505,"&lt;"&amp;DATE(Settings!$B$5,8,1),'Bills Log'!$B$6:$B$505,A36,'Bills Log'!$C$6:$C$505,B36)</f>
        <v/>
      </c>
      <c r="E36" s="48">
        <f>SUMIFS('Bills Log'!$F$6:$F$505,'Bills Log'!$A$6:$A$505,"&gt;="&amp;DATE(Settings!$B$5-1,7,1),'Bills Log'!$A$6:$A$505,"&lt;"&amp;DATE((Settings!$B$5-1),8,1),'Bills Log'!$B$6:$B$505,A36,'Bills Log'!$C$6:$C$505,B36)</f>
        <v/>
      </c>
      <c r="F36" s="54">
        <f>IFERROR(IF(E36=0,"",D36/E36-1),"")</f>
        <v/>
      </c>
      <c r="G36" s="55">
        <f>D36-E36</f>
        <v/>
      </c>
      <c r="H36" s="56">
        <f>IFERROR(IF(ABS(D36/E36-1)&gt;0.25,"⚠ "&amp;ROUND((D36/E36-1)*100,0)&amp;"%",""),"")</f>
        <v/>
      </c>
    </row>
    <row r="37" ht="14" customHeight="1">
      <c r="A37" s="53">
        <f>Settings!$B$7</f>
        <v/>
      </c>
      <c r="B37" s="53" t="inlineStr">
        <is>
          <t>Water</t>
        </is>
      </c>
      <c r="C37" s="35" t="inlineStr">
        <is>
          <t>Aug</t>
        </is>
      </c>
      <c r="D37" s="48">
        <f>SUMIFS('Bills Log'!$F$6:$F$505,'Bills Log'!$A$6:$A$505,"&gt;="&amp;DATE(Settings!$B$5,8,1),'Bills Log'!$A$6:$A$505,"&lt;"&amp;DATE(Settings!$B$5,9,1),'Bills Log'!$B$6:$B$505,A37,'Bills Log'!$C$6:$C$505,B37)</f>
        <v/>
      </c>
      <c r="E37" s="48">
        <f>SUMIFS('Bills Log'!$F$6:$F$505,'Bills Log'!$A$6:$A$505,"&gt;="&amp;DATE(Settings!$B$5-1,8,1),'Bills Log'!$A$6:$A$505,"&lt;"&amp;DATE((Settings!$B$5-1),9,1),'Bills Log'!$B$6:$B$505,A37,'Bills Log'!$C$6:$C$505,B37)</f>
        <v/>
      </c>
      <c r="F37" s="54">
        <f>IFERROR(IF(E37=0,"",D37/E37-1),"")</f>
        <v/>
      </c>
      <c r="G37" s="55">
        <f>D37-E37</f>
        <v/>
      </c>
      <c r="H37" s="56">
        <f>IFERROR(IF(ABS(D37/E37-1)&gt;0.25,"⚠ "&amp;ROUND((D37/E37-1)*100,0)&amp;"%",""),"")</f>
        <v/>
      </c>
    </row>
    <row r="38" ht="14" customHeight="1">
      <c r="A38" s="53">
        <f>Settings!$B$7</f>
        <v/>
      </c>
      <c r="B38" s="53" t="inlineStr">
        <is>
          <t>Water</t>
        </is>
      </c>
      <c r="C38" s="35" t="inlineStr">
        <is>
          <t>Sep</t>
        </is>
      </c>
      <c r="D38" s="48">
        <f>SUMIFS('Bills Log'!$F$6:$F$505,'Bills Log'!$A$6:$A$505,"&gt;="&amp;DATE(Settings!$B$5,9,1),'Bills Log'!$A$6:$A$505,"&lt;"&amp;DATE(Settings!$B$5,10,1),'Bills Log'!$B$6:$B$505,A38,'Bills Log'!$C$6:$C$505,B38)</f>
        <v/>
      </c>
      <c r="E38" s="48">
        <f>SUMIFS('Bills Log'!$F$6:$F$505,'Bills Log'!$A$6:$A$505,"&gt;="&amp;DATE(Settings!$B$5-1,9,1),'Bills Log'!$A$6:$A$505,"&lt;"&amp;DATE((Settings!$B$5-1),10,1),'Bills Log'!$B$6:$B$505,A38,'Bills Log'!$C$6:$C$505,B38)</f>
        <v/>
      </c>
      <c r="F38" s="54">
        <f>IFERROR(IF(E38=0,"",D38/E38-1),"")</f>
        <v/>
      </c>
      <c r="G38" s="55">
        <f>D38-E38</f>
        <v/>
      </c>
      <c r="H38" s="56">
        <f>IFERROR(IF(ABS(D38/E38-1)&gt;0.25,"⚠ "&amp;ROUND((D38/E38-1)*100,0)&amp;"%",""),"")</f>
        <v/>
      </c>
    </row>
    <row r="39" ht="14" customHeight="1">
      <c r="A39" s="53">
        <f>Settings!$B$7</f>
        <v/>
      </c>
      <c r="B39" s="53" t="inlineStr">
        <is>
          <t>Water</t>
        </is>
      </c>
      <c r="C39" s="35" t="inlineStr">
        <is>
          <t>Oct</t>
        </is>
      </c>
      <c r="D39" s="48">
        <f>SUMIFS('Bills Log'!$F$6:$F$505,'Bills Log'!$A$6:$A$505,"&gt;="&amp;DATE(Settings!$B$5,10,1),'Bills Log'!$A$6:$A$505,"&lt;"&amp;DATE(Settings!$B$5,11,1),'Bills Log'!$B$6:$B$505,A39,'Bills Log'!$C$6:$C$505,B39)</f>
        <v/>
      </c>
      <c r="E39" s="48">
        <f>SUMIFS('Bills Log'!$F$6:$F$505,'Bills Log'!$A$6:$A$505,"&gt;="&amp;DATE(Settings!$B$5-1,10,1),'Bills Log'!$A$6:$A$505,"&lt;"&amp;DATE((Settings!$B$5-1),11,1),'Bills Log'!$B$6:$B$505,A39,'Bills Log'!$C$6:$C$505,B39)</f>
        <v/>
      </c>
      <c r="F39" s="54">
        <f>IFERROR(IF(E39=0,"",D39/E39-1),"")</f>
        <v/>
      </c>
      <c r="G39" s="55">
        <f>D39-E39</f>
        <v/>
      </c>
      <c r="H39" s="56">
        <f>IFERROR(IF(ABS(D39/E39-1)&gt;0.25,"⚠ "&amp;ROUND((D39/E39-1)*100,0)&amp;"%",""),"")</f>
        <v/>
      </c>
    </row>
    <row r="40" ht="14" customHeight="1">
      <c r="A40" s="53">
        <f>Settings!$B$7</f>
        <v/>
      </c>
      <c r="B40" s="53" t="inlineStr">
        <is>
          <t>Water</t>
        </is>
      </c>
      <c r="C40" s="35" t="inlineStr">
        <is>
          <t>Nov</t>
        </is>
      </c>
      <c r="D40" s="48">
        <f>SUMIFS('Bills Log'!$F$6:$F$505,'Bills Log'!$A$6:$A$505,"&gt;="&amp;DATE(Settings!$B$5,11,1),'Bills Log'!$A$6:$A$505,"&lt;"&amp;DATE(Settings!$B$5,12,1),'Bills Log'!$B$6:$B$505,A40,'Bills Log'!$C$6:$C$505,B40)</f>
        <v/>
      </c>
      <c r="E40" s="48">
        <f>SUMIFS('Bills Log'!$F$6:$F$505,'Bills Log'!$A$6:$A$505,"&gt;="&amp;DATE(Settings!$B$5-1,11,1),'Bills Log'!$A$6:$A$505,"&lt;"&amp;DATE((Settings!$B$5-1),12,1),'Bills Log'!$B$6:$B$505,A40,'Bills Log'!$C$6:$C$505,B40)</f>
        <v/>
      </c>
      <c r="F40" s="54">
        <f>IFERROR(IF(E40=0,"",D40/E40-1),"")</f>
        <v/>
      </c>
      <c r="G40" s="55">
        <f>D40-E40</f>
        <v/>
      </c>
      <c r="H40" s="56">
        <f>IFERROR(IF(ABS(D40/E40-1)&gt;0.25,"⚠ "&amp;ROUND((D40/E40-1)*100,0)&amp;"%",""),"")</f>
        <v/>
      </c>
    </row>
    <row r="41" ht="14" customHeight="1">
      <c r="A41" s="53">
        <f>Settings!$B$7</f>
        <v/>
      </c>
      <c r="B41" s="53" t="inlineStr">
        <is>
          <t>Water</t>
        </is>
      </c>
      <c r="C41" s="35" t="inlineStr">
        <is>
          <t>Dec</t>
        </is>
      </c>
      <c r="D41" s="48">
        <f>SUMIFS('Bills Log'!$F$6:$F$505,'Bills Log'!$A$6:$A$505,"&gt;="&amp;DATE(Settings!$B$5,12,1),'Bills Log'!$A$6:$A$505,"&lt;"&amp;DATE(Settings!$B$5+1,1,1),'Bills Log'!$B$6:$B$505,A41,'Bills Log'!$C$6:$C$505,B41)</f>
        <v/>
      </c>
      <c r="E41" s="48">
        <f>SUMIFS('Bills Log'!$F$6:$F$505,'Bills Log'!$A$6:$A$505,"&gt;="&amp;DATE(Settings!$B$5-1,12,1),'Bills Log'!$A$6:$A$505,"&lt;"&amp;DATE(Settings!$B$5,1,1),'Bills Log'!$B$6:$B$505,A41,'Bills Log'!$C$6:$C$505,B41)</f>
        <v/>
      </c>
      <c r="F41" s="54">
        <f>IFERROR(IF(E41=0,"",D41/E41-1),"")</f>
        <v/>
      </c>
      <c r="G41" s="55">
        <f>D41-E41</f>
        <v/>
      </c>
      <c r="H41" s="56">
        <f>IFERROR(IF(ABS(D41/E41-1)&gt;0.25,"⚠ "&amp;ROUND((D41/E41-1)*100,0)&amp;"%",""),"")</f>
        <v/>
      </c>
    </row>
    <row r="42" ht="14" customHeight="1">
      <c r="A42" s="53">
        <f>Settings!$B$7</f>
        <v/>
      </c>
      <c r="B42" s="53" t="inlineStr">
        <is>
          <t>Internet</t>
        </is>
      </c>
      <c r="C42" s="35" t="inlineStr">
        <is>
          <t>Jan</t>
        </is>
      </c>
      <c r="D42" s="48">
        <f>SUMIFS('Bills Log'!$F$6:$F$505,'Bills Log'!$A$6:$A$505,"&gt;="&amp;DATE(Settings!$B$5,1,1),'Bills Log'!$A$6:$A$505,"&lt;"&amp;DATE(Settings!$B$5,2,1),'Bills Log'!$B$6:$B$505,A42,'Bills Log'!$C$6:$C$505,B42)</f>
        <v/>
      </c>
      <c r="E42" s="48">
        <f>SUMIFS('Bills Log'!$F$6:$F$505,'Bills Log'!$A$6:$A$505,"&gt;="&amp;DATE(Settings!$B$5-1,1,1),'Bills Log'!$A$6:$A$505,"&lt;"&amp;DATE((Settings!$B$5-1),2,1),'Bills Log'!$B$6:$B$505,A42,'Bills Log'!$C$6:$C$505,B42)</f>
        <v/>
      </c>
      <c r="F42" s="54">
        <f>IFERROR(IF(E42=0,"",D42/E42-1),"")</f>
        <v/>
      </c>
      <c r="G42" s="55">
        <f>D42-E42</f>
        <v/>
      </c>
      <c r="H42" s="56">
        <f>IFERROR(IF(ABS(D42/E42-1)&gt;0.25,"⚠ "&amp;ROUND((D42/E42-1)*100,0)&amp;"%",""),"")</f>
        <v/>
      </c>
    </row>
    <row r="43" ht="14" customHeight="1">
      <c r="A43" s="53">
        <f>Settings!$B$7</f>
        <v/>
      </c>
      <c r="B43" s="53" t="inlineStr">
        <is>
          <t>Internet</t>
        </is>
      </c>
      <c r="C43" s="35" t="inlineStr">
        <is>
          <t>Feb</t>
        </is>
      </c>
      <c r="D43" s="48">
        <f>SUMIFS('Bills Log'!$F$6:$F$505,'Bills Log'!$A$6:$A$505,"&gt;="&amp;DATE(Settings!$B$5,2,1),'Bills Log'!$A$6:$A$505,"&lt;"&amp;DATE(Settings!$B$5,3,1),'Bills Log'!$B$6:$B$505,A43,'Bills Log'!$C$6:$C$505,B43)</f>
        <v/>
      </c>
      <c r="E43" s="48">
        <f>SUMIFS('Bills Log'!$F$6:$F$505,'Bills Log'!$A$6:$A$505,"&gt;="&amp;DATE(Settings!$B$5-1,2,1),'Bills Log'!$A$6:$A$505,"&lt;"&amp;DATE((Settings!$B$5-1),3,1),'Bills Log'!$B$6:$B$505,A43,'Bills Log'!$C$6:$C$505,B43)</f>
        <v/>
      </c>
      <c r="F43" s="54">
        <f>IFERROR(IF(E43=0,"",D43/E43-1),"")</f>
        <v/>
      </c>
      <c r="G43" s="55">
        <f>D43-E43</f>
        <v/>
      </c>
      <c r="H43" s="56">
        <f>IFERROR(IF(ABS(D43/E43-1)&gt;0.25,"⚠ "&amp;ROUND((D43/E43-1)*100,0)&amp;"%",""),"")</f>
        <v/>
      </c>
    </row>
    <row r="44" ht="14" customHeight="1">
      <c r="A44" s="53">
        <f>Settings!$B$7</f>
        <v/>
      </c>
      <c r="B44" s="53" t="inlineStr">
        <is>
          <t>Internet</t>
        </is>
      </c>
      <c r="C44" s="35" t="inlineStr">
        <is>
          <t>Mar</t>
        </is>
      </c>
      <c r="D44" s="48">
        <f>SUMIFS('Bills Log'!$F$6:$F$505,'Bills Log'!$A$6:$A$505,"&gt;="&amp;DATE(Settings!$B$5,3,1),'Bills Log'!$A$6:$A$505,"&lt;"&amp;DATE(Settings!$B$5,4,1),'Bills Log'!$B$6:$B$505,A44,'Bills Log'!$C$6:$C$505,B44)</f>
        <v/>
      </c>
      <c r="E44" s="48">
        <f>SUMIFS('Bills Log'!$F$6:$F$505,'Bills Log'!$A$6:$A$505,"&gt;="&amp;DATE(Settings!$B$5-1,3,1),'Bills Log'!$A$6:$A$505,"&lt;"&amp;DATE((Settings!$B$5-1),4,1),'Bills Log'!$B$6:$B$505,A44,'Bills Log'!$C$6:$C$505,B44)</f>
        <v/>
      </c>
      <c r="F44" s="54">
        <f>IFERROR(IF(E44=0,"",D44/E44-1),"")</f>
        <v/>
      </c>
      <c r="G44" s="55">
        <f>D44-E44</f>
        <v/>
      </c>
      <c r="H44" s="56">
        <f>IFERROR(IF(ABS(D44/E44-1)&gt;0.25,"⚠ "&amp;ROUND((D44/E44-1)*100,0)&amp;"%",""),"")</f>
        <v/>
      </c>
    </row>
    <row r="45" ht="14" customHeight="1">
      <c r="A45" s="53">
        <f>Settings!$B$7</f>
        <v/>
      </c>
      <c r="B45" s="53" t="inlineStr">
        <is>
          <t>Internet</t>
        </is>
      </c>
      <c r="C45" s="35" t="inlineStr">
        <is>
          <t>Apr</t>
        </is>
      </c>
      <c r="D45" s="48">
        <f>SUMIFS('Bills Log'!$F$6:$F$505,'Bills Log'!$A$6:$A$505,"&gt;="&amp;DATE(Settings!$B$5,4,1),'Bills Log'!$A$6:$A$505,"&lt;"&amp;DATE(Settings!$B$5,5,1),'Bills Log'!$B$6:$B$505,A45,'Bills Log'!$C$6:$C$505,B45)</f>
        <v/>
      </c>
      <c r="E45" s="48">
        <f>SUMIFS('Bills Log'!$F$6:$F$505,'Bills Log'!$A$6:$A$505,"&gt;="&amp;DATE(Settings!$B$5-1,4,1),'Bills Log'!$A$6:$A$505,"&lt;"&amp;DATE((Settings!$B$5-1),5,1),'Bills Log'!$B$6:$B$505,A45,'Bills Log'!$C$6:$C$505,B45)</f>
        <v/>
      </c>
      <c r="F45" s="54">
        <f>IFERROR(IF(E45=0,"",D45/E45-1),"")</f>
        <v/>
      </c>
      <c r="G45" s="55">
        <f>D45-E45</f>
        <v/>
      </c>
      <c r="H45" s="56">
        <f>IFERROR(IF(ABS(D45/E45-1)&gt;0.25,"⚠ "&amp;ROUND((D45/E45-1)*100,0)&amp;"%",""),"")</f>
        <v/>
      </c>
    </row>
    <row r="46" ht="14" customHeight="1">
      <c r="A46" s="53">
        <f>Settings!$B$7</f>
        <v/>
      </c>
      <c r="B46" s="53" t="inlineStr">
        <is>
          <t>Internet</t>
        </is>
      </c>
      <c r="C46" s="35" t="inlineStr">
        <is>
          <t>May</t>
        </is>
      </c>
      <c r="D46" s="48">
        <f>SUMIFS('Bills Log'!$F$6:$F$505,'Bills Log'!$A$6:$A$505,"&gt;="&amp;DATE(Settings!$B$5,5,1),'Bills Log'!$A$6:$A$505,"&lt;"&amp;DATE(Settings!$B$5,6,1),'Bills Log'!$B$6:$B$505,A46,'Bills Log'!$C$6:$C$505,B46)</f>
        <v/>
      </c>
      <c r="E46" s="48">
        <f>SUMIFS('Bills Log'!$F$6:$F$505,'Bills Log'!$A$6:$A$505,"&gt;="&amp;DATE(Settings!$B$5-1,5,1),'Bills Log'!$A$6:$A$505,"&lt;"&amp;DATE((Settings!$B$5-1),6,1),'Bills Log'!$B$6:$B$505,A46,'Bills Log'!$C$6:$C$505,B46)</f>
        <v/>
      </c>
      <c r="F46" s="54">
        <f>IFERROR(IF(E46=0,"",D46/E46-1),"")</f>
        <v/>
      </c>
      <c r="G46" s="55">
        <f>D46-E46</f>
        <v/>
      </c>
      <c r="H46" s="56">
        <f>IFERROR(IF(ABS(D46/E46-1)&gt;0.25,"⚠ "&amp;ROUND((D46/E46-1)*100,0)&amp;"%",""),"")</f>
        <v/>
      </c>
    </row>
    <row r="47" ht="14" customHeight="1">
      <c r="A47" s="53">
        <f>Settings!$B$7</f>
        <v/>
      </c>
      <c r="B47" s="53" t="inlineStr">
        <is>
          <t>Internet</t>
        </is>
      </c>
      <c r="C47" s="35" t="inlineStr">
        <is>
          <t>Jun</t>
        </is>
      </c>
      <c r="D47" s="48">
        <f>SUMIFS('Bills Log'!$F$6:$F$505,'Bills Log'!$A$6:$A$505,"&gt;="&amp;DATE(Settings!$B$5,6,1),'Bills Log'!$A$6:$A$505,"&lt;"&amp;DATE(Settings!$B$5,7,1),'Bills Log'!$B$6:$B$505,A47,'Bills Log'!$C$6:$C$505,B47)</f>
        <v/>
      </c>
      <c r="E47" s="48">
        <f>SUMIFS('Bills Log'!$F$6:$F$505,'Bills Log'!$A$6:$A$505,"&gt;="&amp;DATE(Settings!$B$5-1,6,1),'Bills Log'!$A$6:$A$505,"&lt;"&amp;DATE((Settings!$B$5-1),7,1),'Bills Log'!$B$6:$B$505,A47,'Bills Log'!$C$6:$C$505,B47)</f>
        <v/>
      </c>
      <c r="F47" s="54">
        <f>IFERROR(IF(E47=0,"",D47/E47-1),"")</f>
        <v/>
      </c>
      <c r="G47" s="55">
        <f>D47-E47</f>
        <v/>
      </c>
      <c r="H47" s="56">
        <f>IFERROR(IF(ABS(D47/E47-1)&gt;0.25,"⚠ "&amp;ROUND((D47/E47-1)*100,0)&amp;"%",""),"")</f>
        <v/>
      </c>
    </row>
    <row r="48" ht="14" customHeight="1">
      <c r="A48" s="53">
        <f>Settings!$B$7</f>
        <v/>
      </c>
      <c r="B48" s="53" t="inlineStr">
        <is>
          <t>Internet</t>
        </is>
      </c>
      <c r="C48" s="35" t="inlineStr">
        <is>
          <t>Jul</t>
        </is>
      </c>
      <c r="D48" s="48">
        <f>SUMIFS('Bills Log'!$F$6:$F$505,'Bills Log'!$A$6:$A$505,"&gt;="&amp;DATE(Settings!$B$5,7,1),'Bills Log'!$A$6:$A$505,"&lt;"&amp;DATE(Settings!$B$5,8,1),'Bills Log'!$B$6:$B$505,A48,'Bills Log'!$C$6:$C$505,B48)</f>
        <v/>
      </c>
      <c r="E48" s="48">
        <f>SUMIFS('Bills Log'!$F$6:$F$505,'Bills Log'!$A$6:$A$505,"&gt;="&amp;DATE(Settings!$B$5-1,7,1),'Bills Log'!$A$6:$A$505,"&lt;"&amp;DATE((Settings!$B$5-1),8,1),'Bills Log'!$B$6:$B$505,A48,'Bills Log'!$C$6:$C$505,B48)</f>
        <v/>
      </c>
      <c r="F48" s="54">
        <f>IFERROR(IF(E48=0,"",D48/E48-1),"")</f>
        <v/>
      </c>
      <c r="G48" s="55">
        <f>D48-E48</f>
        <v/>
      </c>
      <c r="H48" s="56">
        <f>IFERROR(IF(ABS(D48/E48-1)&gt;0.25,"⚠ "&amp;ROUND((D48/E48-1)*100,0)&amp;"%",""),"")</f>
        <v/>
      </c>
    </row>
    <row r="49" ht="14" customHeight="1">
      <c r="A49" s="53">
        <f>Settings!$B$7</f>
        <v/>
      </c>
      <c r="B49" s="53" t="inlineStr">
        <is>
          <t>Internet</t>
        </is>
      </c>
      <c r="C49" s="35" t="inlineStr">
        <is>
          <t>Aug</t>
        </is>
      </c>
      <c r="D49" s="48">
        <f>SUMIFS('Bills Log'!$F$6:$F$505,'Bills Log'!$A$6:$A$505,"&gt;="&amp;DATE(Settings!$B$5,8,1),'Bills Log'!$A$6:$A$505,"&lt;"&amp;DATE(Settings!$B$5,9,1),'Bills Log'!$B$6:$B$505,A49,'Bills Log'!$C$6:$C$505,B49)</f>
        <v/>
      </c>
      <c r="E49" s="48">
        <f>SUMIFS('Bills Log'!$F$6:$F$505,'Bills Log'!$A$6:$A$505,"&gt;="&amp;DATE(Settings!$B$5-1,8,1),'Bills Log'!$A$6:$A$505,"&lt;"&amp;DATE((Settings!$B$5-1),9,1),'Bills Log'!$B$6:$B$505,A49,'Bills Log'!$C$6:$C$505,B49)</f>
        <v/>
      </c>
      <c r="F49" s="54">
        <f>IFERROR(IF(E49=0,"",D49/E49-1),"")</f>
        <v/>
      </c>
      <c r="G49" s="55">
        <f>D49-E49</f>
        <v/>
      </c>
      <c r="H49" s="56">
        <f>IFERROR(IF(ABS(D49/E49-1)&gt;0.25,"⚠ "&amp;ROUND((D49/E49-1)*100,0)&amp;"%",""),"")</f>
        <v/>
      </c>
    </row>
    <row r="50" ht="14" customHeight="1">
      <c r="A50" s="53">
        <f>Settings!$B$7</f>
        <v/>
      </c>
      <c r="B50" s="53" t="inlineStr">
        <is>
          <t>Internet</t>
        </is>
      </c>
      <c r="C50" s="35" t="inlineStr">
        <is>
          <t>Sep</t>
        </is>
      </c>
      <c r="D50" s="48">
        <f>SUMIFS('Bills Log'!$F$6:$F$505,'Bills Log'!$A$6:$A$505,"&gt;="&amp;DATE(Settings!$B$5,9,1),'Bills Log'!$A$6:$A$505,"&lt;"&amp;DATE(Settings!$B$5,10,1),'Bills Log'!$B$6:$B$505,A50,'Bills Log'!$C$6:$C$505,B50)</f>
        <v/>
      </c>
      <c r="E50" s="48">
        <f>SUMIFS('Bills Log'!$F$6:$F$505,'Bills Log'!$A$6:$A$505,"&gt;="&amp;DATE(Settings!$B$5-1,9,1),'Bills Log'!$A$6:$A$505,"&lt;"&amp;DATE((Settings!$B$5-1),10,1),'Bills Log'!$B$6:$B$505,A50,'Bills Log'!$C$6:$C$505,B50)</f>
        <v/>
      </c>
      <c r="F50" s="54">
        <f>IFERROR(IF(E50=0,"",D50/E50-1),"")</f>
        <v/>
      </c>
      <c r="G50" s="55">
        <f>D50-E50</f>
        <v/>
      </c>
      <c r="H50" s="56">
        <f>IFERROR(IF(ABS(D50/E50-1)&gt;0.25,"⚠ "&amp;ROUND((D50/E50-1)*100,0)&amp;"%",""),"")</f>
        <v/>
      </c>
    </row>
    <row r="51" ht="14" customHeight="1">
      <c r="A51" s="53">
        <f>Settings!$B$7</f>
        <v/>
      </c>
      <c r="B51" s="53" t="inlineStr">
        <is>
          <t>Internet</t>
        </is>
      </c>
      <c r="C51" s="35" t="inlineStr">
        <is>
          <t>Oct</t>
        </is>
      </c>
      <c r="D51" s="48">
        <f>SUMIFS('Bills Log'!$F$6:$F$505,'Bills Log'!$A$6:$A$505,"&gt;="&amp;DATE(Settings!$B$5,10,1),'Bills Log'!$A$6:$A$505,"&lt;"&amp;DATE(Settings!$B$5,11,1),'Bills Log'!$B$6:$B$505,A51,'Bills Log'!$C$6:$C$505,B51)</f>
        <v/>
      </c>
      <c r="E51" s="48">
        <f>SUMIFS('Bills Log'!$F$6:$F$505,'Bills Log'!$A$6:$A$505,"&gt;="&amp;DATE(Settings!$B$5-1,10,1),'Bills Log'!$A$6:$A$505,"&lt;"&amp;DATE((Settings!$B$5-1),11,1),'Bills Log'!$B$6:$B$505,A51,'Bills Log'!$C$6:$C$505,B51)</f>
        <v/>
      </c>
      <c r="F51" s="54">
        <f>IFERROR(IF(E51=0,"",D51/E51-1),"")</f>
        <v/>
      </c>
      <c r="G51" s="55">
        <f>D51-E51</f>
        <v/>
      </c>
      <c r="H51" s="56">
        <f>IFERROR(IF(ABS(D51/E51-1)&gt;0.25,"⚠ "&amp;ROUND((D51/E51-1)*100,0)&amp;"%",""),"")</f>
        <v/>
      </c>
    </row>
    <row r="52" ht="14" customHeight="1">
      <c r="A52" s="53">
        <f>Settings!$B$7</f>
        <v/>
      </c>
      <c r="B52" s="53" t="inlineStr">
        <is>
          <t>Internet</t>
        </is>
      </c>
      <c r="C52" s="35" t="inlineStr">
        <is>
          <t>Nov</t>
        </is>
      </c>
      <c r="D52" s="48">
        <f>SUMIFS('Bills Log'!$F$6:$F$505,'Bills Log'!$A$6:$A$505,"&gt;="&amp;DATE(Settings!$B$5,11,1),'Bills Log'!$A$6:$A$505,"&lt;"&amp;DATE(Settings!$B$5,12,1),'Bills Log'!$B$6:$B$505,A52,'Bills Log'!$C$6:$C$505,B52)</f>
        <v/>
      </c>
      <c r="E52" s="48">
        <f>SUMIFS('Bills Log'!$F$6:$F$505,'Bills Log'!$A$6:$A$505,"&gt;="&amp;DATE(Settings!$B$5-1,11,1),'Bills Log'!$A$6:$A$505,"&lt;"&amp;DATE((Settings!$B$5-1),12,1),'Bills Log'!$B$6:$B$505,A52,'Bills Log'!$C$6:$C$505,B52)</f>
        <v/>
      </c>
      <c r="F52" s="54">
        <f>IFERROR(IF(E52=0,"",D52/E52-1),"")</f>
        <v/>
      </c>
      <c r="G52" s="55">
        <f>D52-E52</f>
        <v/>
      </c>
      <c r="H52" s="56">
        <f>IFERROR(IF(ABS(D52/E52-1)&gt;0.25,"⚠ "&amp;ROUND((D52/E52-1)*100,0)&amp;"%",""),"")</f>
        <v/>
      </c>
    </row>
    <row r="53" ht="14" customHeight="1">
      <c r="A53" s="53">
        <f>Settings!$B$7</f>
        <v/>
      </c>
      <c r="B53" s="53" t="inlineStr">
        <is>
          <t>Internet</t>
        </is>
      </c>
      <c r="C53" s="35" t="inlineStr">
        <is>
          <t>Dec</t>
        </is>
      </c>
      <c r="D53" s="48">
        <f>SUMIFS('Bills Log'!$F$6:$F$505,'Bills Log'!$A$6:$A$505,"&gt;="&amp;DATE(Settings!$B$5,12,1),'Bills Log'!$A$6:$A$505,"&lt;"&amp;DATE(Settings!$B$5+1,1,1),'Bills Log'!$B$6:$B$505,A53,'Bills Log'!$C$6:$C$505,B53)</f>
        <v/>
      </c>
      <c r="E53" s="48">
        <f>SUMIFS('Bills Log'!$F$6:$F$505,'Bills Log'!$A$6:$A$505,"&gt;="&amp;DATE(Settings!$B$5-1,12,1),'Bills Log'!$A$6:$A$505,"&lt;"&amp;DATE(Settings!$B$5,1,1),'Bills Log'!$B$6:$B$505,A53,'Bills Log'!$C$6:$C$505,B53)</f>
        <v/>
      </c>
      <c r="F53" s="54">
        <f>IFERROR(IF(E53=0,"",D53/E53-1),"")</f>
        <v/>
      </c>
      <c r="G53" s="55">
        <f>D53-E53</f>
        <v/>
      </c>
      <c r="H53" s="56">
        <f>IFERROR(IF(ABS(D53/E53-1)&gt;0.25,"⚠ "&amp;ROUND((D53/E53-1)*100,0)&amp;"%",""),"")</f>
        <v/>
      </c>
    </row>
    <row r="54" ht="14" customHeight="1">
      <c r="A54" s="53">
        <f>Settings!$B$7</f>
        <v/>
      </c>
      <c r="B54" s="53" t="inlineStr">
        <is>
          <t>Trash</t>
        </is>
      </c>
      <c r="C54" s="35" t="inlineStr">
        <is>
          <t>Jan</t>
        </is>
      </c>
      <c r="D54" s="48">
        <f>SUMIFS('Bills Log'!$F$6:$F$505,'Bills Log'!$A$6:$A$505,"&gt;="&amp;DATE(Settings!$B$5,1,1),'Bills Log'!$A$6:$A$505,"&lt;"&amp;DATE(Settings!$B$5,2,1),'Bills Log'!$B$6:$B$505,A54,'Bills Log'!$C$6:$C$505,B54)</f>
        <v/>
      </c>
      <c r="E54" s="48">
        <f>SUMIFS('Bills Log'!$F$6:$F$505,'Bills Log'!$A$6:$A$505,"&gt;="&amp;DATE(Settings!$B$5-1,1,1),'Bills Log'!$A$6:$A$505,"&lt;"&amp;DATE((Settings!$B$5-1),2,1),'Bills Log'!$B$6:$B$505,A54,'Bills Log'!$C$6:$C$505,B54)</f>
        <v/>
      </c>
      <c r="F54" s="54">
        <f>IFERROR(IF(E54=0,"",D54/E54-1),"")</f>
        <v/>
      </c>
      <c r="G54" s="55">
        <f>D54-E54</f>
        <v/>
      </c>
      <c r="H54" s="56">
        <f>IFERROR(IF(ABS(D54/E54-1)&gt;0.25,"⚠ "&amp;ROUND((D54/E54-1)*100,0)&amp;"%",""),"")</f>
        <v/>
      </c>
    </row>
    <row r="55" ht="14" customHeight="1">
      <c r="A55" s="53">
        <f>Settings!$B$7</f>
        <v/>
      </c>
      <c r="B55" s="53" t="inlineStr">
        <is>
          <t>Trash</t>
        </is>
      </c>
      <c r="C55" s="35" t="inlineStr">
        <is>
          <t>Feb</t>
        </is>
      </c>
      <c r="D55" s="48">
        <f>SUMIFS('Bills Log'!$F$6:$F$505,'Bills Log'!$A$6:$A$505,"&gt;="&amp;DATE(Settings!$B$5,2,1),'Bills Log'!$A$6:$A$505,"&lt;"&amp;DATE(Settings!$B$5,3,1),'Bills Log'!$B$6:$B$505,A55,'Bills Log'!$C$6:$C$505,B55)</f>
        <v/>
      </c>
      <c r="E55" s="48">
        <f>SUMIFS('Bills Log'!$F$6:$F$505,'Bills Log'!$A$6:$A$505,"&gt;="&amp;DATE(Settings!$B$5-1,2,1),'Bills Log'!$A$6:$A$505,"&lt;"&amp;DATE((Settings!$B$5-1),3,1),'Bills Log'!$B$6:$B$505,A55,'Bills Log'!$C$6:$C$505,B55)</f>
        <v/>
      </c>
      <c r="F55" s="54">
        <f>IFERROR(IF(E55=0,"",D55/E55-1),"")</f>
        <v/>
      </c>
      <c r="G55" s="55">
        <f>D55-E55</f>
        <v/>
      </c>
      <c r="H55" s="56">
        <f>IFERROR(IF(ABS(D55/E55-1)&gt;0.25,"⚠ "&amp;ROUND((D55/E55-1)*100,0)&amp;"%",""),"")</f>
        <v/>
      </c>
    </row>
    <row r="56" ht="14" customHeight="1">
      <c r="A56" s="53">
        <f>Settings!$B$7</f>
        <v/>
      </c>
      <c r="B56" s="53" t="inlineStr">
        <is>
          <t>Trash</t>
        </is>
      </c>
      <c r="C56" s="35" t="inlineStr">
        <is>
          <t>Mar</t>
        </is>
      </c>
      <c r="D56" s="48">
        <f>SUMIFS('Bills Log'!$F$6:$F$505,'Bills Log'!$A$6:$A$505,"&gt;="&amp;DATE(Settings!$B$5,3,1),'Bills Log'!$A$6:$A$505,"&lt;"&amp;DATE(Settings!$B$5,4,1),'Bills Log'!$B$6:$B$505,A56,'Bills Log'!$C$6:$C$505,B56)</f>
        <v/>
      </c>
      <c r="E56" s="48">
        <f>SUMIFS('Bills Log'!$F$6:$F$505,'Bills Log'!$A$6:$A$505,"&gt;="&amp;DATE(Settings!$B$5-1,3,1),'Bills Log'!$A$6:$A$505,"&lt;"&amp;DATE((Settings!$B$5-1),4,1),'Bills Log'!$B$6:$B$505,A56,'Bills Log'!$C$6:$C$505,B56)</f>
        <v/>
      </c>
      <c r="F56" s="54">
        <f>IFERROR(IF(E56=0,"",D56/E56-1),"")</f>
        <v/>
      </c>
      <c r="G56" s="55">
        <f>D56-E56</f>
        <v/>
      </c>
      <c r="H56" s="56">
        <f>IFERROR(IF(ABS(D56/E56-1)&gt;0.25,"⚠ "&amp;ROUND((D56/E56-1)*100,0)&amp;"%",""),"")</f>
        <v/>
      </c>
    </row>
    <row r="57" ht="14" customHeight="1">
      <c r="A57" s="53">
        <f>Settings!$B$7</f>
        <v/>
      </c>
      <c r="B57" s="53" t="inlineStr">
        <is>
          <t>Trash</t>
        </is>
      </c>
      <c r="C57" s="35" t="inlineStr">
        <is>
          <t>Apr</t>
        </is>
      </c>
      <c r="D57" s="48">
        <f>SUMIFS('Bills Log'!$F$6:$F$505,'Bills Log'!$A$6:$A$505,"&gt;="&amp;DATE(Settings!$B$5,4,1),'Bills Log'!$A$6:$A$505,"&lt;"&amp;DATE(Settings!$B$5,5,1),'Bills Log'!$B$6:$B$505,A57,'Bills Log'!$C$6:$C$505,B57)</f>
        <v/>
      </c>
      <c r="E57" s="48">
        <f>SUMIFS('Bills Log'!$F$6:$F$505,'Bills Log'!$A$6:$A$505,"&gt;="&amp;DATE(Settings!$B$5-1,4,1),'Bills Log'!$A$6:$A$505,"&lt;"&amp;DATE((Settings!$B$5-1),5,1),'Bills Log'!$B$6:$B$505,A57,'Bills Log'!$C$6:$C$505,B57)</f>
        <v/>
      </c>
      <c r="F57" s="54">
        <f>IFERROR(IF(E57=0,"",D57/E57-1),"")</f>
        <v/>
      </c>
      <c r="G57" s="55">
        <f>D57-E57</f>
        <v/>
      </c>
      <c r="H57" s="56">
        <f>IFERROR(IF(ABS(D57/E57-1)&gt;0.25,"⚠ "&amp;ROUND((D57/E57-1)*100,0)&amp;"%",""),"")</f>
        <v/>
      </c>
    </row>
    <row r="58" ht="14" customHeight="1">
      <c r="A58" s="53">
        <f>Settings!$B$7</f>
        <v/>
      </c>
      <c r="B58" s="53" t="inlineStr">
        <is>
          <t>Trash</t>
        </is>
      </c>
      <c r="C58" s="35" t="inlineStr">
        <is>
          <t>May</t>
        </is>
      </c>
      <c r="D58" s="48">
        <f>SUMIFS('Bills Log'!$F$6:$F$505,'Bills Log'!$A$6:$A$505,"&gt;="&amp;DATE(Settings!$B$5,5,1),'Bills Log'!$A$6:$A$505,"&lt;"&amp;DATE(Settings!$B$5,6,1),'Bills Log'!$B$6:$B$505,A58,'Bills Log'!$C$6:$C$505,B58)</f>
        <v/>
      </c>
      <c r="E58" s="48">
        <f>SUMIFS('Bills Log'!$F$6:$F$505,'Bills Log'!$A$6:$A$505,"&gt;="&amp;DATE(Settings!$B$5-1,5,1),'Bills Log'!$A$6:$A$505,"&lt;"&amp;DATE((Settings!$B$5-1),6,1),'Bills Log'!$B$6:$B$505,A58,'Bills Log'!$C$6:$C$505,B58)</f>
        <v/>
      </c>
      <c r="F58" s="54">
        <f>IFERROR(IF(E58=0,"",D58/E58-1),"")</f>
        <v/>
      </c>
      <c r="G58" s="55">
        <f>D58-E58</f>
        <v/>
      </c>
      <c r="H58" s="56">
        <f>IFERROR(IF(ABS(D58/E58-1)&gt;0.25,"⚠ "&amp;ROUND((D58/E58-1)*100,0)&amp;"%",""),"")</f>
        <v/>
      </c>
    </row>
    <row r="59" ht="14" customHeight="1">
      <c r="A59" s="53">
        <f>Settings!$B$7</f>
        <v/>
      </c>
      <c r="B59" s="53" t="inlineStr">
        <is>
          <t>Trash</t>
        </is>
      </c>
      <c r="C59" s="35" t="inlineStr">
        <is>
          <t>Jun</t>
        </is>
      </c>
      <c r="D59" s="48">
        <f>SUMIFS('Bills Log'!$F$6:$F$505,'Bills Log'!$A$6:$A$505,"&gt;="&amp;DATE(Settings!$B$5,6,1),'Bills Log'!$A$6:$A$505,"&lt;"&amp;DATE(Settings!$B$5,7,1),'Bills Log'!$B$6:$B$505,A59,'Bills Log'!$C$6:$C$505,B59)</f>
        <v/>
      </c>
      <c r="E59" s="48">
        <f>SUMIFS('Bills Log'!$F$6:$F$505,'Bills Log'!$A$6:$A$505,"&gt;="&amp;DATE(Settings!$B$5-1,6,1),'Bills Log'!$A$6:$A$505,"&lt;"&amp;DATE((Settings!$B$5-1),7,1),'Bills Log'!$B$6:$B$505,A59,'Bills Log'!$C$6:$C$505,B59)</f>
        <v/>
      </c>
      <c r="F59" s="54">
        <f>IFERROR(IF(E59=0,"",D59/E59-1),"")</f>
        <v/>
      </c>
      <c r="G59" s="55">
        <f>D59-E59</f>
        <v/>
      </c>
      <c r="H59" s="56">
        <f>IFERROR(IF(ABS(D59/E59-1)&gt;0.25,"⚠ "&amp;ROUND((D59/E59-1)*100,0)&amp;"%",""),"")</f>
        <v/>
      </c>
    </row>
    <row r="60" ht="14" customHeight="1">
      <c r="A60" s="53">
        <f>Settings!$B$7</f>
        <v/>
      </c>
      <c r="B60" s="53" t="inlineStr">
        <is>
          <t>Trash</t>
        </is>
      </c>
      <c r="C60" s="35" t="inlineStr">
        <is>
          <t>Jul</t>
        </is>
      </c>
      <c r="D60" s="48">
        <f>SUMIFS('Bills Log'!$F$6:$F$505,'Bills Log'!$A$6:$A$505,"&gt;="&amp;DATE(Settings!$B$5,7,1),'Bills Log'!$A$6:$A$505,"&lt;"&amp;DATE(Settings!$B$5,8,1),'Bills Log'!$B$6:$B$505,A60,'Bills Log'!$C$6:$C$505,B60)</f>
        <v/>
      </c>
      <c r="E60" s="48">
        <f>SUMIFS('Bills Log'!$F$6:$F$505,'Bills Log'!$A$6:$A$505,"&gt;="&amp;DATE(Settings!$B$5-1,7,1),'Bills Log'!$A$6:$A$505,"&lt;"&amp;DATE((Settings!$B$5-1),8,1),'Bills Log'!$B$6:$B$505,A60,'Bills Log'!$C$6:$C$505,B60)</f>
        <v/>
      </c>
      <c r="F60" s="54">
        <f>IFERROR(IF(E60=0,"",D60/E60-1),"")</f>
        <v/>
      </c>
      <c r="G60" s="55">
        <f>D60-E60</f>
        <v/>
      </c>
      <c r="H60" s="56">
        <f>IFERROR(IF(ABS(D60/E60-1)&gt;0.25,"⚠ "&amp;ROUND((D60/E60-1)*100,0)&amp;"%",""),"")</f>
        <v/>
      </c>
    </row>
    <row r="61" ht="14" customHeight="1">
      <c r="A61" s="53">
        <f>Settings!$B$7</f>
        <v/>
      </c>
      <c r="B61" s="53" t="inlineStr">
        <is>
          <t>Trash</t>
        </is>
      </c>
      <c r="C61" s="35" t="inlineStr">
        <is>
          <t>Aug</t>
        </is>
      </c>
      <c r="D61" s="48">
        <f>SUMIFS('Bills Log'!$F$6:$F$505,'Bills Log'!$A$6:$A$505,"&gt;="&amp;DATE(Settings!$B$5,8,1),'Bills Log'!$A$6:$A$505,"&lt;"&amp;DATE(Settings!$B$5,9,1),'Bills Log'!$B$6:$B$505,A61,'Bills Log'!$C$6:$C$505,B61)</f>
        <v/>
      </c>
      <c r="E61" s="48">
        <f>SUMIFS('Bills Log'!$F$6:$F$505,'Bills Log'!$A$6:$A$505,"&gt;="&amp;DATE(Settings!$B$5-1,8,1),'Bills Log'!$A$6:$A$505,"&lt;"&amp;DATE((Settings!$B$5-1),9,1),'Bills Log'!$B$6:$B$505,A61,'Bills Log'!$C$6:$C$505,B61)</f>
        <v/>
      </c>
      <c r="F61" s="54">
        <f>IFERROR(IF(E61=0,"",D61/E61-1),"")</f>
        <v/>
      </c>
      <c r="G61" s="55">
        <f>D61-E61</f>
        <v/>
      </c>
      <c r="H61" s="56">
        <f>IFERROR(IF(ABS(D61/E61-1)&gt;0.25,"⚠ "&amp;ROUND((D61/E61-1)*100,0)&amp;"%",""),"")</f>
        <v/>
      </c>
    </row>
    <row r="62" ht="14" customHeight="1">
      <c r="A62" s="53">
        <f>Settings!$B$7</f>
        <v/>
      </c>
      <c r="B62" s="53" t="inlineStr">
        <is>
          <t>Trash</t>
        </is>
      </c>
      <c r="C62" s="35" t="inlineStr">
        <is>
          <t>Sep</t>
        </is>
      </c>
      <c r="D62" s="48">
        <f>SUMIFS('Bills Log'!$F$6:$F$505,'Bills Log'!$A$6:$A$505,"&gt;="&amp;DATE(Settings!$B$5,9,1),'Bills Log'!$A$6:$A$505,"&lt;"&amp;DATE(Settings!$B$5,10,1),'Bills Log'!$B$6:$B$505,A62,'Bills Log'!$C$6:$C$505,B62)</f>
        <v/>
      </c>
      <c r="E62" s="48">
        <f>SUMIFS('Bills Log'!$F$6:$F$505,'Bills Log'!$A$6:$A$505,"&gt;="&amp;DATE(Settings!$B$5-1,9,1),'Bills Log'!$A$6:$A$505,"&lt;"&amp;DATE((Settings!$B$5-1),10,1),'Bills Log'!$B$6:$B$505,A62,'Bills Log'!$C$6:$C$505,B62)</f>
        <v/>
      </c>
      <c r="F62" s="54">
        <f>IFERROR(IF(E62=0,"",D62/E62-1),"")</f>
        <v/>
      </c>
      <c r="G62" s="55">
        <f>D62-E62</f>
        <v/>
      </c>
      <c r="H62" s="56">
        <f>IFERROR(IF(ABS(D62/E62-1)&gt;0.25,"⚠ "&amp;ROUND((D62/E62-1)*100,0)&amp;"%",""),"")</f>
        <v/>
      </c>
    </row>
    <row r="63" ht="14" customHeight="1">
      <c r="A63" s="53">
        <f>Settings!$B$7</f>
        <v/>
      </c>
      <c r="B63" s="53" t="inlineStr">
        <is>
          <t>Trash</t>
        </is>
      </c>
      <c r="C63" s="35" t="inlineStr">
        <is>
          <t>Oct</t>
        </is>
      </c>
      <c r="D63" s="48">
        <f>SUMIFS('Bills Log'!$F$6:$F$505,'Bills Log'!$A$6:$A$505,"&gt;="&amp;DATE(Settings!$B$5,10,1),'Bills Log'!$A$6:$A$505,"&lt;"&amp;DATE(Settings!$B$5,11,1),'Bills Log'!$B$6:$B$505,A63,'Bills Log'!$C$6:$C$505,B63)</f>
        <v/>
      </c>
      <c r="E63" s="48">
        <f>SUMIFS('Bills Log'!$F$6:$F$505,'Bills Log'!$A$6:$A$505,"&gt;="&amp;DATE(Settings!$B$5-1,10,1),'Bills Log'!$A$6:$A$505,"&lt;"&amp;DATE((Settings!$B$5-1),11,1),'Bills Log'!$B$6:$B$505,A63,'Bills Log'!$C$6:$C$505,B63)</f>
        <v/>
      </c>
      <c r="F63" s="54">
        <f>IFERROR(IF(E63=0,"",D63/E63-1),"")</f>
        <v/>
      </c>
      <c r="G63" s="55">
        <f>D63-E63</f>
        <v/>
      </c>
      <c r="H63" s="56">
        <f>IFERROR(IF(ABS(D63/E63-1)&gt;0.25,"⚠ "&amp;ROUND((D63/E63-1)*100,0)&amp;"%",""),"")</f>
        <v/>
      </c>
    </row>
    <row r="64" ht="14" customHeight="1">
      <c r="A64" s="53">
        <f>Settings!$B$7</f>
        <v/>
      </c>
      <c r="B64" s="53" t="inlineStr">
        <is>
          <t>Trash</t>
        </is>
      </c>
      <c r="C64" s="35" t="inlineStr">
        <is>
          <t>Nov</t>
        </is>
      </c>
      <c r="D64" s="48">
        <f>SUMIFS('Bills Log'!$F$6:$F$505,'Bills Log'!$A$6:$A$505,"&gt;="&amp;DATE(Settings!$B$5,11,1),'Bills Log'!$A$6:$A$505,"&lt;"&amp;DATE(Settings!$B$5,12,1),'Bills Log'!$B$6:$B$505,A64,'Bills Log'!$C$6:$C$505,B64)</f>
        <v/>
      </c>
      <c r="E64" s="48">
        <f>SUMIFS('Bills Log'!$F$6:$F$505,'Bills Log'!$A$6:$A$505,"&gt;="&amp;DATE(Settings!$B$5-1,11,1),'Bills Log'!$A$6:$A$505,"&lt;"&amp;DATE((Settings!$B$5-1),12,1),'Bills Log'!$B$6:$B$505,A64,'Bills Log'!$C$6:$C$505,B64)</f>
        <v/>
      </c>
      <c r="F64" s="54">
        <f>IFERROR(IF(E64=0,"",D64/E64-1),"")</f>
        <v/>
      </c>
      <c r="G64" s="55">
        <f>D64-E64</f>
        <v/>
      </c>
      <c r="H64" s="56">
        <f>IFERROR(IF(ABS(D64/E64-1)&gt;0.25,"⚠ "&amp;ROUND((D64/E64-1)*100,0)&amp;"%",""),"")</f>
        <v/>
      </c>
    </row>
    <row r="65" ht="14" customHeight="1">
      <c r="A65" s="53">
        <f>Settings!$B$7</f>
        <v/>
      </c>
      <c r="B65" s="53" t="inlineStr">
        <is>
          <t>Trash</t>
        </is>
      </c>
      <c r="C65" s="35" t="inlineStr">
        <is>
          <t>Dec</t>
        </is>
      </c>
      <c r="D65" s="48">
        <f>SUMIFS('Bills Log'!$F$6:$F$505,'Bills Log'!$A$6:$A$505,"&gt;="&amp;DATE(Settings!$B$5,12,1),'Bills Log'!$A$6:$A$505,"&lt;"&amp;DATE(Settings!$B$5+1,1,1),'Bills Log'!$B$6:$B$505,A65,'Bills Log'!$C$6:$C$505,B65)</f>
        <v/>
      </c>
      <c r="E65" s="48">
        <f>SUMIFS('Bills Log'!$F$6:$F$505,'Bills Log'!$A$6:$A$505,"&gt;="&amp;DATE(Settings!$B$5-1,12,1),'Bills Log'!$A$6:$A$505,"&lt;"&amp;DATE(Settings!$B$5,1,1),'Bills Log'!$B$6:$B$505,A65,'Bills Log'!$C$6:$C$505,B65)</f>
        <v/>
      </c>
      <c r="F65" s="54">
        <f>IFERROR(IF(E65=0,"",D65/E65-1),"")</f>
        <v/>
      </c>
      <c r="G65" s="55">
        <f>D65-E65</f>
        <v/>
      </c>
      <c r="H65" s="56">
        <f>IFERROR(IF(ABS(D65/E65-1)&gt;0.25,"⚠ "&amp;ROUND((D65/E65-1)*100,0)&amp;"%",""),"")</f>
        <v/>
      </c>
    </row>
    <row r="66" ht="14" customHeight="1">
      <c r="A66" s="53">
        <f>Settings!$B$7</f>
        <v/>
      </c>
      <c r="B66" s="53" t="inlineStr">
        <is>
          <t>Propane</t>
        </is>
      </c>
      <c r="C66" s="35" t="inlineStr">
        <is>
          <t>Jan</t>
        </is>
      </c>
      <c r="D66" s="48">
        <f>SUMIFS('Bills Log'!$F$6:$F$505,'Bills Log'!$A$6:$A$505,"&gt;="&amp;DATE(Settings!$B$5,1,1),'Bills Log'!$A$6:$A$505,"&lt;"&amp;DATE(Settings!$B$5,2,1),'Bills Log'!$B$6:$B$505,A66,'Bills Log'!$C$6:$C$505,B66)</f>
        <v/>
      </c>
      <c r="E66" s="48">
        <f>SUMIFS('Bills Log'!$F$6:$F$505,'Bills Log'!$A$6:$A$505,"&gt;="&amp;DATE(Settings!$B$5-1,1,1),'Bills Log'!$A$6:$A$505,"&lt;"&amp;DATE((Settings!$B$5-1),2,1),'Bills Log'!$B$6:$B$505,A66,'Bills Log'!$C$6:$C$505,B66)</f>
        <v/>
      </c>
      <c r="F66" s="54">
        <f>IFERROR(IF(E66=0,"",D66/E66-1),"")</f>
        <v/>
      </c>
      <c r="G66" s="55">
        <f>D66-E66</f>
        <v/>
      </c>
      <c r="H66" s="56">
        <f>IFERROR(IF(ABS(D66/E66-1)&gt;0.25,"⚠ "&amp;ROUND((D66/E66-1)*100,0)&amp;"%",""),"")</f>
        <v/>
      </c>
    </row>
    <row r="67" ht="14" customHeight="1">
      <c r="A67" s="53">
        <f>Settings!$B$7</f>
        <v/>
      </c>
      <c r="B67" s="53" t="inlineStr">
        <is>
          <t>Propane</t>
        </is>
      </c>
      <c r="C67" s="35" t="inlineStr">
        <is>
          <t>Feb</t>
        </is>
      </c>
      <c r="D67" s="48">
        <f>SUMIFS('Bills Log'!$F$6:$F$505,'Bills Log'!$A$6:$A$505,"&gt;="&amp;DATE(Settings!$B$5,2,1),'Bills Log'!$A$6:$A$505,"&lt;"&amp;DATE(Settings!$B$5,3,1),'Bills Log'!$B$6:$B$505,A67,'Bills Log'!$C$6:$C$505,B67)</f>
        <v/>
      </c>
      <c r="E67" s="48">
        <f>SUMIFS('Bills Log'!$F$6:$F$505,'Bills Log'!$A$6:$A$505,"&gt;="&amp;DATE(Settings!$B$5-1,2,1),'Bills Log'!$A$6:$A$505,"&lt;"&amp;DATE((Settings!$B$5-1),3,1),'Bills Log'!$B$6:$B$505,A67,'Bills Log'!$C$6:$C$505,B67)</f>
        <v/>
      </c>
      <c r="F67" s="54">
        <f>IFERROR(IF(E67=0,"",D67/E67-1),"")</f>
        <v/>
      </c>
      <c r="G67" s="55">
        <f>D67-E67</f>
        <v/>
      </c>
      <c r="H67" s="56">
        <f>IFERROR(IF(ABS(D67/E67-1)&gt;0.25,"⚠ "&amp;ROUND((D67/E67-1)*100,0)&amp;"%",""),"")</f>
        <v/>
      </c>
    </row>
    <row r="68" ht="14" customHeight="1">
      <c r="A68" s="53">
        <f>Settings!$B$7</f>
        <v/>
      </c>
      <c r="B68" s="53" t="inlineStr">
        <is>
          <t>Propane</t>
        </is>
      </c>
      <c r="C68" s="35" t="inlineStr">
        <is>
          <t>Mar</t>
        </is>
      </c>
      <c r="D68" s="48">
        <f>SUMIFS('Bills Log'!$F$6:$F$505,'Bills Log'!$A$6:$A$505,"&gt;="&amp;DATE(Settings!$B$5,3,1),'Bills Log'!$A$6:$A$505,"&lt;"&amp;DATE(Settings!$B$5,4,1),'Bills Log'!$B$6:$B$505,A68,'Bills Log'!$C$6:$C$505,B68)</f>
        <v/>
      </c>
      <c r="E68" s="48">
        <f>SUMIFS('Bills Log'!$F$6:$F$505,'Bills Log'!$A$6:$A$505,"&gt;="&amp;DATE(Settings!$B$5-1,3,1),'Bills Log'!$A$6:$A$505,"&lt;"&amp;DATE((Settings!$B$5-1),4,1),'Bills Log'!$B$6:$B$505,A68,'Bills Log'!$C$6:$C$505,B68)</f>
        <v/>
      </c>
      <c r="F68" s="54">
        <f>IFERROR(IF(E68=0,"",D68/E68-1),"")</f>
        <v/>
      </c>
      <c r="G68" s="55">
        <f>D68-E68</f>
        <v/>
      </c>
      <c r="H68" s="56">
        <f>IFERROR(IF(ABS(D68/E68-1)&gt;0.25,"⚠ "&amp;ROUND((D68/E68-1)*100,0)&amp;"%",""),"")</f>
        <v/>
      </c>
    </row>
    <row r="69" ht="14" customHeight="1">
      <c r="A69" s="53">
        <f>Settings!$B$7</f>
        <v/>
      </c>
      <c r="B69" s="53" t="inlineStr">
        <is>
          <t>Propane</t>
        </is>
      </c>
      <c r="C69" s="35" t="inlineStr">
        <is>
          <t>Apr</t>
        </is>
      </c>
      <c r="D69" s="48">
        <f>SUMIFS('Bills Log'!$F$6:$F$505,'Bills Log'!$A$6:$A$505,"&gt;="&amp;DATE(Settings!$B$5,4,1),'Bills Log'!$A$6:$A$505,"&lt;"&amp;DATE(Settings!$B$5,5,1),'Bills Log'!$B$6:$B$505,A69,'Bills Log'!$C$6:$C$505,B69)</f>
        <v/>
      </c>
      <c r="E69" s="48">
        <f>SUMIFS('Bills Log'!$F$6:$F$505,'Bills Log'!$A$6:$A$505,"&gt;="&amp;DATE(Settings!$B$5-1,4,1),'Bills Log'!$A$6:$A$505,"&lt;"&amp;DATE((Settings!$B$5-1),5,1),'Bills Log'!$B$6:$B$505,A69,'Bills Log'!$C$6:$C$505,B69)</f>
        <v/>
      </c>
      <c r="F69" s="54">
        <f>IFERROR(IF(E69=0,"",D69/E69-1),"")</f>
        <v/>
      </c>
      <c r="G69" s="55">
        <f>D69-E69</f>
        <v/>
      </c>
      <c r="H69" s="56">
        <f>IFERROR(IF(ABS(D69/E69-1)&gt;0.25,"⚠ "&amp;ROUND((D69/E69-1)*100,0)&amp;"%",""),"")</f>
        <v/>
      </c>
    </row>
    <row r="70" ht="14" customHeight="1">
      <c r="A70" s="53">
        <f>Settings!$B$7</f>
        <v/>
      </c>
      <c r="B70" s="53" t="inlineStr">
        <is>
          <t>Propane</t>
        </is>
      </c>
      <c r="C70" s="35" t="inlineStr">
        <is>
          <t>May</t>
        </is>
      </c>
      <c r="D70" s="48">
        <f>SUMIFS('Bills Log'!$F$6:$F$505,'Bills Log'!$A$6:$A$505,"&gt;="&amp;DATE(Settings!$B$5,5,1),'Bills Log'!$A$6:$A$505,"&lt;"&amp;DATE(Settings!$B$5,6,1),'Bills Log'!$B$6:$B$505,A70,'Bills Log'!$C$6:$C$505,B70)</f>
        <v/>
      </c>
      <c r="E70" s="48">
        <f>SUMIFS('Bills Log'!$F$6:$F$505,'Bills Log'!$A$6:$A$505,"&gt;="&amp;DATE(Settings!$B$5-1,5,1),'Bills Log'!$A$6:$A$505,"&lt;"&amp;DATE((Settings!$B$5-1),6,1),'Bills Log'!$B$6:$B$505,A70,'Bills Log'!$C$6:$C$505,B70)</f>
        <v/>
      </c>
      <c r="F70" s="54">
        <f>IFERROR(IF(E70=0,"",D70/E70-1),"")</f>
        <v/>
      </c>
      <c r="G70" s="55">
        <f>D70-E70</f>
        <v/>
      </c>
      <c r="H70" s="56">
        <f>IFERROR(IF(ABS(D70/E70-1)&gt;0.25,"⚠ "&amp;ROUND((D70/E70-1)*100,0)&amp;"%",""),"")</f>
        <v/>
      </c>
    </row>
    <row r="71" ht="14" customHeight="1">
      <c r="A71" s="53">
        <f>Settings!$B$7</f>
        <v/>
      </c>
      <c r="B71" s="53" t="inlineStr">
        <is>
          <t>Propane</t>
        </is>
      </c>
      <c r="C71" s="35" t="inlineStr">
        <is>
          <t>Jun</t>
        </is>
      </c>
      <c r="D71" s="48">
        <f>SUMIFS('Bills Log'!$F$6:$F$505,'Bills Log'!$A$6:$A$505,"&gt;="&amp;DATE(Settings!$B$5,6,1),'Bills Log'!$A$6:$A$505,"&lt;"&amp;DATE(Settings!$B$5,7,1),'Bills Log'!$B$6:$B$505,A71,'Bills Log'!$C$6:$C$505,B71)</f>
        <v/>
      </c>
      <c r="E71" s="48">
        <f>SUMIFS('Bills Log'!$F$6:$F$505,'Bills Log'!$A$6:$A$505,"&gt;="&amp;DATE(Settings!$B$5-1,6,1),'Bills Log'!$A$6:$A$505,"&lt;"&amp;DATE((Settings!$B$5-1),7,1),'Bills Log'!$B$6:$B$505,A71,'Bills Log'!$C$6:$C$505,B71)</f>
        <v/>
      </c>
      <c r="F71" s="54">
        <f>IFERROR(IF(E71=0,"",D71/E71-1),"")</f>
        <v/>
      </c>
      <c r="G71" s="55">
        <f>D71-E71</f>
        <v/>
      </c>
      <c r="H71" s="56">
        <f>IFERROR(IF(ABS(D71/E71-1)&gt;0.25,"⚠ "&amp;ROUND((D71/E71-1)*100,0)&amp;"%",""),"")</f>
        <v/>
      </c>
    </row>
    <row r="72" ht="14" customHeight="1">
      <c r="A72" s="53">
        <f>Settings!$B$7</f>
        <v/>
      </c>
      <c r="B72" s="53" t="inlineStr">
        <is>
          <t>Propane</t>
        </is>
      </c>
      <c r="C72" s="35" t="inlineStr">
        <is>
          <t>Jul</t>
        </is>
      </c>
      <c r="D72" s="48">
        <f>SUMIFS('Bills Log'!$F$6:$F$505,'Bills Log'!$A$6:$A$505,"&gt;="&amp;DATE(Settings!$B$5,7,1),'Bills Log'!$A$6:$A$505,"&lt;"&amp;DATE(Settings!$B$5,8,1),'Bills Log'!$B$6:$B$505,A72,'Bills Log'!$C$6:$C$505,B72)</f>
        <v/>
      </c>
      <c r="E72" s="48">
        <f>SUMIFS('Bills Log'!$F$6:$F$505,'Bills Log'!$A$6:$A$505,"&gt;="&amp;DATE(Settings!$B$5-1,7,1),'Bills Log'!$A$6:$A$505,"&lt;"&amp;DATE((Settings!$B$5-1),8,1),'Bills Log'!$B$6:$B$505,A72,'Bills Log'!$C$6:$C$505,B72)</f>
        <v/>
      </c>
      <c r="F72" s="54">
        <f>IFERROR(IF(E72=0,"",D72/E72-1),"")</f>
        <v/>
      </c>
      <c r="G72" s="55">
        <f>D72-E72</f>
        <v/>
      </c>
      <c r="H72" s="56">
        <f>IFERROR(IF(ABS(D72/E72-1)&gt;0.25,"⚠ "&amp;ROUND((D72/E72-1)*100,0)&amp;"%",""),"")</f>
        <v/>
      </c>
    </row>
    <row r="73" ht="14" customHeight="1">
      <c r="A73" s="53">
        <f>Settings!$B$7</f>
        <v/>
      </c>
      <c r="B73" s="53" t="inlineStr">
        <is>
          <t>Propane</t>
        </is>
      </c>
      <c r="C73" s="35" t="inlineStr">
        <is>
          <t>Aug</t>
        </is>
      </c>
      <c r="D73" s="48">
        <f>SUMIFS('Bills Log'!$F$6:$F$505,'Bills Log'!$A$6:$A$505,"&gt;="&amp;DATE(Settings!$B$5,8,1),'Bills Log'!$A$6:$A$505,"&lt;"&amp;DATE(Settings!$B$5,9,1),'Bills Log'!$B$6:$B$505,A73,'Bills Log'!$C$6:$C$505,B73)</f>
        <v/>
      </c>
      <c r="E73" s="48">
        <f>SUMIFS('Bills Log'!$F$6:$F$505,'Bills Log'!$A$6:$A$505,"&gt;="&amp;DATE(Settings!$B$5-1,8,1),'Bills Log'!$A$6:$A$505,"&lt;"&amp;DATE((Settings!$B$5-1),9,1),'Bills Log'!$B$6:$B$505,A73,'Bills Log'!$C$6:$C$505,B73)</f>
        <v/>
      </c>
      <c r="F73" s="54">
        <f>IFERROR(IF(E73=0,"",D73/E73-1),"")</f>
        <v/>
      </c>
      <c r="G73" s="55">
        <f>D73-E73</f>
        <v/>
      </c>
      <c r="H73" s="56">
        <f>IFERROR(IF(ABS(D73/E73-1)&gt;0.25,"⚠ "&amp;ROUND((D73/E73-1)*100,0)&amp;"%",""),"")</f>
        <v/>
      </c>
    </row>
    <row r="74" ht="14" customHeight="1">
      <c r="A74" s="53">
        <f>Settings!$B$7</f>
        <v/>
      </c>
      <c r="B74" s="53" t="inlineStr">
        <is>
          <t>Propane</t>
        </is>
      </c>
      <c r="C74" s="35" t="inlineStr">
        <is>
          <t>Sep</t>
        </is>
      </c>
      <c r="D74" s="48">
        <f>SUMIFS('Bills Log'!$F$6:$F$505,'Bills Log'!$A$6:$A$505,"&gt;="&amp;DATE(Settings!$B$5,9,1),'Bills Log'!$A$6:$A$505,"&lt;"&amp;DATE(Settings!$B$5,10,1),'Bills Log'!$B$6:$B$505,A74,'Bills Log'!$C$6:$C$505,B74)</f>
        <v/>
      </c>
      <c r="E74" s="48">
        <f>SUMIFS('Bills Log'!$F$6:$F$505,'Bills Log'!$A$6:$A$505,"&gt;="&amp;DATE(Settings!$B$5-1,9,1),'Bills Log'!$A$6:$A$505,"&lt;"&amp;DATE((Settings!$B$5-1),10,1),'Bills Log'!$B$6:$B$505,A74,'Bills Log'!$C$6:$C$505,B74)</f>
        <v/>
      </c>
      <c r="F74" s="54">
        <f>IFERROR(IF(E74=0,"",D74/E74-1),"")</f>
        <v/>
      </c>
      <c r="G74" s="55">
        <f>D74-E74</f>
        <v/>
      </c>
      <c r="H74" s="56">
        <f>IFERROR(IF(ABS(D74/E74-1)&gt;0.25,"⚠ "&amp;ROUND((D74/E74-1)*100,0)&amp;"%",""),"")</f>
        <v/>
      </c>
    </row>
    <row r="75" ht="14" customHeight="1">
      <c r="A75" s="53">
        <f>Settings!$B$7</f>
        <v/>
      </c>
      <c r="B75" s="53" t="inlineStr">
        <is>
          <t>Propane</t>
        </is>
      </c>
      <c r="C75" s="35" t="inlineStr">
        <is>
          <t>Oct</t>
        </is>
      </c>
      <c r="D75" s="48">
        <f>SUMIFS('Bills Log'!$F$6:$F$505,'Bills Log'!$A$6:$A$505,"&gt;="&amp;DATE(Settings!$B$5,10,1),'Bills Log'!$A$6:$A$505,"&lt;"&amp;DATE(Settings!$B$5,11,1),'Bills Log'!$B$6:$B$505,A75,'Bills Log'!$C$6:$C$505,B75)</f>
        <v/>
      </c>
      <c r="E75" s="48">
        <f>SUMIFS('Bills Log'!$F$6:$F$505,'Bills Log'!$A$6:$A$505,"&gt;="&amp;DATE(Settings!$B$5-1,10,1),'Bills Log'!$A$6:$A$505,"&lt;"&amp;DATE((Settings!$B$5-1),11,1),'Bills Log'!$B$6:$B$505,A75,'Bills Log'!$C$6:$C$505,B75)</f>
        <v/>
      </c>
      <c r="F75" s="54">
        <f>IFERROR(IF(E75=0,"",D75/E75-1),"")</f>
        <v/>
      </c>
      <c r="G75" s="55">
        <f>D75-E75</f>
        <v/>
      </c>
      <c r="H75" s="56">
        <f>IFERROR(IF(ABS(D75/E75-1)&gt;0.25,"⚠ "&amp;ROUND((D75/E75-1)*100,0)&amp;"%",""),"")</f>
        <v/>
      </c>
    </row>
    <row r="76" ht="14" customHeight="1">
      <c r="A76" s="53">
        <f>Settings!$B$7</f>
        <v/>
      </c>
      <c r="B76" s="53" t="inlineStr">
        <is>
          <t>Propane</t>
        </is>
      </c>
      <c r="C76" s="35" t="inlineStr">
        <is>
          <t>Nov</t>
        </is>
      </c>
      <c r="D76" s="48">
        <f>SUMIFS('Bills Log'!$F$6:$F$505,'Bills Log'!$A$6:$A$505,"&gt;="&amp;DATE(Settings!$B$5,11,1),'Bills Log'!$A$6:$A$505,"&lt;"&amp;DATE(Settings!$B$5,12,1),'Bills Log'!$B$6:$B$505,A76,'Bills Log'!$C$6:$C$505,B76)</f>
        <v/>
      </c>
      <c r="E76" s="48">
        <f>SUMIFS('Bills Log'!$F$6:$F$505,'Bills Log'!$A$6:$A$505,"&gt;="&amp;DATE(Settings!$B$5-1,11,1),'Bills Log'!$A$6:$A$505,"&lt;"&amp;DATE((Settings!$B$5-1),12,1),'Bills Log'!$B$6:$B$505,A76,'Bills Log'!$C$6:$C$505,B76)</f>
        <v/>
      </c>
      <c r="F76" s="54">
        <f>IFERROR(IF(E76=0,"",D76/E76-1),"")</f>
        <v/>
      </c>
      <c r="G76" s="55">
        <f>D76-E76</f>
        <v/>
      </c>
      <c r="H76" s="56">
        <f>IFERROR(IF(ABS(D76/E76-1)&gt;0.25,"⚠ "&amp;ROUND((D76/E76-1)*100,0)&amp;"%",""),"")</f>
        <v/>
      </c>
    </row>
    <row r="77" ht="14" customHeight="1">
      <c r="A77" s="53">
        <f>Settings!$B$7</f>
        <v/>
      </c>
      <c r="B77" s="53" t="inlineStr">
        <is>
          <t>Propane</t>
        </is>
      </c>
      <c r="C77" s="35" t="inlineStr">
        <is>
          <t>Dec</t>
        </is>
      </c>
      <c r="D77" s="48">
        <f>SUMIFS('Bills Log'!$F$6:$F$505,'Bills Log'!$A$6:$A$505,"&gt;="&amp;DATE(Settings!$B$5,12,1),'Bills Log'!$A$6:$A$505,"&lt;"&amp;DATE(Settings!$B$5+1,1,1),'Bills Log'!$B$6:$B$505,A77,'Bills Log'!$C$6:$C$505,B77)</f>
        <v/>
      </c>
      <c r="E77" s="48">
        <f>SUMIFS('Bills Log'!$F$6:$F$505,'Bills Log'!$A$6:$A$505,"&gt;="&amp;DATE(Settings!$B$5-1,12,1),'Bills Log'!$A$6:$A$505,"&lt;"&amp;DATE(Settings!$B$5,1,1),'Bills Log'!$B$6:$B$505,A77,'Bills Log'!$C$6:$C$505,B77)</f>
        <v/>
      </c>
      <c r="F77" s="54">
        <f>IFERROR(IF(E77=0,"",D77/E77-1),"")</f>
        <v/>
      </c>
      <c r="G77" s="55">
        <f>D77-E77</f>
        <v/>
      </c>
      <c r="H77" s="56">
        <f>IFERROR(IF(ABS(D77/E77-1)&gt;0.25,"⚠ "&amp;ROUND((D77/E77-1)*100,0)&amp;"%",""),"")</f>
        <v/>
      </c>
    </row>
    <row r="78" ht="14" customHeight="1">
      <c r="A78" s="53">
        <f>Settings!$B$8</f>
        <v/>
      </c>
      <c r="B78" s="53" t="inlineStr">
        <is>
          <t>Electric</t>
        </is>
      </c>
      <c r="C78" s="35" t="inlineStr">
        <is>
          <t>Jan</t>
        </is>
      </c>
      <c r="D78" s="48">
        <f>SUMIFS('Bills Log'!$F$6:$F$505,'Bills Log'!$A$6:$A$505,"&gt;="&amp;DATE(Settings!$B$5,1,1),'Bills Log'!$A$6:$A$505,"&lt;"&amp;DATE(Settings!$B$5,2,1),'Bills Log'!$B$6:$B$505,A78,'Bills Log'!$C$6:$C$505,B78)</f>
        <v/>
      </c>
      <c r="E78" s="48">
        <f>SUMIFS('Bills Log'!$F$6:$F$505,'Bills Log'!$A$6:$A$505,"&gt;="&amp;DATE(Settings!$B$5-1,1,1),'Bills Log'!$A$6:$A$505,"&lt;"&amp;DATE((Settings!$B$5-1),2,1),'Bills Log'!$B$6:$B$505,A78,'Bills Log'!$C$6:$C$505,B78)</f>
        <v/>
      </c>
      <c r="F78" s="54">
        <f>IFERROR(IF(E78=0,"",D78/E78-1),"")</f>
        <v/>
      </c>
      <c r="G78" s="55">
        <f>D78-E78</f>
        <v/>
      </c>
      <c r="H78" s="56">
        <f>IFERROR(IF(ABS(D78/E78-1)&gt;0.25,"⚠ "&amp;ROUND((D78/E78-1)*100,0)&amp;"%",""),"")</f>
        <v/>
      </c>
    </row>
    <row r="79" ht="14" customHeight="1">
      <c r="A79" s="53">
        <f>Settings!$B$8</f>
        <v/>
      </c>
      <c r="B79" s="53" t="inlineStr">
        <is>
          <t>Electric</t>
        </is>
      </c>
      <c r="C79" s="35" t="inlineStr">
        <is>
          <t>Feb</t>
        </is>
      </c>
      <c r="D79" s="48">
        <f>SUMIFS('Bills Log'!$F$6:$F$505,'Bills Log'!$A$6:$A$505,"&gt;="&amp;DATE(Settings!$B$5,2,1),'Bills Log'!$A$6:$A$505,"&lt;"&amp;DATE(Settings!$B$5,3,1),'Bills Log'!$B$6:$B$505,A79,'Bills Log'!$C$6:$C$505,B79)</f>
        <v/>
      </c>
      <c r="E79" s="48">
        <f>SUMIFS('Bills Log'!$F$6:$F$505,'Bills Log'!$A$6:$A$505,"&gt;="&amp;DATE(Settings!$B$5-1,2,1),'Bills Log'!$A$6:$A$505,"&lt;"&amp;DATE((Settings!$B$5-1),3,1),'Bills Log'!$B$6:$B$505,A79,'Bills Log'!$C$6:$C$505,B79)</f>
        <v/>
      </c>
      <c r="F79" s="54">
        <f>IFERROR(IF(E79=0,"",D79/E79-1),"")</f>
        <v/>
      </c>
      <c r="G79" s="55">
        <f>D79-E79</f>
        <v/>
      </c>
      <c r="H79" s="56">
        <f>IFERROR(IF(ABS(D79/E79-1)&gt;0.25,"⚠ "&amp;ROUND((D79/E79-1)*100,0)&amp;"%",""),"")</f>
        <v/>
      </c>
    </row>
    <row r="80" ht="14" customHeight="1">
      <c r="A80" s="53">
        <f>Settings!$B$8</f>
        <v/>
      </c>
      <c r="B80" s="53" t="inlineStr">
        <is>
          <t>Electric</t>
        </is>
      </c>
      <c r="C80" s="35" t="inlineStr">
        <is>
          <t>Mar</t>
        </is>
      </c>
      <c r="D80" s="48">
        <f>SUMIFS('Bills Log'!$F$6:$F$505,'Bills Log'!$A$6:$A$505,"&gt;="&amp;DATE(Settings!$B$5,3,1),'Bills Log'!$A$6:$A$505,"&lt;"&amp;DATE(Settings!$B$5,4,1),'Bills Log'!$B$6:$B$505,A80,'Bills Log'!$C$6:$C$505,B80)</f>
        <v/>
      </c>
      <c r="E80" s="48">
        <f>SUMIFS('Bills Log'!$F$6:$F$505,'Bills Log'!$A$6:$A$505,"&gt;="&amp;DATE(Settings!$B$5-1,3,1),'Bills Log'!$A$6:$A$505,"&lt;"&amp;DATE((Settings!$B$5-1),4,1),'Bills Log'!$B$6:$B$505,A80,'Bills Log'!$C$6:$C$505,B80)</f>
        <v/>
      </c>
      <c r="F80" s="54">
        <f>IFERROR(IF(E80=0,"",D80/E80-1),"")</f>
        <v/>
      </c>
      <c r="G80" s="55">
        <f>D80-E80</f>
        <v/>
      </c>
      <c r="H80" s="56">
        <f>IFERROR(IF(ABS(D80/E80-1)&gt;0.25,"⚠ "&amp;ROUND((D80/E80-1)*100,0)&amp;"%",""),"")</f>
        <v/>
      </c>
    </row>
    <row r="81" ht="14" customHeight="1">
      <c r="A81" s="53">
        <f>Settings!$B$8</f>
        <v/>
      </c>
      <c r="B81" s="53" t="inlineStr">
        <is>
          <t>Electric</t>
        </is>
      </c>
      <c r="C81" s="35" t="inlineStr">
        <is>
          <t>Apr</t>
        </is>
      </c>
      <c r="D81" s="48">
        <f>SUMIFS('Bills Log'!$F$6:$F$505,'Bills Log'!$A$6:$A$505,"&gt;="&amp;DATE(Settings!$B$5,4,1),'Bills Log'!$A$6:$A$505,"&lt;"&amp;DATE(Settings!$B$5,5,1),'Bills Log'!$B$6:$B$505,A81,'Bills Log'!$C$6:$C$505,B81)</f>
        <v/>
      </c>
      <c r="E81" s="48">
        <f>SUMIFS('Bills Log'!$F$6:$F$505,'Bills Log'!$A$6:$A$505,"&gt;="&amp;DATE(Settings!$B$5-1,4,1),'Bills Log'!$A$6:$A$505,"&lt;"&amp;DATE((Settings!$B$5-1),5,1),'Bills Log'!$B$6:$B$505,A81,'Bills Log'!$C$6:$C$505,B81)</f>
        <v/>
      </c>
      <c r="F81" s="54">
        <f>IFERROR(IF(E81=0,"",D81/E81-1),"")</f>
        <v/>
      </c>
      <c r="G81" s="55">
        <f>D81-E81</f>
        <v/>
      </c>
      <c r="H81" s="56">
        <f>IFERROR(IF(ABS(D81/E81-1)&gt;0.25,"⚠ "&amp;ROUND((D81/E81-1)*100,0)&amp;"%",""),"")</f>
        <v/>
      </c>
    </row>
    <row r="82" ht="14" customHeight="1">
      <c r="A82" s="53">
        <f>Settings!$B$8</f>
        <v/>
      </c>
      <c r="B82" s="53" t="inlineStr">
        <is>
          <t>Electric</t>
        </is>
      </c>
      <c r="C82" s="35" t="inlineStr">
        <is>
          <t>May</t>
        </is>
      </c>
      <c r="D82" s="48">
        <f>SUMIFS('Bills Log'!$F$6:$F$505,'Bills Log'!$A$6:$A$505,"&gt;="&amp;DATE(Settings!$B$5,5,1),'Bills Log'!$A$6:$A$505,"&lt;"&amp;DATE(Settings!$B$5,6,1),'Bills Log'!$B$6:$B$505,A82,'Bills Log'!$C$6:$C$505,B82)</f>
        <v/>
      </c>
      <c r="E82" s="48">
        <f>SUMIFS('Bills Log'!$F$6:$F$505,'Bills Log'!$A$6:$A$505,"&gt;="&amp;DATE(Settings!$B$5-1,5,1),'Bills Log'!$A$6:$A$505,"&lt;"&amp;DATE((Settings!$B$5-1),6,1),'Bills Log'!$B$6:$B$505,A82,'Bills Log'!$C$6:$C$505,B82)</f>
        <v/>
      </c>
      <c r="F82" s="54">
        <f>IFERROR(IF(E82=0,"",D82/E82-1),"")</f>
        <v/>
      </c>
      <c r="G82" s="55">
        <f>D82-E82</f>
        <v/>
      </c>
      <c r="H82" s="56">
        <f>IFERROR(IF(ABS(D82/E82-1)&gt;0.25,"⚠ "&amp;ROUND((D82/E82-1)*100,0)&amp;"%",""),"")</f>
        <v/>
      </c>
    </row>
    <row r="83" ht="14" customHeight="1">
      <c r="A83" s="53">
        <f>Settings!$B$8</f>
        <v/>
      </c>
      <c r="B83" s="53" t="inlineStr">
        <is>
          <t>Electric</t>
        </is>
      </c>
      <c r="C83" s="35" t="inlineStr">
        <is>
          <t>Jun</t>
        </is>
      </c>
      <c r="D83" s="48">
        <f>SUMIFS('Bills Log'!$F$6:$F$505,'Bills Log'!$A$6:$A$505,"&gt;="&amp;DATE(Settings!$B$5,6,1),'Bills Log'!$A$6:$A$505,"&lt;"&amp;DATE(Settings!$B$5,7,1),'Bills Log'!$B$6:$B$505,A83,'Bills Log'!$C$6:$C$505,B83)</f>
        <v/>
      </c>
      <c r="E83" s="48">
        <f>SUMIFS('Bills Log'!$F$6:$F$505,'Bills Log'!$A$6:$A$505,"&gt;="&amp;DATE(Settings!$B$5-1,6,1),'Bills Log'!$A$6:$A$505,"&lt;"&amp;DATE((Settings!$B$5-1),7,1),'Bills Log'!$B$6:$B$505,A83,'Bills Log'!$C$6:$C$505,B83)</f>
        <v/>
      </c>
      <c r="F83" s="54">
        <f>IFERROR(IF(E83=0,"",D83/E83-1),"")</f>
        <v/>
      </c>
      <c r="G83" s="55">
        <f>D83-E83</f>
        <v/>
      </c>
      <c r="H83" s="56">
        <f>IFERROR(IF(ABS(D83/E83-1)&gt;0.25,"⚠ "&amp;ROUND((D83/E83-1)*100,0)&amp;"%",""),"")</f>
        <v/>
      </c>
    </row>
    <row r="84" ht="14" customHeight="1">
      <c r="A84" s="53">
        <f>Settings!$B$8</f>
        <v/>
      </c>
      <c r="B84" s="53" t="inlineStr">
        <is>
          <t>Electric</t>
        </is>
      </c>
      <c r="C84" s="35" t="inlineStr">
        <is>
          <t>Jul</t>
        </is>
      </c>
      <c r="D84" s="48">
        <f>SUMIFS('Bills Log'!$F$6:$F$505,'Bills Log'!$A$6:$A$505,"&gt;="&amp;DATE(Settings!$B$5,7,1),'Bills Log'!$A$6:$A$505,"&lt;"&amp;DATE(Settings!$B$5,8,1),'Bills Log'!$B$6:$B$505,A84,'Bills Log'!$C$6:$C$505,B84)</f>
        <v/>
      </c>
      <c r="E84" s="48">
        <f>SUMIFS('Bills Log'!$F$6:$F$505,'Bills Log'!$A$6:$A$505,"&gt;="&amp;DATE(Settings!$B$5-1,7,1),'Bills Log'!$A$6:$A$505,"&lt;"&amp;DATE((Settings!$B$5-1),8,1),'Bills Log'!$B$6:$B$505,A84,'Bills Log'!$C$6:$C$505,B84)</f>
        <v/>
      </c>
      <c r="F84" s="54">
        <f>IFERROR(IF(E84=0,"",D84/E84-1),"")</f>
        <v/>
      </c>
      <c r="G84" s="55">
        <f>D84-E84</f>
        <v/>
      </c>
      <c r="H84" s="56">
        <f>IFERROR(IF(ABS(D84/E84-1)&gt;0.25,"⚠ "&amp;ROUND((D84/E84-1)*100,0)&amp;"%",""),"")</f>
        <v/>
      </c>
    </row>
    <row r="85" ht="14" customHeight="1">
      <c r="A85" s="53">
        <f>Settings!$B$8</f>
        <v/>
      </c>
      <c r="B85" s="53" t="inlineStr">
        <is>
          <t>Electric</t>
        </is>
      </c>
      <c r="C85" s="35" t="inlineStr">
        <is>
          <t>Aug</t>
        </is>
      </c>
      <c r="D85" s="48">
        <f>SUMIFS('Bills Log'!$F$6:$F$505,'Bills Log'!$A$6:$A$505,"&gt;="&amp;DATE(Settings!$B$5,8,1),'Bills Log'!$A$6:$A$505,"&lt;"&amp;DATE(Settings!$B$5,9,1),'Bills Log'!$B$6:$B$505,A85,'Bills Log'!$C$6:$C$505,B85)</f>
        <v/>
      </c>
      <c r="E85" s="48">
        <f>SUMIFS('Bills Log'!$F$6:$F$505,'Bills Log'!$A$6:$A$505,"&gt;="&amp;DATE(Settings!$B$5-1,8,1),'Bills Log'!$A$6:$A$505,"&lt;"&amp;DATE((Settings!$B$5-1),9,1),'Bills Log'!$B$6:$B$505,A85,'Bills Log'!$C$6:$C$505,B85)</f>
        <v/>
      </c>
      <c r="F85" s="54">
        <f>IFERROR(IF(E85=0,"",D85/E85-1),"")</f>
        <v/>
      </c>
      <c r="G85" s="55">
        <f>D85-E85</f>
        <v/>
      </c>
      <c r="H85" s="56">
        <f>IFERROR(IF(ABS(D85/E85-1)&gt;0.25,"⚠ "&amp;ROUND((D85/E85-1)*100,0)&amp;"%",""),"")</f>
        <v/>
      </c>
    </row>
    <row r="86" ht="14" customHeight="1">
      <c r="A86" s="53">
        <f>Settings!$B$8</f>
        <v/>
      </c>
      <c r="B86" s="53" t="inlineStr">
        <is>
          <t>Electric</t>
        </is>
      </c>
      <c r="C86" s="35" t="inlineStr">
        <is>
          <t>Sep</t>
        </is>
      </c>
      <c r="D86" s="48">
        <f>SUMIFS('Bills Log'!$F$6:$F$505,'Bills Log'!$A$6:$A$505,"&gt;="&amp;DATE(Settings!$B$5,9,1),'Bills Log'!$A$6:$A$505,"&lt;"&amp;DATE(Settings!$B$5,10,1),'Bills Log'!$B$6:$B$505,A86,'Bills Log'!$C$6:$C$505,B86)</f>
        <v/>
      </c>
      <c r="E86" s="48">
        <f>SUMIFS('Bills Log'!$F$6:$F$505,'Bills Log'!$A$6:$A$505,"&gt;="&amp;DATE(Settings!$B$5-1,9,1),'Bills Log'!$A$6:$A$505,"&lt;"&amp;DATE((Settings!$B$5-1),10,1),'Bills Log'!$B$6:$B$505,A86,'Bills Log'!$C$6:$C$505,B86)</f>
        <v/>
      </c>
      <c r="F86" s="54">
        <f>IFERROR(IF(E86=0,"",D86/E86-1),"")</f>
        <v/>
      </c>
      <c r="G86" s="55">
        <f>D86-E86</f>
        <v/>
      </c>
      <c r="H86" s="56">
        <f>IFERROR(IF(ABS(D86/E86-1)&gt;0.25,"⚠ "&amp;ROUND((D86/E86-1)*100,0)&amp;"%",""),"")</f>
        <v/>
      </c>
    </row>
    <row r="87" ht="14" customHeight="1">
      <c r="A87" s="53">
        <f>Settings!$B$8</f>
        <v/>
      </c>
      <c r="B87" s="53" t="inlineStr">
        <is>
          <t>Electric</t>
        </is>
      </c>
      <c r="C87" s="35" t="inlineStr">
        <is>
          <t>Oct</t>
        </is>
      </c>
      <c r="D87" s="48">
        <f>SUMIFS('Bills Log'!$F$6:$F$505,'Bills Log'!$A$6:$A$505,"&gt;="&amp;DATE(Settings!$B$5,10,1),'Bills Log'!$A$6:$A$505,"&lt;"&amp;DATE(Settings!$B$5,11,1),'Bills Log'!$B$6:$B$505,A87,'Bills Log'!$C$6:$C$505,B87)</f>
        <v/>
      </c>
      <c r="E87" s="48">
        <f>SUMIFS('Bills Log'!$F$6:$F$505,'Bills Log'!$A$6:$A$505,"&gt;="&amp;DATE(Settings!$B$5-1,10,1),'Bills Log'!$A$6:$A$505,"&lt;"&amp;DATE((Settings!$B$5-1),11,1),'Bills Log'!$B$6:$B$505,A87,'Bills Log'!$C$6:$C$505,B87)</f>
        <v/>
      </c>
      <c r="F87" s="54">
        <f>IFERROR(IF(E87=0,"",D87/E87-1),"")</f>
        <v/>
      </c>
      <c r="G87" s="55">
        <f>D87-E87</f>
        <v/>
      </c>
      <c r="H87" s="56">
        <f>IFERROR(IF(ABS(D87/E87-1)&gt;0.25,"⚠ "&amp;ROUND((D87/E87-1)*100,0)&amp;"%",""),"")</f>
        <v/>
      </c>
    </row>
    <row r="88" ht="14" customHeight="1">
      <c r="A88" s="53">
        <f>Settings!$B$8</f>
        <v/>
      </c>
      <c r="B88" s="53" t="inlineStr">
        <is>
          <t>Electric</t>
        </is>
      </c>
      <c r="C88" s="35" t="inlineStr">
        <is>
          <t>Nov</t>
        </is>
      </c>
      <c r="D88" s="48">
        <f>SUMIFS('Bills Log'!$F$6:$F$505,'Bills Log'!$A$6:$A$505,"&gt;="&amp;DATE(Settings!$B$5,11,1),'Bills Log'!$A$6:$A$505,"&lt;"&amp;DATE(Settings!$B$5,12,1),'Bills Log'!$B$6:$B$505,A88,'Bills Log'!$C$6:$C$505,B88)</f>
        <v/>
      </c>
      <c r="E88" s="48">
        <f>SUMIFS('Bills Log'!$F$6:$F$505,'Bills Log'!$A$6:$A$505,"&gt;="&amp;DATE(Settings!$B$5-1,11,1),'Bills Log'!$A$6:$A$505,"&lt;"&amp;DATE((Settings!$B$5-1),12,1),'Bills Log'!$B$6:$B$505,A88,'Bills Log'!$C$6:$C$505,B88)</f>
        <v/>
      </c>
      <c r="F88" s="54">
        <f>IFERROR(IF(E88=0,"",D88/E88-1),"")</f>
        <v/>
      </c>
      <c r="G88" s="55">
        <f>D88-E88</f>
        <v/>
      </c>
      <c r="H88" s="56">
        <f>IFERROR(IF(ABS(D88/E88-1)&gt;0.25,"⚠ "&amp;ROUND((D88/E88-1)*100,0)&amp;"%",""),"")</f>
        <v/>
      </c>
    </row>
    <row r="89" ht="14" customHeight="1">
      <c r="A89" s="53">
        <f>Settings!$B$8</f>
        <v/>
      </c>
      <c r="B89" s="53" t="inlineStr">
        <is>
          <t>Electric</t>
        </is>
      </c>
      <c r="C89" s="35" t="inlineStr">
        <is>
          <t>Dec</t>
        </is>
      </c>
      <c r="D89" s="48">
        <f>SUMIFS('Bills Log'!$F$6:$F$505,'Bills Log'!$A$6:$A$505,"&gt;="&amp;DATE(Settings!$B$5,12,1),'Bills Log'!$A$6:$A$505,"&lt;"&amp;DATE(Settings!$B$5+1,1,1),'Bills Log'!$B$6:$B$505,A89,'Bills Log'!$C$6:$C$505,B89)</f>
        <v/>
      </c>
      <c r="E89" s="48">
        <f>SUMIFS('Bills Log'!$F$6:$F$505,'Bills Log'!$A$6:$A$505,"&gt;="&amp;DATE(Settings!$B$5-1,12,1),'Bills Log'!$A$6:$A$505,"&lt;"&amp;DATE(Settings!$B$5,1,1),'Bills Log'!$B$6:$B$505,A89,'Bills Log'!$C$6:$C$505,B89)</f>
        <v/>
      </c>
      <c r="F89" s="54">
        <f>IFERROR(IF(E89=0,"",D89/E89-1),"")</f>
        <v/>
      </c>
      <c r="G89" s="55">
        <f>D89-E89</f>
        <v/>
      </c>
      <c r="H89" s="56">
        <f>IFERROR(IF(ABS(D89/E89-1)&gt;0.25,"⚠ "&amp;ROUND((D89/E89-1)*100,0)&amp;"%",""),"")</f>
        <v/>
      </c>
    </row>
    <row r="90" ht="14" customHeight="1">
      <c r="A90" s="53">
        <f>Settings!$B$8</f>
        <v/>
      </c>
      <c r="B90" s="53" t="inlineStr">
        <is>
          <t>Gas</t>
        </is>
      </c>
      <c r="C90" s="35" t="inlineStr">
        <is>
          <t>Jan</t>
        </is>
      </c>
      <c r="D90" s="48">
        <f>SUMIFS('Bills Log'!$F$6:$F$505,'Bills Log'!$A$6:$A$505,"&gt;="&amp;DATE(Settings!$B$5,1,1),'Bills Log'!$A$6:$A$505,"&lt;"&amp;DATE(Settings!$B$5,2,1),'Bills Log'!$B$6:$B$505,A90,'Bills Log'!$C$6:$C$505,B90)</f>
        <v/>
      </c>
      <c r="E90" s="48">
        <f>SUMIFS('Bills Log'!$F$6:$F$505,'Bills Log'!$A$6:$A$505,"&gt;="&amp;DATE(Settings!$B$5-1,1,1),'Bills Log'!$A$6:$A$505,"&lt;"&amp;DATE((Settings!$B$5-1),2,1),'Bills Log'!$B$6:$B$505,A90,'Bills Log'!$C$6:$C$505,B90)</f>
        <v/>
      </c>
      <c r="F90" s="54">
        <f>IFERROR(IF(E90=0,"",D90/E90-1),"")</f>
        <v/>
      </c>
      <c r="G90" s="55">
        <f>D90-E90</f>
        <v/>
      </c>
      <c r="H90" s="56">
        <f>IFERROR(IF(ABS(D90/E90-1)&gt;0.25,"⚠ "&amp;ROUND((D90/E90-1)*100,0)&amp;"%",""),"")</f>
        <v/>
      </c>
    </row>
    <row r="91" ht="14" customHeight="1">
      <c r="A91" s="53">
        <f>Settings!$B$8</f>
        <v/>
      </c>
      <c r="B91" s="53" t="inlineStr">
        <is>
          <t>Gas</t>
        </is>
      </c>
      <c r="C91" s="35" t="inlineStr">
        <is>
          <t>Feb</t>
        </is>
      </c>
      <c r="D91" s="48">
        <f>SUMIFS('Bills Log'!$F$6:$F$505,'Bills Log'!$A$6:$A$505,"&gt;="&amp;DATE(Settings!$B$5,2,1),'Bills Log'!$A$6:$A$505,"&lt;"&amp;DATE(Settings!$B$5,3,1),'Bills Log'!$B$6:$B$505,A91,'Bills Log'!$C$6:$C$505,B91)</f>
        <v/>
      </c>
      <c r="E91" s="48">
        <f>SUMIFS('Bills Log'!$F$6:$F$505,'Bills Log'!$A$6:$A$505,"&gt;="&amp;DATE(Settings!$B$5-1,2,1),'Bills Log'!$A$6:$A$505,"&lt;"&amp;DATE((Settings!$B$5-1),3,1),'Bills Log'!$B$6:$B$505,A91,'Bills Log'!$C$6:$C$505,B91)</f>
        <v/>
      </c>
      <c r="F91" s="54">
        <f>IFERROR(IF(E91=0,"",D91/E91-1),"")</f>
        <v/>
      </c>
      <c r="G91" s="55">
        <f>D91-E91</f>
        <v/>
      </c>
      <c r="H91" s="56">
        <f>IFERROR(IF(ABS(D91/E91-1)&gt;0.25,"⚠ "&amp;ROUND((D91/E91-1)*100,0)&amp;"%",""),"")</f>
        <v/>
      </c>
    </row>
    <row r="92" ht="14" customHeight="1">
      <c r="A92" s="53">
        <f>Settings!$B$8</f>
        <v/>
      </c>
      <c r="B92" s="53" t="inlineStr">
        <is>
          <t>Gas</t>
        </is>
      </c>
      <c r="C92" s="35" t="inlineStr">
        <is>
          <t>Mar</t>
        </is>
      </c>
      <c r="D92" s="48">
        <f>SUMIFS('Bills Log'!$F$6:$F$505,'Bills Log'!$A$6:$A$505,"&gt;="&amp;DATE(Settings!$B$5,3,1),'Bills Log'!$A$6:$A$505,"&lt;"&amp;DATE(Settings!$B$5,4,1),'Bills Log'!$B$6:$B$505,A92,'Bills Log'!$C$6:$C$505,B92)</f>
        <v/>
      </c>
      <c r="E92" s="48">
        <f>SUMIFS('Bills Log'!$F$6:$F$505,'Bills Log'!$A$6:$A$505,"&gt;="&amp;DATE(Settings!$B$5-1,3,1),'Bills Log'!$A$6:$A$505,"&lt;"&amp;DATE((Settings!$B$5-1),4,1),'Bills Log'!$B$6:$B$505,A92,'Bills Log'!$C$6:$C$505,B92)</f>
        <v/>
      </c>
      <c r="F92" s="54">
        <f>IFERROR(IF(E92=0,"",D92/E92-1),"")</f>
        <v/>
      </c>
      <c r="G92" s="55">
        <f>D92-E92</f>
        <v/>
      </c>
      <c r="H92" s="56">
        <f>IFERROR(IF(ABS(D92/E92-1)&gt;0.25,"⚠ "&amp;ROUND((D92/E92-1)*100,0)&amp;"%",""),"")</f>
        <v/>
      </c>
    </row>
    <row r="93" ht="14" customHeight="1">
      <c r="A93" s="53">
        <f>Settings!$B$8</f>
        <v/>
      </c>
      <c r="B93" s="53" t="inlineStr">
        <is>
          <t>Gas</t>
        </is>
      </c>
      <c r="C93" s="35" t="inlineStr">
        <is>
          <t>Apr</t>
        </is>
      </c>
      <c r="D93" s="48">
        <f>SUMIFS('Bills Log'!$F$6:$F$505,'Bills Log'!$A$6:$A$505,"&gt;="&amp;DATE(Settings!$B$5,4,1),'Bills Log'!$A$6:$A$505,"&lt;"&amp;DATE(Settings!$B$5,5,1),'Bills Log'!$B$6:$B$505,A93,'Bills Log'!$C$6:$C$505,B93)</f>
        <v/>
      </c>
      <c r="E93" s="48">
        <f>SUMIFS('Bills Log'!$F$6:$F$505,'Bills Log'!$A$6:$A$505,"&gt;="&amp;DATE(Settings!$B$5-1,4,1),'Bills Log'!$A$6:$A$505,"&lt;"&amp;DATE((Settings!$B$5-1),5,1),'Bills Log'!$B$6:$B$505,A93,'Bills Log'!$C$6:$C$505,B93)</f>
        <v/>
      </c>
      <c r="F93" s="54">
        <f>IFERROR(IF(E93=0,"",D93/E93-1),"")</f>
        <v/>
      </c>
      <c r="G93" s="55">
        <f>D93-E93</f>
        <v/>
      </c>
      <c r="H93" s="56">
        <f>IFERROR(IF(ABS(D93/E93-1)&gt;0.25,"⚠ "&amp;ROUND((D93/E93-1)*100,0)&amp;"%",""),"")</f>
        <v/>
      </c>
    </row>
    <row r="94" ht="14" customHeight="1">
      <c r="A94" s="53">
        <f>Settings!$B$8</f>
        <v/>
      </c>
      <c r="B94" s="53" t="inlineStr">
        <is>
          <t>Gas</t>
        </is>
      </c>
      <c r="C94" s="35" t="inlineStr">
        <is>
          <t>May</t>
        </is>
      </c>
      <c r="D94" s="48">
        <f>SUMIFS('Bills Log'!$F$6:$F$505,'Bills Log'!$A$6:$A$505,"&gt;="&amp;DATE(Settings!$B$5,5,1),'Bills Log'!$A$6:$A$505,"&lt;"&amp;DATE(Settings!$B$5,6,1),'Bills Log'!$B$6:$B$505,A94,'Bills Log'!$C$6:$C$505,B94)</f>
        <v/>
      </c>
      <c r="E94" s="48">
        <f>SUMIFS('Bills Log'!$F$6:$F$505,'Bills Log'!$A$6:$A$505,"&gt;="&amp;DATE(Settings!$B$5-1,5,1),'Bills Log'!$A$6:$A$505,"&lt;"&amp;DATE((Settings!$B$5-1),6,1),'Bills Log'!$B$6:$B$505,A94,'Bills Log'!$C$6:$C$505,B94)</f>
        <v/>
      </c>
      <c r="F94" s="54">
        <f>IFERROR(IF(E94=0,"",D94/E94-1),"")</f>
        <v/>
      </c>
      <c r="G94" s="55">
        <f>D94-E94</f>
        <v/>
      </c>
      <c r="H94" s="56">
        <f>IFERROR(IF(ABS(D94/E94-1)&gt;0.25,"⚠ "&amp;ROUND((D94/E94-1)*100,0)&amp;"%",""),"")</f>
        <v/>
      </c>
    </row>
    <row r="95" ht="14" customHeight="1">
      <c r="A95" s="53">
        <f>Settings!$B$8</f>
        <v/>
      </c>
      <c r="B95" s="53" t="inlineStr">
        <is>
          <t>Gas</t>
        </is>
      </c>
      <c r="C95" s="35" t="inlineStr">
        <is>
          <t>Jun</t>
        </is>
      </c>
      <c r="D95" s="48">
        <f>SUMIFS('Bills Log'!$F$6:$F$505,'Bills Log'!$A$6:$A$505,"&gt;="&amp;DATE(Settings!$B$5,6,1),'Bills Log'!$A$6:$A$505,"&lt;"&amp;DATE(Settings!$B$5,7,1),'Bills Log'!$B$6:$B$505,A95,'Bills Log'!$C$6:$C$505,B95)</f>
        <v/>
      </c>
      <c r="E95" s="48">
        <f>SUMIFS('Bills Log'!$F$6:$F$505,'Bills Log'!$A$6:$A$505,"&gt;="&amp;DATE(Settings!$B$5-1,6,1),'Bills Log'!$A$6:$A$505,"&lt;"&amp;DATE((Settings!$B$5-1),7,1),'Bills Log'!$B$6:$B$505,A95,'Bills Log'!$C$6:$C$505,B95)</f>
        <v/>
      </c>
      <c r="F95" s="54">
        <f>IFERROR(IF(E95=0,"",D95/E95-1),"")</f>
        <v/>
      </c>
      <c r="G95" s="55">
        <f>D95-E95</f>
        <v/>
      </c>
      <c r="H95" s="56">
        <f>IFERROR(IF(ABS(D95/E95-1)&gt;0.25,"⚠ "&amp;ROUND((D95/E95-1)*100,0)&amp;"%",""),"")</f>
        <v/>
      </c>
    </row>
    <row r="96" ht="14" customHeight="1">
      <c r="A96" s="53">
        <f>Settings!$B$8</f>
        <v/>
      </c>
      <c r="B96" s="53" t="inlineStr">
        <is>
          <t>Gas</t>
        </is>
      </c>
      <c r="C96" s="35" t="inlineStr">
        <is>
          <t>Jul</t>
        </is>
      </c>
      <c r="D96" s="48">
        <f>SUMIFS('Bills Log'!$F$6:$F$505,'Bills Log'!$A$6:$A$505,"&gt;="&amp;DATE(Settings!$B$5,7,1),'Bills Log'!$A$6:$A$505,"&lt;"&amp;DATE(Settings!$B$5,8,1),'Bills Log'!$B$6:$B$505,A96,'Bills Log'!$C$6:$C$505,B96)</f>
        <v/>
      </c>
      <c r="E96" s="48">
        <f>SUMIFS('Bills Log'!$F$6:$F$505,'Bills Log'!$A$6:$A$505,"&gt;="&amp;DATE(Settings!$B$5-1,7,1),'Bills Log'!$A$6:$A$505,"&lt;"&amp;DATE((Settings!$B$5-1),8,1),'Bills Log'!$B$6:$B$505,A96,'Bills Log'!$C$6:$C$505,B96)</f>
        <v/>
      </c>
      <c r="F96" s="54">
        <f>IFERROR(IF(E96=0,"",D96/E96-1),"")</f>
        <v/>
      </c>
      <c r="G96" s="55">
        <f>D96-E96</f>
        <v/>
      </c>
      <c r="H96" s="56">
        <f>IFERROR(IF(ABS(D96/E96-1)&gt;0.25,"⚠ "&amp;ROUND((D96/E96-1)*100,0)&amp;"%",""),"")</f>
        <v/>
      </c>
    </row>
    <row r="97" ht="14" customHeight="1">
      <c r="A97" s="53">
        <f>Settings!$B$8</f>
        <v/>
      </c>
      <c r="B97" s="53" t="inlineStr">
        <is>
          <t>Gas</t>
        </is>
      </c>
      <c r="C97" s="35" t="inlineStr">
        <is>
          <t>Aug</t>
        </is>
      </c>
      <c r="D97" s="48">
        <f>SUMIFS('Bills Log'!$F$6:$F$505,'Bills Log'!$A$6:$A$505,"&gt;="&amp;DATE(Settings!$B$5,8,1),'Bills Log'!$A$6:$A$505,"&lt;"&amp;DATE(Settings!$B$5,9,1),'Bills Log'!$B$6:$B$505,A97,'Bills Log'!$C$6:$C$505,B97)</f>
        <v/>
      </c>
      <c r="E97" s="48">
        <f>SUMIFS('Bills Log'!$F$6:$F$505,'Bills Log'!$A$6:$A$505,"&gt;="&amp;DATE(Settings!$B$5-1,8,1),'Bills Log'!$A$6:$A$505,"&lt;"&amp;DATE((Settings!$B$5-1),9,1),'Bills Log'!$B$6:$B$505,A97,'Bills Log'!$C$6:$C$505,B97)</f>
        <v/>
      </c>
      <c r="F97" s="54">
        <f>IFERROR(IF(E97=0,"",D97/E97-1),"")</f>
        <v/>
      </c>
      <c r="G97" s="55">
        <f>D97-E97</f>
        <v/>
      </c>
      <c r="H97" s="56">
        <f>IFERROR(IF(ABS(D97/E97-1)&gt;0.25,"⚠ "&amp;ROUND((D97/E97-1)*100,0)&amp;"%",""),"")</f>
        <v/>
      </c>
    </row>
    <row r="98" ht="14" customHeight="1">
      <c r="A98" s="53">
        <f>Settings!$B$8</f>
        <v/>
      </c>
      <c r="B98" s="53" t="inlineStr">
        <is>
          <t>Gas</t>
        </is>
      </c>
      <c r="C98" s="35" t="inlineStr">
        <is>
          <t>Sep</t>
        </is>
      </c>
      <c r="D98" s="48">
        <f>SUMIFS('Bills Log'!$F$6:$F$505,'Bills Log'!$A$6:$A$505,"&gt;="&amp;DATE(Settings!$B$5,9,1),'Bills Log'!$A$6:$A$505,"&lt;"&amp;DATE(Settings!$B$5,10,1),'Bills Log'!$B$6:$B$505,A98,'Bills Log'!$C$6:$C$505,B98)</f>
        <v/>
      </c>
      <c r="E98" s="48">
        <f>SUMIFS('Bills Log'!$F$6:$F$505,'Bills Log'!$A$6:$A$505,"&gt;="&amp;DATE(Settings!$B$5-1,9,1),'Bills Log'!$A$6:$A$505,"&lt;"&amp;DATE((Settings!$B$5-1),10,1),'Bills Log'!$B$6:$B$505,A98,'Bills Log'!$C$6:$C$505,B98)</f>
        <v/>
      </c>
      <c r="F98" s="54">
        <f>IFERROR(IF(E98=0,"",D98/E98-1),"")</f>
        <v/>
      </c>
      <c r="G98" s="55">
        <f>D98-E98</f>
        <v/>
      </c>
      <c r="H98" s="56">
        <f>IFERROR(IF(ABS(D98/E98-1)&gt;0.25,"⚠ "&amp;ROUND((D98/E98-1)*100,0)&amp;"%",""),"")</f>
        <v/>
      </c>
    </row>
    <row r="99" ht="14" customHeight="1">
      <c r="A99" s="53">
        <f>Settings!$B$8</f>
        <v/>
      </c>
      <c r="B99" s="53" t="inlineStr">
        <is>
          <t>Gas</t>
        </is>
      </c>
      <c r="C99" s="35" t="inlineStr">
        <is>
          <t>Oct</t>
        </is>
      </c>
      <c r="D99" s="48">
        <f>SUMIFS('Bills Log'!$F$6:$F$505,'Bills Log'!$A$6:$A$505,"&gt;="&amp;DATE(Settings!$B$5,10,1),'Bills Log'!$A$6:$A$505,"&lt;"&amp;DATE(Settings!$B$5,11,1),'Bills Log'!$B$6:$B$505,A99,'Bills Log'!$C$6:$C$505,B99)</f>
        <v/>
      </c>
      <c r="E99" s="48">
        <f>SUMIFS('Bills Log'!$F$6:$F$505,'Bills Log'!$A$6:$A$505,"&gt;="&amp;DATE(Settings!$B$5-1,10,1),'Bills Log'!$A$6:$A$505,"&lt;"&amp;DATE((Settings!$B$5-1),11,1),'Bills Log'!$B$6:$B$505,A99,'Bills Log'!$C$6:$C$505,B99)</f>
        <v/>
      </c>
      <c r="F99" s="54">
        <f>IFERROR(IF(E99=0,"",D99/E99-1),"")</f>
        <v/>
      </c>
      <c r="G99" s="55">
        <f>D99-E99</f>
        <v/>
      </c>
      <c r="H99" s="56">
        <f>IFERROR(IF(ABS(D99/E99-1)&gt;0.25,"⚠ "&amp;ROUND((D99/E99-1)*100,0)&amp;"%",""),"")</f>
        <v/>
      </c>
    </row>
    <row r="100" ht="14" customHeight="1">
      <c r="A100" s="53">
        <f>Settings!$B$8</f>
        <v/>
      </c>
      <c r="B100" s="53" t="inlineStr">
        <is>
          <t>Gas</t>
        </is>
      </c>
      <c r="C100" s="35" t="inlineStr">
        <is>
          <t>Nov</t>
        </is>
      </c>
      <c r="D100" s="48">
        <f>SUMIFS('Bills Log'!$F$6:$F$505,'Bills Log'!$A$6:$A$505,"&gt;="&amp;DATE(Settings!$B$5,11,1),'Bills Log'!$A$6:$A$505,"&lt;"&amp;DATE(Settings!$B$5,12,1),'Bills Log'!$B$6:$B$505,A100,'Bills Log'!$C$6:$C$505,B100)</f>
        <v/>
      </c>
      <c r="E100" s="48">
        <f>SUMIFS('Bills Log'!$F$6:$F$505,'Bills Log'!$A$6:$A$505,"&gt;="&amp;DATE(Settings!$B$5-1,11,1),'Bills Log'!$A$6:$A$505,"&lt;"&amp;DATE((Settings!$B$5-1),12,1),'Bills Log'!$B$6:$B$505,A100,'Bills Log'!$C$6:$C$505,B100)</f>
        <v/>
      </c>
      <c r="F100" s="54">
        <f>IFERROR(IF(E100=0,"",D100/E100-1),"")</f>
        <v/>
      </c>
      <c r="G100" s="55">
        <f>D100-E100</f>
        <v/>
      </c>
      <c r="H100" s="56">
        <f>IFERROR(IF(ABS(D100/E100-1)&gt;0.25,"⚠ "&amp;ROUND((D100/E100-1)*100,0)&amp;"%",""),"")</f>
        <v/>
      </c>
    </row>
    <row r="101" ht="14" customHeight="1">
      <c r="A101" s="53">
        <f>Settings!$B$8</f>
        <v/>
      </c>
      <c r="B101" s="53" t="inlineStr">
        <is>
          <t>Gas</t>
        </is>
      </c>
      <c r="C101" s="35" t="inlineStr">
        <is>
          <t>Dec</t>
        </is>
      </c>
      <c r="D101" s="48">
        <f>SUMIFS('Bills Log'!$F$6:$F$505,'Bills Log'!$A$6:$A$505,"&gt;="&amp;DATE(Settings!$B$5,12,1),'Bills Log'!$A$6:$A$505,"&lt;"&amp;DATE(Settings!$B$5+1,1,1),'Bills Log'!$B$6:$B$505,A101,'Bills Log'!$C$6:$C$505,B101)</f>
        <v/>
      </c>
      <c r="E101" s="48">
        <f>SUMIFS('Bills Log'!$F$6:$F$505,'Bills Log'!$A$6:$A$505,"&gt;="&amp;DATE(Settings!$B$5-1,12,1),'Bills Log'!$A$6:$A$505,"&lt;"&amp;DATE(Settings!$B$5,1,1),'Bills Log'!$B$6:$B$505,A101,'Bills Log'!$C$6:$C$505,B101)</f>
        <v/>
      </c>
      <c r="F101" s="54">
        <f>IFERROR(IF(E101=0,"",D101/E101-1),"")</f>
        <v/>
      </c>
      <c r="G101" s="55">
        <f>D101-E101</f>
        <v/>
      </c>
      <c r="H101" s="56">
        <f>IFERROR(IF(ABS(D101/E101-1)&gt;0.25,"⚠ "&amp;ROUND((D101/E101-1)*100,0)&amp;"%",""),"")</f>
        <v/>
      </c>
    </row>
    <row r="102" ht="14" customHeight="1">
      <c r="A102" s="53">
        <f>Settings!$B$8</f>
        <v/>
      </c>
      <c r="B102" s="53" t="inlineStr">
        <is>
          <t>Water</t>
        </is>
      </c>
      <c r="C102" s="35" t="inlineStr">
        <is>
          <t>Jan</t>
        </is>
      </c>
      <c r="D102" s="48">
        <f>SUMIFS('Bills Log'!$F$6:$F$505,'Bills Log'!$A$6:$A$505,"&gt;="&amp;DATE(Settings!$B$5,1,1),'Bills Log'!$A$6:$A$505,"&lt;"&amp;DATE(Settings!$B$5,2,1),'Bills Log'!$B$6:$B$505,A102,'Bills Log'!$C$6:$C$505,B102)</f>
        <v/>
      </c>
      <c r="E102" s="48">
        <f>SUMIFS('Bills Log'!$F$6:$F$505,'Bills Log'!$A$6:$A$505,"&gt;="&amp;DATE(Settings!$B$5-1,1,1),'Bills Log'!$A$6:$A$505,"&lt;"&amp;DATE((Settings!$B$5-1),2,1),'Bills Log'!$B$6:$B$505,A102,'Bills Log'!$C$6:$C$505,B102)</f>
        <v/>
      </c>
      <c r="F102" s="54">
        <f>IFERROR(IF(E102=0,"",D102/E102-1),"")</f>
        <v/>
      </c>
      <c r="G102" s="55">
        <f>D102-E102</f>
        <v/>
      </c>
      <c r="H102" s="56">
        <f>IFERROR(IF(ABS(D102/E102-1)&gt;0.25,"⚠ "&amp;ROUND((D102/E102-1)*100,0)&amp;"%",""),"")</f>
        <v/>
      </c>
    </row>
    <row r="103" ht="14" customHeight="1">
      <c r="A103" s="53">
        <f>Settings!$B$8</f>
        <v/>
      </c>
      <c r="B103" s="53" t="inlineStr">
        <is>
          <t>Water</t>
        </is>
      </c>
      <c r="C103" s="35" t="inlineStr">
        <is>
          <t>Feb</t>
        </is>
      </c>
      <c r="D103" s="48">
        <f>SUMIFS('Bills Log'!$F$6:$F$505,'Bills Log'!$A$6:$A$505,"&gt;="&amp;DATE(Settings!$B$5,2,1),'Bills Log'!$A$6:$A$505,"&lt;"&amp;DATE(Settings!$B$5,3,1),'Bills Log'!$B$6:$B$505,A103,'Bills Log'!$C$6:$C$505,B103)</f>
        <v/>
      </c>
      <c r="E103" s="48">
        <f>SUMIFS('Bills Log'!$F$6:$F$505,'Bills Log'!$A$6:$A$505,"&gt;="&amp;DATE(Settings!$B$5-1,2,1),'Bills Log'!$A$6:$A$505,"&lt;"&amp;DATE((Settings!$B$5-1),3,1),'Bills Log'!$B$6:$B$505,A103,'Bills Log'!$C$6:$C$505,B103)</f>
        <v/>
      </c>
      <c r="F103" s="54">
        <f>IFERROR(IF(E103=0,"",D103/E103-1),"")</f>
        <v/>
      </c>
      <c r="G103" s="55">
        <f>D103-E103</f>
        <v/>
      </c>
      <c r="H103" s="56">
        <f>IFERROR(IF(ABS(D103/E103-1)&gt;0.25,"⚠ "&amp;ROUND((D103/E103-1)*100,0)&amp;"%",""),"")</f>
        <v/>
      </c>
    </row>
    <row r="104" ht="14" customHeight="1">
      <c r="A104" s="53">
        <f>Settings!$B$8</f>
        <v/>
      </c>
      <c r="B104" s="53" t="inlineStr">
        <is>
          <t>Water</t>
        </is>
      </c>
      <c r="C104" s="35" t="inlineStr">
        <is>
          <t>Mar</t>
        </is>
      </c>
      <c r="D104" s="48">
        <f>SUMIFS('Bills Log'!$F$6:$F$505,'Bills Log'!$A$6:$A$505,"&gt;="&amp;DATE(Settings!$B$5,3,1),'Bills Log'!$A$6:$A$505,"&lt;"&amp;DATE(Settings!$B$5,4,1),'Bills Log'!$B$6:$B$505,A104,'Bills Log'!$C$6:$C$505,B104)</f>
        <v/>
      </c>
      <c r="E104" s="48">
        <f>SUMIFS('Bills Log'!$F$6:$F$505,'Bills Log'!$A$6:$A$505,"&gt;="&amp;DATE(Settings!$B$5-1,3,1),'Bills Log'!$A$6:$A$505,"&lt;"&amp;DATE((Settings!$B$5-1),4,1),'Bills Log'!$B$6:$B$505,A104,'Bills Log'!$C$6:$C$505,B104)</f>
        <v/>
      </c>
      <c r="F104" s="54">
        <f>IFERROR(IF(E104=0,"",D104/E104-1),"")</f>
        <v/>
      </c>
      <c r="G104" s="55">
        <f>D104-E104</f>
        <v/>
      </c>
      <c r="H104" s="56">
        <f>IFERROR(IF(ABS(D104/E104-1)&gt;0.25,"⚠ "&amp;ROUND((D104/E104-1)*100,0)&amp;"%",""),"")</f>
        <v/>
      </c>
    </row>
    <row r="105" ht="14" customHeight="1">
      <c r="A105" s="53">
        <f>Settings!$B$8</f>
        <v/>
      </c>
      <c r="B105" s="53" t="inlineStr">
        <is>
          <t>Water</t>
        </is>
      </c>
      <c r="C105" s="35" t="inlineStr">
        <is>
          <t>Apr</t>
        </is>
      </c>
      <c r="D105" s="48">
        <f>SUMIFS('Bills Log'!$F$6:$F$505,'Bills Log'!$A$6:$A$505,"&gt;="&amp;DATE(Settings!$B$5,4,1),'Bills Log'!$A$6:$A$505,"&lt;"&amp;DATE(Settings!$B$5,5,1),'Bills Log'!$B$6:$B$505,A105,'Bills Log'!$C$6:$C$505,B105)</f>
        <v/>
      </c>
      <c r="E105" s="48">
        <f>SUMIFS('Bills Log'!$F$6:$F$505,'Bills Log'!$A$6:$A$505,"&gt;="&amp;DATE(Settings!$B$5-1,4,1),'Bills Log'!$A$6:$A$505,"&lt;"&amp;DATE((Settings!$B$5-1),5,1),'Bills Log'!$B$6:$B$505,A105,'Bills Log'!$C$6:$C$505,B105)</f>
        <v/>
      </c>
      <c r="F105" s="54">
        <f>IFERROR(IF(E105=0,"",D105/E105-1),"")</f>
        <v/>
      </c>
      <c r="G105" s="55">
        <f>D105-E105</f>
        <v/>
      </c>
      <c r="H105" s="56">
        <f>IFERROR(IF(ABS(D105/E105-1)&gt;0.25,"⚠ "&amp;ROUND((D105/E105-1)*100,0)&amp;"%",""),"")</f>
        <v/>
      </c>
    </row>
    <row r="106" ht="14" customHeight="1">
      <c r="A106" s="53">
        <f>Settings!$B$8</f>
        <v/>
      </c>
      <c r="B106" s="53" t="inlineStr">
        <is>
          <t>Water</t>
        </is>
      </c>
      <c r="C106" s="35" t="inlineStr">
        <is>
          <t>May</t>
        </is>
      </c>
      <c r="D106" s="48">
        <f>SUMIFS('Bills Log'!$F$6:$F$505,'Bills Log'!$A$6:$A$505,"&gt;="&amp;DATE(Settings!$B$5,5,1),'Bills Log'!$A$6:$A$505,"&lt;"&amp;DATE(Settings!$B$5,6,1),'Bills Log'!$B$6:$B$505,A106,'Bills Log'!$C$6:$C$505,B106)</f>
        <v/>
      </c>
      <c r="E106" s="48">
        <f>SUMIFS('Bills Log'!$F$6:$F$505,'Bills Log'!$A$6:$A$505,"&gt;="&amp;DATE(Settings!$B$5-1,5,1),'Bills Log'!$A$6:$A$505,"&lt;"&amp;DATE((Settings!$B$5-1),6,1),'Bills Log'!$B$6:$B$505,A106,'Bills Log'!$C$6:$C$505,B106)</f>
        <v/>
      </c>
      <c r="F106" s="54">
        <f>IFERROR(IF(E106=0,"",D106/E106-1),"")</f>
        <v/>
      </c>
      <c r="G106" s="55">
        <f>D106-E106</f>
        <v/>
      </c>
      <c r="H106" s="56">
        <f>IFERROR(IF(ABS(D106/E106-1)&gt;0.25,"⚠ "&amp;ROUND((D106/E106-1)*100,0)&amp;"%",""),"")</f>
        <v/>
      </c>
    </row>
    <row r="107" ht="14" customHeight="1">
      <c r="A107" s="53">
        <f>Settings!$B$8</f>
        <v/>
      </c>
      <c r="B107" s="53" t="inlineStr">
        <is>
          <t>Water</t>
        </is>
      </c>
      <c r="C107" s="35" t="inlineStr">
        <is>
          <t>Jun</t>
        </is>
      </c>
      <c r="D107" s="48">
        <f>SUMIFS('Bills Log'!$F$6:$F$505,'Bills Log'!$A$6:$A$505,"&gt;="&amp;DATE(Settings!$B$5,6,1),'Bills Log'!$A$6:$A$505,"&lt;"&amp;DATE(Settings!$B$5,7,1),'Bills Log'!$B$6:$B$505,A107,'Bills Log'!$C$6:$C$505,B107)</f>
        <v/>
      </c>
      <c r="E107" s="48">
        <f>SUMIFS('Bills Log'!$F$6:$F$505,'Bills Log'!$A$6:$A$505,"&gt;="&amp;DATE(Settings!$B$5-1,6,1),'Bills Log'!$A$6:$A$505,"&lt;"&amp;DATE((Settings!$B$5-1),7,1),'Bills Log'!$B$6:$B$505,A107,'Bills Log'!$C$6:$C$505,B107)</f>
        <v/>
      </c>
      <c r="F107" s="54">
        <f>IFERROR(IF(E107=0,"",D107/E107-1),"")</f>
        <v/>
      </c>
      <c r="G107" s="55">
        <f>D107-E107</f>
        <v/>
      </c>
      <c r="H107" s="56">
        <f>IFERROR(IF(ABS(D107/E107-1)&gt;0.25,"⚠ "&amp;ROUND((D107/E107-1)*100,0)&amp;"%",""),"")</f>
        <v/>
      </c>
    </row>
    <row r="108" ht="14" customHeight="1">
      <c r="A108" s="53">
        <f>Settings!$B$8</f>
        <v/>
      </c>
      <c r="B108" s="53" t="inlineStr">
        <is>
          <t>Water</t>
        </is>
      </c>
      <c r="C108" s="35" t="inlineStr">
        <is>
          <t>Jul</t>
        </is>
      </c>
      <c r="D108" s="48">
        <f>SUMIFS('Bills Log'!$F$6:$F$505,'Bills Log'!$A$6:$A$505,"&gt;="&amp;DATE(Settings!$B$5,7,1),'Bills Log'!$A$6:$A$505,"&lt;"&amp;DATE(Settings!$B$5,8,1),'Bills Log'!$B$6:$B$505,A108,'Bills Log'!$C$6:$C$505,B108)</f>
        <v/>
      </c>
      <c r="E108" s="48">
        <f>SUMIFS('Bills Log'!$F$6:$F$505,'Bills Log'!$A$6:$A$505,"&gt;="&amp;DATE(Settings!$B$5-1,7,1),'Bills Log'!$A$6:$A$505,"&lt;"&amp;DATE((Settings!$B$5-1),8,1),'Bills Log'!$B$6:$B$505,A108,'Bills Log'!$C$6:$C$505,B108)</f>
        <v/>
      </c>
      <c r="F108" s="54">
        <f>IFERROR(IF(E108=0,"",D108/E108-1),"")</f>
        <v/>
      </c>
      <c r="G108" s="55">
        <f>D108-E108</f>
        <v/>
      </c>
      <c r="H108" s="56">
        <f>IFERROR(IF(ABS(D108/E108-1)&gt;0.25,"⚠ "&amp;ROUND((D108/E108-1)*100,0)&amp;"%",""),"")</f>
        <v/>
      </c>
    </row>
    <row r="109" ht="14" customHeight="1">
      <c r="A109" s="53">
        <f>Settings!$B$8</f>
        <v/>
      </c>
      <c r="B109" s="53" t="inlineStr">
        <is>
          <t>Water</t>
        </is>
      </c>
      <c r="C109" s="35" t="inlineStr">
        <is>
          <t>Aug</t>
        </is>
      </c>
      <c r="D109" s="48">
        <f>SUMIFS('Bills Log'!$F$6:$F$505,'Bills Log'!$A$6:$A$505,"&gt;="&amp;DATE(Settings!$B$5,8,1),'Bills Log'!$A$6:$A$505,"&lt;"&amp;DATE(Settings!$B$5,9,1),'Bills Log'!$B$6:$B$505,A109,'Bills Log'!$C$6:$C$505,B109)</f>
        <v/>
      </c>
      <c r="E109" s="48">
        <f>SUMIFS('Bills Log'!$F$6:$F$505,'Bills Log'!$A$6:$A$505,"&gt;="&amp;DATE(Settings!$B$5-1,8,1),'Bills Log'!$A$6:$A$505,"&lt;"&amp;DATE((Settings!$B$5-1),9,1),'Bills Log'!$B$6:$B$505,A109,'Bills Log'!$C$6:$C$505,B109)</f>
        <v/>
      </c>
      <c r="F109" s="54">
        <f>IFERROR(IF(E109=0,"",D109/E109-1),"")</f>
        <v/>
      </c>
      <c r="G109" s="55">
        <f>D109-E109</f>
        <v/>
      </c>
      <c r="H109" s="56">
        <f>IFERROR(IF(ABS(D109/E109-1)&gt;0.25,"⚠ "&amp;ROUND((D109/E109-1)*100,0)&amp;"%",""),"")</f>
        <v/>
      </c>
    </row>
    <row r="110" ht="14" customHeight="1">
      <c r="A110" s="53">
        <f>Settings!$B$8</f>
        <v/>
      </c>
      <c r="B110" s="53" t="inlineStr">
        <is>
          <t>Water</t>
        </is>
      </c>
      <c r="C110" s="35" t="inlineStr">
        <is>
          <t>Sep</t>
        </is>
      </c>
      <c r="D110" s="48">
        <f>SUMIFS('Bills Log'!$F$6:$F$505,'Bills Log'!$A$6:$A$505,"&gt;="&amp;DATE(Settings!$B$5,9,1),'Bills Log'!$A$6:$A$505,"&lt;"&amp;DATE(Settings!$B$5,10,1),'Bills Log'!$B$6:$B$505,A110,'Bills Log'!$C$6:$C$505,B110)</f>
        <v/>
      </c>
      <c r="E110" s="48">
        <f>SUMIFS('Bills Log'!$F$6:$F$505,'Bills Log'!$A$6:$A$505,"&gt;="&amp;DATE(Settings!$B$5-1,9,1),'Bills Log'!$A$6:$A$505,"&lt;"&amp;DATE((Settings!$B$5-1),10,1),'Bills Log'!$B$6:$B$505,A110,'Bills Log'!$C$6:$C$505,B110)</f>
        <v/>
      </c>
      <c r="F110" s="54">
        <f>IFERROR(IF(E110=0,"",D110/E110-1),"")</f>
        <v/>
      </c>
      <c r="G110" s="55">
        <f>D110-E110</f>
        <v/>
      </c>
      <c r="H110" s="56">
        <f>IFERROR(IF(ABS(D110/E110-1)&gt;0.25,"⚠ "&amp;ROUND((D110/E110-1)*100,0)&amp;"%",""),"")</f>
        <v/>
      </c>
    </row>
    <row r="111" ht="14" customHeight="1">
      <c r="A111" s="53">
        <f>Settings!$B$8</f>
        <v/>
      </c>
      <c r="B111" s="53" t="inlineStr">
        <is>
          <t>Water</t>
        </is>
      </c>
      <c r="C111" s="35" t="inlineStr">
        <is>
          <t>Oct</t>
        </is>
      </c>
      <c r="D111" s="48">
        <f>SUMIFS('Bills Log'!$F$6:$F$505,'Bills Log'!$A$6:$A$505,"&gt;="&amp;DATE(Settings!$B$5,10,1),'Bills Log'!$A$6:$A$505,"&lt;"&amp;DATE(Settings!$B$5,11,1),'Bills Log'!$B$6:$B$505,A111,'Bills Log'!$C$6:$C$505,B111)</f>
        <v/>
      </c>
      <c r="E111" s="48">
        <f>SUMIFS('Bills Log'!$F$6:$F$505,'Bills Log'!$A$6:$A$505,"&gt;="&amp;DATE(Settings!$B$5-1,10,1),'Bills Log'!$A$6:$A$505,"&lt;"&amp;DATE((Settings!$B$5-1),11,1),'Bills Log'!$B$6:$B$505,A111,'Bills Log'!$C$6:$C$505,B111)</f>
        <v/>
      </c>
      <c r="F111" s="54">
        <f>IFERROR(IF(E111=0,"",D111/E111-1),"")</f>
        <v/>
      </c>
      <c r="G111" s="55">
        <f>D111-E111</f>
        <v/>
      </c>
      <c r="H111" s="56">
        <f>IFERROR(IF(ABS(D111/E111-1)&gt;0.25,"⚠ "&amp;ROUND((D111/E111-1)*100,0)&amp;"%",""),"")</f>
        <v/>
      </c>
    </row>
    <row r="112" ht="14" customHeight="1">
      <c r="A112" s="53">
        <f>Settings!$B$8</f>
        <v/>
      </c>
      <c r="B112" s="53" t="inlineStr">
        <is>
          <t>Water</t>
        </is>
      </c>
      <c r="C112" s="35" t="inlineStr">
        <is>
          <t>Nov</t>
        </is>
      </c>
      <c r="D112" s="48">
        <f>SUMIFS('Bills Log'!$F$6:$F$505,'Bills Log'!$A$6:$A$505,"&gt;="&amp;DATE(Settings!$B$5,11,1),'Bills Log'!$A$6:$A$505,"&lt;"&amp;DATE(Settings!$B$5,12,1),'Bills Log'!$B$6:$B$505,A112,'Bills Log'!$C$6:$C$505,B112)</f>
        <v/>
      </c>
      <c r="E112" s="48">
        <f>SUMIFS('Bills Log'!$F$6:$F$505,'Bills Log'!$A$6:$A$505,"&gt;="&amp;DATE(Settings!$B$5-1,11,1),'Bills Log'!$A$6:$A$505,"&lt;"&amp;DATE((Settings!$B$5-1),12,1),'Bills Log'!$B$6:$B$505,A112,'Bills Log'!$C$6:$C$505,B112)</f>
        <v/>
      </c>
      <c r="F112" s="54">
        <f>IFERROR(IF(E112=0,"",D112/E112-1),"")</f>
        <v/>
      </c>
      <c r="G112" s="55">
        <f>D112-E112</f>
        <v/>
      </c>
      <c r="H112" s="56">
        <f>IFERROR(IF(ABS(D112/E112-1)&gt;0.25,"⚠ "&amp;ROUND((D112/E112-1)*100,0)&amp;"%",""),"")</f>
        <v/>
      </c>
    </row>
    <row r="113" ht="14" customHeight="1">
      <c r="A113" s="53">
        <f>Settings!$B$8</f>
        <v/>
      </c>
      <c r="B113" s="53" t="inlineStr">
        <is>
          <t>Water</t>
        </is>
      </c>
      <c r="C113" s="35" t="inlineStr">
        <is>
          <t>Dec</t>
        </is>
      </c>
      <c r="D113" s="48">
        <f>SUMIFS('Bills Log'!$F$6:$F$505,'Bills Log'!$A$6:$A$505,"&gt;="&amp;DATE(Settings!$B$5,12,1),'Bills Log'!$A$6:$A$505,"&lt;"&amp;DATE(Settings!$B$5+1,1,1),'Bills Log'!$B$6:$B$505,A113,'Bills Log'!$C$6:$C$505,B113)</f>
        <v/>
      </c>
      <c r="E113" s="48">
        <f>SUMIFS('Bills Log'!$F$6:$F$505,'Bills Log'!$A$6:$A$505,"&gt;="&amp;DATE(Settings!$B$5-1,12,1),'Bills Log'!$A$6:$A$505,"&lt;"&amp;DATE(Settings!$B$5,1,1),'Bills Log'!$B$6:$B$505,A113,'Bills Log'!$C$6:$C$505,B113)</f>
        <v/>
      </c>
      <c r="F113" s="54">
        <f>IFERROR(IF(E113=0,"",D113/E113-1),"")</f>
        <v/>
      </c>
      <c r="G113" s="55">
        <f>D113-E113</f>
        <v/>
      </c>
      <c r="H113" s="56">
        <f>IFERROR(IF(ABS(D113/E113-1)&gt;0.25,"⚠ "&amp;ROUND((D113/E113-1)*100,0)&amp;"%",""),"")</f>
        <v/>
      </c>
    </row>
    <row r="114" ht="14" customHeight="1">
      <c r="A114" s="53">
        <f>Settings!$B$8</f>
        <v/>
      </c>
      <c r="B114" s="53" t="inlineStr">
        <is>
          <t>Internet</t>
        </is>
      </c>
      <c r="C114" s="35" t="inlineStr">
        <is>
          <t>Jan</t>
        </is>
      </c>
      <c r="D114" s="48">
        <f>SUMIFS('Bills Log'!$F$6:$F$505,'Bills Log'!$A$6:$A$505,"&gt;="&amp;DATE(Settings!$B$5,1,1),'Bills Log'!$A$6:$A$505,"&lt;"&amp;DATE(Settings!$B$5,2,1),'Bills Log'!$B$6:$B$505,A114,'Bills Log'!$C$6:$C$505,B114)</f>
        <v/>
      </c>
      <c r="E114" s="48">
        <f>SUMIFS('Bills Log'!$F$6:$F$505,'Bills Log'!$A$6:$A$505,"&gt;="&amp;DATE(Settings!$B$5-1,1,1),'Bills Log'!$A$6:$A$505,"&lt;"&amp;DATE((Settings!$B$5-1),2,1),'Bills Log'!$B$6:$B$505,A114,'Bills Log'!$C$6:$C$505,B114)</f>
        <v/>
      </c>
      <c r="F114" s="54">
        <f>IFERROR(IF(E114=0,"",D114/E114-1),"")</f>
        <v/>
      </c>
      <c r="G114" s="55">
        <f>D114-E114</f>
        <v/>
      </c>
      <c r="H114" s="56">
        <f>IFERROR(IF(ABS(D114/E114-1)&gt;0.25,"⚠ "&amp;ROUND((D114/E114-1)*100,0)&amp;"%",""),"")</f>
        <v/>
      </c>
    </row>
    <row r="115" ht="14" customHeight="1">
      <c r="A115" s="53">
        <f>Settings!$B$8</f>
        <v/>
      </c>
      <c r="B115" s="53" t="inlineStr">
        <is>
          <t>Internet</t>
        </is>
      </c>
      <c r="C115" s="35" t="inlineStr">
        <is>
          <t>Feb</t>
        </is>
      </c>
      <c r="D115" s="48">
        <f>SUMIFS('Bills Log'!$F$6:$F$505,'Bills Log'!$A$6:$A$505,"&gt;="&amp;DATE(Settings!$B$5,2,1),'Bills Log'!$A$6:$A$505,"&lt;"&amp;DATE(Settings!$B$5,3,1),'Bills Log'!$B$6:$B$505,A115,'Bills Log'!$C$6:$C$505,B115)</f>
        <v/>
      </c>
      <c r="E115" s="48">
        <f>SUMIFS('Bills Log'!$F$6:$F$505,'Bills Log'!$A$6:$A$505,"&gt;="&amp;DATE(Settings!$B$5-1,2,1),'Bills Log'!$A$6:$A$505,"&lt;"&amp;DATE((Settings!$B$5-1),3,1),'Bills Log'!$B$6:$B$505,A115,'Bills Log'!$C$6:$C$505,B115)</f>
        <v/>
      </c>
      <c r="F115" s="54">
        <f>IFERROR(IF(E115=0,"",D115/E115-1),"")</f>
        <v/>
      </c>
      <c r="G115" s="55">
        <f>D115-E115</f>
        <v/>
      </c>
      <c r="H115" s="56">
        <f>IFERROR(IF(ABS(D115/E115-1)&gt;0.25,"⚠ "&amp;ROUND((D115/E115-1)*100,0)&amp;"%",""),"")</f>
        <v/>
      </c>
    </row>
    <row r="116" ht="14" customHeight="1">
      <c r="A116" s="53">
        <f>Settings!$B$8</f>
        <v/>
      </c>
      <c r="B116" s="53" t="inlineStr">
        <is>
          <t>Internet</t>
        </is>
      </c>
      <c r="C116" s="35" t="inlineStr">
        <is>
          <t>Mar</t>
        </is>
      </c>
      <c r="D116" s="48">
        <f>SUMIFS('Bills Log'!$F$6:$F$505,'Bills Log'!$A$6:$A$505,"&gt;="&amp;DATE(Settings!$B$5,3,1),'Bills Log'!$A$6:$A$505,"&lt;"&amp;DATE(Settings!$B$5,4,1),'Bills Log'!$B$6:$B$505,A116,'Bills Log'!$C$6:$C$505,B116)</f>
        <v/>
      </c>
      <c r="E116" s="48">
        <f>SUMIFS('Bills Log'!$F$6:$F$505,'Bills Log'!$A$6:$A$505,"&gt;="&amp;DATE(Settings!$B$5-1,3,1),'Bills Log'!$A$6:$A$505,"&lt;"&amp;DATE((Settings!$B$5-1),4,1),'Bills Log'!$B$6:$B$505,A116,'Bills Log'!$C$6:$C$505,B116)</f>
        <v/>
      </c>
      <c r="F116" s="54">
        <f>IFERROR(IF(E116=0,"",D116/E116-1),"")</f>
        <v/>
      </c>
      <c r="G116" s="55">
        <f>D116-E116</f>
        <v/>
      </c>
      <c r="H116" s="56">
        <f>IFERROR(IF(ABS(D116/E116-1)&gt;0.25,"⚠ "&amp;ROUND((D116/E116-1)*100,0)&amp;"%",""),"")</f>
        <v/>
      </c>
    </row>
    <row r="117" ht="14" customHeight="1">
      <c r="A117" s="53">
        <f>Settings!$B$8</f>
        <v/>
      </c>
      <c r="B117" s="53" t="inlineStr">
        <is>
          <t>Internet</t>
        </is>
      </c>
      <c r="C117" s="35" t="inlineStr">
        <is>
          <t>Apr</t>
        </is>
      </c>
      <c r="D117" s="48">
        <f>SUMIFS('Bills Log'!$F$6:$F$505,'Bills Log'!$A$6:$A$505,"&gt;="&amp;DATE(Settings!$B$5,4,1),'Bills Log'!$A$6:$A$505,"&lt;"&amp;DATE(Settings!$B$5,5,1),'Bills Log'!$B$6:$B$505,A117,'Bills Log'!$C$6:$C$505,B117)</f>
        <v/>
      </c>
      <c r="E117" s="48">
        <f>SUMIFS('Bills Log'!$F$6:$F$505,'Bills Log'!$A$6:$A$505,"&gt;="&amp;DATE(Settings!$B$5-1,4,1),'Bills Log'!$A$6:$A$505,"&lt;"&amp;DATE((Settings!$B$5-1),5,1),'Bills Log'!$B$6:$B$505,A117,'Bills Log'!$C$6:$C$505,B117)</f>
        <v/>
      </c>
      <c r="F117" s="54">
        <f>IFERROR(IF(E117=0,"",D117/E117-1),"")</f>
        <v/>
      </c>
      <c r="G117" s="55">
        <f>D117-E117</f>
        <v/>
      </c>
      <c r="H117" s="56">
        <f>IFERROR(IF(ABS(D117/E117-1)&gt;0.25,"⚠ "&amp;ROUND((D117/E117-1)*100,0)&amp;"%",""),"")</f>
        <v/>
      </c>
    </row>
    <row r="118" ht="14" customHeight="1">
      <c r="A118" s="53">
        <f>Settings!$B$8</f>
        <v/>
      </c>
      <c r="B118" s="53" t="inlineStr">
        <is>
          <t>Internet</t>
        </is>
      </c>
      <c r="C118" s="35" t="inlineStr">
        <is>
          <t>May</t>
        </is>
      </c>
      <c r="D118" s="48">
        <f>SUMIFS('Bills Log'!$F$6:$F$505,'Bills Log'!$A$6:$A$505,"&gt;="&amp;DATE(Settings!$B$5,5,1),'Bills Log'!$A$6:$A$505,"&lt;"&amp;DATE(Settings!$B$5,6,1),'Bills Log'!$B$6:$B$505,A118,'Bills Log'!$C$6:$C$505,B118)</f>
        <v/>
      </c>
      <c r="E118" s="48">
        <f>SUMIFS('Bills Log'!$F$6:$F$505,'Bills Log'!$A$6:$A$505,"&gt;="&amp;DATE(Settings!$B$5-1,5,1),'Bills Log'!$A$6:$A$505,"&lt;"&amp;DATE((Settings!$B$5-1),6,1),'Bills Log'!$B$6:$B$505,A118,'Bills Log'!$C$6:$C$505,B118)</f>
        <v/>
      </c>
      <c r="F118" s="54">
        <f>IFERROR(IF(E118=0,"",D118/E118-1),"")</f>
        <v/>
      </c>
      <c r="G118" s="55">
        <f>D118-E118</f>
        <v/>
      </c>
      <c r="H118" s="56">
        <f>IFERROR(IF(ABS(D118/E118-1)&gt;0.25,"⚠ "&amp;ROUND((D118/E118-1)*100,0)&amp;"%",""),"")</f>
        <v/>
      </c>
    </row>
    <row r="119" ht="14" customHeight="1">
      <c r="A119" s="53">
        <f>Settings!$B$8</f>
        <v/>
      </c>
      <c r="B119" s="53" t="inlineStr">
        <is>
          <t>Internet</t>
        </is>
      </c>
      <c r="C119" s="35" t="inlineStr">
        <is>
          <t>Jun</t>
        </is>
      </c>
      <c r="D119" s="48">
        <f>SUMIFS('Bills Log'!$F$6:$F$505,'Bills Log'!$A$6:$A$505,"&gt;="&amp;DATE(Settings!$B$5,6,1),'Bills Log'!$A$6:$A$505,"&lt;"&amp;DATE(Settings!$B$5,7,1),'Bills Log'!$B$6:$B$505,A119,'Bills Log'!$C$6:$C$505,B119)</f>
        <v/>
      </c>
      <c r="E119" s="48">
        <f>SUMIFS('Bills Log'!$F$6:$F$505,'Bills Log'!$A$6:$A$505,"&gt;="&amp;DATE(Settings!$B$5-1,6,1),'Bills Log'!$A$6:$A$505,"&lt;"&amp;DATE((Settings!$B$5-1),7,1),'Bills Log'!$B$6:$B$505,A119,'Bills Log'!$C$6:$C$505,B119)</f>
        <v/>
      </c>
      <c r="F119" s="54">
        <f>IFERROR(IF(E119=0,"",D119/E119-1),"")</f>
        <v/>
      </c>
      <c r="G119" s="55">
        <f>D119-E119</f>
        <v/>
      </c>
      <c r="H119" s="56">
        <f>IFERROR(IF(ABS(D119/E119-1)&gt;0.25,"⚠ "&amp;ROUND((D119/E119-1)*100,0)&amp;"%",""),"")</f>
        <v/>
      </c>
    </row>
    <row r="120" ht="14" customHeight="1">
      <c r="A120" s="53">
        <f>Settings!$B$8</f>
        <v/>
      </c>
      <c r="B120" s="53" t="inlineStr">
        <is>
          <t>Internet</t>
        </is>
      </c>
      <c r="C120" s="35" t="inlineStr">
        <is>
          <t>Jul</t>
        </is>
      </c>
      <c r="D120" s="48">
        <f>SUMIFS('Bills Log'!$F$6:$F$505,'Bills Log'!$A$6:$A$505,"&gt;="&amp;DATE(Settings!$B$5,7,1),'Bills Log'!$A$6:$A$505,"&lt;"&amp;DATE(Settings!$B$5,8,1),'Bills Log'!$B$6:$B$505,A120,'Bills Log'!$C$6:$C$505,B120)</f>
        <v/>
      </c>
      <c r="E120" s="48">
        <f>SUMIFS('Bills Log'!$F$6:$F$505,'Bills Log'!$A$6:$A$505,"&gt;="&amp;DATE(Settings!$B$5-1,7,1),'Bills Log'!$A$6:$A$505,"&lt;"&amp;DATE((Settings!$B$5-1),8,1),'Bills Log'!$B$6:$B$505,A120,'Bills Log'!$C$6:$C$505,B120)</f>
        <v/>
      </c>
      <c r="F120" s="54">
        <f>IFERROR(IF(E120=0,"",D120/E120-1),"")</f>
        <v/>
      </c>
      <c r="G120" s="55">
        <f>D120-E120</f>
        <v/>
      </c>
      <c r="H120" s="56">
        <f>IFERROR(IF(ABS(D120/E120-1)&gt;0.25,"⚠ "&amp;ROUND((D120/E120-1)*100,0)&amp;"%",""),"")</f>
        <v/>
      </c>
    </row>
    <row r="121" ht="14" customHeight="1">
      <c r="A121" s="53">
        <f>Settings!$B$8</f>
        <v/>
      </c>
      <c r="B121" s="53" t="inlineStr">
        <is>
          <t>Internet</t>
        </is>
      </c>
      <c r="C121" s="35" t="inlineStr">
        <is>
          <t>Aug</t>
        </is>
      </c>
      <c r="D121" s="48">
        <f>SUMIFS('Bills Log'!$F$6:$F$505,'Bills Log'!$A$6:$A$505,"&gt;="&amp;DATE(Settings!$B$5,8,1),'Bills Log'!$A$6:$A$505,"&lt;"&amp;DATE(Settings!$B$5,9,1),'Bills Log'!$B$6:$B$505,A121,'Bills Log'!$C$6:$C$505,B121)</f>
        <v/>
      </c>
      <c r="E121" s="48">
        <f>SUMIFS('Bills Log'!$F$6:$F$505,'Bills Log'!$A$6:$A$505,"&gt;="&amp;DATE(Settings!$B$5-1,8,1),'Bills Log'!$A$6:$A$505,"&lt;"&amp;DATE((Settings!$B$5-1),9,1),'Bills Log'!$B$6:$B$505,A121,'Bills Log'!$C$6:$C$505,B121)</f>
        <v/>
      </c>
      <c r="F121" s="54">
        <f>IFERROR(IF(E121=0,"",D121/E121-1),"")</f>
        <v/>
      </c>
      <c r="G121" s="55">
        <f>D121-E121</f>
        <v/>
      </c>
      <c r="H121" s="56">
        <f>IFERROR(IF(ABS(D121/E121-1)&gt;0.25,"⚠ "&amp;ROUND((D121/E121-1)*100,0)&amp;"%",""),"")</f>
        <v/>
      </c>
    </row>
    <row r="122" ht="14" customHeight="1">
      <c r="A122" s="53">
        <f>Settings!$B$8</f>
        <v/>
      </c>
      <c r="B122" s="53" t="inlineStr">
        <is>
          <t>Internet</t>
        </is>
      </c>
      <c r="C122" s="35" t="inlineStr">
        <is>
          <t>Sep</t>
        </is>
      </c>
      <c r="D122" s="48">
        <f>SUMIFS('Bills Log'!$F$6:$F$505,'Bills Log'!$A$6:$A$505,"&gt;="&amp;DATE(Settings!$B$5,9,1),'Bills Log'!$A$6:$A$505,"&lt;"&amp;DATE(Settings!$B$5,10,1),'Bills Log'!$B$6:$B$505,A122,'Bills Log'!$C$6:$C$505,B122)</f>
        <v/>
      </c>
      <c r="E122" s="48">
        <f>SUMIFS('Bills Log'!$F$6:$F$505,'Bills Log'!$A$6:$A$505,"&gt;="&amp;DATE(Settings!$B$5-1,9,1),'Bills Log'!$A$6:$A$505,"&lt;"&amp;DATE((Settings!$B$5-1),10,1),'Bills Log'!$B$6:$B$505,A122,'Bills Log'!$C$6:$C$505,B122)</f>
        <v/>
      </c>
      <c r="F122" s="54">
        <f>IFERROR(IF(E122=0,"",D122/E122-1),"")</f>
        <v/>
      </c>
      <c r="G122" s="55">
        <f>D122-E122</f>
        <v/>
      </c>
      <c r="H122" s="56">
        <f>IFERROR(IF(ABS(D122/E122-1)&gt;0.25,"⚠ "&amp;ROUND((D122/E122-1)*100,0)&amp;"%",""),"")</f>
        <v/>
      </c>
    </row>
    <row r="123" ht="14" customHeight="1">
      <c r="A123" s="53">
        <f>Settings!$B$8</f>
        <v/>
      </c>
      <c r="B123" s="53" t="inlineStr">
        <is>
          <t>Internet</t>
        </is>
      </c>
      <c r="C123" s="35" t="inlineStr">
        <is>
          <t>Oct</t>
        </is>
      </c>
      <c r="D123" s="48">
        <f>SUMIFS('Bills Log'!$F$6:$F$505,'Bills Log'!$A$6:$A$505,"&gt;="&amp;DATE(Settings!$B$5,10,1),'Bills Log'!$A$6:$A$505,"&lt;"&amp;DATE(Settings!$B$5,11,1),'Bills Log'!$B$6:$B$505,A123,'Bills Log'!$C$6:$C$505,B123)</f>
        <v/>
      </c>
      <c r="E123" s="48">
        <f>SUMIFS('Bills Log'!$F$6:$F$505,'Bills Log'!$A$6:$A$505,"&gt;="&amp;DATE(Settings!$B$5-1,10,1),'Bills Log'!$A$6:$A$505,"&lt;"&amp;DATE((Settings!$B$5-1),11,1),'Bills Log'!$B$6:$B$505,A123,'Bills Log'!$C$6:$C$505,B123)</f>
        <v/>
      </c>
      <c r="F123" s="54">
        <f>IFERROR(IF(E123=0,"",D123/E123-1),"")</f>
        <v/>
      </c>
      <c r="G123" s="55">
        <f>D123-E123</f>
        <v/>
      </c>
      <c r="H123" s="56">
        <f>IFERROR(IF(ABS(D123/E123-1)&gt;0.25,"⚠ "&amp;ROUND((D123/E123-1)*100,0)&amp;"%",""),"")</f>
        <v/>
      </c>
    </row>
    <row r="124" ht="14" customHeight="1">
      <c r="A124" s="53">
        <f>Settings!$B$8</f>
        <v/>
      </c>
      <c r="B124" s="53" t="inlineStr">
        <is>
          <t>Internet</t>
        </is>
      </c>
      <c r="C124" s="35" t="inlineStr">
        <is>
          <t>Nov</t>
        </is>
      </c>
      <c r="D124" s="48">
        <f>SUMIFS('Bills Log'!$F$6:$F$505,'Bills Log'!$A$6:$A$505,"&gt;="&amp;DATE(Settings!$B$5,11,1),'Bills Log'!$A$6:$A$505,"&lt;"&amp;DATE(Settings!$B$5,12,1),'Bills Log'!$B$6:$B$505,A124,'Bills Log'!$C$6:$C$505,B124)</f>
        <v/>
      </c>
      <c r="E124" s="48">
        <f>SUMIFS('Bills Log'!$F$6:$F$505,'Bills Log'!$A$6:$A$505,"&gt;="&amp;DATE(Settings!$B$5-1,11,1),'Bills Log'!$A$6:$A$505,"&lt;"&amp;DATE((Settings!$B$5-1),12,1),'Bills Log'!$B$6:$B$505,A124,'Bills Log'!$C$6:$C$505,B124)</f>
        <v/>
      </c>
      <c r="F124" s="54">
        <f>IFERROR(IF(E124=0,"",D124/E124-1),"")</f>
        <v/>
      </c>
      <c r="G124" s="55">
        <f>D124-E124</f>
        <v/>
      </c>
      <c r="H124" s="56">
        <f>IFERROR(IF(ABS(D124/E124-1)&gt;0.25,"⚠ "&amp;ROUND((D124/E124-1)*100,0)&amp;"%",""),"")</f>
        <v/>
      </c>
    </row>
    <row r="125" ht="14" customHeight="1">
      <c r="A125" s="53">
        <f>Settings!$B$8</f>
        <v/>
      </c>
      <c r="B125" s="53" t="inlineStr">
        <is>
          <t>Internet</t>
        </is>
      </c>
      <c r="C125" s="35" t="inlineStr">
        <is>
          <t>Dec</t>
        </is>
      </c>
      <c r="D125" s="48">
        <f>SUMIFS('Bills Log'!$F$6:$F$505,'Bills Log'!$A$6:$A$505,"&gt;="&amp;DATE(Settings!$B$5,12,1),'Bills Log'!$A$6:$A$505,"&lt;"&amp;DATE(Settings!$B$5+1,1,1),'Bills Log'!$B$6:$B$505,A125,'Bills Log'!$C$6:$C$505,B125)</f>
        <v/>
      </c>
      <c r="E125" s="48">
        <f>SUMIFS('Bills Log'!$F$6:$F$505,'Bills Log'!$A$6:$A$505,"&gt;="&amp;DATE(Settings!$B$5-1,12,1),'Bills Log'!$A$6:$A$505,"&lt;"&amp;DATE(Settings!$B$5,1,1),'Bills Log'!$B$6:$B$505,A125,'Bills Log'!$C$6:$C$505,B125)</f>
        <v/>
      </c>
      <c r="F125" s="54">
        <f>IFERROR(IF(E125=0,"",D125/E125-1),"")</f>
        <v/>
      </c>
      <c r="G125" s="55">
        <f>D125-E125</f>
        <v/>
      </c>
      <c r="H125" s="56">
        <f>IFERROR(IF(ABS(D125/E125-1)&gt;0.25,"⚠ "&amp;ROUND((D125/E125-1)*100,0)&amp;"%",""),"")</f>
        <v/>
      </c>
    </row>
    <row r="126" ht="14" customHeight="1">
      <c r="A126" s="53">
        <f>Settings!$B$8</f>
        <v/>
      </c>
      <c r="B126" s="53" t="inlineStr">
        <is>
          <t>Trash</t>
        </is>
      </c>
      <c r="C126" s="35" t="inlineStr">
        <is>
          <t>Jan</t>
        </is>
      </c>
      <c r="D126" s="48">
        <f>SUMIFS('Bills Log'!$F$6:$F$505,'Bills Log'!$A$6:$A$505,"&gt;="&amp;DATE(Settings!$B$5,1,1),'Bills Log'!$A$6:$A$505,"&lt;"&amp;DATE(Settings!$B$5,2,1),'Bills Log'!$B$6:$B$505,A126,'Bills Log'!$C$6:$C$505,B126)</f>
        <v/>
      </c>
      <c r="E126" s="48">
        <f>SUMIFS('Bills Log'!$F$6:$F$505,'Bills Log'!$A$6:$A$505,"&gt;="&amp;DATE(Settings!$B$5-1,1,1),'Bills Log'!$A$6:$A$505,"&lt;"&amp;DATE((Settings!$B$5-1),2,1),'Bills Log'!$B$6:$B$505,A126,'Bills Log'!$C$6:$C$505,B126)</f>
        <v/>
      </c>
      <c r="F126" s="54">
        <f>IFERROR(IF(E126=0,"",D126/E126-1),"")</f>
        <v/>
      </c>
      <c r="G126" s="55">
        <f>D126-E126</f>
        <v/>
      </c>
      <c r="H126" s="56">
        <f>IFERROR(IF(ABS(D126/E126-1)&gt;0.25,"⚠ "&amp;ROUND((D126/E126-1)*100,0)&amp;"%",""),"")</f>
        <v/>
      </c>
    </row>
    <row r="127" ht="14" customHeight="1">
      <c r="A127" s="53">
        <f>Settings!$B$8</f>
        <v/>
      </c>
      <c r="B127" s="53" t="inlineStr">
        <is>
          <t>Trash</t>
        </is>
      </c>
      <c r="C127" s="35" t="inlineStr">
        <is>
          <t>Feb</t>
        </is>
      </c>
      <c r="D127" s="48">
        <f>SUMIFS('Bills Log'!$F$6:$F$505,'Bills Log'!$A$6:$A$505,"&gt;="&amp;DATE(Settings!$B$5,2,1),'Bills Log'!$A$6:$A$505,"&lt;"&amp;DATE(Settings!$B$5,3,1),'Bills Log'!$B$6:$B$505,A127,'Bills Log'!$C$6:$C$505,B127)</f>
        <v/>
      </c>
      <c r="E127" s="48">
        <f>SUMIFS('Bills Log'!$F$6:$F$505,'Bills Log'!$A$6:$A$505,"&gt;="&amp;DATE(Settings!$B$5-1,2,1),'Bills Log'!$A$6:$A$505,"&lt;"&amp;DATE((Settings!$B$5-1),3,1),'Bills Log'!$B$6:$B$505,A127,'Bills Log'!$C$6:$C$505,B127)</f>
        <v/>
      </c>
      <c r="F127" s="54">
        <f>IFERROR(IF(E127=0,"",D127/E127-1),"")</f>
        <v/>
      </c>
      <c r="G127" s="55">
        <f>D127-E127</f>
        <v/>
      </c>
      <c r="H127" s="56">
        <f>IFERROR(IF(ABS(D127/E127-1)&gt;0.25,"⚠ "&amp;ROUND((D127/E127-1)*100,0)&amp;"%",""),"")</f>
        <v/>
      </c>
    </row>
    <row r="128" ht="14" customHeight="1">
      <c r="A128" s="53">
        <f>Settings!$B$8</f>
        <v/>
      </c>
      <c r="B128" s="53" t="inlineStr">
        <is>
          <t>Trash</t>
        </is>
      </c>
      <c r="C128" s="35" t="inlineStr">
        <is>
          <t>Mar</t>
        </is>
      </c>
      <c r="D128" s="48">
        <f>SUMIFS('Bills Log'!$F$6:$F$505,'Bills Log'!$A$6:$A$505,"&gt;="&amp;DATE(Settings!$B$5,3,1),'Bills Log'!$A$6:$A$505,"&lt;"&amp;DATE(Settings!$B$5,4,1),'Bills Log'!$B$6:$B$505,A128,'Bills Log'!$C$6:$C$505,B128)</f>
        <v/>
      </c>
      <c r="E128" s="48">
        <f>SUMIFS('Bills Log'!$F$6:$F$505,'Bills Log'!$A$6:$A$505,"&gt;="&amp;DATE(Settings!$B$5-1,3,1),'Bills Log'!$A$6:$A$505,"&lt;"&amp;DATE((Settings!$B$5-1),4,1),'Bills Log'!$B$6:$B$505,A128,'Bills Log'!$C$6:$C$505,B128)</f>
        <v/>
      </c>
      <c r="F128" s="54">
        <f>IFERROR(IF(E128=0,"",D128/E128-1),"")</f>
        <v/>
      </c>
      <c r="G128" s="55">
        <f>D128-E128</f>
        <v/>
      </c>
      <c r="H128" s="56">
        <f>IFERROR(IF(ABS(D128/E128-1)&gt;0.25,"⚠ "&amp;ROUND((D128/E128-1)*100,0)&amp;"%",""),"")</f>
        <v/>
      </c>
    </row>
    <row r="129" ht="14" customHeight="1">
      <c r="A129" s="53">
        <f>Settings!$B$8</f>
        <v/>
      </c>
      <c r="B129" s="53" t="inlineStr">
        <is>
          <t>Trash</t>
        </is>
      </c>
      <c r="C129" s="35" t="inlineStr">
        <is>
          <t>Apr</t>
        </is>
      </c>
      <c r="D129" s="48">
        <f>SUMIFS('Bills Log'!$F$6:$F$505,'Bills Log'!$A$6:$A$505,"&gt;="&amp;DATE(Settings!$B$5,4,1),'Bills Log'!$A$6:$A$505,"&lt;"&amp;DATE(Settings!$B$5,5,1),'Bills Log'!$B$6:$B$505,A129,'Bills Log'!$C$6:$C$505,B129)</f>
        <v/>
      </c>
      <c r="E129" s="48">
        <f>SUMIFS('Bills Log'!$F$6:$F$505,'Bills Log'!$A$6:$A$505,"&gt;="&amp;DATE(Settings!$B$5-1,4,1),'Bills Log'!$A$6:$A$505,"&lt;"&amp;DATE((Settings!$B$5-1),5,1),'Bills Log'!$B$6:$B$505,A129,'Bills Log'!$C$6:$C$505,B129)</f>
        <v/>
      </c>
      <c r="F129" s="54">
        <f>IFERROR(IF(E129=0,"",D129/E129-1),"")</f>
        <v/>
      </c>
      <c r="G129" s="55">
        <f>D129-E129</f>
        <v/>
      </c>
      <c r="H129" s="56">
        <f>IFERROR(IF(ABS(D129/E129-1)&gt;0.25,"⚠ "&amp;ROUND((D129/E129-1)*100,0)&amp;"%",""),"")</f>
        <v/>
      </c>
    </row>
    <row r="130" ht="14" customHeight="1">
      <c r="A130" s="53">
        <f>Settings!$B$8</f>
        <v/>
      </c>
      <c r="B130" s="53" t="inlineStr">
        <is>
          <t>Trash</t>
        </is>
      </c>
      <c r="C130" s="35" t="inlineStr">
        <is>
          <t>May</t>
        </is>
      </c>
      <c r="D130" s="48">
        <f>SUMIFS('Bills Log'!$F$6:$F$505,'Bills Log'!$A$6:$A$505,"&gt;="&amp;DATE(Settings!$B$5,5,1),'Bills Log'!$A$6:$A$505,"&lt;"&amp;DATE(Settings!$B$5,6,1),'Bills Log'!$B$6:$B$505,A130,'Bills Log'!$C$6:$C$505,B130)</f>
        <v/>
      </c>
      <c r="E130" s="48">
        <f>SUMIFS('Bills Log'!$F$6:$F$505,'Bills Log'!$A$6:$A$505,"&gt;="&amp;DATE(Settings!$B$5-1,5,1),'Bills Log'!$A$6:$A$505,"&lt;"&amp;DATE((Settings!$B$5-1),6,1),'Bills Log'!$B$6:$B$505,A130,'Bills Log'!$C$6:$C$505,B130)</f>
        <v/>
      </c>
      <c r="F130" s="54">
        <f>IFERROR(IF(E130=0,"",D130/E130-1),"")</f>
        <v/>
      </c>
      <c r="G130" s="55">
        <f>D130-E130</f>
        <v/>
      </c>
      <c r="H130" s="56">
        <f>IFERROR(IF(ABS(D130/E130-1)&gt;0.25,"⚠ "&amp;ROUND((D130/E130-1)*100,0)&amp;"%",""),"")</f>
        <v/>
      </c>
    </row>
    <row r="131" ht="14" customHeight="1">
      <c r="A131" s="53">
        <f>Settings!$B$8</f>
        <v/>
      </c>
      <c r="B131" s="53" t="inlineStr">
        <is>
          <t>Trash</t>
        </is>
      </c>
      <c r="C131" s="35" t="inlineStr">
        <is>
          <t>Jun</t>
        </is>
      </c>
      <c r="D131" s="48">
        <f>SUMIFS('Bills Log'!$F$6:$F$505,'Bills Log'!$A$6:$A$505,"&gt;="&amp;DATE(Settings!$B$5,6,1),'Bills Log'!$A$6:$A$505,"&lt;"&amp;DATE(Settings!$B$5,7,1),'Bills Log'!$B$6:$B$505,A131,'Bills Log'!$C$6:$C$505,B131)</f>
        <v/>
      </c>
      <c r="E131" s="48">
        <f>SUMIFS('Bills Log'!$F$6:$F$505,'Bills Log'!$A$6:$A$505,"&gt;="&amp;DATE(Settings!$B$5-1,6,1),'Bills Log'!$A$6:$A$505,"&lt;"&amp;DATE((Settings!$B$5-1),7,1),'Bills Log'!$B$6:$B$505,A131,'Bills Log'!$C$6:$C$505,B131)</f>
        <v/>
      </c>
      <c r="F131" s="54">
        <f>IFERROR(IF(E131=0,"",D131/E131-1),"")</f>
        <v/>
      </c>
      <c r="G131" s="55">
        <f>D131-E131</f>
        <v/>
      </c>
      <c r="H131" s="56">
        <f>IFERROR(IF(ABS(D131/E131-1)&gt;0.25,"⚠ "&amp;ROUND((D131/E131-1)*100,0)&amp;"%",""),"")</f>
        <v/>
      </c>
    </row>
    <row r="132" ht="14" customHeight="1">
      <c r="A132" s="53">
        <f>Settings!$B$8</f>
        <v/>
      </c>
      <c r="B132" s="53" t="inlineStr">
        <is>
          <t>Trash</t>
        </is>
      </c>
      <c r="C132" s="35" t="inlineStr">
        <is>
          <t>Jul</t>
        </is>
      </c>
      <c r="D132" s="48">
        <f>SUMIFS('Bills Log'!$F$6:$F$505,'Bills Log'!$A$6:$A$505,"&gt;="&amp;DATE(Settings!$B$5,7,1),'Bills Log'!$A$6:$A$505,"&lt;"&amp;DATE(Settings!$B$5,8,1),'Bills Log'!$B$6:$B$505,A132,'Bills Log'!$C$6:$C$505,B132)</f>
        <v/>
      </c>
      <c r="E132" s="48">
        <f>SUMIFS('Bills Log'!$F$6:$F$505,'Bills Log'!$A$6:$A$505,"&gt;="&amp;DATE(Settings!$B$5-1,7,1),'Bills Log'!$A$6:$A$505,"&lt;"&amp;DATE((Settings!$B$5-1),8,1),'Bills Log'!$B$6:$B$505,A132,'Bills Log'!$C$6:$C$505,B132)</f>
        <v/>
      </c>
      <c r="F132" s="54">
        <f>IFERROR(IF(E132=0,"",D132/E132-1),"")</f>
        <v/>
      </c>
      <c r="G132" s="55">
        <f>D132-E132</f>
        <v/>
      </c>
      <c r="H132" s="56">
        <f>IFERROR(IF(ABS(D132/E132-1)&gt;0.25,"⚠ "&amp;ROUND((D132/E132-1)*100,0)&amp;"%",""),"")</f>
        <v/>
      </c>
    </row>
    <row r="133" ht="14" customHeight="1">
      <c r="A133" s="53">
        <f>Settings!$B$8</f>
        <v/>
      </c>
      <c r="B133" s="53" t="inlineStr">
        <is>
          <t>Trash</t>
        </is>
      </c>
      <c r="C133" s="35" t="inlineStr">
        <is>
          <t>Aug</t>
        </is>
      </c>
      <c r="D133" s="48">
        <f>SUMIFS('Bills Log'!$F$6:$F$505,'Bills Log'!$A$6:$A$505,"&gt;="&amp;DATE(Settings!$B$5,8,1),'Bills Log'!$A$6:$A$505,"&lt;"&amp;DATE(Settings!$B$5,9,1),'Bills Log'!$B$6:$B$505,A133,'Bills Log'!$C$6:$C$505,B133)</f>
        <v/>
      </c>
      <c r="E133" s="48">
        <f>SUMIFS('Bills Log'!$F$6:$F$505,'Bills Log'!$A$6:$A$505,"&gt;="&amp;DATE(Settings!$B$5-1,8,1),'Bills Log'!$A$6:$A$505,"&lt;"&amp;DATE((Settings!$B$5-1),9,1),'Bills Log'!$B$6:$B$505,A133,'Bills Log'!$C$6:$C$505,B133)</f>
        <v/>
      </c>
      <c r="F133" s="54">
        <f>IFERROR(IF(E133=0,"",D133/E133-1),"")</f>
        <v/>
      </c>
      <c r="G133" s="55">
        <f>D133-E133</f>
        <v/>
      </c>
      <c r="H133" s="56">
        <f>IFERROR(IF(ABS(D133/E133-1)&gt;0.25,"⚠ "&amp;ROUND((D133/E133-1)*100,0)&amp;"%",""),"")</f>
        <v/>
      </c>
    </row>
    <row r="134" ht="14" customHeight="1">
      <c r="A134" s="53">
        <f>Settings!$B$8</f>
        <v/>
      </c>
      <c r="B134" s="53" t="inlineStr">
        <is>
          <t>Trash</t>
        </is>
      </c>
      <c r="C134" s="35" t="inlineStr">
        <is>
          <t>Sep</t>
        </is>
      </c>
      <c r="D134" s="48">
        <f>SUMIFS('Bills Log'!$F$6:$F$505,'Bills Log'!$A$6:$A$505,"&gt;="&amp;DATE(Settings!$B$5,9,1),'Bills Log'!$A$6:$A$505,"&lt;"&amp;DATE(Settings!$B$5,10,1),'Bills Log'!$B$6:$B$505,A134,'Bills Log'!$C$6:$C$505,B134)</f>
        <v/>
      </c>
      <c r="E134" s="48">
        <f>SUMIFS('Bills Log'!$F$6:$F$505,'Bills Log'!$A$6:$A$505,"&gt;="&amp;DATE(Settings!$B$5-1,9,1),'Bills Log'!$A$6:$A$505,"&lt;"&amp;DATE((Settings!$B$5-1),10,1),'Bills Log'!$B$6:$B$505,A134,'Bills Log'!$C$6:$C$505,B134)</f>
        <v/>
      </c>
      <c r="F134" s="54">
        <f>IFERROR(IF(E134=0,"",D134/E134-1),"")</f>
        <v/>
      </c>
      <c r="G134" s="55">
        <f>D134-E134</f>
        <v/>
      </c>
      <c r="H134" s="56">
        <f>IFERROR(IF(ABS(D134/E134-1)&gt;0.25,"⚠ "&amp;ROUND((D134/E134-1)*100,0)&amp;"%",""),"")</f>
        <v/>
      </c>
    </row>
    <row r="135" ht="14" customHeight="1">
      <c r="A135" s="53">
        <f>Settings!$B$8</f>
        <v/>
      </c>
      <c r="B135" s="53" t="inlineStr">
        <is>
          <t>Trash</t>
        </is>
      </c>
      <c r="C135" s="35" t="inlineStr">
        <is>
          <t>Oct</t>
        </is>
      </c>
      <c r="D135" s="48">
        <f>SUMIFS('Bills Log'!$F$6:$F$505,'Bills Log'!$A$6:$A$505,"&gt;="&amp;DATE(Settings!$B$5,10,1),'Bills Log'!$A$6:$A$505,"&lt;"&amp;DATE(Settings!$B$5,11,1),'Bills Log'!$B$6:$B$505,A135,'Bills Log'!$C$6:$C$505,B135)</f>
        <v/>
      </c>
      <c r="E135" s="48">
        <f>SUMIFS('Bills Log'!$F$6:$F$505,'Bills Log'!$A$6:$A$505,"&gt;="&amp;DATE(Settings!$B$5-1,10,1),'Bills Log'!$A$6:$A$505,"&lt;"&amp;DATE((Settings!$B$5-1),11,1),'Bills Log'!$B$6:$B$505,A135,'Bills Log'!$C$6:$C$505,B135)</f>
        <v/>
      </c>
      <c r="F135" s="54">
        <f>IFERROR(IF(E135=0,"",D135/E135-1),"")</f>
        <v/>
      </c>
      <c r="G135" s="55">
        <f>D135-E135</f>
        <v/>
      </c>
      <c r="H135" s="56">
        <f>IFERROR(IF(ABS(D135/E135-1)&gt;0.25,"⚠ "&amp;ROUND((D135/E135-1)*100,0)&amp;"%",""),"")</f>
        <v/>
      </c>
    </row>
    <row r="136" ht="14" customHeight="1">
      <c r="A136" s="53">
        <f>Settings!$B$8</f>
        <v/>
      </c>
      <c r="B136" s="53" t="inlineStr">
        <is>
          <t>Trash</t>
        </is>
      </c>
      <c r="C136" s="35" t="inlineStr">
        <is>
          <t>Nov</t>
        </is>
      </c>
      <c r="D136" s="48">
        <f>SUMIFS('Bills Log'!$F$6:$F$505,'Bills Log'!$A$6:$A$505,"&gt;="&amp;DATE(Settings!$B$5,11,1),'Bills Log'!$A$6:$A$505,"&lt;"&amp;DATE(Settings!$B$5,12,1),'Bills Log'!$B$6:$B$505,A136,'Bills Log'!$C$6:$C$505,B136)</f>
        <v/>
      </c>
      <c r="E136" s="48">
        <f>SUMIFS('Bills Log'!$F$6:$F$505,'Bills Log'!$A$6:$A$505,"&gt;="&amp;DATE(Settings!$B$5-1,11,1),'Bills Log'!$A$6:$A$505,"&lt;"&amp;DATE((Settings!$B$5-1),12,1),'Bills Log'!$B$6:$B$505,A136,'Bills Log'!$C$6:$C$505,B136)</f>
        <v/>
      </c>
      <c r="F136" s="54">
        <f>IFERROR(IF(E136=0,"",D136/E136-1),"")</f>
        <v/>
      </c>
      <c r="G136" s="55">
        <f>D136-E136</f>
        <v/>
      </c>
      <c r="H136" s="56">
        <f>IFERROR(IF(ABS(D136/E136-1)&gt;0.25,"⚠ "&amp;ROUND((D136/E136-1)*100,0)&amp;"%",""),"")</f>
        <v/>
      </c>
    </row>
    <row r="137" ht="14" customHeight="1">
      <c r="A137" s="53">
        <f>Settings!$B$8</f>
        <v/>
      </c>
      <c r="B137" s="53" t="inlineStr">
        <is>
          <t>Trash</t>
        </is>
      </c>
      <c r="C137" s="35" t="inlineStr">
        <is>
          <t>Dec</t>
        </is>
      </c>
      <c r="D137" s="48">
        <f>SUMIFS('Bills Log'!$F$6:$F$505,'Bills Log'!$A$6:$A$505,"&gt;="&amp;DATE(Settings!$B$5,12,1),'Bills Log'!$A$6:$A$505,"&lt;"&amp;DATE(Settings!$B$5+1,1,1),'Bills Log'!$B$6:$B$505,A137,'Bills Log'!$C$6:$C$505,B137)</f>
        <v/>
      </c>
      <c r="E137" s="48">
        <f>SUMIFS('Bills Log'!$F$6:$F$505,'Bills Log'!$A$6:$A$505,"&gt;="&amp;DATE(Settings!$B$5-1,12,1),'Bills Log'!$A$6:$A$505,"&lt;"&amp;DATE(Settings!$B$5,1,1),'Bills Log'!$B$6:$B$505,A137,'Bills Log'!$C$6:$C$505,B137)</f>
        <v/>
      </c>
      <c r="F137" s="54">
        <f>IFERROR(IF(E137=0,"",D137/E137-1),"")</f>
        <v/>
      </c>
      <c r="G137" s="55">
        <f>D137-E137</f>
        <v/>
      </c>
      <c r="H137" s="56">
        <f>IFERROR(IF(ABS(D137/E137-1)&gt;0.25,"⚠ "&amp;ROUND((D137/E137-1)*100,0)&amp;"%",""),"")</f>
        <v/>
      </c>
    </row>
    <row r="138" ht="14" customHeight="1">
      <c r="A138" s="53">
        <f>Settings!$B$8</f>
        <v/>
      </c>
      <c r="B138" s="53" t="inlineStr">
        <is>
          <t>Propane</t>
        </is>
      </c>
      <c r="C138" s="35" t="inlineStr">
        <is>
          <t>Jan</t>
        </is>
      </c>
      <c r="D138" s="48">
        <f>SUMIFS('Bills Log'!$F$6:$F$505,'Bills Log'!$A$6:$A$505,"&gt;="&amp;DATE(Settings!$B$5,1,1),'Bills Log'!$A$6:$A$505,"&lt;"&amp;DATE(Settings!$B$5,2,1),'Bills Log'!$B$6:$B$505,A138,'Bills Log'!$C$6:$C$505,B138)</f>
        <v/>
      </c>
      <c r="E138" s="48">
        <f>SUMIFS('Bills Log'!$F$6:$F$505,'Bills Log'!$A$6:$A$505,"&gt;="&amp;DATE(Settings!$B$5-1,1,1),'Bills Log'!$A$6:$A$505,"&lt;"&amp;DATE((Settings!$B$5-1),2,1),'Bills Log'!$B$6:$B$505,A138,'Bills Log'!$C$6:$C$505,B138)</f>
        <v/>
      </c>
      <c r="F138" s="54">
        <f>IFERROR(IF(E138=0,"",D138/E138-1),"")</f>
        <v/>
      </c>
      <c r="G138" s="55">
        <f>D138-E138</f>
        <v/>
      </c>
      <c r="H138" s="56">
        <f>IFERROR(IF(ABS(D138/E138-1)&gt;0.25,"⚠ "&amp;ROUND((D138/E138-1)*100,0)&amp;"%",""),"")</f>
        <v/>
      </c>
    </row>
    <row r="139" ht="14" customHeight="1">
      <c r="A139" s="53">
        <f>Settings!$B$8</f>
        <v/>
      </c>
      <c r="B139" s="53" t="inlineStr">
        <is>
          <t>Propane</t>
        </is>
      </c>
      <c r="C139" s="35" t="inlineStr">
        <is>
          <t>Feb</t>
        </is>
      </c>
      <c r="D139" s="48">
        <f>SUMIFS('Bills Log'!$F$6:$F$505,'Bills Log'!$A$6:$A$505,"&gt;="&amp;DATE(Settings!$B$5,2,1),'Bills Log'!$A$6:$A$505,"&lt;"&amp;DATE(Settings!$B$5,3,1),'Bills Log'!$B$6:$B$505,A139,'Bills Log'!$C$6:$C$505,B139)</f>
        <v/>
      </c>
      <c r="E139" s="48">
        <f>SUMIFS('Bills Log'!$F$6:$F$505,'Bills Log'!$A$6:$A$505,"&gt;="&amp;DATE(Settings!$B$5-1,2,1),'Bills Log'!$A$6:$A$505,"&lt;"&amp;DATE((Settings!$B$5-1),3,1),'Bills Log'!$B$6:$B$505,A139,'Bills Log'!$C$6:$C$505,B139)</f>
        <v/>
      </c>
      <c r="F139" s="54">
        <f>IFERROR(IF(E139=0,"",D139/E139-1),"")</f>
        <v/>
      </c>
      <c r="G139" s="55">
        <f>D139-E139</f>
        <v/>
      </c>
      <c r="H139" s="56">
        <f>IFERROR(IF(ABS(D139/E139-1)&gt;0.25,"⚠ "&amp;ROUND((D139/E139-1)*100,0)&amp;"%",""),"")</f>
        <v/>
      </c>
    </row>
    <row r="140" ht="14" customHeight="1">
      <c r="A140" s="53">
        <f>Settings!$B$8</f>
        <v/>
      </c>
      <c r="B140" s="53" t="inlineStr">
        <is>
          <t>Propane</t>
        </is>
      </c>
      <c r="C140" s="35" t="inlineStr">
        <is>
          <t>Mar</t>
        </is>
      </c>
      <c r="D140" s="48">
        <f>SUMIFS('Bills Log'!$F$6:$F$505,'Bills Log'!$A$6:$A$505,"&gt;="&amp;DATE(Settings!$B$5,3,1),'Bills Log'!$A$6:$A$505,"&lt;"&amp;DATE(Settings!$B$5,4,1),'Bills Log'!$B$6:$B$505,A140,'Bills Log'!$C$6:$C$505,B140)</f>
        <v/>
      </c>
      <c r="E140" s="48">
        <f>SUMIFS('Bills Log'!$F$6:$F$505,'Bills Log'!$A$6:$A$505,"&gt;="&amp;DATE(Settings!$B$5-1,3,1),'Bills Log'!$A$6:$A$505,"&lt;"&amp;DATE((Settings!$B$5-1),4,1),'Bills Log'!$B$6:$B$505,A140,'Bills Log'!$C$6:$C$505,B140)</f>
        <v/>
      </c>
      <c r="F140" s="54">
        <f>IFERROR(IF(E140=0,"",D140/E140-1),"")</f>
        <v/>
      </c>
      <c r="G140" s="55">
        <f>D140-E140</f>
        <v/>
      </c>
      <c r="H140" s="56">
        <f>IFERROR(IF(ABS(D140/E140-1)&gt;0.25,"⚠ "&amp;ROUND((D140/E140-1)*100,0)&amp;"%",""),"")</f>
        <v/>
      </c>
    </row>
    <row r="141" ht="14" customHeight="1">
      <c r="A141" s="53">
        <f>Settings!$B$8</f>
        <v/>
      </c>
      <c r="B141" s="53" t="inlineStr">
        <is>
          <t>Propane</t>
        </is>
      </c>
      <c r="C141" s="35" t="inlineStr">
        <is>
          <t>Apr</t>
        </is>
      </c>
      <c r="D141" s="48">
        <f>SUMIFS('Bills Log'!$F$6:$F$505,'Bills Log'!$A$6:$A$505,"&gt;="&amp;DATE(Settings!$B$5,4,1),'Bills Log'!$A$6:$A$505,"&lt;"&amp;DATE(Settings!$B$5,5,1),'Bills Log'!$B$6:$B$505,A141,'Bills Log'!$C$6:$C$505,B141)</f>
        <v/>
      </c>
      <c r="E141" s="48">
        <f>SUMIFS('Bills Log'!$F$6:$F$505,'Bills Log'!$A$6:$A$505,"&gt;="&amp;DATE(Settings!$B$5-1,4,1),'Bills Log'!$A$6:$A$505,"&lt;"&amp;DATE((Settings!$B$5-1),5,1),'Bills Log'!$B$6:$B$505,A141,'Bills Log'!$C$6:$C$505,B141)</f>
        <v/>
      </c>
      <c r="F141" s="54">
        <f>IFERROR(IF(E141=0,"",D141/E141-1),"")</f>
        <v/>
      </c>
      <c r="G141" s="55">
        <f>D141-E141</f>
        <v/>
      </c>
      <c r="H141" s="56">
        <f>IFERROR(IF(ABS(D141/E141-1)&gt;0.25,"⚠ "&amp;ROUND((D141/E141-1)*100,0)&amp;"%",""),"")</f>
        <v/>
      </c>
    </row>
    <row r="142" ht="14" customHeight="1">
      <c r="A142" s="53">
        <f>Settings!$B$8</f>
        <v/>
      </c>
      <c r="B142" s="53" t="inlineStr">
        <is>
          <t>Propane</t>
        </is>
      </c>
      <c r="C142" s="35" t="inlineStr">
        <is>
          <t>May</t>
        </is>
      </c>
      <c r="D142" s="48">
        <f>SUMIFS('Bills Log'!$F$6:$F$505,'Bills Log'!$A$6:$A$505,"&gt;="&amp;DATE(Settings!$B$5,5,1),'Bills Log'!$A$6:$A$505,"&lt;"&amp;DATE(Settings!$B$5,6,1),'Bills Log'!$B$6:$B$505,A142,'Bills Log'!$C$6:$C$505,B142)</f>
        <v/>
      </c>
      <c r="E142" s="48">
        <f>SUMIFS('Bills Log'!$F$6:$F$505,'Bills Log'!$A$6:$A$505,"&gt;="&amp;DATE(Settings!$B$5-1,5,1),'Bills Log'!$A$6:$A$505,"&lt;"&amp;DATE((Settings!$B$5-1),6,1),'Bills Log'!$B$6:$B$505,A142,'Bills Log'!$C$6:$C$505,B142)</f>
        <v/>
      </c>
      <c r="F142" s="54">
        <f>IFERROR(IF(E142=0,"",D142/E142-1),"")</f>
        <v/>
      </c>
      <c r="G142" s="55">
        <f>D142-E142</f>
        <v/>
      </c>
      <c r="H142" s="56">
        <f>IFERROR(IF(ABS(D142/E142-1)&gt;0.25,"⚠ "&amp;ROUND((D142/E142-1)*100,0)&amp;"%",""),"")</f>
        <v/>
      </c>
    </row>
    <row r="143" ht="14" customHeight="1">
      <c r="A143" s="53">
        <f>Settings!$B$8</f>
        <v/>
      </c>
      <c r="B143" s="53" t="inlineStr">
        <is>
          <t>Propane</t>
        </is>
      </c>
      <c r="C143" s="35" t="inlineStr">
        <is>
          <t>Jun</t>
        </is>
      </c>
      <c r="D143" s="48">
        <f>SUMIFS('Bills Log'!$F$6:$F$505,'Bills Log'!$A$6:$A$505,"&gt;="&amp;DATE(Settings!$B$5,6,1),'Bills Log'!$A$6:$A$505,"&lt;"&amp;DATE(Settings!$B$5,7,1),'Bills Log'!$B$6:$B$505,A143,'Bills Log'!$C$6:$C$505,B143)</f>
        <v/>
      </c>
      <c r="E143" s="48">
        <f>SUMIFS('Bills Log'!$F$6:$F$505,'Bills Log'!$A$6:$A$505,"&gt;="&amp;DATE(Settings!$B$5-1,6,1),'Bills Log'!$A$6:$A$505,"&lt;"&amp;DATE((Settings!$B$5-1),7,1),'Bills Log'!$B$6:$B$505,A143,'Bills Log'!$C$6:$C$505,B143)</f>
        <v/>
      </c>
      <c r="F143" s="54">
        <f>IFERROR(IF(E143=0,"",D143/E143-1),"")</f>
        <v/>
      </c>
      <c r="G143" s="55">
        <f>D143-E143</f>
        <v/>
      </c>
      <c r="H143" s="56">
        <f>IFERROR(IF(ABS(D143/E143-1)&gt;0.25,"⚠ "&amp;ROUND((D143/E143-1)*100,0)&amp;"%",""),"")</f>
        <v/>
      </c>
    </row>
    <row r="144" ht="14" customHeight="1">
      <c r="A144" s="53">
        <f>Settings!$B$8</f>
        <v/>
      </c>
      <c r="B144" s="53" t="inlineStr">
        <is>
          <t>Propane</t>
        </is>
      </c>
      <c r="C144" s="35" t="inlineStr">
        <is>
          <t>Jul</t>
        </is>
      </c>
      <c r="D144" s="48">
        <f>SUMIFS('Bills Log'!$F$6:$F$505,'Bills Log'!$A$6:$A$505,"&gt;="&amp;DATE(Settings!$B$5,7,1),'Bills Log'!$A$6:$A$505,"&lt;"&amp;DATE(Settings!$B$5,8,1),'Bills Log'!$B$6:$B$505,A144,'Bills Log'!$C$6:$C$505,B144)</f>
        <v/>
      </c>
      <c r="E144" s="48">
        <f>SUMIFS('Bills Log'!$F$6:$F$505,'Bills Log'!$A$6:$A$505,"&gt;="&amp;DATE(Settings!$B$5-1,7,1),'Bills Log'!$A$6:$A$505,"&lt;"&amp;DATE((Settings!$B$5-1),8,1),'Bills Log'!$B$6:$B$505,A144,'Bills Log'!$C$6:$C$505,B144)</f>
        <v/>
      </c>
      <c r="F144" s="54">
        <f>IFERROR(IF(E144=0,"",D144/E144-1),"")</f>
        <v/>
      </c>
      <c r="G144" s="55">
        <f>D144-E144</f>
        <v/>
      </c>
      <c r="H144" s="56">
        <f>IFERROR(IF(ABS(D144/E144-1)&gt;0.25,"⚠ "&amp;ROUND((D144/E144-1)*100,0)&amp;"%",""),"")</f>
        <v/>
      </c>
    </row>
    <row r="145" ht="14" customHeight="1">
      <c r="A145" s="53">
        <f>Settings!$B$8</f>
        <v/>
      </c>
      <c r="B145" s="53" t="inlineStr">
        <is>
          <t>Propane</t>
        </is>
      </c>
      <c r="C145" s="35" t="inlineStr">
        <is>
          <t>Aug</t>
        </is>
      </c>
      <c r="D145" s="48">
        <f>SUMIFS('Bills Log'!$F$6:$F$505,'Bills Log'!$A$6:$A$505,"&gt;="&amp;DATE(Settings!$B$5,8,1),'Bills Log'!$A$6:$A$505,"&lt;"&amp;DATE(Settings!$B$5,9,1),'Bills Log'!$B$6:$B$505,A145,'Bills Log'!$C$6:$C$505,B145)</f>
        <v/>
      </c>
      <c r="E145" s="48">
        <f>SUMIFS('Bills Log'!$F$6:$F$505,'Bills Log'!$A$6:$A$505,"&gt;="&amp;DATE(Settings!$B$5-1,8,1),'Bills Log'!$A$6:$A$505,"&lt;"&amp;DATE((Settings!$B$5-1),9,1),'Bills Log'!$B$6:$B$505,A145,'Bills Log'!$C$6:$C$505,B145)</f>
        <v/>
      </c>
      <c r="F145" s="54">
        <f>IFERROR(IF(E145=0,"",D145/E145-1),"")</f>
        <v/>
      </c>
      <c r="G145" s="55">
        <f>D145-E145</f>
        <v/>
      </c>
      <c r="H145" s="56">
        <f>IFERROR(IF(ABS(D145/E145-1)&gt;0.25,"⚠ "&amp;ROUND((D145/E145-1)*100,0)&amp;"%",""),"")</f>
        <v/>
      </c>
    </row>
    <row r="146" ht="14" customHeight="1">
      <c r="A146" s="53">
        <f>Settings!$B$8</f>
        <v/>
      </c>
      <c r="B146" s="53" t="inlineStr">
        <is>
          <t>Propane</t>
        </is>
      </c>
      <c r="C146" s="35" t="inlineStr">
        <is>
          <t>Sep</t>
        </is>
      </c>
      <c r="D146" s="48">
        <f>SUMIFS('Bills Log'!$F$6:$F$505,'Bills Log'!$A$6:$A$505,"&gt;="&amp;DATE(Settings!$B$5,9,1),'Bills Log'!$A$6:$A$505,"&lt;"&amp;DATE(Settings!$B$5,10,1),'Bills Log'!$B$6:$B$505,A146,'Bills Log'!$C$6:$C$505,B146)</f>
        <v/>
      </c>
      <c r="E146" s="48">
        <f>SUMIFS('Bills Log'!$F$6:$F$505,'Bills Log'!$A$6:$A$505,"&gt;="&amp;DATE(Settings!$B$5-1,9,1),'Bills Log'!$A$6:$A$505,"&lt;"&amp;DATE((Settings!$B$5-1),10,1),'Bills Log'!$B$6:$B$505,A146,'Bills Log'!$C$6:$C$505,B146)</f>
        <v/>
      </c>
      <c r="F146" s="54">
        <f>IFERROR(IF(E146=0,"",D146/E146-1),"")</f>
        <v/>
      </c>
      <c r="G146" s="55">
        <f>D146-E146</f>
        <v/>
      </c>
      <c r="H146" s="56">
        <f>IFERROR(IF(ABS(D146/E146-1)&gt;0.25,"⚠ "&amp;ROUND((D146/E146-1)*100,0)&amp;"%",""),"")</f>
        <v/>
      </c>
    </row>
    <row r="147" ht="14" customHeight="1">
      <c r="A147" s="53">
        <f>Settings!$B$8</f>
        <v/>
      </c>
      <c r="B147" s="53" t="inlineStr">
        <is>
          <t>Propane</t>
        </is>
      </c>
      <c r="C147" s="35" t="inlineStr">
        <is>
          <t>Oct</t>
        </is>
      </c>
      <c r="D147" s="48">
        <f>SUMIFS('Bills Log'!$F$6:$F$505,'Bills Log'!$A$6:$A$505,"&gt;="&amp;DATE(Settings!$B$5,10,1),'Bills Log'!$A$6:$A$505,"&lt;"&amp;DATE(Settings!$B$5,11,1),'Bills Log'!$B$6:$B$505,A147,'Bills Log'!$C$6:$C$505,B147)</f>
        <v/>
      </c>
      <c r="E147" s="48">
        <f>SUMIFS('Bills Log'!$F$6:$F$505,'Bills Log'!$A$6:$A$505,"&gt;="&amp;DATE(Settings!$B$5-1,10,1),'Bills Log'!$A$6:$A$505,"&lt;"&amp;DATE((Settings!$B$5-1),11,1),'Bills Log'!$B$6:$B$505,A147,'Bills Log'!$C$6:$C$505,B147)</f>
        <v/>
      </c>
      <c r="F147" s="54">
        <f>IFERROR(IF(E147=0,"",D147/E147-1),"")</f>
        <v/>
      </c>
      <c r="G147" s="55">
        <f>D147-E147</f>
        <v/>
      </c>
      <c r="H147" s="56">
        <f>IFERROR(IF(ABS(D147/E147-1)&gt;0.25,"⚠ "&amp;ROUND((D147/E147-1)*100,0)&amp;"%",""),"")</f>
        <v/>
      </c>
    </row>
    <row r="148" ht="14" customHeight="1">
      <c r="A148" s="53">
        <f>Settings!$B$8</f>
        <v/>
      </c>
      <c r="B148" s="53" t="inlineStr">
        <is>
          <t>Propane</t>
        </is>
      </c>
      <c r="C148" s="35" t="inlineStr">
        <is>
          <t>Nov</t>
        </is>
      </c>
      <c r="D148" s="48">
        <f>SUMIFS('Bills Log'!$F$6:$F$505,'Bills Log'!$A$6:$A$505,"&gt;="&amp;DATE(Settings!$B$5,11,1),'Bills Log'!$A$6:$A$505,"&lt;"&amp;DATE(Settings!$B$5,12,1),'Bills Log'!$B$6:$B$505,A148,'Bills Log'!$C$6:$C$505,B148)</f>
        <v/>
      </c>
      <c r="E148" s="48">
        <f>SUMIFS('Bills Log'!$F$6:$F$505,'Bills Log'!$A$6:$A$505,"&gt;="&amp;DATE(Settings!$B$5-1,11,1),'Bills Log'!$A$6:$A$505,"&lt;"&amp;DATE((Settings!$B$5-1),12,1),'Bills Log'!$B$6:$B$505,A148,'Bills Log'!$C$6:$C$505,B148)</f>
        <v/>
      </c>
      <c r="F148" s="54">
        <f>IFERROR(IF(E148=0,"",D148/E148-1),"")</f>
        <v/>
      </c>
      <c r="G148" s="55">
        <f>D148-E148</f>
        <v/>
      </c>
      <c r="H148" s="56">
        <f>IFERROR(IF(ABS(D148/E148-1)&gt;0.25,"⚠ "&amp;ROUND((D148/E148-1)*100,0)&amp;"%",""),"")</f>
        <v/>
      </c>
    </row>
    <row r="149" ht="14" customHeight="1">
      <c r="A149" s="53">
        <f>Settings!$B$8</f>
        <v/>
      </c>
      <c r="B149" s="53" t="inlineStr">
        <is>
          <t>Propane</t>
        </is>
      </c>
      <c r="C149" s="35" t="inlineStr">
        <is>
          <t>Dec</t>
        </is>
      </c>
      <c r="D149" s="48">
        <f>SUMIFS('Bills Log'!$F$6:$F$505,'Bills Log'!$A$6:$A$505,"&gt;="&amp;DATE(Settings!$B$5,12,1),'Bills Log'!$A$6:$A$505,"&lt;"&amp;DATE(Settings!$B$5+1,1,1),'Bills Log'!$B$6:$B$505,A149,'Bills Log'!$C$6:$C$505,B149)</f>
        <v/>
      </c>
      <c r="E149" s="48">
        <f>SUMIFS('Bills Log'!$F$6:$F$505,'Bills Log'!$A$6:$A$505,"&gt;="&amp;DATE(Settings!$B$5-1,12,1),'Bills Log'!$A$6:$A$505,"&lt;"&amp;DATE(Settings!$B$5,1,1),'Bills Log'!$B$6:$B$505,A149,'Bills Log'!$C$6:$C$505,B149)</f>
        <v/>
      </c>
      <c r="F149" s="54">
        <f>IFERROR(IF(E149=0,"",D149/E149-1),"")</f>
        <v/>
      </c>
      <c r="G149" s="55">
        <f>D149-E149</f>
        <v/>
      </c>
      <c r="H149" s="56">
        <f>IFERROR(IF(ABS(D149/E149-1)&gt;0.25,"⚠ "&amp;ROUND((D149/E149-1)*100,0)&amp;"%",""),"")</f>
        <v/>
      </c>
    </row>
    <row r="150" ht="14" customHeight="1">
      <c r="A150" s="53">
        <f>Settings!$B$9</f>
        <v/>
      </c>
      <c r="B150" s="53" t="inlineStr">
        <is>
          <t>Electric</t>
        </is>
      </c>
      <c r="C150" s="35" t="inlineStr">
        <is>
          <t>Jan</t>
        </is>
      </c>
      <c r="D150" s="48">
        <f>SUMIFS('Bills Log'!$F$6:$F$505,'Bills Log'!$A$6:$A$505,"&gt;="&amp;DATE(Settings!$B$5,1,1),'Bills Log'!$A$6:$A$505,"&lt;"&amp;DATE(Settings!$B$5,2,1),'Bills Log'!$B$6:$B$505,A150,'Bills Log'!$C$6:$C$505,B150)</f>
        <v/>
      </c>
      <c r="E150" s="48">
        <f>SUMIFS('Bills Log'!$F$6:$F$505,'Bills Log'!$A$6:$A$505,"&gt;="&amp;DATE(Settings!$B$5-1,1,1),'Bills Log'!$A$6:$A$505,"&lt;"&amp;DATE((Settings!$B$5-1),2,1),'Bills Log'!$B$6:$B$505,A150,'Bills Log'!$C$6:$C$505,B150)</f>
        <v/>
      </c>
      <c r="F150" s="54">
        <f>IFERROR(IF(E150=0,"",D150/E150-1),"")</f>
        <v/>
      </c>
      <c r="G150" s="55">
        <f>D150-E150</f>
        <v/>
      </c>
      <c r="H150" s="56">
        <f>IFERROR(IF(ABS(D150/E150-1)&gt;0.25,"⚠ "&amp;ROUND((D150/E150-1)*100,0)&amp;"%",""),"")</f>
        <v/>
      </c>
    </row>
    <row r="151" ht="14" customHeight="1">
      <c r="A151" s="53">
        <f>Settings!$B$9</f>
        <v/>
      </c>
      <c r="B151" s="53" t="inlineStr">
        <is>
          <t>Electric</t>
        </is>
      </c>
      <c r="C151" s="35" t="inlineStr">
        <is>
          <t>Feb</t>
        </is>
      </c>
      <c r="D151" s="48">
        <f>SUMIFS('Bills Log'!$F$6:$F$505,'Bills Log'!$A$6:$A$505,"&gt;="&amp;DATE(Settings!$B$5,2,1),'Bills Log'!$A$6:$A$505,"&lt;"&amp;DATE(Settings!$B$5,3,1),'Bills Log'!$B$6:$B$505,A151,'Bills Log'!$C$6:$C$505,B151)</f>
        <v/>
      </c>
      <c r="E151" s="48">
        <f>SUMIFS('Bills Log'!$F$6:$F$505,'Bills Log'!$A$6:$A$505,"&gt;="&amp;DATE(Settings!$B$5-1,2,1),'Bills Log'!$A$6:$A$505,"&lt;"&amp;DATE((Settings!$B$5-1),3,1),'Bills Log'!$B$6:$B$505,A151,'Bills Log'!$C$6:$C$505,B151)</f>
        <v/>
      </c>
      <c r="F151" s="54">
        <f>IFERROR(IF(E151=0,"",D151/E151-1),"")</f>
        <v/>
      </c>
      <c r="G151" s="55">
        <f>D151-E151</f>
        <v/>
      </c>
      <c r="H151" s="56">
        <f>IFERROR(IF(ABS(D151/E151-1)&gt;0.25,"⚠ "&amp;ROUND((D151/E151-1)*100,0)&amp;"%",""),"")</f>
        <v/>
      </c>
    </row>
    <row r="152" ht="14" customHeight="1">
      <c r="A152" s="53">
        <f>Settings!$B$9</f>
        <v/>
      </c>
      <c r="B152" s="53" t="inlineStr">
        <is>
          <t>Electric</t>
        </is>
      </c>
      <c r="C152" s="35" t="inlineStr">
        <is>
          <t>Mar</t>
        </is>
      </c>
      <c r="D152" s="48">
        <f>SUMIFS('Bills Log'!$F$6:$F$505,'Bills Log'!$A$6:$A$505,"&gt;="&amp;DATE(Settings!$B$5,3,1),'Bills Log'!$A$6:$A$505,"&lt;"&amp;DATE(Settings!$B$5,4,1),'Bills Log'!$B$6:$B$505,A152,'Bills Log'!$C$6:$C$505,B152)</f>
        <v/>
      </c>
      <c r="E152" s="48">
        <f>SUMIFS('Bills Log'!$F$6:$F$505,'Bills Log'!$A$6:$A$505,"&gt;="&amp;DATE(Settings!$B$5-1,3,1),'Bills Log'!$A$6:$A$505,"&lt;"&amp;DATE((Settings!$B$5-1),4,1),'Bills Log'!$B$6:$B$505,A152,'Bills Log'!$C$6:$C$505,B152)</f>
        <v/>
      </c>
      <c r="F152" s="54">
        <f>IFERROR(IF(E152=0,"",D152/E152-1),"")</f>
        <v/>
      </c>
      <c r="G152" s="55">
        <f>D152-E152</f>
        <v/>
      </c>
      <c r="H152" s="56">
        <f>IFERROR(IF(ABS(D152/E152-1)&gt;0.25,"⚠ "&amp;ROUND((D152/E152-1)*100,0)&amp;"%",""),"")</f>
        <v/>
      </c>
    </row>
    <row r="153" ht="14" customHeight="1">
      <c r="A153" s="53">
        <f>Settings!$B$9</f>
        <v/>
      </c>
      <c r="B153" s="53" t="inlineStr">
        <is>
          <t>Electric</t>
        </is>
      </c>
      <c r="C153" s="35" t="inlineStr">
        <is>
          <t>Apr</t>
        </is>
      </c>
      <c r="D153" s="48">
        <f>SUMIFS('Bills Log'!$F$6:$F$505,'Bills Log'!$A$6:$A$505,"&gt;="&amp;DATE(Settings!$B$5,4,1),'Bills Log'!$A$6:$A$505,"&lt;"&amp;DATE(Settings!$B$5,5,1),'Bills Log'!$B$6:$B$505,A153,'Bills Log'!$C$6:$C$505,B153)</f>
        <v/>
      </c>
      <c r="E153" s="48">
        <f>SUMIFS('Bills Log'!$F$6:$F$505,'Bills Log'!$A$6:$A$505,"&gt;="&amp;DATE(Settings!$B$5-1,4,1),'Bills Log'!$A$6:$A$505,"&lt;"&amp;DATE((Settings!$B$5-1),5,1),'Bills Log'!$B$6:$B$505,A153,'Bills Log'!$C$6:$C$505,B153)</f>
        <v/>
      </c>
      <c r="F153" s="54">
        <f>IFERROR(IF(E153=0,"",D153/E153-1),"")</f>
        <v/>
      </c>
      <c r="G153" s="55">
        <f>D153-E153</f>
        <v/>
      </c>
      <c r="H153" s="56">
        <f>IFERROR(IF(ABS(D153/E153-1)&gt;0.25,"⚠ "&amp;ROUND((D153/E153-1)*100,0)&amp;"%",""),"")</f>
        <v/>
      </c>
    </row>
    <row r="154" ht="14" customHeight="1">
      <c r="A154" s="53">
        <f>Settings!$B$9</f>
        <v/>
      </c>
      <c r="B154" s="53" t="inlineStr">
        <is>
          <t>Electric</t>
        </is>
      </c>
      <c r="C154" s="35" t="inlineStr">
        <is>
          <t>May</t>
        </is>
      </c>
      <c r="D154" s="48">
        <f>SUMIFS('Bills Log'!$F$6:$F$505,'Bills Log'!$A$6:$A$505,"&gt;="&amp;DATE(Settings!$B$5,5,1),'Bills Log'!$A$6:$A$505,"&lt;"&amp;DATE(Settings!$B$5,6,1),'Bills Log'!$B$6:$B$505,A154,'Bills Log'!$C$6:$C$505,B154)</f>
        <v/>
      </c>
      <c r="E154" s="48">
        <f>SUMIFS('Bills Log'!$F$6:$F$505,'Bills Log'!$A$6:$A$505,"&gt;="&amp;DATE(Settings!$B$5-1,5,1),'Bills Log'!$A$6:$A$505,"&lt;"&amp;DATE((Settings!$B$5-1),6,1),'Bills Log'!$B$6:$B$505,A154,'Bills Log'!$C$6:$C$505,B154)</f>
        <v/>
      </c>
      <c r="F154" s="54">
        <f>IFERROR(IF(E154=0,"",D154/E154-1),"")</f>
        <v/>
      </c>
      <c r="G154" s="55">
        <f>D154-E154</f>
        <v/>
      </c>
      <c r="H154" s="56">
        <f>IFERROR(IF(ABS(D154/E154-1)&gt;0.25,"⚠ "&amp;ROUND((D154/E154-1)*100,0)&amp;"%",""),"")</f>
        <v/>
      </c>
    </row>
    <row r="155" ht="14" customHeight="1">
      <c r="A155" s="53">
        <f>Settings!$B$9</f>
        <v/>
      </c>
      <c r="B155" s="53" t="inlineStr">
        <is>
          <t>Electric</t>
        </is>
      </c>
      <c r="C155" s="35" t="inlineStr">
        <is>
          <t>Jun</t>
        </is>
      </c>
      <c r="D155" s="48">
        <f>SUMIFS('Bills Log'!$F$6:$F$505,'Bills Log'!$A$6:$A$505,"&gt;="&amp;DATE(Settings!$B$5,6,1),'Bills Log'!$A$6:$A$505,"&lt;"&amp;DATE(Settings!$B$5,7,1),'Bills Log'!$B$6:$B$505,A155,'Bills Log'!$C$6:$C$505,B155)</f>
        <v/>
      </c>
      <c r="E155" s="48">
        <f>SUMIFS('Bills Log'!$F$6:$F$505,'Bills Log'!$A$6:$A$505,"&gt;="&amp;DATE(Settings!$B$5-1,6,1),'Bills Log'!$A$6:$A$505,"&lt;"&amp;DATE((Settings!$B$5-1),7,1),'Bills Log'!$B$6:$B$505,A155,'Bills Log'!$C$6:$C$505,B155)</f>
        <v/>
      </c>
      <c r="F155" s="54">
        <f>IFERROR(IF(E155=0,"",D155/E155-1),"")</f>
        <v/>
      </c>
      <c r="G155" s="55">
        <f>D155-E155</f>
        <v/>
      </c>
      <c r="H155" s="56">
        <f>IFERROR(IF(ABS(D155/E155-1)&gt;0.25,"⚠ "&amp;ROUND((D155/E155-1)*100,0)&amp;"%",""),"")</f>
        <v/>
      </c>
    </row>
    <row r="156" ht="14" customHeight="1">
      <c r="A156" s="53">
        <f>Settings!$B$9</f>
        <v/>
      </c>
      <c r="B156" s="53" t="inlineStr">
        <is>
          <t>Electric</t>
        </is>
      </c>
      <c r="C156" s="35" t="inlineStr">
        <is>
          <t>Jul</t>
        </is>
      </c>
      <c r="D156" s="48">
        <f>SUMIFS('Bills Log'!$F$6:$F$505,'Bills Log'!$A$6:$A$505,"&gt;="&amp;DATE(Settings!$B$5,7,1),'Bills Log'!$A$6:$A$505,"&lt;"&amp;DATE(Settings!$B$5,8,1),'Bills Log'!$B$6:$B$505,A156,'Bills Log'!$C$6:$C$505,B156)</f>
        <v/>
      </c>
      <c r="E156" s="48">
        <f>SUMIFS('Bills Log'!$F$6:$F$505,'Bills Log'!$A$6:$A$505,"&gt;="&amp;DATE(Settings!$B$5-1,7,1),'Bills Log'!$A$6:$A$505,"&lt;"&amp;DATE((Settings!$B$5-1),8,1),'Bills Log'!$B$6:$B$505,A156,'Bills Log'!$C$6:$C$505,B156)</f>
        <v/>
      </c>
      <c r="F156" s="54">
        <f>IFERROR(IF(E156=0,"",D156/E156-1),"")</f>
        <v/>
      </c>
      <c r="G156" s="55">
        <f>D156-E156</f>
        <v/>
      </c>
      <c r="H156" s="56">
        <f>IFERROR(IF(ABS(D156/E156-1)&gt;0.25,"⚠ "&amp;ROUND((D156/E156-1)*100,0)&amp;"%",""),"")</f>
        <v/>
      </c>
    </row>
    <row r="157" ht="14" customHeight="1">
      <c r="A157" s="53">
        <f>Settings!$B$9</f>
        <v/>
      </c>
      <c r="B157" s="53" t="inlineStr">
        <is>
          <t>Electric</t>
        </is>
      </c>
      <c r="C157" s="35" t="inlineStr">
        <is>
          <t>Aug</t>
        </is>
      </c>
      <c r="D157" s="48">
        <f>SUMIFS('Bills Log'!$F$6:$F$505,'Bills Log'!$A$6:$A$505,"&gt;="&amp;DATE(Settings!$B$5,8,1),'Bills Log'!$A$6:$A$505,"&lt;"&amp;DATE(Settings!$B$5,9,1),'Bills Log'!$B$6:$B$505,A157,'Bills Log'!$C$6:$C$505,B157)</f>
        <v/>
      </c>
      <c r="E157" s="48">
        <f>SUMIFS('Bills Log'!$F$6:$F$505,'Bills Log'!$A$6:$A$505,"&gt;="&amp;DATE(Settings!$B$5-1,8,1),'Bills Log'!$A$6:$A$505,"&lt;"&amp;DATE((Settings!$B$5-1),9,1),'Bills Log'!$B$6:$B$505,A157,'Bills Log'!$C$6:$C$505,B157)</f>
        <v/>
      </c>
      <c r="F157" s="54">
        <f>IFERROR(IF(E157=0,"",D157/E157-1),"")</f>
        <v/>
      </c>
      <c r="G157" s="55">
        <f>D157-E157</f>
        <v/>
      </c>
      <c r="H157" s="56">
        <f>IFERROR(IF(ABS(D157/E157-1)&gt;0.25,"⚠ "&amp;ROUND((D157/E157-1)*100,0)&amp;"%",""),"")</f>
        <v/>
      </c>
    </row>
    <row r="158" ht="14" customHeight="1">
      <c r="A158" s="53">
        <f>Settings!$B$9</f>
        <v/>
      </c>
      <c r="B158" s="53" t="inlineStr">
        <is>
          <t>Electric</t>
        </is>
      </c>
      <c r="C158" s="35" t="inlineStr">
        <is>
          <t>Sep</t>
        </is>
      </c>
      <c r="D158" s="48">
        <f>SUMIFS('Bills Log'!$F$6:$F$505,'Bills Log'!$A$6:$A$505,"&gt;="&amp;DATE(Settings!$B$5,9,1),'Bills Log'!$A$6:$A$505,"&lt;"&amp;DATE(Settings!$B$5,10,1),'Bills Log'!$B$6:$B$505,A158,'Bills Log'!$C$6:$C$505,B158)</f>
        <v/>
      </c>
      <c r="E158" s="48">
        <f>SUMIFS('Bills Log'!$F$6:$F$505,'Bills Log'!$A$6:$A$505,"&gt;="&amp;DATE(Settings!$B$5-1,9,1),'Bills Log'!$A$6:$A$505,"&lt;"&amp;DATE((Settings!$B$5-1),10,1),'Bills Log'!$B$6:$B$505,A158,'Bills Log'!$C$6:$C$505,B158)</f>
        <v/>
      </c>
      <c r="F158" s="54">
        <f>IFERROR(IF(E158=0,"",D158/E158-1),"")</f>
        <v/>
      </c>
      <c r="G158" s="55">
        <f>D158-E158</f>
        <v/>
      </c>
      <c r="H158" s="56">
        <f>IFERROR(IF(ABS(D158/E158-1)&gt;0.25,"⚠ "&amp;ROUND((D158/E158-1)*100,0)&amp;"%",""),"")</f>
        <v/>
      </c>
    </row>
    <row r="159" ht="14" customHeight="1">
      <c r="A159" s="53">
        <f>Settings!$B$9</f>
        <v/>
      </c>
      <c r="B159" s="53" t="inlineStr">
        <is>
          <t>Electric</t>
        </is>
      </c>
      <c r="C159" s="35" t="inlineStr">
        <is>
          <t>Oct</t>
        </is>
      </c>
      <c r="D159" s="48">
        <f>SUMIFS('Bills Log'!$F$6:$F$505,'Bills Log'!$A$6:$A$505,"&gt;="&amp;DATE(Settings!$B$5,10,1),'Bills Log'!$A$6:$A$505,"&lt;"&amp;DATE(Settings!$B$5,11,1),'Bills Log'!$B$6:$B$505,A159,'Bills Log'!$C$6:$C$505,B159)</f>
        <v/>
      </c>
      <c r="E159" s="48">
        <f>SUMIFS('Bills Log'!$F$6:$F$505,'Bills Log'!$A$6:$A$505,"&gt;="&amp;DATE(Settings!$B$5-1,10,1),'Bills Log'!$A$6:$A$505,"&lt;"&amp;DATE((Settings!$B$5-1),11,1),'Bills Log'!$B$6:$B$505,A159,'Bills Log'!$C$6:$C$505,B159)</f>
        <v/>
      </c>
      <c r="F159" s="54">
        <f>IFERROR(IF(E159=0,"",D159/E159-1),"")</f>
        <v/>
      </c>
      <c r="G159" s="55">
        <f>D159-E159</f>
        <v/>
      </c>
      <c r="H159" s="56">
        <f>IFERROR(IF(ABS(D159/E159-1)&gt;0.25,"⚠ "&amp;ROUND((D159/E159-1)*100,0)&amp;"%",""),"")</f>
        <v/>
      </c>
    </row>
    <row r="160" ht="14" customHeight="1">
      <c r="A160" s="53">
        <f>Settings!$B$9</f>
        <v/>
      </c>
      <c r="B160" s="53" t="inlineStr">
        <is>
          <t>Electric</t>
        </is>
      </c>
      <c r="C160" s="35" t="inlineStr">
        <is>
          <t>Nov</t>
        </is>
      </c>
      <c r="D160" s="48">
        <f>SUMIFS('Bills Log'!$F$6:$F$505,'Bills Log'!$A$6:$A$505,"&gt;="&amp;DATE(Settings!$B$5,11,1),'Bills Log'!$A$6:$A$505,"&lt;"&amp;DATE(Settings!$B$5,12,1),'Bills Log'!$B$6:$B$505,A160,'Bills Log'!$C$6:$C$505,B160)</f>
        <v/>
      </c>
      <c r="E160" s="48">
        <f>SUMIFS('Bills Log'!$F$6:$F$505,'Bills Log'!$A$6:$A$505,"&gt;="&amp;DATE(Settings!$B$5-1,11,1),'Bills Log'!$A$6:$A$505,"&lt;"&amp;DATE((Settings!$B$5-1),12,1),'Bills Log'!$B$6:$B$505,A160,'Bills Log'!$C$6:$C$505,B160)</f>
        <v/>
      </c>
      <c r="F160" s="54">
        <f>IFERROR(IF(E160=0,"",D160/E160-1),"")</f>
        <v/>
      </c>
      <c r="G160" s="55">
        <f>D160-E160</f>
        <v/>
      </c>
      <c r="H160" s="56">
        <f>IFERROR(IF(ABS(D160/E160-1)&gt;0.25,"⚠ "&amp;ROUND((D160/E160-1)*100,0)&amp;"%",""),"")</f>
        <v/>
      </c>
    </row>
    <row r="161" ht="14" customHeight="1">
      <c r="A161" s="53">
        <f>Settings!$B$9</f>
        <v/>
      </c>
      <c r="B161" s="53" t="inlineStr">
        <is>
          <t>Electric</t>
        </is>
      </c>
      <c r="C161" s="35" t="inlineStr">
        <is>
          <t>Dec</t>
        </is>
      </c>
      <c r="D161" s="48">
        <f>SUMIFS('Bills Log'!$F$6:$F$505,'Bills Log'!$A$6:$A$505,"&gt;="&amp;DATE(Settings!$B$5,12,1),'Bills Log'!$A$6:$A$505,"&lt;"&amp;DATE(Settings!$B$5+1,1,1),'Bills Log'!$B$6:$B$505,A161,'Bills Log'!$C$6:$C$505,B161)</f>
        <v/>
      </c>
      <c r="E161" s="48">
        <f>SUMIFS('Bills Log'!$F$6:$F$505,'Bills Log'!$A$6:$A$505,"&gt;="&amp;DATE(Settings!$B$5-1,12,1),'Bills Log'!$A$6:$A$505,"&lt;"&amp;DATE(Settings!$B$5,1,1),'Bills Log'!$B$6:$B$505,A161,'Bills Log'!$C$6:$C$505,B161)</f>
        <v/>
      </c>
      <c r="F161" s="54">
        <f>IFERROR(IF(E161=0,"",D161/E161-1),"")</f>
        <v/>
      </c>
      <c r="G161" s="55">
        <f>D161-E161</f>
        <v/>
      </c>
      <c r="H161" s="56">
        <f>IFERROR(IF(ABS(D161/E161-1)&gt;0.25,"⚠ "&amp;ROUND((D161/E161-1)*100,0)&amp;"%",""),"")</f>
        <v/>
      </c>
    </row>
    <row r="162" ht="14" customHeight="1">
      <c r="A162" s="53">
        <f>Settings!$B$9</f>
        <v/>
      </c>
      <c r="B162" s="53" t="inlineStr">
        <is>
          <t>Gas</t>
        </is>
      </c>
      <c r="C162" s="35" t="inlineStr">
        <is>
          <t>Jan</t>
        </is>
      </c>
      <c r="D162" s="48">
        <f>SUMIFS('Bills Log'!$F$6:$F$505,'Bills Log'!$A$6:$A$505,"&gt;="&amp;DATE(Settings!$B$5,1,1),'Bills Log'!$A$6:$A$505,"&lt;"&amp;DATE(Settings!$B$5,2,1),'Bills Log'!$B$6:$B$505,A162,'Bills Log'!$C$6:$C$505,B162)</f>
        <v/>
      </c>
      <c r="E162" s="48">
        <f>SUMIFS('Bills Log'!$F$6:$F$505,'Bills Log'!$A$6:$A$505,"&gt;="&amp;DATE(Settings!$B$5-1,1,1),'Bills Log'!$A$6:$A$505,"&lt;"&amp;DATE((Settings!$B$5-1),2,1),'Bills Log'!$B$6:$B$505,A162,'Bills Log'!$C$6:$C$505,B162)</f>
        <v/>
      </c>
      <c r="F162" s="54">
        <f>IFERROR(IF(E162=0,"",D162/E162-1),"")</f>
        <v/>
      </c>
      <c r="G162" s="55">
        <f>D162-E162</f>
        <v/>
      </c>
      <c r="H162" s="56">
        <f>IFERROR(IF(ABS(D162/E162-1)&gt;0.25,"⚠ "&amp;ROUND((D162/E162-1)*100,0)&amp;"%",""),"")</f>
        <v/>
      </c>
    </row>
    <row r="163" ht="14" customHeight="1">
      <c r="A163" s="53">
        <f>Settings!$B$9</f>
        <v/>
      </c>
      <c r="B163" s="53" t="inlineStr">
        <is>
          <t>Gas</t>
        </is>
      </c>
      <c r="C163" s="35" t="inlineStr">
        <is>
          <t>Feb</t>
        </is>
      </c>
      <c r="D163" s="48">
        <f>SUMIFS('Bills Log'!$F$6:$F$505,'Bills Log'!$A$6:$A$505,"&gt;="&amp;DATE(Settings!$B$5,2,1),'Bills Log'!$A$6:$A$505,"&lt;"&amp;DATE(Settings!$B$5,3,1),'Bills Log'!$B$6:$B$505,A163,'Bills Log'!$C$6:$C$505,B163)</f>
        <v/>
      </c>
      <c r="E163" s="48">
        <f>SUMIFS('Bills Log'!$F$6:$F$505,'Bills Log'!$A$6:$A$505,"&gt;="&amp;DATE(Settings!$B$5-1,2,1),'Bills Log'!$A$6:$A$505,"&lt;"&amp;DATE((Settings!$B$5-1),3,1),'Bills Log'!$B$6:$B$505,A163,'Bills Log'!$C$6:$C$505,B163)</f>
        <v/>
      </c>
      <c r="F163" s="54">
        <f>IFERROR(IF(E163=0,"",D163/E163-1),"")</f>
        <v/>
      </c>
      <c r="G163" s="55">
        <f>D163-E163</f>
        <v/>
      </c>
      <c r="H163" s="56">
        <f>IFERROR(IF(ABS(D163/E163-1)&gt;0.25,"⚠ "&amp;ROUND((D163/E163-1)*100,0)&amp;"%",""),"")</f>
        <v/>
      </c>
    </row>
    <row r="164" ht="14" customHeight="1">
      <c r="A164" s="53">
        <f>Settings!$B$9</f>
        <v/>
      </c>
      <c r="B164" s="53" t="inlineStr">
        <is>
          <t>Gas</t>
        </is>
      </c>
      <c r="C164" s="35" t="inlineStr">
        <is>
          <t>Mar</t>
        </is>
      </c>
      <c r="D164" s="48">
        <f>SUMIFS('Bills Log'!$F$6:$F$505,'Bills Log'!$A$6:$A$505,"&gt;="&amp;DATE(Settings!$B$5,3,1),'Bills Log'!$A$6:$A$505,"&lt;"&amp;DATE(Settings!$B$5,4,1),'Bills Log'!$B$6:$B$505,A164,'Bills Log'!$C$6:$C$505,B164)</f>
        <v/>
      </c>
      <c r="E164" s="48">
        <f>SUMIFS('Bills Log'!$F$6:$F$505,'Bills Log'!$A$6:$A$505,"&gt;="&amp;DATE(Settings!$B$5-1,3,1),'Bills Log'!$A$6:$A$505,"&lt;"&amp;DATE((Settings!$B$5-1),4,1),'Bills Log'!$B$6:$B$505,A164,'Bills Log'!$C$6:$C$505,B164)</f>
        <v/>
      </c>
      <c r="F164" s="54">
        <f>IFERROR(IF(E164=0,"",D164/E164-1),"")</f>
        <v/>
      </c>
      <c r="G164" s="55">
        <f>D164-E164</f>
        <v/>
      </c>
      <c r="H164" s="56">
        <f>IFERROR(IF(ABS(D164/E164-1)&gt;0.25,"⚠ "&amp;ROUND((D164/E164-1)*100,0)&amp;"%",""),"")</f>
        <v/>
      </c>
    </row>
    <row r="165" ht="14" customHeight="1">
      <c r="A165" s="53">
        <f>Settings!$B$9</f>
        <v/>
      </c>
      <c r="B165" s="53" t="inlineStr">
        <is>
          <t>Gas</t>
        </is>
      </c>
      <c r="C165" s="35" t="inlineStr">
        <is>
          <t>Apr</t>
        </is>
      </c>
      <c r="D165" s="48">
        <f>SUMIFS('Bills Log'!$F$6:$F$505,'Bills Log'!$A$6:$A$505,"&gt;="&amp;DATE(Settings!$B$5,4,1),'Bills Log'!$A$6:$A$505,"&lt;"&amp;DATE(Settings!$B$5,5,1),'Bills Log'!$B$6:$B$505,A165,'Bills Log'!$C$6:$C$505,B165)</f>
        <v/>
      </c>
      <c r="E165" s="48">
        <f>SUMIFS('Bills Log'!$F$6:$F$505,'Bills Log'!$A$6:$A$505,"&gt;="&amp;DATE(Settings!$B$5-1,4,1),'Bills Log'!$A$6:$A$505,"&lt;"&amp;DATE((Settings!$B$5-1),5,1),'Bills Log'!$B$6:$B$505,A165,'Bills Log'!$C$6:$C$505,B165)</f>
        <v/>
      </c>
      <c r="F165" s="54">
        <f>IFERROR(IF(E165=0,"",D165/E165-1),"")</f>
        <v/>
      </c>
      <c r="G165" s="55">
        <f>D165-E165</f>
        <v/>
      </c>
      <c r="H165" s="56">
        <f>IFERROR(IF(ABS(D165/E165-1)&gt;0.25,"⚠ "&amp;ROUND((D165/E165-1)*100,0)&amp;"%",""),"")</f>
        <v/>
      </c>
    </row>
    <row r="166" ht="14" customHeight="1">
      <c r="A166" s="53">
        <f>Settings!$B$9</f>
        <v/>
      </c>
      <c r="B166" s="53" t="inlineStr">
        <is>
          <t>Gas</t>
        </is>
      </c>
      <c r="C166" s="35" t="inlineStr">
        <is>
          <t>May</t>
        </is>
      </c>
      <c r="D166" s="48">
        <f>SUMIFS('Bills Log'!$F$6:$F$505,'Bills Log'!$A$6:$A$505,"&gt;="&amp;DATE(Settings!$B$5,5,1),'Bills Log'!$A$6:$A$505,"&lt;"&amp;DATE(Settings!$B$5,6,1),'Bills Log'!$B$6:$B$505,A166,'Bills Log'!$C$6:$C$505,B166)</f>
        <v/>
      </c>
      <c r="E166" s="48">
        <f>SUMIFS('Bills Log'!$F$6:$F$505,'Bills Log'!$A$6:$A$505,"&gt;="&amp;DATE(Settings!$B$5-1,5,1),'Bills Log'!$A$6:$A$505,"&lt;"&amp;DATE((Settings!$B$5-1),6,1),'Bills Log'!$B$6:$B$505,A166,'Bills Log'!$C$6:$C$505,B166)</f>
        <v/>
      </c>
      <c r="F166" s="54">
        <f>IFERROR(IF(E166=0,"",D166/E166-1),"")</f>
        <v/>
      </c>
      <c r="G166" s="55">
        <f>D166-E166</f>
        <v/>
      </c>
      <c r="H166" s="56">
        <f>IFERROR(IF(ABS(D166/E166-1)&gt;0.25,"⚠ "&amp;ROUND((D166/E166-1)*100,0)&amp;"%",""),"")</f>
        <v/>
      </c>
    </row>
    <row r="167" ht="14" customHeight="1">
      <c r="A167" s="53">
        <f>Settings!$B$9</f>
        <v/>
      </c>
      <c r="B167" s="53" t="inlineStr">
        <is>
          <t>Gas</t>
        </is>
      </c>
      <c r="C167" s="35" t="inlineStr">
        <is>
          <t>Jun</t>
        </is>
      </c>
      <c r="D167" s="48">
        <f>SUMIFS('Bills Log'!$F$6:$F$505,'Bills Log'!$A$6:$A$505,"&gt;="&amp;DATE(Settings!$B$5,6,1),'Bills Log'!$A$6:$A$505,"&lt;"&amp;DATE(Settings!$B$5,7,1),'Bills Log'!$B$6:$B$505,A167,'Bills Log'!$C$6:$C$505,B167)</f>
        <v/>
      </c>
      <c r="E167" s="48">
        <f>SUMIFS('Bills Log'!$F$6:$F$505,'Bills Log'!$A$6:$A$505,"&gt;="&amp;DATE(Settings!$B$5-1,6,1),'Bills Log'!$A$6:$A$505,"&lt;"&amp;DATE((Settings!$B$5-1),7,1),'Bills Log'!$B$6:$B$505,A167,'Bills Log'!$C$6:$C$505,B167)</f>
        <v/>
      </c>
      <c r="F167" s="54">
        <f>IFERROR(IF(E167=0,"",D167/E167-1),"")</f>
        <v/>
      </c>
      <c r="G167" s="55">
        <f>D167-E167</f>
        <v/>
      </c>
      <c r="H167" s="56">
        <f>IFERROR(IF(ABS(D167/E167-1)&gt;0.25,"⚠ "&amp;ROUND((D167/E167-1)*100,0)&amp;"%",""),"")</f>
        <v/>
      </c>
    </row>
    <row r="168" ht="14" customHeight="1">
      <c r="A168" s="53">
        <f>Settings!$B$9</f>
        <v/>
      </c>
      <c r="B168" s="53" t="inlineStr">
        <is>
          <t>Gas</t>
        </is>
      </c>
      <c r="C168" s="35" t="inlineStr">
        <is>
          <t>Jul</t>
        </is>
      </c>
      <c r="D168" s="48">
        <f>SUMIFS('Bills Log'!$F$6:$F$505,'Bills Log'!$A$6:$A$505,"&gt;="&amp;DATE(Settings!$B$5,7,1),'Bills Log'!$A$6:$A$505,"&lt;"&amp;DATE(Settings!$B$5,8,1),'Bills Log'!$B$6:$B$505,A168,'Bills Log'!$C$6:$C$505,B168)</f>
        <v/>
      </c>
      <c r="E168" s="48">
        <f>SUMIFS('Bills Log'!$F$6:$F$505,'Bills Log'!$A$6:$A$505,"&gt;="&amp;DATE(Settings!$B$5-1,7,1),'Bills Log'!$A$6:$A$505,"&lt;"&amp;DATE((Settings!$B$5-1),8,1),'Bills Log'!$B$6:$B$505,A168,'Bills Log'!$C$6:$C$505,B168)</f>
        <v/>
      </c>
      <c r="F168" s="54">
        <f>IFERROR(IF(E168=0,"",D168/E168-1),"")</f>
        <v/>
      </c>
      <c r="G168" s="55">
        <f>D168-E168</f>
        <v/>
      </c>
      <c r="H168" s="56">
        <f>IFERROR(IF(ABS(D168/E168-1)&gt;0.25,"⚠ "&amp;ROUND((D168/E168-1)*100,0)&amp;"%",""),"")</f>
        <v/>
      </c>
    </row>
    <row r="169" ht="14" customHeight="1">
      <c r="A169" s="53">
        <f>Settings!$B$9</f>
        <v/>
      </c>
      <c r="B169" s="53" t="inlineStr">
        <is>
          <t>Gas</t>
        </is>
      </c>
      <c r="C169" s="35" t="inlineStr">
        <is>
          <t>Aug</t>
        </is>
      </c>
      <c r="D169" s="48">
        <f>SUMIFS('Bills Log'!$F$6:$F$505,'Bills Log'!$A$6:$A$505,"&gt;="&amp;DATE(Settings!$B$5,8,1),'Bills Log'!$A$6:$A$505,"&lt;"&amp;DATE(Settings!$B$5,9,1),'Bills Log'!$B$6:$B$505,A169,'Bills Log'!$C$6:$C$505,B169)</f>
        <v/>
      </c>
      <c r="E169" s="48">
        <f>SUMIFS('Bills Log'!$F$6:$F$505,'Bills Log'!$A$6:$A$505,"&gt;="&amp;DATE(Settings!$B$5-1,8,1),'Bills Log'!$A$6:$A$505,"&lt;"&amp;DATE((Settings!$B$5-1),9,1),'Bills Log'!$B$6:$B$505,A169,'Bills Log'!$C$6:$C$505,B169)</f>
        <v/>
      </c>
      <c r="F169" s="54">
        <f>IFERROR(IF(E169=0,"",D169/E169-1),"")</f>
        <v/>
      </c>
      <c r="G169" s="55">
        <f>D169-E169</f>
        <v/>
      </c>
      <c r="H169" s="56">
        <f>IFERROR(IF(ABS(D169/E169-1)&gt;0.25,"⚠ "&amp;ROUND((D169/E169-1)*100,0)&amp;"%",""),"")</f>
        <v/>
      </c>
    </row>
    <row r="170" ht="14" customHeight="1">
      <c r="A170" s="53">
        <f>Settings!$B$9</f>
        <v/>
      </c>
      <c r="B170" s="53" t="inlineStr">
        <is>
          <t>Gas</t>
        </is>
      </c>
      <c r="C170" s="35" t="inlineStr">
        <is>
          <t>Sep</t>
        </is>
      </c>
      <c r="D170" s="48">
        <f>SUMIFS('Bills Log'!$F$6:$F$505,'Bills Log'!$A$6:$A$505,"&gt;="&amp;DATE(Settings!$B$5,9,1),'Bills Log'!$A$6:$A$505,"&lt;"&amp;DATE(Settings!$B$5,10,1),'Bills Log'!$B$6:$B$505,A170,'Bills Log'!$C$6:$C$505,B170)</f>
        <v/>
      </c>
      <c r="E170" s="48">
        <f>SUMIFS('Bills Log'!$F$6:$F$505,'Bills Log'!$A$6:$A$505,"&gt;="&amp;DATE(Settings!$B$5-1,9,1),'Bills Log'!$A$6:$A$505,"&lt;"&amp;DATE((Settings!$B$5-1),10,1),'Bills Log'!$B$6:$B$505,A170,'Bills Log'!$C$6:$C$505,B170)</f>
        <v/>
      </c>
      <c r="F170" s="54">
        <f>IFERROR(IF(E170=0,"",D170/E170-1),"")</f>
        <v/>
      </c>
      <c r="G170" s="55">
        <f>D170-E170</f>
        <v/>
      </c>
      <c r="H170" s="56">
        <f>IFERROR(IF(ABS(D170/E170-1)&gt;0.25,"⚠ "&amp;ROUND((D170/E170-1)*100,0)&amp;"%",""),"")</f>
        <v/>
      </c>
    </row>
    <row r="171" ht="14" customHeight="1">
      <c r="A171" s="53">
        <f>Settings!$B$9</f>
        <v/>
      </c>
      <c r="B171" s="53" t="inlineStr">
        <is>
          <t>Gas</t>
        </is>
      </c>
      <c r="C171" s="35" t="inlineStr">
        <is>
          <t>Oct</t>
        </is>
      </c>
      <c r="D171" s="48">
        <f>SUMIFS('Bills Log'!$F$6:$F$505,'Bills Log'!$A$6:$A$505,"&gt;="&amp;DATE(Settings!$B$5,10,1),'Bills Log'!$A$6:$A$505,"&lt;"&amp;DATE(Settings!$B$5,11,1),'Bills Log'!$B$6:$B$505,A171,'Bills Log'!$C$6:$C$505,B171)</f>
        <v/>
      </c>
      <c r="E171" s="48">
        <f>SUMIFS('Bills Log'!$F$6:$F$505,'Bills Log'!$A$6:$A$505,"&gt;="&amp;DATE(Settings!$B$5-1,10,1),'Bills Log'!$A$6:$A$505,"&lt;"&amp;DATE((Settings!$B$5-1),11,1),'Bills Log'!$B$6:$B$505,A171,'Bills Log'!$C$6:$C$505,B171)</f>
        <v/>
      </c>
      <c r="F171" s="54">
        <f>IFERROR(IF(E171=0,"",D171/E171-1),"")</f>
        <v/>
      </c>
      <c r="G171" s="55">
        <f>D171-E171</f>
        <v/>
      </c>
      <c r="H171" s="56">
        <f>IFERROR(IF(ABS(D171/E171-1)&gt;0.25,"⚠ "&amp;ROUND((D171/E171-1)*100,0)&amp;"%",""),"")</f>
        <v/>
      </c>
    </row>
    <row r="172" ht="14" customHeight="1">
      <c r="A172" s="53">
        <f>Settings!$B$9</f>
        <v/>
      </c>
      <c r="B172" s="53" t="inlineStr">
        <is>
          <t>Gas</t>
        </is>
      </c>
      <c r="C172" s="35" t="inlineStr">
        <is>
          <t>Nov</t>
        </is>
      </c>
      <c r="D172" s="48">
        <f>SUMIFS('Bills Log'!$F$6:$F$505,'Bills Log'!$A$6:$A$505,"&gt;="&amp;DATE(Settings!$B$5,11,1),'Bills Log'!$A$6:$A$505,"&lt;"&amp;DATE(Settings!$B$5,12,1),'Bills Log'!$B$6:$B$505,A172,'Bills Log'!$C$6:$C$505,B172)</f>
        <v/>
      </c>
      <c r="E172" s="48">
        <f>SUMIFS('Bills Log'!$F$6:$F$505,'Bills Log'!$A$6:$A$505,"&gt;="&amp;DATE(Settings!$B$5-1,11,1),'Bills Log'!$A$6:$A$505,"&lt;"&amp;DATE((Settings!$B$5-1),12,1),'Bills Log'!$B$6:$B$505,A172,'Bills Log'!$C$6:$C$505,B172)</f>
        <v/>
      </c>
      <c r="F172" s="54">
        <f>IFERROR(IF(E172=0,"",D172/E172-1),"")</f>
        <v/>
      </c>
      <c r="G172" s="55">
        <f>D172-E172</f>
        <v/>
      </c>
      <c r="H172" s="56">
        <f>IFERROR(IF(ABS(D172/E172-1)&gt;0.25,"⚠ "&amp;ROUND((D172/E172-1)*100,0)&amp;"%",""),"")</f>
        <v/>
      </c>
    </row>
    <row r="173" ht="14" customHeight="1">
      <c r="A173" s="53">
        <f>Settings!$B$9</f>
        <v/>
      </c>
      <c r="B173" s="53" t="inlineStr">
        <is>
          <t>Gas</t>
        </is>
      </c>
      <c r="C173" s="35" t="inlineStr">
        <is>
          <t>Dec</t>
        </is>
      </c>
      <c r="D173" s="48">
        <f>SUMIFS('Bills Log'!$F$6:$F$505,'Bills Log'!$A$6:$A$505,"&gt;="&amp;DATE(Settings!$B$5,12,1),'Bills Log'!$A$6:$A$505,"&lt;"&amp;DATE(Settings!$B$5+1,1,1),'Bills Log'!$B$6:$B$505,A173,'Bills Log'!$C$6:$C$505,B173)</f>
        <v/>
      </c>
      <c r="E173" s="48">
        <f>SUMIFS('Bills Log'!$F$6:$F$505,'Bills Log'!$A$6:$A$505,"&gt;="&amp;DATE(Settings!$B$5-1,12,1),'Bills Log'!$A$6:$A$505,"&lt;"&amp;DATE(Settings!$B$5,1,1),'Bills Log'!$B$6:$B$505,A173,'Bills Log'!$C$6:$C$505,B173)</f>
        <v/>
      </c>
      <c r="F173" s="54">
        <f>IFERROR(IF(E173=0,"",D173/E173-1),"")</f>
        <v/>
      </c>
      <c r="G173" s="55">
        <f>D173-E173</f>
        <v/>
      </c>
      <c r="H173" s="56">
        <f>IFERROR(IF(ABS(D173/E173-1)&gt;0.25,"⚠ "&amp;ROUND((D173/E173-1)*100,0)&amp;"%",""),"")</f>
        <v/>
      </c>
    </row>
    <row r="174" ht="14" customHeight="1">
      <c r="A174" s="53">
        <f>Settings!$B$9</f>
        <v/>
      </c>
      <c r="B174" s="53" t="inlineStr">
        <is>
          <t>Water</t>
        </is>
      </c>
      <c r="C174" s="35" t="inlineStr">
        <is>
          <t>Jan</t>
        </is>
      </c>
      <c r="D174" s="48">
        <f>SUMIFS('Bills Log'!$F$6:$F$505,'Bills Log'!$A$6:$A$505,"&gt;="&amp;DATE(Settings!$B$5,1,1),'Bills Log'!$A$6:$A$505,"&lt;"&amp;DATE(Settings!$B$5,2,1),'Bills Log'!$B$6:$B$505,A174,'Bills Log'!$C$6:$C$505,B174)</f>
        <v/>
      </c>
      <c r="E174" s="48">
        <f>SUMIFS('Bills Log'!$F$6:$F$505,'Bills Log'!$A$6:$A$505,"&gt;="&amp;DATE(Settings!$B$5-1,1,1),'Bills Log'!$A$6:$A$505,"&lt;"&amp;DATE((Settings!$B$5-1),2,1),'Bills Log'!$B$6:$B$505,A174,'Bills Log'!$C$6:$C$505,B174)</f>
        <v/>
      </c>
      <c r="F174" s="54">
        <f>IFERROR(IF(E174=0,"",D174/E174-1),"")</f>
        <v/>
      </c>
      <c r="G174" s="55">
        <f>D174-E174</f>
        <v/>
      </c>
      <c r="H174" s="56">
        <f>IFERROR(IF(ABS(D174/E174-1)&gt;0.25,"⚠ "&amp;ROUND((D174/E174-1)*100,0)&amp;"%",""),"")</f>
        <v/>
      </c>
    </row>
    <row r="175" ht="14" customHeight="1">
      <c r="A175" s="53">
        <f>Settings!$B$9</f>
        <v/>
      </c>
      <c r="B175" s="53" t="inlineStr">
        <is>
          <t>Water</t>
        </is>
      </c>
      <c r="C175" s="35" t="inlineStr">
        <is>
          <t>Feb</t>
        </is>
      </c>
      <c r="D175" s="48">
        <f>SUMIFS('Bills Log'!$F$6:$F$505,'Bills Log'!$A$6:$A$505,"&gt;="&amp;DATE(Settings!$B$5,2,1),'Bills Log'!$A$6:$A$505,"&lt;"&amp;DATE(Settings!$B$5,3,1),'Bills Log'!$B$6:$B$505,A175,'Bills Log'!$C$6:$C$505,B175)</f>
        <v/>
      </c>
      <c r="E175" s="48">
        <f>SUMIFS('Bills Log'!$F$6:$F$505,'Bills Log'!$A$6:$A$505,"&gt;="&amp;DATE(Settings!$B$5-1,2,1),'Bills Log'!$A$6:$A$505,"&lt;"&amp;DATE((Settings!$B$5-1),3,1),'Bills Log'!$B$6:$B$505,A175,'Bills Log'!$C$6:$C$505,B175)</f>
        <v/>
      </c>
      <c r="F175" s="54">
        <f>IFERROR(IF(E175=0,"",D175/E175-1),"")</f>
        <v/>
      </c>
      <c r="G175" s="55">
        <f>D175-E175</f>
        <v/>
      </c>
      <c r="H175" s="56">
        <f>IFERROR(IF(ABS(D175/E175-1)&gt;0.25,"⚠ "&amp;ROUND((D175/E175-1)*100,0)&amp;"%",""),"")</f>
        <v/>
      </c>
    </row>
    <row r="176" ht="14" customHeight="1">
      <c r="A176" s="53">
        <f>Settings!$B$9</f>
        <v/>
      </c>
      <c r="B176" s="53" t="inlineStr">
        <is>
          <t>Water</t>
        </is>
      </c>
      <c r="C176" s="35" t="inlineStr">
        <is>
          <t>Mar</t>
        </is>
      </c>
      <c r="D176" s="48">
        <f>SUMIFS('Bills Log'!$F$6:$F$505,'Bills Log'!$A$6:$A$505,"&gt;="&amp;DATE(Settings!$B$5,3,1),'Bills Log'!$A$6:$A$505,"&lt;"&amp;DATE(Settings!$B$5,4,1),'Bills Log'!$B$6:$B$505,A176,'Bills Log'!$C$6:$C$505,B176)</f>
        <v/>
      </c>
      <c r="E176" s="48">
        <f>SUMIFS('Bills Log'!$F$6:$F$505,'Bills Log'!$A$6:$A$505,"&gt;="&amp;DATE(Settings!$B$5-1,3,1),'Bills Log'!$A$6:$A$505,"&lt;"&amp;DATE((Settings!$B$5-1),4,1),'Bills Log'!$B$6:$B$505,A176,'Bills Log'!$C$6:$C$505,B176)</f>
        <v/>
      </c>
      <c r="F176" s="54">
        <f>IFERROR(IF(E176=0,"",D176/E176-1),"")</f>
        <v/>
      </c>
      <c r="G176" s="55">
        <f>D176-E176</f>
        <v/>
      </c>
      <c r="H176" s="56">
        <f>IFERROR(IF(ABS(D176/E176-1)&gt;0.25,"⚠ "&amp;ROUND((D176/E176-1)*100,0)&amp;"%",""),"")</f>
        <v/>
      </c>
    </row>
    <row r="177" ht="14" customHeight="1">
      <c r="A177" s="53">
        <f>Settings!$B$9</f>
        <v/>
      </c>
      <c r="B177" s="53" t="inlineStr">
        <is>
          <t>Water</t>
        </is>
      </c>
      <c r="C177" s="35" t="inlineStr">
        <is>
          <t>Apr</t>
        </is>
      </c>
      <c r="D177" s="48">
        <f>SUMIFS('Bills Log'!$F$6:$F$505,'Bills Log'!$A$6:$A$505,"&gt;="&amp;DATE(Settings!$B$5,4,1),'Bills Log'!$A$6:$A$505,"&lt;"&amp;DATE(Settings!$B$5,5,1),'Bills Log'!$B$6:$B$505,A177,'Bills Log'!$C$6:$C$505,B177)</f>
        <v/>
      </c>
      <c r="E177" s="48">
        <f>SUMIFS('Bills Log'!$F$6:$F$505,'Bills Log'!$A$6:$A$505,"&gt;="&amp;DATE(Settings!$B$5-1,4,1),'Bills Log'!$A$6:$A$505,"&lt;"&amp;DATE((Settings!$B$5-1),5,1),'Bills Log'!$B$6:$B$505,A177,'Bills Log'!$C$6:$C$505,B177)</f>
        <v/>
      </c>
      <c r="F177" s="54">
        <f>IFERROR(IF(E177=0,"",D177/E177-1),"")</f>
        <v/>
      </c>
      <c r="G177" s="55">
        <f>D177-E177</f>
        <v/>
      </c>
      <c r="H177" s="56">
        <f>IFERROR(IF(ABS(D177/E177-1)&gt;0.25,"⚠ "&amp;ROUND((D177/E177-1)*100,0)&amp;"%",""),"")</f>
        <v/>
      </c>
    </row>
    <row r="178" ht="14" customHeight="1">
      <c r="A178" s="53">
        <f>Settings!$B$9</f>
        <v/>
      </c>
      <c r="B178" s="53" t="inlineStr">
        <is>
          <t>Water</t>
        </is>
      </c>
      <c r="C178" s="35" t="inlineStr">
        <is>
          <t>May</t>
        </is>
      </c>
      <c r="D178" s="48">
        <f>SUMIFS('Bills Log'!$F$6:$F$505,'Bills Log'!$A$6:$A$505,"&gt;="&amp;DATE(Settings!$B$5,5,1),'Bills Log'!$A$6:$A$505,"&lt;"&amp;DATE(Settings!$B$5,6,1),'Bills Log'!$B$6:$B$505,A178,'Bills Log'!$C$6:$C$505,B178)</f>
        <v/>
      </c>
      <c r="E178" s="48">
        <f>SUMIFS('Bills Log'!$F$6:$F$505,'Bills Log'!$A$6:$A$505,"&gt;="&amp;DATE(Settings!$B$5-1,5,1),'Bills Log'!$A$6:$A$505,"&lt;"&amp;DATE((Settings!$B$5-1),6,1),'Bills Log'!$B$6:$B$505,A178,'Bills Log'!$C$6:$C$505,B178)</f>
        <v/>
      </c>
      <c r="F178" s="54">
        <f>IFERROR(IF(E178=0,"",D178/E178-1),"")</f>
        <v/>
      </c>
      <c r="G178" s="55">
        <f>D178-E178</f>
        <v/>
      </c>
      <c r="H178" s="56">
        <f>IFERROR(IF(ABS(D178/E178-1)&gt;0.25,"⚠ "&amp;ROUND((D178/E178-1)*100,0)&amp;"%",""),"")</f>
        <v/>
      </c>
    </row>
    <row r="179" ht="14" customHeight="1">
      <c r="A179" s="53">
        <f>Settings!$B$9</f>
        <v/>
      </c>
      <c r="B179" s="53" t="inlineStr">
        <is>
          <t>Water</t>
        </is>
      </c>
      <c r="C179" s="35" t="inlineStr">
        <is>
          <t>Jun</t>
        </is>
      </c>
      <c r="D179" s="48">
        <f>SUMIFS('Bills Log'!$F$6:$F$505,'Bills Log'!$A$6:$A$505,"&gt;="&amp;DATE(Settings!$B$5,6,1),'Bills Log'!$A$6:$A$505,"&lt;"&amp;DATE(Settings!$B$5,7,1),'Bills Log'!$B$6:$B$505,A179,'Bills Log'!$C$6:$C$505,B179)</f>
        <v/>
      </c>
      <c r="E179" s="48">
        <f>SUMIFS('Bills Log'!$F$6:$F$505,'Bills Log'!$A$6:$A$505,"&gt;="&amp;DATE(Settings!$B$5-1,6,1),'Bills Log'!$A$6:$A$505,"&lt;"&amp;DATE((Settings!$B$5-1),7,1),'Bills Log'!$B$6:$B$505,A179,'Bills Log'!$C$6:$C$505,B179)</f>
        <v/>
      </c>
      <c r="F179" s="54">
        <f>IFERROR(IF(E179=0,"",D179/E179-1),"")</f>
        <v/>
      </c>
      <c r="G179" s="55">
        <f>D179-E179</f>
        <v/>
      </c>
      <c r="H179" s="56">
        <f>IFERROR(IF(ABS(D179/E179-1)&gt;0.25,"⚠ "&amp;ROUND((D179/E179-1)*100,0)&amp;"%",""),"")</f>
        <v/>
      </c>
    </row>
    <row r="180" ht="14" customHeight="1">
      <c r="A180" s="53">
        <f>Settings!$B$9</f>
        <v/>
      </c>
      <c r="B180" s="53" t="inlineStr">
        <is>
          <t>Water</t>
        </is>
      </c>
      <c r="C180" s="35" t="inlineStr">
        <is>
          <t>Jul</t>
        </is>
      </c>
      <c r="D180" s="48">
        <f>SUMIFS('Bills Log'!$F$6:$F$505,'Bills Log'!$A$6:$A$505,"&gt;="&amp;DATE(Settings!$B$5,7,1),'Bills Log'!$A$6:$A$505,"&lt;"&amp;DATE(Settings!$B$5,8,1),'Bills Log'!$B$6:$B$505,A180,'Bills Log'!$C$6:$C$505,B180)</f>
        <v/>
      </c>
      <c r="E180" s="48">
        <f>SUMIFS('Bills Log'!$F$6:$F$505,'Bills Log'!$A$6:$A$505,"&gt;="&amp;DATE(Settings!$B$5-1,7,1),'Bills Log'!$A$6:$A$505,"&lt;"&amp;DATE((Settings!$B$5-1),8,1),'Bills Log'!$B$6:$B$505,A180,'Bills Log'!$C$6:$C$505,B180)</f>
        <v/>
      </c>
      <c r="F180" s="54">
        <f>IFERROR(IF(E180=0,"",D180/E180-1),"")</f>
        <v/>
      </c>
      <c r="G180" s="55">
        <f>D180-E180</f>
        <v/>
      </c>
      <c r="H180" s="56">
        <f>IFERROR(IF(ABS(D180/E180-1)&gt;0.25,"⚠ "&amp;ROUND((D180/E180-1)*100,0)&amp;"%",""),"")</f>
        <v/>
      </c>
    </row>
    <row r="181" ht="14" customHeight="1">
      <c r="A181" s="53">
        <f>Settings!$B$9</f>
        <v/>
      </c>
      <c r="B181" s="53" t="inlineStr">
        <is>
          <t>Water</t>
        </is>
      </c>
      <c r="C181" s="35" t="inlineStr">
        <is>
          <t>Aug</t>
        </is>
      </c>
      <c r="D181" s="48">
        <f>SUMIFS('Bills Log'!$F$6:$F$505,'Bills Log'!$A$6:$A$505,"&gt;="&amp;DATE(Settings!$B$5,8,1),'Bills Log'!$A$6:$A$505,"&lt;"&amp;DATE(Settings!$B$5,9,1),'Bills Log'!$B$6:$B$505,A181,'Bills Log'!$C$6:$C$505,B181)</f>
        <v/>
      </c>
      <c r="E181" s="48">
        <f>SUMIFS('Bills Log'!$F$6:$F$505,'Bills Log'!$A$6:$A$505,"&gt;="&amp;DATE(Settings!$B$5-1,8,1),'Bills Log'!$A$6:$A$505,"&lt;"&amp;DATE((Settings!$B$5-1),9,1),'Bills Log'!$B$6:$B$505,A181,'Bills Log'!$C$6:$C$505,B181)</f>
        <v/>
      </c>
      <c r="F181" s="54">
        <f>IFERROR(IF(E181=0,"",D181/E181-1),"")</f>
        <v/>
      </c>
      <c r="G181" s="55">
        <f>D181-E181</f>
        <v/>
      </c>
      <c r="H181" s="56">
        <f>IFERROR(IF(ABS(D181/E181-1)&gt;0.25,"⚠ "&amp;ROUND((D181/E181-1)*100,0)&amp;"%",""),"")</f>
        <v/>
      </c>
    </row>
    <row r="182" ht="14" customHeight="1">
      <c r="A182" s="53">
        <f>Settings!$B$9</f>
        <v/>
      </c>
      <c r="B182" s="53" t="inlineStr">
        <is>
          <t>Water</t>
        </is>
      </c>
      <c r="C182" s="35" t="inlineStr">
        <is>
          <t>Sep</t>
        </is>
      </c>
      <c r="D182" s="48">
        <f>SUMIFS('Bills Log'!$F$6:$F$505,'Bills Log'!$A$6:$A$505,"&gt;="&amp;DATE(Settings!$B$5,9,1),'Bills Log'!$A$6:$A$505,"&lt;"&amp;DATE(Settings!$B$5,10,1),'Bills Log'!$B$6:$B$505,A182,'Bills Log'!$C$6:$C$505,B182)</f>
        <v/>
      </c>
      <c r="E182" s="48">
        <f>SUMIFS('Bills Log'!$F$6:$F$505,'Bills Log'!$A$6:$A$505,"&gt;="&amp;DATE(Settings!$B$5-1,9,1),'Bills Log'!$A$6:$A$505,"&lt;"&amp;DATE((Settings!$B$5-1),10,1),'Bills Log'!$B$6:$B$505,A182,'Bills Log'!$C$6:$C$505,B182)</f>
        <v/>
      </c>
      <c r="F182" s="54">
        <f>IFERROR(IF(E182=0,"",D182/E182-1),"")</f>
        <v/>
      </c>
      <c r="G182" s="55">
        <f>D182-E182</f>
        <v/>
      </c>
      <c r="H182" s="56">
        <f>IFERROR(IF(ABS(D182/E182-1)&gt;0.25,"⚠ "&amp;ROUND((D182/E182-1)*100,0)&amp;"%",""),"")</f>
        <v/>
      </c>
    </row>
    <row r="183" ht="14" customHeight="1">
      <c r="A183" s="53">
        <f>Settings!$B$9</f>
        <v/>
      </c>
      <c r="B183" s="53" t="inlineStr">
        <is>
          <t>Water</t>
        </is>
      </c>
      <c r="C183" s="35" t="inlineStr">
        <is>
          <t>Oct</t>
        </is>
      </c>
      <c r="D183" s="48">
        <f>SUMIFS('Bills Log'!$F$6:$F$505,'Bills Log'!$A$6:$A$505,"&gt;="&amp;DATE(Settings!$B$5,10,1),'Bills Log'!$A$6:$A$505,"&lt;"&amp;DATE(Settings!$B$5,11,1),'Bills Log'!$B$6:$B$505,A183,'Bills Log'!$C$6:$C$505,B183)</f>
        <v/>
      </c>
      <c r="E183" s="48">
        <f>SUMIFS('Bills Log'!$F$6:$F$505,'Bills Log'!$A$6:$A$505,"&gt;="&amp;DATE(Settings!$B$5-1,10,1),'Bills Log'!$A$6:$A$505,"&lt;"&amp;DATE((Settings!$B$5-1),11,1),'Bills Log'!$B$6:$B$505,A183,'Bills Log'!$C$6:$C$505,B183)</f>
        <v/>
      </c>
      <c r="F183" s="54">
        <f>IFERROR(IF(E183=0,"",D183/E183-1),"")</f>
        <v/>
      </c>
      <c r="G183" s="55">
        <f>D183-E183</f>
        <v/>
      </c>
      <c r="H183" s="56">
        <f>IFERROR(IF(ABS(D183/E183-1)&gt;0.25,"⚠ "&amp;ROUND((D183/E183-1)*100,0)&amp;"%",""),"")</f>
        <v/>
      </c>
    </row>
    <row r="184" ht="14" customHeight="1">
      <c r="A184" s="53">
        <f>Settings!$B$9</f>
        <v/>
      </c>
      <c r="B184" s="53" t="inlineStr">
        <is>
          <t>Water</t>
        </is>
      </c>
      <c r="C184" s="35" t="inlineStr">
        <is>
          <t>Nov</t>
        </is>
      </c>
      <c r="D184" s="48">
        <f>SUMIFS('Bills Log'!$F$6:$F$505,'Bills Log'!$A$6:$A$505,"&gt;="&amp;DATE(Settings!$B$5,11,1),'Bills Log'!$A$6:$A$505,"&lt;"&amp;DATE(Settings!$B$5,12,1),'Bills Log'!$B$6:$B$505,A184,'Bills Log'!$C$6:$C$505,B184)</f>
        <v/>
      </c>
      <c r="E184" s="48">
        <f>SUMIFS('Bills Log'!$F$6:$F$505,'Bills Log'!$A$6:$A$505,"&gt;="&amp;DATE(Settings!$B$5-1,11,1),'Bills Log'!$A$6:$A$505,"&lt;"&amp;DATE((Settings!$B$5-1),12,1),'Bills Log'!$B$6:$B$505,A184,'Bills Log'!$C$6:$C$505,B184)</f>
        <v/>
      </c>
      <c r="F184" s="54">
        <f>IFERROR(IF(E184=0,"",D184/E184-1),"")</f>
        <v/>
      </c>
      <c r="G184" s="55">
        <f>D184-E184</f>
        <v/>
      </c>
      <c r="H184" s="56">
        <f>IFERROR(IF(ABS(D184/E184-1)&gt;0.25,"⚠ "&amp;ROUND((D184/E184-1)*100,0)&amp;"%",""),"")</f>
        <v/>
      </c>
    </row>
    <row r="185" ht="14" customHeight="1">
      <c r="A185" s="53">
        <f>Settings!$B$9</f>
        <v/>
      </c>
      <c r="B185" s="53" t="inlineStr">
        <is>
          <t>Water</t>
        </is>
      </c>
      <c r="C185" s="35" t="inlineStr">
        <is>
          <t>Dec</t>
        </is>
      </c>
      <c r="D185" s="48">
        <f>SUMIFS('Bills Log'!$F$6:$F$505,'Bills Log'!$A$6:$A$505,"&gt;="&amp;DATE(Settings!$B$5,12,1),'Bills Log'!$A$6:$A$505,"&lt;"&amp;DATE(Settings!$B$5+1,1,1),'Bills Log'!$B$6:$B$505,A185,'Bills Log'!$C$6:$C$505,B185)</f>
        <v/>
      </c>
      <c r="E185" s="48">
        <f>SUMIFS('Bills Log'!$F$6:$F$505,'Bills Log'!$A$6:$A$505,"&gt;="&amp;DATE(Settings!$B$5-1,12,1),'Bills Log'!$A$6:$A$505,"&lt;"&amp;DATE(Settings!$B$5,1,1),'Bills Log'!$B$6:$B$505,A185,'Bills Log'!$C$6:$C$505,B185)</f>
        <v/>
      </c>
      <c r="F185" s="54">
        <f>IFERROR(IF(E185=0,"",D185/E185-1),"")</f>
        <v/>
      </c>
      <c r="G185" s="55">
        <f>D185-E185</f>
        <v/>
      </c>
      <c r="H185" s="56">
        <f>IFERROR(IF(ABS(D185/E185-1)&gt;0.25,"⚠ "&amp;ROUND((D185/E185-1)*100,0)&amp;"%",""),"")</f>
        <v/>
      </c>
    </row>
    <row r="186" ht="14" customHeight="1">
      <c r="A186" s="53">
        <f>Settings!$B$9</f>
        <v/>
      </c>
      <c r="B186" s="53" t="inlineStr">
        <is>
          <t>Internet</t>
        </is>
      </c>
      <c r="C186" s="35" t="inlineStr">
        <is>
          <t>Jan</t>
        </is>
      </c>
      <c r="D186" s="48">
        <f>SUMIFS('Bills Log'!$F$6:$F$505,'Bills Log'!$A$6:$A$505,"&gt;="&amp;DATE(Settings!$B$5,1,1),'Bills Log'!$A$6:$A$505,"&lt;"&amp;DATE(Settings!$B$5,2,1),'Bills Log'!$B$6:$B$505,A186,'Bills Log'!$C$6:$C$505,B186)</f>
        <v/>
      </c>
      <c r="E186" s="48">
        <f>SUMIFS('Bills Log'!$F$6:$F$505,'Bills Log'!$A$6:$A$505,"&gt;="&amp;DATE(Settings!$B$5-1,1,1),'Bills Log'!$A$6:$A$505,"&lt;"&amp;DATE((Settings!$B$5-1),2,1),'Bills Log'!$B$6:$B$505,A186,'Bills Log'!$C$6:$C$505,B186)</f>
        <v/>
      </c>
      <c r="F186" s="54">
        <f>IFERROR(IF(E186=0,"",D186/E186-1),"")</f>
        <v/>
      </c>
      <c r="G186" s="55">
        <f>D186-E186</f>
        <v/>
      </c>
      <c r="H186" s="56">
        <f>IFERROR(IF(ABS(D186/E186-1)&gt;0.25,"⚠ "&amp;ROUND((D186/E186-1)*100,0)&amp;"%",""),"")</f>
        <v/>
      </c>
    </row>
    <row r="187" ht="14" customHeight="1">
      <c r="A187" s="53">
        <f>Settings!$B$9</f>
        <v/>
      </c>
      <c r="B187" s="53" t="inlineStr">
        <is>
          <t>Internet</t>
        </is>
      </c>
      <c r="C187" s="35" t="inlineStr">
        <is>
          <t>Feb</t>
        </is>
      </c>
      <c r="D187" s="48">
        <f>SUMIFS('Bills Log'!$F$6:$F$505,'Bills Log'!$A$6:$A$505,"&gt;="&amp;DATE(Settings!$B$5,2,1),'Bills Log'!$A$6:$A$505,"&lt;"&amp;DATE(Settings!$B$5,3,1),'Bills Log'!$B$6:$B$505,A187,'Bills Log'!$C$6:$C$505,B187)</f>
        <v/>
      </c>
      <c r="E187" s="48">
        <f>SUMIFS('Bills Log'!$F$6:$F$505,'Bills Log'!$A$6:$A$505,"&gt;="&amp;DATE(Settings!$B$5-1,2,1),'Bills Log'!$A$6:$A$505,"&lt;"&amp;DATE((Settings!$B$5-1),3,1),'Bills Log'!$B$6:$B$505,A187,'Bills Log'!$C$6:$C$505,B187)</f>
        <v/>
      </c>
      <c r="F187" s="54">
        <f>IFERROR(IF(E187=0,"",D187/E187-1),"")</f>
        <v/>
      </c>
      <c r="G187" s="55">
        <f>D187-E187</f>
        <v/>
      </c>
      <c r="H187" s="56">
        <f>IFERROR(IF(ABS(D187/E187-1)&gt;0.25,"⚠ "&amp;ROUND((D187/E187-1)*100,0)&amp;"%",""),"")</f>
        <v/>
      </c>
    </row>
    <row r="188" ht="14" customHeight="1">
      <c r="A188" s="53">
        <f>Settings!$B$9</f>
        <v/>
      </c>
      <c r="B188" s="53" t="inlineStr">
        <is>
          <t>Internet</t>
        </is>
      </c>
      <c r="C188" s="35" t="inlineStr">
        <is>
          <t>Mar</t>
        </is>
      </c>
      <c r="D188" s="48">
        <f>SUMIFS('Bills Log'!$F$6:$F$505,'Bills Log'!$A$6:$A$505,"&gt;="&amp;DATE(Settings!$B$5,3,1),'Bills Log'!$A$6:$A$505,"&lt;"&amp;DATE(Settings!$B$5,4,1),'Bills Log'!$B$6:$B$505,A188,'Bills Log'!$C$6:$C$505,B188)</f>
        <v/>
      </c>
      <c r="E188" s="48">
        <f>SUMIFS('Bills Log'!$F$6:$F$505,'Bills Log'!$A$6:$A$505,"&gt;="&amp;DATE(Settings!$B$5-1,3,1),'Bills Log'!$A$6:$A$505,"&lt;"&amp;DATE((Settings!$B$5-1),4,1),'Bills Log'!$B$6:$B$505,A188,'Bills Log'!$C$6:$C$505,B188)</f>
        <v/>
      </c>
      <c r="F188" s="54">
        <f>IFERROR(IF(E188=0,"",D188/E188-1),"")</f>
        <v/>
      </c>
      <c r="G188" s="55">
        <f>D188-E188</f>
        <v/>
      </c>
      <c r="H188" s="56">
        <f>IFERROR(IF(ABS(D188/E188-1)&gt;0.25,"⚠ "&amp;ROUND((D188/E188-1)*100,0)&amp;"%",""),"")</f>
        <v/>
      </c>
    </row>
    <row r="189" ht="14" customHeight="1">
      <c r="A189" s="53">
        <f>Settings!$B$9</f>
        <v/>
      </c>
      <c r="B189" s="53" t="inlineStr">
        <is>
          <t>Internet</t>
        </is>
      </c>
      <c r="C189" s="35" t="inlineStr">
        <is>
          <t>Apr</t>
        </is>
      </c>
      <c r="D189" s="48">
        <f>SUMIFS('Bills Log'!$F$6:$F$505,'Bills Log'!$A$6:$A$505,"&gt;="&amp;DATE(Settings!$B$5,4,1),'Bills Log'!$A$6:$A$505,"&lt;"&amp;DATE(Settings!$B$5,5,1),'Bills Log'!$B$6:$B$505,A189,'Bills Log'!$C$6:$C$505,B189)</f>
        <v/>
      </c>
      <c r="E189" s="48">
        <f>SUMIFS('Bills Log'!$F$6:$F$505,'Bills Log'!$A$6:$A$505,"&gt;="&amp;DATE(Settings!$B$5-1,4,1),'Bills Log'!$A$6:$A$505,"&lt;"&amp;DATE((Settings!$B$5-1),5,1),'Bills Log'!$B$6:$B$505,A189,'Bills Log'!$C$6:$C$505,B189)</f>
        <v/>
      </c>
      <c r="F189" s="54">
        <f>IFERROR(IF(E189=0,"",D189/E189-1),"")</f>
        <v/>
      </c>
      <c r="G189" s="55">
        <f>D189-E189</f>
        <v/>
      </c>
      <c r="H189" s="56">
        <f>IFERROR(IF(ABS(D189/E189-1)&gt;0.25,"⚠ "&amp;ROUND((D189/E189-1)*100,0)&amp;"%",""),"")</f>
        <v/>
      </c>
    </row>
    <row r="190" ht="14" customHeight="1">
      <c r="A190" s="53">
        <f>Settings!$B$9</f>
        <v/>
      </c>
      <c r="B190" s="53" t="inlineStr">
        <is>
          <t>Internet</t>
        </is>
      </c>
      <c r="C190" s="35" t="inlineStr">
        <is>
          <t>May</t>
        </is>
      </c>
      <c r="D190" s="48">
        <f>SUMIFS('Bills Log'!$F$6:$F$505,'Bills Log'!$A$6:$A$505,"&gt;="&amp;DATE(Settings!$B$5,5,1),'Bills Log'!$A$6:$A$505,"&lt;"&amp;DATE(Settings!$B$5,6,1),'Bills Log'!$B$6:$B$505,A190,'Bills Log'!$C$6:$C$505,B190)</f>
        <v/>
      </c>
      <c r="E190" s="48">
        <f>SUMIFS('Bills Log'!$F$6:$F$505,'Bills Log'!$A$6:$A$505,"&gt;="&amp;DATE(Settings!$B$5-1,5,1),'Bills Log'!$A$6:$A$505,"&lt;"&amp;DATE((Settings!$B$5-1),6,1),'Bills Log'!$B$6:$B$505,A190,'Bills Log'!$C$6:$C$505,B190)</f>
        <v/>
      </c>
      <c r="F190" s="54">
        <f>IFERROR(IF(E190=0,"",D190/E190-1),"")</f>
        <v/>
      </c>
      <c r="G190" s="55">
        <f>D190-E190</f>
        <v/>
      </c>
      <c r="H190" s="56">
        <f>IFERROR(IF(ABS(D190/E190-1)&gt;0.25,"⚠ "&amp;ROUND((D190/E190-1)*100,0)&amp;"%",""),"")</f>
        <v/>
      </c>
    </row>
    <row r="191" ht="14" customHeight="1">
      <c r="A191" s="53">
        <f>Settings!$B$9</f>
        <v/>
      </c>
      <c r="B191" s="53" t="inlineStr">
        <is>
          <t>Internet</t>
        </is>
      </c>
      <c r="C191" s="35" t="inlineStr">
        <is>
          <t>Jun</t>
        </is>
      </c>
      <c r="D191" s="48">
        <f>SUMIFS('Bills Log'!$F$6:$F$505,'Bills Log'!$A$6:$A$505,"&gt;="&amp;DATE(Settings!$B$5,6,1),'Bills Log'!$A$6:$A$505,"&lt;"&amp;DATE(Settings!$B$5,7,1),'Bills Log'!$B$6:$B$505,A191,'Bills Log'!$C$6:$C$505,B191)</f>
        <v/>
      </c>
      <c r="E191" s="48">
        <f>SUMIFS('Bills Log'!$F$6:$F$505,'Bills Log'!$A$6:$A$505,"&gt;="&amp;DATE(Settings!$B$5-1,6,1),'Bills Log'!$A$6:$A$505,"&lt;"&amp;DATE((Settings!$B$5-1),7,1),'Bills Log'!$B$6:$B$505,A191,'Bills Log'!$C$6:$C$505,B191)</f>
        <v/>
      </c>
      <c r="F191" s="54">
        <f>IFERROR(IF(E191=0,"",D191/E191-1),"")</f>
        <v/>
      </c>
      <c r="G191" s="55">
        <f>D191-E191</f>
        <v/>
      </c>
      <c r="H191" s="56">
        <f>IFERROR(IF(ABS(D191/E191-1)&gt;0.25,"⚠ "&amp;ROUND((D191/E191-1)*100,0)&amp;"%",""),"")</f>
        <v/>
      </c>
    </row>
    <row r="192" ht="14" customHeight="1">
      <c r="A192" s="53">
        <f>Settings!$B$9</f>
        <v/>
      </c>
      <c r="B192" s="53" t="inlineStr">
        <is>
          <t>Internet</t>
        </is>
      </c>
      <c r="C192" s="35" t="inlineStr">
        <is>
          <t>Jul</t>
        </is>
      </c>
      <c r="D192" s="48">
        <f>SUMIFS('Bills Log'!$F$6:$F$505,'Bills Log'!$A$6:$A$505,"&gt;="&amp;DATE(Settings!$B$5,7,1),'Bills Log'!$A$6:$A$505,"&lt;"&amp;DATE(Settings!$B$5,8,1),'Bills Log'!$B$6:$B$505,A192,'Bills Log'!$C$6:$C$505,B192)</f>
        <v/>
      </c>
      <c r="E192" s="48">
        <f>SUMIFS('Bills Log'!$F$6:$F$505,'Bills Log'!$A$6:$A$505,"&gt;="&amp;DATE(Settings!$B$5-1,7,1),'Bills Log'!$A$6:$A$505,"&lt;"&amp;DATE((Settings!$B$5-1),8,1),'Bills Log'!$B$6:$B$505,A192,'Bills Log'!$C$6:$C$505,B192)</f>
        <v/>
      </c>
      <c r="F192" s="54">
        <f>IFERROR(IF(E192=0,"",D192/E192-1),"")</f>
        <v/>
      </c>
      <c r="G192" s="55">
        <f>D192-E192</f>
        <v/>
      </c>
      <c r="H192" s="56">
        <f>IFERROR(IF(ABS(D192/E192-1)&gt;0.25,"⚠ "&amp;ROUND((D192/E192-1)*100,0)&amp;"%",""),"")</f>
        <v/>
      </c>
    </row>
    <row r="193" ht="14" customHeight="1">
      <c r="A193" s="53">
        <f>Settings!$B$9</f>
        <v/>
      </c>
      <c r="B193" s="53" t="inlineStr">
        <is>
          <t>Internet</t>
        </is>
      </c>
      <c r="C193" s="35" t="inlineStr">
        <is>
          <t>Aug</t>
        </is>
      </c>
      <c r="D193" s="48">
        <f>SUMIFS('Bills Log'!$F$6:$F$505,'Bills Log'!$A$6:$A$505,"&gt;="&amp;DATE(Settings!$B$5,8,1),'Bills Log'!$A$6:$A$505,"&lt;"&amp;DATE(Settings!$B$5,9,1),'Bills Log'!$B$6:$B$505,A193,'Bills Log'!$C$6:$C$505,B193)</f>
        <v/>
      </c>
      <c r="E193" s="48">
        <f>SUMIFS('Bills Log'!$F$6:$F$505,'Bills Log'!$A$6:$A$505,"&gt;="&amp;DATE(Settings!$B$5-1,8,1),'Bills Log'!$A$6:$A$505,"&lt;"&amp;DATE((Settings!$B$5-1),9,1),'Bills Log'!$B$6:$B$505,A193,'Bills Log'!$C$6:$C$505,B193)</f>
        <v/>
      </c>
      <c r="F193" s="54">
        <f>IFERROR(IF(E193=0,"",D193/E193-1),"")</f>
        <v/>
      </c>
      <c r="G193" s="55">
        <f>D193-E193</f>
        <v/>
      </c>
      <c r="H193" s="56">
        <f>IFERROR(IF(ABS(D193/E193-1)&gt;0.25,"⚠ "&amp;ROUND((D193/E193-1)*100,0)&amp;"%",""),"")</f>
        <v/>
      </c>
    </row>
    <row r="194" ht="14" customHeight="1">
      <c r="A194" s="53">
        <f>Settings!$B$9</f>
        <v/>
      </c>
      <c r="B194" s="53" t="inlineStr">
        <is>
          <t>Internet</t>
        </is>
      </c>
      <c r="C194" s="35" t="inlineStr">
        <is>
          <t>Sep</t>
        </is>
      </c>
      <c r="D194" s="48">
        <f>SUMIFS('Bills Log'!$F$6:$F$505,'Bills Log'!$A$6:$A$505,"&gt;="&amp;DATE(Settings!$B$5,9,1),'Bills Log'!$A$6:$A$505,"&lt;"&amp;DATE(Settings!$B$5,10,1),'Bills Log'!$B$6:$B$505,A194,'Bills Log'!$C$6:$C$505,B194)</f>
        <v/>
      </c>
      <c r="E194" s="48">
        <f>SUMIFS('Bills Log'!$F$6:$F$505,'Bills Log'!$A$6:$A$505,"&gt;="&amp;DATE(Settings!$B$5-1,9,1),'Bills Log'!$A$6:$A$505,"&lt;"&amp;DATE((Settings!$B$5-1),10,1),'Bills Log'!$B$6:$B$505,A194,'Bills Log'!$C$6:$C$505,B194)</f>
        <v/>
      </c>
      <c r="F194" s="54">
        <f>IFERROR(IF(E194=0,"",D194/E194-1),"")</f>
        <v/>
      </c>
      <c r="G194" s="55">
        <f>D194-E194</f>
        <v/>
      </c>
      <c r="H194" s="56">
        <f>IFERROR(IF(ABS(D194/E194-1)&gt;0.25,"⚠ "&amp;ROUND((D194/E194-1)*100,0)&amp;"%",""),"")</f>
        <v/>
      </c>
    </row>
    <row r="195" ht="14" customHeight="1">
      <c r="A195" s="53">
        <f>Settings!$B$9</f>
        <v/>
      </c>
      <c r="B195" s="53" t="inlineStr">
        <is>
          <t>Internet</t>
        </is>
      </c>
      <c r="C195" s="35" t="inlineStr">
        <is>
          <t>Oct</t>
        </is>
      </c>
      <c r="D195" s="48">
        <f>SUMIFS('Bills Log'!$F$6:$F$505,'Bills Log'!$A$6:$A$505,"&gt;="&amp;DATE(Settings!$B$5,10,1),'Bills Log'!$A$6:$A$505,"&lt;"&amp;DATE(Settings!$B$5,11,1),'Bills Log'!$B$6:$B$505,A195,'Bills Log'!$C$6:$C$505,B195)</f>
        <v/>
      </c>
      <c r="E195" s="48">
        <f>SUMIFS('Bills Log'!$F$6:$F$505,'Bills Log'!$A$6:$A$505,"&gt;="&amp;DATE(Settings!$B$5-1,10,1),'Bills Log'!$A$6:$A$505,"&lt;"&amp;DATE((Settings!$B$5-1),11,1),'Bills Log'!$B$6:$B$505,A195,'Bills Log'!$C$6:$C$505,B195)</f>
        <v/>
      </c>
      <c r="F195" s="54">
        <f>IFERROR(IF(E195=0,"",D195/E195-1),"")</f>
        <v/>
      </c>
      <c r="G195" s="55">
        <f>D195-E195</f>
        <v/>
      </c>
      <c r="H195" s="56">
        <f>IFERROR(IF(ABS(D195/E195-1)&gt;0.25,"⚠ "&amp;ROUND((D195/E195-1)*100,0)&amp;"%",""),"")</f>
        <v/>
      </c>
    </row>
    <row r="196" ht="14" customHeight="1">
      <c r="A196" s="53">
        <f>Settings!$B$9</f>
        <v/>
      </c>
      <c r="B196" s="53" t="inlineStr">
        <is>
          <t>Internet</t>
        </is>
      </c>
      <c r="C196" s="35" t="inlineStr">
        <is>
          <t>Nov</t>
        </is>
      </c>
      <c r="D196" s="48">
        <f>SUMIFS('Bills Log'!$F$6:$F$505,'Bills Log'!$A$6:$A$505,"&gt;="&amp;DATE(Settings!$B$5,11,1),'Bills Log'!$A$6:$A$505,"&lt;"&amp;DATE(Settings!$B$5,12,1),'Bills Log'!$B$6:$B$505,A196,'Bills Log'!$C$6:$C$505,B196)</f>
        <v/>
      </c>
      <c r="E196" s="48">
        <f>SUMIFS('Bills Log'!$F$6:$F$505,'Bills Log'!$A$6:$A$505,"&gt;="&amp;DATE(Settings!$B$5-1,11,1),'Bills Log'!$A$6:$A$505,"&lt;"&amp;DATE((Settings!$B$5-1),12,1),'Bills Log'!$B$6:$B$505,A196,'Bills Log'!$C$6:$C$505,B196)</f>
        <v/>
      </c>
      <c r="F196" s="54">
        <f>IFERROR(IF(E196=0,"",D196/E196-1),"")</f>
        <v/>
      </c>
      <c r="G196" s="55">
        <f>D196-E196</f>
        <v/>
      </c>
      <c r="H196" s="56">
        <f>IFERROR(IF(ABS(D196/E196-1)&gt;0.25,"⚠ "&amp;ROUND((D196/E196-1)*100,0)&amp;"%",""),"")</f>
        <v/>
      </c>
    </row>
    <row r="197" ht="14" customHeight="1">
      <c r="A197" s="53">
        <f>Settings!$B$9</f>
        <v/>
      </c>
      <c r="B197" s="53" t="inlineStr">
        <is>
          <t>Internet</t>
        </is>
      </c>
      <c r="C197" s="35" t="inlineStr">
        <is>
          <t>Dec</t>
        </is>
      </c>
      <c r="D197" s="48">
        <f>SUMIFS('Bills Log'!$F$6:$F$505,'Bills Log'!$A$6:$A$505,"&gt;="&amp;DATE(Settings!$B$5,12,1),'Bills Log'!$A$6:$A$505,"&lt;"&amp;DATE(Settings!$B$5+1,1,1),'Bills Log'!$B$6:$B$505,A197,'Bills Log'!$C$6:$C$505,B197)</f>
        <v/>
      </c>
      <c r="E197" s="48">
        <f>SUMIFS('Bills Log'!$F$6:$F$505,'Bills Log'!$A$6:$A$505,"&gt;="&amp;DATE(Settings!$B$5-1,12,1),'Bills Log'!$A$6:$A$505,"&lt;"&amp;DATE(Settings!$B$5,1,1),'Bills Log'!$B$6:$B$505,A197,'Bills Log'!$C$6:$C$505,B197)</f>
        <v/>
      </c>
      <c r="F197" s="54">
        <f>IFERROR(IF(E197=0,"",D197/E197-1),"")</f>
        <v/>
      </c>
      <c r="G197" s="55">
        <f>D197-E197</f>
        <v/>
      </c>
      <c r="H197" s="56">
        <f>IFERROR(IF(ABS(D197/E197-1)&gt;0.25,"⚠ "&amp;ROUND((D197/E197-1)*100,0)&amp;"%",""),"")</f>
        <v/>
      </c>
    </row>
    <row r="198" ht="14" customHeight="1">
      <c r="A198" s="53">
        <f>Settings!$B$9</f>
        <v/>
      </c>
      <c r="B198" s="53" t="inlineStr">
        <is>
          <t>Trash</t>
        </is>
      </c>
      <c r="C198" s="35" t="inlineStr">
        <is>
          <t>Jan</t>
        </is>
      </c>
      <c r="D198" s="48">
        <f>SUMIFS('Bills Log'!$F$6:$F$505,'Bills Log'!$A$6:$A$505,"&gt;="&amp;DATE(Settings!$B$5,1,1),'Bills Log'!$A$6:$A$505,"&lt;"&amp;DATE(Settings!$B$5,2,1),'Bills Log'!$B$6:$B$505,A198,'Bills Log'!$C$6:$C$505,B198)</f>
        <v/>
      </c>
      <c r="E198" s="48">
        <f>SUMIFS('Bills Log'!$F$6:$F$505,'Bills Log'!$A$6:$A$505,"&gt;="&amp;DATE(Settings!$B$5-1,1,1),'Bills Log'!$A$6:$A$505,"&lt;"&amp;DATE((Settings!$B$5-1),2,1),'Bills Log'!$B$6:$B$505,A198,'Bills Log'!$C$6:$C$505,B198)</f>
        <v/>
      </c>
      <c r="F198" s="54">
        <f>IFERROR(IF(E198=0,"",D198/E198-1),"")</f>
        <v/>
      </c>
      <c r="G198" s="55">
        <f>D198-E198</f>
        <v/>
      </c>
      <c r="H198" s="56">
        <f>IFERROR(IF(ABS(D198/E198-1)&gt;0.25,"⚠ "&amp;ROUND((D198/E198-1)*100,0)&amp;"%",""),"")</f>
        <v/>
      </c>
    </row>
    <row r="199" ht="14" customHeight="1">
      <c r="A199" s="53">
        <f>Settings!$B$9</f>
        <v/>
      </c>
      <c r="B199" s="53" t="inlineStr">
        <is>
          <t>Trash</t>
        </is>
      </c>
      <c r="C199" s="35" t="inlineStr">
        <is>
          <t>Feb</t>
        </is>
      </c>
      <c r="D199" s="48">
        <f>SUMIFS('Bills Log'!$F$6:$F$505,'Bills Log'!$A$6:$A$505,"&gt;="&amp;DATE(Settings!$B$5,2,1),'Bills Log'!$A$6:$A$505,"&lt;"&amp;DATE(Settings!$B$5,3,1),'Bills Log'!$B$6:$B$505,A199,'Bills Log'!$C$6:$C$505,B199)</f>
        <v/>
      </c>
      <c r="E199" s="48">
        <f>SUMIFS('Bills Log'!$F$6:$F$505,'Bills Log'!$A$6:$A$505,"&gt;="&amp;DATE(Settings!$B$5-1,2,1),'Bills Log'!$A$6:$A$505,"&lt;"&amp;DATE((Settings!$B$5-1),3,1),'Bills Log'!$B$6:$B$505,A199,'Bills Log'!$C$6:$C$505,B199)</f>
        <v/>
      </c>
      <c r="F199" s="54">
        <f>IFERROR(IF(E199=0,"",D199/E199-1),"")</f>
        <v/>
      </c>
      <c r="G199" s="55">
        <f>D199-E199</f>
        <v/>
      </c>
      <c r="H199" s="56">
        <f>IFERROR(IF(ABS(D199/E199-1)&gt;0.25,"⚠ "&amp;ROUND((D199/E199-1)*100,0)&amp;"%",""),"")</f>
        <v/>
      </c>
    </row>
    <row r="200" ht="14" customHeight="1">
      <c r="A200" s="53">
        <f>Settings!$B$9</f>
        <v/>
      </c>
      <c r="B200" s="53" t="inlineStr">
        <is>
          <t>Trash</t>
        </is>
      </c>
      <c r="C200" s="35" t="inlineStr">
        <is>
          <t>Mar</t>
        </is>
      </c>
      <c r="D200" s="48">
        <f>SUMIFS('Bills Log'!$F$6:$F$505,'Bills Log'!$A$6:$A$505,"&gt;="&amp;DATE(Settings!$B$5,3,1),'Bills Log'!$A$6:$A$505,"&lt;"&amp;DATE(Settings!$B$5,4,1),'Bills Log'!$B$6:$B$505,A200,'Bills Log'!$C$6:$C$505,B200)</f>
        <v/>
      </c>
      <c r="E200" s="48">
        <f>SUMIFS('Bills Log'!$F$6:$F$505,'Bills Log'!$A$6:$A$505,"&gt;="&amp;DATE(Settings!$B$5-1,3,1),'Bills Log'!$A$6:$A$505,"&lt;"&amp;DATE((Settings!$B$5-1),4,1),'Bills Log'!$B$6:$B$505,A200,'Bills Log'!$C$6:$C$505,B200)</f>
        <v/>
      </c>
      <c r="F200" s="54">
        <f>IFERROR(IF(E200=0,"",D200/E200-1),"")</f>
        <v/>
      </c>
      <c r="G200" s="55">
        <f>D200-E200</f>
        <v/>
      </c>
      <c r="H200" s="56">
        <f>IFERROR(IF(ABS(D200/E200-1)&gt;0.25,"⚠ "&amp;ROUND((D200/E200-1)*100,0)&amp;"%",""),"")</f>
        <v/>
      </c>
    </row>
    <row r="201" ht="14" customHeight="1">
      <c r="A201" s="53">
        <f>Settings!$B$9</f>
        <v/>
      </c>
      <c r="B201" s="53" t="inlineStr">
        <is>
          <t>Trash</t>
        </is>
      </c>
      <c r="C201" s="35" t="inlineStr">
        <is>
          <t>Apr</t>
        </is>
      </c>
      <c r="D201" s="48">
        <f>SUMIFS('Bills Log'!$F$6:$F$505,'Bills Log'!$A$6:$A$505,"&gt;="&amp;DATE(Settings!$B$5,4,1),'Bills Log'!$A$6:$A$505,"&lt;"&amp;DATE(Settings!$B$5,5,1),'Bills Log'!$B$6:$B$505,A201,'Bills Log'!$C$6:$C$505,B201)</f>
        <v/>
      </c>
      <c r="E201" s="48">
        <f>SUMIFS('Bills Log'!$F$6:$F$505,'Bills Log'!$A$6:$A$505,"&gt;="&amp;DATE(Settings!$B$5-1,4,1),'Bills Log'!$A$6:$A$505,"&lt;"&amp;DATE((Settings!$B$5-1),5,1),'Bills Log'!$B$6:$B$505,A201,'Bills Log'!$C$6:$C$505,B201)</f>
        <v/>
      </c>
      <c r="F201" s="54">
        <f>IFERROR(IF(E201=0,"",D201/E201-1),"")</f>
        <v/>
      </c>
      <c r="G201" s="55">
        <f>D201-E201</f>
        <v/>
      </c>
      <c r="H201" s="56">
        <f>IFERROR(IF(ABS(D201/E201-1)&gt;0.25,"⚠ "&amp;ROUND((D201/E201-1)*100,0)&amp;"%",""),"")</f>
        <v/>
      </c>
    </row>
    <row r="202" ht="14" customHeight="1">
      <c r="A202" s="53">
        <f>Settings!$B$9</f>
        <v/>
      </c>
      <c r="B202" s="53" t="inlineStr">
        <is>
          <t>Trash</t>
        </is>
      </c>
      <c r="C202" s="35" t="inlineStr">
        <is>
          <t>May</t>
        </is>
      </c>
      <c r="D202" s="48">
        <f>SUMIFS('Bills Log'!$F$6:$F$505,'Bills Log'!$A$6:$A$505,"&gt;="&amp;DATE(Settings!$B$5,5,1),'Bills Log'!$A$6:$A$505,"&lt;"&amp;DATE(Settings!$B$5,6,1),'Bills Log'!$B$6:$B$505,A202,'Bills Log'!$C$6:$C$505,B202)</f>
        <v/>
      </c>
      <c r="E202" s="48">
        <f>SUMIFS('Bills Log'!$F$6:$F$505,'Bills Log'!$A$6:$A$505,"&gt;="&amp;DATE(Settings!$B$5-1,5,1),'Bills Log'!$A$6:$A$505,"&lt;"&amp;DATE((Settings!$B$5-1),6,1),'Bills Log'!$B$6:$B$505,A202,'Bills Log'!$C$6:$C$505,B202)</f>
        <v/>
      </c>
      <c r="F202" s="54">
        <f>IFERROR(IF(E202=0,"",D202/E202-1),"")</f>
        <v/>
      </c>
      <c r="G202" s="55">
        <f>D202-E202</f>
        <v/>
      </c>
      <c r="H202" s="56">
        <f>IFERROR(IF(ABS(D202/E202-1)&gt;0.25,"⚠ "&amp;ROUND((D202/E202-1)*100,0)&amp;"%",""),"")</f>
        <v/>
      </c>
    </row>
    <row r="203" ht="14" customHeight="1">
      <c r="A203" s="53">
        <f>Settings!$B$9</f>
        <v/>
      </c>
      <c r="B203" s="53" t="inlineStr">
        <is>
          <t>Trash</t>
        </is>
      </c>
      <c r="C203" s="35" t="inlineStr">
        <is>
          <t>Jun</t>
        </is>
      </c>
      <c r="D203" s="48">
        <f>SUMIFS('Bills Log'!$F$6:$F$505,'Bills Log'!$A$6:$A$505,"&gt;="&amp;DATE(Settings!$B$5,6,1),'Bills Log'!$A$6:$A$505,"&lt;"&amp;DATE(Settings!$B$5,7,1),'Bills Log'!$B$6:$B$505,A203,'Bills Log'!$C$6:$C$505,B203)</f>
        <v/>
      </c>
      <c r="E203" s="48">
        <f>SUMIFS('Bills Log'!$F$6:$F$505,'Bills Log'!$A$6:$A$505,"&gt;="&amp;DATE(Settings!$B$5-1,6,1),'Bills Log'!$A$6:$A$505,"&lt;"&amp;DATE((Settings!$B$5-1),7,1),'Bills Log'!$B$6:$B$505,A203,'Bills Log'!$C$6:$C$505,B203)</f>
        <v/>
      </c>
      <c r="F203" s="54">
        <f>IFERROR(IF(E203=0,"",D203/E203-1),"")</f>
        <v/>
      </c>
      <c r="G203" s="55">
        <f>D203-E203</f>
        <v/>
      </c>
      <c r="H203" s="56">
        <f>IFERROR(IF(ABS(D203/E203-1)&gt;0.25,"⚠ "&amp;ROUND((D203/E203-1)*100,0)&amp;"%",""),"")</f>
        <v/>
      </c>
    </row>
    <row r="204" ht="14" customHeight="1">
      <c r="A204" s="53">
        <f>Settings!$B$9</f>
        <v/>
      </c>
      <c r="B204" s="53" t="inlineStr">
        <is>
          <t>Trash</t>
        </is>
      </c>
      <c r="C204" s="35" t="inlineStr">
        <is>
          <t>Jul</t>
        </is>
      </c>
      <c r="D204" s="48">
        <f>SUMIFS('Bills Log'!$F$6:$F$505,'Bills Log'!$A$6:$A$505,"&gt;="&amp;DATE(Settings!$B$5,7,1),'Bills Log'!$A$6:$A$505,"&lt;"&amp;DATE(Settings!$B$5,8,1),'Bills Log'!$B$6:$B$505,A204,'Bills Log'!$C$6:$C$505,B204)</f>
        <v/>
      </c>
      <c r="E204" s="48">
        <f>SUMIFS('Bills Log'!$F$6:$F$505,'Bills Log'!$A$6:$A$505,"&gt;="&amp;DATE(Settings!$B$5-1,7,1),'Bills Log'!$A$6:$A$505,"&lt;"&amp;DATE((Settings!$B$5-1),8,1),'Bills Log'!$B$6:$B$505,A204,'Bills Log'!$C$6:$C$505,B204)</f>
        <v/>
      </c>
      <c r="F204" s="54">
        <f>IFERROR(IF(E204=0,"",D204/E204-1),"")</f>
        <v/>
      </c>
      <c r="G204" s="55">
        <f>D204-E204</f>
        <v/>
      </c>
      <c r="H204" s="56">
        <f>IFERROR(IF(ABS(D204/E204-1)&gt;0.25,"⚠ "&amp;ROUND((D204/E204-1)*100,0)&amp;"%",""),"")</f>
        <v/>
      </c>
    </row>
    <row r="205" ht="14" customHeight="1">
      <c r="A205" s="53">
        <f>Settings!$B$9</f>
        <v/>
      </c>
      <c r="B205" s="53" t="inlineStr">
        <is>
          <t>Trash</t>
        </is>
      </c>
      <c r="C205" s="35" t="inlineStr">
        <is>
          <t>Aug</t>
        </is>
      </c>
      <c r="D205" s="48">
        <f>SUMIFS('Bills Log'!$F$6:$F$505,'Bills Log'!$A$6:$A$505,"&gt;="&amp;DATE(Settings!$B$5,8,1),'Bills Log'!$A$6:$A$505,"&lt;"&amp;DATE(Settings!$B$5,9,1),'Bills Log'!$B$6:$B$505,A205,'Bills Log'!$C$6:$C$505,B205)</f>
        <v/>
      </c>
      <c r="E205" s="48">
        <f>SUMIFS('Bills Log'!$F$6:$F$505,'Bills Log'!$A$6:$A$505,"&gt;="&amp;DATE(Settings!$B$5-1,8,1),'Bills Log'!$A$6:$A$505,"&lt;"&amp;DATE((Settings!$B$5-1),9,1),'Bills Log'!$B$6:$B$505,A205,'Bills Log'!$C$6:$C$505,B205)</f>
        <v/>
      </c>
      <c r="F205" s="54">
        <f>IFERROR(IF(E205=0,"",D205/E205-1),"")</f>
        <v/>
      </c>
      <c r="G205" s="55">
        <f>D205-E205</f>
        <v/>
      </c>
      <c r="H205" s="56">
        <f>IFERROR(IF(ABS(D205/E205-1)&gt;0.25,"⚠ "&amp;ROUND((D205/E205-1)*100,0)&amp;"%",""),"")</f>
        <v/>
      </c>
    </row>
    <row r="206" ht="14" customHeight="1">
      <c r="A206" s="53">
        <f>Settings!$B$9</f>
        <v/>
      </c>
      <c r="B206" s="53" t="inlineStr">
        <is>
          <t>Trash</t>
        </is>
      </c>
      <c r="C206" s="35" t="inlineStr">
        <is>
          <t>Sep</t>
        </is>
      </c>
      <c r="D206" s="48">
        <f>SUMIFS('Bills Log'!$F$6:$F$505,'Bills Log'!$A$6:$A$505,"&gt;="&amp;DATE(Settings!$B$5,9,1),'Bills Log'!$A$6:$A$505,"&lt;"&amp;DATE(Settings!$B$5,10,1),'Bills Log'!$B$6:$B$505,A206,'Bills Log'!$C$6:$C$505,B206)</f>
        <v/>
      </c>
      <c r="E206" s="48">
        <f>SUMIFS('Bills Log'!$F$6:$F$505,'Bills Log'!$A$6:$A$505,"&gt;="&amp;DATE(Settings!$B$5-1,9,1),'Bills Log'!$A$6:$A$505,"&lt;"&amp;DATE((Settings!$B$5-1),10,1),'Bills Log'!$B$6:$B$505,A206,'Bills Log'!$C$6:$C$505,B206)</f>
        <v/>
      </c>
      <c r="F206" s="54">
        <f>IFERROR(IF(E206=0,"",D206/E206-1),"")</f>
        <v/>
      </c>
      <c r="G206" s="55">
        <f>D206-E206</f>
        <v/>
      </c>
      <c r="H206" s="56">
        <f>IFERROR(IF(ABS(D206/E206-1)&gt;0.25,"⚠ "&amp;ROUND((D206/E206-1)*100,0)&amp;"%",""),"")</f>
        <v/>
      </c>
    </row>
    <row r="207" ht="14" customHeight="1">
      <c r="A207" s="53">
        <f>Settings!$B$9</f>
        <v/>
      </c>
      <c r="B207" s="53" t="inlineStr">
        <is>
          <t>Trash</t>
        </is>
      </c>
      <c r="C207" s="35" t="inlineStr">
        <is>
          <t>Oct</t>
        </is>
      </c>
      <c r="D207" s="48">
        <f>SUMIFS('Bills Log'!$F$6:$F$505,'Bills Log'!$A$6:$A$505,"&gt;="&amp;DATE(Settings!$B$5,10,1),'Bills Log'!$A$6:$A$505,"&lt;"&amp;DATE(Settings!$B$5,11,1),'Bills Log'!$B$6:$B$505,A207,'Bills Log'!$C$6:$C$505,B207)</f>
        <v/>
      </c>
      <c r="E207" s="48">
        <f>SUMIFS('Bills Log'!$F$6:$F$505,'Bills Log'!$A$6:$A$505,"&gt;="&amp;DATE(Settings!$B$5-1,10,1),'Bills Log'!$A$6:$A$505,"&lt;"&amp;DATE((Settings!$B$5-1),11,1),'Bills Log'!$B$6:$B$505,A207,'Bills Log'!$C$6:$C$505,B207)</f>
        <v/>
      </c>
      <c r="F207" s="54">
        <f>IFERROR(IF(E207=0,"",D207/E207-1),"")</f>
        <v/>
      </c>
      <c r="G207" s="55">
        <f>D207-E207</f>
        <v/>
      </c>
      <c r="H207" s="56">
        <f>IFERROR(IF(ABS(D207/E207-1)&gt;0.25,"⚠ "&amp;ROUND((D207/E207-1)*100,0)&amp;"%",""),"")</f>
        <v/>
      </c>
    </row>
    <row r="208" ht="14" customHeight="1">
      <c r="A208" s="53">
        <f>Settings!$B$9</f>
        <v/>
      </c>
      <c r="B208" s="53" t="inlineStr">
        <is>
          <t>Trash</t>
        </is>
      </c>
      <c r="C208" s="35" t="inlineStr">
        <is>
          <t>Nov</t>
        </is>
      </c>
      <c r="D208" s="48">
        <f>SUMIFS('Bills Log'!$F$6:$F$505,'Bills Log'!$A$6:$A$505,"&gt;="&amp;DATE(Settings!$B$5,11,1),'Bills Log'!$A$6:$A$505,"&lt;"&amp;DATE(Settings!$B$5,12,1),'Bills Log'!$B$6:$B$505,A208,'Bills Log'!$C$6:$C$505,B208)</f>
        <v/>
      </c>
      <c r="E208" s="48">
        <f>SUMIFS('Bills Log'!$F$6:$F$505,'Bills Log'!$A$6:$A$505,"&gt;="&amp;DATE(Settings!$B$5-1,11,1),'Bills Log'!$A$6:$A$505,"&lt;"&amp;DATE((Settings!$B$5-1),12,1),'Bills Log'!$B$6:$B$505,A208,'Bills Log'!$C$6:$C$505,B208)</f>
        <v/>
      </c>
      <c r="F208" s="54">
        <f>IFERROR(IF(E208=0,"",D208/E208-1),"")</f>
        <v/>
      </c>
      <c r="G208" s="55">
        <f>D208-E208</f>
        <v/>
      </c>
      <c r="H208" s="56">
        <f>IFERROR(IF(ABS(D208/E208-1)&gt;0.25,"⚠ "&amp;ROUND((D208/E208-1)*100,0)&amp;"%",""),"")</f>
        <v/>
      </c>
    </row>
    <row r="209" ht="14" customHeight="1">
      <c r="A209" s="53">
        <f>Settings!$B$9</f>
        <v/>
      </c>
      <c r="B209" s="53" t="inlineStr">
        <is>
          <t>Trash</t>
        </is>
      </c>
      <c r="C209" s="35" t="inlineStr">
        <is>
          <t>Dec</t>
        </is>
      </c>
      <c r="D209" s="48">
        <f>SUMIFS('Bills Log'!$F$6:$F$505,'Bills Log'!$A$6:$A$505,"&gt;="&amp;DATE(Settings!$B$5,12,1),'Bills Log'!$A$6:$A$505,"&lt;"&amp;DATE(Settings!$B$5+1,1,1),'Bills Log'!$B$6:$B$505,A209,'Bills Log'!$C$6:$C$505,B209)</f>
        <v/>
      </c>
      <c r="E209" s="48">
        <f>SUMIFS('Bills Log'!$F$6:$F$505,'Bills Log'!$A$6:$A$505,"&gt;="&amp;DATE(Settings!$B$5-1,12,1),'Bills Log'!$A$6:$A$505,"&lt;"&amp;DATE(Settings!$B$5,1,1),'Bills Log'!$B$6:$B$505,A209,'Bills Log'!$C$6:$C$505,B209)</f>
        <v/>
      </c>
      <c r="F209" s="54">
        <f>IFERROR(IF(E209=0,"",D209/E209-1),"")</f>
        <v/>
      </c>
      <c r="G209" s="55">
        <f>D209-E209</f>
        <v/>
      </c>
      <c r="H209" s="56">
        <f>IFERROR(IF(ABS(D209/E209-1)&gt;0.25,"⚠ "&amp;ROUND((D209/E209-1)*100,0)&amp;"%",""),"")</f>
        <v/>
      </c>
    </row>
    <row r="210" ht="14" customHeight="1">
      <c r="A210" s="53">
        <f>Settings!$B$9</f>
        <v/>
      </c>
      <c r="B210" s="53" t="inlineStr">
        <is>
          <t>Propane</t>
        </is>
      </c>
      <c r="C210" s="35" t="inlineStr">
        <is>
          <t>Jan</t>
        </is>
      </c>
      <c r="D210" s="48">
        <f>SUMIFS('Bills Log'!$F$6:$F$505,'Bills Log'!$A$6:$A$505,"&gt;="&amp;DATE(Settings!$B$5,1,1),'Bills Log'!$A$6:$A$505,"&lt;"&amp;DATE(Settings!$B$5,2,1),'Bills Log'!$B$6:$B$505,A210,'Bills Log'!$C$6:$C$505,B210)</f>
        <v/>
      </c>
      <c r="E210" s="48">
        <f>SUMIFS('Bills Log'!$F$6:$F$505,'Bills Log'!$A$6:$A$505,"&gt;="&amp;DATE(Settings!$B$5-1,1,1),'Bills Log'!$A$6:$A$505,"&lt;"&amp;DATE((Settings!$B$5-1),2,1),'Bills Log'!$B$6:$B$505,A210,'Bills Log'!$C$6:$C$505,B210)</f>
        <v/>
      </c>
      <c r="F210" s="54">
        <f>IFERROR(IF(E210=0,"",D210/E210-1),"")</f>
        <v/>
      </c>
      <c r="G210" s="55">
        <f>D210-E210</f>
        <v/>
      </c>
      <c r="H210" s="56">
        <f>IFERROR(IF(ABS(D210/E210-1)&gt;0.25,"⚠ "&amp;ROUND((D210/E210-1)*100,0)&amp;"%",""),"")</f>
        <v/>
      </c>
    </row>
    <row r="211" ht="14" customHeight="1">
      <c r="A211" s="53">
        <f>Settings!$B$9</f>
        <v/>
      </c>
      <c r="B211" s="53" t="inlineStr">
        <is>
          <t>Propane</t>
        </is>
      </c>
      <c r="C211" s="35" t="inlineStr">
        <is>
          <t>Feb</t>
        </is>
      </c>
      <c r="D211" s="48">
        <f>SUMIFS('Bills Log'!$F$6:$F$505,'Bills Log'!$A$6:$A$505,"&gt;="&amp;DATE(Settings!$B$5,2,1),'Bills Log'!$A$6:$A$505,"&lt;"&amp;DATE(Settings!$B$5,3,1),'Bills Log'!$B$6:$B$505,A211,'Bills Log'!$C$6:$C$505,B211)</f>
        <v/>
      </c>
      <c r="E211" s="48">
        <f>SUMIFS('Bills Log'!$F$6:$F$505,'Bills Log'!$A$6:$A$505,"&gt;="&amp;DATE(Settings!$B$5-1,2,1),'Bills Log'!$A$6:$A$505,"&lt;"&amp;DATE((Settings!$B$5-1),3,1),'Bills Log'!$B$6:$B$505,A211,'Bills Log'!$C$6:$C$505,B211)</f>
        <v/>
      </c>
      <c r="F211" s="54">
        <f>IFERROR(IF(E211=0,"",D211/E211-1),"")</f>
        <v/>
      </c>
      <c r="G211" s="55">
        <f>D211-E211</f>
        <v/>
      </c>
      <c r="H211" s="56">
        <f>IFERROR(IF(ABS(D211/E211-1)&gt;0.25,"⚠ "&amp;ROUND((D211/E211-1)*100,0)&amp;"%",""),"")</f>
        <v/>
      </c>
    </row>
    <row r="212" ht="14" customHeight="1">
      <c r="A212" s="53">
        <f>Settings!$B$9</f>
        <v/>
      </c>
      <c r="B212" s="53" t="inlineStr">
        <is>
          <t>Propane</t>
        </is>
      </c>
      <c r="C212" s="35" t="inlineStr">
        <is>
          <t>Mar</t>
        </is>
      </c>
      <c r="D212" s="48">
        <f>SUMIFS('Bills Log'!$F$6:$F$505,'Bills Log'!$A$6:$A$505,"&gt;="&amp;DATE(Settings!$B$5,3,1),'Bills Log'!$A$6:$A$505,"&lt;"&amp;DATE(Settings!$B$5,4,1),'Bills Log'!$B$6:$B$505,A212,'Bills Log'!$C$6:$C$505,B212)</f>
        <v/>
      </c>
      <c r="E212" s="48">
        <f>SUMIFS('Bills Log'!$F$6:$F$505,'Bills Log'!$A$6:$A$505,"&gt;="&amp;DATE(Settings!$B$5-1,3,1),'Bills Log'!$A$6:$A$505,"&lt;"&amp;DATE((Settings!$B$5-1),4,1),'Bills Log'!$B$6:$B$505,A212,'Bills Log'!$C$6:$C$505,B212)</f>
        <v/>
      </c>
      <c r="F212" s="54">
        <f>IFERROR(IF(E212=0,"",D212/E212-1),"")</f>
        <v/>
      </c>
      <c r="G212" s="55">
        <f>D212-E212</f>
        <v/>
      </c>
      <c r="H212" s="56">
        <f>IFERROR(IF(ABS(D212/E212-1)&gt;0.25,"⚠ "&amp;ROUND((D212/E212-1)*100,0)&amp;"%",""),"")</f>
        <v/>
      </c>
    </row>
    <row r="213" ht="14" customHeight="1">
      <c r="A213" s="53">
        <f>Settings!$B$9</f>
        <v/>
      </c>
      <c r="B213" s="53" t="inlineStr">
        <is>
          <t>Propane</t>
        </is>
      </c>
      <c r="C213" s="35" t="inlineStr">
        <is>
          <t>Apr</t>
        </is>
      </c>
      <c r="D213" s="48">
        <f>SUMIFS('Bills Log'!$F$6:$F$505,'Bills Log'!$A$6:$A$505,"&gt;="&amp;DATE(Settings!$B$5,4,1),'Bills Log'!$A$6:$A$505,"&lt;"&amp;DATE(Settings!$B$5,5,1),'Bills Log'!$B$6:$B$505,A213,'Bills Log'!$C$6:$C$505,B213)</f>
        <v/>
      </c>
      <c r="E213" s="48">
        <f>SUMIFS('Bills Log'!$F$6:$F$505,'Bills Log'!$A$6:$A$505,"&gt;="&amp;DATE(Settings!$B$5-1,4,1),'Bills Log'!$A$6:$A$505,"&lt;"&amp;DATE((Settings!$B$5-1),5,1),'Bills Log'!$B$6:$B$505,A213,'Bills Log'!$C$6:$C$505,B213)</f>
        <v/>
      </c>
      <c r="F213" s="54">
        <f>IFERROR(IF(E213=0,"",D213/E213-1),"")</f>
        <v/>
      </c>
      <c r="G213" s="55">
        <f>D213-E213</f>
        <v/>
      </c>
      <c r="H213" s="56">
        <f>IFERROR(IF(ABS(D213/E213-1)&gt;0.25,"⚠ "&amp;ROUND((D213/E213-1)*100,0)&amp;"%",""),"")</f>
        <v/>
      </c>
    </row>
    <row r="214" ht="14" customHeight="1">
      <c r="A214" s="53">
        <f>Settings!$B$9</f>
        <v/>
      </c>
      <c r="B214" s="53" t="inlineStr">
        <is>
          <t>Propane</t>
        </is>
      </c>
      <c r="C214" s="35" t="inlineStr">
        <is>
          <t>May</t>
        </is>
      </c>
      <c r="D214" s="48">
        <f>SUMIFS('Bills Log'!$F$6:$F$505,'Bills Log'!$A$6:$A$505,"&gt;="&amp;DATE(Settings!$B$5,5,1),'Bills Log'!$A$6:$A$505,"&lt;"&amp;DATE(Settings!$B$5,6,1),'Bills Log'!$B$6:$B$505,A214,'Bills Log'!$C$6:$C$505,B214)</f>
        <v/>
      </c>
      <c r="E214" s="48">
        <f>SUMIFS('Bills Log'!$F$6:$F$505,'Bills Log'!$A$6:$A$505,"&gt;="&amp;DATE(Settings!$B$5-1,5,1),'Bills Log'!$A$6:$A$505,"&lt;"&amp;DATE((Settings!$B$5-1),6,1),'Bills Log'!$B$6:$B$505,A214,'Bills Log'!$C$6:$C$505,B214)</f>
        <v/>
      </c>
      <c r="F214" s="54">
        <f>IFERROR(IF(E214=0,"",D214/E214-1),"")</f>
        <v/>
      </c>
      <c r="G214" s="55">
        <f>D214-E214</f>
        <v/>
      </c>
      <c r="H214" s="56">
        <f>IFERROR(IF(ABS(D214/E214-1)&gt;0.25,"⚠ "&amp;ROUND((D214/E214-1)*100,0)&amp;"%",""),"")</f>
        <v/>
      </c>
    </row>
    <row r="215" ht="14" customHeight="1">
      <c r="A215" s="53">
        <f>Settings!$B$9</f>
        <v/>
      </c>
      <c r="B215" s="53" t="inlineStr">
        <is>
          <t>Propane</t>
        </is>
      </c>
      <c r="C215" s="35" t="inlineStr">
        <is>
          <t>Jun</t>
        </is>
      </c>
      <c r="D215" s="48">
        <f>SUMIFS('Bills Log'!$F$6:$F$505,'Bills Log'!$A$6:$A$505,"&gt;="&amp;DATE(Settings!$B$5,6,1),'Bills Log'!$A$6:$A$505,"&lt;"&amp;DATE(Settings!$B$5,7,1),'Bills Log'!$B$6:$B$505,A215,'Bills Log'!$C$6:$C$505,B215)</f>
        <v/>
      </c>
      <c r="E215" s="48">
        <f>SUMIFS('Bills Log'!$F$6:$F$505,'Bills Log'!$A$6:$A$505,"&gt;="&amp;DATE(Settings!$B$5-1,6,1),'Bills Log'!$A$6:$A$505,"&lt;"&amp;DATE((Settings!$B$5-1),7,1),'Bills Log'!$B$6:$B$505,A215,'Bills Log'!$C$6:$C$505,B215)</f>
        <v/>
      </c>
      <c r="F215" s="54">
        <f>IFERROR(IF(E215=0,"",D215/E215-1),"")</f>
        <v/>
      </c>
      <c r="G215" s="55">
        <f>D215-E215</f>
        <v/>
      </c>
      <c r="H215" s="56">
        <f>IFERROR(IF(ABS(D215/E215-1)&gt;0.25,"⚠ "&amp;ROUND((D215/E215-1)*100,0)&amp;"%",""),"")</f>
        <v/>
      </c>
    </row>
    <row r="216" ht="14" customHeight="1">
      <c r="A216" s="53">
        <f>Settings!$B$9</f>
        <v/>
      </c>
      <c r="B216" s="53" t="inlineStr">
        <is>
          <t>Propane</t>
        </is>
      </c>
      <c r="C216" s="35" t="inlineStr">
        <is>
          <t>Jul</t>
        </is>
      </c>
      <c r="D216" s="48">
        <f>SUMIFS('Bills Log'!$F$6:$F$505,'Bills Log'!$A$6:$A$505,"&gt;="&amp;DATE(Settings!$B$5,7,1),'Bills Log'!$A$6:$A$505,"&lt;"&amp;DATE(Settings!$B$5,8,1),'Bills Log'!$B$6:$B$505,A216,'Bills Log'!$C$6:$C$505,B216)</f>
        <v/>
      </c>
      <c r="E216" s="48">
        <f>SUMIFS('Bills Log'!$F$6:$F$505,'Bills Log'!$A$6:$A$505,"&gt;="&amp;DATE(Settings!$B$5-1,7,1),'Bills Log'!$A$6:$A$505,"&lt;"&amp;DATE((Settings!$B$5-1),8,1),'Bills Log'!$B$6:$B$505,A216,'Bills Log'!$C$6:$C$505,B216)</f>
        <v/>
      </c>
      <c r="F216" s="54">
        <f>IFERROR(IF(E216=0,"",D216/E216-1),"")</f>
        <v/>
      </c>
      <c r="G216" s="55">
        <f>D216-E216</f>
        <v/>
      </c>
      <c r="H216" s="56">
        <f>IFERROR(IF(ABS(D216/E216-1)&gt;0.25,"⚠ "&amp;ROUND((D216/E216-1)*100,0)&amp;"%",""),"")</f>
        <v/>
      </c>
    </row>
    <row r="217" ht="14" customHeight="1">
      <c r="A217" s="53">
        <f>Settings!$B$9</f>
        <v/>
      </c>
      <c r="B217" s="53" t="inlineStr">
        <is>
          <t>Propane</t>
        </is>
      </c>
      <c r="C217" s="35" t="inlineStr">
        <is>
          <t>Aug</t>
        </is>
      </c>
      <c r="D217" s="48">
        <f>SUMIFS('Bills Log'!$F$6:$F$505,'Bills Log'!$A$6:$A$505,"&gt;="&amp;DATE(Settings!$B$5,8,1),'Bills Log'!$A$6:$A$505,"&lt;"&amp;DATE(Settings!$B$5,9,1),'Bills Log'!$B$6:$B$505,A217,'Bills Log'!$C$6:$C$505,B217)</f>
        <v/>
      </c>
      <c r="E217" s="48">
        <f>SUMIFS('Bills Log'!$F$6:$F$505,'Bills Log'!$A$6:$A$505,"&gt;="&amp;DATE(Settings!$B$5-1,8,1),'Bills Log'!$A$6:$A$505,"&lt;"&amp;DATE((Settings!$B$5-1),9,1),'Bills Log'!$B$6:$B$505,A217,'Bills Log'!$C$6:$C$505,B217)</f>
        <v/>
      </c>
      <c r="F217" s="54">
        <f>IFERROR(IF(E217=0,"",D217/E217-1),"")</f>
        <v/>
      </c>
      <c r="G217" s="55">
        <f>D217-E217</f>
        <v/>
      </c>
      <c r="H217" s="56">
        <f>IFERROR(IF(ABS(D217/E217-1)&gt;0.25,"⚠ "&amp;ROUND((D217/E217-1)*100,0)&amp;"%",""),"")</f>
        <v/>
      </c>
    </row>
    <row r="218" ht="14" customHeight="1">
      <c r="A218" s="53">
        <f>Settings!$B$9</f>
        <v/>
      </c>
      <c r="B218" s="53" t="inlineStr">
        <is>
          <t>Propane</t>
        </is>
      </c>
      <c r="C218" s="35" t="inlineStr">
        <is>
          <t>Sep</t>
        </is>
      </c>
      <c r="D218" s="48">
        <f>SUMIFS('Bills Log'!$F$6:$F$505,'Bills Log'!$A$6:$A$505,"&gt;="&amp;DATE(Settings!$B$5,9,1),'Bills Log'!$A$6:$A$505,"&lt;"&amp;DATE(Settings!$B$5,10,1),'Bills Log'!$B$6:$B$505,A218,'Bills Log'!$C$6:$C$505,B218)</f>
        <v/>
      </c>
      <c r="E218" s="48">
        <f>SUMIFS('Bills Log'!$F$6:$F$505,'Bills Log'!$A$6:$A$505,"&gt;="&amp;DATE(Settings!$B$5-1,9,1),'Bills Log'!$A$6:$A$505,"&lt;"&amp;DATE((Settings!$B$5-1),10,1),'Bills Log'!$B$6:$B$505,A218,'Bills Log'!$C$6:$C$505,B218)</f>
        <v/>
      </c>
      <c r="F218" s="54">
        <f>IFERROR(IF(E218=0,"",D218/E218-1),"")</f>
        <v/>
      </c>
      <c r="G218" s="55">
        <f>D218-E218</f>
        <v/>
      </c>
      <c r="H218" s="56">
        <f>IFERROR(IF(ABS(D218/E218-1)&gt;0.25,"⚠ "&amp;ROUND((D218/E218-1)*100,0)&amp;"%",""),"")</f>
        <v/>
      </c>
    </row>
    <row r="219" ht="14" customHeight="1">
      <c r="A219" s="53">
        <f>Settings!$B$9</f>
        <v/>
      </c>
      <c r="B219" s="53" t="inlineStr">
        <is>
          <t>Propane</t>
        </is>
      </c>
      <c r="C219" s="35" t="inlineStr">
        <is>
          <t>Oct</t>
        </is>
      </c>
      <c r="D219" s="48">
        <f>SUMIFS('Bills Log'!$F$6:$F$505,'Bills Log'!$A$6:$A$505,"&gt;="&amp;DATE(Settings!$B$5,10,1),'Bills Log'!$A$6:$A$505,"&lt;"&amp;DATE(Settings!$B$5,11,1),'Bills Log'!$B$6:$B$505,A219,'Bills Log'!$C$6:$C$505,B219)</f>
        <v/>
      </c>
      <c r="E219" s="48">
        <f>SUMIFS('Bills Log'!$F$6:$F$505,'Bills Log'!$A$6:$A$505,"&gt;="&amp;DATE(Settings!$B$5-1,10,1),'Bills Log'!$A$6:$A$505,"&lt;"&amp;DATE((Settings!$B$5-1),11,1),'Bills Log'!$B$6:$B$505,A219,'Bills Log'!$C$6:$C$505,B219)</f>
        <v/>
      </c>
      <c r="F219" s="54">
        <f>IFERROR(IF(E219=0,"",D219/E219-1),"")</f>
        <v/>
      </c>
      <c r="G219" s="55">
        <f>D219-E219</f>
        <v/>
      </c>
      <c r="H219" s="56">
        <f>IFERROR(IF(ABS(D219/E219-1)&gt;0.25,"⚠ "&amp;ROUND((D219/E219-1)*100,0)&amp;"%",""),"")</f>
        <v/>
      </c>
    </row>
    <row r="220" ht="14" customHeight="1">
      <c r="A220" s="53">
        <f>Settings!$B$9</f>
        <v/>
      </c>
      <c r="B220" s="53" t="inlineStr">
        <is>
          <t>Propane</t>
        </is>
      </c>
      <c r="C220" s="35" t="inlineStr">
        <is>
          <t>Nov</t>
        </is>
      </c>
      <c r="D220" s="48">
        <f>SUMIFS('Bills Log'!$F$6:$F$505,'Bills Log'!$A$6:$A$505,"&gt;="&amp;DATE(Settings!$B$5,11,1),'Bills Log'!$A$6:$A$505,"&lt;"&amp;DATE(Settings!$B$5,12,1),'Bills Log'!$B$6:$B$505,A220,'Bills Log'!$C$6:$C$505,B220)</f>
        <v/>
      </c>
      <c r="E220" s="48">
        <f>SUMIFS('Bills Log'!$F$6:$F$505,'Bills Log'!$A$6:$A$505,"&gt;="&amp;DATE(Settings!$B$5-1,11,1),'Bills Log'!$A$6:$A$505,"&lt;"&amp;DATE((Settings!$B$5-1),12,1),'Bills Log'!$B$6:$B$505,A220,'Bills Log'!$C$6:$C$505,B220)</f>
        <v/>
      </c>
      <c r="F220" s="54">
        <f>IFERROR(IF(E220=0,"",D220/E220-1),"")</f>
        <v/>
      </c>
      <c r="G220" s="55">
        <f>D220-E220</f>
        <v/>
      </c>
      <c r="H220" s="56">
        <f>IFERROR(IF(ABS(D220/E220-1)&gt;0.25,"⚠ "&amp;ROUND((D220/E220-1)*100,0)&amp;"%",""),"")</f>
        <v/>
      </c>
    </row>
    <row r="221" ht="14" customHeight="1">
      <c r="A221" s="53">
        <f>Settings!$B$9</f>
        <v/>
      </c>
      <c r="B221" s="53" t="inlineStr">
        <is>
          <t>Propane</t>
        </is>
      </c>
      <c r="C221" s="35" t="inlineStr">
        <is>
          <t>Dec</t>
        </is>
      </c>
      <c r="D221" s="48">
        <f>SUMIFS('Bills Log'!$F$6:$F$505,'Bills Log'!$A$6:$A$505,"&gt;="&amp;DATE(Settings!$B$5,12,1),'Bills Log'!$A$6:$A$505,"&lt;"&amp;DATE(Settings!$B$5+1,1,1),'Bills Log'!$B$6:$B$505,A221,'Bills Log'!$C$6:$C$505,B221)</f>
        <v/>
      </c>
      <c r="E221" s="48">
        <f>SUMIFS('Bills Log'!$F$6:$F$505,'Bills Log'!$A$6:$A$505,"&gt;="&amp;DATE(Settings!$B$5-1,12,1),'Bills Log'!$A$6:$A$505,"&lt;"&amp;DATE(Settings!$B$5,1,1),'Bills Log'!$B$6:$B$505,A221,'Bills Log'!$C$6:$C$505,B221)</f>
        <v/>
      </c>
      <c r="F221" s="54">
        <f>IFERROR(IF(E221=0,"",D221/E221-1),"")</f>
        <v/>
      </c>
      <c r="G221" s="55">
        <f>D221-E221</f>
        <v/>
      </c>
      <c r="H221" s="56">
        <f>IFERROR(IF(ABS(D221/E221-1)&gt;0.25,"⚠ "&amp;ROUND((D221/E221-1)*100,0)&amp;"%",""),"")</f>
        <v/>
      </c>
    </row>
  </sheetData>
  <autoFilter ref="A5:H221"/>
  <mergeCells count="4">
    <mergeCell ref="J2:L2"/>
    <mergeCell ref="D2:I2"/>
    <mergeCell ref="A2:C2"/>
    <mergeCell ref="A4:L4"/>
  </mergeCells>
  <conditionalFormatting sqref="H6:H221">
    <cfRule type="cellIs" priority="1" operator="notEqual" dxfId="0">
      <formula>""</formula>
    </cfRule>
  </conditionalFormatting>
  <pageMargins left="0.4" right="0.4" top="0.5" bottom="0.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4" customWidth="1" min="3" max="3"/>
    <col width="16" customWidth="1" min="4" max="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HYPERLINK("#'Trend &amp; Anomalies'!A1", "← BACK")</f>
        <v/>
      </c>
      <c r="B2" s="13" t="n"/>
      <c r="C2" s="13" t="n"/>
      <c r="D2" s="37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Active tax year · Property list · Service list</t>
        </is>
      </c>
    </row>
    <row r="5" ht="18" customHeight="1">
      <c r="A5" s="57" t="inlineStr">
        <is>
          <t>Active tax year:</t>
        </is>
      </c>
      <c r="B5" s="58" t="n">
        <v>2026</v>
      </c>
    </row>
    <row r="6" ht="32" customHeight="1">
      <c r="A6" s="59" t="inlineStr">
        <is>
          <t>Bump this each January. The Trend &amp; Anomalies tab compares this year to (this year - 1). Without it, dashboards return $0 when the system clock doesn't match logged dates.</t>
        </is>
      </c>
    </row>
    <row r="7" ht="16" customHeight="1">
      <c r="A7" s="60" t="inlineStr">
        <is>
          <t>Properties:</t>
        </is>
      </c>
      <c r="B7" s="41" t="n"/>
    </row>
    <row r="8" ht="16" customHeight="1">
      <c r="B8" s="41" t="n"/>
    </row>
    <row r="9" ht="16" customHeight="1">
      <c r="B9" s="41" t="n"/>
    </row>
    <row r="10" ht="16" customHeight="1">
      <c r="B10" s="41" t="n"/>
    </row>
    <row r="11" ht="16" customHeight="1">
      <c r="B11" s="41" t="n"/>
    </row>
    <row r="12" ht="16" customHeight="1">
      <c r="B12" s="41" t="n"/>
    </row>
    <row r="13" ht="16" customHeight="1">
      <c r="B13" s="41" t="n"/>
    </row>
    <row r="14" ht="16" customHeight="1">
      <c r="B14" s="41" t="n"/>
    </row>
    <row r="15" ht="16" customHeight="1">
      <c r="B15" s="41" t="n"/>
    </row>
    <row r="16" ht="16" customHeight="1">
      <c r="B16" s="41" t="n"/>
    </row>
    <row r="17" ht="16" customHeight="1">
      <c r="A17" s="60" t="inlineStr">
        <is>
          <t>Services:</t>
        </is>
      </c>
    </row>
    <row r="18" ht="16" customHeight="1">
      <c r="B18" s="41" t="inlineStr">
        <is>
          <t>Electric</t>
        </is>
      </c>
    </row>
    <row r="19" ht="16" customHeight="1">
      <c r="B19" s="41" t="inlineStr">
        <is>
          <t>Gas</t>
        </is>
      </c>
    </row>
    <row r="20" ht="16" customHeight="1">
      <c r="B20" s="41" t="inlineStr">
        <is>
          <t>Water</t>
        </is>
      </c>
    </row>
    <row r="21" ht="16" customHeight="1">
      <c r="B21" s="41" t="inlineStr">
        <is>
          <t>Internet</t>
        </is>
      </c>
    </row>
    <row r="22" ht="16" customHeight="1">
      <c r="B22" s="41" t="inlineStr">
        <is>
          <t>Trash</t>
        </is>
      </c>
    </row>
    <row r="23" ht="16" customHeight="1">
      <c r="B23" s="41" t="inlineStr">
        <is>
          <t>Propane</t>
        </is>
      </c>
    </row>
    <row r="24" ht="16" customHeight="1">
      <c r="B24" s="41" t="inlineStr">
        <is>
          <t>Other</t>
        </is>
      </c>
    </row>
    <row r="25" ht="16" customHeight="1">
      <c r="B25" s="41" t="n"/>
    </row>
    <row r="27" ht="18" customHeight="1">
      <c r="A27" s="59" t="inlineStr">
        <is>
          <t>The Bills Log Property and Service dropdowns read directly from these two ranges (B7:B16 and B18:B25). Renaming a property here cascades to the matrix automatically.</t>
        </is>
      </c>
    </row>
    <row r="28" ht="18" customHeight="1"/>
  </sheetData>
  <mergeCells count="5">
    <mergeCell ref="D2:L2"/>
    <mergeCell ref="A27:D28"/>
    <mergeCell ref="A6:D6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Utility Usage + Trend Tracker (BLANK) — The STR Ledger</dc:title>
  <dc:description xmlns:dc="http://purl.org/dc/elements/1.1/">Per-property utility tracker with YoY anomaly detection (v2.2).</dc:description>
  <dcterms:created xmlns:dcterms="http://purl.org/dc/terms/" xmlns:xsi="http://www.w3.org/2001/XMLSchema-instance" xsi:type="dcterms:W3CDTF">2026-05-03T19:06:33Z</dcterms:created>
  <dcterms:modified xmlns:dcterms="http://purl.org/dc/terms/" xmlns:xsi="http://www.w3.org/2001/XMLSchema-instance" xsi:type="dcterms:W3CDTF">2026-05-03T19:06:34Z</dcterms:modified>
</cp:coreProperties>
</file>