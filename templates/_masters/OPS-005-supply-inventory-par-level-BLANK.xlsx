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Restock List" sheetId="3" state="visible" r:id="rId3"/>
    <sheet xmlns:r="http://schemas.openxmlformats.org/officeDocument/2006/relationships" name="Vendor Quick Order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'Start'!$A$1:$L$48</definedName>
    <definedName name="_xlnm.Print_Titles" localSheetId="1">'Inventory'!$1:$5</definedName>
    <definedName name="_xlnm.Print_Titles" localSheetId="2">'Restock List'!$1:$7</definedName>
    <definedName name="_xlnm.Print_Area" localSheetId="2">'Restock List'!$A$1:$I$60</definedName>
    <definedName name="_xlnm.Print_Titles" localSheetId="3">'Vendor Quick Order'!$1:$3</definedName>
    <definedName name="_xlnm.Print_Area" localSheetId="3">'Vendor Quick Order'!$A$1:$G$106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yyyy-mm-dd"/>
  </numFmts>
  <fonts count="29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2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Consolas"/>
      <b val="1"/>
      <color rgb="00B91C1C"/>
      <sz val="9"/>
    </font>
    <font>
      <name val="Georgia"/>
      <b val="1"/>
      <color rgb="00B91C1C"/>
      <sz val="32"/>
    </font>
    <font>
      <name val="Consolas"/>
      <b val="1"/>
      <color rgb="00C9A24B"/>
      <sz val="9"/>
    </font>
    <font>
      <name val="Georgia"/>
      <b val="1"/>
      <color rgb="00C9A24B"/>
      <sz val="28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i val="1"/>
      <color rgb="00B91C1C"/>
      <sz val="10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b val="1"/>
      <color rgb="00FFFFFF"/>
      <sz val="11"/>
    </font>
    <font>
      <name val="Calibri"/>
      <i val="1"/>
      <color rgb="002B2B2B"/>
      <sz val="11"/>
    </font>
    <font>
      <name val="Georgia"/>
      <b val="1"/>
      <color rgb="00B91C1C"/>
      <sz val="18"/>
    </font>
    <font>
      <name val="Consolas"/>
      <b val="1"/>
      <color rgb="0012304E"/>
      <sz val="11"/>
    </font>
    <font>
      <name val="Calibri"/>
      <b val="1"/>
      <color rgb="002B2B2B"/>
      <sz val="11"/>
    </font>
    <font>
      <name val="Calibri"/>
      <b val="1"/>
      <color rgb="0012304E"/>
      <sz val="11"/>
    </font>
    <font>
      <name val="Calibri"/>
      <i val="1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2"/>
    </xf>
    <xf numFmtId="0" fontId="6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6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1" fillId="3" borderId="2" applyAlignment="1" pivotButton="0" quotePrefix="0" xfId="0">
      <alignment horizontal="center"/>
    </xf>
    <xf numFmtId="0" fontId="13" fillId="3" borderId="2" applyAlignment="1" pivotButton="0" quotePrefix="0" xfId="0">
      <alignment horizontal="center"/>
    </xf>
    <xf numFmtId="0" fontId="9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2" fillId="3" borderId="5" applyAlignment="1" pivotButton="0" quotePrefix="0" xfId="0">
      <alignment horizontal="center" vertical="center"/>
    </xf>
    <xf numFmtId="164" fontId="14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0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5" fillId="6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5" fillId="3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6" fillId="4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right" vertical="center" indent="2"/>
    </xf>
    <xf numFmtId="0" fontId="21" fillId="3" borderId="0" applyAlignment="1" pivotButton="0" quotePrefix="0" xfId="0">
      <alignment horizontal="left" vertical="center" indent="1"/>
    </xf>
    <xf numFmtId="0" fontId="22" fillId="2" borderId="14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0" fontId="23" fillId="8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left" vertical="center"/>
    </xf>
    <xf numFmtId="165" fontId="23" fillId="8" borderId="0" applyAlignment="1" pivotButton="0" quotePrefix="0" xfId="0">
      <alignment horizontal="right" vertical="center"/>
    </xf>
    <xf numFmtId="166" fontId="6" fillId="7" borderId="0" applyAlignment="1" pivotButton="0" quotePrefix="0" xfId="0">
      <alignment horizontal="left" vertical="center"/>
    </xf>
    <xf numFmtId="0" fontId="24" fillId="4" borderId="0" applyAlignment="1" pivotButton="0" quotePrefix="0" xfId="0">
      <alignment horizontal="center" vertical="center"/>
    </xf>
    <xf numFmtId="0" fontId="23" fillId="8" borderId="0" applyAlignment="1" pivotButton="0" quotePrefix="0" xfId="0">
      <alignment horizontal="left" vertical="center"/>
    </xf>
    <xf numFmtId="0" fontId="25" fillId="4" borderId="0" applyAlignment="1" pivotButton="0" quotePrefix="0" xfId="0">
      <alignment horizontal="left" vertical="center" indent="2"/>
    </xf>
    <xf numFmtId="0" fontId="26" fillId="5" borderId="0" applyAlignment="1" pivotButton="0" quotePrefix="0" xfId="0">
      <alignment horizontal="right" vertical="center" indent="1"/>
    </xf>
    <xf numFmtId="165" fontId="27" fillId="5" borderId="0" applyAlignment="1" pivotButton="0" quotePrefix="0" xfId="0">
      <alignment horizontal="right" vertical="center"/>
    </xf>
    <xf numFmtId="0" fontId="26" fillId="0" borderId="0" applyAlignment="1" pivotButton="0" quotePrefix="0" xfId="0">
      <alignment horizontal="right" vertical="center"/>
    </xf>
    <xf numFmtId="1" fontId="6" fillId="7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 wrapText="1" indent="1"/>
    </xf>
    <xf numFmtId="0" fontId="15" fillId="0" borderId="0" pivotButton="0" quotePrefix="0" xfId="0"/>
    <xf numFmtId="0" fontId="28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1" fontId="6" fillId="7" borderId="0" applyAlignment="1" pivotButton="0" quotePrefix="0" xfId="0">
      <alignment horizontal="left" vertical="center"/>
    </xf>
    <xf numFmtId="164" fontId="6" fillId="7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b val="1"/>
        <color rgb="00B91C1C"/>
      </font>
      <fill>
        <patternFill patternType="solid">
          <fgColor rgb="00FFCCCC"/>
        </patternFill>
      </fill>
    </dxf>
    <dxf>
      <fill>
        <patternFill patternType="solid">
          <f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6" customHeight="1">
      <c r="A4" s="3" t="inlineStr">
        <is>
          <t>Supply Inventory + Par-Level Restock</t>
        </is>
      </c>
    </row>
    <row r="5" ht="22" customHeight="1">
      <c r="A5" s="4" t="inlineStr">
        <is>
          <t>Never run out of TP between guests again.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OPS-005 · v2.2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6" t="inlineStr">
        <is>
          <t>WHAT THIS DOES</t>
        </is>
      </c>
    </row>
    <row r="11">
      <c r="A11" s="7" t="inlineStr">
        <is>
          <t>Tracks consumables (linens, toiletries, cleaning supplies, paper goods) per property with a par level — the minimum quantity you keep on hand. When on-hand drops below par, the item shows up on the Restock List with the shortfall and dollar cost. Vendor Quick Order pages bundle every below-par item into copy-paste shopping lists for Costco, Amazon, Sam's Club, and local stores.</t>
        </is>
      </c>
    </row>
    <row r="12"/>
    <row r="13"/>
    <row r="14"/>
    <row r="15"/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8" ht="20" customHeight="1">
      <c r="A18" s="6" t="inlineStr">
        <is>
          <t>HOW TO USE</t>
        </is>
      </c>
    </row>
    <row r="19" ht="22" customHeight="1">
      <c r="A19" s="9" t="inlineStr">
        <is>
          <t>① Settings: edit the property list, vendor list, and category list to match your portfolio.</t>
        </is>
      </c>
    </row>
    <row r="20" ht="22" customHeight="1">
      <c r="A20" s="9" t="inlineStr">
        <is>
          <t>② Inventory tab: add every consumable — SKU, item, property, par level, current count, vendor, unit cost.</t>
        </is>
      </c>
    </row>
    <row r="21" ht="22" customHeight="1">
      <c r="A21" s="9" t="inlineStr">
        <is>
          <t>③ After each turnover: update the On-hand column. Shortfall and $ to restock recalculate automatically.</t>
        </is>
      </c>
    </row>
    <row r="22" ht="22" customHeight="1">
      <c r="A22" s="9" t="inlineStr">
        <is>
          <t>④ Restock List: glance at the count of items below par and the total restock cost — sorted by shortfall.</t>
        </is>
      </c>
    </row>
    <row r="23" ht="22" customHeight="1">
      <c r="A23" s="9" t="inlineStr">
        <is>
          <t>⑤ Vendor Quick Order: open the page for the vendor you're shopping at, copy the list, paste into the cart.</t>
        </is>
      </c>
    </row>
    <row r="24" ht="22" customHeight="1">
      <c r="A24" s="9" t="inlineStr">
        <is>
          <t>⑥ When supplies arrive: bump the On-hand count and update Last Restocked date — par alerts clear automatically.</t>
        </is>
      </c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7" ht="22" customHeight="1">
      <c r="A27" s="11">
        <f>HYPERLINK("#'Inventory'!A6", "→  OPEN INVENTORY  (LOG ON-HAND COUNTS)")</f>
        <v/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 ht="22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2">
      <c r="A32" s="13" t="inlineStr">
        <is>
          <t>ITEMS TRACKED</t>
        </is>
      </c>
      <c r="B32" s="14" t="n"/>
      <c r="C32" s="14" t="n"/>
      <c r="D32" s="15" t="n"/>
      <c r="E32" s="16" t="inlineStr">
        <is>
          <t>ITEMS BELOW PAR</t>
        </is>
      </c>
      <c r="F32" s="14" t="n"/>
      <c r="G32" s="14" t="n"/>
      <c r="H32" s="15" t="n"/>
      <c r="I32" s="17" t="inlineStr">
        <is>
          <t>$ TO RESTOCK</t>
        </is>
      </c>
      <c r="J32" s="14" t="n"/>
      <c r="K32" s="14" t="n"/>
      <c r="L32" s="15" t="n"/>
    </row>
    <row r="33">
      <c r="A33" s="18">
        <f>COUNTA(Inventory!A6:A205)</f>
        <v/>
      </c>
      <c r="B33" s="19" t="n"/>
      <c r="C33" s="19" t="n"/>
      <c r="D33" s="20" t="n"/>
      <c r="E33" s="21">
        <f>COUNTIF(Inventory!G6:G205,"&gt;0")</f>
        <v/>
      </c>
      <c r="F33" s="19" t="n"/>
      <c r="G33" s="19" t="n"/>
      <c r="H33" s="20" t="n"/>
      <c r="I33" s="22">
        <f>SUM(Inventory!K6:K205)</f>
        <v/>
      </c>
      <c r="J33" s="19" t="n"/>
      <c r="K33" s="19" t="n"/>
      <c r="L33" s="20" t="n"/>
    </row>
    <row r="34">
      <c r="A34" s="23" t="n"/>
      <c r="B34" s="19" t="n"/>
      <c r="C34" s="19" t="n"/>
      <c r="D34" s="20" t="n"/>
      <c r="E34" s="23" t="n"/>
      <c r="F34" s="19" t="n"/>
      <c r="G34" s="19" t="n"/>
      <c r="H34" s="20" t="n"/>
      <c r="I34" s="23" t="n"/>
      <c r="J34" s="19" t="n"/>
      <c r="K34" s="19" t="n"/>
      <c r="L34" s="20" t="n"/>
    </row>
    <row r="35">
      <c r="A35" s="24" t="inlineStr">
        <is>
          <t>rows on the Inventory tab</t>
        </is>
      </c>
      <c r="B35" s="25" t="n"/>
      <c r="C35" s="25" t="n"/>
      <c r="D35" s="26" t="n"/>
      <c r="E35" s="24" t="inlineStr">
        <is>
          <t>need restock now</t>
        </is>
      </c>
      <c r="F35" s="25" t="n"/>
      <c r="G35" s="25" t="n"/>
      <c r="H35" s="26" t="n"/>
      <c r="I35" s="24" t="inlineStr">
        <is>
          <t>shortfall × unit cost</t>
        </is>
      </c>
      <c r="J35" s="25" t="n"/>
      <c r="K35" s="25" t="n"/>
      <c r="L35" s="26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9" ht="22" customHeight="1">
      <c r="A39" s="27">
        <f>HYPERLINK("#'Restock List'!A1", "→ Restock List")</f>
        <v/>
      </c>
      <c r="B39" s="28" t="n"/>
      <c r="C39" s="28" t="n"/>
      <c r="D39" s="29">
        <f>HYPERLINK("#'Vendor Quick Order'!A1", "Vendor Quick Order")</f>
        <v/>
      </c>
      <c r="E39" s="30" t="n"/>
      <c r="F39" s="30" t="n"/>
      <c r="G39" s="29">
        <f>HYPERLINK("#'Inventory'!A1", "Inventory")</f>
        <v/>
      </c>
      <c r="H39" s="30" t="n"/>
      <c r="I39" s="30" t="n"/>
      <c r="J39" s="29">
        <f>HYPERLINK("#'Settings'!A1", "Settings")</f>
        <v/>
      </c>
      <c r="K39" s="30" t="n"/>
      <c r="L39" s="30" t="n"/>
    </row>
    <row r="40" ht="22" customHeight="1">
      <c r="A40" s="28" t="n"/>
      <c r="B40" s="28" t="n"/>
      <c r="C40" s="28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</row>
    <row r="42" ht="36" customHeight="1">
      <c r="A42" s="31" t="inlineStr">
        <is>
          <t>🧺 PAR-LEVEL RULE: par = (linen sets per turnover × turnovers between restocks) + 1 buffer set. For a 4-bed Queen, 2 turnovers/wk, weekly Costco run → par = (4 × 2) + 4 = 12 sheet sets. Build it in once, stop scrambling forever.</t>
        </is>
      </c>
    </row>
    <row r="44" ht="28" customHeight="1">
      <c r="A44" s="32" t="inlineStr">
        <is>
          <t>⚠ Update On-hand counts after every turnover. Stale counts = surprise shortages. The Restock List is only as honest as the column to its left.</t>
        </is>
      </c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</row>
    <row r="47" ht="18" customHeight="1">
      <c r="A47" s="34" t="inlineStr">
        <is>
          <t>Questions? hello@thestrledger.com</t>
        </is>
      </c>
    </row>
    <row r="48" ht="18" customHeight="1">
      <c r="A48" s="35" t="inlineStr">
        <is>
          <t>OPS-005 · v2.2 · Free updates forever</t>
        </is>
      </c>
    </row>
  </sheetData>
  <mergeCells count="31">
    <mergeCell ref="A7:L7"/>
    <mergeCell ref="A11:L15"/>
    <mergeCell ref="A35:D35"/>
    <mergeCell ref="E33:H34"/>
    <mergeCell ref="D39:F40"/>
    <mergeCell ref="I35:L35"/>
    <mergeCell ref="A18:L18"/>
    <mergeCell ref="A39:C40"/>
    <mergeCell ref="E32:H32"/>
    <mergeCell ref="A21:L21"/>
    <mergeCell ref="A2:F2"/>
    <mergeCell ref="J39:L40"/>
    <mergeCell ref="A42:L42"/>
    <mergeCell ref="A47:L47"/>
    <mergeCell ref="A5:L5"/>
    <mergeCell ref="A23:L23"/>
    <mergeCell ref="A22:L22"/>
    <mergeCell ref="I33:L34"/>
    <mergeCell ref="A4:L4"/>
    <mergeCell ref="A20:L20"/>
    <mergeCell ref="G39:I40"/>
    <mergeCell ref="A10:L10"/>
    <mergeCell ref="A19:L19"/>
    <mergeCell ref="A33:D34"/>
    <mergeCell ref="E35:H35"/>
    <mergeCell ref="A44:L44"/>
    <mergeCell ref="I32:L32"/>
    <mergeCell ref="A48:L48"/>
    <mergeCell ref="A24:L24"/>
    <mergeCell ref="A27:L30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M2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2" customWidth="1" min="3" max="3"/>
    <col width="18" customWidth="1" min="4" max="4"/>
    <col width="7" customWidth="1" min="5" max="5"/>
    <col width="9" customWidth="1" min="6" max="6"/>
    <col width="10" customWidth="1" min="7" max="7"/>
    <col width="13" customWidth="1" min="8" max="8"/>
    <col width="11" customWidth="1" min="9" max="9"/>
    <col width="10" customWidth="1" min="10" max="10"/>
    <col width="13" customWidth="1" min="11" max="11"/>
    <col width="14" customWidth="1" min="12" max="12"/>
    <col width="28" customWidth="1" min="13" max="1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HYPERLINK("#'Start'!A1", "← BACK")</f>
        <v/>
      </c>
      <c r="B2" s="12" t="n"/>
      <c r="C2" s="12" t="n"/>
      <c r="D2" s="36" t="inlineStr">
        <is>
          <t>INVENTORY</t>
        </is>
      </c>
      <c r="J2" s="27">
        <f>HYPERLINK("#'Restock List'!A1", "NEXT →")</f>
        <v/>
      </c>
      <c r="K2" s="28" t="n"/>
      <c r="L2" s="2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Master register — SKU, item, property, par, on-hand, vendor, unit cost</t>
        </is>
      </c>
    </row>
    <row r="5" ht="20" customHeight="1">
      <c r="A5" s="38" t="inlineStr">
        <is>
          <t>SKU</t>
        </is>
      </c>
      <c r="B5" s="38" t="inlineStr">
        <is>
          <t>Item</t>
        </is>
      </c>
      <c r="C5" s="38" t="inlineStr">
        <is>
          <t>Category</t>
        </is>
      </c>
      <c r="D5" s="38" t="inlineStr">
        <is>
          <t>Property</t>
        </is>
      </c>
      <c r="E5" s="38" t="inlineStr">
        <is>
          <t>Par</t>
        </is>
      </c>
      <c r="F5" s="38" t="inlineStr">
        <is>
          <t>On-hand</t>
        </is>
      </c>
      <c r="G5" s="38" t="inlineStr">
        <is>
          <t>Shortfall</t>
        </is>
      </c>
      <c r="H5" s="38" t="inlineStr">
        <is>
          <t>Vendor</t>
        </is>
      </c>
      <c r="I5" s="38" t="inlineStr">
        <is>
          <t>Unit cost</t>
        </is>
      </c>
      <c r="J5" s="38" t="inlineStr">
        <is>
          <t>Reorder qty</t>
        </is>
      </c>
      <c r="K5" s="38" t="inlineStr">
        <is>
          <t>$ to restock</t>
        </is>
      </c>
      <c r="L5" s="38" t="inlineStr">
        <is>
          <t>Last restocked</t>
        </is>
      </c>
      <c r="M5" s="38" t="inlineStr">
        <is>
          <t>Notes</t>
        </is>
      </c>
    </row>
    <row r="6" ht="16" customHeight="1">
      <c r="A6" s="39" t="n"/>
      <c r="B6" s="39" t="n"/>
      <c r="C6" s="39" t="n"/>
      <c r="D6" s="39" t="n"/>
      <c r="E6" s="40" t="n"/>
      <c r="F6" s="40" t="n"/>
      <c r="G6" s="41">
        <f>IF(OR(E6="",F6=""),"",MAX(0,E6-F6))</f>
        <v/>
      </c>
      <c r="H6" s="39" t="n"/>
      <c r="I6" s="42" t="n"/>
      <c r="J6" s="40" t="n"/>
      <c r="K6" s="43">
        <f>IF(OR(G6="",I6=""),"",G6*I6)</f>
        <v/>
      </c>
      <c r="L6" s="44" t="n"/>
      <c r="M6" s="39" t="n"/>
    </row>
    <row r="7" ht="16" customHeight="1">
      <c r="A7" s="39" t="n"/>
      <c r="B7" s="39" t="n"/>
      <c r="C7" s="39" t="n"/>
      <c r="D7" s="39" t="n"/>
      <c r="E7" s="40" t="n"/>
      <c r="F7" s="40" t="n"/>
      <c r="G7" s="41">
        <f>IF(OR(E7="",F7=""),"",MAX(0,E7-F7))</f>
        <v/>
      </c>
      <c r="H7" s="39" t="n"/>
      <c r="I7" s="42" t="n"/>
      <c r="J7" s="40" t="n"/>
      <c r="K7" s="43">
        <f>IF(OR(G7="",I7=""),"",G7*I7)</f>
        <v/>
      </c>
      <c r="L7" s="44" t="n"/>
      <c r="M7" s="39" t="n"/>
    </row>
    <row r="8" ht="16" customHeight="1">
      <c r="A8" s="39" t="n"/>
      <c r="B8" s="39" t="n"/>
      <c r="C8" s="39" t="n"/>
      <c r="D8" s="39" t="n"/>
      <c r="E8" s="40" t="n"/>
      <c r="F8" s="40" t="n"/>
      <c r="G8" s="41">
        <f>IF(OR(E8="",F8=""),"",MAX(0,E8-F8))</f>
        <v/>
      </c>
      <c r="H8" s="39" t="n"/>
      <c r="I8" s="42" t="n"/>
      <c r="J8" s="40" t="n"/>
      <c r="K8" s="43">
        <f>IF(OR(G8="",I8=""),"",G8*I8)</f>
        <v/>
      </c>
      <c r="L8" s="44" t="n"/>
      <c r="M8" s="39" t="n"/>
    </row>
    <row r="9" ht="16" customHeight="1">
      <c r="A9" s="39" t="n"/>
      <c r="B9" s="39" t="n"/>
      <c r="C9" s="39" t="n"/>
      <c r="D9" s="39" t="n"/>
      <c r="E9" s="40" t="n"/>
      <c r="F9" s="40" t="n"/>
      <c r="G9" s="41">
        <f>IF(OR(E9="",F9=""),"",MAX(0,E9-F9))</f>
        <v/>
      </c>
      <c r="H9" s="39" t="n"/>
      <c r="I9" s="42" t="n"/>
      <c r="J9" s="40" t="n"/>
      <c r="K9" s="43">
        <f>IF(OR(G9="",I9=""),"",G9*I9)</f>
        <v/>
      </c>
      <c r="L9" s="44" t="n"/>
      <c r="M9" s="39" t="n"/>
    </row>
    <row r="10" ht="16" customHeight="1">
      <c r="A10" s="39" t="n"/>
      <c r="B10" s="39" t="n"/>
      <c r="C10" s="39" t="n"/>
      <c r="D10" s="39" t="n"/>
      <c r="E10" s="40" t="n"/>
      <c r="F10" s="40" t="n"/>
      <c r="G10" s="41">
        <f>IF(OR(E10="",F10=""),"",MAX(0,E10-F10))</f>
        <v/>
      </c>
      <c r="H10" s="39" t="n"/>
      <c r="I10" s="42" t="n"/>
      <c r="J10" s="40" t="n"/>
      <c r="K10" s="43">
        <f>IF(OR(G10="",I10=""),"",G10*I10)</f>
        <v/>
      </c>
      <c r="L10" s="44" t="n"/>
      <c r="M10" s="39" t="n"/>
    </row>
    <row r="11" ht="16" customHeight="1">
      <c r="A11" s="39" t="n"/>
      <c r="B11" s="39" t="n"/>
      <c r="C11" s="39" t="n"/>
      <c r="D11" s="39" t="n"/>
      <c r="E11" s="40" t="n"/>
      <c r="F11" s="40" t="n"/>
      <c r="G11" s="41">
        <f>IF(OR(E11="",F11=""),"",MAX(0,E11-F11))</f>
        <v/>
      </c>
      <c r="H11" s="39" t="n"/>
      <c r="I11" s="42" t="n"/>
      <c r="J11" s="40" t="n"/>
      <c r="K11" s="43">
        <f>IF(OR(G11="",I11=""),"",G11*I11)</f>
        <v/>
      </c>
      <c r="L11" s="44" t="n"/>
      <c r="M11" s="39" t="n"/>
    </row>
    <row r="12" ht="16" customHeight="1">
      <c r="A12" s="39" t="n"/>
      <c r="B12" s="39" t="n"/>
      <c r="C12" s="39" t="n"/>
      <c r="D12" s="39" t="n"/>
      <c r="E12" s="40" t="n"/>
      <c r="F12" s="40" t="n"/>
      <c r="G12" s="41">
        <f>IF(OR(E12="",F12=""),"",MAX(0,E12-F12))</f>
        <v/>
      </c>
      <c r="H12" s="39" t="n"/>
      <c r="I12" s="42" t="n"/>
      <c r="J12" s="40" t="n"/>
      <c r="K12" s="43">
        <f>IF(OR(G12="",I12=""),"",G12*I12)</f>
        <v/>
      </c>
      <c r="L12" s="44" t="n"/>
      <c r="M12" s="39" t="n"/>
    </row>
    <row r="13" ht="16" customHeight="1">
      <c r="A13" s="39" t="n"/>
      <c r="B13" s="39" t="n"/>
      <c r="C13" s="39" t="n"/>
      <c r="D13" s="39" t="n"/>
      <c r="E13" s="40" t="n"/>
      <c r="F13" s="40" t="n"/>
      <c r="G13" s="41">
        <f>IF(OR(E13="",F13=""),"",MAX(0,E13-F13))</f>
        <v/>
      </c>
      <c r="H13" s="39" t="n"/>
      <c r="I13" s="42" t="n"/>
      <c r="J13" s="40" t="n"/>
      <c r="K13" s="43">
        <f>IF(OR(G13="",I13=""),"",G13*I13)</f>
        <v/>
      </c>
      <c r="L13" s="44" t="n"/>
      <c r="M13" s="39" t="n"/>
    </row>
    <row r="14" ht="16" customHeight="1">
      <c r="A14" s="39" t="n"/>
      <c r="B14" s="39" t="n"/>
      <c r="C14" s="39" t="n"/>
      <c r="D14" s="39" t="n"/>
      <c r="E14" s="40" t="n"/>
      <c r="F14" s="40" t="n"/>
      <c r="G14" s="41">
        <f>IF(OR(E14="",F14=""),"",MAX(0,E14-F14))</f>
        <v/>
      </c>
      <c r="H14" s="39" t="n"/>
      <c r="I14" s="42" t="n"/>
      <c r="J14" s="40" t="n"/>
      <c r="K14" s="43">
        <f>IF(OR(G14="",I14=""),"",G14*I14)</f>
        <v/>
      </c>
      <c r="L14" s="44" t="n"/>
      <c r="M14" s="39" t="n"/>
    </row>
    <row r="15" ht="16" customHeight="1">
      <c r="A15" s="39" t="n"/>
      <c r="B15" s="39" t="n"/>
      <c r="C15" s="39" t="n"/>
      <c r="D15" s="39" t="n"/>
      <c r="E15" s="40" t="n"/>
      <c r="F15" s="40" t="n"/>
      <c r="G15" s="41">
        <f>IF(OR(E15="",F15=""),"",MAX(0,E15-F15))</f>
        <v/>
      </c>
      <c r="H15" s="39" t="n"/>
      <c r="I15" s="42" t="n"/>
      <c r="J15" s="40" t="n"/>
      <c r="K15" s="43">
        <f>IF(OR(G15="",I15=""),"",G15*I15)</f>
        <v/>
      </c>
      <c r="L15" s="44" t="n"/>
      <c r="M15" s="39" t="n"/>
    </row>
    <row r="16" ht="16" customHeight="1">
      <c r="A16" s="39" t="n"/>
      <c r="B16" s="39" t="n"/>
      <c r="C16" s="39" t="n"/>
      <c r="D16" s="39" t="n"/>
      <c r="E16" s="40" t="n"/>
      <c r="F16" s="40" t="n"/>
      <c r="G16" s="41">
        <f>IF(OR(E16="",F16=""),"",MAX(0,E16-F16))</f>
        <v/>
      </c>
      <c r="H16" s="39" t="n"/>
      <c r="I16" s="42" t="n"/>
      <c r="J16" s="40" t="n"/>
      <c r="K16" s="43">
        <f>IF(OR(G16="",I16=""),"",G16*I16)</f>
        <v/>
      </c>
      <c r="L16" s="44" t="n"/>
      <c r="M16" s="39" t="n"/>
    </row>
    <row r="17" ht="16" customHeight="1">
      <c r="A17" s="39" t="n"/>
      <c r="B17" s="39" t="n"/>
      <c r="C17" s="39" t="n"/>
      <c r="D17" s="39" t="n"/>
      <c r="E17" s="40" t="n"/>
      <c r="F17" s="40" t="n"/>
      <c r="G17" s="41">
        <f>IF(OR(E17="",F17=""),"",MAX(0,E17-F17))</f>
        <v/>
      </c>
      <c r="H17" s="39" t="n"/>
      <c r="I17" s="42" t="n"/>
      <c r="J17" s="40" t="n"/>
      <c r="K17" s="43">
        <f>IF(OR(G17="",I17=""),"",G17*I17)</f>
        <v/>
      </c>
      <c r="L17" s="44" t="n"/>
      <c r="M17" s="39" t="n"/>
    </row>
    <row r="18" ht="16" customHeight="1">
      <c r="A18" s="39" t="n"/>
      <c r="B18" s="39" t="n"/>
      <c r="C18" s="39" t="n"/>
      <c r="D18" s="39" t="n"/>
      <c r="E18" s="40" t="n"/>
      <c r="F18" s="40" t="n"/>
      <c r="G18" s="41">
        <f>IF(OR(E18="",F18=""),"",MAX(0,E18-F18))</f>
        <v/>
      </c>
      <c r="H18" s="39" t="n"/>
      <c r="I18" s="42" t="n"/>
      <c r="J18" s="40" t="n"/>
      <c r="K18" s="43">
        <f>IF(OR(G18="",I18=""),"",G18*I18)</f>
        <v/>
      </c>
      <c r="L18" s="44" t="n"/>
      <c r="M18" s="39" t="n"/>
    </row>
    <row r="19" ht="16" customHeight="1">
      <c r="A19" s="39" t="n"/>
      <c r="B19" s="39" t="n"/>
      <c r="C19" s="39" t="n"/>
      <c r="D19" s="39" t="n"/>
      <c r="E19" s="40" t="n"/>
      <c r="F19" s="40" t="n"/>
      <c r="G19" s="41">
        <f>IF(OR(E19="",F19=""),"",MAX(0,E19-F19))</f>
        <v/>
      </c>
      <c r="H19" s="39" t="n"/>
      <c r="I19" s="42" t="n"/>
      <c r="J19" s="40" t="n"/>
      <c r="K19" s="43">
        <f>IF(OR(G19="",I19=""),"",G19*I19)</f>
        <v/>
      </c>
      <c r="L19" s="44" t="n"/>
      <c r="M19" s="39" t="n"/>
    </row>
    <row r="20" ht="16" customHeight="1">
      <c r="A20" s="39" t="n"/>
      <c r="B20" s="39" t="n"/>
      <c r="C20" s="39" t="n"/>
      <c r="D20" s="39" t="n"/>
      <c r="E20" s="40" t="n"/>
      <c r="F20" s="40" t="n"/>
      <c r="G20" s="41">
        <f>IF(OR(E20="",F20=""),"",MAX(0,E20-F20))</f>
        <v/>
      </c>
      <c r="H20" s="39" t="n"/>
      <c r="I20" s="42" t="n"/>
      <c r="J20" s="40" t="n"/>
      <c r="K20" s="43">
        <f>IF(OR(G20="",I20=""),"",G20*I20)</f>
        <v/>
      </c>
      <c r="L20" s="44" t="n"/>
      <c r="M20" s="39" t="n"/>
    </row>
    <row r="21" ht="16" customHeight="1">
      <c r="A21" s="39" t="n"/>
      <c r="B21" s="39" t="n"/>
      <c r="C21" s="39" t="n"/>
      <c r="D21" s="39" t="n"/>
      <c r="E21" s="40" t="n"/>
      <c r="F21" s="40" t="n"/>
      <c r="G21" s="41">
        <f>IF(OR(E21="",F21=""),"",MAX(0,E21-F21))</f>
        <v/>
      </c>
      <c r="H21" s="39" t="n"/>
      <c r="I21" s="42" t="n"/>
      <c r="J21" s="40" t="n"/>
      <c r="K21" s="43">
        <f>IF(OR(G21="",I21=""),"",G21*I21)</f>
        <v/>
      </c>
      <c r="L21" s="44" t="n"/>
      <c r="M21" s="39" t="n"/>
    </row>
    <row r="22" ht="16" customHeight="1">
      <c r="A22" s="39" t="n"/>
      <c r="B22" s="39" t="n"/>
      <c r="C22" s="39" t="n"/>
      <c r="D22" s="39" t="n"/>
      <c r="E22" s="40" t="n"/>
      <c r="F22" s="40" t="n"/>
      <c r="G22" s="41">
        <f>IF(OR(E22="",F22=""),"",MAX(0,E22-F22))</f>
        <v/>
      </c>
      <c r="H22" s="39" t="n"/>
      <c r="I22" s="42" t="n"/>
      <c r="J22" s="40" t="n"/>
      <c r="K22" s="43">
        <f>IF(OR(G22="",I22=""),"",G22*I22)</f>
        <v/>
      </c>
      <c r="L22" s="44" t="n"/>
      <c r="M22" s="39" t="n"/>
    </row>
    <row r="23" ht="16" customHeight="1">
      <c r="A23" s="39" t="n"/>
      <c r="B23" s="39" t="n"/>
      <c r="C23" s="39" t="n"/>
      <c r="D23" s="39" t="n"/>
      <c r="E23" s="40" t="n"/>
      <c r="F23" s="40" t="n"/>
      <c r="G23" s="41">
        <f>IF(OR(E23="",F23=""),"",MAX(0,E23-F23))</f>
        <v/>
      </c>
      <c r="H23" s="39" t="n"/>
      <c r="I23" s="42" t="n"/>
      <c r="J23" s="40" t="n"/>
      <c r="K23" s="43">
        <f>IF(OR(G23="",I23=""),"",G23*I23)</f>
        <v/>
      </c>
      <c r="L23" s="44" t="n"/>
      <c r="M23" s="39" t="n"/>
    </row>
    <row r="24" ht="16" customHeight="1">
      <c r="A24" s="39" t="n"/>
      <c r="B24" s="39" t="n"/>
      <c r="C24" s="39" t="n"/>
      <c r="D24" s="39" t="n"/>
      <c r="E24" s="40" t="n"/>
      <c r="F24" s="40" t="n"/>
      <c r="G24" s="41">
        <f>IF(OR(E24="",F24=""),"",MAX(0,E24-F24))</f>
        <v/>
      </c>
      <c r="H24" s="39" t="n"/>
      <c r="I24" s="42" t="n"/>
      <c r="J24" s="40" t="n"/>
      <c r="K24" s="43">
        <f>IF(OR(G24="",I24=""),"",G24*I24)</f>
        <v/>
      </c>
      <c r="L24" s="44" t="n"/>
      <c r="M24" s="39" t="n"/>
    </row>
    <row r="25" ht="16" customHeight="1">
      <c r="A25" s="39" t="n"/>
      <c r="B25" s="39" t="n"/>
      <c r="C25" s="39" t="n"/>
      <c r="D25" s="39" t="n"/>
      <c r="E25" s="40" t="n"/>
      <c r="F25" s="40" t="n"/>
      <c r="G25" s="41">
        <f>IF(OR(E25="",F25=""),"",MAX(0,E25-F25))</f>
        <v/>
      </c>
      <c r="H25" s="39" t="n"/>
      <c r="I25" s="42" t="n"/>
      <c r="J25" s="40" t="n"/>
      <c r="K25" s="43">
        <f>IF(OR(G25="",I25=""),"",G25*I25)</f>
        <v/>
      </c>
      <c r="L25" s="44" t="n"/>
      <c r="M25" s="39" t="n"/>
    </row>
    <row r="26" ht="16" customHeight="1">
      <c r="A26" s="39" t="n"/>
      <c r="B26" s="39" t="n"/>
      <c r="C26" s="39" t="n"/>
      <c r="D26" s="39" t="n"/>
      <c r="E26" s="40" t="n"/>
      <c r="F26" s="40" t="n"/>
      <c r="G26" s="41">
        <f>IF(OR(E26="",F26=""),"",MAX(0,E26-F26))</f>
        <v/>
      </c>
      <c r="H26" s="39" t="n"/>
      <c r="I26" s="42" t="n"/>
      <c r="J26" s="40" t="n"/>
      <c r="K26" s="43">
        <f>IF(OR(G26="",I26=""),"",G26*I26)</f>
        <v/>
      </c>
      <c r="L26" s="44" t="n"/>
      <c r="M26" s="39" t="n"/>
    </row>
    <row r="27" ht="16" customHeight="1">
      <c r="A27" s="39" t="n"/>
      <c r="B27" s="39" t="n"/>
      <c r="C27" s="39" t="n"/>
      <c r="D27" s="39" t="n"/>
      <c r="E27" s="40" t="n"/>
      <c r="F27" s="40" t="n"/>
      <c r="G27" s="41">
        <f>IF(OR(E27="",F27=""),"",MAX(0,E27-F27))</f>
        <v/>
      </c>
      <c r="H27" s="39" t="n"/>
      <c r="I27" s="42" t="n"/>
      <c r="J27" s="40" t="n"/>
      <c r="K27" s="43">
        <f>IF(OR(G27="",I27=""),"",G27*I27)</f>
        <v/>
      </c>
      <c r="L27" s="44" t="n"/>
      <c r="M27" s="39" t="n"/>
    </row>
    <row r="28" ht="16" customHeight="1">
      <c r="A28" s="39" t="n"/>
      <c r="B28" s="39" t="n"/>
      <c r="C28" s="39" t="n"/>
      <c r="D28" s="39" t="n"/>
      <c r="E28" s="40" t="n"/>
      <c r="F28" s="40" t="n"/>
      <c r="G28" s="41">
        <f>IF(OR(E28="",F28=""),"",MAX(0,E28-F28))</f>
        <v/>
      </c>
      <c r="H28" s="39" t="n"/>
      <c r="I28" s="42" t="n"/>
      <c r="J28" s="40" t="n"/>
      <c r="K28" s="43">
        <f>IF(OR(G28="",I28=""),"",G28*I28)</f>
        <v/>
      </c>
      <c r="L28" s="44" t="n"/>
      <c r="M28" s="39" t="n"/>
    </row>
    <row r="29" ht="16" customHeight="1">
      <c r="A29" s="39" t="n"/>
      <c r="B29" s="39" t="n"/>
      <c r="C29" s="39" t="n"/>
      <c r="D29" s="39" t="n"/>
      <c r="E29" s="40" t="n"/>
      <c r="F29" s="40" t="n"/>
      <c r="G29" s="41">
        <f>IF(OR(E29="",F29=""),"",MAX(0,E29-F29))</f>
        <v/>
      </c>
      <c r="H29" s="39" t="n"/>
      <c r="I29" s="42" t="n"/>
      <c r="J29" s="40" t="n"/>
      <c r="K29" s="43">
        <f>IF(OR(G29="",I29=""),"",G29*I29)</f>
        <v/>
      </c>
      <c r="L29" s="44" t="n"/>
      <c r="M29" s="39" t="n"/>
    </row>
    <row r="30" ht="16" customHeight="1">
      <c r="A30" s="39" t="n"/>
      <c r="B30" s="39" t="n"/>
      <c r="C30" s="39" t="n"/>
      <c r="D30" s="39" t="n"/>
      <c r="E30" s="40" t="n"/>
      <c r="F30" s="40" t="n"/>
      <c r="G30" s="41">
        <f>IF(OR(E30="",F30=""),"",MAX(0,E30-F30))</f>
        <v/>
      </c>
      <c r="H30" s="39" t="n"/>
      <c r="I30" s="42" t="n"/>
      <c r="J30" s="40" t="n"/>
      <c r="K30" s="43">
        <f>IF(OR(G30="",I30=""),"",G30*I30)</f>
        <v/>
      </c>
      <c r="L30" s="44" t="n"/>
      <c r="M30" s="39" t="n"/>
    </row>
    <row r="31" ht="16" customHeight="1">
      <c r="A31" s="39" t="n"/>
      <c r="B31" s="39" t="n"/>
      <c r="C31" s="39" t="n"/>
      <c r="D31" s="39" t="n"/>
      <c r="E31" s="40" t="n"/>
      <c r="F31" s="40" t="n"/>
      <c r="G31" s="41">
        <f>IF(OR(E31="",F31=""),"",MAX(0,E31-F31))</f>
        <v/>
      </c>
      <c r="H31" s="39" t="n"/>
      <c r="I31" s="42" t="n"/>
      <c r="J31" s="40" t="n"/>
      <c r="K31" s="43">
        <f>IF(OR(G31="",I31=""),"",G31*I31)</f>
        <v/>
      </c>
      <c r="L31" s="44" t="n"/>
      <c r="M31" s="39" t="n"/>
    </row>
    <row r="32" ht="16" customHeight="1">
      <c r="A32" s="39" t="n"/>
      <c r="B32" s="39" t="n"/>
      <c r="C32" s="39" t="n"/>
      <c r="D32" s="39" t="n"/>
      <c r="E32" s="40" t="n"/>
      <c r="F32" s="40" t="n"/>
      <c r="G32" s="41">
        <f>IF(OR(E32="",F32=""),"",MAX(0,E32-F32))</f>
        <v/>
      </c>
      <c r="H32" s="39" t="n"/>
      <c r="I32" s="42" t="n"/>
      <c r="J32" s="40" t="n"/>
      <c r="K32" s="43">
        <f>IF(OR(G32="",I32=""),"",G32*I32)</f>
        <v/>
      </c>
      <c r="L32" s="44" t="n"/>
      <c r="M32" s="39" t="n"/>
    </row>
    <row r="33" ht="16" customHeight="1">
      <c r="A33" s="39" t="n"/>
      <c r="B33" s="39" t="n"/>
      <c r="C33" s="39" t="n"/>
      <c r="D33" s="39" t="n"/>
      <c r="E33" s="40" t="n"/>
      <c r="F33" s="40" t="n"/>
      <c r="G33" s="41">
        <f>IF(OR(E33="",F33=""),"",MAX(0,E33-F33))</f>
        <v/>
      </c>
      <c r="H33" s="39" t="n"/>
      <c r="I33" s="42" t="n"/>
      <c r="J33" s="40" t="n"/>
      <c r="K33" s="43">
        <f>IF(OR(G33="",I33=""),"",G33*I33)</f>
        <v/>
      </c>
      <c r="L33" s="44" t="n"/>
      <c r="M33" s="39" t="n"/>
    </row>
    <row r="34" ht="16" customHeight="1">
      <c r="A34" s="39" t="n"/>
      <c r="B34" s="39" t="n"/>
      <c r="C34" s="39" t="n"/>
      <c r="D34" s="39" t="n"/>
      <c r="E34" s="40" t="n"/>
      <c r="F34" s="40" t="n"/>
      <c r="G34" s="41">
        <f>IF(OR(E34="",F34=""),"",MAX(0,E34-F34))</f>
        <v/>
      </c>
      <c r="H34" s="39" t="n"/>
      <c r="I34" s="42" t="n"/>
      <c r="J34" s="40" t="n"/>
      <c r="K34" s="43">
        <f>IF(OR(G34="",I34=""),"",G34*I34)</f>
        <v/>
      </c>
      <c r="L34" s="44" t="n"/>
      <c r="M34" s="39" t="n"/>
    </row>
    <row r="35" ht="16" customHeight="1">
      <c r="A35" s="39" t="n"/>
      <c r="B35" s="39" t="n"/>
      <c r="C35" s="39" t="n"/>
      <c r="D35" s="39" t="n"/>
      <c r="E35" s="40" t="n"/>
      <c r="F35" s="40" t="n"/>
      <c r="G35" s="41">
        <f>IF(OR(E35="",F35=""),"",MAX(0,E35-F35))</f>
        <v/>
      </c>
      <c r="H35" s="39" t="n"/>
      <c r="I35" s="42" t="n"/>
      <c r="J35" s="40" t="n"/>
      <c r="K35" s="43">
        <f>IF(OR(G35="",I35=""),"",G35*I35)</f>
        <v/>
      </c>
      <c r="L35" s="44" t="n"/>
      <c r="M35" s="39" t="n"/>
    </row>
    <row r="36" ht="16" customHeight="1">
      <c r="A36" s="39" t="n"/>
      <c r="B36" s="39" t="n"/>
      <c r="C36" s="39" t="n"/>
      <c r="D36" s="39" t="n"/>
      <c r="E36" s="40" t="n"/>
      <c r="F36" s="40" t="n"/>
      <c r="G36" s="41">
        <f>IF(OR(E36="",F36=""),"",MAX(0,E36-F36))</f>
        <v/>
      </c>
      <c r="H36" s="39" t="n"/>
      <c r="I36" s="42" t="n"/>
      <c r="J36" s="40" t="n"/>
      <c r="K36" s="43">
        <f>IF(OR(G36="",I36=""),"",G36*I36)</f>
        <v/>
      </c>
      <c r="L36" s="44" t="n"/>
      <c r="M36" s="39" t="n"/>
    </row>
    <row r="37" ht="16" customHeight="1">
      <c r="A37" s="39" t="n"/>
      <c r="B37" s="39" t="n"/>
      <c r="C37" s="39" t="n"/>
      <c r="D37" s="39" t="n"/>
      <c r="E37" s="40" t="n"/>
      <c r="F37" s="40" t="n"/>
      <c r="G37" s="41">
        <f>IF(OR(E37="",F37=""),"",MAX(0,E37-F37))</f>
        <v/>
      </c>
      <c r="H37" s="39" t="n"/>
      <c r="I37" s="42" t="n"/>
      <c r="J37" s="40" t="n"/>
      <c r="K37" s="43">
        <f>IF(OR(G37="",I37=""),"",G37*I37)</f>
        <v/>
      </c>
      <c r="L37" s="44" t="n"/>
      <c r="M37" s="39" t="n"/>
    </row>
    <row r="38" ht="16" customHeight="1">
      <c r="A38" s="39" t="n"/>
      <c r="B38" s="39" t="n"/>
      <c r="C38" s="39" t="n"/>
      <c r="D38" s="39" t="n"/>
      <c r="E38" s="40" t="n"/>
      <c r="F38" s="40" t="n"/>
      <c r="G38" s="41">
        <f>IF(OR(E38="",F38=""),"",MAX(0,E38-F38))</f>
        <v/>
      </c>
      <c r="H38" s="39" t="n"/>
      <c r="I38" s="42" t="n"/>
      <c r="J38" s="40" t="n"/>
      <c r="K38" s="43">
        <f>IF(OR(G38="",I38=""),"",G38*I38)</f>
        <v/>
      </c>
      <c r="L38" s="44" t="n"/>
      <c r="M38" s="39" t="n"/>
    </row>
    <row r="39" ht="16" customHeight="1">
      <c r="A39" s="39" t="n"/>
      <c r="B39" s="39" t="n"/>
      <c r="C39" s="39" t="n"/>
      <c r="D39" s="39" t="n"/>
      <c r="E39" s="40" t="n"/>
      <c r="F39" s="40" t="n"/>
      <c r="G39" s="41">
        <f>IF(OR(E39="",F39=""),"",MAX(0,E39-F39))</f>
        <v/>
      </c>
      <c r="H39" s="39" t="n"/>
      <c r="I39" s="42" t="n"/>
      <c r="J39" s="40" t="n"/>
      <c r="K39" s="43">
        <f>IF(OR(G39="",I39=""),"",G39*I39)</f>
        <v/>
      </c>
      <c r="L39" s="44" t="n"/>
      <c r="M39" s="39" t="n"/>
    </row>
    <row r="40" ht="16" customHeight="1">
      <c r="A40" s="39" t="n"/>
      <c r="B40" s="39" t="n"/>
      <c r="C40" s="39" t="n"/>
      <c r="D40" s="39" t="n"/>
      <c r="E40" s="40" t="n"/>
      <c r="F40" s="40" t="n"/>
      <c r="G40" s="41">
        <f>IF(OR(E40="",F40=""),"",MAX(0,E40-F40))</f>
        <v/>
      </c>
      <c r="H40" s="39" t="n"/>
      <c r="I40" s="42" t="n"/>
      <c r="J40" s="40" t="n"/>
      <c r="K40" s="43">
        <f>IF(OR(G40="",I40=""),"",G40*I40)</f>
        <v/>
      </c>
      <c r="L40" s="44" t="n"/>
      <c r="M40" s="39" t="n"/>
    </row>
    <row r="41" ht="16" customHeight="1">
      <c r="A41" s="39" t="n"/>
      <c r="B41" s="39" t="n"/>
      <c r="C41" s="39" t="n"/>
      <c r="D41" s="39" t="n"/>
      <c r="E41" s="40" t="n"/>
      <c r="F41" s="40" t="n"/>
      <c r="G41" s="41">
        <f>IF(OR(E41="",F41=""),"",MAX(0,E41-F41))</f>
        <v/>
      </c>
      <c r="H41" s="39" t="n"/>
      <c r="I41" s="42" t="n"/>
      <c r="J41" s="40" t="n"/>
      <c r="K41" s="43">
        <f>IF(OR(G41="",I41=""),"",G41*I41)</f>
        <v/>
      </c>
      <c r="L41" s="44" t="n"/>
      <c r="M41" s="39" t="n"/>
    </row>
    <row r="42" ht="16" customHeight="1">
      <c r="A42" s="39" t="n"/>
      <c r="B42" s="39" t="n"/>
      <c r="C42" s="39" t="n"/>
      <c r="D42" s="39" t="n"/>
      <c r="E42" s="40" t="n"/>
      <c r="F42" s="40" t="n"/>
      <c r="G42" s="41">
        <f>IF(OR(E42="",F42=""),"",MAX(0,E42-F42))</f>
        <v/>
      </c>
      <c r="H42" s="39" t="n"/>
      <c r="I42" s="42" t="n"/>
      <c r="J42" s="40" t="n"/>
      <c r="K42" s="43">
        <f>IF(OR(G42="",I42=""),"",G42*I42)</f>
        <v/>
      </c>
      <c r="L42" s="44" t="n"/>
      <c r="M42" s="39" t="n"/>
    </row>
    <row r="43" ht="16" customHeight="1">
      <c r="A43" s="39" t="n"/>
      <c r="B43" s="39" t="n"/>
      <c r="C43" s="39" t="n"/>
      <c r="D43" s="39" t="n"/>
      <c r="E43" s="40" t="n"/>
      <c r="F43" s="40" t="n"/>
      <c r="G43" s="41">
        <f>IF(OR(E43="",F43=""),"",MAX(0,E43-F43))</f>
        <v/>
      </c>
      <c r="H43" s="39" t="n"/>
      <c r="I43" s="42" t="n"/>
      <c r="J43" s="40" t="n"/>
      <c r="K43" s="43">
        <f>IF(OR(G43="",I43=""),"",G43*I43)</f>
        <v/>
      </c>
      <c r="L43" s="44" t="n"/>
      <c r="M43" s="39" t="n"/>
    </row>
    <row r="44" ht="16" customHeight="1">
      <c r="A44" s="39" t="n"/>
      <c r="B44" s="39" t="n"/>
      <c r="C44" s="39" t="n"/>
      <c r="D44" s="39" t="n"/>
      <c r="E44" s="40" t="n"/>
      <c r="F44" s="40" t="n"/>
      <c r="G44" s="41">
        <f>IF(OR(E44="",F44=""),"",MAX(0,E44-F44))</f>
        <v/>
      </c>
      <c r="H44" s="39" t="n"/>
      <c r="I44" s="42" t="n"/>
      <c r="J44" s="40" t="n"/>
      <c r="K44" s="43">
        <f>IF(OR(G44="",I44=""),"",G44*I44)</f>
        <v/>
      </c>
      <c r="L44" s="44" t="n"/>
      <c r="M44" s="39" t="n"/>
    </row>
    <row r="45" ht="16" customHeight="1">
      <c r="A45" s="39" t="n"/>
      <c r="B45" s="39" t="n"/>
      <c r="C45" s="39" t="n"/>
      <c r="D45" s="39" t="n"/>
      <c r="E45" s="40" t="n"/>
      <c r="F45" s="40" t="n"/>
      <c r="G45" s="41">
        <f>IF(OR(E45="",F45=""),"",MAX(0,E45-F45))</f>
        <v/>
      </c>
      <c r="H45" s="39" t="n"/>
      <c r="I45" s="42" t="n"/>
      <c r="J45" s="40" t="n"/>
      <c r="K45" s="43">
        <f>IF(OR(G45="",I45=""),"",G45*I45)</f>
        <v/>
      </c>
      <c r="L45" s="44" t="n"/>
      <c r="M45" s="39" t="n"/>
    </row>
    <row r="46" ht="16" customHeight="1">
      <c r="A46" s="39" t="n"/>
      <c r="B46" s="39" t="n"/>
      <c r="C46" s="39" t="n"/>
      <c r="D46" s="39" t="n"/>
      <c r="E46" s="40" t="n"/>
      <c r="F46" s="40" t="n"/>
      <c r="G46" s="41">
        <f>IF(OR(E46="",F46=""),"",MAX(0,E46-F46))</f>
        <v/>
      </c>
      <c r="H46" s="39" t="n"/>
      <c r="I46" s="42" t="n"/>
      <c r="J46" s="40" t="n"/>
      <c r="K46" s="43">
        <f>IF(OR(G46="",I46=""),"",G46*I46)</f>
        <v/>
      </c>
      <c r="L46" s="44" t="n"/>
      <c r="M46" s="39" t="n"/>
    </row>
    <row r="47" ht="16" customHeight="1">
      <c r="A47" s="39" t="n"/>
      <c r="B47" s="39" t="n"/>
      <c r="C47" s="39" t="n"/>
      <c r="D47" s="39" t="n"/>
      <c r="E47" s="40" t="n"/>
      <c r="F47" s="40" t="n"/>
      <c r="G47" s="41">
        <f>IF(OR(E47="",F47=""),"",MAX(0,E47-F47))</f>
        <v/>
      </c>
      <c r="H47" s="39" t="n"/>
      <c r="I47" s="42" t="n"/>
      <c r="J47" s="40" t="n"/>
      <c r="K47" s="43">
        <f>IF(OR(G47="",I47=""),"",G47*I47)</f>
        <v/>
      </c>
      <c r="L47" s="44" t="n"/>
      <c r="M47" s="39" t="n"/>
    </row>
    <row r="48" ht="16" customHeight="1">
      <c r="A48" s="39" t="n"/>
      <c r="B48" s="39" t="n"/>
      <c r="C48" s="39" t="n"/>
      <c r="D48" s="39" t="n"/>
      <c r="E48" s="40" t="n"/>
      <c r="F48" s="40" t="n"/>
      <c r="G48" s="41">
        <f>IF(OR(E48="",F48=""),"",MAX(0,E48-F48))</f>
        <v/>
      </c>
      <c r="H48" s="39" t="n"/>
      <c r="I48" s="42" t="n"/>
      <c r="J48" s="40" t="n"/>
      <c r="K48" s="43">
        <f>IF(OR(G48="",I48=""),"",G48*I48)</f>
        <v/>
      </c>
      <c r="L48" s="44" t="n"/>
      <c r="M48" s="39" t="n"/>
    </row>
    <row r="49" ht="16" customHeight="1">
      <c r="A49" s="39" t="n"/>
      <c r="B49" s="39" t="n"/>
      <c r="C49" s="39" t="n"/>
      <c r="D49" s="39" t="n"/>
      <c r="E49" s="40" t="n"/>
      <c r="F49" s="40" t="n"/>
      <c r="G49" s="41">
        <f>IF(OR(E49="",F49=""),"",MAX(0,E49-F49))</f>
        <v/>
      </c>
      <c r="H49" s="39" t="n"/>
      <c r="I49" s="42" t="n"/>
      <c r="J49" s="40" t="n"/>
      <c r="K49" s="43">
        <f>IF(OR(G49="",I49=""),"",G49*I49)</f>
        <v/>
      </c>
      <c r="L49" s="44" t="n"/>
      <c r="M49" s="39" t="n"/>
    </row>
    <row r="50" ht="16" customHeight="1">
      <c r="A50" s="39" t="n"/>
      <c r="B50" s="39" t="n"/>
      <c r="C50" s="39" t="n"/>
      <c r="D50" s="39" t="n"/>
      <c r="E50" s="40" t="n"/>
      <c r="F50" s="40" t="n"/>
      <c r="G50" s="41">
        <f>IF(OR(E50="",F50=""),"",MAX(0,E50-F50))</f>
        <v/>
      </c>
      <c r="H50" s="39" t="n"/>
      <c r="I50" s="42" t="n"/>
      <c r="J50" s="40" t="n"/>
      <c r="K50" s="43">
        <f>IF(OR(G50="",I50=""),"",G50*I50)</f>
        <v/>
      </c>
      <c r="L50" s="44" t="n"/>
      <c r="M50" s="39" t="n"/>
    </row>
    <row r="51" ht="16" customHeight="1">
      <c r="A51" s="39" t="n"/>
      <c r="B51" s="39" t="n"/>
      <c r="C51" s="39" t="n"/>
      <c r="D51" s="39" t="n"/>
      <c r="E51" s="40" t="n"/>
      <c r="F51" s="40" t="n"/>
      <c r="G51" s="41">
        <f>IF(OR(E51="",F51=""),"",MAX(0,E51-F51))</f>
        <v/>
      </c>
      <c r="H51" s="39" t="n"/>
      <c r="I51" s="42" t="n"/>
      <c r="J51" s="40" t="n"/>
      <c r="K51" s="43">
        <f>IF(OR(G51="",I51=""),"",G51*I51)</f>
        <v/>
      </c>
      <c r="L51" s="44" t="n"/>
      <c r="M51" s="39" t="n"/>
    </row>
    <row r="52" ht="16" customHeight="1">
      <c r="A52" s="39" t="n"/>
      <c r="B52" s="39" t="n"/>
      <c r="C52" s="39" t="n"/>
      <c r="D52" s="39" t="n"/>
      <c r="E52" s="40" t="n"/>
      <c r="F52" s="40" t="n"/>
      <c r="G52" s="41">
        <f>IF(OR(E52="",F52=""),"",MAX(0,E52-F52))</f>
        <v/>
      </c>
      <c r="H52" s="39" t="n"/>
      <c r="I52" s="42" t="n"/>
      <c r="J52" s="40" t="n"/>
      <c r="K52" s="43">
        <f>IF(OR(G52="",I52=""),"",G52*I52)</f>
        <v/>
      </c>
      <c r="L52" s="44" t="n"/>
      <c r="M52" s="39" t="n"/>
    </row>
    <row r="53" ht="16" customHeight="1">
      <c r="A53" s="39" t="n"/>
      <c r="B53" s="39" t="n"/>
      <c r="C53" s="39" t="n"/>
      <c r="D53" s="39" t="n"/>
      <c r="E53" s="40" t="n"/>
      <c r="F53" s="40" t="n"/>
      <c r="G53" s="41">
        <f>IF(OR(E53="",F53=""),"",MAX(0,E53-F53))</f>
        <v/>
      </c>
      <c r="H53" s="39" t="n"/>
      <c r="I53" s="42" t="n"/>
      <c r="J53" s="40" t="n"/>
      <c r="K53" s="43">
        <f>IF(OR(G53="",I53=""),"",G53*I53)</f>
        <v/>
      </c>
      <c r="L53" s="44" t="n"/>
      <c r="M53" s="39" t="n"/>
    </row>
    <row r="54" ht="16" customHeight="1">
      <c r="A54" s="39" t="n"/>
      <c r="B54" s="39" t="n"/>
      <c r="C54" s="39" t="n"/>
      <c r="D54" s="39" t="n"/>
      <c r="E54" s="40" t="n"/>
      <c r="F54" s="40" t="n"/>
      <c r="G54" s="41">
        <f>IF(OR(E54="",F54=""),"",MAX(0,E54-F54))</f>
        <v/>
      </c>
      <c r="H54" s="39" t="n"/>
      <c r="I54" s="42" t="n"/>
      <c r="J54" s="40" t="n"/>
      <c r="K54" s="43">
        <f>IF(OR(G54="",I54=""),"",G54*I54)</f>
        <v/>
      </c>
      <c r="L54" s="44" t="n"/>
      <c r="M54" s="39" t="n"/>
    </row>
    <row r="55" ht="16" customHeight="1">
      <c r="A55" s="39" t="n"/>
      <c r="B55" s="39" t="n"/>
      <c r="C55" s="39" t="n"/>
      <c r="D55" s="39" t="n"/>
      <c r="E55" s="40" t="n"/>
      <c r="F55" s="40" t="n"/>
      <c r="G55" s="41">
        <f>IF(OR(E55="",F55=""),"",MAX(0,E55-F55))</f>
        <v/>
      </c>
      <c r="H55" s="39" t="n"/>
      <c r="I55" s="42" t="n"/>
      <c r="J55" s="40" t="n"/>
      <c r="K55" s="43">
        <f>IF(OR(G55="",I55=""),"",G55*I55)</f>
        <v/>
      </c>
      <c r="L55" s="44" t="n"/>
      <c r="M55" s="39" t="n"/>
    </row>
    <row r="56" ht="16" customHeight="1">
      <c r="A56" s="39" t="n"/>
      <c r="B56" s="39" t="n"/>
      <c r="C56" s="39" t="n"/>
      <c r="D56" s="39" t="n"/>
      <c r="E56" s="40" t="n"/>
      <c r="F56" s="40" t="n"/>
      <c r="G56" s="41">
        <f>IF(OR(E56="",F56=""),"",MAX(0,E56-F56))</f>
        <v/>
      </c>
      <c r="H56" s="39" t="n"/>
      <c r="I56" s="42" t="n"/>
      <c r="J56" s="40" t="n"/>
      <c r="K56" s="43">
        <f>IF(OR(G56="",I56=""),"",G56*I56)</f>
        <v/>
      </c>
      <c r="L56" s="44" t="n"/>
      <c r="M56" s="39" t="n"/>
    </row>
    <row r="57" ht="16" customHeight="1">
      <c r="A57" s="39" t="n"/>
      <c r="B57" s="39" t="n"/>
      <c r="C57" s="39" t="n"/>
      <c r="D57" s="39" t="n"/>
      <c r="E57" s="40" t="n"/>
      <c r="F57" s="40" t="n"/>
      <c r="G57" s="41">
        <f>IF(OR(E57="",F57=""),"",MAX(0,E57-F57))</f>
        <v/>
      </c>
      <c r="H57" s="39" t="n"/>
      <c r="I57" s="42" t="n"/>
      <c r="J57" s="40" t="n"/>
      <c r="K57" s="43">
        <f>IF(OR(G57="",I57=""),"",G57*I57)</f>
        <v/>
      </c>
      <c r="L57" s="44" t="n"/>
      <c r="M57" s="39" t="n"/>
    </row>
    <row r="58" ht="16" customHeight="1">
      <c r="A58" s="39" t="n"/>
      <c r="B58" s="39" t="n"/>
      <c r="C58" s="39" t="n"/>
      <c r="D58" s="39" t="n"/>
      <c r="E58" s="40" t="n"/>
      <c r="F58" s="40" t="n"/>
      <c r="G58" s="41">
        <f>IF(OR(E58="",F58=""),"",MAX(0,E58-F58))</f>
        <v/>
      </c>
      <c r="H58" s="39" t="n"/>
      <c r="I58" s="42" t="n"/>
      <c r="J58" s="40" t="n"/>
      <c r="K58" s="43">
        <f>IF(OR(G58="",I58=""),"",G58*I58)</f>
        <v/>
      </c>
      <c r="L58" s="44" t="n"/>
      <c r="M58" s="39" t="n"/>
    </row>
    <row r="59" ht="16" customHeight="1">
      <c r="A59" s="39" t="n"/>
      <c r="B59" s="39" t="n"/>
      <c r="C59" s="39" t="n"/>
      <c r="D59" s="39" t="n"/>
      <c r="E59" s="40" t="n"/>
      <c r="F59" s="40" t="n"/>
      <c r="G59" s="41">
        <f>IF(OR(E59="",F59=""),"",MAX(0,E59-F59))</f>
        <v/>
      </c>
      <c r="H59" s="39" t="n"/>
      <c r="I59" s="42" t="n"/>
      <c r="J59" s="40" t="n"/>
      <c r="K59" s="43">
        <f>IF(OR(G59="",I59=""),"",G59*I59)</f>
        <v/>
      </c>
      <c r="L59" s="44" t="n"/>
      <c r="M59" s="39" t="n"/>
    </row>
    <row r="60" ht="16" customHeight="1">
      <c r="A60" s="39" t="n"/>
      <c r="B60" s="39" t="n"/>
      <c r="C60" s="39" t="n"/>
      <c r="D60" s="39" t="n"/>
      <c r="E60" s="40" t="n"/>
      <c r="F60" s="40" t="n"/>
      <c r="G60" s="41">
        <f>IF(OR(E60="",F60=""),"",MAX(0,E60-F60))</f>
        <v/>
      </c>
      <c r="H60" s="39" t="n"/>
      <c r="I60" s="42" t="n"/>
      <c r="J60" s="40" t="n"/>
      <c r="K60" s="43">
        <f>IF(OR(G60="",I60=""),"",G60*I60)</f>
        <v/>
      </c>
      <c r="L60" s="44" t="n"/>
      <c r="M60" s="39" t="n"/>
    </row>
    <row r="61" ht="16" customHeight="1">
      <c r="A61" s="39" t="n"/>
      <c r="B61" s="39" t="n"/>
      <c r="C61" s="39" t="n"/>
      <c r="D61" s="39" t="n"/>
      <c r="E61" s="40" t="n"/>
      <c r="F61" s="40" t="n"/>
      <c r="G61" s="41">
        <f>IF(OR(E61="",F61=""),"",MAX(0,E61-F61))</f>
        <v/>
      </c>
      <c r="H61" s="39" t="n"/>
      <c r="I61" s="42" t="n"/>
      <c r="J61" s="40" t="n"/>
      <c r="K61" s="43">
        <f>IF(OR(G61="",I61=""),"",G61*I61)</f>
        <v/>
      </c>
      <c r="L61" s="44" t="n"/>
      <c r="M61" s="39" t="n"/>
    </row>
    <row r="62" ht="16" customHeight="1">
      <c r="A62" s="39" t="n"/>
      <c r="B62" s="39" t="n"/>
      <c r="C62" s="39" t="n"/>
      <c r="D62" s="39" t="n"/>
      <c r="E62" s="40" t="n"/>
      <c r="F62" s="40" t="n"/>
      <c r="G62" s="41">
        <f>IF(OR(E62="",F62=""),"",MAX(0,E62-F62))</f>
        <v/>
      </c>
      <c r="H62" s="39" t="n"/>
      <c r="I62" s="42" t="n"/>
      <c r="J62" s="40" t="n"/>
      <c r="K62" s="43">
        <f>IF(OR(G62="",I62=""),"",G62*I62)</f>
        <v/>
      </c>
      <c r="L62" s="44" t="n"/>
      <c r="M62" s="39" t="n"/>
    </row>
    <row r="63" ht="16" customHeight="1">
      <c r="A63" s="39" t="n"/>
      <c r="B63" s="39" t="n"/>
      <c r="C63" s="39" t="n"/>
      <c r="D63" s="39" t="n"/>
      <c r="E63" s="40" t="n"/>
      <c r="F63" s="40" t="n"/>
      <c r="G63" s="41">
        <f>IF(OR(E63="",F63=""),"",MAX(0,E63-F63))</f>
        <v/>
      </c>
      <c r="H63" s="39" t="n"/>
      <c r="I63" s="42" t="n"/>
      <c r="J63" s="40" t="n"/>
      <c r="K63" s="43">
        <f>IF(OR(G63="",I63=""),"",G63*I63)</f>
        <v/>
      </c>
      <c r="L63" s="44" t="n"/>
      <c r="M63" s="39" t="n"/>
    </row>
    <row r="64" ht="16" customHeight="1">
      <c r="A64" s="39" t="n"/>
      <c r="B64" s="39" t="n"/>
      <c r="C64" s="39" t="n"/>
      <c r="D64" s="39" t="n"/>
      <c r="E64" s="40" t="n"/>
      <c r="F64" s="40" t="n"/>
      <c r="G64" s="41">
        <f>IF(OR(E64="",F64=""),"",MAX(0,E64-F64))</f>
        <v/>
      </c>
      <c r="H64" s="39" t="n"/>
      <c r="I64" s="42" t="n"/>
      <c r="J64" s="40" t="n"/>
      <c r="K64" s="43">
        <f>IF(OR(G64="",I64=""),"",G64*I64)</f>
        <v/>
      </c>
      <c r="L64" s="44" t="n"/>
      <c r="M64" s="39" t="n"/>
    </row>
    <row r="65" ht="16" customHeight="1">
      <c r="A65" s="39" t="n"/>
      <c r="B65" s="39" t="n"/>
      <c r="C65" s="39" t="n"/>
      <c r="D65" s="39" t="n"/>
      <c r="E65" s="40" t="n"/>
      <c r="F65" s="40" t="n"/>
      <c r="G65" s="41">
        <f>IF(OR(E65="",F65=""),"",MAX(0,E65-F65))</f>
        <v/>
      </c>
      <c r="H65" s="39" t="n"/>
      <c r="I65" s="42" t="n"/>
      <c r="J65" s="40" t="n"/>
      <c r="K65" s="43">
        <f>IF(OR(G65="",I65=""),"",G65*I65)</f>
        <v/>
      </c>
      <c r="L65" s="44" t="n"/>
      <c r="M65" s="39" t="n"/>
    </row>
    <row r="66" ht="16" customHeight="1">
      <c r="A66" s="39" t="n"/>
      <c r="B66" s="39" t="n"/>
      <c r="C66" s="39" t="n"/>
      <c r="D66" s="39" t="n"/>
      <c r="E66" s="40" t="n"/>
      <c r="F66" s="40" t="n"/>
      <c r="G66" s="41">
        <f>IF(OR(E66="",F66=""),"",MAX(0,E66-F66))</f>
        <v/>
      </c>
      <c r="H66" s="39" t="n"/>
      <c r="I66" s="42" t="n"/>
      <c r="J66" s="40" t="n"/>
      <c r="K66" s="43">
        <f>IF(OR(G66="",I66=""),"",G66*I66)</f>
        <v/>
      </c>
      <c r="L66" s="44" t="n"/>
      <c r="M66" s="39" t="n"/>
    </row>
    <row r="67" ht="16" customHeight="1">
      <c r="A67" s="39" t="n"/>
      <c r="B67" s="39" t="n"/>
      <c r="C67" s="39" t="n"/>
      <c r="D67" s="39" t="n"/>
      <c r="E67" s="40" t="n"/>
      <c r="F67" s="40" t="n"/>
      <c r="G67" s="41">
        <f>IF(OR(E67="",F67=""),"",MAX(0,E67-F67))</f>
        <v/>
      </c>
      <c r="H67" s="39" t="n"/>
      <c r="I67" s="42" t="n"/>
      <c r="J67" s="40" t="n"/>
      <c r="K67" s="43">
        <f>IF(OR(G67="",I67=""),"",G67*I67)</f>
        <v/>
      </c>
      <c r="L67" s="44" t="n"/>
      <c r="M67" s="39" t="n"/>
    </row>
    <row r="68" ht="16" customHeight="1">
      <c r="A68" s="39" t="n"/>
      <c r="B68" s="39" t="n"/>
      <c r="C68" s="39" t="n"/>
      <c r="D68" s="39" t="n"/>
      <c r="E68" s="40" t="n"/>
      <c r="F68" s="40" t="n"/>
      <c r="G68" s="41">
        <f>IF(OR(E68="",F68=""),"",MAX(0,E68-F68))</f>
        <v/>
      </c>
      <c r="H68" s="39" t="n"/>
      <c r="I68" s="42" t="n"/>
      <c r="J68" s="40" t="n"/>
      <c r="K68" s="43">
        <f>IF(OR(G68="",I68=""),"",G68*I68)</f>
        <v/>
      </c>
      <c r="L68" s="44" t="n"/>
      <c r="M68" s="39" t="n"/>
    </row>
    <row r="69" ht="16" customHeight="1">
      <c r="A69" s="39" t="n"/>
      <c r="B69" s="39" t="n"/>
      <c r="C69" s="39" t="n"/>
      <c r="D69" s="39" t="n"/>
      <c r="E69" s="40" t="n"/>
      <c r="F69" s="40" t="n"/>
      <c r="G69" s="41">
        <f>IF(OR(E69="",F69=""),"",MAX(0,E69-F69))</f>
        <v/>
      </c>
      <c r="H69" s="39" t="n"/>
      <c r="I69" s="42" t="n"/>
      <c r="J69" s="40" t="n"/>
      <c r="K69" s="43">
        <f>IF(OR(G69="",I69=""),"",G69*I69)</f>
        <v/>
      </c>
      <c r="L69" s="44" t="n"/>
      <c r="M69" s="39" t="n"/>
    </row>
    <row r="70" ht="16" customHeight="1">
      <c r="A70" s="39" t="n"/>
      <c r="B70" s="39" t="n"/>
      <c r="C70" s="39" t="n"/>
      <c r="D70" s="39" t="n"/>
      <c r="E70" s="40" t="n"/>
      <c r="F70" s="40" t="n"/>
      <c r="G70" s="41">
        <f>IF(OR(E70="",F70=""),"",MAX(0,E70-F70))</f>
        <v/>
      </c>
      <c r="H70" s="39" t="n"/>
      <c r="I70" s="42" t="n"/>
      <c r="J70" s="40" t="n"/>
      <c r="K70" s="43">
        <f>IF(OR(G70="",I70=""),"",G70*I70)</f>
        <v/>
      </c>
      <c r="L70" s="44" t="n"/>
      <c r="M70" s="39" t="n"/>
    </row>
    <row r="71" ht="16" customHeight="1">
      <c r="A71" s="39" t="n"/>
      <c r="B71" s="39" t="n"/>
      <c r="C71" s="39" t="n"/>
      <c r="D71" s="39" t="n"/>
      <c r="E71" s="40" t="n"/>
      <c r="F71" s="40" t="n"/>
      <c r="G71" s="41">
        <f>IF(OR(E71="",F71=""),"",MAX(0,E71-F71))</f>
        <v/>
      </c>
      <c r="H71" s="39" t="n"/>
      <c r="I71" s="42" t="n"/>
      <c r="J71" s="40" t="n"/>
      <c r="K71" s="43">
        <f>IF(OR(G71="",I71=""),"",G71*I71)</f>
        <v/>
      </c>
      <c r="L71" s="44" t="n"/>
      <c r="M71" s="39" t="n"/>
    </row>
    <row r="72" ht="16" customHeight="1">
      <c r="A72" s="39" t="n"/>
      <c r="B72" s="39" t="n"/>
      <c r="C72" s="39" t="n"/>
      <c r="D72" s="39" t="n"/>
      <c r="E72" s="40" t="n"/>
      <c r="F72" s="40" t="n"/>
      <c r="G72" s="41">
        <f>IF(OR(E72="",F72=""),"",MAX(0,E72-F72))</f>
        <v/>
      </c>
      <c r="H72" s="39" t="n"/>
      <c r="I72" s="42" t="n"/>
      <c r="J72" s="40" t="n"/>
      <c r="K72" s="43">
        <f>IF(OR(G72="",I72=""),"",G72*I72)</f>
        <v/>
      </c>
      <c r="L72" s="44" t="n"/>
      <c r="M72" s="39" t="n"/>
    </row>
    <row r="73" ht="16" customHeight="1">
      <c r="A73" s="39" t="n"/>
      <c r="B73" s="39" t="n"/>
      <c r="C73" s="39" t="n"/>
      <c r="D73" s="39" t="n"/>
      <c r="E73" s="40" t="n"/>
      <c r="F73" s="40" t="n"/>
      <c r="G73" s="41">
        <f>IF(OR(E73="",F73=""),"",MAX(0,E73-F73))</f>
        <v/>
      </c>
      <c r="H73" s="39" t="n"/>
      <c r="I73" s="42" t="n"/>
      <c r="J73" s="40" t="n"/>
      <c r="K73" s="43">
        <f>IF(OR(G73="",I73=""),"",G73*I73)</f>
        <v/>
      </c>
      <c r="L73" s="44" t="n"/>
      <c r="M73" s="39" t="n"/>
    </row>
    <row r="74" ht="16" customHeight="1">
      <c r="A74" s="39" t="n"/>
      <c r="B74" s="39" t="n"/>
      <c r="C74" s="39" t="n"/>
      <c r="D74" s="39" t="n"/>
      <c r="E74" s="40" t="n"/>
      <c r="F74" s="40" t="n"/>
      <c r="G74" s="41">
        <f>IF(OR(E74="",F74=""),"",MAX(0,E74-F74))</f>
        <v/>
      </c>
      <c r="H74" s="39" t="n"/>
      <c r="I74" s="42" t="n"/>
      <c r="J74" s="40" t="n"/>
      <c r="K74" s="43">
        <f>IF(OR(G74="",I74=""),"",G74*I74)</f>
        <v/>
      </c>
      <c r="L74" s="44" t="n"/>
      <c r="M74" s="39" t="n"/>
    </row>
    <row r="75" ht="16" customHeight="1">
      <c r="A75" s="39" t="n"/>
      <c r="B75" s="39" t="n"/>
      <c r="C75" s="39" t="n"/>
      <c r="D75" s="39" t="n"/>
      <c r="E75" s="40" t="n"/>
      <c r="F75" s="40" t="n"/>
      <c r="G75" s="41">
        <f>IF(OR(E75="",F75=""),"",MAX(0,E75-F75))</f>
        <v/>
      </c>
      <c r="H75" s="39" t="n"/>
      <c r="I75" s="42" t="n"/>
      <c r="J75" s="40" t="n"/>
      <c r="K75" s="43">
        <f>IF(OR(G75="",I75=""),"",G75*I75)</f>
        <v/>
      </c>
      <c r="L75" s="44" t="n"/>
      <c r="M75" s="39" t="n"/>
    </row>
    <row r="76" ht="16" customHeight="1">
      <c r="A76" s="39" t="n"/>
      <c r="B76" s="39" t="n"/>
      <c r="C76" s="39" t="n"/>
      <c r="D76" s="39" t="n"/>
      <c r="E76" s="40" t="n"/>
      <c r="F76" s="40" t="n"/>
      <c r="G76" s="41">
        <f>IF(OR(E76="",F76=""),"",MAX(0,E76-F76))</f>
        <v/>
      </c>
      <c r="H76" s="39" t="n"/>
      <c r="I76" s="42" t="n"/>
      <c r="J76" s="40" t="n"/>
      <c r="K76" s="43">
        <f>IF(OR(G76="",I76=""),"",G76*I76)</f>
        <v/>
      </c>
      <c r="L76" s="44" t="n"/>
      <c r="M76" s="39" t="n"/>
    </row>
    <row r="77" ht="16" customHeight="1">
      <c r="A77" s="39" t="n"/>
      <c r="B77" s="39" t="n"/>
      <c r="C77" s="39" t="n"/>
      <c r="D77" s="39" t="n"/>
      <c r="E77" s="40" t="n"/>
      <c r="F77" s="40" t="n"/>
      <c r="G77" s="41">
        <f>IF(OR(E77="",F77=""),"",MAX(0,E77-F77))</f>
        <v/>
      </c>
      <c r="H77" s="39" t="n"/>
      <c r="I77" s="42" t="n"/>
      <c r="J77" s="40" t="n"/>
      <c r="K77" s="43">
        <f>IF(OR(G77="",I77=""),"",G77*I77)</f>
        <v/>
      </c>
      <c r="L77" s="44" t="n"/>
      <c r="M77" s="39" t="n"/>
    </row>
    <row r="78" ht="16" customHeight="1">
      <c r="A78" s="39" t="n"/>
      <c r="B78" s="39" t="n"/>
      <c r="C78" s="39" t="n"/>
      <c r="D78" s="39" t="n"/>
      <c r="E78" s="40" t="n"/>
      <c r="F78" s="40" t="n"/>
      <c r="G78" s="41">
        <f>IF(OR(E78="",F78=""),"",MAX(0,E78-F78))</f>
        <v/>
      </c>
      <c r="H78" s="39" t="n"/>
      <c r="I78" s="42" t="n"/>
      <c r="J78" s="40" t="n"/>
      <c r="K78" s="43">
        <f>IF(OR(G78="",I78=""),"",G78*I78)</f>
        <v/>
      </c>
      <c r="L78" s="44" t="n"/>
      <c r="M78" s="39" t="n"/>
    </row>
    <row r="79" ht="16" customHeight="1">
      <c r="A79" s="39" t="n"/>
      <c r="B79" s="39" t="n"/>
      <c r="C79" s="39" t="n"/>
      <c r="D79" s="39" t="n"/>
      <c r="E79" s="40" t="n"/>
      <c r="F79" s="40" t="n"/>
      <c r="G79" s="41">
        <f>IF(OR(E79="",F79=""),"",MAX(0,E79-F79))</f>
        <v/>
      </c>
      <c r="H79" s="39" t="n"/>
      <c r="I79" s="42" t="n"/>
      <c r="J79" s="40" t="n"/>
      <c r="K79" s="43">
        <f>IF(OR(G79="",I79=""),"",G79*I79)</f>
        <v/>
      </c>
      <c r="L79" s="44" t="n"/>
      <c r="M79" s="39" t="n"/>
    </row>
    <row r="80" ht="16" customHeight="1">
      <c r="A80" s="39" t="n"/>
      <c r="B80" s="39" t="n"/>
      <c r="C80" s="39" t="n"/>
      <c r="D80" s="39" t="n"/>
      <c r="E80" s="40" t="n"/>
      <c r="F80" s="40" t="n"/>
      <c r="G80" s="41">
        <f>IF(OR(E80="",F80=""),"",MAX(0,E80-F80))</f>
        <v/>
      </c>
      <c r="H80" s="39" t="n"/>
      <c r="I80" s="42" t="n"/>
      <c r="J80" s="40" t="n"/>
      <c r="K80" s="43">
        <f>IF(OR(G80="",I80=""),"",G80*I80)</f>
        <v/>
      </c>
      <c r="L80" s="44" t="n"/>
      <c r="M80" s="39" t="n"/>
    </row>
    <row r="81" ht="16" customHeight="1">
      <c r="A81" s="39" t="n"/>
      <c r="B81" s="39" t="n"/>
      <c r="C81" s="39" t="n"/>
      <c r="D81" s="39" t="n"/>
      <c r="E81" s="40" t="n"/>
      <c r="F81" s="40" t="n"/>
      <c r="G81" s="41">
        <f>IF(OR(E81="",F81=""),"",MAX(0,E81-F81))</f>
        <v/>
      </c>
      <c r="H81" s="39" t="n"/>
      <c r="I81" s="42" t="n"/>
      <c r="J81" s="40" t="n"/>
      <c r="K81" s="43">
        <f>IF(OR(G81="",I81=""),"",G81*I81)</f>
        <v/>
      </c>
      <c r="L81" s="44" t="n"/>
      <c r="M81" s="39" t="n"/>
    </row>
    <row r="82" ht="16" customHeight="1">
      <c r="A82" s="39" t="n"/>
      <c r="B82" s="39" t="n"/>
      <c r="C82" s="39" t="n"/>
      <c r="D82" s="39" t="n"/>
      <c r="E82" s="40" t="n"/>
      <c r="F82" s="40" t="n"/>
      <c r="G82" s="41">
        <f>IF(OR(E82="",F82=""),"",MAX(0,E82-F82))</f>
        <v/>
      </c>
      <c r="H82" s="39" t="n"/>
      <c r="I82" s="42" t="n"/>
      <c r="J82" s="40" t="n"/>
      <c r="K82" s="43">
        <f>IF(OR(G82="",I82=""),"",G82*I82)</f>
        <v/>
      </c>
      <c r="L82" s="44" t="n"/>
      <c r="M82" s="39" t="n"/>
    </row>
    <row r="83" ht="16" customHeight="1">
      <c r="A83" s="39" t="n"/>
      <c r="B83" s="39" t="n"/>
      <c r="C83" s="39" t="n"/>
      <c r="D83" s="39" t="n"/>
      <c r="E83" s="40" t="n"/>
      <c r="F83" s="40" t="n"/>
      <c r="G83" s="41">
        <f>IF(OR(E83="",F83=""),"",MAX(0,E83-F83))</f>
        <v/>
      </c>
      <c r="H83" s="39" t="n"/>
      <c r="I83" s="42" t="n"/>
      <c r="J83" s="40" t="n"/>
      <c r="K83" s="43">
        <f>IF(OR(G83="",I83=""),"",G83*I83)</f>
        <v/>
      </c>
      <c r="L83" s="44" t="n"/>
      <c r="M83" s="39" t="n"/>
    </row>
    <row r="84" ht="16" customHeight="1">
      <c r="A84" s="39" t="n"/>
      <c r="B84" s="39" t="n"/>
      <c r="C84" s="39" t="n"/>
      <c r="D84" s="39" t="n"/>
      <c r="E84" s="40" t="n"/>
      <c r="F84" s="40" t="n"/>
      <c r="G84" s="41">
        <f>IF(OR(E84="",F84=""),"",MAX(0,E84-F84))</f>
        <v/>
      </c>
      <c r="H84" s="39" t="n"/>
      <c r="I84" s="42" t="n"/>
      <c r="J84" s="40" t="n"/>
      <c r="K84" s="43">
        <f>IF(OR(G84="",I84=""),"",G84*I84)</f>
        <v/>
      </c>
      <c r="L84" s="44" t="n"/>
      <c r="M84" s="39" t="n"/>
    </row>
    <row r="85" ht="16" customHeight="1">
      <c r="A85" s="39" t="n"/>
      <c r="B85" s="39" t="n"/>
      <c r="C85" s="39" t="n"/>
      <c r="D85" s="39" t="n"/>
      <c r="E85" s="40" t="n"/>
      <c r="F85" s="40" t="n"/>
      <c r="G85" s="41">
        <f>IF(OR(E85="",F85=""),"",MAX(0,E85-F85))</f>
        <v/>
      </c>
      <c r="H85" s="39" t="n"/>
      <c r="I85" s="42" t="n"/>
      <c r="J85" s="40" t="n"/>
      <c r="K85" s="43">
        <f>IF(OR(G85="",I85=""),"",G85*I85)</f>
        <v/>
      </c>
      <c r="L85" s="44" t="n"/>
      <c r="M85" s="39" t="n"/>
    </row>
    <row r="86" ht="16" customHeight="1">
      <c r="A86" s="39" t="n"/>
      <c r="B86" s="39" t="n"/>
      <c r="C86" s="39" t="n"/>
      <c r="D86" s="39" t="n"/>
      <c r="E86" s="40" t="n"/>
      <c r="F86" s="40" t="n"/>
      <c r="G86" s="41">
        <f>IF(OR(E86="",F86=""),"",MAX(0,E86-F86))</f>
        <v/>
      </c>
      <c r="H86" s="39" t="n"/>
      <c r="I86" s="42" t="n"/>
      <c r="J86" s="40" t="n"/>
      <c r="K86" s="43">
        <f>IF(OR(G86="",I86=""),"",G86*I86)</f>
        <v/>
      </c>
      <c r="L86" s="44" t="n"/>
      <c r="M86" s="39" t="n"/>
    </row>
    <row r="87" ht="16" customHeight="1">
      <c r="A87" s="39" t="n"/>
      <c r="B87" s="39" t="n"/>
      <c r="C87" s="39" t="n"/>
      <c r="D87" s="39" t="n"/>
      <c r="E87" s="40" t="n"/>
      <c r="F87" s="40" t="n"/>
      <c r="G87" s="41">
        <f>IF(OR(E87="",F87=""),"",MAX(0,E87-F87))</f>
        <v/>
      </c>
      <c r="H87" s="39" t="n"/>
      <c r="I87" s="42" t="n"/>
      <c r="J87" s="40" t="n"/>
      <c r="K87" s="43">
        <f>IF(OR(G87="",I87=""),"",G87*I87)</f>
        <v/>
      </c>
      <c r="L87" s="44" t="n"/>
      <c r="M87" s="39" t="n"/>
    </row>
    <row r="88" ht="16" customHeight="1">
      <c r="A88" s="39" t="n"/>
      <c r="B88" s="39" t="n"/>
      <c r="C88" s="39" t="n"/>
      <c r="D88" s="39" t="n"/>
      <c r="E88" s="40" t="n"/>
      <c r="F88" s="40" t="n"/>
      <c r="G88" s="41">
        <f>IF(OR(E88="",F88=""),"",MAX(0,E88-F88))</f>
        <v/>
      </c>
      <c r="H88" s="39" t="n"/>
      <c r="I88" s="42" t="n"/>
      <c r="J88" s="40" t="n"/>
      <c r="K88" s="43">
        <f>IF(OR(G88="",I88=""),"",G88*I88)</f>
        <v/>
      </c>
      <c r="L88" s="44" t="n"/>
      <c r="M88" s="39" t="n"/>
    </row>
    <row r="89" ht="16" customHeight="1">
      <c r="A89" s="39" t="n"/>
      <c r="B89" s="39" t="n"/>
      <c r="C89" s="39" t="n"/>
      <c r="D89" s="39" t="n"/>
      <c r="E89" s="40" t="n"/>
      <c r="F89" s="40" t="n"/>
      <c r="G89" s="41">
        <f>IF(OR(E89="",F89=""),"",MAX(0,E89-F89))</f>
        <v/>
      </c>
      <c r="H89" s="39" t="n"/>
      <c r="I89" s="42" t="n"/>
      <c r="J89" s="40" t="n"/>
      <c r="K89" s="43">
        <f>IF(OR(G89="",I89=""),"",G89*I89)</f>
        <v/>
      </c>
      <c r="L89" s="44" t="n"/>
      <c r="M89" s="39" t="n"/>
    </row>
    <row r="90" ht="16" customHeight="1">
      <c r="A90" s="39" t="n"/>
      <c r="B90" s="39" t="n"/>
      <c r="C90" s="39" t="n"/>
      <c r="D90" s="39" t="n"/>
      <c r="E90" s="40" t="n"/>
      <c r="F90" s="40" t="n"/>
      <c r="G90" s="41">
        <f>IF(OR(E90="",F90=""),"",MAX(0,E90-F90))</f>
        <v/>
      </c>
      <c r="H90" s="39" t="n"/>
      <c r="I90" s="42" t="n"/>
      <c r="J90" s="40" t="n"/>
      <c r="K90" s="43">
        <f>IF(OR(G90="",I90=""),"",G90*I90)</f>
        <v/>
      </c>
      <c r="L90" s="44" t="n"/>
      <c r="M90" s="39" t="n"/>
    </row>
    <row r="91" ht="16" customHeight="1">
      <c r="A91" s="39" t="n"/>
      <c r="B91" s="39" t="n"/>
      <c r="C91" s="39" t="n"/>
      <c r="D91" s="39" t="n"/>
      <c r="E91" s="40" t="n"/>
      <c r="F91" s="40" t="n"/>
      <c r="G91" s="41">
        <f>IF(OR(E91="",F91=""),"",MAX(0,E91-F91))</f>
        <v/>
      </c>
      <c r="H91" s="39" t="n"/>
      <c r="I91" s="42" t="n"/>
      <c r="J91" s="40" t="n"/>
      <c r="K91" s="43">
        <f>IF(OR(G91="",I91=""),"",G91*I91)</f>
        <v/>
      </c>
      <c r="L91" s="44" t="n"/>
      <c r="M91" s="39" t="n"/>
    </row>
    <row r="92" ht="16" customHeight="1">
      <c r="A92" s="39" t="n"/>
      <c r="B92" s="39" t="n"/>
      <c r="C92" s="39" t="n"/>
      <c r="D92" s="39" t="n"/>
      <c r="E92" s="40" t="n"/>
      <c r="F92" s="40" t="n"/>
      <c r="G92" s="41">
        <f>IF(OR(E92="",F92=""),"",MAX(0,E92-F92))</f>
        <v/>
      </c>
      <c r="H92" s="39" t="n"/>
      <c r="I92" s="42" t="n"/>
      <c r="J92" s="40" t="n"/>
      <c r="K92" s="43">
        <f>IF(OR(G92="",I92=""),"",G92*I92)</f>
        <v/>
      </c>
      <c r="L92" s="44" t="n"/>
      <c r="M92" s="39" t="n"/>
    </row>
    <row r="93" ht="16" customHeight="1">
      <c r="A93" s="39" t="n"/>
      <c r="B93" s="39" t="n"/>
      <c r="C93" s="39" t="n"/>
      <c r="D93" s="39" t="n"/>
      <c r="E93" s="40" t="n"/>
      <c r="F93" s="40" t="n"/>
      <c r="G93" s="41">
        <f>IF(OR(E93="",F93=""),"",MAX(0,E93-F93))</f>
        <v/>
      </c>
      <c r="H93" s="39" t="n"/>
      <c r="I93" s="42" t="n"/>
      <c r="J93" s="40" t="n"/>
      <c r="K93" s="43">
        <f>IF(OR(G93="",I93=""),"",G93*I93)</f>
        <v/>
      </c>
      <c r="L93" s="44" t="n"/>
      <c r="M93" s="39" t="n"/>
    </row>
    <row r="94" ht="16" customHeight="1">
      <c r="A94" s="39" t="n"/>
      <c r="B94" s="39" t="n"/>
      <c r="C94" s="39" t="n"/>
      <c r="D94" s="39" t="n"/>
      <c r="E94" s="40" t="n"/>
      <c r="F94" s="40" t="n"/>
      <c r="G94" s="41">
        <f>IF(OR(E94="",F94=""),"",MAX(0,E94-F94))</f>
        <v/>
      </c>
      <c r="H94" s="39" t="n"/>
      <c r="I94" s="42" t="n"/>
      <c r="J94" s="40" t="n"/>
      <c r="K94" s="43">
        <f>IF(OR(G94="",I94=""),"",G94*I94)</f>
        <v/>
      </c>
      <c r="L94" s="44" t="n"/>
      <c r="M94" s="39" t="n"/>
    </row>
    <row r="95" ht="16" customHeight="1">
      <c r="A95" s="39" t="n"/>
      <c r="B95" s="39" t="n"/>
      <c r="C95" s="39" t="n"/>
      <c r="D95" s="39" t="n"/>
      <c r="E95" s="40" t="n"/>
      <c r="F95" s="40" t="n"/>
      <c r="G95" s="41">
        <f>IF(OR(E95="",F95=""),"",MAX(0,E95-F95))</f>
        <v/>
      </c>
      <c r="H95" s="39" t="n"/>
      <c r="I95" s="42" t="n"/>
      <c r="J95" s="40" t="n"/>
      <c r="K95" s="43">
        <f>IF(OR(G95="",I95=""),"",G95*I95)</f>
        <v/>
      </c>
      <c r="L95" s="44" t="n"/>
      <c r="M95" s="39" t="n"/>
    </row>
    <row r="96" ht="16" customHeight="1">
      <c r="A96" s="39" t="n"/>
      <c r="B96" s="39" t="n"/>
      <c r="C96" s="39" t="n"/>
      <c r="D96" s="39" t="n"/>
      <c r="E96" s="40" t="n"/>
      <c r="F96" s="40" t="n"/>
      <c r="G96" s="41">
        <f>IF(OR(E96="",F96=""),"",MAX(0,E96-F96))</f>
        <v/>
      </c>
      <c r="H96" s="39" t="n"/>
      <c r="I96" s="42" t="n"/>
      <c r="J96" s="40" t="n"/>
      <c r="K96" s="43">
        <f>IF(OR(G96="",I96=""),"",G96*I96)</f>
        <v/>
      </c>
      <c r="L96" s="44" t="n"/>
      <c r="M96" s="39" t="n"/>
    </row>
    <row r="97" ht="16" customHeight="1">
      <c r="A97" s="39" t="n"/>
      <c r="B97" s="39" t="n"/>
      <c r="C97" s="39" t="n"/>
      <c r="D97" s="39" t="n"/>
      <c r="E97" s="40" t="n"/>
      <c r="F97" s="40" t="n"/>
      <c r="G97" s="41">
        <f>IF(OR(E97="",F97=""),"",MAX(0,E97-F97))</f>
        <v/>
      </c>
      <c r="H97" s="39" t="n"/>
      <c r="I97" s="42" t="n"/>
      <c r="J97" s="40" t="n"/>
      <c r="K97" s="43">
        <f>IF(OR(G97="",I97=""),"",G97*I97)</f>
        <v/>
      </c>
      <c r="L97" s="44" t="n"/>
      <c r="M97" s="39" t="n"/>
    </row>
    <row r="98" ht="16" customHeight="1">
      <c r="A98" s="39" t="n"/>
      <c r="B98" s="39" t="n"/>
      <c r="C98" s="39" t="n"/>
      <c r="D98" s="39" t="n"/>
      <c r="E98" s="40" t="n"/>
      <c r="F98" s="40" t="n"/>
      <c r="G98" s="41">
        <f>IF(OR(E98="",F98=""),"",MAX(0,E98-F98))</f>
        <v/>
      </c>
      <c r="H98" s="39" t="n"/>
      <c r="I98" s="42" t="n"/>
      <c r="J98" s="40" t="n"/>
      <c r="K98" s="43">
        <f>IF(OR(G98="",I98=""),"",G98*I98)</f>
        <v/>
      </c>
      <c r="L98" s="44" t="n"/>
      <c r="M98" s="39" t="n"/>
    </row>
    <row r="99" ht="16" customHeight="1">
      <c r="A99" s="39" t="n"/>
      <c r="B99" s="39" t="n"/>
      <c r="C99" s="39" t="n"/>
      <c r="D99" s="39" t="n"/>
      <c r="E99" s="40" t="n"/>
      <c r="F99" s="40" t="n"/>
      <c r="G99" s="41">
        <f>IF(OR(E99="",F99=""),"",MAX(0,E99-F99))</f>
        <v/>
      </c>
      <c r="H99" s="39" t="n"/>
      <c r="I99" s="42" t="n"/>
      <c r="J99" s="40" t="n"/>
      <c r="K99" s="43">
        <f>IF(OR(G99="",I99=""),"",G99*I99)</f>
        <v/>
      </c>
      <c r="L99" s="44" t="n"/>
      <c r="M99" s="39" t="n"/>
    </row>
    <row r="100" ht="16" customHeight="1">
      <c r="A100" s="39" t="n"/>
      <c r="B100" s="39" t="n"/>
      <c r="C100" s="39" t="n"/>
      <c r="D100" s="39" t="n"/>
      <c r="E100" s="40" t="n"/>
      <c r="F100" s="40" t="n"/>
      <c r="G100" s="41">
        <f>IF(OR(E100="",F100=""),"",MAX(0,E100-F100))</f>
        <v/>
      </c>
      <c r="H100" s="39" t="n"/>
      <c r="I100" s="42" t="n"/>
      <c r="J100" s="40" t="n"/>
      <c r="K100" s="43">
        <f>IF(OR(G100="",I100=""),"",G100*I100)</f>
        <v/>
      </c>
      <c r="L100" s="44" t="n"/>
      <c r="M100" s="39" t="n"/>
    </row>
    <row r="101" ht="16" customHeight="1">
      <c r="A101" s="39" t="n"/>
      <c r="B101" s="39" t="n"/>
      <c r="C101" s="39" t="n"/>
      <c r="D101" s="39" t="n"/>
      <c r="E101" s="40" t="n"/>
      <c r="F101" s="40" t="n"/>
      <c r="G101" s="41">
        <f>IF(OR(E101="",F101=""),"",MAX(0,E101-F101))</f>
        <v/>
      </c>
      <c r="H101" s="39" t="n"/>
      <c r="I101" s="42" t="n"/>
      <c r="J101" s="40" t="n"/>
      <c r="K101" s="43">
        <f>IF(OR(G101="",I101=""),"",G101*I101)</f>
        <v/>
      </c>
      <c r="L101" s="44" t="n"/>
      <c r="M101" s="39" t="n"/>
    </row>
    <row r="102" ht="16" customHeight="1">
      <c r="A102" s="39" t="n"/>
      <c r="B102" s="39" t="n"/>
      <c r="C102" s="39" t="n"/>
      <c r="D102" s="39" t="n"/>
      <c r="E102" s="40" t="n"/>
      <c r="F102" s="40" t="n"/>
      <c r="G102" s="41">
        <f>IF(OR(E102="",F102=""),"",MAX(0,E102-F102))</f>
        <v/>
      </c>
      <c r="H102" s="39" t="n"/>
      <c r="I102" s="42" t="n"/>
      <c r="J102" s="40" t="n"/>
      <c r="K102" s="43">
        <f>IF(OR(G102="",I102=""),"",G102*I102)</f>
        <v/>
      </c>
      <c r="L102" s="44" t="n"/>
      <c r="M102" s="39" t="n"/>
    </row>
    <row r="103" ht="16" customHeight="1">
      <c r="A103" s="39" t="n"/>
      <c r="B103" s="39" t="n"/>
      <c r="C103" s="39" t="n"/>
      <c r="D103" s="39" t="n"/>
      <c r="E103" s="40" t="n"/>
      <c r="F103" s="40" t="n"/>
      <c r="G103" s="41">
        <f>IF(OR(E103="",F103=""),"",MAX(0,E103-F103))</f>
        <v/>
      </c>
      <c r="H103" s="39" t="n"/>
      <c r="I103" s="42" t="n"/>
      <c r="J103" s="40" t="n"/>
      <c r="K103" s="43">
        <f>IF(OR(G103="",I103=""),"",G103*I103)</f>
        <v/>
      </c>
      <c r="L103" s="44" t="n"/>
      <c r="M103" s="39" t="n"/>
    </row>
    <row r="104" ht="16" customHeight="1">
      <c r="A104" s="39" t="n"/>
      <c r="B104" s="39" t="n"/>
      <c r="C104" s="39" t="n"/>
      <c r="D104" s="39" t="n"/>
      <c r="E104" s="40" t="n"/>
      <c r="F104" s="40" t="n"/>
      <c r="G104" s="41">
        <f>IF(OR(E104="",F104=""),"",MAX(0,E104-F104))</f>
        <v/>
      </c>
      <c r="H104" s="39" t="n"/>
      <c r="I104" s="42" t="n"/>
      <c r="J104" s="40" t="n"/>
      <c r="K104" s="43">
        <f>IF(OR(G104="",I104=""),"",G104*I104)</f>
        <v/>
      </c>
      <c r="L104" s="44" t="n"/>
      <c r="M104" s="39" t="n"/>
    </row>
    <row r="105" ht="16" customHeight="1">
      <c r="A105" s="39" t="n"/>
      <c r="B105" s="39" t="n"/>
      <c r="C105" s="39" t="n"/>
      <c r="D105" s="39" t="n"/>
      <c r="E105" s="40" t="n"/>
      <c r="F105" s="40" t="n"/>
      <c r="G105" s="41">
        <f>IF(OR(E105="",F105=""),"",MAX(0,E105-F105))</f>
        <v/>
      </c>
      <c r="H105" s="39" t="n"/>
      <c r="I105" s="42" t="n"/>
      <c r="J105" s="40" t="n"/>
      <c r="K105" s="43">
        <f>IF(OR(G105="",I105=""),"",G105*I105)</f>
        <v/>
      </c>
      <c r="L105" s="44" t="n"/>
      <c r="M105" s="39" t="n"/>
    </row>
    <row r="106" ht="16" customHeight="1">
      <c r="A106" s="39" t="n"/>
      <c r="B106" s="39" t="n"/>
      <c r="C106" s="39" t="n"/>
      <c r="D106" s="39" t="n"/>
      <c r="E106" s="40" t="n"/>
      <c r="F106" s="40" t="n"/>
      <c r="G106" s="41">
        <f>IF(OR(E106="",F106=""),"",MAX(0,E106-F106))</f>
        <v/>
      </c>
      <c r="H106" s="39" t="n"/>
      <c r="I106" s="42" t="n"/>
      <c r="J106" s="40" t="n"/>
      <c r="K106" s="43">
        <f>IF(OR(G106="",I106=""),"",G106*I106)</f>
        <v/>
      </c>
      <c r="L106" s="44" t="n"/>
      <c r="M106" s="39" t="n"/>
    </row>
    <row r="107" ht="16" customHeight="1">
      <c r="A107" s="39" t="n"/>
      <c r="B107" s="39" t="n"/>
      <c r="C107" s="39" t="n"/>
      <c r="D107" s="39" t="n"/>
      <c r="E107" s="40" t="n"/>
      <c r="F107" s="40" t="n"/>
      <c r="G107" s="41">
        <f>IF(OR(E107="",F107=""),"",MAX(0,E107-F107))</f>
        <v/>
      </c>
      <c r="H107" s="39" t="n"/>
      <c r="I107" s="42" t="n"/>
      <c r="J107" s="40" t="n"/>
      <c r="K107" s="43">
        <f>IF(OR(G107="",I107=""),"",G107*I107)</f>
        <v/>
      </c>
      <c r="L107" s="44" t="n"/>
      <c r="M107" s="39" t="n"/>
    </row>
    <row r="108" ht="16" customHeight="1">
      <c r="A108" s="39" t="n"/>
      <c r="B108" s="39" t="n"/>
      <c r="C108" s="39" t="n"/>
      <c r="D108" s="39" t="n"/>
      <c r="E108" s="40" t="n"/>
      <c r="F108" s="40" t="n"/>
      <c r="G108" s="41">
        <f>IF(OR(E108="",F108=""),"",MAX(0,E108-F108))</f>
        <v/>
      </c>
      <c r="H108" s="39" t="n"/>
      <c r="I108" s="42" t="n"/>
      <c r="J108" s="40" t="n"/>
      <c r="K108" s="43">
        <f>IF(OR(G108="",I108=""),"",G108*I108)</f>
        <v/>
      </c>
      <c r="L108" s="44" t="n"/>
      <c r="M108" s="39" t="n"/>
    </row>
    <row r="109" ht="16" customHeight="1">
      <c r="A109" s="39" t="n"/>
      <c r="B109" s="39" t="n"/>
      <c r="C109" s="39" t="n"/>
      <c r="D109" s="39" t="n"/>
      <c r="E109" s="40" t="n"/>
      <c r="F109" s="40" t="n"/>
      <c r="G109" s="41">
        <f>IF(OR(E109="",F109=""),"",MAX(0,E109-F109))</f>
        <v/>
      </c>
      <c r="H109" s="39" t="n"/>
      <c r="I109" s="42" t="n"/>
      <c r="J109" s="40" t="n"/>
      <c r="K109" s="43">
        <f>IF(OR(G109="",I109=""),"",G109*I109)</f>
        <v/>
      </c>
      <c r="L109" s="44" t="n"/>
      <c r="M109" s="39" t="n"/>
    </row>
    <row r="110" ht="16" customHeight="1">
      <c r="A110" s="39" t="n"/>
      <c r="B110" s="39" t="n"/>
      <c r="C110" s="39" t="n"/>
      <c r="D110" s="39" t="n"/>
      <c r="E110" s="40" t="n"/>
      <c r="F110" s="40" t="n"/>
      <c r="G110" s="41">
        <f>IF(OR(E110="",F110=""),"",MAX(0,E110-F110))</f>
        <v/>
      </c>
      <c r="H110" s="39" t="n"/>
      <c r="I110" s="42" t="n"/>
      <c r="J110" s="40" t="n"/>
      <c r="K110" s="43">
        <f>IF(OR(G110="",I110=""),"",G110*I110)</f>
        <v/>
      </c>
      <c r="L110" s="44" t="n"/>
      <c r="M110" s="39" t="n"/>
    </row>
    <row r="111" ht="16" customHeight="1">
      <c r="A111" s="39" t="n"/>
      <c r="B111" s="39" t="n"/>
      <c r="C111" s="39" t="n"/>
      <c r="D111" s="39" t="n"/>
      <c r="E111" s="40" t="n"/>
      <c r="F111" s="40" t="n"/>
      <c r="G111" s="41">
        <f>IF(OR(E111="",F111=""),"",MAX(0,E111-F111))</f>
        <v/>
      </c>
      <c r="H111" s="39" t="n"/>
      <c r="I111" s="42" t="n"/>
      <c r="J111" s="40" t="n"/>
      <c r="K111" s="43">
        <f>IF(OR(G111="",I111=""),"",G111*I111)</f>
        <v/>
      </c>
      <c r="L111" s="44" t="n"/>
      <c r="M111" s="39" t="n"/>
    </row>
    <row r="112" ht="16" customHeight="1">
      <c r="A112" s="39" t="n"/>
      <c r="B112" s="39" t="n"/>
      <c r="C112" s="39" t="n"/>
      <c r="D112" s="39" t="n"/>
      <c r="E112" s="40" t="n"/>
      <c r="F112" s="40" t="n"/>
      <c r="G112" s="41">
        <f>IF(OR(E112="",F112=""),"",MAX(0,E112-F112))</f>
        <v/>
      </c>
      <c r="H112" s="39" t="n"/>
      <c r="I112" s="42" t="n"/>
      <c r="J112" s="40" t="n"/>
      <c r="K112" s="43">
        <f>IF(OR(G112="",I112=""),"",G112*I112)</f>
        <v/>
      </c>
      <c r="L112" s="44" t="n"/>
      <c r="M112" s="39" t="n"/>
    </row>
    <row r="113" ht="16" customHeight="1">
      <c r="A113" s="39" t="n"/>
      <c r="B113" s="39" t="n"/>
      <c r="C113" s="39" t="n"/>
      <c r="D113" s="39" t="n"/>
      <c r="E113" s="40" t="n"/>
      <c r="F113" s="40" t="n"/>
      <c r="G113" s="41">
        <f>IF(OR(E113="",F113=""),"",MAX(0,E113-F113))</f>
        <v/>
      </c>
      <c r="H113" s="39" t="n"/>
      <c r="I113" s="42" t="n"/>
      <c r="J113" s="40" t="n"/>
      <c r="K113" s="43">
        <f>IF(OR(G113="",I113=""),"",G113*I113)</f>
        <v/>
      </c>
      <c r="L113" s="44" t="n"/>
      <c r="M113" s="39" t="n"/>
    </row>
    <row r="114" ht="16" customHeight="1">
      <c r="A114" s="39" t="n"/>
      <c r="B114" s="39" t="n"/>
      <c r="C114" s="39" t="n"/>
      <c r="D114" s="39" t="n"/>
      <c r="E114" s="40" t="n"/>
      <c r="F114" s="40" t="n"/>
      <c r="G114" s="41">
        <f>IF(OR(E114="",F114=""),"",MAX(0,E114-F114))</f>
        <v/>
      </c>
      <c r="H114" s="39" t="n"/>
      <c r="I114" s="42" t="n"/>
      <c r="J114" s="40" t="n"/>
      <c r="K114" s="43">
        <f>IF(OR(G114="",I114=""),"",G114*I114)</f>
        <v/>
      </c>
      <c r="L114" s="44" t="n"/>
      <c r="M114" s="39" t="n"/>
    </row>
    <row r="115" ht="16" customHeight="1">
      <c r="A115" s="39" t="n"/>
      <c r="B115" s="39" t="n"/>
      <c r="C115" s="39" t="n"/>
      <c r="D115" s="39" t="n"/>
      <c r="E115" s="40" t="n"/>
      <c r="F115" s="40" t="n"/>
      <c r="G115" s="41">
        <f>IF(OR(E115="",F115=""),"",MAX(0,E115-F115))</f>
        <v/>
      </c>
      <c r="H115" s="39" t="n"/>
      <c r="I115" s="42" t="n"/>
      <c r="J115" s="40" t="n"/>
      <c r="K115" s="43">
        <f>IF(OR(G115="",I115=""),"",G115*I115)</f>
        <v/>
      </c>
      <c r="L115" s="44" t="n"/>
      <c r="M115" s="39" t="n"/>
    </row>
    <row r="116" ht="16" customHeight="1">
      <c r="A116" s="39" t="n"/>
      <c r="B116" s="39" t="n"/>
      <c r="C116" s="39" t="n"/>
      <c r="D116" s="39" t="n"/>
      <c r="E116" s="40" t="n"/>
      <c r="F116" s="40" t="n"/>
      <c r="G116" s="41">
        <f>IF(OR(E116="",F116=""),"",MAX(0,E116-F116))</f>
        <v/>
      </c>
      <c r="H116" s="39" t="n"/>
      <c r="I116" s="42" t="n"/>
      <c r="J116" s="40" t="n"/>
      <c r="K116" s="43">
        <f>IF(OR(G116="",I116=""),"",G116*I116)</f>
        <v/>
      </c>
      <c r="L116" s="44" t="n"/>
      <c r="M116" s="39" t="n"/>
    </row>
    <row r="117" ht="16" customHeight="1">
      <c r="A117" s="39" t="n"/>
      <c r="B117" s="39" t="n"/>
      <c r="C117" s="39" t="n"/>
      <c r="D117" s="39" t="n"/>
      <c r="E117" s="40" t="n"/>
      <c r="F117" s="40" t="n"/>
      <c r="G117" s="41">
        <f>IF(OR(E117="",F117=""),"",MAX(0,E117-F117))</f>
        <v/>
      </c>
      <c r="H117" s="39" t="n"/>
      <c r="I117" s="42" t="n"/>
      <c r="J117" s="40" t="n"/>
      <c r="K117" s="43">
        <f>IF(OR(G117="",I117=""),"",G117*I117)</f>
        <v/>
      </c>
      <c r="L117" s="44" t="n"/>
      <c r="M117" s="39" t="n"/>
    </row>
    <row r="118" ht="16" customHeight="1">
      <c r="A118" s="39" t="n"/>
      <c r="B118" s="39" t="n"/>
      <c r="C118" s="39" t="n"/>
      <c r="D118" s="39" t="n"/>
      <c r="E118" s="40" t="n"/>
      <c r="F118" s="40" t="n"/>
      <c r="G118" s="41">
        <f>IF(OR(E118="",F118=""),"",MAX(0,E118-F118))</f>
        <v/>
      </c>
      <c r="H118" s="39" t="n"/>
      <c r="I118" s="42" t="n"/>
      <c r="J118" s="40" t="n"/>
      <c r="K118" s="43">
        <f>IF(OR(G118="",I118=""),"",G118*I118)</f>
        <v/>
      </c>
      <c r="L118" s="44" t="n"/>
      <c r="M118" s="39" t="n"/>
    </row>
    <row r="119" ht="16" customHeight="1">
      <c r="A119" s="39" t="n"/>
      <c r="B119" s="39" t="n"/>
      <c r="C119" s="39" t="n"/>
      <c r="D119" s="39" t="n"/>
      <c r="E119" s="40" t="n"/>
      <c r="F119" s="40" t="n"/>
      <c r="G119" s="41">
        <f>IF(OR(E119="",F119=""),"",MAX(0,E119-F119))</f>
        <v/>
      </c>
      <c r="H119" s="39" t="n"/>
      <c r="I119" s="42" t="n"/>
      <c r="J119" s="40" t="n"/>
      <c r="K119" s="43">
        <f>IF(OR(G119="",I119=""),"",G119*I119)</f>
        <v/>
      </c>
      <c r="L119" s="44" t="n"/>
      <c r="M119" s="39" t="n"/>
    </row>
    <row r="120" ht="16" customHeight="1">
      <c r="A120" s="39" t="n"/>
      <c r="B120" s="39" t="n"/>
      <c r="C120" s="39" t="n"/>
      <c r="D120" s="39" t="n"/>
      <c r="E120" s="40" t="n"/>
      <c r="F120" s="40" t="n"/>
      <c r="G120" s="41">
        <f>IF(OR(E120="",F120=""),"",MAX(0,E120-F120))</f>
        <v/>
      </c>
      <c r="H120" s="39" t="n"/>
      <c r="I120" s="42" t="n"/>
      <c r="J120" s="40" t="n"/>
      <c r="K120" s="43">
        <f>IF(OR(G120="",I120=""),"",G120*I120)</f>
        <v/>
      </c>
      <c r="L120" s="44" t="n"/>
      <c r="M120" s="39" t="n"/>
    </row>
    <row r="121" ht="16" customHeight="1">
      <c r="A121" s="39" t="n"/>
      <c r="B121" s="39" t="n"/>
      <c r="C121" s="39" t="n"/>
      <c r="D121" s="39" t="n"/>
      <c r="E121" s="40" t="n"/>
      <c r="F121" s="40" t="n"/>
      <c r="G121" s="41">
        <f>IF(OR(E121="",F121=""),"",MAX(0,E121-F121))</f>
        <v/>
      </c>
      <c r="H121" s="39" t="n"/>
      <c r="I121" s="42" t="n"/>
      <c r="J121" s="40" t="n"/>
      <c r="K121" s="43">
        <f>IF(OR(G121="",I121=""),"",G121*I121)</f>
        <v/>
      </c>
      <c r="L121" s="44" t="n"/>
      <c r="M121" s="39" t="n"/>
    </row>
    <row r="122" ht="16" customHeight="1">
      <c r="A122" s="39" t="n"/>
      <c r="B122" s="39" t="n"/>
      <c r="C122" s="39" t="n"/>
      <c r="D122" s="39" t="n"/>
      <c r="E122" s="40" t="n"/>
      <c r="F122" s="40" t="n"/>
      <c r="G122" s="41">
        <f>IF(OR(E122="",F122=""),"",MAX(0,E122-F122))</f>
        <v/>
      </c>
      <c r="H122" s="39" t="n"/>
      <c r="I122" s="42" t="n"/>
      <c r="J122" s="40" t="n"/>
      <c r="K122" s="43">
        <f>IF(OR(G122="",I122=""),"",G122*I122)</f>
        <v/>
      </c>
      <c r="L122" s="44" t="n"/>
      <c r="M122" s="39" t="n"/>
    </row>
    <row r="123" ht="16" customHeight="1">
      <c r="A123" s="39" t="n"/>
      <c r="B123" s="39" t="n"/>
      <c r="C123" s="39" t="n"/>
      <c r="D123" s="39" t="n"/>
      <c r="E123" s="40" t="n"/>
      <c r="F123" s="40" t="n"/>
      <c r="G123" s="41">
        <f>IF(OR(E123="",F123=""),"",MAX(0,E123-F123))</f>
        <v/>
      </c>
      <c r="H123" s="39" t="n"/>
      <c r="I123" s="42" t="n"/>
      <c r="J123" s="40" t="n"/>
      <c r="K123" s="43">
        <f>IF(OR(G123="",I123=""),"",G123*I123)</f>
        <v/>
      </c>
      <c r="L123" s="44" t="n"/>
      <c r="M123" s="39" t="n"/>
    </row>
    <row r="124" ht="16" customHeight="1">
      <c r="A124" s="39" t="n"/>
      <c r="B124" s="39" t="n"/>
      <c r="C124" s="39" t="n"/>
      <c r="D124" s="39" t="n"/>
      <c r="E124" s="40" t="n"/>
      <c r="F124" s="40" t="n"/>
      <c r="G124" s="41">
        <f>IF(OR(E124="",F124=""),"",MAX(0,E124-F124))</f>
        <v/>
      </c>
      <c r="H124" s="39" t="n"/>
      <c r="I124" s="42" t="n"/>
      <c r="J124" s="40" t="n"/>
      <c r="K124" s="43">
        <f>IF(OR(G124="",I124=""),"",G124*I124)</f>
        <v/>
      </c>
      <c r="L124" s="44" t="n"/>
      <c r="M124" s="39" t="n"/>
    </row>
    <row r="125" ht="16" customHeight="1">
      <c r="A125" s="39" t="n"/>
      <c r="B125" s="39" t="n"/>
      <c r="C125" s="39" t="n"/>
      <c r="D125" s="39" t="n"/>
      <c r="E125" s="40" t="n"/>
      <c r="F125" s="40" t="n"/>
      <c r="G125" s="41">
        <f>IF(OR(E125="",F125=""),"",MAX(0,E125-F125))</f>
        <v/>
      </c>
      <c r="H125" s="39" t="n"/>
      <c r="I125" s="42" t="n"/>
      <c r="J125" s="40" t="n"/>
      <c r="K125" s="43">
        <f>IF(OR(G125="",I125=""),"",G125*I125)</f>
        <v/>
      </c>
      <c r="L125" s="44" t="n"/>
      <c r="M125" s="39" t="n"/>
    </row>
    <row r="126" ht="16" customHeight="1">
      <c r="A126" s="39" t="n"/>
      <c r="B126" s="39" t="n"/>
      <c r="C126" s="39" t="n"/>
      <c r="D126" s="39" t="n"/>
      <c r="E126" s="40" t="n"/>
      <c r="F126" s="40" t="n"/>
      <c r="G126" s="41">
        <f>IF(OR(E126="",F126=""),"",MAX(0,E126-F126))</f>
        <v/>
      </c>
      <c r="H126" s="39" t="n"/>
      <c r="I126" s="42" t="n"/>
      <c r="J126" s="40" t="n"/>
      <c r="K126" s="43">
        <f>IF(OR(G126="",I126=""),"",G126*I126)</f>
        <v/>
      </c>
      <c r="L126" s="44" t="n"/>
      <c r="M126" s="39" t="n"/>
    </row>
    <row r="127" ht="16" customHeight="1">
      <c r="A127" s="39" t="n"/>
      <c r="B127" s="39" t="n"/>
      <c r="C127" s="39" t="n"/>
      <c r="D127" s="39" t="n"/>
      <c r="E127" s="40" t="n"/>
      <c r="F127" s="40" t="n"/>
      <c r="G127" s="41">
        <f>IF(OR(E127="",F127=""),"",MAX(0,E127-F127))</f>
        <v/>
      </c>
      <c r="H127" s="39" t="n"/>
      <c r="I127" s="42" t="n"/>
      <c r="J127" s="40" t="n"/>
      <c r="K127" s="43">
        <f>IF(OR(G127="",I127=""),"",G127*I127)</f>
        <v/>
      </c>
      <c r="L127" s="44" t="n"/>
      <c r="M127" s="39" t="n"/>
    </row>
    <row r="128" ht="16" customHeight="1">
      <c r="A128" s="39" t="n"/>
      <c r="B128" s="39" t="n"/>
      <c r="C128" s="39" t="n"/>
      <c r="D128" s="39" t="n"/>
      <c r="E128" s="40" t="n"/>
      <c r="F128" s="40" t="n"/>
      <c r="G128" s="41">
        <f>IF(OR(E128="",F128=""),"",MAX(0,E128-F128))</f>
        <v/>
      </c>
      <c r="H128" s="39" t="n"/>
      <c r="I128" s="42" t="n"/>
      <c r="J128" s="40" t="n"/>
      <c r="K128" s="43">
        <f>IF(OR(G128="",I128=""),"",G128*I128)</f>
        <v/>
      </c>
      <c r="L128" s="44" t="n"/>
      <c r="M128" s="39" t="n"/>
    </row>
    <row r="129" ht="16" customHeight="1">
      <c r="A129" s="39" t="n"/>
      <c r="B129" s="39" t="n"/>
      <c r="C129" s="39" t="n"/>
      <c r="D129" s="39" t="n"/>
      <c r="E129" s="40" t="n"/>
      <c r="F129" s="40" t="n"/>
      <c r="G129" s="41">
        <f>IF(OR(E129="",F129=""),"",MAX(0,E129-F129))</f>
        <v/>
      </c>
      <c r="H129" s="39" t="n"/>
      <c r="I129" s="42" t="n"/>
      <c r="J129" s="40" t="n"/>
      <c r="K129" s="43">
        <f>IF(OR(G129="",I129=""),"",G129*I129)</f>
        <v/>
      </c>
      <c r="L129" s="44" t="n"/>
      <c r="M129" s="39" t="n"/>
    </row>
    <row r="130" ht="16" customHeight="1">
      <c r="A130" s="39" t="n"/>
      <c r="B130" s="39" t="n"/>
      <c r="C130" s="39" t="n"/>
      <c r="D130" s="39" t="n"/>
      <c r="E130" s="40" t="n"/>
      <c r="F130" s="40" t="n"/>
      <c r="G130" s="41">
        <f>IF(OR(E130="",F130=""),"",MAX(0,E130-F130))</f>
        <v/>
      </c>
      <c r="H130" s="39" t="n"/>
      <c r="I130" s="42" t="n"/>
      <c r="J130" s="40" t="n"/>
      <c r="K130" s="43">
        <f>IF(OR(G130="",I130=""),"",G130*I130)</f>
        <v/>
      </c>
      <c r="L130" s="44" t="n"/>
      <c r="M130" s="39" t="n"/>
    </row>
    <row r="131" ht="16" customHeight="1">
      <c r="A131" s="39" t="n"/>
      <c r="B131" s="39" t="n"/>
      <c r="C131" s="39" t="n"/>
      <c r="D131" s="39" t="n"/>
      <c r="E131" s="40" t="n"/>
      <c r="F131" s="40" t="n"/>
      <c r="G131" s="41">
        <f>IF(OR(E131="",F131=""),"",MAX(0,E131-F131))</f>
        <v/>
      </c>
      <c r="H131" s="39" t="n"/>
      <c r="I131" s="42" t="n"/>
      <c r="J131" s="40" t="n"/>
      <c r="K131" s="43">
        <f>IF(OR(G131="",I131=""),"",G131*I131)</f>
        <v/>
      </c>
      <c r="L131" s="44" t="n"/>
      <c r="M131" s="39" t="n"/>
    </row>
    <row r="132" ht="16" customHeight="1">
      <c r="A132" s="39" t="n"/>
      <c r="B132" s="39" t="n"/>
      <c r="C132" s="39" t="n"/>
      <c r="D132" s="39" t="n"/>
      <c r="E132" s="40" t="n"/>
      <c r="F132" s="40" t="n"/>
      <c r="G132" s="41">
        <f>IF(OR(E132="",F132=""),"",MAX(0,E132-F132))</f>
        <v/>
      </c>
      <c r="H132" s="39" t="n"/>
      <c r="I132" s="42" t="n"/>
      <c r="J132" s="40" t="n"/>
      <c r="K132" s="43">
        <f>IF(OR(G132="",I132=""),"",G132*I132)</f>
        <v/>
      </c>
      <c r="L132" s="44" t="n"/>
      <c r="M132" s="39" t="n"/>
    </row>
    <row r="133" ht="16" customHeight="1">
      <c r="A133" s="39" t="n"/>
      <c r="B133" s="39" t="n"/>
      <c r="C133" s="39" t="n"/>
      <c r="D133" s="39" t="n"/>
      <c r="E133" s="40" t="n"/>
      <c r="F133" s="40" t="n"/>
      <c r="G133" s="41">
        <f>IF(OR(E133="",F133=""),"",MAX(0,E133-F133))</f>
        <v/>
      </c>
      <c r="H133" s="39" t="n"/>
      <c r="I133" s="42" t="n"/>
      <c r="J133" s="40" t="n"/>
      <c r="K133" s="43">
        <f>IF(OR(G133="",I133=""),"",G133*I133)</f>
        <v/>
      </c>
      <c r="L133" s="44" t="n"/>
      <c r="M133" s="39" t="n"/>
    </row>
    <row r="134" ht="16" customHeight="1">
      <c r="A134" s="39" t="n"/>
      <c r="B134" s="39" t="n"/>
      <c r="C134" s="39" t="n"/>
      <c r="D134" s="39" t="n"/>
      <c r="E134" s="40" t="n"/>
      <c r="F134" s="40" t="n"/>
      <c r="G134" s="41">
        <f>IF(OR(E134="",F134=""),"",MAX(0,E134-F134))</f>
        <v/>
      </c>
      <c r="H134" s="39" t="n"/>
      <c r="I134" s="42" t="n"/>
      <c r="J134" s="40" t="n"/>
      <c r="K134" s="43">
        <f>IF(OR(G134="",I134=""),"",G134*I134)</f>
        <v/>
      </c>
      <c r="L134" s="44" t="n"/>
      <c r="M134" s="39" t="n"/>
    </row>
    <row r="135" ht="16" customHeight="1">
      <c r="A135" s="39" t="n"/>
      <c r="B135" s="39" t="n"/>
      <c r="C135" s="39" t="n"/>
      <c r="D135" s="39" t="n"/>
      <c r="E135" s="40" t="n"/>
      <c r="F135" s="40" t="n"/>
      <c r="G135" s="41">
        <f>IF(OR(E135="",F135=""),"",MAX(0,E135-F135))</f>
        <v/>
      </c>
      <c r="H135" s="39" t="n"/>
      <c r="I135" s="42" t="n"/>
      <c r="J135" s="40" t="n"/>
      <c r="K135" s="43">
        <f>IF(OR(G135="",I135=""),"",G135*I135)</f>
        <v/>
      </c>
      <c r="L135" s="44" t="n"/>
      <c r="M135" s="39" t="n"/>
    </row>
    <row r="136" ht="16" customHeight="1">
      <c r="A136" s="39" t="n"/>
      <c r="B136" s="39" t="n"/>
      <c r="C136" s="39" t="n"/>
      <c r="D136" s="39" t="n"/>
      <c r="E136" s="40" t="n"/>
      <c r="F136" s="40" t="n"/>
      <c r="G136" s="41">
        <f>IF(OR(E136="",F136=""),"",MAX(0,E136-F136))</f>
        <v/>
      </c>
      <c r="H136" s="39" t="n"/>
      <c r="I136" s="42" t="n"/>
      <c r="J136" s="40" t="n"/>
      <c r="K136" s="43">
        <f>IF(OR(G136="",I136=""),"",G136*I136)</f>
        <v/>
      </c>
      <c r="L136" s="44" t="n"/>
      <c r="M136" s="39" t="n"/>
    </row>
    <row r="137" ht="16" customHeight="1">
      <c r="A137" s="39" t="n"/>
      <c r="B137" s="39" t="n"/>
      <c r="C137" s="39" t="n"/>
      <c r="D137" s="39" t="n"/>
      <c r="E137" s="40" t="n"/>
      <c r="F137" s="40" t="n"/>
      <c r="G137" s="41">
        <f>IF(OR(E137="",F137=""),"",MAX(0,E137-F137))</f>
        <v/>
      </c>
      <c r="H137" s="39" t="n"/>
      <c r="I137" s="42" t="n"/>
      <c r="J137" s="40" t="n"/>
      <c r="K137" s="43">
        <f>IF(OR(G137="",I137=""),"",G137*I137)</f>
        <v/>
      </c>
      <c r="L137" s="44" t="n"/>
      <c r="M137" s="39" t="n"/>
    </row>
    <row r="138" ht="16" customHeight="1">
      <c r="A138" s="39" t="n"/>
      <c r="B138" s="39" t="n"/>
      <c r="C138" s="39" t="n"/>
      <c r="D138" s="39" t="n"/>
      <c r="E138" s="40" t="n"/>
      <c r="F138" s="40" t="n"/>
      <c r="G138" s="41">
        <f>IF(OR(E138="",F138=""),"",MAX(0,E138-F138))</f>
        <v/>
      </c>
      <c r="H138" s="39" t="n"/>
      <c r="I138" s="42" t="n"/>
      <c r="J138" s="40" t="n"/>
      <c r="K138" s="43">
        <f>IF(OR(G138="",I138=""),"",G138*I138)</f>
        <v/>
      </c>
      <c r="L138" s="44" t="n"/>
      <c r="M138" s="39" t="n"/>
    </row>
    <row r="139" ht="16" customHeight="1">
      <c r="A139" s="39" t="n"/>
      <c r="B139" s="39" t="n"/>
      <c r="C139" s="39" t="n"/>
      <c r="D139" s="39" t="n"/>
      <c r="E139" s="40" t="n"/>
      <c r="F139" s="40" t="n"/>
      <c r="G139" s="41">
        <f>IF(OR(E139="",F139=""),"",MAX(0,E139-F139))</f>
        <v/>
      </c>
      <c r="H139" s="39" t="n"/>
      <c r="I139" s="42" t="n"/>
      <c r="J139" s="40" t="n"/>
      <c r="K139" s="43">
        <f>IF(OR(G139="",I139=""),"",G139*I139)</f>
        <v/>
      </c>
      <c r="L139" s="44" t="n"/>
      <c r="M139" s="39" t="n"/>
    </row>
    <row r="140" ht="16" customHeight="1">
      <c r="A140" s="39" t="n"/>
      <c r="B140" s="39" t="n"/>
      <c r="C140" s="39" t="n"/>
      <c r="D140" s="39" t="n"/>
      <c r="E140" s="40" t="n"/>
      <c r="F140" s="40" t="n"/>
      <c r="G140" s="41">
        <f>IF(OR(E140="",F140=""),"",MAX(0,E140-F140))</f>
        <v/>
      </c>
      <c r="H140" s="39" t="n"/>
      <c r="I140" s="42" t="n"/>
      <c r="J140" s="40" t="n"/>
      <c r="K140" s="43">
        <f>IF(OR(G140="",I140=""),"",G140*I140)</f>
        <v/>
      </c>
      <c r="L140" s="44" t="n"/>
      <c r="M140" s="39" t="n"/>
    </row>
    <row r="141" ht="16" customHeight="1">
      <c r="A141" s="39" t="n"/>
      <c r="B141" s="39" t="n"/>
      <c r="C141" s="39" t="n"/>
      <c r="D141" s="39" t="n"/>
      <c r="E141" s="40" t="n"/>
      <c r="F141" s="40" t="n"/>
      <c r="G141" s="41">
        <f>IF(OR(E141="",F141=""),"",MAX(0,E141-F141))</f>
        <v/>
      </c>
      <c r="H141" s="39" t="n"/>
      <c r="I141" s="42" t="n"/>
      <c r="J141" s="40" t="n"/>
      <c r="K141" s="43">
        <f>IF(OR(G141="",I141=""),"",G141*I141)</f>
        <v/>
      </c>
      <c r="L141" s="44" t="n"/>
      <c r="M141" s="39" t="n"/>
    </row>
    <row r="142" ht="16" customHeight="1">
      <c r="A142" s="39" t="n"/>
      <c r="B142" s="39" t="n"/>
      <c r="C142" s="39" t="n"/>
      <c r="D142" s="39" t="n"/>
      <c r="E142" s="40" t="n"/>
      <c r="F142" s="40" t="n"/>
      <c r="G142" s="41">
        <f>IF(OR(E142="",F142=""),"",MAX(0,E142-F142))</f>
        <v/>
      </c>
      <c r="H142" s="39" t="n"/>
      <c r="I142" s="42" t="n"/>
      <c r="J142" s="40" t="n"/>
      <c r="K142" s="43">
        <f>IF(OR(G142="",I142=""),"",G142*I142)</f>
        <v/>
      </c>
      <c r="L142" s="44" t="n"/>
      <c r="M142" s="39" t="n"/>
    </row>
    <row r="143" ht="16" customHeight="1">
      <c r="A143" s="39" t="n"/>
      <c r="B143" s="39" t="n"/>
      <c r="C143" s="39" t="n"/>
      <c r="D143" s="39" t="n"/>
      <c r="E143" s="40" t="n"/>
      <c r="F143" s="40" t="n"/>
      <c r="G143" s="41">
        <f>IF(OR(E143="",F143=""),"",MAX(0,E143-F143))</f>
        <v/>
      </c>
      <c r="H143" s="39" t="n"/>
      <c r="I143" s="42" t="n"/>
      <c r="J143" s="40" t="n"/>
      <c r="K143" s="43">
        <f>IF(OR(G143="",I143=""),"",G143*I143)</f>
        <v/>
      </c>
      <c r="L143" s="44" t="n"/>
      <c r="M143" s="39" t="n"/>
    </row>
    <row r="144" ht="16" customHeight="1">
      <c r="A144" s="39" t="n"/>
      <c r="B144" s="39" t="n"/>
      <c r="C144" s="39" t="n"/>
      <c r="D144" s="39" t="n"/>
      <c r="E144" s="40" t="n"/>
      <c r="F144" s="40" t="n"/>
      <c r="G144" s="41">
        <f>IF(OR(E144="",F144=""),"",MAX(0,E144-F144))</f>
        <v/>
      </c>
      <c r="H144" s="39" t="n"/>
      <c r="I144" s="42" t="n"/>
      <c r="J144" s="40" t="n"/>
      <c r="K144" s="43">
        <f>IF(OR(G144="",I144=""),"",G144*I144)</f>
        <v/>
      </c>
      <c r="L144" s="44" t="n"/>
      <c r="M144" s="39" t="n"/>
    </row>
    <row r="145" ht="16" customHeight="1">
      <c r="A145" s="39" t="n"/>
      <c r="B145" s="39" t="n"/>
      <c r="C145" s="39" t="n"/>
      <c r="D145" s="39" t="n"/>
      <c r="E145" s="40" t="n"/>
      <c r="F145" s="40" t="n"/>
      <c r="G145" s="41">
        <f>IF(OR(E145="",F145=""),"",MAX(0,E145-F145))</f>
        <v/>
      </c>
      <c r="H145" s="39" t="n"/>
      <c r="I145" s="42" t="n"/>
      <c r="J145" s="40" t="n"/>
      <c r="K145" s="43">
        <f>IF(OR(G145="",I145=""),"",G145*I145)</f>
        <v/>
      </c>
      <c r="L145" s="44" t="n"/>
      <c r="M145" s="39" t="n"/>
    </row>
    <row r="146" ht="16" customHeight="1">
      <c r="A146" s="39" t="n"/>
      <c r="B146" s="39" t="n"/>
      <c r="C146" s="39" t="n"/>
      <c r="D146" s="39" t="n"/>
      <c r="E146" s="40" t="n"/>
      <c r="F146" s="40" t="n"/>
      <c r="G146" s="41">
        <f>IF(OR(E146="",F146=""),"",MAX(0,E146-F146))</f>
        <v/>
      </c>
      <c r="H146" s="39" t="n"/>
      <c r="I146" s="42" t="n"/>
      <c r="J146" s="40" t="n"/>
      <c r="K146" s="43">
        <f>IF(OR(G146="",I146=""),"",G146*I146)</f>
        <v/>
      </c>
      <c r="L146" s="44" t="n"/>
      <c r="M146" s="39" t="n"/>
    </row>
    <row r="147" ht="16" customHeight="1">
      <c r="A147" s="39" t="n"/>
      <c r="B147" s="39" t="n"/>
      <c r="C147" s="39" t="n"/>
      <c r="D147" s="39" t="n"/>
      <c r="E147" s="40" t="n"/>
      <c r="F147" s="40" t="n"/>
      <c r="G147" s="41">
        <f>IF(OR(E147="",F147=""),"",MAX(0,E147-F147))</f>
        <v/>
      </c>
      <c r="H147" s="39" t="n"/>
      <c r="I147" s="42" t="n"/>
      <c r="J147" s="40" t="n"/>
      <c r="K147" s="43">
        <f>IF(OR(G147="",I147=""),"",G147*I147)</f>
        <v/>
      </c>
      <c r="L147" s="44" t="n"/>
      <c r="M147" s="39" t="n"/>
    </row>
    <row r="148" ht="16" customHeight="1">
      <c r="A148" s="39" t="n"/>
      <c r="B148" s="39" t="n"/>
      <c r="C148" s="39" t="n"/>
      <c r="D148" s="39" t="n"/>
      <c r="E148" s="40" t="n"/>
      <c r="F148" s="40" t="n"/>
      <c r="G148" s="41">
        <f>IF(OR(E148="",F148=""),"",MAX(0,E148-F148))</f>
        <v/>
      </c>
      <c r="H148" s="39" t="n"/>
      <c r="I148" s="42" t="n"/>
      <c r="J148" s="40" t="n"/>
      <c r="K148" s="43">
        <f>IF(OR(G148="",I148=""),"",G148*I148)</f>
        <v/>
      </c>
      <c r="L148" s="44" t="n"/>
      <c r="M148" s="39" t="n"/>
    </row>
    <row r="149" ht="16" customHeight="1">
      <c r="A149" s="39" t="n"/>
      <c r="B149" s="39" t="n"/>
      <c r="C149" s="39" t="n"/>
      <c r="D149" s="39" t="n"/>
      <c r="E149" s="40" t="n"/>
      <c r="F149" s="40" t="n"/>
      <c r="G149" s="41">
        <f>IF(OR(E149="",F149=""),"",MAX(0,E149-F149))</f>
        <v/>
      </c>
      <c r="H149" s="39" t="n"/>
      <c r="I149" s="42" t="n"/>
      <c r="J149" s="40" t="n"/>
      <c r="K149" s="43">
        <f>IF(OR(G149="",I149=""),"",G149*I149)</f>
        <v/>
      </c>
      <c r="L149" s="44" t="n"/>
      <c r="M149" s="39" t="n"/>
    </row>
    <row r="150" ht="16" customHeight="1">
      <c r="A150" s="39" t="n"/>
      <c r="B150" s="39" t="n"/>
      <c r="C150" s="39" t="n"/>
      <c r="D150" s="39" t="n"/>
      <c r="E150" s="40" t="n"/>
      <c r="F150" s="40" t="n"/>
      <c r="G150" s="41">
        <f>IF(OR(E150="",F150=""),"",MAX(0,E150-F150))</f>
        <v/>
      </c>
      <c r="H150" s="39" t="n"/>
      <c r="I150" s="42" t="n"/>
      <c r="J150" s="40" t="n"/>
      <c r="K150" s="43">
        <f>IF(OR(G150="",I150=""),"",G150*I150)</f>
        <v/>
      </c>
      <c r="L150" s="44" t="n"/>
      <c r="M150" s="39" t="n"/>
    </row>
    <row r="151" ht="16" customHeight="1">
      <c r="A151" s="39" t="n"/>
      <c r="B151" s="39" t="n"/>
      <c r="C151" s="39" t="n"/>
      <c r="D151" s="39" t="n"/>
      <c r="E151" s="40" t="n"/>
      <c r="F151" s="40" t="n"/>
      <c r="G151" s="41">
        <f>IF(OR(E151="",F151=""),"",MAX(0,E151-F151))</f>
        <v/>
      </c>
      <c r="H151" s="39" t="n"/>
      <c r="I151" s="42" t="n"/>
      <c r="J151" s="40" t="n"/>
      <c r="K151" s="43">
        <f>IF(OR(G151="",I151=""),"",G151*I151)</f>
        <v/>
      </c>
      <c r="L151" s="44" t="n"/>
      <c r="M151" s="39" t="n"/>
    </row>
    <row r="152" ht="16" customHeight="1">
      <c r="A152" s="39" t="n"/>
      <c r="B152" s="39" t="n"/>
      <c r="C152" s="39" t="n"/>
      <c r="D152" s="39" t="n"/>
      <c r="E152" s="40" t="n"/>
      <c r="F152" s="40" t="n"/>
      <c r="G152" s="41">
        <f>IF(OR(E152="",F152=""),"",MAX(0,E152-F152))</f>
        <v/>
      </c>
      <c r="H152" s="39" t="n"/>
      <c r="I152" s="42" t="n"/>
      <c r="J152" s="40" t="n"/>
      <c r="K152" s="43">
        <f>IF(OR(G152="",I152=""),"",G152*I152)</f>
        <v/>
      </c>
      <c r="L152" s="44" t="n"/>
      <c r="M152" s="39" t="n"/>
    </row>
    <row r="153" ht="16" customHeight="1">
      <c r="A153" s="39" t="n"/>
      <c r="B153" s="39" t="n"/>
      <c r="C153" s="39" t="n"/>
      <c r="D153" s="39" t="n"/>
      <c r="E153" s="40" t="n"/>
      <c r="F153" s="40" t="n"/>
      <c r="G153" s="41">
        <f>IF(OR(E153="",F153=""),"",MAX(0,E153-F153))</f>
        <v/>
      </c>
      <c r="H153" s="39" t="n"/>
      <c r="I153" s="42" t="n"/>
      <c r="J153" s="40" t="n"/>
      <c r="K153" s="43">
        <f>IF(OR(G153="",I153=""),"",G153*I153)</f>
        <v/>
      </c>
      <c r="L153" s="44" t="n"/>
      <c r="M153" s="39" t="n"/>
    </row>
    <row r="154" ht="16" customHeight="1">
      <c r="A154" s="39" t="n"/>
      <c r="B154" s="39" t="n"/>
      <c r="C154" s="39" t="n"/>
      <c r="D154" s="39" t="n"/>
      <c r="E154" s="40" t="n"/>
      <c r="F154" s="40" t="n"/>
      <c r="G154" s="41">
        <f>IF(OR(E154="",F154=""),"",MAX(0,E154-F154))</f>
        <v/>
      </c>
      <c r="H154" s="39" t="n"/>
      <c r="I154" s="42" t="n"/>
      <c r="J154" s="40" t="n"/>
      <c r="K154" s="43">
        <f>IF(OR(G154="",I154=""),"",G154*I154)</f>
        <v/>
      </c>
      <c r="L154" s="44" t="n"/>
      <c r="M154" s="39" t="n"/>
    </row>
    <row r="155" ht="16" customHeight="1">
      <c r="A155" s="39" t="n"/>
      <c r="B155" s="39" t="n"/>
      <c r="C155" s="39" t="n"/>
      <c r="D155" s="39" t="n"/>
      <c r="E155" s="40" t="n"/>
      <c r="F155" s="40" t="n"/>
      <c r="G155" s="41">
        <f>IF(OR(E155="",F155=""),"",MAX(0,E155-F155))</f>
        <v/>
      </c>
      <c r="H155" s="39" t="n"/>
      <c r="I155" s="42" t="n"/>
      <c r="J155" s="40" t="n"/>
      <c r="K155" s="43">
        <f>IF(OR(G155="",I155=""),"",G155*I155)</f>
        <v/>
      </c>
      <c r="L155" s="44" t="n"/>
      <c r="M155" s="39" t="n"/>
    </row>
    <row r="156" ht="16" customHeight="1">
      <c r="A156" s="39" t="n"/>
      <c r="B156" s="39" t="n"/>
      <c r="C156" s="39" t="n"/>
      <c r="D156" s="39" t="n"/>
      <c r="E156" s="40" t="n"/>
      <c r="F156" s="40" t="n"/>
      <c r="G156" s="41">
        <f>IF(OR(E156="",F156=""),"",MAX(0,E156-F156))</f>
        <v/>
      </c>
      <c r="H156" s="39" t="n"/>
      <c r="I156" s="42" t="n"/>
      <c r="J156" s="40" t="n"/>
      <c r="K156" s="43">
        <f>IF(OR(G156="",I156=""),"",G156*I156)</f>
        <v/>
      </c>
      <c r="L156" s="44" t="n"/>
      <c r="M156" s="39" t="n"/>
    </row>
    <row r="157" ht="16" customHeight="1">
      <c r="A157" s="39" t="n"/>
      <c r="B157" s="39" t="n"/>
      <c r="C157" s="39" t="n"/>
      <c r="D157" s="39" t="n"/>
      <c r="E157" s="40" t="n"/>
      <c r="F157" s="40" t="n"/>
      <c r="G157" s="41">
        <f>IF(OR(E157="",F157=""),"",MAX(0,E157-F157))</f>
        <v/>
      </c>
      <c r="H157" s="39" t="n"/>
      <c r="I157" s="42" t="n"/>
      <c r="J157" s="40" t="n"/>
      <c r="K157" s="43">
        <f>IF(OR(G157="",I157=""),"",G157*I157)</f>
        <v/>
      </c>
      <c r="L157" s="44" t="n"/>
      <c r="M157" s="39" t="n"/>
    </row>
    <row r="158" ht="16" customHeight="1">
      <c r="A158" s="39" t="n"/>
      <c r="B158" s="39" t="n"/>
      <c r="C158" s="39" t="n"/>
      <c r="D158" s="39" t="n"/>
      <c r="E158" s="40" t="n"/>
      <c r="F158" s="40" t="n"/>
      <c r="G158" s="41">
        <f>IF(OR(E158="",F158=""),"",MAX(0,E158-F158))</f>
        <v/>
      </c>
      <c r="H158" s="39" t="n"/>
      <c r="I158" s="42" t="n"/>
      <c r="J158" s="40" t="n"/>
      <c r="K158" s="43">
        <f>IF(OR(G158="",I158=""),"",G158*I158)</f>
        <v/>
      </c>
      <c r="L158" s="44" t="n"/>
      <c r="M158" s="39" t="n"/>
    </row>
    <row r="159" ht="16" customHeight="1">
      <c r="A159" s="39" t="n"/>
      <c r="B159" s="39" t="n"/>
      <c r="C159" s="39" t="n"/>
      <c r="D159" s="39" t="n"/>
      <c r="E159" s="40" t="n"/>
      <c r="F159" s="40" t="n"/>
      <c r="G159" s="41">
        <f>IF(OR(E159="",F159=""),"",MAX(0,E159-F159))</f>
        <v/>
      </c>
      <c r="H159" s="39" t="n"/>
      <c r="I159" s="42" t="n"/>
      <c r="J159" s="40" t="n"/>
      <c r="K159" s="43">
        <f>IF(OR(G159="",I159=""),"",G159*I159)</f>
        <v/>
      </c>
      <c r="L159" s="44" t="n"/>
      <c r="M159" s="39" t="n"/>
    </row>
    <row r="160" ht="16" customHeight="1">
      <c r="A160" s="39" t="n"/>
      <c r="B160" s="39" t="n"/>
      <c r="C160" s="39" t="n"/>
      <c r="D160" s="39" t="n"/>
      <c r="E160" s="40" t="n"/>
      <c r="F160" s="40" t="n"/>
      <c r="G160" s="41">
        <f>IF(OR(E160="",F160=""),"",MAX(0,E160-F160))</f>
        <v/>
      </c>
      <c r="H160" s="39" t="n"/>
      <c r="I160" s="42" t="n"/>
      <c r="J160" s="40" t="n"/>
      <c r="K160" s="43">
        <f>IF(OR(G160="",I160=""),"",G160*I160)</f>
        <v/>
      </c>
      <c r="L160" s="44" t="n"/>
      <c r="M160" s="39" t="n"/>
    </row>
    <row r="161" ht="16" customHeight="1">
      <c r="A161" s="39" t="n"/>
      <c r="B161" s="39" t="n"/>
      <c r="C161" s="39" t="n"/>
      <c r="D161" s="39" t="n"/>
      <c r="E161" s="40" t="n"/>
      <c r="F161" s="40" t="n"/>
      <c r="G161" s="41">
        <f>IF(OR(E161="",F161=""),"",MAX(0,E161-F161))</f>
        <v/>
      </c>
      <c r="H161" s="39" t="n"/>
      <c r="I161" s="42" t="n"/>
      <c r="J161" s="40" t="n"/>
      <c r="K161" s="43">
        <f>IF(OR(G161="",I161=""),"",G161*I161)</f>
        <v/>
      </c>
      <c r="L161" s="44" t="n"/>
      <c r="M161" s="39" t="n"/>
    </row>
    <row r="162" ht="16" customHeight="1">
      <c r="A162" s="39" t="n"/>
      <c r="B162" s="39" t="n"/>
      <c r="C162" s="39" t="n"/>
      <c r="D162" s="39" t="n"/>
      <c r="E162" s="40" t="n"/>
      <c r="F162" s="40" t="n"/>
      <c r="G162" s="41">
        <f>IF(OR(E162="",F162=""),"",MAX(0,E162-F162))</f>
        <v/>
      </c>
      <c r="H162" s="39" t="n"/>
      <c r="I162" s="42" t="n"/>
      <c r="J162" s="40" t="n"/>
      <c r="K162" s="43">
        <f>IF(OR(G162="",I162=""),"",G162*I162)</f>
        <v/>
      </c>
      <c r="L162" s="44" t="n"/>
      <c r="M162" s="39" t="n"/>
    </row>
    <row r="163" ht="16" customHeight="1">
      <c r="A163" s="39" t="n"/>
      <c r="B163" s="39" t="n"/>
      <c r="C163" s="39" t="n"/>
      <c r="D163" s="39" t="n"/>
      <c r="E163" s="40" t="n"/>
      <c r="F163" s="40" t="n"/>
      <c r="G163" s="41">
        <f>IF(OR(E163="",F163=""),"",MAX(0,E163-F163))</f>
        <v/>
      </c>
      <c r="H163" s="39" t="n"/>
      <c r="I163" s="42" t="n"/>
      <c r="J163" s="40" t="n"/>
      <c r="K163" s="43">
        <f>IF(OR(G163="",I163=""),"",G163*I163)</f>
        <v/>
      </c>
      <c r="L163" s="44" t="n"/>
      <c r="M163" s="39" t="n"/>
    </row>
    <row r="164" ht="16" customHeight="1">
      <c r="A164" s="39" t="n"/>
      <c r="B164" s="39" t="n"/>
      <c r="C164" s="39" t="n"/>
      <c r="D164" s="39" t="n"/>
      <c r="E164" s="40" t="n"/>
      <c r="F164" s="40" t="n"/>
      <c r="G164" s="41">
        <f>IF(OR(E164="",F164=""),"",MAX(0,E164-F164))</f>
        <v/>
      </c>
      <c r="H164" s="39" t="n"/>
      <c r="I164" s="42" t="n"/>
      <c r="J164" s="40" t="n"/>
      <c r="K164" s="43">
        <f>IF(OR(G164="",I164=""),"",G164*I164)</f>
        <v/>
      </c>
      <c r="L164" s="44" t="n"/>
      <c r="M164" s="39" t="n"/>
    </row>
    <row r="165" ht="16" customHeight="1">
      <c r="A165" s="39" t="n"/>
      <c r="B165" s="39" t="n"/>
      <c r="C165" s="39" t="n"/>
      <c r="D165" s="39" t="n"/>
      <c r="E165" s="40" t="n"/>
      <c r="F165" s="40" t="n"/>
      <c r="G165" s="41">
        <f>IF(OR(E165="",F165=""),"",MAX(0,E165-F165))</f>
        <v/>
      </c>
      <c r="H165" s="39" t="n"/>
      <c r="I165" s="42" t="n"/>
      <c r="J165" s="40" t="n"/>
      <c r="K165" s="43">
        <f>IF(OR(G165="",I165=""),"",G165*I165)</f>
        <v/>
      </c>
      <c r="L165" s="44" t="n"/>
      <c r="M165" s="39" t="n"/>
    </row>
    <row r="166" ht="16" customHeight="1">
      <c r="A166" s="39" t="n"/>
      <c r="B166" s="39" t="n"/>
      <c r="C166" s="39" t="n"/>
      <c r="D166" s="39" t="n"/>
      <c r="E166" s="40" t="n"/>
      <c r="F166" s="40" t="n"/>
      <c r="G166" s="41">
        <f>IF(OR(E166="",F166=""),"",MAX(0,E166-F166))</f>
        <v/>
      </c>
      <c r="H166" s="39" t="n"/>
      <c r="I166" s="42" t="n"/>
      <c r="J166" s="40" t="n"/>
      <c r="K166" s="43">
        <f>IF(OR(G166="",I166=""),"",G166*I166)</f>
        <v/>
      </c>
      <c r="L166" s="44" t="n"/>
      <c r="M166" s="39" t="n"/>
    </row>
    <row r="167" ht="16" customHeight="1">
      <c r="A167" s="39" t="n"/>
      <c r="B167" s="39" t="n"/>
      <c r="C167" s="39" t="n"/>
      <c r="D167" s="39" t="n"/>
      <c r="E167" s="40" t="n"/>
      <c r="F167" s="40" t="n"/>
      <c r="G167" s="41">
        <f>IF(OR(E167="",F167=""),"",MAX(0,E167-F167))</f>
        <v/>
      </c>
      <c r="H167" s="39" t="n"/>
      <c r="I167" s="42" t="n"/>
      <c r="J167" s="40" t="n"/>
      <c r="K167" s="43">
        <f>IF(OR(G167="",I167=""),"",G167*I167)</f>
        <v/>
      </c>
      <c r="L167" s="44" t="n"/>
      <c r="M167" s="39" t="n"/>
    </row>
    <row r="168" ht="16" customHeight="1">
      <c r="A168" s="39" t="n"/>
      <c r="B168" s="39" t="n"/>
      <c r="C168" s="39" t="n"/>
      <c r="D168" s="39" t="n"/>
      <c r="E168" s="40" t="n"/>
      <c r="F168" s="40" t="n"/>
      <c r="G168" s="41">
        <f>IF(OR(E168="",F168=""),"",MAX(0,E168-F168))</f>
        <v/>
      </c>
      <c r="H168" s="39" t="n"/>
      <c r="I168" s="42" t="n"/>
      <c r="J168" s="40" t="n"/>
      <c r="K168" s="43">
        <f>IF(OR(G168="",I168=""),"",G168*I168)</f>
        <v/>
      </c>
      <c r="L168" s="44" t="n"/>
      <c r="M168" s="39" t="n"/>
    </row>
    <row r="169" ht="16" customHeight="1">
      <c r="A169" s="39" t="n"/>
      <c r="B169" s="39" t="n"/>
      <c r="C169" s="39" t="n"/>
      <c r="D169" s="39" t="n"/>
      <c r="E169" s="40" t="n"/>
      <c r="F169" s="40" t="n"/>
      <c r="G169" s="41">
        <f>IF(OR(E169="",F169=""),"",MAX(0,E169-F169))</f>
        <v/>
      </c>
      <c r="H169" s="39" t="n"/>
      <c r="I169" s="42" t="n"/>
      <c r="J169" s="40" t="n"/>
      <c r="K169" s="43">
        <f>IF(OR(G169="",I169=""),"",G169*I169)</f>
        <v/>
      </c>
      <c r="L169" s="44" t="n"/>
      <c r="M169" s="39" t="n"/>
    </row>
    <row r="170" ht="16" customHeight="1">
      <c r="A170" s="39" t="n"/>
      <c r="B170" s="39" t="n"/>
      <c r="C170" s="39" t="n"/>
      <c r="D170" s="39" t="n"/>
      <c r="E170" s="40" t="n"/>
      <c r="F170" s="40" t="n"/>
      <c r="G170" s="41">
        <f>IF(OR(E170="",F170=""),"",MAX(0,E170-F170))</f>
        <v/>
      </c>
      <c r="H170" s="39" t="n"/>
      <c r="I170" s="42" t="n"/>
      <c r="J170" s="40" t="n"/>
      <c r="K170" s="43">
        <f>IF(OR(G170="",I170=""),"",G170*I170)</f>
        <v/>
      </c>
      <c r="L170" s="44" t="n"/>
      <c r="M170" s="39" t="n"/>
    </row>
    <row r="171" ht="16" customHeight="1">
      <c r="A171" s="39" t="n"/>
      <c r="B171" s="39" t="n"/>
      <c r="C171" s="39" t="n"/>
      <c r="D171" s="39" t="n"/>
      <c r="E171" s="40" t="n"/>
      <c r="F171" s="40" t="n"/>
      <c r="G171" s="41">
        <f>IF(OR(E171="",F171=""),"",MAX(0,E171-F171))</f>
        <v/>
      </c>
      <c r="H171" s="39" t="n"/>
      <c r="I171" s="42" t="n"/>
      <c r="J171" s="40" t="n"/>
      <c r="K171" s="43">
        <f>IF(OR(G171="",I171=""),"",G171*I171)</f>
        <v/>
      </c>
      <c r="L171" s="44" t="n"/>
      <c r="M171" s="39" t="n"/>
    </row>
    <row r="172" ht="16" customHeight="1">
      <c r="A172" s="39" t="n"/>
      <c r="B172" s="39" t="n"/>
      <c r="C172" s="39" t="n"/>
      <c r="D172" s="39" t="n"/>
      <c r="E172" s="40" t="n"/>
      <c r="F172" s="40" t="n"/>
      <c r="G172" s="41">
        <f>IF(OR(E172="",F172=""),"",MAX(0,E172-F172))</f>
        <v/>
      </c>
      <c r="H172" s="39" t="n"/>
      <c r="I172" s="42" t="n"/>
      <c r="J172" s="40" t="n"/>
      <c r="K172" s="43">
        <f>IF(OR(G172="",I172=""),"",G172*I172)</f>
        <v/>
      </c>
      <c r="L172" s="44" t="n"/>
      <c r="M172" s="39" t="n"/>
    </row>
    <row r="173" ht="16" customHeight="1">
      <c r="A173" s="39" t="n"/>
      <c r="B173" s="39" t="n"/>
      <c r="C173" s="39" t="n"/>
      <c r="D173" s="39" t="n"/>
      <c r="E173" s="40" t="n"/>
      <c r="F173" s="40" t="n"/>
      <c r="G173" s="41">
        <f>IF(OR(E173="",F173=""),"",MAX(0,E173-F173))</f>
        <v/>
      </c>
      <c r="H173" s="39" t="n"/>
      <c r="I173" s="42" t="n"/>
      <c r="J173" s="40" t="n"/>
      <c r="K173" s="43">
        <f>IF(OR(G173="",I173=""),"",G173*I173)</f>
        <v/>
      </c>
      <c r="L173" s="44" t="n"/>
      <c r="M173" s="39" t="n"/>
    </row>
    <row r="174" ht="16" customHeight="1">
      <c r="A174" s="39" t="n"/>
      <c r="B174" s="39" t="n"/>
      <c r="C174" s="39" t="n"/>
      <c r="D174" s="39" t="n"/>
      <c r="E174" s="40" t="n"/>
      <c r="F174" s="40" t="n"/>
      <c r="G174" s="41">
        <f>IF(OR(E174="",F174=""),"",MAX(0,E174-F174))</f>
        <v/>
      </c>
      <c r="H174" s="39" t="n"/>
      <c r="I174" s="42" t="n"/>
      <c r="J174" s="40" t="n"/>
      <c r="K174" s="43">
        <f>IF(OR(G174="",I174=""),"",G174*I174)</f>
        <v/>
      </c>
      <c r="L174" s="44" t="n"/>
      <c r="M174" s="39" t="n"/>
    </row>
    <row r="175" ht="16" customHeight="1">
      <c r="A175" s="39" t="n"/>
      <c r="B175" s="39" t="n"/>
      <c r="C175" s="39" t="n"/>
      <c r="D175" s="39" t="n"/>
      <c r="E175" s="40" t="n"/>
      <c r="F175" s="40" t="n"/>
      <c r="G175" s="41">
        <f>IF(OR(E175="",F175=""),"",MAX(0,E175-F175))</f>
        <v/>
      </c>
      <c r="H175" s="39" t="n"/>
      <c r="I175" s="42" t="n"/>
      <c r="J175" s="40" t="n"/>
      <c r="K175" s="43">
        <f>IF(OR(G175="",I175=""),"",G175*I175)</f>
        <v/>
      </c>
      <c r="L175" s="44" t="n"/>
      <c r="M175" s="39" t="n"/>
    </row>
    <row r="176" ht="16" customHeight="1">
      <c r="A176" s="39" t="n"/>
      <c r="B176" s="39" t="n"/>
      <c r="C176" s="39" t="n"/>
      <c r="D176" s="39" t="n"/>
      <c r="E176" s="40" t="n"/>
      <c r="F176" s="40" t="n"/>
      <c r="G176" s="41">
        <f>IF(OR(E176="",F176=""),"",MAX(0,E176-F176))</f>
        <v/>
      </c>
      <c r="H176" s="39" t="n"/>
      <c r="I176" s="42" t="n"/>
      <c r="J176" s="40" t="n"/>
      <c r="K176" s="43">
        <f>IF(OR(G176="",I176=""),"",G176*I176)</f>
        <v/>
      </c>
      <c r="L176" s="44" t="n"/>
      <c r="M176" s="39" t="n"/>
    </row>
    <row r="177" ht="16" customHeight="1">
      <c r="A177" s="39" t="n"/>
      <c r="B177" s="39" t="n"/>
      <c r="C177" s="39" t="n"/>
      <c r="D177" s="39" t="n"/>
      <c r="E177" s="40" t="n"/>
      <c r="F177" s="40" t="n"/>
      <c r="G177" s="41">
        <f>IF(OR(E177="",F177=""),"",MAX(0,E177-F177))</f>
        <v/>
      </c>
      <c r="H177" s="39" t="n"/>
      <c r="I177" s="42" t="n"/>
      <c r="J177" s="40" t="n"/>
      <c r="K177" s="43">
        <f>IF(OR(G177="",I177=""),"",G177*I177)</f>
        <v/>
      </c>
      <c r="L177" s="44" t="n"/>
      <c r="M177" s="39" t="n"/>
    </row>
    <row r="178" ht="16" customHeight="1">
      <c r="A178" s="39" t="n"/>
      <c r="B178" s="39" t="n"/>
      <c r="C178" s="39" t="n"/>
      <c r="D178" s="39" t="n"/>
      <c r="E178" s="40" t="n"/>
      <c r="F178" s="40" t="n"/>
      <c r="G178" s="41">
        <f>IF(OR(E178="",F178=""),"",MAX(0,E178-F178))</f>
        <v/>
      </c>
      <c r="H178" s="39" t="n"/>
      <c r="I178" s="42" t="n"/>
      <c r="J178" s="40" t="n"/>
      <c r="K178" s="43">
        <f>IF(OR(G178="",I178=""),"",G178*I178)</f>
        <v/>
      </c>
      <c r="L178" s="44" t="n"/>
      <c r="M178" s="39" t="n"/>
    </row>
    <row r="179" ht="16" customHeight="1">
      <c r="A179" s="39" t="n"/>
      <c r="B179" s="39" t="n"/>
      <c r="C179" s="39" t="n"/>
      <c r="D179" s="39" t="n"/>
      <c r="E179" s="40" t="n"/>
      <c r="F179" s="40" t="n"/>
      <c r="G179" s="41">
        <f>IF(OR(E179="",F179=""),"",MAX(0,E179-F179))</f>
        <v/>
      </c>
      <c r="H179" s="39" t="n"/>
      <c r="I179" s="42" t="n"/>
      <c r="J179" s="40" t="n"/>
      <c r="K179" s="43">
        <f>IF(OR(G179="",I179=""),"",G179*I179)</f>
        <v/>
      </c>
      <c r="L179" s="44" t="n"/>
      <c r="M179" s="39" t="n"/>
    </row>
    <row r="180" ht="16" customHeight="1">
      <c r="A180" s="39" t="n"/>
      <c r="B180" s="39" t="n"/>
      <c r="C180" s="39" t="n"/>
      <c r="D180" s="39" t="n"/>
      <c r="E180" s="40" t="n"/>
      <c r="F180" s="40" t="n"/>
      <c r="G180" s="41">
        <f>IF(OR(E180="",F180=""),"",MAX(0,E180-F180))</f>
        <v/>
      </c>
      <c r="H180" s="39" t="n"/>
      <c r="I180" s="42" t="n"/>
      <c r="J180" s="40" t="n"/>
      <c r="K180" s="43">
        <f>IF(OR(G180="",I180=""),"",G180*I180)</f>
        <v/>
      </c>
      <c r="L180" s="44" t="n"/>
      <c r="M180" s="39" t="n"/>
    </row>
    <row r="181" ht="16" customHeight="1">
      <c r="A181" s="39" t="n"/>
      <c r="B181" s="39" t="n"/>
      <c r="C181" s="39" t="n"/>
      <c r="D181" s="39" t="n"/>
      <c r="E181" s="40" t="n"/>
      <c r="F181" s="40" t="n"/>
      <c r="G181" s="41">
        <f>IF(OR(E181="",F181=""),"",MAX(0,E181-F181))</f>
        <v/>
      </c>
      <c r="H181" s="39" t="n"/>
      <c r="I181" s="42" t="n"/>
      <c r="J181" s="40" t="n"/>
      <c r="K181" s="43">
        <f>IF(OR(G181="",I181=""),"",G181*I181)</f>
        <v/>
      </c>
      <c r="L181" s="44" t="n"/>
      <c r="M181" s="39" t="n"/>
    </row>
    <row r="182" ht="16" customHeight="1">
      <c r="A182" s="39" t="n"/>
      <c r="B182" s="39" t="n"/>
      <c r="C182" s="39" t="n"/>
      <c r="D182" s="39" t="n"/>
      <c r="E182" s="40" t="n"/>
      <c r="F182" s="40" t="n"/>
      <c r="G182" s="41">
        <f>IF(OR(E182="",F182=""),"",MAX(0,E182-F182))</f>
        <v/>
      </c>
      <c r="H182" s="39" t="n"/>
      <c r="I182" s="42" t="n"/>
      <c r="J182" s="40" t="n"/>
      <c r="K182" s="43">
        <f>IF(OR(G182="",I182=""),"",G182*I182)</f>
        <v/>
      </c>
      <c r="L182" s="44" t="n"/>
      <c r="M182" s="39" t="n"/>
    </row>
    <row r="183" ht="16" customHeight="1">
      <c r="A183" s="39" t="n"/>
      <c r="B183" s="39" t="n"/>
      <c r="C183" s="39" t="n"/>
      <c r="D183" s="39" t="n"/>
      <c r="E183" s="40" t="n"/>
      <c r="F183" s="40" t="n"/>
      <c r="G183" s="41">
        <f>IF(OR(E183="",F183=""),"",MAX(0,E183-F183))</f>
        <v/>
      </c>
      <c r="H183" s="39" t="n"/>
      <c r="I183" s="42" t="n"/>
      <c r="J183" s="40" t="n"/>
      <c r="K183" s="43">
        <f>IF(OR(G183="",I183=""),"",G183*I183)</f>
        <v/>
      </c>
      <c r="L183" s="44" t="n"/>
      <c r="M183" s="39" t="n"/>
    </row>
    <row r="184" ht="16" customHeight="1">
      <c r="A184" s="39" t="n"/>
      <c r="B184" s="39" t="n"/>
      <c r="C184" s="39" t="n"/>
      <c r="D184" s="39" t="n"/>
      <c r="E184" s="40" t="n"/>
      <c r="F184" s="40" t="n"/>
      <c r="G184" s="41">
        <f>IF(OR(E184="",F184=""),"",MAX(0,E184-F184))</f>
        <v/>
      </c>
      <c r="H184" s="39" t="n"/>
      <c r="I184" s="42" t="n"/>
      <c r="J184" s="40" t="n"/>
      <c r="K184" s="43">
        <f>IF(OR(G184="",I184=""),"",G184*I184)</f>
        <v/>
      </c>
      <c r="L184" s="44" t="n"/>
      <c r="M184" s="39" t="n"/>
    </row>
    <row r="185" ht="16" customHeight="1">
      <c r="A185" s="39" t="n"/>
      <c r="B185" s="39" t="n"/>
      <c r="C185" s="39" t="n"/>
      <c r="D185" s="39" t="n"/>
      <c r="E185" s="40" t="n"/>
      <c r="F185" s="40" t="n"/>
      <c r="G185" s="41">
        <f>IF(OR(E185="",F185=""),"",MAX(0,E185-F185))</f>
        <v/>
      </c>
      <c r="H185" s="39" t="n"/>
      <c r="I185" s="42" t="n"/>
      <c r="J185" s="40" t="n"/>
      <c r="K185" s="43">
        <f>IF(OR(G185="",I185=""),"",G185*I185)</f>
        <v/>
      </c>
      <c r="L185" s="44" t="n"/>
      <c r="M185" s="39" t="n"/>
    </row>
    <row r="186" ht="16" customHeight="1">
      <c r="A186" s="39" t="n"/>
      <c r="B186" s="39" t="n"/>
      <c r="C186" s="39" t="n"/>
      <c r="D186" s="39" t="n"/>
      <c r="E186" s="40" t="n"/>
      <c r="F186" s="40" t="n"/>
      <c r="G186" s="41">
        <f>IF(OR(E186="",F186=""),"",MAX(0,E186-F186))</f>
        <v/>
      </c>
      <c r="H186" s="39" t="n"/>
      <c r="I186" s="42" t="n"/>
      <c r="J186" s="40" t="n"/>
      <c r="K186" s="43">
        <f>IF(OR(G186="",I186=""),"",G186*I186)</f>
        <v/>
      </c>
      <c r="L186" s="44" t="n"/>
      <c r="M186" s="39" t="n"/>
    </row>
    <row r="187" ht="16" customHeight="1">
      <c r="A187" s="39" t="n"/>
      <c r="B187" s="39" t="n"/>
      <c r="C187" s="39" t="n"/>
      <c r="D187" s="39" t="n"/>
      <c r="E187" s="40" t="n"/>
      <c r="F187" s="40" t="n"/>
      <c r="G187" s="41">
        <f>IF(OR(E187="",F187=""),"",MAX(0,E187-F187))</f>
        <v/>
      </c>
      <c r="H187" s="39" t="n"/>
      <c r="I187" s="42" t="n"/>
      <c r="J187" s="40" t="n"/>
      <c r="K187" s="43">
        <f>IF(OR(G187="",I187=""),"",G187*I187)</f>
        <v/>
      </c>
      <c r="L187" s="44" t="n"/>
      <c r="M187" s="39" t="n"/>
    </row>
    <row r="188" ht="16" customHeight="1">
      <c r="A188" s="39" t="n"/>
      <c r="B188" s="39" t="n"/>
      <c r="C188" s="39" t="n"/>
      <c r="D188" s="39" t="n"/>
      <c r="E188" s="40" t="n"/>
      <c r="F188" s="40" t="n"/>
      <c r="G188" s="41">
        <f>IF(OR(E188="",F188=""),"",MAX(0,E188-F188))</f>
        <v/>
      </c>
      <c r="H188" s="39" t="n"/>
      <c r="I188" s="42" t="n"/>
      <c r="J188" s="40" t="n"/>
      <c r="K188" s="43">
        <f>IF(OR(G188="",I188=""),"",G188*I188)</f>
        <v/>
      </c>
      <c r="L188" s="44" t="n"/>
      <c r="M188" s="39" t="n"/>
    </row>
    <row r="189" ht="16" customHeight="1">
      <c r="A189" s="39" t="n"/>
      <c r="B189" s="39" t="n"/>
      <c r="C189" s="39" t="n"/>
      <c r="D189" s="39" t="n"/>
      <c r="E189" s="40" t="n"/>
      <c r="F189" s="40" t="n"/>
      <c r="G189" s="41">
        <f>IF(OR(E189="",F189=""),"",MAX(0,E189-F189))</f>
        <v/>
      </c>
      <c r="H189" s="39" t="n"/>
      <c r="I189" s="42" t="n"/>
      <c r="J189" s="40" t="n"/>
      <c r="K189" s="43">
        <f>IF(OR(G189="",I189=""),"",G189*I189)</f>
        <v/>
      </c>
      <c r="L189" s="44" t="n"/>
      <c r="M189" s="39" t="n"/>
    </row>
    <row r="190" ht="16" customHeight="1">
      <c r="A190" s="39" t="n"/>
      <c r="B190" s="39" t="n"/>
      <c r="C190" s="39" t="n"/>
      <c r="D190" s="39" t="n"/>
      <c r="E190" s="40" t="n"/>
      <c r="F190" s="40" t="n"/>
      <c r="G190" s="41">
        <f>IF(OR(E190="",F190=""),"",MAX(0,E190-F190))</f>
        <v/>
      </c>
      <c r="H190" s="39" t="n"/>
      <c r="I190" s="42" t="n"/>
      <c r="J190" s="40" t="n"/>
      <c r="K190" s="43">
        <f>IF(OR(G190="",I190=""),"",G190*I190)</f>
        <v/>
      </c>
      <c r="L190" s="44" t="n"/>
      <c r="M190" s="39" t="n"/>
    </row>
    <row r="191" ht="16" customHeight="1">
      <c r="A191" s="39" t="n"/>
      <c r="B191" s="39" t="n"/>
      <c r="C191" s="39" t="n"/>
      <c r="D191" s="39" t="n"/>
      <c r="E191" s="40" t="n"/>
      <c r="F191" s="40" t="n"/>
      <c r="G191" s="41">
        <f>IF(OR(E191="",F191=""),"",MAX(0,E191-F191))</f>
        <v/>
      </c>
      <c r="H191" s="39" t="n"/>
      <c r="I191" s="42" t="n"/>
      <c r="J191" s="40" t="n"/>
      <c r="K191" s="43">
        <f>IF(OR(G191="",I191=""),"",G191*I191)</f>
        <v/>
      </c>
      <c r="L191" s="44" t="n"/>
      <c r="M191" s="39" t="n"/>
    </row>
    <row r="192" ht="16" customHeight="1">
      <c r="A192" s="39" t="n"/>
      <c r="B192" s="39" t="n"/>
      <c r="C192" s="39" t="n"/>
      <c r="D192" s="39" t="n"/>
      <c r="E192" s="40" t="n"/>
      <c r="F192" s="40" t="n"/>
      <c r="G192" s="41">
        <f>IF(OR(E192="",F192=""),"",MAX(0,E192-F192))</f>
        <v/>
      </c>
      <c r="H192" s="39" t="n"/>
      <c r="I192" s="42" t="n"/>
      <c r="J192" s="40" t="n"/>
      <c r="K192" s="43">
        <f>IF(OR(G192="",I192=""),"",G192*I192)</f>
        <v/>
      </c>
      <c r="L192" s="44" t="n"/>
      <c r="M192" s="39" t="n"/>
    </row>
    <row r="193" ht="16" customHeight="1">
      <c r="A193" s="39" t="n"/>
      <c r="B193" s="39" t="n"/>
      <c r="C193" s="39" t="n"/>
      <c r="D193" s="39" t="n"/>
      <c r="E193" s="40" t="n"/>
      <c r="F193" s="40" t="n"/>
      <c r="G193" s="41">
        <f>IF(OR(E193="",F193=""),"",MAX(0,E193-F193))</f>
        <v/>
      </c>
      <c r="H193" s="39" t="n"/>
      <c r="I193" s="42" t="n"/>
      <c r="J193" s="40" t="n"/>
      <c r="K193" s="43">
        <f>IF(OR(G193="",I193=""),"",G193*I193)</f>
        <v/>
      </c>
      <c r="L193" s="44" t="n"/>
      <c r="M193" s="39" t="n"/>
    </row>
    <row r="194" ht="16" customHeight="1">
      <c r="A194" s="39" t="n"/>
      <c r="B194" s="39" t="n"/>
      <c r="C194" s="39" t="n"/>
      <c r="D194" s="39" t="n"/>
      <c r="E194" s="40" t="n"/>
      <c r="F194" s="40" t="n"/>
      <c r="G194" s="41">
        <f>IF(OR(E194="",F194=""),"",MAX(0,E194-F194))</f>
        <v/>
      </c>
      <c r="H194" s="39" t="n"/>
      <c r="I194" s="42" t="n"/>
      <c r="J194" s="40" t="n"/>
      <c r="K194" s="43">
        <f>IF(OR(G194="",I194=""),"",G194*I194)</f>
        <v/>
      </c>
      <c r="L194" s="44" t="n"/>
      <c r="M194" s="39" t="n"/>
    </row>
    <row r="195" ht="16" customHeight="1">
      <c r="A195" s="39" t="n"/>
      <c r="B195" s="39" t="n"/>
      <c r="C195" s="39" t="n"/>
      <c r="D195" s="39" t="n"/>
      <c r="E195" s="40" t="n"/>
      <c r="F195" s="40" t="n"/>
      <c r="G195" s="41">
        <f>IF(OR(E195="",F195=""),"",MAX(0,E195-F195))</f>
        <v/>
      </c>
      <c r="H195" s="39" t="n"/>
      <c r="I195" s="42" t="n"/>
      <c r="J195" s="40" t="n"/>
      <c r="K195" s="43">
        <f>IF(OR(G195="",I195=""),"",G195*I195)</f>
        <v/>
      </c>
      <c r="L195" s="44" t="n"/>
      <c r="M195" s="39" t="n"/>
    </row>
    <row r="196" ht="16" customHeight="1">
      <c r="A196" s="39" t="n"/>
      <c r="B196" s="39" t="n"/>
      <c r="C196" s="39" t="n"/>
      <c r="D196" s="39" t="n"/>
      <c r="E196" s="40" t="n"/>
      <c r="F196" s="40" t="n"/>
      <c r="G196" s="41">
        <f>IF(OR(E196="",F196=""),"",MAX(0,E196-F196))</f>
        <v/>
      </c>
      <c r="H196" s="39" t="n"/>
      <c r="I196" s="42" t="n"/>
      <c r="J196" s="40" t="n"/>
      <c r="K196" s="43">
        <f>IF(OR(G196="",I196=""),"",G196*I196)</f>
        <v/>
      </c>
      <c r="L196" s="44" t="n"/>
      <c r="M196" s="39" t="n"/>
    </row>
    <row r="197" ht="16" customHeight="1">
      <c r="A197" s="39" t="n"/>
      <c r="B197" s="39" t="n"/>
      <c r="C197" s="39" t="n"/>
      <c r="D197" s="39" t="n"/>
      <c r="E197" s="40" t="n"/>
      <c r="F197" s="40" t="n"/>
      <c r="G197" s="41">
        <f>IF(OR(E197="",F197=""),"",MAX(0,E197-F197))</f>
        <v/>
      </c>
      <c r="H197" s="39" t="n"/>
      <c r="I197" s="42" t="n"/>
      <c r="J197" s="40" t="n"/>
      <c r="K197" s="43">
        <f>IF(OR(G197="",I197=""),"",G197*I197)</f>
        <v/>
      </c>
      <c r="L197" s="44" t="n"/>
      <c r="M197" s="39" t="n"/>
    </row>
    <row r="198" ht="16" customHeight="1">
      <c r="A198" s="39" t="n"/>
      <c r="B198" s="39" t="n"/>
      <c r="C198" s="39" t="n"/>
      <c r="D198" s="39" t="n"/>
      <c r="E198" s="40" t="n"/>
      <c r="F198" s="40" t="n"/>
      <c r="G198" s="41">
        <f>IF(OR(E198="",F198=""),"",MAX(0,E198-F198))</f>
        <v/>
      </c>
      <c r="H198" s="39" t="n"/>
      <c r="I198" s="42" t="n"/>
      <c r="J198" s="40" t="n"/>
      <c r="K198" s="43">
        <f>IF(OR(G198="",I198=""),"",G198*I198)</f>
        <v/>
      </c>
      <c r="L198" s="44" t="n"/>
      <c r="M198" s="39" t="n"/>
    </row>
    <row r="199" ht="16" customHeight="1">
      <c r="A199" s="39" t="n"/>
      <c r="B199" s="39" t="n"/>
      <c r="C199" s="39" t="n"/>
      <c r="D199" s="39" t="n"/>
      <c r="E199" s="40" t="n"/>
      <c r="F199" s="40" t="n"/>
      <c r="G199" s="41">
        <f>IF(OR(E199="",F199=""),"",MAX(0,E199-F199))</f>
        <v/>
      </c>
      <c r="H199" s="39" t="n"/>
      <c r="I199" s="42" t="n"/>
      <c r="J199" s="40" t="n"/>
      <c r="K199" s="43">
        <f>IF(OR(G199="",I199=""),"",G199*I199)</f>
        <v/>
      </c>
      <c r="L199" s="44" t="n"/>
      <c r="M199" s="39" t="n"/>
    </row>
    <row r="200" ht="16" customHeight="1">
      <c r="A200" s="39" t="n"/>
      <c r="B200" s="39" t="n"/>
      <c r="C200" s="39" t="n"/>
      <c r="D200" s="39" t="n"/>
      <c r="E200" s="40" t="n"/>
      <c r="F200" s="40" t="n"/>
      <c r="G200" s="41">
        <f>IF(OR(E200="",F200=""),"",MAX(0,E200-F200))</f>
        <v/>
      </c>
      <c r="H200" s="39" t="n"/>
      <c r="I200" s="42" t="n"/>
      <c r="J200" s="40" t="n"/>
      <c r="K200" s="43">
        <f>IF(OR(G200="",I200=""),"",G200*I200)</f>
        <v/>
      </c>
      <c r="L200" s="44" t="n"/>
      <c r="M200" s="39" t="n"/>
    </row>
    <row r="201" ht="16" customHeight="1">
      <c r="A201" s="39" t="n"/>
      <c r="B201" s="39" t="n"/>
      <c r="C201" s="39" t="n"/>
      <c r="D201" s="39" t="n"/>
      <c r="E201" s="40" t="n"/>
      <c r="F201" s="40" t="n"/>
      <c r="G201" s="41">
        <f>IF(OR(E201="",F201=""),"",MAX(0,E201-F201))</f>
        <v/>
      </c>
      <c r="H201" s="39" t="n"/>
      <c r="I201" s="42" t="n"/>
      <c r="J201" s="40" t="n"/>
      <c r="K201" s="43">
        <f>IF(OR(G201="",I201=""),"",G201*I201)</f>
        <v/>
      </c>
      <c r="L201" s="44" t="n"/>
      <c r="M201" s="39" t="n"/>
    </row>
    <row r="202" ht="16" customHeight="1">
      <c r="A202" s="39" t="n"/>
      <c r="B202" s="39" t="n"/>
      <c r="C202" s="39" t="n"/>
      <c r="D202" s="39" t="n"/>
      <c r="E202" s="40" t="n"/>
      <c r="F202" s="40" t="n"/>
      <c r="G202" s="41">
        <f>IF(OR(E202="",F202=""),"",MAX(0,E202-F202))</f>
        <v/>
      </c>
      <c r="H202" s="39" t="n"/>
      <c r="I202" s="42" t="n"/>
      <c r="J202" s="40" t="n"/>
      <c r="K202" s="43">
        <f>IF(OR(G202="",I202=""),"",G202*I202)</f>
        <v/>
      </c>
      <c r="L202" s="44" t="n"/>
      <c r="M202" s="39" t="n"/>
    </row>
    <row r="203" ht="16" customHeight="1">
      <c r="A203" s="39" t="n"/>
      <c r="B203" s="39" t="n"/>
      <c r="C203" s="39" t="n"/>
      <c r="D203" s="39" t="n"/>
      <c r="E203" s="40" t="n"/>
      <c r="F203" s="40" t="n"/>
      <c r="G203" s="41">
        <f>IF(OR(E203="",F203=""),"",MAX(0,E203-F203))</f>
        <v/>
      </c>
      <c r="H203" s="39" t="n"/>
      <c r="I203" s="42" t="n"/>
      <c r="J203" s="40" t="n"/>
      <c r="K203" s="43">
        <f>IF(OR(G203="",I203=""),"",G203*I203)</f>
        <v/>
      </c>
      <c r="L203" s="44" t="n"/>
      <c r="M203" s="39" t="n"/>
    </row>
    <row r="204" ht="16" customHeight="1">
      <c r="A204" s="39" t="n"/>
      <c r="B204" s="39" t="n"/>
      <c r="C204" s="39" t="n"/>
      <c r="D204" s="39" t="n"/>
      <c r="E204" s="40" t="n"/>
      <c r="F204" s="40" t="n"/>
      <c r="G204" s="41">
        <f>IF(OR(E204="",F204=""),"",MAX(0,E204-F204))</f>
        <v/>
      </c>
      <c r="H204" s="39" t="n"/>
      <c r="I204" s="42" t="n"/>
      <c r="J204" s="40" t="n"/>
      <c r="K204" s="43">
        <f>IF(OR(G204="",I204=""),"",G204*I204)</f>
        <v/>
      </c>
      <c r="L204" s="44" t="n"/>
      <c r="M204" s="39" t="n"/>
    </row>
    <row r="205" ht="16" customHeight="1">
      <c r="A205" s="39" t="n"/>
      <c r="B205" s="39" t="n"/>
      <c r="C205" s="39" t="n"/>
      <c r="D205" s="39" t="n"/>
      <c r="E205" s="40" t="n"/>
      <c r="F205" s="40" t="n"/>
      <c r="G205" s="41">
        <f>IF(OR(E205="",F205=""),"",MAX(0,E205-F205))</f>
        <v/>
      </c>
      <c r="H205" s="39" t="n"/>
      <c r="I205" s="42" t="n"/>
      <c r="J205" s="40" t="n"/>
      <c r="K205" s="43">
        <f>IF(OR(G205="",I205=""),"",G205*I205)</f>
        <v/>
      </c>
      <c r="L205" s="44" t="n"/>
      <c r="M205" s="39" t="n"/>
    </row>
  </sheetData>
  <mergeCells count="4">
    <mergeCell ref="A4:M4"/>
    <mergeCell ref="J2:L2"/>
    <mergeCell ref="D2:I2"/>
    <mergeCell ref="A2:C2"/>
  </mergeCells>
  <conditionalFormatting sqref="G6:G205">
    <cfRule type="expression" priority="1" dxfId="0">
      <formula>AND(ISNUMBER(G6),G6&gt;0)</formula>
    </cfRule>
  </conditionalFormatting>
  <conditionalFormatting sqref="F6:F205">
    <cfRule type="expression" priority="2" dxfId="0">
      <formula>AND(ISNUMBER(F6),F6=0,ISNUMBER(E6),E6&gt;0)</formula>
    </cfRule>
  </conditionalFormatting>
  <dataValidations count="3">
    <dataValidation sqref="C6:C205" showDropDown="0" showInputMessage="0" showErrorMessage="0" allowBlank="1" type="list">
      <formula1>"Linens,Bath,Kitchen,Cleaning,Paper,Decor,Other"</formula1>
    </dataValidation>
    <dataValidation sqref="D6:D205" showDropDown="0" showInputMessage="0" showErrorMessage="0" allowBlank="1" type="list">
      <formula1>=Settings!$B$7:$B$16</formula1>
    </dataValidation>
    <dataValidation sqref="H6:H205" showDropDown="0" showInputMessage="0" showErrorMessage="0" allowBlank="1" type="list">
      <formula1>=Settings!$B$18:$B$27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10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8" customWidth="1" min="3" max="3"/>
    <col width="12" customWidth="1" min="4" max="4"/>
    <col width="9" customWidth="1" min="5" max="5"/>
    <col width="10" customWidth="1" min="6" max="6"/>
    <col width="11" customWidth="1" min="7" max="7"/>
    <col width="13" customWidth="1" min="8" max="8"/>
    <col width="13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HYPERLINK("#'Inventory'!A1", "← BACK")</f>
        <v/>
      </c>
      <c r="B2" s="12" t="n"/>
      <c r="C2" s="12" t="n"/>
      <c r="D2" s="36" t="inlineStr">
        <is>
          <t>RESTOCK LIST · WHAT TO BUY NOW</t>
        </is>
      </c>
      <c r="J2" s="27">
        <f>HYPERLINK("#'Vendor Quick Order'!A1", "NEXT →")</f>
        <v/>
      </c>
      <c r="K2" s="28" t="n"/>
      <c r="L2" s="2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📄 PRINT THIS LIST — items where on-hand &lt; par, sorted by shortfall (largest first).</t>
        </is>
      </c>
    </row>
    <row r="5" ht="32" customHeight="1">
      <c r="A5" s="45">
        <f>"Items below par: "&amp;COUNTIF(Inventory!G6:G205,"&gt;0")&amp;"   ·   $ to restock total: $"&amp;TEXT(SUM(Inventory!K6:K205),"#,##0.00")</f>
        <v/>
      </c>
    </row>
    <row r="7" ht="20" customHeight="1">
      <c r="A7" s="38" t="inlineStr">
        <is>
          <t>SKU</t>
        </is>
      </c>
      <c r="B7" s="38" t="inlineStr">
        <is>
          <t>Item</t>
        </is>
      </c>
      <c r="C7" s="38" t="inlineStr">
        <is>
          <t>Property</t>
        </is>
      </c>
      <c r="D7" s="38" t="inlineStr">
        <is>
          <t>Vendor</t>
        </is>
      </c>
      <c r="E7" s="38" t="inlineStr">
        <is>
          <t>Par</t>
        </is>
      </c>
      <c r="F7" s="38" t="inlineStr">
        <is>
          <t>On-hand</t>
        </is>
      </c>
      <c r="G7" s="38" t="inlineStr">
        <is>
          <t>Shortfall</t>
        </is>
      </c>
      <c r="H7" s="38" t="inlineStr">
        <is>
          <t>Unit cost</t>
        </is>
      </c>
      <c r="I7" s="38" t="inlineStr">
        <is>
          <t>$ to restock</t>
        </is>
      </c>
    </row>
    <row r="8" ht="16" customHeight="1">
      <c r="A8" s="46">
        <f>IFERROR(IF(IFERROR(AGGREGATE(14,6,(Inventory!$G$6:$G$205+(205-ROW(Inventory!$G$6:$G$205))/10000)/(Inventory!$G$6:$G$205&gt;0),1),"")="","",INDEX(Inventory!$A$6:$A$205,IFERROR(MATCH(IFERROR(AGGREGATE(14,6,(Inventory!$G$6:$G$205+(205-ROW(Inventory!$G$6:$G$205))/10000)/(Inventory!$G$6:$G$205&gt;0),1),""),(Inventory!$G$6:$G$205+(205-ROW(Inventory!$G$6:$G$205))/10000),0),""))),"")</f>
        <v/>
      </c>
      <c r="B8" s="46">
        <f>IFERROR(IF(IFERROR(AGGREGATE(14,6,(Inventory!$G$6:$G$205+(205-ROW(Inventory!$G$6:$G$205))/10000)/(Inventory!$G$6:$G$205&gt;0),1),"")="","",INDEX(Inventory!$B$6:$B$205,IFERROR(MATCH(IFERROR(AGGREGATE(14,6,(Inventory!$G$6:$G$205+(205-ROW(Inventory!$G$6:$G$205))/10000)/(Inventory!$G$6:$G$205&gt;0),1),""),(Inventory!$G$6:$G$205+(205-ROW(Inventory!$G$6:$G$205))/10000),0),""))),"")</f>
        <v/>
      </c>
      <c r="C8" s="46">
        <f>IFERROR(IF(IFERROR(AGGREGATE(14,6,(Inventory!$G$6:$G$205+(205-ROW(Inventory!$G$6:$G$205))/10000)/(Inventory!$G$6:$G$205&gt;0),1),"")="","",INDEX(Inventory!$D$6:$D$205,IFERROR(MATCH(IFERROR(AGGREGATE(14,6,(Inventory!$G$6:$G$205+(205-ROW(Inventory!$G$6:$G$205))/10000)/(Inventory!$G$6:$G$205&gt;0),1),""),(Inventory!$G$6:$G$205+(205-ROW(Inventory!$G$6:$G$205))/10000),0),""))),"")</f>
        <v/>
      </c>
      <c r="D8" s="46">
        <f>IFERROR(IF(IFERROR(AGGREGATE(14,6,(Inventory!$G$6:$G$205+(205-ROW(Inventory!$G$6:$G$205))/10000)/(Inventory!$G$6:$G$205&gt;0),1),"")="","",INDEX(Inventory!$H$6:$H$205,IFERROR(MATCH(IFERROR(AGGREGATE(14,6,(Inventory!$G$6:$G$205+(205-ROW(Inventory!$G$6:$G$205))/10000)/(Inventory!$G$6:$G$205&gt;0),1),""),(Inventory!$G$6:$G$205+(205-ROW(Inventory!$G$6:$G$205))/10000),0),""))),"")</f>
        <v/>
      </c>
      <c r="E8" s="41">
        <f>IFERROR(IF(IFERROR(AGGREGATE(14,6,(Inventory!$G$6:$G$205+(205-ROW(Inventory!$G$6:$G$205))/10000)/(Inventory!$G$6:$G$205&gt;0),1),"")="","",INDEX(Inventory!$E$6:$E$205,IFERROR(MATCH(IFERROR(AGGREGATE(14,6,(Inventory!$G$6:$G$205+(205-ROW(Inventory!$G$6:$G$205))/10000)/(Inventory!$G$6:$G$205&gt;0),1),""),(Inventory!$G$6:$G$205+(205-ROW(Inventory!$G$6:$G$205))/10000),0),""))),"")</f>
        <v/>
      </c>
      <c r="F8" s="41">
        <f>IFERROR(IF(IFERROR(AGGREGATE(14,6,(Inventory!$G$6:$G$205+(205-ROW(Inventory!$G$6:$G$205))/10000)/(Inventory!$G$6:$G$205&gt;0),1),"")="","",INDEX(Inventory!$F$6:$F$205,IFERROR(MATCH(IFERROR(AGGREGATE(14,6,(Inventory!$G$6:$G$205+(205-ROW(Inventory!$G$6:$G$205))/10000)/(Inventory!$G$6:$G$205&gt;0),1),""),(Inventory!$G$6:$G$205+(205-ROW(Inventory!$G$6:$G$205))/10000),0),""))),"")</f>
        <v/>
      </c>
      <c r="G8" s="41">
        <f>IFERROR(IF(IFERROR(AGGREGATE(14,6,(Inventory!$G$6:$G$205+(205-ROW(Inventory!$G$6:$G$205))/10000)/(Inventory!$G$6:$G$205&gt;0),1),"")="","",INDEX(Inventory!$G$6:$G$205,IFERROR(MATCH(IFERROR(AGGREGATE(14,6,(Inventory!$G$6:$G$205+(205-ROW(Inventory!$G$6:$G$205))/10000)/(Inventory!$G$6:$G$205&gt;0),1),""),(Inventory!$G$6:$G$205+(205-ROW(Inventory!$G$6:$G$205))/10000),0),""))),"")</f>
        <v/>
      </c>
      <c r="H8" s="43">
        <f>IFERROR(IF(IFERROR(AGGREGATE(14,6,(Inventory!$G$6:$G$205+(205-ROW(Inventory!$G$6:$G$205))/10000)/(Inventory!$G$6:$G$205&gt;0),1),"")="","",INDEX(Inventory!$I$6:$I$205,IFERROR(MATCH(IFERROR(AGGREGATE(14,6,(Inventory!$G$6:$G$205+(205-ROW(Inventory!$G$6:$G$205))/10000)/(Inventory!$G$6:$G$205&gt;0),1),""),(Inventory!$G$6:$G$205+(205-ROW(Inventory!$G$6:$G$205))/10000),0),""))),"")</f>
        <v/>
      </c>
      <c r="I8" s="43">
        <f>IFERROR(IF(IFERROR(AGGREGATE(14,6,(Inventory!$G$6:$G$205+(205-ROW(Inventory!$G$6:$G$205))/10000)/(Inventory!$G$6:$G$205&gt;0),1),"")="","",INDEX(Inventory!$K$6:$K$205,IFERROR(MATCH(IFERROR(AGGREGATE(14,6,(Inventory!$G$6:$G$205+(205-ROW(Inventory!$G$6:$G$205))/10000)/(Inventory!$G$6:$G$205&gt;0),1),""),(Inventory!$G$6:$G$205+(205-ROW(Inventory!$G$6:$G$205))/10000),0),""))),"")</f>
        <v/>
      </c>
    </row>
    <row r="9" ht="16" customHeight="1">
      <c r="A9" s="46">
        <f>IFERROR(IF(IFERROR(AGGREGATE(14,6,(Inventory!$G$6:$G$205+(205-ROW(Inventory!$G$6:$G$205))/10000)/(Inventory!$G$6:$G$205&gt;0),2),"")="","",INDEX(Inventory!$A$6:$A$205,IFERROR(MATCH(IFERROR(AGGREGATE(14,6,(Inventory!$G$6:$G$205+(205-ROW(Inventory!$G$6:$G$205))/10000)/(Inventory!$G$6:$G$205&gt;0),2),""),(Inventory!$G$6:$G$205+(205-ROW(Inventory!$G$6:$G$205))/10000),0),""))),"")</f>
        <v/>
      </c>
      <c r="B9" s="46">
        <f>IFERROR(IF(IFERROR(AGGREGATE(14,6,(Inventory!$G$6:$G$205+(205-ROW(Inventory!$G$6:$G$205))/10000)/(Inventory!$G$6:$G$205&gt;0),2),"")="","",INDEX(Inventory!$B$6:$B$205,IFERROR(MATCH(IFERROR(AGGREGATE(14,6,(Inventory!$G$6:$G$205+(205-ROW(Inventory!$G$6:$G$205))/10000)/(Inventory!$G$6:$G$205&gt;0),2),""),(Inventory!$G$6:$G$205+(205-ROW(Inventory!$G$6:$G$205))/10000),0),""))),"")</f>
        <v/>
      </c>
      <c r="C9" s="46">
        <f>IFERROR(IF(IFERROR(AGGREGATE(14,6,(Inventory!$G$6:$G$205+(205-ROW(Inventory!$G$6:$G$205))/10000)/(Inventory!$G$6:$G$205&gt;0),2),"")="","",INDEX(Inventory!$D$6:$D$205,IFERROR(MATCH(IFERROR(AGGREGATE(14,6,(Inventory!$G$6:$G$205+(205-ROW(Inventory!$G$6:$G$205))/10000)/(Inventory!$G$6:$G$205&gt;0),2),""),(Inventory!$G$6:$G$205+(205-ROW(Inventory!$G$6:$G$205))/10000),0),""))),"")</f>
        <v/>
      </c>
      <c r="D9" s="46">
        <f>IFERROR(IF(IFERROR(AGGREGATE(14,6,(Inventory!$G$6:$G$205+(205-ROW(Inventory!$G$6:$G$205))/10000)/(Inventory!$G$6:$G$205&gt;0),2),"")="","",INDEX(Inventory!$H$6:$H$205,IFERROR(MATCH(IFERROR(AGGREGATE(14,6,(Inventory!$G$6:$G$205+(205-ROW(Inventory!$G$6:$G$205))/10000)/(Inventory!$G$6:$G$205&gt;0),2),""),(Inventory!$G$6:$G$205+(205-ROW(Inventory!$G$6:$G$205))/10000),0),""))),"")</f>
        <v/>
      </c>
      <c r="E9" s="41">
        <f>IFERROR(IF(IFERROR(AGGREGATE(14,6,(Inventory!$G$6:$G$205+(205-ROW(Inventory!$G$6:$G$205))/10000)/(Inventory!$G$6:$G$205&gt;0),2),"")="","",INDEX(Inventory!$E$6:$E$205,IFERROR(MATCH(IFERROR(AGGREGATE(14,6,(Inventory!$G$6:$G$205+(205-ROW(Inventory!$G$6:$G$205))/10000)/(Inventory!$G$6:$G$205&gt;0),2),""),(Inventory!$G$6:$G$205+(205-ROW(Inventory!$G$6:$G$205))/10000),0),""))),"")</f>
        <v/>
      </c>
      <c r="F9" s="41">
        <f>IFERROR(IF(IFERROR(AGGREGATE(14,6,(Inventory!$G$6:$G$205+(205-ROW(Inventory!$G$6:$G$205))/10000)/(Inventory!$G$6:$G$205&gt;0),2),"")="","",INDEX(Inventory!$F$6:$F$205,IFERROR(MATCH(IFERROR(AGGREGATE(14,6,(Inventory!$G$6:$G$205+(205-ROW(Inventory!$G$6:$G$205))/10000)/(Inventory!$G$6:$G$205&gt;0),2),""),(Inventory!$G$6:$G$205+(205-ROW(Inventory!$G$6:$G$205))/10000),0),""))),"")</f>
        <v/>
      </c>
      <c r="G9" s="41">
        <f>IFERROR(IF(IFERROR(AGGREGATE(14,6,(Inventory!$G$6:$G$205+(205-ROW(Inventory!$G$6:$G$205))/10000)/(Inventory!$G$6:$G$205&gt;0),2),"")="","",INDEX(Inventory!$G$6:$G$205,IFERROR(MATCH(IFERROR(AGGREGATE(14,6,(Inventory!$G$6:$G$205+(205-ROW(Inventory!$G$6:$G$205))/10000)/(Inventory!$G$6:$G$205&gt;0),2),""),(Inventory!$G$6:$G$205+(205-ROW(Inventory!$G$6:$G$205))/10000),0),""))),"")</f>
        <v/>
      </c>
      <c r="H9" s="43">
        <f>IFERROR(IF(IFERROR(AGGREGATE(14,6,(Inventory!$G$6:$G$205+(205-ROW(Inventory!$G$6:$G$205))/10000)/(Inventory!$G$6:$G$205&gt;0),2),"")="","",INDEX(Inventory!$I$6:$I$205,IFERROR(MATCH(IFERROR(AGGREGATE(14,6,(Inventory!$G$6:$G$205+(205-ROW(Inventory!$G$6:$G$205))/10000)/(Inventory!$G$6:$G$205&gt;0),2),""),(Inventory!$G$6:$G$205+(205-ROW(Inventory!$G$6:$G$205))/10000),0),""))),"")</f>
        <v/>
      </c>
      <c r="I9" s="43">
        <f>IFERROR(IF(IFERROR(AGGREGATE(14,6,(Inventory!$G$6:$G$205+(205-ROW(Inventory!$G$6:$G$205))/10000)/(Inventory!$G$6:$G$205&gt;0),2),"")="","",INDEX(Inventory!$K$6:$K$205,IFERROR(MATCH(IFERROR(AGGREGATE(14,6,(Inventory!$G$6:$G$205+(205-ROW(Inventory!$G$6:$G$205))/10000)/(Inventory!$G$6:$G$205&gt;0),2),""),(Inventory!$G$6:$G$205+(205-ROW(Inventory!$G$6:$G$205))/10000),0),""))),"")</f>
        <v/>
      </c>
    </row>
    <row r="10" ht="16" customHeight="1">
      <c r="A10" s="46">
        <f>IFERROR(IF(IFERROR(AGGREGATE(14,6,(Inventory!$G$6:$G$205+(205-ROW(Inventory!$G$6:$G$205))/10000)/(Inventory!$G$6:$G$205&gt;0),3),"")="","",INDEX(Inventory!$A$6:$A$205,IFERROR(MATCH(IFERROR(AGGREGATE(14,6,(Inventory!$G$6:$G$205+(205-ROW(Inventory!$G$6:$G$205))/10000)/(Inventory!$G$6:$G$205&gt;0),3),""),(Inventory!$G$6:$G$205+(205-ROW(Inventory!$G$6:$G$205))/10000),0),""))),"")</f>
        <v/>
      </c>
      <c r="B10" s="46">
        <f>IFERROR(IF(IFERROR(AGGREGATE(14,6,(Inventory!$G$6:$G$205+(205-ROW(Inventory!$G$6:$G$205))/10000)/(Inventory!$G$6:$G$205&gt;0),3),"")="","",INDEX(Inventory!$B$6:$B$205,IFERROR(MATCH(IFERROR(AGGREGATE(14,6,(Inventory!$G$6:$G$205+(205-ROW(Inventory!$G$6:$G$205))/10000)/(Inventory!$G$6:$G$205&gt;0),3),""),(Inventory!$G$6:$G$205+(205-ROW(Inventory!$G$6:$G$205))/10000),0),""))),"")</f>
        <v/>
      </c>
      <c r="C10" s="46">
        <f>IFERROR(IF(IFERROR(AGGREGATE(14,6,(Inventory!$G$6:$G$205+(205-ROW(Inventory!$G$6:$G$205))/10000)/(Inventory!$G$6:$G$205&gt;0),3),"")="","",INDEX(Inventory!$D$6:$D$205,IFERROR(MATCH(IFERROR(AGGREGATE(14,6,(Inventory!$G$6:$G$205+(205-ROW(Inventory!$G$6:$G$205))/10000)/(Inventory!$G$6:$G$205&gt;0),3),""),(Inventory!$G$6:$G$205+(205-ROW(Inventory!$G$6:$G$205))/10000),0),""))),"")</f>
        <v/>
      </c>
      <c r="D10" s="46">
        <f>IFERROR(IF(IFERROR(AGGREGATE(14,6,(Inventory!$G$6:$G$205+(205-ROW(Inventory!$G$6:$G$205))/10000)/(Inventory!$G$6:$G$205&gt;0),3),"")="","",INDEX(Inventory!$H$6:$H$205,IFERROR(MATCH(IFERROR(AGGREGATE(14,6,(Inventory!$G$6:$G$205+(205-ROW(Inventory!$G$6:$G$205))/10000)/(Inventory!$G$6:$G$205&gt;0),3),""),(Inventory!$G$6:$G$205+(205-ROW(Inventory!$G$6:$G$205))/10000),0),""))),"")</f>
        <v/>
      </c>
      <c r="E10" s="41">
        <f>IFERROR(IF(IFERROR(AGGREGATE(14,6,(Inventory!$G$6:$G$205+(205-ROW(Inventory!$G$6:$G$205))/10000)/(Inventory!$G$6:$G$205&gt;0),3),"")="","",INDEX(Inventory!$E$6:$E$205,IFERROR(MATCH(IFERROR(AGGREGATE(14,6,(Inventory!$G$6:$G$205+(205-ROW(Inventory!$G$6:$G$205))/10000)/(Inventory!$G$6:$G$205&gt;0),3),""),(Inventory!$G$6:$G$205+(205-ROW(Inventory!$G$6:$G$205))/10000),0),""))),"")</f>
        <v/>
      </c>
      <c r="F10" s="41">
        <f>IFERROR(IF(IFERROR(AGGREGATE(14,6,(Inventory!$G$6:$G$205+(205-ROW(Inventory!$G$6:$G$205))/10000)/(Inventory!$G$6:$G$205&gt;0),3),"")="","",INDEX(Inventory!$F$6:$F$205,IFERROR(MATCH(IFERROR(AGGREGATE(14,6,(Inventory!$G$6:$G$205+(205-ROW(Inventory!$G$6:$G$205))/10000)/(Inventory!$G$6:$G$205&gt;0),3),""),(Inventory!$G$6:$G$205+(205-ROW(Inventory!$G$6:$G$205))/10000),0),""))),"")</f>
        <v/>
      </c>
      <c r="G10" s="41">
        <f>IFERROR(IF(IFERROR(AGGREGATE(14,6,(Inventory!$G$6:$G$205+(205-ROW(Inventory!$G$6:$G$205))/10000)/(Inventory!$G$6:$G$205&gt;0),3),"")="","",INDEX(Inventory!$G$6:$G$205,IFERROR(MATCH(IFERROR(AGGREGATE(14,6,(Inventory!$G$6:$G$205+(205-ROW(Inventory!$G$6:$G$205))/10000)/(Inventory!$G$6:$G$205&gt;0),3),""),(Inventory!$G$6:$G$205+(205-ROW(Inventory!$G$6:$G$205))/10000),0),""))),"")</f>
        <v/>
      </c>
      <c r="H10" s="43">
        <f>IFERROR(IF(IFERROR(AGGREGATE(14,6,(Inventory!$G$6:$G$205+(205-ROW(Inventory!$G$6:$G$205))/10000)/(Inventory!$G$6:$G$205&gt;0),3),"")="","",INDEX(Inventory!$I$6:$I$205,IFERROR(MATCH(IFERROR(AGGREGATE(14,6,(Inventory!$G$6:$G$205+(205-ROW(Inventory!$G$6:$G$205))/10000)/(Inventory!$G$6:$G$205&gt;0),3),""),(Inventory!$G$6:$G$205+(205-ROW(Inventory!$G$6:$G$205))/10000),0),""))),"")</f>
        <v/>
      </c>
      <c r="I10" s="43">
        <f>IFERROR(IF(IFERROR(AGGREGATE(14,6,(Inventory!$G$6:$G$205+(205-ROW(Inventory!$G$6:$G$205))/10000)/(Inventory!$G$6:$G$205&gt;0),3),"")="","",INDEX(Inventory!$K$6:$K$205,IFERROR(MATCH(IFERROR(AGGREGATE(14,6,(Inventory!$G$6:$G$205+(205-ROW(Inventory!$G$6:$G$205))/10000)/(Inventory!$G$6:$G$205&gt;0),3),""),(Inventory!$G$6:$G$205+(205-ROW(Inventory!$G$6:$G$205))/10000),0),""))),"")</f>
        <v/>
      </c>
    </row>
    <row r="11" ht="16" customHeight="1">
      <c r="A11" s="46">
        <f>IFERROR(IF(IFERROR(AGGREGATE(14,6,(Inventory!$G$6:$G$205+(205-ROW(Inventory!$G$6:$G$205))/10000)/(Inventory!$G$6:$G$205&gt;0),4),"")="","",INDEX(Inventory!$A$6:$A$205,IFERROR(MATCH(IFERROR(AGGREGATE(14,6,(Inventory!$G$6:$G$205+(205-ROW(Inventory!$G$6:$G$205))/10000)/(Inventory!$G$6:$G$205&gt;0),4),""),(Inventory!$G$6:$G$205+(205-ROW(Inventory!$G$6:$G$205))/10000),0),""))),"")</f>
        <v/>
      </c>
      <c r="B11" s="46">
        <f>IFERROR(IF(IFERROR(AGGREGATE(14,6,(Inventory!$G$6:$G$205+(205-ROW(Inventory!$G$6:$G$205))/10000)/(Inventory!$G$6:$G$205&gt;0),4),"")="","",INDEX(Inventory!$B$6:$B$205,IFERROR(MATCH(IFERROR(AGGREGATE(14,6,(Inventory!$G$6:$G$205+(205-ROW(Inventory!$G$6:$G$205))/10000)/(Inventory!$G$6:$G$205&gt;0),4),""),(Inventory!$G$6:$G$205+(205-ROW(Inventory!$G$6:$G$205))/10000),0),""))),"")</f>
        <v/>
      </c>
      <c r="C11" s="46">
        <f>IFERROR(IF(IFERROR(AGGREGATE(14,6,(Inventory!$G$6:$G$205+(205-ROW(Inventory!$G$6:$G$205))/10000)/(Inventory!$G$6:$G$205&gt;0),4),"")="","",INDEX(Inventory!$D$6:$D$205,IFERROR(MATCH(IFERROR(AGGREGATE(14,6,(Inventory!$G$6:$G$205+(205-ROW(Inventory!$G$6:$G$205))/10000)/(Inventory!$G$6:$G$205&gt;0),4),""),(Inventory!$G$6:$G$205+(205-ROW(Inventory!$G$6:$G$205))/10000),0),""))),"")</f>
        <v/>
      </c>
      <c r="D11" s="46">
        <f>IFERROR(IF(IFERROR(AGGREGATE(14,6,(Inventory!$G$6:$G$205+(205-ROW(Inventory!$G$6:$G$205))/10000)/(Inventory!$G$6:$G$205&gt;0),4),"")="","",INDEX(Inventory!$H$6:$H$205,IFERROR(MATCH(IFERROR(AGGREGATE(14,6,(Inventory!$G$6:$G$205+(205-ROW(Inventory!$G$6:$G$205))/10000)/(Inventory!$G$6:$G$205&gt;0),4),""),(Inventory!$G$6:$G$205+(205-ROW(Inventory!$G$6:$G$205))/10000),0),""))),"")</f>
        <v/>
      </c>
      <c r="E11" s="41">
        <f>IFERROR(IF(IFERROR(AGGREGATE(14,6,(Inventory!$G$6:$G$205+(205-ROW(Inventory!$G$6:$G$205))/10000)/(Inventory!$G$6:$G$205&gt;0),4),"")="","",INDEX(Inventory!$E$6:$E$205,IFERROR(MATCH(IFERROR(AGGREGATE(14,6,(Inventory!$G$6:$G$205+(205-ROW(Inventory!$G$6:$G$205))/10000)/(Inventory!$G$6:$G$205&gt;0),4),""),(Inventory!$G$6:$G$205+(205-ROW(Inventory!$G$6:$G$205))/10000),0),""))),"")</f>
        <v/>
      </c>
      <c r="F11" s="41">
        <f>IFERROR(IF(IFERROR(AGGREGATE(14,6,(Inventory!$G$6:$G$205+(205-ROW(Inventory!$G$6:$G$205))/10000)/(Inventory!$G$6:$G$205&gt;0),4),"")="","",INDEX(Inventory!$F$6:$F$205,IFERROR(MATCH(IFERROR(AGGREGATE(14,6,(Inventory!$G$6:$G$205+(205-ROW(Inventory!$G$6:$G$205))/10000)/(Inventory!$G$6:$G$205&gt;0),4),""),(Inventory!$G$6:$G$205+(205-ROW(Inventory!$G$6:$G$205))/10000),0),""))),"")</f>
        <v/>
      </c>
      <c r="G11" s="41">
        <f>IFERROR(IF(IFERROR(AGGREGATE(14,6,(Inventory!$G$6:$G$205+(205-ROW(Inventory!$G$6:$G$205))/10000)/(Inventory!$G$6:$G$205&gt;0),4),"")="","",INDEX(Inventory!$G$6:$G$205,IFERROR(MATCH(IFERROR(AGGREGATE(14,6,(Inventory!$G$6:$G$205+(205-ROW(Inventory!$G$6:$G$205))/10000)/(Inventory!$G$6:$G$205&gt;0),4),""),(Inventory!$G$6:$G$205+(205-ROW(Inventory!$G$6:$G$205))/10000),0),""))),"")</f>
        <v/>
      </c>
      <c r="H11" s="43">
        <f>IFERROR(IF(IFERROR(AGGREGATE(14,6,(Inventory!$G$6:$G$205+(205-ROW(Inventory!$G$6:$G$205))/10000)/(Inventory!$G$6:$G$205&gt;0),4),"")="","",INDEX(Inventory!$I$6:$I$205,IFERROR(MATCH(IFERROR(AGGREGATE(14,6,(Inventory!$G$6:$G$205+(205-ROW(Inventory!$G$6:$G$205))/10000)/(Inventory!$G$6:$G$205&gt;0),4),""),(Inventory!$G$6:$G$205+(205-ROW(Inventory!$G$6:$G$205))/10000),0),""))),"")</f>
        <v/>
      </c>
      <c r="I11" s="43">
        <f>IFERROR(IF(IFERROR(AGGREGATE(14,6,(Inventory!$G$6:$G$205+(205-ROW(Inventory!$G$6:$G$205))/10000)/(Inventory!$G$6:$G$205&gt;0),4),"")="","",INDEX(Inventory!$K$6:$K$205,IFERROR(MATCH(IFERROR(AGGREGATE(14,6,(Inventory!$G$6:$G$205+(205-ROW(Inventory!$G$6:$G$205))/10000)/(Inventory!$G$6:$G$205&gt;0),4),""),(Inventory!$G$6:$G$205+(205-ROW(Inventory!$G$6:$G$205))/10000),0),""))),"")</f>
        <v/>
      </c>
    </row>
    <row r="12" ht="16" customHeight="1">
      <c r="A12" s="46">
        <f>IFERROR(IF(IFERROR(AGGREGATE(14,6,(Inventory!$G$6:$G$205+(205-ROW(Inventory!$G$6:$G$205))/10000)/(Inventory!$G$6:$G$205&gt;0),5),"")="","",INDEX(Inventory!$A$6:$A$205,IFERROR(MATCH(IFERROR(AGGREGATE(14,6,(Inventory!$G$6:$G$205+(205-ROW(Inventory!$G$6:$G$205))/10000)/(Inventory!$G$6:$G$205&gt;0),5),""),(Inventory!$G$6:$G$205+(205-ROW(Inventory!$G$6:$G$205))/10000),0),""))),"")</f>
        <v/>
      </c>
      <c r="B12" s="46">
        <f>IFERROR(IF(IFERROR(AGGREGATE(14,6,(Inventory!$G$6:$G$205+(205-ROW(Inventory!$G$6:$G$205))/10000)/(Inventory!$G$6:$G$205&gt;0),5),"")="","",INDEX(Inventory!$B$6:$B$205,IFERROR(MATCH(IFERROR(AGGREGATE(14,6,(Inventory!$G$6:$G$205+(205-ROW(Inventory!$G$6:$G$205))/10000)/(Inventory!$G$6:$G$205&gt;0),5),""),(Inventory!$G$6:$G$205+(205-ROW(Inventory!$G$6:$G$205))/10000),0),""))),"")</f>
        <v/>
      </c>
      <c r="C12" s="46">
        <f>IFERROR(IF(IFERROR(AGGREGATE(14,6,(Inventory!$G$6:$G$205+(205-ROW(Inventory!$G$6:$G$205))/10000)/(Inventory!$G$6:$G$205&gt;0),5),"")="","",INDEX(Inventory!$D$6:$D$205,IFERROR(MATCH(IFERROR(AGGREGATE(14,6,(Inventory!$G$6:$G$205+(205-ROW(Inventory!$G$6:$G$205))/10000)/(Inventory!$G$6:$G$205&gt;0),5),""),(Inventory!$G$6:$G$205+(205-ROW(Inventory!$G$6:$G$205))/10000),0),""))),"")</f>
        <v/>
      </c>
      <c r="D12" s="46">
        <f>IFERROR(IF(IFERROR(AGGREGATE(14,6,(Inventory!$G$6:$G$205+(205-ROW(Inventory!$G$6:$G$205))/10000)/(Inventory!$G$6:$G$205&gt;0),5),"")="","",INDEX(Inventory!$H$6:$H$205,IFERROR(MATCH(IFERROR(AGGREGATE(14,6,(Inventory!$G$6:$G$205+(205-ROW(Inventory!$G$6:$G$205))/10000)/(Inventory!$G$6:$G$205&gt;0),5),""),(Inventory!$G$6:$G$205+(205-ROW(Inventory!$G$6:$G$205))/10000),0),""))),"")</f>
        <v/>
      </c>
      <c r="E12" s="41">
        <f>IFERROR(IF(IFERROR(AGGREGATE(14,6,(Inventory!$G$6:$G$205+(205-ROW(Inventory!$G$6:$G$205))/10000)/(Inventory!$G$6:$G$205&gt;0),5),"")="","",INDEX(Inventory!$E$6:$E$205,IFERROR(MATCH(IFERROR(AGGREGATE(14,6,(Inventory!$G$6:$G$205+(205-ROW(Inventory!$G$6:$G$205))/10000)/(Inventory!$G$6:$G$205&gt;0),5),""),(Inventory!$G$6:$G$205+(205-ROW(Inventory!$G$6:$G$205))/10000),0),""))),"")</f>
        <v/>
      </c>
      <c r="F12" s="41">
        <f>IFERROR(IF(IFERROR(AGGREGATE(14,6,(Inventory!$G$6:$G$205+(205-ROW(Inventory!$G$6:$G$205))/10000)/(Inventory!$G$6:$G$205&gt;0),5),"")="","",INDEX(Inventory!$F$6:$F$205,IFERROR(MATCH(IFERROR(AGGREGATE(14,6,(Inventory!$G$6:$G$205+(205-ROW(Inventory!$G$6:$G$205))/10000)/(Inventory!$G$6:$G$205&gt;0),5),""),(Inventory!$G$6:$G$205+(205-ROW(Inventory!$G$6:$G$205))/10000),0),""))),"")</f>
        <v/>
      </c>
      <c r="G12" s="41">
        <f>IFERROR(IF(IFERROR(AGGREGATE(14,6,(Inventory!$G$6:$G$205+(205-ROW(Inventory!$G$6:$G$205))/10000)/(Inventory!$G$6:$G$205&gt;0),5),"")="","",INDEX(Inventory!$G$6:$G$205,IFERROR(MATCH(IFERROR(AGGREGATE(14,6,(Inventory!$G$6:$G$205+(205-ROW(Inventory!$G$6:$G$205))/10000)/(Inventory!$G$6:$G$205&gt;0),5),""),(Inventory!$G$6:$G$205+(205-ROW(Inventory!$G$6:$G$205))/10000),0),""))),"")</f>
        <v/>
      </c>
      <c r="H12" s="43">
        <f>IFERROR(IF(IFERROR(AGGREGATE(14,6,(Inventory!$G$6:$G$205+(205-ROW(Inventory!$G$6:$G$205))/10000)/(Inventory!$G$6:$G$205&gt;0),5),"")="","",INDEX(Inventory!$I$6:$I$205,IFERROR(MATCH(IFERROR(AGGREGATE(14,6,(Inventory!$G$6:$G$205+(205-ROW(Inventory!$G$6:$G$205))/10000)/(Inventory!$G$6:$G$205&gt;0),5),""),(Inventory!$G$6:$G$205+(205-ROW(Inventory!$G$6:$G$205))/10000),0),""))),"")</f>
        <v/>
      </c>
      <c r="I12" s="43">
        <f>IFERROR(IF(IFERROR(AGGREGATE(14,6,(Inventory!$G$6:$G$205+(205-ROW(Inventory!$G$6:$G$205))/10000)/(Inventory!$G$6:$G$205&gt;0),5),"")="","",INDEX(Inventory!$K$6:$K$205,IFERROR(MATCH(IFERROR(AGGREGATE(14,6,(Inventory!$G$6:$G$205+(205-ROW(Inventory!$G$6:$G$205))/10000)/(Inventory!$G$6:$G$205&gt;0),5),""),(Inventory!$G$6:$G$205+(205-ROW(Inventory!$G$6:$G$205))/10000),0),""))),"")</f>
        <v/>
      </c>
    </row>
    <row r="13" ht="16" customHeight="1">
      <c r="A13" s="46">
        <f>IFERROR(IF(IFERROR(AGGREGATE(14,6,(Inventory!$G$6:$G$205+(205-ROW(Inventory!$G$6:$G$205))/10000)/(Inventory!$G$6:$G$205&gt;0),6),"")="","",INDEX(Inventory!$A$6:$A$205,IFERROR(MATCH(IFERROR(AGGREGATE(14,6,(Inventory!$G$6:$G$205+(205-ROW(Inventory!$G$6:$G$205))/10000)/(Inventory!$G$6:$G$205&gt;0),6),""),(Inventory!$G$6:$G$205+(205-ROW(Inventory!$G$6:$G$205))/10000),0),""))),"")</f>
        <v/>
      </c>
      <c r="B13" s="46">
        <f>IFERROR(IF(IFERROR(AGGREGATE(14,6,(Inventory!$G$6:$G$205+(205-ROW(Inventory!$G$6:$G$205))/10000)/(Inventory!$G$6:$G$205&gt;0),6),"")="","",INDEX(Inventory!$B$6:$B$205,IFERROR(MATCH(IFERROR(AGGREGATE(14,6,(Inventory!$G$6:$G$205+(205-ROW(Inventory!$G$6:$G$205))/10000)/(Inventory!$G$6:$G$205&gt;0),6),""),(Inventory!$G$6:$G$205+(205-ROW(Inventory!$G$6:$G$205))/10000),0),""))),"")</f>
        <v/>
      </c>
      <c r="C13" s="46">
        <f>IFERROR(IF(IFERROR(AGGREGATE(14,6,(Inventory!$G$6:$G$205+(205-ROW(Inventory!$G$6:$G$205))/10000)/(Inventory!$G$6:$G$205&gt;0),6),"")="","",INDEX(Inventory!$D$6:$D$205,IFERROR(MATCH(IFERROR(AGGREGATE(14,6,(Inventory!$G$6:$G$205+(205-ROW(Inventory!$G$6:$G$205))/10000)/(Inventory!$G$6:$G$205&gt;0),6),""),(Inventory!$G$6:$G$205+(205-ROW(Inventory!$G$6:$G$205))/10000),0),""))),"")</f>
        <v/>
      </c>
      <c r="D13" s="46">
        <f>IFERROR(IF(IFERROR(AGGREGATE(14,6,(Inventory!$G$6:$G$205+(205-ROW(Inventory!$G$6:$G$205))/10000)/(Inventory!$G$6:$G$205&gt;0),6),"")="","",INDEX(Inventory!$H$6:$H$205,IFERROR(MATCH(IFERROR(AGGREGATE(14,6,(Inventory!$G$6:$G$205+(205-ROW(Inventory!$G$6:$G$205))/10000)/(Inventory!$G$6:$G$205&gt;0),6),""),(Inventory!$G$6:$G$205+(205-ROW(Inventory!$G$6:$G$205))/10000),0),""))),"")</f>
        <v/>
      </c>
      <c r="E13" s="41">
        <f>IFERROR(IF(IFERROR(AGGREGATE(14,6,(Inventory!$G$6:$G$205+(205-ROW(Inventory!$G$6:$G$205))/10000)/(Inventory!$G$6:$G$205&gt;0),6),"")="","",INDEX(Inventory!$E$6:$E$205,IFERROR(MATCH(IFERROR(AGGREGATE(14,6,(Inventory!$G$6:$G$205+(205-ROW(Inventory!$G$6:$G$205))/10000)/(Inventory!$G$6:$G$205&gt;0),6),""),(Inventory!$G$6:$G$205+(205-ROW(Inventory!$G$6:$G$205))/10000),0),""))),"")</f>
        <v/>
      </c>
      <c r="F13" s="41">
        <f>IFERROR(IF(IFERROR(AGGREGATE(14,6,(Inventory!$G$6:$G$205+(205-ROW(Inventory!$G$6:$G$205))/10000)/(Inventory!$G$6:$G$205&gt;0),6),"")="","",INDEX(Inventory!$F$6:$F$205,IFERROR(MATCH(IFERROR(AGGREGATE(14,6,(Inventory!$G$6:$G$205+(205-ROW(Inventory!$G$6:$G$205))/10000)/(Inventory!$G$6:$G$205&gt;0),6),""),(Inventory!$G$6:$G$205+(205-ROW(Inventory!$G$6:$G$205))/10000),0),""))),"")</f>
        <v/>
      </c>
      <c r="G13" s="41">
        <f>IFERROR(IF(IFERROR(AGGREGATE(14,6,(Inventory!$G$6:$G$205+(205-ROW(Inventory!$G$6:$G$205))/10000)/(Inventory!$G$6:$G$205&gt;0),6),"")="","",INDEX(Inventory!$G$6:$G$205,IFERROR(MATCH(IFERROR(AGGREGATE(14,6,(Inventory!$G$6:$G$205+(205-ROW(Inventory!$G$6:$G$205))/10000)/(Inventory!$G$6:$G$205&gt;0),6),""),(Inventory!$G$6:$G$205+(205-ROW(Inventory!$G$6:$G$205))/10000),0),""))),"")</f>
        <v/>
      </c>
      <c r="H13" s="43">
        <f>IFERROR(IF(IFERROR(AGGREGATE(14,6,(Inventory!$G$6:$G$205+(205-ROW(Inventory!$G$6:$G$205))/10000)/(Inventory!$G$6:$G$205&gt;0),6),"")="","",INDEX(Inventory!$I$6:$I$205,IFERROR(MATCH(IFERROR(AGGREGATE(14,6,(Inventory!$G$6:$G$205+(205-ROW(Inventory!$G$6:$G$205))/10000)/(Inventory!$G$6:$G$205&gt;0),6),""),(Inventory!$G$6:$G$205+(205-ROW(Inventory!$G$6:$G$205))/10000),0),""))),"")</f>
        <v/>
      </c>
      <c r="I13" s="43">
        <f>IFERROR(IF(IFERROR(AGGREGATE(14,6,(Inventory!$G$6:$G$205+(205-ROW(Inventory!$G$6:$G$205))/10000)/(Inventory!$G$6:$G$205&gt;0),6),"")="","",INDEX(Inventory!$K$6:$K$205,IFERROR(MATCH(IFERROR(AGGREGATE(14,6,(Inventory!$G$6:$G$205+(205-ROW(Inventory!$G$6:$G$205))/10000)/(Inventory!$G$6:$G$205&gt;0),6),""),(Inventory!$G$6:$G$205+(205-ROW(Inventory!$G$6:$G$205))/10000),0),""))),"")</f>
        <v/>
      </c>
    </row>
    <row r="14" ht="16" customHeight="1">
      <c r="A14" s="46">
        <f>IFERROR(IF(IFERROR(AGGREGATE(14,6,(Inventory!$G$6:$G$205+(205-ROW(Inventory!$G$6:$G$205))/10000)/(Inventory!$G$6:$G$205&gt;0),7),"")="","",INDEX(Inventory!$A$6:$A$205,IFERROR(MATCH(IFERROR(AGGREGATE(14,6,(Inventory!$G$6:$G$205+(205-ROW(Inventory!$G$6:$G$205))/10000)/(Inventory!$G$6:$G$205&gt;0),7),""),(Inventory!$G$6:$G$205+(205-ROW(Inventory!$G$6:$G$205))/10000),0),""))),"")</f>
        <v/>
      </c>
      <c r="B14" s="46">
        <f>IFERROR(IF(IFERROR(AGGREGATE(14,6,(Inventory!$G$6:$G$205+(205-ROW(Inventory!$G$6:$G$205))/10000)/(Inventory!$G$6:$G$205&gt;0),7),"")="","",INDEX(Inventory!$B$6:$B$205,IFERROR(MATCH(IFERROR(AGGREGATE(14,6,(Inventory!$G$6:$G$205+(205-ROW(Inventory!$G$6:$G$205))/10000)/(Inventory!$G$6:$G$205&gt;0),7),""),(Inventory!$G$6:$G$205+(205-ROW(Inventory!$G$6:$G$205))/10000),0),""))),"")</f>
        <v/>
      </c>
      <c r="C14" s="46">
        <f>IFERROR(IF(IFERROR(AGGREGATE(14,6,(Inventory!$G$6:$G$205+(205-ROW(Inventory!$G$6:$G$205))/10000)/(Inventory!$G$6:$G$205&gt;0),7),"")="","",INDEX(Inventory!$D$6:$D$205,IFERROR(MATCH(IFERROR(AGGREGATE(14,6,(Inventory!$G$6:$G$205+(205-ROW(Inventory!$G$6:$G$205))/10000)/(Inventory!$G$6:$G$205&gt;0),7),""),(Inventory!$G$6:$G$205+(205-ROW(Inventory!$G$6:$G$205))/10000),0),""))),"")</f>
        <v/>
      </c>
      <c r="D14" s="46">
        <f>IFERROR(IF(IFERROR(AGGREGATE(14,6,(Inventory!$G$6:$G$205+(205-ROW(Inventory!$G$6:$G$205))/10000)/(Inventory!$G$6:$G$205&gt;0),7),"")="","",INDEX(Inventory!$H$6:$H$205,IFERROR(MATCH(IFERROR(AGGREGATE(14,6,(Inventory!$G$6:$G$205+(205-ROW(Inventory!$G$6:$G$205))/10000)/(Inventory!$G$6:$G$205&gt;0),7),""),(Inventory!$G$6:$G$205+(205-ROW(Inventory!$G$6:$G$205))/10000),0),""))),"")</f>
        <v/>
      </c>
      <c r="E14" s="41">
        <f>IFERROR(IF(IFERROR(AGGREGATE(14,6,(Inventory!$G$6:$G$205+(205-ROW(Inventory!$G$6:$G$205))/10000)/(Inventory!$G$6:$G$205&gt;0),7),"")="","",INDEX(Inventory!$E$6:$E$205,IFERROR(MATCH(IFERROR(AGGREGATE(14,6,(Inventory!$G$6:$G$205+(205-ROW(Inventory!$G$6:$G$205))/10000)/(Inventory!$G$6:$G$205&gt;0),7),""),(Inventory!$G$6:$G$205+(205-ROW(Inventory!$G$6:$G$205))/10000),0),""))),"")</f>
        <v/>
      </c>
      <c r="F14" s="41">
        <f>IFERROR(IF(IFERROR(AGGREGATE(14,6,(Inventory!$G$6:$G$205+(205-ROW(Inventory!$G$6:$G$205))/10000)/(Inventory!$G$6:$G$205&gt;0),7),"")="","",INDEX(Inventory!$F$6:$F$205,IFERROR(MATCH(IFERROR(AGGREGATE(14,6,(Inventory!$G$6:$G$205+(205-ROW(Inventory!$G$6:$G$205))/10000)/(Inventory!$G$6:$G$205&gt;0),7),""),(Inventory!$G$6:$G$205+(205-ROW(Inventory!$G$6:$G$205))/10000),0),""))),"")</f>
        <v/>
      </c>
      <c r="G14" s="41">
        <f>IFERROR(IF(IFERROR(AGGREGATE(14,6,(Inventory!$G$6:$G$205+(205-ROW(Inventory!$G$6:$G$205))/10000)/(Inventory!$G$6:$G$205&gt;0),7),"")="","",INDEX(Inventory!$G$6:$G$205,IFERROR(MATCH(IFERROR(AGGREGATE(14,6,(Inventory!$G$6:$G$205+(205-ROW(Inventory!$G$6:$G$205))/10000)/(Inventory!$G$6:$G$205&gt;0),7),""),(Inventory!$G$6:$G$205+(205-ROW(Inventory!$G$6:$G$205))/10000),0),""))),"")</f>
        <v/>
      </c>
      <c r="H14" s="43">
        <f>IFERROR(IF(IFERROR(AGGREGATE(14,6,(Inventory!$G$6:$G$205+(205-ROW(Inventory!$G$6:$G$205))/10000)/(Inventory!$G$6:$G$205&gt;0),7),"")="","",INDEX(Inventory!$I$6:$I$205,IFERROR(MATCH(IFERROR(AGGREGATE(14,6,(Inventory!$G$6:$G$205+(205-ROW(Inventory!$G$6:$G$205))/10000)/(Inventory!$G$6:$G$205&gt;0),7),""),(Inventory!$G$6:$G$205+(205-ROW(Inventory!$G$6:$G$205))/10000),0),""))),"")</f>
        <v/>
      </c>
      <c r="I14" s="43">
        <f>IFERROR(IF(IFERROR(AGGREGATE(14,6,(Inventory!$G$6:$G$205+(205-ROW(Inventory!$G$6:$G$205))/10000)/(Inventory!$G$6:$G$205&gt;0),7),"")="","",INDEX(Inventory!$K$6:$K$205,IFERROR(MATCH(IFERROR(AGGREGATE(14,6,(Inventory!$G$6:$G$205+(205-ROW(Inventory!$G$6:$G$205))/10000)/(Inventory!$G$6:$G$205&gt;0),7),""),(Inventory!$G$6:$G$205+(205-ROW(Inventory!$G$6:$G$205))/10000),0),""))),"")</f>
        <v/>
      </c>
    </row>
    <row r="15" ht="16" customHeight="1">
      <c r="A15" s="46">
        <f>IFERROR(IF(IFERROR(AGGREGATE(14,6,(Inventory!$G$6:$G$205+(205-ROW(Inventory!$G$6:$G$205))/10000)/(Inventory!$G$6:$G$205&gt;0),8),"")="","",INDEX(Inventory!$A$6:$A$205,IFERROR(MATCH(IFERROR(AGGREGATE(14,6,(Inventory!$G$6:$G$205+(205-ROW(Inventory!$G$6:$G$205))/10000)/(Inventory!$G$6:$G$205&gt;0),8),""),(Inventory!$G$6:$G$205+(205-ROW(Inventory!$G$6:$G$205))/10000),0),""))),"")</f>
        <v/>
      </c>
      <c r="B15" s="46">
        <f>IFERROR(IF(IFERROR(AGGREGATE(14,6,(Inventory!$G$6:$G$205+(205-ROW(Inventory!$G$6:$G$205))/10000)/(Inventory!$G$6:$G$205&gt;0),8),"")="","",INDEX(Inventory!$B$6:$B$205,IFERROR(MATCH(IFERROR(AGGREGATE(14,6,(Inventory!$G$6:$G$205+(205-ROW(Inventory!$G$6:$G$205))/10000)/(Inventory!$G$6:$G$205&gt;0),8),""),(Inventory!$G$6:$G$205+(205-ROW(Inventory!$G$6:$G$205))/10000),0),""))),"")</f>
        <v/>
      </c>
      <c r="C15" s="46">
        <f>IFERROR(IF(IFERROR(AGGREGATE(14,6,(Inventory!$G$6:$G$205+(205-ROW(Inventory!$G$6:$G$205))/10000)/(Inventory!$G$6:$G$205&gt;0),8),"")="","",INDEX(Inventory!$D$6:$D$205,IFERROR(MATCH(IFERROR(AGGREGATE(14,6,(Inventory!$G$6:$G$205+(205-ROW(Inventory!$G$6:$G$205))/10000)/(Inventory!$G$6:$G$205&gt;0),8),""),(Inventory!$G$6:$G$205+(205-ROW(Inventory!$G$6:$G$205))/10000),0),""))),"")</f>
        <v/>
      </c>
      <c r="D15" s="46">
        <f>IFERROR(IF(IFERROR(AGGREGATE(14,6,(Inventory!$G$6:$G$205+(205-ROW(Inventory!$G$6:$G$205))/10000)/(Inventory!$G$6:$G$205&gt;0),8),"")="","",INDEX(Inventory!$H$6:$H$205,IFERROR(MATCH(IFERROR(AGGREGATE(14,6,(Inventory!$G$6:$G$205+(205-ROW(Inventory!$G$6:$G$205))/10000)/(Inventory!$G$6:$G$205&gt;0),8),""),(Inventory!$G$6:$G$205+(205-ROW(Inventory!$G$6:$G$205))/10000),0),""))),"")</f>
        <v/>
      </c>
      <c r="E15" s="41">
        <f>IFERROR(IF(IFERROR(AGGREGATE(14,6,(Inventory!$G$6:$G$205+(205-ROW(Inventory!$G$6:$G$205))/10000)/(Inventory!$G$6:$G$205&gt;0),8),"")="","",INDEX(Inventory!$E$6:$E$205,IFERROR(MATCH(IFERROR(AGGREGATE(14,6,(Inventory!$G$6:$G$205+(205-ROW(Inventory!$G$6:$G$205))/10000)/(Inventory!$G$6:$G$205&gt;0),8),""),(Inventory!$G$6:$G$205+(205-ROW(Inventory!$G$6:$G$205))/10000),0),""))),"")</f>
        <v/>
      </c>
      <c r="F15" s="41">
        <f>IFERROR(IF(IFERROR(AGGREGATE(14,6,(Inventory!$G$6:$G$205+(205-ROW(Inventory!$G$6:$G$205))/10000)/(Inventory!$G$6:$G$205&gt;0),8),"")="","",INDEX(Inventory!$F$6:$F$205,IFERROR(MATCH(IFERROR(AGGREGATE(14,6,(Inventory!$G$6:$G$205+(205-ROW(Inventory!$G$6:$G$205))/10000)/(Inventory!$G$6:$G$205&gt;0),8),""),(Inventory!$G$6:$G$205+(205-ROW(Inventory!$G$6:$G$205))/10000),0),""))),"")</f>
        <v/>
      </c>
      <c r="G15" s="41">
        <f>IFERROR(IF(IFERROR(AGGREGATE(14,6,(Inventory!$G$6:$G$205+(205-ROW(Inventory!$G$6:$G$205))/10000)/(Inventory!$G$6:$G$205&gt;0),8),"")="","",INDEX(Inventory!$G$6:$G$205,IFERROR(MATCH(IFERROR(AGGREGATE(14,6,(Inventory!$G$6:$G$205+(205-ROW(Inventory!$G$6:$G$205))/10000)/(Inventory!$G$6:$G$205&gt;0),8),""),(Inventory!$G$6:$G$205+(205-ROW(Inventory!$G$6:$G$205))/10000),0),""))),"")</f>
        <v/>
      </c>
      <c r="H15" s="43">
        <f>IFERROR(IF(IFERROR(AGGREGATE(14,6,(Inventory!$G$6:$G$205+(205-ROW(Inventory!$G$6:$G$205))/10000)/(Inventory!$G$6:$G$205&gt;0),8),"")="","",INDEX(Inventory!$I$6:$I$205,IFERROR(MATCH(IFERROR(AGGREGATE(14,6,(Inventory!$G$6:$G$205+(205-ROW(Inventory!$G$6:$G$205))/10000)/(Inventory!$G$6:$G$205&gt;0),8),""),(Inventory!$G$6:$G$205+(205-ROW(Inventory!$G$6:$G$205))/10000),0),""))),"")</f>
        <v/>
      </c>
      <c r="I15" s="43">
        <f>IFERROR(IF(IFERROR(AGGREGATE(14,6,(Inventory!$G$6:$G$205+(205-ROW(Inventory!$G$6:$G$205))/10000)/(Inventory!$G$6:$G$205&gt;0),8),"")="","",INDEX(Inventory!$K$6:$K$205,IFERROR(MATCH(IFERROR(AGGREGATE(14,6,(Inventory!$G$6:$G$205+(205-ROW(Inventory!$G$6:$G$205))/10000)/(Inventory!$G$6:$G$205&gt;0),8),""),(Inventory!$G$6:$G$205+(205-ROW(Inventory!$G$6:$G$205))/10000),0),""))),"")</f>
        <v/>
      </c>
    </row>
    <row r="16" ht="16" customHeight="1">
      <c r="A16" s="46">
        <f>IFERROR(IF(IFERROR(AGGREGATE(14,6,(Inventory!$G$6:$G$205+(205-ROW(Inventory!$G$6:$G$205))/10000)/(Inventory!$G$6:$G$205&gt;0),9),"")="","",INDEX(Inventory!$A$6:$A$205,IFERROR(MATCH(IFERROR(AGGREGATE(14,6,(Inventory!$G$6:$G$205+(205-ROW(Inventory!$G$6:$G$205))/10000)/(Inventory!$G$6:$G$205&gt;0),9),""),(Inventory!$G$6:$G$205+(205-ROW(Inventory!$G$6:$G$205))/10000),0),""))),"")</f>
        <v/>
      </c>
      <c r="B16" s="46">
        <f>IFERROR(IF(IFERROR(AGGREGATE(14,6,(Inventory!$G$6:$G$205+(205-ROW(Inventory!$G$6:$G$205))/10000)/(Inventory!$G$6:$G$205&gt;0),9),"")="","",INDEX(Inventory!$B$6:$B$205,IFERROR(MATCH(IFERROR(AGGREGATE(14,6,(Inventory!$G$6:$G$205+(205-ROW(Inventory!$G$6:$G$205))/10000)/(Inventory!$G$6:$G$205&gt;0),9),""),(Inventory!$G$6:$G$205+(205-ROW(Inventory!$G$6:$G$205))/10000),0),""))),"")</f>
        <v/>
      </c>
      <c r="C16" s="46">
        <f>IFERROR(IF(IFERROR(AGGREGATE(14,6,(Inventory!$G$6:$G$205+(205-ROW(Inventory!$G$6:$G$205))/10000)/(Inventory!$G$6:$G$205&gt;0),9),"")="","",INDEX(Inventory!$D$6:$D$205,IFERROR(MATCH(IFERROR(AGGREGATE(14,6,(Inventory!$G$6:$G$205+(205-ROW(Inventory!$G$6:$G$205))/10000)/(Inventory!$G$6:$G$205&gt;0),9),""),(Inventory!$G$6:$G$205+(205-ROW(Inventory!$G$6:$G$205))/10000),0),""))),"")</f>
        <v/>
      </c>
      <c r="D16" s="46">
        <f>IFERROR(IF(IFERROR(AGGREGATE(14,6,(Inventory!$G$6:$G$205+(205-ROW(Inventory!$G$6:$G$205))/10000)/(Inventory!$G$6:$G$205&gt;0),9),"")="","",INDEX(Inventory!$H$6:$H$205,IFERROR(MATCH(IFERROR(AGGREGATE(14,6,(Inventory!$G$6:$G$205+(205-ROW(Inventory!$G$6:$G$205))/10000)/(Inventory!$G$6:$G$205&gt;0),9),""),(Inventory!$G$6:$G$205+(205-ROW(Inventory!$G$6:$G$205))/10000),0),""))),"")</f>
        <v/>
      </c>
      <c r="E16" s="41">
        <f>IFERROR(IF(IFERROR(AGGREGATE(14,6,(Inventory!$G$6:$G$205+(205-ROW(Inventory!$G$6:$G$205))/10000)/(Inventory!$G$6:$G$205&gt;0),9),"")="","",INDEX(Inventory!$E$6:$E$205,IFERROR(MATCH(IFERROR(AGGREGATE(14,6,(Inventory!$G$6:$G$205+(205-ROW(Inventory!$G$6:$G$205))/10000)/(Inventory!$G$6:$G$205&gt;0),9),""),(Inventory!$G$6:$G$205+(205-ROW(Inventory!$G$6:$G$205))/10000),0),""))),"")</f>
        <v/>
      </c>
      <c r="F16" s="41">
        <f>IFERROR(IF(IFERROR(AGGREGATE(14,6,(Inventory!$G$6:$G$205+(205-ROW(Inventory!$G$6:$G$205))/10000)/(Inventory!$G$6:$G$205&gt;0),9),"")="","",INDEX(Inventory!$F$6:$F$205,IFERROR(MATCH(IFERROR(AGGREGATE(14,6,(Inventory!$G$6:$G$205+(205-ROW(Inventory!$G$6:$G$205))/10000)/(Inventory!$G$6:$G$205&gt;0),9),""),(Inventory!$G$6:$G$205+(205-ROW(Inventory!$G$6:$G$205))/10000),0),""))),"")</f>
        <v/>
      </c>
      <c r="G16" s="41">
        <f>IFERROR(IF(IFERROR(AGGREGATE(14,6,(Inventory!$G$6:$G$205+(205-ROW(Inventory!$G$6:$G$205))/10000)/(Inventory!$G$6:$G$205&gt;0),9),"")="","",INDEX(Inventory!$G$6:$G$205,IFERROR(MATCH(IFERROR(AGGREGATE(14,6,(Inventory!$G$6:$G$205+(205-ROW(Inventory!$G$6:$G$205))/10000)/(Inventory!$G$6:$G$205&gt;0),9),""),(Inventory!$G$6:$G$205+(205-ROW(Inventory!$G$6:$G$205))/10000),0),""))),"")</f>
        <v/>
      </c>
      <c r="H16" s="43">
        <f>IFERROR(IF(IFERROR(AGGREGATE(14,6,(Inventory!$G$6:$G$205+(205-ROW(Inventory!$G$6:$G$205))/10000)/(Inventory!$G$6:$G$205&gt;0),9),"")="","",INDEX(Inventory!$I$6:$I$205,IFERROR(MATCH(IFERROR(AGGREGATE(14,6,(Inventory!$G$6:$G$205+(205-ROW(Inventory!$G$6:$G$205))/10000)/(Inventory!$G$6:$G$205&gt;0),9),""),(Inventory!$G$6:$G$205+(205-ROW(Inventory!$G$6:$G$205))/10000),0),""))),"")</f>
        <v/>
      </c>
      <c r="I16" s="43">
        <f>IFERROR(IF(IFERROR(AGGREGATE(14,6,(Inventory!$G$6:$G$205+(205-ROW(Inventory!$G$6:$G$205))/10000)/(Inventory!$G$6:$G$205&gt;0),9),"")="","",INDEX(Inventory!$K$6:$K$205,IFERROR(MATCH(IFERROR(AGGREGATE(14,6,(Inventory!$G$6:$G$205+(205-ROW(Inventory!$G$6:$G$205))/10000)/(Inventory!$G$6:$G$205&gt;0),9),""),(Inventory!$G$6:$G$205+(205-ROW(Inventory!$G$6:$G$205))/10000),0),""))),"")</f>
        <v/>
      </c>
    </row>
    <row r="17" ht="16" customHeight="1">
      <c r="A17" s="46">
        <f>IFERROR(IF(IFERROR(AGGREGATE(14,6,(Inventory!$G$6:$G$205+(205-ROW(Inventory!$G$6:$G$205))/10000)/(Inventory!$G$6:$G$205&gt;0),10),"")="","",INDEX(Inventory!$A$6:$A$205,IFERROR(MATCH(IFERROR(AGGREGATE(14,6,(Inventory!$G$6:$G$205+(205-ROW(Inventory!$G$6:$G$205))/10000)/(Inventory!$G$6:$G$205&gt;0),10),""),(Inventory!$G$6:$G$205+(205-ROW(Inventory!$G$6:$G$205))/10000),0),""))),"")</f>
        <v/>
      </c>
      <c r="B17" s="46">
        <f>IFERROR(IF(IFERROR(AGGREGATE(14,6,(Inventory!$G$6:$G$205+(205-ROW(Inventory!$G$6:$G$205))/10000)/(Inventory!$G$6:$G$205&gt;0),10),"")="","",INDEX(Inventory!$B$6:$B$205,IFERROR(MATCH(IFERROR(AGGREGATE(14,6,(Inventory!$G$6:$G$205+(205-ROW(Inventory!$G$6:$G$205))/10000)/(Inventory!$G$6:$G$205&gt;0),10),""),(Inventory!$G$6:$G$205+(205-ROW(Inventory!$G$6:$G$205))/10000),0),""))),"")</f>
        <v/>
      </c>
      <c r="C17" s="46">
        <f>IFERROR(IF(IFERROR(AGGREGATE(14,6,(Inventory!$G$6:$G$205+(205-ROW(Inventory!$G$6:$G$205))/10000)/(Inventory!$G$6:$G$205&gt;0),10),"")="","",INDEX(Inventory!$D$6:$D$205,IFERROR(MATCH(IFERROR(AGGREGATE(14,6,(Inventory!$G$6:$G$205+(205-ROW(Inventory!$G$6:$G$205))/10000)/(Inventory!$G$6:$G$205&gt;0),10),""),(Inventory!$G$6:$G$205+(205-ROW(Inventory!$G$6:$G$205))/10000),0),""))),"")</f>
        <v/>
      </c>
      <c r="D17" s="46">
        <f>IFERROR(IF(IFERROR(AGGREGATE(14,6,(Inventory!$G$6:$G$205+(205-ROW(Inventory!$G$6:$G$205))/10000)/(Inventory!$G$6:$G$205&gt;0),10),"")="","",INDEX(Inventory!$H$6:$H$205,IFERROR(MATCH(IFERROR(AGGREGATE(14,6,(Inventory!$G$6:$G$205+(205-ROW(Inventory!$G$6:$G$205))/10000)/(Inventory!$G$6:$G$205&gt;0),10),""),(Inventory!$G$6:$G$205+(205-ROW(Inventory!$G$6:$G$205))/10000),0),""))),"")</f>
        <v/>
      </c>
      <c r="E17" s="41">
        <f>IFERROR(IF(IFERROR(AGGREGATE(14,6,(Inventory!$G$6:$G$205+(205-ROW(Inventory!$G$6:$G$205))/10000)/(Inventory!$G$6:$G$205&gt;0),10),"")="","",INDEX(Inventory!$E$6:$E$205,IFERROR(MATCH(IFERROR(AGGREGATE(14,6,(Inventory!$G$6:$G$205+(205-ROW(Inventory!$G$6:$G$205))/10000)/(Inventory!$G$6:$G$205&gt;0),10),""),(Inventory!$G$6:$G$205+(205-ROW(Inventory!$G$6:$G$205))/10000),0),""))),"")</f>
        <v/>
      </c>
      <c r="F17" s="41">
        <f>IFERROR(IF(IFERROR(AGGREGATE(14,6,(Inventory!$G$6:$G$205+(205-ROW(Inventory!$G$6:$G$205))/10000)/(Inventory!$G$6:$G$205&gt;0),10),"")="","",INDEX(Inventory!$F$6:$F$205,IFERROR(MATCH(IFERROR(AGGREGATE(14,6,(Inventory!$G$6:$G$205+(205-ROW(Inventory!$G$6:$G$205))/10000)/(Inventory!$G$6:$G$205&gt;0),10),""),(Inventory!$G$6:$G$205+(205-ROW(Inventory!$G$6:$G$205))/10000),0),""))),"")</f>
        <v/>
      </c>
      <c r="G17" s="41">
        <f>IFERROR(IF(IFERROR(AGGREGATE(14,6,(Inventory!$G$6:$G$205+(205-ROW(Inventory!$G$6:$G$205))/10000)/(Inventory!$G$6:$G$205&gt;0),10),"")="","",INDEX(Inventory!$G$6:$G$205,IFERROR(MATCH(IFERROR(AGGREGATE(14,6,(Inventory!$G$6:$G$205+(205-ROW(Inventory!$G$6:$G$205))/10000)/(Inventory!$G$6:$G$205&gt;0),10),""),(Inventory!$G$6:$G$205+(205-ROW(Inventory!$G$6:$G$205))/10000),0),""))),"")</f>
        <v/>
      </c>
      <c r="H17" s="43">
        <f>IFERROR(IF(IFERROR(AGGREGATE(14,6,(Inventory!$G$6:$G$205+(205-ROW(Inventory!$G$6:$G$205))/10000)/(Inventory!$G$6:$G$205&gt;0),10),"")="","",INDEX(Inventory!$I$6:$I$205,IFERROR(MATCH(IFERROR(AGGREGATE(14,6,(Inventory!$G$6:$G$205+(205-ROW(Inventory!$G$6:$G$205))/10000)/(Inventory!$G$6:$G$205&gt;0),10),""),(Inventory!$G$6:$G$205+(205-ROW(Inventory!$G$6:$G$205))/10000),0),""))),"")</f>
        <v/>
      </c>
      <c r="I17" s="43">
        <f>IFERROR(IF(IFERROR(AGGREGATE(14,6,(Inventory!$G$6:$G$205+(205-ROW(Inventory!$G$6:$G$205))/10000)/(Inventory!$G$6:$G$205&gt;0),10),"")="","",INDEX(Inventory!$K$6:$K$205,IFERROR(MATCH(IFERROR(AGGREGATE(14,6,(Inventory!$G$6:$G$205+(205-ROW(Inventory!$G$6:$G$205))/10000)/(Inventory!$G$6:$G$205&gt;0),10),""),(Inventory!$G$6:$G$205+(205-ROW(Inventory!$G$6:$G$205))/10000),0),""))),"")</f>
        <v/>
      </c>
    </row>
    <row r="18" ht="16" customHeight="1">
      <c r="A18" s="46">
        <f>IFERROR(IF(IFERROR(AGGREGATE(14,6,(Inventory!$G$6:$G$205+(205-ROW(Inventory!$G$6:$G$205))/10000)/(Inventory!$G$6:$G$205&gt;0),11),"")="","",INDEX(Inventory!$A$6:$A$205,IFERROR(MATCH(IFERROR(AGGREGATE(14,6,(Inventory!$G$6:$G$205+(205-ROW(Inventory!$G$6:$G$205))/10000)/(Inventory!$G$6:$G$205&gt;0),11),""),(Inventory!$G$6:$G$205+(205-ROW(Inventory!$G$6:$G$205))/10000),0),""))),"")</f>
        <v/>
      </c>
      <c r="B18" s="46">
        <f>IFERROR(IF(IFERROR(AGGREGATE(14,6,(Inventory!$G$6:$G$205+(205-ROW(Inventory!$G$6:$G$205))/10000)/(Inventory!$G$6:$G$205&gt;0),11),"")="","",INDEX(Inventory!$B$6:$B$205,IFERROR(MATCH(IFERROR(AGGREGATE(14,6,(Inventory!$G$6:$G$205+(205-ROW(Inventory!$G$6:$G$205))/10000)/(Inventory!$G$6:$G$205&gt;0),11),""),(Inventory!$G$6:$G$205+(205-ROW(Inventory!$G$6:$G$205))/10000),0),""))),"")</f>
        <v/>
      </c>
      <c r="C18" s="46">
        <f>IFERROR(IF(IFERROR(AGGREGATE(14,6,(Inventory!$G$6:$G$205+(205-ROW(Inventory!$G$6:$G$205))/10000)/(Inventory!$G$6:$G$205&gt;0),11),"")="","",INDEX(Inventory!$D$6:$D$205,IFERROR(MATCH(IFERROR(AGGREGATE(14,6,(Inventory!$G$6:$G$205+(205-ROW(Inventory!$G$6:$G$205))/10000)/(Inventory!$G$6:$G$205&gt;0),11),""),(Inventory!$G$6:$G$205+(205-ROW(Inventory!$G$6:$G$205))/10000),0),""))),"")</f>
        <v/>
      </c>
      <c r="D18" s="46">
        <f>IFERROR(IF(IFERROR(AGGREGATE(14,6,(Inventory!$G$6:$G$205+(205-ROW(Inventory!$G$6:$G$205))/10000)/(Inventory!$G$6:$G$205&gt;0),11),"")="","",INDEX(Inventory!$H$6:$H$205,IFERROR(MATCH(IFERROR(AGGREGATE(14,6,(Inventory!$G$6:$G$205+(205-ROW(Inventory!$G$6:$G$205))/10000)/(Inventory!$G$6:$G$205&gt;0),11),""),(Inventory!$G$6:$G$205+(205-ROW(Inventory!$G$6:$G$205))/10000),0),""))),"")</f>
        <v/>
      </c>
      <c r="E18" s="41">
        <f>IFERROR(IF(IFERROR(AGGREGATE(14,6,(Inventory!$G$6:$G$205+(205-ROW(Inventory!$G$6:$G$205))/10000)/(Inventory!$G$6:$G$205&gt;0),11),"")="","",INDEX(Inventory!$E$6:$E$205,IFERROR(MATCH(IFERROR(AGGREGATE(14,6,(Inventory!$G$6:$G$205+(205-ROW(Inventory!$G$6:$G$205))/10000)/(Inventory!$G$6:$G$205&gt;0),11),""),(Inventory!$G$6:$G$205+(205-ROW(Inventory!$G$6:$G$205))/10000),0),""))),"")</f>
        <v/>
      </c>
      <c r="F18" s="41">
        <f>IFERROR(IF(IFERROR(AGGREGATE(14,6,(Inventory!$G$6:$G$205+(205-ROW(Inventory!$G$6:$G$205))/10000)/(Inventory!$G$6:$G$205&gt;0),11),"")="","",INDEX(Inventory!$F$6:$F$205,IFERROR(MATCH(IFERROR(AGGREGATE(14,6,(Inventory!$G$6:$G$205+(205-ROW(Inventory!$G$6:$G$205))/10000)/(Inventory!$G$6:$G$205&gt;0),11),""),(Inventory!$G$6:$G$205+(205-ROW(Inventory!$G$6:$G$205))/10000),0),""))),"")</f>
        <v/>
      </c>
      <c r="G18" s="41">
        <f>IFERROR(IF(IFERROR(AGGREGATE(14,6,(Inventory!$G$6:$G$205+(205-ROW(Inventory!$G$6:$G$205))/10000)/(Inventory!$G$6:$G$205&gt;0),11),"")="","",INDEX(Inventory!$G$6:$G$205,IFERROR(MATCH(IFERROR(AGGREGATE(14,6,(Inventory!$G$6:$G$205+(205-ROW(Inventory!$G$6:$G$205))/10000)/(Inventory!$G$6:$G$205&gt;0),11),""),(Inventory!$G$6:$G$205+(205-ROW(Inventory!$G$6:$G$205))/10000),0),""))),"")</f>
        <v/>
      </c>
      <c r="H18" s="43">
        <f>IFERROR(IF(IFERROR(AGGREGATE(14,6,(Inventory!$G$6:$G$205+(205-ROW(Inventory!$G$6:$G$205))/10000)/(Inventory!$G$6:$G$205&gt;0),11),"")="","",INDEX(Inventory!$I$6:$I$205,IFERROR(MATCH(IFERROR(AGGREGATE(14,6,(Inventory!$G$6:$G$205+(205-ROW(Inventory!$G$6:$G$205))/10000)/(Inventory!$G$6:$G$205&gt;0),11),""),(Inventory!$G$6:$G$205+(205-ROW(Inventory!$G$6:$G$205))/10000),0),""))),"")</f>
        <v/>
      </c>
      <c r="I18" s="43">
        <f>IFERROR(IF(IFERROR(AGGREGATE(14,6,(Inventory!$G$6:$G$205+(205-ROW(Inventory!$G$6:$G$205))/10000)/(Inventory!$G$6:$G$205&gt;0),11),"")="","",INDEX(Inventory!$K$6:$K$205,IFERROR(MATCH(IFERROR(AGGREGATE(14,6,(Inventory!$G$6:$G$205+(205-ROW(Inventory!$G$6:$G$205))/10000)/(Inventory!$G$6:$G$205&gt;0),11),""),(Inventory!$G$6:$G$205+(205-ROW(Inventory!$G$6:$G$205))/10000),0),""))),"")</f>
        <v/>
      </c>
    </row>
    <row r="19" ht="16" customHeight="1">
      <c r="A19" s="46">
        <f>IFERROR(IF(IFERROR(AGGREGATE(14,6,(Inventory!$G$6:$G$205+(205-ROW(Inventory!$G$6:$G$205))/10000)/(Inventory!$G$6:$G$205&gt;0),12),"")="","",INDEX(Inventory!$A$6:$A$205,IFERROR(MATCH(IFERROR(AGGREGATE(14,6,(Inventory!$G$6:$G$205+(205-ROW(Inventory!$G$6:$G$205))/10000)/(Inventory!$G$6:$G$205&gt;0),12),""),(Inventory!$G$6:$G$205+(205-ROW(Inventory!$G$6:$G$205))/10000),0),""))),"")</f>
        <v/>
      </c>
      <c r="B19" s="46">
        <f>IFERROR(IF(IFERROR(AGGREGATE(14,6,(Inventory!$G$6:$G$205+(205-ROW(Inventory!$G$6:$G$205))/10000)/(Inventory!$G$6:$G$205&gt;0),12),"")="","",INDEX(Inventory!$B$6:$B$205,IFERROR(MATCH(IFERROR(AGGREGATE(14,6,(Inventory!$G$6:$G$205+(205-ROW(Inventory!$G$6:$G$205))/10000)/(Inventory!$G$6:$G$205&gt;0),12),""),(Inventory!$G$6:$G$205+(205-ROW(Inventory!$G$6:$G$205))/10000),0),""))),"")</f>
        <v/>
      </c>
      <c r="C19" s="46">
        <f>IFERROR(IF(IFERROR(AGGREGATE(14,6,(Inventory!$G$6:$G$205+(205-ROW(Inventory!$G$6:$G$205))/10000)/(Inventory!$G$6:$G$205&gt;0),12),"")="","",INDEX(Inventory!$D$6:$D$205,IFERROR(MATCH(IFERROR(AGGREGATE(14,6,(Inventory!$G$6:$G$205+(205-ROW(Inventory!$G$6:$G$205))/10000)/(Inventory!$G$6:$G$205&gt;0),12),""),(Inventory!$G$6:$G$205+(205-ROW(Inventory!$G$6:$G$205))/10000),0),""))),"")</f>
        <v/>
      </c>
      <c r="D19" s="46">
        <f>IFERROR(IF(IFERROR(AGGREGATE(14,6,(Inventory!$G$6:$G$205+(205-ROW(Inventory!$G$6:$G$205))/10000)/(Inventory!$G$6:$G$205&gt;0),12),"")="","",INDEX(Inventory!$H$6:$H$205,IFERROR(MATCH(IFERROR(AGGREGATE(14,6,(Inventory!$G$6:$G$205+(205-ROW(Inventory!$G$6:$G$205))/10000)/(Inventory!$G$6:$G$205&gt;0),12),""),(Inventory!$G$6:$G$205+(205-ROW(Inventory!$G$6:$G$205))/10000),0),""))),"")</f>
        <v/>
      </c>
      <c r="E19" s="41">
        <f>IFERROR(IF(IFERROR(AGGREGATE(14,6,(Inventory!$G$6:$G$205+(205-ROW(Inventory!$G$6:$G$205))/10000)/(Inventory!$G$6:$G$205&gt;0),12),"")="","",INDEX(Inventory!$E$6:$E$205,IFERROR(MATCH(IFERROR(AGGREGATE(14,6,(Inventory!$G$6:$G$205+(205-ROW(Inventory!$G$6:$G$205))/10000)/(Inventory!$G$6:$G$205&gt;0),12),""),(Inventory!$G$6:$G$205+(205-ROW(Inventory!$G$6:$G$205))/10000),0),""))),"")</f>
        <v/>
      </c>
      <c r="F19" s="41">
        <f>IFERROR(IF(IFERROR(AGGREGATE(14,6,(Inventory!$G$6:$G$205+(205-ROW(Inventory!$G$6:$G$205))/10000)/(Inventory!$G$6:$G$205&gt;0),12),"")="","",INDEX(Inventory!$F$6:$F$205,IFERROR(MATCH(IFERROR(AGGREGATE(14,6,(Inventory!$G$6:$G$205+(205-ROW(Inventory!$G$6:$G$205))/10000)/(Inventory!$G$6:$G$205&gt;0),12),""),(Inventory!$G$6:$G$205+(205-ROW(Inventory!$G$6:$G$205))/10000),0),""))),"")</f>
        <v/>
      </c>
      <c r="G19" s="41">
        <f>IFERROR(IF(IFERROR(AGGREGATE(14,6,(Inventory!$G$6:$G$205+(205-ROW(Inventory!$G$6:$G$205))/10000)/(Inventory!$G$6:$G$205&gt;0),12),"")="","",INDEX(Inventory!$G$6:$G$205,IFERROR(MATCH(IFERROR(AGGREGATE(14,6,(Inventory!$G$6:$G$205+(205-ROW(Inventory!$G$6:$G$205))/10000)/(Inventory!$G$6:$G$205&gt;0),12),""),(Inventory!$G$6:$G$205+(205-ROW(Inventory!$G$6:$G$205))/10000),0),""))),"")</f>
        <v/>
      </c>
      <c r="H19" s="43">
        <f>IFERROR(IF(IFERROR(AGGREGATE(14,6,(Inventory!$G$6:$G$205+(205-ROW(Inventory!$G$6:$G$205))/10000)/(Inventory!$G$6:$G$205&gt;0),12),"")="","",INDEX(Inventory!$I$6:$I$205,IFERROR(MATCH(IFERROR(AGGREGATE(14,6,(Inventory!$G$6:$G$205+(205-ROW(Inventory!$G$6:$G$205))/10000)/(Inventory!$G$6:$G$205&gt;0),12),""),(Inventory!$G$6:$G$205+(205-ROW(Inventory!$G$6:$G$205))/10000),0),""))),"")</f>
        <v/>
      </c>
      <c r="I19" s="43">
        <f>IFERROR(IF(IFERROR(AGGREGATE(14,6,(Inventory!$G$6:$G$205+(205-ROW(Inventory!$G$6:$G$205))/10000)/(Inventory!$G$6:$G$205&gt;0),12),"")="","",INDEX(Inventory!$K$6:$K$205,IFERROR(MATCH(IFERROR(AGGREGATE(14,6,(Inventory!$G$6:$G$205+(205-ROW(Inventory!$G$6:$G$205))/10000)/(Inventory!$G$6:$G$205&gt;0),12),""),(Inventory!$G$6:$G$205+(205-ROW(Inventory!$G$6:$G$205))/10000),0),""))),"")</f>
        <v/>
      </c>
    </row>
    <row r="20" ht="16" customHeight="1">
      <c r="A20" s="46">
        <f>IFERROR(IF(IFERROR(AGGREGATE(14,6,(Inventory!$G$6:$G$205+(205-ROW(Inventory!$G$6:$G$205))/10000)/(Inventory!$G$6:$G$205&gt;0),13),"")="","",INDEX(Inventory!$A$6:$A$205,IFERROR(MATCH(IFERROR(AGGREGATE(14,6,(Inventory!$G$6:$G$205+(205-ROW(Inventory!$G$6:$G$205))/10000)/(Inventory!$G$6:$G$205&gt;0),13),""),(Inventory!$G$6:$G$205+(205-ROW(Inventory!$G$6:$G$205))/10000),0),""))),"")</f>
        <v/>
      </c>
      <c r="B20" s="46">
        <f>IFERROR(IF(IFERROR(AGGREGATE(14,6,(Inventory!$G$6:$G$205+(205-ROW(Inventory!$G$6:$G$205))/10000)/(Inventory!$G$6:$G$205&gt;0),13),"")="","",INDEX(Inventory!$B$6:$B$205,IFERROR(MATCH(IFERROR(AGGREGATE(14,6,(Inventory!$G$6:$G$205+(205-ROW(Inventory!$G$6:$G$205))/10000)/(Inventory!$G$6:$G$205&gt;0),13),""),(Inventory!$G$6:$G$205+(205-ROW(Inventory!$G$6:$G$205))/10000),0),""))),"")</f>
        <v/>
      </c>
      <c r="C20" s="46">
        <f>IFERROR(IF(IFERROR(AGGREGATE(14,6,(Inventory!$G$6:$G$205+(205-ROW(Inventory!$G$6:$G$205))/10000)/(Inventory!$G$6:$G$205&gt;0),13),"")="","",INDEX(Inventory!$D$6:$D$205,IFERROR(MATCH(IFERROR(AGGREGATE(14,6,(Inventory!$G$6:$G$205+(205-ROW(Inventory!$G$6:$G$205))/10000)/(Inventory!$G$6:$G$205&gt;0),13),""),(Inventory!$G$6:$G$205+(205-ROW(Inventory!$G$6:$G$205))/10000),0),""))),"")</f>
        <v/>
      </c>
      <c r="D20" s="46">
        <f>IFERROR(IF(IFERROR(AGGREGATE(14,6,(Inventory!$G$6:$G$205+(205-ROW(Inventory!$G$6:$G$205))/10000)/(Inventory!$G$6:$G$205&gt;0),13),"")="","",INDEX(Inventory!$H$6:$H$205,IFERROR(MATCH(IFERROR(AGGREGATE(14,6,(Inventory!$G$6:$G$205+(205-ROW(Inventory!$G$6:$G$205))/10000)/(Inventory!$G$6:$G$205&gt;0),13),""),(Inventory!$G$6:$G$205+(205-ROW(Inventory!$G$6:$G$205))/10000),0),""))),"")</f>
        <v/>
      </c>
      <c r="E20" s="41">
        <f>IFERROR(IF(IFERROR(AGGREGATE(14,6,(Inventory!$G$6:$G$205+(205-ROW(Inventory!$G$6:$G$205))/10000)/(Inventory!$G$6:$G$205&gt;0),13),"")="","",INDEX(Inventory!$E$6:$E$205,IFERROR(MATCH(IFERROR(AGGREGATE(14,6,(Inventory!$G$6:$G$205+(205-ROW(Inventory!$G$6:$G$205))/10000)/(Inventory!$G$6:$G$205&gt;0),13),""),(Inventory!$G$6:$G$205+(205-ROW(Inventory!$G$6:$G$205))/10000),0),""))),"")</f>
        <v/>
      </c>
      <c r="F20" s="41">
        <f>IFERROR(IF(IFERROR(AGGREGATE(14,6,(Inventory!$G$6:$G$205+(205-ROW(Inventory!$G$6:$G$205))/10000)/(Inventory!$G$6:$G$205&gt;0),13),"")="","",INDEX(Inventory!$F$6:$F$205,IFERROR(MATCH(IFERROR(AGGREGATE(14,6,(Inventory!$G$6:$G$205+(205-ROW(Inventory!$G$6:$G$205))/10000)/(Inventory!$G$6:$G$205&gt;0),13),""),(Inventory!$G$6:$G$205+(205-ROW(Inventory!$G$6:$G$205))/10000),0),""))),"")</f>
        <v/>
      </c>
      <c r="G20" s="41">
        <f>IFERROR(IF(IFERROR(AGGREGATE(14,6,(Inventory!$G$6:$G$205+(205-ROW(Inventory!$G$6:$G$205))/10000)/(Inventory!$G$6:$G$205&gt;0),13),"")="","",INDEX(Inventory!$G$6:$G$205,IFERROR(MATCH(IFERROR(AGGREGATE(14,6,(Inventory!$G$6:$G$205+(205-ROW(Inventory!$G$6:$G$205))/10000)/(Inventory!$G$6:$G$205&gt;0),13),""),(Inventory!$G$6:$G$205+(205-ROW(Inventory!$G$6:$G$205))/10000),0),""))),"")</f>
        <v/>
      </c>
      <c r="H20" s="43">
        <f>IFERROR(IF(IFERROR(AGGREGATE(14,6,(Inventory!$G$6:$G$205+(205-ROW(Inventory!$G$6:$G$205))/10000)/(Inventory!$G$6:$G$205&gt;0),13),"")="","",INDEX(Inventory!$I$6:$I$205,IFERROR(MATCH(IFERROR(AGGREGATE(14,6,(Inventory!$G$6:$G$205+(205-ROW(Inventory!$G$6:$G$205))/10000)/(Inventory!$G$6:$G$205&gt;0),13),""),(Inventory!$G$6:$G$205+(205-ROW(Inventory!$G$6:$G$205))/10000),0),""))),"")</f>
        <v/>
      </c>
      <c r="I20" s="43">
        <f>IFERROR(IF(IFERROR(AGGREGATE(14,6,(Inventory!$G$6:$G$205+(205-ROW(Inventory!$G$6:$G$205))/10000)/(Inventory!$G$6:$G$205&gt;0),13),"")="","",INDEX(Inventory!$K$6:$K$205,IFERROR(MATCH(IFERROR(AGGREGATE(14,6,(Inventory!$G$6:$G$205+(205-ROW(Inventory!$G$6:$G$205))/10000)/(Inventory!$G$6:$G$205&gt;0),13),""),(Inventory!$G$6:$G$205+(205-ROW(Inventory!$G$6:$G$205))/10000),0),""))),"")</f>
        <v/>
      </c>
    </row>
    <row r="21" ht="16" customHeight="1">
      <c r="A21" s="46">
        <f>IFERROR(IF(IFERROR(AGGREGATE(14,6,(Inventory!$G$6:$G$205+(205-ROW(Inventory!$G$6:$G$205))/10000)/(Inventory!$G$6:$G$205&gt;0),14),"")="","",INDEX(Inventory!$A$6:$A$205,IFERROR(MATCH(IFERROR(AGGREGATE(14,6,(Inventory!$G$6:$G$205+(205-ROW(Inventory!$G$6:$G$205))/10000)/(Inventory!$G$6:$G$205&gt;0),14),""),(Inventory!$G$6:$G$205+(205-ROW(Inventory!$G$6:$G$205))/10000),0),""))),"")</f>
        <v/>
      </c>
      <c r="B21" s="46">
        <f>IFERROR(IF(IFERROR(AGGREGATE(14,6,(Inventory!$G$6:$G$205+(205-ROW(Inventory!$G$6:$G$205))/10000)/(Inventory!$G$6:$G$205&gt;0),14),"")="","",INDEX(Inventory!$B$6:$B$205,IFERROR(MATCH(IFERROR(AGGREGATE(14,6,(Inventory!$G$6:$G$205+(205-ROW(Inventory!$G$6:$G$205))/10000)/(Inventory!$G$6:$G$205&gt;0),14),""),(Inventory!$G$6:$G$205+(205-ROW(Inventory!$G$6:$G$205))/10000),0),""))),"")</f>
        <v/>
      </c>
      <c r="C21" s="46">
        <f>IFERROR(IF(IFERROR(AGGREGATE(14,6,(Inventory!$G$6:$G$205+(205-ROW(Inventory!$G$6:$G$205))/10000)/(Inventory!$G$6:$G$205&gt;0),14),"")="","",INDEX(Inventory!$D$6:$D$205,IFERROR(MATCH(IFERROR(AGGREGATE(14,6,(Inventory!$G$6:$G$205+(205-ROW(Inventory!$G$6:$G$205))/10000)/(Inventory!$G$6:$G$205&gt;0),14),""),(Inventory!$G$6:$G$205+(205-ROW(Inventory!$G$6:$G$205))/10000),0),""))),"")</f>
        <v/>
      </c>
      <c r="D21" s="46">
        <f>IFERROR(IF(IFERROR(AGGREGATE(14,6,(Inventory!$G$6:$G$205+(205-ROW(Inventory!$G$6:$G$205))/10000)/(Inventory!$G$6:$G$205&gt;0),14),"")="","",INDEX(Inventory!$H$6:$H$205,IFERROR(MATCH(IFERROR(AGGREGATE(14,6,(Inventory!$G$6:$G$205+(205-ROW(Inventory!$G$6:$G$205))/10000)/(Inventory!$G$6:$G$205&gt;0),14),""),(Inventory!$G$6:$G$205+(205-ROW(Inventory!$G$6:$G$205))/10000),0),""))),"")</f>
        <v/>
      </c>
      <c r="E21" s="41">
        <f>IFERROR(IF(IFERROR(AGGREGATE(14,6,(Inventory!$G$6:$G$205+(205-ROW(Inventory!$G$6:$G$205))/10000)/(Inventory!$G$6:$G$205&gt;0),14),"")="","",INDEX(Inventory!$E$6:$E$205,IFERROR(MATCH(IFERROR(AGGREGATE(14,6,(Inventory!$G$6:$G$205+(205-ROW(Inventory!$G$6:$G$205))/10000)/(Inventory!$G$6:$G$205&gt;0),14),""),(Inventory!$G$6:$G$205+(205-ROW(Inventory!$G$6:$G$205))/10000),0),""))),"")</f>
        <v/>
      </c>
      <c r="F21" s="41">
        <f>IFERROR(IF(IFERROR(AGGREGATE(14,6,(Inventory!$G$6:$G$205+(205-ROW(Inventory!$G$6:$G$205))/10000)/(Inventory!$G$6:$G$205&gt;0),14),"")="","",INDEX(Inventory!$F$6:$F$205,IFERROR(MATCH(IFERROR(AGGREGATE(14,6,(Inventory!$G$6:$G$205+(205-ROW(Inventory!$G$6:$G$205))/10000)/(Inventory!$G$6:$G$205&gt;0),14),""),(Inventory!$G$6:$G$205+(205-ROW(Inventory!$G$6:$G$205))/10000),0),""))),"")</f>
        <v/>
      </c>
      <c r="G21" s="41">
        <f>IFERROR(IF(IFERROR(AGGREGATE(14,6,(Inventory!$G$6:$G$205+(205-ROW(Inventory!$G$6:$G$205))/10000)/(Inventory!$G$6:$G$205&gt;0),14),"")="","",INDEX(Inventory!$G$6:$G$205,IFERROR(MATCH(IFERROR(AGGREGATE(14,6,(Inventory!$G$6:$G$205+(205-ROW(Inventory!$G$6:$G$205))/10000)/(Inventory!$G$6:$G$205&gt;0),14),""),(Inventory!$G$6:$G$205+(205-ROW(Inventory!$G$6:$G$205))/10000),0),""))),"")</f>
        <v/>
      </c>
      <c r="H21" s="43">
        <f>IFERROR(IF(IFERROR(AGGREGATE(14,6,(Inventory!$G$6:$G$205+(205-ROW(Inventory!$G$6:$G$205))/10000)/(Inventory!$G$6:$G$205&gt;0),14),"")="","",INDEX(Inventory!$I$6:$I$205,IFERROR(MATCH(IFERROR(AGGREGATE(14,6,(Inventory!$G$6:$G$205+(205-ROW(Inventory!$G$6:$G$205))/10000)/(Inventory!$G$6:$G$205&gt;0),14),""),(Inventory!$G$6:$G$205+(205-ROW(Inventory!$G$6:$G$205))/10000),0),""))),"")</f>
        <v/>
      </c>
      <c r="I21" s="43">
        <f>IFERROR(IF(IFERROR(AGGREGATE(14,6,(Inventory!$G$6:$G$205+(205-ROW(Inventory!$G$6:$G$205))/10000)/(Inventory!$G$6:$G$205&gt;0),14),"")="","",INDEX(Inventory!$K$6:$K$205,IFERROR(MATCH(IFERROR(AGGREGATE(14,6,(Inventory!$G$6:$G$205+(205-ROW(Inventory!$G$6:$G$205))/10000)/(Inventory!$G$6:$G$205&gt;0),14),""),(Inventory!$G$6:$G$205+(205-ROW(Inventory!$G$6:$G$205))/10000),0),""))),"")</f>
        <v/>
      </c>
    </row>
    <row r="22" ht="16" customHeight="1">
      <c r="A22" s="46">
        <f>IFERROR(IF(IFERROR(AGGREGATE(14,6,(Inventory!$G$6:$G$205+(205-ROW(Inventory!$G$6:$G$205))/10000)/(Inventory!$G$6:$G$205&gt;0),15),"")="","",INDEX(Inventory!$A$6:$A$205,IFERROR(MATCH(IFERROR(AGGREGATE(14,6,(Inventory!$G$6:$G$205+(205-ROW(Inventory!$G$6:$G$205))/10000)/(Inventory!$G$6:$G$205&gt;0),15),""),(Inventory!$G$6:$G$205+(205-ROW(Inventory!$G$6:$G$205))/10000),0),""))),"")</f>
        <v/>
      </c>
      <c r="B22" s="46">
        <f>IFERROR(IF(IFERROR(AGGREGATE(14,6,(Inventory!$G$6:$G$205+(205-ROW(Inventory!$G$6:$G$205))/10000)/(Inventory!$G$6:$G$205&gt;0),15),"")="","",INDEX(Inventory!$B$6:$B$205,IFERROR(MATCH(IFERROR(AGGREGATE(14,6,(Inventory!$G$6:$G$205+(205-ROW(Inventory!$G$6:$G$205))/10000)/(Inventory!$G$6:$G$205&gt;0),15),""),(Inventory!$G$6:$G$205+(205-ROW(Inventory!$G$6:$G$205))/10000),0),""))),"")</f>
        <v/>
      </c>
      <c r="C22" s="46">
        <f>IFERROR(IF(IFERROR(AGGREGATE(14,6,(Inventory!$G$6:$G$205+(205-ROW(Inventory!$G$6:$G$205))/10000)/(Inventory!$G$6:$G$205&gt;0),15),"")="","",INDEX(Inventory!$D$6:$D$205,IFERROR(MATCH(IFERROR(AGGREGATE(14,6,(Inventory!$G$6:$G$205+(205-ROW(Inventory!$G$6:$G$205))/10000)/(Inventory!$G$6:$G$205&gt;0),15),""),(Inventory!$G$6:$G$205+(205-ROW(Inventory!$G$6:$G$205))/10000),0),""))),"")</f>
        <v/>
      </c>
      <c r="D22" s="46">
        <f>IFERROR(IF(IFERROR(AGGREGATE(14,6,(Inventory!$G$6:$G$205+(205-ROW(Inventory!$G$6:$G$205))/10000)/(Inventory!$G$6:$G$205&gt;0),15),"")="","",INDEX(Inventory!$H$6:$H$205,IFERROR(MATCH(IFERROR(AGGREGATE(14,6,(Inventory!$G$6:$G$205+(205-ROW(Inventory!$G$6:$G$205))/10000)/(Inventory!$G$6:$G$205&gt;0),15),""),(Inventory!$G$6:$G$205+(205-ROW(Inventory!$G$6:$G$205))/10000),0),""))),"")</f>
        <v/>
      </c>
      <c r="E22" s="41">
        <f>IFERROR(IF(IFERROR(AGGREGATE(14,6,(Inventory!$G$6:$G$205+(205-ROW(Inventory!$G$6:$G$205))/10000)/(Inventory!$G$6:$G$205&gt;0),15),"")="","",INDEX(Inventory!$E$6:$E$205,IFERROR(MATCH(IFERROR(AGGREGATE(14,6,(Inventory!$G$6:$G$205+(205-ROW(Inventory!$G$6:$G$205))/10000)/(Inventory!$G$6:$G$205&gt;0),15),""),(Inventory!$G$6:$G$205+(205-ROW(Inventory!$G$6:$G$205))/10000),0),""))),"")</f>
        <v/>
      </c>
      <c r="F22" s="41">
        <f>IFERROR(IF(IFERROR(AGGREGATE(14,6,(Inventory!$G$6:$G$205+(205-ROW(Inventory!$G$6:$G$205))/10000)/(Inventory!$G$6:$G$205&gt;0),15),"")="","",INDEX(Inventory!$F$6:$F$205,IFERROR(MATCH(IFERROR(AGGREGATE(14,6,(Inventory!$G$6:$G$205+(205-ROW(Inventory!$G$6:$G$205))/10000)/(Inventory!$G$6:$G$205&gt;0),15),""),(Inventory!$G$6:$G$205+(205-ROW(Inventory!$G$6:$G$205))/10000),0),""))),"")</f>
        <v/>
      </c>
      <c r="G22" s="41">
        <f>IFERROR(IF(IFERROR(AGGREGATE(14,6,(Inventory!$G$6:$G$205+(205-ROW(Inventory!$G$6:$G$205))/10000)/(Inventory!$G$6:$G$205&gt;0),15),"")="","",INDEX(Inventory!$G$6:$G$205,IFERROR(MATCH(IFERROR(AGGREGATE(14,6,(Inventory!$G$6:$G$205+(205-ROW(Inventory!$G$6:$G$205))/10000)/(Inventory!$G$6:$G$205&gt;0),15),""),(Inventory!$G$6:$G$205+(205-ROW(Inventory!$G$6:$G$205))/10000),0),""))),"")</f>
        <v/>
      </c>
      <c r="H22" s="43">
        <f>IFERROR(IF(IFERROR(AGGREGATE(14,6,(Inventory!$G$6:$G$205+(205-ROW(Inventory!$G$6:$G$205))/10000)/(Inventory!$G$6:$G$205&gt;0),15),"")="","",INDEX(Inventory!$I$6:$I$205,IFERROR(MATCH(IFERROR(AGGREGATE(14,6,(Inventory!$G$6:$G$205+(205-ROW(Inventory!$G$6:$G$205))/10000)/(Inventory!$G$6:$G$205&gt;0),15),""),(Inventory!$G$6:$G$205+(205-ROW(Inventory!$G$6:$G$205))/10000),0),""))),"")</f>
        <v/>
      </c>
      <c r="I22" s="43">
        <f>IFERROR(IF(IFERROR(AGGREGATE(14,6,(Inventory!$G$6:$G$205+(205-ROW(Inventory!$G$6:$G$205))/10000)/(Inventory!$G$6:$G$205&gt;0),15),"")="","",INDEX(Inventory!$K$6:$K$205,IFERROR(MATCH(IFERROR(AGGREGATE(14,6,(Inventory!$G$6:$G$205+(205-ROW(Inventory!$G$6:$G$205))/10000)/(Inventory!$G$6:$G$205&gt;0),15),""),(Inventory!$G$6:$G$205+(205-ROW(Inventory!$G$6:$G$205))/10000),0),""))),"")</f>
        <v/>
      </c>
    </row>
    <row r="23" ht="16" customHeight="1">
      <c r="A23" s="46">
        <f>IFERROR(IF(IFERROR(AGGREGATE(14,6,(Inventory!$G$6:$G$205+(205-ROW(Inventory!$G$6:$G$205))/10000)/(Inventory!$G$6:$G$205&gt;0),16),"")="","",INDEX(Inventory!$A$6:$A$205,IFERROR(MATCH(IFERROR(AGGREGATE(14,6,(Inventory!$G$6:$G$205+(205-ROW(Inventory!$G$6:$G$205))/10000)/(Inventory!$G$6:$G$205&gt;0),16),""),(Inventory!$G$6:$G$205+(205-ROW(Inventory!$G$6:$G$205))/10000),0),""))),"")</f>
        <v/>
      </c>
      <c r="B23" s="46">
        <f>IFERROR(IF(IFERROR(AGGREGATE(14,6,(Inventory!$G$6:$G$205+(205-ROW(Inventory!$G$6:$G$205))/10000)/(Inventory!$G$6:$G$205&gt;0),16),"")="","",INDEX(Inventory!$B$6:$B$205,IFERROR(MATCH(IFERROR(AGGREGATE(14,6,(Inventory!$G$6:$G$205+(205-ROW(Inventory!$G$6:$G$205))/10000)/(Inventory!$G$6:$G$205&gt;0),16),""),(Inventory!$G$6:$G$205+(205-ROW(Inventory!$G$6:$G$205))/10000),0),""))),"")</f>
        <v/>
      </c>
      <c r="C23" s="46">
        <f>IFERROR(IF(IFERROR(AGGREGATE(14,6,(Inventory!$G$6:$G$205+(205-ROW(Inventory!$G$6:$G$205))/10000)/(Inventory!$G$6:$G$205&gt;0),16),"")="","",INDEX(Inventory!$D$6:$D$205,IFERROR(MATCH(IFERROR(AGGREGATE(14,6,(Inventory!$G$6:$G$205+(205-ROW(Inventory!$G$6:$G$205))/10000)/(Inventory!$G$6:$G$205&gt;0),16),""),(Inventory!$G$6:$G$205+(205-ROW(Inventory!$G$6:$G$205))/10000),0),""))),"")</f>
        <v/>
      </c>
      <c r="D23" s="46">
        <f>IFERROR(IF(IFERROR(AGGREGATE(14,6,(Inventory!$G$6:$G$205+(205-ROW(Inventory!$G$6:$G$205))/10000)/(Inventory!$G$6:$G$205&gt;0),16),"")="","",INDEX(Inventory!$H$6:$H$205,IFERROR(MATCH(IFERROR(AGGREGATE(14,6,(Inventory!$G$6:$G$205+(205-ROW(Inventory!$G$6:$G$205))/10000)/(Inventory!$G$6:$G$205&gt;0),16),""),(Inventory!$G$6:$G$205+(205-ROW(Inventory!$G$6:$G$205))/10000),0),""))),"")</f>
        <v/>
      </c>
      <c r="E23" s="41">
        <f>IFERROR(IF(IFERROR(AGGREGATE(14,6,(Inventory!$G$6:$G$205+(205-ROW(Inventory!$G$6:$G$205))/10000)/(Inventory!$G$6:$G$205&gt;0),16),"")="","",INDEX(Inventory!$E$6:$E$205,IFERROR(MATCH(IFERROR(AGGREGATE(14,6,(Inventory!$G$6:$G$205+(205-ROW(Inventory!$G$6:$G$205))/10000)/(Inventory!$G$6:$G$205&gt;0),16),""),(Inventory!$G$6:$G$205+(205-ROW(Inventory!$G$6:$G$205))/10000),0),""))),"")</f>
        <v/>
      </c>
      <c r="F23" s="41">
        <f>IFERROR(IF(IFERROR(AGGREGATE(14,6,(Inventory!$G$6:$G$205+(205-ROW(Inventory!$G$6:$G$205))/10000)/(Inventory!$G$6:$G$205&gt;0),16),"")="","",INDEX(Inventory!$F$6:$F$205,IFERROR(MATCH(IFERROR(AGGREGATE(14,6,(Inventory!$G$6:$G$205+(205-ROW(Inventory!$G$6:$G$205))/10000)/(Inventory!$G$6:$G$205&gt;0),16),""),(Inventory!$G$6:$G$205+(205-ROW(Inventory!$G$6:$G$205))/10000),0),""))),"")</f>
        <v/>
      </c>
      <c r="G23" s="41">
        <f>IFERROR(IF(IFERROR(AGGREGATE(14,6,(Inventory!$G$6:$G$205+(205-ROW(Inventory!$G$6:$G$205))/10000)/(Inventory!$G$6:$G$205&gt;0),16),"")="","",INDEX(Inventory!$G$6:$G$205,IFERROR(MATCH(IFERROR(AGGREGATE(14,6,(Inventory!$G$6:$G$205+(205-ROW(Inventory!$G$6:$G$205))/10000)/(Inventory!$G$6:$G$205&gt;0),16),""),(Inventory!$G$6:$G$205+(205-ROW(Inventory!$G$6:$G$205))/10000),0),""))),"")</f>
        <v/>
      </c>
      <c r="H23" s="43">
        <f>IFERROR(IF(IFERROR(AGGREGATE(14,6,(Inventory!$G$6:$G$205+(205-ROW(Inventory!$G$6:$G$205))/10000)/(Inventory!$G$6:$G$205&gt;0),16),"")="","",INDEX(Inventory!$I$6:$I$205,IFERROR(MATCH(IFERROR(AGGREGATE(14,6,(Inventory!$G$6:$G$205+(205-ROW(Inventory!$G$6:$G$205))/10000)/(Inventory!$G$6:$G$205&gt;0),16),""),(Inventory!$G$6:$G$205+(205-ROW(Inventory!$G$6:$G$205))/10000),0),""))),"")</f>
        <v/>
      </c>
      <c r="I23" s="43">
        <f>IFERROR(IF(IFERROR(AGGREGATE(14,6,(Inventory!$G$6:$G$205+(205-ROW(Inventory!$G$6:$G$205))/10000)/(Inventory!$G$6:$G$205&gt;0),16),"")="","",INDEX(Inventory!$K$6:$K$205,IFERROR(MATCH(IFERROR(AGGREGATE(14,6,(Inventory!$G$6:$G$205+(205-ROW(Inventory!$G$6:$G$205))/10000)/(Inventory!$G$6:$G$205&gt;0),16),""),(Inventory!$G$6:$G$205+(205-ROW(Inventory!$G$6:$G$205))/10000),0),""))),"")</f>
        <v/>
      </c>
    </row>
    <row r="24" ht="16" customHeight="1">
      <c r="A24" s="46">
        <f>IFERROR(IF(IFERROR(AGGREGATE(14,6,(Inventory!$G$6:$G$205+(205-ROW(Inventory!$G$6:$G$205))/10000)/(Inventory!$G$6:$G$205&gt;0),17),"")="","",INDEX(Inventory!$A$6:$A$205,IFERROR(MATCH(IFERROR(AGGREGATE(14,6,(Inventory!$G$6:$G$205+(205-ROW(Inventory!$G$6:$G$205))/10000)/(Inventory!$G$6:$G$205&gt;0),17),""),(Inventory!$G$6:$G$205+(205-ROW(Inventory!$G$6:$G$205))/10000),0),""))),"")</f>
        <v/>
      </c>
      <c r="B24" s="46">
        <f>IFERROR(IF(IFERROR(AGGREGATE(14,6,(Inventory!$G$6:$G$205+(205-ROW(Inventory!$G$6:$G$205))/10000)/(Inventory!$G$6:$G$205&gt;0),17),"")="","",INDEX(Inventory!$B$6:$B$205,IFERROR(MATCH(IFERROR(AGGREGATE(14,6,(Inventory!$G$6:$G$205+(205-ROW(Inventory!$G$6:$G$205))/10000)/(Inventory!$G$6:$G$205&gt;0),17),""),(Inventory!$G$6:$G$205+(205-ROW(Inventory!$G$6:$G$205))/10000),0),""))),"")</f>
        <v/>
      </c>
      <c r="C24" s="46">
        <f>IFERROR(IF(IFERROR(AGGREGATE(14,6,(Inventory!$G$6:$G$205+(205-ROW(Inventory!$G$6:$G$205))/10000)/(Inventory!$G$6:$G$205&gt;0),17),"")="","",INDEX(Inventory!$D$6:$D$205,IFERROR(MATCH(IFERROR(AGGREGATE(14,6,(Inventory!$G$6:$G$205+(205-ROW(Inventory!$G$6:$G$205))/10000)/(Inventory!$G$6:$G$205&gt;0),17),""),(Inventory!$G$6:$G$205+(205-ROW(Inventory!$G$6:$G$205))/10000),0),""))),"")</f>
        <v/>
      </c>
      <c r="D24" s="46">
        <f>IFERROR(IF(IFERROR(AGGREGATE(14,6,(Inventory!$G$6:$G$205+(205-ROW(Inventory!$G$6:$G$205))/10000)/(Inventory!$G$6:$G$205&gt;0),17),"")="","",INDEX(Inventory!$H$6:$H$205,IFERROR(MATCH(IFERROR(AGGREGATE(14,6,(Inventory!$G$6:$G$205+(205-ROW(Inventory!$G$6:$G$205))/10000)/(Inventory!$G$6:$G$205&gt;0),17),""),(Inventory!$G$6:$G$205+(205-ROW(Inventory!$G$6:$G$205))/10000),0),""))),"")</f>
        <v/>
      </c>
      <c r="E24" s="41">
        <f>IFERROR(IF(IFERROR(AGGREGATE(14,6,(Inventory!$G$6:$G$205+(205-ROW(Inventory!$G$6:$G$205))/10000)/(Inventory!$G$6:$G$205&gt;0),17),"")="","",INDEX(Inventory!$E$6:$E$205,IFERROR(MATCH(IFERROR(AGGREGATE(14,6,(Inventory!$G$6:$G$205+(205-ROW(Inventory!$G$6:$G$205))/10000)/(Inventory!$G$6:$G$205&gt;0),17),""),(Inventory!$G$6:$G$205+(205-ROW(Inventory!$G$6:$G$205))/10000),0),""))),"")</f>
        <v/>
      </c>
      <c r="F24" s="41">
        <f>IFERROR(IF(IFERROR(AGGREGATE(14,6,(Inventory!$G$6:$G$205+(205-ROW(Inventory!$G$6:$G$205))/10000)/(Inventory!$G$6:$G$205&gt;0),17),"")="","",INDEX(Inventory!$F$6:$F$205,IFERROR(MATCH(IFERROR(AGGREGATE(14,6,(Inventory!$G$6:$G$205+(205-ROW(Inventory!$G$6:$G$205))/10000)/(Inventory!$G$6:$G$205&gt;0),17),""),(Inventory!$G$6:$G$205+(205-ROW(Inventory!$G$6:$G$205))/10000),0),""))),"")</f>
        <v/>
      </c>
      <c r="G24" s="41">
        <f>IFERROR(IF(IFERROR(AGGREGATE(14,6,(Inventory!$G$6:$G$205+(205-ROW(Inventory!$G$6:$G$205))/10000)/(Inventory!$G$6:$G$205&gt;0),17),"")="","",INDEX(Inventory!$G$6:$G$205,IFERROR(MATCH(IFERROR(AGGREGATE(14,6,(Inventory!$G$6:$G$205+(205-ROW(Inventory!$G$6:$G$205))/10000)/(Inventory!$G$6:$G$205&gt;0),17),""),(Inventory!$G$6:$G$205+(205-ROW(Inventory!$G$6:$G$205))/10000),0),""))),"")</f>
        <v/>
      </c>
      <c r="H24" s="43">
        <f>IFERROR(IF(IFERROR(AGGREGATE(14,6,(Inventory!$G$6:$G$205+(205-ROW(Inventory!$G$6:$G$205))/10000)/(Inventory!$G$6:$G$205&gt;0),17),"")="","",INDEX(Inventory!$I$6:$I$205,IFERROR(MATCH(IFERROR(AGGREGATE(14,6,(Inventory!$G$6:$G$205+(205-ROW(Inventory!$G$6:$G$205))/10000)/(Inventory!$G$6:$G$205&gt;0),17),""),(Inventory!$G$6:$G$205+(205-ROW(Inventory!$G$6:$G$205))/10000),0),""))),"")</f>
        <v/>
      </c>
      <c r="I24" s="43">
        <f>IFERROR(IF(IFERROR(AGGREGATE(14,6,(Inventory!$G$6:$G$205+(205-ROW(Inventory!$G$6:$G$205))/10000)/(Inventory!$G$6:$G$205&gt;0),17),"")="","",INDEX(Inventory!$K$6:$K$205,IFERROR(MATCH(IFERROR(AGGREGATE(14,6,(Inventory!$G$6:$G$205+(205-ROW(Inventory!$G$6:$G$205))/10000)/(Inventory!$G$6:$G$205&gt;0),17),""),(Inventory!$G$6:$G$205+(205-ROW(Inventory!$G$6:$G$205))/10000),0),""))),"")</f>
        <v/>
      </c>
    </row>
    <row r="25" ht="16" customHeight="1">
      <c r="A25" s="46">
        <f>IFERROR(IF(IFERROR(AGGREGATE(14,6,(Inventory!$G$6:$G$205+(205-ROW(Inventory!$G$6:$G$205))/10000)/(Inventory!$G$6:$G$205&gt;0),18),"")="","",INDEX(Inventory!$A$6:$A$205,IFERROR(MATCH(IFERROR(AGGREGATE(14,6,(Inventory!$G$6:$G$205+(205-ROW(Inventory!$G$6:$G$205))/10000)/(Inventory!$G$6:$G$205&gt;0),18),""),(Inventory!$G$6:$G$205+(205-ROW(Inventory!$G$6:$G$205))/10000),0),""))),"")</f>
        <v/>
      </c>
      <c r="B25" s="46">
        <f>IFERROR(IF(IFERROR(AGGREGATE(14,6,(Inventory!$G$6:$G$205+(205-ROW(Inventory!$G$6:$G$205))/10000)/(Inventory!$G$6:$G$205&gt;0),18),"")="","",INDEX(Inventory!$B$6:$B$205,IFERROR(MATCH(IFERROR(AGGREGATE(14,6,(Inventory!$G$6:$G$205+(205-ROW(Inventory!$G$6:$G$205))/10000)/(Inventory!$G$6:$G$205&gt;0),18),""),(Inventory!$G$6:$G$205+(205-ROW(Inventory!$G$6:$G$205))/10000),0),""))),"")</f>
        <v/>
      </c>
      <c r="C25" s="46">
        <f>IFERROR(IF(IFERROR(AGGREGATE(14,6,(Inventory!$G$6:$G$205+(205-ROW(Inventory!$G$6:$G$205))/10000)/(Inventory!$G$6:$G$205&gt;0),18),"")="","",INDEX(Inventory!$D$6:$D$205,IFERROR(MATCH(IFERROR(AGGREGATE(14,6,(Inventory!$G$6:$G$205+(205-ROW(Inventory!$G$6:$G$205))/10000)/(Inventory!$G$6:$G$205&gt;0),18),""),(Inventory!$G$6:$G$205+(205-ROW(Inventory!$G$6:$G$205))/10000),0),""))),"")</f>
        <v/>
      </c>
      <c r="D25" s="46">
        <f>IFERROR(IF(IFERROR(AGGREGATE(14,6,(Inventory!$G$6:$G$205+(205-ROW(Inventory!$G$6:$G$205))/10000)/(Inventory!$G$6:$G$205&gt;0),18),"")="","",INDEX(Inventory!$H$6:$H$205,IFERROR(MATCH(IFERROR(AGGREGATE(14,6,(Inventory!$G$6:$G$205+(205-ROW(Inventory!$G$6:$G$205))/10000)/(Inventory!$G$6:$G$205&gt;0),18),""),(Inventory!$G$6:$G$205+(205-ROW(Inventory!$G$6:$G$205))/10000),0),""))),"")</f>
        <v/>
      </c>
      <c r="E25" s="41">
        <f>IFERROR(IF(IFERROR(AGGREGATE(14,6,(Inventory!$G$6:$G$205+(205-ROW(Inventory!$G$6:$G$205))/10000)/(Inventory!$G$6:$G$205&gt;0),18),"")="","",INDEX(Inventory!$E$6:$E$205,IFERROR(MATCH(IFERROR(AGGREGATE(14,6,(Inventory!$G$6:$G$205+(205-ROW(Inventory!$G$6:$G$205))/10000)/(Inventory!$G$6:$G$205&gt;0),18),""),(Inventory!$G$6:$G$205+(205-ROW(Inventory!$G$6:$G$205))/10000),0),""))),"")</f>
        <v/>
      </c>
      <c r="F25" s="41">
        <f>IFERROR(IF(IFERROR(AGGREGATE(14,6,(Inventory!$G$6:$G$205+(205-ROW(Inventory!$G$6:$G$205))/10000)/(Inventory!$G$6:$G$205&gt;0),18),"")="","",INDEX(Inventory!$F$6:$F$205,IFERROR(MATCH(IFERROR(AGGREGATE(14,6,(Inventory!$G$6:$G$205+(205-ROW(Inventory!$G$6:$G$205))/10000)/(Inventory!$G$6:$G$205&gt;0),18),""),(Inventory!$G$6:$G$205+(205-ROW(Inventory!$G$6:$G$205))/10000),0),""))),"")</f>
        <v/>
      </c>
      <c r="G25" s="41">
        <f>IFERROR(IF(IFERROR(AGGREGATE(14,6,(Inventory!$G$6:$G$205+(205-ROW(Inventory!$G$6:$G$205))/10000)/(Inventory!$G$6:$G$205&gt;0),18),"")="","",INDEX(Inventory!$G$6:$G$205,IFERROR(MATCH(IFERROR(AGGREGATE(14,6,(Inventory!$G$6:$G$205+(205-ROW(Inventory!$G$6:$G$205))/10000)/(Inventory!$G$6:$G$205&gt;0),18),""),(Inventory!$G$6:$G$205+(205-ROW(Inventory!$G$6:$G$205))/10000),0),""))),"")</f>
        <v/>
      </c>
      <c r="H25" s="43">
        <f>IFERROR(IF(IFERROR(AGGREGATE(14,6,(Inventory!$G$6:$G$205+(205-ROW(Inventory!$G$6:$G$205))/10000)/(Inventory!$G$6:$G$205&gt;0),18),"")="","",INDEX(Inventory!$I$6:$I$205,IFERROR(MATCH(IFERROR(AGGREGATE(14,6,(Inventory!$G$6:$G$205+(205-ROW(Inventory!$G$6:$G$205))/10000)/(Inventory!$G$6:$G$205&gt;0),18),""),(Inventory!$G$6:$G$205+(205-ROW(Inventory!$G$6:$G$205))/10000),0),""))),"")</f>
        <v/>
      </c>
      <c r="I25" s="43">
        <f>IFERROR(IF(IFERROR(AGGREGATE(14,6,(Inventory!$G$6:$G$205+(205-ROW(Inventory!$G$6:$G$205))/10000)/(Inventory!$G$6:$G$205&gt;0),18),"")="","",INDEX(Inventory!$K$6:$K$205,IFERROR(MATCH(IFERROR(AGGREGATE(14,6,(Inventory!$G$6:$G$205+(205-ROW(Inventory!$G$6:$G$205))/10000)/(Inventory!$G$6:$G$205&gt;0),18),""),(Inventory!$G$6:$G$205+(205-ROW(Inventory!$G$6:$G$205))/10000),0),""))),"")</f>
        <v/>
      </c>
    </row>
    <row r="26" ht="16" customHeight="1">
      <c r="A26" s="46">
        <f>IFERROR(IF(IFERROR(AGGREGATE(14,6,(Inventory!$G$6:$G$205+(205-ROW(Inventory!$G$6:$G$205))/10000)/(Inventory!$G$6:$G$205&gt;0),19),"")="","",INDEX(Inventory!$A$6:$A$205,IFERROR(MATCH(IFERROR(AGGREGATE(14,6,(Inventory!$G$6:$G$205+(205-ROW(Inventory!$G$6:$G$205))/10000)/(Inventory!$G$6:$G$205&gt;0),19),""),(Inventory!$G$6:$G$205+(205-ROW(Inventory!$G$6:$G$205))/10000),0),""))),"")</f>
        <v/>
      </c>
      <c r="B26" s="46">
        <f>IFERROR(IF(IFERROR(AGGREGATE(14,6,(Inventory!$G$6:$G$205+(205-ROW(Inventory!$G$6:$G$205))/10000)/(Inventory!$G$6:$G$205&gt;0),19),"")="","",INDEX(Inventory!$B$6:$B$205,IFERROR(MATCH(IFERROR(AGGREGATE(14,6,(Inventory!$G$6:$G$205+(205-ROW(Inventory!$G$6:$G$205))/10000)/(Inventory!$G$6:$G$205&gt;0),19),""),(Inventory!$G$6:$G$205+(205-ROW(Inventory!$G$6:$G$205))/10000),0),""))),"")</f>
        <v/>
      </c>
      <c r="C26" s="46">
        <f>IFERROR(IF(IFERROR(AGGREGATE(14,6,(Inventory!$G$6:$G$205+(205-ROW(Inventory!$G$6:$G$205))/10000)/(Inventory!$G$6:$G$205&gt;0),19),"")="","",INDEX(Inventory!$D$6:$D$205,IFERROR(MATCH(IFERROR(AGGREGATE(14,6,(Inventory!$G$6:$G$205+(205-ROW(Inventory!$G$6:$G$205))/10000)/(Inventory!$G$6:$G$205&gt;0),19),""),(Inventory!$G$6:$G$205+(205-ROW(Inventory!$G$6:$G$205))/10000),0),""))),"")</f>
        <v/>
      </c>
      <c r="D26" s="46">
        <f>IFERROR(IF(IFERROR(AGGREGATE(14,6,(Inventory!$G$6:$G$205+(205-ROW(Inventory!$G$6:$G$205))/10000)/(Inventory!$G$6:$G$205&gt;0),19),"")="","",INDEX(Inventory!$H$6:$H$205,IFERROR(MATCH(IFERROR(AGGREGATE(14,6,(Inventory!$G$6:$G$205+(205-ROW(Inventory!$G$6:$G$205))/10000)/(Inventory!$G$6:$G$205&gt;0),19),""),(Inventory!$G$6:$G$205+(205-ROW(Inventory!$G$6:$G$205))/10000),0),""))),"")</f>
        <v/>
      </c>
      <c r="E26" s="41">
        <f>IFERROR(IF(IFERROR(AGGREGATE(14,6,(Inventory!$G$6:$G$205+(205-ROW(Inventory!$G$6:$G$205))/10000)/(Inventory!$G$6:$G$205&gt;0),19),"")="","",INDEX(Inventory!$E$6:$E$205,IFERROR(MATCH(IFERROR(AGGREGATE(14,6,(Inventory!$G$6:$G$205+(205-ROW(Inventory!$G$6:$G$205))/10000)/(Inventory!$G$6:$G$205&gt;0),19),""),(Inventory!$G$6:$G$205+(205-ROW(Inventory!$G$6:$G$205))/10000),0),""))),"")</f>
        <v/>
      </c>
      <c r="F26" s="41">
        <f>IFERROR(IF(IFERROR(AGGREGATE(14,6,(Inventory!$G$6:$G$205+(205-ROW(Inventory!$G$6:$G$205))/10000)/(Inventory!$G$6:$G$205&gt;0),19),"")="","",INDEX(Inventory!$F$6:$F$205,IFERROR(MATCH(IFERROR(AGGREGATE(14,6,(Inventory!$G$6:$G$205+(205-ROW(Inventory!$G$6:$G$205))/10000)/(Inventory!$G$6:$G$205&gt;0),19),""),(Inventory!$G$6:$G$205+(205-ROW(Inventory!$G$6:$G$205))/10000),0),""))),"")</f>
        <v/>
      </c>
      <c r="G26" s="41">
        <f>IFERROR(IF(IFERROR(AGGREGATE(14,6,(Inventory!$G$6:$G$205+(205-ROW(Inventory!$G$6:$G$205))/10000)/(Inventory!$G$6:$G$205&gt;0),19),"")="","",INDEX(Inventory!$G$6:$G$205,IFERROR(MATCH(IFERROR(AGGREGATE(14,6,(Inventory!$G$6:$G$205+(205-ROW(Inventory!$G$6:$G$205))/10000)/(Inventory!$G$6:$G$205&gt;0),19),""),(Inventory!$G$6:$G$205+(205-ROW(Inventory!$G$6:$G$205))/10000),0),""))),"")</f>
        <v/>
      </c>
      <c r="H26" s="43">
        <f>IFERROR(IF(IFERROR(AGGREGATE(14,6,(Inventory!$G$6:$G$205+(205-ROW(Inventory!$G$6:$G$205))/10000)/(Inventory!$G$6:$G$205&gt;0),19),"")="","",INDEX(Inventory!$I$6:$I$205,IFERROR(MATCH(IFERROR(AGGREGATE(14,6,(Inventory!$G$6:$G$205+(205-ROW(Inventory!$G$6:$G$205))/10000)/(Inventory!$G$6:$G$205&gt;0),19),""),(Inventory!$G$6:$G$205+(205-ROW(Inventory!$G$6:$G$205))/10000),0),""))),"")</f>
        <v/>
      </c>
      <c r="I26" s="43">
        <f>IFERROR(IF(IFERROR(AGGREGATE(14,6,(Inventory!$G$6:$G$205+(205-ROW(Inventory!$G$6:$G$205))/10000)/(Inventory!$G$6:$G$205&gt;0),19),"")="","",INDEX(Inventory!$K$6:$K$205,IFERROR(MATCH(IFERROR(AGGREGATE(14,6,(Inventory!$G$6:$G$205+(205-ROW(Inventory!$G$6:$G$205))/10000)/(Inventory!$G$6:$G$205&gt;0),19),""),(Inventory!$G$6:$G$205+(205-ROW(Inventory!$G$6:$G$205))/10000),0),""))),"")</f>
        <v/>
      </c>
    </row>
    <row r="27" ht="16" customHeight="1">
      <c r="A27" s="46">
        <f>IFERROR(IF(IFERROR(AGGREGATE(14,6,(Inventory!$G$6:$G$205+(205-ROW(Inventory!$G$6:$G$205))/10000)/(Inventory!$G$6:$G$205&gt;0),20),"")="","",INDEX(Inventory!$A$6:$A$205,IFERROR(MATCH(IFERROR(AGGREGATE(14,6,(Inventory!$G$6:$G$205+(205-ROW(Inventory!$G$6:$G$205))/10000)/(Inventory!$G$6:$G$205&gt;0),20),""),(Inventory!$G$6:$G$205+(205-ROW(Inventory!$G$6:$G$205))/10000),0),""))),"")</f>
        <v/>
      </c>
      <c r="B27" s="46">
        <f>IFERROR(IF(IFERROR(AGGREGATE(14,6,(Inventory!$G$6:$G$205+(205-ROW(Inventory!$G$6:$G$205))/10000)/(Inventory!$G$6:$G$205&gt;0),20),"")="","",INDEX(Inventory!$B$6:$B$205,IFERROR(MATCH(IFERROR(AGGREGATE(14,6,(Inventory!$G$6:$G$205+(205-ROW(Inventory!$G$6:$G$205))/10000)/(Inventory!$G$6:$G$205&gt;0),20),""),(Inventory!$G$6:$G$205+(205-ROW(Inventory!$G$6:$G$205))/10000),0),""))),"")</f>
        <v/>
      </c>
      <c r="C27" s="46">
        <f>IFERROR(IF(IFERROR(AGGREGATE(14,6,(Inventory!$G$6:$G$205+(205-ROW(Inventory!$G$6:$G$205))/10000)/(Inventory!$G$6:$G$205&gt;0),20),"")="","",INDEX(Inventory!$D$6:$D$205,IFERROR(MATCH(IFERROR(AGGREGATE(14,6,(Inventory!$G$6:$G$205+(205-ROW(Inventory!$G$6:$G$205))/10000)/(Inventory!$G$6:$G$205&gt;0),20),""),(Inventory!$G$6:$G$205+(205-ROW(Inventory!$G$6:$G$205))/10000),0),""))),"")</f>
        <v/>
      </c>
      <c r="D27" s="46">
        <f>IFERROR(IF(IFERROR(AGGREGATE(14,6,(Inventory!$G$6:$G$205+(205-ROW(Inventory!$G$6:$G$205))/10000)/(Inventory!$G$6:$G$205&gt;0),20),"")="","",INDEX(Inventory!$H$6:$H$205,IFERROR(MATCH(IFERROR(AGGREGATE(14,6,(Inventory!$G$6:$G$205+(205-ROW(Inventory!$G$6:$G$205))/10000)/(Inventory!$G$6:$G$205&gt;0),20),""),(Inventory!$G$6:$G$205+(205-ROW(Inventory!$G$6:$G$205))/10000),0),""))),"")</f>
        <v/>
      </c>
      <c r="E27" s="41">
        <f>IFERROR(IF(IFERROR(AGGREGATE(14,6,(Inventory!$G$6:$G$205+(205-ROW(Inventory!$G$6:$G$205))/10000)/(Inventory!$G$6:$G$205&gt;0),20),"")="","",INDEX(Inventory!$E$6:$E$205,IFERROR(MATCH(IFERROR(AGGREGATE(14,6,(Inventory!$G$6:$G$205+(205-ROW(Inventory!$G$6:$G$205))/10000)/(Inventory!$G$6:$G$205&gt;0),20),""),(Inventory!$G$6:$G$205+(205-ROW(Inventory!$G$6:$G$205))/10000),0),""))),"")</f>
        <v/>
      </c>
      <c r="F27" s="41">
        <f>IFERROR(IF(IFERROR(AGGREGATE(14,6,(Inventory!$G$6:$G$205+(205-ROW(Inventory!$G$6:$G$205))/10000)/(Inventory!$G$6:$G$205&gt;0),20),"")="","",INDEX(Inventory!$F$6:$F$205,IFERROR(MATCH(IFERROR(AGGREGATE(14,6,(Inventory!$G$6:$G$205+(205-ROW(Inventory!$G$6:$G$205))/10000)/(Inventory!$G$6:$G$205&gt;0),20),""),(Inventory!$G$6:$G$205+(205-ROW(Inventory!$G$6:$G$205))/10000),0),""))),"")</f>
        <v/>
      </c>
      <c r="G27" s="41">
        <f>IFERROR(IF(IFERROR(AGGREGATE(14,6,(Inventory!$G$6:$G$205+(205-ROW(Inventory!$G$6:$G$205))/10000)/(Inventory!$G$6:$G$205&gt;0),20),"")="","",INDEX(Inventory!$G$6:$G$205,IFERROR(MATCH(IFERROR(AGGREGATE(14,6,(Inventory!$G$6:$G$205+(205-ROW(Inventory!$G$6:$G$205))/10000)/(Inventory!$G$6:$G$205&gt;0),20),""),(Inventory!$G$6:$G$205+(205-ROW(Inventory!$G$6:$G$205))/10000),0),""))),"")</f>
        <v/>
      </c>
      <c r="H27" s="43">
        <f>IFERROR(IF(IFERROR(AGGREGATE(14,6,(Inventory!$G$6:$G$205+(205-ROW(Inventory!$G$6:$G$205))/10000)/(Inventory!$G$6:$G$205&gt;0),20),"")="","",INDEX(Inventory!$I$6:$I$205,IFERROR(MATCH(IFERROR(AGGREGATE(14,6,(Inventory!$G$6:$G$205+(205-ROW(Inventory!$G$6:$G$205))/10000)/(Inventory!$G$6:$G$205&gt;0),20),""),(Inventory!$G$6:$G$205+(205-ROW(Inventory!$G$6:$G$205))/10000),0),""))),"")</f>
        <v/>
      </c>
      <c r="I27" s="43">
        <f>IFERROR(IF(IFERROR(AGGREGATE(14,6,(Inventory!$G$6:$G$205+(205-ROW(Inventory!$G$6:$G$205))/10000)/(Inventory!$G$6:$G$205&gt;0),20),"")="","",INDEX(Inventory!$K$6:$K$205,IFERROR(MATCH(IFERROR(AGGREGATE(14,6,(Inventory!$G$6:$G$205+(205-ROW(Inventory!$G$6:$G$205))/10000)/(Inventory!$G$6:$G$205&gt;0),20),""),(Inventory!$G$6:$G$205+(205-ROW(Inventory!$G$6:$G$205))/10000),0),""))),"")</f>
        <v/>
      </c>
    </row>
    <row r="28" ht="16" customHeight="1">
      <c r="A28" s="46">
        <f>IFERROR(IF(IFERROR(AGGREGATE(14,6,(Inventory!$G$6:$G$205+(205-ROW(Inventory!$G$6:$G$205))/10000)/(Inventory!$G$6:$G$205&gt;0),21),"")="","",INDEX(Inventory!$A$6:$A$205,IFERROR(MATCH(IFERROR(AGGREGATE(14,6,(Inventory!$G$6:$G$205+(205-ROW(Inventory!$G$6:$G$205))/10000)/(Inventory!$G$6:$G$205&gt;0),21),""),(Inventory!$G$6:$G$205+(205-ROW(Inventory!$G$6:$G$205))/10000),0),""))),"")</f>
        <v/>
      </c>
      <c r="B28" s="46">
        <f>IFERROR(IF(IFERROR(AGGREGATE(14,6,(Inventory!$G$6:$G$205+(205-ROW(Inventory!$G$6:$G$205))/10000)/(Inventory!$G$6:$G$205&gt;0),21),"")="","",INDEX(Inventory!$B$6:$B$205,IFERROR(MATCH(IFERROR(AGGREGATE(14,6,(Inventory!$G$6:$G$205+(205-ROW(Inventory!$G$6:$G$205))/10000)/(Inventory!$G$6:$G$205&gt;0),21),""),(Inventory!$G$6:$G$205+(205-ROW(Inventory!$G$6:$G$205))/10000),0),""))),"")</f>
        <v/>
      </c>
      <c r="C28" s="46">
        <f>IFERROR(IF(IFERROR(AGGREGATE(14,6,(Inventory!$G$6:$G$205+(205-ROW(Inventory!$G$6:$G$205))/10000)/(Inventory!$G$6:$G$205&gt;0),21),"")="","",INDEX(Inventory!$D$6:$D$205,IFERROR(MATCH(IFERROR(AGGREGATE(14,6,(Inventory!$G$6:$G$205+(205-ROW(Inventory!$G$6:$G$205))/10000)/(Inventory!$G$6:$G$205&gt;0),21),""),(Inventory!$G$6:$G$205+(205-ROW(Inventory!$G$6:$G$205))/10000),0),""))),"")</f>
        <v/>
      </c>
      <c r="D28" s="46">
        <f>IFERROR(IF(IFERROR(AGGREGATE(14,6,(Inventory!$G$6:$G$205+(205-ROW(Inventory!$G$6:$G$205))/10000)/(Inventory!$G$6:$G$205&gt;0),21),"")="","",INDEX(Inventory!$H$6:$H$205,IFERROR(MATCH(IFERROR(AGGREGATE(14,6,(Inventory!$G$6:$G$205+(205-ROW(Inventory!$G$6:$G$205))/10000)/(Inventory!$G$6:$G$205&gt;0),21),""),(Inventory!$G$6:$G$205+(205-ROW(Inventory!$G$6:$G$205))/10000),0),""))),"")</f>
        <v/>
      </c>
      <c r="E28" s="41">
        <f>IFERROR(IF(IFERROR(AGGREGATE(14,6,(Inventory!$G$6:$G$205+(205-ROW(Inventory!$G$6:$G$205))/10000)/(Inventory!$G$6:$G$205&gt;0),21),"")="","",INDEX(Inventory!$E$6:$E$205,IFERROR(MATCH(IFERROR(AGGREGATE(14,6,(Inventory!$G$6:$G$205+(205-ROW(Inventory!$G$6:$G$205))/10000)/(Inventory!$G$6:$G$205&gt;0),21),""),(Inventory!$G$6:$G$205+(205-ROW(Inventory!$G$6:$G$205))/10000),0),""))),"")</f>
        <v/>
      </c>
      <c r="F28" s="41">
        <f>IFERROR(IF(IFERROR(AGGREGATE(14,6,(Inventory!$G$6:$G$205+(205-ROW(Inventory!$G$6:$G$205))/10000)/(Inventory!$G$6:$G$205&gt;0),21),"")="","",INDEX(Inventory!$F$6:$F$205,IFERROR(MATCH(IFERROR(AGGREGATE(14,6,(Inventory!$G$6:$G$205+(205-ROW(Inventory!$G$6:$G$205))/10000)/(Inventory!$G$6:$G$205&gt;0),21),""),(Inventory!$G$6:$G$205+(205-ROW(Inventory!$G$6:$G$205))/10000),0),""))),"")</f>
        <v/>
      </c>
      <c r="G28" s="41">
        <f>IFERROR(IF(IFERROR(AGGREGATE(14,6,(Inventory!$G$6:$G$205+(205-ROW(Inventory!$G$6:$G$205))/10000)/(Inventory!$G$6:$G$205&gt;0),21),"")="","",INDEX(Inventory!$G$6:$G$205,IFERROR(MATCH(IFERROR(AGGREGATE(14,6,(Inventory!$G$6:$G$205+(205-ROW(Inventory!$G$6:$G$205))/10000)/(Inventory!$G$6:$G$205&gt;0),21),""),(Inventory!$G$6:$G$205+(205-ROW(Inventory!$G$6:$G$205))/10000),0),""))),"")</f>
        <v/>
      </c>
      <c r="H28" s="43">
        <f>IFERROR(IF(IFERROR(AGGREGATE(14,6,(Inventory!$G$6:$G$205+(205-ROW(Inventory!$G$6:$G$205))/10000)/(Inventory!$G$6:$G$205&gt;0),21),"")="","",INDEX(Inventory!$I$6:$I$205,IFERROR(MATCH(IFERROR(AGGREGATE(14,6,(Inventory!$G$6:$G$205+(205-ROW(Inventory!$G$6:$G$205))/10000)/(Inventory!$G$6:$G$205&gt;0),21),""),(Inventory!$G$6:$G$205+(205-ROW(Inventory!$G$6:$G$205))/10000),0),""))),"")</f>
        <v/>
      </c>
      <c r="I28" s="43">
        <f>IFERROR(IF(IFERROR(AGGREGATE(14,6,(Inventory!$G$6:$G$205+(205-ROW(Inventory!$G$6:$G$205))/10000)/(Inventory!$G$6:$G$205&gt;0),21),"")="","",INDEX(Inventory!$K$6:$K$205,IFERROR(MATCH(IFERROR(AGGREGATE(14,6,(Inventory!$G$6:$G$205+(205-ROW(Inventory!$G$6:$G$205))/10000)/(Inventory!$G$6:$G$205&gt;0),21),""),(Inventory!$G$6:$G$205+(205-ROW(Inventory!$G$6:$G$205))/10000),0),""))),"")</f>
        <v/>
      </c>
    </row>
    <row r="29" ht="16" customHeight="1">
      <c r="A29" s="46">
        <f>IFERROR(IF(IFERROR(AGGREGATE(14,6,(Inventory!$G$6:$G$205+(205-ROW(Inventory!$G$6:$G$205))/10000)/(Inventory!$G$6:$G$205&gt;0),22),"")="","",INDEX(Inventory!$A$6:$A$205,IFERROR(MATCH(IFERROR(AGGREGATE(14,6,(Inventory!$G$6:$G$205+(205-ROW(Inventory!$G$6:$G$205))/10000)/(Inventory!$G$6:$G$205&gt;0),22),""),(Inventory!$G$6:$G$205+(205-ROW(Inventory!$G$6:$G$205))/10000),0),""))),"")</f>
        <v/>
      </c>
      <c r="B29" s="46">
        <f>IFERROR(IF(IFERROR(AGGREGATE(14,6,(Inventory!$G$6:$G$205+(205-ROW(Inventory!$G$6:$G$205))/10000)/(Inventory!$G$6:$G$205&gt;0),22),"")="","",INDEX(Inventory!$B$6:$B$205,IFERROR(MATCH(IFERROR(AGGREGATE(14,6,(Inventory!$G$6:$G$205+(205-ROW(Inventory!$G$6:$G$205))/10000)/(Inventory!$G$6:$G$205&gt;0),22),""),(Inventory!$G$6:$G$205+(205-ROW(Inventory!$G$6:$G$205))/10000),0),""))),"")</f>
        <v/>
      </c>
      <c r="C29" s="46">
        <f>IFERROR(IF(IFERROR(AGGREGATE(14,6,(Inventory!$G$6:$G$205+(205-ROW(Inventory!$G$6:$G$205))/10000)/(Inventory!$G$6:$G$205&gt;0),22),"")="","",INDEX(Inventory!$D$6:$D$205,IFERROR(MATCH(IFERROR(AGGREGATE(14,6,(Inventory!$G$6:$G$205+(205-ROW(Inventory!$G$6:$G$205))/10000)/(Inventory!$G$6:$G$205&gt;0),22),""),(Inventory!$G$6:$G$205+(205-ROW(Inventory!$G$6:$G$205))/10000),0),""))),"")</f>
        <v/>
      </c>
      <c r="D29" s="46">
        <f>IFERROR(IF(IFERROR(AGGREGATE(14,6,(Inventory!$G$6:$G$205+(205-ROW(Inventory!$G$6:$G$205))/10000)/(Inventory!$G$6:$G$205&gt;0),22),"")="","",INDEX(Inventory!$H$6:$H$205,IFERROR(MATCH(IFERROR(AGGREGATE(14,6,(Inventory!$G$6:$G$205+(205-ROW(Inventory!$G$6:$G$205))/10000)/(Inventory!$G$6:$G$205&gt;0),22),""),(Inventory!$G$6:$G$205+(205-ROW(Inventory!$G$6:$G$205))/10000),0),""))),"")</f>
        <v/>
      </c>
      <c r="E29" s="41">
        <f>IFERROR(IF(IFERROR(AGGREGATE(14,6,(Inventory!$G$6:$G$205+(205-ROW(Inventory!$G$6:$G$205))/10000)/(Inventory!$G$6:$G$205&gt;0),22),"")="","",INDEX(Inventory!$E$6:$E$205,IFERROR(MATCH(IFERROR(AGGREGATE(14,6,(Inventory!$G$6:$G$205+(205-ROW(Inventory!$G$6:$G$205))/10000)/(Inventory!$G$6:$G$205&gt;0),22),""),(Inventory!$G$6:$G$205+(205-ROW(Inventory!$G$6:$G$205))/10000),0),""))),"")</f>
        <v/>
      </c>
      <c r="F29" s="41">
        <f>IFERROR(IF(IFERROR(AGGREGATE(14,6,(Inventory!$G$6:$G$205+(205-ROW(Inventory!$G$6:$G$205))/10000)/(Inventory!$G$6:$G$205&gt;0),22),"")="","",INDEX(Inventory!$F$6:$F$205,IFERROR(MATCH(IFERROR(AGGREGATE(14,6,(Inventory!$G$6:$G$205+(205-ROW(Inventory!$G$6:$G$205))/10000)/(Inventory!$G$6:$G$205&gt;0),22),""),(Inventory!$G$6:$G$205+(205-ROW(Inventory!$G$6:$G$205))/10000),0),""))),"")</f>
        <v/>
      </c>
      <c r="G29" s="41">
        <f>IFERROR(IF(IFERROR(AGGREGATE(14,6,(Inventory!$G$6:$G$205+(205-ROW(Inventory!$G$6:$G$205))/10000)/(Inventory!$G$6:$G$205&gt;0),22),"")="","",INDEX(Inventory!$G$6:$G$205,IFERROR(MATCH(IFERROR(AGGREGATE(14,6,(Inventory!$G$6:$G$205+(205-ROW(Inventory!$G$6:$G$205))/10000)/(Inventory!$G$6:$G$205&gt;0),22),""),(Inventory!$G$6:$G$205+(205-ROW(Inventory!$G$6:$G$205))/10000),0),""))),"")</f>
        <v/>
      </c>
      <c r="H29" s="43">
        <f>IFERROR(IF(IFERROR(AGGREGATE(14,6,(Inventory!$G$6:$G$205+(205-ROW(Inventory!$G$6:$G$205))/10000)/(Inventory!$G$6:$G$205&gt;0),22),"")="","",INDEX(Inventory!$I$6:$I$205,IFERROR(MATCH(IFERROR(AGGREGATE(14,6,(Inventory!$G$6:$G$205+(205-ROW(Inventory!$G$6:$G$205))/10000)/(Inventory!$G$6:$G$205&gt;0),22),""),(Inventory!$G$6:$G$205+(205-ROW(Inventory!$G$6:$G$205))/10000),0),""))),"")</f>
        <v/>
      </c>
      <c r="I29" s="43">
        <f>IFERROR(IF(IFERROR(AGGREGATE(14,6,(Inventory!$G$6:$G$205+(205-ROW(Inventory!$G$6:$G$205))/10000)/(Inventory!$G$6:$G$205&gt;0),22),"")="","",INDEX(Inventory!$K$6:$K$205,IFERROR(MATCH(IFERROR(AGGREGATE(14,6,(Inventory!$G$6:$G$205+(205-ROW(Inventory!$G$6:$G$205))/10000)/(Inventory!$G$6:$G$205&gt;0),22),""),(Inventory!$G$6:$G$205+(205-ROW(Inventory!$G$6:$G$205))/10000),0),""))),"")</f>
        <v/>
      </c>
    </row>
    <row r="30" ht="16" customHeight="1">
      <c r="A30" s="46">
        <f>IFERROR(IF(IFERROR(AGGREGATE(14,6,(Inventory!$G$6:$G$205+(205-ROW(Inventory!$G$6:$G$205))/10000)/(Inventory!$G$6:$G$205&gt;0),23),"")="","",INDEX(Inventory!$A$6:$A$205,IFERROR(MATCH(IFERROR(AGGREGATE(14,6,(Inventory!$G$6:$G$205+(205-ROW(Inventory!$G$6:$G$205))/10000)/(Inventory!$G$6:$G$205&gt;0),23),""),(Inventory!$G$6:$G$205+(205-ROW(Inventory!$G$6:$G$205))/10000),0),""))),"")</f>
        <v/>
      </c>
      <c r="B30" s="46">
        <f>IFERROR(IF(IFERROR(AGGREGATE(14,6,(Inventory!$G$6:$G$205+(205-ROW(Inventory!$G$6:$G$205))/10000)/(Inventory!$G$6:$G$205&gt;0),23),"")="","",INDEX(Inventory!$B$6:$B$205,IFERROR(MATCH(IFERROR(AGGREGATE(14,6,(Inventory!$G$6:$G$205+(205-ROW(Inventory!$G$6:$G$205))/10000)/(Inventory!$G$6:$G$205&gt;0),23),""),(Inventory!$G$6:$G$205+(205-ROW(Inventory!$G$6:$G$205))/10000),0),""))),"")</f>
        <v/>
      </c>
      <c r="C30" s="46">
        <f>IFERROR(IF(IFERROR(AGGREGATE(14,6,(Inventory!$G$6:$G$205+(205-ROW(Inventory!$G$6:$G$205))/10000)/(Inventory!$G$6:$G$205&gt;0),23),"")="","",INDEX(Inventory!$D$6:$D$205,IFERROR(MATCH(IFERROR(AGGREGATE(14,6,(Inventory!$G$6:$G$205+(205-ROW(Inventory!$G$6:$G$205))/10000)/(Inventory!$G$6:$G$205&gt;0),23),""),(Inventory!$G$6:$G$205+(205-ROW(Inventory!$G$6:$G$205))/10000),0),""))),"")</f>
        <v/>
      </c>
      <c r="D30" s="46">
        <f>IFERROR(IF(IFERROR(AGGREGATE(14,6,(Inventory!$G$6:$G$205+(205-ROW(Inventory!$G$6:$G$205))/10000)/(Inventory!$G$6:$G$205&gt;0),23),"")="","",INDEX(Inventory!$H$6:$H$205,IFERROR(MATCH(IFERROR(AGGREGATE(14,6,(Inventory!$G$6:$G$205+(205-ROW(Inventory!$G$6:$G$205))/10000)/(Inventory!$G$6:$G$205&gt;0),23),""),(Inventory!$G$6:$G$205+(205-ROW(Inventory!$G$6:$G$205))/10000),0),""))),"")</f>
        <v/>
      </c>
      <c r="E30" s="41">
        <f>IFERROR(IF(IFERROR(AGGREGATE(14,6,(Inventory!$G$6:$G$205+(205-ROW(Inventory!$G$6:$G$205))/10000)/(Inventory!$G$6:$G$205&gt;0),23),"")="","",INDEX(Inventory!$E$6:$E$205,IFERROR(MATCH(IFERROR(AGGREGATE(14,6,(Inventory!$G$6:$G$205+(205-ROW(Inventory!$G$6:$G$205))/10000)/(Inventory!$G$6:$G$205&gt;0),23),""),(Inventory!$G$6:$G$205+(205-ROW(Inventory!$G$6:$G$205))/10000),0),""))),"")</f>
        <v/>
      </c>
      <c r="F30" s="41">
        <f>IFERROR(IF(IFERROR(AGGREGATE(14,6,(Inventory!$G$6:$G$205+(205-ROW(Inventory!$G$6:$G$205))/10000)/(Inventory!$G$6:$G$205&gt;0),23),"")="","",INDEX(Inventory!$F$6:$F$205,IFERROR(MATCH(IFERROR(AGGREGATE(14,6,(Inventory!$G$6:$G$205+(205-ROW(Inventory!$G$6:$G$205))/10000)/(Inventory!$G$6:$G$205&gt;0),23),""),(Inventory!$G$6:$G$205+(205-ROW(Inventory!$G$6:$G$205))/10000),0),""))),"")</f>
        <v/>
      </c>
      <c r="G30" s="41">
        <f>IFERROR(IF(IFERROR(AGGREGATE(14,6,(Inventory!$G$6:$G$205+(205-ROW(Inventory!$G$6:$G$205))/10000)/(Inventory!$G$6:$G$205&gt;0),23),"")="","",INDEX(Inventory!$G$6:$G$205,IFERROR(MATCH(IFERROR(AGGREGATE(14,6,(Inventory!$G$6:$G$205+(205-ROW(Inventory!$G$6:$G$205))/10000)/(Inventory!$G$6:$G$205&gt;0),23),""),(Inventory!$G$6:$G$205+(205-ROW(Inventory!$G$6:$G$205))/10000),0),""))),"")</f>
        <v/>
      </c>
      <c r="H30" s="43">
        <f>IFERROR(IF(IFERROR(AGGREGATE(14,6,(Inventory!$G$6:$G$205+(205-ROW(Inventory!$G$6:$G$205))/10000)/(Inventory!$G$6:$G$205&gt;0),23),"")="","",INDEX(Inventory!$I$6:$I$205,IFERROR(MATCH(IFERROR(AGGREGATE(14,6,(Inventory!$G$6:$G$205+(205-ROW(Inventory!$G$6:$G$205))/10000)/(Inventory!$G$6:$G$205&gt;0),23),""),(Inventory!$G$6:$G$205+(205-ROW(Inventory!$G$6:$G$205))/10000),0),""))),"")</f>
        <v/>
      </c>
      <c r="I30" s="43">
        <f>IFERROR(IF(IFERROR(AGGREGATE(14,6,(Inventory!$G$6:$G$205+(205-ROW(Inventory!$G$6:$G$205))/10000)/(Inventory!$G$6:$G$205&gt;0),23),"")="","",INDEX(Inventory!$K$6:$K$205,IFERROR(MATCH(IFERROR(AGGREGATE(14,6,(Inventory!$G$6:$G$205+(205-ROW(Inventory!$G$6:$G$205))/10000)/(Inventory!$G$6:$G$205&gt;0),23),""),(Inventory!$G$6:$G$205+(205-ROW(Inventory!$G$6:$G$205))/10000),0),""))),"")</f>
        <v/>
      </c>
    </row>
    <row r="31" ht="16" customHeight="1">
      <c r="A31" s="46">
        <f>IFERROR(IF(IFERROR(AGGREGATE(14,6,(Inventory!$G$6:$G$205+(205-ROW(Inventory!$G$6:$G$205))/10000)/(Inventory!$G$6:$G$205&gt;0),24),"")="","",INDEX(Inventory!$A$6:$A$205,IFERROR(MATCH(IFERROR(AGGREGATE(14,6,(Inventory!$G$6:$G$205+(205-ROW(Inventory!$G$6:$G$205))/10000)/(Inventory!$G$6:$G$205&gt;0),24),""),(Inventory!$G$6:$G$205+(205-ROW(Inventory!$G$6:$G$205))/10000),0),""))),"")</f>
        <v/>
      </c>
      <c r="B31" s="46">
        <f>IFERROR(IF(IFERROR(AGGREGATE(14,6,(Inventory!$G$6:$G$205+(205-ROW(Inventory!$G$6:$G$205))/10000)/(Inventory!$G$6:$G$205&gt;0),24),"")="","",INDEX(Inventory!$B$6:$B$205,IFERROR(MATCH(IFERROR(AGGREGATE(14,6,(Inventory!$G$6:$G$205+(205-ROW(Inventory!$G$6:$G$205))/10000)/(Inventory!$G$6:$G$205&gt;0),24),""),(Inventory!$G$6:$G$205+(205-ROW(Inventory!$G$6:$G$205))/10000),0),""))),"")</f>
        <v/>
      </c>
      <c r="C31" s="46">
        <f>IFERROR(IF(IFERROR(AGGREGATE(14,6,(Inventory!$G$6:$G$205+(205-ROW(Inventory!$G$6:$G$205))/10000)/(Inventory!$G$6:$G$205&gt;0),24),"")="","",INDEX(Inventory!$D$6:$D$205,IFERROR(MATCH(IFERROR(AGGREGATE(14,6,(Inventory!$G$6:$G$205+(205-ROW(Inventory!$G$6:$G$205))/10000)/(Inventory!$G$6:$G$205&gt;0),24),""),(Inventory!$G$6:$G$205+(205-ROW(Inventory!$G$6:$G$205))/10000),0),""))),"")</f>
        <v/>
      </c>
      <c r="D31" s="46">
        <f>IFERROR(IF(IFERROR(AGGREGATE(14,6,(Inventory!$G$6:$G$205+(205-ROW(Inventory!$G$6:$G$205))/10000)/(Inventory!$G$6:$G$205&gt;0),24),"")="","",INDEX(Inventory!$H$6:$H$205,IFERROR(MATCH(IFERROR(AGGREGATE(14,6,(Inventory!$G$6:$G$205+(205-ROW(Inventory!$G$6:$G$205))/10000)/(Inventory!$G$6:$G$205&gt;0),24),""),(Inventory!$G$6:$G$205+(205-ROW(Inventory!$G$6:$G$205))/10000),0),""))),"")</f>
        <v/>
      </c>
      <c r="E31" s="41">
        <f>IFERROR(IF(IFERROR(AGGREGATE(14,6,(Inventory!$G$6:$G$205+(205-ROW(Inventory!$G$6:$G$205))/10000)/(Inventory!$G$6:$G$205&gt;0),24),"")="","",INDEX(Inventory!$E$6:$E$205,IFERROR(MATCH(IFERROR(AGGREGATE(14,6,(Inventory!$G$6:$G$205+(205-ROW(Inventory!$G$6:$G$205))/10000)/(Inventory!$G$6:$G$205&gt;0),24),""),(Inventory!$G$6:$G$205+(205-ROW(Inventory!$G$6:$G$205))/10000),0),""))),"")</f>
        <v/>
      </c>
      <c r="F31" s="41">
        <f>IFERROR(IF(IFERROR(AGGREGATE(14,6,(Inventory!$G$6:$G$205+(205-ROW(Inventory!$G$6:$G$205))/10000)/(Inventory!$G$6:$G$205&gt;0),24),"")="","",INDEX(Inventory!$F$6:$F$205,IFERROR(MATCH(IFERROR(AGGREGATE(14,6,(Inventory!$G$6:$G$205+(205-ROW(Inventory!$G$6:$G$205))/10000)/(Inventory!$G$6:$G$205&gt;0),24),""),(Inventory!$G$6:$G$205+(205-ROW(Inventory!$G$6:$G$205))/10000),0),""))),"")</f>
        <v/>
      </c>
      <c r="G31" s="41">
        <f>IFERROR(IF(IFERROR(AGGREGATE(14,6,(Inventory!$G$6:$G$205+(205-ROW(Inventory!$G$6:$G$205))/10000)/(Inventory!$G$6:$G$205&gt;0),24),"")="","",INDEX(Inventory!$G$6:$G$205,IFERROR(MATCH(IFERROR(AGGREGATE(14,6,(Inventory!$G$6:$G$205+(205-ROW(Inventory!$G$6:$G$205))/10000)/(Inventory!$G$6:$G$205&gt;0),24),""),(Inventory!$G$6:$G$205+(205-ROW(Inventory!$G$6:$G$205))/10000),0),""))),"")</f>
        <v/>
      </c>
      <c r="H31" s="43">
        <f>IFERROR(IF(IFERROR(AGGREGATE(14,6,(Inventory!$G$6:$G$205+(205-ROW(Inventory!$G$6:$G$205))/10000)/(Inventory!$G$6:$G$205&gt;0),24),"")="","",INDEX(Inventory!$I$6:$I$205,IFERROR(MATCH(IFERROR(AGGREGATE(14,6,(Inventory!$G$6:$G$205+(205-ROW(Inventory!$G$6:$G$205))/10000)/(Inventory!$G$6:$G$205&gt;0),24),""),(Inventory!$G$6:$G$205+(205-ROW(Inventory!$G$6:$G$205))/10000),0),""))),"")</f>
        <v/>
      </c>
      <c r="I31" s="43">
        <f>IFERROR(IF(IFERROR(AGGREGATE(14,6,(Inventory!$G$6:$G$205+(205-ROW(Inventory!$G$6:$G$205))/10000)/(Inventory!$G$6:$G$205&gt;0),24),"")="","",INDEX(Inventory!$K$6:$K$205,IFERROR(MATCH(IFERROR(AGGREGATE(14,6,(Inventory!$G$6:$G$205+(205-ROW(Inventory!$G$6:$G$205))/10000)/(Inventory!$G$6:$G$205&gt;0),24),""),(Inventory!$G$6:$G$205+(205-ROW(Inventory!$G$6:$G$205))/10000),0),""))),"")</f>
        <v/>
      </c>
    </row>
    <row r="32" ht="16" customHeight="1">
      <c r="A32" s="46">
        <f>IFERROR(IF(IFERROR(AGGREGATE(14,6,(Inventory!$G$6:$G$205+(205-ROW(Inventory!$G$6:$G$205))/10000)/(Inventory!$G$6:$G$205&gt;0),25),"")="","",INDEX(Inventory!$A$6:$A$205,IFERROR(MATCH(IFERROR(AGGREGATE(14,6,(Inventory!$G$6:$G$205+(205-ROW(Inventory!$G$6:$G$205))/10000)/(Inventory!$G$6:$G$205&gt;0),25),""),(Inventory!$G$6:$G$205+(205-ROW(Inventory!$G$6:$G$205))/10000),0),""))),"")</f>
        <v/>
      </c>
      <c r="B32" s="46">
        <f>IFERROR(IF(IFERROR(AGGREGATE(14,6,(Inventory!$G$6:$G$205+(205-ROW(Inventory!$G$6:$G$205))/10000)/(Inventory!$G$6:$G$205&gt;0),25),"")="","",INDEX(Inventory!$B$6:$B$205,IFERROR(MATCH(IFERROR(AGGREGATE(14,6,(Inventory!$G$6:$G$205+(205-ROW(Inventory!$G$6:$G$205))/10000)/(Inventory!$G$6:$G$205&gt;0),25),""),(Inventory!$G$6:$G$205+(205-ROW(Inventory!$G$6:$G$205))/10000),0),""))),"")</f>
        <v/>
      </c>
      <c r="C32" s="46">
        <f>IFERROR(IF(IFERROR(AGGREGATE(14,6,(Inventory!$G$6:$G$205+(205-ROW(Inventory!$G$6:$G$205))/10000)/(Inventory!$G$6:$G$205&gt;0),25),"")="","",INDEX(Inventory!$D$6:$D$205,IFERROR(MATCH(IFERROR(AGGREGATE(14,6,(Inventory!$G$6:$G$205+(205-ROW(Inventory!$G$6:$G$205))/10000)/(Inventory!$G$6:$G$205&gt;0),25),""),(Inventory!$G$6:$G$205+(205-ROW(Inventory!$G$6:$G$205))/10000),0),""))),"")</f>
        <v/>
      </c>
      <c r="D32" s="46">
        <f>IFERROR(IF(IFERROR(AGGREGATE(14,6,(Inventory!$G$6:$G$205+(205-ROW(Inventory!$G$6:$G$205))/10000)/(Inventory!$G$6:$G$205&gt;0),25),"")="","",INDEX(Inventory!$H$6:$H$205,IFERROR(MATCH(IFERROR(AGGREGATE(14,6,(Inventory!$G$6:$G$205+(205-ROW(Inventory!$G$6:$G$205))/10000)/(Inventory!$G$6:$G$205&gt;0),25),""),(Inventory!$G$6:$G$205+(205-ROW(Inventory!$G$6:$G$205))/10000),0),""))),"")</f>
        <v/>
      </c>
      <c r="E32" s="41">
        <f>IFERROR(IF(IFERROR(AGGREGATE(14,6,(Inventory!$G$6:$G$205+(205-ROW(Inventory!$G$6:$G$205))/10000)/(Inventory!$G$6:$G$205&gt;0),25),"")="","",INDEX(Inventory!$E$6:$E$205,IFERROR(MATCH(IFERROR(AGGREGATE(14,6,(Inventory!$G$6:$G$205+(205-ROW(Inventory!$G$6:$G$205))/10000)/(Inventory!$G$6:$G$205&gt;0),25),""),(Inventory!$G$6:$G$205+(205-ROW(Inventory!$G$6:$G$205))/10000),0),""))),"")</f>
        <v/>
      </c>
      <c r="F32" s="41">
        <f>IFERROR(IF(IFERROR(AGGREGATE(14,6,(Inventory!$G$6:$G$205+(205-ROW(Inventory!$G$6:$G$205))/10000)/(Inventory!$G$6:$G$205&gt;0),25),"")="","",INDEX(Inventory!$F$6:$F$205,IFERROR(MATCH(IFERROR(AGGREGATE(14,6,(Inventory!$G$6:$G$205+(205-ROW(Inventory!$G$6:$G$205))/10000)/(Inventory!$G$6:$G$205&gt;0),25),""),(Inventory!$G$6:$G$205+(205-ROW(Inventory!$G$6:$G$205))/10000),0),""))),"")</f>
        <v/>
      </c>
      <c r="G32" s="41">
        <f>IFERROR(IF(IFERROR(AGGREGATE(14,6,(Inventory!$G$6:$G$205+(205-ROW(Inventory!$G$6:$G$205))/10000)/(Inventory!$G$6:$G$205&gt;0),25),"")="","",INDEX(Inventory!$G$6:$G$205,IFERROR(MATCH(IFERROR(AGGREGATE(14,6,(Inventory!$G$6:$G$205+(205-ROW(Inventory!$G$6:$G$205))/10000)/(Inventory!$G$6:$G$205&gt;0),25),""),(Inventory!$G$6:$G$205+(205-ROW(Inventory!$G$6:$G$205))/10000),0),""))),"")</f>
        <v/>
      </c>
      <c r="H32" s="43">
        <f>IFERROR(IF(IFERROR(AGGREGATE(14,6,(Inventory!$G$6:$G$205+(205-ROW(Inventory!$G$6:$G$205))/10000)/(Inventory!$G$6:$G$205&gt;0),25),"")="","",INDEX(Inventory!$I$6:$I$205,IFERROR(MATCH(IFERROR(AGGREGATE(14,6,(Inventory!$G$6:$G$205+(205-ROW(Inventory!$G$6:$G$205))/10000)/(Inventory!$G$6:$G$205&gt;0),25),""),(Inventory!$G$6:$G$205+(205-ROW(Inventory!$G$6:$G$205))/10000),0),""))),"")</f>
        <v/>
      </c>
      <c r="I32" s="43">
        <f>IFERROR(IF(IFERROR(AGGREGATE(14,6,(Inventory!$G$6:$G$205+(205-ROW(Inventory!$G$6:$G$205))/10000)/(Inventory!$G$6:$G$205&gt;0),25),"")="","",INDEX(Inventory!$K$6:$K$205,IFERROR(MATCH(IFERROR(AGGREGATE(14,6,(Inventory!$G$6:$G$205+(205-ROW(Inventory!$G$6:$G$205))/10000)/(Inventory!$G$6:$G$205&gt;0),25),""),(Inventory!$G$6:$G$205+(205-ROW(Inventory!$G$6:$G$205))/10000),0),""))),"")</f>
        <v/>
      </c>
    </row>
    <row r="33" ht="16" customHeight="1">
      <c r="A33" s="46">
        <f>IFERROR(IF(IFERROR(AGGREGATE(14,6,(Inventory!$G$6:$G$205+(205-ROW(Inventory!$G$6:$G$205))/10000)/(Inventory!$G$6:$G$205&gt;0),26),"")="","",INDEX(Inventory!$A$6:$A$205,IFERROR(MATCH(IFERROR(AGGREGATE(14,6,(Inventory!$G$6:$G$205+(205-ROW(Inventory!$G$6:$G$205))/10000)/(Inventory!$G$6:$G$205&gt;0),26),""),(Inventory!$G$6:$G$205+(205-ROW(Inventory!$G$6:$G$205))/10000),0),""))),"")</f>
        <v/>
      </c>
      <c r="B33" s="46">
        <f>IFERROR(IF(IFERROR(AGGREGATE(14,6,(Inventory!$G$6:$G$205+(205-ROW(Inventory!$G$6:$G$205))/10000)/(Inventory!$G$6:$G$205&gt;0),26),"")="","",INDEX(Inventory!$B$6:$B$205,IFERROR(MATCH(IFERROR(AGGREGATE(14,6,(Inventory!$G$6:$G$205+(205-ROW(Inventory!$G$6:$G$205))/10000)/(Inventory!$G$6:$G$205&gt;0),26),""),(Inventory!$G$6:$G$205+(205-ROW(Inventory!$G$6:$G$205))/10000),0),""))),"")</f>
        <v/>
      </c>
      <c r="C33" s="46">
        <f>IFERROR(IF(IFERROR(AGGREGATE(14,6,(Inventory!$G$6:$G$205+(205-ROW(Inventory!$G$6:$G$205))/10000)/(Inventory!$G$6:$G$205&gt;0),26),"")="","",INDEX(Inventory!$D$6:$D$205,IFERROR(MATCH(IFERROR(AGGREGATE(14,6,(Inventory!$G$6:$G$205+(205-ROW(Inventory!$G$6:$G$205))/10000)/(Inventory!$G$6:$G$205&gt;0),26),""),(Inventory!$G$6:$G$205+(205-ROW(Inventory!$G$6:$G$205))/10000),0),""))),"")</f>
        <v/>
      </c>
      <c r="D33" s="46">
        <f>IFERROR(IF(IFERROR(AGGREGATE(14,6,(Inventory!$G$6:$G$205+(205-ROW(Inventory!$G$6:$G$205))/10000)/(Inventory!$G$6:$G$205&gt;0),26),"")="","",INDEX(Inventory!$H$6:$H$205,IFERROR(MATCH(IFERROR(AGGREGATE(14,6,(Inventory!$G$6:$G$205+(205-ROW(Inventory!$G$6:$G$205))/10000)/(Inventory!$G$6:$G$205&gt;0),26),""),(Inventory!$G$6:$G$205+(205-ROW(Inventory!$G$6:$G$205))/10000),0),""))),"")</f>
        <v/>
      </c>
      <c r="E33" s="41">
        <f>IFERROR(IF(IFERROR(AGGREGATE(14,6,(Inventory!$G$6:$G$205+(205-ROW(Inventory!$G$6:$G$205))/10000)/(Inventory!$G$6:$G$205&gt;0),26),"")="","",INDEX(Inventory!$E$6:$E$205,IFERROR(MATCH(IFERROR(AGGREGATE(14,6,(Inventory!$G$6:$G$205+(205-ROW(Inventory!$G$6:$G$205))/10000)/(Inventory!$G$6:$G$205&gt;0),26),""),(Inventory!$G$6:$G$205+(205-ROW(Inventory!$G$6:$G$205))/10000),0),""))),"")</f>
        <v/>
      </c>
      <c r="F33" s="41">
        <f>IFERROR(IF(IFERROR(AGGREGATE(14,6,(Inventory!$G$6:$G$205+(205-ROW(Inventory!$G$6:$G$205))/10000)/(Inventory!$G$6:$G$205&gt;0),26),"")="","",INDEX(Inventory!$F$6:$F$205,IFERROR(MATCH(IFERROR(AGGREGATE(14,6,(Inventory!$G$6:$G$205+(205-ROW(Inventory!$G$6:$G$205))/10000)/(Inventory!$G$6:$G$205&gt;0),26),""),(Inventory!$G$6:$G$205+(205-ROW(Inventory!$G$6:$G$205))/10000),0),""))),"")</f>
        <v/>
      </c>
      <c r="G33" s="41">
        <f>IFERROR(IF(IFERROR(AGGREGATE(14,6,(Inventory!$G$6:$G$205+(205-ROW(Inventory!$G$6:$G$205))/10000)/(Inventory!$G$6:$G$205&gt;0),26),"")="","",INDEX(Inventory!$G$6:$G$205,IFERROR(MATCH(IFERROR(AGGREGATE(14,6,(Inventory!$G$6:$G$205+(205-ROW(Inventory!$G$6:$G$205))/10000)/(Inventory!$G$6:$G$205&gt;0),26),""),(Inventory!$G$6:$G$205+(205-ROW(Inventory!$G$6:$G$205))/10000),0),""))),"")</f>
        <v/>
      </c>
      <c r="H33" s="43">
        <f>IFERROR(IF(IFERROR(AGGREGATE(14,6,(Inventory!$G$6:$G$205+(205-ROW(Inventory!$G$6:$G$205))/10000)/(Inventory!$G$6:$G$205&gt;0),26),"")="","",INDEX(Inventory!$I$6:$I$205,IFERROR(MATCH(IFERROR(AGGREGATE(14,6,(Inventory!$G$6:$G$205+(205-ROW(Inventory!$G$6:$G$205))/10000)/(Inventory!$G$6:$G$205&gt;0),26),""),(Inventory!$G$6:$G$205+(205-ROW(Inventory!$G$6:$G$205))/10000),0),""))),"")</f>
        <v/>
      </c>
      <c r="I33" s="43">
        <f>IFERROR(IF(IFERROR(AGGREGATE(14,6,(Inventory!$G$6:$G$205+(205-ROW(Inventory!$G$6:$G$205))/10000)/(Inventory!$G$6:$G$205&gt;0),26),"")="","",INDEX(Inventory!$K$6:$K$205,IFERROR(MATCH(IFERROR(AGGREGATE(14,6,(Inventory!$G$6:$G$205+(205-ROW(Inventory!$G$6:$G$205))/10000)/(Inventory!$G$6:$G$205&gt;0),26),""),(Inventory!$G$6:$G$205+(205-ROW(Inventory!$G$6:$G$205))/10000),0),""))),"")</f>
        <v/>
      </c>
    </row>
    <row r="34" ht="16" customHeight="1">
      <c r="A34" s="46">
        <f>IFERROR(IF(IFERROR(AGGREGATE(14,6,(Inventory!$G$6:$G$205+(205-ROW(Inventory!$G$6:$G$205))/10000)/(Inventory!$G$6:$G$205&gt;0),27),"")="","",INDEX(Inventory!$A$6:$A$205,IFERROR(MATCH(IFERROR(AGGREGATE(14,6,(Inventory!$G$6:$G$205+(205-ROW(Inventory!$G$6:$G$205))/10000)/(Inventory!$G$6:$G$205&gt;0),27),""),(Inventory!$G$6:$G$205+(205-ROW(Inventory!$G$6:$G$205))/10000),0),""))),"")</f>
        <v/>
      </c>
      <c r="B34" s="46">
        <f>IFERROR(IF(IFERROR(AGGREGATE(14,6,(Inventory!$G$6:$G$205+(205-ROW(Inventory!$G$6:$G$205))/10000)/(Inventory!$G$6:$G$205&gt;0),27),"")="","",INDEX(Inventory!$B$6:$B$205,IFERROR(MATCH(IFERROR(AGGREGATE(14,6,(Inventory!$G$6:$G$205+(205-ROW(Inventory!$G$6:$G$205))/10000)/(Inventory!$G$6:$G$205&gt;0),27),""),(Inventory!$G$6:$G$205+(205-ROW(Inventory!$G$6:$G$205))/10000),0),""))),"")</f>
        <v/>
      </c>
      <c r="C34" s="46">
        <f>IFERROR(IF(IFERROR(AGGREGATE(14,6,(Inventory!$G$6:$G$205+(205-ROW(Inventory!$G$6:$G$205))/10000)/(Inventory!$G$6:$G$205&gt;0),27),"")="","",INDEX(Inventory!$D$6:$D$205,IFERROR(MATCH(IFERROR(AGGREGATE(14,6,(Inventory!$G$6:$G$205+(205-ROW(Inventory!$G$6:$G$205))/10000)/(Inventory!$G$6:$G$205&gt;0),27),""),(Inventory!$G$6:$G$205+(205-ROW(Inventory!$G$6:$G$205))/10000),0),""))),"")</f>
        <v/>
      </c>
      <c r="D34" s="46">
        <f>IFERROR(IF(IFERROR(AGGREGATE(14,6,(Inventory!$G$6:$G$205+(205-ROW(Inventory!$G$6:$G$205))/10000)/(Inventory!$G$6:$G$205&gt;0),27),"")="","",INDEX(Inventory!$H$6:$H$205,IFERROR(MATCH(IFERROR(AGGREGATE(14,6,(Inventory!$G$6:$G$205+(205-ROW(Inventory!$G$6:$G$205))/10000)/(Inventory!$G$6:$G$205&gt;0),27),""),(Inventory!$G$6:$G$205+(205-ROW(Inventory!$G$6:$G$205))/10000),0),""))),"")</f>
        <v/>
      </c>
      <c r="E34" s="41">
        <f>IFERROR(IF(IFERROR(AGGREGATE(14,6,(Inventory!$G$6:$G$205+(205-ROW(Inventory!$G$6:$G$205))/10000)/(Inventory!$G$6:$G$205&gt;0),27),"")="","",INDEX(Inventory!$E$6:$E$205,IFERROR(MATCH(IFERROR(AGGREGATE(14,6,(Inventory!$G$6:$G$205+(205-ROW(Inventory!$G$6:$G$205))/10000)/(Inventory!$G$6:$G$205&gt;0),27),""),(Inventory!$G$6:$G$205+(205-ROW(Inventory!$G$6:$G$205))/10000),0),""))),"")</f>
        <v/>
      </c>
      <c r="F34" s="41">
        <f>IFERROR(IF(IFERROR(AGGREGATE(14,6,(Inventory!$G$6:$G$205+(205-ROW(Inventory!$G$6:$G$205))/10000)/(Inventory!$G$6:$G$205&gt;0),27),"")="","",INDEX(Inventory!$F$6:$F$205,IFERROR(MATCH(IFERROR(AGGREGATE(14,6,(Inventory!$G$6:$G$205+(205-ROW(Inventory!$G$6:$G$205))/10000)/(Inventory!$G$6:$G$205&gt;0),27),""),(Inventory!$G$6:$G$205+(205-ROW(Inventory!$G$6:$G$205))/10000),0),""))),"")</f>
        <v/>
      </c>
      <c r="G34" s="41">
        <f>IFERROR(IF(IFERROR(AGGREGATE(14,6,(Inventory!$G$6:$G$205+(205-ROW(Inventory!$G$6:$G$205))/10000)/(Inventory!$G$6:$G$205&gt;0),27),"")="","",INDEX(Inventory!$G$6:$G$205,IFERROR(MATCH(IFERROR(AGGREGATE(14,6,(Inventory!$G$6:$G$205+(205-ROW(Inventory!$G$6:$G$205))/10000)/(Inventory!$G$6:$G$205&gt;0),27),""),(Inventory!$G$6:$G$205+(205-ROW(Inventory!$G$6:$G$205))/10000),0),""))),"")</f>
        <v/>
      </c>
      <c r="H34" s="43">
        <f>IFERROR(IF(IFERROR(AGGREGATE(14,6,(Inventory!$G$6:$G$205+(205-ROW(Inventory!$G$6:$G$205))/10000)/(Inventory!$G$6:$G$205&gt;0),27),"")="","",INDEX(Inventory!$I$6:$I$205,IFERROR(MATCH(IFERROR(AGGREGATE(14,6,(Inventory!$G$6:$G$205+(205-ROW(Inventory!$G$6:$G$205))/10000)/(Inventory!$G$6:$G$205&gt;0),27),""),(Inventory!$G$6:$G$205+(205-ROW(Inventory!$G$6:$G$205))/10000),0),""))),"")</f>
        <v/>
      </c>
      <c r="I34" s="43">
        <f>IFERROR(IF(IFERROR(AGGREGATE(14,6,(Inventory!$G$6:$G$205+(205-ROW(Inventory!$G$6:$G$205))/10000)/(Inventory!$G$6:$G$205&gt;0),27),"")="","",INDEX(Inventory!$K$6:$K$205,IFERROR(MATCH(IFERROR(AGGREGATE(14,6,(Inventory!$G$6:$G$205+(205-ROW(Inventory!$G$6:$G$205))/10000)/(Inventory!$G$6:$G$205&gt;0),27),""),(Inventory!$G$6:$G$205+(205-ROW(Inventory!$G$6:$G$205))/10000),0),""))),"")</f>
        <v/>
      </c>
    </row>
    <row r="35" ht="16" customHeight="1">
      <c r="A35" s="46">
        <f>IFERROR(IF(IFERROR(AGGREGATE(14,6,(Inventory!$G$6:$G$205+(205-ROW(Inventory!$G$6:$G$205))/10000)/(Inventory!$G$6:$G$205&gt;0),28),"")="","",INDEX(Inventory!$A$6:$A$205,IFERROR(MATCH(IFERROR(AGGREGATE(14,6,(Inventory!$G$6:$G$205+(205-ROW(Inventory!$G$6:$G$205))/10000)/(Inventory!$G$6:$G$205&gt;0),28),""),(Inventory!$G$6:$G$205+(205-ROW(Inventory!$G$6:$G$205))/10000),0),""))),"")</f>
        <v/>
      </c>
      <c r="B35" s="46">
        <f>IFERROR(IF(IFERROR(AGGREGATE(14,6,(Inventory!$G$6:$G$205+(205-ROW(Inventory!$G$6:$G$205))/10000)/(Inventory!$G$6:$G$205&gt;0),28),"")="","",INDEX(Inventory!$B$6:$B$205,IFERROR(MATCH(IFERROR(AGGREGATE(14,6,(Inventory!$G$6:$G$205+(205-ROW(Inventory!$G$6:$G$205))/10000)/(Inventory!$G$6:$G$205&gt;0),28),""),(Inventory!$G$6:$G$205+(205-ROW(Inventory!$G$6:$G$205))/10000),0),""))),"")</f>
        <v/>
      </c>
      <c r="C35" s="46">
        <f>IFERROR(IF(IFERROR(AGGREGATE(14,6,(Inventory!$G$6:$G$205+(205-ROW(Inventory!$G$6:$G$205))/10000)/(Inventory!$G$6:$G$205&gt;0),28),"")="","",INDEX(Inventory!$D$6:$D$205,IFERROR(MATCH(IFERROR(AGGREGATE(14,6,(Inventory!$G$6:$G$205+(205-ROW(Inventory!$G$6:$G$205))/10000)/(Inventory!$G$6:$G$205&gt;0),28),""),(Inventory!$G$6:$G$205+(205-ROW(Inventory!$G$6:$G$205))/10000),0),""))),"")</f>
        <v/>
      </c>
      <c r="D35" s="46">
        <f>IFERROR(IF(IFERROR(AGGREGATE(14,6,(Inventory!$G$6:$G$205+(205-ROW(Inventory!$G$6:$G$205))/10000)/(Inventory!$G$6:$G$205&gt;0),28),"")="","",INDEX(Inventory!$H$6:$H$205,IFERROR(MATCH(IFERROR(AGGREGATE(14,6,(Inventory!$G$6:$G$205+(205-ROW(Inventory!$G$6:$G$205))/10000)/(Inventory!$G$6:$G$205&gt;0),28),""),(Inventory!$G$6:$G$205+(205-ROW(Inventory!$G$6:$G$205))/10000),0),""))),"")</f>
        <v/>
      </c>
      <c r="E35" s="41">
        <f>IFERROR(IF(IFERROR(AGGREGATE(14,6,(Inventory!$G$6:$G$205+(205-ROW(Inventory!$G$6:$G$205))/10000)/(Inventory!$G$6:$G$205&gt;0),28),"")="","",INDEX(Inventory!$E$6:$E$205,IFERROR(MATCH(IFERROR(AGGREGATE(14,6,(Inventory!$G$6:$G$205+(205-ROW(Inventory!$G$6:$G$205))/10000)/(Inventory!$G$6:$G$205&gt;0),28),""),(Inventory!$G$6:$G$205+(205-ROW(Inventory!$G$6:$G$205))/10000),0),""))),"")</f>
        <v/>
      </c>
      <c r="F35" s="41">
        <f>IFERROR(IF(IFERROR(AGGREGATE(14,6,(Inventory!$G$6:$G$205+(205-ROW(Inventory!$G$6:$G$205))/10000)/(Inventory!$G$6:$G$205&gt;0),28),"")="","",INDEX(Inventory!$F$6:$F$205,IFERROR(MATCH(IFERROR(AGGREGATE(14,6,(Inventory!$G$6:$G$205+(205-ROW(Inventory!$G$6:$G$205))/10000)/(Inventory!$G$6:$G$205&gt;0),28),""),(Inventory!$G$6:$G$205+(205-ROW(Inventory!$G$6:$G$205))/10000),0),""))),"")</f>
        <v/>
      </c>
      <c r="G35" s="41">
        <f>IFERROR(IF(IFERROR(AGGREGATE(14,6,(Inventory!$G$6:$G$205+(205-ROW(Inventory!$G$6:$G$205))/10000)/(Inventory!$G$6:$G$205&gt;0),28),"")="","",INDEX(Inventory!$G$6:$G$205,IFERROR(MATCH(IFERROR(AGGREGATE(14,6,(Inventory!$G$6:$G$205+(205-ROW(Inventory!$G$6:$G$205))/10000)/(Inventory!$G$6:$G$205&gt;0),28),""),(Inventory!$G$6:$G$205+(205-ROW(Inventory!$G$6:$G$205))/10000),0),""))),"")</f>
        <v/>
      </c>
      <c r="H35" s="43">
        <f>IFERROR(IF(IFERROR(AGGREGATE(14,6,(Inventory!$G$6:$G$205+(205-ROW(Inventory!$G$6:$G$205))/10000)/(Inventory!$G$6:$G$205&gt;0),28),"")="","",INDEX(Inventory!$I$6:$I$205,IFERROR(MATCH(IFERROR(AGGREGATE(14,6,(Inventory!$G$6:$G$205+(205-ROW(Inventory!$G$6:$G$205))/10000)/(Inventory!$G$6:$G$205&gt;0),28),""),(Inventory!$G$6:$G$205+(205-ROW(Inventory!$G$6:$G$205))/10000),0),""))),"")</f>
        <v/>
      </c>
      <c r="I35" s="43">
        <f>IFERROR(IF(IFERROR(AGGREGATE(14,6,(Inventory!$G$6:$G$205+(205-ROW(Inventory!$G$6:$G$205))/10000)/(Inventory!$G$6:$G$205&gt;0),28),"")="","",INDEX(Inventory!$K$6:$K$205,IFERROR(MATCH(IFERROR(AGGREGATE(14,6,(Inventory!$G$6:$G$205+(205-ROW(Inventory!$G$6:$G$205))/10000)/(Inventory!$G$6:$G$205&gt;0),28),""),(Inventory!$G$6:$G$205+(205-ROW(Inventory!$G$6:$G$205))/10000),0),""))),"")</f>
        <v/>
      </c>
    </row>
    <row r="36" ht="16" customHeight="1">
      <c r="A36" s="46">
        <f>IFERROR(IF(IFERROR(AGGREGATE(14,6,(Inventory!$G$6:$G$205+(205-ROW(Inventory!$G$6:$G$205))/10000)/(Inventory!$G$6:$G$205&gt;0),29),"")="","",INDEX(Inventory!$A$6:$A$205,IFERROR(MATCH(IFERROR(AGGREGATE(14,6,(Inventory!$G$6:$G$205+(205-ROW(Inventory!$G$6:$G$205))/10000)/(Inventory!$G$6:$G$205&gt;0),29),""),(Inventory!$G$6:$G$205+(205-ROW(Inventory!$G$6:$G$205))/10000),0),""))),"")</f>
        <v/>
      </c>
      <c r="B36" s="46">
        <f>IFERROR(IF(IFERROR(AGGREGATE(14,6,(Inventory!$G$6:$G$205+(205-ROW(Inventory!$G$6:$G$205))/10000)/(Inventory!$G$6:$G$205&gt;0),29),"")="","",INDEX(Inventory!$B$6:$B$205,IFERROR(MATCH(IFERROR(AGGREGATE(14,6,(Inventory!$G$6:$G$205+(205-ROW(Inventory!$G$6:$G$205))/10000)/(Inventory!$G$6:$G$205&gt;0),29),""),(Inventory!$G$6:$G$205+(205-ROW(Inventory!$G$6:$G$205))/10000),0),""))),"")</f>
        <v/>
      </c>
      <c r="C36" s="46">
        <f>IFERROR(IF(IFERROR(AGGREGATE(14,6,(Inventory!$G$6:$G$205+(205-ROW(Inventory!$G$6:$G$205))/10000)/(Inventory!$G$6:$G$205&gt;0),29),"")="","",INDEX(Inventory!$D$6:$D$205,IFERROR(MATCH(IFERROR(AGGREGATE(14,6,(Inventory!$G$6:$G$205+(205-ROW(Inventory!$G$6:$G$205))/10000)/(Inventory!$G$6:$G$205&gt;0),29),""),(Inventory!$G$6:$G$205+(205-ROW(Inventory!$G$6:$G$205))/10000),0),""))),"")</f>
        <v/>
      </c>
      <c r="D36" s="46">
        <f>IFERROR(IF(IFERROR(AGGREGATE(14,6,(Inventory!$G$6:$G$205+(205-ROW(Inventory!$G$6:$G$205))/10000)/(Inventory!$G$6:$G$205&gt;0),29),"")="","",INDEX(Inventory!$H$6:$H$205,IFERROR(MATCH(IFERROR(AGGREGATE(14,6,(Inventory!$G$6:$G$205+(205-ROW(Inventory!$G$6:$G$205))/10000)/(Inventory!$G$6:$G$205&gt;0),29),""),(Inventory!$G$6:$G$205+(205-ROW(Inventory!$G$6:$G$205))/10000),0),""))),"")</f>
        <v/>
      </c>
      <c r="E36" s="41">
        <f>IFERROR(IF(IFERROR(AGGREGATE(14,6,(Inventory!$G$6:$G$205+(205-ROW(Inventory!$G$6:$G$205))/10000)/(Inventory!$G$6:$G$205&gt;0),29),"")="","",INDEX(Inventory!$E$6:$E$205,IFERROR(MATCH(IFERROR(AGGREGATE(14,6,(Inventory!$G$6:$G$205+(205-ROW(Inventory!$G$6:$G$205))/10000)/(Inventory!$G$6:$G$205&gt;0),29),""),(Inventory!$G$6:$G$205+(205-ROW(Inventory!$G$6:$G$205))/10000),0),""))),"")</f>
        <v/>
      </c>
      <c r="F36" s="41">
        <f>IFERROR(IF(IFERROR(AGGREGATE(14,6,(Inventory!$G$6:$G$205+(205-ROW(Inventory!$G$6:$G$205))/10000)/(Inventory!$G$6:$G$205&gt;0),29),"")="","",INDEX(Inventory!$F$6:$F$205,IFERROR(MATCH(IFERROR(AGGREGATE(14,6,(Inventory!$G$6:$G$205+(205-ROW(Inventory!$G$6:$G$205))/10000)/(Inventory!$G$6:$G$205&gt;0),29),""),(Inventory!$G$6:$G$205+(205-ROW(Inventory!$G$6:$G$205))/10000),0),""))),"")</f>
        <v/>
      </c>
      <c r="G36" s="41">
        <f>IFERROR(IF(IFERROR(AGGREGATE(14,6,(Inventory!$G$6:$G$205+(205-ROW(Inventory!$G$6:$G$205))/10000)/(Inventory!$G$6:$G$205&gt;0),29),"")="","",INDEX(Inventory!$G$6:$G$205,IFERROR(MATCH(IFERROR(AGGREGATE(14,6,(Inventory!$G$6:$G$205+(205-ROW(Inventory!$G$6:$G$205))/10000)/(Inventory!$G$6:$G$205&gt;0),29),""),(Inventory!$G$6:$G$205+(205-ROW(Inventory!$G$6:$G$205))/10000),0),""))),"")</f>
        <v/>
      </c>
      <c r="H36" s="43">
        <f>IFERROR(IF(IFERROR(AGGREGATE(14,6,(Inventory!$G$6:$G$205+(205-ROW(Inventory!$G$6:$G$205))/10000)/(Inventory!$G$6:$G$205&gt;0),29),"")="","",INDEX(Inventory!$I$6:$I$205,IFERROR(MATCH(IFERROR(AGGREGATE(14,6,(Inventory!$G$6:$G$205+(205-ROW(Inventory!$G$6:$G$205))/10000)/(Inventory!$G$6:$G$205&gt;0),29),""),(Inventory!$G$6:$G$205+(205-ROW(Inventory!$G$6:$G$205))/10000),0),""))),"")</f>
        <v/>
      </c>
      <c r="I36" s="43">
        <f>IFERROR(IF(IFERROR(AGGREGATE(14,6,(Inventory!$G$6:$G$205+(205-ROW(Inventory!$G$6:$G$205))/10000)/(Inventory!$G$6:$G$205&gt;0),29),"")="","",INDEX(Inventory!$K$6:$K$205,IFERROR(MATCH(IFERROR(AGGREGATE(14,6,(Inventory!$G$6:$G$205+(205-ROW(Inventory!$G$6:$G$205))/10000)/(Inventory!$G$6:$G$205&gt;0),29),""),(Inventory!$G$6:$G$205+(205-ROW(Inventory!$G$6:$G$205))/10000),0),""))),"")</f>
        <v/>
      </c>
    </row>
    <row r="37" ht="16" customHeight="1">
      <c r="A37" s="46">
        <f>IFERROR(IF(IFERROR(AGGREGATE(14,6,(Inventory!$G$6:$G$205+(205-ROW(Inventory!$G$6:$G$205))/10000)/(Inventory!$G$6:$G$205&gt;0),30),"")="","",INDEX(Inventory!$A$6:$A$205,IFERROR(MATCH(IFERROR(AGGREGATE(14,6,(Inventory!$G$6:$G$205+(205-ROW(Inventory!$G$6:$G$205))/10000)/(Inventory!$G$6:$G$205&gt;0),30),""),(Inventory!$G$6:$G$205+(205-ROW(Inventory!$G$6:$G$205))/10000),0),""))),"")</f>
        <v/>
      </c>
      <c r="B37" s="46">
        <f>IFERROR(IF(IFERROR(AGGREGATE(14,6,(Inventory!$G$6:$G$205+(205-ROW(Inventory!$G$6:$G$205))/10000)/(Inventory!$G$6:$G$205&gt;0),30),"")="","",INDEX(Inventory!$B$6:$B$205,IFERROR(MATCH(IFERROR(AGGREGATE(14,6,(Inventory!$G$6:$G$205+(205-ROW(Inventory!$G$6:$G$205))/10000)/(Inventory!$G$6:$G$205&gt;0),30),""),(Inventory!$G$6:$G$205+(205-ROW(Inventory!$G$6:$G$205))/10000),0),""))),"")</f>
        <v/>
      </c>
      <c r="C37" s="46">
        <f>IFERROR(IF(IFERROR(AGGREGATE(14,6,(Inventory!$G$6:$G$205+(205-ROW(Inventory!$G$6:$G$205))/10000)/(Inventory!$G$6:$G$205&gt;0),30),"")="","",INDEX(Inventory!$D$6:$D$205,IFERROR(MATCH(IFERROR(AGGREGATE(14,6,(Inventory!$G$6:$G$205+(205-ROW(Inventory!$G$6:$G$205))/10000)/(Inventory!$G$6:$G$205&gt;0),30),""),(Inventory!$G$6:$G$205+(205-ROW(Inventory!$G$6:$G$205))/10000),0),""))),"")</f>
        <v/>
      </c>
      <c r="D37" s="46">
        <f>IFERROR(IF(IFERROR(AGGREGATE(14,6,(Inventory!$G$6:$G$205+(205-ROW(Inventory!$G$6:$G$205))/10000)/(Inventory!$G$6:$G$205&gt;0),30),"")="","",INDEX(Inventory!$H$6:$H$205,IFERROR(MATCH(IFERROR(AGGREGATE(14,6,(Inventory!$G$6:$G$205+(205-ROW(Inventory!$G$6:$G$205))/10000)/(Inventory!$G$6:$G$205&gt;0),30),""),(Inventory!$G$6:$G$205+(205-ROW(Inventory!$G$6:$G$205))/10000),0),""))),"")</f>
        <v/>
      </c>
      <c r="E37" s="41">
        <f>IFERROR(IF(IFERROR(AGGREGATE(14,6,(Inventory!$G$6:$G$205+(205-ROW(Inventory!$G$6:$G$205))/10000)/(Inventory!$G$6:$G$205&gt;0),30),"")="","",INDEX(Inventory!$E$6:$E$205,IFERROR(MATCH(IFERROR(AGGREGATE(14,6,(Inventory!$G$6:$G$205+(205-ROW(Inventory!$G$6:$G$205))/10000)/(Inventory!$G$6:$G$205&gt;0),30),""),(Inventory!$G$6:$G$205+(205-ROW(Inventory!$G$6:$G$205))/10000),0),""))),"")</f>
        <v/>
      </c>
      <c r="F37" s="41">
        <f>IFERROR(IF(IFERROR(AGGREGATE(14,6,(Inventory!$G$6:$G$205+(205-ROW(Inventory!$G$6:$G$205))/10000)/(Inventory!$G$6:$G$205&gt;0),30),"")="","",INDEX(Inventory!$F$6:$F$205,IFERROR(MATCH(IFERROR(AGGREGATE(14,6,(Inventory!$G$6:$G$205+(205-ROW(Inventory!$G$6:$G$205))/10000)/(Inventory!$G$6:$G$205&gt;0),30),""),(Inventory!$G$6:$G$205+(205-ROW(Inventory!$G$6:$G$205))/10000),0),""))),"")</f>
        <v/>
      </c>
      <c r="G37" s="41">
        <f>IFERROR(IF(IFERROR(AGGREGATE(14,6,(Inventory!$G$6:$G$205+(205-ROW(Inventory!$G$6:$G$205))/10000)/(Inventory!$G$6:$G$205&gt;0),30),"")="","",INDEX(Inventory!$G$6:$G$205,IFERROR(MATCH(IFERROR(AGGREGATE(14,6,(Inventory!$G$6:$G$205+(205-ROW(Inventory!$G$6:$G$205))/10000)/(Inventory!$G$6:$G$205&gt;0),30),""),(Inventory!$G$6:$G$205+(205-ROW(Inventory!$G$6:$G$205))/10000),0),""))),"")</f>
        <v/>
      </c>
      <c r="H37" s="43">
        <f>IFERROR(IF(IFERROR(AGGREGATE(14,6,(Inventory!$G$6:$G$205+(205-ROW(Inventory!$G$6:$G$205))/10000)/(Inventory!$G$6:$G$205&gt;0),30),"")="","",INDEX(Inventory!$I$6:$I$205,IFERROR(MATCH(IFERROR(AGGREGATE(14,6,(Inventory!$G$6:$G$205+(205-ROW(Inventory!$G$6:$G$205))/10000)/(Inventory!$G$6:$G$205&gt;0),30),""),(Inventory!$G$6:$G$205+(205-ROW(Inventory!$G$6:$G$205))/10000),0),""))),"")</f>
        <v/>
      </c>
      <c r="I37" s="43">
        <f>IFERROR(IF(IFERROR(AGGREGATE(14,6,(Inventory!$G$6:$G$205+(205-ROW(Inventory!$G$6:$G$205))/10000)/(Inventory!$G$6:$G$205&gt;0),30),"")="","",INDEX(Inventory!$K$6:$K$205,IFERROR(MATCH(IFERROR(AGGREGATE(14,6,(Inventory!$G$6:$G$205+(205-ROW(Inventory!$G$6:$G$205))/10000)/(Inventory!$G$6:$G$205&gt;0),30),""),(Inventory!$G$6:$G$205+(205-ROW(Inventory!$G$6:$G$205))/10000),0),""))),"")</f>
        <v/>
      </c>
    </row>
    <row r="38" ht="16" customHeight="1">
      <c r="A38" s="46">
        <f>IFERROR(IF(IFERROR(AGGREGATE(14,6,(Inventory!$G$6:$G$205+(205-ROW(Inventory!$G$6:$G$205))/10000)/(Inventory!$G$6:$G$205&gt;0),31),"")="","",INDEX(Inventory!$A$6:$A$205,IFERROR(MATCH(IFERROR(AGGREGATE(14,6,(Inventory!$G$6:$G$205+(205-ROW(Inventory!$G$6:$G$205))/10000)/(Inventory!$G$6:$G$205&gt;0),31),""),(Inventory!$G$6:$G$205+(205-ROW(Inventory!$G$6:$G$205))/10000),0),""))),"")</f>
        <v/>
      </c>
      <c r="B38" s="46">
        <f>IFERROR(IF(IFERROR(AGGREGATE(14,6,(Inventory!$G$6:$G$205+(205-ROW(Inventory!$G$6:$G$205))/10000)/(Inventory!$G$6:$G$205&gt;0),31),"")="","",INDEX(Inventory!$B$6:$B$205,IFERROR(MATCH(IFERROR(AGGREGATE(14,6,(Inventory!$G$6:$G$205+(205-ROW(Inventory!$G$6:$G$205))/10000)/(Inventory!$G$6:$G$205&gt;0),31),""),(Inventory!$G$6:$G$205+(205-ROW(Inventory!$G$6:$G$205))/10000),0),""))),"")</f>
        <v/>
      </c>
      <c r="C38" s="46">
        <f>IFERROR(IF(IFERROR(AGGREGATE(14,6,(Inventory!$G$6:$G$205+(205-ROW(Inventory!$G$6:$G$205))/10000)/(Inventory!$G$6:$G$205&gt;0),31),"")="","",INDEX(Inventory!$D$6:$D$205,IFERROR(MATCH(IFERROR(AGGREGATE(14,6,(Inventory!$G$6:$G$205+(205-ROW(Inventory!$G$6:$G$205))/10000)/(Inventory!$G$6:$G$205&gt;0),31),""),(Inventory!$G$6:$G$205+(205-ROW(Inventory!$G$6:$G$205))/10000),0),""))),"")</f>
        <v/>
      </c>
      <c r="D38" s="46">
        <f>IFERROR(IF(IFERROR(AGGREGATE(14,6,(Inventory!$G$6:$G$205+(205-ROW(Inventory!$G$6:$G$205))/10000)/(Inventory!$G$6:$G$205&gt;0),31),"")="","",INDEX(Inventory!$H$6:$H$205,IFERROR(MATCH(IFERROR(AGGREGATE(14,6,(Inventory!$G$6:$G$205+(205-ROW(Inventory!$G$6:$G$205))/10000)/(Inventory!$G$6:$G$205&gt;0),31),""),(Inventory!$G$6:$G$205+(205-ROW(Inventory!$G$6:$G$205))/10000),0),""))),"")</f>
        <v/>
      </c>
      <c r="E38" s="41">
        <f>IFERROR(IF(IFERROR(AGGREGATE(14,6,(Inventory!$G$6:$G$205+(205-ROW(Inventory!$G$6:$G$205))/10000)/(Inventory!$G$6:$G$205&gt;0),31),"")="","",INDEX(Inventory!$E$6:$E$205,IFERROR(MATCH(IFERROR(AGGREGATE(14,6,(Inventory!$G$6:$G$205+(205-ROW(Inventory!$G$6:$G$205))/10000)/(Inventory!$G$6:$G$205&gt;0),31),""),(Inventory!$G$6:$G$205+(205-ROW(Inventory!$G$6:$G$205))/10000),0),""))),"")</f>
        <v/>
      </c>
      <c r="F38" s="41">
        <f>IFERROR(IF(IFERROR(AGGREGATE(14,6,(Inventory!$G$6:$G$205+(205-ROW(Inventory!$G$6:$G$205))/10000)/(Inventory!$G$6:$G$205&gt;0),31),"")="","",INDEX(Inventory!$F$6:$F$205,IFERROR(MATCH(IFERROR(AGGREGATE(14,6,(Inventory!$G$6:$G$205+(205-ROW(Inventory!$G$6:$G$205))/10000)/(Inventory!$G$6:$G$205&gt;0),31),""),(Inventory!$G$6:$G$205+(205-ROW(Inventory!$G$6:$G$205))/10000),0),""))),"")</f>
        <v/>
      </c>
      <c r="G38" s="41">
        <f>IFERROR(IF(IFERROR(AGGREGATE(14,6,(Inventory!$G$6:$G$205+(205-ROW(Inventory!$G$6:$G$205))/10000)/(Inventory!$G$6:$G$205&gt;0),31),"")="","",INDEX(Inventory!$G$6:$G$205,IFERROR(MATCH(IFERROR(AGGREGATE(14,6,(Inventory!$G$6:$G$205+(205-ROW(Inventory!$G$6:$G$205))/10000)/(Inventory!$G$6:$G$205&gt;0),31),""),(Inventory!$G$6:$G$205+(205-ROW(Inventory!$G$6:$G$205))/10000),0),""))),"")</f>
        <v/>
      </c>
      <c r="H38" s="43">
        <f>IFERROR(IF(IFERROR(AGGREGATE(14,6,(Inventory!$G$6:$G$205+(205-ROW(Inventory!$G$6:$G$205))/10000)/(Inventory!$G$6:$G$205&gt;0),31),"")="","",INDEX(Inventory!$I$6:$I$205,IFERROR(MATCH(IFERROR(AGGREGATE(14,6,(Inventory!$G$6:$G$205+(205-ROW(Inventory!$G$6:$G$205))/10000)/(Inventory!$G$6:$G$205&gt;0),31),""),(Inventory!$G$6:$G$205+(205-ROW(Inventory!$G$6:$G$205))/10000),0),""))),"")</f>
        <v/>
      </c>
      <c r="I38" s="43">
        <f>IFERROR(IF(IFERROR(AGGREGATE(14,6,(Inventory!$G$6:$G$205+(205-ROW(Inventory!$G$6:$G$205))/10000)/(Inventory!$G$6:$G$205&gt;0),31),"")="","",INDEX(Inventory!$K$6:$K$205,IFERROR(MATCH(IFERROR(AGGREGATE(14,6,(Inventory!$G$6:$G$205+(205-ROW(Inventory!$G$6:$G$205))/10000)/(Inventory!$G$6:$G$205&gt;0),31),""),(Inventory!$G$6:$G$205+(205-ROW(Inventory!$G$6:$G$205))/10000),0),""))),"")</f>
        <v/>
      </c>
    </row>
    <row r="39" ht="16" customHeight="1">
      <c r="A39" s="46">
        <f>IFERROR(IF(IFERROR(AGGREGATE(14,6,(Inventory!$G$6:$G$205+(205-ROW(Inventory!$G$6:$G$205))/10000)/(Inventory!$G$6:$G$205&gt;0),32),"")="","",INDEX(Inventory!$A$6:$A$205,IFERROR(MATCH(IFERROR(AGGREGATE(14,6,(Inventory!$G$6:$G$205+(205-ROW(Inventory!$G$6:$G$205))/10000)/(Inventory!$G$6:$G$205&gt;0),32),""),(Inventory!$G$6:$G$205+(205-ROW(Inventory!$G$6:$G$205))/10000),0),""))),"")</f>
        <v/>
      </c>
      <c r="B39" s="46">
        <f>IFERROR(IF(IFERROR(AGGREGATE(14,6,(Inventory!$G$6:$G$205+(205-ROW(Inventory!$G$6:$G$205))/10000)/(Inventory!$G$6:$G$205&gt;0),32),"")="","",INDEX(Inventory!$B$6:$B$205,IFERROR(MATCH(IFERROR(AGGREGATE(14,6,(Inventory!$G$6:$G$205+(205-ROW(Inventory!$G$6:$G$205))/10000)/(Inventory!$G$6:$G$205&gt;0),32),""),(Inventory!$G$6:$G$205+(205-ROW(Inventory!$G$6:$G$205))/10000),0),""))),"")</f>
        <v/>
      </c>
      <c r="C39" s="46">
        <f>IFERROR(IF(IFERROR(AGGREGATE(14,6,(Inventory!$G$6:$G$205+(205-ROW(Inventory!$G$6:$G$205))/10000)/(Inventory!$G$6:$G$205&gt;0),32),"")="","",INDEX(Inventory!$D$6:$D$205,IFERROR(MATCH(IFERROR(AGGREGATE(14,6,(Inventory!$G$6:$G$205+(205-ROW(Inventory!$G$6:$G$205))/10000)/(Inventory!$G$6:$G$205&gt;0),32),""),(Inventory!$G$6:$G$205+(205-ROW(Inventory!$G$6:$G$205))/10000),0),""))),"")</f>
        <v/>
      </c>
      <c r="D39" s="46">
        <f>IFERROR(IF(IFERROR(AGGREGATE(14,6,(Inventory!$G$6:$G$205+(205-ROW(Inventory!$G$6:$G$205))/10000)/(Inventory!$G$6:$G$205&gt;0),32),"")="","",INDEX(Inventory!$H$6:$H$205,IFERROR(MATCH(IFERROR(AGGREGATE(14,6,(Inventory!$G$6:$G$205+(205-ROW(Inventory!$G$6:$G$205))/10000)/(Inventory!$G$6:$G$205&gt;0),32),""),(Inventory!$G$6:$G$205+(205-ROW(Inventory!$G$6:$G$205))/10000),0),""))),"")</f>
        <v/>
      </c>
      <c r="E39" s="41">
        <f>IFERROR(IF(IFERROR(AGGREGATE(14,6,(Inventory!$G$6:$G$205+(205-ROW(Inventory!$G$6:$G$205))/10000)/(Inventory!$G$6:$G$205&gt;0),32),"")="","",INDEX(Inventory!$E$6:$E$205,IFERROR(MATCH(IFERROR(AGGREGATE(14,6,(Inventory!$G$6:$G$205+(205-ROW(Inventory!$G$6:$G$205))/10000)/(Inventory!$G$6:$G$205&gt;0),32),""),(Inventory!$G$6:$G$205+(205-ROW(Inventory!$G$6:$G$205))/10000),0),""))),"")</f>
        <v/>
      </c>
      <c r="F39" s="41">
        <f>IFERROR(IF(IFERROR(AGGREGATE(14,6,(Inventory!$G$6:$G$205+(205-ROW(Inventory!$G$6:$G$205))/10000)/(Inventory!$G$6:$G$205&gt;0),32),"")="","",INDEX(Inventory!$F$6:$F$205,IFERROR(MATCH(IFERROR(AGGREGATE(14,6,(Inventory!$G$6:$G$205+(205-ROW(Inventory!$G$6:$G$205))/10000)/(Inventory!$G$6:$G$205&gt;0),32),""),(Inventory!$G$6:$G$205+(205-ROW(Inventory!$G$6:$G$205))/10000),0),""))),"")</f>
        <v/>
      </c>
      <c r="G39" s="41">
        <f>IFERROR(IF(IFERROR(AGGREGATE(14,6,(Inventory!$G$6:$G$205+(205-ROW(Inventory!$G$6:$G$205))/10000)/(Inventory!$G$6:$G$205&gt;0),32),"")="","",INDEX(Inventory!$G$6:$G$205,IFERROR(MATCH(IFERROR(AGGREGATE(14,6,(Inventory!$G$6:$G$205+(205-ROW(Inventory!$G$6:$G$205))/10000)/(Inventory!$G$6:$G$205&gt;0),32),""),(Inventory!$G$6:$G$205+(205-ROW(Inventory!$G$6:$G$205))/10000),0),""))),"")</f>
        <v/>
      </c>
      <c r="H39" s="43">
        <f>IFERROR(IF(IFERROR(AGGREGATE(14,6,(Inventory!$G$6:$G$205+(205-ROW(Inventory!$G$6:$G$205))/10000)/(Inventory!$G$6:$G$205&gt;0),32),"")="","",INDEX(Inventory!$I$6:$I$205,IFERROR(MATCH(IFERROR(AGGREGATE(14,6,(Inventory!$G$6:$G$205+(205-ROW(Inventory!$G$6:$G$205))/10000)/(Inventory!$G$6:$G$205&gt;0),32),""),(Inventory!$G$6:$G$205+(205-ROW(Inventory!$G$6:$G$205))/10000),0),""))),"")</f>
        <v/>
      </c>
      <c r="I39" s="43">
        <f>IFERROR(IF(IFERROR(AGGREGATE(14,6,(Inventory!$G$6:$G$205+(205-ROW(Inventory!$G$6:$G$205))/10000)/(Inventory!$G$6:$G$205&gt;0),32),"")="","",INDEX(Inventory!$K$6:$K$205,IFERROR(MATCH(IFERROR(AGGREGATE(14,6,(Inventory!$G$6:$G$205+(205-ROW(Inventory!$G$6:$G$205))/10000)/(Inventory!$G$6:$G$205&gt;0),32),""),(Inventory!$G$6:$G$205+(205-ROW(Inventory!$G$6:$G$205))/10000),0),""))),"")</f>
        <v/>
      </c>
    </row>
    <row r="40" ht="16" customHeight="1">
      <c r="A40" s="46">
        <f>IFERROR(IF(IFERROR(AGGREGATE(14,6,(Inventory!$G$6:$G$205+(205-ROW(Inventory!$G$6:$G$205))/10000)/(Inventory!$G$6:$G$205&gt;0),33),"")="","",INDEX(Inventory!$A$6:$A$205,IFERROR(MATCH(IFERROR(AGGREGATE(14,6,(Inventory!$G$6:$G$205+(205-ROW(Inventory!$G$6:$G$205))/10000)/(Inventory!$G$6:$G$205&gt;0),33),""),(Inventory!$G$6:$G$205+(205-ROW(Inventory!$G$6:$G$205))/10000),0),""))),"")</f>
        <v/>
      </c>
      <c r="B40" s="46">
        <f>IFERROR(IF(IFERROR(AGGREGATE(14,6,(Inventory!$G$6:$G$205+(205-ROW(Inventory!$G$6:$G$205))/10000)/(Inventory!$G$6:$G$205&gt;0),33),"")="","",INDEX(Inventory!$B$6:$B$205,IFERROR(MATCH(IFERROR(AGGREGATE(14,6,(Inventory!$G$6:$G$205+(205-ROW(Inventory!$G$6:$G$205))/10000)/(Inventory!$G$6:$G$205&gt;0),33),""),(Inventory!$G$6:$G$205+(205-ROW(Inventory!$G$6:$G$205))/10000),0),""))),"")</f>
        <v/>
      </c>
      <c r="C40" s="46">
        <f>IFERROR(IF(IFERROR(AGGREGATE(14,6,(Inventory!$G$6:$G$205+(205-ROW(Inventory!$G$6:$G$205))/10000)/(Inventory!$G$6:$G$205&gt;0),33),"")="","",INDEX(Inventory!$D$6:$D$205,IFERROR(MATCH(IFERROR(AGGREGATE(14,6,(Inventory!$G$6:$G$205+(205-ROW(Inventory!$G$6:$G$205))/10000)/(Inventory!$G$6:$G$205&gt;0),33),""),(Inventory!$G$6:$G$205+(205-ROW(Inventory!$G$6:$G$205))/10000),0),""))),"")</f>
        <v/>
      </c>
      <c r="D40" s="46">
        <f>IFERROR(IF(IFERROR(AGGREGATE(14,6,(Inventory!$G$6:$G$205+(205-ROW(Inventory!$G$6:$G$205))/10000)/(Inventory!$G$6:$G$205&gt;0),33),"")="","",INDEX(Inventory!$H$6:$H$205,IFERROR(MATCH(IFERROR(AGGREGATE(14,6,(Inventory!$G$6:$G$205+(205-ROW(Inventory!$G$6:$G$205))/10000)/(Inventory!$G$6:$G$205&gt;0),33),""),(Inventory!$G$6:$G$205+(205-ROW(Inventory!$G$6:$G$205))/10000),0),""))),"")</f>
        <v/>
      </c>
      <c r="E40" s="41">
        <f>IFERROR(IF(IFERROR(AGGREGATE(14,6,(Inventory!$G$6:$G$205+(205-ROW(Inventory!$G$6:$G$205))/10000)/(Inventory!$G$6:$G$205&gt;0),33),"")="","",INDEX(Inventory!$E$6:$E$205,IFERROR(MATCH(IFERROR(AGGREGATE(14,6,(Inventory!$G$6:$G$205+(205-ROW(Inventory!$G$6:$G$205))/10000)/(Inventory!$G$6:$G$205&gt;0),33),""),(Inventory!$G$6:$G$205+(205-ROW(Inventory!$G$6:$G$205))/10000),0),""))),"")</f>
        <v/>
      </c>
      <c r="F40" s="41">
        <f>IFERROR(IF(IFERROR(AGGREGATE(14,6,(Inventory!$G$6:$G$205+(205-ROW(Inventory!$G$6:$G$205))/10000)/(Inventory!$G$6:$G$205&gt;0),33),"")="","",INDEX(Inventory!$F$6:$F$205,IFERROR(MATCH(IFERROR(AGGREGATE(14,6,(Inventory!$G$6:$G$205+(205-ROW(Inventory!$G$6:$G$205))/10000)/(Inventory!$G$6:$G$205&gt;0),33),""),(Inventory!$G$6:$G$205+(205-ROW(Inventory!$G$6:$G$205))/10000),0),""))),"")</f>
        <v/>
      </c>
      <c r="G40" s="41">
        <f>IFERROR(IF(IFERROR(AGGREGATE(14,6,(Inventory!$G$6:$G$205+(205-ROW(Inventory!$G$6:$G$205))/10000)/(Inventory!$G$6:$G$205&gt;0),33),"")="","",INDEX(Inventory!$G$6:$G$205,IFERROR(MATCH(IFERROR(AGGREGATE(14,6,(Inventory!$G$6:$G$205+(205-ROW(Inventory!$G$6:$G$205))/10000)/(Inventory!$G$6:$G$205&gt;0),33),""),(Inventory!$G$6:$G$205+(205-ROW(Inventory!$G$6:$G$205))/10000),0),""))),"")</f>
        <v/>
      </c>
      <c r="H40" s="43">
        <f>IFERROR(IF(IFERROR(AGGREGATE(14,6,(Inventory!$G$6:$G$205+(205-ROW(Inventory!$G$6:$G$205))/10000)/(Inventory!$G$6:$G$205&gt;0),33),"")="","",INDEX(Inventory!$I$6:$I$205,IFERROR(MATCH(IFERROR(AGGREGATE(14,6,(Inventory!$G$6:$G$205+(205-ROW(Inventory!$G$6:$G$205))/10000)/(Inventory!$G$6:$G$205&gt;0),33),""),(Inventory!$G$6:$G$205+(205-ROW(Inventory!$G$6:$G$205))/10000),0),""))),"")</f>
        <v/>
      </c>
      <c r="I40" s="43">
        <f>IFERROR(IF(IFERROR(AGGREGATE(14,6,(Inventory!$G$6:$G$205+(205-ROW(Inventory!$G$6:$G$205))/10000)/(Inventory!$G$6:$G$205&gt;0),33),"")="","",INDEX(Inventory!$K$6:$K$205,IFERROR(MATCH(IFERROR(AGGREGATE(14,6,(Inventory!$G$6:$G$205+(205-ROW(Inventory!$G$6:$G$205))/10000)/(Inventory!$G$6:$G$205&gt;0),33),""),(Inventory!$G$6:$G$205+(205-ROW(Inventory!$G$6:$G$205))/10000),0),""))),"")</f>
        <v/>
      </c>
    </row>
    <row r="41" ht="16" customHeight="1">
      <c r="A41" s="46">
        <f>IFERROR(IF(IFERROR(AGGREGATE(14,6,(Inventory!$G$6:$G$205+(205-ROW(Inventory!$G$6:$G$205))/10000)/(Inventory!$G$6:$G$205&gt;0),34),"")="","",INDEX(Inventory!$A$6:$A$205,IFERROR(MATCH(IFERROR(AGGREGATE(14,6,(Inventory!$G$6:$G$205+(205-ROW(Inventory!$G$6:$G$205))/10000)/(Inventory!$G$6:$G$205&gt;0),34),""),(Inventory!$G$6:$G$205+(205-ROW(Inventory!$G$6:$G$205))/10000),0),""))),"")</f>
        <v/>
      </c>
      <c r="B41" s="46">
        <f>IFERROR(IF(IFERROR(AGGREGATE(14,6,(Inventory!$G$6:$G$205+(205-ROW(Inventory!$G$6:$G$205))/10000)/(Inventory!$G$6:$G$205&gt;0),34),"")="","",INDEX(Inventory!$B$6:$B$205,IFERROR(MATCH(IFERROR(AGGREGATE(14,6,(Inventory!$G$6:$G$205+(205-ROW(Inventory!$G$6:$G$205))/10000)/(Inventory!$G$6:$G$205&gt;0),34),""),(Inventory!$G$6:$G$205+(205-ROW(Inventory!$G$6:$G$205))/10000),0),""))),"")</f>
        <v/>
      </c>
      <c r="C41" s="46">
        <f>IFERROR(IF(IFERROR(AGGREGATE(14,6,(Inventory!$G$6:$G$205+(205-ROW(Inventory!$G$6:$G$205))/10000)/(Inventory!$G$6:$G$205&gt;0),34),"")="","",INDEX(Inventory!$D$6:$D$205,IFERROR(MATCH(IFERROR(AGGREGATE(14,6,(Inventory!$G$6:$G$205+(205-ROW(Inventory!$G$6:$G$205))/10000)/(Inventory!$G$6:$G$205&gt;0),34),""),(Inventory!$G$6:$G$205+(205-ROW(Inventory!$G$6:$G$205))/10000),0),""))),"")</f>
        <v/>
      </c>
      <c r="D41" s="46">
        <f>IFERROR(IF(IFERROR(AGGREGATE(14,6,(Inventory!$G$6:$G$205+(205-ROW(Inventory!$G$6:$G$205))/10000)/(Inventory!$G$6:$G$205&gt;0),34),"")="","",INDEX(Inventory!$H$6:$H$205,IFERROR(MATCH(IFERROR(AGGREGATE(14,6,(Inventory!$G$6:$G$205+(205-ROW(Inventory!$G$6:$G$205))/10000)/(Inventory!$G$6:$G$205&gt;0),34),""),(Inventory!$G$6:$G$205+(205-ROW(Inventory!$G$6:$G$205))/10000),0),""))),"")</f>
        <v/>
      </c>
      <c r="E41" s="41">
        <f>IFERROR(IF(IFERROR(AGGREGATE(14,6,(Inventory!$G$6:$G$205+(205-ROW(Inventory!$G$6:$G$205))/10000)/(Inventory!$G$6:$G$205&gt;0),34),"")="","",INDEX(Inventory!$E$6:$E$205,IFERROR(MATCH(IFERROR(AGGREGATE(14,6,(Inventory!$G$6:$G$205+(205-ROW(Inventory!$G$6:$G$205))/10000)/(Inventory!$G$6:$G$205&gt;0),34),""),(Inventory!$G$6:$G$205+(205-ROW(Inventory!$G$6:$G$205))/10000),0),""))),"")</f>
        <v/>
      </c>
      <c r="F41" s="41">
        <f>IFERROR(IF(IFERROR(AGGREGATE(14,6,(Inventory!$G$6:$G$205+(205-ROW(Inventory!$G$6:$G$205))/10000)/(Inventory!$G$6:$G$205&gt;0),34),"")="","",INDEX(Inventory!$F$6:$F$205,IFERROR(MATCH(IFERROR(AGGREGATE(14,6,(Inventory!$G$6:$G$205+(205-ROW(Inventory!$G$6:$G$205))/10000)/(Inventory!$G$6:$G$205&gt;0),34),""),(Inventory!$G$6:$G$205+(205-ROW(Inventory!$G$6:$G$205))/10000),0),""))),"")</f>
        <v/>
      </c>
      <c r="G41" s="41">
        <f>IFERROR(IF(IFERROR(AGGREGATE(14,6,(Inventory!$G$6:$G$205+(205-ROW(Inventory!$G$6:$G$205))/10000)/(Inventory!$G$6:$G$205&gt;0),34),"")="","",INDEX(Inventory!$G$6:$G$205,IFERROR(MATCH(IFERROR(AGGREGATE(14,6,(Inventory!$G$6:$G$205+(205-ROW(Inventory!$G$6:$G$205))/10000)/(Inventory!$G$6:$G$205&gt;0),34),""),(Inventory!$G$6:$G$205+(205-ROW(Inventory!$G$6:$G$205))/10000),0),""))),"")</f>
        <v/>
      </c>
      <c r="H41" s="43">
        <f>IFERROR(IF(IFERROR(AGGREGATE(14,6,(Inventory!$G$6:$G$205+(205-ROW(Inventory!$G$6:$G$205))/10000)/(Inventory!$G$6:$G$205&gt;0),34),"")="","",INDEX(Inventory!$I$6:$I$205,IFERROR(MATCH(IFERROR(AGGREGATE(14,6,(Inventory!$G$6:$G$205+(205-ROW(Inventory!$G$6:$G$205))/10000)/(Inventory!$G$6:$G$205&gt;0),34),""),(Inventory!$G$6:$G$205+(205-ROW(Inventory!$G$6:$G$205))/10000),0),""))),"")</f>
        <v/>
      </c>
      <c r="I41" s="43">
        <f>IFERROR(IF(IFERROR(AGGREGATE(14,6,(Inventory!$G$6:$G$205+(205-ROW(Inventory!$G$6:$G$205))/10000)/(Inventory!$G$6:$G$205&gt;0),34),"")="","",INDEX(Inventory!$K$6:$K$205,IFERROR(MATCH(IFERROR(AGGREGATE(14,6,(Inventory!$G$6:$G$205+(205-ROW(Inventory!$G$6:$G$205))/10000)/(Inventory!$G$6:$G$205&gt;0),34),""),(Inventory!$G$6:$G$205+(205-ROW(Inventory!$G$6:$G$205))/10000),0),""))),"")</f>
        <v/>
      </c>
    </row>
    <row r="42" ht="16" customHeight="1">
      <c r="A42" s="46">
        <f>IFERROR(IF(IFERROR(AGGREGATE(14,6,(Inventory!$G$6:$G$205+(205-ROW(Inventory!$G$6:$G$205))/10000)/(Inventory!$G$6:$G$205&gt;0),35),"")="","",INDEX(Inventory!$A$6:$A$205,IFERROR(MATCH(IFERROR(AGGREGATE(14,6,(Inventory!$G$6:$G$205+(205-ROW(Inventory!$G$6:$G$205))/10000)/(Inventory!$G$6:$G$205&gt;0),35),""),(Inventory!$G$6:$G$205+(205-ROW(Inventory!$G$6:$G$205))/10000),0),""))),"")</f>
        <v/>
      </c>
      <c r="B42" s="46">
        <f>IFERROR(IF(IFERROR(AGGREGATE(14,6,(Inventory!$G$6:$G$205+(205-ROW(Inventory!$G$6:$G$205))/10000)/(Inventory!$G$6:$G$205&gt;0),35),"")="","",INDEX(Inventory!$B$6:$B$205,IFERROR(MATCH(IFERROR(AGGREGATE(14,6,(Inventory!$G$6:$G$205+(205-ROW(Inventory!$G$6:$G$205))/10000)/(Inventory!$G$6:$G$205&gt;0),35),""),(Inventory!$G$6:$G$205+(205-ROW(Inventory!$G$6:$G$205))/10000),0),""))),"")</f>
        <v/>
      </c>
      <c r="C42" s="46">
        <f>IFERROR(IF(IFERROR(AGGREGATE(14,6,(Inventory!$G$6:$G$205+(205-ROW(Inventory!$G$6:$G$205))/10000)/(Inventory!$G$6:$G$205&gt;0),35),"")="","",INDEX(Inventory!$D$6:$D$205,IFERROR(MATCH(IFERROR(AGGREGATE(14,6,(Inventory!$G$6:$G$205+(205-ROW(Inventory!$G$6:$G$205))/10000)/(Inventory!$G$6:$G$205&gt;0),35),""),(Inventory!$G$6:$G$205+(205-ROW(Inventory!$G$6:$G$205))/10000),0),""))),"")</f>
        <v/>
      </c>
      <c r="D42" s="46">
        <f>IFERROR(IF(IFERROR(AGGREGATE(14,6,(Inventory!$G$6:$G$205+(205-ROW(Inventory!$G$6:$G$205))/10000)/(Inventory!$G$6:$G$205&gt;0),35),"")="","",INDEX(Inventory!$H$6:$H$205,IFERROR(MATCH(IFERROR(AGGREGATE(14,6,(Inventory!$G$6:$G$205+(205-ROW(Inventory!$G$6:$G$205))/10000)/(Inventory!$G$6:$G$205&gt;0),35),""),(Inventory!$G$6:$G$205+(205-ROW(Inventory!$G$6:$G$205))/10000),0),""))),"")</f>
        <v/>
      </c>
      <c r="E42" s="41">
        <f>IFERROR(IF(IFERROR(AGGREGATE(14,6,(Inventory!$G$6:$G$205+(205-ROW(Inventory!$G$6:$G$205))/10000)/(Inventory!$G$6:$G$205&gt;0),35),"")="","",INDEX(Inventory!$E$6:$E$205,IFERROR(MATCH(IFERROR(AGGREGATE(14,6,(Inventory!$G$6:$G$205+(205-ROW(Inventory!$G$6:$G$205))/10000)/(Inventory!$G$6:$G$205&gt;0),35),""),(Inventory!$G$6:$G$205+(205-ROW(Inventory!$G$6:$G$205))/10000),0),""))),"")</f>
        <v/>
      </c>
      <c r="F42" s="41">
        <f>IFERROR(IF(IFERROR(AGGREGATE(14,6,(Inventory!$G$6:$G$205+(205-ROW(Inventory!$G$6:$G$205))/10000)/(Inventory!$G$6:$G$205&gt;0),35),"")="","",INDEX(Inventory!$F$6:$F$205,IFERROR(MATCH(IFERROR(AGGREGATE(14,6,(Inventory!$G$6:$G$205+(205-ROW(Inventory!$G$6:$G$205))/10000)/(Inventory!$G$6:$G$205&gt;0),35),""),(Inventory!$G$6:$G$205+(205-ROW(Inventory!$G$6:$G$205))/10000),0),""))),"")</f>
        <v/>
      </c>
      <c r="G42" s="41">
        <f>IFERROR(IF(IFERROR(AGGREGATE(14,6,(Inventory!$G$6:$G$205+(205-ROW(Inventory!$G$6:$G$205))/10000)/(Inventory!$G$6:$G$205&gt;0),35),"")="","",INDEX(Inventory!$G$6:$G$205,IFERROR(MATCH(IFERROR(AGGREGATE(14,6,(Inventory!$G$6:$G$205+(205-ROW(Inventory!$G$6:$G$205))/10000)/(Inventory!$G$6:$G$205&gt;0),35),""),(Inventory!$G$6:$G$205+(205-ROW(Inventory!$G$6:$G$205))/10000),0),""))),"")</f>
        <v/>
      </c>
      <c r="H42" s="43">
        <f>IFERROR(IF(IFERROR(AGGREGATE(14,6,(Inventory!$G$6:$G$205+(205-ROW(Inventory!$G$6:$G$205))/10000)/(Inventory!$G$6:$G$205&gt;0),35),"")="","",INDEX(Inventory!$I$6:$I$205,IFERROR(MATCH(IFERROR(AGGREGATE(14,6,(Inventory!$G$6:$G$205+(205-ROW(Inventory!$G$6:$G$205))/10000)/(Inventory!$G$6:$G$205&gt;0),35),""),(Inventory!$G$6:$G$205+(205-ROW(Inventory!$G$6:$G$205))/10000),0),""))),"")</f>
        <v/>
      </c>
      <c r="I42" s="43">
        <f>IFERROR(IF(IFERROR(AGGREGATE(14,6,(Inventory!$G$6:$G$205+(205-ROW(Inventory!$G$6:$G$205))/10000)/(Inventory!$G$6:$G$205&gt;0),35),"")="","",INDEX(Inventory!$K$6:$K$205,IFERROR(MATCH(IFERROR(AGGREGATE(14,6,(Inventory!$G$6:$G$205+(205-ROW(Inventory!$G$6:$G$205))/10000)/(Inventory!$G$6:$G$205&gt;0),35),""),(Inventory!$G$6:$G$205+(205-ROW(Inventory!$G$6:$G$205))/10000),0),""))),"")</f>
        <v/>
      </c>
    </row>
    <row r="43" ht="16" customHeight="1">
      <c r="A43" s="46">
        <f>IFERROR(IF(IFERROR(AGGREGATE(14,6,(Inventory!$G$6:$G$205+(205-ROW(Inventory!$G$6:$G$205))/10000)/(Inventory!$G$6:$G$205&gt;0),36),"")="","",INDEX(Inventory!$A$6:$A$205,IFERROR(MATCH(IFERROR(AGGREGATE(14,6,(Inventory!$G$6:$G$205+(205-ROW(Inventory!$G$6:$G$205))/10000)/(Inventory!$G$6:$G$205&gt;0),36),""),(Inventory!$G$6:$G$205+(205-ROW(Inventory!$G$6:$G$205))/10000),0),""))),"")</f>
        <v/>
      </c>
      <c r="B43" s="46">
        <f>IFERROR(IF(IFERROR(AGGREGATE(14,6,(Inventory!$G$6:$G$205+(205-ROW(Inventory!$G$6:$G$205))/10000)/(Inventory!$G$6:$G$205&gt;0),36),"")="","",INDEX(Inventory!$B$6:$B$205,IFERROR(MATCH(IFERROR(AGGREGATE(14,6,(Inventory!$G$6:$G$205+(205-ROW(Inventory!$G$6:$G$205))/10000)/(Inventory!$G$6:$G$205&gt;0),36),""),(Inventory!$G$6:$G$205+(205-ROW(Inventory!$G$6:$G$205))/10000),0),""))),"")</f>
        <v/>
      </c>
      <c r="C43" s="46">
        <f>IFERROR(IF(IFERROR(AGGREGATE(14,6,(Inventory!$G$6:$G$205+(205-ROW(Inventory!$G$6:$G$205))/10000)/(Inventory!$G$6:$G$205&gt;0),36),"")="","",INDEX(Inventory!$D$6:$D$205,IFERROR(MATCH(IFERROR(AGGREGATE(14,6,(Inventory!$G$6:$G$205+(205-ROW(Inventory!$G$6:$G$205))/10000)/(Inventory!$G$6:$G$205&gt;0),36),""),(Inventory!$G$6:$G$205+(205-ROW(Inventory!$G$6:$G$205))/10000),0),""))),"")</f>
        <v/>
      </c>
      <c r="D43" s="46">
        <f>IFERROR(IF(IFERROR(AGGREGATE(14,6,(Inventory!$G$6:$G$205+(205-ROW(Inventory!$G$6:$G$205))/10000)/(Inventory!$G$6:$G$205&gt;0),36),"")="","",INDEX(Inventory!$H$6:$H$205,IFERROR(MATCH(IFERROR(AGGREGATE(14,6,(Inventory!$G$6:$G$205+(205-ROW(Inventory!$G$6:$G$205))/10000)/(Inventory!$G$6:$G$205&gt;0),36),""),(Inventory!$G$6:$G$205+(205-ROW(Inventory!$G$6:$G$205))/10000),0),""))),"")</f>
        <v/>
      </c>
      <c r="E43" s="41">
        <f>IFERROR(IF(IFERROR(AGGREGATE(14,6,(Inventory!$G$6:$G$205+(205-ROW(Inventory!$G$6:$G$205))/10000)/(Inventory!$G$6:$G$205&gt;0),36),"")="","",INDEX(Inventory!$E$6:$E$205,IFERROR(MATCH(IFERROR(AGGREGATE(14,6,(Inventory!$G$6:$G$205+(205-ROW(Inventory!$G$6:$G$205))/10000)/(Inventory!$G$6:$G$205&gt;0),36),""),(Inventory!$G$6:$G$205+(205-ROW(Inventory!$G$6:$G$205))/10000),0),""))),"")</f>
        <v/>
      </c>
      <c r="F43" s="41">
        <f>IFERROR(IF(IFERROR(AGGREGATE(14,6,(Inventory!$G$6:$G$205+(205-ROW(Inventory!$G$6:$G$205))/10000)/(Inventory!$G$6:$G$205&gt;0),36),"")="","",INDEX(Inventory!$F$6:$F$205,IFERROR(MATCH(IFERROR(AGGREGATE(14,6,(Inventory!$G$6:$G$205+(205-ROW(Inventory!$G$6:$G$205))/10000)/(Inventory!$G$6:$G$205&gt;0),36),""),(Inventory!$G$6:$G$205+(205-ROW(Inventory!$G$6:$G$205))/10000),0),""))),"")</f>
        <v/>
      </c>
      <c r="G43" s="41">
        <f>IFERROR(IF(IFERROR(AGGREGATE(14,6,(Inventory!$G$6:$G$205+(205-ROW(Inventory!$G$6:$G$205))/10000)/(Inventory!$G$6:$G$205&gt;0),36),"")="","",INDEX(Inventory!$G$6:$G$205,IFERROR(MATCH(IFERROR(AGGREGATE(14,6,(Inventory!$G$6:$G$205+(205-ROW(Inventory!$G$6:$G$205))/10000)/(Inventory!$G$6:$G$205&gt;0),36),""),(Inventory!$G$6:$G$205+(205-ROW(Inventory!$G$6:$G$205))/10000),0),""))),"")</f>
        <v/>
      </c>
      <c r="H43" s="43">
        <f>IFERROR(IF(IFERROR(AGGREGATE(14,6,(Inventory!$G$6:$G$205+(205-ROW(Inventory!$G$6:$G$205))/10000)/(Inventory!$G$6:$G$205&gt;0),36),"")="","",INDEX(Inventory!$I$6:$I$205,IFERROR(MATCH(IFERROR(AGGREGATE(14,6,(Inventory!$G$6:$G$205+(205-ROW(Inventory!$G$6:$G$205))/10000)/(Inventory!$G$6:$G$205&gt;0),36),""),(Inventory!$G$6:$G$205+(205-ROW(Inventory!$G$6:$G$205))/10000),0),""))),"")</f>
        <v/>
      </c>
      <c r="I43" s="43">
        <f>IFERROR(IF(IFERROR(AGGREGATE(14,6,(Inventory!$G$6:$G$205+(205-ROW(Inventory!$G$6:$G$205))/10000)/(Inventory!$G$6:$G$205&gt;0),36),"")="","",INDEX(Inventory!$K$6:$K$205,IFERROR(MATCH(IFERROR(AGGREGATE(14,6,(Inventory!$G$6:$G$205+(205-ROW(Inventory!$G$6:$G$205))/10000)/(Inventory!$G$6:$G$205&gt;0),36),""),(Inventory!$G$6:$G$205+(205-ROW(Inventory!$G$6:$G$205))/10000),0),""))),"")</f>
        <v/>
      </c>
    </row>
    <row r="44" ht="16" customHeight="1">
      <c r="A44" s="46">
        <f>IFERROR(IF(IFERROR(AGGREGATE(14,6,(Inventory!$G$6:$G$205+(205-ROW(Inventory!$G$6:$G$205))/10000)/(Inventory!$G$6:$G$205&gt;0),37),"")="","",INDEX(Inventory!$A$6:$A$205,IFERROR(MATCH(IFERROR(AGGREGATE(14,6,(Inventory!$G$6:$G$205+(205-ROW(Inventory!$G$6:$G$205))/10000)/(Inventory!$G$6:$G$205&gt;0),37),""),(Inventory!$G$6:$G$205+(205-ROW(Inventory!$G$6:$G$205))/10000),0),""))),"")</f>
        <v/>
      </c>
      <c r="B44" s="46">
        <f>IFERROR(IF(IFERROR(AGGREGATE(14,6,(Inventory!$G$6:$G$205+(205-ROW(Inventory!$G$6:$G$205))/10000)/(Inventory!$G$6:$G$205&gt;0),37),"")="","",INDEX(Inventory!$B$6:$B$205,IFERROR(MATCH(IFERROR(AGGREGATE(14,6,(Inventory!$G$6:$G$205+(205-ROW(Inventory!$G$6:$G$205))/10000)/(Inventory!$G$6:$G$205&gt;0),37),""),(Inventory!$G$6:$G$205+(205-ROW(Inventory!$G$6:$G$205))/10000),0),""))),"")</f>
        <v/>
      </c>
      <c r="C44" s="46">
        <f>IFERROR(IF(IFERROR(AGGREGATE(14,6,(Inventory!$G$6:$G$205+(205-ROW(Inventory!$G$6:$G$205))/10000)/(Inventory!$G$6:$G$205&gt;0),37),"")="","",INDEX(Inventory!$D$6:$D$205,IFERROR(MATCH(IFERROR(AGGREGATE(14,6,(Inventory!$G$6:$G$205+(205-ROW(Inventory!$G$6:$G$205))/10000)/(Inventory!$G$6:$G$205&gt;0),37),""),(Inventory!$G$6:$G$205+(205-ROW(Inventory!$G$6:$G$205))/10000),0),""))),"")</f>
        <v/>
      </c>
      <c r="D44" s="46">
        <f>IFERROR(IF(IFERROR(AGGREGATE(14,6,(Inventory!$G$6:$G$205+(205-ROW(Inventory!$G$6:$G$205))/10000)/(Inventory!$G$6:$G$205&gt;0),37),"")="","",INDEX(Inventory!$H$6:$H$205,IFERROR(MATCH(IFERROR(AGGREGATE(14,6,(Inventory!$G$6:$G$205+(205-ROW(Inventory!$G$6:$G$205))/10000)/(Inventory!$G$6:$G$205&gt;0),37),""),(Inventory!$G$6:$G$205+(205-ROW(Inventory!$G$6:$G$205))/10000),0),""))),"")</f>
        <v/>
      </c>
      <c r="E44" s="41">
        <f>IFERROR(IF(IFERROR(AGGREGATE(14,6,(Inventory!$G$6:$G$205+(205-ROW(Inventory!$G$6:$G$205))/10000)/(Inventory!$G$6:$G$205&gt;0),37),"")="","",INDEX(Inventory!$E$6:$E$205,IFERROR(MATCH(IFERROR(AGGREGATE(14,6,(Inventory!$G$6:$G$205+(205-ROW(Inventory!$G$6:$G$205))/10000)/(Inventory!$G$6:$G$205&gt;0),37),""),(Inventory!$G$6:$G$205+(205-ROW(Inventory!$G$6:$G$205))/10000),0),""))),"")</f>
        <v/>
      </c>
      <c r="F44" s="41">
        <f>IFERROR(IF(IFERROR(AGGREGATE(14,6,(Inventory!$G$6:$G$205+(205-ROW(Inventory!$G$6:$G$205))/10000)/(Inventory!$G$6:$G$205&gt;0),37),"")="","",INDEX(Inventory!$F$6:$F$205,IFERROR(MATCH(IFERROR(AGGREGATE(14,6,(Inventory!$G$6:$G$205+(205-ROW(Inventory!$G$6:$G$205))/10000)/(Inventory!$G$6:$G$205&gt;0),37),""),(Inventory!$G$6:$G$205+(205-ROW(Inventory!$G$6:$G$205))/10000),0),""))),"")</f>
        <v/>
      </c>
      <c r="G44" s="41">
        <f>IFERROR(IF(IFERROR(AGGREGATE(14,6,(Inventory!$G$6:$G$205+(205-ROW(Inventory!$G$6:$G$205))/10000)/(Inventory!$G$6:$G$205&gt;0),37),"")="","",INDEX(Inventory!$G$6:$G$205,IFERROR(MATCH(IFERROR(AGGREGATE(14,6,(Inventory!$G$6:$G$205+(205-ROW(Inventory!$G$6:$G$205))/10000)/(Inventory!$G$6:$G$205&gt;0),37),""),(Inventory!$G$6:$G$205+(205-ROW(Inventory!$G$6:$G$205))/10000),0),""))),"")</f>
        <v/>
      </c>
      <c r="H44" s="43">
        <f>IFERROR(IF(IFERROR(AGGREGATE(14,6,(Inventory!$G$6:$G$205+(205-ROW(Inventory!$G$6:$G$205))/10000)/(Inventory!$G$6:$G$205&gt;0),37),"")="","",INDEX(Inventory!$I$6:$I$205,IFERROR(MATCH(IFERROR(AGGREGATE(14,6,(Inventory!$G$6:$G$205+(205-ROW(Inventory!$G$6:$G$205))/10000)/(Inventory!$G$6:$G$205&gt;0),37),""),(Inventory!$G$6:$G$205+(205-ROW(Inventory!$G$6:$G$205))/10000),0),""))),"")</f>
        <v/>
      </c>
      <c r="I44" s="43">
        <f>IFERROR(IF(IFERROR(AGGREGATE(14,6,(Inventory!$G$6:$G$205+(205-ROW(Inventory!$G$6:$G$205))/10000)/(Inventory!$G$6:$G$205&gt;0),37),"")="","",INDEX(Inventory!$K$6:$K$205,IFERROR(MATCH(IFERROR(AGGREGATE(14,6,(Inventory!$G$6:$G$205+(205-ROW(Inventory!$G$6:$G$205))/10000)/(Inventory!$G$6:$G$205&gt;0),37),""),(Inventory!$G$6:$G$205+(205-ROW(Inventory!$G$6:$G$205))/10000),0),""))),"")</f>
        <v/>
      </c>
    </row>
    <row r="45" ht="16" customHeight="1">
      <c r="A45" s="46">
        <f>IFERROR(IF(IFERROR(AGGREGATE(14,6,(Inventory!$G$6:$G$205+(205-ROW(Inventory!$G$6:$G$205))/10000)/(Inventory!$G$6:$G$205&gt;0),38),"")="","",INDEX(Inventory!$A$6:$A$205,IFERROR(MATCH(IFERROR(AGGREGATE(14,6,(Inventory!$G$6:$G$205+(205-ROW(Inventory!$G$6:$G$205))/10000)/(Inventory!$G$6:$G$205&gt;0),38),""),(Inventory!$G$6:$G$205+(205-ROW(Inventory!$G$6:$G$205))/10000),0),""))),"")</f>
        <v/>
      </c>
      <c r="B45" s="46">
        <f>IFERROR(IF(IFERROR(AGGREGATE(14,6,(Inventory!$G$6:$G$205+(205-ROW(Inventory!$G$6:$G$205))/10000)/(Inventory!$G$6:$G$205&gt;0),38),"")="","",INDEX(Inventory!$B$6:$B$205,IFERROR(MATCH(IFERROR(AGGREGATE(14,6,(Inventory!$G$6:$G$205+(205-ROW(Inventory!$G$6:$G$205))/10000)/(Inventory!$G$6:$G$205&gt;0),38),""),(Inventory!$G$6:$G$205+(205-ROW(Inventory!$G$6:$G$205))/10000),0),""))),"")</f>
        <v/>
      </c>
      <c r="C45" s="46">
        <f>IFERROR(IF(IFERROR(AGGREGATE(14,6,(Inventory!$G$6:$G$205+(205-ROW(Inventory!$G$6:$G$205))/10000)/(Inventory!$G$6:$G$205&gt;0),38),"")="","",INDEX(Inventory!$D$6:$D$205,IFERROR(MATCH(IFERROR(AGGREGATE(14,6,(Inventory!$G$6:$G$205+(205-ROW(Inventory!$G$6:$G$205))/10000)/(Inventory!$G$6:$G$205&gt;0),38),""),(Inventory!$G$6:$G$205+(205-ROW(Inventory!$G$6:$G$205))/10000),0),""))),"")</f>
        <v/>
      </c>
      <c r="D45" s="46">
        <f>IFERROR(IF(IFERROR(AGGREGATE(14,6,(Inventory!$G$6:$G$205+(205-ROW(Inventory!$G$6:$G$205))/10000)/(Inventory!$G$6:$G$205&gt;0),38),"")="","",INDEX(Inventory!$H$6:$H$205,IFERROR(MATCH(IFERROR(AGGREGATE(14,6,(Inventory!$G$6:$G$205+(205-ROW(Inventory!$G$6:$G$205))/10000)/(Inventory!$G$6:$G$205&gt;0),38),""),(Inventory!$G$6:$G$205+(205-ROW(Inventory!$G$6:$G$205))/10000),0),""))),"")</f>
        <v/>
      </c>
      <c r="E45" s="41">
        <f>IFERROR(IF(IFERROR(AGGREGATE(14,6,(Inventory!$G$6:$G$205+(205-ROW(Inventory!$G$6:$G$205))/10000)/(Inventory!$G$6:$G$205&gt;0),38),"")="","",INDEX(Inventory!$E$6:$E$205,IFERROR(MATCH(IFERROR(AGGREGATE(14,6,(Inventory!$G$6:$G$205+(205-ROW(Inventory!$G$6:$G$205))/10000)/(Inventory!$G$6:$G$205&gt;0),38),""),(Inventory!$G$6:$G$205+(205-ROW(Inventory!$G$6:$G$205))/10000),0),""))),"")</f>
        <v/>
      </c>
      <c r="F45" s="41">
        <f>IFERROR(IF(IFERROR(AGGREGATE(14,6,(Inventory!$G$6:$G$205+(205-ROW(Inventory!$G$6:$G$205))/10000)/(Inventory!$G$6:$G$205&gt;0),38),"")="","",INDEX(Inventory!$F$6:$F$205,IFERROR(MATCH(IFERROR(AGGREGATE(14,6,(Inventory!$G$6:$G$205+(205-ROW(Inventory!$G$6:$G$205))/10000)/(Inventory!$G$6:$G$205&gt;0),38),""),(Inventory!$G$6:$G$205+(205-ROW(Inventory!$G$6:$G$205))/10000),0),""))),"")</f>
        <v/>
      </c>
      <c r="G45" s="41">
        <f>IFERROR(IF(IFERROR(AGGREGATE(14,6,(Inventory!$G$6:$G$205+(205-ROW(Inventory!$G$6:$G$205))/10000)/(Inventory!$G$6:$G$205&gt;0),38),"")="","",INDEX(Inventory!$G$6:$G$205,IFERROR(MATCH(IFERROR(AGGREGATE(14,6,(Inventory!$G$6:$G$205+(205-ROW(Inventory!$G$6:$G$205))/10000)/(Inventory!$G$6:$G$205&gt;0),38),""),(Inventory!$G$6:$G$205+(205-ROW(Inventory!$G$6:$G$205))/10000),0),""))),"")</f>
        <v/>
      </c>
      <c r="H45" s="43">
        <f>IFERROR(IF(IFERROR(AGGREGATE(14,6,(Inventory!$G$6:$G$205+(205-ROW(Inventory!$G$6:$G$205))/10000)/(Inventory!$G$6:$G$205&gt;0),38),"")="","",INDEX(Inventory!$I$6:$I$205,IFERROR(MATCH(IFERROR(AGGREGATE(14,6,(Inventory!$G$6:$G$205+(205-ROW(Inventory!$G$6:$G$205))/10000)/(Inventory!$G$6:$G$205&gt;0),38),""),(Inventory!$G$6:$G$205+(205-ROW(Inventory!$G$6:$G$205))/10000),0),""))),"")</f>
        <v/>
      </c>
      <c r="I45" s="43">
        <f>IFERROR(IF(IFERROR(AGGREGATE(14,6,(Inventory!$G$6:$G$205+(205-ROW(Inventory!$G$6:$G$205))/10000)/(Inventory!$G$6:$G$205&gt;0),38),"")="","",INDEX(Inventory!$K$6:$K$205,IFERROR(MATCH(IFERROR(AGGREGATE(14,6,(Inventory!$G$6:$G$205+(205-ROW(Inventory!$G$6:$G$205))/10000)/(Inventory!$G$6:$G$205&gt;0),38),""),(Inventory!$G$6:$G$205+(205-ROW(Inventory!$G$6:$G$205))/10000),0),""))),"")</f>
        <v/>
      </c>
    </row>
    <row r="46" ht="16" customHeight="1">
      <c r="A46" s="46">
        <f>IFERROR(IF(IFERROR(AGGREGATE(14,6,(Inventory!$G$6:$G$205+(205-ROW(Inventory!$G$6:$G$205))/10000)/(Inventory!$G$6:$G$205&gt;0),39),"")="","",INDEX(Inventory!$A$6:$A$205,IFERROR(MATCH(IFERROR(AGGREGATE(14,6,(Inventory!$G$6:$G$205+(205-ROW(Inventory!$G$6:$G$205))/10000)/(Inventory!$G$6:$G$205&gt;0),39),""),(Inventory!$G$6:$G$205+(205-ROW(Inventory!$G$6:$G$205))/10000),0),""))),"")</f>
        <v/>
      </c>
      <c r="B46" s="46">
        <f>IFERROR(IF(IFERROR(AGGREGATE(14,6,(Inventory!$G$6:$G$205+(205-ROW(Inventory!$G$6:$G$205))/10000)/(Inventory!$G$6:$G$205&gt;0),39),"")="","",INDEX(Inventory!$B$6:$B$205,IFERROR(MATCH(IFERROR(AGGREGATE(14,6,(Inventory!$G$6:$G$205+(205-ROW(Inventory!$G$6:$G$205))/10000)/(Inventory!$G$6:$G$205&gt;0),39),""),(Inventory!$G$6:$G$205+(205-ROW(Inventory!$G$6:$G$205))/10000),0),""))),"")</f>
        <v/>
      </c>
      <c r="C46" s="46">
        <f>IFERROR(IF(IFERROR(AGGREGATE(14,6,(Inventory!$G$6:$G$205+(205-ROW(Inventory!$G$6:$G$205))/10000)/(Inventory!$G$6:$G$205&gt;0),39),"")="","",INDEX(Inventory!$D$6:$D$205,IFERROR(MATCH(IFERROR(AGGREGATE(14,6,(Inventory!$G$6:$G$205+(205-ROW(Inventory!$G$6:$G$205))/10000)/(Inventory!$G$6:$G$205&gt;0),39),""),(Inventory!$G$6:$G$205+(205-ROW(Inventory!$G$6:$G$205))/10000),0),""))),"")</f>
        <v/>
      </c>
      <c r="D46" s="46">
        <f>IFERROR(IF(IFERROR(AGGREGATE(14,6,(Inventory!$G$6:$G$205+(205-ROW(Inventory!$G$6:$G$205))/10000)/(Inventory!$G$6:$G$205&gt;0),39),"")="","",INDEX(Inventory!$H$6:$H$205,IFERROR(MATCH(IFERROR(AGGREGATE(14,6,(Inventory!$G$6:$G$205+(205-ROW(Inventory!$G$6:$G$205))/10000)/(Inventory!$G$6:$G$205&gt;0),39),""),(Inventory!$G$6:$G$205+(205-ROW(Inventory!$G$6:$G$205))/10000),0),""))),"")</f>
        <v/>
      </c>
      <c r="E46" s="41">
        <f>IFERROR(IF(IFERROR(AGGREGATE(14,6,(Inventory!$G$6:$G$205+(205-ROW(Inventory!$G$6:$G$205))/10000)/(Inventory!$G$6:$G$205&gt;0),39),"")="","",INDEX(Inventory!$E$6:$E$205,IFERROR(MATCH(IFERROR(AGGREGATE(14,6,(Inventory!$G$6:$G$205+(205-ROW(Inventory!$G$6:$G$205))/10000)/(Inventory!$G$6:$G$205&gt;0),39),""),(Inventory!$G$6:$G$205+(205-ROW(Inventory!$G$6:$G$205))/10000),0),""))),"")</f>
        <v/>
      </c>
      <c r="F46" s="41">
        <f>IFERROR(IF(IFERROR(AGGREGATE(14,6,(Inventory!$G$6:$G$205+(205-ROW(Inventory!$G$6:$G$205))/10000)/(Inventory!$G$6:$G$205&gt;0),39),"")="","",INDEX(Inventory!$F$6:$F$205,IFERROR(MATCH(IFERROR(AGGREGATE(14,6,(Inventory!$G$6:$G$205+(205-ROW(Inventory!$G$6:$G$205))/10000)/(Inventory!$G$6:$G$205&gt;0),39),""),(Inventory!$G$6:$G$205+(205-ROW(Inventory!$G$6:$G$205))/10000),0),""))),"")</f>
        <v/>
      </c>
      <c r="G46" s="41">
        <f>IFERROR(IF(IFERROR(AGGREGATE(14,6,(Inventory!$G$6:$G$205+(205-ROW(Inventory!$G$6:$G$205))/10000)/(Inventory!$G$6:$G$205&gt;0),39),"")="","",INDEX(Inventory!$G$6:$G$205,IFERROR(MATCH(IFERROR(AGGREGATE(14,6,(Inventory!$G$6:$G$205+(205-ROW(Inventory!$G$6:$G$205))/10000)/(Inventory!$G$6:$G$205&gt;0),39),""),(Inventory!$G$6:$G$205+(205-ROW(Inventory!$G$6:$G$205))/10000),0),""))),"")</f>
        <v/>
      </c>
      <c r="H46" s="43">
        <f>IFERROR(IF(IFERROR(AGGREGATE(14,6,(Inventory!$G$6:$G$205+(205-ROW(Inventory!$G$6:$G$205))/10000)/(Inventory!$G$6:$G$205&gt;0),39),"")="","",INDEX(Inventory!$I$6:$I$205,IFERROR(MATCH(IFERROR(AGGREGATE(14,6,(Inventory!$G$6:$G$205+(205-ROW(Inventory!$G$6:$G$205))/10000)/(Inventory!$G$6:$G$205&gt;0),39),""),(Inventory!$G$6:$G$205+(205-ROW(Inventory!$G$6:$G$205))/10000),0),""))),"")</f>
        <v/>
      </c>
      <c r="I46" s="43">
        <f>IFERROR(IF(IFERROR(AGGREGATE(14,6,(Inventory!$G$6:$G$205+(205-ROW(Inventory!$G$6:$G$205))/10000)/(Inventory!$G$6:$G$205&gt;0),39),"")="","",INDEX(Inventory!$K$6:$K$205,IFERROR(MATCH(IFERROR(AGGREGATE(14,6,(Inventory!$G$6:$G$205+(205-ROW(Inventory!$G$6:$G$205))/10000)/(Inventory!$G$6:$G$205&gt;0),39),""),(Inventory!$G$6:$G$205+(205-ROW(Inventory!$G$6:$G$205))/10000),0),""))),"")</f>
        <v/>
      </c>
    </row>
    <row r="47" ht="16" customHeight="1">
      <c r="A47" s="46">
        <f>IFERROR(IF(IFERROR(AGGREGATE(14,6,(Inventory!$G$6:$G$205+(205-ROW(Inventory!$G$6:$G$205))/10000)/(Inventory!$G$6:$G$205&gt;0),40),"")="","",INDEX(Inventory!$A$6:$A$205,IFERROR(MATCH(IFERROR(AGGREGATE(14,6,(Inventory!$G$6:$G$205+(205-ROW(Inventory!$G$6:$G$205))/10000)/(Inventory!$G$6:$G$205&gt;0),40),""),(Inventory!$G$6:$G$205+(205-ROW(Inventory!$G$6:$G$205))/10000),0),""))),"")</f>
        <v/>
      </c>
      <c r="B47" s="46">
        <f>IFERROR(IF(IFERROR(AGGREGATE(14,6,(Inventory!$G$6:$G$205+(205-ROW(Inventory!$G$6:$G$205))/10000)/(Inventory!$G$6:$G$205&gt;0),40),"")="","",INDEX(Inventory!$B$6:$B$205,IFERROR(MATCH(IFERROR(AGGREGATE(14,6,(Inventory!$G$6:$G$205+(205-ROW(Inventory!$G$6:$G$205))/10000)/(Inventory!$G$6:$G$205&gt;0),40),""),(Inventory!$G$6:$G$205+(205-ROW(Inventory!$G$6:$G$205))/10000),0),""))),"")</f>
        <v/>
      </c>
      <c r="C47" s="46">
        <f>IFERROR(IF(IFERROR(AGGREGATE(14,6,(Inventory!$G$6:$G$205+(205-ROW(Inventory!$G$6:$G$205))/10000)/(Inventory!$G$6:$G$205&gt;0),40),"")="","",INDEX(Inventory!$D$6:$D$205,IFERROR(MATCH(IFERROR(AGGREGATE(14,6,(Inventory!$G$6:$G$205+(205-ROW(Inventory!$G$6:$G$205))/10000)/(Inventory!$G$6:$G$205&gt;0),40),""),(Inventory!$G$6:$G$205+(205-ROW(Inventory!$G$6:$G$205))/10000),0),""))),"")</f>
        <v/>
      </c>
      <c r="D47" s="46">
        <f>IFERROR(IF(IFERROR(AGGREGATE(14,6,(Inventory!$G$6:$G$205+(205-ROW(Inventory!$G$6:$G$205))/10000)/(Inventory!$G$6:$G$205&gt;0),40),"")="","",INDEX(Inventory!$H$6:$H$205,IFERROR(MATCH(IFERROR(AGGREGATE(14,6,(Inventory!$G$6:$G$205+(205-ROW(Inventory!$G$6:$G$205))/10000)/(Inventory!$G$6:$G$205&gt;0),40),""),(Inventory!$G$6:$G$205+(205-ROW(Inventory!$G$6:$G$205))/10000),0),""))),"")</f>
        <v/>
      </c>
      <c r="E47" s="41">
        <f>IFERROR(IF(IFERROR(AGGREGATE(14,6,(Inventory!$G$6:$G$205+(205-ROW(Inventory!$G$6:$G$205))/10000)/(Inventory!$G$6:$G$205&gt;0),40),"")="","",INDEX(Inventory!$E$6:$E$205,IFERROR(MATCH(IFERROR(AGGREGATE(14,6,(Inventory!$G$6:$G$205+(205-ROW(Inventory!$G$6:$G$205))/10000)/(Inventory!$G$6:$G$205&gt;0),40),""),(Inventory!$G$6:$G$205+(205-ROW(Inventory!$G$6:$G$205))/10000),0),""))),"")</f>
        <v/>
      </c>
      <c r="F47" s="41">
        <f>IFERROR(IF(IFERROR(AGGREGATE(14,6,(Inventory!$G$6:$G$205+(205-ROW(Inventory!$G$6:$G$205))/10000)/(Inventory!$G$6:$G$205&gt;0),40),"")="","",INDEX(Inventory!$F$6:$F$205,IFERROR(MATCH(IFERROR(AGGREGATE(14,6,(Inventory!$G$6:$G$205+(205-ROW(Inventory!$G$6:$G$205))/10000)/(Inventory!$G$6:$G$205&gt;0),40),""),(Inventory!$G$6:$G$205+(205-ROW(Inventory!$G$6:$G$205))/10000),0),""))),"")</f>
        <v/>
      </c>
      <c r="G47" s="41">
        <f>IFERROR(IF(IFERROR(AGGREGATE(14,6,(Inventory!$G$6:$G$205+(205-ROW(Inventory!$G$6:$G$205))/10000)/(Inventory!$G$6:$G$205&gt;0),40),"")="","",INDEX(Inventory!$G$6:$G$205,IFERROR(MATCH(IFERROR(AGGREGATE(14,6,(Inventory!$G$6:$G$205+(205-ROW(Inventory!$G$6:$G$205))/10000)/(Inventory!$G$6:$G$205&gt;0),40),""),(Inventory!$G$6:$G$205+(205-ROW(Inventory!$G$6:$G$205))/10000),0),""))),"")</f>
        <v/>
      </c>
      <c r="H47" s="43">
        <f>IFERROR(IF(IFERROR(AGGREGATE(14,6,(Inventory!$G$6:$G$205+(205-ROW(Inventory!$G$6:$G$205))/10000)/(Inventory!$G$6:$G$205&gt;0),40),"")="","",INDEX(Inventory!$I$6:$I$205,IFERROR(MATCH(IFERROR(AGGREGATE(14,6,(Inventory!$G$6:$G$205+(205-ROW(Inventory!$G$6:$G$205))/10000)/(Inventory!$G$6:$G$205&gt;0),40),""),(Inventory!$G$6:$G$205+(205-ROW(Inventory!$G$6:$G$205))/10000),0),""))),"")</f>
        <v/>
      </c>
      <c r="I47" s="43">
        <f>IFERROR(IF(IFERROR(AGGREGATE(14,6,(Inventory!$G$6:$G$205+(205-ROW(Inventory!$G$6:$G$205))/10000)/(Inventory!$G$6:$G$205&gt;0),40),"")="","",INDEX(Inventory!$K$6:$K$205,IFERROR(MATCH(IFERROR(AGGREGATE(14,6,(Inventory!$G$6:$G$205+(205-ROW(Inventory!$G$6:$G$205))/10000)/(Inventory!$G$6:$G$205&gt;0),40),""),(Inventory!$G$6:$G$205+(205-ROW(Inventory!$G$6:$G$205))/10000),0),""))),"")</f>
        <v/>
      </c>
    </row>
    <row r="48" ht="16" customHeight="1">
      <c r="A48" s="46">
        <f>IFERROR(IF(IFERROR(AGGREGATE(14,6,(Inventory!$G$6:$G$205+(205-ROW(Inventory!$G$6:$G$205))/10000)/(Inventory!$G$6:$G$205&gt;0),41),"")="","",INDEX(Inventory!$A$6:$A$205,IFERROR(MATCH(IFERROR(AGGREGATE(14,6,(Inventory!$G$6:$G$205+(205-ROW(Inventory!$G$6:$G$205))/10000)/(Inventory!$G$6:$G$205&gt;0),41),""),(Inventory!$G$6:$G$205+(205-ROW(Inventory!$G$6:$G$205))/10000),0),""))),"")</f>
        <v/>
      </c>
      <c r="B48" s="46">
        <f>IFERROR(IF(IFERROR(AGGREGATE(14,6,(Inventory!$G$6:$G$205+(205-ROW(Inventory!$G$6:$G$205))/10000)/(Inventory!$G$6:$G$205&gt;0),41),"")="","",INDEX(Inventory!$B$6:$B$205,IFERROR(MATCH(IFERROR(AGGREGATE(14,6,(Inventory!$G$6:$G$205+(205-ROW(Inventory!$G$6:$G$205))/10000)/(Inventory!$G$6:$G$205&gt;0),41),""),(Inventory!$G$6:$G$205+(205-ROW(Inventory!$G$6:$G$205))/10000),0),""))),"")</f>
        <v/>
      </c>
      <c r="C48" s="46">
        <f>IFERROR(IF(IFERROR(AGGREGATE(14,6,(Inventory!$G$6:$G$205+(205-ROW(Inventory!$G$6:$G$205))/10000)/(Inventory!$G$6:$G$205&gt;0),41),"")="","",INDEX(Inventory!$D$6:$D$205,IFERROR(MATCH(IFERROR(AGGREGATE(14,6,(Inventory!$G$6:$G$205+(205-ROW(Inventory!$G$6:$G$205))/10000)/(Inventory!$G$6:$G$205&gt;0),41),""),(Inventory!$G$6:$G$205+(205-ROW(Inventory!$G$6:$G$205))/10000),0),""))),"")</f>
        <v/>
      </c>
      <c r="D48" s="46">
        <f>IFERROR(IF(IFERROR(AGGREGATE(14,6,(Inventory!$G$6:$G$205+(205-ROW(Inventory!$G$6:$G$205))/10000)/(Inventory!$G$6:$G$205&gt;0),41),"")="","",INDEX(Inventory!$H$6:$H$205,IFERROR(MATCH(IFERROR(AGGREGATE(14,6,(Inventory!$G$6:$G$205+(205-ROW(Inventory!$G$6:$G$205))/10000)/(Inventory!$G$6:$G$205&gt;0),41),""),(Inventory!$G$6:$G$205+(205-ROW(Inventory!$G$6:$G$205))/10000),0),""))),"")</f>
        <v/>
      </c>
      <c r="E48" s="41">
        <f>IFERROR(IF(IFERROR(AGGREGATE(14,6,(Inventory!$G$6:$G$205+(205-ROW(Inventory!$G$6:$G$205))/10000)/(Inventory!$G$6:$G$205&gt;0),41),"")="","",INDEX(Inventory!$E$6:$E$205,IFERROR(MATCH(IFERROR(AGGREGATE(14,6,(Inventory!$G$6:$G$205+(205-ROW(Inventory!$G$6:$G$205))/10000)/(Inventory!$G$6:$G$205&gt;0),41),""),(Inventory!$G$6:$G$205+(205-ROW(Inventory!$G$6:$G$205))/10000),0),""))),"")</f>
        <v/>
      </c>
      <c r="F48" s="41">
        <f>IFERROR(IF(IFERROR(AGGREGATE(14,6,(Inventory!$G$6:$G$205+(205-ROW(Inventory!$G$6:$G$205))/10000)/(Inventory!$G$6:$G$205&gt;0),41),"")="","",INDEX(Inventory!$F$6:$F$205,IFERROR(MATCH(IFERROR(AGGREGATE(14,6,(Inventory!$G$6:$G$205+(205-ROW(Inventory!$G$6:$G$205))/10000)/(Inventory!$G$6:$G$205&gt;0),41),""),(Inventory!$G$6:$G$205+(205-ROW(Inventory!$G$6:$G$205))/10000),0),""))),"")</f>
        <v/>
      </c>
      <c r="G48" s="41">
        <f>IFERROR(IF(IFERROR(AGGREGATE(14,6,(Inventory!$G$6:$G$205+(205-ROW(Inventory!$G$6:$G$205))/10000)/(Inventory!$G$6:$G$205&gt;0),41),"")="","",INDEX(Inventory!$G$6:$G$205,IFERROR(MATCH(IFERROR(AGGREGATE(14,6,(Inventory!$G$6:$G$205+(205-ROW(Inventory!$G$6:$G$205))/10000)/(Inventory!$G$6:$G$205&gt;0),41),""),(Inventory!$G$6:$G$205+(205-ROW(Inventory!$G$6:$G$205))/10000),0),""))),"")</f>
        <v/>
      </c>
      <c r="H48" s="43">
        <f>IFERROR(IF(IFERROR(AGGREGATE(14,6,(Inventory!$G$6:$G$205+(205-ROW(Inventory!$G$6:$G$205))/10000)/(Inventory!$G$6:$G$205&gt;0),41),"")="","",INDEX(Inventory!$I$6:$I$205,IFERROR(MATCH(IFERROR(AGGREGATE(14,6,(Inventory!$G$6:$G$205+(205-ROW(Inventory!$G$6:$G$205))/10000)/(Inventory!$G$6:$G$205&gt;0),41),""),(Inventory!$G$6:$G$205+(205-ROW(Inventory!$G$6:$G$205))/10000),0),""))),"")</f>
        <v/>
      </c>
      <c r="I48" s="43">
        <f>IFERROR(IF(IFERROR(AGGREGATE(14,6,(Inventory!$G$6:$G$205+(205-ROW(Inventory!$G$6:$G$205))/10000)/(Inventory!$G$6:$G$205&gt;0),41),"")="","",INDEX(Inventory!$K$6:$K$205,IFERROR(MATCH(IFERROR(AGGREGATE(14,6,(Inventory!$G$6:$G$205+(205-ROW(Inventory!$G$6:$G$205))/10000)/(Inventory!$G$6:$G$205&gt;0),41),""),(Inventory!$G$6:$G$205+(205-ROW(Inventory!$G$6:$G$205))/10000),0),""))),"")</f>
        <v/>
      </c>
    </row>
    <row r="49" ht="16" customHeight="1">
      <c r="A49" s="46">
        <f>IFERROR(IF(IFERROR(AGGREGATE(14,6,(Inventory!$G$6:$G$205+(205-ROW(Inventory!$G$6:$G$205))/10000)/(Inventory!$G$6:$G$205&gt;0),42),"")="","",INDEX(Inventory!$A$6:$A$205,IFERROR(MATCH(IFERROR(AGGREGATE(14,6,(Inventory!$G$6:$G$205+(205-ROW(Inventory!$G$6:$G$205))/10000)/(Inventory!$G$6:$G$205&gt;0),42),""),(Inventory!$G$6:$G$205+(205-ROW(Inventory!$G$6:$G$205))/10000),0),""))),"")</f>
        <v/>
      </c>
      <c r="B49" s="46">
        <f>IFERROR(IF(IFERROR(AGGREGATE(14,6,(Inventory!$G$6:$G$205+(205-ROW(Inventory!$G$6:$G$205))/10000)/(Inventory!$G$6:$G$205&gt;0),42),"")="","",INDEX(Inventory!$B$6:$B$205,IFERROR(MATCH(IFERROR(AGGREGATE(14,6,(Inventory!$G$6:$G$205+(205-ROW(Inventory!$G$6:$G$205))/10000)/(Inventory!$G$6:$G$205&gt;0),42),""),(Inventory!$G$6:$G$205+(205-ROW(Inventory!$G$6:$G$205))/10000),0),""))),"")</f>
        <v/>
      </c>
      <c r="C49" s="46">
        <f>IFERROR(IF(IFERROR(AGGREGATE(14,6,(Inventory!$G$6:$G$205+(205-ROW(Inventory!$G$6:$G$205))/10000)/(Inventory!$G$6:$G$205&gt;0),42),"")="","",INDEX(Inventory!$D$6:$D$205,IFERROR(MATCH(IFERROR(AGGREGATE(14,6,(Inventory!$G$6:$G$205+(205-ROW(Inventory!$G$6:$G$205))/10000)/(Inventory!$G$6:$G$205&gt;0),42),""),(Inventory!$G$6:$G$205+(205-ROW(Inventory!$G$6:$G$205))/10000),0),""))),"")</f>
        <v/>
      </c>
      <c r="D49" s="46">
        <f>IFERROR(IF(IFERROR(AGGREGATE(14,6,(Inventory!$G$6:$G$205+(205-ROW(Inventory!$G$6:$G$205))/10000)/(Inventory!$G$6:$G$205&gt;0),42),"")="","",INDEX(Inventory!$H$6:$H$205,IFERROR(MATCH(IFERROR(AGGREGATE(14,6,(Inventory!$G$6:$G$205+(205-ROW(Inventory!$G$6:$G$205))/10000)/(Inventory!$G$6:$G$205&gt;0),42),""),(Inventory!$G$6:$G$205+(205-ROW(Inventory!$G$6:$G$205))/10000),0),""))),"")</f>
        <v/>
      </c>
      <c r="E49" s="41">
        <f>IFERROR(IF(IFERROR(AGGREGATE(14,6,(Inventory!$G$6:$G$205+(205-ROW(Inventory!$G$6:$G$205))/10000)/(Inventory!$G$6:$G$205&gt;0),42),"")="","",INDEX(Inventory!$E$6:$E$205,IFERROR(MATCH(IFERROR(AGGREGATE(14,6,(Inventory!$G$6:$G$205+(205-ROW(Inventory!$G$6:$G$205))/10000)/(Inventory!$G$6:$G$205&gt;0),42),""),(Inventory!$G$6:$G$205+(205-ROW(Inventory!$G$6:$G$205))/10000),0),""))),"")</f>
        <v/>
      </c>
      <c r="F49" s="41">
        <f>IFERROR(IF(IFERROR(AGGREGATE(14,6,(Inventory!$G$6:$G$205+(205-ROW(Inventory!$G$6:$G$205))/10000)/(Inventory!$G$6:$G$205&gt;0),42),"")="","",INDEX(Inventory!$F$6:$F$205,IFERROR(MATCH(IFERROR(AGGREGATE(14,6,(Inventory!$G$6:$G$205+(205-ROW(Inventory!$G$6:$G$205))/10000)/(Inventory!$G$6:$G$205&gt;0),42),""),(Inventory!$G$6:$G$205+(205-ROW(Inventory!$G$6:$G$205))/10000),0),""))),"")</f>
        <v/>
      </c>
      <c r="G49" s="41">
        <f>IFERROR(IF(IFERROR(AGGREGATE(14,6,(Inventory!$G$6:$G$205+(205-ROW(Inventory!$G$6:$G$205))/10000)/(Inventory!$G$6:$G$205&gt;0),42),"")="","",INDEX(Inventory!$G$6:$G$205,IFERROR(MATCH(IFERROR(AGGREGATE(14,6,(Inventory!$G$6:$G$205+(205-ROW(Inventory!$G$6:$G$205))/10000)/(Inventory!$G$6:$G$205&gt;0),42),""),(Inventory!$G$6:$G$205+(205-ROW(Inventory!$G$6:$G$205))/10000),0),""))),"")</f>
        <v/>
      </c>
      <c r="H49" s="43">
        <f>IFERROR(IF(IFERROR(AGGREGATE(14,6,(Inventory!$G$6:$G$205+(205-ROW(Inventory!$G$6:$G$205))/10000)/(Inventory!$G$6:$G$205&gt;0),42),"")="","",INDEX(Inventory!$I$6:$I$205,IFERROR(MATCH(IFERROR(AGGREGATE(14,6,(Inventory!$G$6:$G$205+(205-ROW(Inventory!$G$6:$G$205))/10000)/(Inventory!$G$6:$G$205&gt;0),42),""),(Inventory!$G$6:$G$205+(205-ROW(Inventory!$G$6:$G$205))/10000),0),""))),"")</f>
        <v/>
      </c>
      <c r="I49" s="43">
        <f>IFERROR(IF(IFERROR(AGGREGATE(14,6,(Inventory!$G$6:$G$205+(205-ROW(Inventory!$G$6:$G$205))/10000)/(Inventory!$G$6:$G$205&gt;0),42),"")="","",INDEX(Inventory!$K$6:$K$205,IFERROR(MATCH(IFERROR(AGGREGATE(14,6,(Inventory!$G$6:$G$205+(205-ROW(Inventory!$G$6:$G$205))/10000)/(Inventory!$G$6:$G$205&gt;0),42),""),(Inventory!$G$6:$G$205+(205-ROW(Inventory!$G$6:$G$205))/10000),0),""))),"")</f>
        <v/>
      </c>
    </row>
    <row r="50" ht="16" customHeight="1">
      <c r="A50" s="46">
        <f>IFERROR(IF(IFERROR(AGGREGATE(14,6,(Inventory!$G$6:$G$205+(205-ROW(Inventory!$G$6:$G$205))/10000)/(Inventory!$G$6:$G$205&gt;0),43),"")="","",INDEX(Inventory!$A$6:$A$205,IFERROR(MATCH(IFERROR(AGGREGATE(14,6,(Inventory!$G$6:$G$205+(205-ROW(Inventory!$G$6:$G$205))/10000)/(Inventory!$G$6:$G$205&gt;0),43),""),(Inventory!$G$6:$G$205+(205-ROW(Inventory!$G$6:$G$205))/10000),0),""))),"")</f>
        <v/>
      </c>
      <c r="B50" s="46">
        <f>IFERROR(IF(IFERROR(AGGREGATE(14,6,(Inventory!$G$6:$G$205+(205-ROW(Inventory!$G$6:$G$205))/10000)/(Inventory!$G$6:$G$205&gt;0),43),"")="","",INDEX(Inventory!$B$6:$B$205,IFERROR(MATCH(IFERROR(AGGREGATE(14,6,(Inventory!$G$6:$G$205+(205-ROW(Inventory!$G$6:$G$205))/10000)/(Inventory!$G$6:$G$205&gt;0),43),""),(Inventory!$G$6:$G$205+(205-ROW(Inventory!$G$6:$G$205))/10000),0),""))),"")</f>
        <v/>
      </c>
      <c r="C50" s="46">
        <f>IFERROR(IF(IFERROR(AGGREGATE(14,6,(Inventory!$G$6:$G$205+(205-ROW(Inventory!$G$6:$G$205))/10000)/(Inventory!$G$6:$G$205&gt;0),43),"")="","",INDEX(Inventory!$D$6:$D$205,IFERROR(MATCH(IFERROR(AGGREGATE(14,6,(Inventory!$G$6:$G$205+(205-ROW(Inventory!$G$6:$G$205))/10000)/(Inventory!$G$6:$G$205&gt;0),43),""),(Inventory!$G$6:$G$205+(205-ROW(Inventory!$G$6:$G$205))/10000),0),""))),"")</f>
        <v/>
      </c>
      <c r="D50" s="46">
        <f>IFERROR(IF(IFERROR(AGGREGATE(14,6,(Inventory!$G$6:$G$205+(205-ROW(Inventory!$G$6:$G$205))/10000)/(Inventory!$G$6:$G$205&gt;0),43),"")="","",INDEX(Inventory!$H$6:$H$205,IFERROR(MATCH(IFERROR(AGGREGATE(14,6,(Inventory!$G$6:$G$205+(205-ROW(Inventory!$G$6:$G$205))/10000)/(Inventory!$G$6:$G$205&gt;0),43),""),(Inventory!$G$6:$G$205+(205-ROW(Inventory!$G$6:$G$205))/10000),0),""))),"")</f>
        <v/>
      </c>
      <c r="E50" s="41">
        <f>IFERROR(IF(IFERROR(AGGREGATE(14,6,(Inventory!$G$6:$G$205+(205-ROW(Inventory!$G$6:$G$205))/10000)/(Inventory!$G$6:$G$205&gt;0),43),"")="","",INDEX(Inventory!$E$6:$E$205,IFERROR(MATCH(IFERROR(AGGREGATE(14,6,(Inventory!$G$6:$G$205+(205-ROW(Inventory!$G$6:$G$205))/10000)/(Inventory!$G$6:$G$205&gt;0),43),""),(Inventory!$G$6:$G$205+(205-ROW(Inventory!$G$6:$G$205))/10000),0),""))),"")</f>
        <v/>
      </c>
      <c r="F50" s="41">
        <f>IFERROR(IF(IFERROR(AGGREGATE(14,6,(Inventory!$G$6:$G$205+(205-ROW(Inventory!$G$6:$G$205))/10000)/(Inventory!$G$6:$G$205&gt;0),43),"")="","",INDEX(Inventory!$F$6:$F$205,IFERROR(MATCH(IFERROR(AGGREGATE(14,6,(Inventory!$G$6:$G$205+(205-ROW(Inventory!$G$6:$G$205))/10000)/(Inventory!$G$6:$G$205&gt;0),43),""),(Inventory!$G$6:$G$205+(205-ROW(Inventory!$G$6:$G$205))/10000),0),""))),"")</f>
        <v/>
      </c>
      <c r="G50" s="41">
        <f>IFERROR(IF(IFERROR(AGGREGATE(14,6,(Inventory!$G$6:$G$205+(205-ROW(Inventory!$G$6:$G$205))/10000)/(Inventory!$G$6:$G$205&gt;0),43),"")="","",INDEX(Inventory!$G$6:$G$205,IFERROR(MATCH(IFERROR(AGGREGATE(14,6,(Inventory!$G$6:$G$205+(205-ROW(Inventory!$G$6:$G$205))/10000)/(Inventory!$G$6:$G$205&gt;0),43),""),(Inventory!$G$6:$G$205+(205-ROW(Inventory!$G$6:$G$205))/10000),0),""))),"")</f>
        <v/>
      </c>
      <c r="H50" s="43">
        <f>IFERROR(IF(IFERROR(AGGREGATE(14,6,(Inventory!$G$6:$G$205+(205-ROW(Inventory!$G$6:$G$205))/10000)/(Inventory!$G$6:$G$205&gt;0),43),"")="","",INDEX(Inventory!$I$6:$I$205,IFERROR(MATCH(IFERROR(AGGREGATE(14,6,(Inventory!$G$6:$G$205+(205-ROW(Inventory!$G$6:$G$205))/10000)/(Inventory!$G$6:$G$205&gt;0),43),""),(Inventory!$G$6:$G$205+(205-ROW(Inventory!$G$6:$G$205))/10000),0),""))),"")</f>
        <v/>
      </c>
      <c r="I50" s="43">
        <f>IFERROR(IF(IFERROR(AGGREGATE(14,6,(Inventory!$G$6:$G$205+(205-ROW(Inventory!$G$6:$G$205))/10000)/(Inventory!$G$6:$G$205&gt;0),43),"")="","",INDEX(Inventory!$K$6:$K$205,IFERROR(MATCH(IFERROR(AGGREGATE(14,6,(Inventory!$G$6:$G$205+(205-ROW(Inventory!$G$6:$G$205))/10000)/(Inventory!$G$6:$G$205&gt;0),43),""),(Inventory!$G$6:$G$205+(205-ROW(Inventory!$G$6:$G$205))/10000),0),""))),"")</f>
        <v/>
      </c>
    </row>
    <row r="51" ht="16" customHeight="1">
      <c r="A51" s="46">
        <f>IFERROR(IF(IFERROR(AGGREGATE(14,6,(Inventory!$G$6:$G$205+(205-ROW(Inventory!$G$6:$G$205))/10000)/(Inventory!$G$6:$G$205&gt;0),44),"")="","",INDEX(Inventory!$A$6:$A$205,IFERROR(MATCH(IFERROR(AGGREGATE(14,6,(Inventory!$G$6:$G$205+(205-ROW(Inventory!$G$6:$G$205))/10000)/(Inventory!$G$6:$G$205&gt;0),44),""),(Inventory!$G$6:$G$205+(205-ROW(Inventory!$G$6:$G$205))/10000),0),""))),"")</f>
        <v/>
      </c>
      <c r="B51" s="46">
        <f>IFERROR(IF(IFERROR(AGGREGATE(14,6,(Inventory!$G$6:$G$205+(205-ROW(Inventory!$G$6:$G$205))/10000)/(Inventory!$G$6:$G$205&gt;0),44),"")="","",INDEX(Inventory!$B$6:$B$205,IFERROR(MATCH(IFERROR(AGGREGATE(14,6,(Inventory!$G$6:$G$205+(205-ROW(Inventory!$G$6:$G$205))/10000)/(Inventory!$G$6:$G$205&gt;0),44),""),(Inventory!$G$6:$G$205+(205-ROW(Inventory!$G$6:$G$205))/10000),0),""))),"")</f>
        <v/>
      </c>
      <c r="C51" s="46">
        <f>IFERROR(IF(IFERROR(AGGREGATE(14,6,(Inventory!$G$6:$G$205+(205-ROW(Inventory!$G$6:$G$205))/10000)/(Inventory!$G$6:$G$205&gt;0),44),"")="","",INDEX(Inventory!$D$6:$D$205,IFERROR(MATCH(IFERROR(AGGREGATE(14,6,(Inventory!$G$6:$G$205+(205-ROW(Inventory!$G$6:$G$205))/10000)/(Inventory!$G$6:$G$205&gt;0),44),""),(Inventory!$G$6:$G$205+(205-ROW(Inventory!$G$6:$G$205))/10000),0),""))),"")</f>
        <v/>
      </c>
      <c r="D51" s="46">
        <f>IFERROR(IF(IFERROR(AGGREGATE(14,6,(Inventory!$G$6:$G$205+(205-ROW(Inventory!$G$6:$G$205))/10000)/(Inventory!$G$6:$G$205&gt;0),44),"")="","",INDEX(Inventory!$H$6:$H$205,IFERROR(MATCH(IFERROR(AGGREGATE(14,6,(Inventory!$G$6:$G$205+(205-ROW(Inventory!$G$6:$G$205))/10000)/(Inventory!$G$6:$G$205&gt;0),44),""),(Inventory!$G$6:$G$205+(205-ROW(Inventory!$G$6:$G$205))/10000),0),""))),"")</f>
        <v/>
      </c>
      <c r="E51" s="41">
        <f>IFERROR(IF(IFERROR(AGGREGATE(14,6,(Inventory!$G$6:$G$205+(205-ROW(Inventory!$G$6:$G$205))/10000)/(Inventory!$G$6:$G$205&gt;0),44),"")="","",INDEX(Inventory!$E$6:$E$205,IFERROR(MATCH(IFERROR(AGGREGATE(14,6,(Inventory!$G$6:$G$205+(205-ROW(Inventory!$G$6:$G$205))/10000)/(Inventory!$G$6:$G$205&gt;0),44),""),(Inventory!$G$6:$G$205+(205-ROW(Inventory!$G$6:$G$205))/10000),0),""))),"")</f>
        <v/>
      </c>
      <c r="F51" s="41">
        <f>IFERROR(IF(IFERROR(AGGREGATE(14,6,(Inventory!$G$6:$G$205+(205-ROW(Inventory!$G$6:$G$205))/10000)/(Inventory!$G$6:$G$205&gt;0),44),"")="","",INDEX(Inventory!$F$6:$F$205,IFERROR(MATCH(IFERROR(AGGREGATE(14,6,(Inventory!$G$6:$G$205+(205-ROW(Inventory!$G$6:$G$205))/10000)/(Inventory!$G$6:$G$205&gt;0),44),""),(Inventory!$G$6:$G$205+(205-ROW(Inventory!$G$6:$G$205))/10000),0),""))),"")</f>
        <v/>
      </c>
      <c r="G51" s="41">
        <f>IFERROR(IF(IFERROR(AGGREGATE(14,6,(Inventory!$G$6:$G$205+(205-ROW(Inventory!$G$6:$G$205))/10000)/(Inventory!$G$6:$G$205&gt;0),44),"")="","",INDEX(Inventory!$G$6:$G$205,IFERROR(MATCH(IFERROR(AGGREGATE(14,6,(Inventory!$G$6:$G$205+(205-ROW(Inventory!$G$6:$G$205))/10000)/(Inventory!$G$6:$G$205&gt;0),44),""),(Inventory!$G$6:$G$205+(205-ROW(Inventory!$G$6:$G$205))/10000),0),""))),"")</f>
        <v/>
      </c>
      <c r="H51" s="43">
        <f>IFERROR(IF(IFERROR(AGGREGATE(14,6,(Inventory!$G$6:$G$205+(205-ROW(Inventory!$G$6:$G$205))/10000)/(Inventory!$G$6:$G$205&gt;0),44),"")="","",INDEX(Inventory!$I$6:$I$205,IFERROR(MATCH(IFERROR(AGGREGATE(14,6,(Inventory!$G$6:$G$205+(205-ROW(Inventory!$G$6:$G$205))/10000)/(Inventory!$G$6:$G$205&gt;0),44),""),(Inventory!$G$6:$G$205+(205-ROW(Inventory!$G$6:$G$205))/10000),0),""))),"")</f>
        <v/>
      </c>
      <c r="I51" s="43">
        <f>IFERROR(IF(IFERROR(AGGREGATE(14,6,(Inventory!$G$6:$G$205+(205-ROW(Inventory!$G$6:$G$205))/10000)/(Inventory!$G$6:$G$205&gt;0),44),"")="","",INDEX(Inventory!$K$6:$K$205,IFERROR(MATCH(IFERROR(AGGREGATE(14,6,(Inventory!$G$6:$G$205+(205-ROW(Inventory!$G$6:$G$205))/10000)/(Inventory!$G$6:$G$205&gt;0),44),""),(Inventory!$G$6:$G$205+(205-ROW(Inventory!$G$6:$G$205))/10000),0),""))),"")</f>
        <v/>
      </c>
    </row>
    <row r="52" ht="16" customHeight="1">
      <c r="A52" s="46">
        <f>IFERROR(IF(IFERROR(AGGREGATE(14,6,(Inventory!$G$6:$G$205+(205-ROW(Inventory!$G$6:$G$205))/10000)/(Inventory!$G$6:$G$205&gt;0),45),"")="","",INDEX(Inventory!$A$6:$A$205,IFERROR(MATCH(IFERROR(AGGREGATE(14,6,(Inventory!$G$6:$G$205+(205-ROW(Inventory!$G$6:$G$205))/10000)/(Inventory!$G$6:$G$205&gt;0),45),""),(Inventory!$G$6:$G$205+(205-ROW(Inventory!$G$6:$G$205))/10000),0),""))),"")</f>
        <v/>
      </c>
      <c r="B52" s="46">
        <f>IFERROR(IF(IFERROR(AGGREGATE(14,6,(Inventory!$G$6:$G$205+(205-ROW(Inventory!$G$6:$G$205))/10000)/(Inventory!$G$6:$G$205&gt;0),45),"")="","",INDEX(Inventory!$B$6:$B$205,IFERROR(MATCH(IFERROR(AGGREGATE(14,6,(Inventory!$G$6:$G$205+(205-ROW(Inventory!$G$6:$G$205))/10000)/(Inventory!$G$6:$G$205&gt;0),45),""),(Inventory!$G$6:$G$205+(205-ROW(Inventory!$G$6:$G$205))/10000),0),""))),"")</f>
        <v/>
      </c>
      <c r="C52" s="46">
        <f>IFERROR(IF(IFERROR(AGGREGATE(14,6,(Inventory!$G$6:$G$205+(205-ROW(Inventory!$G$6:$G$205))/10000)/(Inventory!$G$6:$G$205&gt;0),45),"")="","",INDEX(Inventory!$D$6:$D$205,IFERROR(MATCH(IFERROR(AGGREGATE(14,6,(Inventory!$G$6:$G$205+(205-ROW(Inventory!$G$6:$G$205))/10000)/(Inventory!$G$6:$G$205&gt;0),45),""),(Inventory!$G$6:$G$205+(205-ROW(Inventory!$G$6:$G$205))/10000),0),""))),"")</f>
        <v/>
      </c>
      <c r="D52" s="46">
        <f>IFERROR(IF(IFERROR(AGGREGATE(14,6,(Inventory!$G$6:$G$205+(205-ROW(Inventory!$G$6:$G$205))/10000)/(Inventory!$G$6:$G$205&gt;0),45),"")="","",INDEX(Inventory!$H$6:$H$205,IFERROR(MATCH(IFERROR(AGGREGATE(14,6,(Inventory!$G$6:$G$205+(205-ROW(Inventory!$G$6:$G$205))/10000)/(Inventory!$G$6:$G$205&gt;0),45),""),(Inventory!$G$6:$G$205+(205-ROW(Inventory!$G$6:$G$205))/10000),0),""))),"")</f>
        <v/>
      </c>
      <c r="E52" s="41">
        <f>IFERROR(IF(IFERROR(AGGREGATE(14,6,(Inventory!$G$6:$G$205+(205-ROW(Inventory!$G$6:$G$205))/10000)/(Inventory!$G$6:$G$205&gt;0),45),"")="","",INDEX(Inventory!$E$6:$E$205,IFERROR(MATCH(IFERROR(AGGREGATE(14,6,(Inventory!$G$6:$G$205+(205-ROW(Inventory!$G$6:$G$205))/10000)/(Inventory!$G$6:$G$205&gt;0),45),""),(Inventory!$G$6:$G$205+(205-ROW(Inventory!$G$6:$G$205))/10000),0),""))),"")</f>
        <v/>
      </c>
      <c r="F52" s="41">
        <f>IFERROR(IF(IFERROR(AGGREGATE(14,6,(Inventory!$G$6:$G$205+(205-ROW(Inventory!$G$6:$G$205))/10000)/(Inventory!$G$6:$G$205&gt;0),45),"")="","",INDEX(Inventory!$F$6:$F$205,IFERROR(MATCH(IFERROR(AGGREGATE(14,6,(Inventory!$G$6:$G$205+(205-ROW(Inventory!$G$6:$G$205))/10000)/(Inventory!$G$6:$G$205&gt;0),45),""),(Inventory!$G$6:$G$205+(205-ROW(Inventory!$G$6:$G$205))/10000),0),""))),"")</f>
        <v/>
      </c>
      <c r="G52" s="41">
        <f>IFERROR(IF(IFERROR(AGGREGATE(14,6,(Inventory!$G$6:$G$205+(205-ROW(Inventory!$G$6:$G$205))/10000)/(Inventory!$G$6:$G$205&gt;0),45),"")="","",INDEX(Inventory!$G$6:$G$205,IFERROR(MATCH(IFERROR(AGGREGATE(14,6,(Inventory!$G$6:$G$205+(205-ROW(Inventory!$G$6:$G$205))/10000)/(Inventory!$G$6:$G$205&gt;0),45),""),(Inventory!$G$6:$G$205+(205-ROW(Inventory!$G$6:$G$205))/10000),0),""))),"")</f>
        <v/>
      </c>
      <c r="H52" s="43">
        <f>IFERROR(IF(IFERROR(AGGREGATE(14,6,(Inventory!$G$6:$G$205+(205-ROW(Inventory!$G$6:$G$205))/10000)/(Inventory!$G$6:$G$205&gt;0),45),"")="","",INDEX(Inventory!$I$6:$I$205,IFERROR(MATCH(IFERROR(AGGREGATE(14,6,(Inventory!$G$6:$G$205+(205-ROW(Inventory!$G$6:$G$205))/10000)/(Inventory!$G$6:$G$205&gt;0),45),""),(Inventory!$G$6:$G$205+(205-ROW(Inventory!$G$6:$G$205))/10000),0),""))),"")</f>
        <v/>
      </c>
      <c r="I52" s="43">
        <f>IFERROR(IF(IFERROR(AGGREGATE(14,6,(Inventory!$G$6:$G$205+(205-ROW(Inventory!$G$6:$G$205))/10000)/(Inventory!$G$6:$G$205&gt;0),45),"")="","",INDEX(Inventory!$K$6:$K$205,IFERROR(MATCH(IFERROR(AGGREGATE(14,6,(Inventory!$G$6:$G$205+(205-ROW(Inventory!$G$6:$G$205))/10000)/(Inventory!$G$6:$G$205&gt;0),45),""),(Inventory!$G$6:$G$205+(205-ROW(Inventory!$G$6:$G$205))/10000),0),""))),"")</f>
        <v/>
      </c>
    </row>
    <row r="53" ht="16" customHeight="1">
      <c r="A53" s="46">
        <f>IFERROR(IF(IFERROR(AGGREGATE(14,6,(Inventory!$G$6:$G$205+(205-ROW(Inventory!$G$6:$G$205))/10000)/(Inventory!$G$6:$G$205&gt;0),46),"")="","",INDEX(Inventory!$A$6:$A$205,IFERROR(MATCH(IFERROR(AGGREGATE(14,6,(Inventory!$G$6:$G$205+(205-ROW(Inventory!$G$6:$G$205))/10000)/(Inventory!$G$6:$G$205&gt;0),46),""),(Inventory!$G$6:$G$205+(205-ROW(Inventory!$G$6:$G$205))/10000),0),""))),"")</f>
        <v/>
      </c>
      <c r="B53" s="46">
        <f>IFERROR(IF(IFERROR(AGGREGATE(14,6,(Inventory!$G$6:$G$205+(205-ROW(Inventory!$G$6:$G$205))/10000)/(Inventory!$G$6:$G$205&gt;0),46),"")="","",INDEX(Inventory!$B$6:$B$205,IFERROR(MATCH(IFERROR(AGGREGATE(14,6,(Inventory!$G$6:$G$205+(205-ROW(Inventory!$G$6:$G$205))/10000)/(Inventory!$G$6:$G$205&gt;0),46),""),(Inventory!$G$6:$G$205+(205-ROW(Inventory!$G$6:$G$205))/10000),0),""))),"")</f>
        <v/>
      </c>
      <c r="C53" s="46">
        <f>IFERROR(IF(IFERROR(AGGREGATE(14,6,(Inventory!$G$6:$G$205+(205-ROW(Inventory!$G$6:$G$205))/10000)/(Inventory!$G$6:$G$205&gt;0),46),"")="","",INDEX(Inventory!$D$6:$D$205,IFERROR(MATCH(IFERROR(AGGREGATE(14,6,(Inventory!$G$6:$G$205+(205-ROW(Inventory!$G$6:$G$205))/10000)/(Inventory!$G$6:$G$205&gt;0),46),""),(Inventory!$G$6:$G$205+(205-ROW(Inventory!$G$6:$G$205))/10000),0),""))),"")</f>
        <v/>
      </c>
      <c r="D53" s="46">
        <f>IFERROR(IF(IFERROR(AGGREGATE(14,6,(Inventory!$G$6:$G$205+(205-ROW(Inventory!$G$6:$G$205))/10000)/(Inventory!$G$6:$G$205&gt;0),46),"")="","",INDEX(Inventory!$H$6:$H$205,IFERROR(MATCH(IFERROR(AGGREGATE(14,6,(Inventory!$G$6:$G$205+(205-ROW(Inventory!$G$6:$G$205))/10000)/(Inventory!$G$6:$G$205&gt;0),46),""),(Inventory!$G$6:$G$205+(205-ROW(Inventory!$G$6:$G$205))/10000),0),""))),"")</f>
        <v/>
      </c>
      <c r="E53" s="41">
        <f>IFERROR(IF(IFERROR(AGGREGATE(14,6,(Inventory!$G$6:$G$205+(205-ROW(Inventory!$G$6:$G$205))/10000)/(Inventory!$G$6:$G$205&gt;0),46),"")="","",INDEX(Inventory!$E$6:$E$205,IFERROR(MATCH(IFERROR(AGGREGATE(14,6,(Inventory!$G$6:$G$205+(205-ROW(Inventory!$G$6:$G$205))/10000)/(Inventory!$G$6:$G$205&gt;0),46),""),(Inventory!$G$6:$G$205+(205-ROW(Inventory!$G$6:$G$205))/10000),0),""))),"")</f>
        <v/>
      </c>
      <c r="F53" s="41">
        <f>IFERROR(IF(IFERROR(AGGREGATE(14,6,(Inventory!$G$6:$G$205+(205-ROW(Inventory!$G$6:$G$205))/10000)/(Inventory!$G$6:$G$205&gt;0),46),"")="","",INDEX(Inventory!$F$6:$F$205,IFERROR(MATCH(IFERROR(AGGREGATE(14,6,(Inventory!$G$6:$G$205+(205-ROW(Inventory!$G$6:$G$205))/10000)/(Inventory!$G$6:$G$205&gt;0),46),""),(Inventory!$G$6:$G$205+(205-ROW(Inventory!$G$6:$G$205))/10000),0),""))),"")</f>
        <v/>
      </c>
      <c r="G53" s="41">
        <f>IFERROR(IF(IFERROR(AGGREGATE(14,6,(Inventory!$G$6:$G$205+(205-ROW(Inventory!$G$6:$G$205))/10000)/(Inventory!$G$6:$G$205&gt;0),46),"")="","",INDEX(Inventory!$G$6:$G$205,IFERROR(MATCH(IFERROR(AGGREGATE(14,6,(Inventory!$G$6:$G$205+(205-ROW(Inventory!$G$6:$G$205))/10000)/(Inventory!$G$6:$G$205&gt;0),46),""),(Inventory!$G$6:$G$205+(205-ROW(Inventory!$G$6:$G$205))/10000),0),""))),"")</f>
        <v/>
      </c>
      <c r="H53" s="43">
        <f>IFERROR(IF(IFERROR(AGGREGATE(14,6,(Inventory!$G$6:$G$205+(205-ROW(Inventory!$G$6:$G$205))/10000)/(Inventory!$G$6:$G$205&gt;0),46),"")="","",INDEX(Inventory!$I$6:$I$205,IFERROR(MATCH(IFERROR(AGGREGATE(14,6,(Inventory!$G$6:$G$205+(205-ROW(Inventory!$G$6:$G$205))/10000)/(Inventory!$G$6:$G$205&gt;0),46),""),(Inventory!$G$6:$G$205+(205-ROW(Inventory!$G$6:$G$205))/10000),0),""))),"")</f>
        <v/>
      </c>
      <c r="I53" s="43">
        <f>IFERROR(IF(IFERROR(AGGREGATE(14,6,(Inventory!$G$6:$G$205+(205-ROW(Inventory!$G$6:$G$205))/10000)/(Inventory!$G$6:$G$205&gt;0),46),"")="","",INDEX(Inventory!$K$6:$K$205,IFERROR(MATCH(IFERROR(AGGREGATE(14,6,(Inventory!$G$6:$G$205+(205-ROW(Inventory!$G$6:$G$205))/10000)/(Inventory!$G$6:$G$205&gt;0),46),""),(Inventory!$G$6:$G$205+(205-ROW(Inventory!$G$6:$G$205))/10000),0),""))),"")</f>
        <v/>
      </c>
    </row>
    <row r="54" ht="16" customHeight="1">
      <c r="A54" s="46">
        <f>IFERROR(IF(IFERROR(AGGREGATE(14,6,(Inventory!$G$6:$G$205+(205-ROW(Inventory!$G$6:$G$205))/10000)/(Inventory!$G$6:$G$205&gt;0),47),"")="","",INDEX(Inventory!$A$6:$A$205,IFERROR(MATCH(IFERROR(AGGREGATE(14,6,(Inventory!$G$6:$G$205+(205-ROW(Inventory!$G$6:$G$205))/10000)/(Inventory!$G$6:$G$205&gt;0),47),""),(Inventory!$G$6:$G$205+(205-ROW(Inventory!$G$6:$G$205))/10000),0),""))),"")</f>
        <v/>
      </c>
      <c r="B54" s="46">
        <f>IFERROR(IF(IFERROR(AGGREGATE(14,6,(Inventory!$G$6:$G$205+(205-ROW(Inventory!$G$6:$G$205))/10000)/(Inventory!$G$6:$G$205&gt;0),47),"")="","",INDEX(Inventory!$B$6:$B$205,IFERROR(MATCH(IFERROR(AGGREGATE(14,6,(Inventory!$G$6:$G$205+(205-ROW(Inventory!$G$6:$G$205))/10000)/(Inventory!$G$6:$G$205&gt;0),47),""),(Inventory!$G$6:$G$205+(205-ROW(Inventory!$G$6:$G$205))/10000),0),""))),"")</f>
        <v/>
      </c>
      <c r="C54" s="46">
        <f>IFERROR(IF(IFERROR(AGGREGATE(14,6,(Inventory!$G$6:$G$205+(205-ROW(Inventory!$G$6:$G$205))/10000)/(Inventory!$G$6:$G$205&gt;0),47),"")="","",INDEX(Inventory!$D$6:$D$205,IFERROR(MATCH(IFERROR(AGGREGATE(14,6,(Inventory!$G$6:$G$205+(205-ROW(Inventory!$G$6:$G$205))/10000)/(Inventory!$G$6:$G$205&gt;0),47),""),(Inventory!$G$6:$G$205+(205-ROW(Inventory!$G$6:$G$205))/10000),0),""))),"")</f>
        <v/>
      </c>
      <c r="D54" s="46">
        <f>IFERROR(IF(IFERROR(AGGREGATE(14,6,(Inventory!$G$6:$G$205+(205-ROW(Inventory!$G$6:$G$205))/10000)/(Inventory!$G$6:$G$205&gt;0),47),"")="","",INDEX(Inventory!$H$6:$H$205,IFERROR(MATCH(IFERROR(AGGREGATE(14,6,(Inventory!$G$6:$G$205+(205-ROW(Inventory!$G$6:$G$205))/10000)/(Inventory!$G$6:$G$205&gt;0),47),""),(Inventory!$G$6:$G$205+(205-ROW(Inventory!$G$6:$G$205))/10000),0),""))),"")</f>
        <v/>
      </c>
      <c r="E54" s="41">
        <f>IFERROR(IF(IFERROR(AGGREGATE(14,6,(Inventory!$G$6:$G$205+(205-ROW(Inventory!$G$6:$G$205))/10000)/(Inventory!$G$6:$G$205&gt;0),47),"")="","",INDEX(Inventory!$E$6:$E$205,IFERROR(MATCH(IFERROR(AGGREGATE(14,6,(Inventory!$G$6:$G$205+(205-ROW(Inventory!$G$6:$G$205))/10000)/(Inventory!$G$6:$G$205&gt;0),47),""),(Inventory!$G$6:$G$205+(205-ROW(Inventory!$G$6:$G$205))/10000),0),""))),"")</f>
        <v/>
      </c>
      <c r="F54" s="41">
        <f>IFERROR(IF(IFERROR(AGGREGATE(14,6,(Inventory!$G$6:$G$205+(205-ROW(Inventory!$G$6:$G$205))/10000)/(Inventory!$G$6:$G$205&gt;0),47),"")="","",INDEX(Inventory!$F$6:$F$205,IFERROR(MATCH(IFERROR(AGGREGATE(14,6,(Inventory!$G$6:$G$205+(205-ROW(Inventory!$G$6:$G$205))/10000)/(Inventory!$G$6:$G$205&gt;0),47),""),(Inventory!$G$6:$G$205+(205-ROW(Inventory!$G$6:$G$205))/10000),0),""))),"")</f>
        <v/>
      </c>
      <c r="G54" s="41">
        <f>IFERROR(IF(IFERROR(AGGREGATE(14,6,(Inventory!$G$6:$G$205+(205-ROW(Inventory!$G$6:$G$205))/10000)/(Inventory!$G$6:$G$205&gt;0),47),"")="","",INDEX(Inventory!$G$6:$G$205,IFERROR(MATCH(IFERROR(AGGREGATE(14,6,(Inventory!$G$6:$G$205+(205-ROW(Inventory!$G$6:$G$205))/10000)/(Inventory!$G$6:$G$205&gt;0),47),""),(Inventory!$G$6:$G$205+(205-ROW(Inventory!$G$6:$G$205))/10000),0),""))),"")</f>
        <v/>
      </c>
      <c r="H54" s="43">
        <f>IFERROR(IF(IFERROR(AGGREGATE(14,6,(Inventory!$G$6:$G$205+(205-ROW(Inventory!$G$6:$G$205))/10000)/(Inventory!$G$6:$G$205&gt;0),47),"")="","",INDEX(Inventory!$I$6:$I$205,IFERROR(MATCH(IFERROR(AGGREGATE(14,6,(Inventory!$G$6:$G$205+(205-ROW(Inventory!$G$6:$G$205))/10000)/(Inventory!$G$6:$G$205&gt;0),47),""),(Inventory!$G$6:$G$205+(205-ROW(Inventory!$G$6:$G$205))/10000),0),""))),"")</f>
        <v/>
      </c>
      <c r="I54" s="43">
        <f>IFERROR(IF(IFERROR(AGGREGATE(14,6,(Inventory!$G$6:$G$205+(205-ROW(Inventory!$G$6:$G$205))/10000)/(Inventory!$G$6:$G$205&gt;0),47),"")="","",INDEX(Inventory!$K$6:$K$205,IFERROR(MATCH(IFERROR(AGGREGATE(14,6,(Inventory!$G$6:$G$205+(205-ROW(Inventory!$G$6:$G$205))/10000)/(Inventory!$G$6:$G$205&gt;0),47),""),(Inventory!$G$6:$G$205+(205-ROW(Inventory!$G$6:$G$205))/10000),0),""))),"")</f>
        <v/>
      </c>
    </row>
    <row r="55" ht="16" customHeight="1">
      <c r="A55" s="46">
        <f>IFERROR(IF(IFERROR(AGGREGATE(14,6,(Inventory!$G$6:$G$205+(205-ROW(Inventory!$G$6:$G$205))/10000)/(Inventory!$G$6:$G$205&gt;0),48),"")="","",INDEX(Inventory!$A$6:$A$205,IFERROR(MATCH(IFERROR(AGGREGATE(14,6,(Inventory!$G$6:$G$205+(205-ROW(Inventory!$G$6:$G$205))/10000)/(Inventory!$G$6:$G$205&gt;0),48),""),(Inventory!$G$6:$G$205+(205-ROW(Inventory!$G$6:$G$205))/10000),0),""))),"")</f>
        <v/>
      </c>
      <c r="B55" s="46">
        <f>IFERROR(IF(IFERROR(AGGREGATE(14,6,(Inventory!$G$6:$G$205+(205-ROW(Inventory!$G$6:$G$205))/10000)/(Inventory!$G$6:$G$205&gt;0),48),"")="","",INDEX(Inventory!$B$6:$B$205,IFERROR(MATCH(IFERROR(AGGREGATE(14,6,(Inventory!$G$6:$G$205+(205-ROW(Inventory!$G$6:$G$205))/10000)/(Inventory!$G$6:$G$205&gt;0),48),""),(Inventory!$G$6:$G$205+(205-ROW(Inventory!$G$6:$G$205))/10000),0),""))),"")</f>
        <v/>
      </c>
      <c r="C55" s="46">
        <f>IFERROR(IF(IFERROR(AGGREGATE(14,6,(Inventory!$G$6:$G$205+(205-ROW(Inventory!$G$6:$G$205))/10000)/(Inventory!$G$6:$G$205&gt;0),48),"")="","",INDEX(Inventory!$D$6:$D$205,IFERROR(MATCH(IFERROR(AGGREGATE(14,6,(Inventory!$G$6:$G$205+(205-ROW(Inventory!$G$6:$G$205))/10000)/(Inventory!$G$6:$G$205&gt;0),48),""),(Inventory!$G$6:$G$205+(205-ROW(Inventory!$G$6:$G$205))/10000),0),""))),"")</f>
        <v/>
      </c>
      <c r="D55" s="46">
        <f>IFERROR(IF(IFERROR(AGGREGATE(14,6,(Inventory!$G$6:$G$205+(205-ROW(Inventory!$G$6:$G$205))/10000)/(Inventory!$G$6:$G$205&gt;0),48),"")="","",INDEX(Inventory!$H$6:$H$205,IFERROR(MATCH(IFERROR(AGGREGATE(14,6,(Inventory!$G$6:$G$205+(205-ROW(Inventory!$G$6:$G$205))/10000)/(Inventory!$G$6:$G$205&gt;0),48),""),(Inventory!$G$6:$G$205+(205-ROW(Inventory!$G$6:$G$205))/10000),0),""))),"")</f>
        <v/>
      </c>
      <c r="E55" s="41">
        <f>IFERROR(IF(IFERROR(AGGREGATE(14,6,(Inventory!$G$6:$G$205+(205-ROW(Inventory!$G$6:$G$205))/10000)/(Inventory!$G$6:$G$205&gt;0),48),"")="","",INDEX(Inventory!$E$6:$E$205,IFERROR(MATCH(IFERROR(AGGREGATE(14,6,(Inventory!$G$6:$G$205+(205-ROW(Inventory!$G$6:$G$205))/10000)/(Inventory!$G$6:$G$205&gt;0),48),""),(Inventory!$G$6:$G$205+(205-ROW(Inventory!$G$6:$G$205))/10000),0),""))),"")</f>
        <v/>
      </c>
      <c r="F55" s="41">
        <f>IFERROR(IF(IFERROR(AGGREGATE(14,6,(Inventory!$G$6:$G$205+(205-ROW(Inventory!$G$6:$G$205))/10000)/(Inventory!$G$6:$G$205&gt;0),48),"")="","",INDEX(Inventory!$F$6:$F$205,IFERROR(MATCH(IFERROR(AGGREGATE(14,6,(Inventory!$G$6:$G$205+(205-ROW(Inventory!$G$6:$G$205))/10000)/(Inventory!$G$6:$G$205&gt;0),48),""),(Inventory!$G$6:$G$205+(205-ROW(Inventory!$G$6:$G$205))/10000),0),""))),"")</f>
        <v/>
      </c>
      <c r="G55" s="41">
        <f>IFERROR(IF(IFERROR(AGGREGATE(14,6,(Inventory!$G$6:$G$205+(205-ROW(Inventory!$G$6:$G$205))/10000)/(Inventory!$G$6:$G$205&gt;0),48),"")="","",INDEX(Inventory!$G$6:$G$205,IFERROR(MATCH(IFERROR(AGGREGATE(14,6,(Inventory!$G$6:$G$205+(205-ROW(Inventory!$G$6:$G$205))/10000)/(Inventory!$G$6:$G$205&gt;0),48),""),(Inventory!$G$6:$G$205+(205-ROW(Inventory!$G$6:$G$205))/10000),0),""))),"")</f>
        <v/>
      </c>
      <c r="H55" s="43">
        <f>IFERROR(IF(IFERROR(AGGREGATE(14,6,(Inventory!$G$6:$G$205+(205-ROW(Inventory!$G$6:$G$205))/10000)/(Inventory!$G$6:$G$205&gt;0),48),"")="","",INDEX(Inventory!$I$6:$I$205,IFERROR(MATCH(IFERROR(AGGREGATE(14,6,(Inventory!$G$6:$G$205+(205-ROW(Inventory!$G$6:$G$205))/10000)/(Inventory!$G$6:$G$205&gt;0),48),""),(Inventory!$G$6:$G$205+(205-ROW(Inventory!$G$6:$G$205))/10000),0),""))),"")</f>
        <v/>
      </c>
      <c r="I55" s="43">
        <f>IFERROR(IF(IFERROR(AGGREGATE(14,6,(Inventory!$G$6:$G$205+(205-ROW(Inventory!$G$6:$G$205))/10000)/(Inventory!$G$6:$G$205&gt;0),48),"")="","",INDEX(Inventory!$K$6:$K$205,IFERROR(MATCH(IFERROR(AGGREGATE(14,6,(Inventory!$G$6:$G$205+(205-ROW(Inventory!$G$6:$G$205))/10000)/(Inventory!$G$6:$G$205&gt;0),48),""),(Inventory!$G$6:$G$205+(205-ROW(Inventory!$G$6:$G$205))/10000),0),""))),"")</f>
        <v/>
      </c>
    </row>
    <row r="56" ht="16" customHeight="1">
      <c r="A56" s="46">
        <f>IFERROR(IF(IFERROR(AGGREGATE(14,6,(Inventory!$G$6:$G$205+(205-ROW(Inventory!$G$6:$G$205))/10000)/(Inventory!$G$6:$G$205&gt;0),49),"")="","",INDEX(Inventory!$A$6:$A$205,IFERROR(MATCH(IFERROR(AGGREGATE(14,6,(Inventory!$G$6:$G$205+(205-ROW(Inventory!$G$6:$G$205))/10000)/(Inventory!$G$6:$G$205&gt;0),49),""),(Inventory!$G$6:$G$205+(205-ROW(Inventory!$G$6:$G$205))/10000),0),""))),"")</f>
        <v/>
      </c>
      <c r="B56" s="46">
        <f>IFERROR(IF(IFERROR(AGGREGATE(14,6,(Inventory!$G$6:$G$205+(205-ROW(Inventory!$G$6:$G$205))/10000)/(Inventory!$G$6:$G$205&gt;0),49),"")="","",INDEX(Inventory!$B$6:$B$205,IFERROR(MATCH(IFERROR(AGGREGATE(14,6,(Inventory!$G$6:$G$205+(205-ROW(Inventory!$G$6:$G$205))/10000)/(Inventory!$G$6:$G$205&gt;0),49),""),(Inventory!$G$6:$G$205+(205-ROW(Inventory!$G$6:$G$205))/10000),0),""))),"")</f>
        <v/>
      </c>
      <c r="C56" s="46">
        <f>IFERROR(IF(IFERROR(AGGREGATE(14,6,(Inventory!$G$6:$G$205+(205-ROW(Inventory!$G$6:$G$205))/10000)/(Inventory!$G$6:$G$205&gt;0),49),"")="","",INDEX(Inventory!$D$6:$D$205,IFERROR(MATCH(IFERROR(AGGREGATE(14,6,(Inventory!$G$6:$G$205+(205-ROW(Inventory!$G$6:$G$205))/10000)/(Inventory!$G$6:$G$205&gt;0),49),""),(Inventory!$G$6:$G$205+(205-ROW(Inventory!$G$6:$G$205))/10000),0),""))),"")</f>
        <v/>
      </c>
      <c r="D56" s="46">
        <f>IFERROR(IF(IFERROR(AGGREGATE(14,6,(Inventory!$G$6:$G$205+(205-ROW(Inventory!$G$6:$G$205))/10000)/(Inventory!$G$6:$G$205&gt;0),49),"")="","",INDEX(Inventory!$H$6:$H$205,IFERROR(MATCH(IFERROR(AGGREGATE(14,6,(Inventory!$G$6:$G$205+(205-ROW(Inventory!$G$6:$G$205))/10000)/(Inventory!$G$6:$G$205&gt;0),49),""),(Inventory!$G$6:$G$205+(205-ROW(Inventory!$G$6:$G$205))/10000),0),""))),"")</f>
        <v/>
      </c>
      <c r="E56" s="41">
        <f>IFERROR(IF(IFERROR(AGGREGATE(14,6,(Inventory!$G$6:$G$205+(205-ROW(Inventory!$G$6:$G$205))/10000)/(Inventory!$G$6:$G$205&gt;0),49),"")="","",INDEX(Inventory!$E$6:$E$205,IFERROR(MATCH(IFERROR(AGGREGATE(14,6,(Inventory!$G$6:$G$205+(205-ROW(Inventory!$G$6:$G$205))/10000)/(Inventory!$G$6:$G$205&gt;0),49),""),(Inventory!$G$6:$G$205+(205-ROW(Inventory!$G$6:$G$205))/10000),0),""))),"")</f>
        <v/>
      </c>
      <c r="F56" s="41">
        <f>IFERROR(IF(IFERROR(AGGREGATE(14,6,(Inventory!$G$6:$G$205+(205-ROW(Inventory!$G$6:$G$205))/10000)/(Inventory!$G$6:$G$205&gt;0),49),"")="","",INDEX(Inventory!$F$6:$F$205,IFERROR(MATCH(IFERROR(AGGREGATE(14,6,(Inventory!$G$6:$G$205+(205-ROW(Inventory!$G$6:$G$205))/10000)/(Inventory!$G$6:$G$205&gt;0),49),""),(Inventory!$G$6:$G$205+(205-ROW(Inventory!$G$6:$G$205))/10000),0),""))),"")</f>
        <v/>
      </c>
      <c r="G56" s="41">
        <f>IFERROR(IF(IFERROR(AGGREGATE(14,6,(Inventory!$G$6:$G$205+(205-ROW(Inventory!$G$6:$G$205))/10000)/(Inventory!$G$6:$G$205&gt;0),49),"")="","",INDEX(Inventory!$G$6:$G$205,IFERROR(MATCH(IFERROR(AGGREGATE(14,6,(Inventory!$G$6:$G$205+(205-ROW(Inventory!$G$6:$G$205))/10000)/(Inventory!$G$6:$G$205&gt;0),49),""),(Inventory!$G$6:$G$205+(205-ROW(Inventory!$G$6:$G$205))/10000),0),""))),"")</f>
        <v/>
      </c>
      <c r="H56" s="43">
        <f>IFERROR(IF(IFERROR(AGGREGATE(14,6,(Inventory!$G$6:$G$205+(205-ROW(Inventory!$G$6:$G$205))/10000)/(Inventory!$G$6:$G$205&gt;0),49),"")="","",INDEX(Inventory!$I$6:$I$205,IFERROR(MATCH(IFERROR(AGGREGATE(14,6,(Inventory!$G$6:$G$205+(205-ROW(Inventory!$G$6:$G$205))/10000)/(Inventory!$G$6:$G$205&gt;0),49),""),(Inventory!$G$6:$G$205+(205-ROW(Inventory!$G$6:$G$205))/10000),0),""))),"")</f>
        <v/>
      </c>
      <c r="I56" s="43">
        <f>IFERROR(IF(IFERROR(AGGREGATE(14,6,(Inventory!$G$6:$G$205+(205-ROW(Inventory!$G$6:$G$205))/10000)/(Inventory!$G$6:$G$205&gt;0),49),"")="","",INDEX(Inventory!$K$6:$K$205,IFERROR(MATCH(IFERROR(AGGREGATE(14,6,(Inventory!$G$6:$G$205+(205-ROW(Inventory!$G$6:$G$205))/10000)/(Inventory!$G$6:$G$205&gt;0),49),""),(Inventory!$G$6:$G$205+(205-ROW(Inventory!$G$6:$G$205))/10000),0),""))),"")</f>
        <v/>
      </c>
    </row>
    <row r="57" ht="16" customHeight="1">
      <c r="A57" s="46">
        <f>IFERROR(IF(IFERROR(AGGREGATE(14,6,(Inventory!$G$6:$G$205+(205-ROW(Inventory!$G$6:$G$205))/10000)/(Inventory!$G$6:$G$205&gt;0),50),"")="","",INDEX(Inventory!$A$6:$A$205,IFERROR(MATCH(IFERROR(AGGREGATE(14,6,(Inventory!$G$6:$G$205+(205-ROW(Inventory!$G$6:$G$205))/10000)/(Inventory!$G$6:$G$205&gt;0),50),""),(Inventory!$G$6:$G$205+(205-ROW(Inventory!$G$6:$G$205))/10000),0),""))),"")</f>
        <v/>
      </c>
      <c r="B57" s="46">
        <f>IFERROR(IF(IFERROR(AGGREGATE(14,6,(Inventory!$G$6:$G$205+(205-ROW(Inventory!$G$6:$G$205))/10000)/(Inventory!$G$6:$G$205&gt;0),50),"")="","",INDEX(Inventory!$B$6:$B$205,IFERROR(MATCH(IFERROR(AGGREGATE(14,6,(Inventory!$G$6:$G$205+(205-ROW(Inventory!$G$6:$G$205))/10000)/(Inventory!$G$6:$G$205&gt;0),50),""),(Inventory!$G$6:$G$205+(205-ROW(Inventory!$G$6:$G$205))/10000),0),""))),"")</f>
        <v/>
      </c>
      <c r="C57" s="46">
        <f>IFERROR(IF(IFERROR(AGGREGATE(14,6,(Inventory!$G$6:$G$205+(205-ROW(Inventory!$G$6:$G$205))/10000)/(Inventory!$G$6:$G$205&gt;0),50),"")="","",INDEX(Inventory!$D$6:$D$205,IFERROR(MATCH(IFERROR(AGGREGATE(14,6,(Inventory!$G$6:$G$205+(205-ROW(Inventory!$G$6:$G$205))/10000)/(Inventory!$G$6:$G$205&gt;0),50),""),(Inventory!$G$6:$G$205+(205-ROW(Inventory!$G$6:$G$205))/10000),0),""))),"")</f>
        <v/>
      </c>
      <c r="D57" s="46">
        <f>IFERROR(IF(IFERROR(AGGREGATE(14,6,(Inventory!$G$6:$G$205+(205-ROW(Inventory!$G$6:$G$205))/10000)/(Inventory!$G$6:$G$205&gt;0),50),"")="","",INDEX(Inventory!$H$6:$H$205,IFERROR(MATCH(IFERROR(AGGREGATE(14,6,(Inventory!$G$6:$G$205+(205-ROW(Inventory!$G$6:$G$205))/10000)/(Inventory!$G$6:$G$205&gt;0),50),""),(Inventory!$G$6:$G$205+(205-ROW(Inventory!$G$6:$G$205))/10000),0),""))),"")</f>
        <v/>
      </c>
      <c r="E57" s="41">
        <f>IFERROR(IF(IFERROR(AGGREGATE(14,6,(Inventory!$G$6:$G$205+(205-ROW(Inventory!$G$6:$G$205))/10000)/(Inventory!$G$6:$G$205&gt;0),50),"")="","",INDEX(Inventory!$E$6:$E$205,IFERROR(MATCH(IFERROR(AGGREGATE(14,6,(Inventory!$G$6:$G$205+(205-ROW(Inventory!$G$6:$G$205))/10000)/(Inventory!$G$6:$G$205&gt;0),50),""),(Inventory!$G$6:$G$205+(205-ROW(Inventory!$G$6:$G$205))/10000),0),""))),"")</f>
        <v/>
      </c>
      <c r="F57" s="41">
        <f>IFERROR(IF(IFERROR(AGGREGATE(14,6,(Inventory!$G$6:$G$205+(205-ROW(Inventory!$G$6:$G$205))/10000)/(Inventory!$G$6:$G$205&gt;0),50),"")="","",INDEX(Inventory!$F$6:$F$205,IFERROR(MATCH(IFERROR(AGGREGATE(14,6,(Inventory!$G$6:$G$205+(205-ROW(Inventory!$G$6:$G$205))/10000)/(Inventory!$G$6:$G$205&gt;0),50),""),(Inventory!$G$6:$G$205+(205-ROW(Inventory!$G$6:$G$205))/10000),0),""))),"")</f>
        <v/>
      </c>
      <c r="G57" s="41">
        <f>IFERROR(IF(IFERROR(AGGREGATE(14,6,(Inventory!$G$6:$G$205+(205-ROW(Inventory!$G$6:$G$205))/10000)/(Inventory!$G$6:$G$205&gt;0),50),"")="","",INDEX(Inventory!$G$6:$G$205,IFERROR(MATCH(IFERROR(AGGREGATE(14,6,(Inventory!$G$6:$G$205+(205-ROW(Inventory!$G$6:$G$205))/10000)/(Inventory!$G$6:$G$205&gt;0),50),""),(Inventory!$G$6:$G$205+(205-ROW(Inventory!$G$6:$G$205))/10000),0),""))),"")</f>
        <v/>
      </c>
      <c r="H57" s="43">
        <f>IFERROR(IF(IFERROR(AGGREGATE(14,6,(Inventory!$G$6:$G$205+(205-ROW(Inventory!$G$6:$G$205))/10000)/(Inventory!$G$6:$G$205&gt;0),50),"")="","",INDEX(Inventory!$I$6:$I$205,IFERROR(MATCH(IFERROR(AGGREGATE(14,6,(Inventory!$G$6:$G$205+(205-ROW(Inventory!$G$6:$G$205))/10000)/(Inventory!$G$6:$G$205&gt;0),50),""),(Inventory!$G$6:$G$205+(205-ROW(Inventory!$G$6:$G$205))/10000),0),""))),"")</f>
        <v/>
      </c>
      <c r="I57" s="43">
        <f>IFERROR(IF(IFERROR(AGGREGATE(14,6,(Inventory!$G$6:$G$205+(205-ROW(Inventory!$G$6:$G$205))/10000)/(Inventory!$G$6:$G$205&gt;0),50),"")="","",INDEX(Inventory!$K$6:$K$205,IFERROR(MATCH(IFERROR(AGGREGATE(14,6,(Inventory!$G$6:$G$205+(205-ROW(Inventory!$G$6:$G$205))/10000)/(Inventory!$G$6:$G$205&gt;0),50),""),(Inventory!$G$6:$G$205+(205-ROW(Inventory!$G$6:$G$205))/10000),0),""))),"")</f>
        <v/>
      </c>
    </row>
    <row r="58" ht="16" customHeight="1">
      <c r="A58" s="46">
        <f>IFERROR(IF(IFERROR(AGGREGATE(14,6,(Inventory!$G$6:$G$205+(205-ROW(Inventory!$G$6:$G$205))/10000)/(Inventory!$G$6:$G$205&gt;0),51),"")="","",INDEX(Inventory!$A$6:$A$205,IFERROR(MATCH(IFERROR(AGGREGATE(14,6,(Inventory!$G$6:$G$205+(205-ROW(Inventory!$G$6:$G$205))/10000)/(Inventory!$G$6:$G$205&gt;0),51),""),(Inventory!$G$6:$G$205+(205-ROW(Inventory!$G$6:$G$205))/10000),0),""))),"")</f>
        <v/>
      </c>
      <c r="B58" s="46">
        <f>IFERROR(IF(IFERROR(AGGREGATE(14,6,(Inventory!$G$6:$G$205+(205-ROW(Inventory!$G$6:$G$205))/10000)/(Inventory!$G$6:$G$205&gt;0),51),"")="","",INDEX(Inventory!$B$6:$B$205,IFERROR(MATCH(IFERROR(AGGREGATE(14,6,(Inventory!$G$6:$G$205+(205-ROW(Inventory!$G$6:$G$205))/10000)/(Inventory!$G$6:$G$205&gt;0),51),""),(Inventory!$G$6:$G$205+(205-ROW(Inventory!$G$6:$G$205))/10000),0),""))),"")</f>
        <v/>
      </c>
      <c r="C58" s="46">
        <f>IFERROR(IF(IFERROR(AGGREGATE(14,6,(Inventory!$G$6:$G$205+(205-ROW(Inventory!$G$6:$G$205))/10000)/(Inventory!$G$6:$G$205&gt;0),51),"")="","",INDEX(Inventory!$D$6:$D$205,IFERROR(MATCH(IFERROR(AGGREGATE(14,6,(Inventory!$G$6:$G$205+(205-ROW(Inventory!$G$6:$G$205))/10000)/(Inventory!$G$6:$G$205&gt;0),51),""),(Inventory!$G$6:$G$205+(205-ROW(Inventory!$G$6:$G$205))/10000),0),""))),"")</f>
        <v/>
      </c>
      <c r="D58" s="46">
        <f>IFERROR(IF(IFERROR(AGGREGATE(14,6,(Inventory!$G$6:$G$205+(205-ROW(Inventory!$G$6:$G$205))/10000)/(Inventory!$G$6:$G$205&gt;0),51),"")="","",INDEX(Inventory!$H$6:$H$205,IFERROR(MATCH(IFERROR(AGGREGATE(14,6,(Inventory!$G$6:$G$205+(205-ROW(Inventory!$G$6:$G$205))/10000)/(Inventory!$G$6:$G$205&gt;0),51),""),(Inventory!$G$6:$G$205+(205-ROW(Inventory!$G$6:$G$205))/10000),0),""))),"")</f>
        <v/>
      </c>
      <c r="E58" s="41">
        <f>IFERROR(IF(IFERROR(AGGREGATE(14,6,(Inventory!$G$6:$G$205+(205-ROW(Inventory!$G$6:$G$205))/10000)/(Inventory!$G$6:$G$205&gt;0),51),"")="","",INDEX(Inventory!$E$6:$E$205,IFERROR(MATCH(IFERROR(AGGREGATE(14,6,(Inventory!$G$6:$G$205+(205-ROW(Inventory!$G$6:$G$205))/10000)/(Inventory!$G$6:$G$205&gt;0),51),""),(Inventory!$G$6:$G$205+(205-ROW(Inventory!$G$6:$G$205))/10000),0),""))),"")</f>
        <v/>
      </c>
      <c r="F58" s="41">
        <f>IFERROR(IF(IFERROR(AGGREGATE(14,6,(Inventory!$G$6:$G$205+(205-ROW(Inventory!$G$6:$G$205))/10000)/(Inventory!$G$6:$G$205&gt;0),51),"")="","",INDEX(Inventory!$F$6:$F$205,IFERROR(MATCH(IFERROR(AGGREGATE(14,6,(Inventory!$G$6:$G$205+(205-ROW(Inventory!$G$6:$G$205))/10000)/(Inventory!$G$6:$G$205&gt;0),51),""),(Inventory!$G$6:$G$205+(205-ROW(Inventory!$G$6:$G$205))/10000),0),""))),"")</f>
        <v/>
      </c>
      <c r="G58" s="41">
        <f>IFERROR(IF(IFERROR(AGGREGATE(14,6,(Inventory!$G$6:$G$205+(205-ROW(Inventory!$G$6:$G$205))/10000)/(Inventory!$G$6:$G$205&gt;0),51),"")="","",INDEX(Inventory!$G$6:$G$205,IFERROR(MATCH(IFERROR(AGGREGATE(14,6,(Inventory!$G$6:$G$205+(205-ROW(Inventory!$G$6:$G$205))/10000)/(Inventory!$G$6:$G$205&gt;0),51),""),(Inventory!$G$6:$G$205+(205-ROW(Inventory!$G$6:$G$205))/10000),0),""))),"")</f>
        <v/>
      </c>
      <c r="H58" s="43">
        <f>IFERROR(IF(IFERROR(AGGREGATE(14,6,(Inventory!$G$6:$G$205+(205-ROW(Inventory!$G$6:$G$205))/10000)/(Inventory!$G$6:$G$205&gt;0),51),"")="","",INDEX(Inventory!$I$6:$I$205,IFERROR(MATCH(IFERROR(AGGREGATE(14,6,(Inventory!$G$6:$G$205+(205-ROW(Inventory!$G$6:$G$205))/10000)/(Inventory!$G$6:$G$205&gt;0),51),""),(Inventory!$G$6:$G$205+(205-ROW(Inventory!$G$6:$G$205))/10000),0),""))),"")</f>
        <v/>
      </c>
      <c r="I58" s="43">
        <f>IFERROR(IF(IFERROR(AGGREGATE(14,6,(Inventory!$G$6:$G$205+(205-ROW(Inventory!$G$6:$G$205))/10000)/(Inventory!$G$6:$G$205&gt;0),51),"")="","",INDEX(Inventory!$K$6:$K$205,IFERROR(MATCH(IFERROR(AGGREGATE(14,6,(Inventory!$G$6:$G$205+(205-ROW(Inventory!$G$6:$G$205))/10000)/(Inventory!$G$6:$G$205&gt;0),51),""),(Inventory!$G$6:$G$205+(205-ROW(Inventory!$G$6:$G$205))/10000),0),""))),"")</f>
        <v/>
      </c>
    </row>
    <row r="59" ht="16" customHeight="1">
      <c r="A59" s="46">
        <f>IFERROR(IF(IFERROR(AGGREGATE(14,6,(Inventory!$G$6:$G$205+(205-ROW(Inventory!$G$6:$G$205))/10000)/(Inventory!$G$6:$G$205&gt;0),52),"")="","",INDEX(Inventory!$A$6:$A$205,IFERROR(MATCH(IFERROR(AGGREGATE(14,6,(Inventory!$G$6:$G$205+(205-ROW(Inventory!$G$6:$G$205))/10000)/(Inventory!$G$6:$G$205&gt;0),52),""),(Inventory!$G$6:$G$205+(205-ROW(Inventory!$G$6:$G$205))/10000),0),""))),"")</f>
        <v/>
      </c>
      <c r="B59" s="46">
        <f>IFERROR(IF(IFERROR(AGGREGATE(14,6,(Inventory!$G$6:$G$205+(205-ROW(Inventory!$G$6:$G$205))/10000)/(Inventory!$G$6:$G$205&gt;0),52),"")="","",INDEX(Inventory!$B$6:$B$205,IFERROR(MATCH(IFERROR(AGGREGATE(14,6,(Inventory!$G$6:$G$205+(205-ROW(Inventory!$G$6:$G$205))/10000)/(Inventory!$G$6:$G$205&gt;0),52),""),(Inventory!$G$6:$G$205+(205-ROW(Inventory!$G$6:$G$205))/10000),0),""))),"")</f>
        <v/>
      </c>
      <c r="C59" s="46">
        <f>IFERROR(IF(IFERROR(AGGREGATE(14,6,(Inventory!$G$6:$G$205+(205-ROW(Inventory!$G$6:$G$205))/10000)/(Inventory!$G$6:$G$205&gt;0),52),"")="","",INDEX(Inventory!$D$6:$D$205,IFERROR(MATCH(IFERROR(AGGREGATE(14,6,(Inventory!$G$6:$G$205+(205-ROW(Inventory!$G$6:$G$205))/10000)/(Inventory!$G$6:$G$205&gt;0),52),""),(Inventory!$G$6:$G$205+(205-ROW(Inventory!$G$6:$G$205))/10000),0),""))),"")</f>
        <v/>
      </c>
      <c r="D59" s="46">
        <f>IFERROR(IF(IFERROR(AGGREGATE(14,6,(Inventory!$G$6:$G$205+(205-ROW(Inventory!$G$6:$G$205))/10000)/(Inventory!$G$6:$G$205&gt;0),52),"")="","",INDEX(Inventory!$H$6:$H$205,IFERROR(MATCH(IFERROR(AGGREGATE(14,6,(Inventory!$G$6:$G$205+(205-ROW(Inventory!$G$6:$G$205))/10000)/(Inventory!$G$6:$G$205&gt;0),52),""),(Inventory!$G$6:$G$205+(205-ROW(Inventory!$G$6:$G$205))/10000),0),""))),"")</f>
        <v/>
      </c>
      <c r="E59" s="41">
        <f>IFERROR(IF(IFERROR(AGGREGATE(14,6,(Inventory!$G$6:$G$205+(205-ROW(Inventory!$G$6:$G$205))/10000)/(Inventory!$G$6:$G$205&gt;0),52),"")="","",INDEX(Inventory!$E$6:$E$205,IFERROR(MATCH(IFERROR(AGGREGATE(14,6,(Inventory!$G$6:$G$205+(205-ROW(Inventory!$G$6:$G$205))/10000)/(Inventory!$G$6:$G$205&gt;0),52),""),(Inventory!$G$6:$G$205+(205-ROW(Inventory!$G$6:$G$205))/10000),0),""))),"")</f>
        <v/>
      </c>
      <c r="F59" s="41">
        <f>IFERROR(IF(IFERROR(AGGREGATE(14,6,(Inventory!$G$6:$G$205+(205-ROW(Inventory!$G$6:$G$205))/10000)/(Inventory!$G$6:$G$205&gt;0),52),"")="","",INDEX(Inventory!$F$6:$F$205,IFERROR(MATCH(IFERROR(AGGREGATE(14,6,(Inventory!$G$6:$G$205+(205-ROW(Inventory!$G$6:$G$205))/10000)/(Inventory!$G$6:$G$205&gt;0),52),""),(Inventory!$G$6:$G$205+(205-ROW(Inventory!$G$6:$G$205))/10000),0),""))),"")</f>
        <v/>
      </c>
      <c r="G59" s="41">
        <f>IFERROR(IF(IFERROR(AGGREGATE(14,6,(Inventory!$G$6:$G$205+(205-ROW(Inventory!$G$6:$G$205))/10000)/(Inventory!$G$6:$G$205&gt;0),52),"")="","",INDEX(Inventory!$G$6:$G$205,IFERROR(MATCH(IFERROR(AGGREGATE(14,6,(Inventory!$G$6:$G$205+(205-ROW(Inventory!$G$6:$G$205))/10000)/(Inventory!$G$6:$G$205&gt;0),52),""),(Inventory!$G$6:$G$205+(205-ROW(Inventory!$G$6:$G$205))/10000),0),""))),"")</f>
        <v/>
      </c>
      <c r="H59" s="43">
        <f>IFERROR(IF(IFERROR(AGGREGATE(14,6,(Inventory!$G$6:$G$205+(205-ROW(Inventory!$G$6:$G$205))/10000)/(Inventory!$G$6:$G$205&gt;0),52),"")="","",INDEX(Inventory!$I$6:$I$205,IFERROR(MATCH(IFERROR(AGGREGATE(14,6,(Inventory!$G$6:$G$205+(205-ROW(Inventory!$G$6:$G$205))/10000)/(Inventory!$G$6:$G$205&gt;0),52),""),(Inventory!$G$6:$G$205+(205-ROW(Inventory!$G$6:$G$205))/10000),0),""))),"")</f>
        <v/>
      </c>
      <c r="I59" s="43">
        <f>IFERROR(IF(IFERROR(AGGREGATE(14,6,(Inventory!$G$6:$G$205+(205-ROW(Inventory!$G$6:$G$205))/10000)/(Inventory!$G$6:$G$205&gt;0),52),"")="","",INDEX(Inventory!$K$6:$K$205,IFERROR(MATCH(IFERROR(AGGREGATE(14,6,(Inventory!$G$6:$G$205+(205-ROW(Inventory!$G$6:$G$205))/10000)/(Inventory!$G$6:$G$205&gt;0),52),""),(Inventory!$G$6:$G$205+(205-ROW(Inventory!$G$6:$G$205))/10000),0),""))),"")</f>
        <v/>
      </c>
    </row>
    <row r="60" ht="16" customHeight="1">
      <c r="A60" s="46">
        <f>IFERROR(IF(IFERROR(AGGREGATE(14,6,(Inventory!$G$6:$G$205+(205-ROW(Inventory!$G$6:$G$205))/10000)/(Inventory!$G$6:$G$205&gt;0),53),"")="","",INDEX(Inventory!$A$6:$A$205,IFERROR(MATCH(IFERROR(AGGREGATE(14,6,(Inventory!$G$6:$G$205+(205-ROW(Inventory!$G$6:$G$205))/10000)/(Inventory!$G$6:$G$205&gt;0),53),""),(Inventory!$G$6:$G$205+(205-ROW(Inventory!$G$6:$G$205))/10000),0),""))),"")</f>
        <v/>
      </c>
      <c r="B60" s="46">
        <f>IFERROR(IF(IFERROR(AGGREGATE(14,6,(Inventory!$G$6:$G$205+(205-ROW(Inventory!$G$6:$G$205))/10000)/(Inventory!$G$6:$G$205&gt;0),53),"")="","",INDEX(Inventory!$B$6:$B$205,IFERROR(MATCH(IFERROR(AGGREGATE(14,6,(Inventory!$G$6:$G$205+(205-ROW(Inventory!$G$6:$G$205))/10000)/(Inventory!$G$6:$G$205&gt;0),53),""),(Inventory!$G$6:$G$205+(205-ROW(Inventory!$G$6:$G$205))/10000),0),""))),"")</f>
        <v/>
      </c>
      <c r="C60" s="46">
        <f>IFERROR(IF(IFERROR(AGGREGATE(14,6,(Inventory!$G$6:$G$205+(205-ROW(Inventory!$G$6:$G$205))/10000)/(Inventory!$G$6:$G$205&gt;0),53),"")="","",INDEX(Inventory!$D$6:$D$205,IFERROR(MATCH(IFERROR(AGGREGATE(14,6,(Inventory!$G$6:$G$205+(205-ROW(Inventory!$G$6:$G$205))/10000)/(Inventory!$G$6:$G$205&gt;0),53),""),(Inventory!$G$6:$G$205+(205-ROW(Inventory!$G$6:$G$205))/10000),0),""))),"")</f>
        <v/>
      </c>
      <c r="D60" s="46">
        <f>IFERROR(IF(IFERROR(AGGREGATE(14,6,(Inventory!$G$6:$G$205+(205-ROW(Inventory!$G$6:$G$205))/10000)/(Inventory!$G$6:$G$205&gt;0),53),"")="","",INDEX(Inventory!$H$6:$H$205,IFERROR(MATCH(IFERROR(AGGREGATE(14,6,(Inventory!$G$6:$G$205+(205-ROW(Inventory!$G$6:$G$205))/10000)/(Inventory!$G$6:$G$205&gt;0),53),""),(Inventory!$G$6:$G$205+(205-ROW(Inventory!$G$6:$G$205))/10000),0),""))),"")</f>
        <v/>
      </c>
      <c r="E60" s="41">
        <f>IFERROR(IF(IFERROR(AGGREGATE(14,6,(Inventory!$G$6:$G$205+(205-ROW(Inventory!$G$6:$G$205))/10000)/(Inventory!$G$6:$G$205&gt;0),53),"")="","",INDEX(Inventory!$E$6:$E$205,IFERROR(MATCH(IFERROR(AGGREGATE(14,6,(Inventory!$G$6:$G$205+(205-ROW(Inventory!$G$6:$G$205))/10000)/(Inventory!$G$6:$G$205&gt;0),53),""),(Inventory!$G$6:$G$205+(205-ROW(Inventory!$G$6:$G$205))/10000),0),""))),"")</f>
        <v/>
      </c>
      <c r="F60" s="41">
        <f>IFERROR(IF(IFERROR(AGGREGATE(14,6,(Inventory!$G$6:$G$205+(205-ROW(Inventory!$G$6:$G$205))/10000)/(Inventory!$G$6:$G$205&gt;0),53),"")="","",INDEX(Inventory!$F$6:$F$205,IFERROR(MATCH(IFERROR(AGGREGATE(14,6,(Inventory!$G$6:$G$205+(205-ROW(Inventory!$G$6:$G$205))/10000)/(Inventory!$G$6:$G$205&gt;0),53),""),(Inventory!$G$6:$G$205+(205-ROW(Inventory!$G$6:$G$205))/10000),0),""))),"")</f>
        <v/>
      </c>
      <c r="G60" s="41">
        <f>IFERROR(IF(IFERROR(AGGREGATE(14,6,(Inventory!$G$6:$G$205+(205-ROW(Inventory!$G$6:$G$205))/10000)/(Inventory!$G$6:$G$205&gt;0),53),"")="","",INDEX(Inventory!$G$6:$G$205,IFERROR(MATCH(IFERROR(AGGREGATE(14,6,(Inventory!$G$6:$G$205+(205-ROW(Inventory!$G$6:$G$205))/10000)/(Inventory!$G$6:$G$205&gt;0),53),""),(Inventory!$G$6:$G$205+(205-ROW(Inventory!$G$6:$G$205))/10000),0),""))),"")</f>
        <v/>
      </c>
      <c r="H60" s="43">
        <f>IFERROR(IF(IFERROR(AGGREGATE(14,6,(Inventory!$G$6:$G$205+(205-ROW(Inventory!$G$6:$G$205))/10000)/(Inventory!$G$6:$G$205&gt;0),53),"")="","",INDEX(Inventory!$I$6:$I$205,IFERROR(MATCH(IFERROR(AGGREGATE(14,6,(Inventory!$G$6:$G$205+(205-ROW(Inventory!$G$6:$G$205))/10000)/(Inventory!$G$6:$G$205&gt;0),53),""),(Inventory!$G$6:$G$205+(205-ROW(Inventory!$G$6:$G$205))/10000),0),""))),"")</f>
        <v/>
      </c>
      <c r="I60" s="43">
        <f>IFERROR(IF(IFERROR(AGGREGATE(14,6,(Inventory!$G$6:$G$205+(205-ROW(Inventory!$G$6:$G$205))/10000)/(Inventory!$G$6:$G$205&gt;0),53),"")="","",INDEX(Inventory!$K$6:$K$205,IFERROR(MATCH(IFERROR(AGGREGATE(14,6,(Inventory!$G$6:$G$205+(205-ROW(Inventory!$G$6:$G$205))/10000)/(Inventory!$G$6:$G$205&gt;0),53),""),(Inventory!$G$6:$G$205+(205-ROW(Inventory!$G$6:$G$205))/10000),0),""))),"")</f>
        <v/>
      </c>
    </row>
    <row r="61" ht="16" customHeight="1">
      <c r="A61" s="46">
        <f>IFERROR(IF(IFERROR(AGGREGATE(14,6,(Inventory!$G$6:$G$205+(205-ROW(Inventory!$G$6:$G$205))/10000)/(Inventory!$G$6:$G$205&gt;0),54),"")="","",INDEX(Inventory!$A$6:$A$205,IFERROR(MATCH(IFERROR(AGGREGATE(14,6,(Inventory!$G$6:$G$205+(205-ROW(Inventory!$G$6:$G$205))/10000)/(Inventory!$G$6:$G$205&gt;0),54),""),(Inventory!$G$6:$G$205+(205-ROW(Inventory!$G$6:$G$205))/10000),0),""))),"")</f>
        <v/>
      </c>
      <c r="B61" s="46">
        <f>IFERROR(IF(IFERROR(AGGREGATE(14,6,(Inventory!$G$6:$G$205+(205-ROW(Inventory!$G$6:$G$205))/10000)/(Inventory!$G$6:$G$205&gt;0),54),"")="","",INDEX(Inventory!$B$6:$B$205,IFERROR(MATCH(IFERROR(AGGREGATE(14,6,(Inventory!$G$6:$G$205+(205-ROW(Inventory!$G$6:$G$205))/10000)/(Inventory!$G$6:$G$205&gt;0),54),""),(Inventory!$G$6:$G$205+(205-ROW(Inventory!$G$6:$G$205))/10000),0),""))),"")</f>
        <v/>
      </c>
      <c r="C61" s="46">
        <f>IFERROR(IF(IFERROR(AGGREGATE(14,6,(Inventory!$G$6:$G$205+(205-ROW(Inventory!$G$6:$G$205))/10000)/(Inventory!$G$6:$G$205&gt;0),54),"")="","",INDEX(Inventory!$D$6:$D$205,IFERROR(MATCH(IFERROR(AGGREGATE(14,6,(Inventory!$G$6:$G$205+(205-ROW(Inventory!$G$6:$G$205))/10000)/(Inventory!$G$6:$G$205&gt;0),54),""),(Inventory!$G$6:$G$205+(205-ROW(Inventory!$G$6:$G$205))/10000),0),""))),"")</f>
        <v/>
      </c>
      <c r="D61" s="46">
        <f>IFERROR(IF(IFERROR(AGGREGATE(14,6,(Inventory!$G$6:$G$205+(205-ROW(Inventory!$G$6:$G$205))/10000)/(Inventory!$G$6:$G$205&gt;0),54),"")="","",INDEX(Inventory!$H$6:$H$205,IFERROR(MATCH(IFERROR(AGGREGATE(14,6,(Inventory!$G$6:$G$205+(205-ROW(Inventory!$G$6:$G$205))/10000)/(Inventory!$G$6:$G$205&gt;0),54),""),(Inventory!$G$6:$G$205+(205-ROW(Inventory!$G$6:$G$205))/10000),0),""))),"")</f>
        <v/>
      </c>
      <c r="E61" s="41">
        <f>IFERROR(IF(IFERROR(AGGREGATE(14,6,(Inventory!$G$6:$G$205+(205-ROW(Inventory!$G$6:$G$205))/10000)/(Inventory!$G$6:$G$205&gt;0),54),"")="","",INDEX(Inventory!$E$6:$E$205,IFERROR(MATCH(IFERROR(AGGREGATE(14,6,(Inventory!$G$6:$G$205+(205-ROW(Inventory!$G$6:$G$205))/10000)/(Inventory!$G$6:$G$205&gt;0),54),""),(Inventory!$G$6:$G$205+(205-ROW(Inventory!$G$6:$G$205))/10000),0),""))),"")</f>
        <v/>
      </c>
      <c r="F61" s="41">
        <f>IFERROR(IF(IFERROR(AGGREGATE(14,6,(Inventory!$G$6:$G$205+(205-ROW(Inventory!$G$6:$G$205))/10000)/(Inventory!$G$6:$G$205&gt;0),54),"")="","",INDEX(Inventory!$F$6:$F$205,IFERROR(MATCH(IFERROR(AGGREGATE(14,6,(Inventory!$G$6:$G$205+(205-ROW(Inventory!$G$6:$G$205))/10000)/(Inventory!$G$6:$G$205&gt;0),54),""),(Inventory!$G$6:$G$205+(205-ROW(Inventory!$G$6:$G$205))/10000),0),""))),"")</f>
        <v/>
      </c>
      <c r="G61" s="41">
        <f>IFERROR(IF(IFERROR(AGGREGATE(14,6,(Inventory!$G$6:$G$205+(205-ROW(Inventory!$G$6:$G$205))/10000)/(Inventory!$G$6:$G$205&gt;0),54),"")="","",INDEX(Inventory!$G$6:$G$205,IFERROR(MATCH(IFERROR(AGGREGATE(14,6,(Inventory!$G$6:$G$205+(205-ROW(Inventory!$G$6:$G$205))/10000)/(Inventory!$G$6:$G$205&gt;0),54),""),(Inventory!$G$6:$G$205+(205-ROW(Inventory!$G$6:$G$205))/10000),0),""))),"")</f>
        <v/>
      </c>
      <c r="H61" s="43">
        <f>IFERROR(IF(IFERROR(AGGREGATE(14,6,(Inventory!$G$6:$G$205+(205-ROW(Inventory!$G$6:$G$205))/10000)/(Inventory!$G$6:$G$205&gt;0),54),"")="","",INDEX(Inventory!$I$6:$I$205,IFERROR(MATCH(IFERROR(AGGREGATE(14,6,(Inventory!$G$6:$G$205+(205-ROW(Inventory!$G$6:$G$205))/10000)/(Inventory!$G$6:$G$205&gt;0),54),""),(Inventory!$G$6:$G$205+(205-ROW(Inventory!$G$6:$G$205))/10000),0),""))),"")</f>
        <v/>
      </c>
      <c r="I61" s="43">
        <f>IFERROR(IF(IFERROR(AGGREGATE(14,6,(Inventory!$G$6:$G$205+(205-ROW(Inventory!$G$6:$G$205))/10000)/(Inventory!$G$6:$G$205&gt;0),54),"")="","",INDEX(Inventory!$K$6:$K$205,IFERROR(MATCH(IFERROR(AGGREGATE(14,6,(Inventory!$G$6:$G$205+(205-ROW(Inventory!$G$6:$G$205))/10000)/(Inventory!$G$6:$G$205&gt;0),54),""),(Inventory!$G$6:$G$205+(205-ROW(Inventory!$G$6:$G$205))/10000),0),""))),"")</f>
        <v/>
      </c>
    </row>
    <row r="62" ht="16" customHeight="1">
      <c r="A62" s="46">
        <f>IFERROR(IF(IFERROR(AGGREGATE(14,6,(Inventory!$G$6:$G$205+(205-ROW(Inventory!$G$6:$G$205))/10000)/(Inventory!$G$6:$G$205&gt;0),55),"")="","",INDEX(Inventory!$A$6:$A$205,IFERROR(MATCH(IFERROR(AGGREGATE(14,6,(Inventory!$G$6:$G$205+(205-ROW(Inventory!$G$6:$G$205))/10000)/(Inventory!$G$6:$G$205&gt;0),55),""),(Inventory!$G$6:$G$205+(205-ROW(Inventory!$G$6:$G$205))/10000),0),""))),"")</f>
        <v/>
      </c>
      <c r="B62" s="46">
        <f>IFERROR(IF(IFERROR(AGGREGATE(14,6,(Inventory!$G$6:$G$205+(205-ROW(Inventory!$G$6:$G$205))/10000)/(Inventory!$G$6:$G$205&gt;0),55),"")="","",INDEX(Inventory!$B$6:$B$205,IFERROR(MATCH(IFERROR(AGGREGATE(14,6,(Inventory!$G$6:$G$205+(205-ROW(Inventory!$G$6:$G$205))/10000)/(Inventory!$G$6:$G$205&gt;0),55),""),(Inventory!$G$6:$G$205+(205-ROW(Inventory!$G$6:$G$205))/10000),0),""))),"")</f>
        <v/>
      </c>
      <c r="C62" s="46">
        <f>IFERROR(IF(IFERROR(AGGREGATE(14,6,(Inventory!$G$6:$G$205+(205-ROW(Inventory!$G$6:$G$205))/10000)/(Inventory!$G$6:$G$205&gt;0),55),"")="","",INDEX(Inventory!$D$6:$D$205,IFERROR(MATCH(IFERROR(AGGREGATE(14,6,(Inventory!$G$6:$G$205+(205-ROW(Inventory!$G$6:$G$205))/10000)/(Inventory!$G$6:$G$205&gt;0),55),""),(Inventory!$G$6:$G$205+(205-ROW(Inventory!$G$6:$G$205))/10000),0),""))),"")</f>
        <v/>
      </c>
      <c r="D62" s="46">
        <f>IFERROR(IF(IFERROR(AGGREGATE(14,6,(Inventory!$G$6:$G$205+(205-ROW(Inventory!$G$6:$G$205))/10000)/(Inventory!$G$6:$G$205&gt;0),55),"")="","",INDEX(Inventory!$H$6:$H$205,IFERROR(MATCH(IFERROR(AGGREGATE(14,6,(Inventory!$G$6:$G$205+(205-ROW(Inventory!$G$6:$G$205))/10000)/(Inventory!$G$6:$G$205&gt;0),55),""),(Inventory!$G$6:$G$205+(205-ROW(Inventory!$G$6:$G$205))/10000),0),""))),"")</f>
        <v/>
      </c>
      <c r="E62" s="41">
        <f>IFERROR(IF(IFERROR(AGGREGATE(14,6,(Inventory!$G$6:$G$205+(205-ROW(Inventory!$G$6:$G$205))/10000)/(Inventory!$G$6:$G$205&gt;0),55),"")="","",INDEX(Inventory!$E$6:$E$205,IFERROR(MATCH(IFERROR(AGGREGATE(14,6,(Inventory!$G$6:$G$205+(205-ROW(Inventory!$G$6:$G$205))/10000)/(Inventory!$G$6:$G$205&gt;0),55),""),(Inventory!$G$6:$G$205+(205-ROW(Inventory!$G$6:$G$205))/10000),0),""))),"")</f>
        <v/>
      </c>
      <c r="F62" s="41">
        <f>IFERROR(IF(IFERROR(AGGREGATE(14,6,(Inventory!$G$6:$G$205+(205-ROW(Inventory!$G$6:$G$205))/10000)/(Inventory!$G$6:$G$205&gt;0),55),"")="","",INDEX(Inventory!$F$6:$F$205,IFERROR(MATCH(IFERROR(AGGREGATE(14,6,(Inventory!$G$6:$G$205+(205-ROW(Inventory!$G$6:$G$205))/10000)/(Inventory!$G$6:$G$205&gt;0),55),""),(Inventory!$G$6:$G$205+(205-ROW(Inventory!$G$6:$G$205))/10000),0),""))),"")</f>
        <v/>
      </c>
      <c r="G62" s="41">
        <f>IFERROR(IF(IFERROR(AGGREGATE(14,6,(Inventory!$G$6:$G$205+(205-ROW(Inventory!$G$6:$G$205))/10000)/(Inventory!$G$6:$G$205&gt;0),55),"")="","",INDEX(Inventory!$G$6:$G$205,IFERROR(MATCH(IFERROR(AGGREGATE(14,6,(Inventory!$G$6:$G$205+(205-ROW(Inventory!$G$6:$G$205))/10000)/(Inventory!$G$6:$G$205&gt;0),55),""),(Inventory!$G$6:$G$205+(205-ROW(Inventory!$G$6:$G$205))/10000),0),""))),"")</f>
        <v/>
      </c>
      <c r="H62" s="43">
        <f>IFERROR(IF(IFERROR(AGGREGATE(14,6,(Inventory!$G$6:$G$205+(205-ROW(Inventory!$G$6:$G$205))/10000)/(Inventory!$G$6:$G$205&gt;0),55),"")="","",INDEX(Inventory!$I$6:$I$205,IFERROR(MATCH(IFERROR(AGGREGATE(14,6,(Inventory!$G$6:$G$205+(205-ROW(Inventory!$G$6:$G$205))/10000)/(Inventory!$G$6:$G$205&gt;0),55),""),(Inventory!$G$6:$G$205+(205-ROW(Inventory!$G$6:$G$205))/10000),0),""))),"")</f>
        <v/>
      </c>
      <c r="I62" s="43">
        <f>IFERROR(IF(IFERROR(AGGREGATE(14,6,(Inventory!$G$6:$G$205+(205-ROW(Inventory!$G$6:$G$205))/10000)/(Inventory!$G$6:$G$205&gt;0),55),"")="","",INDEX(Inventory!$K$6:$K$205,IFERROR(MATCH(IFERROR(AGGREGATE(14,6,(Inventory!$G$6:$G$205+(205-ROW(Inventory!$G$6:$G$205))/10000)/(Inventory!$G$6:$G$205&gt;0),55),""),(Inventory!$G$6:$G$205+(205-ROW(Inventory!$G$6:$G$205))/10000),0),""))),"")</f>
        <v/>
      </c>
    </row>
    <row r="63" ht="16" customHeight="1">
      <c r="A63" s="46">
        <f>IFERROR(IF(IFERROR(AGGREGATE(14,6,(Inventory!$G$6:$G$205+(205-ROW(Inventory!$G$6:$G$205))/10000)/(Inventory!$G$6:$G$205&gt;0),56),"")="","",INDEX(Inventory!$A$6:$A$205,IFERROR(MATCH(IFERROR(AGGREGATE(14,6,(Inventory!$G$6:$G$205+(205-ROW(Inventory!$G$6:$G$205))/10000)/(Inventory!$G$6:$G$205&gt;0),56),""),(Inventory!$G$6:$G$205+(205-ROW(Inventory!$G$6:$G$205))/10000),0),""))),"")</f>
        <v/>
      </c>
      <c r="B63" s="46">
        <f>IFERROR(IF(IFERROR(AGGREGATE(14,6,(Inventory!$G$6:$G$205+(205-ROW(Inventory!$G$6:$G$205))/10000)/(Inventory!$G$6:$G$205&gt;0),56),"")="","",INDEX(Inventory!$B$6:$B$205,IFERROR(MATCH(IFERROR(AGGREGATE(14,6,(Inventory!$G$6:$G$205+(205-ROW(Inventory!$G$6:$G$205))/10000)/(Inventory!$G$6:$G$205&gt;0),56),""),(Inventory!$G$6:$G$205+(205-ROW(Inventory!$G$6:$G$205))/10000),0),""))),"")</f>
        <v/>
      </c>
      <c r="C63" s="46">
        <f>IFERROR(IF(IFERROR(AGGREGATE(14,6,(Inventory!$G$6:$G$205+(205-ROW(Inventory!$G$6:$G$205))/10000)/(Inventory!$G$6:$G$205&gt;0),56),"")="","",INDEX(Inventory!$D$6:$D$205,IFERROR(MATCH(IFERROR(AGGREGATE(14,6,(Inventory!$G$6:$G$205+(205-ROW(Inventory!$G$6:$G$205))/10000)/(Inventory!$G$6:$G$205&gt;0),56),""),(Inventory!$G$6:$G$205+(205-ROW(Inventory!$G$6:$G$205))/10000),0),""))),"")</f>
        <v/>
      </c>
      <c r="D63" s="46">
        <f>IFERROR(IF(IFERROR(AGGREGATE(14,6,(Inventory!$G$6:$G$205+(205-ROW(Inventory!$G$6:$G$205))/10000)/(Inventory!$G$6:$G$205&gt;0),56),"")="","",INDEX(Inventory!$H$6:$H$205,IFERROR(MATCH(IFERROR(AGGREGATE(14,6,(Inventory!$G$6:$G$205+(205-ROW(Inventory!$G$6:$G$205))/10000)/(Inventory!$G$6:$G$205&gt;0),56),""),(Inventory!$G$6:$G$205+(205-ROW(Inventory!$G$6:$G$205))/10000),0),""))),"")</f>
        <v/>
      </c>
      <c r="E63" s="41">
        <f>IFERROR(IF(IFERROR(AGGREGATE(14,6,(Inventory!$G$6:$G$205+(205-ROW(Inventory!$G$6:$G$205))/10000)/(Inventory!$G$6:$G$205&gt;0),56),"")="","",INDEX(Inventory!$E$6:$E$205,IFERROR(MATCH(IFERROR(AGGREGATE(14,6,(Inventory!$G$6:$G$205+(205-ROW(Inventory!$G$6:$G$205))/10000)/(Inventory!$G$6:$G$205&gt;0),56),""),(Inventory!$G$6:$G$205+(205-ROW(Inventory!$G$6:$G$205))/10000),0),""))),"")</f>
        <v/>
      </c>
      <c r="F63" s="41">
        <f>IFERROR(IF(IFERROR(AGGREGATE(14,6,(Inventory!$G$6:$G$205+(205-ROW(Inventory!$G$6:$G$205))/10000)/(Inventory!$G$6:$G$205&gt;0),56),"")="","",INDEX(Inventory!$F$6:$F$205,IFERROR(MATCH(IFERROR(AGGREGATE(14,6,(Inventory!$G$6:$G$205+(205-ROW(Inventory!$G$6:$G$205))/10000)/(Inventory!$G$6:$G$205&gt;0),56),""),(Inventory!$G$6:$G$205+(205-ROW(Inventory!$G$6:$G$205))/10000),0),""))),"")</f>
        <v/>
      </c>
      <c r="G63" s="41">
        <f>IFERROR(IF(IFERROR(AGGREGATE(14,6,(Inventory!$G$6:$G$205+(205-ROW(Inventory!$G$6:$G$205))/10000)/(Inventory!$G$6:$G$205&gt;0),56),"")="","",INDEX(Inventory!$G$6:$G$205,IFERROR(MATCH(IFERROR(AGGREGATE(14,6,(Inventory!$G$6:$G$205+(205-ROW(Inventory!$G$6:$G$205))/10000)/(Inventory!$G$6:$G$205&gt;0),56),""),(Inventory!$G$6:$G$205+(205-ROW(Inventory!$G$6:$G$205))/10000),0),""))),"")</f>
        <v/>
      </c>
      <c r="H63" s="43">
        <f>IFERROR(IF(IFERROR(AGGREGATE(14,6,(Inventory!$G$6:$G$205+(205-ROW(Inventory!$G$6:$G$205))/10000)/(Inventory!$G$6:$G$205&gt;0),56),"")="","",INDEX(Inventory!$I$6:$I$205,IFERROR(MATCH(IFERROR(AGGREGATE(14,6,(Inventory!$G$6:$G$205+(205-ROW(Inventory!$G$6:$G$205))/10000)/(Inventory!$G$6:$G$205&gt;0),56),""),(Inventory!$G$6:$G$205+(205-ROW(Inventory!$G$6:$G$205))/10000),0),""))),"")</f>
        <v/>
      </c>
      <c r="I63" s="43">
        <f>IFERROR(IF(IFERROR(AGGREGATE(14,6,(Inventory!$G$6:$G$205+(205-ROW(Inventory!$G$6:$G$205))/10000)/(Inventory!$G$6:$G$205&gt;0),56),"")="","",INDEX(Inventory!$K$6:$K$205,IFERROR(MATCH(IFERROR(AGGREGATE(14,6,(Inventory!$G$6:$G$205+(205-ROW(Inventory!$G$6:$G$205))/10000)/(Inventory!$G$6:$G$205&gt;0),56),""),(Inventory!$G$6:$G$205+(205-ROW(Inventory!$G$6:$G$205))/10000),0),""))),"")</f>
        <v/>
      </c>
    </row>
    <row r="64" ht="16" customHeight="1">
      <c r="A64" s="46">
        <f>IFERROR(IF(IFERROR(AGGREGATE(14,6,(Inventory!$G$6:$G$205+(205-ROW(Inventory!$G$6:$G$205))/10000)/(Inventory!$G$6:$G$205&gt;0),57),"")="","",INDEX(Inventory!$A$6:$A$205,IFERROR(MATCH(IFERROR(AGGREGATE(14,6,(Inventory!$G$6:$G$205+(205-ROW(Inventory!$G$6:$G$205))/10000)/(Inventory!$G$6:$G$205&gt;0),57),""),(Inventory!$G$6:$G$205+(205-ROW(Inventory!$G$6:$G$205))/10000),0),""))),"")</f>
        <v/>
      </c>
      <c r="B64" s="46">
        <f>IFERROR(IF(IFERROR(AGGREGATE(14,6,(Inventory!$G$6:$G$205+(205-ROW(Inventory!$G$6:$G$205))/10000)/(Inventory!$G$6:$G$205&gt;0),57),"")="","",INDEX(Inventory!$B$6:$B$205,IFERROR(MATCH(IFERROR(AGGREGATE(14,6,(Inventory!$G$6:$G$205+(205-ROW(Inventory!$G$6:$G$205))/10000)/(Inventory!$G$6:$G$205&gt;0),57),""),(Inventory!$G$6:$G$205+(205-ROW(Inventory!$G$6:$G$205))/10000),0),""))),"")</f>
        <v/>
      </c>
      <c r="C64" s="46">
        <f>IFERROR(IF(IFERROR(AGGREGATE(14,6,(Inventory!$G$6:$G$205+(205-ROW(Inventory!$G$6:$G$205))/10000)/(Inventory!$G$6:$G$205&gt;0),57),"")="","",INDEX(Inventory!$D$6:$D$205,IFERROR(MATCH(IFERROR(AGGREGATE(14,6,(Inventory!$G$6:$G$205+(205-ROW(Inventory!$G$6:$G$205))/10000)/(Inventory!$G$6:$G$205&gt;0),57),""),(Inventory!$G$6:$G$205+(205-ROW(Inventory!$G$6:$G$205))/10000),0),""))),"")</f>
        <v/>
      </c>
      <c r="D64" s="46">
        <f>IFERROR(IF(IFERROR(AGGREGATE(14,6,(Inventory!$G$6:$G$205+(205-ROW(Inventory!$G$6:$G$205))/10000)/(Inventory!$G$6:$G$205&gt;0),57),"")="","",INDEX(Inventory!$H$6:$H$205,IFERROR(MATCH(IFERROR(AGGREGATE(14,6,(Inventory!$G$6:$G$205+(205-ROW(Inventory!$G$6:$G$205))/10000)/(Inventory!$G$6:$G$205&gt;0),57),""),(Inventory!$G$6:$G$205+(205-ROW(Inventory!$G$6:$G$205))/10000),0),""))),"")</f>
        <v/>
      </c>
      <c r="E64" s="41">
        <f>IFERROR(IF(IFERROR(AGGREGATE(14,6,(Inventory!$G$6:$G$205+(205-ROW(Inventory!$G$6:$G$205))/10000)/(Inventory!$G$6:$G$205&gt;0),57),"")="","",INDEX(Inventory!$E$6:$E$205,IFERROR(MATCH(IFERROR(AGGREGATE(14,6,(Inventory!$G$6:$G$205+(205-ROW(Inventory!$G$6:$G$205))/10000)/(Inventory!$G$6:$G$205&gt;0),57),""),(Inventory!$G$6:$G$205+(205-ROW(Inventory!$G$6:$G$205))/10000),0),""))),"")</f>
        <v/>
      </c>
      <c r="F64" s="41">
        <f>IFERROR(IF(IFERROR(AGGREGATE(14,6,(Inventory!$G$6:$G$205+(205-ROW(Inventory!$G$6:$G$205))/10000)/(Inventory!$G$6:$G$205&gt;0),57),"")="","",INDEX(Inventory!$F$6:$F$205,IFERROR(MATCH(IFERROR(AGGREGATE(14,6,(Inventory!$G$6:$G$205+(205-ROW(Inventory!$G$6:$G$205))/10000)/(Inventory!$G$6:$G$205&gt;0),57),""),(Inventory!$G$6:$G$205+(205-ROW(Inventory!$G$6:$G$205))/10000),0),""))),"")</f>
        <v/>
      </c>
      <c r="G64" s="41">
        <f>IFERROR(IF(IFERROR(AGGREGATE(14,6,(Inventory!$G$6:$G$205+(205-ROW(Inventory!$G$6:$G$205))/10000)/(Inventory!$G$6:$G$205&gt;0),57),"")="","",INDEX(Inventory!$G$6:$G$205,IFERROR(MATCH(IFERROR(AGGREGATE(14,6,(Inventory!$G$6:$G$205+(205-ROW(Inventory!$G$6:$G$205))/10000)/(Inventory!$G$6:$G$205&gt;0),57),""),(Inventory!$G$6:$G$205+(205-ROW(Inventory!$G$6:$G$205))/10000),0),""))),"")</f>
        <v/>
      </c>
      <c r="H64" s="43">
        <f>IFERROR(IF(IFERROR(AGGREGATE(14,6,(Inventory!$G$6:$G$205+(205-ROW(Inventory!$G$6:$G$205))/10000)/(Inventory!$G$6:$G$205&gt;0),57),"")="","",INDEX(Inventory!$I$6:$I$205,IFERROR(MATCH(IFERROR(AGGREGATE(14,6,(Inventory!$G$6:$G$205+(205-ROW(Inventory!$G$6:$G$205))/10000)/(Inventory!$G$6:$G$205&gt;0),57),""),(Inventory!$G$6:$G$205+(205-ROW(Inventory!$G$6:$G$205))/10000),0),""))),"")</f>
        <v/>
      </c>
      <c r="I64" s="43">
        <f>IFERROR(IF(IFERROR(AGGREGATE(14,6,(Inventory!$G$6:$G$205+(205-ROW(Inventory!$G$6:$G$205))/10000)/(Inventory!$G$6:$G$205&gt;0),57),"")="","",INDEX(Inventory!$K$6:$K$205,IFERROR(MATCH(IFERROR(AGGREGATE(14,6,(Inventory!$G$6:$G$205+(205-ROW(Inventory!$G$6:$G$205))/10000)/(Inventory!$G$6:$G$205&gt;0),57),""),(Inventory!$G$6:$G$205+(205-ROW(Inventory!$G$6:$G$205))/10000),0),""))),"")</f>
        <v/>
      </c>
    </row>
    <row r="65" ht="16" customHeight="1">
      <c r="A65" s="46">
        <f>IFERROR(IF(IFERROR(AGGREGATE(14,6,(Inventory!$G$6:$G$205+(205-ROW(Inventory!$G$6:$G$205))/10000)/(Inventory!$G$6:$G$205&gt;0),58),"")="","",INDEX(Inventory!$A$6:$A$205,IFERROR(MATCH(IFERROR(AGGREGATE(14,6,(Inventory!$G$6:$G$205+(205-ROW(Inventory!$G$6:$G$205))/10000)/(Inventory!$G$6:$G$205&gt;0),58),""),(Inventory!$G$6:$G$205+(205-ROW(Inventory!$G$6:$G$205))/10000),0),""))),"")</f>
        <v/>
      </c>
      <c r="B65" s="46">
        <f>IFERROR(IF(IFERROR(AGGREGATE(14,6,(Inventory!$G$6:$G$205+(205-ROW(Inventory!$G$6:$G$205))/10000)/(Inventory!$G$6:$G$205&gt;0),58),"")="","",INDEX(Inventory!$B$6:$B$205,IFERROR(MATCH(IFERROR(AGGREGATE(14,6,(Inventory!$G$6:$G$205+(205-ROW(Inventory!$G$6:$G$205))/10000)/(Inventory!$G$6:$G$205&gt;0),58),""),(Inventory!$G$6:$G$205+(205-ROW(Inventory!$G$6:$G$205))/10000),0),""))),"")</f>
        <v/>
      </c>
      <c r="C65" s="46">
        <f>IFERROR(IF(IFERROR(AGGREGATE(14,6,(Inventory!$G$6:$G$205+(205-ROW(Inventory!$G$6:$G$205))/10000)/(Inventory!$G$6:$G$205&gt;0),58),"")="","",INDEX(Inventory!$D$6:$D$205,IFERROR(MATCH(IFERROR(AGGREGATE(14,6,(Inventory!$G$6:$G$205+(205-ROW(Inventory!$G$6:$G$205))/10000)/(Inventory!$G$6:$G$205&gt;0),58),""),(Inventory!$G$6:$G$205+(205-ROW(Inventory!$G$6:$G$205))/10000),0),""))),"")</f>
        <v/>
      </c>
      <c r="D65" s="46">
        <f>IFERROR(IF(IFERROR(AGGREGATE(14,6,(Inventory!$G$6:$G$205+(205-ROW(Inventory!$G$6:$G$205))/10000)/(Inventory!$G$6:$G$205&gt;0),58),"")="","",INDEX(Inventory!$H$6:$H$205,IFERROR(MATCH(IFERROR(AGGREGATE(14,6,(Inventory!$G$6:$G$205+(205-ROW(Inventory!$G$6:$G$205))/10000)/(Inventory!$G$6:$G$205&gt;0),58),""),(Inventory!$G$6:$G$205+(205-ROW(Inventory!$G$6:$G$205))/10000),0),""))),"")</f>
        <v/>
      </c>
      <c r="E65" s="41">
        <f>IFERROR(IF(IFERROR(AGGREGATE(14,6,(Inventory!$G$6:$G$205+(205-ROW(Inventory!$G$6:$G$205))/10000)/(Inventory!$G$6:$G$205&gt;0),58),"")="","",INDEX(Inventory!$E$6:$E$205,IFERROR(MATCH(IFERROR(AGGREGATE(14,6,(Inventory!$G$6:$G$205+(205-ROW(Inventory!$G$6:$G$205))/10000)/(Inventory!$G$6:$G$205&gt;0),58),""),(Inventory!$G$6:$G$205+(205-ROW(Inventory!$G$6:$G$205))/10000),0),""))),"")</f>
        <v/>
      </c>
      <c r="F65" s="41">
        <f>IFERROR(IF(IFERROR(AGGREGATE(14,6,(Inventory!$G$6:$G$205+(205-ROW(Inventory!$G$6:$G$205))/10000)/(Inventory!$G$6:$G$205&gt;0),58),"")="","",INDEX(Inventory!$F$6:$F$205,IFERROR(MATCH(IFERROR(AGGREGATE(14,6,(Inventory!$G$6:$G$205+(205-ROW(Inventory!$G$6:$G$205))/10000)/(Inventory!$G$6:$G$205&gt;0),58),""),(Inventory!$G$6:$G$205+(205-ROW(Inventory!$G$6:$G$205))/10000),0),""))),"")</f>
        <v/>
      </c>
      <c r="G65" s="41">
        <f>IFERROR(IF(IFERROR(AGGREGATE(14,6,(Inventory!$G$6:$G$205+(205-ROW(Inventory!$G$6:$G$205))/10000)/(Inventory!$G$6:$G$205&gt;0),58),"")="","",INDEX(Inventory!$G$6:$G$205,IFERROR(MATCH(IFERROR(AGGREGATE(14,6,(Inventory!$G$6:$G$205+(205-ROW(Inventory!$G$6:$G$205))/10000)/(Inventory!$G$6:$G$205&gt;0),58),""),(Inventory!$G$6:$G$205+(205-ROW(Inventory!$G$6:$G$205))/10000),0),""))),"")</f>
        <v/>
      </c>
      <c r="H65" s="43">
        <f>IFERROR(IF(IFERROR(AGGREGATE(14,6,(Inventory!$G$6:$G$205+(205-ROW(Inventory!$G$6:$G$205))/10000)/(Inventory!$G$6:$G$205&gt;0),58),"")="","",INDEX(Inventory!$I$6:$I$205,IFERROR(MATCH(IFERROR(AGGREGATE(14,6,(Inventory!$G$6:$G$205+(205-ROW(Inventory!$G$6:$G$205))/10000)/(Inventory!$G$6:$G$205&gt;0),58),""),(Inventory!$G$6:$G$205+(205-ROW(Inventory!$G$6:$G$205))/10000),0),""))),"")</f>
        <v/>
      </c>
      <c r="I65" s="43">
        <f>IFERROR(IF(IFERROR(AGGREGATE(14,6,(Inventory!$G$6:$G$205+(205-ROW(Inventory!$G$6:$G$205))/10000)/(Inventory!$G$6:$G$205&gt;0),58),"")="","",INDEX(Inventory!$K$6:$K$205,IFERROR(MATCH(IFERROR(AGGREGATE(14,6,(Inventory!$G$6:$G$205+(205-ROW(Inventory!$G$6:$G$205))/10000)/(Inventory!$G$6:$G$205&gt;0),58),""),(Inventory!$G$6:$G$205+(205-ROW(Inventory!$G$6:$G$205))/10000),0),""))),"")</f>
        <v/>
      </c>
    </row>
    <row r="66" ht="16" customHeight="1">
      <c r="A66" s="46">
        <f>IFERROR(IF(IFERROR(AGGREGATE(14,6,(Inventory!$G$6:$G$205+(205-ROW(Inventory!$G$6:$G$205))/10000)/(Inventory!$G$6:$G$205&gt;0),59),"")="","",INDEX(Inventory!$A$6:$A$205,IFERROR(MATCH(IFERROR(AGGREGATE(14,6,(Inventory!$G$6:$G$205+(205-ROW(Inventory!$G$6:$G$205))/10000)/(Inventory!$G$6:$G$205&gt;0),59),""),(Inventory!$G$6:$G$205+(205-ROW(Inventory!$G$6:$G$205))/10000),0),""))),"")</f>
        <v/>
      </c>
      <c r="B66" s="46">
        <f>IFERROR(IF(IFERROR(AGGREGATE(14,6,(Inventory!$G$6:$G$205+(205-ROW(Inventory!$G$6:$G$205))/10000)/(Inventory!$G$6:$G$205&gt;0),59),"")="","",INDEX(Inventory!$B$6:$B$205,IFERROR(MATCH(IFERROR(AGGREGATE(14,6,(Inventory!$G$6:$G$205+(205-ROW(Inventory!$G$6:$G$205))/10000)/(Inventory!$G$6:$G$205&gt;0),59),""),(Inventory!$G$6:$G$205+(205-ROW(Inventory!$G$6:$G$205))/10000),0),""))),"")</f>
        <v/>
      </c>
      <c r="C66" s="46">
        <f>IFERROR(IF(IFERROR(AGGREGATE(14,6,(Inventory!$G$6:$G$205+(205-ROW(Inventory!$G$6:$G$205))/10000)/(Inventory!$G$6:$G$205&gt;0),59),"")="","",INDEX(Inventory!$D$6:$D$205,IFERROR(MATCH(IFERROR(AGGREGATE(14,6,(Inventory!$G$6:$G$205+(205-ROW(Inventory!$G$6:$G$205))/10000)/(Inventory!$G$6:$G$205&gt;0),59),""),(Inventory!$G$6:$G$205+(205-ROW(Inventory!$G$6:$G$205))/10000),0),""))),"")</f>
        <v/>
      </c>
      <c r="D66" s="46">
        <f>IFERROR(IF(IFERROR(AGGREGATE(14,6,(Inventory!$G$6:$G$205+(205-ROW(Inventory!$G$6:$G$205))/10000)/(Inventory!$G$6:$G$205&gt;0),59),"")="","",INDEX(Inventory!$H$6:$H$205,IFERROR(MATCH(IFERROR(AGGREGATE(14,6,(Inventory!$G$6:$G$205+(205-ROW(Inventory!$G$6:$G$205))/10000)/(Inventory!$G$6:$G$205&gt;0),59),""),(Inventory!$G$6:$G$205+(205-ROW(Inventory!$G$6:$G$205))/10000),0),""))),"")</f>
        <v/>
      </c>
      <c r="E66" s="41">
        <f>IFERROR(IF(IFERROR(AGGREGATE(14,6,(Inventory!$G$6:$G$205+(205-ROW(Inventory!$G$6:$G$205))/10000)/(Inventory!$G$6:$G$205&gt;0),59),"")="","",INDEX(Inventory!$E$6:$E$205,IFERROR(MATCH(IFERROR(AGGREGATE(14,6,(Inventory!$G$6:$G$205+(205-ROW(Inventory!$G$6:$G$205))/10000)/(Inventory!$G$6:$G$205&gt;0),59),""),(Inventory!$G$6:$G$205+(205-ROW(Inventory!$G$6:$G$205))/10000),0),""))),"")</f>
        <v/>
      </c>
      <c r="F66" s="41">
        <f>IFERROR(IF(IFERROR(AGGREGATE(14,6,(Inventory!$G$6:$G$205+(205-ROW(Inventory!$G$6:$G$205))/10000)/(Inventory!$G$6:$G$205&gt;0),59),"")="","",INDEX(Inventory!$F$6:$F$205,IFERROR(MATCH(IFERROR(AGGREGATE(14,6,(Inventory!$G$6:$G$205+(205-ROW(Inventory!$G$6:$G$205))/10000)/(Inventory!$G$6:$G$205&gt;0),59),""),(Inventory!$G$6:$G$205+(205-ROW(Inventory!$G$6:$G$205))/10000),0),""))),"")</f>
        <v/>
      </c>
      <c r="G66" s="41">
        <f>IFERROR(IF(IFERROR(AGGREGATE(14,6,(Inventory!$G$6:$G$205+(205-ROW(Inventory!$G$6:$G$205))/10000)/(Inventory!$G$6:$G$205&gt;0),59),"")="","",INDEX(Inventory!$G$6:$G$205,IFERROR(MATCH(IFERROR(AGGREGATE(14,6,(Inventory!$G$6:$G$205+(205-ROW(Inventory!$G$6:$G$205))/10000)/(Inventory!$G$6:$G$205&gt;0),59),""),(Inventory!$G$6:$G$205+(205-ROW(Inventory!$G$6:$G$205))/10000),0),""))),"")</f>
        <v/>
      </c>
      <c r="H66" s="43">
        <f>IFERROR(IF(IFERROR(AGGREGATE(14,6,(Inventory!$G$6:$G$205+(205-ROW(Inventory!$G$6:$G$205))/10000)/(Inventory!$G$6:$G$205&gt;0),59),"")="","",INDEX(Inventory!$I$6:$I$205,IFERROR(MATCH(IFERROR(AGGREGATE(14,6,(Inventory!$G$6:$G$205+(205-ROW(Inventory!$G$6:$G$205))/10000)/(Inventory!$G$6:$G$205&gt;0),59),""),(Inventory!$G$6:$G$205+(205-ROW(Inventory!$G$6:$G$205))/10000),0),""))),"")</f>
        <v/>
      </c>
      <c r="I66" s="43">
        <f>IFERROR(IF(IFERROR(AGGREGATE(14,6,(Inventory!$G$6:$G$205+(205-ROW(Inventory!$G$6:$G$205))/10000)/(Inventory!$G$6:$G$205&gt;0),59),"")="","",INDEX(Inventory!$K$6:$K$205,IFERROR(MATCH(IFERROR(AGGREGATE(14,6,(Inventory!$G$6:$G$205+(205-ROW(Inventory!$G$6:$G$205))/10000)/(Inventory!$G$6:$G$205&gt;0),59),""),(Inventory!$G$6:$G$205+(205-ROW(Inventory!$G$6:$G$205))/10000),0),""))),"")</f>
        <v/>
      </c>
    </row>
    <row r="67" ht="16" customHeight="1">
      <c r="A67" s="46">
        <f>IFERROR(IF(IFERROR(AGGREGATE(14,6,(Inventory!$G$6:$G$205+(205-ROW(Inventory!$G$6:$G$205))/10000)/(Inventory!$G$6:$G$205&gt;0),60),"")="","",INDEX(Inventory!$A$6:$A$205,IFERROR(MATCH(IFERROR(AGGREGATE(14,6,(Inventory!$G$6:$G$205+(205-ROW(Inventory!$G$6:$G$205))/10000)/(Inventory!$G$6:$G$205&gt;0),60),""),(Inventory!$G$6:$G$205+(205-ROW(Inventory!$G$6:$G$205))/10000),0),""))),"")</f>
        <v/>
      </c>
      <c r="B67" s="46">
        <f>IFERROR(IF(IFERROR(AGGREGATE(14,6,(Inventory!$G$6:$G$205+(205-ROW(Inventory!$G$6:$G$205))/10000)/(Inventory!$G$6:$G$205&gt;0),60),"")="","",INDEX(Inventory!$B$6:$B$205,IFERROR(MATCH(IFERROR(AGGREGATE(14,6,(Inventory!$G$6:$G$205+(205-ROW(Inventory!$G$6:$G$205))/10000)/(Inventory!$G$6:$G$205&gt;0),60),""),(Inventory!$G$6:$G$205+(205-ROW(Inventory!$G$6:$G$205))/10000),0),""))),"")</f>
        <v/>
      </c>
      <c r="C67" s="46">
        <f>IFERROR(IF(IFERROR(AGGREGATE(14,6,(Inventory!$G$6:$G$205+(205-ROW(Inventory!$G$6:$G$205))/10000)/(Inventory!$G$6:$G$205&gt;0),60),"")="","",INDEX(Inventory!$D$6:$D$205,IFERROR(MATCH(IFERROR(AGGREGATE(14,6,(Inventory!$G$6:$G$205+(205-ROW(Inventory!$G$6:$G$205))/10000)/(Inventory!$G$6:$G$205&gt;0),60),""),(Inventory!$G$6:$G$205+(205-ROW(Inventory!$G$6:$G$205))/10000),0),""))),"")</f>
        <v/>
      </c>
      <c r="D67" s="46">
        <f>IFERROR(IF(IFERROR(AGGREGATE(14,6,(Inventory!$G$6:$G$205+(205-ROW(Inventory!$G$6:$G$205))/10000)/(Inventory!$G$6:$G$205&gt;0),60),"")="","",INDEX(Inventory!$H$6:$H$205,IFERROR(MATCH(IFERROR(AGGREGATE(14,6,(Inventory!$G$6:$G$205+(205-ROW(Inventory!$G$6:$G$205))/10000)/(Inventory!$G$6:$G$205&gt;0),60),""),(Inventory!$G$6:$G$205+(205-ROW(Inventory!$G$6:$G$205))/10000),0),""))),"")</f>
        <v/>
      </c>
      <c r="E67" s="41">
        <f>IFERROR(IF(IFERROR(AGGREGATE(14,6,(Inventory!$G$6:$G$205+(205-ROW(Inventory!$G$6:$G$205))/10000)/(Inventory!$G$6:$G$205&gt;0),60),"")="","",INDEX(Inventory!$E$6:$E$205,IFERROR(MATCH(IFERROR(AGGREGATE(14,6,(Inventory!$G$6:$G$205+(205-ROW(Inventory!$G$6:$G$205))/10000)/(Inventory!$G$6:$G$205&gt;0),60),""),(Inventory!$G$6:$G$205+(205-ROW(Inventory!$G$6:$G$205))/10000),0),""))),"")</f>
        <v/>
      </c>
      <c r="F67" s="41">
        <f>IFERROR(IF(IFERROR(AGGREGATE(14,6,(Inventory!$G$6:$G$205+(205-ROW(Inventory!$G$6:$G$205))/10000)/(Inventory!$G$6:$G$205&gt;0),60),"")="","",INDEX(Inventory!$F$6:$F$205,IFERROR(MATCH(IFERROR(AGGREGATE(14,6,(Inventory!$G$6:$G$205+(205-ROW(Inventory!$G$6:$G$205))/10000)/(Inventory!$G$6:$G$205&gt;0),60),""),(Inventory!$G$6:$G$205+(205-ROW(Inventory!$G$6:$G$205))/10000),0),""))),"")</f>
        <v/>
      </c>
      <c r="G67" s="41">
        <f>IFERROR(IF(IFERROR(AGGREGATE(14,6,(Inventory!$G$6:$G$205+(205-ROW(Inventory!$G$6:$G$205))/10000)/(Inventory!$G$6:$G$205&gt;0),60),"")="","",INDEX(Inventory!$G$6:$G$205,IFERROR(MATCH(IFERROR(AGGREGATE(14,6,(Inventory!$G$6:$G$205+(205-ROW(Inventory!$G$6:$G$205))/10000)/(Inventory!$G$6:$G$205&gt;0),60),""),(Inventory!$G$6:$G$205+(205-ROW(Inventory!$G$6:$G$205))/10000),0),""))),"")</f>
        <v/>
      </c>
      <c r="H67" s="43">
        <f>IFERROR(IF(IFERROR(AGGREGATE(14,6,(Inventory!$G$6:$G$205+(205-ROW(Inventory!$G$6:$G$205))/10000)/(Inventory!$G$6:$G$205&gt;0),60),"")="","",INDEX(Inventory!$I$6:$I$205,IFERROR(MATCH(IFERROR(AGGREGATE(14,6,(Inventory!$G$6:$G$205+(205-ROW(Inventory!$G$6:$G$205))/10000)/(Inventory!$G$6:$G$205&gt;0),60),""),(Inventory!$G$6:$G$205+(205-ROW(Inventory!$G$6:$G$205))/10000),0),""))),"")</f>
        <v/>
      </c>
      <c r="I67" s="43">
        <f>IFERROR(IF(IFERROR(AGGREGATE(14,6,(Inventory!$G$6:$G$205+(205-ROW(Inventory!$G$6:$G$205))/10000)/(Inventory!$G$6:$G$205&gt;0),60),"")="","",INDEX(Inventory!$K$6:$K$205,IFERROR(MATCH(IFERROR(AGGREGATE(14,6,(Inventory!$G$6:$G$205+(205-ROW(Inventory!$G$6:$G$205))/10000)/(Inventory!$G$6:$G$205&gt;0),60),""),(Inventory!$G$6:$G$205+(205-ROW(Inventory!$G$6:$G$205))/10000),0),""))),"")</f>
        <v/>
      </c>
    </row>
    <row r="68" ht="16" customHeight="1">
      <c r="A68" s="46">
        <f>IFERROR(IF(IFERROR(AGGREGATE(14,6,(Inventory!$G$6:$G$205+(205-ROW(Inventory!$G$6:$G$205))/10000)/(Inventory!$G$6:$G$205&gt;0),61),"")="","",INDEX(Inventory!$A$6:$A$205,IFERROR(MATCH(IFERROR(AGGREGATE(14,6,(Inventory!$G$6:$G$205+(205-ROW(Inventory!$G$6:$G$205))/10000)/(Inventory!$G$6:$G$205&gt;0),61),""),(Inventory!$G$6:$G$205+(205-ROW(Inventory!$G$6:$G$205))/10000),0),""))),"")</f>
        <v/>
      </c>
      <c r="B68" s="46">
        <f>IFERROR(IF(IFERROR(AGGREGATE(14,6,(Inventory!$G$6:$G$205+(205-ROW(Inventory!$G$6:$G$205))/10000)/(Inventory!$G$6:$G$205&gt;0),61),"")="","",INDEX(Inventory!$B$6:$B$205,IFERROR(MATCH(IFERROR(AGGREGATE(14,6,(Inventory!$G$6:$G$205+(205-ROW(Inventory!$G$6:$G$205))/10000)/(Inventory!$G$6:$G$205&gt;0),61),""),(Inventory!$G$6:$G$205+(205-ROW(Inventory!$G$6:$G$205))/10000),0),""))),"")</f>
        <v/>
      </c>
      <c r="C68" s="46">
        <f>IFERROR(IF(IFERROR(AGGREGATE(14,6,(Inventory!$G$6:$G$205+(205-ROW(Inventory!$G$6:$G$205))/10000)/(Inventory!$G$6:$G$205&gt;0),61),"")="","",INDEX(Inventory!$D$6:$D$205,IFERROR(MATCH(IFERROR(AGGREGATE(14,6,(Inventory!$G$6:$G$205+(205-ROW(Inventory!$G$6:$G$205))/10000)/(Inventory!$G$6:$G$205&gt;0),61),""),(Inventory!$G$6:$G$205+(205-ROW(Inventory!$G$6:$G$205))/10000),0),""))),"")</f>
        <v/>
      </c>
      <c r="D68" s="46">
        <f>IFERROR(IF(IFERROR(AGGREGATE(14,6,(Inventory!$G$6:$G$205+(205-ROW(Inventory!$G$6:$G$205))/10000)/(Inventory!$G$6:$G$205&gt;0),61),"")="","",INDEX(Inventory!$H$6:$H$205,IFERROR(MATCH(IFERROR(AGGREGATE(14,6,(Inventory!$G$6:$G$205+(205-ROW(Inventory!$G$6:$G$205))/10000)/(Inventory!$G$6:$G$205&gt;0),61),""),(Inventory!$G$6:$G$205+(205-ROW(Inventory!$G$6:$G$205))/10000),0),""))),"")</f>
        <v/>
      </c>
      <c r="E68" s="41">
        <f>IFERROR(IF(IFERROR(AGGREGATE(14,6,(Inventory!$G$6:$G$205+(205-ROW(Inventory!$G$6:$G$205))/10000)/(Inventory!$G$6:$G$205&gt;0),61),"")="","",INDEX(Inventory!$E$6:$E$205,IFERROR(MATCH(IFERROR(AGGREGATE(14,6,(Inventory!$G$6:$G$205+(205-ROW(Inventory!$G$6:$G$205))/10000)/(Inventory!$G$6:$G$205&gt;0),61),""),(Inventory!$G$6:$G$205+(205-ROW(Inventory!$G$6:$G$205))/10000),0),""))),"")</f>
        <v/>
      </c>
      <c r="F68" s="41">
        <f>IFERROR(IF(IFERROR(AGGREGATE(14,6,(Inventory!$G$6:$G$205+(205-ROW(Inventory!$G$6:$G$205))/10000)/(Inventory!$G$6:$G$205&gt;0),61),"")="","",INDEX(Inventory!$F$6:$F$205,IFERROR(MATCH(IFERROR(AGGREGATE(14,6,(Inventory!$G$6:$G$205+(205-ROW(Inventory!$G$6:$G$205))/10000)/(Inventory!$G$6:$G$205&gt;0),61),""),(Inventory!$G$6:$G$205+(205-ROW(Inventory!$G$6:$G$205))/10000),0),""))),"")</f>
        <v/>
      </c>
      <c r="G68" s="41">
        <f>IFERROR(IF(IFERROR(AGGREGATE(14,6,(Inventory!$G$6:$G$205+(205-ROW(Inventory!$G$6:$G$205))/10000)/(Inventory!$G$6:$G$205&gt;0),61),"")="","",INDEX(Inventory!$G$6:$G$205,IFERROR(MATCH(IFERROR(AGGREGATE(14,6,(Inventory!$G$6:$G$205+(205-ROW(Inventory!$G$6:$G$205))/10000)/(Inventory!$G$6:$G$205&gt;0),61),""),(Inventory!$G$6:$G$205+(205-ROW(Inventory!$G$6:$G$205))/10000),0),""))),"")</f>
        <v/>
      </c>
      <c r="H68" s="43">
        <f>IFERROR(IF(IFERROR(AGGREGATE(14,6,(Inventory!$G$6:$G$205+(205-ROW(Inventory!$G$6:$G$205))/10000)/(Inventory!$G$6:$G$205&gt;0),61),"")="","",INDEX(Inventory!$I$6:$I$205,IFERROR(MATCH(IFERROR(AGGREGATE(14,6,(Inventory!$G$6:$G$205+(205-ROW(Inventory!$G$6:$G$205))/10000)/(Inventory!$G$6:$G$205&gt;0),61),""),(Inventory!$G$6:$G$205+(205-ROW(Inventory!$G$6:$G$205))/10000),0),""))),"")</f>
        <v/>
      </c>
      <c r="I68" s="43">
        <f>IFERROR(IF(IFERROR(AGGREGATE(14,6,(Inventory!$G$6:$G$205+(205-ROW(Inventory!$G$6:$G$205))/10000)/(Inventory!$G$6:$G$205&gt;0),61),"")="","",INDEX(Inventory!$K$6:$K$205,IFERROR(MATCH(IFERROR(AGGREGATE(14,6,(Inventory!$G$6:$G$205+(205-ROW(Inventory!$G$6:$G$205))/10000)/(Inventory!$G$6:$G$205&gt;0),61),""),(Inventory!$G$6:$G$205+(205-ROW(Inventory!$G$6:$G$205))/10000),0),""))),"")</f>
        <v/>
      </c>
    </row>
    <row r="69" ht="16" customHeight="1">
      <c r="A69" s="46">
        <f>IFERROR(IF(IFERROR(AGGREGATE(14,6,(Inventory!$G$6:$G$205+(205-ROW(Inventory!$G$6:$G$205))/10000)/(Inventory!$G$6:$G$205&gt;0),62),"")="","",INDEX(Inventory!$A$6:$A$205,IFERROR(MATCH(IFERROR(AGGREGATE(14,6,(Inventory!$G$6:$G$205+(205-ROW(Inventory!$G$6:$G$205))/10000)/(Inventory!$G$6:$G$205&gt;0),62),""),(Inventory!$G$6:$G$205+(205-ROW(Inventory!$G$6:$G$205))/10000),0),""))),"")</f>
        <v/>
      </c>
      <c r="B69" s="46">
        <f>IFERROR(IF(IFERROR(AGGREGATE(14,6,(Inventory!$G$6:$G$205+(205-ROW(Inventory!$G$6:$G$205))/10000)/(Inventory!$G$6:$G$205&gt;0),62),"")="","",INDEX(Inventory!$B$6:$B$205,IFERROR(MATCH(IFERROR(AGGREGATE(14,6,(Inventory!$G$6:$G$205+(205-ROW(Inventory!$G$6:$G$205))/10000)/(Inventory!$G$6:$G$205&gt;0),62),""),(Inventory!$G$6:$G$205+(205-ROW(Inventory!$G$6:$G$205))/10000),0),""))),"")</f>
        <v/>
      </c>
      <c r="C69" s="46">
        <f>IFERROR(IF(IFERROR(AGGREGATE(14,6,(Inventory!$G$6:$G$205+(205-ROW(Inventory!$G$6:$G$205))/10000)/(Inventory!$G$6:$G$205&gt;0),62),"")="","",INDEX(Inventory!$D$6:$D$205,IFERROR(MATCH(IFERROR(AGGREGATE(14,6,(Inventory!$G$6:$G$205+(205-ROW(Inventory!$G$6:$G$205))/10000)/(Inventory!$G$6:$G$205&gt;0),62),""),(Inventory!$G$6:$G$205+(205-ROW(Inventory!$G$6:$G$205))/10000),0),""))),"")</f>
        <v/>
      </c>
      <c r="D69" s="46">
        <f>IFERROR(IF(IFERROR(AGGREGATE(14,6,(Inventory!$G$6:$G$205+(205-ROW(Inventory!$G$6:$G$205))/10000)/(Inventory!$G$6:$G$205&gt;0),62),"")="","",INDEX(Inventory!$H$6:$H$205,IFERROR(MATCH(IFERROR(AGGREGATE(14,6,(Inventory!$G$6:$G$205+(205-ROW(Inventory!$G$6:$G$205))/10000)/(Inventory!$G$6:$G$205&gt;0),62),""),(Inventory!$G$6:$G$205+(205-ROW(Inventory!$G$6:$G$205))/10000),0),""))),"")</f>
        <v/>
      </c>
      <c r="E69" s="41">
        <f>IFERROR(IF(IFERROR(AGGREGATE(14,6,(Inventory!$G$6:$G$205+(205-ROW(Inventory!$G$6:$G$205))/10000)/(Inventory!$G$6:$G$205&gt;0),62),"")="","",INDEX(Inventory!$E$6:$E$205,IFERROR(MATCH(IFERROR(AGGREGATE(14,6,(Inventory!$G$6:$G$205+(205-ROW(Inventory!$G$6:$G$205))/10000)/(Inventory!$G$6:$G$205&gt;0),62),""),(Inventory!$G$6:$G$205+(205-ROW(Inventory!$G$6:$G$205))/10000),0),""))),"")</f>
        <v/>
      </c>
      <c r="F69" s="41">
        <f>IFERROR(IF(IFERROR(AGGREGATE(14,6,(Inventory!$G$6:$G$205+(205-ROW(Inventory!$G$6:$G$205))/10000)/(Inventory!$G$6:$G$205&gt;0),62),"")="","",INDEX(Inventory!$F$6:$F$205,IFERROR(MATCH(IFERROR(AGGREGATE(14,6,(Inventory!$G$6:$G$205+(205-ROW(Inventory!$G$6:$G$205))/10000)/(Inventory!$G$6:$G$205&gt;0),62),""),(Inventory!$G$6:$G$205+(205-ROW(Inventory!$G$6:$G$205))/10000),0),""))),"")</f>
        <v/>
      </c>
      <c r="G69" s="41">
        <f>IFERROR(IF(IFERROR(AGGREGATE(14,6,(Inventory!$G$6:$G$205+(205-ROW(Inventory!$G$6:$G$205))/10000)/(Inventory!$G$6:$G$205&gt;0),62),"")="","",INDEX(Inventory!$G$6:$G$205,IFERROR(MATCH(IFERROR(AGGREGATE(14,6,(Inventory!$G$6:$G$205+(205-ROW(Inventory!$G$6:$G$205))/10000)/(Inventory!$G$6:$G$205&gt;0),62),""),(Inventory!$G$6:$G$205+(205-ROW(Inventory!$G$6:$G$205))/10000),0),""))),"")</f>
        <v/>
      </c>
      <c r="H69" s="43">
        <f>IFERROR(IF(IFERROR(AGGREGATE(14,6,(Inventory!$G$6:$G$205+(205-ROW(Inventory!$G$6:$G$205))/10000)/(Inventory!$G$6:$G$205&gt;0),62),"")="","",INDEX(Inventory!$I$6:$I$205,IFERROR(MATCH(IFERROR(AGGREGATE(14,6,(Inventory!$G$6:$G$205+(205-ROW(Inventory!$G$6:$G$205))/10000)/(Inventory!$G$6:$G$205&gt;0),62),""),(Inventory!$G$6:$G$205+(205-ROW(Inventory!$G$6:$G$205))/10000),0),""))),"")</f>
        <v/>
      </c>
      <c r="I69" s="43">
        <f>IFERROR(IF(IFERROR(AGGREGATE(14,6,(Inventory!$G$6:$G$205+(205-ROW(Inventory!$G$6:$G$205))/10000)/(Inventory!$G$6:$G$205&gt;0),62),"")="","",INDEX(Inventory!$K$6:$K$205,IFERROR(MATCH(IFERROR(AGGREGATE(14,6,(Inventory!$G$6:$G$205+(205-ROW(Inventory!$G$6:$G$205))/10000)/(Inventory!$G$6:$G$205&gt;0),62),""),(Inventory!$G$6:$G$205+(205-ROW(Inventory!$G$6:$G$205))/10000),0),""))),"")</f>
        <v/>
      </c>
    </row>
    <row r="70" ht="16" customHeight="1">
      <c r="A70" s="46">
        <f>IFERROR(IF(IFERROR(AGGREGATE(14,6,(Inventory!$G$6:$G$205+(205-ROW(Inventory!$G$6:$G$205))/10000)/(Inventory!$G$6:$G$205&gt;0),63),"")="","",INDEX(Inventory!$A$6:$A$205,IFERROR(MATCH(IFERROR(AGGREGATE(14,6,(Inventory!$G$6:$G$205+(205-ROW(Inventory!$G$6:$G$205))/10000)/(Inventory!$G$6:$G$205&gt;0),63),""),(Inventory!$G$6:$G$205+(205-ROW(Inventory!$G$6:$G$205))/10000),0),""))),"")</f>
        <v/>
      </c>
      <c r="B70" s="46">
        <f>IFERROR(IF(IFERROR(AGGREGATE(14,6,(Inventory!$G$6:$G$205+(205-ROW(Inventory!$G$6:$G$205))/10000)/(Inventory!$G$6:$G$205&gt;0),63),"")="","",INDEX(Inventory!$B$6:$B$205,IFERROR(MATCH(IFERROR(AGGREGATE(14,6,(Inventory!$G$6:$G$205+(205-ROW(Inventory!$G$6:$G$205))/10000)/(Inventory!$G$6:$G$205&gt;0),63),""),(Inventory!$G$6:$G$205+(205-ROW(Inventory!$G$6:$G$205))/10000),0),""))),"")</f>
        <v/>
      </c>
      <c r="C70" s="46">
        <f>IFERROR(IF(IFERROR(AGGREGATE(14,6,(Inventory!$G$6:$G$205+(205-ROW(Inventory!$G$6:$G$205))/10000)/(Inventory!$G$6:$G$205&gt;0),63),"")="","",INDEX(Inventory!$D$6:$D$205,IFERROR(MATCH(IFERROR(AGGREGATE(14,6,(Inventory!$G$6:$G$205+(205-ROW(Inventory!$G$6:$G$205))/10000)/(Inventory!$G$6:$G$205&gt;0),63),""),(Inventory!$G$6:$G$205+(205-ROW(Inventory!$G$6:$G$205))/10000),0),""))),"")</f>
        <v/>
      </c>
      <c r="D70" s="46">
        <f>IFERROR(IF(IFERROR(AGGREGATE(14,6,(Inventory!$G$6:$G$205+(205-ROW(Inventory!$G$6:$G$205))/10000)/(Inventory!$G$6:$G$205&gt;0),63),"")="","",INDEX(Inventory!$H$6:$H$205,IFERROR(MATCH(IFERROR(AGGREGATE(14,6,(Inventory!$G$6:$G$205+(205-ROW(Inventory!$G$6:$G$205))/10000)/(Inventory!$G$6:$G$205&gt;0),63),""),(Inventory!$G$6:$G$205+(205-ROW(Inventory!$G$6:$G$205))/10000),0),""))),"")</f>
        <v/>
      </c>
      <c r="E70" s="41">
        <f>IFERROR(IF(IFERROR(AGGREGATE(14,6,(Inventory!$G$6:$G$205+(205-ROW(Inventory!$G$6:$G$205))/10000)/(Inventory!$G$6:$G$205&gt;0),63),"")="","",INDEX(Inventory!$E$6:$E$205,IFERROR(MATCH(IFERROR(AGGREGATE(14,6,(Inventory!$G$6:$G$205+(205-ROW(Inventory!$G$6:$G$205))/10000)/(Inventory!$G$6:$G$205&gt;0),63),""),(Inventory!$G$6:$G$205+(205-ROW(Inventory!$G$6:$G$205))/10000),0),""))),"")</f>
        <v/>
      </c>
      <c r="F70" s="41">
        <f>IFERROR(IF(IFERROR(AGGREGATE(14,6,(Inventory!$G$6:$G$205+(205-ROW(Inventory!$G$6:$G$205))/10000)/(Inventory!$G$6:$G$205&gt;0),63),"")="","",INDEX(Inventory!$F$6:$F$205,IFERROR(MATCH(IFERROR(AGGREGATE(14,6,(Inventory!$G$6:$G$205+(205-ROW(Inventory!$G$6:$G$205))/10000)/(Inventory!$G$6:$G$205&gt;0),63),""),(Inventory!$G$6:$G$205+(205-ROW(Inventory!$G$6:$G$205))/10000),0),""))),"")</f>
        <v/>
      </c>
      <c r="G70" s="41">
        <f>IFERROR(IF(IFERROR(AGGREGATE(14,6,(Inventory!$G$6:$G$205+(205-ROW(Inventory!$G$6:$G$205))/10000)/(Inventory!$G$6:$G$205&gt;0),63),"")="","",INDEX(Inventory!$G$6:$G$205,IFERROR(MATCH(IFERROR(AGGREGATE(14,6,(Inventory!$G$6:$G$205+(205-ROW(Inventory!$G$6:$G$205))/10000)/(Inventory!$G$6:$G$205&gt;0),63),""),(Inventory!$G$6:$G$205+(205-ROW(Inventory!$G$6:$G$205))/10000),0),""))),"")</f>
        <v/>
      </c>
      <c r="H70" s="43">
        <f>IFERROR(IF(IFERROR(AGGREGATE(14,6,(Inventory!$G$6:$G$205+(205-ROW(Inventory!$G$6:$G$205))/10000)/(Inventory!$G$6:$G$205&gt;0),63),"")="","",INDEX(Inventory!$I$6:$I$205,IFERROR(MATCH(IFERROR(AGGREGATE(14,6,(Inventory!$G$6:$G$205+(205-ROW(Inventory!$G$6:$G$205))/10000)/(Inventory!$G$6:$G$205&gt;0),63),""),(Inventory!$G$6:$G$205+(205-ROW(Inventory!$G$6:$G$205))/10000),0),""))),"")</f>
        <v/>
      </c>
      <c r="I70" s="43">
        <f>IFERROR(IF(IFERROR(AGGREGATE(14,6,(Inventory!$G$6:$G$205+(205-ROW(Inventory!$G$6:$G$205))/10000)/(Inventory!$G$6:$G$205&gt;0),63),"")="","",INDEX(Inventory!$K$6:$K$205,IFERROR(MATCH(IFERROR(AGGREGATE(14,6,(Inventory!$G$6:$G$205+(205-ROW(Inventory!$G$6:$G$205))/10000)/(Inventory!$G$6:$G$205&gt;0),63),""),(Inventory!$G$6:$G$205+(205-ROW(Inventory!$G$6:$G$205))/10000),0),""))),"")</f>
        <v/>
      </c>
    </row>
    <row r="71" ht="16" customHeight="1">
      <c r="A71" s="46">
        <f>IFERROR(IF(IFERROR(AGGREGATE(14,6,(Inventory!$G$6:$G$205+(205-ROW(Inventory!$G$6:$G$205))/10000)/(Inventory!$G$6:$G$205&gt;0),64),"")="","",INDEX(Inventory!$A$6:$A$205,IFERROR(MATCH(IFERROR(AGGREGATE(14,6,(Inventory!$G$6:$G$205+(205-ROW(Inventory!$G$6:$G$205))/10000)/(Inventory!$G$6:$G$205&gt;0),64),""),(Inventory!$G$6:$G$205+(205-ROW(Inventory!$G$6:$G$205))/10000),0),""))),"")</f>
        <v/>
      </c>
      <c r="B71" s="46">
        <f>IFERROR(IF(IFERROR(AGGREGATE(14,6,(Inventory!$G$6:$G$205+(205-ROW(Inventory!$G$6:$G$205))/10000)/(Inventory!$G$6:$G$205&gt;0),64),"")="","",INDEX(Inventory!$B$6:$B$205,IFERROR(MATCH(IFERROR(AGGREGATE(14,6,(Inventory!$G$6:$G$205+(205-ROW(Inventory!$G$6:$G$205))/10000)/(Inventory!$G$6:$G$205&gt;0),64),""),(Inventory!$G$6:$G$205+(205-ROW(Inventory!$G$6:$G$205))/10000),0),""))),"")</f>
        <v/>
      </c>
      <c r="C71" s="46">
        <f>IFERROR(IF(IFERROR(AGGREGATE(14,6,(Inventory!$G$6:$G$205+(205-ROW(Inventory!$G$6:$G$205))/10000)/(Inventory!$G$6:$G$205&gt;0),64),"")="","",INDEX(Inventory!$D$6:$D$205,IFERROR(MATCH(IFERROR(AGGREGATE(14,6,(Inventory!$G$6:$G$205+(205-ROW(Inventory!$G$6:$G$205))/10000)/(Inventory!$G$6:$G$205&gt;0),64),""),(Inventory!$G$6:$G$205+(205-ROW(Inventory!$G$6:$G$205))/10000),0),""))),"")</f>
        <v/>
      </c>
      <c r="D71" s="46">
        <f>IFERROR(IF(IFERROR(AGGREGATE(14,6,(Inventory!$G$6:$G$205+(205-ROW(Inventory!$G$6:$G$205))/10000)/(Inventory!$G$6:$G$205&gt;0),64),"")="","",INDEX(Inventory!$H$6:$H$205,IFERROR(MATCH(IFERROR(AGGREGATE(14,6,(Inventory!$G$6:$G$205+(205-ROW(Inventory!$G$6:$G$205))/10000)/(Inventory!$G$6:$G$205&gt;0),64),""),(Inventory!$G$6:$G$205+(205-ROW(Inventory!$G$6:$G$205))/10000),0),""))),"")</f>
        <v/>
      </c>
      <c r="E71" s="41">
        <f>IFERROR(IF(IFERROR(AGGREGATE(14,6,(Inventory!$G$6:$G$205+(205-ROW(Inventory!$G$6:$G$205))/10000)/(Inventory!$G$6:$G$205&gt;0),64),"")="","",INDEX(Inventory!$E$6:$E$205,IFERROR(MATCH(IFERROR(AGGREGATE(14,6,(Inventory!$G$6:$G$205+(205-ROW(Inventory!$G$6:$G$205))/10000)/(Inventory!$G$6:$G$205&gt;0),64),""),(Inventory!$G$6:$G$205+(205-ROW(Inventory!$G$6:$G$205))/10000),0),""))),"")</f>
        <v/>
      </c>
      <c r="F71" s="41">
        <f>IFERROR(IF(IFERROR(AGGREGATE(14,6,(Inventory!$G$6:$G$205+(205-ROW(Inventory!$G$6:$G$205))/10000)/(Inventory!$G$6:$G$205&gt;0),64),"")="","",INDEX(Inventory!$F$6:$F$205,IFERROR(MATCH(IFERROR(AGGREGATE(14,6,(Inventory!$G$6:$G$205+(205-ROW(Inventory!$G$6:$G$205))/10000)/(Inventory!$G$6:$G$205&gt;0),64),""),(Inventory!$G$6:$G$205+(205-ROW(Inventory!$G$6:$G$205))/10000),0),""))),"")</f>
        <v/>
      </c>
      <c r="G71" s="41">
        <f>IFERROR(IF(IFERROR(AGGREGATE(14,6,(Inventory!$G$6:$G$205+(205-ROW(Inventory!$G$6:$G$205))/10000)/(Inventory!$G$6:$G$205&gt;0),64),"")="","",INDEX(Inventory!$G$6:$G$205,IFERROR(MATCH(IFERROR(AGGREGATE(14,6,(Inventory!$G$6:$G$205+(205-ROW(Inventory!$G$6:$G$205))/10000)/(Inventory!$G$6:$G$205&gt;0),64),""),(Inventory!$G$6:$G$205+(205-ROW(Inventory!$G$6:$G$205))/10000),0),""))),"")</f>
        <v/>
      </c>
      <c r="H71" s="43">
        <f>IFERROR(IF(IFERROR(AGGREGATE(14,6,(Inventory!$G$6:$G$205+(205-ROW(Inventory!$G$6:$G$205))/10000)/(Inventory!$G$6:$G$205&gt;0),64),"")="","",INDEX(Inventory!$I$6:$I$205,IFERROR(MATCH(IFERROR(AGGREGATE(14,6,(Inventory!$G$6:$G$205+(205-ROW(Inventory!$G$6:$G$205))/10000)/(Inventory!$G$6:$G$205&gt;0),64),""),(Inventory!$G$6:$G$205+(205-ROW(Inventory!$G$6:$G$205))/10000),0),""))),"")</f>
        <v/>
      </c>
      <c r="I71" s="43">
        <f>IFERROR(IF(IFERROR(AGGREGATE(14,6,(Inventory!$G$6:$G$205+(205-ROW(Inventory!$G$6:$G$205))/10000)/(Inventory!$G$6:$G$205&gt;0),64),"")="","",INDEX(Inventory!$K$6:$K$205,IFERROR(MATCH(IFERROR(AGGREGATE(14,6,(Inventory!$G$6:$G$205+(205-ROW(Inventory!$G$6:$G$205))/10000)/(Inventory!$G$6:$G$205&gt;0),64),""),(Inventory!$G$6:$G$205+(205-ROW(Inventory!$G$6:$G$205))/10000),0),""))),"")</f>
        <v/>
      </c>
    </row>
    <row r="72" ht="16" customHeight="1">
      <c r="A72" s="46">
        <f>IFERROR(IF(IFERROR(AGGREGATE(14,6,(Inventory!$G$6:$G$205+(205-ROW(Inventory!$G$6:$G$205))/10000)/(Inventory!$G$6:$G$205&gt;0),65),"")="","",INDEX(Inventory!$A$6:$A$205,IFERROR(MATCH(IFERROR(AGGREGATE(14,6,(Inventory!$G$6:$G$205+(205-ROW(Inventory!$G$6:$G$205))/10000)/(Inventory!$G$6:$G$205&gt;0),65),""),(Inventory!$G$6:$G$205+(205-ROW(Inventory!$G$6:$G$205))/10000),0),""))),"")</f>
        <v/>
      </c>
      <c r="B72" s="46">
        <f>IFERROR(IF(IFERROR(AGGREGATE(14,6,(Inventory!$G$6:$G$205+(205-ROW(Inventory!$G$6:$G$205))/10000)/(Inventory!$G$6:$G$205&gt;0),65),"")="","",INDEX(Inventory!$B$6:$B$205,IFERROR(MATCH(IFERROR(AGGREGATE(14,6,(Inventory!$G$6:$G$205+(205-ROW(Inventory!$G$6:$G$205))/10000)/(Inventory!$G$6:$G$205&gt;0),65),""),(Inventory!$G$6:$G$205+(205-ROW(Inventory!$G$6:$G$205))/10000),0),""))),"")</f>
        <v/>
      </c>
      <c r="C72" s="46">
        <f>IFERROR(IF(IFERROR(AGGREGATE(14,6,(Inventory!$G$6:$G$205+(205-ROW(Inventory!$G$6:$G$205))/10000)/(Inventory!$G$6:$G$205&gt;0),65),"")="","",INDEX(Inventory!$D$6:$D$205,IFERROR(MATCH(IFERROR(AGGREGATE(14,6,(Inventory!$G$6:$G$205+(205-ROW(Inventory!$G$6:$G$205))/10000)/(Inventory!$G$6:$G$205&gt;0),65),""),(Inventory!$G$6:$G$205+(205-ROW(Inventory!$G$6:$G$205))/10000),0),""))),"")</f>
        <v/>
      </c>
      <c r="D72" s="46">
        <f>IFERROR(IF(IFERROR(AGGREGATE(14,6,(Inventory!$G$6:$G$205+(205-ROW(Inventory!$G$6:$G$205))/10000)/(Inventory!$G$6:$G$205&gt;0),65),"")="","",INDEX(Inventory!$H$6:$H$205,IFERROR(MATCH(IFERROR(AGGREGATE(14,6,(Inventory!$G$6:$G$205+(205-ROW(Inventory!$G$6:$G$205))/10000)/(Inventory!$G$6:$G$205&gt;0),65),""),(Inventory!$G$6:$G$205+(205-ROW(Inventory!$G$6:$G$205))/10000),0),""))),"")</f>
        <v/>
      </c>
      <c r="E72" s="41">
        <f>IFERROR(IF(IFERROR(AGGREGATE(14,6,(Inventory!$G$6:$G$205+(205-ROW(Inventory!$G$6:$G$205))/10000)/(Inventory!$G$6:$G$205&gt;0),65),"")="","",INDEX(Inventory!$E$6:$E$205,IFERROR(MATCH(IFERROR(AGGREGATE(14,6,(Inventory!$G$6:$G$205+(205-ROW(Inventory!$G$6:$G$205))/10000)/(Inventory!$G$6:$G$205&gt;0),65),""),(Inventory!$G$6:$G$205+(205-ROW(Inventory!$G$6:$G$205))/10000),0),""))),"")</f>
        <v/>
      </c>
      <c r="F72" s="41">
        <f>IFERROR(IF(IFERROR(AGGREGATE(14,6,(Inventory!$G$6:$G$205+(205-ROW(Inventory!$G$6:$G$205))/10000)/(Inventory!$G$6:$G$205&gt;0),65),"")="","",INDEX(Inventory!$F$6:$F$205,IFERROR(MATCH(IFERROR(AGGREGATE(14,6,(Inventory!$G$6:$G$205+(205-ROW(Inventory!$G$6:$G$205))/10000)/(Inventory!$G$6:$G$205&gt;0),65),""),(Inventory!$G$6:$G$205+(205-ROW(Inventory!$G$6:$G$205))/10000),0),""))),"")</f>
        <v/>
      </c>
      <c r="G72" s="41">
        <f>IFERROR(IF(IFERROR(AGGREGATE(14,6,(Inventory!$G$6:$G$205+(205-ROW(Inventory!$G$6:$G$205))/10000)/(Inventory!$G$6:$G$205&gt;0),65),"")="","",INDEX(Inventory!$G$6:$G$205,IFERROR(MATCH(IFERROR(AGGREGATE(14,6,(Inventory!$G$6:$G$205+(205-ROW(Inventory!$G$6:$G$205))/10000)/(Inventory!$G$6:$G$205&gt;0),65),""),(Inventory!$G$6:$G$205+(205-ROW(Inventory!$G$6:$G$205))/10000),0),""))),"")</f>
        <v/>
      </c>
      <c r="H72" s="43">
        <f>IFERROR(IF(IFERROR(AGGREGATE(14,6,(Inventory!$G$6:$G$205+(205-ROW(Inventory!$G$6:$G$205))/10000)/(Inventory!$G$6:$G$205&gt;0),65),"")="","",INDEX(Inventory!$I$6:$I$205,IFERROR(MATCH(IFERROR(AGGREGATE(14,6,(Inventory!$G$6:$G$205+(205-ROW(Inventory!$G$6:$G$205))/10000)/(Inventory!$G$6:$G$205&gt;0),65),""),(Inventory!$G$6:$G$205+(205-ROW(Inventory!$G$6:$G$205))/10000),0),""))),"")</f>
        <v/>
      </c>
      <c r="I72" s="43">
        <f>IFERROR(IF(IFERROR(AGGREGATE(14,6,(Inventory!$G$6:$G$205+(205-ROW(Inventory!$G$6:$G$205))/10000)/(Inventory!$G$6:$G$205&gt;0),65),"")="","",INDEX(Inventory!$K$6:$K$205,IFERROR(MATCH(IFERROR(AGGREGATE(14,6,(Inventory!$G$6:$G$205+(205-ROW(Inventory!$G$6:$G$205))/10000)/(Inventory!$G$6:$G$205&gt;0),65),""),(Inventory!$G$6:$G$205+(205-ROW(Inventory!$G$6:$G$205))/10000),0),""))),"")</f>
        <v/>
      </c>
    </row>
    <row r="73" ht="16" customHeight="1">
      <c r="A73" s="46">
        <f>IFERROR(IF(IFERROR(AGGREGATE(14,6,(Inventory!$G$6:$G$205+(205-ROW(Inventory!$G$6:$G$205))/10000)/(Inventory!$G$6:$G$205&gt;0),66),"")="","",INDEX(Inventory!$A$6:$A$205,IFERROR(MATCH(IFERROR(AGGREGATE(14,6,(Inventory!$G$6:$G$205+(205-ROW(Inventory!$G$6:$G$205))/10000)/(Inventory!$G$6:$G$205&gt;0),66),""),(Inventory!$G$6:$G$205+(205-ROW(Inventory!$G$6:$G$205))/10000),0),""))),"")</f>
        <v/>
      </c>
      <c r="B73" s="46">
        <f>IFERROR(IF(IFERROR(AGGREGATE(14,6,(Inventory!$G$6:$G$205+(205-ROW(Inventory!$G$6:$G$205))/10000)/(Inventory!$G$6:$G$205&gt;0),66),"")="","",INDEX(Inventory!$B$6:$B$205,IFERROR(MATCH(IFERROR(AGGREGATE(14,6,(Inventory!$G$6:$G$205+(205-ROW(Inventory!$G$6:$G$205))/10000)/(Inventory!$G$6:$G$205&gt;0),66),""),(Inventory!$G$6:$G$205+(205-ROW(Inventory!$G$6:$G$205))/10000),0),""))),"")</f>
        <v/>
      </c>
      <c r="C73" s="46">
        <f>IFERROR(IF(IFERROR(AGGREGATE(14,6,(Inventory!$G$6:$G$205+(205-ROW(Inventory!$G$6:$G$205))/10000)/(Inventory!$G$6:$G$205&gt;0),66),"")="","",INDEX(Inventory!$D$6:$D$205,IFERROR(MATCH(IFERROR(AGGREGATE(14,6,(Inventory!$G$6:$G$205+(205-ROW(Inventory!$G$6:$G$205))/10000)/(Inventory!$G$6:$G$205&gt;0),66),""),(Inventory!$G$6:$G$205+(205-ROW(Inventory!$G$6:$G$205))/10000),0),""))),"")</f>
        <v/>
      </c>
      <c r="D73" s="46">
        <f>IFERROR(IF(IFERROR(AGGREGATE(14,6,(Inventory!$G$6:$G$205+(205-ROW(Inventory!$G$6:$G$205))/10000)/(Inventory!$G$6:$G$205&gt;0),66),"")="","",INDEX(Inventory!$H$6:$H$205,IFERROR(MATCH(IFERROR(AGGREGATE(14,6,(Inventory!$G$6:$G$205+(205-ROW(Inventory!$G$6:$G$205))/10000)/(Inventory!$G$6:$G$205&gt;0),66),""),(Inventory!$G$6:$G$205+(205-ROW(Inventory!$G$6:$G$205))/10000),0),""))),"")</f>
        <v/>
      </c>
      <c r="E73" s="41">
        <f>IFERROR(IF(IFERROR(AGGREGATE(14,6,(Inventory!$G$6:$G$205+(205-ROW(Inventory!$G$6:$G$205))/10000)/(Inventory!$G$6:$G$205&gt;0),66),"")="","",INDEX(Inventory!$E$6:$E$205,IFERROR(MATCH(IFERROR(AGGREGATE(14,6,(Inventory!$G$6:$G$205+(205-ROW(Inventory!$G$6:$G$205))/10000)/(Inventory!$G$6:$G$205&gt;0),66),""),(Inventory!$G$6:$G$205+(205-ROW(Inventory!$G$6:$G$205))/10000),0),""))),"")</f>
        <v/>
      </c>
      <c r="F73" s="41">
        <f>IFERROR(IF(IFERROR(AGGREGATE(14,6,(Inventory!$G$6:$G$205+(205-ROW(Inventory!$G$6:$G$205))/10000)/(Inventory!$G$6:$G$205&gt;0),66),"")="","",INDEX(Inventory!$F$6:$F$205,IFERROR(MATCH(IFERROR(AGGREGATE(14,6,(Inventory!$G$6:$G$205+(205-ROW(Inventory!$G$6:$G$205))/10000)/(Inventory!$G$6:$G$205&gt;0),66),""),(Inventory!$G$6:$G$205+(205-ROW(Inventory!$G$6:$G$205))/10000),0),""))),"")</f>
        <v/>
      </c>
      <c r="G73" s="41">
        <f>IFERROR(IF(IFERROR(AGGREGATE(14,6,(Inventory!$G$6:$G$205+(205-ROW(Inventory!$G$6:$G$205))/10000)/(Inventory!$G$6:$G$205&gt;0),66),"")="","",INDEX(Inventory!$G$6:$G$205,IFERROR(MATCH(IFERROR(AGGREGATE(14,6,(Inventory!$G$6:$G$205+(205-ROW(Inventory!$G$6:$G$205))/10000)/(Inventory!$G$6:$G$205&gt;0),66),""),(Inventory!$G$6:$G$205+(205-ROW(Inventory!$G$6:$G$205))/10000),0),""))),"")</f>
        <v/>
      </c>
      <c r="H73" s="43">
        <f>IFERROR(IF(IFERROR(AGGREGATE(14,6,(Inventory!$G$6:$G$205+(205-ROW(Inventory!$G$6:$G$205))/10000)/(Inventory!$G$6:$G$205&gt;0),66),"")="","",INDEX(Inventory!$I$6:$I$205,IFERROR(MATCH(IFERROR(AGGREGATE(14,6,(Inventory!$G$6:$G$205+(205-ROW(Inventory!$G$6:$G$205))/10000)/(Inventory!$G$6:$G$205&gt;0),66),""),(Inventory!$G$6:$G$205+(205-ROW(Inventory!$G$6:$G$205))/10000),0),""))),"")</f>
        <v/>
      </c>
      <c r="I73" s="43">
        <f>IFERROR(IF(IFERROR(AGGREGATE(14,6,(Inventory!$G$6:$G$205+(205-ROW(Inventory!$G$6:$G$205))/10000)/(Inventory!$G$6:$G$205&gt;0),66),"")="","",INDEX(Inventory!$K$6:$K$205,IFERROR(MATCH(IFERROR(AGGREGATE(14,6,(Inventory!$G$6:$G$205+(205-ROW(Inventory!$G$6:$G$205))/10000)/(Inventory!$G$6:$G$205&gt;0),66),""),(Inventory!$G$6:$G$205+(205-ROW(Inventory!$G$6:$G$205))/10000),0),""))),"")</f>
        <v/>
      </c>
    </row>
    <row r="74" ht="16" customHeight="1">
      <c r="A74" s="46">
        <f>IFERROR(IF(IFERROR(AGGREGATE(14,6,(Inventory!$G$6:$G$205+(205-ROW(Inventory!$G$6:$G$205))/10000)/(Inventory!$G$6:$G$205&gt;0),67),"")="","",INDEX(Inventory!$A$6:$A$205,IFERROR(MATCH(IFERROR(AGGREGATE(14,6,(Inventory!$G$6:$G$205+(205-ROW(Inventory!$G$6:$G$205))/10000)/(Inventory!$G$6:$G$205&gt;0),67),""),(Inventory!$G$6:$G$205+(205-ROW(Inventory!$G$6:$G$205))/10000),0),""))),"")</f>
        <v/>
      </c>
      <c r="B74" s="46">
        <f>IFERROR(IF(IFERROR(AGGREGATE(14,6,(Inventory!$G$6:$G$205+(205-ROW(Inventory!$G$6:$G$205))/10000)/(Inventory!$G$6:$G$205&gt;0),67),"")="","",INDEX(Inventory!$B$6:$B$205,IFERROR(MATCH(IFERROR(AGGREGATE(14,6,(Inventory!$G$6:$G$205+(205-ROW(Inventory!$G$6:$G$205))/10000)/(Inventory!$G$6:$G$205&gt;0),67),""),(Inventory!$G$6:$G$205+(205-ROW(Inventory!$G$6:$G$205))/10000),0),""))),"")</f>
        <v/>
      </c>
      <c r="C74" s="46">
        <f>IFERROR(IF(IFERROR(AGGREGATE(14,6,(Inventory!$G$6:$G$205+(205-ROW(Inventory!$G$6:$G$205))/10000)/(Inventory!$G$6:$G$205&gt;0),67),"")="","",INDEX(Inventory!$D$6:$D$205,IFERROR(MATCH(IFERROR(AGGREGATE(14,6,(Inventory!$G$6:$G$205+(205-ROW(Inventory!$G$6:$G$205))/10000)/(Inventory!$G$6:$G$205&gt;0),67),""),(Inventory!$G$6:$G$205+(205-ROW(Inventory!$G$6:$G$205))/10000),0),""))),"")</f>
        <v/>
      </c>
      <c r="D74" s="46">
        <f>IFERROR(IF(IFERROR(AGGREGATE(14,6,(Inventory!$G$6:$G$205+(205-ROW(Inventory!$G$6:$G$205))/10000)/(Inventory!$G$6:$G$205&gt;0),67),"")="","",INDEX(Inventory!$H$6:$H$205,IFERROR(MATCH(IFERROR(AGGREGATE(14,6,(Inventory!$G$6:$G$205+(205-ROW(Inventory!$G$6:$G$205))/10000)/(Inventory!$G$6:$G$205&gt;0),67),""),(Inventory!$G$6:$G$205+(205-ROW(Inventory!$G$6:$G$205))/10000),0),""))),"")</f>
        <v/>
      </c>
      <c r="E74" s="41">
        <f>IFERROR(IF(IFERROR(AGGREGATE(14,6,(Inventory!$G$6:$G$205+(205-ROW(Inventory!$G$6:$G$205))/10000)/(Inventory!$G$6:$G$205&gt;0),67),"")="","",INDEX(Inventory!$E$6:$E$205,IFERROR(MATCH(IFERROR(AGGREGATE(14,6,(Inventory!$G$6:$G$205+(205-ROW(Inventory!$G$6:$G$205))/10000)/(Inventory!$G$6:$G$205&gt;0),67),""),(Inventory!$G$6:$G$205+(205-ROW(Inventory!$G$6:$G$205))/10000),0),""))),"")</f>
        <v/>
      </c>
      <c r="F74" s="41">
        <f>IFERROR(IF(IFERROR(AGGREGATE(14,6,(Inventory!$G$6:$G$205+(205-ROW(Inventory!$G$6:$G$205))/10000)/(Inventory!$G$6:$G$205&gt;0),67),"")="","",INDEX(Inventory!$F$6:$F$205,IFERROR(MATCH(IFERROR(AGGREGATE(14,6,(Inventory!$G$6:$G$205+(205-ROW(Inventory!$G$6:$G$205))/10000)/(Inventory!$G$6:$G$205&gt;0),67),""),(Inventory!$G$6:$G$205+(205-ROW(Inventory!$G$6:$G$205))/10000),0),""))),"")</f>
        <v/>
      </c>
      <c r="G74" s="41">
        <f>IFERROR(IF(IFERROR(AGGREGATE(14,6,(Inventory!$G$6:$G$205+(205-ROW(Inventory!$G$6:$G$205))/10000)/(Inventory!$G$6:$G$205&gt;0),67),"")="","",INDEX(Inventory!$G$6:$G$205,IFERROR(MATCH(IFERROR(AGGREGATE(14,6,(Inventory!$G$6:$G$205+(205-ROW(Inventory!$G$6:$G$205))/10000)/(Inventory!$G$6:$G$205&gt;0),67),""),(Inventory!$G$6:$G$205+(205-ROW(Inventory!$G$6:$G$205))/10000),0),""))),"")</f>
        <v/>
      </c>
      <c r="H74" s="43">
        <f>IFERROR(IF(IFERROR(AGGREGATE(14,6,(Inventory!$G$6:$G$205+(205-ROW(Inventory!$G$6:$G$205))/10000)/(Inventory!$G$6:$G$205&gt;0),67),"")="","",INDEX(Inventory!$I$6:$I$205,IFERROR(MATCH(IFERROR(AGGREGATE(14,6,(Inventory!$G$6:$G$205+(205-ROW(Inventory!$G$6:$G$205))/10000)/(Inventory!$G$6:$G$205&gt;0),67),""),(Inventory!$G$6:$G$205+(205-ROW(Inventory!$G$6:$G$205))/10000),0),""))),"")</f>
        <v/>
      </c>
      <c r="I74" s="43">
        <f>IFERROR(IF(IFERROR(AGGREGATE(14,6,(Inventory!$G$6:$G$205+(205-ROW(Inventory!$G$6:$G$205))/10000)/(Inventory!$G$6:$G$205&gt;0),67),"")="","",INDEX(Inventory!$K$6:$K$205,IFERROR(MATCH(IFERROR(AGGREGATE(14,6,(Inventory!$G$6:$G$205+(205-ROW(Inventory!$G$6:$G$205))/10000)/(Inventory!$G$6:$G$205&gt;0),67),""),(Inventory!$G$6:$G$205+(205-ROW(Inventory!$G$6:$G$205))/10000),0),""))),"")</f>
        <v/>
      </c>
    </row>
    <row r="75" ht="16" customHeight="1">
      <c r="A75" s="46">
        <f>IFERROR(IF(IFERROR(AGGREGATE(14,6,(Inventory!$G$6:$G$205+(205-ROW(Inventory!$G$6:$G$205))/10000)/(Inventory!$G$6:$G$205&gt;0),68),"")="","",INDEX(Inventory!$A$6:$A$205,IFERROR(MATCH(IFERROR(AGGREGATE(14,6,(Inventory!$G$6:$G$205+(205-ROW(Inventory!$G$6:$G$205))/10000)/(Inventory!$G$6:$G$205&gt;0),68),""),(Inventory!$G$6:$G$205+(205-ROW(Inventory!$G$6:$G$205))/10000),0),""))),"")</f>
        <v/>
      </c>
      <c r="B75" s="46">
        <f>IFERROR(IF(IFERROR(AGGREGATE(14,6,(Inventory!$G$6:$G$205+(205-ROW(Inventory!$G$6:$G$205))/10000)/(Inventory!$G$6:$G$205&gt;0),68),"")="","",INDEX(Inventory!$B$6:$B$205,IFERROR(MATCH(IFERROR(AGGREGATE(14,6,(Inventory!$G$6:$G$205+(205-ROW(Inventory!$G$6:$G$205))/10000)/(Inventory!$G$6:$G$205&gt;0),68),""),(Inventory!$G$6:$G$205+(205-ROW(Inventory!$G$6:$G$205))/10000),0),""))),"")</f>
        <v/>
      </c>
      <c r="C75" s="46">
        <f>IFERROR(IF(IFERROR(AGGREGATE(14,6,(Inventory!$G$6:$G$205+(205-ROW(Inventory!$G$6:$G$205))/10000)/(Inventory!$G$6:$G$205&gt;0),68),"")="","",INDEX(Inventory!$D$6:$D$205,IFERROR(MATCH(IFERROR(AGGREGATE(14,6,(Inventory!$G$6:$G$205+(205-ROW(Inventory!$G$6:$G$205))/10000)/(Inventory!$G$6:$G$205&gt;0),68),""),(Inventory!$G$6:$G$205+(205-ROW(Inventory!$G$6:$G$205))/10000),0),""))),"")</f>
        <v/>
      </c>
      <c r="D75" s="46">
        <f>IFERROR(IF(IFERROR(AGGREGATE(14,6,(Inventory!$G$6:$G$205+(205-ROW(Inventory!$G$6:$G$205))/10000)/(Inventory!$G$6:$G$205&gt;0),68),"")="","",INDEX(Inventory!$H$6:$H$205,IFERROR(MATCH(IFERROR(AGGREGATE(14,6,(Inventory!$G$6:$G$205+(205-ROW(Inventory!$G$6:$G$205))/10000)/(Inventory!$G$6:$G$205&gt;0),68),""),(Inventory!$G$6:$G$205+(205-ROW(Inventory!$G$6:$G$205))/10000),0),""))),"")</f>
        <v/>
      </c>
      <c r="E75" s="41">
        <f>IFERROR(IF(IFERROR(AGGREGATE(14,6,(Inventory!$G$6:$G$205+(205-ROW(Inventory!$G$6:$G$205))/10000)/(Inventory!$G$6:$G$205&gt;0),68),"")="","",INDEX(Inventory!$E$6:$E$205,IFERROR(MATCH(IFERROR(AGGREGATE(14,6,(Inventory!$G$6:$G$205+(205-ROW(Inventory!$G$6:$G$205))/10000)/(Inventory!$G$6:$G$205&gt;0),68),""),(Inventory!$G$6:$G$205+(205-ROW(Inventory!$G$6:$G$205))/10000),0),""))),"")</f>
        <v/>
      </c>
      <c r="F75" s="41">
        <f>IFERROR(IF(IFERROR(AGGREGATE(14,6,(Inventory!$G$6:$G$205+(205-ROW(Inventory!$G$6:$G$205))/10000)/(Inventory!$G$6:$G$205&gt;0),68),"")="","",INDEX(Inventory!$F$6:$F$205,IFERROR(MATCH(IFERROR(AGGREGATE(14,6,(Inventory!$G$6:$G$205+(205-ROW(Inventory!$G$6:$G$205))/10000)/(Inventory!$G$6:$G$205&gt;0),68),""),(Inventory!$G$6:$G$205+(205-ROW(Inventory!$G$6:$G$205))/10000),0),""))),"")</f>
        <v/>
      </c>
      <c r="G75" s="41">
        <f>IFERROR(IF(IFERROR(AGGREGATE(14,6,(Inventory!$G$6:$G$205+(205-ROW(Inventory!$G$6:$G$205))/10000)/(Inventory!$G$6:$G$205&gt;0),68),"")="","",INDEX(Inventory!$G$6:$G$205,IFERROR(MATCH(IFERROR(AGGREGATE(14,6,(Inventory!$G$6:$G$205+(205-ROW(Inventory!$G$6:$G$205))/10000)/(Inventory!$G$6:$G$205&gt;0),68),""),(Inventory!$G$6:$G$205+(205-ROW(Inventory!$G$6:$G$205))/10000),0),""))),"")</f>
        <v/>
      </c>
      <c r="H75" s="43">
        <f>IFERROR(IF(IFERROR(AGGREGATE(14,6,(Inventory!$G$6:$G$205+(205-ROW(Inventory!$G$6:$G$205))/10000)/(Inventory!$G$6:$G$205&gt;0),68),"")="","",INDEX(Inventory!$I$6:$I$205,IFERROR(MATCH(IFERROR(AGGREGATE(14,6,(Inventory!$G$6:$G$205+(205-ROW(Inventory!$G$6:$G$205))/10000)/(Inventory!$G$6:$G$205&gt;0),68),""),(Inventory!$G$6:$G$205+(205-ROW(Inventory!$G$6:$G$205))/10000),0),""))),"")</f>
        <v/>
      </c>
      <c r="I75" s="43">
        <f>IFERROR(IF(IFERROR(AGGREGATE(14,6,(Inventory!$G$6:$G$205+(205-ROW(Inventory!$G$6:$G$205))/10000)/(Inventory!$G$6:$G$205&gt;0),68),"")="","",INDEX(Inventory!$K$6:$K$205,IFERROR(MATCH(IFERROR(AGGREGATE(14,6,(Inventory!$G$6:$G$205+(205-ROW(Inventory!$G$6:$G$205))/10000)/(Inventory!$G$6:$G$205&gt;0),68),""),(Inventory!$G$6:$G$205+(205-ROW(Inventory!$G$6:$G$205))/10000),0),""))),"")</f>
        <v/>
      </c>
    </row>
    <row r="76" ht="16" customHeight="1">
      <c r="A76" s="46">
        <f>IFERROR(IF(IFERROR(AGGREGATE(14,6,(Inventory!$G$6:$G$205+(205-ROW(Inventory!$G$6:$G$205))/10000)/(Inventory!$G$6:$G$205&gt;0),69),"")="","",INDEX(Inventory!$A$6:$A$205,IFERROR(MATCH(IFERROR(AGGREGATE(14,6,(Inventory!$G$6:$G$205+(205-ROW(Inventory!$G$6:$G$205))/10000)/(Inventory!$G$6:$G$205&gt;0),69),""),(Inventory!$G$6:$G$205+(205-ROW(Inventory!$G$6:$G$205))/10000),0),""))),"")</f>
        <v/>
      </c>
      <c r="B76" s="46">
        <f>IFERROR(IF(IFERROR(AGGREGATE(14,6,(Inventory!$G$6:$G$205+(205-ROW(Inventory!$G$6:$G$205))/10000)/(Inventory!$G$6:$G$205&gt;0),69),"")="","",INDEX(Inventory!$B$6:$B$205,IFERROR(MATCH(IFERROR(AGGREGATE(14,6,(Inventory!$G$6:$G$205+(205-ROW(Inventory!$G$6:$G$205))/10000)/(Inventory!$G$6:$G$205&gt;0),69),""),(Inventory!$G$6:$G$205+(205-ROW(Inventory!$G$6:$G$205))/10000),0),""))),"")</f>
        <v/>
      </c>
      <c r="C76" s="46">
        <f>IFERROR(IF(IFERROR(AGGREGATE(14,6,(Inventory!$G$6:$G$205+(205-ROW(Inventory!$G$6:$G$205))/10000)/(Inventory!$G$6:$G$205&gt;0),69),"")="","",INDEX(Inventory!$D$6:$D$205,IFERROR(MATCH(IFERROR(AGGREGATE(14,6,(Inventory!$G$6:$G$205+(205-ROW(Inventory!$G$6:$G$205))/10000)/(Inventory!$G$6:$G$205&gt;0),69),""),(Inventory!$G$6:$G$205+(205-ROW(Inventory!$G$6:$G$205))/10000),0),""))),"")</f>
        <v/>
      </c>
      <c r="D76" s="46">
        <f>IFERROR(IF(IFERROR(AGGREGATE(14,6,(Inventory!$G$6:$G$205+(205-ROW(Inventory!$G$6:$G$205))/10000)/(Inventory!$G$6:$G$205&gt;0),69),"")="","",INDEX(Inventory!$H$6:$H$205,IFERROR(MATCH(IFERROR(AGGREGATE(14,6,(Inventory!$G$6:$G$205+(205-ROW(Inventory!$G$6:$G$205))/10000)/(Inventory!$G$6:$G$205&gt;0),69),""),(Inventory!$G$6:$G$205+(205-ROW(Inventory!$G$6:$G$205))/10000),0),""))),"")</f>
        <v/>
      </c>
      <c r="E76" s="41">
        <f>IFERROR(IF(IFERROR(AGGREGATE(14,6,(Inventory!$G$6:$G$205+(205-ROW(Inventory!$G$6:$G$205))/10000)/(Inventory!$G$6:$G$205&gt;0),69),"")="","",INDEX(Inventory!$E$6:$E$205,IFERROR(MATCH(IFERROR(AGGREGATE(14,6,(Inventory!$G$6:$G$205+(205-ROW(Inventory!$G$6:$G$205))/10000)/(Inventory!$G$6:$G$205&gt;0),69),""),(Inventory!$G$6:$G$205+(205-ROW(Inventory!$G$6:$G$205))/10000),0),""))),"")</f>
        <v/>
      </c>
      <c r="F76" s="41">
        <f>IFERROR(IF(IFERROR(AGGREGATE(14,6,(Inventory!$G$6:$G$205+(205-ROW(Inventory!$G$6:$G$205))/10000)/(Inventory!$G$6:$G$205&gt;0),69),"")="","",INDEX(Inventory!$F$6:$F$205,IFERROR(MATCH(IFERROR(AGGREGATE(14,6,(Inventory!$G$6:$G$205+(205-ROW(Inventory!$G$6:$G$205))/10000)/(Inventory!$G$6:$G$205&gt;0),69),""),(Inventory!$G$6:$G$205+(205-ROW(Inventory!$G$6:$G$205))/10000),0),""))),"")</f>
        <v/>
      </c>
      <c r="G76" s="41">
        <f>IFERROR(IF(IFERROR(AGGREGATE(14,6,(Inventory!$G$6:$G$205+(205-ROW(Inventory!$G$6:$G$205))/10000)/(Inventory!$G$6:$G$205&gt;0),69),"")="","",INDEX(Inventory!$G$6:$G$205,IFERROR(MATCH(IFERROR(AGGREGATE(14,6,(Inventory!$G$6:$G$205+(205-ROW(Inventory!$G$6:$G$205))/10000)/(Inventory!$G$6:$G$205&gt;0),69),""),(Inventory!$G$6:$G$205+(205-ROW(Inventory!$G$6:$G$205))/10000),0),""))),"")</f>
        <v/>
      </c>
      <c r="H76" s="43">
        <f>IFERROR(IF(IFERROR(AGGREGATE(14,6,(Inventory!$G$6:$G$205+(205-ROW(Inventory!$G$6:$G$205))/10000)/(Inventory!$G$6:$G$205&gt;0),69),"")="","",INDEX(Inventory!$I$6:$I$205,IFERROR(MATCH(IFERROR(AGGREGATE(14,6,(Inventory!$G$6:$G$205+(205-ROW(Inventory!$G$6:$G$205))/10000)/(Inventory!$G$6:$G$205&gt;0),69),""),(Inventory!$G$6:$G$205+(205-ROW(Inventory!$G$6:$G$205))/10000),0),""))),"")</f>
        <v/>
      </c>
      <c r="I76" s="43">
        <f>IFERROR(IF(IFERROR(AGGREGATE(14,6,(Inventory!$G$6:$G$205+(205-ROW(Inventory!$G$6:$G$205))/10000)/(Inventory!$G$6:$G$205&gt;0),69),"")="","",INDEX(Inventory!$K$6:$K$205,IFERROR(MATCH(IFERROR(AGGREGATE(14,6,(Inventory!$G$6:$G$205+(205-ROW(Inventory!$G$6:$G$205))/10000)/(Inventory!$G$6:$G$205&gt;0),69),""),(Inventory!$G$6:$G$205+(205-ROW(Inventory!$G$6:$G$205))/10000),0),""))),"")</f>
        <v/>
      </c>
    </row>
    <row r="77" ht="16" customHeight="1">
      <c r="A77" s="46">
        <f>IFERROR(IF(IFERROR(AGGREGATE(14,6,(Inventory!$G$6:$G$205+(205-ROW(Inventory!$G$6:$G$205))/10000)/(Inventory!$G$6:$G$205&gt;0),70),"")="","",INDEX(Inventory!$A$6:$A$205,IFERROR(MATCH(IFERROR(AGGREGATE(14,6,(Inventory!$G$6:$G$205+(205-ROW(Inventory!$G$6:$G$205))/10000)/(Inventory!$G$6:$G$205&gt;0),70),""),(Inventory!$G$6:$G$205+(205-ROW(Inventory!$G$6:$G$205))/10000),0),""))),"")</f>
        <v/>
      </c>
      <c r="B77" s="46">
        <f>IFERROR(IF(IFERROR(AGGREGATE(14,6,(Inventory!$G$6:$G$205+(205-ROW(Inventory!$G$6:$G$205))/10000)/(Inventory!$G$6:$G$205&gt;0),70),"")="","",INDEX(Inventory!$B$6:$B$205,IFERROR(MATCH(IFERROR(AGGREGATE(14,6,(Inventory!$G$6:$G$205+(205-ROW(Inventory!$G$6:$G$205))/10000)/(Inventory!$G$6:$G$205&gt;0),70),""),(Inventory!$G$6:$G$205+(205-ROW(Inventory!$G$6:$G$205))/10000),0),""))),"")</f>
        <v/>
      </c>
      <c r="C77" s="46">
        <f>IFERROR(IF(IFERROR(AGGREGATE(14,6,(Inventory!$G$6:$G$205+(205-ROW(Inventory!$G$6:$G$205))/10000)/(Inventory!$G$6:$G$205&gt;0),70),"")="","",INDEX(Inventory!$D$6:$D$205,IFERROR(MATCH(IFERROR(AGGREGATE(14,6,(Inventory!$G$6:$G$205+(205-ROW(Inventory!$G$6:$G$205))/10000)/(Inventory!$G$6:$G$205&gt;0),70),""),(Inventory!$G$6:$G$205+(205-ROW(Inventory!$G$6:$G$205))/10000),0),""))),"")</f>
        <v/>
      </c>
      <c r="D77" s="46">
        <f>IFERROR(IF(IFERROR(AGGREGATE(14,6,(Inventory!$G$6:$G$205+(205-ROW(Inventory!$G$6:$G$205))/10000)/(Inventory!$G$6:$G$205&gt;0),70),"")="","",INDEX(Inventory!$H$6:$H$205,IFERROR(MATCH(IFERROR(AGGREGATE(14,6,(Inventory!$G$6:$G$205+(205-ROW(Inventory!$G$6:$G$205))/10000)/(Inventory!$G$6:$G$205&gt;0),70),""),(Inventory!$G$6:$G$205+(205-ROW(Inventory!$G$6:$G$205))/10000),0),""))),"")</f>
        <v/>
      </c>
      <c r="E77" s="41">
        <f>IFERROR(IF(IFERROR(AGGREGATE(14,6,(Inventory!$G$6:$G$205+(205-ROW(Inventory!$G$6:$G$205))/10000)/(Inventory!$G$6:$G$205&gt;0),70),"")="","",INDEX(Inventory!$E$6:$E$205,IFERROR(MATCH(IFERROR(AGGREGATE(14,6,(Inventory!$G$6:$G$205+(205-ROW(Inventory!$G$6:$G$205))/10000)/(Inventory!$G$6:$G$205&gt;0),70),""),(Inventory!$G$6:$G$205+(205-ROW(Inventory!$G$6:$G$205))/10000),0),""))),"")</f>
        <v/>
      </c>
      <c r="F77" s="41">
        <f>IFERROR(IF(IFERROR(AGGREGATE(14,6,(Inventory!$G$6:$G$205+(205-ROW(Inventory!$G$6:$G$205))/10000)/(Inventory!$G$6:$G$205&gt;0),70),"")="","",INDEX(Inventory!$F$6:$F$205,IFERROR(MATCH(IFERROR(AGGREGATE(14,6,(Inventory!$G$6:$G$205+(205-ROW(Inventory!$G$6:$G$205))/10000)/(Inventory!$G$6:$G$205&gt;0),70),""),(Inventory!$G$6:$G$205+(205-ROW(Inventory!$G$6:$G$205))/10000),0),""))),"")</f>
        <v/>
      </c>
      <c r="G77" s="41">
        <f>IFERROR(IF(IFERROR(AGGREGATE(14,6,(Inventory!$G$6:$G$205+(205-ROW(Inventory!$G$6:$G$205))/10000)/(Inventory!$G$6:$G$205&gt;0),70),"")="","",INDEX(Inventory!$G$6:$G$205,IFERROR(MATCH(IFERROR(AGGREGATE(14,6,(Inventory!$G$6:$G$205+(205-ROW(Inventory!$G$6:$G$205))/10000)/(Inventory!$G$6:$G$205&gt;0),70),""),(Inventory!$G$6:$G$205+(205-ROW(Inventory!$G$6:$G$205))/10000),0),""))),"")</f>
        <v/>
      </c>
      <c r="H77" s="43">
        <f>IFERROR(IF(IFERROR(AGGREGATE(14,6,(Inventory!$G$6:$G$205+(205-ROW(Inventory!$G$6:$G$205))/10000)/(Inventory!$G$6:$G$205&gt;0),70),"")="","",INDEX(Inventory!$I$6:$I$205,IFERROR(MATCH(IFERROR(AGGREGATE(14,6,(Inventory!$G$6:$G$205+(205-ROW(Inventory!$G$6:$G$205))/10000)/(Inventory!$G$6:$G$205&gt;0),70),""),(Inventory!$G$6:$G$205+(205-ROW(Inventory!$G$6:$G$205))/10000),0),""))),"")</f>
        <v/>
      </c>
      <c r="I77" s="43">
        <f>IFERROR(IF(IFERROR(AGGREGATE(14,6,(Inventory!$G$6:$G$205+(205-ROW(Inventory!$G$6:$G$205))/10000)/(Inventory!$G$6:$G$205&gt;0),70),"")="","",INDEX(Inventory!$K$6:$K$205,IFERROR(MATCH(IFERROR(AGGREGATE(14,6,(Inventory!$G$6:$G$205+(205-ROW(Inventory!$G$6:$G$205))/10000)/(Inventory!$G$6:$G$205&gt;0),70),""),(Inventory!$G$6:$G$205+(205-ROW(Inventory!$G$6:$G$205))/10000),0),""))),"")</f>
        <v/>
      </c>
    </row>
    <row r="78" ht="16" customHeight="1">
      <c r="A78" s="46">
        <f>IFERROR(IF(IFERROR(AGGREGATE(14,6,(Inventory!$G$6:$G$205+(205-ROW(Inventory!$G$6:$G$205))/10000)/(Inventory!$G$6:$G$205&gt;0),71),"")="","",INDEX(Inventory!$A$6:$A$205,IFERROR(MATCH(IFERROR(AGGREGATE(14,6,(Inventory!$G$6:$G$205+(205-ROW(Inventory!$G$6:$G$205))/10000)/(Inventory!$G$6:$G$205&gt;0),71),""),(Inventory!$G$6:$G$205+(205-ROW(Inventory!$G$6:$G$205))/10000),0),""))),"")</f>
        <v/>
      </c>
      <c r="B78" s="46">
        <f>IFERROR(IF(IFERROR(AGGREGATE(14,6,(Inventory!$G$6:$G$205+(205-ROW(Inventory!$G$6:$G$205))/10000)/(Inventory!$G$6:$G$205&gt;0),71),"")="","",INDEX(Inventory!$B$6:$B$205,IFERROR(MATCH(IFERROR(AGGREGATE(14,6,(Inventory!$G$6:$G$205+(205-ROW(Inventory!$G$6:$G$205))/10000)/(Inventory!$G$6:$G$205&gt;0),71),""),(Inventory!$G$6:$G$205+(205-ROW(Inventory!$G$6:$G$205))/10000),0),""))),"")</f>
        <v/>
      </c>
      <c r="C78" s="46">
        <f>IFERROR(IF(IFERROR(AGGREGATE(14,6,(Inventory!$G$6:$G$205+(205-ROW(Inventory!$G$6:$G$205))/10000)/(Inventory!$G$6:$G$205&gt;0),71),"")="","",INDEX(Inventory!$D$6:$D$205,IFERROR(MATCH(IFERROR(AGGREGATE(14,6,(Inventory!$G$6:$G$205+(205-ROW(Inventory!$G$6:$G$205))/10000)/(Inventory!$G$6:$G$205&gt;0),71),""),(Inventory!$G$6:$G$205+(205-ROW(Inventory!$G$6:$G$205))/10000),0),""))),"")</f>
        <v/>
      </c>
      <c r="D78" s="46">
        <f>IFERROR(IF(IFERROR(AGGREGATE(14,6,(Inventory!$G$6:$G$205+(205-ROW(Inventory!$G$6:$G$205))/10000)/(Inventory!$G$6:$G$205&gt;0),71),"")="","",INDEX(Inventory!$H$6:$H$205,IFERROR(MATCH(IFERROR(AGGREGATE(14,6,(Inventory!$G$6:$G$205+(205-ROW(Inventory!$G$6:$G$205))/10000)/(Inventory!$G$6:$G$205&gt;0),71),""),(Inventory!$G$6:$G$205+(205-ROW(Inventory!$G$6:$G$205))/10000),0),""))),"")</f>
        <v/>
      </c>
      <c r="E78" s="41">
        <f>IFERROR(IF(IFERROR(AGGREGATE(14,6,(Inventory!$G$6:$G$205+(205-ROW(Inventory!$G$6:$G$205))/10000)/(Inventory!$G$6:$G$205&gt;0),71),"")="","",INDEX(Inventory!$E$6:$E$205,IFERROR(MATCH(IFERROR(AGGREGATE(14,6,(Inventory!$G$6:$G$205+(205-ROW(Inventory!$G$6:$G$205))/10000)/(Inventory!$G$6:$G$205&gt;0),71),""),(Inventory!$G$6:$G$205+(205-ROW(Inventory!$G$6:$G$205))/10000),0),""))),"")</f>
        <v/>
      </c>
      <c r="F78" s="41">
        <f>IFERROR(IF(IFERROR(AGGREGATE(14,6,(Inventory!$G$6:$G$205+(205-ROW(Inventory!$G$6:$G$205))/10000)/(Inventory!$G$6:$G$205&gt;0),71),"")="","",INDEX(Inventory!$F$6:$F$205,IFERROR(MATCH(IFERROR(AGGREGATE(14,6,(Inventory!$G$6:$G$205+(205-ROW(Inventory!$G$6:$G$205))/10000)/(Inventory!$G$6:$G$205&gt;0),71),""),(Inventory!$G$6:$G$205+(205-ROW(Inventory!$G$6:$G$205))/10000),0),""))),"")</f>
        <v/>
      </c>
      <c r="G78" s="41">
        <f>IFERROR(IF(IFERROR(AGGREGATE(14,6,(Inventory!$G$6:$G$205+(205-ROW(Inventory!$G$6:$G$205))/10000)/(Inventory!$G$6:$G$205&gt;0),71),"")="","",INDEX(Inventory!$G$6:$G$205,IFERROR(MATCH(IFERROR(AGGREGATE(14,6,(Inventory!$G$6:$G$205+(205-ROW(Inventory!$G$6:$G$205))/10000)/(Inventory!$G$6:$G$205&gt;0),71),""),(Inventory!$G$6:$G$205+(205-ROW(Inventory!$G$6:$G$205))/10000),0),""))),"")</f>
        <v/>
      </c>
      <c r="H78" s="43">
        <f>IFERROR(IF(IFERROR(AGGREGATE(14,6,(Inventory!$G$6:$G$205+(205-ROW(Inventory!$G$6:$G$205))/10000)/(Inventory!$G$6:$G$205&gt;0),71),"")="","",INDEX(Inventory!$I$6:$I$205,IFERROR(MATCH(IFERROR(AGGREGATE(14,6,(Inventory!$G$6:$G$205+(205-ROW(Inventory!$G$6:$G$205))/10000)/(Inventory!$G$6:$G$205&gt;0),71),""),(Inventory!$G$6:$G$205+(205-ROW(Inventory!$G$6:$G$205))/10000),0),""))),"")</f>
        <v/>
      </c>
      <c r="I78" s="43">
        <f>IFERROR(IF(IFERROR(AGGREGATE(14,6,(Inventory!$G$6:$G$205+(205-ROW(Inventory!$G$6:$G$205))/10000)/(Inventory!$G$6:$G$205&gt;0),71),"")="","",INDEX(Inventory!$K$6:$K$205,IFERROR(MATCH(IFERROR(AGGREGATE(14,6,(Inventory!$G$6:$G$205+(205-ROW(Inventory!$G$6:$G$205))/10000)/(Inventory!$G$6:$G$205&gt;0),71),""),(Inventory!$G$6:$G$205+(205-ROW(Inventory!$G$6:$G$205))/10000),0),""))),"")</f>
        <v/>
      </c>
    </row>
    <row r="79" ht="16" customHeight="1">
      <c r="A79" s="46">
        <f>IFERROR(IF(IFERROR(AGGREGATE(14,6,(Inventory!$G$6:$G$205+(205-ROW(Inventory!$G$6:$G$205))/10000)/(Inventory!$G$6:$G$205&gt;0),72),"")="","",INDEX(Inventory!$A$6:$A$205,IFERROR(MATCH(IFERROR(AGGREGATE(14,6,(Inventory!$G$6:$G$205+(205-ROW(Inventory!$G$6:$G$205))/10000)/(Inventory!$G$6:$G$205&gt;0),72),""),(Inventory!$G$6:$G$205+(205-ROW(Inventory!$G$6:$G$205))/10000),0),""))),"")</f>
        <v/>
      </c>
      <c r="B79" s="46">
        <f>IFERROR(IF(IFERROR(AGGREGATE(14,6,(Inventory!$G$6:$G$205+(205-ROW(Inventory!$G$6:$G$205))/10000)/(Inventory!$G$6:$G$205&gt;0),72),"")="","",INDEX(Inventory!$B$6:$B$205,IFERROR(MATCH(IFERROR(AGGREGATE(14,6,(Inventory!$G$6:$G$205+(205-ROW(Inventory!$G$6:$G$205))/10000)/(Inventory!$G$6:$G$205&gt;0),72),""),(Inventory!$G$6:$G$205+(205-ROW(Inventory!$G$6:$G$205))/10000),0),""))),"")</f>
        <v/>
      </c>
      <c r="C79" s="46">
        <f>IFERROR(IF(IFERROR(AGGREGATE(14,6,(Inventory!$G$6:$G$205+(205-ROW(Inventory!$G$6:$G$205))/10000)/(Inventory!$G$6:$G$205&gt;0),72),"")="","",INDEX(Inventory!$D$6:$D$205,IFERROR(MATCH(IFERROR(AGGREGATE(14,6,(Inventory!$G$6:$G$205+(205-ROW(Inventory!$G$6:$G$205))/10000)/(Inventory!$G$6:$G$205&gt;0),72),""),(Inventory!$G$6:$G$205+(205-ROW(Inventory!$G$6:$G$205))/10000),0),""))),"")</f>
        <v/>
      </c>
      <c r="D79" s="46">
        <f>IFERROR(IF(IFERROR(AGGREGATE(14,6,(Inventory!$G$6:$G$205+(205-ROW(Inventory!$G$6:$G$205))/10000)/(Inventory!$G$6:$G$205&gt;0),72),"")="","",INDEX(Inventory!$H$6:$H$205,IFERROR(MATCH(IFERROR(AGGREGATE(14,6,(Inventory!$G$6:$G$205+(205-ROW(Inventory!$G$6:$G$205))/10000)/(Inventory!$G$6:$G$205&gt;0),72),""),(Inventory!$G$6:$G$205+(205-ROW(Inventory!$G$6:$G$205))/10000),0),""))),"")</f>
        <v/>
      </c>
      <c r="E79" s="41">
        <f>IFERROR(IF(IFERROR(AGGREGATE(14,6,(Inventory!$G$6:$G$205+(205-ROW(Inventory!$G$6:$G$205))/10000)/(Inventory!$G$6:$G$205&gt;0),72),"")="","",INDEX(Inventory!$E$6:$E$205,IFERROR(MATCH(IFERROR(AGGREGATE(14,6,(Inventory!$G$6:$G$205+(205-ROW(Inventory!$G$6:$G$205))/10000)/(Inventory!$G$6:$G$205&gt;0),72),""),(Inventory!$G$6:$G$205+(205-ROW(Inventory!$G$6:$G$205))/10000),0),""))),"")</f>
        <v/>
      </c>
      <c r="F79" s="41">
        <f>IFERROR(IF(IFERROR(AGGREGATE(14,6,(Inventory!$G$6:$G$205+(205-ROW(Inventory!$G$6:$G$205))/10000)/(Inventory!$G$6:$G$205&gt;0),72),"")="","",INDEX(Inventory!$F$6:$F$205,IFERROR(MATCH(IFERROR(AGGREGATE(14,6,(Inventory!$G$6:$G$205+(205-ROW(Inventory!$G$6:$G$205))/10000)/(Inventory!$G$6:$G$205&gt;0),72),""),(Inventory!$G$6:$G$205+(205-ROW(Inventory!$G$6:$G$205))/10000),0),""))),"")</f>
        <v/>
      </c>
      <c r="G79" s="41">
        <f>IFERROR(IF(IFERROR(AGGREGATE(14,6,(Inventory!$G$6:$G$205+(205-ROW(Inventory!$G$6:$G$205))/10000)/(Inventory!$G$6:$G$205&gt;0),72),"")="","",INDEX(Inventory!$G$6:$G$205,IFERROR(MATCH(IFERROR(AGGREGATE(14,6,(Inventory!$G$6:$G$205+(205-ROW(Inventory!$G$6:$G$205))/10000)/(Inventory!$G$6:$G$205&gt;0),72),""),(Inventory!$G$6:$G$205+(205-ROW(Inventory!$G$6:$G$205))/10000),0),""))),"")</f>
        <v/>
      </c>
      <c r="H79" s="43">
        <f>IFERROR(IF(IFERROR(AGGREGATE(14,6,(Inventory!$G$6:$G$205+(205-ROW(Inventory!$G$6:$G$205))/10000)/(Inventory!$G$6:$G$205&gt;0),72),"")="","",INDEX(Inventory!$I$6:$I$205,IFERROR(MATCH(IFERROR(AGGREGATE(14,6,(Inventory!$G$6:$G$205+(205-ROW(Inventory!$G$6:$G$205))/10000)/(Inventory!$G$6:$G$205&gt;0),72),""),(Inventory!$G$6:$G$205+(205-ROW(Inventory!$G$6:$G$205))/10000),0),""))),"")</f>
        <v/>
      </c>
      <c r="I79" s="43">
        <f>IFERROR(IF(IFERROR(AGGREGATE(14,6,(Inventory!$G$6:$G$205+(205-ROW(Inventory!$G$6:$G$205))/10000)/(Inventory!$G$6:$G$205&gt;0),72),"")="","",INDEX(Inventory!$K$6:$K$205,IFERROR(MATCH(IFERROR(AGGREGATE(14,6,(Inventory!$G$6:$G$205+(205-ROW(Inventory!$G$6:$G$205))/10000)/(Inventory!$G$6:$G$205&gt;0),72),""),(Inventory!$G$6:$G$205+(205-ROW(Inventory!$G$6:$G$205))/10000),0),""))),"")</f>
        <v/>
      </c>
    </row>
    <row r="80" ht="16" customHeight="1">
      <c r="A80" s="46">
        <f>IFERROR(IF(IFERROR(AGGREGATE(14,6,(Inventory!$G$6:$G$205+(205-ROW(Inventory!$G$6:$G$205))/10000)/(Inventory!$G$6:$G$205&gt;0),73),"")="","",INDEX(Inventory!$A$6:$A$205,IFERROR(MATCH(IFERROR(AGGREGATE(14,6,(Inventory!$G$6:$G$205+(205-ROW(Inventory!$G$6:$G$205))/10000)/(Inventory!$G$6:$G$205&gt;0),73),""),(Inventory!$G$6:$G$205+(205-ROW(Inventory!$G$6:$G$205))/10000),0),""))),"")</f>
        <v/>
      </c>
      <c r="B80" s="46">
        <f>IFERROR(IF(IFERROR(AGGREGATE(14,6,(Inventory!$G$6:$G$205+(205-ROW(Inventory!$G$6:$G$205))/10000)/(Inventory!$G$6:$G$205&gt;0),73),"")="","",INDEX(Inventory!$B$6:$B$205,IFERROR(MATCH(IFERROR(AGGREGATE(14,6,(Inventory!$G$6:$G$205+(205-ROW(Inventory!$G$6:$G$205))/10000)/(Inventory!$G$6:$G$205&gt;0),73),""),(Inventory!$G$6:$G$205+(205-ROW(Inventory!$G$6:$G$205))/10000),0),""))),"")</f>
        <v/>
      </c>
      <c r="C80" s="46">
        <f>IFERROR(IF(IFERROR(AGGREGATE(14,6,(Inventory!$G$6:$G$205+(205-ROW(Inventory!$G$6:$G$205))/10000)/(Inventory!$G$6:$G$205&gt;0),73),"")="","",INDEX(Inventory!$D$6:$D$205,IFERROR(MATCH(IFERROR(AGGREGATE(14,6,(Inventory!$G$6:$G$205+(205-ROW(Inventory!$G$6:$G$205))/10000)/(Inventory!$G$6:$G$205&gt;0),73),""),(Inventory!$G$6:$G$205+(205-ROW(Inventory!$G$6:$G$205))/10000),0),""))),"")</f>
        <v/>
      </c>
      <c r="D80" s="46">
        <f>IFERROR(IF(IFERROR(AGGREGATE(14,6,(Inventory!$G$6:$G$205+(205-ROW(Inventory!$G$6:$G$205))/10000)/(Inventory!$G$6:$G$205&gt;0),73),"")="","",INDEX(Inventory!$H$6:$H$205,IFERROR(MATCH(IFERROR(AGGREGATE(14,6,(Inventory!$G$6:$G$205+(205-ROW(Inventory!$G$6:$G$205))/10000)/(Inventory!$G$6:$G$205&gt;0),73),""),(Inventory!$G$6:$G$205+(205-ROW(Inventory!$G$6:$G$205))/10000),0),""))),"")</f>
        <v/>
      </c>
      <c r="E80" s="41">
        <f>IFERROR(IF(IFERROR(AGGREGATE(14,6,(Inventory!$G$6:$G$205+(205-ROW(Inventory!$G$6:$G$205))/10000)/(Inventory!$G$6:$G$205&gt;0),73),"")="","",INDEX(Inventory!$E$6:$E$205,IFERROR(MATCH(IFERROR(AGGREGATE(14,6,(Inventory!$G$6:$G$205+(205-ROW(Inventory!$G$6:$G$205))/10000)/(Inventory!$G$6:$G$205&gt;0),73),""),(Inventory!$G$6:$G$205+(205-ROW(Inventory!$G$6:$G$205))/10000),0),""))),"")</f>
        <v/>
      </c>
      <c r="F80" s="41">
        <f>IFERROR(IF(IFERROR(AGGREGATE(14,6,(Inventory!$G$6:$G$205+(205-ROW(Inventory!$G$6:$G$205))/10000)/(Inventory!$G$6:$G$205&gt;0),73),"")="","",INDEX(Inventory!$F$6:$F$205,IFERROR(MATCH(IFERROR(AGGREGATE(14,6,(Inventory!$G$6:$G$205+(205-ROW(Inventory!$G$6:$G$205))/10000)/(Inventory!$G$6:$G$205&gt;0),73),""),(Inventory!$G$6:$G$205+(205-ROW(Inventory!$G$6:$G$205))/10000),0),""))),"")</f>
        <v/>
      </c>
      <c r="G80" s="41">
        <f>IFERROR(IF(IFERROR(AGGREGATE(14,6,(Inventory!$G$6:$G$205+(205-ROW(Inventory!$G$6:$G$205))/10000)/(Inventory!$G$6:$G$205&gt;0),73),"")="","",INDEX(Inventory!$G$6:$G$205,IFERROR(MATCH(IFERROR(AGGREGATE(14,6,(Inventory!$G$6:$G$205+(205-ROW(Inventory!$G$6:$G$205))/10000)/(Inventory!$G$6:$G$205&gt;0),73),""),(Inventory!$G$6:$G$205+(205-ROW(Inventory!$G$6:$G$205))/10000),0),""))),"")</f>
        <v/>
      </c>
      <c r="H80" s="43">
        <f>IFERROR(IF(IFERROR(AGGREGATE(14,6,(Inventory!$G$6:$G$205+(205-ROW(Inventory!$G$6:$G$205))/10000)/(Inventory!$G$6:$G$205&gt;0),73),"")="","",INDEX(Inventory!$I$6:$I$205,IFERROR(MATCH(IFERROR(AGGREGATE(14,6,(Inventory!$G$6:$G$205+(205-ROW(Inventory!$G$6:$G$205))/10000)/(Inventory!$G$6:$G$205&gt;0),73),""),(Inventory!$G$6:$G$205+(205-ROW(Inventory!$G$6:$G$205))/10000),0),""))),"")</f>
        <v/>
      </c>
      <c r="I80" s="43">
        <f>IFERROR(IF(IFERROR(AGGREGATE(14,6,(Inventory!$G$6:$G$205+(205-ROW(Inventory!$G$6:$G$205))/10000)/(Inventory!$G$6:$G$205&gt;0),73),"")="","",INDEX(Inventory!$K$6:$K$205,IFERROR(MATCH(IFERROR(AGGREGATE(14,6,(Inventory!$G$6:$G$205+(205-ROW(Inventory!$G$6:$G$205))/10000)/(Inventory!$G$6:$G$205&gt;0),73),""),(Inventory!$G$6:$G$205+(205-ROW(Inventory!$G$6:$G$205))/10000),0),""))),"")</f>
        <v/>
      </c>
    </row>
    <row r="81" ht="16" customHeight="1">
      <c r="A81" s="46">
        <f>IFERROR(IF(IFERROR(AGGREGATE(14,6,(Inventory!$G$6:$G$205+(205-ROW(Inventory!$G$6:$G$205))/10000)/(Inventory!$G$6:$G$205&gt;0),74),"")="","",INDEX(Inventory!$A$6:$A$205,IFERROR(MATCH(IFERROR(AGGREGATE(14,6,(Inventory!$G$6:$G$205+(205-ROW(Inventory!$G$6:$G$205))/10000)/(Inventory!$G$6:$G$205&gt;0),74),""),(Inventory!$G$6:$G$205+(205-ROW(Inventory!$G$6:$G$205))/10000),0),""))),"")</f>
        <v/>
      </c>
      <c r="B81" s="46">
        <f>IFERROR(IF(IFERROR(AGGREGATE(14,6,(Inventory!$G$6:$G$205+(205-ROW(Inventory!$G$6:$G$205))/10000)/(Inventory!$G$6:$G$205&gt;0),74),"")="","",INDEX(Inventory!$B$6:$B$205,IFERROR(MATCH(IFERROR(AGGREGATE(14,6,(Inventory!$G$6:$G$205+(205-ROW(Inventory!$G$6:$G$205))/10000)/(Inventory!$G$6:$G$205&gt;0),74),""),(Inventory!$G$6:$G$205+(205-ROW(Inventory!$G$6:$G$205))/10000),0),""))),"")</f>
        <v/>
      </c>
      <c r="C81" s="46">
        <f>IFERROR(IF(IFERROR(AGGREGATE(14,6,(Inventory!$G$6:$G$205+(205-ROW(Inventory!$G$6:$G$205))/10000)/(Inventory!$G$6:$G$205&gt;0),74),"")="","",INDEX(Inventory!$D$6:$D$205,IFERROR(MATCH(IFERROR(AGGREGATE(14,6,(Inventory!$G$6:$G$205+(205-ROW(Inventory!$G$6:$G$205))/10000)/(Inventory!$G$6:$G$205&gt;0),74),""),(Inventory!$G$6:$G$205+(205-ROW(Inventory!$G$6:$G$205))/10000),0),""))),"")</f>
        <v/>
      </c>
      <c r="D81" s="46">
        <f>IFERROR(IF(IFERROR(AGGREGATE(14,6,(Inventory!$G$6:$G$205+(205-ROW(Inventory!$G$6:$G$205))/10000)/(Inventory!$G$6:$G$205&gt;0),74),"")="","",INDEX(Inventory!$H$6:$H$205,IFERROR(MATCH(IFERROR(AGGREGATE(14,6,(Inventory!$G$6:$G$205+(205-ROW(Inventory!$G$6:$G$205))/10000)/(Inventory!$G$6:$G$205&gt;0),74),""),(Inventory!$G$6:$G$205+(205-ROW(Inventory!$G$6:$G$205))/10000),0),""))),"")</f>
        <v/>
      </c>
      <c r="E81" s="41">
        <f>IFERROR(IF(IFERROR(AGGREGATE(14,6,(Inventory!$G$6:$G$205+(205-ROW(Inventory!$G$6:$G$205))/10000)/(Inventory!$G$6:$G$205&gt;0),74),"")="","",INDEX(Inventory!$E$6:$E$205,IFERROR(MATCH(IFERROR(AGGREGATE(14,6,(Inventory!$G$6:$G$205+(205-ROW(Inventory!$G$6:$G$205))/10000)/(Inventory!$G$6:$G$205&gt;0),74),""),(Inventory!$G$6:$G$205+(205-ROW(Inventory!$G$6:$G$205))/10000),0),""))),"")</f>
        <v/>
      </c>
      <c r="F81" s="41">
        <f>IFERROR(IF(IFERROR(AGGREGATE(14,6,(Inventory!$G$6:$G$205+(205-ROW(Inventory!$G$6:$G$205))/10000)/(Inventory!$G$6:$G$205&gt;0),74),"")="","",INDEX(Inventory!$F$6:$F$205,IFERROR(MATCH(IFERROR(AGGREGATE(14,6,(Inventory!$G$6:$G$205+(205-ROW(Inventory!$G$6:$G$205))/10000)/(Inventory!$G$6:$G$205&gt;0),74),""),(Inventory!$G$6:$G$205+(205-ROW(Inventory!$G$6:$G$205))/10000),0),""))),"")</f>
        <v/>
      </c>
      <c r="G81" s="41">
        <f>IFERROR(IF(IFERROR(AGGREGATE(14,6,(Inventory!$G$6:$G$205+(205-ROW(Inventory!$G$6:$G$205))/10000)/(Inventory!$G$6:$G$205&gt;0),74),"")="","",INDEX(Inventory!$G$6:$G$205,IFERROR(MATCH(IFERROR(AGGREGATE(14,6,(Inventory!$G$6:$G$205+(205-ROW(Inventory!$G$6:$G$205))/10000)/(Inventory!$G$6:$G$205&gt;0),74),""),(Inventory!$G$6:$G$205+(205-ROW(Inventory!$G$6:$G$205))/10000),0),""))),"")</f>
        <v/>
      </c>
      <c r="H81" s="43">
        <f>IFERROR(IF(IFERROR(AGGREGATE(14,6,(Inventory!$G$6:$G$205+(205-ROW(Inventory!$G$6:$G$205))/10000)/(Inventory!$G$6:$G$205&gt;0),74),"")="","",INDEX(Inventory!$I$6:$I$205,IFERROR(MATCH(IFERROR(AGGREGATE(14,6,(Inventory!$G$6:$G$205+(205-ROW(Inventory!$G$6:$G$205))/10000)/(Inventory!$G$6:$G$205&gt;0),74),""),(Inventory!$G$6:$G$205+(205-ROW(Inventory!$G$6:$G$205))/10000),0),""))),"")</f>
        <v/>
      </c>
      <c r="I81" s="43">
        <f>IFERROR(IF(IFERROR(AGGREGATE(14,6,(Inventory!$G$6:$G$205+(205-ROW(Inventory!$G$6:$G$205))/10000)/(Inventory!$G$6:$G$205&gt;0),74),"")="","",INDEX(Inventory!$K$6:$K$205,IFERROR(MATCH(IFERROR(AGGREGATE(14,6,(Inventory!$G$6:$G$205+(205-ROW(Inventory!$G$6:$G$205))/10000)/(Inventory!$G$6:$G$205&gt;0),74),""),(Inventory!$G$6:$G$205+(205-ROW(Inventory!$G$6:$G$205))/10000),0),""))),"")</f>
        <v/>
      </c>
    </row>
    <row r="82" ht="16" customHeight="1">
      <c r="A82" s="46">
        <f>IFERROR(IF(IFERROR(AGGREGATE(14,6,(Inventory!$G$6:$G$205+(205-ROW(Inventory!$G$6:$G$205))/10000)/(Inventory!$G$6:$G$205&gt;0),75),"")="","",INDEX(Inventory!$A$6:$A$205,IFERROR(MATCH(IFERROR(AGGREGATE(14,6,(Inventory!$G$6:$G$205+(205-ROW(Inventory!$G$6:$G$205))/10000)/(Inventory!$G$6:$G$205&gt;0),75),""),(Inventory!$G$6:$G$205+(205-ROW(Inventory!$G$6:$G$205))/10000),0),""))),"")</f>
        <v/>
      </c>
      <c r="B82" s="46">
        <f>IFERROR(IF(IFERROR(AGGREGATE(14,6,(Inventory!$G$6:$G$205+(205-ROW(Inventory!$G$6:$G$205))/10000)/(Inventory!$G$6:$G$205&gt;0),75),"")="","",INDEX(Inventory!$B$6:$B$205,IFERROR(MATCH(IFERROR(AGGREGATE(14,6,(Inventory!$G$6:$G$205+(205-ROW(Inventory!$G$6:$G$205))/10000)/(Inventory!$G$6:$G$205&gt;0),75),""),(Inventory!$G$6:$G$205+(205-ROW(Inventory!$G$6:$G$205))/10000),0),""))),"")</f>
        <v/>
      </c>
      <c r="C82" s="46">
        <f>IFERROR(IF(IFERROR(AGGREGATE(14,6,(Inventory!$G$6:$G$205+(205-ROW(Inventory!$G$6:$G$205))/10000)/(Inventory!$G$6:$G$205&gt;0),75),"")="","",INDEX(Inventory!$D$6:$D$205,IFERROR(MATCH(IFERROR(AGGREGATE(14,6,(Inventory!$G$6:$G$205+(205-ROW(Inventory!$G$6:$G$205))/10000)/(Inventory!$G$6:$G$205&gt;0),75),""),(Inventory!$G$6:$G$205+(205-ROW(Inventory!$G$6:$G$205))/10000),0),""))),"")</f>
        <v/>
      </c>
      <c r="D82" s="46">
        <f>IFERROR(IF(IFERROR(AGGREGATE(14,6,(Inventory!$G$6:$G$205+(205-ROW(Inventory!$G$6:$G$205))/10000)/(Inventory!$G$6:$G$205&gt;0),75),"")="","",INDEX(Inventory!$H$6:$H$205,IFERROR(MATCH(IFERROR(AGGREGATE(14,6,(Inventory!$G$6:$G$205+(205-ROW(Inventory!$G$6:$G$205))/10000)/(Inventory!$G$6:$G$205&gt;0),75),""),(Inventory!$G$6:$G$205+(205-ROW(Inventory!$G$6:$G$205))/10000),0),""))),"")</f>
        <v/>
      </c>
      <c r="E82" s="41">
        <f>IFERROR(IF(IFERROR(AGGREGATE(14,6,(Inventory!$G$6:$G$205+(205-ROW(Inventory!$G$6:$G$205))/10000)/(Inventory!$G$6:$G$205&gt;0),75),"")="","",INDEX(Inventory!$E$6:$E$205,IFERROR(MATCH(IFERROR(AGGREGATE(14,6,(Inventory!$G$6:$G$205+(205-ROW(Inventory!$G$6:$G$205))/10000)/(Inventory!$G$6:$G$205&gt;0),75),""),(Inventory!$G$6:$G$205+(205-ROW(Inventory!$G$6:$G$205))/10000),0),""))),"")</f>
        <v/>
      </c>
      <c r="F82" s="41">
        <f>IFERROR(IF(IFERROR(AGGREGATE(14,6,(Inventory!$G$6:$G$205+(205-ROW(Inventory!$G$6:$G$205))/10000)/(Inventory!$G$6:$G$205&gt;0),75),"")="","",INDEX(Inventory!$F$6:$F$205,IFERROR(MATCH(IFERROR(AGGREGATE(14,6,(Inventory!$G$6:$G$205+(205-ROW(Inventory!$G$6:$G$205))/10000)/(Inventory!$G$6:$G$205&gt;0),75),""),(Inventory!$G$6:$G$205+(205-ROW(Inventory!$G$6:$G$205))/10000),0),""))),"")</f>
        <v/>
      </c>
      <c r="G82" s="41">
        <f>IFERROR(IF(IFERROR(AGGREGATE(14,6,(Inventory!$G$6:$G$205+(205-ROW(Inventory!$G$6:$G$205))/10000)/(Inventory!$G$6:$G$205&gt;0),75),"")="","",INDEX(Inventory!$G$6:$G$205,IFERROR(MATCH(IFERROR(AGGREGATE(14,6,(Inventory!$G$6:$G$205+(205-ROW(Inventory!$G$6:$G$205))/10000)/(Inventory!$G$6:$G$205&gt;0),75),""),(Inventory!$G$6:$G$205+(205-ROW(Inventory!$G$6:$G$205))/10000),0),""))),"")</f>
        <v/>
      </c>
      <c r="H82" s="43">
        <f>IFERROR(IF(IFERROR(AGGREGATE(14,6,(Inventory!$G$6:$G$205+(205-ROW(Inventory!$G$6:$G$205))/10000)/(Inventory!$G$6:$G$205&gt;0),75),"")="","",INDEX(Inventory!$I$6:$I$205,IFERROR(MATCH(IFERROR(AGGREGATE(14,6,(Inventory!$G$6:$G$205+(205-ROW(Inventory!$G$6:$G$205))/10000)/(Inventory!$G$6:$G$205&gt;0),75),""),(Inventory!$G$6:$G$205+(205-ROW(Inventory!$G$6:$G$205))/10000),0),""))),"")</f>
        <v/>
      </c>
      <c r="I82" s="43">
        <f>IFERROR(IF(IFERROR(AGGREGATE(14,6,(Inventory!$G$6:$G$205+(205-ROW(Inventory!$G$6:$G$205))/10000)/(Inventory!$G$6:$G$205&gt;0),75),"")="","",INDEX(Inventory!$K$6:$K$205,IFERROR(MATCH(IFERROR(AGGREGATE(14,6,(Inventory!$G$6:$G$205+(205-ROW(Inventory!$G$6:$G$205))/10000)/(Inventory!$G$6:$G$205&gt;0),75),""),(Inventory!$G$6:$G$205+(205-ROW(Inventory!$G$6:$G$205))/10000),0),""))),"")</f>
        <v/>
      </c>
    </row>
    <row r="83" ht="16" customHeight="1">
      <c r="A83" s="46">
        <f>IFERROR(IF(IFERROR(AGGREGATE(14,6,(Inventory!$G$6:$G$205+(205-ROW(Inventory!$G$6:$G$205))/10000)/(Inventory!$G$6:$G$205&gt;0),76),"")="","",INDEX(Inventory!$A$6:$A$205,IFERROR(MATCH(IFERROR(AGGREGATE(14,6,(Inventory!$G$6:$G$205+(205-ROW(Inventory!$G$6:$G$205))/10000)/(Inventory!$G$6:$G$205&gt;0),76),""),(Inventory!$G$6:$G$205+(205-ROW(Inventory!$G$6:$G$205))/10000),0),""))),"")</f>
        <v/>
      </c>
      <c r="B83" s="46">
        <f>IFERROR(IF(IFERROR(AGGREGATE(14,6,(Inventory!$G$6:$G$205+(205-ROW(Inventory!$G$6:$G$205))/10000)/(Inventory!$G$6:$G$205&gt;0),76),"")="","",INDEX(Inventory!$B$6:$B$205,IFERROR(MATCH(IFERROR(AGGREGATE(14,6,(Inventory!$G$6:$G$205+(205-ROW(Inventory!$G$6:$G$205))/10000)/(Inventory!$G$6:$G$205&gt;0),76),""),(Inventory!$G$6:$G$205+(205-ROW(Inventory!$G$6:$G$205))/10000),0),""))),"")</f>
        <v/>
      </c>
      <c r="C83" s="46">
        <f>IFERROR(IF(IFERROR(AGGREGATE(14,6,(Inventory!$G$6:$G$205+(205-ROW(Inventory!$G$6:$G$205))/10000)/(Inventory!$G$6:$G$205&gt;0),76),"")="","",INDEX(Inventory!$D$6:$D$205,IFERROR(MATCH(IFERROR(AGGREGATE(14,6,(Inventory!$G$6:$G$205+(205-ROW(Inventory!$G$6:$G$205))/10000)/(Inventory!$G$6:$G$205&gt;0),76),""),(Inventory!$G$6:$G$205+(205-ROW(Inventory!$G$6:$G$205))/10000),0),""))),"")</f>
        <v/>
      </c>
      <c r="D83" s="46">
        <f>IFERROR(IF(IFERROR(AGGREGATE(14,6,(Inventory!$G$6:$G$205+(205-ROW(Inventory!$G$6:$G$205))/10000)/(Inventory!$G$6:$G$205&gt;0),76),"")="","",INDEX(Inventory!$H$6:$H$205,IFERROR(MATCH(IFERROR(AGGREGATE(14,6,(Inventory!$G$6:$G$205+(205-ROW(Inventory!$G$6:$G$205))/10000)/(Inventory!$G$6:$G$205&gt;0),76),""),(Inventory!$G$6:$G$205+(205-ROW(Inventory!$G$6:$G$205))/10000),0),""))),"")</f>
        <v/>
      </c>
      <c r="E83" s="41">
        <f>IFERROR(IF(IFERROR(AGGREGATE(14,6,(Inventory!$G$6:$G$205+(205-ROW(Inventory!$G$6:$G$205))/10000)/(Inventory!$G$6:$G$205&gt;0),76),"")="","",INDEX(Inventory!$E$6:$E$205,IFERROR(MATCH(IFERROR(AGGREGATE(14,6,(Inventory!$G$6:$G$205+(205-ROW(Inventory!$G$6:$G$205))/10000)/(Inventory!$G$6:$G$205&gt;0),76),""),(Inventory!$G$6:$G$205+(205-ROW(Inventory!$G$6:$G$205))/10000),0),""))),"")</f>
        <v/>
      </c>
      <c r="F83" s="41">
        <f>IFERROR(IF(IFERROR(AGGREGATE(14,6,(Inventory!$G$6:$G$205+(205-ROW(Inventory!$G$6:$G$205))/10000)/(Inventory!$G$6:$G$205&gt;0),76),"")="","",INDEX(Inventory!$F$6:$F$205,IFERROR(MATCH(IFERROR(AGGREGATE(14,6,(Inventory!$G$6:$G$205+(205-ROW(Inventory!$G$6:$G$205))/10000)/(Inventory!$G$6:$G$205&gt;0),76),""),(Inventory!$G$6:$G$205+(205-ROW(Inventory!$G$6:$G$205))/10000),0),""))),"")</f>
        <v/>
      </c>
      <c r="G83" s="41">
        <f>IFERROR(IF(IFERROR(AGGREGATE(14,6,(Inventory!$G$6:$G$205+(205-ROW(Inventory!$G$6:$G$205))/10000)/(Inventory!$G$6:$G$205&gt;0),76),"")="","",INDEX(Inventory!$G$6:$G$205,IFERROR(MATCH(IFERROR(AGGREGATE(14,6,(Inventory!$G$6:$G$205+(205-ROW(Inventory!$G$6:$G$205))/10000)/(Inventory!$G$6:$G$205&gt;0),76),""),(Inventory!$G$6:$G$205+(205-ROW(Inventory!$G$6:$G$205))/10000),0),""))),"")</f>
        <v/>
      </c>
      <c r="H83" s="43">
        <f>IFERROR(IF(IFERROR(AGGREGATE(14,6,(Inventory!$G$6:$G$205+(205-ROW(Inventory!$G$6:$G$205))/10000)/(Inventory!$G$6:$G$205&gt;0),76),"")="","",INDEX(Inventory!$I$6:$I$205,IFERROR(MATCH(IFERROR(AGGREGATE(14,6,(Inventory!$G$6:$G$205+(205-ROW(Inventory!$G$6:$G$205))/10000)/(Inventory!$G$6:$G$205&gt;0),76),""),(Inventory!$G$6:$G$205+(205-ROW(Inventory!$G$6:$G$205))/10000),0),""))),"")</f>
        <v/>
      </c>
      <c r="I83" s="43">
        <f>IFERROR(IF(IFERROR(AGGREGATE(14,6,(Inventory!$G$6:$G$205+(205-ROW(Inventory!$G$6:$G$205))/10000)/(Inventory!$G$6:$G$205&gt;0),76),"")="","",INDEX(Inventory!$K$6:$K$205,IFERROR(MATCH(IFERROR(AGGREGATE(14,6,(Inventory!$G$6:$G$205+(205-ROW(Inventory!$G$6:$G$205))/10000)/(Inventory!$G$6:$G$205&gt;0),76),""),(Inventory!$G$6:$G$205+(205-ROW(Inventory!$G$6:$G$205))/10000),0),""))),"")</f>
        <v/>
      </c>
    </row>
    <row r="84" ht="16" customHeight="1">
      <c r="A84" s="46">
        <f>IFERROR(IF(IFERROR(AGGREGATE(14,6,(Inventory!$G$6:$G$205+(205-ROW(Inventory!$G$6:$G$205))/10000)/(Inventory!$G$6:$G$205&gt;0),77),"")="","",INDEX(Inventory!$A$6:$A$205,IFERROR(MATCH(IFERROR(AGGREGATE(14,6,(Inventory!$G$6:$G$205+(205-ROW(Inventory!$G$6:$G$205))/10000)/(Inventory!$G$6:$G$205&gt;0),77),""),(Inventory!$G$6:$G$205+(205-ROW(Inventory!$G$6:$G$205))/10000),0),""))),"")</f>
        <v/>
      </c>
      <c r="B84" s="46">
        <f>IFERROR(IF(IFERROR(AGGREGATE(14,6,(Inventory!$G$6:$G$205+(205-ROW(Inventory!$G$6:$G$205))/10000)/(Inventory!$G$6:$G$205&gt;0),77),"")="","",INDEX(Inventory!$B$6:$B$205,IFERROR(MATCH(IFERROR(AGGREGATE(14,6,(Inventory!$G$6:$G$205+(205-ROW(Inventory!$G$6:$G$205))/10000)/(Inventory!$G$6:$G$205&gt;0),77),""),(Inventory!$G$6:$G$205+(205-ROW(Inventory!$G$6:$G$205))/10000),0),""))),"")</f>
        <v/>
      </c>
      <c r="C84" s="46">
        <f>IFERROR(IF(IFERROR(AGGREGATE(14,6,(Inventory!$G$6:$G$205+(205-ROW(Inventory!$G$6:$G$205))/10000)/(Inventory!$G$6:$G$205&gt;0),77),"")="","",INDEX(Inventory!$D$6:$D$205,IFERROR(MATCH(IFERROR(AGGREGATE(14,6,(Inventory!$G$6:$G$205+(205-ROW(Inventory!$G$6:$G$205))/10000)/(Inventory!$G$6:$G$205&gt;0),77),""),(Inventory!$G$6:$G$205+(205-ROW(Inventory!$G$6:$G$205))/10000),0),""))),"")</f>
        <v/>
      </c>
      <c r="D84" s="46">
        <f>IFERROR(IF(IFERROR(AGGREGATE(14,6,(Inventory!$G$6:$G$205+(205-ROW(Inventory!$G$6:$G$205))/10000)/(Inventory!$G$6:$G$205&gt;0),77),"")="","",INDEX(Inventory!$H$6:$H$205,IFERROR(MATCH(IFERROR(AGGREGATE(14,6,(Inventory!$G$6:$G$205+(205-ROW(Inventory!$G$6:$G$205))/10000)/(Inventory!$G$6:$G$205&gt;0),77),""),(Inventory!$G$6:$G$205+(205-ROW(Inventory!$G$6:$G$205))/10000),0),""))),"")</f>
        <v/>
      </c>
      <c r="E84" s="41">
        <f>IFERROR(IF(IFERROR(AGGREGATE(14,6,(Inventory!$G$6:$G$205+(205-ROW(Inventory!$G$6:$G$205))/10000)/(Inventory!$G$6:$G$205&gt;0),77),"")="","",INDEX(Inventory!$E$6:$E$205,IFERROR(MATCH(IFERROR(AGGREGATE(14,6,(Inventory!$G$6:$G$205+(205-ROW(Inventory!$G$6:$G$205))/10000)/(Inventory!$G$6:$G$205&gt;0),77),""),(Inventory!$G$6:$G$205+(205-ROW(Inventory!$G$6:$G$205))/10000),0),""))),"")</f>
        <v/>
      </c>
      <c r="F84" s="41">
        <f>IFERROR(IF(IFERROR(AGGREGATE(14,6,(Inventory!$G$6:$G$205+(205-ROW(Inventory!$G$6:$G$205))/10000)/(Inventory!$G$6:$G$205&gt;0),77),"")="","",INDEX(Inventory!$F$6:$F$205,IFERROR(MATCH(IFERROR(AGGREGATE(14,6,(Inventory!$G$6:$G$205+(205-ROW(Inventory!$G$6:$G$205))/10000)/(Inventory!$G$6:$G$205&gt;0),77),""),(Inventory!$G$6:$G$205+(205-ROW(Inventory!$G$6:$G$205))/10000),0),""))),"")</f>
        <v/>
      </c>
      <c r="G84" s="41">
        <f>IFERROR(IF(IFERROR(AGGREGATE(14,6,(Inventory!$G$6:$G$205+(205-ROW(Inventory!$G$6:$G$205))/10000)/(Inventory!$G$6:$G$205&gt;0),77),"")="","",INDEX(Inventory!$G$6:$G$205,IFERROR(MATCH(IFERROR(AGGREGATE(14,6,(Inventory!$G$6:$G$205+(205-ROW(Inventory!$G$6:$G$205))/10000)/(Inventory!$G$6:$G$205&gt;0),77),""),(Inventory!$G$6:$G$205+(205-ROW(Inventory!$G$6:$G$205))/10000),0),""))),"")</f>
        <v/>
      </c>
      <c r="H84" s="43">
        <f>IFERROR(IF(IFERROR(AGGREGATE(14,6,(Inventory!$G$6:$G$205+(205-ROW(Inventory!$G$6:$G$205))/10000)/(Inventory!$G$6:$G$205&gt;0),77),"")="","",INDEX(Inventory!$I$6:$I$205,IFERROR(MATCH(IFERROR(AGGREGATE(14,6,(Inventory!$G$6:$G$205+(205-ROW(Inventory!$G$6:$G$205))/10000)/(Inventory!$G$6:$G$205&gt;0),77),""),(Inventory!$G$6:$G$205+(205-ROW(Inventory!$G$6:$G$205))/10000),0),""))),"")</f>
        <v/>
      </c>
      <c r="I84" s="43">
        <f>IFERROR(IF(IFERROR(AGGREGATE(14,6,(Inventory!$G$6:$G$205+(205-ROW(Inventory!$G$6:$G$205))/10000)/(Inventory!$G$6:$G$205&gt;0),77),"")="","",INDEX(Inventory!$K$6:$K$205,IFERROR(MATCH(IFERROR(AGGREGATE(14,6,(Inventory!$G$6:$G$205+(205-ROW(Inventory!$G$6:$G$205))/10000)/(Inventory!$G$6:$G$205&gt;0),77),""),(Inventory!$G$6:$G$205+(205-ROW(Inventory!$G$6:$G$205))/10000),0),""))),"")</f>
        <v/>
      </c>
    </row>
    <row r="85" ht="16" customHeight="1">
      <c r="A85" s="46">
        <f>IFERROR(IF(IFERROR(AGGREGATE(14,6,(Inventory!$G$6:$G$205+(205-ROW(Inventory!$G$6:$G$205))/10000)/(Inventory!$G$6:$G$205&gt;0),78),"")="","",INDEX(Inventory!$A$6:$A$205,IFERROR(MATCH(IFERROR(AGGREGATE(14,6,(Inventory!$G$6:$G$205+(205-ROW(Inventory!$G$6:$G$205))/10000)/(Inventory!$G$6:$G$205&gt;0),78),""),(Inventory!$G$6:$G$205+(205-ROW(Inventory!$G$6:$G$205))/10000),0),""))),"")</f>
        <v/>
      </c>
      <c r="B85" s="46">
        <f>IFERROR(IF(IFERROR(AGGREGATE(14,6,(Inventory!$G$6:$G$205+(205-ROW(Inventory!$G$6:$G$205))/10000)/(Inventory!$G$6:$G$205&gt;0),78),"")="","",INDEX(Inventory!$B$6:$B$205,IFERROR(MATCH(IFERROR(AGGREGATE(14,6,(Inventory!$G$6:$G$205+(205-ROW(Inventory!$G$6:$G$205))/10000)/(Inventory!$G$6:$G$205&gt;0),78),""),(Inventory!$G$6:$G$205+(205-ROW(Inventory!$G$6:$G$205))/10000),0),""))),"")</f>
        <v/>
      </c>
      <c r="C85" s="46">
        <f>IFERROR(IF(IFERROR(AGGREGATE(14,6,(Inventory!$G$6:$G$205+(205-ROW(Inventory!$G$6:$G$205))/10000)/(Inventory!$G$6:$G$205&gt;0),78),"")="","",INDEX(Inventory!$D$6:$D$205,IFERROR(MATCH(IFERROR(AGGREGATE(14,6,(Inventory!$G$6:$G$205+(205-ROW(Inventory!$G$6:$G$205))/10000)/(Inventory!$G$6:$G$205&gt;0),78),""),(Inventory!$G$6:$G$205+(205-ROW(Inventory!$G$6:$G$205))/10000),0),""))),"")</f>
        <v/>
      </c>
      <c r="D85" s="46">
        <f>IFERROR(IF(IFERROR(AGGREGATE(14,6,(Inventory!$G$6:$G$205+(205-ROW(Inventory!$G$6:$G$205))/10000)/(Inventory!$G$6:$G$205&gt;0),78),"")="","",INDEX(Inventory!$H$6:$H$205,IFERROR(MATCH(IFERROR(AGGREGATE(14,6,(Inventory!$G$6:$G$205+(205-ROW(Inventory!$G$6:$G$205))/10000)/(Inventory!$G$6:$G$205&gt;0),78),""),(Inventory!$G$6:$G$205+(205-ROW(Inventory!$G$6:$G$205))/10000),0),""))),"")</f>
        <v/>
      </c>
      <c r="E85" s="41">
        <f>IFERROR(IF(IFERROR(AGGREGATE(14,6,(Inventory!$G$6:$G$205+(205-ROW(Inventory!$G$6:$G$205))/10000)/(Inventory!$G$6:$G$205&gt;0),78),"")="","",INDEX(Inventory!$E$6:$E$205,IFERROR(MATCH(IFERROR(AGGREGATE(14,6,(Inventory!$G$6:$G$205+(205-ROW(Inventory!$G$6:$G$205))/10000)/(Inventory!$G$6:$G$205&gt;0),78),""),(Inventory!$G$6:$G$205+(205-ROW(Inventory!$G$6:$G$205))/10000),0),""))),"")</f>
        <v/>
      </c>
      <c r="F85" s="41">
        <f>IFERROR(IF(IFERROR(AGGREGATE(14,6,(Inventory!$G$6:$G$205+(205-ROW(Inventory!$G$6:$G$205))/10000)/(Inventory!$G$6:$G$205&gt;0),78),"")="","",INDEX(Inventory!$F$6:$F$205,IFERROR(MATCH(IFERROR(AGGREGATE(14,6,(Inventory!$G$6:$G$205+(205-ROW(Inventory!$G$6:$G$205))/10000)/(Inventory!$G$6:$G$205&gt;0),78),""),(Inventory!$G$6:$G$205+(205-ROW(Inventory!$G$6:$G$205))/10000),0),""))),"")</f>
        <v/>
      </c>
      <c r="G85" s="41">
        <f>IFERROR(IF(IFERROR(AGGREGATE(14,6,(Inventory!$G$6:$G$205+(205-ROW(Inventory!$G$6:$G$205))/10000)/(Inventory!$G$6:$G$205&gt;0),78),"")="","",INDEX(Inventory!$G$6:$G$205,IFERROR(MATCH(IFERROR(AGGREGATE(14,6,(Inventory!$G$6:$G$205+(205-ROW(Inventory!$G$6:$G$205))/10000)/(Inventory!$G$6:$G$205&gt;0),78),""),(Inventory!$G$6:$G$205+(205-ROW(Inventory!$G$6:$G$205))/10000),0),""))),"")</f>
        <v/>
      </c>
      <c r="H85" s="43">
        <f>IFERROR(IF(IFERROR(AGGREGATE(14,6,(Inventory!$G$6:$G$205+(205-ROW(Inventory!$G$6:$G$205))/10000)/(Inventory!$G$6:$G$205&gt;0),78),"")="","",INDEX(Inventory!$I$6:$I$205,IFERROR(MATCH(IFERROR(AGGREGATE(14,6,(Inventory!$G$6:$G$205+(205-ROW(Inventory!$G$6:$G$205))/10000)/(Inventory!$G$6:$G$205&gt;0),78),""),(Inventory!$G$6:$G$205+(205-ROW(Inventory!$G$6:$G$205))/10000),0),""))),"")</f>
        <v/>
      </c>
      <c r="I85" s="43">
        <f>IFERROR(IF(IFERROR(AGGREGATE(14,6,(Inventory!$G$6:$G$205+(205-ROW(Inventory!$G$6:$G$205))/10000)/(Inventory!$G$6:$G$205&gt;0),78),"")="","",INDEX(Inventory!$K$6:$K$205,IFERROR(MATCH(IFERROR(AGGREGATE(14,6,(Inventory!$G$6:$G$205+(205-ROW(Inventory!$G$6:$G$205))/10000)/(Inventory!$G$6:$G$205&gt;0),78),""),(Inventory!$G$6:$G$205+(205-ROW(Inventory!$G$6:$G$205))/10000),0),""))),"")</f>
        <v/>
      </c>
    </row>
    <row r="86" ht="16" customHeight="1">
      <c r="A86" s="46">
        <f>IFERROR(IF(IFERROR(AGGREGATE(14,6,(Inventory!$G$6:$G$205+(205-ROW(Inventory!$G$6:$G$205))/10000)/(Inventory!$G$6:$G$205&gt;0),79),"")="","",INDEX(Inventory!$A$6:$A$205,IFERROR(MATCH(IFERROR(AGGREGATE(14,6,(Inventory!$G$6:$G$205+(205-ROW(Inventory!$G$6:$G$205))/10000)/(Inventory!$G$6:$G$205&gt;0),79),""),(Inventory!$G$6:$G$205+(205-ROW(Inventory!$G$6:$G$205))/10000),0),""))),"")</f>
        <v/>
      </c>
      <c r="B86" s="46">
        <f>IFERROR(IF(IFERROR(AGGREGATE(14,6,(Inventory!$G$6:$G$205+(205-ROW(Inventory!$G$6:$G$205))/10000)/(Inventory!$G$6:$G$205&gt;0),79),"")="","",INDEX(Inventory!$B$6:$B$205,IFERROR(MATCH(IFERROR(AGGREGATE(14,6,(Inventory!$G$6:$G$205+(205-ROW(Inventory!$G$6:$G$205))/10000)/(Inventory!$G$6:$G$205&gt;0),79),""),(Inventory!$G$6:$G$205+(205-ROW(Inventory!$G$6:$G$205))/10000),0),""))),"")</f>
        <v/>
      </c>
      <c r="C86" s="46">
        <f>IFERROR(IF(IFERROR(AGGREGATE(14,6,(Inventory!$G$6:$G$205+(205-ROW(Inventory!$G$6:$G$205))/10000)/(Inventory!$G$6:$G$205&gt;0),79),"")="","",INDEX(Inventory!$D$6:$D$205,IFERROR(MATCH(IFERROR(AGGREGATE(14,6,(Inventory!$G$6:$G$205+(205-ROW(Inventory!$G$6:$G$205))/10000)/(Inventory!$G$6:$G$205&gt;0),79),""),(Inventory!$G$6:$G$205+(205-ROW(Inventory!$G$6:$G$205))/10000),0),""))),"")</f>
        <v/>
      </c>
      <c r="D86" s="46">
        <f>IFERROR(IF(IFERROR(AGGREGATE(14,6,(Inventory!$G$6:$G$205+(205-ROW(Inventory!$G$6:$G$205))/10000)/(Inventory!$G$6:$G$205&gt;0),79),"")="","",INDEX(Inventory!$H$6:$H$205,IFERROR(MATCH(IFERROR(AGGREGATE(14,6,(Inventory!$G$6:$G$205+(205-ROW(Inventory!$G$6:$G$205))/10000)/(Inventory!$G$6:$G$205&gt;0),79),""),(Inventory!$G$6:$G$205+(205-ROW(Inventory!$G$6:$G$205))/10000),0),""))),"")</f>
        <v/>
      </c>
      <c r="E86" s="41">
        <f>IFERROR(IF(IFERROR(AGGREGATE(14,6,(Inventory!$G$6:$G$205+(205-ROW(Inventory!$G$6:$G$205))/10000)/(Inventory!$G$6:$G$205&gt;0),79),"")="","",INDEX(Inventory!$E$6:$E$205,IFERROR(MATCH(IFERROR(AGGREGATE(14,6,(Inventory!$G$6:$G$205+(205-ROW(Inventory!$G$6:$G$205))/10000)/(Inventory!$G$6:$G$205&gt;0),79),""),(Inventory!$G$6:$G$205+(205-ROW(Inventory!$G$6:$G$205))/10000),0),""))),"")</f>
        <v/>
      </c>
      <c r="F86" s="41">
        <f>IFERROR(IF(IFERROR(AGGREGATE(14,6,(Inventory!$G$6:$G$205+(205-ROW(Inventory!$G$6:$G$205))/10000)/(Inventory!$G$6:$G$205&gt;0),79),"")="","",INDEX(Inventory!$F$6:$F$205,IFERROR(MATCH(IFERROR(AGGREGATE(14,6,(Inventory!$G$6:$G$205+(205-ROW(Inventory!$G$6:$G$205))/10000)/(Inventory!$G$6:$G$205&gt;0),79),""),(Inventory!$G$6:$G$205+(205-ROW(Inventory!$G$6:$G$205))/10000),0),""))),"")</f>
        <v/>
      </c>
      <c r="G86" s="41">
        <f>IFERROR(IF(IFERROR(AGGREGATE(14,6,(Inventory!$G$6:$G$205+(205-ROW(Inventory!$G$6:$G$205))/10000)/(Inventory!$G$6:$G$205&gt;0),79),"")="","",INDEX(Inventory!$G$6:$G$205,IFERROR(MATCH(IFERROR(AGGREGATE(14,6,(Inventory!$G$6:$G$205+(205-ROW(Inventory!$G$6:$G$205))/10000)/(Inventory!$G$6:$G$205&gt;0),79),""),(Inventory!$G$6:$G$205+(205-ROW(Inventory!$G$6:$G$205))/10000),0),""))),"")</f>
        <v/>
      </c>
      <c r="H86" s="43">
        <f>IFERROR(IF(IFERROR(AGGREGATE(14,6,(Inventory!$G$6:$G$205+(205-ROW(Inventory!$G$6:$G$205))/10000)/(Inventory!$G$6:$G$205&gt;0),79),"")="","",INDEX(Inventory!$I$6:$I$205,IFERROR(MATCH(IFERROR(AGGREGATE(14,6,(Inventory!$G$6:$G$205+(205-ROW(Inventory!$G$6:$G$205))/10000)/(Inventory!$G$6:$G$205&gt;0),79),""),(Inventory!$G$6:$G$205+(205-ROW(Inventory!$G$6:$G$205))/10000),0),""))),"")</f>
        <v/>
      </c>
      <c r="I86" s="43">
        <f>IFERROR(IF(IFERROR(AGGREGATE(14,6,(Inventory!$G$6:$G$205+(205-ROW(Inventory!$G$6:$G$205))/10000)/(Inventory!$G$6:$G$205&gt;0),79),"")="","",INDEX(Inventory!$K$6:$K$205,IFERROR(MATCH(IFERROR(AGGREGATE(14,6,(Inventory!$G$6:$G$205+(205-ROW(Inventory!$G$6:$G$205))/10000)/(Inventory!$G$6:$G$205&gt;0),79),""),(Inventory!$G$6:$G$205+(205-ROW(Inventory!$G$6:$G$205))/10000),0),""))),"")</f>
        <v/>
      </c>
    </row>
    <row r="87" ht="16" customHeight="1">
      <c r="A87" s="46">
        <f>IFERROR(IF(IFERROR(AGGREGATE(14,6,(Inventory!$G$6:$G$205+(205-ROW(Inventory!$G$6:$G$205))/10000)/(Inventory!$G$6:$G$205&gt;0),80),"")="","",INDEX(Inventory!$A$6:$A$205,IFERROR(MATCH(IFERROR(AGGREGATE(14,6,(Inventory!$G$6:$G$205+(205-ROW(Inventory!$G$6:$G$205))/10000)/(Inventory!$G$6:$G$205&gt;0),80),""),(Inventory!$G$6:$G$205+(205-ROW(Inventory!$G$6:$G$205))/10000),0),""))),"")</f>
        <v/>
      </c>
      <c r="B87" s="46">
        <f>IFERROR(IF(IFERROR(AGGREGATE(14,6,(Inventory!$G$6:$G$205+(205-ROW(Inventory!$G$6:$G$205))/10000)/(Inventory!$G$6:$G$205&gt;0),80),"")="","",INDEX(Inventory!$B$6:$B$205,IFERROR(MATCH(IFERROR(AGGREGATE(14,6,(Inventory!$G$6:$G$205+(205-ROW(Inventory!$G$6:$G$205))/10000)/(Inventory!$G$6:$G$205&gt;0),80),""),(Inventory!$G$6:$G$205+(205-ROW(Inventory!$G$6:$G$205))/10000),0),""))),"")</f>
        <v/>
      </c>
      <c r="C87" s="46">
        <f>IFERROR(IF(IFERROR(AGGREGATE(14,6,(Inventory!$G$6:$G$205+(205-ROW(Inventory!$G$6:$G$205))/10000)/(Inventory!$G$6:$G$205&gt;0),80),"")="","",INDEX(Inventory!$D$6:$D$205,IFERROR(MATCH(IFERROR(AGGREGATE(14,6,(Inventory!$G$6:$G$205+(205-ROW(Inventory!$G$6:$G$205))/10000)/(Inventory!$G$6:$G$205&gt;0),80),""),(Inventory!$G$6:$G$205+(205-ROW(Inventory!$G$6:$G$205))/10000),0),""))),"")</f>
        <v/>
      </c>
      <c r="D87" s="46">
        <f>IFERROR(IF(IFERROR(AGGREGATE(14,6,(Inventory!$G$6:$G$205+(205-ROW(Inventory!$G$6:$G$205))/10000)/(Inventory!$G$6:$G$205&gt;0),80),"")="","",INDEX(Inventory!$H$6:$H$205,IFERROR(MATCH(IFERROR(AGGREGATE(14,6,(Inventory!$G$6:$G$205+(205-ROW(Inventory!$G$6:$G$205))/10000)/(Inventory!$G$6:$G$205&gt;0),80),""),(Inventory!$G$6:$G$205+(205-ROW(Inventory!$G$6:$G$205))/10000),0),""))),"")</f>
        <v/>
      </c>
      <c r="E87" s="41">
        <f>IFERROR(IF(IFERROR(AGGREGATE(14,6,(Inventory!$G$6:$G$205+(205-ROW(Inventory!$G$6:$G$205))/10000)/(Inventory!$G$6:$G$205&gt;0),80),"")="","",INDEX(Inventory!$E$6:$E$205,IFERROR(MATCH(IFERROR(AGGREGATE(14,6,(Inventory!$G$6:$G$205+(205-ROW(Inventory!$G$6:$G$205))/10000)/(Inventory!$G$6:$G$205&gt;0),80),""),(Inventory!$G$6:$G$205+(205-ROW(Inventory!$G$6:$G$205))/10000),0),""))),"")</f>
        <v/>
      </c>
      <c r="F87" s="41">
        <f>IFERROR(IF(IFERROR(AGGREGATE(14,6,(Inventory!$G$6:$G$205+(205-ROW(Inventory!$G$6:$G$205))/10000)/(Inventory!$G$6:$G$205&gt;0),80),"")="","",INDEX(Inventory!$F$6:$F$205,IFERROR(MATCH(IFERROR(AGGREGATE(14,6,(Inventory!$G$6:$G$205+(205-ROW(Inventory!$G$6:$G$205))/10000)/(Inventory!$G$6:$G$205&gt;0),80),""),(Inventory!$G$6:$G$205+(205-ROW(Inventory!$G$6:$G$205))/10000),0),""))),"")</f>
        <v/>
      </c>
      <c r="G87" s="41">
        <f>IFERROR(IF(IFERROR(AGGREGATE(14,6,(Inventory!$G$6:$G$205+(205-ROW(Inventory!$G$6:$G$205))/10000)/(Inventory!$G$6:$G$205&gt;0),80),"")="","",INDEX(Inventory!$G$6:$G$205,IFERROR(MATCH(IFERROR(AGGREGATE(14,6,(Inventory!$G$6:$G$205+(205-ROW(Inventory!$G$6:$G$205))/10000)/(Inventory!$G$6:$G$205&gt;0),80),""),(Inventory!$G$6:$G$205+(205-ROW(Inventory!$G$6:$G$205))/10000),0),""))),"")</f>
        <v/>
      </c>
      <c r="H87" s="43">
        <f>IFERROR(IF(IFERROR(AGGREGATE(14,6,(Inventory!$G$6:$G$205+(205-ROW(Inventory!$G$6:$G$205))/10000)/(Inventory!$G$6:$G$205&gt;0),80),"")="","",INDEX(Inventory!$I$6:$I$205,IFERROR(MATCH(IFERROR(AGGREGATE(14,6,(Inventory!$G$6:$G$205+(205-ROW(Inventory!$G$6:$G$205))/10000)/(Inventory!$G$6:$G$205&gt;0),80),""),(Inventory!$G$6:$G$205+(205-ROW(Inventory!$G$6:$G$205))/10000),0),""))),"")</f>
        <v/>
      </c>
      <c r="I87" s="43">
        <f>IFERROR(IF(IFERROR(AGGREGATE(14,6,(Inventory!$G$6:$G$205+(205-ROW(Inventory!$G$6:$G$205))/10000)/(Inventory!$G$6:$G$205&gt;0),80),"")="","",INDEX(Inventory!$K$6:$K$205,IFERROR(MATCH(IFERROR(AGGREGATE(14,6,(Inventory!$G$6:$G$205+(205-ROW(Inventory!$G$6:$G$205))/10000)/(Inventory!$G$6:$G$205&gt;0),80),""),(Inventory!$G$6:$G$205+(205-ROW(Inventory!$G$6:$G$205))/10000),0),""))),"")</f>
        <v/>
      </c>
    </row>
    <row r="88" ht="16" customHeight="1">
      <c r="A88" s="46">
        <f>IFERROR(IF(IFERROR(AGGREGATE(14,6,(Inventory!$G$6:$G$205+(205-ROW(Inventory!$G$6:$G$205))/10000)/(Inventory!$G$6:$G$205&gt;0),81),"")="","",INDEX(Inventory!$A$6:$A$205,IFERROR(MATCH(IFERROR(AGGREGATE(14,6,(Inventory!$G$6:$G$205+(205-ROW(Inventory!$G$6:$G$205))/10000)/(Inventory!$G$6:$G$205&gt;0),81),""),(Inventory!$G$6:$G$205+(205-ROW(Inventory!$G$6:$G$205))/10000),0),""))),"")</f>
        <v/>
      </c>
      <c r="B88" s="46">
        <f>IFERROR(IF(IFERROR(AGGREGATE(14,6,(Inventory!$G$6:$G$205+(205-ROW(Inventory!$G$6:$G$205))/10000)/(Inventory!$G$6:$G$205&gt;0),81),"")="","",INDEX(Inventory!$B$6:$B$205,IFERROR(MATCH(IFERROR(AGGREGATE(14,6,(Inventory!$G$6:$G$205+(205-ROW(Inventory!$G$6:$G$205))/10000)/(Inventory!$G$6:$G$205&gt;0),81),""),(Inventory!$G$6:$G$205+(205-ROW(Inventory!$G$6:$G$205))/10000),0),""))),"")</f>
        <v/>
      </c>
      <c r="C88" s="46">
        <f>IFERROR(IF(IFERROR(AGGREGATE(14,6,(Inventory!$G$6:$G$205+(205-ROW(Inventory!$G$6:$G$205))/10000)/(Inventory!$G$6:$G$205&gt;0),81),"")="","",INDEX(Inventory!$D$6:$D$205,IFERROR(MATCH(IFERROR(AGGREGATE(14,6,(Inventory!$G$6:$G$205+(205-ROW(Inventory!$G$6:$G$205))/10000)/(Inventory!$G$6:$G$205&gt;0),81),""),(Inventory!$G$6:$G$205+(205-ROW(Inventory!$G$6:$G$205))/10000),0),""))),"")</f>
        <v/>
      </c>
      <c r="D88" s="46">
        <f>IFERROR(IF(IFERROR(AGGREGATE(14,6,(Inventory!$G$6:$G$205+(205-ROW(Inventory!$G$6:$G$205))/10000)/(Inventory!$G$6:$G$205&gt;0),81),"")="","",INDEX(Inventory!$H$6:$H$205,IFERROR(MATCH(IFERROR(AGGREGATE(14,6,(Inventory!$G$6:$G$205+(205-ROW(Inventory!$G$6:$G$205))/10000)/(Inventory!$G$6:$G$205&gt;0),81),""),(Inventory!$G$6:$G$205+(205-ROW(Inventory!$G$6:$G$205))/10000),0),""))),"")</f>
        <v/>
      </c>
      <c r="E88" s="41">
        <f>IFERROR(IF(IFERROR(AGGREGATE(14,6,(Inventory!$G$6:$G$205+(205-ROW(Inventory!$G$6:$G$205))/10000)/(Inventory!$G$6:$G$205&gt;0),81),"")="","",INDEX(Inventory!$E$6:$E$205,IFERROR(MATCH(IFERROR(AGGREGATE(14,6,(Inventory!$G$6:$G$205+(205-ROW(Inventory!$G$6:$G$205))/10000)/(Inventory!$G$6:$G$205&gt;0),81),""),(Inventory!$G$6:$G$205+(205-ROW(Inventory!$G$6:$G$205))/10000),0),""))),"")</f>
        <v/>
      </c>
      <c r="F88" s="41">
        <f>IFERROR(IF(IFERROR(AGGREGATE(14,6,(Inventory!$G$6:$G$205+(205-ROW(Inventory!$G$6:$G$205))/10000)/(Inventory!$G$6:$G$205&gt;0),81),"")="","",INDEX(Inventory!$F$6:$F$205,IFERROR(MATCH(IFERROR(AGGREGATE(14,6,(Inventory!$G$6:$G$205+(205-ROW(Inventory!$G$6:$G$205))/10000)/(Inventory!$G$6:$G$205&gt;0),81),""),(Inventory!$G$6:$G$205+(205-ROW(Inventory!$G$6:$G$205))/10000),0),""))),"")</f>
        <v/>
      </c>
      <c r="G88" s="41">
        <f>IFERROR(IF(IFERROR(AGGREGATE(14,6,(Inventory!$G$6:$G$205+(205-ROW(Inventory!$G$6:$G$205))/10000)/(Inventory!$G$6:$G$205&gt;0),81),"")="","",INDEX(Inventory!$G$6:$G$205,IFERROR(MATCH(IFERROR(AGGREGATE(14,6,(Inventory!$G$6:$G$205+(205-ROW(Inventory!$G$6:$G$205))/10000)/(Inventory!$G$6:$G$205&gt;0),81),""),(Inventory!$G$6:$G$205+(205-ROW(Inventory!$G$6:$G$205))/10000),0),""))),"")</f>
        <v/>
      </c>
      <c r="H88" s="43">
        <f>IFERROR(IF(IFERROR(AGGREGATE(14,6,(Inventory!$G$6:$G$205+(205-ROW(Inventory!$G$6:$G$205))/10000)/(Inventory!$G$6:$G$205&gt;0),81),"")="","",INDEX(Inventory!$I$6:$I$205,IFERROR(MATCH(IFERROR(AGGREGATE(14,6,(Inventory!$G$6:$G$205+(205-ROW(Inventory!$G$6:$G$205))/10000)/(Inventory!$G$6:$G$205&gt;0),81),""),(Inventory!$G$6:$G$205+(205-ROW(Inventory!$G$6:$G$205))/10000),0),""))),"")</f>
        <v/>
      </c>
      <c r="I88" s="43">
        <f>IFERROR(IF(IFERROR(AGGREGATE(14,6,(Inventory!$G$6:$G$205+(205-ROW(Inventory!$G$6:$G$205))/10000)/(Inventory!$G$6:$G$205&gt;0),81),"")="","",INDEX(Inventory!$K$6:$K$205,IFERROR(MATCH(IFERROR(AGGREGATE(14,6,(Inventory!$G$6:$G$205+(205-ROW(Inventory!$G$6:$G$205))/10000)/(Inventory!$G$6:$G$205&gt;0),81),""),(Inventory!$G$6:$G$205+(205-ROW(Inventory!$G$6:$G$205))/10000),0),""))),"")</f>
        <v/>
      </c>
    </row>
    <row r="89" ht="16" customHeight="1">
      <c r="A89" s="46">
        <f>IFERROR(IF(IFERROR(AGGREGATE(14,6,(Inventory!$G$6:$G$205+(205-ROW(Inventory!$G$6:$G$205))/10000)/(Inventory!$G$6:$G$205&gt;0),82),"")="","",INDEX(Inventory!$A$6:$A$205,IFERROR(MATCH(IFERROR(AGGREGATE(14,6,(Inventory!$G$6:$G$205+(205-ROW(Inventory!$G$6:$G$205))/10000)/(Inventory!$G$6:$G$205&gt;0),82),""),(Inventory!$G$6:$G$205+(205-ROW(Inventory!$G$6:$G$205))/10000),0),""))),"")</f>
        <v/>
      </c>
      <c r="B89" s="46">
        <f>IFERROR(IF(IFERROR(AGGREGATE(14,6,(Inventory!$G$6:$G$205+(205-ROW(Inventory!$G$6:$G$205))/10000)/(Inventory!$G$6:$G$205&gt;0),82),"")="","",INDEX(Inventory!$B$6:$B$205,IFERROR(MATCH(IFERROR(AGGREGATE(14,6,(Inventory!$G$6:$G$205+(205-ROW(Inventory!$G$6:$G$205))/10000)/(Inventory!$G$6:$G$205&gt;0),82),""),(Inventory!$G$6:$G$205+(205-ROW(Inventory!$G$6:$G$205))/10000),0),""))),"")</f>
        <v/>
      </c>
      <c r="C89" s="46">
        <f>IFERROR(IF(IFERROR(AGGREGATE(14,6,(Inventory!$G$6:$G$205+(205-ROW(Inventory!$G$6:$G$205))/10000)/(Inventory!$G$6:$G$205&gt;0),82),"")="","",INDEX(Inventory!$D$6:$D$205,IFERROR(MATCH(IFERROR(AGGREGATE(14,6,(Inventory!$G$6:$G$205+(205-ROW(Inventory!$G$6:$G$205))/10000)/(Inventory!$G$6:$G$205&gt;0),82),""),(Inventory!$G$6:$G$205+(205-ROW(Inventory!$G$6:$G$205))/10000),0),""))),"")</f>
        <v/>
      </c>
      <c r="D89" s="46">
        <f>IFERROR(IF(IFERROR(AGGREGATE(14,6,(Inventory!$G$6:$G$205+(205-ROW(Inventory!$G$6:$G$205))/10000)/(Inventory!$G$6:$G$205&gt;0),82),"")="","",INDEX(Inventory!$H$6:$H$205,IFERROR(MATCH(IFERROR(AGGREGATE(14,6,(Inventory!$G$6:$G$205+(205-ROW(Inventory!$G$6:$G$205))/10000)/(Inventory!$G$6:$G$205&gt;0),82),""),(Inventory!$G$6:$G$205+(205-ROW(Inventory!$G$6:$G$205))/10000),0),""))),"")</f>
        <v/>
      </c>
      <c r="E89" s="41">
        <f>IFERROR(IF(IFERROR(AGGREGATE(14,6,(Inventory!$G$6:$G$205+(205-ROW(Inventory!$G$6:$G$205))/10000)/(Inventory!$G$6:$G$205&gt;0),82),"")="","",INDEX(Inventory!$E$6:$E$205,IFERROR(MATCH(IFERROR(AGGREGATE(14,6,(Inventory!$G$6:$G$205+(205-ROW(Inventory!$G$6:$G$205))/10000)/(Inventory!$G$6:$G$205&gt;0),82),""),(Inventory!$G$6:$G$205+(205-ROW(Inventory!$G$6:$G$205))/10000),0),""))),"")</f>
        <v/>
      </c>
      <c r="F89" s="41">
        <f>IFERROR(IF(IFERROR(AGGREGATE(14,6,(Inventory!$G$6:$G$205+(205-ROW(Inventory!$G$6:$G$205))/10000)/(Inventory!$G$6:$G$205&gt;0),82),"")="","",INDEX(Inventory!$F$6:$F$205,IFERROR(MATCH(IFERROR(AGGREGATE(14,6,(Inventory!$G$6:$G$205+(205-ROW(Inventory!$G$6:$G$205))/10000)/(Inventory!$G$6:$G$205&gt;0),82),""),(Inventory!$G$6:$G$205+(205-ROW(Inventory!$G$6:$G$205))/10000),0),""))),"")</f>
        <v/>
      </c>
      <c r="G89" s="41">
        <f>IFERROR(IF(IFERROR(AGGREGATE(14,6,(Inventory!$G$6:$G$205+(205-ROW(Inventory!$G$6:$G$205))/10000)/(Inventory!$G$6:$G$205&gt;0),82),"")="","",INDEX(Inventory!$G$6:$G$205,IFERROR(MATCH(IFERROR(AGGREGATE(14,6,(Inventory!$G$6:$G$205+(205-ROW(Inventory!$G$6:$G$205))/10000)/(Inventory!$G$6:$G$205&gt;0),82),""),(Inventory!$G$6:$G$205+(205-ROW(Inventory!$G$6:$G$205))/10000),0),""))),"")</f>
        <v/>
      </c>
      <c r="H89" s="43">
        <f>IFERROR(IF(IFERROR(AGGREGATE(14,6,(Inventory!$G$6:$G$205+(205-ROW(Inventory!$G$6:$G$205))/10000)/(Inventory!$G$6:$G$205&gt;0),82),"")="","",INDEX(Inventory!$I$6:$I$205,IFERROR(MATCH(IFERROR(AGGREGATE(14,6,(Inventory!$G$6:$G$205+(205-ROW(Inventory!$G$6:$G$205))/10000)/(Inventory!$G$6:$G$205&gt;0),82),""),(Inventory!$G$6:$G$205+(205-ROW(Inventory!$G$6:$G$205))/10000),0),""))),"")</f>
        <v/>
      </c>
      <c r="I89" s="43">
        <f>IFERROR(IF(IFERROR(AGGREGATE(14,6,(Inventory!$G$6:$G$205+(205-ROW(Inventory!$G$6:$G$205))/10000)/(Inventory!$G$6:$G$205&gt;0),82),"")="","",INDEX(Inventory!$K$6:$K$205,IFERROR(MATCH(IFERROR(AGGREGATE(14,6,(Inventory!$G$6:$G$205+(205-ROW(Inventory!$G$6:$G$205))/10000)/(Inventory!$G$6:$G$205&gt;0),82),""),(Inventory!$G$6:$G$205+(205-ROW(Inventory!$G$6:$G$205))/10000),0),""))),"")</f>
        <v/>
      </c>
    </row>
    <row r="90" ht="16" customHeight="1">
      <c r="A90" s="46">
        <f>IFERROR(IF(IFERROR(AGGREGATE(14,6,(Inventory!$G$6:$G$205+(205-ROW(Inventory!$G$6:$G$205))/10000)/(Inventory!$G$6:$G$205&gt;0),83),"")="","",INDEX(Inventory!$A$6:$A$205,IFERROR(MATCH(IFERROR(AGGREGATE(14,6,(Inventory!$G$6:$G$205+(205-ROW(Inventory!$G$6:$G$205))/10000)/(Inventory!$G$6:$G$205&gt;0),83),""),(Inventory!$G$6:$G$205+(205-ROW(Inventory!$G$6:$G$205))/10000),0),""))),"")</f>
        <v/>
      </c>
      <c r="B90" s="46">
        <f>IFERROR(IF(IFERROR(AGGREGATE(14,6,(Inventory!$G$6:$G$205+(205-ROW(Inventory!$G$6:$G$205))/10000)/(Inventory!$G$6:$G$205&gt;0),83),"")="","",INDEX(Inventory!$B$6:$B$205,IFERROR(MATCH(IFERROR(AGGREGATE(14,6,(Inventory!$G$6:$G$205+(205-ROW(Inventory!$G$6:$G$205))/10000)/(Inventory!$G$6:$G$205&gt;0),83),""),(Inventory!$G$6:$G$205+(205-ROW(Inventory!$G$6:$G$205))/10000),0),""))),"")</f>
        <v/>
      </c>
      <c r="C90" s="46">
        <f>IFERROR(IF(IFERROR(AGGREGATE(14,6,(Inventory!$G$6:$G$205+(205-ROW(Inventory!$G$6:$G$205))/10000)/(Inventory!$G$6:$G$205&gt;0),83),"")="","",INDEX(Inventory!$D$6:$D$205,IFERROR(MATCH(IFERROR(AGGREGATE(14,6,(Inventory!$G$6:$G$205+(205-ROW(Inventory!$G$6:$G$205))/10000)/(Inventory!$G$6:$G$205&gt;0),83),""),(Inventory!$G$6:$G$205+(205-ROW(Inventory!$G$6:$G$205))/10000),0),""))),"")</f>
        <v/>
      </c>
      <c r="D90" s="46">
        <f>IFERROR(IF(IFERROR(AGGREGATE(14,6,(Inventory!$G$6:$G$205+(205-ROW(Inventory!$G$6:$G$205))/10000)/(Inventory!$G$6:$G$205&gt;0),83),"")="","",INDEX(Inventory!$H$6:$H$205,IFERROR(MATCH(IFERROR(AGGREGATE(14,6,(Inventory!$G$6:$G$205+(205-ROW(Inventory!$G$6:$G$205))/10000)/(Inventory!$G$6:$G$205&gt;0),83),""),(Inventory!$G$6:$G$205+(205-ROW(Inventory!$G$6:$G$205))/10000),0),""))),"")</f>
        <v/>
      </c>
      <c r="E90" s="41">
        <f>IFERROR(IF(IFERROR(AGGREGATE(14,6,(Inventory!$G$6:$G$205+(205-ROW(Inventory!$G$6:$G$205))/10000)/(Inventory!$G$6:$G$205&gt;0),83),"")="","",INDEX(Inventory!$E$6:$E$205,IFERROR(MATCH(IFERROR(AGGREGATE(14,6,(Inventory!$G$6:$G$205+(205-ROW(Inventory!$G$6:$G$205))/10000)/(Inventory!$G$6:$G$205&gt;0),83),""),(Inventory!$G$6:$G$205+(205-ROW(Inventory!$G$6:$G$205))/10000),0),""))),"")</f>
        <v/>
      </c>
      <c r="F90" s="41">
        <f>IFERROR(IF(IFERROR(AGGREGATE(14,6,(Inventory!$G$6:$G$205+(205-ROW(Inventory!$G$6:$G$205))/10000)/(Inventory!$G$6:$G$205&gt;0),83),"")="","",INDEX(Inventory!$F$6:$F$205,IFERROR(MATCH(IFERROR(AGGREGATE(14,6,(Inventory!$G$6:$G$205+(205-ROW(Inventory!$G$6:$G$205))/10000)/(Inventory!$G$6:$G$205&gt;0),83),""),(Inventory!$G$6:$G$205+(205-ROW(Inventory!$G$6:$G$205))/10000),0),""))),"")</f>
        <v/>
      </c>
      <c r="G90" s="41">
        <f>IFERROR(IF(IFERROR(AGGREGATE(14,6,(Inventory!$G$6:$G$205+(205-ROW(Inventory!$G$6:$G$205))/10000)/(Inventory!$G$6:$G$205&gt;0),83),"")="","",INDEX(Inventory!$G$6:$G$205,IFERROR(MATCH(IFERROR(AGGREGATE(14,6,(Inventory!$G$6:$G$205+(205-ROW(Inventory!$G$6:$G$205))/10000)/(Inventory!$G$6:$G$205&gt;0),83),""),(Inventory!$G$6:$G$205+(205-ROW(Inventory!$G$6:$G$205))/10000),0),""))),"")</f>
        <v/>
      </c>
      <c r="H90" s="43">
        <f>IFERROR(IF(IFERROR(AGGREGATE(14,6,(Inventory!$G$6:$G$205+(205-ROW(Inventory!$G$6:$G$205))/10000)/(Inventory!$G$6:$G$205&gt;0),83),"")="","",INDEX(Inventory!$I$6:$I$205,IFERROR(MATCH(IFERROR(AGGREGATE(14,6,(Inventory!$G$6:$G$205+(205-ROW(Inventory!$G$6:$G$205))/10000)/(Inventory!$G$6:$G$205&gt;0),83),""),(Inventory!$G$6:$G$205+(205-ROW(Inventory!$G$6:$G$205))/10000),0),""))),"")</f>
        <v/>
      </c>
      <c r="I90" s="43">
        <f>IFERROR(IF(IFERROR(AGGREGATE(14,6,(Inventory!$G$6:$G$205+(205-ROW(Inventory!$G$6:$G$205))/10000)/(Inventory!$G$6:$G$205&gt;0),83),"")="","",INDEX(Inventory!$K$6:$K$205,IFERROR(MATCH(IFERROR(AGGREGATE(14,6,(Inventory!$G$6:$G$205+(205-ROW(Inventory!$G$6:$G$205))/10000)/(Inventory!$G$6:$G$205&gt;0),83),""),(Inventory!$G$6:$G$205+(205-ROW(Inventory!$G$6:$G$205))/10000),0),""))),"")</f>
        <v/>
      </c>
    </row>
    <row r="91" ht="16" customHeight="1">
      <c r="A91" s="46">
        <f>IFERROR(IF(IFERROR(AGGREGATE(14,6,(Inventory!$G$6:$G$205+(205-ROW(Inventory!$G$6:$G$205))/10000)/(Inventory!$G$6:$G$205&gt;0),84),"")="","",INDEX(Inventory!$A$6:$A$205,IFERROR(MATCH(IFERROR(AGGREGATE(14,6,(Inventory!$G$6:$G$205+(205-ROW(Inventory!$G$6:$G$205))/10000)/(Inventory!$G$6:$G$205&gt;0),84),""),(Inventory!$G$6:$G$205+(205-ROW(Inventory!$G$6:$G$205))/10000),0),""))),"")</f>
        <v/>
      </c>
      <c r="B91" s="46">
        <f>IFERROR(IF(IFERROR(AGGREGATE(14,6,(Inventory!$G$6:$G$205+(205-ROW(Inventory!$G$6:$G$205))/10000)/(Inventory!$G$6:$G$205&gt;0),84),"")="","",INDEX(Inventory!$B$6:$B$205,IFERROR(MATCH(IFERROR(AGGREGATE(14,6,(Inventory!$G$6:$G$205+(205-ROW(Inventory!$G$6:$G$205))/10000)/(Inventory!$G$6:$G$205&gt;0),84),""),(Inventory!$G$6:$G$205+(205-ROW(Inventory!$G$6:$G$205))/10000),0),""))),"")</f>
        <v/>
      </c>
      <c r="C91" s="46">
        <f>IFERROR(IF(IFERROR(AGGREGATE(14,6,(Inventory!$G$6:$G$205+(205-ROW(Inventory!$G$6:$G$205))/10000)/(Inventory!$G$6:$G$205&gt;0),84),"")="","",INDEX(Inventory!$D$6:$D$205,IFERROR(MATCH(IFERROR(AGGREGATE(14,6,(Inventory!$G$6:$G$205+(205-ROW(Inventory!$G$6:$G$205))/10000)/(Inventory!$G$6:$G$205&gt;0),84),""),(Inventory!$G$6:$G$205+(205-ROW(Inventory!$G$6:$G$205))/10000),0),""))),"")</f>
        <v/>
      </c>
      <c r="D91" s="46">
        <f>IFERROR(IF(IFERROR(AGGREGATE(14,6,(Inventory!$G$6:$G$205+(205-ROW(Inventory!$G$6:$G$205))/10000)/(Inventory!$G$6:$G$205&gt;0),84),"")="","",INDEX(Inventory!$H$6:$H$205,IFERROR(MATCH(IFERROR(AGGREGATE(14,6,(Inventory!$G$6:$G$205+(205-ROW(Inventory!$G$6:$G$205))/10000)/(Inventory!$G$6:$G$205&gt;0),84),""),(Inventory!$G$6:$G$205+(205-ROW(Inventory!$G$6:$G$205))/10000),0),""))),"")</f>
        <v/>
      </c>
      <c r="E91" s="41">
        <f>IFERROR(IF(IFERROR(AGGREGATE(14,6,(Inventory!$G$6:$G$205+(205-ROW(Inventory!$G$6:$G$205))/10000)/(Inventory!$G$6:$G$205&gt;0),84),"")="","",INDEX(Inventory!$E$6:$E$205,IFERROR(MATCH(IFERROR(AGGREGATE(14,6,(Inventory!$G$6:$G$205+(205-ROW(Inventory!$G$6:$G$205))/10000)/(Inventory!$G$6:$G$205&gt;0),84),""),(Inventory!$G$6:$G$205+(205-ROW(Inventory!$G$6:$G$205))/10000),0),""))),"")</f>
        <v/>
      </c>
      <c r="F91" s="41">
        <f>IFERROR(IF(IFERROR(AGGREGATE(14,6,(Inventory!$G$6:$G$205+(205-ROW(Inventory!$G$6:$G$205))/10000)/(Inventory!$G$6:$G$205&gt;0),84),"")="","",INDEX(Inventory!$F$6:$F$205,IFERROR(MATCH(IFERROR(AGGREGATE(14,6,(Inventory!$G$6:$G$205+(205-ROW(Inventory!$G$6:$G$205))/10000)/(Inventory!$G$6:$G$205&gt;0),84),""),(Inventory!$G$6:$G$205+(205-ROW(Inventory!$G$6:$G$205))/10000),0),""))),"")</f>
        <v/>
      </c>
      <c r="G91" s="41">
        <f>IFERROR(IF(IFERROR(AGGREGATE(14,6,(Inventory!$G$6:$G$205+(205-ROW(Inventory!$G$6:$G$205))/10000)/(Inventory!$G$6:$G$205&gt;0),84),"")="","",INDEX(Inventory!$G$6:$G$205,IFERROR(MATCH(IFERROR(AGGREGATE(14,6,(Inventory!$G$6:$G$205+(205-ROW(Inventory!$G$6:$G$205))/10000)/(Inventory!$G$6:$G$205&gt;0),84),""),(Inventory!$G$6:$G$205+(205-ROW(Inventory!$G$6:$G$205))/10000),0),""))),"")</f>
        <v/>
      </c>
      <c r="H91" s="43">
        <f>IFERROR(IF(IFERROR(AGGREGATE(14,6,(Inventory!$G$6:$G$205+(205-ROW(Inventory!$G$6:$G$205))/10000)/(Inventory!$G$6:$G$205&gt;0),84),"")="","",INDEX(Inventory!$I$6:$I$205,IFERROR(MATCH(IFERROR(AGGREGATE(14,6,(Inventory!$G$6:$G$205+(205-ROW(Inventory!$G$6:$G$205))/10000)/(Inventory!$G$6:$G$205&gt;0),84),""),(Inventory!$G$6:$G$205+(205-ROW(Inventory!$G$6:$G$205))/10000),0),""))),"")</f>
        <v/>
      </c>
      <c r="I91" s="43">
        <f>IFERROR(IF(IFERROR(AGGREGATE(14,6,(Inventory!$G$6:$G$205+(205-ROW(Inventory!$G$6:$G$205))/10000)/(Inventory!$G$6:$G$205&gt;0),84),"")="","",INDEX(Inventory!$K$6:$K$205,IFERROR(MATCH(IFERROR(AGGREGATE(14,6,(Inventory!$G$6:$G$205+(205-ROW(Inventory!$G$6:$G$205))/10000)/(Inventory!$G$6:$G$205&gt;0),84),""),(Inventory!$G$6:$G$205+(205-ROW(Inventory!$G$6:$G$205))/10000),0),""))),"")</f>
        <v/>
      </c>
    </row>
    <row r="92" ht="16" customHeight="1">
      <c r="A92" s="46">
        <f>IFERROR(IF(IFERROR(AGGREGATE(14,6,(Inventory!$G$6:$G$205+(205-ROW(Inventory!$G$6:$G$205))/10000)/(Inventory!$G$6:$G$205&gt;0),85),"")="","",INDEX(Inventory!$A$6:$A$205,IFERROR(MATCH(IFERROR(AGGREGATE(14,6,(Inventory!$G$6:$G$205+(205-ROW(Inventory!$G$6:$G$205))/10000)/(Inventory!$G$6:$G$205&gt;0),85),""),(Inventory!$G$6:$G$205+(205-ROW(Inventory!$G$6:$G$205))/10000),0),""))),"")</f>
        <v/>
      </c>
      <c r="B92" s="46">
        <f>IFERROR(IF(IFERROR(AGGREGATE(14,6,(Inventory!$G$6:$G$205+(205-ROW(Inventory!$G$6:$G$205))/10000)/(Inventory!$G$6:$G$205&gt;0),85),"")="","",INDEX(Inventory!$B$6:$B$205,IFERROR(MATCH(IFERROR(AGGREGATE(14,6,(Inventory!$G$6:$G$205+(205-ROW(Inventory!$G$6:$G$205))/10000)/(Inventory!$G$6:$G$205&gt;0),85),""),(Inventory!$G$6:$G$205+(205-ROW(Inventory!$G$6:$G$205))/10000),0),""))),"")</f>
        <v/>
      </c>
      <c r="C92" s="46">
        <f>IFERROR(IF(IFERROR(AGGREGATE(14,6,(Inventory!$G$6:$G$205+(205-ROW(Inventory!$G$6:$G$205))/10000)/(Inventory!$G$6:$G$205&gt;0),85),"")="","",INDEX(Inventory!$D$6:$D$205,IFERROR(MATCH(IFERROR(AGGREGATE(14,6,(Inventory!$G$6:$G$205+(205-ROW(Inventory!$G$6:$G$205))/10000)/(Inventory!$G$6:$G$205&gt;0),85),""),(Inventory!$G$6:$G$205+(205-ROW(Inventory!$G$6:$G$205))/10000),0),""))),"")</f>
        <v/>
      </c>
      <c r="D92" s="46">
        <f>IFERROR(IF(IFERROR(AGGREGATE(14,6,(Inventory!$G$6:$G$205+(205-ROW(Inventory!$G$6:$G$205))/10000)/(Inventory!$G$6:$G$205&gt;0),85),"")="","",INDEX(Inventory!$H$6:$H$205,IFERROR(MATCH(IFERROR(AGGREGATE(14,6,(Inventory!$G$6:$G$205+(205-ROW(Inventory!$G$6:$G$205))/10000)/(Inventory!$G$6:$G$205&gt;0),85),""),(Inventory!$G$6:$G$205+(205-ROW(Inventory!$G$6:$G$205))/10000),0),""))),"")</f>
        <v/>
      </c>
      <c r="E92" s="41">
        <f>IFERROR(IF(IFERROR(AGGREGATE(14,6,(Inventory!$G$6:$G$205+(205-ROW(Inventory!$G$6:$G$205))/10000)/(Inventory!$G$6:$G$205&gt;0),85),"")="","",INDEX(Inventory!$E$6:$E$205,IFERROR(MATCH(IFERROR(AGGREGATE(14,6,(Inventory!$G$6:$G$205+(205-ROW(Inventory!$G$6:$G$205))/10000)/(Inventory!$G$6:$G$205&gt;0),85),""),(Inventory!$G$6:$G$205+(205-ROW(Inventory!$G$6:$G$205))/10000),0),""))),"")</f>
        <v/>
      </c>
      <c r="F92" s="41">
        <f>IFERROR(IF(IFERROR(AGGREGATE(14,6,(Inventory!$G$6:$G$205+(205-ROW(Inventory!$G$6:$G$205))/10000)/(Inventory!$G$6:$G$205&gt;0),85),"")="","",INDEX(Inventory!$F$6:$F$205,IFERROR(MATCH(IFERROR(AGGREGATE(14,6,(Inventory!$G$6:$G$205+(205-ROW(Inventory!$G$6:$G$205))/10000)/(Inventory!$G$6:$G$205&gt;0),85),""),(Inventory!$G$6:$G$205+(205-ROW(Inventory!$G$6:$G$205))/10000),0),""))),"")</f>
        <v/>
      </c>
      <c r="G92" s="41">
        <f>IFERROR(IF(IFERROR(AGGREGATE(14,6,(Inventory!$G$6:$G$205+(205-ROW(Inventory!$G$6:$G$205))/10000)/(Inventory!$G$6:$G$205&gt;0),85),"")="","",INDEX(Inventory!$G$6:$G$205,IFERROR(MATCH(IFERROR(AGGREGATE(14,6,(Inventory!$G$6:$G$205+(205-ROW(Inventory!$G$6:$G$205))/10000)/(Inventory!$G$6:$G$205&gt;0),85),""),(Inventory!$G$6:$G$205+(205-ROW(Inventory!$G$6:$G$205))/10000),0),""))),"")</f>
        <v/>
      </c>
      <c r="H92" s="43">
        <f>IFERROR(IF(IFERROR(AGGREGATE(14,6,(Inventory!$G$6:$G$205+(205-ROW(Inventory!$G$6:$G$205))/10000)/(Inventory!$G$6:$G$205&gt;0),85),"")="","",INDEX(Inventory!$I$6:$I$205,IFERROR(MATCH(IFERROR(AGGREGATE(14,6,(Inventory!$G$6:$G$205+(205-ROW(Inventory!$G$6:$G$205))/10000)/(Inventory!$G$6:$G$205&gt;0),85),""),(Inventory!$G$6:$G$205+(205-ROW(Inventory!$G$6:$G$205))/10000),0),""))),"")</f>
        <v/>
      </c>
      <c r="I92" s="43">
        <f>IFERROR(IF(IFERROR(AGGREGATE(14,6,(Inventory!$G$6:$G$205+(205-ROW(Inventory!$G$6:$G$205))/10000)/(Inventory!$G$6:$G$205&gt;0),85),"")="","",INDEX(Inventory!$K$6:$K$205,IFERROR(MATCH(IFERROR(AGGREGATE(14,6,(Inventory!$G$6:$G$205+(205-ROW(Inventory!$G$6:$G$205))/10000)/(Inventory!$G$6:$G$205&gt;0),85),""),(Inventory!$G$6:$G$205+(205-ROW(Inventory!$G$6:$G$205))/10000),0),""))),"")</f>
        <v/>
      </c>
    </row>
    <row r="93" ht="16" customHeight="1">
      <c r="A93" s="46">
        <f>IFERROR(IF(IFERROR(AGGREGATE(14,6,(Inventory!$G$6:$G$205+(205-ROW(Inventory!$G$6:$G$205))/10000)/(Inventory!$G$6:$G$205&gt;0),86),"")="","",INDEX(Inventory!$A$6:$A$205,IFERROR(MATCH(IFERROR(AGGREGATE(14,6,(Inventory!$G$6:$G$205+(205-ROW(Inventory!$G$6:$G$205))/10000)/(Inventory!$G$6:$G$205&gt;0),86),""),(Inventory!$G$6:$G$205+(205-ROW(Inventory!$G$6:$G$205))/10000),0),""))),"")</f>
        <v/>
      </c>
      <c r="B93" s="46">
        <f>IFERROR(IF(IFERROR(AGGREGATE(14,6,(Inventory!$G$6:$G$205+(205-ROW(Inventory!$G$6:$G$205))/10000)/(Inventory!$G$6:$G$205&gt;0),86),"")="","",INDEX(Inventory!$B$6:$B$205,IFERROR(MATCH(IFERROR(AGGREGATE(14,6,(Inventory!$G$6:$G$205+(205-ROW(Inventory!$G$6:$G$205))/10000)/(Inventory!$G$6:$G$205&gt;0),86),""),(Inventory!$G$6:$G$205+(205-ROW(Inventory!$G$6:$G$205))/10000),0),""))),"")</f>
        <v/>
      </c>
      <c r="C93" s="46">
        <f>IFERROR(IF(IFERROR(AGGREGATE(14,6,(Inventory!$G$6:$G$205+(205-ROW(Inventory!$G$6:$G$205))/10000)/(Inventory!$G$6:$G$205&gt;0),86),"")="","",INDEX(Inventory!$D$6:$D$205,IFERROR(MATCH(IFERROR(AGGREGATE(14,6,(Inventory!$G$6:$G$205+(205-ROW(Inventory!$G$6:$G$205))/10000)/(Inventory!$G$6:$G$205&gt;0),86),""),(Inventory!$G$6:$G$205+(205-ROW(Inventory!$G$6:$G$205))/10000),0),""))),"")</f>
        <v/>
      </c>
      <c r="D93" s="46">
        <f>IFERROR(IF(IFERROR(AGGREGATE(14,6,(Inventory!$G$6:$G$205+(205-ROW(Inventory!$G$6:$G$205))/10000)/(Inventory!$G$6:$G$205&gt;0),86),"")="","",INDEX(Inventory!$H$6:$H$205,IFERROR(MATCH(IFERROR(AGGREGATE(14,6,(Inventory!$G$6:$G$205+(205-ROW(Inventory!$G$6:$G$205))/10000)/(Inventory!$G$6:$G$205&gt;0),86),""),(Inventory!$G$6:$G$205+(205-ROW(Inventory!$G$6:$G$205))/10000),0),""))),"")</f>
        <v/>
      </c>
      <c r="E93" s="41">
        <f>IFERROR(IF(IFERROR(AGGREGATE(14,6,(Inventory!$G$6:$G$205+(205-ROW(Inventory!$G$6:$G$205))/10000)/(Inventory!$G$6:$G$205&gt;0),86),"")="","",INDEX(Inventory!$E$6:$E$205,IFERROR(MATCH(IFERROR(AGGREGATE(14,6,(Inventory!$G$6:$G$205+(205-ROW(Inventory!$G$6:$G$205))/10000)/(Inventory!$G$6:$G$205&gt;0),86),""),(Inventory!$G$6:$G$205+(205-ROW(Inventory!$G$6:$G$205))/10000),0),""))),"")</f>
        <v/>
      </c>
      <c r="F93" s="41">
        <f>IFERROR(IF(IFERROR(AGGREGATE(14,6,(Inventory!$G$6:$G$205+(205-ROW(Inventory!$G$6:$G$205))/10000)/(Inventory!$G$6:$G$205&gt;0),86),"")="","",INDEX(Inventory!$F$6:$F$205,IFERROR(MATCH(IFERROR(AGGREGATE(14,6,(Inventory!$G$6:$G$205+(205-ROW(Inventory!$G$6:$G$205))/10000)/(Inventory!$G$6:$G$205&gt;0),86),""),(Inventory!$G$6:$G$205+(205-ROW(Inventory!$G$6:$G$205))/10000),0),""))),"")</f>
        <v/>
      </c>
      <c r="G93" s="41">
        <f>IFERROR(IF(IFERROR(AGGREGATE(14,6,(Inventory!$G$6:$G$205+(205-ROW(Inventory!$G$6:$G$205))/10000)/(Inventory!$G$6:$G$205&gt;0),86),"")="","",INDEX(Inventory!$G$6:$G$205,IFERROR(MATCH(IFERROR(AGGREGATE(14,6,(Inventory!$G$6:$G$205+(205-ROW(Inventory!$G$6:$G$205))/10000)/(Inventory!$G$6:$G$205&gt;0),86),""),(Inventory!$G$6:$G$205+(205-ROW(Inventory!$G$6:$G$205))/10000),0),""))),"")</f>
        <v/>
      </c>
      <c r="H93" s="43">
        <f>IFERROR(IF(IFERROR(AGGREGATE(14,6,(Inventory!$G$6:$G$205+(205-ROW(Inventory!$G$6:$G$205))/10000)/(Inventory!$G$6:$G$205&gt;0),86),"")="","",INDEX(Inventory!$I$6:$I$205,IFERROR(MATCH(IFERROR(AGGREGATE(14,6,(Inventory!$G$6:$G$205+(205-ROW(Inventory!$G$6:$G$205))/10000)/(Inventory!$G$6:$G$205&gt;0),86),""),(Inventory!$G$6:$G$205+(205-ROW(Inventory!$G$6:$G$205))/10000),0),""))),"")</f>
        <v/>
      </c>
      <c r="I93" s="43">
        <f>IFERROR(IF(IFERROR(AGGREGATE(14,6,(Inventory!$G$6:$G$205+(205-ROW(Inventory!$G$6:$G$205))/10000)/(Inventory!$G$6:$G$205&gt;0),86),"")="","",INDEX(Inventory!$K$6:$K$205,IFERROR(MATCH(IFERROR(AGGREGATE(14,6,(Inventory!$G$6:$G$205+(205-ROW(Inventory!$G$6:$G$205))/10000)/(Inventory!$G$6:$G$205&gt;0),86),""),(Inventory!$G$6:$G$205+(205-ROW(Inventory!$G$6:$G$205))/10000),0),""))),"")</f>
        <v/>
      </c>
    </row>
    <row r="94" ht="16" customHeight="1">
      <c r="A94" s="46">
        <f>IFERROR(IF(IFERROR(AGGREGATE(14,6,(Inventory!$G$6:$G$205+(205-ROW(Inventory!$G$6:$G$205))/10000)/(Inventory!$G$6:$G$205&gt;0),87),"")="","",INDEX(Inventory!$A$6:$A$205,IFERROR(MATCH(IFERROR(AGGREGATE(14,6,(Inventory!$G$6:$G$205+(205-ROW(Inventory!$G$6:$G$205))/10000)/(Inventory!$G$6:$G$205&gt;0),87),""),(Inventory!$G$6:$G$205+(205-ROW(Inventory!$G$6:$G$205))/10000),0),""))),"")</f>
        <v/>
      </c>
      <c r="B94" s="46">
        <f>IFERROR(IF(IFERROR(AGGREGATE(14,6,(Inventory!$G$6:$G$205+(205-ROW(Inventory!$G$6:$G$205))/10000)/(Inventory!$G$6:$G$205&gt;0),87),"")="","",INDEX(Inventory!$B$6:$B$205,IFERROR(MATCH(IFERROR(AGGREGATE(14,6,(Inventory!$G$6:$G$205+(205-ROW(Inventory!$G$6:$G$205))/10000)/(Inventory!$G$6:$G$205&gt;0),87),""),(Inventory!$G$6:$G$205+(205-ROW(Inventory!$G$6:$G$205))/10000),0),""))),"")</f>
        <v/>
      </c>
      <c r="C94" s="46">
        <f>IFERROR(IF(IFERROR(AGGREGATE(14,6,(Inventory!$G$6:$G$205+(205-ROW(Inventory!$G$6:$G$205))/10000)/(Inventory!$G$6:$G$205&gt;0),87),"")="","",INDEX(Inventory!$D$6:$D$205,IFERROR(MATCH(IFERROR(AGGREGATE(14,6,(Inventory!$G$6:$G$205+(205-ROW(Inventory!$G$6:$G$205))/10000)/(Inventory!$G$6:$G$205&gt;0),87),""),(Inventory!$G$6:$G$205+(205-ROW(Inventory!$G$6:$G$205))/10000),0),""))),"")</f>
        <v/>
      </c>
      <c r="D94" s="46">
        <f>IFERROR(IF(IFERROR(AGGREGATE(14,6,(Inventory!$G$6:$G$205+(205-ROW(Inventory!$G$6:$G$205))/10000)/(Inventory!$G$6:$G$205&gt;0),87),"")="","",INDEX(Inventory!$H$6:$H$205,IFERROR(MATCH(IFERROR(AGGREGATE(14,6,(Inventory!$G$6:$G$205+(205-ROW(Inventory!$G$6:$G$205))/10000)/(Inventory!$G$6:$G$205&gt;0),87),""),(Inventory!$G$6:$G$205+(205-ROW(Inventory!$G$6:$G$205))/10000),0),""))),"")</f>
        <v/>
      </c>
      <c r="E94" s="41">
        <f>IFERROR(IF(IFERROR(AGGREGATE(14,6,(Inventory!$G$6:$G$205+(205-ROW(Inventory!$G$6:$G$205))/10000)/(Inventory!$G$6:$G$205&gt;0),87),"")="","",INDEX(Inventory!$E$6:$E$205,IFERROR(MATCH(IFERROR(AGGREGATE(14,6,(Inventory!$G$6:$G$205+(205-ROW(Inventory!$G$6:$G$205))/10000)/(Inventory!$G$6:$G$205&gt;0),87),""),(Inventory!$G$6:$G$205+(205-ROW(Inventory!$G$6:$G$205))/10000),0),""))),"")</f>
        <v/>
      </c>
      <c r="F94" s="41">
        <f>IFERROR(IF(IFERROR(AGGREGATE(14,6,(Inventory!$G$6:$G$205+(205-ROW(Inventory!$G$6:$G$205))/10000)/(Inventory!$G$6:$G$205&gt;0),87),"")="","",INDEX(Inventory!$F$6:$F$205,IFERROR(MATCH(IFERROR(AGGREGATE(14,6,(Inventory!$G$6:$G$205+(205-ROW(Inventory!$G$6:$G$205))/10000)/(Inventory!$G$6:$G$205&gt;0),87),""),(Inventory!$G$6:$G$205+(205-ROW(Inventory!$G$6:$G$205))/10000),0),""))),"")</f>
        <v/>
      </c>
      <c r="G94" s="41">
        <f>IFERROR(IF(IFERROR(AGGREGATE(14,6,(Inventory!$G$6:$G$205+(205-ROW(Inventory!$G$6:$G$205))/10000)/(Inventory!$G$6:$G$205&gt;0),87),"")="","",INDEX(Inventory!$G$6:$G$205,IFERROR(MATCH(IFERROR(AGGREGATE(14,6,(Inventory!$G$6:$G$205+(205-ROW(Inventory!$G$6:$G$205))/10000)/(Inventory!$G$6:$G$205&gt;0),87),""),(Inventory!$G$6:$G$205+(205-ROW(Inventory!$G$6:$G$205))/10000),0),""))),"")</f>
        <v/>
      </c>
      <c r="H94" s="43">
        <f>IFERROR(IF(IFERROR(AGGREGATE(14,6,(Inventory!$G$6:$G$205+(205-ROW(Inventory!$G$6:$G$205))/10000)/(Inventory!$G$6:$G$205&gt;0),87),"")="","",INDEX(Inventory!$I$6:$I$205,IFERROR(MATCH(IFERROR(AGGREGATE(14,6,(Inventory!$G$6:$G$205+(205-ROW(Inventory!$G$6:$G$205))/10000)/(Inventory!$G$6:$G$205&gt;0),87),""),(Inventory!$G$6:$G$205+(205-ROW(Inventory!$G$6:$G$205))/10000),0),""))),"")</f>
        <v/>
      </c>
      <c r="I94" s="43">
        <f>IFERROR(IF(IFERROR(AGGREGATE(14,6,(Inventory!$G$6:$G$205+(205-ROW(Inventory!$G$6:$G$205))/10000)/(Inventory!$G$6:$G$205&gt;0),87),"")="","",INDEX(Inventory!$K$6:$K$205,IFERROR(MATCH(IFERROR(AGGREGATE(14,6,(Inventory!$G$6:$G$205+(205-ROW(Inventory!$G$6:$G$205))/10000)/(Inventory!$G$6:$G$205&gt;0),87),""),(Inventory!$G$6:$G$205+(205-ROW(Inventory!$G$6:$G$205))/10000),0),""))),"")</f>
        <v/>
      </c>
    </row>
    <row r="95" ht="16" customHeight="1">
      <c r="A95" s="46">
        <f>IFERROR(IF(IFERROR(AGGREGATE(14,6,(Inventory!$G$6:$G$205+(205-ROW(Inventory!$G$6:$G$205))/10000)/(Inventory!$G$6:$G$205&gt;0),88),"")="","",INDEX(Inventory!$A$6:$A$205,IFERROR(MATCH(IFERROR(AGGREGATE(14,6,(Inventory!$G$6:$G$205+(205-ROW(Inventory!$G$6:$G$205))/10000)/(Inventory!$G$6:$G$205&gt;0),88),""),(Inventory!$G$6:$G$205+(205-ROW(Inventory!$G$6:$G$205))/10000),0),""))),"")</f>
        <v/>
      </c>
      <c r="B95" s="46">
        <f>IFERROR(IF(IFERROR(AGGREGATE(14,6,(Inventory!$G$6:$G$205+(205-ROW(Inventory!$G$6:$G$205))/10000)/(Inventory!$G$6:$G$205&gt;0),88),"")="","",INDEX(Inventory!$B$6:$B$205,IFERROR(MATCH(IFERROR(AGGREGATE(14,6,(Inventory!$G$6:$G$205+(205-ROW(Inventory!$G$6:$G$205))/10000)/(Inventory!$G$6:$G$205&gt;0),88),""),(Inventory!$G$6:$G$205+(205-ROW(Inventory!$G$6:$G$205))/10000),0),""))),"")</f>
        <v/>
      </c>
      <c r="C95" s="46">
        <f>IFERROR(IF(IFERROR(AGGREGATE(14,6,(Inventory!$G$6:$G$205+(205-ROW(Inventory!$G$6:$G$205))/10000)/(Inventory!$G$6:$G$205&gt;0),88),"")="","",INDEX(Inventory!$D$6:$D$205,IFERROR(MATCH(IFERROR(AGGREGATE(14,6,(Inventory!$G$6:$G$205+(205-ROW(Inventory!$G$6:$G$205))/10000)/(Inventory!$G$6:$G$205&gt;0),88),""),(Inventory!$G$6:$G$205+(205-ROW(Inventory!$G$6:$G$205))/10000),0),""))),"")</f>
        <v/>
      </c>
      <c r="D95" s="46">
        <f>IFERROR(IF(IFERROR(AGGREGATE(14,6,(Inventory!$G$6:$G$205+(205-ROW(Inventory!$G$6:$G$205))/10000)/(Inventory!$G$6:$G$205&gt;0),88),"")="","",INDEX(Inventory!$H$6:$H$205,IFERROR(MATCH(IFERROR(AGGREGATE(14,6,(Inventory!$G$6:$G$205+(205-ROW(Inventory!$G$6:$G$205))/10000)/(Inventory!$G$6:$G$205&gt;0),88),""),(Inventory!$G$6:$G$205+(205-ROW(Inventory!$G$6:$G$205))/10000),0),""))),"")</f>
        <v/>
      </c>
      <c r="E95" s="41">
        <f>IFERROR(IF(IFERROR(AGGREGATE(14,6,(Inventory!$G$6:$G$205+(205-ROW(Inventory!$G$6:$G$205))/10000)/(Inventory!$G$6:$G$205&gt;0),88),"")="","",INDEX(Inventory!$E$6:$E$205,IFERROR(MATCH(IFERROR(AGGREGATE(14,6,(Inventory!$G$6:$G$205+(205-ROW(Inventory!$G$6:$G$205))/10000)/(Inventory!$G$6:$G$205&gt;0),88),""),(Inventory!$G$6:$G$205+(205-ROW(Inventory!$G$6:$G$205))/10000),0),""))),"")</f>
        <v/>
      </c>
      <c r="F95" s="41">
        <f>IFERROR(IF(IFERROR(AGGREGATE(14,6,(Inventory!$G$6:$G$205+(205-ROW(Inventory!$G$6:$G$205))/10000)/(Inventory!$G$6:$G$205&gt;0),88),"")="","",INDEX(Inventory!$F$6:$F$205,IFERROR(MATCH(IFERROR(AGGREGATE(14,6,(Inventory!$G$6:$G$205+(205-ROW(Inventory!$G$6:$G$205))/10000)/(Inventory!$G$6:$G$205&gt;0),88),""),(Inventory!$G$6:$G$205+(205-ROW(Inventory!$G$6:$G$205))/10000),0),""))),"")</f>
        <v/>
      </c>
      <c r="G95" s="41">
        <f>IFERROR(IF(IFERROR(AGGREGATE(14,6,(Inventory!$G$6:$G$205+(205-ROW(Inventory!$G$6:$G$205))/10000)/(Inventory!$G$6:$G$205&gt;0),88),"")="","",INDEX(Inventory!$G$6:$G$205,IFERROR(MATCH(IFERROR(AGGREGATE(14,6,(Inventory!$G$6:$G$205+(205-ROW(Inventory!$G$6:$G$205))/10000)/(Inventory!$G$6:$G$205&gt;0),88),""),(Inventory!$G$6:$G$205+(205-ROW(Inventory!$G$6:$G$205))/10000),0),""))),"")</f>
        <v/>
      </c>
      <c r="H95" s="43">
        <f>IFERROR(IF(IFERROR(AGGREGATE(14,6,(Inventory!$G$6:$G$205+(205-ROW(Inventory!$G$6:$G$205))/10000)/(Inventory!$G$6:$G$205&gt;0),88),"")="","",INDEX(Inventory!$I$6:$I$205,IFERROR(MATCH(IFERROR(AGGREGATE(14,6,(Inventory!$G$6:$G$205+(205-ROW(Inventory!$G$6:$G$205))/10000)/(Inventory!$G$6:$G$205&gt;0),88),""),(Inventory!$G$6:$G$205+(205-ROW(Inventory!$G$6:$G$205))/10000),0),""))),"")</f>
        <v/>
      </c>
      <c r="I95" s="43">
        <f>IFERROR(IF(IFERROR(AGGREGATE(14,6,(Inventory!$G$6:$G$205+(205-ROW(Inventory!$G$6:$G$205))/10000)/(Inventory!$G$6:$G$205&gt;0),88),"")="","",INDEX(Inventory!$K$6:$K$205,IFERROR(MATCH(IFERROR(AGGREGATE(14,6,(Inventory!$G$6:$G$205+(205-ROW(Inventory!$G$6:$G$205))/10000)/(Inventory!$G$6:$G$205&gt;0),88),""),(Inventory!$G$6:$G$205+(205-ROW(Inventory!$G$6:$G$205))/10000),0),""))),"")</f>
        <v/>
      </c>
    </row>
    <row r="96" ht="16" customHeight="1">
      <c r="A96" s="46">
        <f>IFERROR(IF(IFERROR(AGGREGATE(14,6,(Inventory!$G$6:$G$205+(205-ROW(Inventory!$G$6:$G$205))/10000)/(Inventory!$G$6:$G$205&gt;0),89),"")="","",INDEX(Inventory!$A$6:$A$205,IFERROR(MATCH(IFERROR(AGGREGATE(14,6,(Inventory!$G$6:$G$205+(205-ROW(Inventory!$G$6:$G$205))/10000)/(Inventory!$G$6:$G$205&gt;0),89),""),(Inventory!$G$6:$G$205+(205-ROW(Inventory!$G$6:$G$205))/10000),0),""))),"")</f>
        <v/>
      </c>
      <c r="B96" s="46">
        <f>IFERROR(IF(IFERROR(AGGREGATE(14,6,(Inventory!$G$6:$G$205+(205-ROW(Inventory!$G$6:$G$205))/10000)/(Inventory!$G$6:$G$205&gt;0),89),"")="","",INDEX(Inventory!$B$6:$B$205,IFERROR(MATCH(IFERROR(AGGREGATE(14,6,(Inventory!$G$6:$G$205+(205-ROW(Inventory!$G$6:$G$205))/10000)/(Inventory!$G$6:$G$205&gt;0),89),""),(Inventory!$G$6:$G$205+(205-ROW(Inventory!$G$6:$G$205))/10000),0),""))),"")</f>
        <v/>
      </c>
      <c r="C96" s="46">
        <f>IFERROR(IF(IFERROR(AGGREGATE(14,6,(Inventory!$G$6:$G$205+(205-ROW(Inventory!$G$6:$G$205))/10000)/(Inventory!$G$6:$G$205&gt;0),89),"")="","",INDEX(Inventory!$D$6:$D$205,IFERROR(MATCH(IFERROR(AGGREGATE(14,6,(Inventory!$G$6:$G$205+(205-ROW(Inventory!$G$6:$G$205))/10000)/(Inventory!$G$6:$G$205&gt;0),89),""),(Inventory!$G$6:$G$205+(205-ROW(Inventory!$G$6:$G$205))/10000),0),""))),"")</f>
        <v/>
      </c>
      <c r="D96" s="46">
        <f>IFERROR(IF(IFERROR(AGGREGATE(14,6,(Inventory!$G$6:$G$205+(205-ROW(Inventory!$G$6:$G$205))/10000)/(Inventory!$G$6:$G$205&gt;0),89),"")="","",INDEX(Inventory!$H$6:$H$205,IFERROR(MATCH(IFERROR(AGGREGATE(14,6,(Inventory!$G$6:$G$205+(205-ROW(Inventory!$G$6:$G$205))/10000)/(Inventory!$G$6:$G$205&gt;0),89),""),(Inventory!$G$6:$G$205+(205-ROW(Inventory!$G$6:$G$205))/10000),0),""))),"")</f>
        <v/>
      </c>
      <c r="E96" s="41">
        <f>IFERROR(IF(IFERROR(AGGREGATE(14,6,(Inventory!$G$6:$G$205+(205-ROW(Inventory!$G$6:$G$205))/10000)/(Inventory!$G$6:$G$205&gt;0),89),"")="","",INDEX(Inventory!$E$6:$E$205,IFERROR(MATCH(IFERROR(AGGREGATE(14,6,(Inventory!$G$6:$G$205+(205-ROW(Inventory!$G$6:$G$205))/10000)/(Inventory!$G$6:$G$205&gt;0),89),""),(Inventory!$G$6:$G$205+(205-ROW(Inventory!$G$6:$G$205))/10000),0),""))),"")</f>
        <v/>
      </c>
      <c r="F96" s="41">
        <f>IFERROR(IF(IFERROR(AGGREGATE(14,6,(Inventory!$G$6:$G$205+(205-ROW(Inventory!$G$6:$G$205))/10000)/(Inventory!$G$6:$G$205&gt;0),89),"")="","",INDEX(Inventory!$F$6:$F$205,IFERROR(MATCH(IFERROR(AGGREGATE(14,6,(Inventory!$G$6:$G$205+(205-ROW(Inventory!$G$6:$G$205))/10000)/(Inventory!$G$6:$G$205&gt;0),89),""),(Inventory!$G$6:$G$205+(205-ROW(Inventory!$G$6:$G$205))/10000),0),""))),"")</f>
        <v/>
      </c>
      <c r="G96" s="41">
        <f>IFERROR(IF(IFERROR(AGGREGATE(14,6,(Inventory!$G$6:$G$205+(205-ROW(Inventory!$G$6:$G$205))/10000)/(Inventory!$G$6:$G$205&gt;0),89),"")="","",INDEX(Inventory!$G$6:$G$205,IFERROR(MATCH(IFERROR(AGGREGATE(14,6,(Inventory!$G$6:$G$205+(205-ROW(Inventory!$G$6:$G$205))/10000)/(Inventory!$G$6:$G$205&gt;0),89),""),(Inventory!$G$6:$G$205+(205-ROW(Inventory!$G$6:$G$205))/10000),0),""))),"")</f>
        <v/>
      </c>
      <c r="H96" s="43">
        <f>IFERROR(IF(IFERROR(AGGREGATE(14,6,(Inventory!$G$6:$G$205+(205-ROW(Inventory!$G$6:$G$205))/10000)/(Inventory!$G$6:$G$205&gt;0),89),"")="","",INDEX(Inventory!$I$6:$I$205,IFERROR(MATCH(IFERROR(AGGREGATE(14,6,(Inventory!$G$6:$G$205+(205-ROW(Inventory!$G$6:$G$205))/10000)/(Inventory!$G$6:$G$205&gt;0),89),""),(Inventory!$G$6:$G$205+(205-ROW(Inventory!$G$6:$G$205))/10000),0),""))),"")</f>
        <v/>
      </c>
      <c r="I96" s="43">
        <f>IFERROR(IF(IFERROR(AGGREGATE(14,6,(Inventory!$G$6:$G$205+(205-ROW(Inventory!$G$6:$G$205))/10000)/(Inventory!$G$6:$G$205&gt;0),89),"")="","",INDEX(Inventory!$K$6:$K$205,IFERROR(MATCH(IFERROR(AGGREGATE(14,6,(Inventory!$G$6:$G$205+(205-ROW(Inventory!$G$6:$G$205))/10000)/(Inventory!$G$6:$G$205&gt;0),89),""),(Inventory!$G$6:$G$205+(205-ROW(Inventory!$G$6:$G$205))/10000),0),""))),"")</f>
        <v/>
      </c>
    </row>
    <row r="97" ht="16" customHeight="1">
      <c r="A97" s="46">
        <f>IFERROR(IF(IFERROR(AGGREGATE(14,6,(Inventory!$G$6:$G$205+(205-ROW(Inventory!$G$6:$G$205))/10000)/(Inventory!$G$6:$G$205&gt;0),90),"")="","",INDEX(Inventory!$A$6:$A$205,IFERROR(MATCH(IFERROR(AGGREGATE(14,6,(Inventory!$G$6:$G$205+(205-ROW(Inventory!$G$6:$G$205))/10000)/(Inventory!$G$6:$G$205&gt;0),90),""),(Inventory!$G$6:$G$205+(205-ROW(Inventory!$G$6:$G$205))/10000),0),""))),"")</f>
        <v/>
      </c>
      <c r="B97" s="46">
        <f>IFERROR(IF(IFERROR(AGGREGATE(14,6,(Inventory!$G$6:$G$205+(205-ROW(Inventory!$G$6:$G$205))/10000)/(Inventory!$G$6:$G$205&gt;0),90),"")="","",INDEX(Inventory!$B$6:$B$205,IFERROR(MATCH(IFERROR(AGGREGATE(14,6,(Inventory!$G$6:$G$205+(205-ROW(Inventory!$G$6:$G$205))/10000)/(Inventory!$G$6:$G$205&gt;0),90),""),(Inventory!$G$6:$G$205+(205-ROW(Inventory!$G$6:$G$205))/10000),0),""))),"")</f>
        <v/>
      </c>
      <c r="C97" s="46">
        <f>IFERROR(IF(IFERROR(AGGREGATE(14,6,(Inventory!$G$6:$G$205+(205-ROW(Inventory!$G$6:$G$205))/10000)/(Inventory!$G$6:$G$205&gt;0),90),"")="","",INDEX(Inventory!$D$6:$D$205,IFERROR(MATCH(IFERROR(AGGREGATE(14,6,(Inventory!$G$6:$G$205+(205-ROW(Inventory!$G$6:$G$205))/10000)/(Inventory!$G$6:$G$205&gt;0),90),""),(Inventory!$G$6:$G$205+(205-ROW(Inventory!$G$6:$G$205))/10000),0),""))),"")</f>
        <v/>
      </c>
      <c r="D97" s="46">
        <f>IFERROR(IF(IFERROR(AGGREGATE(14,6,(Inventory!$G$6:$G$205+(205-ROW(Inventory!$G$6:$G$205))/10000)/(Inventory!$G$6:$G$205&gt;0),90),"")="","",INDEX(Inventory!$H$6:$H$205,IFERROR(MATCH(IFERROR(AGGREGATE(14,6,(Inventory!$G$6:$G$205+(205-ROW(Inventory!$G$6:$G$205))/10000)/(Inventory!$G$6:$G$205&gt;0),90),""),(Inventory!$G$6:$G$205+(205-ROW(Inventory!$G$6:$G$205))/10000),0),""))),"")</f>
        <v/>
      </c>
      <c r="E97" s="41">
        <f>IFERROR(IF(IFERROR(AGGREGATE(14,6,(Inventory!$G$6:$G$205+(205-ROW(Inventory!$G$6:$G$205))/10000)/(Inventory!$G$6:$G$205&gt;0),90),"")="","",INDEX(Inventory!$E$6:$E$205,IFERROR(MATCH(IFERROR(AGGREGATE(14,6,(Inventory!$G$6:$G$205+(205-ROW(Inventory!$G$6:$G$205))/10000)/(Inventory!$G$6:$G$205&gt;0),90),""),(Inventory!$G$6:$G$205+(205-ROW(Inventory!$G$6:$G$205))/10000),0),""))),"")</f>
        <v/>
      </c>
      <c r="F97" s="41">
        <f>IFERROR(IF(IFERROR(AGGREGATE(14,6,(Inventory!$G$6:$G$205+(205-ROW(Inventory!$G$6:$G$205))/10000)/(Inventory!$G$6:$G$205&gt;0),90),"")="","",INDEX(Inventory!$F$6:$F$205,IFERROR(MATCH(IFERROR(AGGREGATE(14,6,(Inventory!$G$6:$G$205+(205-ROW(Inventory!$G$6:$G$205))/10000)/(Inventory!$G$6:$G$205&gt;0),90),""),(Inventory!$G$6:$G$205+(205-ROW(Inventory!$G$6:$G$205))/10000),0),""))),"")</f>
        <v/>
      </c>
      <c r="G97" s="41">
        <f>IFERROR(IF(IFERROR(AGGREGATE(14,6,(Inventory!$G$6:$G$205+(205-ROW(Inventory!$G$6:$G$205))/10000)/(Inventory!$G$6:$G$205&gt;0),90),"")="","",INDEX(Inventory!$G$6:$G$205,IFERROR(MATCH(IFERROR(AGGREGATE(14,6,(Inventory!$G$6:$G$205+(205-ROW(Inventory!$G$6:$G$205))/10000)/(Inventory!$G$6:$G$205&gt;0),90),""),(Inventory!$G$6:$G$205+(205-ROW(Inventory!$G$6:$G$205))/10000),0),""))),"")</f>
        <v/>
      </c>
      <c r="H97" s="43">
        <f>IFERROR(IF(IFERROR(AGGREGATE(14,6,(Inventory!$G$6:$G$205+(205-ROW(Inventory!$G$6:$G$205))/10000)/(Inventory!$G$6:$G$205&gt;0),90),"")="","",INDEX(Inventory!$I$6:$I$205,IFERROR(MATCH(IFERROR(AGGREGATE(14,6,(Inventory!$G$6:$G$205+(205-ROW(Inventory!$G$6:$G$205))/10000)/(Inventory!$G$6:$G$205&gt;0),90),""),(Inventory!$G$6:$G$205+(205-ROW(Inventory!$G$6:$G$205))/10000),0),""))),"")</f>
        <v/>
      </c>
      <c r="I97" s="43">
        <f>IFERROR(IF(IFERROR(AGGREGATE(14,6,(Inventory!$G$6:$G$205+(205-ROW(Inventory!$G$6:$G$205))/10000)/(Inventory!$G$6:$G$205&gt;0),90),"")="","",INDEX(Inventory!$K$6:$K$205,IFERROR(MATCH(IFERROR(AGGREGATE(14,6,(Inventory!$G$6:$G$205+(205-ROW(Inventory!$G$6:$G$205))/10000)/(Inventory!$G$6:$G$205&gt;0),90),""),(Inventory!$G$6:$G$205+(205-ROW(Inventory!$G$6:$G$205))/10000),0),""))),"")</f>
        <v/>
      </c>
    </row>
    <row r="98" ht="16" customHeight="1">
      <c r="A98" s="46">
        <f>IFERROR(IF(IFERROR(AGGREGATE(14,6,(Inventory!$G$6:$G$205+(205-ROW(Inventory!$G$6:$G$205))/10000)/(Inventory!$G$6:$G$205&gt;0),91),"")="","",INDEX(Inventory!$A$6:$A$205,IFERROR(MATCH(IFERROR(AGGREGATE(14,6,(Inventory!$G$6:$G$205+(205-ROW(Inventory!$G$6:$G$205))/10000)/(Inventory!$G$6:$G$205&gt;0),91),""),(Inventory!$G$6:$G$205+(205-ROW(Inventory!$G$6:$G$205))/10000),0),""))),"")</f>
        <v/>
      </c>
      <c r="B98" s="46">
        <f>IFERROR(IF(IFERROR(AGGREGATE(14,6,(Inventory!$G$6:$G$205+(205-ROW(Inventory!$G$6:$G$205))/10000)/(Inventory!$G$6:$G$205&gt;0),91),"")="","",INDEX(Inventory!$B$6:$B$205,IFERROR(MATCH(IFERROR(AGGREGATE(14,6,(Inventory!$G$6:$G$205+(205-ROW(Inventory!$G$6:$G$205))/10000)/(Inventory!$G$6:$G$205&gt;0),91),""),(Inventory!$G$6:$G$205+(205-ROW(Inventory!$G$6:$G$205))/10000),0),""))),"")</f>
        <v/>
      </c>
      <c r="C98" s="46">
        <f>IFERROR(IF(IFERROR(AGGREGATE(14,6,(Inventory!$G$6:$G$205+(205-ROW(Inventory!$G$6:$G$205))/10000)/(Inventory!$G$6:$G$205&gt;0),91),"")="","",INDEX(Inventory!$D$6:$D$205,IFERROR(MATCH(IFERROR(AGGREGATE(14,6,(Inventory!$G$6:$G$205+(205-ROW(Inventory!$G$6:$G$205))/10000)/(Inventory!$G$6:$G$205&gt;0),91),""),(Inventory!$G$6:$G$205+(205-ROW(Inventory!$G$6:$G$205))/10000),0),""))),"")</f>
        <v/>
      </c>
      <c r="D98" s="46">
        <f>IFERROR(IF(IFERROR(AGGREGATE(14,6,(Inventory!$G$6:$G$205+(205-ROW(Inventory!$G$6:$G$205))/10000)/(Inventory!$G$6:$G$205&gt;0),91),"")="","",INDEX(Inventory!$H$6:$H$205,IFERROR(MATCH(IFERROR(AGGREGATE(14,6,(Inventory!$G$6:$G$205+(205-ROW(Inventory!$G$6:$G$205))/10000)/(Inventory!$G$6:$G$205&gt;0),91),""),(Inventory!$G$6:$G$205+(205-ROW(Inventory!$G$6:$G$205))/10000),0),""))),"")</f>
        <v/>
      </c>
      <c r="E98" s="41">
        <f>IFERROR(IF(IFERROR(AGGREGATE(14,6,(Inventory!$G$6:$G$205+(205-ROW(Inventory!$G$6:$G$205))/10000)/(Inventory!$G$6:$G$205&gt;0),91),"")="","",INDEX(Inventory!$E$6:$E$205,IFERROR(MATCH(IFERROR(AGGREGATE(14,6,(Inventory!$G$6:$G$205+(205-ROW(Inventory!$G$6:$G$205))/10000)/(Inventory!$G$6:$G$205&gt;0),91),""),(Inventory!$G$6:$G$205+(205-ROW(Inventory!$G$6:$G$205))/10000),0),""))),"")</f>
        <v/>
      </c>
      <c r="F98" s="41">
        <f>IFERROR(IF(IFERROR(AGGREGATE(14,6,(Inventory!$G$6:$G$205+(205-ROW(Inventory!$G$6:$G$205))/10000)/(Inventory!$G$6:$G$205&gt;0),91),"")="","",INDEX(Inventory!$F$6:$F$205,IFERROR(MATCH(IFERROR(AGGREGATE(14,6,(Inventory!$G$6:$G$205+(205-ROW(Inventory!$G$6:$G$205))/10000)/(Inventory!$G$6:$G$205&gt;0),91),""),(Inventory!$G$6:$G$205+(205-ROW(Inventory!$G$6:$G$205))/10000),0),""))),"")</f>
        <v/>
      </c>
      <c r="G98" s="41">
        <f>IFERROR(IF(IFERROR(AGGREGATE(14,6,(Inventory!$G$6:$G$205+(205-ROW(Inventory!$G$6:$G$205))/10000)/(Inventory!$G$6:$G$205&gt;0),91),"")="","",INDEX(Inventory!$G$6:$G$205,IFERROR(MATCH(IFERROR(AGGREGATE(14,6,(Inventory!$G$6:$G$205+(205-ROW(Inventory!$G$6:$G$205))/10000)/(Inventory!$G$6:$G$205&gt;0),91),""),(Inventory!$G$6:$G$205+(205-ROW(Inventory!$G$6:$G$205))/10000),0),""))),"")</f>
        <v/>
      </c>
      <c r="H98" s="43">
        <f>IFERROR(IF(IFERROR(AGGREGATE(14,6,(Inventory!$G$6:$G$205+(205-ROW(Inventory!$G$6:$G$205))/10000)/(Inventory!$G$6:$G$205&gt;0),91),"")="","",INDEX(Inventory!$I$6:$I$205,IFERROR(MATCH(IFERROR(AGGREGATE(14,6,(Inventory!$G$6:$G$205+(205-ROW(Inventory!$G$6:$G$205))/10000)/(Inventory!$G$6:$G$205&gt;0),91),""),(Inventory!$G$6:$G$205+(205-ROW(Inventory!$G$6:$G$205))/10000),0),""))),"")</f>
        <v/>
      </c>
      <c r="I98" s="43">
        <f>IFERROR(IF(IFERROR(AGGREGATE(14,6,(Inventory!$G$6:$G$205+(205-ROW(Inventory!$G$6:$G$205))/10000)/(Inventory!$G$6:$G$205&gt;0),91),"")="","",INDEX(Inventory!$K$6:$K$205,IFERROR(MATCH(IFERROR(AGGREGATE(14,6,(Inventory!$G$6:$G$205+(205-ROW(Inventory!$G$6:$G$205))/10000)/(Inventory!$G$6:$G$205&gt;0),91),""),(Inventory!$G$6:$G$205+(205-ROW(Inventory!$G$6:$G$205))/10000),0),""))),"")</f>
        <v/>
      </c>
    </row>
    <row r="99" ht="16" customHeight="1">
      <c r="A99" s="46">
        <f>IFERROR(IF(IFERROR(AGGREGATE(14,6,(Inventory!$G$6:$G$205+(205-ROW(Inventory!$G$6:$G$205))/10000)/(Inventory!$G$6:$G$205&gt;0),92),"")="","",INDEX(Inventory!$A$6:$A$205,IFERROR(MATCH(IFERROR(AGGREGATE(14,6,(Inventory!$G$6:$G$205+(205-ROW(Inventory!$G$6:$G$205))/10000)/(Inventory!$G$6:$G$205&gt;0),92),""),(Inventory!$G$6:$G$205+(205-ROW(Inventory!$G$6:$G$205))/10000),0),""))),"")</f>
        <v/>
      </c>
      <c r="B99" s="46">
        <f>IFERROR(IF(IFERROR(AGGREGATE(14,6,(Inventory!$G$6:$G$205+(205-ROW(Inventory!$G$6:$G$205))/10000)/(Inventory!$G$6:$G$205&gt;0),92),"")="","",INDEX(Inventory!$B$6:$B$205,IFERROR(MATCH(IFERROR(AGGREGATE(14,6,(Inventory!$G$6:$G$205+(205-ROW(Inventory!$G$6:$G$205))/10000)/(Inventory!$G$6:$G$205&gt;0),92),""),(Inventory!$G$6:$G$205+(205-ROW(Inventory!$G$6:$G$205))/10000),0),""))),"")</f>
        <v/>
      </c>
      <c r="C99" s="46">
        <f>IFERROR(IF(IFERROR(AGGREGATE(14,6,(Inventory!$G$6:$G$205+(205-ROW(Inventory!$G$6:$G$205))/10000)/(Inventory!$G$6:$G$205&gt;0),92),"")="","",INDEX(Inventory!$D$6:$D$205,IFERROR(MATCH(IFERROR(AGGREGATE(14,6,(Inventory!$G$6:$G$205+(205-ROW(Inventory!$G$6:$G$205))/10000)/(Inventory!$G$6:$G$205&gt;0),92),""),(Inventory!$G$6:$G$205+(205-ROW(Inventory!$G$6:$G$205))/10000),0),""))),"")</f>
        <v/>
      </c>
      <c r="D99" s="46">
        <f>IFERROR(IF(IFERROR(AGGREGATE(14,6,(Inventory!$G$6:$G$205+(205-ROW(Inventory!$G$6:$G$205))/10000)/(Inventory!$G$6:$G$205&gt;0),92),"")="","",INDEX(Inventory!$H$6:$H$205,IFERROR(MATCH(IFERROR(AGGREGATE(14,6,(Inventory!$G$6:$G$205+(205-ROW(Inventory!$G$6:$G$205))/10000)/(Inventory!$G$6:$G$205&gt;0),92),""),(Inventory!$G$6:$G$205+(205-ROW(Inventory!$G$6:$G$205))/10000),0),""))),"")</f>
        <v/>
      </c>
      <c r="E99" s="41">
        <f>IFERROR(IF(IFERROR(AGGREGATE(14,6,(Inventory!$G$6:$G$205+(205-ROW(Inventory!$G$6:$G$205))/10000)/(Inventory!$G$6:$G$205&gt;0),92),"")="","",INDEX(Inventory!$E$6:$E$205,IFERROR(MATCH(IFERROR(AGGREGATE(14,6,(Inventory!$G$6:$G$205+(205-ROW(Inventory!$G$6:$G$205))/10000)/(Inventory!$G$6:$G$205&gt;0),92),""),(Inventory!$G$6:$G$205+(205-ROW(Inventory!$G$6:$G$205))/10000),0),""))),"")</f>
        <v/>
      </c>
      <c r="F99" s="41">
        <f>IFERROR(IF(IFERROR(AGGREGATE(14,6,(Inventory!$G$6:$G$205+(205-ROW(Inventory!$G$6:$G$205))/10000)/(Inventory!$G$6:$G$205&gt;0),92),"")="","",INDEX(Inventory!$F$6:$F$205,IFERROR(MATCH(IFERROR(AGGREGATE(14,6,(Inventory!$G$6:$G$205+(205-ROW(Inventory!$G$6:$G$205))/10000)/(Inventory!$G$6:$G$205&gt;0),92),""),(Inventory!$G$6:$G$205+(205-ROW(Inventory!$G$6:$G$205))/10000),0),""))),"")</f>
        <v/>
      </c>
      <c r="G99" s="41">
        <f>IFERROR(IF(IFERROR(AGGREGATE(14,6,(Inventory!$G$6:$G$205+(205-ROW(Inventory!$G$6:$G$205))/10000)/(Inventory!$G$6:$G$205&gt;0),92),"")="","",INDEX(Inventory!$G$6:$G$205,IFERROR(MATCH(IFERROR(AGGREGATE(14,6,(Inventory!$G$6:$G$205+(205-ROW(Inventory!$G$6:$G$205))/10000)/(Inventory!$G$6:$G$205&gt;0),92),""),(Inventory!$G$6:$G$205+(205-ROW(Inventory!$G$6:$G$205))/10000),0),""))),"")</f>
        <v/>
      </c>
      <c r="H99" s="43">
        <f>IFERROR(IF(IFERROR(AGGREGATE(14,6,(Inventory!$G$6:$G$205+(205-ROW(Inventory!$G$6:$G$205))/10000)/(Inventory!$G$6:$G$205&gt;0),92),"")="","",INDEX(Inventory!$I$6:$I$205,IFERROR(MATCH(IFERROR(AGGREGATE(14,6,(Inventory!$G$6:$G$205+(205-ROW(Inventory!$G$6:$G$205))/10000)/(Inventory!$G$6:$G$205&gt;0),92),""),(Inventory!$G$6:$G$205+(205-ROW(Inventory!$G$6:$G$205))/10000),0),""))),"")</f>
        <v/>
      </c>
      <c r="I99" s="43">
        <f>IFERROR(IF(IFERROR(AGGREGATE(14,6,(Inventory!$G$6:$G$205+(205-ROW(Inventory!$G$6:$G$205))/10000)/(Inventory!$G$6:$G$205&gt;0),92),"")="","",INDEX(Inventory!$K$6:$K$205,IFERROR(MATCH(IFERROR(AGGREGATE(14,6,(Inventory!$G$6:$G$205+(205-ROW(Inventory!$G$6:$G$205))/10000)/(Inventory!$G$6:$G$205&gt;0),92),""),(Inventory!$G$6:$G$205+(205-ROW(Inventory!$G$6:$G$205))/10000),0),""))),"")</f>
        <v/>
      </c>
    </row>
    <row r="100" ht="16" customHeight="1">
      <c r="A100" s="46">
        <f>IFERROR(IF(IFERROR(AGGREGATE(14,6,(Inventory!$G$6:$G$205+(205-ROW(Inventory!$G$6:$G$205))/10000)/(Inventory!$G$6:$G$205&gt;0),93),"")="","",INDEX(Inventory!$A$6:$A$205,IFERROR(MATCH(IFERROR(AGGREGATE(14,6,(Inventory!$G$6:$G$205+(205-ROW(Inventory!$G$6:$G$205))/10000)/(Inventory!$G$6:$G$205&gt;0),93),""),(Inventory!$G$6:$G$205+(205-ROW(Inventory!$G$6:$G$205))/10000),0),""))),"")</f>
        <v/>
      </c>
      <c r="B100" s="46">
        <f>IFERROR(IF(IFERROR(AGGREGATE(14,6,(Inventory!$G$6:$G$205+(205-ROW(Inventory!$G$6:$G$205))/10000)/(Inventory!$G$6:$G$205&gt;0),93),"")="","",INDEX(Inventory!$B$6:$B$205,IFERROR(MATCH(IFERROR(AGGREGATE(14,6,(Inventory!$G$6:$G$205+(205-ROW(Inventory!$G$6:$G$205))/10000)/(Inventory!$G$6:$G$205&gt;0),93),""),(Inventory!$G$6:$G$205+(205-ROW(Inventory!$G$6:$G$205))/10000),0),""))),"")</f>
        <v/>
      </c>
      <c r="C100" s="46">
        <f>IFERROR(IF(IFERROR(AGGREGATE(14,6,(Inventory!$G$6:$G$205+(205-ROW(Inventory!$G$6:$G$205))/10000)/(Inventory!$G$6:$G$205&gt;0),93),"")="","",INDEX(Inventory!$D$6:$D$205,IFERROR(MATCH(IFERROR(AGGREGATE(14,6,(Inventory!$G$6:$G$205+(205-ROW(Inventory!$G$6:$G$205))/10000)/(Inventory!$G$6:$G$205&gt;0),93),""),(Inventory!$G$6:$G$205+(205-ROW(Inventory!$G$6:$G$205))/10000),0),""))),"")</f>
        <v/>
      </c>
      <c r="D100" s="46">
        <f>IFERROR(IF(IFERROR(AGGREGATE(14,6,(Inventory!$G$6:$G$205+(205-ROW(Inventory!$G$6:$G$205))/10000)/(Inventory!$G$6:$G$205&gt;0),93),"")="","",INDEX(Inventory!$H$6:$H$205,IFERROR(MATCH(IFERROR(AGGREGATE(14,6,(Inventory!$G$6:$G$205+(205-ROW(Inventory!$G$6:$G$205))/10000)/(Inventory!$G$6:$G$205&gt;0),93),""),(Inventory!$G$6:$G$205+(205-ROW(Inventory!$G$6:$G$205))/10000),0),""))),"")</f>
        <v/>
      </c>
      <c r="E100" s="41">
        <f>IFERROR(IF(IFERROR(AGGREGATE(14,6,(Inventory!$G$6:$G$205+(205-ROW(Inventory!$G$6:$G$205))/10000)/(Inventory!$G$6:$G$205&gt;0),93),"")="","",INDEX(Inventory!$E$6:$E$205,IFERROR(MATCH(IFERROR(AGGREGATE(14,6,(Inventory!$G$6:$G$205+(205-ROW(Inventory!$G$6:$G$205))/10000)/(Inventory!$G$6:$G$205&gt;0),93),""),(Inventory!$G$6:$G$205+(205-ROW(Inventory!$G$6:$G$205))/10000),0),""))),"")</f>
        <v/>
      </c>
      <c r="F100" s="41">
        <f>IFERROR(IF(IFERROR(AGGREGATE(14,6,(Inventory!$G$6:$G$205+(205-ROW(Inventory!$G$6:$G$205))/10000)/(Inventory!$G$6:$G$205&gt;0),93),"")="","",INDEX(Inventory!$F$6:$F$205,IFERROR(MATCH(IFERROR(AGGREGATE(14,6,(Inventory!$G$6:$G$205+(205-ROW(Inventory!$G$6:$G$205))/10000)/(Inventory!$G$6:$G$205&gt;0),93),""),(Inventory!$G$6:$G$205+(205-ROW(Inventory!$G$6:$G$205))/10000),0),""))),"")</f>
        <v/>
      </c>
      <c r="G100" s="41">
        <f>IFERROR(IF(IFERROR(AGGREGATE(14,6,(Inventory!$G$6:$G$205+(205-ROW(Inventory!$G$6:$G$205))/10000)/(Inventory!$G$6:$G$205&gt;0),93),"")="","",INDEX(Inventory!$G$6:$G$205,IFERROR(MATCH(IFERROR(AGGREGATE(14,6,(Inventory!$G$6:$G$205+(205-ROW(Inventory!$G$6:$G$205))/10000)/(Inventory!$G$6:$G$205&gt;0),93),""),(Inventory!$G$6:$G$205+(205-ROW(Inventory!$G$6:$G$205))/10000),0),""))),"")</f>
        <v/>
      </c>
      <c r="H100" s="43">
        <f>IFERROR(IF(IFERROR(AGGREGATE(14,6,(Inventory!$G$6:$G$205+(205-ROW(Inventory!$G$6:$G$205))/10000)/(Inventory!$G$6:$G$205&gt;0),93),"")="","",INDEX(Inventory!$I$6:$I$205,IFERROR(MATCH(IFERROR(AGGREGATE(14,6,(Inventory!$G$6:$G$205+(205-ROW(Inventory!$G$6:$G$205))/10000)/(Inventory!$G$6:$G$205&gt;0),93),""),(Inventory!$G$6:$G$205+(205-ROW(Inventory!$G$6:$G$205))/10000),0),""))),"")</f>
        <v/>
      </c>
      <c r="I100" s="43">
        <f>IFERROR(IF(IFERROR(AGGREGATE(14,6,(Inventory!$G$6:$G$205+(205-ROW(Inventory!$G$6:$G$205))/10000)/(Inventory!$G$6:$G$205&gt;0),93),"")="","",INDEX(Inventory!$K$6:$K$205,IFERROR(MATCH(IFERROR(AGGREGATE(14,6,(Inventory!$G$6:$G$205+(205-ROW(Inventory!$G$6:$G$205))/10000)/(Inventory!$G$6:$G$205&gt;0),93),""),(Inventory!$G$6:$G$205+(205-ROW(Inventory!$G$6:$G$205))/10000),0),""))),"")</f>
        <v/>
      </c>
    </row>
    <row r="101" ht="16" customHeight="1">
      <c r="A101" s="46">
        <f>IFERROR(IF(IFERROR(AGGREGATE(14,6,(Inventory!$G$6:$G$205+(205-ROW(Inventory!$G$6:$G$205))/10000)/(Inventory!$G$6:$G$205&gt;0),94),"")="","",INDEX(Inventory!$A$6:$A$205,IFERROR(MATCH(IFERROR(AGGREGATE(14,6,(Inventory!$G$6:$G$205+(205-ROW(Inventory!$G$6:$G$205))/10000)/(Inventory!$G$6:$G$205&gt;0),94),""),(Inventory!$G$6:$G$205+(205-ROW(Inventory!$G$6:$G$205))/10000),0),""))),"")</f>
        <v/>
      </c>
      <c r="B101" s="46">
        <f>IFERROR(IF(IFERROR(AGGREGATE(14,6,(Inventory!$G$6:$G$205+(205-ROW(Inventory!$G$6:$G$205))/10000)/(Inventory!$G$6:$G$205&gt;0),94),"")="","",INDEX(Inventory!$B$6:$B$205,IFERROR(MATCH(IFERROR(AGGREGATE(14,6,(Inventory!$G$6:$G$205+(205-ROW(Inventory!$G$6:$G$205))/10000)/(Inventory!$G$6:$G$205&gt;0),94),""),(Inventory!$G$6:$G$205+(205-ROW(Inventory!$G$6:$G$205))/10000),0),""))),"")</f>
        <v/>
      </c>
      <c r="C101" s="46">
        <f>IFERROR(IF(IFERROR(AGGREGATE(14,6,(Inventory!$G$6:$G$205+(205-ROW(Inventory!$G$6:$G$205))/10000)/(Inventory!$G$6:$G$205&gt;0),94),"")="","",INDEX(Inventory!$D$6:$D$205,IFERROR(MATCH(IFERROR(AGGREGATE(14,6,(Inventory!$G$6:$G$205+(205-ROW(Inventory!$G$6:$G$205))/10000)/(Inventory!$G$6:$G$205&gt;0),94),""),(Inventory!$G$6:$G$205+(205-ROW(Inventory!$G$6:$G$205))/10000),0),""))),"")</f>
        <v/>
      </c>
      <c r="D101" s="46">
        <f>IFERROR(IF(IFERROR(AGGREGATE(14,6,(Inventory!$G$6:$G$205+(205-ROW(Inventory!$G$6:$G$205))/10000)/(Inventory!$G$6:$G$205&gt;0),94),"")="","",INDEX(Inventory!$H$6:$H$205,IFERROR(MATCH(IFERROR(AGGREGATE(14,6,(Inventory!$G$6:$G$205+(205-ROW(Inventory!$G$6:$G$205))/10000)/(Inventory!$G$6:$G$205&gt;0),94),""),(Inventory!$G$6:$G$205+(205-ROW(Inventory!$G$6:$G$205))/10000),0),""))),"")</f>
        <v/>
      </c>
      <c r="E101" s="41">
        <f>IFERROR(IF(IFERROR(AGGREGATE(14,6,(Inventory!$G$6:$G$205+(205-ROW(Inventory!$G$6:$G$205))/10000)/(Inventory!$G$6:$G$205&gt;0),94),"")="","",INDEX(Inventory!$E$6:$E$205,IFERROR(MATCH(IFERROR(AGGREGATE(14,6,(Inventory!$G$6:$G$205+(205-ROW(Inventory!$G$6:$G$205))/10000)/(Inventory!$G$6:$G$205&gt;0),94),""),(Inventory!$G$6:$G$205+(205-ROW(Inventory!$G$6:$G$205))/10000),0),""))),"")</f>
        <v/>
      </c>
      <c r="F101" s="41">
        <f>IFERROR(IF(IFERROR(AGGREGATE(14,6,(Inventory!$G$6:$G$205+(205-ROW(Inventory!$G$6:$G$205))/10000)/(Inventory!$G$6:$G$205&gt;0),94),"")="","",INDEX(Inventory!$F$6:$F$205,IFERROR(MATCH(IFERROR(AGGREGATE(14,6,(Inventory!$G$6:$G$205+(205-ROW(Inventory!$G$6:$G$205))/10000)/(Inventory!$G$6:$G$205&gt;0),94),""),(Inventory!$G$6:$G$205+(205-ROW(Inventory!$G$6:$G$205))/10000),0),""))),"")</f>
        <v/>
      </c>
      <c r="G101" s="41">
        <f>IFERROR(IF(IFERROR(AGGREGATE(14,6,(Inventory!$G$6:$G$205+(205-ROW(Inventory!$G$6:$G$205))/10000)/(Inventory!$G$6:$G$205&gt;0),94),"")="","",INDEX(Inventory!$G$6:$G$205,IFERROR(MATCH(IFERROR(AGGREGATE(14,6,(Inventory!$G$6:$G$205+(205-ROW(Inventory!$G$6:$G$205))/10000)/(Inventory!$G$6:$G$205&gt;0),94),""),(Inventory!$G$6:$G$205+(205-ROW(Inventory!$G$6:$G$205))/10000),0),""))),"")</f>
        <v/>
      </c>
      <c r="H101" s="43">
        <f>IFERROR(IF(IFERROR(AGGREGATE(14,6,(Inventory!$G$6:$G$205+(205-ROW(Inventory!$G$6:$G$205))/10000)/(Inventory!$G$6:$G$205&gt;0),94),"")="","",INDEX(Inventory!$I$6:$I$205,IFERROR(MATCH(IFERROR(AGGREGATE(14,6,(Inventory!$G$6:$G$205+(205-ROW(Inventory!$G$6:$G$205))/10000)/(Inventory!$G$6:$G$205&gt;0),94),""),(Inventory!$G$6:$G$205+(205-ROW(Inventory!$G$6:$G$205))/10000),0),""))),"")</f>
        <v/>
      </c>
      <c r="I101" s="43">
        <f>IFERROR(IF(IFERROR(AGGREGATE(14,6,(Inventory!$G$6:$G$205+(205-ROW(Inventory!$G$6:$G$205))/10000)/(Inventory!$G$6:$G$205&gt;0),94),"")="","",INDEX(Inventory!$K$6:$K$205,IFERROR(MATCH(IFERROR(AGGREGATE(14,6,(Inventory!$G$6:$G$205+(205-ROW(Inventory!$G$6:$G$205))/10000)/(Inventory!$G$6:$G$205&gt;0),94),""),(Inventory!$G$6:$G$205+(205-ROW(Inventory!$G$6:$G$205))/10000),0),""))),"")</f>
        <v/>
      </c>
    </row>
    <row r="102" ht="16" customHeight="1">
      <c r="A102" s="46">
        <f>IFERROR(IF(IFERROR(AGGREGATE(14,6,(Inventory!$G$6:$G$205+(205-ROW(Inventory!$G$6:$G$205))/10000)/(Inventory!$G$6:$G$205&gt;0),95),"")="","",INDEX(Inventory!$A$6:$A$205,IFERROR(MATCH(IFERROR(AGGREGATE(14,6,(Inventory!$G$6:$G$205+(205-ROW(Inventory!$G$6:$G$205))/10000)/(Inventory!$G$6:$G$205&gt;0),95),""),(Inventory!$G$6:$G$205+(205-ROW(Inventory!$G$6:$G$205))/10000),0),""))),"")</f>
        <v/>
      </c>
      <c r="B102" s="46">
        <f>IFERROR(IF(IFERROR(AGGREGATE(14,6,(Inventory!$G$6:$G$205+(205-ROW(Inventory!$G$6:$G$205))/10000)/(Inventory!$G$6:$G$205&gt;0),95),"")="","",INDEX(Inventory!$B$6:$B$205,IFERROR(MATCH(IFERROR(AGGREGATE(14,6,(Inventory!$G$6:$G$205+(205-ROW(Inventory!$G$6:$G$205))/10000)/(Inventory!$G$6:$G$205&gt;0),95),""),(Inventory!$G$6:$G$205+(205-ROW(Inventory!$G$6:$G$205))/10000),0),""))),"")</f>
        <v/>
      </c>
      <c r="C102" s="46">
        <f>IFERROR(IF(IFERROR(AGGREGATE(14,6,(Inventory!$G$6:$G$205+(205-ROW(Inventory!$G$6:$G$205))/10000)/(Inventory!$G$6:$G$205&gt;0),95),"")="","",INDEX(Inventory!$D$6:$D$205,IFERROR(MATCH(IFERROR(AGGREGATE(14,6,(Inventory!$G$6:$G$205+(205-ROW(Inventory!$G$6:$G$205))/10000)/(Inventory!$G$6:$G$205&gt;0),95),""),(Inventory!$G$6:$G$205+(205-ROW(Inventory!$G$6:$G$205))/10000),0),""))),"")</f>
        <v/>
      </c>
      <c r="D102" s="46">
        <f>IFERROR(IF(IFERROR(AGGREGATE(14,6,(Inventory!$G$6:$G$205+(205-ROW(Inventory!$G$6:$G$205))/10000)/(Inventory!$G$6:$G$205&gt;0),95),"")="","",INDEX(Inventory!$H$6:$H$205,IFERROR(MATCH(IFERROR(AGGREGATE(14,6,(Inventory!$G$6:$G$205+(205-ROW(Inventory!$G$6:$G$205))/10000)/(Inventory!$G$6:$G$205&gt;0),95),""),(Inventory!$G$6:$G$205+(205-ROW(Inventory!$G$6:$G$205))/10000),0),""))),"")</f>
        <v/>
      </c>
      <c r="E102" s="41">
        <f>IFERROR(IF(IFERROR(AGGREGATE(14,6,(Inventory!$G$6:$G$205+(205-ROW(Inventory!$G$6:$G$205))/10000)/(Inventory!$G$6:$G$205&gt;0),95),"")="","",INDEX(Inventory!$E$6:$E$205,IFERROR(MATCH(IFERROR(AGGREGATE(14,6,(Inventory!$G$6:$G$205+(205-ROW(Inventory!$G$6:$G$205))/10000)/(Inventory!$G$6:$G$205&gt;0),95),""),(Inventory!$G$6:$G$205+(205-ROW(Inventory!$G$6:$G$205))/10000),0),""))),"")</f>
        <v/>
      </c>
      <c r="F102" s="41">
        <f>IFERROR(IF(IFERROR(AGGREGATE(14,6,(Inventory!$G$6:$G$205+(205-ROW(Inventory!$G$6:$G$205))/10000)/(Inventory!$G$6:$G$205&gt;0),95),"")="","",INDEX(Inventory!$F$6:$F$205,IFERROR(MATCH(IFERROR(AGGREGATE(14,6,(Inventory!$G$6:$G$205+(205-ROW(Inventory!$G$6:$G$205))/10000)/(Inventory!$G$6:$G$205&gt;0),95),""),(Inventory!$G$6:$G$205+(205-ROW(Inventory!$G$6:$G$205))/10000),0),""))),"")</f>
        <v/>
      </c>
      <c r="G102" s="41">
        <f>IFERROR(IF(IFERROR(AGGREGATE(14,6,(Inventory!$G$6:$G$205+(205-ROW(Inventory!$G$6:$G$205))/10000)/(Inventory!$G$6:$G$205&gt;0),95),"")="","",INDEX(Inventory!$G$6:$G$205,IFERROR(MATCH(IFERROR(AGGREGATE(14,6,(Inventory!$G$6:$G$205+(205-ROW(Inventory!$G$6:$G$205))/10000)/(Inventory!$G$6:$G$205&gt;0),95),""),(Inventory!$G$6:$G$205+(205-ROW(Inventory!$G$6:$G$205))/10000),0),""))),"")</f>
        <v/>
      </c>
      <c r="H102" s="43">
        <f>IFERROR(IF(IFERROR(AGGREGATE(14,6,(Inventory!$G$6:$G$205+(205-ROW(Inventory!$G$6:$G$205))/10000)/(Inventory!$G$6:$G$205&gt;0),95),"")="","",INDEX(Inventory!$I$6:$I$205,IFERROR(MATCH(IFERROR(AGGREGATE(14,6,(Inventory!$G$6:$G$205+(205-ROW(Inventory!$G$6:$G$205))/10000)/(Inventory!$G$6:$G$205&gt;0),95),""),(Inventory!$G$6:$G$205+(205-ROW(Inventory!$G$6:$G$205))/10000),0),""))),"")</f>
        <v/>
      </c>
      <c r="I102" s="43">
        <f>IFERROR(IF(IFERROR(AGGREGATE(14,6,(Inventory!$G$6:$G$205+(205-ROW(Inventory!$G$6:$G$205))/10000)/(Inventory!$G$6:$G$205&gt;0),95),"")="","",INDEX(Inventory!$K$6:$K$205,IFERROR(MATCH(IFERROR(AGGREGATE(14,6,(Inventory!$G$6:$G$205+(205-ROW(Inventory!$G$6:$G$205))/10000)/(Inventory!$G$6:$G$205&gt;0),95),""),(Inventory!$G$6:$G$205+(205-ROW(Inventory!$G$6:$G$205))/10000),0),""))),"")</f>
        <v/>
      </c>
    </row>
    <row r="103" ht="16" customHeight="1">
      <c r="A103" s="46">
        <f>IFERROR(IF(IFERROR(AGGREGATE(14,6,(Inventory!$G$6:$G$205+(205-ROW(Inventory!$G$6:$G$205))/10000)/(Inventory!$G$6:$G$205&gt;0),96),"")="","",INDEX(Inventory!$A$6:$A$205,IFERROR(MATCH(IFERROR(AGGREGATE(14,6,(Inventory!$G$6:$G$205+(205-ROW(Inventory!$G$6:$G$205))/10000)/(Inventory!$G$6:$G$205&gt;0),96),""),(Inventory!$G$6:$G$205+(205-ROW(Inventory!$G$6:$G$205))/10000),0),""))),"")</f>
        <v/>
      </c>
      <c r="B103" s="46">
        <f>IFERROR(IF(IFERROR(AGGREGATE(14,6,(Inventory!$G$6:$G$205+(205-ROW(Inventory!$G$6:$G$205))/10000)/(Inventory!$G$6:$G$205&gt;0),96),"")="","",INDEX(Inventory!$B$6:$B$205,IFERROR(MATCH(IFERROR(AGGREGATE(14,6,(Inventory!$G$6:$G$205+(205-ROW(Inventory!$G$6:$G$205))/10000)/(Inventory!$G$6:$G$205&gt;0),96),""),(Inventory!$G$6:$G$205+(205-ROW(Inventory!$G$6:$G$205))/10000),0),""))),"")</f>
        <v/>
      </c>
      <c r="C103" s="46">
        <f>IFERROR(IF(IFERROR(AGGREGATE(14,6,(Inventory!$G$6:$G$205+(205-ROW(Inventory!$G$6:$G$205))/10000)/(Inventory!$G$6:$G$205&gt;0),96),"")="","",INDEX(Inventory!$D$6:$D$205,IFERROR(MATCH(IFERROR(AGGREGATE(14,6,(Inventory!$G$6:$G$205+(205-ROW(Inventory!$G$6:$G$205))/10000)/(Inventory!$G$6:$G$205&gt;0),96),""),(Inventory!$G$6:$G$205+(205-ROW(Inventory!$G$6:$G$205))/10000),0),""))),"")</f>
        <v/>
      </c>
      <c r="D103" s="46">
        <f>IFERROR(IF(IFERROR(AGGREGATE(14,6,(Inventory!$G$6:$G$205+(205-ROW(Inventory!$G$6:$G$205))/10000)/(Inventory!$G$6:$G$205&gt;0),96),"")="","",INDEX(Inventory!$H$6:$H$205,IFERROR(MATCH(IFERROR(AGGREGATE(14,6,(Inventory!$G$6:$G$205+(205-ROW(Inventory!$G$6:$G$205))/10000)/(Inventory!$G$6:$G$205&gt;0),96),""),(Inventory!$G$6:$G$205+(205-ROW(Inventory!$G$6:$G$205))/10000),0),""))),"")</f>
        <v/>
      </c>
      <c r="E103" s="41">
        <f>IFERROR(IF(IFERROR(AGGREGATE(14,6,(Inventory!$G$6:$G$205+(205-ROW(Inventory!$G$6:$G$205))/10000)/(Inventory!$G$6:$G$205&gt;0),96),"")="","",INDEX(Inventory!$E$6:$E$205,IFERROR(MATCH(IFERROR(AGGREGATE(14,6,(Inventory!$G$6:$G$205+(205-ROW(Inventory!$G$6:$G$205))/10000)/(Inventory!$G$6:$G$205&gt;0),96),""),(Inventory!$G$6:$G$205+(205-ROW(Inventory!$G$6:$G$205))/10000),0),""))),"")</f>
        <v/>
      </c>
      <c r="F103" s="41">
        <f>IFERROR(IF(IFERROR(AGGREGATE(14,6,(Inventory!$G$6:$G$205+(205-ROW(Inventory!$G$6:$G$205))/10000)/(Inventory!$G$6:$G$205&gt;0),96),"")="","",INDEX(Inventory!$F$6:$F$205,IFERROR(MATCH(IFERROR(AGGREGATE(14,6,(Inventory!$G$6:$G$205+(205-ROW(Inventory!$G$6:$G$205))/10000)/(Inventory!$G$6:$G$205&gt;0),96),""),(Inventory!$G$6:$G$205+(205-ROW(Inventory!$G$6:$G$205))/10000),0),""))),"")</f>
        <v/>
      </c>
      <c r="G103" s="41">
        <f>IFERROR(IF(IFERROR(AGGREGATE(14,6,(Inventory!$G$6:$G$205+(205-ROW(Inventory!$G$6:$G$205))/10000)/(Inventory!$G$6:$G$205&gt;0),96),"")="","",INDEX(Inventory!$G$6:$G$205,IFERROR(MATCH(IFERROR(AGGREGATE(14,6,(Inventory!$G$6:$G$205+(205-ROW(Inventory!$G$6:$G$205))/10000)/(Inventory!$G$6:$G$205&gt;0),96),""),(Inventory!$G$6:$G$205+(205-ROW(Inventory!$G$6:$G$205))/10000),0),""))),"")</f>
        <v/>
      </c>
      <c r="H103" s="43">
        <f>IFERROR(IF(IFERROR(AGGREGATE(14,6,(Inventory!$G$6:$G$205+(205-ROW(Inventory!$G$6:$G$205))/10000)/(Inventory!$G$6:$G$205&gt;0),96),"")="","",INDEX(Inventory!$I$6:$I$205,IFERROR(MATCH(IFERROR(AGGREGATE(14,6,(Inventory!$G$6:$G$205+(205-ROW(Inventory!$G$6:$G$205))/10000)/(Inventory!$G$6:$G$205&gt;0),96),""),(Inventory!$G$6:$G$205+(205-ROW(Inventory!$G$6:$G$205))/10000),0),""))),"")</f>
        <v/>
      </c>
      <c r="I103" s="43">
        <f>IFERROR(IF(IFERROR(AGGREGATE(14,6,(Inventory!$G$6:$G$205+(205-ROW(Inventory!$G$6:$G$205))/10000)/(Inventory!$G$6:$G$205&gt;0),96),"")="","",INDEX(Inventory!$K$6:$K$205,IFERROR(MATCH(IFERROR(AGGREGATE(14,6,(Inventory!$G$6:$G$205+(205-ROW(Inventory!$G$6:$G$205))/10000)/(Inventory!$G$6:$G$205&gt;0),96),""),(Inventory!$G$6:$G$205+(205-ROW(Inventory!$G$6:$G$205))/10000),0),""))),"")</f>
        <v/>
      </c>
    </row>
    <row r="104" ht="16" customHeight="1">
      <c r="A104" s="46">
        <f>IFERROR(IF(IFERROR(AGGREGATE(14,6,(Inventory!$G$6:$G$205+(205-ROW(Inventory!$G$6:$G$205))/10000)/(Inventory!$G$6:$G$205&gt;0),97),"")="","",INDEX(Inventory!$A$6:$A$205,IFERROR(MATCH(IFERROR(AGGREGATE(14,6,(Inventory!$G$6:$G$205+(205-ROW(Inventory!$G$6:$G$205))/10000)/(Inventory!$G$6:$G$205&gt;0),97),""),(Inventory!$G$6:$G$205+(205-ROW(Inventory!$G$6:$G$205))/10000),0),""))),"")</f>
        <v/>
      </c>
      <c r="B104" s="46">
        <f>IFERROR(IF(IFERROR(AGGREGATE(14,6,(Inventory!$G$6:$G$205+(205-ROW(Inventory!$G$6:$G$205))/10000)/(Inventory!$G$6:$G$205&gt;0),97),"")="","",INDEX(Inventory!$B$6:$B$205,IFERROR(MATCH(IFERROR(AGGREGATE(14,6,(Inventory!$G$6:$G$205+(205-ROW(Inventory!$G$6:$G$205))/10000)/(Inventory!$G$6:$G$205&gt;0),97),""),(Inventory!$G$6:$G$205+(205-ROW(Inventory!$G$6:$G$205))/10000),0),""))),"")</f>
        <v/>
      </c>
      <c r="C104" s="46">
        <f>IFERROR(IF(IFERROR(AGGREGATE(14,6,(Inventory!$G$6:$G$205+(205-ROW(Inventory!$G$6:$G$205))/10000)/(Inventory!$G$6:$G$205&gt;0),97),"")="","",INDEX(Inventory!$D$6:$D$205,IFERROR(MATCH(IFERROR(AGGREGATE(14,6,(Inventory!$G$6:$G$205+(205-ROW(Inventory!$G$6:$G$205))/10000)/(Inventory!$G$6:$G$205&gt;0),97),""),(Inventory!$G$6:$G$205+(205-ROW(Inventory!$G$6:$G$205))/10000),0),""))),"")</f>
        <v/>
      </c>
      <c r="D104" s="46">
        <f>IFERROR(IF(IFERROR(AGGREGATE(14,6,(Inventory!$G$6:$G$205+(205-ROW(Inventory!$G$6:$G$205))/10000)/(Inventory!$G$6:$G$205&gt;0),97),"")="","",INDEX(Inventory!$H$6:$H$205,IFERROR(MATCH(IFERROR(AGGREGATE(14,6,(Inventory!$G$6:$G$205+(205-ROW(Inventory!$G$6:$G$205))/10000)/(Inventory!$G$6:$G$205&gt;0),97),""),(Inventory!$G$6:$G$205+(205-ROW(Inventory!$G$6:$G$205))/10000),0),""))),"")</f>
        <v/>
      </c>
      <c r="E104" s="41">
        <f>IFERROR(IF(IFERROR(AGGREGATE(14,6,(Inventory!$G$6:$G$205+(205-ROW(Inventory!$G$6:$G$205))/10000)/(Inventory!$G$6:$G$205&gt;0),97),"")="","",INDEX(Inventory!$E$6:$E$205,IFERROR(MATCH(IFERROR(AGGREGATE(14,6,(Inventory!$G$6:$G$205+(205-ROW(Inventory!$G$6:$G$205))/10000)/(Inventory!$G$6:$G$205&gt;0),97),""),(Inventory!$G$6:$G$205+(205-ROW(Inventory!$G$6:$G$205))/10000),0),""))),"")</f>
        <v/>
      </c>
      <c r="F104" s="41">
        <f>IFERROR(IF(IFERROR(AGGREGATE(14,6,(Inventory!$G$6:$G$205+(205-ROW(Inventory!$G$6:$G$205))/10000)/(Inventory!$G$6:$G$205&gt;0),97),"")="","",INDEX(Inventory!$F$6:$F$205,IFERROR(MATCH(IFERROR(AGGREGATE(14,6,(Inventory!$G$6:$G$205+(205-ROW(Inventory!$G$6:$G$205))/10000)/(Inventory!$G$6:$G$205&gt;0),97),""),(Inventory!$G$6:$G$205+(205-ROW(Inventory!$G$6:$G$205))/10000),0),""))),"")</f>
        <v/>
      </c>
      <c r="G104" s="41">
        <f>IFERROR(IF(IFERROR(AGGREGATE(14,6,(Inventory!$G$6:$G$205+(205-ROW(Inventory!$G$6:$G$205))/10000)/(Inventory!$G$6:$G$205&gt;0),97),"")="","",INDEX(Inventory!$G$6:$G$205,IFERROR(MATCH(IFERROR(AGGREGATE(14,6,(Inventory!$G$6:$G$205+(205-ROW(Inventory!$G$6:$G$205))/10000)/(Inventory!$G$6:$G$205&gt;0),97),""),(Inventory!$G$6:$G$205+(205-ROW(Inventory!$G$6:$G$205))/10000),0),""))),"")</f>
        <v/>
      </c>
      <c r="H104" s="43">
        <f>IFERROR(IF(IFERROR(AGGREGATE(14,6,(Inventory!$G$6:$G$205+(205-ROW(Inventory!$G$6:$G$205))/10000)/(Inventory!$G$6:$G$205&gt;0),97),"")="","",INDEX(Inventory!$I$6:$I$205,IFERROR(MATCH(IFERROR(AGGREGATE(14,6,(Inventory!$G$6:$G$205+(205-ROW(Inventory!$G$6:$G$205))/10000)/(Inventory!$G$6:$G$205&gt;0),97),""),(Inventory!$G$6:$G$205+(205-ROW(Inventory!$G$6:$G$205))/10000),0),""))),"")</f>
        <v/>
      </c>
      <c r="I104" s="43">
        <f>IFERROR(IF(IFERROR(AGGREGATE(14,6,(Inventory!$G$6:$G$205+(205-ROW(Inventory!$G$6:$G$205))/10000)/(Inventory!$G$6:$G$205&gt;0),97),"")="","",INDEX(Inventory!$K$6:$K$205,IFERROR(MATCH(IFERROR(AGGREGATE(14,6,(Inventory!$G$6:$G$205+(205-ROW(Inventory!$G$6:$G$205))/10000)/(Inventory!$G$6:$G$205&gt;0),97),""),(Inventory!$G$6:$G$205+(205-ROW(Inventory!$G$6:$G$205))/10000),0),""))),"")</f>
        <v/>
      </c>
    </row>
    <row r="105" ht="16" customHeight="1">
      <c r="A105" s="46">
        <f>IFERROR(IF(IFERROR(AGGREGATE(14,6,(Inventory!$G$6:$G$205+(205-ROW(Inventory!$G$6:$G$205))/10000)/(Inventory!$G$6:$G$205&gt;0),98),"")="","",INDEX(Inventory!$A$6:$A$205,IFERROR(MATCH(IFERROR(AGGREGATE(14,6,(Inventory!$G$6:$G$205+(205-ROW(Inventory!$G$6:$G$205))/10000)/(Inventory!$G$6:$G$205&gt;0),98),""),(Inventory!$G$6:$G$205+(205-ROW(Inventory!$G$6:$G$205))/10000),0),""))),"")</f>
        <v/>
      </c>
      <c r="B105" s="46">
        <f>IFERROR(IF(IFERROR(AGGREGATE(14,6,(Inventory!$G$6:$G$205+(205-ROW(Inventory!$G$6:$G$205))/10000)/(Inventory!$G$6:$G$205&gt;0),98),"")="","",INDEX(Inventory!$B$6:$B$205,IFERROR(MATCH(IFERROR(AGGREGATE(14,6,(Inventory!$G$6:$G$205+(205-ROW(Inventory!$G$6:$G$205))/10000)/(Inventory!$G$6:$G$205&gt;0),98),""),(Inventory!$G$6:$G$205+(205-ROW(Inventory!$G$6:$G$205))/10000),0),""))),"")</f>
        <v/>
      </c>
      <c r="C105" s="46">
        <f>IFERROR(IF(IFERROR(AGGREGATE(14,6,(Inventory!$G$6:$G$205+(205-ROW(Inventory!$G$6:$G$205))/10000)/(Inventory!$G$6:$G$205&gt;0),98),"")="","",INDEX(Inventory!$D$6:$D$205,IFERROR(MATCH(IFERROR(AGGREGATE(14,6,(Inventory!$G$6:$G$205+(205-ROW(Inventory!$G$6:$G$205))/10000)/(Inventory!$G$6:$G$205&gt;0),98),""),(Inventory!$G$6:$G$205+(205-ROW(Inventory!$G$6:$G$205))/10000),0),""))),"")</f>
        <v/>
      </c>
      <c r="D105" s="46">
        <f>IFERROR(IF(IFERROR(AGGREGATE(14,6,(Inventory!$G$6:$G$205+(205-ROW(Inventory!$G$6:$G$205))/10000)/(Inventory!$G$6:$G$205&gt;0),98),"")="","",INDEX(Inventory!$H$6:$H$205,IFERROR(MATCH(IFERROR(AGGREGATE(14,6,(Inventory!$G$6:$G$205+(205-ROW(Inventory!$G$6:$G$205))/10000)/(Inventory!$G$6:$G$205&gt;0),98),""),(Inventory!$G$6:$G$205+(205-ROW(Inventory!$G$6:$G$205))/10000),0),""))),"")</f>
        <v/>
      </c>
      <c r="E105" s="41">
        <f>IFERROR(IF(IFERROR(AGGREGATE(14,6,(Inventory!$G$6:$G$205+(205-ROW(Inventory!$G$6:$G$205))/10000)/(Inventory!$G$6:$G$205&gt;0),98),"")="","",INDEX(Inventory!$E$6:$E$205,IFERROR(MATCH(IFERROR(AGGREGATE(14,6,(Inventory!$G$6:$G$205+(205-ROW(Inventory!$G$6:$G$205))/10000)/(Inventory!$G$6:$G$205&gt;0),98),""),(Inventory!$G$6:$G$205+(205-ROW(Inventory!$G$6:$G$205))/10000),0),""))),"")</f>
        <v/>
      </c>
      <c r="F105" s="41">
        <f>IFERROR(IF(IFERROR(AGGREGATE(14,6,(Inventory!$G$6:$G$205+(205-ROW(Inventory!$G$6:$G$205))/10000)/(Inventory!$G$6:$G$205&gt;0),98),"")="","",INDEX(Inventory!$F$6:$F$205,IFERROR(MATCH(IFERROR(AGGREGATE(14,6,(Inventory!$G$6:$G$205+(205-ROW(Inventory!$G$6:$G$205))/10000)/(Inventory!$G$6:$G$205&gt;0),98),""),(Inventory!$G$6:$G$205+(205-ROW(Inventory!$G$6:$G$205))/10000),0),""))),"")</f>
        <v/>
      </c>
      <c r="G105" s="41">
        <f>IFERROR(IF(IFERROR(AGGREGATE(14,6,(Inventory!$G$6:$G$205+(205-ROW(Inventory!$G$6:$G$205))/10000)/(Inventory!$G$6:$G$205&gt;0),98),"")="","",INDEX(Inventory!$G$6:$G$205,IFERROR(MATCH(IFERROR(AGGREGATE(14,6,(Inventory!$G$6:$G$205+(205-ROW(Inventory!$G$6:$G$205))/10000)/(Inventory!$G$6:$G$205&gt;0),98),""),(Inventory!$G$6:$G$205+(205-ROW(Inventory!$G$6:$G$205))/10000),0),""))),"")</f>
        <v/>
      </c>
      <c r="H105" s="43">
        <f>IFERROR(IF(IFERROR(AGGREGATE(14,6,(Inventory!$G$6:$G$205+(205-ROW(Inventory!$G$6:$G$205))/10000)/(Inventory!$G$6:$G$205&gt;0),98),"")="","",INDEX(Inventory!$I$6:$I$205,IFERROR(MATCH(IFERROR(AGGREGATE(14,6,(Inventory!$G$6:$G$205+(205-ROW(Inventory!$G$6:$G$205))/10000)/(Inventory!$G$6:$G$205&gt;0),98),""),(Inventory!$G$6:$G$205+(205-ROW(Inventory!$G$6:$G$205))/10000),0),""))),"")</f>
        <v/>
      </c>
      <c r="I105" s="43">
        <f>IFERROR(IF(IFERROR(AGGREGATE(14,6,(Inventory!$G$6:$G$205+(205-ROW(Inventory!$G$6:$G$205))/10000)/(Inventory!$G$6:$G$205&gt;0),98),"")="","",INDEX(Inventory!$K$6:$K$205,IFERROR(MATCH(IFERROR(AGGREGATE(14,6,(Inventory!$G$6:$G$205+(205-ROW(Inventory!$G$6:$G$205))/10000)/(Inventory!$G$6:$G$205&gt;0),98),""),(Inventory!$G$6:$G$205+(205-ROW(Inventory!$G$6:$G$205))/10000),0),""))),"")</f>
        <v/>
      </c>
    </row>
    <row r="106" ht="16" customHeight="1">
      <c r="A106" s="46">
        <f>IFERROR(IF(IFERROR(AGGREGATE(14,6,(Inventory!$G$6:$G$205+(205-ROW(Inventory!$G$6:$G$205))/10000)/(Inventory!$G$6:$G$205&gt;0),99),"")="","",INDEX(Inventory!$A$6:$A$205,IFERROR(MATCH(IFERROR(AGGREGATE(14,6,(Inventory!$G$6:$G$205+(205-ROW(Inventory!$G$6:$G$205))/10000)/(Inventory!$G$6:$G$205&gt;0),99),""),(Inventory!$G$6:$G$205+(205-ROW(Inventory!$G$6:$G$205))/10000),0),""))),"")</f>
        <v/>
      </c>
      <c r="B106" s="46">
        <f>IFERROR(IF(IFERROR(AGGREGATE(14,6,(Inventory!$G$6:$G$205+(205-ROW(Inventory!$G$6:$G$205))/10000)/(Inventory!$G$6:$G$205&gt;0),99),"")="","",INDEX(Inventory!$B$6:$B$205,IFERROR(MATCH(IFERROR(AGGREGATE(14,6,(Inventory!$G$6:$G$205+(205-ROW(Inventory!$G$6:$G$205))/10000)/(Inventory!$G$6:$G$205&gt;0),99),""),(Inventory!$G$6:$G$205+(205-ROW(Inventory!$G$6:$G$205))/10000),0),""))),"")</f>
        <v/>
      </c>
      <c r="C106" s="46">
        <f>IFERROR(IF(IFERROR(AGGREGATE(14,6,(Inventory!$G$6:$G$205+(205-ROW(Inventory!$G$6:$G$205))/10000)/(Inventory!$G$6:$G$205&gt;0),99),"")="","",INDEX(Inventory!$D$6:$D$205,IFERROR(MATCH(IFERROR(AGGREGATE(14,6,(Inventory!$G$6:$G$205+(205-ROW(Inventory!$G$6:$G$205))/10000)/(Inventory!$G$6:$G$205&gt;0),99),""),(Inventory!$G$6:$G$205+(205-ROW(Inventory!$G$6:$G$205))/10000),0),""))),"")</f>
        <v/>
      </c>
      <c r="D106" s="46">
        <f>IFERROR(IF(IFERROR(AGGREGATE(14,6,(Inventory!$G$6:$G$205+(205-ROW(Inventory!$G$6:$G$205))/10000)/(Inventory!$G$6:$G$205&gt;0),99),"")="","",INDEX(Inventory!$H$6:$H$205,IFERROR(MATCH(IFERROR(AGGREGATE(14,6,(Inventory!$G$6:$G$205+(205-ROW(Inventory!$G$6:$G$205))/10000)/(Inventory!$G$6:$G$205&gt;0),99),""),(Inventory!$G$6:$G$205+(205-ROW(Inventory!$G$6:$G$205))/10000),0),""))),"")</f>
        <v/>
      </c>
      <c r="E106" s="41">
        <f>IFERROR(IF(IFERROR(AGGREGATE(14,6,(Inventory!$G$6:$G$205+(205-ROW(Inventory!$G$6:$G$205))/10000)/(Inventory!$G$6:$G$205&gt;0),99),"")="","",INDEX(Inventory!$E$6:$E$205,IFERROR(MATCH(IFERROR(AGGREGATE(14,6,(Inventory!$G$6:$G$205+(205-ROW(Inventory!$G$6:$G$205))/10000)/(Inventory!$G$6:$G$205&gt;0),99),""),(Inventory!$G$6:$G$205+(205-ROW(Inventory!$G$6:$G$205))/10000),0),""))),"")</f>
        <v/>
      </c>
      <c r="F106" s="41">
        <f>IFERROR(IF(IFERROR(AGGREGATE(14,6,(Inventory!$G$6:$G$205+(205-ROW(Inventory!$G$6:$G$205))/10000)/(Inventory!$G$6:$G$205&gt;0),99),"")="","",INDEX(Inventory!$F$6:$F$205,IFERROR(MATCH(IFERROR(AGGREGATE(14,6,(Inventory!$G$6:$G$205+(205-ROW(Inventory!$G$6:$G$205))/10000)/(Inventory!$G$6:$G$205&gt;0),99),""),(Inventory!$G$6:$G$205+(205-ROW(Inventory!$G$6:$G$205))/10000),0),""))),"")</f>
        <v/>
      </c>
      <c r="G106" s="41">
        <f>IFERROR(IF(IFERROR(AGGREGATE(14,6,(Inventory!$G$6:$G$205+(205-ROW(Inventory!$G$6:$G$205))/10000)/(Inventory!$G$6:$G$205&gt;0),99),"")="","",INDEX(Inventory!$G$6:$G$205,IFERROR(MATCH(IFERROR(AGGREGATE(14,6,(Inventory!$G$6:$G$205+(205-ROW(Inventory!$G$6:$G$205))/10000)/(Inventory!$G$6:$G$205&gt;0),99),""),(Inventory!$G$6:$G$205+(205-ROW(Inventory!$G$6:$G$205))/10000),0),""))),"")</f>
        <v/>
      </c>
      <c r="H106" s="43">
        <f>IFERROR(IF(IFERROR(AGGREGATE(14,6,(Inventory!$G$6:$G$205+(205-ROW(Inventory!$G$6:$G$205))/10000)/(Inventory!$G$6:$G$205&gt;0),99),"")="","",INDEX(Inventory!$I$6:$I$205,IFERROR(MATCH(IFERROR(AGGREGATE(14,6,(Inventory!$G$6:$G$205+(205-ROW(Inventory!$G$6:$G$205))/10000)/(Inventory!$G$6:$G$205&gt;0),99),""),(Inventory!$G$6:$G$205+(205-ROW(Inventory!$G$6:$G$205))/10000),0),""))),"")</f>
        <v/>
      </c>
      <c r="I106" s="43">
        <f>IFERROR(IF(IFERROR(AGGREGATE(14,6,(Inventory!$G$6:$G$205+(205-ROW(Inventory!$G$6:$G$205))/10000)/(Inventory!$G$6:$G$205&gt;0),99),"")="","",INDEX(Inventory!$K$6:$K$205,IFERROR(MATCH(IFERROR(AGGREGATE(14,6,(Inventory!$G$6:$G$205+(205-ROW(Inventory!$G$6:$G$205))/10000)/(Inventory!$G$6:$G$205&gt;0),99),""),(Inventory!$G$6:$G$205+(205-ROW(Inventory!$G$6:$G$205))/10000),0),""))),"")</f>
        <v/>
      </c>
    </row>
    <row r="107" ht="16" customHeight="1">
      <c r="A107" s="46">
        <f>IFERROR(IF(IFERROR(AGGREGATE(14,6,(Inventory!$G$6:$G$205+(205-ROW(Inventory!$G$6:$G$205))/10000)/(Inventory!$G$6:$G$205&gt;0),100),"")="","",INDEX(Inventory!$A$6:$A$205,IFERROR(MATCH(IFERROR(AGGREGATE(14,6,(Inventory!$G$6:$G$205+(205-ROW(Inventory!$G$6:$G$205))/10000)/(Inventory!$G$6:$G$205&gt;0),100),""),(Inventory!$G$6:$G$205+(205-ROW(Inventory!$G$6:$G$205))/10000),0),""))),"")</f>
        <v/>
      </c>
      <c r="B107" s="46">
        <f>IFERROR(IF(IFERROR(AGGREGATE(14,6,(Inventory!$G$6:$G$205+(205-ROW(Inventory!$G$6:$G$205))/10000)/(Inventory!$G$6:$G$205&gt;0),100),"")="","",INDEX(Inventory!$B$6:$B$205,IFERROR(MATCH(IFERROR(AGGREGATE(14,6,(Inventory!$G$6:$G$205+(205-ROW(Inventory!$G$6:$G$205))/10000)/(Inventory!$G$6:$G$205&gt;0),100),""),(Inventory!$G$6:$G$205+(205-ROW(Inventory!$G$6:$G$205))/10000),0),""))),"")</f>
        <v/>
      </c>
      <c r="C107" s="46">
        <f>IFERROR(IF(IFERROR(AGGREGATE(14,6,(Inventory!$G$6:$G$205+(205-ROW(Inventory!$G$6:$G$205))/10000)/(Inventory!$G$6:$G$205&gt;0),100),"")="","",INDEX(Inventory!$D$6:$D$205,IFERROR(MATCH(IFERROR(AGGREGATE(14,6,(Inventory!$G$6:$G$205+(205-ROW(Inventory!$G$6:$G$205))/10000)/(Inventory!$G$6:$G$205&gt;0),100),""),(Inventory!$G$6:$G$205+(205-ROW(Inventory!$G$6:$G$205))/10000),0),""))),"")</f>
        <v/>
      </c>
      <c r="D107" s="46">
        <f>IFERROR(IF(IFERROR(AGGREGATE(14,6,(Inventory!$G$6:$G$205+(205-ROW(Inventory!$G$6:$G$205))/10000)/(Inventory!$G$6:$G$205&gt;0),100),"")="","",INDEX(Inventory!$H$6:$H$205,IFERROR(MATCH(IFERROR(AGGREGATE(14,6,(Inventory!$G$6:$G$205+(205-ROW(Inventory!$G$6:$G$205))/10000)/(Inventory!$G$6:$G$205&gt;0),100),""),(Inventory!$G$6:$G$205+(205-ROW(Inventory!$G$6:$G$205))/10000),0),""))),"")</f>
        <v/>
      </c>
      <c r="E107" s="41">
        <f>IFERROR(IF(IFERROR(AGGREGATE(14,6,(Inventory!$G$6:$G$205+(205-ROW(Inventory!$G$6:$G$205))/10000)/(Inventory!$G$6:$G$205&gt;0),100),"")="","",INDEX(Inventory!$E$6:$E$205,IFERROR(MATCH(IFERROR(AGGREGATE(14,6,(Inventory!$G$6:$G$205+(205-ROW(Inventory!$G$6:$G$205))/10000)/(Inventory!$G$6:$G$205&gt;0),100),""),(Inventory!$G$6:$G$205+(205-ROW(Inventory!$G$6:$G$205))/10000),0),""))),"")</f>
        <v/>
      </c>
      <c r="F107" s="41">
        <f>IFERROR(IF(IFERROR(AGGREGATE(14,6,(Inventory!$G$6:$G$205+(205-ROW(Inventory!$G$6:$G$205))/10000)/(Inventory!$G$6:$G$205&gt;0),100),"")="","",INDEX(Inventory!$F$6:$F$205,IFERROR(MATCH(IFERROR(AGGREGATE(14,6,(Inventory!$G$6:$G$205+(205-ROW(Inventory!$G$6:$G$205))/10000)/(Inventory!$G$6:$G$205&gt;0),100),""),(Inventory!$G$6:$G$205+(205-ROW(Inventory!$G$6:$G$205))/10000),0),""))),"")</f>
        <v/>
      </c>
      <c r="G107" s="41">
        <f>IFERROR(IF(IFERROR(AGGREGATE(14,6,(Inventory!$G$6:$G$205+(205-ROW(Inventory!$G$6:$G$205))/10000)/(Inventory!$G$6:$G$205&gt;0),100),"")="","",INDEX(Inventory!$G$6:$G$205,IFERROR(MATCH(IFERROR(AGGREGATE(14,6,(Inventory!$G$6:$G$205+(205-ROW(Inventory!$G$6:$G$205))/10000)/(Inventory!$G$6:$G$205&gt;0),100),""),(Inventory!$G$6:$G$205+(205-ROW(Inventory!$G$6:$G$205))/10000),0),""))),"")</f>
        <v/>
      </c>
      <c r="H107" s="43">
        <f>IFERROR(IF(IFERROR(AGGREGATE(14,6,(Inventory!$G$6:$G$205+(205-ROW(Inventory!$G$6:$G$205))/10000)/(Inventory!$G$6:$G$205&gt;0),100),"")="","",INDEX(Inventory!$I$6:$I$205,IFERROR(MATCH(IFERROR(AGGREGATE(14,6,(Inventory!$G$6:$G$205+(205-ROW(Inventory!$G$6:$G$205))/10000)/(Inventory!$G$6:$G$205&gt;0),100),""),(Inventory!$G$6:$G$205+(205-ROW(Inventory!$G$6:$G$205))/10000),0),""))),"")</f>
        <v/>
      </c>
      <c r="I107" s="43">
        <f>IFERROR(IF(IFERROR(AGGREGATE(14,6,(Inventory!$G$6:$G$205+(205-ROW(Inventory!$G$6:$G$205))/10000)/(Inventory!$G$6:$G$205&gt;0),100),"")="","",INDEX(Inventory!$K$6:$K$205,IFERROR(MATCH(IFERROR(AGGREGATE(14,6,(Inventory!$G$6:$G$205+(205-ROW(Inventory!$G$6:$G$205))/10000)/(Inventory!$G$6:$G$205&gt;0),100),""),(Inventory!$G$6:$G$205+(205-ROW(Inventory!$G$6:$G$205))/10000),0),""))),"")</f>
        <v/>
      </c>
    </row>
  </sheetData>
  <mergeCells count="5">
    <mergeCell ref="J2:L2"/>
    <mergeCell ref="D2:I2"/>
    <mergeCell ref="A5:I5"/>
    <mergeCell ref="A2:C2"/>
    <mergeCell ref="A4:L4"/>
  </mergeCells>
  <conditionalFormatting sqref="A8:I107">
    <cfRule type="expression" priority="1" dxfId="1">
      <formula>AND(ISNUMBER($G8),ISNUMBER($E8),$G8&gt;=$E8)</formula>
    </cfRule>
  </conditionalFormatting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104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18" customWidth="1" min="3" max="3"/>
    <col width="11" customWidth="1" min="4" max="4"/>
    <col width="11" customWidth="1" min="5" max="5"/>
    <col width="12" customWidth="1" min="6" max="6"/>
    <col width="1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HYPERLINK("#'Restock List'!A1", "← BACK")</f>
        <v/>
      </c>
      <c r="B2" s="12" t="n"/>
      <c r="C2" s="12" t="n"/>
      <c r="D2" s="36" t="inlineStr">
        <is>
          <t>VENDOR QUICK ORDER</t>
        </is>
      </c>
      <c r="J2" s="27">
        <f>HYPERLINK("#'Settings'!A1", "NEXT →")</f>
        <v/>
      </c>
      <c r="K2" s="28" t="n"/>
      <c r="L2" s="2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Copy-paste shopping lists per vendor — only items below par.</t>
        </is>
      </c>
    </row>
    <row r="6" ht="22" customHeight="1">
      <c r="A6" s="47">
        <f>"COSTCO  ·  "&amp;COUNTIFS(Inventory!H6:H205,"Costco",Inventory!G6:G205,"&gt;0")&amp;" item(s) below par"</f>
        <v/>
      </c>
    </row>
    <row r="7" ht="6" customHeight="1"/>
    <row r="8" ht="18" customHeight="1">
      <c r="A8" s="38" t="inlineStr">
        <is>
          <t>SKU</t>
        </is>
      </c>
      <c r="B8" s="38" t="inlineStr">
        <is>
          <t>Item</t>
        </is>
      </c>
      <c r="C8" s="38" t="inlineStr">
        <is>
          <t>Property</t>
        </is>
      </c>
      <c r="D8" s="38" t="inlineStr">
        <is>
          <t>Par</t>
        </is>
      </c>
      <c r="E8" s="38" t="inlineStr">
        <is>
          <t>On-hand</t>
        </is>
      </c>
      <c r="F8" s="38" t="inlineStr">
        <is>
          <t>Reorder qty</t>
        </is>
      </c>
      <c r="G8" s="38" t="inlineStr">
        <is>
          <t>Subtotal $</t>
        </is>
      </c>
    </row>
    <row r="9" ht="14" customHeight="1">
      <c r="A9" s="46">
        <f>IFERROR(IF(IFERROR(AGGREGATE(14,6,(Inventory!$G$6:$G$205+(205-ROW(Inventory!$G$6:$G$205))/10000)/((Inventory!$G$6:$G$205&gt;0)*(Inventory!$H$6:$H$205="Costco")),1),"")="","",INDEX(Inventory!$A$6:$A$205,IFERROR(MATCH(IFERROR(AGGREGATE(14,6,(Inventory!$G$6:$G$205+(205-ROW(Inventory!$G$6:$G$205))/10000)/((Inventory!$G$6:$G$205&gt;0)*(Inventory!$H$6:$H$205="Costco")),1),""),(Inventory!$G$6:$G$205+(205-ROW(Inventory!$G$6:$G$205))/10000),0),""))),"")</f>
        <v/>
      </c>
      <c r="B9" s="46">
        <f>IFERROR(IF(IFERROR(AGGREGATE(14,6,(Inventory!$G$6:$G$205+(205-ROW(Inventory!$G$6:$G$205))/10000)/((Inventory!$G$6:$G$205&gt;0)*(Inventory!$H$6:$H$205="Costco")),1),"")="","",INDEX(Inventory!$B$6:$B$205,IFERROR(MATCH(IFERROR(AGGREGATE(14,6,(Inventory!$G$6:$G$205+(205-ROW(Inventory!$G$6:$G$205))/10000)/((Inventory!$G$6:$G$205&gt;0)*(Inventory!$H$6:$H$205="Costco")),1),""),(Inventory!$G$6:$G$205+(205-ROW(Inventory!$G$6:$G$205))/10000),0),""))),"")</f>
        <v/>
      </c>
      <c r="C9" s="46">
        <f>IFERROR(IF(IFERROR(AGGREGATE(14,6,(Inventory!$G$6:$G$205+(205-ROW(Inventory!$G$6:$G$205))/10000)/((Inventory!$G$6:$G$205&gt;0)*(Inventory!$H$6:$H$205="Costco")),1),"")="","",INDEX(Inventory!$D$6:$D$205,IFERROR(MATCH(IFERROR(AGGREGATE(14,6,(Inventory!$G$6:$G$205+(205-ROW(Inventory!$G$6:$G$205))/10000)/((Inventory!$G$6:$G$205&gt;0)*(Inventory!$H$6:$H$205="Costco")),1),""),(Inventory!$G$6:$G$205+(205-ROW(Inventory!$G$6:$G$205))/10000),0),""))),"")</f>
        <v/>
      </c>
      <c r="D9" s="41">
        <f>IFERROR(IF(IFERROR(AGGREGATE(14,6,(Inventory!$G$6:$G$205+(205-ROW(Inventory!$G$6:$G$205))/10000)/((Inventory!$G$6:$G$205&gt;0)*(Inventory!$H$6:$H$205="Costco")),1),"")="","",INDEX(Inventory!$E$6:$E$205,IFERROR(MATCH(IFERROR(AGGREGATE(14,6,(Inventory!$G$6:$G$205+(205-ROW(Inventory!$G$6:$G$205))/10000)/((Inventory!$G$6:$G$205&gt;0)*(Inventory!$H$6:$H$205="Costco")),1),""),(Inventory!$G$6:$G$205+(205-ROW(Inventory!$G$6:$G$205))/10000),0),""))),"")</f>
        <v/>
      </c>
      <c r="E9" s="41">
        <f>IFERROR(IF(IFERROR(AGGREGATE(14,6,(Inventory!$G$6:$G$205+(205-ROW(Inventory!$G$6:$G$205))/10000)/((Inventory!$G$6:$G$205&gt;0)*(Inventory!$H$6:$H$205="Costco")),1),"")="","",INDEX(Inventory!$F$6:$F$205,IFERROR(MATCH(IFERROR(AGGREGATE(14,6,(Inventory!$G$6:$G$205+(205-ROW(Inventory!$G$6:$G$205))/10000)/((Inventory!$G$6:$G$205&gt;0)*(Inventory!$H$6:$H$205="Costco")),1),""),(Inventory!$G$6:$G$205+(205-ROW(Inventory!$G$6:$G$205))/10000),0),""))),"")</f>
        <v/>
      </c>
      <c r="F9" s="41">
        <f>IFERROR(IF(IFERROR(AGGREGATE(14,6,(Inventory!$G$6:$G$205+(205-ROW(Inventory!$G$6:$G$205))/10000)/((Inventory!$G$6:$G$205&gt;0)*(Inventory!$H$6:$H$205="Costco")),1),"")="","",INDEX(Inventory!$J$6:$J$205,IFERROR(MATCH(IFERROR(AGGREGATE(14,6,(Inventory!$G$6:$G$205+(205-ROW(Inventory!$G$6:$G$205))/10000)/((Inventory!$G$6:$G$205&gt;0)*(Inventory!$H$6:$H$205="Costco")),1),""),(Inventory!$G$6:$G$205+(205-ROW(Inventory!$G$6:$G$205))/10000),0),""))),"")</f>
        <v/>
      </c>
      <c r="G9" s="43">
        <f>IFERROR(IF(IFERROR(AGGREGATE(14,6,(Inventory!$G$6:$G$205+(205-ROW(Inventory!$G$6:$G$205))/10000)/((Inventory!$G$6:$G$205&gt;0)*(Inventory!$H$6:$H$205="Costco")),1),"")="","",INDEX(Inventory!$J$6:$J$205,IFERROR(MATCH(IFERROR(AGGREGATE(14,6,(Inventory!$G$6:$G$205+(205-ROW(Inventory!$G$6:$G$205))/10000)/((Inventory!$G$6:$G$205&gt;0)*(Inventory!$H$6:$H$205="Costco")),1),""),(Inventory!$G$6:$G$205+(205-ROW(Inventory!$G$6:$G$205))/10000),0),""))*INDEX(Inventory!$I$6:$I$205,IFERROR(MATCH(IFERROR(AGGREGATE(14,6,(Inventory!$G$6:$G$205+(205-ROW(Inventory!$G$6:$G$205))/10000)/((Inventory!$G$6:$G$205&gt;0)*(Inventory!$H$6:$H$205="Costco")),1),""),(Inventory!$G$6:$G$205+(205-ROW(Inventory!$G$6:$G$205))/10000),0),""))),"")</f>
        <v/>
      </c>
    </row>
    <row r="10" ht="14" customHeight="1">
      <c r="A10" s="46">
        <f>IFERROR(IF(IFERROR(AGGREGATE(14,6,(Inventory!$G$6:$G$205+(205-ROW(Inventory!$G$6:$G$205))/10000)/((Inventory!$G$6:$G$205&gt;0)*(Inventory!$H$6:$H$205="Costco")),2),"")="","",INDEX(Inventory!$A$6:$A$205,IFERROR(MATCH(IFERROR(AGGREGATE(14,6,(Inventory!$G$6:$G$205+(205-ROW(Inventory!$G$6:$G$205))/10000)/((Inventory!$G$6:$G$205&gt;0)*(Inventory!$H$6:$H$205="Costco")),2),""),(Inventory!$G$6:$G$205+(205-ROW(Inventory!$G$6:$G$205))/10000),0),""))),"")</f>
        <v/>
      </c>
      <c r="B10" s="46">
        <f>IFERROR(IF(IFERROR(AGGREGATE(14,6,(Inventory!$G$6:$G$205+(205-ROW(Inventory!$G$6:$G$205))/10000)/((Inventory!$G$6:$G$205&gt;0)*(Inventory!$H$6:$H$205="Costco")),2),"")="","",INDEX(Inventory!$B$6:$B$205,IFERROR(MATCH(IFERROR(AGGREGATE(14,6,(Inventory!$G$6:$G$205+(205-ROW(Inventory!$G$6:$G$205))/10000)/((Inventory!$G$6:$G$205&gt;0)*(Inventory!$H$6:$H$205="Costco")),2),""),(Inventory!$G$6:$G$205+(205-ROW(Inventory!$G$6:$G$205))/10000),0),""))),"")</f>
        <v/>
      </c>
      <c r="C10" s="46">
        <f>IFERROR(IF(IFERROR(AGGREGATE(14,6,(Inventory!$G$6:$G$205+(205-ROW(Inventory!$G$6:$G$205))/10000)/((Inventory!$G$6:$G$205&gt;0)*(Inventory!$H$6:$H$205="Costco")),2),"")="","",INDEX(Inventory!$D$6:$D$205,IFERROR(MATCH(IFERROR(AGGREGATE(14,6,(Inventory!$G$6:$G$205+(205-ROW(Inventory!$G$6:$G$205))/10000)/((Inventory!$G$6:$G$205&gt;0)*(Inventory!$H$6:$H$205="Costco")),2),""),(Inventory!$G$6:$G$205+(205-ROW(Inventory!$G$6:$G$205))/10000),0),""))),"")</f>
        <v/>
      </c>
      <c r="D10" s="41">
        <f>IFERROR(IF(IFERROR(AGGREGATE(14,6,(Inventory!$G$6:$G$205+(205-ROW(Inventory!$G$6:$G$205))/10000)/((Inventory!$G$6:$G$205&gt;0)*(Inventory!$H$6:$H$205="Costco")),2),"")="","",INDEX(Inventory!$E$6:$E$205,IFERROR(MATCH(IFERROR(AGGREGATE(14,6,(Inventory!$G$6:$G$205+(205-ROW(Inventory!$G$6:$G$205))/10000)/((Inventory!$G$6:$G$205&gt;0)*(Inventory!$H$6:$H$205="Costco")),2),""),(Inventory!$G$6:$G$205+(205-ROW(Inventory!$G$6:$G$205))/10000),0),""))),"")</f>
        <v/>
      </c>
      <c r="E10" s="41">
        <f>IFERROR(IF(IFERROR(AGGREGATE(14,6,(Inventory!$G$6:$G$205+(205-ROW(Inventory!$G$6:$G$205))/10000)/((Inventory!$G$6:$G$205&gt;0)*(Inventory!$H$6:$H$205="Costco")),2),"")="","",INDEX(Inventory!$F$6:$F$205,IFERROR(MATCH(IFERROR(AGGREGATE(14,6,(Inventory!$G$6:$G$205+(205-ROW(Inventory!$G$6:$G$205))/10000)/((Inventory!$G$6:$G$205&gt;0)*(Inventory!$H$6:$H$205="Costco")),2),""),(Inventory!$G$6:$G$205+(205-ROW(Inventory!$G$6:$G$205))/10000),0),""))),"")</f>
        <v/>
      </c>
      <c r="F10" s="41">
        <f>IFERROR(IF(IFERROR(AGGREGATE(14,6,(Inventory!$G$6:$G$205+(205-ROW(Inventory!$G$6:$G$205))/10000)/((Inventory!$G$6:$G$205&gt;0)*(Inventory!$H$6:$H$205="Costco")),2),"")="","",INDEX(Inventory!$J$6:$J$205,IFERROR(MATCH(IFERROR(AGGREGATE(14,6,(Inventory!$G$6:$G$205+(205-ROW(Inventory!$G$6:$G$205))/10000)/((Inventory!$G$6:$G$205&gt;0)*(Inventory!$H$6:$H$205="Costco")),2),""),(Inventory!$G$6:$G$205+(205-ROW(Inventory!$G$6:$G$205))/10000),0),""))),"")</f>
        <v/>
      </c>
      <c r="G10" s="43">
        <f>IFERROR(IF(IFERROR(AGGREGATE(14,6,(Inventory!$G$6:$G$205+(205-ROW(Inventory!$G$6:$G$205))/10000)/((Inventory!$G$6:$G$205&gt;0)*(Inventory!$H$6:$H$205="Costco")),2),"")="","",INDEX(Inventory!$J$6:$J$205,IFERROR(MATCH(IFERROR(AGGREGATE(14,6,(Inventory!$G$6:$G$205+(205-ROW(Inventory!$G$6:$G$205))/10000)/((Inventory!$G$6:$G$205&gt;0)*(Inventory!$H$6:$H$205="Costco")),2),""),(Inventory!$G$6:$G$205+(205-ROW(Inventory!$G$6:$G$205))/10000),0),""))*INDEX(Inventory!$I$6:$I$205,IFERROR(MATCH(IFERROR(AGGREGATE(14,6,(Inventory!$G$6:$G$205+(205-ROW(Inventory!$G$6:$G$205))/10000)/((Inventory!$G$6:$G$205&gt;0)*(Inventory!$H$6:$H$205="Costco")),2),""),(Inventory!$G$6:$G$205+(205-ROW(Inventory!$G$6:$G$205))/10000),0),""))),"")</f>
        <v/>
      </c>
    </row>
    <row r="11" ht="14" customHeight="1">
      <c r="A11" s="46">
        <f>IFERROR(IF(IFERROR(AGGREGATE(14,6,(Inventory!$G$6:$G$205+(205-ROW(Inventory!$G$6:$G$205))/10000)/((Inventory!$G$6:$G$205&gt;0)*(Inventory!$H$6:$H$205="Costco")),3),"")="","",INDEX(Inventory!$A$6:$A$205,IFERROR(MATCH(IFERROR(AGGREGATE(14,6,(Inventory!$G$6:$G$205+(205-ROW(Inventory!$G$6:$G$205))/10000)/((Inventory!$G$6:$G$205&gt;0)*(Inventory!$H$6:$H$205="Costco")),3),""),(Inventory!$G$6:$G$205+(205-ROW(Inventory!$G$6:$G$205))/10000),0),""))),"")</f>
        <v/>
      </c>
      <c r="B11" s="46">
        <f>IFERROR(IF(IFERROR(AGGREGATE(14,6,(Inventory!$G$6:$G$205+(205-ROW(Inventory!$G$6:$G$205))/10000)/((Inventory!$G$6:$G$205&gt;0)*(Inventory!$H$6:$H$205="Costco")),3),"")="","",INDEX(Inventory!$B$6:$B$205,IFERROR(MATCH(IFERROR(AGGREGATE(14,6,(Inventory!$G$6:$G$205+(205-ROW(Inventory!$G$6:$G$205))/10000)/((Inventory!$G$6:$G$205&gt;0)*(Inventory!$H$6:$H$205="Costco")),3),""),(Inventory!$G$6:$G$205+(205-ROW(Inventory!$G$6:$G$205))/10000),0),""))),"")</f>
        <v/>
      </c>
      <c r="C11" s="46">
        <f>IFERROR(IF(IFERROR(AGGREGATE(14,6,(Inventory!$G$6:$G$205+(205-ROW(Inventory!$G$6:$G$205))/10000)/((Inventory!$G$6:$G$205&gt;0)*(Inventory!$H$6:$H$205="Costco")),3),"")="","",INDEX(Inventory!$D$6:$D$205,IFERROR(MATCH(IFERROR(AGGREGATE(14,6,(Inventory!$G$6:$G$205+(205-ROW(Inventory!$G$6:$G$205))/10000)/((Inventory!$G$6:$G$205&gt;0)*(Inventory!$H$6:$H$205="Costco")),3),""),(Inventory!$G$6:$G$205+(205-ROW(Inventory!$G$6:$G$205))/10000),0),""))),"")</f>
        <v/>
      </c>
      <c r="D11" s="41">
        <f>IFERROR(IF(IFERROR(AGGREGATE(14,6,(Inventory!$G$6:$G$205+(205-ROW(Inventory!$G$6:$G$205))/10000)/((Inventory!$G$6:$G$205&gt;0)*(Inventory!$H$6:$H$205="Costco")),3),"")="","",INDEX(Inventory!$E$6:$E$205,IFERROR(MATCH(IFERROR(AGGREGATE(14,6,(Inventory!$G$6:$G$205+(205-ROW(Inventory!$G$6:$G$205))/10000)/((Inventory!$G$6:$G$205&gt;0)*(Inventory!$H$6:$H$205="Costco")),3),""),(Inventory!$G$6:$G$205+(205-ROW(Inventory!$G$6:$G$205))/10000),0),""))),"")</f>
        <v/>
      </c>
      <c r="E11" s="41">
        <f>IFERROR(IF(IFERROR(AGGREGATE(14,6,(Inventory!$G$6:$G$205+(205-ROW(Inventory!$G$6:$G$205))/10000)/((Inventory!$G$6:$G$205&gt;0)*(Inventory!$H$6:$H$205="Costco")),3),"")="","",INDEX(Inventory!$F$6:$F$205,IFERROR(MATCH(IFERROR(AGGREGATE(14,6,(Inventory!$G$6:$G$205+(205-ROW(Inventory!$G$6:$G$205))/10000)/((Inventory!$G$6:$G$205&gt;0)*(Inventory!$H$6:$H$205="Costco")),3),""),(Inventory!$G$6:$G$205+(205-ROW(Inventory!$G$6:$G$205))/10000),0),""))),"")</f>
        <v/>
      </c>
      <c r="F11" s="41">
        <f>IFERROR(IF(IFERROR(AGGREGATE(14,6,(Inventory!$G$6:$G$205+(205-ROW(Inventory!$G$6:$G$205))/10000)/((Inventory!$G$6:$G$205&gt;0)*(Inventory!$H$6:$H$205="Costco")),3),"")="","",INDEX(Inventory!$J$6:$J$205,IFERROR(MATCH(IFERROR(AGGREGATE(14,6,(Inventory!$G$6:$G$205+(205-ROW(Inventory!$G$6:$G$205))/10000)/((Inventory!$G$6:$G$205&gt;0)*(Inventory!$H$6:$H$205="Costco")),3),""),(Inventory!$G$6:$G$205+(205-ROW(Inventory!$G$6:$G$205))/10000),0),""))),"")</f>
        <v/>
      </c>
      <c r="G11" s="43">
        <f>IFERROR(IF(IFERROR(AGGREGATE(14,6,(Inventory!$G$6:$G$205+(205-ROW(Inventory!$G$6:$G$205))/10000)/((Inventory!$G$6:$G$205&gt;0)*(Inventory!$H$6:$H$205="Costco")),3),"")="","",INDEX(Inventory!$J$6:$J$205,IFERROR(MATCH(IFERROR(AGGREGATE(14,6,(Inventory!$G$6:$G$205+(205-ROW(Inventory!$G$6:$G$205))/10000)/((Inventory!$G$6:$G$205&gt;0)*(Inventory!$H$6:$H$205="Costco")),3),""),(Inventory!$G$6:$G$205+(205-ROW(Inventory!$G$6:$G$205))/10000),0),""))*INDEX(Inventory!$I$6:$I$205,IFERROR(MATCH(IFERROR(AGGREGATE(14,6,(Inventory!$G$6:$G$205+(205-ROW(Inventory!$G$6:$G$205))/10000)/((Inventory!$G$6:$G$205&gt;0)*(Inventory!$H$6:$H$205="Costco")),3),""),(Inventory!$G$6:$G$205+(205-ROW(Inventory!$G$6:$G$205))/10000),0),""))),"")</f>
        <v/>
      </c>
    </row>
    <row r="12" ht="14" customHeight="1">
      <c r="A12" s="46">
        <f>IFERROR(IF(IFERROR(AGGREGATE(14,6,(Inventory!$G$6:$G$205+(205-ROW(Inventory!$G$6:$G$205))/10000)/((Inventory!$G$6:$G$205&gt;0)*(Inventory!$H$6:$H$205="Costco")),4),"")="","",INDEX(Inventory!$A$6:$A$205,IFERROR(MATCH(IFERROR(AGGREGATE(14,6,(Inventory!$G$6:$G$205+(205-ROW(Inventory!$G$6:$G$205))/10000)/((Inventory!$G$6:$G$205&gt;0)*(Inventory!$H$6:$H$205="Costco")),4),""),(Inventory!$G$6:$G$205+(205-ROW(Inventory!$G$6:$G$205))/10000),0),""))),"")</f>
        <v/>
      </c>
      <c r="B12" s="46">
        <f>IFERROR(IF(IFERROR(AGGREGATE(14,6,(Inventory!$G$6:$G$205+(205-ROW(Inventory!$G$6:$G$205))/10000)/((Inventory!$G$6:$G$205&gt;0)*(Inventory!$H$6:$H$205="Costco")),4),"")="","",INDEX(Inventory!$B$6:$B$205,IFERROR(MATCH(IFERROR(AGGREGATE(14,6,(Inventory!$G$6:$G$205+(205-ROW(Inventory!$G$6:$G$205))/10000)/((Inventory!$G$6:$G$205&gt;0)*(Inventory!$H$6:$H$205="Costco")),4),""),(Inventory!$G$6:$G$205+(205-ROW(Inventory!$G$6:$G$205))/10000),0),""))),"")</f>
        <v/>
      </c>
      <c r="C12" s="46">
        <f>IFERROR(IF(IFERROR(AGGREGATE(14,6,(Inventory!$G$6:$G$205+(205-ROW(Inventory!$G$6:$G$205))/10000)/((Inventory!$G$6:$G$205&gt;0)*(Inventory!$H$6:$H$205="Costco")),4),"")="","",INDEX(Inventory!$D$6:$D$205,IFERROR(MATCH(IFERROR(AGGREGATE(14,6,(Inventory!$G$6:$G$205+(205-ROW(Inventory!$G$6:$G$205))/10000)/((Inventory!$G$6:$G$205&gt;0)*(Inventory!$H$6:$H$205="Costco")),4),""),(Inventory!$G$6:$G$205+(205-ROW(Inventory!$G$6:$G$205))/10000),0),""))),"")</f>
        <v/>
      </c>
      <c r="D12" s="41">
        <f>IFERROR(IF(IFERROR(AGGREGATE(14,6,(Inventory!$G$6:$G$205+(205-ROW(Inventory!$G$6:$G$205))/10000)/((Inventory!$G$6:$G$205&gt;0)*(Inventory!$H$6:$H$205="Costco")),4),"")="","",INDEX(Inventory!$E$6:$E$205,IFERROR(MATCH(IFERROR(AGGREGATE(14,6,(Inventory!$G$6:$G$205+(205-ROW(Inventory!$G$6:$G$205))/10000)/((Inventory!$G$6:$G$205&gt;0)*(Inventory!$H$6:$H$205="Costco")),4),""),(Inventory!$G$6:$G$205+(205-ROW(Inventory!$G$6:$G$205))/10000),0),""))),"")</f>
        <v/>
      </c>
      <c r="E12" s="41">
        <f>IFERROR(IF(IFERROR(AGGREGATE(14,6,(Inventory!$G$6:$G$205+(205-ROW(Inventory!$G$6:$G$205))/10000)/((Inventory!$G$6:$G$205&gt;0)*(Inventory!$H$6:$H$205="Costco")),4),"")="","",INDEX(Inventory!$F$6:$F$205,IFERROR(MATCH(IFERROR(AGGREGATE(14,6,(Inventory!$G$6:$G$205+(205-ROW(Inventory!$G$6:$G$205))/10000)/((Inventory!$G$6:$G$205&gt;0)*(Inventory!$H$6:$H$205="Costco")),4),""),(Inventory!$G$6:$G$205+(205-ROW(Inventory!$G$6:$G$205))/10000),0),""))),"")</f>
        <v/>
      </c>
      <c r="F12" s="41">
        <f>IFERROR(IF(IFERROR(AGGREGATE(14,6,(Inventory!$G$6:$G$205+(205-ROW(Inventory!$G$6:$G$205))/10000)/((Inventory!$G$6:$G$205&gt;0)*(Inventory!$H$6:$H$205="Costco")),4),"")="","",INDEX(Inventory!$J$6:$J$205,IFERROR(MATCH(IFERROR(AGGREGATE(14,6,(Inventory!$G$6:$G$205+(205-ROW(Inventory!$G$6:$G$205))/10000)/((Inventory!$G$6:$G$205&gt;0)*(Inventory!$H$6:$H$205="Costco")),4),""),(Inventory!$G$6:$G$205+(205-ROW(Inventory!$G$6:$G$205))/10000),0),""))),"")</f>
        <v/>
      </c>
      <c r="G12" s="43">
        <f>IFERROR(IF(IFERROR(AGGREGATE(14,6,(Inventory!$G$6:$G$205+(205-ROW(Inventory!$G$6:$G$205))/10000)/((Inventory!$G$6:$G$205&gt;0)*(Inventory!$H$6:$H$205="Costco")),4),"")="","",INDEX(Inventory!$J$6:$J$205,IFERROR(MATCH(IFERROR(AGGREGATE(14,6,(Inventory!$G$6:$G$205+(205-ROW(Inventory!$G$6:$G$205))/10000)/((Inventory!$G$6:$G$205&gt;0)*(Inventory!$H$6:$H$205="Costco")),4),""),(Inventory!$G$6:$G$205+(205-ROW(Inventory!$G$6:$G$205))/10000),0),""))*INDEX(Inventory!$I$6:$I$205,IFERROR(MATCH(IFERROR(AGGREGATE(14,6,(Inventory!$G$6:$G$205+(205-ROW(Inventory!$G$6:$G$205))/10000)/((Inventory!$G$6:$G$205&gt;0)*(Inventory!$H$6:$H$205="Costco")),4),""),(Inventory!$G$6:$G$205+(205-ROW(Inventory!$G$6:$G$205))/10000),0),""))),"")</f>
        <v/>
      </c>
    </row>
    <row r="13" ht="14" customHeight="1">
      <c r="A13" s="46">
        <f>IFERROR(IF(IFERROR(AGGREGATE(14,6,(Inventory!$G$6:$G$205+(205-ROW(Inventory!$G$6:$G$205))/10000)/((Inventory!$G$6:$G$205&gt;0)*(Inventory!$H$6:$H$205="Costco")),5),"")="","",INDEX(Inventory!$A$6:$A$205,IFERROR(MATCH(IFERROR(AGGREGATE(14,6,(Inventory!$G$6:$G$205+(205-ROW(Inventory!$G$6:$G$205))/10000)/((Inventory!$G$6:$G$205&gt;0)*(Inventory!$H$6:$H$205="Costco")),5),""),(Inventory!$G$6:$G$205+(205-ROW(Inventory!$G$6:$G$205))/10000),0),""))),"")</f>
        <v/>
      </c>
      <c r="B13" s="46">
        <f>IFERROR(IF(IFERROR(AGGREGATE(14,6,(Inventory!$G$6:$G$205+(205-ROW(Inventory!$G$6:$G$205))/10000)/((Inventory!$G$6:$G$205&gt;0)*(Inventory!$H$6:$H$205="Costco")),5),"")="","",INDEX(Inventory!$B$6:$B$205,IFERROR(MATCH(IFERROR(AGGREGATE(14,6,(Inventory!$G$6:$G$205+(205-ROW(Inventory!$G$6:$G$205))/10000)/((Inventory!$G$6:$G$205&gt;0)*(Inventory!$H$6:$H$205="Costco")),5),""),(Inventory!$G$6:$G$205+(205-ROW(Inventory!$G$6:$G$205))/10000),0),""))),"")</f>
        <v/>
      </c>
      <c r="C13" s="46">
        <f>IFERROR(IF(IFERROR(AGGREGATE(14,6,(Inventory!$G$6:$G$205+(205-ROW(Inventory!$G$6:$G$205))/10000)/((Inventory!$G$6:$G$205&gt;0)*(Inventory!$H$6:$H$205="Costco")),5),"")="","",INDEX(Inventory!$D$6:$D$205,IFERROR(MATCH(IFERROR(AGGREGATE(14,6,(Inventory!$G$6:$G$205+(205-ROW(Inventory!$G$6:$G$205))/10000)/((Inventory!$G$6:$G$205&gt;0)*(Inventory!$H$6:$H$205="Costco")),5),""),(Inventory!$G$6:$G$205+(205-ROW(Inventory!$G$6:$G$205))/10000),0),""))),"")</f>
        <v/>
      </c>
      <c r="D13" s="41">
        <f>IFERROR(IF(IFERROR(AGGREGATE(14,6,(Inventory!$G$6:$G$205+(205-ROW(Inventory!$G$6:$G$205))/10000)/((Inventory!$G$6:$G$205&gt;0)*(Inventory!$H$6:$H$205="Costco")),5),"")="","",INDEX(Inventory!$E$6:$E$205,IFERROR(MATCH(IFERROR(AGGREGATE(14,6,(Inventory!$G$6:$G$205+(205-ROW(Inventory!$G$6:$G$205))/10000)/((Inventory!$G$6:$G$205&gt;0)*(Inventory!$H$6:$H$205="Costco")),5),""),(Inventory!$G$6:$G$205+(205-ROW(Inventory!$G$6:$G$205))/10000),0),""))),"")</f>
        <v/>
      </c>
      <c r="E13" s="41">
        <f>IFERROR(IF(IFERROR(AGGREGATE(14,6,(Inventory!$G$6:$G$205+(205-ROW(Inventory!$G$6:$G$205))/10000)/((Inventory!$G$6:$G$205&gt;0)*(Inventory!$H$6:$H$205="Costco")),5),"")="","",INDEX(Inventory!$F$6:$F$205,IFERROR(MATCH(IFERROR(AGGREGATE(14,6,(Inventory!$G$6:$G$205+(205-ROW(Inventory!$G$6:$G$205))/10000)/((Inventory!$G$6:$G$205&gt;0)*(Inventory!$H$6:$H$205="Costco")),5),""),(Inventory!$G$6:$G$205+(205-ROW(Inventory!$G$6:$G$205))/10000),0),""))),"")</f>
        <v/>
      </c>
      <c r="F13" s="41">
        <f>IFERROR(IF(IFERROR(AGGREGATE(14,6,(Inventory!$G$6:$G$205+(205-ROW(Inventory!$G$6:$G$205))/10000)/((Inventory!$G$6:$G$205&gt;0)*(Inventory!$H$6:$H$205="Costco")),5),"")="","",INDEX(Inventory!$J$6:$J$205,IFERROR(MATCH(IFERROR(AGGREGATE(14,6,(Inventory!$G$6:$G$205+(205-ROW(Inventory!$G$6:$G$205))/10000)/((Inventory!$G$6:$G$205&gt;0)*(Inventory!$H$6:$H$205="Costco")),5),""),(Inventory!$G$6:$G$205+(205-ROW(Inventory!$G$6:$G$205))/10000),0),""))),"")</f>
        <v/>
      </c>
      <c r="G13" s="43">
        <f>IFERROR(IF(IFERROR(AGGREGATE(14,6,(Inventory!$G$6:$G$205+(205-ROW(Inventory!$G$6:$G$205))/10000)/((Inventory!$G$6:$G$205&gt;0)*(Inventory!$H$6:$H$205="Costco")),5),"")="","",INDEX(Inventory!$J$6:$J$205,IFERROR(MATCH(IFERROR(AGGREGATE(14,6,(Inventory!$G$6:$G$205+(205-ROW(Inventory!$G$6:$G$205))/10000)/((Inventory!$G$6:$G$205&gt;0)*(Inventory!$H$6:$H$205="Costco")),5),""),(Inventory!$G$6:$G$205+(205-ROW(Inventory!$G$6:$G$205))/10000),0),""))*INDEX(Inventory!$I$6:$I$205,IFERROR(MATCH(IFERROR(AGGREGATE(14,6,(Inventory!$G$6:$G$205+(205-ROW(Inventory!$G$6:$G$205))/10000)/((Inventory!$G$6:$G$205&gt;0)*(Inventory!$H$6:$H$205="Costco")),5),""),(Inventory!$G$6:$G$205+(205-ROW(Inventory!$G$6:$G$205))/10000),0),""))),"")</f>
        <v/>
      </c>
    </row>
    <row r="14" ht="14" customHeight="1">
      <c r="A14" s="46">
        <f>IFERROR(IF(IFERROR(AGGREGATE(14,6,(Inventory!$G$6:$G$205+(205-ROW(Inventory!$G$6:$G$205))/10000)/((Inventory!$G$6:$G$205&gt;0)*(Inventory!$H$6:$H$205="Costco")),6),"")="","",INDEX(Inventory!$A$6:$A$205,IFERROR(MATCH(IFERROR(AGGREGATE(14,6,(Inventory!$G$6:$G$205+(205-ROW(Inventory!$G$6:$G$205))/10000)/((Inventory!$G$6:$G$205&gt;0)*(Inventory!$H$6:$H$205="Costco")),6),""),(Inventory!$G$6:$G$205+(205-ROW(Inventory!$G$6:$G$205))/10000),0),""))),"")</f>
        <v/>
      </c>
      <c r="B14" s="46">
        <f>IFERROR(IF(IFERROR(AGGREGATE(14,6,(Inventory!$G$6:$G$205+(205-ROW(Inventory!$G$6:$G$205))/10000)/((Inventory!$G$6:$G$205&gt;0)*(Inventory!$H$6:$H$205="Costco")),6),"")="","",INDEX(Inventory!$B$6:$B$205,IFERROR(MATCH(IFERROR(AGGREGATE(14,6,(Inventory!$G$6:$G$205+(205-ROW(Inventory!$G$6:$G$205))/10000)/((Inventory!$G$6:$G$205&gt;0)*(Inventory!$H$6:$H$205="Costco")),6),""),(Inventory!$G$6:$G$205+(205-ROW(Inventory!$G$6:$G$205))/10000),0),""))),"")</f>
        <v/>
      </c>
      <c r="C14" s="46">
        <f>IFERROR(IF(IFERROR(AGGREGATE(14,6,(Inventory!$G$6:$G$205+(205-ROW(Inventory!$G$6:$G$205))/10000)/((Inventory!$G$6:$G$205&gt;0)*(Inventory!$H$6:$H$205="Costco")),6),"")="","",INDEX(Inventory!$D$6:$D$205,IFERROR(MATCH(IFERROR(AGGREGATE(14,6,(Inventory!$G$6:$G$205+(205-ROW(Inventory!$G$6:$G$205))/10000)/((Inventory!$G$6:$G$205&gt;0)*(Inventory!$H$6:$H$205="Costco")),6),""),(Inventory!$G$6:$G$205+(205-ROW(Inventory!$G$6:$G$205))/10000),0),""))),"")</f>
        <v/>
      </c>
      <c r="D14" s="41">
        <f>IFERROR(IF(IFERROR(AGGREGATE(14,6,(Inventory!$G$6:$G$205+(205-ROW(Inventory!$G$6:$G$205))/10000)/((Inventory!$G$6:$G$205&gt;0)*(Inventory!$H$6:$H$205="Costco")),6),"")="","",INDEX(Inventory!$E$6:$E$205,IFERROR(MATCH(IFERROR(AGGREGATE(14,6,(Inventory!$G$6:$G$205+(205-ROW(Inventory!$G$6:$G$205))/10000)/((Inventory!$G$6:$G$205&gt;0)*(Inventory!$H$6:$H$205="Costco")),6),""),(Inventory!$G$6:$G$205+(205-ROW(Inventory!$G$6:$G$205))/10000),0),""))),"")</f>
        <v/>
      </c>
      <c r="E14" s="41">
        <f>IFERROR(IF(IFERROR(AGGREGATE(14,6,(Inventory!$G$6:$G$205+(205-ROW(Inventory!$G$6:$G$205))/10000)/((Inventory!$G$6:$G$205&gt;0)*(Inventory!$H$6:$H$205="Costco")),6),"")="","",INDEX(Inventory!$F$6:$F$205,IFERROR(MATCH(IFERROR(AGGREGATE(14,6,(Inventory!$G$6:$G$205+(205-ROW(Inventory!$G$6:$G$205))/10000)/((Inventory!$G$6:$G$205&gt;0)*(Inventory!$H$6:$H$205="Costco")),6),""),(Inventory!$G$6:$G$205+(205-ROW(Inventory!$G$6:$G$205))/10000),0),""))),"")</f>
        <v/>
      </c>
      <c r="F14" s="41">
        <f>IFERROR(IF(IFERROR(AGGREGATE(14,6,(Inventory!$G$6:$G$205+(205-ROW(Inventory!$G$6:$G$205))/10000)/((Inventory!$G$6:$G$205&gt;0)*(Inventory!$H$6:$H$205="Costco")),6),"")="","",INDEX(Inventory!$J$6:$J$205,IFERROR(MATCH(IFERROR(AGGREGATE(14,6,(Inventory!$G$6:$G$205+(205-ROW(Inventory!$G$6:$G$205))/10000)/((Inventory!$G$6:$G$205&gt;0)*(Inventory!$H$6:$H$205="Costco")),6),""),(Inventory!$G$6:$G$205+(205-ROW(Inventory!$G$6:$G$205))/10000),0),""))),"")</f>
        <v/>
      </c>
      <c r="G14" s="43">
        <f>IFERROR(IF(IFERROR(AGGREGATE(14,6,(Inventory!$G$6:$G$205+(205-ROW(Inventory!$G$6:$G$205))/10000)/((Inventory!$G$6:$G$205&gt;0)*(Inventory!$H$6:$H$205="Costco")),6),"")="","",INDEX(Inventory!$J$6:$J$205,IFERROR(MATCH(IFERROR(AGGREGATE(14,6,(Inventory!$G$6:$G$205+(205-ROW(Inventory!$G$6:$G$205))/10000)/((Inventory!$G$6:$G$205&gt;0)*(Inventory!$H$6:$H$205="Costco")),6),""),(Inventory!$G$6:$G$205+(205-ROW(Inventory!$G$6:$G$205))/10000),0),""))*INDEX(Inventory!$I$6:$I$205,IFERROR(MATCH(IFERROR(AGGREGATE(14,6,(Inventory!$G$6:$G$205+(205-ROW(Inventory!$G$6:$G$205))/10000)/((Inventory!$G$6:$G$205&gt;0)*(Inventory!$H$6:$H$205="Costco")),6),""),(Inventory!$G$6:$G$205+(205-ROW(Inventory!$G$6:$G$205))/10000),0),""))),"")</f>
        <v/>
      </c>
    </row>
    <row r="15" ht="14" customHeight="1">
      <c r="A15" s="46">
        <f>IFERROR(IF(IFERROR(AGGREGATE(14,6,(Inventory!$G$6:$G$205+(205-ROW(Inventory!$G$6:$G$205))/10000)/((Inventory!$G$6:$G$205&gt;0)*(Inventory!$H$6:$H$205="Costco")),7),"")="","",INDEX(Inventory!$A$6:$A$205,IFERROR(MATCH(IFERROR(AGGREGATE(14,6,(Inventory!$G$6:$G$205+(205-ROW(Inventory!$G$6:$G$205))/10000)/((Inventory!$G$6:$G$205&gt;0)*(Inventory!$H$6:$H$205="Costco")),7),""),(Inventory!$G$6:$G$205+(205-ROW(Inventory!$G$6:$G$205))/10000),0),""))),"")</f>
        <v/>
      </c>
      <c r="B15" s="46">
        <f>IFERROR(IF(IFERROR(AGGREGATE(14,6,(Inventory!$G$6:$G$205+(205-ROW(Inventory!$G$6:$G$205))/10000)/((Inventory!$G$6:$G$205&gt;0)*(Inventory!$H$6:$H$205="Costco")),7),"")="","",INDEX(Inventory!$B$6:$B$205,IFERROR(MATCH(IFERROR(AGGREGATE(14,6,(Inventory!$G$6:$G$205+(205-ROW(Inventory!$G$6:$G$205))/10000)/((Inventory!$G$6:$G$205&gt;0)*(Inventory!$H$6:$H$205="Costco")),7),""),(Inventory!$G$6:$G$205+(205-ROW(Inventory!$G$6:$G$205))/10000),0),""))),"")</f>
        <v/>
      </c>
      <c r="C15" s="46">
        <f>IFERROR(IF(IFERROR(AGGREGATE(14,6,(Inventory!$G$6:$G$205+(205-ROW(Inventory!$G$6:$G$205))/10000)/((Inventory!$G$6:$G$205&gt;0)*(Inventory!$H$6:$H$205="Costco")),7),"")="","",INDEX(Inventory!$D$6:$D$205,IFERROR(MATCH(IFERROR(AGGREGATE(14,6,(Inventory!$G$6:$G$205+(205-ROW(Inventory!$G$6:$G$205))/10000)/((Inventory!$G$6:$G$205&gt;0)*(Inventory!$H$6:$H$205="Costco")),7),""),(Inventory!$G$6:$G$205+(205-ROW(Inventory!$G$6:$G$205))/10000),0),""))),"")</f>
        <v/>
      </c>
      <c r="D15" s="41">
        <f>IFERROR(IF(IFERROR(AGGREGATE(14,6,(Inventory!$G$6:$G$205+(205-ROW(Inventory!$G$6:$G$205))/10000)/((Inventory!$G$6:$G$205&gt;0)*(Inventory!$H$6:$H$205="Costco")),7),"")="","",INDEX(Inventory!$E$6:$E$205,IFERROR(MATCH(IFERROR(AGGREGATE(14,6,(Inventory!$G$6:$G$205+(205-ROW(Inventory!$G$6:$G$205))/10000)/((Inventory!$G$6:$G$205&gt;0)*(Inventory!$H$6:$H$205="Costco")),7),""),(Inventory!$G$6:$G$205+(205-ROW(Inventory!$G$6:$G$205))/10000),0),""))),"")</f>
        <v/>
      </c>
      <c r="E15" s="41">
        <f>IFERROR(IF(IFERROR(AGGREGATE(14,6,(Inventory!$G$6:$G$205+(205-ROW(Inventory!$G$6:$G$205))/10000)/((Inventory!$G$6:$G$205&gt;0)*(Inventory!$H$6:$H$205="Costco")),7),"")="","",INDEX(Inventory!$F$6:$F$205,IFERROR(MATCH(IFERROR(AGGREGATE(14,6,(Inventory!$G$6:$G$205+(205-ROW(Inventory!$G$6:$G$205))/10000)/((Inventory!$G$6:$G$205&gt;0)*(Inventory!$H$6:$H$205="Costco")),7),""),(Inventory!$G$6:$G$205+(205-ROW(Inventory!$G$6:$G$205))/10000),0),""))),"")</f>
        <v/>
      </c>
      <c r="F15" s="41">
        <f>IFERROR(IF(IFERROR(AGGREGATE(14,6,(Inventory!$G$6:$G$205+(205-ROW(Inventory!$G$6:$G$205))/10000)/((Inventory!$G$6:$G$205&gt;0)*(Inventory!$H$6:$H$205="Costco")),7),"")="","",INDEX(Inventory!$J$6:$J$205,IFERROR(MATCH(IFERROR(AGGREGATE(14,6,(Inventory!$G$6:$G$205+(205-ROW(Inventory!$G$6:$G$205))/10000)/((Inventory!$G$6:$G$205&gt;0)*(Inventory!$H$6:$H$205="Costco")),7),""),(Inventory!$G$6:$G$205+(205-ROW(Inventory!$G$6:$G$205))/10000),0),""))),"")</f>
        <v/>
      </c>
      <c r="G15" s="43">
        <f>IFERROR(IF(IFERROR(AGGREGATE(14,6,(Inventory!$G$6:$G$205+(205-ROW(Inventory!$G$6:$G$205))/10000)/((Inventory!$G$6:$G$205&gt;0)*(Inventory!$H$6:$H$205="Costco")),7),"")="","",INDEX(Inventory!$J$6:$J$205,IFERROR(MATCH(IFERROR(AGGREGATE(14,6,(Inventory!$G$6:$G$205+(205-ROW(Inventory!$G$6:$G$205))/10000)/((Inventory!$G$6:$G$205&gt;0)*(Inventory!$H$6:$H$205="Costco")),7),""),(Inventory!$G$6:$G$205+(205-ROW(Inventory!$G$6:$G$205))/10000),0),""))*INDEX(Inventory!$I$6:$I$205,IFERROR(MATCH(IFERROR(AGGREGATE(14,6,(Inventory!$G$6:$G$205+(205-ROW(Inventory!$G$6:$G$205))/10000)/((Inventory!$G$6:$G$205&gt;0)*(Inventory!$H$6:$H$205="Costco")),7),""),(Inventory!$G$6:$G$205+(205-ROW(Inventory!$G$6:$G$205))/10000),0),""))),"")</f>
        <v/>
      </c>
    </row>
    <row r="16" ht="14" customHeight="1">
      <c r="A16" s="46">
        <f>IFERROR(IF(IFERROR(AGGREGATE(14,6,(Inventory!$G$6:$G$205+(205-ROW(Inventory!$G$6:$G$205))/10000)/((Inventory!$G$6:$G$205&gt;0)*(Inventory!$H$6:$H$205="Costco")),8),"")="","",INDEX(Inventory!$A$6:$A$205,IFERROR(MATCH(IFERROR(AGGREGATE(14,6,(Inventory!$G$6:$G$205+(205-ROW(Inventory!$G$6:$G$205))/10000)/((Inventory!$G$6:$G$205&gt;0)*(Inventory!$H$6:$H$205="Costco")),8),""),(Inventory!$G$6:$G$205+(205-ROW(Inventory!$G$6:$G$205))/10000),0),""))),"")</f>
        <v/>
      </c>
      <c r="B16" s="46">
        <f>IFERROR(IF(IFERROR(AGGREGATE(14,6,(Inventory!$G$6:$G$205+(205-ROW(Inventory!$G$6:$G$205))/10000)/((Inventory!$G$6:$G$205&gt;0)*(Inventory!$H$6:$H$205="Costco")),8),"")="","",INDEX(Inventory!$B$6:$B$205,IFERROR(MATCH(IFERROR(AGGREGATE(14,6,(Inventory!$G$6:$G$205+(205-ROW(Inventory!$G$6:$G$205))/10000)/((Inventory!$G$6:$G$205&gt;0)*(Inventory!$H$6:$H$205="Costco")),8),""),(Inventory!$G$6:$G$205+(205-ROW(Inventory!$G$6:$G$205))/10000),0),""))),"")</f>
        <v/>
      </c>
      <c r="C16" s="46">
        <f>IFERROR(IF(IFERROR(AGGREGATE(14,6,(Inventory!$G$6:$G$205+(205-ROW(Inventory!$G$6:$G$205))/10000)/((Inventory!$G$6:$G$205&gt;0)*(Inventory!$H$6:$H$205="Costco")),8),"")="","",INDEX(Inventory!$D$6:$D$205,IFERROR(MATCH(IFERROR(AGGREGATE(14,6,(Inventory!$G$6:$G$205+(205-ROW(Inventory!$G$6:$G$205))/10000)/((Inventory!$G$6:$G$205&gt;0)*(Inventory!$H$6:$H$205="Costco")),8),""),(Inventory!$G$6:$G$205+(205-ROW(Inventory!$G$6:$G$205))/10000),0),""))),"")</f>
        <v/>
      </c>
      <c r="D16" s="41">
        <f>IFERROR(IF(IFERROR(AGGREGATE(14,6,(Inventory!$G$6:$G$205+(205-ROW(Inventory!$G$6:$G$205))/10000)/((Inventory!$G$6:$G$205&gt;0)*(Inventory!$H$6:$H$205="Costco")),8),"")="","",INDEX(Inventory!$E$6:$E$205,IFERROR(MATCH(IFERROR(AGGREGATE(14,6,(Inventory!$G$6:$G$205+(205-ROW(Inventory!$G$6:$G$205))/10000)/((Inventory!$G$6:$G$205&gt;0)*(Inventory!$H$6:$H$205="Costco")),8),""),(Inventory!$G$6:$G$205+(205-ROW(Inventory!$G$6:$G$205))/10000),0),""))),"")</f>
        <v/>
      </c>
      <c r="E16" s="41">
        <f>IFERROR(IF(IFERROR(AGGREGATE(14,6,(Inventory!$G$6:$G$205+(205-ROW(Inventory!$G$6:$G$205))/10000)/((Inventory!$G$6:$G$205&gt;0)*(Inventory!$H$6:$H$205="Costco")),8),"")="","",INDEX(Inventory!$F$6:$F$205,IFERROR(MATCH(IFERROR(AGGREGATE(14,6,(Inventory!$G$6:$G$205+(205-ROW(Inventory!$G$6:$G$205))/10000)/((Inventory!$G$6:$G$205&gt;0)*(Inventory!$H$6:$H$205="Costco")),8),""),(Inventory!$G$6:$G$205+(205-ROW(Inventory!$G$6:$G$205))/10000),0),""))),"")</f>
        <v/>
      </c>
      <c r="F16" s="41">
        <f>IFERROR(IF(IFERROR(AGGREGATE(14,6,(Inventory!$G$6:$G$205+(205-ROW(Inventory!$G$6:$G$205))/10000)/((Inventory!$G$6:$G$205&gt;0)*(Inventory!$H$6:$H$205="Costco")),8),"")="","",INDEX(Inventory!$J$6:$J$205,IFERROR(MATCH(IFERROR(AGGREGATE(14,6,(Inventory!$G$6:$G$205+(205-ROW(Inventory!$G$6:$G$205))/10000)/((Inventory!$G$6:$G$205&gt;0)*(Inventory!$H$6:$H$205="Costco")),8),""),(Inventory!$G$6:$G$205+(205-ROW(Inventory!$G$6:$G$205))/10000),0),""))),"")</f>
        <v/>
      </c>
      <c r="G16" s="43">
        <f>IFERROR(IF(IFERROR(AGGREGATE(14,6,(Inventory!$G$6:$G$205+(205-ROW(Inventory!$G$6:$G$205))/10000)/((Inventory!$G$6:$G$205&gt;0)*(Inventory!$H$6:$H$205="Costco")),8),"")="","",INDEX(Inventory!$J$6:$J$205,IFERROR(MATCH(IFERROR(AGGREGATE(14,6,(Inventory!$G$6:$G$205+(205-ROW(Inventory!$G$6:$G$205))/10000)/((Inventory!$G$6:$G$205&gt;0)*(Inventory!$H$6:$H$205="Costco")),8),""),(Inventory!$G$6:$G$205+(205-ROW(Inventory!$G$6:$G$205))/10000),0),""))*INDEX(Inventory!$I$6:$I$205,IFERROR(MATCH(IFERROR(AGGREGATE(14,6,(Inventory!$G$6:$G$205+(205-ROW(Inventory!$G$6:$G$205))/10000)/((Inventory!$G$6:$G$205&gt;0)*(Inventory!$H$6:$H$205="Costco")),8),""),(Inventory!$G$6:$G$205+(205-ROW(Inventory!$G$6:$G$205))/10000),0),""))),"")</f>
        <v/>
      </c>
    </row>
    <row r="17" ht="14" customHeight="1">
      <c r="A17" s="46">
        <f>IFERROR(IF(IFERROR(AGGREGATE(14,6,(Inventory!$G$6:$G$205+(205-ROW(Inventory!$G$6:$G$205))/10000)/((Inventory!$G$6:$G$205&gt;0)*(Inventory!$H$6:$H$205="Costco")),9),"")="","",INDEX(Inventory!$A$6:$A$205,IFERROR(MATCH(IFERROR(AGGREGATE(14,6,(Inventory!$G$6:$G$205+(205-ROW(Inventory!$G$6:$G$205))/10000)/((Inventory!$G$6:$G$205&gt;0)*(Inventory!$H$6:$H$205="Costco")),9),""),(Inventory!$G$6:$G$205+(205-ROW(Inventory!$G$6:$G$205))/10000),0),""))),"")</f>
        <v/>
      </c>
      <c r="B17" s="46">
        <f>IFERROR(IF(IFERROR(AGGREGATE(14,6,(Inventory!$G$6:$G$205+(205-ROW(Inventory!$G$6:$G$205))/10000)/((Inventory!$G$6:$G$205&gt;0)*(Inventory!$H$6:$H$205="Costco")),9),"")="","",INDEX(Inventory!$B$6:$B$205,IFERROR(MATCH(IFERROR(AGGREGATE(14,6,(Inventory!$G$6:$G$205+(205-ROW(Inventory!$G$6:$G$205))/10000)/((Inventory!$G$6:$G$205&gt;0)*(Inventory!$H$6:$H$205="Costco")),9),""),(Inventory!$G$6:$G$205+(205-ROW(Inventory!$G$6:$G$205))/10000),0),""))),"")</f>
        <v/>
      </c>
      <c r="C17" s="46">
        <f>IFERROR(IF(IFERROR(AGGREGATE(14,6,(Inventory!$G$6:$G$205+(205-ROW(Inventory!$G$6:$G$205))/10000)/((Inventory!$G$6:$G$205&gt;0)*(Inventory!$H$6:$H$205="Costco")),9),"")="","",INDEX(Inventory!$D$6:$D$205,IFERROR(MATCH(IFERROR(AGGREGATE(14,6,(Inventory!$G$6:$G$205+(205-ROW(Inventory!$G$6:$G$205))/10000)/((Inventory!$G$6:$G$205&gt;0)*(Inventory!$H$6:$H$205="Costco")),9),""),(Inventory!$G$6:$G$205+(205-ROW(Inventory!$G$6:$G$205))/10000),0),""))),"")</f>
        <v/>
      </c>
      <c r="D17" s="41">
        <f>IFERROR(IF(IFERROR(AGGREGATE(14,6,(Inventory!$G$6:$G$205+(205-ROW(Inventory!$G$6:$G$205))/10000)/((Inventory!$G$6:$G$205&gt;0)*(Inventory!$H$6:$H$205="Costco")),9),"")="","",INDEX(Inventory!$E$6:$E$205,IFERROR(MATCH(IFERROR(AGGREGATE(14,6,(Inventory!$G$6:$G$205+(205-ROW(Inventory!$G$6:$G$205))/10000)/((Inventory!$G$6:$G$205&gt;0)*(Inventory!$H$6:$H$205="Costco")),9),""),(Inventory!$G$6:$G$205+(205-ROW(Inventory!$G$6:$G$205))/10000),0),""))),"")</f>
        <v/>
      </c>
      <c r="E17" s="41">
        <f>IFERROR(IF(IFERROR(AGGREGATE(14,6,(Inventory!$G$6:$G$205+(205-ROW(Inventory!$G$6:$G$205))/10000)/((Inventory!$G$6:$G$205&gt;0)*(Inventory!$H$6:$H$205="Costco")),9),"")="","",INDEX(Inventory!$F$6:$F$205,IFERROR(MATCH(IFERROR(AGGREGATE(14,6,(Inventory!$G$6:$G$205+(205-ROW(Inventory!$G$6:$G$205))/10000)/((Inventory!$G$6:$G$205&gt;0)*(Inventory!$H$6:$H$205="Costco")),9),""),(Inventory!$G$6:$G$205+(205-ROW(Inventory!$G$6:$G$205))/10000),0),""))),"")</f>
        <v/>
      </c>
      <c r="F17" s="41">
        <f>IFERROR(IF(IFERROR(AGGREGATE(14,6,(Inventory!$G$6:$G$205+(205-ROW(Inventory!$G$6:$G$205))/10000)/((Inventory!$G$6:$G$205&gt;0)*(Inventory!$H$6:$H$205="Costco")),9),"")="","",INDEX(Inventory!$J$6:$J$205,IFERROR(MATCH(IFERROR(AGGREGATE(14,6,(Inventory!$G$6:$G$205+(205-ROW(Inventory!$G$6:$G$205))/10000)/((Inventory!$G$6:$G$205&gt;0)*(Inventory!$H$6:$H$205="Costco")),9),""),(Inventory!$G$6:$G$205+(205-ROW(Inventory!$G$6:$G$205))/10000),0),""))),"")</f>
        <v/>
      </c>
      <c r="G17" s="43">
        <f>IFERROR(IF(IFERROR(AGGREGATE(14,6,(Inventory!$G$6:$G$205+(205-ROW(Inventory!$G$6:$G$205))/10000)/((Inventory!$G$6:$G$205&gt;0)*(Inventory!$H$6:$H$205="Costco")),9),"")="","",INDEX(Inventory!$J$6:$J$205,IFERROR(MATCH(IFERROR(AGGREGATE(14,6,(Inventory!$G$6:$G$205+(205-ROW(Inventory!$G$6:$G$205))/10000)/((Inventory!$G$6:$G$205&gt;0)*(Inventory!$H$6:$H$205="Costco")),9),""),(Inventory!$G$6:$G$205+(205-ROW(Inventory!$G$6:$G$205))/10000),0),""))*INDEX(Inventory!$I$6:$I$205,IFERROR(MATCH(IFERROR(AGGREGATE(14,6,(Inventory!$G$6:$G$205+(205-ROW(Inventory!$G$6:$G$205))/10000)/((Inventory!$G$6:$G$205&gt;0)*(Inventory!$H$6:$H$205="Costco")),9),""),(Inventory!$G$6:$G$205+(205-ROW(Inventory!$G$6:$G$205))/10000),0),""))),"")</f>
        <v/>
      </c>
    </row>
    <row r="18" ht="14" customHeight="1">
      <c r="A18" s="46">
        <f>IFERROR(IF(IFERROR(AGGREGATE(14,6,(Inventory!$G$6:$G$205+(205-ROW(Inventory!$G$6:$G$205))/10000)/((Inventory!$G$6:$G$205&gt;0)*(Inventory!$H$6:$H$205="Costco")),10),"")="","",INDEX(Inventory!$A$6:$A$205,IFERROR(MATCH(IFERROR(AGGREGATE(14,6,(Inventory!$G$6:$G$205+(205-ROW(Inventory!$G$6:$G$205))/10000)/((Inventory!$G$6:$G$205&gt;0)*(Inventory!$H$6:$H$205="Costco")),10),""),(Inventory!$G$6:$G$205+(205-ROW(Inventory!$G$6:$G$205))/10000),0),""))),"")</f>
        <v/>
      </c>
      <c r="B18" s="46">
        <f>IFERROR(IF(IFERROR(AGGREGATE(14,6,(Inventory!$G$6:$G$205+(205-ROW(Inventory!$G$6:$G$205))/10000)/((Inventory!$G$6:$G$205&gt;0)*(Inventory!$H$6:$H$205="Costco")),10),"")="","",INDEX(Inventory!$B$6:$B$205,IFERROR(MATCH(IFERROR(AGGREGATE(14,6,(Inventory!$G$6:$G$205+(205-ROW(Inventory!$G$6:$G$205))/10000)/((Inventory!$G$6:$G$205&gt;0)*(Inventory!$H$6:$H$205="Costco")),10),""),(Inventory!$G$6:$G$205+(205-ROW(Inventory!$G$6:$G$205))/10000),0),""))),"")</f>
        <v/>
      </c>
      <c r="C18" s="46">
        <f>IFERROR(IF(IFERROR(AGGREGATE(14,6,(Inventory!$G$6:$G$205+(205-ROW(Inventory!$G$6:$G$205))/10000)/((Inventory!$G$6:$G$205&gt;0)*(Inventory!$H$6:$H$205="Costco")),10),"")="","",INDEX(Inventory!$D$6:$D$205,IFERROR(MATCH(IFERROR(AGGREGATE(14,6,(Inventory!$G$6:$G$205+(205-ROW(Inventory!$G$6:$G$205))/10000)/((Inventory!$G$6:$G$205&gt;0)*(Inventory!$H$6:$H$205="Costco")),10),""),(Inventory!$G$6:$G$205+(205-ROW(Inventory!$G$6:$G$205))/10000),0),""))),"")</f>
        <v/>
      </c>
      <c r="D18" s="41">
        <f>IFERROR(IF(IFERROR(AGGREGATE(14,6,(Inventory!$G$6:$G$205+(205-ROW(Inventory!$G$6:$G$205))/10000)/((Inventory!$G$6:$G$205&gt;0)*(Inventory!$H$6:$H$205="Costco")),10),"")="","",INDEX(Inventory!$E$6:$E$205,IFERROR(MATCH(IFERROR(AGGREGATE(14,6,(Inventory!$G$6:$G$205+(205-ROW(Inventory!$G$6:$G$205))/10000)/((Inventory!$G$6:$G$205&gt;0)*(Inventory!$H$6:$H$205="Costco")),10),""),(Inventory!$G$6:$G$205+(205-ROW(Inventory!$G$6:$G$205))/10000),0),""))),"")</f>
        <v/>
      </c>
      <c r="E18" s="41">
        <f>IFERROR(IF(IFERROR(AGGREGATE(14,6,(Inventory!$G$6:$G$205+(205-ROW(Inventory!$G$6:$G$205))/10000)/((Inventory!$G$6:$G$205&gt;0)*(Inventory!$H$6:$H$205="Costco")),10),"")="","",INDEX(Inventory!$F$6:$F$205,IFERROR(MATCH(IFERROR(AGGREGATE(14,6,(Inventory!$G$6:$G$205+(205-ROW(Inventory!$G$6:$G$205))/10000)/((Inventory!$G$6:$G$205&gt;0)*(Inventory!$H$6:$H$205="Costco")),10),""),(Inventory!$G$6:$G$205+(205-ROW(Inventory!$G$6:$G$205))/10000),0),""))),"")</f>
        <v/>
      </c>
      <c r="F18" s="41">
        <f>IFERROR(IF(IFERROR(AGGREGATE(14,6,(Inventory!$G$6:$G$205+(205-ROW(Inventory!$G$6:$G$205))/10000)/((Inventory!$G$6:$G$205&gt;0)*(Inventory!$H$6:$H$205="Costco")),10),"")="","",INDEX(Inventory!$J$6:$J$205,IFERROR(MATCH(IFERROR(AGGREGATE(14,6,(Inventory!$G$6:$G$205+(205-ROW(Inventory!$G$6:$G$205))/10000)/((Inventory!$G$6:$G$205&gt;0)*(Inventory!$H$6:$H$205="Costco")),10),""),(Inventory!$G$6:$G$205+(205-ROW(Inventory!$G$6:$G$205))/10000),0),""))),"")</f>
        <v/>
      </c>
      <c r="G18" s="43">
        <f>IFERROR(IF(IFERROR(AGGREGATE(14,6,(Inventory!$G$6:$G$205+(205-ROW(Inventory!$G$6:$G$205))/10000)/((Inventory!$G$6:$G$205&gt;0)*(Inventory!$H$6:$H$205="Costco")),10),"")="","",INDEX(Inventory!$J$6:$J$205,IFERROR(MATCH(IFERROR(AGGREGATE(14,6,(Inventory!$G$6:$G$205+(205-ROW(Inventory!$G$6:$G$205))/10000)/((Inventory!$G$6:$G$205&gt;0)*(Inventory!$H$6:$H$205="Costco")),10),""),(Inventory!$G$6:$G$205+(205-ROW(Inventory!$G$6:$G$205))/10000),0),""))*INDEX(Inventory!$I$6:$I$205,IFERROR(MATCH(IFERROR(AGGREGATE(14,6,(Inventory!$G$6:$G$205+(205-ROW(Inventory!$G$6:$G$205))/10000)/((Inventory!$G$6:$G$205&gt;0)*(Inventory!$H$6:$H$205="Costco")),10),""),(Inventory!$G$6:$G$205+(205-ROW(Inventory!$G$6:$G$205))/10000),0),""))),"")</f>
        <v/>
      </c>
    </row>
    <row r="19" ht="14" customHeight="1">
      <c r="A19" s="46">
        <f>IFERROR(IF(IFERROR(AGGREGATE(14,6,(Inventory!$G$6:$G$205+(205-ROW(Inventory!$G$6:$G$205))/10000)/((Inventory!$G$6:$G$205&gt;0)*(Inventory!$H$6:$H$205="Costco")),11),"")="","",INDEX(Inventory!$A$6:$A$205,IFERROR(MATCH(IFERROR(AGGREGATE(14,6,(Inventory!$G$6:$G$205+(205-ROW(Inventory!$G$6:$G$205))/10000)/((Inventory!$G$6:$G$205&gt;0)*(Inventory!$H$6:$H$205="Costco")),11),""),(Inventory!$G$6:$G$205+(205-ROW(Inventory!$G$6:$G$205))/10000),0),""))),"")</f>
        <v/>
      </c>
      <c r="B19" s="46">
        <f>IFERROR(IF(IFERROR(AGGREGATE(14,6,(Inventory!$G$6:$G$205+(205-ROW(Inventory!$G$6:$G$205))/10000)/((Inventory!$G$6:$G$205&gt;0)*(Inventory!$H$6:$H$205="Costco")),11),"")="","",INDEX(Inventory!$B$6:$B$205,IFERROR(MATCH(IFERROR(AGGREGATE(14,6,(Inventory!$G$6:$G$205+(205-ROW(Inventory!$G$6:$G$205))/10000)/((Inventory!$G$6:$G$205&gt;0)*(Inventory!$H$6:$H$205="Costco")),11),""),(Inventory!$G$6:$G$205+(205-ROW(Inventory!$G$6:$G$205))/10000),0),""))),"")</f>
        <v/>
      </c>
      <c r="C19" s="46">
        <f>IFERROR(IF(IFERROR(AGGREGATE(14,6,(Inventory!$G$6:$G$205+(205-ROW(Inventory!$G$6:$G$205))/10000)/((Inventory!$G$6:$G$205&gt;0)*(Inventory!$H$6:$H$205="Costco")),11),"")="","",INDEX(Inventory!$D$6:$D$205,IFERROR(MATCH(IFERROR(AGGREGATE(14,6,(Inventory!$G$6:$G$205+(205-ROW(Inventory!$G$6:$G$205))/10000)/((Inventory!$G$6:$G$205&gt;0)*(Inventory!$H$6:$H$205="Costco")),11),""),(Inventory!$G$6:$G$205+(205-ROW(Inventory!$G$6:$G$205))/10000),0),""))),"")</f>
        <v/>
      </c>
      <c r="D19" s="41">
        <f>IFERROR(IF(IFERROR(AGGREGATE(14,6,(Inventory!$G$6:$G$205+(205-ROW(Inventory!$G$6:$G$205))/10000)/((Inventory!$G$6:$G$205&gt;0)*(Inventory!$H$6:$H$205="Costco")),11),"")="","",INDEX(Inventory!$E$6:$E$205,IFERROR(MATCH(IFERROR(AGGREGATE(14,6,(Inventory!$G$6:$G$205+(205-ROW(Inventory!$G$6:$G$205))/10000)/((Inventory!$G$6:$G$205&gt;0)*(Inventory!$H$6:$H$205="Costco")),11),""),(Inventory!$G$6:$G$205+(205-ROW(Inventory!$G$6:$G$205))/10000),0),""))),"")</f>
        <v/>
      </c>
      <c r="E19" s="41">
        <f>IFERROR(IF(IFERROR(AGGREGATE(14,6,(Inventory!$G$6:$G$205+(205-ROW(Inventory!$G$6:$G$205))/10000)/((Inventory!$G$6:$G$205&gt;0)*(Inventory!$H$6:$H$205="Costco")),11),"")="","",INDEX(Inventory!$F$6:$F$205,IFERROR(MATCH(IFERROR(AGGREGATE(14,6,(Inventory!$G$6:$G$205+(205-ROW(Inventory!$G$6:$G$205))/10000)/((Inventory!$G$6:$G$205&gt;0)*(Inventory!$H$6:$H$205="Costco")),11),""),(Inventory!$G$6:$G$205+(205-ROW(Inventory!$G$6:$G$205))/10000),0),""))),"")</f>
        <v/>
      </c>
      <c r="F19" s="41">
        <f>IFERROR(IF(IFERROR(AGGREGATE(14,6,(Inventory!$G$6:$G$205+(205-ROW(Inventory!$G$6:$G$205))/10000)/((Inventory!$G$6:$G$205&gt;0)*(Inventory!$H$6:$H$205="Costco")),11),"")="","",INDEX(Inventory!$J$6:$J$205,IFERROR(MATCH(IFERROR(AGGREGATE(14,6,(Inventory!$G$6:$G$205+(205-ROW(Inventory!$G$6:$G$205))/10000)/((Inventory!$G$6:$G$205&gt;0)*(Inventory!$H$6:$H$205="Costco")),11),""),(Inventory!$G$6:$G$205+(205-ROW(Inventory!$G$6:$G$205))/10000),0),""))),"")</f>
        <v/>
      </c>
      <c r="G19" s="43">
        <f>IFERROR(IF(IFERROR(AGGREGATE(14,6,(Inventory!$G$6:$G$205+(205-ROW(Inventory!$G$6:$G$205))/10000)/((Inventory!$G$6:$G$205&gt;0)*(Inventory!$H$6:$H$205="Costco")),11),"")="","",INDEX(Inventory!$J$6:$J$205,IFERROR(MATCH(IFERROR(AGGREGATE(14,6,(Inventory!$G$6:$G$205+(205-ROW(Inventory!$G$6:$G$205))/10000)/((Inventory!$G$6:$G$205&gt;0)*(Inventory!$H$6:$H$205="Costco")),11),""),(Inventory!$G$6:$G$205+(205-ROW(Inventory!$G$6:$G$205))/10000),0),""))*INDEX(Inventory!$I$6:$I$205,IFERROR(MATCH(IFERROR(AGGREGATE(14,6,(Inventory!$G$6:$G$205+(205-ROW(Inventory!$G$6:$G$205))/10000)/((Inventory!$G$6:$G$205&gt;0)*(Inventory!$H$6:$H$205="Costco")),11),""),(Inventory!$G$6:$G$205+(205-ROW(Inventory!$G$6:$G$205))/10000),0),""))),"")</f>
        <v/>
      </c>
    </row>
    <row r="20" ht="14" customHeight="1">
      <c r="A20" s="46">
        <f>IFERROR(IF(IFERROR(AGGREGATE(14,6,(Inventory!$G$6:$G$205+(205-ROW(Inventory!$G$6:$G$205))/10000)/((Inventory!$G$6:$G$205&gt;0)*(Inventory!$H$6:$H$205="Costco")),12),"")="","",INDEX(Inventory!$A$6:$A$205,IFERROR(MATCH(IFERROR(AGGREGATE(14,6,(Inventory!$G$6:$G$205+(205-ROW(Inventory!$G$6:$G$205))/10000)/((Inventory!$G$6:$G$205&gt;0)*(Inventory!$H$6:$H$205="Costco")),12),""),(Inventory!$G$6:$G$205+(205-ROW(Inventory!$G$6:$G$205))/10000),0),""))),"")</f>
        <v/>
      </c>
      <c r="B20" s="46">
        <f>IFERROR(IF(IFERROR(AGGREGATE(14,6,(Inventory!$G$6:$G$205+(205-ROW(Inventory!$G$6:$G$205))/10000)/((Inventory!$G$6:$G$205&gt;0)*(Inventory!$H$6:$H$205="Costco")),12),"")="","",INDEX(Inventory!$B$6:$B$205,IFERROR(MATCH(IFERROR(AGGREGATE(14,6,(Inventory!$G$6:$G$205+(205-ROW(Inventory!$G$6:$G$205))/10000)/((Inventory!$G$6:$G$205&gt;0)*(Inventory!$H$6:$H$205="Costco")),12),""),(Inventory!$G$6:$G$205+(205-ROW(Inventory!$G$6:$G$205))/10000),0),""))),"")</f>
        <v/>
      </c>
      <c r="C20" s="46">
        <f>IFERROR(IF(IFERROR(AGGREGATE(14,6,(Inventory!$G$6:$G$205+(205-ROW(Inventory!$G$6:$G$205))/10000)/((Inventory!$G$6:$G$205&gt;0)*(Inventory!$H$6:$H$205="Costco")),12),"")="","",INDEX(Inventory!$D$6:$D$205,IFERROR(MATCH(IFERROR(AGGREGATE(14,6,(Inventory!$G$6:$G$205+(205-ROW(Inventory!$G$6:$G$205))/10000)/((Inventory!$G$6:$G$205&gt;0)*(Inventory!$H$6:$H$205="Costco")),12),""),(Inventory!$G$6:$G$205+(205-ROW(Inventory!$G$6:$G$205))/10000),0),""))),"")</f>
        <v/>
      </c>
      <c r="D20" s="41">
        <f>IFERROR(IF(IFERROR(AGGREGATE(14,6,(Inventory!$G$6:$G$205+(205-ROW(Inventory!$G$6:$G$205))/10000)/((Inventory!$G$6:$G$205&gt;0)*(Inventory!$H$6:$H$205="Costco")),12),"")="","",INDEX(Inventory!$E$6:$E$205,IFERROR(MATCH(IFERROR(AGGREGATE(14,6,(Inventory!$G$6:$G$205+(205-ROW(Inventory!$G$6:$G$205))/10000)/((Inventory!$G$6:$G$205&gt;0)*(Inventory!$H$6:$H$205="Costco")),12),""),(Inventory!$G$6:$G$205+(205-ROW(Inventory!$G$6:$G$205))/10000),0),""))),"")</f>
        <v/>
      </c>
      <c r="E20" s="41">
        <f>IFERROR(IF(IFERROR(AGGREGATE(14,6,(Inventory!$G$6:$G$205+(205-ROW(Inventory!$G$6:$G$205))/10000)/((Inventory!$G$6:$G$205&gt;0)*(Inventory!$H$6:$H$205="Costco")),12),"")="","",INDEX(Inventory!$F$6:$F$205,IFERROR(MATCH(IFERROR(AGGREGATE(14,6,(Inventory!$G$6:$G$205+(205-ROW(Inventory!$G$6:$G$205))/10000)/((Inventory!$G$6:$G$205&gt;0)*(Inventory!$H$6:$H$205="Costco")),12),""),(Inventory!$G$6:$G$205+(205-ROW(Inventory!$G$6:$G$205))/10000),0),""))),"")</f>
        <v/>
      </c>
      <c r="F20" s="41">
        <f>IFERROR(IF(IFERROR(AGGREGATE(14,6,(Inventory!$G$6:$G$205+(205-ROW(Inventory!$G$6:$G$205))/10000)/((Inventory!$G$6:$G$205&gt;0)*(Inventory!$H$6:$H$205="Costco")),12),"")="","",INDEX(Inventory!$J$6:$J$205,IFERROR(MATCH(IFERROR(AGGREGATE(14,6,(Inventory!$G$6:$G$205+(205-ROW(Inventory!$G$6:$G$205))/10000)/((Inventory!$G$6:$G$205&gt;0)*(Inventory!$H$6:$H$205="Costco")),12),""),(Inventory!$G$6:$G$205+(205-ROW(Inventory!$G$6:$G$205))/10000),0),""))),"")</f>
        <v/>
      </c>
      <c r="G20" s="43">
        <f>IFERROR(IF(IFERROR(AGGREGATE(14,6,(Inventory!$G$6:$G$205+(205-ROW(Inventory!$G$6:$G$205))/10000)/((Inventory!$G$6:$G$205&gt;0)*(Inventory!$H$6:$H$205="Costco")),12),"")="","",INDEX(Inventory!$J$6:$J$205,IFERROR(MATCH(IFERROR(AGGREGATE(14,6,(Inventory!$G$6:$G$205+(205-ROW(Inventory!$G$6:$G$205))/10000)/((Inventory!$G$6:$G$205&gt;0)*(Inventory!$H$6:$H$205="Costco")),12),""),(Inventory!$G$6:$G$205+(205-ROW(Inventory!$G$6:$G$205))/10000),0),""))*INDEX(Inventory!$I$6:$I$205,IFERROR(MATCH(IFERROR(AGGREGATE(14,6,(Inventory!$G$6:$G$205+(205-ROW(Inventory!$G$6:$G$205))/10000)/((Inventory!$G$6:$G$205&gt;0)*(Inventory!$H$6:$H$205="Costco")),12),""),(Inventory!$G$6:$G$205+(205-ROW(Inventory!$G$6:$G$205))/10000),0),""))),"")</f>
        <v/>
      </c>
    </row>
    <row r="21" ht="14" customHeight="1">
      <c r="A21" s="46">
        <f>IFERROR(IF(IFERROR(AGGREGATE(14,6,(Inventory!$G$6:$G$205+(205-ROW(Inventory!$G$6:$G$205))/10000)/((Inventory!$G$6:$G$205&gt;0)*(Inventory!$H$6:$H$205="Costco")),13),"")="","",INDEX(Inventory!$A$6:$A$205,IFERROR(MATCH(IFERROR(AGGREGATE(14,6,(Inventory!$G$6:$G$205+(205-ROW(Inventory!$G$6:$G$205))/10000)/((Inventory!$G$6:$G$205&gt;0)*(Inventory!$H$6:$H$205="Costco")),13),""),(Inventory!$G$6:$G$205+(205-ROW(Inventory!$G$6:$G$205))/10000),0),""))),"")</f>
        <v/>
      </c>
      <c r="B21" s="46">
        <f>IFERROR(IF(IFERROR(AGGREGATE(14,6,(Inventory!$G$6:$G$205+(205-ROW(Inventory!$G$6:$G$205))/10000)/((Inventory!$G$6:$G$205&gt;0)*(Inventory!$H$6:$H$205="Costco")),13),"")="","",INDEX(Inventory!$B$6:$B$205,IFERROR(MATCH(IFERROR(AGGREGATE(14,6,(Inventory!$G$6:$G$205+(205-ROW(Inventory!$G$6:$G$205))/10000)/((Inventory!$G$6:$G$205&gt;0)*(Inventory!$H$6:$H$205="Costco")),13),""),(Inventory!$G$6:$G$205+(205-ROW(Inventory!$G$6:$G$205))/10000),0),""))),"")</f>
        <v/>
      </c>
      <c r="C21" s="46">
        <f>IFERROR(IF(IFERROR(AGGREGATE(14,6,(Inventory!$G$6:$G$205+(205-ROW(Inventory!$G$6:$G$205))/10000)/((Inventory!$G$6:$G$205&gt;0)*(Inventory!$H$6:$H$205="Costco")),13),"")="","",INDEX(Inventory!$D$6:$D$205,IFERROR(MATCH(IFERROR(AGGREGATE(14,6,(Inventory!$G$6:$G$205+(205-ROW(Inventory!$G$6:$G$205))/10000)/((Inventory!$G$6:$G$205&gt;0)*(Inventory!$H$6:$H$205="Costco")),13),""),(Inventory!$G$6:$G$205+(205-ROW(Inventory!$G$6:$G$205))/10000),0),""))),"")</f>
        <v/>
      </c>
      <c r="D21" s="41">
        <f>IFERROR(IF(IFERROR(AGGREGATE(14,6,(Inventory!$G$6:$G$205+(205-ROW(Inventory!$G$6:$G$205))/10000)/((Inventory!$G$6:$G$205&gt;0)*(Inventory!$H$6:$H$205="Costco")),13),"")="","",INDEX(Inventory!$E$6:$E$205,IFERROR(MATCH(IFERROR(AGGREGATE(14,6,(Inventory!$G$6:$G$205+(205-ROW(Inventory!$G$6:$G$205))/10000)/((Inventory!$G$6:$G$205&gt;0)*(Inventory!$H$6:$H$205="Costco")),13),""),(Inventory!$G$6:$G$205+(205-ROW(Inventory!$G$6:$G$205))/10000),0),""))),"")</f>
        <v/>
      </c>
      <c r="E21" s="41">
        <f>IFERROR(IF(IFERROR(AGGREGATE(14,6,(Inventory!$G$6:$G$205+(205-ROW(Inventory!$G$6:$G$205))/10000)/((Inventory!$G$6:$G$205&gt;0)*(Inventory!$H$6:$H$205="Costco")),13),"")="","",INDEX(Inventory!$F$6:$F$205,IFERROR(MATCH(IFERROR(AGGREGATE(14,6,(Inventory!$G$6:$G$205+(205-ROW(Inventory!$G$6:$G$205))/10000)/((Inventory!$G$6:$G$205&gt;0)*(Inventory!$H$6:$H$205="Costco")),13),""),(Inventory!$G$6:$G$205+(205-ROW(Inventory!$G$6:$G$205))/10000),0),""))),"")</f>
        <v/>
      </c>
      <c r="F21" s="41">
        <f>IFERROR(IF(IFERROR(AGGREGATE(14,6,(Inventory!$G$6:$G$205+(205-ROW(Inventory!$G$6:$G$205))/10000)/((Inventory!$G$6:$G$205&gt;0)*(Inventory!$H$6:$H$205="Costco")),13),"")="","",INDEX(Inventory!$J$6:$J$205,IFERROR(MATCH(IFERROR(AGGREGATE(14,6,(Inventory!$G$6:$G$205+(205-ROW(Inventory!$G$6:$G$205))/10000)/((Inventory!$G$6:$G$205&gt;0)*(Inventory!$H$6:$H$205="Costco")),13),""),(Inventory!$G$6:$G$205+(205-ROW(Inventory!$G$6:$G$205))/10000),0),""))),"")</f>
        <v/>
      </c>
      <c r="G21" s="43">
        <f>IFERROR(IF(IFERROR(AGGREGATE(14,6,(Inventory!$G$6:$G$205+(205-ROW(Inventory!$G$6:$G$205))/10000)/((Inventory!$G$6:$G$205&gt;0)*(Inventory!$H$6:$H$205="Costco")),13),"")="","",INDEX(Inventory!$J$6:$J$205,IFERROR(MATCH(IFERROR(AGGREGATE(14,6,(Inventory!$G$6:$G$205+(205-ROW(Inventory!$G$6:$G$205))/10000)/((Inventory!$G$6:$G$205&gt;0)*(Inventory!$H$6:$H$205="Costco")),13),""),(Inventory!$G$6:$G$205+(205-ROW(Inventory!$G$6:$G$205))/10000),0),""))*INDEX(Inventory!$I$6:$I$205,IFERROR(MATCH(IFERROR(AGGREGATE(14,6,(Inventory!$G$6:$G$205+(205-ROW(Inventory!$G$6:$G$205))/10000)/((Inventory!$G$6:$G$205&gt;0)*(Inventory!$H$6:$H$205="Costco")),13),""),(Inventory!$G$6:$G$205+(205-ROW(Inventory!$G$6:$G$205))/10000),0),""))),"")</f>
        <v/>
      </c>
    </row>
    <row r="22" ht="14" customHeight="1">
      <c r="A22" s="46">
        <f>IFERROR(IF(IFERROR(AGGREGATE(14,6,(Inventory!$G$6:$G$205+(205-ROW(Inventory!$G$6:$G$205))/10000)/((Inventory!$G$6:$G$205&gt;0)*(Inventory!$H$6:$H$205="Costco")),14),"")="","",INDEX(Inventory!$A$6:$A$205,IFERROR(MATCH(IFERROR(AGGREGATE(14,6,(Inventory!$G$6:$G$205+(205-ROW(Inventory!$G$6:$G$205))/10000)/((Inventory!$G$6:$G$205&gt;0)*(Inventory!$H$6:$H$205="Costco")),14),""),(Inventory!$G$6:$G$205+(205-ROW(Inventory!$G$6:$G$205))/10000),0),""))),"")</f>
        <v/>
      </c>
      <c r="B22" s="46">
        <f>IFERROR(IF(IFERROR(AGGREGATE(14,6,(Inventory!$G$6:$G$205+(205-ROW(Inventory!$G$6:$G$205))/10000)/((Inventory!$G$6:$G$205&gt;0)*(Inventory!$H$6:$H$205="Costco")),14),"")="","",INDEX(Inventory!$B$6:$B$205,IFERROR(MATCH(IFERROR(AGGREGATE(14,6,(Inventory!$G$6:$G$205+(205-ROW(Inventory!$G$6:$G$205))/10000)/((Inventory!$G$6:$G$205&gt;0)*(Inventory!$H$6:$H$205="Costco")),14),""),(Inventory!$G$6:$G$205+(205-ROW(Inventory!$G$6:$G$205))/10000),0),""))),"")</f>
        <v/>
      </c>
      <c r="C22" s="46">
        <f>IFERROR(IF(IFERROR(AGGREGATE(14,6,(Inventory!$G$6:$G$205+(205-ROW(Inventory!$G$6:$G$205))/10000)/((Inventory!$G$6:$G$205&gt;0)*(Inventory!$H$6:$H$205="Costco")),14),"")="","",INDEX(Inventory!$D$6:$D$205,IFERROR(MATCH(IFERROR(AGGREGATE(14,6,(Inventory!$G$6:$G$205+(205-ROW(Inventory!$G$6:$G$205))/10000)/((Inventory!$G$6:$G$205&gt;0)*(Inventory!$H$6:$H$205="Costco")),14),""),(Inventory!$G$6:$G$205+(205-ROW(Inventory!$G$6:$G$205))/10000),0),""))),"")</f>
        <v/>
      </c>
      <c r="D22" s="41">
        <f>IFERROR(IF(IFERROR(AGGREGATE(14,6,(Inventory!$G$6:$G$205+(205-ROW(Inventory!$G$6:$G$205))/10000)/((Inventory!$G$6:$G$205&gt;0)*(Inventory!$H$6:$H$205="Costco")),14),"")="","",INDEX(Inventory!$E$6:$E$205,IFERROR(MATCH(IFERROR(AGGREGATE(14,6,(Inventory!$G$6:$G$205+(205-ROW(Inventory!$G$6:$G$205))/10000)/((Inventory!$G$6:$G$205&gt;0)*(Inventory!$H$6:$H$205="Costco")),14),""),(Inventory!$G$6:$G$205+(205-ROW(Inventory!$G$6:$G$205))/10000),0),""))),"")</f>
        <v/>
      </c>
      <c r="E22" s="41">
        <f>IFERROR(IF(IFERROR(AGGREGATE(14,6,(Inventory!$G$6:$G$205+(205-ROW(Inventory!$G$6:$G$205))/10000)/((Inventory!$G$6:$G$205&gt;0)*(Inventory!$H$6:$H$205="Costco")),14),"")="","",INDEX(Inventory!$F$6:$F$205,IFERROR(MATCH(IFERROR(AGGREGATE(14,6,(Inventory!$G$6:$G$205+(205-ROW(Inventory!$G$6:$G$205))/10000)/((Inventory!$G$6:$G$205&gt;0)*(Inventory!$H$6:$H$205="Costco")),14),""),(Inventory!$G$6:$G$205+(205-ROW(Inventory!$G$6:$G$205))/10000),0),""))),"")</f>
        <v/>
      </c>
      <c r="F22" s="41">
        <f>IFERROR(IF(IFERROR(AGGREGATE(14,6,(Inventory!$G$6:$G$205+(205-ROW(Inventory!$G$6:$G$205))/10000)/((Inventory!$G$6:$G$205&gt;0)*(Inventory!$H$6:$H$205="Costco")),14),"")="","",INDEX(Inventory!$J$6:$J$205,IFERROR(MATCH(IFERROR(AGGREGATE(14,6,(Inventory!$G$6:$G$205+(205-ROW(Inventory!$G$6:$G$205))/10000)/((Inventory!$G$6:$G$205&gt;0)*(Inventory!$H$6:$H$205="Costco")),14),""),(Inventory!$G$6:$G$205+(205-ROW(Inventory!$G$6:$G$205))/10000),0),""))),"")</f>
        <v/>
      </c>
      <c r="G22" s="43">
        <f>IFERROR(IF(IFERROR(AGGREGATE(14,6,(Inventory!$G$6:$G$205+(205-ROW(Inventory!$G$6:$G$205))/10000)/((Inventory!$G$6:$G$205&gt;0)*(Inventory!$H$6:$H$205="Costco")),14),"")="","",INDEX(Inventory!$J$6:$J$205,IFERROR(MATCH(IFERROR(AGGREGATE(14,6,(Inventory!$G$6:$G$205+(205-ROW(Inventory!$G$6:$G$205))/10000)/((Inventory!$G$6:$G$205&gt;0)*(Inventory!$H$6:$H$205="Costco")),14),""),(Inventory!$G$6:$G$205+(205-ROW(Inventory!$G$6:$G$205))/10000),0),""))*INDEX(Inventory!$I$6:$I$205,IFERROR(MATCH(IFERROR(AGGREGATE(14,6,(Inventory!$G$6:$G$205+(205-ROW(Inventory!$G$6:$G$205))/10000)/((Inventory!$G$6:$G$205&gt;0)*(Inventory!$H$6:$H$205="Costco")),14),""),(Inventory!$G$6:$G$205+(205-ROW(Inventory!$G$6:$G$205))/10000),0),""))),"")</f>
        <v/>
      </c>
    </row>
    <row r="23" ht="14" customHeight="1">
      <c r="A23" s="46">
        <f>IFERROR(IF(IFERROR(AGGREGATE(14,6,(Inventory!$G$6:$G$205+(205-ROW(Inventory!$G$6:$G$205))/10000)/((Inventory!$G$6:$G$205&gt;0)*(Inventory!$H$6:$H$205="Costco")),15),"")="","",INDEX(Inventory!$A$6:$A$205,IFERROR(MATCH(IFERROR(AGGREGATE(14,6,(Inventory!$G$6:$G$205+(205-ROW(Inventory!$G$6:$G$205))/10000)/((Inventory!$G$6:$G$205&gt;0)*(Inventory!$H$6:$H$205="Costco")),15),""),(Inventory!$G$6:$G$205+(205-ROW(Inventory!$G$6:$G$205))/10000),0),""))),"")</f>
        <v/>
      </c>
      <c r="B23" s="46">
        <f>IFERROR(IF(IFERROR(AGGREGATE(14,6,(Inventory!$G$6:$G$205+(205-ROW(Inventory!$G$6:$G$205))/10000)/((Inventory!$G$6:$G$205&gt;0)*(Inventory!$H$6:$H$205="Costco")),15),"")="","",INDEX(Inventory!$B$6:$B$205,IFERROR(MATCH(IFERROR(AGGREGATE(14,6,(Inventory!$G$6:$G$205+(205-ROW(Inventory!$G$6:$G$205))/10000)/((Inventory!$G$6:$G$205&gt;0)*(Inventory!$H$6:$H$205="Costco")),15),""),(Inventory!$G$6:$G$205+(205-ROW(Inventory!$G$6:$G$205))/10000),0),""))),"")</f>
        <v/>
      </c>
      <c r="C23" s="46">
        <f>IFERROR(IF(IFERROR(AGGREGATE(14,6,(Inventory!$G$6:$G$205+(205-ROW(Inventory!$G$6:$G$205))/10000)/((Inventory!$G$6:$G$205&gt;0)*(Inventory!$H$6:$H$205="Costco")),15),"")="","",INDEX(Inventory!$D$6:$D$205,IFERROR(MATCH(IFERROR(AGGREGATE(14,6,(Inventory!$G$6:$G$205+(205-ROW(Inventory!$G$6:$G$205))/10000)/((Inventory!$G$6:$G$205&gt;0)*(Inventory!$H$6:$H$205="Costco")),15),""),(Inventory!$G$6:$G$205+(205-ROW(Inventory!$G$6:$G$205))/10000),0),""))),"")</f>
        <v/>
      </c>
      <c r="D23" s="41">
        <f>IFERROR(IF(IFERROR(AGGREGATE(14,6,(Inventory!$G$6:$G$205+(205-ROW(Inventory!$G$6:$G$205))/10000)/((Inventory!$G$6:$G$205&gt;0)*(Inventory!$H$6:$H$205="Costco")),15),"")="","",INDEX(Inventory!$E$6:$E$205,IFERROR(MATCH(IFERROR(AGGREGATE(14,6,(Inventory!$G$6:$G$205+(205-ROW(Inventory!$G$6:$G$205))/10000)/((Inventory!$G$6:$G$205&gt;0)*(Inventory!$H$6:$H$205="Costco")),15),""),(Inventory!$G$6:$G$205+(205-ROW(Inventory!$G$6:$G$205))/10000),0),""))),"")</f>
        <v/>
      </c>
      <c r="E23" s="41">
        <f>IFERROR(IF(IFERROR(AGGREGATE(14,6,(Inventory!$G$6:$G$205+(205-ROW(Inventory!$G$6:$G$205))/10000)/((Inventory!$G$6:$G$205&gt;0)*(Inventory!$H$6:$H$205="Costco")),15),"")="","",INDEX(Inventory!$F$6:$F$205,IFERROR(MATCH(IFERROR(AGGREGATE(14,6,(Inventory!$G$6:$G$205+(205-ROW(Inventory!$G$6:$G$205))/10000)/((Inventory!$G$6:$G$205&gt;0)*(Inventory!$H$6:$H$205="Costco")),15),""),(Inventory!$G$6:$G$205+(205-ROW(Inventory!$G$6:$G$205))/10000),0),""))),"")</f>
        <v/>
      </c>
      <c r="F23" s="41">
        <f>IFERROR(IF(IFERROR(AGGREGATE(14,6,(Inventory!$G$6:$G$205+(205-ROW(Inventory!$G$6:$G$205))/10000)/((Inventory!$G$6:$G$205&gt;0)*(Inventory!$H$6:$H$205="Costco")),15),"")="","",INDEX(Inventory!$J$6:$J$205,IFERROR(MATCH(IFERROR(AGGREGATE(14,6,(Inventory!$G$6:$G$205+(205-ROW(Inventory!$G$6:$G$205))/10000)/((Inventory!$G$6:$G$205&gt;0)*(Inventory!$H$6:$H$205="Costco")),15),""),(Inventory!$G$6:$G$205+(205-ROW(Inventory!$G$6:$G$205))/10000),0),""))),"")</f>
        <v/>
      </c>
      <c r="G23" s="43">
        <f>IFERROR(IF(IFERROR(AGGREGATE(14,6,(Inventory!$G$6:$G$205+(205-ROW(Inventory!$G$6:$G$205))/10000)/((Inventory!$G$6:$G$205&gt;0)*(Inventory!$H$6:$H$205="Costco")),15),"")="","",INDEX(Inventory!$J$6:$J$205,IFERROR(MATCH(IFERROR(AGGREGATE(14,6,(Inventory!$G$6:$G$205+(205-ROW(Inventory!$G$6:$G$205))/10000)/((Inventory!$G$6:$G$205&gt;0)*(Inventory!$H$6:$H$205="Costco")),15),""),(Inventory!$G$6:$G$205+(205-ROW(Inventory!$G$6:$G$205))/10000),0),""))*INDEX(Inventory!$I$6:$I$205,IFERROR(MATCH(IFERROR(AGGREGATE(14,6,(Inventory!$G$6:$G$205+(205-ROW(Inventory!$G$6:$G$205))/10000)/((Inventory!$G$6:$G$205&gt;0)*(Inventory!$H$6:$H$205="Costco")),15),""),(Inventory!$G$6:$G$205+(205-ROW(Inventory!$G$6:$G$205))/10000),0),""))),"")</f>
        <v/>
      </c>
    </row>
    <row r="24" ht="14" customHeight="1">
      <c r="A24" s="46">
        <f>IFERROR(IF(IFERROR(AGGREGATE(14,6,(Inventory!$G$6:$G$205+(205-ROW(Inventory!$G$6:$G$205))/10000)/((Inventory!$G$6:$G$205&gt;0)*(Inventory!$H$6:$H$205="Costco")),16),"")="","",INDEX(Inventory!$A$6:$A$205,IFERROR(MATCH(IFERROR(AGGREGATE(14,6,(Inventory!$G$6:$G$205+(205-ROW(Inventory!$G$6:$G$205))/10000)/((Inventory!$G$6:$G$205&gt;0)*(Inventory!$H$6:$H$205="Costco")),16),""),(Inventory!$G$6:$G$205+(205-ROW(Inventory!$G$6:$G$205))/10000),0),""))),"")</f>
        <v/>
      </c>
      <c r="B24" s="46">
        <f>IFERROR(IF(IFERROR(AGGREGATE(14,6,(Inventory!$G$6:$G$205+(205-ROW(Inventory!$G$6:$G$205))/10000)/((Inventory!$G$6:$G$205&gt;0)*(Inventory!$H$6:$H$205="Costco")),16),"")="","",INDEX(Inventory!$B$6:$B$205,IFERROR(MATCH(IFERROR(AGGREGATE(14,6,(Inventory!$G$6:$G$205+(205-ROW(Inventory!$G$6:$G$205))/10000)/((Inventory!$G$6:$G$205&gt;0)*(Inventory!$H$6:$H$205="Costco")),16),""),(Inventory!$G$6:$G$205+(205-ROW(Inventory!$G$6:$G$205))/10000),0),""))),"")</f>
        <v/>
      </c>
      <c r="C24" s="46">
        <f>IFERROR(IF(IFERROR(AGGREGATE(14,6,(Inventory!$G$6:$G$205+(205-ROW(Inventory!$G$6:$G$205))/10000)/((Inventory!$G$6:$G$205&gt;0)*(Inventory!$H$6:$H$205="Costco")),16),"")="","",INDEX(Inventory!$D$6:$D$205,IFERROR(MATCH(IFERROR(AGGREGATE(14,6,(Inventory!$G$6:$G$205+(205-ROW(Inventory!$G$6:$G$205))/10000)/((Inventory!$G$6:$G$205&gt;0)*(Inventory!$H$6:$H$205="Costco")),16),""),(Inventory!$G$6:$G$205+(205-ROW(Inventory!$G$6:$G$205))/10000),0),""))),"")</f>
        <v/>
      </c>
      <c r="D24" s="41">
        <f>IFERROR(IF(IFERROR(AGGREGATE(14,6,(Inventory!$G$6:$G$205+(205-ROW(Inventory!$G$6:$G$205))/10000)/((Inventory!$G$6:$G$205&gt;0)*(Inventory!$H$6:$H$205="Costco")),16),"")="","",INDEX(Inventory!$E$6:$E$205,IFERROR(MATCH(IFERROR(AGGREGATE(14,6,(Inventory!$G$6:$G$205+(205-ROW(Inventory!$G$6:$G$205))/10000)/((Inventory!$G$6:$G$205&gt;0)*(Inventory!$H$6:$H$205="Costco")),16),""),(Inventory!$G$6:$G$205+(205-ROW(Inventory!$G$6:$G$205))/10000),0),""))),"")</f>
        <v/>
      </c>
      <c r="E24" s="41">
        <f>IFERROR(IF(IFERROR(AGGREGATE(14,6,(Inventory!$G$6:$G$205+(205-ROW(Inventory!$G$6:$G$205))/10000)/((Inventory!$G$6:$G$205&gt;0)*(Inventory!$H$6:$H$205="Costco")),16),"")="","",INDEX(Inventory!$F$6:$F$205,IFERROR(MATCH(IFERROR(AGGREGATE(14,6,(Inventory!$G$6:$G$205+(205-ROW(Inventory!$G$6:$G$205))/10000)/((Inventory!$G$6:$G$205&gt;0)*(Inventory!$H$6:$H$205="Costco")),16),""),(Inventory!$G$6:$G$205+(205-ROW(Inventory!$G$6:$G$205))/10000),0),""))),"")</f>
        <v/>
      </c>
      <c r="F24" s="41">
        <f>IFERROR(IF(IFERROR(AGGREGATE(14,6,(Inventory!$G$6:$G$205+(205-ROW(Inventory!$G$6:$G$205))/10000)/((Inventory!$G$6:$G$205&gt;0)*(Inventory!$H$6:$H$205="Costco")),16),"")="","",INDEX(Inventory!$J$6:$J$205,IFERROR(MATCH(IFERROR(AGGREGATE(14,6,(Inventory!$G$6:$G$205+(205-ROW(Inventory!$G$6:$G$205))/10000)/((Inventory!$G$6:$G$205&gt;0)*(Inventory!$H$6:$H$205="Costco")),16),""),(Inventory!$G$6:$G$205+(205-ROW(Inventory!$G$6:$G$205))/10000),0),""))),"")</f>
        <v/>
      </c>
      <c r="G24" s="43">
        <f>IFERROR(IF(IFERROR(AGGREGATE(14,6,(Inventory!$G$6:$G$205+(205-ROW(Inventory!$G$6:$G$205))/10000)/((Inventory!$G$6:$G$205&gt;0)*(Inventory!$H$6:$H$205="Costco")),16),"")="","",INDEX(Inventory!$J$6:$J$205,IFERROR(MATCH(IFERROR(AGGREGATE(14,6,(Inventory!$G$6:$G$205+(205-ROW(Inventory!$G$6:$G$205))/10000)/((Inventory!$G$6:$G$205&gt;0)*(Inventory!$H$6:$H$205="Costco")),16),""),(Inventory!$G$6:$G$205+(205-ROW(Inventory!$G$6:$G$205))/10000),0),""))*INDEX(Inventory!$I$6:$I$205,IFERROR(MATCH(IFERROR(AGGREGATE(14,6,(Inventory!$G$6:$G$205+(205-ROW(Inventory!$G$6:$G$205))/10000)/((Inventory!$G$6:$G$205&gt;0)*(Inventory!$H$6:$H$205="Costco")),16),""),(Inventory!$G$6:$G$205+(205-ROW(Inventory!$G$6:$G$205))/10000),0),""))),"")</f>
        <v/>
      </c>
    </row>
    <row r="25" ht="14" customHeight="1">
      <c r="A25" s="46">
        <f>IFERROR(IF(IFERROR(AGGREGATE(14,6,(Inventory!$G$6:$G$205+(205-ROW(Inventory!$G$6:$G$205))/10000)/((Inventory!$G$6:$G$205&gt;0)*(Inventory!$H$6:$H$205="Costco")),17),"")="","",INDEX(Inventory!$A$6:$A$205,IFERROR(MATCH(IFERROR(AGGREGATE(14,6,(Inventory!$G$6:$G$205+(205-ROW(Inventory!$G$6:$G$205))/10000)/((Inventory!$G$6:$G$205&gt;0)*(Inventory!$H$6:$H$205="Costco")),17),""),(Inventory!$G$6:$G$205+(205-ROW(Inventory!$G$6:$G$205))/10000),0),""))),"")</f>
        <v/>
      </c>
      <c r="B25" s="46">
        <f>IFERROR(IF(IFERROR(AGGREGATE(14,6,(Inventory!$G$6:$G$205+(205-ROW(Inventory!$G$6:$G$205))/10000)/((Inventory!$G$6:$G$205&gt;0)*(Inventory!$H$6:$H$205="Costco")),17),"")="","",INDEX(Inventory!$B$6:$B$205,IFERROR(MATCH(IFERROR(AGGREGATE(14,6,(Inventory!$G$6:$G$205+(205-ROW(Inventory!$G$6:$G$205))/10000)/((Inventory!$G$6:$G$205&gt;0)*(Inventory!$H$6:$H$205="Costco")),17),""),(Inventory!$G$6:$G$205+(205-ROW(Inventory!$G$6:$G$205))/10000),0),""))),"")</f>
        <v/>
      </c>
      <c r="C25" s="46">
        <f>IFERROR(IF(IFERROR(AGGREGATE(14,6,(Inventory!$G$6:$G$205+(205-ROW(Inventory!$G$6:$G$205))/10000)/((Inventory!$G$6:$G$205&gt;0)*(Inventory!$H$6:$H$205="Costco")),17),"")="","",INDEX(Inventory!$D$6:$D$205,IFERROR(MATCH(IFERROR(AGGREGATE(14,6,(Inventory!$G$6:$G$205+(205-ROW(Inventory!$G$6:$G$205))/10000)/((Inventory!$G$6:$G$205&gt;0)*(Inventory!$H$6:$H$205="Costco")),17),""),(Inventory!$G$6:$G$205+(205-ROW(Inventory!$G$6:$G$205))/10000),0),""))),"")</f>
        <v/>
      </c>
      <c r="D25" s="41">
        <f>IFERROR(IF(IFERROR(AGGREGATE(14,6,(Inventory!$G$6:$G$205+(205-ROW(Inventory!$G$6:$G$205))/10000)/((Inventory!$G$6:$G$205&gt;0)*(Inventory!$H$6:$H$205="Costco")),17),"")="","",INDEX(Inventory!$E$6:$E$205,IFERROR(MATCH(IFERROR(AGGREGATE(14,6,(Inventory!$G$6:$G$205+(205-ROW(Inventory!$G$6:$G$205))/10000)/((Inventory!$G$6:$G$205&gt;0)*(Inventory!$H$6:$H$205="Costco")),17),""),(Inventory!$G$6:$G$205+(205-ROW(Inventory!$G$6:$G$205))/10000),0),""))),"")</f>
        <v/>
      </c>
      <c r="E25" s="41">
        <f>IFERROR(IF(IFERROR(AGGREGATE(14,6,(Inventory!$G$6:$G$205+(205-ROW(Inventory!$G$6:$G$205))/10000)/((Inventory!$G$6:$G$205&gt;0)*(Inventory!$H$6:$H$205="Costco")),17),"")="","",INDEX(Inventory!$F$6:$F$205,IFERROR(MATCH(IFERROR(AGGREGATE(14,6,(Inventory!$G$6:$G$205+(205-ROW(Inventory!$G$6:$G$205))/10000)/((Inventory!$G$6:$G$205&gt;0)*(Inventory!$H$6:$H$205="Costco")),17),""),(Inventory!$G$6:$G$205+(205-ROW(Inventory!$G$6:$G$205))/10000),0),""))),"")</f>
        <v/>
      </c>
      <c r="F25" s="41">
        <f>IFERROR(IF(IFERROR(AGGREGATE(14,6,(Inventory!$G$6:$G$205+(205-ROW(Inventory!$G$6:$G$205))/10000)/((Inventory!$G$6:$G$205&gt;0)*(Inventory!$H$6:$H$205="Costco")),17),"")="","",INDEX(Inventory!$J$6:$J$205,IFERROR(MATCH(IFERROR(AGGREGATE(14,6,(Inventory!$G$6:$G$205+(205-ROW(Inventory!$G$6:$G$205))/10000)/((Inventory!$G$6:$G$205&gt;0)*(Inventory!$H$6:$H$205="Costco")),17),""),(Inventory!$G$6:$G$205+(205-ROW(Inventory!$G$6:$G$205))/10000),0),""))),"")</f>
        <v/>
      </c>
      <c r="G25" s="43">
        <f>IFERROR(IF(IFERROR(AGGREGATE(14,6,(Inventory!$G$6:$G$205+(205-ROW(Inventory!$G$6:$G$205))/10000)/((Inventory!$G$6:$G$205&gt;0)*(Inventory!$H$6:$H$205="Costco")),17),"")="","",INDEX(Inventory!$J$6:$J$205,IFERROR(MATCH(IFERROR(AGGREGATE(14,6,(Inventory!$G$6:$G$205+(205-ROW(Inventory!$G$6:$G$205))/10000)/((Inventory!$G$6:$G$205&gt;0)*(Inventory!$H$6:$H$205="Costco")),17),""),(Inventory!$G$6:$G$205+(205-ROW(Inventory!$G$6:$G$205))/10000),0),""))*INDEX(Inventory!$I$6:$I$205,IFERROR(MATCH(IFERROR(AGGREGATE(14,6,(Inventory!$G$6:$G$205+(205-ROW(Inventory!$G$6:$G$205))/10000)/((Inventory!$G$6:$G$205&gt;0)*(Inventory!$H$6:$H$205="Costco")),17),""),(Inventory!$G$6:$G$205+(205-ROW(Inventory!$G$6:$G$205))/10000),0),""))),"")</f>
        <v/>
      </c>
    </row>
    <row r="26" ht="14" customHeight="1">
      <c r="A26" s="46">
        <f>IFERROR(IF(IFERROR(AGGREGATE(14,6,(Inventory!$G$6:$G$205+(205-ROW(Inventory!$G$6:$G$205))/10000)/((Inventory!$G$6:$G$205&gt;0)*(Inventory!$H$6:$H$205="Costco")),18),"")="","",INDEX(Inventory!$A$6:$A$205,IFERROR(MATCH(IFERROR(AGGREGATE(14,6,(Inventory!$G$6:$G$205+(205-ROW(Inventory!$G$6:$G$205))/10000)/((Inventory!$G$6:$G$205&gt;0)*(Inventory!$H$6:$H$205="Costco")),18),""),(Inventory!$G$6:$G$205+(205-ROW(Inventory!$G$6:$G$205))/10000),0),""))),"")</f>
        <v/>
      </c>
      <c r="B26" s="46">
        <f>IFERROR(IF(IFERROR(AGGREGATE(14,6,(Inventory!$G$6:$G$205+(205-ROW(Inventory!$G$6:$G$205))/10000)/((Inventory!$G$6:$G$205&gt;0)*(Inventory!$H$6:$H$205="Costco")),18),"")="","",INDEX(Inventory!$B$6:$B$205,IFERROR(MATCH(IFERROR(AGGREGATE(14,6,(Inventory!$G$6:$G$205+(205-ROW(Inventory!$G$6:$G$205))/10000)/((Inventory!$G$6:$G$205&gt;0)*(Inventory!$H$6:$H$205="Costco")),18),""),(Inventory!$G$6:$G$205+(205-ROW(Inventory!$G$6:$G$205))/10000),0),""))),"")</f>
        <v/>
      </c>
      <c r="C26" s="46">
        <f>IFERROR(IF(IFERROR(AGGREGATE(14,6,(Inventory!$G$6:$G$205+(205-ROW(Inventory!$G$6:$G$205))/10000)/((Inventory!$G$6:$G$205&gt;0)*(Inventory!$H$6:$H$205="Costco")),18),"")="","",INDEX(Inventory!$D$6:$D$205,IFERROR(MATCH(IFERROR(AGGREGATE(14,6,(Inventory!$G$6:$G$205+(205-ROW(Inventory!$G$6:$G$205))/10000)/((Inventory!$G$6:$G$205&gt;0)*(Inventory!$H$6:$H$205="Costco")),18),""),(Inventory!$G$6:$G$205+(205-ROW(Inventory!$G$6:$G$205))/10000),0),""))),"")</f>
        <v/>
      </c>
      <c r="D26" s="41">
        <f>IFERROR(IF(IFERROR(AGGREGATE(14,6,(Inventory!$G$6:$G$205+(205-ROW(Inventory!$G$6:$G$205))/10000)/((Inventory!$G$6:$G$205&gt;0)*(Inventory!$H$6:$H$205="Costco")),18),"")="","",INDEX(Inventory!$E$6:$E$205,IFERROR(MATCH(IFERROR(AGGREGATE(14,6,(Inventory!$G$6:$G$205+(205-ROW(Inventory!$G$6:$G$205))/10000)/((Inventory!$G$6:$G$205&gt;0)*(Inventory!$H$6:$H$205="Costco")),18),""),(Inventory!$G$6:$G$205+(205-ROW(Inventory!$G$6:$G$205))/10000),0),""))),"")</f>
        <v/>
      </c>
      <c r="E26" s="41">
        <f>IFERROR(IF(IFERROR(AGGREGATE(14,6,(Inventory!$G$6:$G$205+(205-ROW(Inventory!$G$6:$G$205))/10000)/((Inventory!$G$6:$G$205&gt;0)*(Inventory!$H$6:$H$205="Costco")),18),"")="","",INDEX(Inventory!$F$6:$F$205,IFERROR(MATCH(IFERROR(AGGREGATE(14,6,(Inventory!$G$6:$G$205+(205-ROW(Inventory!$G$6:$G$205))/10000)/((Inventory!$G$6:$G$205&gt;0)*(Inventory!$H$6:$H$205="Costco")),18),""),(Inventory!$G$6:$G$205+(205-ROW(Inventory!$G$6:$G$205))/10000),0),""))),"")</f>
        <v/>
      </c>
      <c r="F26" s="41">
        <f>IFERROR(IF(IFERROR(AGGREGATE(14,6,(Inventory!$G$6:$G$205+(205-ROW(Inventory!$G$6:$G$205))/10000)/((Inventory!$G$6:$G$205&gt;0)*(Inventory!$H$6:$H$205="Costco")),18),"")="","",INDEX(Inventory!$J$6:$J$205,IFERROR(MATCH(IFERROR(AGGREGATE(14,6,(Inventory!$G$6:$G$205+(205-ROW(Inventory!$G$6:$G$205))/10000)/((Inventory!$G$6:$G$205&gt;0)*(Inventory!$H$6:$H$205="Costco")),18),""),(Inventory!$G$6:$G$205+(205-ROW(Inventory!$G$6:$G$205))/10000),0),""))),"")</f>
        <v/>
      </c>
      <c r="G26" s="43">
        <f>IFERROR(IF(IFERROR(AGGREGATE(14,6,(Inventory!$G$6:$G$205+(205-ROW(Inventory!$G$6:$G$205))/10000)/((Inventory!$G$6:$G$205&gt;0)*(Inventory!$H$6:$H$205="Costco")),18),"")="","",INDEX(Inventory!$J$6:$J$205,IFERROR(MATCH(IFERROR(AGGREGATE(14,6,(Inventory!$G$6:$G$205+(205-ROW(Inventory!$G$6:$G$205))/10000)/((Inventory!$G$6:$G$205&gt;0)*(Inventory!$H$6:$H$205="Costco")),18),""),(Inventory!$G$6:$G$205+(205-ROW(Inventory!$G$6:$G$205))/10000),0),""))*INDEX(Inventory!$I$6:$I$205,IFERROR(MATCH(IFERROR(AGGREGATE(14,6,(Inventory!$G$6:$G$205+(205-ROW(Inventory!$G$6:$G$205))/10000)/((Inventory!$G$6:$G$205&gt;0)*(Inventory!$H$6:$H$205="Costco")),18),""),(Inventory!$G$6:$G$205+(205-ROW(Inventory!$G$6:$G$205))/10000),0),""))),"")</f>
        <v/>
      </c>
    </row>
    <row r="27" ht="14" customHeight="1">
      <c r="A27" s="46">
        <f>IFERROR(IF(IFERROR(AGGREGATE(14,6,(Inventory!$G$6:$G$205+(205-ROW(Inventory!$G$6:$G$205))/10000)/((Inventory!$G$6:$G$205&gt;0)*(Inventory!$H$6:$H$205="Costco")),19),"")="","",INDEX(Inventory!$A$6:$A$205,IFERROR(MATCH(IFERROR(AGGREGATE(14,6,(Inventory!$G$6:$G$205+(205-ROW(Inventory!$G$6:$G$205))/10000)/((Inventory!$G$6:$G$205&gt;0)*(Inventory!$H$6:$H$205="Costco")),19),""),(Inventory!$G$6:$G$205+(205-ROW(Inventory!$G$6:$G$205))/10000),0),""))),"")</f>
        <v/>
      </c>
      <c r="B27" s="46">
        <f>IFERROR(IF(IFERROR(AGGREGATE(14,6,(Inventory!$G$6:$G$205+(205-ROW(Inventory!$G$6:$G$205))/10000)/((Inventory!$G$6:$G$205&gt;0)*(Inventory!$H$6:$H$205="Costco")),19),"")="","",INDEX(Inventory!$B$6:$B$205,IFERROR(MATCH(IFERROR(AGGREGATE(14,6,(Inventory!$G$6:$G$205+(205-ROW(Inventory!$G$6:$G$205))/10000)/((Inventory!$G$6:$G$205&gt;0)*(Inventory!$H$6:$H$205="Costco")),19),""),(Inventory!$G$6:$G$205+(205-ROW(Inventory!$G$6:$G$205))/10000),0),""))),"")</f>
        <v/>
      </c>
      <c r="C27" s="46">
        <f>IFERROR(IF(IFERROR(AGGREGATE(14,6,(Inventory!$G$6:$G$205+(205-ROW(Inventory!$G$6:$G$205))/10000)/((Inventory!$G$6:$G$205&gt;0)*(Inventory!$H$6:$H$205="Costco")),19),"")="","",INDEX(Inventory!$D$6:$D$205,IFERROR(MATCH(IFERROR(AGGREGATE(14,6,(Inventory!$G$6:$G$205+(205-ROW(Inventory!$G$6:$G$205))/10000)/((Inventory!$G$6:$G$205&gt;0)*(Inventory!$H$6:$H$205="Costco")),19),""),(Inventory!$G$6:$G$205+(205-ROW(Inventory!$G$6:$G$205))/10000),0),""))),"")</f>
        <v/>
      </c>
      <c r="D27" s="41">
        <f>IFERROR(IF(IFERROR(AGGREGATE(14,6,(Inventory!$G$6:$G$205+(205-ROW(Inventory!$G$6:$G$205))/10000)/((Inventory!$G$6:$G$205&gt;0)*(Inventory!$H$6:$H$205="Costco")),19),"")="","",INDEX(Inventory!$E$6:$E$205,IFERROR(MATCH(IFERROR(AGGREGATE(14,6,(Inventory!$G$6:$G$205+(205-ROW(Inventory!$G$6:$G$205))/10000)/((Inventory!$G$6:$G$205&gt;0)*(Inventory!$H$6:$H$205="Costco")),19),""),(Inventory!$G$6:$G$205+(205-ROW(Inventory!$G$6:$G$205))/10000),0),""))),"")</f>
        <v/>
      </c>
      <c r="E27" s="41">
        <f>IFERROR(IF(IFERROR(AGGREGATE(14,6,(Inventory!$G$6:$G$205+(205-ROW(Inventory!$G$6:$G$205))/10000)/((Inventory!$G$6:$G$205&gt;0)*(Inventory!$H$6:$H$205="Costco")),19),"")="","",INDEX(Inventory!$F$6:$F$205,IFERROR(MATCH(IFERROR(AGGREGATE(14,6,(Inventory!$G$6:$G$205+(205-ROW(Inventory!$G$6:$G$205))/10000)/((Inventory!$G$6:$G$205&gt;0)*(Inventory!$H$6:$H$205="Costco")),19),""),(Inventory!$G$6:$G$205+(205-ROW(Inventory!$G$6:$G$205))/10000),0),""))),"")</f>
        <v/>
      </c>
      <c r="F27" s="41">
        <f>IFERROR(IF(IFERROR(AGGREGATE(14,6,(Inventory!$G$6:$G$205+(205-ROW(Inventory!$G$6:$G$205))/10000)/((Inventory!$G$6:$G$205&gt;0)*(Inventory!$H$6:$H$205="Costco")),19),"")="","",INDEX(Inventory!$J$6:$J$205,IFERROR(MATCH(IFERROR(AGGREGATE(14,6,(Inventory!$G$6:$G$205+(205-ROW(Inventory!$G$6:$G$205))/10000)/((Inventory!$G$6:$G$205&gt;0)*(Inventory!$H$6:$H$205="Costco")),19),""),(Inventory!$G$6:$G$205+(205-ROW(Inventory!$G$6:$G$205))/10000),0),""))),"")</f>
        <v/>
      </c>
      <c r="G27" s="43">
        <f>IFERROR(IF(IFERROR(AGGREGATE(14,6,(Inventory!$G$6:$G$205+(205-ROW(Inventory!$G$6:$G$205))/10000)/((Inventory!$G$6:$G$205&gt;0)*(Inventory!$H$6:$H$205="Costco")),19),"")="","",INDEX(Inventory!$J$6:$J$205,IFERROR(MATCH(IFERROR(AGGREGATE(14,6,(Inventory!$G$6:$G$205+(205-ROW(Inventory!$G$6:$G$205))/10000)/((Inventory!$G$6:$G$205&gt;0)*(Inventory!$H$6:$H$205="Costco")),19),""),(Inventory!$G$6:$G$205+(205-ROW(Inventory!$G$6:$G$205))/10000),0),""))*INDEX(Inventory!$I$6:$I$205,IFERROR(MATCH(IFERROR(AGGREGATE(14,6,(Inventory!$G$6:$G$205+(205-ROW(Inventory!$G$6:$G$205))/10000)/((Inventory!$G$6:$G$205&gt;0)*(Inventory!$H$6:$H$205="Costco")),19),""),(Inventory!$G$6:$G$205+(205-ROW(Inventory!$G$6:$G$205))/10000),0),""))),"")</f>
        <v/>
      </c>
    </row>
    <row r="28" ht="14" customHeight="1">
      <c r="A28" s="46">
        <f>IFERROR(IF(IFERROR(AGGREGATE(14,6,(Inventory!$G$6:$G$205+(205-ROW(Inventory!$G$6:$G$205))/10000)/((Inventory!$G$6:$G$205&gt;0)*(Inventory!$H$6:$H$205="Costco")),20),"")="","",INDEX(Inventory!$A$6:$A$205,IFERROR(MATCH(IFERROR(AGGREGATE(14,6,(Inventory!$G$6:$G$205+(205-ROW(Inventory!$G$6:$G$205))/10000)/((Inventory!$G$6:$G$205&gt;0)*(Inventory!$H$6:$H$205="Costco")),20),""),(Inventory!$G$6:$G$205+(205-ROW(Inventory!$G$6:$G$205))/10000),0),""))),"")</f>
        <v/>
      </c>
      <c r="B28" s="46">
        <f>IFERROR(IF(IFERROR(AGGREGATE(14,6,(Inventory!$G$6:$G$205+(205-ROW(Inventory!$G$6:$G$205))/10000)/((Inventory!$G$6:$G$205&gt;0)*(Inventory!$H$6:$H$205="Costco")),20),"")="","",INDEX(Inventory!$B$6:$B$205,IFERROR(MATCH(IFERROR(AGGREGATE(14,6,(Inventory!$G$6:$G$205+(205-ROW(Inventory!$G$6:$G$205))/10000)/((Inventory!$G$6:$G$205&gt;0)*(Inventory!$H$6:$H$205="Costco")),20),""),(Inventory!$G$6:$G$205+(205-ROW(Inventory!$G$6:$G$205))/10000),0),""))),"")</f>
        <v/>
      </c>
      <c r="C28" s="46">
        <f>IFERROR(IF(IFERROR(AGGREGATE(14,6,(Inventory!$G$6:$G$205+(205-ROW(Inventory!$G$6:$G$205))/10000)/((Inventory!$G$6:$G$205&gt;0)*(Inventory!$H$6:$H$205="Costco")),20),"")="","",INDEX(Inventory!$D$6:$D$205,IFERROR(MATCH(IFERROR(AGGREGATE(14,6,(Inventory!$G$6:$G$205+(205-ROW(Inventory!$G$6:$G$205))/10000)/((Inventory!$G$6:$G$205&gt;0)*(Inventory!$H$6:$H$205="Costco")),20),""),(Inventory!$G$6:$G$205+(205-ROW(Inventory!$G$6:$G$205))/10000),0),""))),"")</f>
        <v/>
      </c>
      <c r="D28" s="41">
        <f>IFERROR(IF(IFERROR(AGGREGATE(14,6,(Inventory!$G$6:$G$205+(205-ROW(Inventory!$G$6:$G$205))/10000)/((Inventory!$G$6:$G$205&gt;0)*(Inventory!$H$6:$H$205="Costco")),20),"")="","",INDEX(Inventory!$E$6:$E$205,IFERROR(MATCH(IFERROR(AGGREGATE(14,6,(Inventory!$G$6:$G$205+(205-ROW(Inventory!$G$6:$G$205))/10000)/((Inventory!$G$6:$G$205&gt;0)*(Inventory!$H$6:$H$205="Costco")),20),""),(Inventory!$G$6:$G$205+(205-ROW(Inventory!$G$6:$G$205))/10000),0),""))),"")</f>
        <v/>
      </c>
      <c r="E28" s="41">
        <f>IFERROR(IF(IFERROR(AGGREGATE(14,6,(Inventory!$G$6:$G$205+(205-ROW(Inventory!$G$6:$G$205))/10000)/((Inventory!$G$6:$G$205&gt;0)*(Inventory!$H$6:$H$205="Costco")),20),"")="","",INDEX(Inventory!$F$6:$F$205,IFERROR(MATCH(IFERROR(AGGREGATE(14,6,(Inventory!$G$6:$G$205+(205-ROW(Inventory!$G$6:$G$205))/10000)/((Inventory!$G$6:$G$205&gt;0)*(Inventory!$H$6:$H$205="Costco")),20),""),(Inventory!$G$6:$G$205+(205-ROW(Inventory!$G$6:$G$205))/10000),0),""))),"")</f>
        <v/>
      </c>
      <c r="F28" s="41">
        <f>IFERROR(IF(IFERROR(AGGREGATE(14,6,(Inventory!$G$6:$G$205+(205-ROW(Inventory!$G$6:$G$205))/10000)/((Inventory!$G$6:$G$205&gt;0)*(Inventory!$H$6:$H$205="Costco")),20),"")="","",INDEX(Inventory!$J$6:$J$205,IFERROR(MATCH(IFERROR(AGGREGATE(14,6,(Inventory!$G$6:$G$205+(205-ROW(Inventory!$G$6:$G$205))/10000)/((Inventory!$G$6:$G$205&gt;0)*(Inventory!$H$6:$H$205="Costco")),20),""),(Inventory!$G$6:$G$205+(205-ROW(Inventory!$G$6:$G$205))/10000),0),""))),"")</f>
        <v/>
      </c>
      <c r="G28" s="43">
        <f>IFERROR(IF(IFERROR(AGGREGATE(14,6,(Inventory!$G$6:$G$205+(205-ROW(Inventory!$G$6:$G$205))/10000)/((Inventory!$G$6:$G$205&gt;0)*(Inventory!$H$6:$H$205="Costco")),20),"")="","",INDEX(Inventory!$J$6:$J$205,IFERROR(MATCH(IFERROR(AGGREGATE(14,6,(Inventory!$G$6:$G$205+(205-ROW(Inventory!$G$6:$G$205))/10000)/((Inventory!$G$6:$G$205&gt;0)*(Inventory!$H$6:$H$205="Costco")),20),""),(Inventory!$G$6:$G$205+(205-ROW(Inventory!$G$6:$G$205))/10000),0),""))*INDEX(Inventory!$I$6:$I$205,IFERROR(MATCH(IFERROR(AGGREGATE(14,6,(Inventory!$G$6:$G$205+(205-ROW(Inventory!$G$6:$G$205))/10000)/((Inventory!$G$6:$G$205&gt;0)*(Inventory!$H$6:$H$205="Costco")),20),""),(Inventory!$G$6:$G$205+(205-ROW(Inventory!$G$6:$G$205))/10000),0),""))),"")</f>
        <v/>
      </c>
    </row>
    <row r="29" ht="20" customHeight="1">
      <c r="A29" s="48" t="inlineStr">
        <is>
          <t>Costco order total:</t>
        </is>
      </c>
      <c r="G29" s="49">
        <f>SUMPRODUCT((Inventory!H6:H205="Costco")*(Inventory!G6:G205&gt;0)*Inventory!J6:J205*Inventory!I6:I205)</f>
        <v/>
      </c>
    </row>
    <row r="31" ht="22" customHeight="1">
      <c r="A31" s="47">
        <f>"AMAZON  ·  "&amp;COUNTIFS(Inventory!H6:H205,"Amazon",Inventory!G6:G205,"&gt;0")&amp;" item(s) below par"</f>
        <v/>
      </c>
    </row>
    <row r="32" ht="6" customHeight="1"/>
    <row r="33" ht="18" customHeight="1">
      <c r="A33" s="38" t="inlineStr">
        <is>
          <t>SKU</t>
        </is>
      </c>
      <c r="B33" s="38" t="inlineStr">
        <is>
          <t>Item</t>
        </is>
      </c>
      <c r="C33" s="38" t="inlineStr">
        <is>
          <t>Property</t>
        </is>
      </c>
      <c r="D33" s="38" t="inlineStr">
        <is>
          <t>Par</t>
        </is>
      </c>
      <c r="E33" s="38" t="inlineStr">
        <is>
          <t>On-hand</t>
        </is>
      </c>
      <c r="F33" s="38" t="inlineStr">
        <is>
          <t>Reorder qty</t>
        </is>
      </c>
      <c r="G33" s="38" t="inlineStr">
        <is>
          <t>Subtotal $</t>
        </is>
      </c>
    </row>
    <row r="34" ht="14" customHeight="1">
      <c r="A34" s="46">
        <f>IFERROR(IF(IFERROR(AGGREGATE(14,6,(Inventory!$G$6:$G$205+(205-ROW(Inventory!$G$6:$G$205))/10000)/((Inventory!$G$6:$G$205&gt;0)*(Inventory!$H$6:$H$205="Amazon")),1),"")="","",INDEX(Inventory!$A$6:$A$205,IFERROR(MATCH(IFERROR(AGGREGATE(14,6,(Inventory!$G$6:$G$205+(205-ROW(Inventory!$G$6:$G$205))/10000)/((Inventory!$G$6:$G$205&gt;0)*(Inventory!$H$6:$H$205="Amazon")),1),""),(Inventory!$G$6:$G$205+(205-ROW(Inventory!$G$6:$G$205))/10000),0),""))),"")</f>
        <v/>
      </c>
      <c r="B34" s="46">
        <f>IFERROR(IF(IFERROR(AGGREGATE(14,6,(Inventory!$G$6:$G$205+(205-ROW(Inventory!$G$6:$G$205))/10000)/((Inventory!$G$6:$G$205&gt;0)*(Inventory!$H$6:$H$205="Amazon")),1),"")="","",INDEX(Inventory!$B$6:$B$205,IFERROR(MATCH(IFERROR(AGGREGATE(14,6,(Inventory!$G$6:$G$205+(205-ROW(Inventory!$G$6:$G$205))/10000)/((Inventory!$G$6:$G$205&gt;0)*(Inventory!$H$6:$H$205="Amazon")),1),""),(Inventory!$G$6:$G$205+(205-ROW(Inventory!$G$6:$G$205))/10000),0),""))),"")</f>
        <v/>
      </c>
      <c r="C34" s="46">
        <f>IFERROR(IF(IFERROR(AGGREGATE(14,6,(Inventory!$G$6:$G$205+(205-ROW(Inventory!$G$6:$G$205))/10000)/((Inventory!$G$6:$G$205&gt;0)*(Inventory!$H$6:$H$205="Amazon")),1),"")="","",INDEX(Inventory!$D$6:$D$205,IFERROR(MATCH(IFERROR(AGGREGATE(14,6,(Inventory!$G$6:$G$205+(205-ROW(Inventory!$G$6:$G$205))/10000)/((Inventory!$G$6:$G$205&gt;0)*(Inventory!$H$6:$H$205="Amazon")),1),""),(Inventory!$G$6:$G$205+(205-ROW(Inventory!$G$6:$G$205))/10000),0),""))),"")</f>
        <v/>
      </c>
      <c r="D34" s="41">
        <f>IFERROR(IF(IFERROR(AGGREGATE(14,6,(Inventory!$G$6:$G$205+(205-ROW(Inventory!$G$6:$G$205))/10000)/((Inventory!$G$6:$G$205&gt;0)*(Inventory!$H$6:$H$205="Amazon")),1),"")="","",INDEX(Inventory!$E$6:$E$205,IFERROR(MATCH(IFERROR(AGGREGATE(14,6,(Inventory!$G$6:$G$205+(205-ROW(Inventory!$G$6:$G$205))/10000)/((Inventory!$G$6:$G$205&gt;0)*(Inventory!$H$6:$H$205="Amazon")),1),""),(Inventory!$G$6:$G$205+(205-ROW(Inventory!$G$6:$G$205))/10000),0),""))),"")</f>
        <v/>
      </c>
      <c r="E34" s="41">
        <f>IFERROR(IF(IFERROR(AGGREGATE(14,6,(Inventory!$G$6:$G$205+(205-ROW(Inventory!$G$6:$G$205))/10000)/((Inventory!$G$6:$G$205&gt;0)*(Inventory!$H$6:$H$205="Amazon")),1),"")="","",INDEX(Inventory!$F$6:$F$205,IFERROR(MATCH(IFERROR(AGGREGATE(14,6,(Inventory!$G$6:$G$205+(205-ROW(Inventory!$G$6:$G$205))/10000)/((Inventory!$G$6:$G$205&gt;0)*(Inventory!$H$6:$H$205="Amazon")),1),""),(Inventory!$G$6:$G$205+(205-ROW(Inventory!$G$6:$G$205))/10000),0),""))),"")</f>
        <v/>
      </c>
      <c r="F34" s="41">
        <f>IFERROR(IF(IFERROR(AGGREGATE(14,6,(Inventory!$G$6:$G$205+(205-ROW(Inventory!$G$6:$G$205))/10000)/((Inventory!$G$6:$G$205&gt;0)*(Inventory!$H$6:$H$205="Amazon")),1),"")="","",INDEX(Inventory!$J$6:$J$205,IFERROR(MATCH(IFERROR(AGGREGATE(14,6,(Inventory!$G$6:$G$205+(205-ROW(Inventory!$G$6:$G$205))/10000)/((Inventory!$G$6:$G$205&gt;0)*(Inventory!$H$6:$H$205="Amazon")),1),""),(Inventory!$G$6:$G$205+(205-ROW(Inventory!$G$6:$G$205))/10000),0),""))),"")</f>
        <v/>
      </c>
      <c r="G34" s="43">
        <f>IFERROR(IF(IFERROR(AGGREGATE(14,6,(Inventory!$G$6:$G$205+(205-ROW(Inventory!$G$6:$G$205))/10000)/((Inventory!$G$6:$G$205&gt;0)*(Inventory!$H$6:$H$205="Amazon")),1),"")="","",INDEX(Inventory!$J$6:$J$205,IFERROR(MATCH(IFERROR(AGGREGATE(14,6,(Inventory!$G$6:$G$205+(205-ROW(Inventory!$G$6:$G$205))/10000)/((Inventory!$G$6:$G$205&gt;0)*(Inventory!$H$6:$H$205="Amazon")),1),""),(Inventory!$G$6:$G$205+(205-ROW(Inventory!$G$6:$G$205))/10000),0),""))*INDEX(Inventory!$I$6:$I$205,IFERROR(MATCH(IFERROR(AGGREGATE(14,6,(Inventory!$G$6:$G$205+(205-ROW(Inventory!$G$6:$G$205))/10000)/((Inventory!$G$6:$G$205&gt;0)*(Inventory!$H$6:$H$205="Amazon")),1),""),(Inventory!$G$6:$G$205+(205-ROW(Inventory!$G$6:$G$205))/10000),0),""))),"")</f>
        <v/>
      </c>
    </row>
    <row r="35" ht="14" customHeight="1">
      <c r="A35" s="46">
        <f>IFERROR(IF(IFERROR(AGGREGATE(14,6,(Inventory!$G$6:$G$205+(205-ROW(Inventory!$G$6:$G$205))/10000)/((Inventory!$G$6:$G$205&gt;0)*(Inventory!$H$6:$H$205="Amazon")),2),"")="","",INDEX(Inventory!$A$6:$A$205,IFERROR(MATCH(IFERROR(AGGREGATE(14,6,(Inventory!$G$6:$G$205+(205-ROW(Inventory!$G$6:$G$205))/10000)/((Inventory!$G$6:$G$205&gt;0)*(Inventory!$H$6:$H$205="Amazon")),2),""),(Inventory!$G$6:$G$205+(205-ROW(Inventory!$G$6:$G$205))/10000),0),""))),"")</f>
        <v/>
      </c>
      <c r="B35" s="46">
        <f>IFERROR(IF(IFERROR(AGGREGATE(14,6,(Inventory!$G$6:$G$205+(205-ROW(Inventory!$G$6:$G$205))/10000)/((Inventory!$G$6:$G$205&gt;0)*(Inventory!$H$6:$H$205="Amazon")),2),"")="","",INDEX(Inventory!$B$6:$B$205,IFERROR(MATCH(IFERROR(AGGREGATE(14,6,(Inventory!$G$6:$G$205+(205-ROW(Inventory!$G$6:$G$205))/10000)/((Inventory!$G$6:$G$205&gt;0)*(Inventory!$H$6:$H$205="Amazon")),2),""),(Inventory!$G$6:$G$205+(205-ROW(Inventory!$G$6:$G$205))/10000),0),""))),"")</f>
        <v/>
      </c>
      <c r="C35" s="46">
        <f>IFERROR(IF(IFERROR(AGGREGATE(14,6,(Inventory!$G$6:$G$205+(205-ROW(Inventory!$G$6:$G$205))/10000)/((Inventory!$G$6:$G$205&gt;0)*(Inventory!$H$6:$H$205="Amazon")),2),"")="","",INDEX(Inventory!$D$6:$D$205,IFERROR(MATCH(IFERROR(AGGREGATE(14,6,(Inventory!$G$6:$G$205+(205-ROW(Inventory!$G$6:$G$205))/10000)/((Inventory!$G$6:$G$205&gt;0)*(Inventory!$H$6:$H$205="Amazon")),2),""),(Inventory!$G$6:$G$205+(205-ROW(Inventory!$G$6:$G$205))/10000),0),""))),"")</f>
        <v/>
      </c>
      <c r="D35" s="41">
        <f>IFERROR(IF(IFERROR(AGGREGATE(14,6,(Inventory!$G$6:$G$205+(205-ROW(Inventory!$G$6:$G$205))/10000)/((Inventory!$G$6:$G$205&gt;0)*(Inventory!$H$6:$H$205="Amazon")),2),"")="","",INDEX(Inventory!$E$6:$E$205,IFERROR(MATCH(IFERROR(AGGREGATE(14,6,(Inventory!$G$6:$G$205+(205-ROW(Inventory!$G$6:$G$205))/10000)/((Inventory!$G$6:$G$205&gt;0)*(Inventory!$H$6:$H$205="Amazon")),2),""),(Inventory!$G$6:$G$205+(205-ROW(Inventory!$G$6:$G$205))/10000),0),""))),"")</f>
        <v/>
      </c>
      <c r="E35" s="41">
        <f>IFERROR(IF(IFERROR(AGGREGATE(14,6,(Inventory!$G$6:$G$205+(205-ROW(Inventory!$G$6:$G$205))/10000)/((Inventory!$G$6:$G$205&gt;0)*(Inventory!$H$6:$H$205="Amazon")),2),"")="","",INDEX(Inventory!$F$6:$F$205,IFERROR(MATCH(IFERROR(AGGREGATE(14,6,(Inventory!$G$6:$G$205+(205-ROW(Inventory!$G$6:$G$205))/10000)/((Inventory!$G$6:$G$205&gt;0)*(Inventory!$H$6:$H$205="Amazon")),2),""),(Inventory!$G$6:$G$205+(205-ROW(Inventory!$G$6:$G$205))/10000),0),""))),"")</f>
        <v/>
      </c>
      <c r="F35" s="41">
        <f>IFERROR(IF(IFERROR(AGGREGATE(14,6,(Inventory!$G$6:$G$205+(205-ROW(Inventory!$G$6:$G$205))/10000)/((Inventory!$G$6:$G$205&gt;0)*(Inventory!$H$6:$H$205="Amazon")),2),"")="","",INDEX(Inventory!$J$6:$J$205,IFERROR(MATCH(IFERROR(AGGREGATE(14,6,(Inventory!$G$6:$G$205+(205-ROW(Inventory!$G$6:$G$205))/10000)/((Inventory!$G$6:$G$205&gt;0)*(Inventory!$H$6:$H$205="Amazon")),2),""),(Inventory!$G$6:$G$205+(205-ROW(Inventory!$G$6:$G$205))/10000),0),""))),"")</f>
        <v/>
      </c>
      <c r="G35" s="43">
        <f>IFERROR(IF(IFERROR(AGGREGATE(14,6,(Inventory!$G$6:$G$205+(205-ROW(Inventory!$G$6:$G$205))/10000)/((Inventory!$G$6:$G$205&gt;0)*(Inventory!$H$6:$H$205="Amazon")),2),"")="","",INDEX(Inventory!$J$6:$J$205,IFERROR(MATCH(IFERROR(AGGREGATE(14,6,(Inventory!$G$6:$G$205+(205-ROW(Inventory!$G$6:$G$205))/10000)/((Inventory!$G$6:$G$205&gt;0)*(Inventory!$H$6:$H$205="Amazon")),2),""),(Inventory!$G$6:$G$205+(205-ROW(Inventory!$G$6:$G$205))/10000),0),""))*INDEX(Inventory!$I$6:$I$205,IFERROR(MATCH(IFERROR(AGGREGATE(14,6,(Inventory!$G$6:$G$205+(205-ROW(Inventory!$G$6:$G$205))/10000)/((Inventory!$G$6:$G$205&gt;0)*(Inventory!$H$6:$H$205="Amazon")),2),""),(Inventory!$G$6:$G$205+(205-ROW(Inventory!$G$6:$G$205))/10000),0),""))),"")</f>
        <v/>
      </c>
    </row>
    <row r="36" ht="14" customHeight="1">
      <c r="A36" s="46">
        <f>IFERROR(IF(IFERROR(AGGREGATE(14,6,(Inventory!$G$6:$G$205+(205-ROW(Inventory!$G$6:$G$205))/10000)/((Inventory!$G$6:$G$205&gt;0)*(Inventory!$H$6:$H$205="Amazon")),3),"")="","",INDEX(Inventory!$A$6:$A$205,IFERROR(MATCH(IFERROR(AGGREGATE(14,6,(Inventory!$G$6:$G$205+(205-ROW(Inventory!$G$6:$G$205))/10000)/((Inventory!$G$6:$G$205&gt;0)*(Inventory!$H$6:$H$205="Amazon")),3),""),(Inventory!$G$6:$G$205+(205-ROW(Inventory!$G$6:$G$205))/10000),0),""))),"")</f>
        <v/>
      </c>
      <c r="B36" s="46">
        <f>IFERROR(IF(IFERROR(AGGREGATE(14,6,(Inventory!$G$6:$G$205+(205-ROW(Inventory!$G$6:$G$205))/10000)/((Inventory!$G$6:$G$205&gt;0)*(Inventory!$H$6:$H$205="Amazon")),3),"")="","",INDEX(Inventory!$B$6:$B$205,IFERROR(MATCH(IFERROR(AGGREGATE(14,6,(Inventory!$G$6:$G$205+(205-ROW(Inventory!$G$6:$G$205))/10000)/((Inventory!$G$6:$G$205&gt;0)*(Inventory!$H$6:$H$205="Amazon")),3),""),(Inventory!$G$6:$G$205+(205-ROW(Inventory!$G$6:$G$205))/10000),0),""))),"")</f>
        <v/>
      </c>
      <c r="C36" s="46">
        <f>IFERROR(IF(IFERROR(AGGREGATE(14,6,(Inventory!$G$6:$G$205+(205-ROW(Inventory!$G$6:$G$205))/10000)/((Inventory!$G$6:$G$205&gt;0)*(Inventory!$H$6:$H$205="Amazon")),3),"")="","",INDEX(Inventory!$D$6:$D$205,IFERROR(MATCH(IFERROR(AGGREGATE(14,6,(Inventory!$G$6:$G$205+(205-ROW(Inventory!$G$6:$G$205))/10000)/((Inventory!$G$6:$G$205&gt;0)*(Inventory!$H$6:$H$205="Amazon")),3),""),(Inventory!$G$6:$G$205+(205-ROW(Inventory!$G$6:$G$205))/10000),0),""))),"")</f>
        <v/>
      </c>
      <c r="D36" s="41">
        <f>IFERROR(IF(IFERROR(AGGREGATE(14,6,(Inventory!$G$6:$G$205+(205-ROW(Inventory!$G$6:$G$205))/10000)/((Inventory!$G$6:$G$205&gt;0)*(Inventory!$H$6:$H$205="Amazon")),3),"")="","",INDEX(Inventory!$E$6:$E$205,IFERROR(MATCH(IFERROR(AGGREGATE(14,6,(Inventory!$G$6:$G$205+(205-ROW(Inventory!$G$6:$G$205))/10000)/((Inventory!$G$6:$G$205&gt;0)*(Inventory!$H$6:$H$205="Amazon")),3),""),(Inventory!$G$6:$G$205+(205-ROW(Inventory!$G$6:$G$205))/10000),0),""))),"")</f>
        <v/>
      </c>
      <c r="E36" s="41">
        <f>IFERROR(IF(IFERROR(AGGREGATE(14,6,(Inventory!$G$6:$G$205+(205-ROW(Inventory!$G$6:$G$205))/10000)/((Inventory!$G$6:$G$205&gt;0)*(Inventory!$H$6:$H$205="Amazon")),3),"")="","",INDEX(Inventory!$F$6:$F$205,IFERROR(MATCH(IFERROR(AGGREGATE(14,6,(Inventory!$G$6:$G$205+(205-ROW(Inventory!$G$6:$G$205))/10000)/((Inventory!$G$6:$G$205&gt;0)*(Inventory!$H$6:$H$205="Amazon")),3),""),(Inventory!$G$6:$G$205+(205-ROW(Inventory!$G$6:$G$205))/10000),0),""))),"")</f>
        <v/>
      </c>
      <c r="F36" s="41">
        <f>IFERROR(IF(IFERROR(AGGREGATE(14,6,(Inventory!$G$6:$G$205+(205-ROW(Inventory!$G$6:$G$205))/10000)/((Inventory!$G$6:$G$205&gt;0)*(Inventory!$H$6:$H$205="Amazon")),3),"")="","",INDEX(Inventory!$J$6:$J$205,IFERROR(MATCH(IFERROR(AGGREGATE(14,6,(Inventory!$G$6:$G$205+(205-ROW(Inventory!$G$6:$G$205))/10000)/((Inventory!$G$6:$G$205&gt;0)*(Inventory!$H$6:$H$205="Amazon")),3),""),(Inventory!$G$6:$G$205+(205-ROW(Inventory!$G$6:$G$205))/10000),0),""))),"")</f>
        <v/>
      </c>
      <c r="G36" s="43">
        <f>IFERROR(IF(IFERROR(AGGREGATE(14,6,(Inventory!$G$6:$G$205+(205-ROW(Inventory!$G$6:$G$205))/10000)/((Inventory!$G$6:$G$205&gt;0)*(Inventory!$H$6:$H$205="Amazon")),3),"")="","",INDEX(Inventory!$J$6:$J$205,IFERROR(MATCH(IFERROR(AGGREGATE(14,6,(Inventory!$G$6:$G$205+(205-ROW(Inventory!$G$6:$G$205))/10000)/((Inventory!$G$6:$G$205&gt;0)*(Inventory!$H$6:$H$205="Amazon")),3),""),(Inventory!$G$6:$G$205+(205-ROW(Inventory!$G$6:$G$205))/10000),0),""))*INDEX(Inventory!$I$6:$I$205,IFERROR(MATCH(IFERROR(AGGREGATE(14,6,(Inventory!$G$6:$G$205+(205-ROW(Inventory!$G$6:$G$205))/10000)/((Inventory!$G$6:$G$205&gt;0)*(Inventory!$H$6:$H$205="Amazon")),3),""),(Inventory!$G$6:$G$205+(205-ROW(Inventory!$G$6:$G$205))/10000),0),""))),"")</f>
        <v/>
      </c>
    </row>
    <row r="37" ht="14" customHeight="1">
      <c r="A37" s="46">
        <f>IFERROR(IF(IFERROR(AGGREGATE(14,6,(Inventory!$G$6:$G$205+(205-ROW(Inventory!$G$6:$G$205))/10000)/((Inventory!$G$6:$G$205&gt;0)*(Inventory!$H$6:$H$205="Amazon")),4),"")="","",INDEX(Inventory!$A$6:$A$205,IFERROR(MATCH(IFERROR(AGGREGATE(14,6,(Inventory!$G$6:$G$205+(205-ROW(Inventory!$G$6:$G$205))/10000)/((Inventory!$G$6:$G$205&gt;0)*(Inventory!$H$6:$H$205="Amazon")),4),""),(Inventory!$G$6:$G$205+(205-ROW(Inventory!$G$6:$G$205))/10000),0),""))),"")</f>
        <v/>
      </c>
      <c r="B37" s="46">
        <f>IFERROR(IF(IFERROR(AGGREGATE(14,6,(Inventory!$G$6:$G$205+(205-ROW(Inventory!$G$6:$G$205))/10000)/((Inventory!$G$6:$G$205&gt;0)*(Inventory!$H$6:$H$205="Amazon")),4),"")="","",INDEX(Inventory!$B$6:$B$205,IFERROR(MATCH(IFERROR(AGGREGATE(14,6,(Inventory!$G$6:$G$205+(205-ROW(Inventory!$G$6:$G$205))/10000)/((Inventory!$G$6:$G$205&gt;0)*(Inventory!$H$6:$H$205="Amazon")),4),""),(Inventory!$G$6:$G$205+(205-ROW(Inventory!$G$6:$G$205))/10000),0),""))),"")</f>
        <v/>
      </c>
      <c r="C37" s="46">
        <f>IFERROR(IF(IFERROR(AGGREGATE(14,6,(Inventory!$G$6:$G$205+(205-ROW(Inventory!$G$6:$G$205))/10000)/((Inventory!$G$6:$G$205&gt;0)*(Inventory!$H$6:$H$205="Amazon")),4),"")="","",INDEX(Inventory!$D$6:$D$205,IFERROR(MATCH(IFERROR(AGGREGATE(14,6,(Inventory!$G$6:$G$205+(205-ROW(Inventory!$G$6:$G$205))/10000)/((Inventory!$G$6:$G$205&gt;0)*(Inventory!$H$6:$H$205="Amazon")),4),""),(Inventory!$G$6:$G$205+(205-ROW(Inventory!$G$6:$G$205))/10000),0),""))),"")</f>
        <v/>
      </c>
      <c r="D37" s="41">
        <f>IFERROR(IF(IFERROR(AGGREGATE(14,6,(Inventory!$G$6:$G$205+(205-ROW(Inventory!$G$6:$G$205))/10000)/((Inventory!$G$6:$G$205&gt;0)*(Inventory!$H$6:$H$205="Amazon")),4),"")="","",INDEX(Inventory!$E$6:$E$205,IFERROR(MATCH(IFERROR(AGGREGATE(14,6,(Inventory!$G$6:$G$205+(205-ROW(Inventory!$G$6:$G$205))/10000)/((Inventory!$G$6:$G$205&gt;0)*(Inventory!$H$6:$H$205="Amazon")),4),""),(Inventory!$G$6:$G$205+(205-ROW(Inventory!$G$6:$G$205))/10000),0),""))),"")</f>
        <v/>
      </c>
      <c r="E37" s="41">
        <f>IFERROR(IF(IFERROR(AGGREGATE(14,6,(Inventory!$G$6:$G$205+(205-ROW(Inventory!$G$6:$G$205))/10000)/((Inventory!$G$6:$G$205&gt;0)*(Inventory!$H$6:$H$205="Amazon")),4),"")="","",INDEX(Inventory!$F$6:$F$205,IFERROR(MATCH(IFERROR(AGGREGATE(14,6,(Inventory!$G$6:$G$205+(205-ROW(Inventory!$G$6:$G$205))/10000)/((Inventory!$G$6:$G$205&gt;0)*(Inventory!$H$6:$H$205="Amazon")),4),""),(Inventory!$G$6:$G$205+(205-ROW(Inventory!$G$6:$G$205))/10000),0),""))),"")</f>
        <v/>
      </c>
      <c r="F37" s="41">
        <f>IFERROR(IF(IFERROR(AGGREGATE(14,6,(Inventory!$G$6:$G$205+(205-ROW(Inventory!$G$6:$G$205))/10000)/((Inventory!$G$6:$G$205&gt;0)*(Inventory!$H$6:$H$205="Amazon")),4),"")="","",INDEX(Inventory!$J$6:$J$205,IFERROR(MATCH(IFERROR(AGGREGATE(14,6,(Inventory!$G$6:$G$205+(205-ROW(Inventory!$G$6:$G$205))/10000)/((Inventory!$G$6:$G$205&gt;0)*(Inventory!$H$6:$H$205="Amazon")),4),""),(Inventory!$G$6:$G$205+(205-ROW(Inventory!$G$6:$G$205))/10000),0),""))),"")</f>
        <v/>
      </c>
      <c r="G37" s="43">
        <f>IFERROR(IF(IFERROR(AGGREGATE(14,6,(Inventory!$G$6:$G$205+(205-ROW(Inventory!$G$6:$G$205))/10000)/((Inventory!$G$6:$G$205&gt;0)*(Inventory!$H$6:$H$205="Amazon")),4),"")="","",INDEX(Inventory!$J$6:$J$205,IFERROR(MATCH(IFERROR(AGGREGATE(14,6,(Inventory!$G$6:$G$205+(205-ROW(Inventory!$G$6:$G$205))/10000)/((Inventory!$G$6:$G$205&gt;0)*(Inventory!$H$6:$H$205="Amazon")),4),""),(Inventory!$G$6:$G$205+(205-ROW(Inventory!$G$6:$G$205))/10000),0),""))*INDEX(Inventory!$I$6:$I$205,IFERROR(MATCH(IFERROR(AGGREGATE(14,6,(Inventory!$G$6:$G$205+(205-ROW(Inventory!$G$6:$G$205))/10000)/((Inventory!$G$6:$G$205&gt;0)*(Inventory!$H$6:$H$205="Amazon")),4),""),(Inventory!$G$6:$G$205+(205-ROW(Inventory!$G$6:$G$205))/10000),0),""))),"")</f>
        <v/>
      </c>
    </row>
    <row r="38" ht="14" customHeight="1">
      <c r="A38" s="46">
        <f>IFERROR(IF(IFERROR(AGGREGATE(14,6,(Inventory!$G$6:$G$205+(205-ROW(Inventory!$G$6:$G$205))/10000)/((Inventory!$G$6:$G$205&gt;0)*(Inventory!$H$6:$H$205="Amazon")),5),"")="","",INDEX(Inventory!$A$6:$A$205,IFERROR(MATCH(IFERROR(AGGREGATE(14,6,(Inventory!$G$6:$G$205+(205-ROW(Inventory!$G$6:$G$205))/10000)/((Inventory!$G$6:$G$205&gt;0)*(Inventory!$H$6:$H$205="Amazon")),5),""),(Inventory!$G$6:$G$205+(205-ROW(Inventory!$G$6:$G$205))/10000),0),""))),"")</f>
        <v/>
      </c>
      <c r="B38" s="46">
        <f>IFERROR(IF(IFERROR(AGGREGATE(14,6,(Inventory!$G$6:$G$205+(205-ROW(Inventory!$G$6:$G$205))/10000)/((Inventory!$G$6:$G$205&gt;0)*(Inventory!$H$6:$H$205="Amazon")),5),"")="","",INDEX(Inventory!$B$6:$B$205,IFERROR(MATCH(IFERROR(AGGREGATE(14,6,(Inventory!$G$6:$G$205+(205-ROW(Inventory!$G$6:$G$205))/10000)/((Inventory!$G$6:$G$205&gt;0)*(Inventory!$H$6:$H$205="Amazon")),5),""),(Inventory!$G$6:$G$205+(205-ROW(Inventory!$G$6:$G$205))/10000),0),""))),"")</f>
        <v/>
      </c>
      <c r="C38" s="46">
        <f>IFERROR(IF(IFERROR(AGGREGATE(14,6,(Inventory!$G$6:$G$205+(205-ROW(Inventory!$G$6:$G$205))/10000)/((Inventory!$G$6:$G$205&gt;0)*(Inventory!$H$6:$H$205="Amazon")),5),"")="","",INDEX(Inventory!$D$6:$D$205,IFERROR(MATCH(IFERROR(AGGREGATE(14,6,(Inventory!$G$6:$G$205+(205-ROW(Inventory!$G$6:$G$205))/10000)/((Inventory!$G$6:$G$205&gt;0)*(Inventory!$H$6:$H$205="Amazon")),5),""),(Inventory!$G$6:$G$205+(205-ROW(Inventory!$G$6:$G$205))/10000),0),""))),"")</f>
        <v/>
      </c>
      <c r="D38" s="41">
        <f>IFERROR(IF(IFERROR(AGGREGATE(14,6,(Inventory!$G$6:$G$205+(205-ROW(Inventory!$G$6:$G$205))/10000)/((Inventory!$G$6:$G$205&gt;0)*(Inventory!$H$6:$H$205="Amazon")),5),"")="","",INDEX(Inventory!$E$6:$E$205,IFERROR(MATCH(IFERROR(AGGREGATE(14,6,(Inventory!$G$6:$G$205+(205-ROW(Inventory!$G$6:$G$205))/10000)/((Inventory!$G$6:$G$205&gt;0)*(Inventory!$H$6:$H$205="Amazon")),5),""),(Inventory!$G$6:$G$205+(205-ROW(Inventory!$G$6:$G$205))/10000),0),""))),"")</f>
        <v/>
      </c>
      <c r="E38" s="41">
        <f>IFERROR(IF(IFERROR(AGGREGATE(14,6,(Inventory!$G$6:$G$205+(205-ROW(Inventory!$G$6:$G$205))/10000)/((Inventory!$G$6:$G$205&gt;0)*(Inventory!$H$6:$H$205="Amazon")),5),"")="","",INDEX(Inventory!$F$6:$F$205,IFERROR(MATCH(IFERROR(AGGREGATE(14,6,(Inventory!$G$6:$G$205+(205-ROW(Inventory!$G$6:$G$205))/10000)/((Inventory!$G$6:$G$205&gt;0)*(Inventory!$H$6:$H$205="Amazon")),5),""),(Inventory!$G$6:$G$205+(205-ROW(Inventory!$G$6:$G$205))/10000),0),""))),"")</f>
        <v/>
      </c>
      <c r="F38" s="41">
        <f>IFERROR(IF(IFERROR(AGGREGATE(14,6,(Inventory!$G$6:$G$205+(205-ROW(Inventory!$G$6:$G$205))/10000)/((Inventory!$G$6:$G$205&gt;0)*(Inventory!$H$6:$H$205="Amazon")),5),"")="","",INDEX(Inventory!$J$6:$J$205,IFERROR(MATCH(IFERROR(AGGREGATE(14,6,(Inventory!$G$6:$G$205+(205-ROW(Inventory!$G$6:$G$205))/10000)/((Inventory!$G$6:$G$205&gt;0)*(Inventory!$H$6:$H$205="Amazon")),5),""),(Inventory!$G$6:$G$205+(205-ROW(Inventory!$G$6:$G$205))/10000),0),""))),"")</f>
        <v/>
      </c>
      <c r="G38" s="43">
        <f>IFERROR(IF(IFERROR(AGGREGATE(14,6,(Inventory!$G$6:$G$205+(205-ROW(Inventory!$G$6:$G$205))/10000)/((Inventory!$G$6:$G$205&gt;0)*(Inventory!$H$6:$H$205="Amazon")),5),"")="","",INDEX(Inventory!$J$6:$J$205,IFERROR(MATCH(IFERROR(AGGREGATE(14,6,(Inventory!$G$6:$G$205+(205-ROW(Inventory!$G$6:$G$205))/10000)/((Inventory!$G$6:$G$205&gt;0)*(Inventory!$H$6:$H$205="Amazon")),5),""),(Inventory!$G$6:$G$205+(205-ROW(Inventory!$G$6:$G$205))/10000),0),""))*INDEX(Inventory!$I$6:$I$205,IFERROR(MATCH(IFERROR(AGGREGATE(14,6,(Inventory!$G$6:$G$205+(205-ROW(Inventory!$G$6:$G$205))/10000)/((Inventory!$G$6:$G$205&gt;0)*(Inventory!$H$6:$H$205="Amazon")),5),""),(Inventory!$G$6:$G$205+(205-ROW(Inventory!$G$6:$G$205))/10000),0),""))),"")</f>
        <v/>
      </c>
    </row>
    <row r="39" ht="14" customHeight="1">
      <c r="A39" s="46">
        <f>IFERROR(IF(IFERROR(AGGREGATE(14,6,(Inventory!$G$6:$G$205+(205-ROW(Inventory!$G$6:$G$205))/10000)/((Inventory!$G$6:$G$205&gt;0)*(Inventory!$H$6:$H$205="Amazon")),6),"")="","",INDEX(Inventory!$A$6:$A$205,IFERROR(MATCH(IFERROR(AGGREGATE(14,6,(Inventory!$G$6:$G$205+(205-ROW(Inventory!$G$6:$G$205))/10000)/((Inventory!$G$6:$G$205&gt;0)*(Inventory!$H$6:$H$205="Amazon")),6),""),(Inventory!$G$6:$G$205+(205-ROW(Inventory!$G$6:$G$205))/10000),0),""))),"")</f>
        <v/>
      </c>
      <c r="B39" s="46">
        <f>IFERROR(IF(IFERROR(AGGREGATE(14,6,(Inventory!$G$6:$G$205+(205-ROW(Inventory!$G$6:$G$205))/10000)/((Inventory!$G$6:$G$205&gt;0)*(Inventory!$H$6:$H$205="Amazon")),6),"")="","",INDEX(Inventory!$B$6:$B$205,IFERROR(MATCH(IFERROR(AGGREGATE(14,6,(Inventory!$G$6:$G$205+(205-ROW(Inventory!$G$6:$G$205))/10000)/((Inventory!$G$6:$G$205&gt;0)*(Inventory!$H$6:$H$205="Amazon")),6),""),(Inventory!$G$6:$G$205+(205-ROW(Inventory!$G$6:$G$205))/10000),0),""))),"")</f>
        <v/>
      </c>
      <c r="C39" s="46">
        <f>IFERROR(IF(IFERROR(AGGREGATE(14,6,(Inventory!$G$6:$G$205+(205-ROW(Inventory!$G$6:$G$205))/10000)/((Inventory!$G$6:$G$205&gt;0)*(Inventory!$H$6:$H$205="Amazon")),6),"")="","",INDEX(Inventory!$D$6:$D$205,IFERROR(MATCH(IFERROR(AGGREGATE(14,6,(Inventory!$G$6:$G$205+(205-ROW(Inventory!$G$6:$G$205))/10000)/((Inventory!$G$6:$G$205&gt;0)*(Inventory!$H$6:$H$205="Amazon")),6),""),(Inventory!$G$6:$G$205+(205-ROW(Inventory!$G$6:$G$205))/10000),0),""))),"")</f>
        <v/>
      </c>
      <c r="D39" s="41">
        <f>IFERROR(IF(IFERROR(AGGREGATE(14,6,(Inventory!$G$6:$G$205+(205-ROW(Inventory!$G$6:$G$205))/10000)/((Inventory!$G$6:$G$205&gt;0)*(Inventory!$H$6:$H$205="Amazon")),6),"")="","",INDEX(Inventory!$E$6:$E$205,IFERROR(MATCH(IFERROR(AGGREGATE(14,6,(Inventory!$G$6:$G$205+(205-ROW(Inventory!$G$6:$G$205))/10000)/((Inventory!$G$6:$G$205&gt;0)*(Inventory!$H$6:$H$205="Amazon")),6),""),(Inventory!$G$6:$G$205+(205-ROW(Inventory!$G$6:$G$205))/10000),0),""))),"")</f>
        <v/>
      </c>
      <c r="E39" s="41">
        <f>IFERROR(IF(IFERROR(AGGREGATE(14,6,(Inventory!$G$6:$G$205+(205-ROW(Inventory!$G$6:$G$205))/10000)/((Inventory!$G$6:$G$205&gt;0)*(Inventory!$H$6:$H$205="Amazon")),6),"")="","",INDEX(Inventory!$F$6:$F$205,IFERROR(MATCH(IFERROR(AGGREGATE(14,6,(Inventory!$G$6:$G$205+(205-ROW(Inventory!$G$6:$G$205))/10000)/((Inventory!$G$6:$G$205&gt;0)*(Inventory!$H$6:$H$205="Amazon")),6),""),(Inventory!$G$6:$G$205+(205-ROW(Inventory!$G$6:$G$205))/10000),0),""))),"")</f>
        <v/>
      </c>
      <c r="F39" s="41">
        <f>IFERROR(IF(IFERROR(AGGREGATE(14,6,(Inventory!$G$6:$G$205+(205-ROW(Inventory!$G$6:$G$205))/10000)/((Inventory!$G$6:$G$205&gt;0)*(Inventory!$H$6:$H$205="Amazon")),6),"")="","",INDEX(Inventory!$J$6:$J$205,IFERROR(MATCH(IFERROR(AGGREGATE(14,6,(Inventory!$G$6:$G$205+(205-ROW(Inventory!$G$6:$G$205))/10000)/((Inventory!$G$6:$G$205&gt;0)*(Inventory!$H$6:$H$205="Amazon")),6),""),(Inventory!$G$6:$G$205+(205-ROW(Inventory!$G$6:$G$205))/10000),0),""))),"")</f>
        <v/>
      </c>
      <c r="G39" s="43">
        <f>IFERROR(IF(IFERROR(AGGREGATE(14,6,(Inventory!$G$6:$G$205+(205-ROW(Inventory!$G$6:$G$205))/10000)/((Inventory!$G$6:$G$205&gt;0)*(Inventory!$H$6:$H$205="Amazon")),6),"")="","",INDEX(Inventory!$J$6:$J$205,IFERROR(MATCH(IFERROR(AGGREGATE(14,6,(Inventory!$G$6:$G$205+(205-ROW(Inventory!$G$6:$G$205))/10000)/((Inventory!$G$6:$G$205&gt;0)*(Inventory!$H$6:$H$205="Amazon")),6),""),(Inventory!$G$6:$G$205+(205-ROW(Inventory!$G$6:$G$205))/10000),0),""))*INDEX(Inventory!$I$6:$I$205,IFERROR(MATCH(IFERROR(AGGREGATE(14,6,(Inventory!$G$6:$G$205+(205-ROW(Inventory!$G$6:$G$205))/10000)/((Inventory!$G$6:$G$205&gt;0)*(Inventory!$H$6:$H$205="Amazon")),6),""),(Inventory!$G$6:$G$205+(205-ROW(Inventory!$G$6:$G$205))/10000),0),""))),"")</f>
        <v/>
      </c>
    </row>
    <row r="40" ht="14" customHeight="1">
      <c r="A40" s="46">
        <f>IFERROR(IF(IFERROR(AGGREGATE(14,6,(Inventory!$G$6:$G$205+(205-ROW(Inventory!$G$6:$G$205))/10000)/((Inventory!$G$6:$G$205&gt;0)*(Inventory!$H$6:$H$205="Amazon")),7),"")="","",INDEX(Inventory!$A$6:$A$205,IFERROR(MATCH(IFERROR(AGGREGATE(14,6,(Inventory!$G$6:$G$205+(205-ROW(Inventory!$G$6:$G$205))/10000)/((Inventory!$G$6:$G$205&gt;0)*(Inventory!$H$6:$H$205="Amazon")),7),""),(Inventory!$G$6:$G$205+(205-ROW(Inventory!$G$6:$G$205))/10000),0),""))),"")</f>
        <v/>
      </c>
      <c r="B40" s="46">
        <f>IFERROR(IF(IFERROR(AGGREGATE(14,6,(Inventory!$G$6:$G$205+(205-ROW(Inventory!$G$6:$G$205))/10000)/((Inventory!$G$6:$G$205&gt;0)*(Inventory!$H$6:$H$205="Amazon")),7),"")="","",INDEX(Inventory!$B$6:$B$205,IFERROR(MATCH(IFERROR(AGGREGATE(14,6,(Inventory!$G$6:$G$205+(205-ROW(Inventory!$G$6:$G$205))/10000)/((Inventory!$G$6:$G$205&gt;0)*(Inventory!$H$6:$H$205="Amazon")),7),""),(Inventory!$G$6:$G$205+(205-ROW(Inventory!$G$6:$G$205))/10000),0),""))),"")</f>
        <v/>
      </c>
      <c r="C40" s="46">
        <f>IFERROR(IF(IFERROR(AGGREGATE(14,6,(Inventory!$G$6:$G$205+(205-ROW(Inventory!$G$6:$G$205))/10000)/((Inventory!$G$6:$G$205&gt;0)*(Inventory!$H$6:$H$205="Amazon")),7),"")="","",INDEX(Inventory!$D$6:$D$205,IFERROR(MATCH(IFERROR(AGGREGATE(14,6,(Inventory!$G$6:$G$205+(205-ROW(Inventory!$G$6:$G$205))/10000)/((Inventory!$G$6:$G$205&gt;0)*(Inventory!$H$6:$H$205="Amazon")),7),""),(Inventory!$G$6:$G$205+(205-ROW(Inventory!$G$6:$G$205))/10000),0),""))),"")</f>
        <v/>
      </c>
      <c r="D40" s="41">
        <f>IFERROR(IF(IFERROR(AGGREGATE(14,6,(Inventory!$G$6:$G$205+(205-ROW(Inventory!$G$6:$G$205))/10000)/((Inventory!$G$6:$G$205&gt;0)*(Inventory!$H$6:$H$205="Amazon")),7),"")="","",INDEX(Inventory!$E$6:$E$205,IFERROR(MATCH(IFERROR(AGGREGATE(14,6,(Inventory!$G$6:$G$205+(205-ROW(Inventory!$G$6:$G$205))/10000)/((Inventory!$G$6:$G$205&gt;0)*(Inventory!$H$6:$H$205="Amazon")),7),""),(Inventory!$G$6:$G$205+(205-ROW(Inventory!$G$6:$G$205))/10000),0),""))),"")</f>
        <v/>
      </c>
      <c r="E40" s="41">
        <f>IFERROR(IF(IFERROR(AGGREGATE(14,6,(Inventory!$G$6:$G$205+(205-ROW(Inventory!$G$6:$G$205))/10000)/((Inventory!$G$6:$G$205&gt;0)*(Inventory!$H$6:$H$205="Amazon")),7),"")="","",INDEX(Inventory!$F$6:$F$205,IFERROR(MATCH(IFERROR(AGGREGATE(14,6,(Inventory!$G$6:$G$205+(205-ROW(Inventory!$G$6:$G$205))/10000)/((Inventory!$G$6:$G$205&gt;0)*(Inventory!$H$6:$H$205="Amazon")),7),""),(Inventory!$G$6:$G$205+(205-ROW(Inventory!$G$6:$G$205))/10000),0),""))),"")</f>
        <v/>
      </c>
      <c r="F40" s="41">
        <f>IFERROR(IF(IFERROR(AGGREGATE(14,6,(Inventory!$G$6:$G$205+(205-ROW(Inventory!$G$6:$G$205))/10000)/((Inventory!$G$6:$G$205&gt;0)*(Inventory!$H$6:$H$205="Amazon")),7),"")="","",INDEX(Inventory!$J$6:$J$205,IFERROR(MATCH(IFERROR(AGGREGATE(14,6,(Inventory!$G$6:$G$205+(205-ROW(Inventory!$G$6:$G$205))/10000)/((Inventory!$G$6:$G$205&gt;0)*(Inventory!$H$6:$H$205="Amazon")),7),""),(Inventory!$G$6:$G$205+(205-ROW(Inventory!$G$6:$G$205))/10000),0),""))),"")</f>
        <v/>
      </c>
      <c r="G40" s="43">
        <f>IFERROR(IF(IFERROR(AGGREGATE(14,6,(Inventory!$G$6:$G$205+(205-ROW(Inventory!$G$6:$G$205))/10000)/((Inventory!$G$6:$G$205&gt;0)*(Inventory!$H$6:$H$205="Amazon")),7),"")="","",INDEX(Inventory!$J$6:$J$205,IFERROR(MATCH(IFERROR(AGGREGATE(14,6,(Inventory!$G$6:$G$205+(205-ROW(Inventory!$G$6:$G$205))/10000)/((Inventory!$G$6:$G$205&gt;0)*(Inventory!$H$6:$H$205="Amazon")),7),""),(Inventory!$G$6:$G$205+(205-ROW(Inventory!$G$6:$G$205))/10000),0),""))*INDEX(Inventory!$I$6:$I$205,IFERROR(MATCH(IFERROR(AGGREGATE(14,6,(Inventory!$G$6:$G$205+(205-ROW(Inventory!$G$6:$G$205))/10000)/((Inventory!$G$6:$G$205&gt;0)*(Inventory!$H$6:$H$205="Amazon")),7),""),(Inventory!$G$6:$G$205+(205-ROW(Inventory!$G$6:$G$205))/10000),0),""))),"")</f>
        <v/>
      </c>
    </row>
    <row r="41" ht="14" customHeight="1">
      <c r="A41" s="46">
        <f>IFERROR(IF(IFERROR(AGGREGATE(14,6,(Inventory!$G$6:$G$205+(205-ROW(Inventory!$G$6:$G$205))/10000)/((Inventory!$G$6:$G$205&gt;0)*(Inventory!$H$6:$H$205="Amazon")),8),"")="","",INDEX(Inventory!$A$6:$A$205,IFERROR(MATCH(IFERROR(AGGREGATE(14,6,(Inventory!$G$6:$G$205+(205-ROW(Inventory!$G$6:$G$205))/10000)/((Inventory!$G$6:$G$205&gt;0)*(Inventory!$H$6:$H$205="Amazon")),8),""),(Inventory!$G$6:$G$205+(205-ROW(Inventory!$G$6:$G$205))/10000),0),""))),"")</f>
        <v/>
      </c>
      <c r="B41" s="46">
        <f>IFERROR(IF(IFERROR(AGGREGATE(14,6,(Inventory!$G$6:$G$205+(205-ROW(Inventory!$G$6:$G$205))/10000)/((Inventory!$G$6:$G$205&gt;0)*(Inventory!$H$6:$H$205="Amazon")),8),"")="","",INDEX(Inventory!$B$6:$B$205,IFERROR(MATCH(IFERROR(AGGREGATE(14,6,(Inventory!$G$6:$G$205+(205-ROW(Inventory!$G$6:$G$205))/10000)/((Inventory!$G$6:$G$205&gt;0)*(Inventory!$H$6:$H$205="Amazon")),8),""),(Inventory!$G$6:$G$205+(205-ROW(Inventory!$G$6:$G$205))/10000),0),""))),"")</f>
        <v/>
      </c>
      <c r="C41" s="46">
        <f>IFERROR(IF(IFERROR(AGGREGATE(14,6,(Inventory!$G$6:$G$205+(205-ROW(Inventory!$G$6:$G$205))/10000)/((Inventory!$G$6:$G$205&gt;0)*(Inventory!$H$6:$H$205="Amazon")),8),"")="","",INDEX(Inventory!$D$6:$D$205,IFERROR(MATCH(IFERROR(AGGREGATE(14,6,(Inventory!$G$6:$G$205+(205-ROW(Inventory!$G$6:$G$205))/10000)/((Inventory!$G$6:$G$205&gt;0)*(Inventory!$H$6:$H$205="Amazon")),8),""),(Inventory!$G$6:$G$205+(205-ROW(Inventory!$G$6:$G$205))/10000),0),""))),"")</f>
        <v/>
      </c>
      <c r="D41" s="41">
        <f>IFERROR(IF(IFERROR(AGGREGATE(14,6,(Inventory!$G$6:$G$205+(205-ROW(Inventory!$G$6:$G$205))/10000)/((Inventory!$G$6:$G$205&gt;0)*(Inventory!$H$6:$H$205="Amazon")),8),"")="","",INDEX(Inventory!$E$6:$E$205,IFERROR(MATCH(IFERROR(AGGREGATE(14,6,(Inventory!$G$6:$G$205+(205-ROW(Inventory!$G$6:$G$205))/10000)/((Inventory!$G$6:$G$205&gt;0)*(Inventory!$H$6:$H$205="Amazon")),8),""),(Inventory!$G$6:$G$205+(205-ROW(Inventory!$G$6:$G$205))/10000),0),""))),"")</f>
        <v/>
      </c>
      <c r="E41" s="41">
        <f>IFERROR(IF(IFERROR(AGGREGATE(14,6,(Inventory!$G$6:$G$205+(205-ROW(Inventory!$G$6:$G$205))/10000)/((Inventory!$G$6:$G$205&gt;0)*(Inventory!$H$6:$H$205="Amazon")),8),"")="","",INDEX(Inventory!$F$6:$F$205,IFERROR(MATCH(IFERROR(AGGREGATE(14,6,(Inventory!$G$6:$G$205+(205-ROW(Inventory!$G$6:$G$205))/10000)/((Inventory!$G$6:$G$205&gt;0)*(Inventory!$H$6:$H$205="Amazon")),8),""),(Inventory!$G$6:$G$205+(205-ROW(Inventory!$G$6:$G$205))/10000),0),""))),"")</f>
        <v/>
      </c>
      <c r="F41" s="41">
        <f>IFERROR(IF(IFERROR(AGGREGATE(14,6,(Inventory!$G$6:$G$205+(205-ROW(Inventory!$G$6:$G$205))/10000)/((Inventory!$G$6:$G$205&gt;0)*(Inventory!$H$6:$H$205="Amazon")),8),"")="","",INDEX(Inventory!$J$6:$J$205,IFERROR(MATCH(IFERROR(AGGREGATE(14,6,(Inventory!$G$6:$G$205+(205-ROW(Inventory!$G$6:$G$205))/10000)/((Inventory!$G$6:$G$205&gt;0)*(Inventory!$H$6:$H$205="Amazon")),8),""),(Inventory!$G$6:$G$205+(205-ROW(Inventory!$G$6:$G$205))/10000),0),""))),"")</f>
        <v/>
      </c>
      <c r="G41" s="43">
        <f>IFERROR(IF(IFERROR(AGGREGATE(14,6,(Inventory!$G$6:$G$205+(205-ROW(Inventory!$G$6:$G$205))/10000)/((Inventory!$G$6:$G$205&gt;0)*(Inventory!$H$6:$H$205="Amazon")),8),"")="","",INDEX(Inventory!$J$6:$J$205,IFERROR(MATCH(IFERROR(AGGREGATE(14,6,(Inventory!$G$6:$G$205+(205-ROW(Inventory!$G$6:$G$205))/10000)/((Inventory!$G$6:$G$205&gt;0)*(Inventory!$H$6:$H$205="Amazon")),8),""),(Inventory!$G$6:$G$205+(205-ROW(Inventory!$G$6:$G$205))/10000),0),""))*INDEX(Inventory!$I$6:$I$205,IFERROR(MATCH(IFERROR(AGGREGATE(14,6,(Inventory!$G$6:$G$205+(205-ROW(Inventory!$G$6:$G$205))/10000)/((Inventory!$G$6:$G$205&gt;0)*(Inventory!$H$6:$H$205="Amazon")),8),""),(Inventory!$G$6:$G$205+(205-ROW(Inventory!$G$6:$G$205))/10000),0),""))),"")</f>
        <v/>
      </c>
    </row>
    <row r="42" ht="14" customHeight="1">
      <c r="A42" s="46">
        <f>IFERROR(IF(IFERROR(AGGREGATE(14,6,(Inventory!$G$6:$G$205+(205-ROW(Inventory!$G$6:$G$205))/10000)/((Inventory!$G$6:$G$205&gt;0)*(Inventory!$H$6:$H$205="Amazon")),9),"")="","",INDEX(Inventory!$A$6:$A$205,IFERROR(MATCH(IFERROR(AGGREGATE(14,6,(Inventory!$G$6:$G$205+(205-ROW(Inventory!$G$6:$G$205))/10000)/((Inventory!$G$6:$G$205&gt;0)*(Inventory!$H$6:$H$205="Amazon")),9),""),(Inventory!$G$6:$G$205+(205-ROW(Inventory!$G$6:$G$205))/10000),0),""))),"")</f>
        <v/>
      </c>
      <c r="B42" s="46">
        <f>IFERROR(IF(IFERROR(AGGREGATE(14,6,(Inventory!$G$6:$G$205+(205-ROW(Inventory!$G$6:$G$205))/10000)/((Inventory!$G$6:$G$205&gt;0)*(Inventory!$H$6:$H$205="Amazon")),9),"")="","",INDEX(Inventory!$B$6:$B$205,IFERROR(MATCH(IFERROR(AGGREGATE(14,6,(Inventory!$G$6:$G$205+(205-ROW(Inventory!$G$6:$G$205))/10000)/((Inventory!$G$6:$G$205&gt;0)*(Inventory!$H$6:$H$205="Amazon")),9),""),(Inventory!$G$6:$G$205+(205-ROW(Inventory!$G$6:$G$205))/10000),0),""))),"")</f>
        <v/>
      </c>
      <c r="C42" s="46">
        <f>IFERROR(IF(IFERROR(AGGREGATE(14,6,(Inventory!$G$6:$G$205+(205-ROW(Inventory!$G$6:$G$205))/10000)/((Inventory!$G$6:$G$205&gt;0)*(Inventory!$H$6:$H$205="Amazon")),9),"")="","",INDEX(Inventory!$D$6:$D$205,IFERROR(MATCH(IFERROR(AGGREGATE(14,6,(Inventory!$G$6:$G$205+(205-ROW(Inventory!$G$6:$G$205))/10000)/((Inventory!$G$6:$G$205&gt;0)*(Inventory!$H$6:$H$205="Amazon")),9),""),(Inventory!$G$6:$G$205+(205-ROW(Inventory!$G$6:$G$205))/10000),0),""))),"")</f>
        <v/>
      </c>
      <c r="D42" s="41">
        <f>IFERROR(IF(IFERROR(AGGREGATE(14,6,(Inventory!$G$6:$G$205+(205-ROW(Inventory!$G$6:$G$205))/10000)/((Inventory!$G$6:$G$205&gt;0)*(Inventory!$H$6:$H$205="Amazon")),9),"")="","",INDEX(Inventory!$E$6:$E$205,IFERROR(MATCH(IFERROR(AGGREGATE(14,6,(Inventory!$G$6:$G$205+(205-ROW(Inventory!$G$6:$G$205))/10000)/((Inventory!$G$6:$G$205&gt;0)*(Inventory!$H$6:$H$205="Amazon")),9),""),(Inventory!$G$6:$G$205+(205-ROW(Inventory!$G$6:$G$205))/10000),0),""))),"")</f>
        <v/>
      </c>
      <c r="E42" s="41">
        <f>IFERROR(IF(IFERROR(AGGREGATE(14,6,(Inventory!$G$6:$G$205+(205-ROW(Inventory!$G$6:$G$205))/10000)/((Inventory!$G$6:$G$205&gt;0)*(Inventory!$H$6:$H$205="Amazon")),9),"")="","",INDEX(Inventory!$F$6:$F$205,IFERROR(MATCH(IFERROR(AGGREGATE(14,6,(Inventory!$G$6:$G$205+(205-ROW(Inventory!$G$6:$G$205))/10000)/((Inventory!$G$6:$G$205&gt;0)*(Inventory!$H$6:$H$205="Amazon")),9),""),(Inventory!$G$6:$G$205+(205-ROW(Inventory!$G$6:$G$205))/10000),0),""))),"")</f>
        <v/>
      </c>
      <c r="F42" s="41">
        <f>IFERROR(IF(IFERROR(AGGREGATE(14,6,(Inventory!$G$6:$G$205+(205-ROW(Inventory!$G$6:$G$205))/10000)/((Inventory!$G$6:$G$205&gt;0)*(Inventory!$H$6:$H$205="Amazon")),9),"")="","",INDEX(Inventory!$J$6:$J$205,IFERROR(MATCH(IFERROR(AGGREGATE(14,6,(Inventory!$G$6:$G$205+(205-ROW(Inventory!$G$6:$G$205))/10000)/((Inventory!$G$6:$G$205&gt;0)*(Inventory!$H$6:$H$205="Amazon")),9),""),(Inventory!$G$6:$G$205+(205-ROW(Inventory!$G$6:$G$205))/10000),0),""))),"")</f>
        <v/>
      </c>
      <c r="G42" s="43">
        <f>IFERROR(IF(IFERROR(AGGREGATE(14,6,(Inventory!$G$6:$G$205+(205-ROW(Inventory!$G$6:$G$205))/10000)/((Inventory!$G$6:$G$205&gt;0)*(Inventory!$H$6:$H$205="Amazon")),9),"")="","",INDEX(Inventory!$J$6:$J$205,IFERROR(MATCH(IFERROR(AGGREGATE(14,6,(Inventory!$G$6:$G$205+(205-ROW(Inventory!$G$6:$G$205))/10000)/((Inventory!$G$6:$G$205&gt;0)*(Inventory!$H$6:$H$205="Amazon")),9),""),(Inventory!$G$6:$G$205+(205-ROW(Inventory!$G$6:$G$205))/10000),0),""))*INDEX(Inventory!$I$6:$I$205,IFERROR(MATCH(IFERROR(AGGREGATE(14,6,(Inventory!$G$6:$G$205+(205-ROW(Inventory!$G$6:$G$205))/10000)/((Inventory!$G$6:$G$205&gt;0)*(Inventory!$H$6:$H$205="Amazon")),9),""),(Inventory!$G$6:$G$205+(205-ROW(Inventory!$G$6:$G$205))/10000),0),""))),"")</f>
        <v/>
      </c>
    </row>
    <row r="43" ht="14" customHeight="1">
      <c r="A43" s="46">
        <f>IFERROR(IF(IFERROR(AGGREGATE(14,6,(Inventory!$G$6:$G$205+(205-ROW(Inventory!$G$6:$G$205))/10000)/((Inventory!$G$6:$G$205&gt;0)*(Inventory!$H$6:$H$205="Amazon")),10),"")="","",INDEX(Inventory!$A$6:$A$205,IFERROR(MATCH(IFERROR(AGGREGATE(14,6,(Inventory!$G$6:$G$205+(205-ROW(Inventory!$G$6:$G$205))/10000)/((Inventory!$G$6:$G$205&gt;0)*(Inventory!$H$6:$H$205="Amazon")),10),""),(Inventory!$G$6:$G$205+(205-ROW(Inventory!$G$6:$G$205))/10000),0),""))),"")</f>
        <v/>
      </c>
      <c r="B43" s="46">
        <f>IFERROR(IF(IFERROR(AGGREGATE(14,6,(Inventory!$G$6:$G$205+(205-ROW(Inventory!$G$6:$G$205))/10000)/((Inventory!$G$6:$G$205&gt;0)*(Inventory!$H$6:$H$205="Amazon")),10),"")="","",INDEX(Inventory!$B$6:$B$205,IFERROR(MATCH(IFERROR(AGGREGATE(14,6,(Inventory!$G$6:$G$205+(205-ROW(Inventory!$G$6:$G$205))/10000)/((Inventory!$G$6:$G$205&gt;0)*(Inventory!$H$6:$H$205="Amazon")),10),""),(Inventory!$G$6:$G$205+(205-ROW(Inventory!$G$6:$G$205))/10000),0),""))),"")</f>
        <v/>
      </c>
      <c r="C43" s="46">
        <f>IFERROR(IF(IFERROR(AGGREGATE(14,6,(Inventory!$G$6:$G$205+(205-ROW(Inventory!$G$6:$G$205))/10000)/((Inventory!$G$6:$G$205&gt;0)*(Inventory!$H$6:$H$205="Amazon")),10),"")="","",INDEX(Inventory!$D$6:$D$205,IFERROR(MATCH(IFERROR(AGGREGATE(14,6,(Inventory!$G$6:$G$205+(205-ROW(Inventory!$G$6:$G$205))/10000)/((Inventory!$G$6:$G$205&gt;0)*(Inventory!$H$6:$H$205="Amazon")),10),""),(Inventory!$G$6:$G$205+(205-ROW(Inventory!$G$6:$G$205))/10000),0),""))),"")</f>
        <v/>
      </c>
      <c r="D43" s="41">
        <f>IFERROR(IF(IFERROR(AGGREGATE(14,6,(Inventory!$G$6:$G$205+(205-ROW(Inventory!$G$6:$G$205))/10000)/((Inventory!$G$6:$G$205&gt;0)*(Inventory!$H$6:$H$205="Amazon")),10),"")="","",INDEX(Inventory!$E$6:$E$205,IFERROR(MATCH(IFERROR(AGGREGATE(14,6,(Inventory!$G$6:$G$205+(205-ROW(Inventory!$G$6:$G$205))/10000)/((Inventory!$G$6:$G$205&gt;0)*(Inventory!$H$6:$H$205="Amazon")),10),""),(Inventory!$G$6:$G$205+(205-ROW(Inventory!$G$6:$G$205))/10000),0),""))),"")</f>
        <v/>
      </c>
      <c r="E43" s="41">
        <f>IFERROR(IF(IFERROR(AGGREGATE(14,6,(Inventory!$G$6:$G$205+(205-ROW(Inventory!$G$6:$G$205))/10000)/((Inventory!$G$6:$G$205&gt;0)*(Inventory!$H$6:$H$205="Amazon")),10),"")="","",INDEX(Inventory!$F$6:$F$205,IFERROR(MATCH(IFERROR(AGGREGATE(14,6,(Inventory!$G$6:$G$205+(205-ROW(Inventory!$G$6:$G$205))/10000)/((Inventory!$G$6:$G$205&gt;0)*(Inventory!$H$6:$H$205="Amazon")),10),""),(Inventory!$G$6:$G$205+(205-ROW(Inventory!$G$6:$G$205))/10000),0),""))),"")</f>
        <v/>
      </c>
      <c r="F43" s="41">
        <f>IFERROR(IF(IFERROR(AGGREGATE(14,6,(Inventory!$G$6:$G$205+(205-ROW(Inventory!$G$6:$G$205))/10000)/((Inventory!$G$6:$G$205&gt;0)*(Inventory!$H$6:$H$205="Amazon")),10),"")="","",INDEX(Inventory!$J$6:$J$205,IFERROR(MATCH(IFERROR(AGGREGATE(14,6,(Inventory!$G$6:$G$205+(205-ROW(Inventory!$G$6:$G$205))/10000)/((Inventory!$G$6:$G$205&gt;0)*(Inventory!$H$6:$H$205="Amazon")),10),""),(Inventory!$G$6:$G$205+(205-ROW(Inventory!$G$6:$G$205))/10000),0),""))),"")</f>
        <v/>
      </c>
      <c r="G43" s="43">
        <f>IFERROR(IF(IFERROR(AGGREGATE(14,6,(Inventory!$G$6:$G$205+(205-ROW(Inventory!$G$6:$G$205))/10000)/((Inventory!$G$6:$G$205&gt;0)*(Inventory!$H$6:$H$205="Amazon")),10),"")="","",INDEX(Inventory!$J$6:$J$205,IFERROR(MATCH(IFERROR(AGGREGATE(14,6,(Inventory!$G$6:$G$205+(205-ROW(Inventory!$G$6:$G$205))/10000)/((Inventory!$G$6:$G$205&gt;0)*(Inventory!$H$6:$H$205="Amazon")),10),""),(Inventory!$G$6:$G$205+(205-ROW(Inventory!$G$6:$G$205))/10000),0),""))*INDEX(Inventory!$I$6:$I$205,IFERROR(MATCH(IFERROR(AGGREGATE(14,6,(Inventory!$G$6:$G$205+(205-ROW(Inventory!$G$6:$G$205))/10000)/((Inventory!$G$6:$G$205&gt;0)*(Inventory!$H$6:$H$205="Amazon")),10),""),(Inventory!$G$6:$G$205+(205-ROW(Inventory!$G$6:$G$205))/10000),0),""))),"")</f>
        <v/>
      </c>
    </row>
    <row r="44" ht="14" customHeight="1">
      <c r="A44" s="46">
        <f>IFERROR(IF(IFERROR(AGGREGATE(14,6,(Inventory!$G$6:$G$205+(205-ROW(Inventory!$G$6:$G$205))/10000)/((Inventory!$G$6:$G$205&gt;0)*(Inventory!$H$6:$H$205="Amazon")),11),"")="","",INDEX(Inventory!$A$6:$A$205,IFERROR(MATCH(IFERROR(AGGREGATE(14,6,(Inventory!$G$6:$G$205+(205-ROW(Inventory!$G$6:$G$205))/10000)/((Inventory!$G$6:$G$205&gt;0)*(Inventory!$H$6:$H$205="Amazon")),11),""),(Inventory!$G$6:$G$205+(205-ROW(Inventory!$G$6:$G$205))/10000),0),""))),"")</f>
        <v/>
      </c>
      <c r="B44" s="46">
        <f>IFERROR(IF(IFERROR(AGGREGATE(14,6,(Inventory!$G$6:$G$205+(205-ROW(Inventory!$G$6:$G$205))/10000)/((Inventory!$G$6:$G$205&gt;0)*(Inventory!$H$6:$H$205="Amazon")),11),"")="","",INDEX(Inventory!$B$6:$B$205,IFERROR(MATCH(IFERROR(AGGREGATE(14,6,(Inventory!$G$6:$G$205+(205-ROW(Inventory!$G$6:$G$205))/10000)/((Inventory!$G$6:$G$205&gt;0)*(Inventory!$H$6:$H$205="Amazon")),11),""),(Inventory!$G$6:$G$205+(205-ROW(Inventory!$G$6:$G$205))/10000),0),""))),"")</f>
        <v/>
      </c>
      <c r="C44" s="46">
        <f>IFERROR(IF(IFERROR(AGGREGATE(14,6,(Inventory!$G$6:$G$205+(205-ROW(Inventory!$G$6:$G$205))/10000)/((Inventory!$G$6:$G$205&gt;0)*(Inventory!$H$6:$H$205="Amazon")),11),"")="","",INDEX(Inventory!$D$6:$D$205,IFERROR(MATCH(IFERROR(AGGREGATE(14,6,(Inventory!$G$6:$G$205+(205-ROW(Inventory!$G$6:$G$205))/10000)/((Inventory!$G$6:$G$205&gt;0)*(Inventory!$H$6:$H$205="Amazon")),11),""),(Inventory!$G$6:$G$205+(205-ROW(Inventory!$G$6:$G$205))/10000),0),""))),"")</f>
        <v/>
      </c>
      <c r="D44" s="41">
        <f>IFERROR(IF(IFERROR(AGGREGATE(14,6,(Inventory!$G$6:$G$205+(205-ROW(Inventory!$G$6:$G$205))/10000)/((Inventory!$G$6:$G$205&gt;0)*(Inventory!$H$6:$H$205="Amazon")),11),"")="","",INDEX(Inventory!$E$6:$E$205,IFERROR(MATCH(IFERROR(AGGREGATE(14,6,(Inventory!$G$6:$G$205+(205-ROW(Inventory!$G$6:$G$205))/10000)/((Inventory!$G$6:$G$205&gt;0)*(Inventory!$H$6:$H$205="Amazon")),11),""),(Inventory!$G$6:$G$205+(205-ROW(Inventory!$G$6:$G$205))/10000),0),""))),"")</f>
        <v/>
      </c>
      <c r="E44" s="41">
        <f>IFERROR(IF(IFERROR(AGGREGATE(14,6,(Inventory!$G$6:$G$205+(205-ROW(Inventory!$G$6:$G$205))/10000)/((Inventory!$G$6:$G$205&gt;0)*(Inventory!$H$6:$H$205="Amazon")),11),"")="","",INDEX(Inventory!$F$6:$F$205,IFERROR(MATCH(IFERROR(AGGREGATE(14,6,(Inventory!$G$6:$G$205+(205-ROW(Inventory!$G$6:$G$205))/10000)/((Inventory!$G$6:$G$205&gt;0)*(Inventory!$H$6:$H$205="Amazon")),11),""),(Inventory!$G$6:$G$205+(205-ROW(Inventory!$G$6:$G$205))/10000),0),""))),"")</f>
        <v/>
      </c>
      <c r="F44" s="41">
        <f>IFERROR(IF(IFERROR(AGGREGATE(14,6,(Inventory!$G$6:$G$205+(205-ROW(Inventory!$G$6:$G$205))/10000)/((Inventory!$G$6:$G$205&gt;0)*(Inventory!$H$6:$H$205="Amazon")),11),"")="","",INDEX(Inventory!$J$6:$J$205,IFERROR(MATCH(IFERROR(AGGREGATE(14,6,(Inventory!$G$6:$G$205+(205-ROW(Inventory!$G$6:$G$205))/10000)/((Inventory!$G$6:$G$205&gt;0)*(Inventory!$H$6:$H$205="Amazon")),11),""),(Inventory!$G$6:$G$205+(205-ROW(Inventory!$G$6:$G$205))/10000),0),""))),"")</f>
        <v/>
      </c>
      <c r="G44" s="43">
        <f>IFERROR(IF(IFERROR(AGGREGATE(14,6,(Inventory!$G$6:$G$205+(205-ROW(Inventory!$G$6:$G$205))/10000)/((Inventory!$G$6:$G$205&gt;0)*(Inventory!$H$6:$H$205="Amazon")),11),"")="","",INDEX(Inventory!$J$6:$J$205,IFERROR(MATCH(IFERROR(AGGREGATE(14,6,(Inventory!$G$6:$G$205+(205-ROW(Inventory!$G$6:$G$205))/10000)/((Inventory!$G$6:$G$205&gt;0)*(Inventory!$H$6:$H$205="Amazon")),11),""),(Inventory!$G$6:$G$205+(205-ROW(Inventory!$G$6:$G$205))/10000),0),""))*INDEX(Inventory!$I$6:$I$205,IFERROR(MATCH(IFERROR(AGGREGATE(14,6,(Inventory!$G$6:$G$205+(205-ROW(Inventory!$G$6:$G$205))/10000)/((Inventory!$G$6:$G$205&gt;0)*(Inventory!$H$6:$H$205="Amazon")),11),""),(Inventory!$G$6:$G$205+(205-ROW(Inventory!$G$6:$G$205))/10000),0),""))),"")</f>
        <v/>
      </c>
    </row>
    <row r="45" ht="14" customHeight="1">
      <c r="A45" s="46">
        <f>IFERROR(IF(IFERROR(AGGREGATE(14,6,(Inventory!$G$6:$G$205+(205-ROW(Inventory!$G$6:$G$205))/10000)/((Inventory!$G$6:$G$205&gt;0)*(Inventory!$H$6:$H$205="Amazon")),12),"")="","",INDEX(Inventory!$A$6:$A$205,IFERROR(MATCH(IFERROR(AGGREGATE(14,6,(Inventory!$G$6:$G$205+(205-ROW(Inventory!$G$6:$G$205))/10000)/((Inventory!$G$6:$G$205&gt;0)*(Inventory!$H$6:$H$205="Amazon")),12),""),(Inventory!$G$6:$G$205+(205-ROW(Inventory!$G$6:$G$205))/10000),0),""))),"")</f>
        <v/>
      </c>
      <c r="B45" s="46">
        <f>IFERROR(IF(IFERROR(AGGREGATE(14,6,(Inventory!$G$6:$G$205+(205-ROW(Inventory!$G$6:$G$205))/10000)/((Inventory!$G$6:$G$205&gt;0)*(Inventory!$H$6:$H$205="Amazon")),12),"")="","",INDEX(Inventory!$B$6:$B$205,IFERROR(MATCH(IFERROR(AGGREGATE(14,6,(Inventory!$G$6:$G$205+(205-ROW(Inventory!$G$6:$G$205))/10000)/((Inventory!$G$6:$G$205&gt;0)*(Inventory!$H$6:$H$205="Amazon")),12),""),(Inventory!$G$6:$G$205+(205-ROW(Inventory!$G$6:$G$205))/10000),0),""))),"")</f>
        <v/>
      </c>
      <c r="C45" s="46">
        <f>IFERROR(IF(IFERROR(AGGREGATE(14,6,(Inventory!$G$6:$G$205+(205-ROW(Inventory!$G$6:$G$205))/10000)/((Inventory!$G$6:$G$205&gt;0)*(Inventory!$H$6:$H$205="Amazon")),12),"")="","",INDEX(Inventory!$D$6:$D$205,IFERROR(MATCH(IFERROR(AGGREGATE(14,6,(Inventory!$G$6:$G$205+(205-ROW(Inventory!$G$6:$G$205))/10000)/((Inventory!$G$6:$G$205&gt;0)*(Inventory!$H$6:$H$205="Amazon")),12),""),(Inventory!$G$6:$G$205+(205-ROW(Inventory!$G$6:$G$205))/10000),0),""))),"")</f>
        <v/>
      </c>
      <c r="D45" s="41">
        <f>IFERROR(IF(IFERROR(AGGREGATE(14,6,(Inventory!$G$6:$G$205+(205-ROW(Inventory!$G$6:$G$205))/10000)/((Inventory!$G$6:$G$205&gt;0)*(Inventory!$H$6:$H$205="Amazon")),12),"")="","",INDEX(Inventory!$E$6:$E$205,IFERROR(MATCH(IFERROR(AGGREGATE(14,6,(Inventory!$G$6:$G$205+(205-ROW(Inventory!$G$6:$G$205))/10000)/((Inventory!$G$6:$G$205&gt;0)*(Inventory!$H$6:$H$205="Amazon")),12),""),(Inventory!$G$6:$G$205+(205-ROW(Inventory!$G$6:$G$205))/10000),0),""))),"")</f>
        <v/>
      </c>
      <c r="E45" s="41">
        <f>IFERROR(IF(IFERROR(AGGREGATE(14,6,(Inventory!$G$6:$G$205+(205-ROW(Inventory!$G$6:$G$205))/10000)/((Inventory!$G$6:$G$205&gt;0)*(Inventory!$H$6:$H$205="Amazon")),12),"")="","",INDEX(Inventory!$F$6:$F$205,IFERROR(MATCH(IFERROR(AGGREGATE(14,6,(Inventory!$G$6:$G$205+(205-ROW(Inventory!$G$6:$G$205))/10000)/((Inventory!$G$6:$G$205&gt;0)*(Inventory!$H$6:$H$205="Amazon")),12),""),(Inventory!$G$6:$G$205+(205-ROW(Inventory!$G$6:$G$205))/10000),0),""))),"")</f>
        <v/>
      </c>
      <c r="F45" s="41">
        <f>IFERROR(IF(IFERROR(AGGREGATE(14,6,(Inventory!$G$6:$G$205+(205-ROW(Inventory!$G$6:$G$205))/10000)/((Inventory!$G$6:$G$205&gt;0)*(Inventory!$H$6:$H$205="Amazon")),12),"")="","",INDEX(Inventory!$J$6:$J$205,IFERROR(MATCH(IFERROR(AGGREGATE(14,6,(Inventory!$G$6:$G$205+(205-ROW(Inventory!$G$6:$G$205))/10000)/((Inventory!$G$6:$G$205&gt;0)*(Inventory!$H$6:$H$205="Amazon")),12),""),(Inventory!$G$6:$G$205+(205-ROW(Inventory!$G$6:$G$205))/10000),0),""))),"")</f>
        <v/>
      </c>
      <c r="G45" s="43">
        <f>IFERROR(IF(IFERROR(AGGREGATE(14,6,(Inventory!$G$6:$G$205+(205-ROW(Inventory!$G$6:$G$205))/10000)/((Inventory!$G$6:$G$205&gt;0)*(Inventory!$H$6:$H$205="Amazon")),12),"")="","",INDEX(Inventory!$J$6:$J$205,IFERROR(MATCH(IFERROR(AGGREGATE(14,6,(Inventory!$G$6:$G$205+(205-ROW(Inventory!$G$6:$G$205))/10000)/((Inventory!$G$6:$G$205&gt;0)*(Inventory!$H$6:$H$205="Amazon")),12),""),(Inventory!$G$6:$G$205+(205-ROW(Inventory!$G$6:$G$205))/10000),0),""))*INDEX(Inventory!$I$6:$I$205,IFERROR(MATCH(IFERROR(AGGREGATE(14,6,(Inventory!$G$6:$G$205+(205-ROW(Inventory!$G$6:$G$205))/10000)/((Inventory!$G$6:$G$205&gt;0)*(Inventory!$H$6:$H$205="Amazon")),12),""),(Inventory!$G$6:$G$205+(205-ROW(Inventory!$G$6:$G$205))/10000),0),""))),"")</f>
        <v/>
      </c>
    </row>
    <row r="46" ht="14" customHeight="1">
      <c r="A46" s="46">
        <f>IFERROR(IF(IFERROR(AGGREGATE(14,6,(Inventory!$G$6:$G$205+(205-ROW(Inventory!$G$6:$G$205))/10000)/((Inventory!$G$6:$G$205&gt;0)*(Inventory!$H$6:$H$205="Amazon")),13),"")="","",INDEX(Inventory!$A$6:$A$205,IFERROR(MATCH(IFERROR(AGGREGATE(14,6,(Inventory!$G$6:$G$205+(205-ROW(Inventory!$G$6:$G$205))/10000)/((Inventory!$G$6:$G$205&gt;0)*(Inventory!$H$6:$H$205="Amazon")),13),""),(Inventory!$G$6:$G$205+(205-ROW(Inventory!$G$6:$G$205))/10000),0),""))),"")</f>
        <v/>
      </c>
      <c r="B46" s="46">
        <f>IFERROR(IF(IFERROR(AGGREGATE(14,6,(Inventory!$G$6:$G$205+(205-ROW(Inventory!$G$6:$G$205))/10000)/((Inventory!$G$6:$G$205&gt;0)*(Inventory!$H$6:$H$205="Amazon")),13),"")="","",INDEX(Inventory!$B$6:$B$205,IFERROR(MATCH(IFERROR(AGGREGATE(14,6,(Inventory!$G$6:$G$205+(205-ROW(Inventory!$G$6:$G$205))/10000)/((Inventory!$G$6:$G$205&gt;0)*(Inventory!$H$6:$H$205="Amazon")),13),""),(Inventory!$G$6:$G$205+(205-ROW(Inventory!$G$6:$G$205))/10000),0),""))),"")</f>
        <v/>
      </c>
      <c r="C46" s="46">
        <f>IFERROR(IF(IFERROR(AGGREGATE(14,6,(Inventory!$G$6:$G$205+(205-ROW(Inventory!$G$6:$G$205))/10000)/((Inventory!$G$6:$G$205&gt;0)*(Inventory!$H$6:$H$205="Amazon")),13),"")="","",INDEX(Inventory!$D$6:$D$205,IFERROR(MATCH(IFERROR(AGGREGATE(14,6,(Inventory!$G$6:$G$205+(205-ROW(Inventory!$G$6:$G$205))/10000)/((Inventory!$G$6:$G$205&gt;0)*(Inventory!$H$6:$H$205="Amazon")),13),""),(Inventory!$G$6:$G$205+(205-ROW(Inventory!$G$6:$G$205))/10000),0),""))),"")</f>
        <v/>
      </c>
      <c r="D46" s="41">
        <f>IFERROR(IF(IFERROR(AGGREGATE(14,6,(Inventory!$G$6:$G$205+(205-ROW(Inventory!$G$6:$G$205))/10000)/((Inventory!$G$6:$G$205&gt;0)*(Inventory!$H$6:$H$205="Amazon")),13),"")="","",INDEX(Inventory!$E$6:$E$205,IFERROR(MATCH(IFERROR(AGGREGATE(14,6,(Inventory!$G$6:$G$205+(205-ROW(Inventory!$G$6:$G$205))/10000)/((Inventory!$G$6:$G$205&gt;0)*(Inventory!$H$6:$H$205="Amazon")),13),""),(Inventory!$G$6:$G$205+(205-ROW(Inventory!$G$6:$G$205))/10000),0),""))),"")</f>
        <v/>
      </c>
      <c r="E46" s="41">
        <f>IFERROR(IF(IFERROR(AGGREGATE(14,6,(Inventory!$G$6:$G$205+(205-ROW(Inventory!$G$6:$G$205))/10000)/((Inventory!$G$6:$G$205&gt;0)*(Inventory!$H$6:$H$205="Amazon")),13),"")="","",INDEX(Inventory!$F$6:$F$205,IFERROR(MATCH(IFERROR(AGGREGATE(14,6,(Inventory!$G$6:$G$205+(205-ROW(Inventory!$G$6:$G$205))/10000)/((Inventory!$G$6:$G$205&gt;0)*(Inventory!$H$6:$H$205="Amazon")),13),""),(Inventory!$G$6:$G$205+(205-ROW(Inventory!$G$6:$G$205))/10000),0),""))),"")</f>
        <v/>
      </c>
      <c r="F46" s="41">
        <f>IFERROR(IF(IFERROR(AGGREGATE(14,6,(Inventory!$G$6:$G$205+(205-ROW(Inventory!$G$6:$G$205))/10000)/((Inventory!$G$6:$G$205&gt;0)*(Inventory!$H$6:$H$205="Amazon")),13),"")="","",INDEX(Inventory!$J$6:$J$205,IFERROR(MATCH(IFERROR(AGGREGATE(14,6,(Inventory!$G$6:$G$205+(205-ROW(Inventory!$G$6:$G$205))/10000)/((Inventory!$G$6:$G$205&gt;0)*(Inventory!$H$6:$H$205="Amazon")),13),""),(Inventory!$G$6:$G$205+(205-ROW(Inventory!$G$6:$G$205))/10000),0),""))),"")</f>
        <v/>
      </c>
      <c r="G46" s="43">
        <f>IFERROR(IF(IFERROR(AGGREGATE(14,6,(Inventory!$G$6:$G$205+(205-ROW(Inventory!$G$6:$G$205))/10000)/((Inventory!$G$6:$G$205&gt;0)*(Inventory!$H$6:$H$205="Amazon")),13),"")="","",INDEX(Inventory!$J$6:$J$205,IFERROR(MATCH(IFERROR(AGGREGATE(14,6,(Inventory!$G$6:$G$205+(205-ROW(Inventory!$G$6:$G$205))/10000)/((Inventory!$G$6:$G$205&gt;0)*(Inventory!$H$6:$H$205="Amazon")),13),""),(Inventory!$G$6:$G$205+(205-ROW(Inventory!$G$6:$G$205))/10000),0),""))*INDEX(Inventory!$I$6:$I$205,IFERROR(MATCH(IFERROR(AGGREGATE(14,6,(Inventory!$G$6:$G$205+(205-ROW(Inventory!$G$6:$G$205))/10000)/((Inventory!$G$6:$G$205&gt;0)*(Inventory!$H$6:$H$205="Amazon")),13),""),(Inventory!$G$6:$G$205+(205-ROW(Inventory!$G$6:$G$205))/10000),0),""))),"")</f>
        <v/>
      </c>
    </row>
    <row r="47" ht="14" customHeight="1">
      <c r="A47" s="46">
        <f>IFERROR(IF(IFERROR(AGGREGATE(14,6,(Inventory!$G$6:$G$205+(205-ROW(Inventory!$G$6:$G$205))/10000)/((Inventory!$G$6:$G$205&gt;0)*(Inventory!$H$6:$H$205="Amazon")),14),"")="","",INDEX(Inventory!$A$6:$A$205,IFERROR(MATCH(IFERROR(AGGREGATE(14,6,(Inventory!$G$6:$G$205+(205-ROW(Inventory!$G$6:$G$205))/10000)/((Inventory!$G$6:$G$205&gt;0)*(Inventory!$H$6:$H$205="Amazon")),14),""),(Inventory!$G$6:$G$205+(205-ROW(Inventory!$G$6:$G$205))/10000),0),""))),"")</f>
        <v/>
      </c>
      <c r="B47" s="46">
        <f>IFERROR(IF(IFERROR(AGGREGATE(14,6,(Inventory!$G$6:$G$205+(205-ROW(Inventory!$G$6:$G$205))/10000)/((Inventory!$G$6:$G$205&gt;0)*(Inventory!$H$6:$H$205="Amazon")),14),"")="","",INDEX(Inventory!$B$6:$B$205,IFERROR(MATCH(IFERROR(AGGREGATE(14,6,(Inventory!$G$6:$G$205+(205-ROW(Inventory!$G$6:$G$205))/10000)/((Inventory!$G$6:$G$205&gt;0)*(Inventory!$H$6:$H$205="Amazon")),14),""),(Inventory!$G$6:$G$205+(205-ROW(Inventory!$G$6:$G$205))/10000),0),""))),"")</f>
        <v/>
      </c>
      <c r="C47" s="46">
        <f>IFERROR(IF(IFERROR(AGGREGATE(14,6,(Inventory!$G$6:$G$205+(205-ROW(Inventory!$G$6:$G$205))/10000)/((Inventory!$G$6:$G$205&gt;0)*(Inventory!$H$6:$H$205="Amazon")),14),"")="","",INDEX(Inventory!$D$6:$D$205,IFERROR(MATCH(IFERROR(AGGREGATE(14,6,(Inventory!$G$6:$G$205+(205-ROW(Inventory!$G$6:$G$205))/10000)/((Inventory!$G$6:$G$205&gt;0)*(Inventory!$H$6:$H$205="Amazon")),14),""),(Inventory!$G$6:$G$205+(205-ROW(Inventory!$G$6:$G$205))/10000),0),""))),"")</f>
        <v/>
      </c>
      <c r="D47" s="41">
        <f>IFERROR(IF(IFERROR(AGGREGATE(14,6,(Inventory!$G$6:$G$205+(205-ROW(Inventory!$G$6:$G$205))/10000)/((Inventory!$G$6:$G$205&gt;0)*(Inventory!$H$6:$H$205="Amazon")),14),"")="","",INDEX(Inventory!$E$6:$E$205,IFERROR(MATCH(IFERROR(AGGREGATE(14,6,(Inventory!$G$6:$G$205+(205-ROW(Inventory!$G$6:$G$205))/10000)/((Inventory!$G$6:$G$205&gt;0)*(Inventory!$H$6:$H$205="Amazon")),14),""),(Inventory!$G$6:$G$205+(205-ROW(Inventory!$G$6:$G$205))/10000),0),""))),"")</f>
        <v/>
      </c>
      <c r="E47" s="41">
        <f>IFERROR(IF(IFERROR(AGGREGATE(14,6,(Inventory!$G$6:$G$205+(205-ROW(Inventory!$G$6:$G$205))/10000)/((Inventory!$G$6:$G$205&gt;0)*(Inventory!$H$6:$H$205="Amazon")),14),"")="","",INDEX(Inventory!$F$6:$F$205,IFERROR(MATCH(IFERROR(AGGREGATE(14,6,(Inventory!$G$6:$G$205+(205-ROW(Inventory!$G$6:$G$205))/10000)/((Inventory!$G$6:$G$205&gt;0)*(Inventory!$H$6:$H$205="Amazon")),14),""),(Inventory!$G$6:$G$205+(205-ROW(Inventory!$G$6:$G$205))/10000),0),""))),"")</f>
        <v/>
      </c>
      <c r="F47" s="41">
        <f>IFERROR(IF(IFERROR(AGGREGATE(14,6,(Inventory!$G$6:$G$205+(205-ROW(Inventory!$G$6:$G$205))/10000)/((Inventory!$G$6:$G$205&gt;0)*(Inventory!$H$6:$H$205="Amazon")),14),"")="","",INDEX(Inventory!$J$6:$J$205,IFERROR(MATCH(IFERROR(AGGREGATE(14,6,(Inventory!$G$6:$G$205+(205-ROW(Inventory!$G$6:$G$205))/10000)/((Inventory!$G$6:$G$205&gt;0)*(Inventory!$H$6:$H$205="Amazon")),14),""),(Inventory!$G$6:$G$205+(205-ROW(Inventory!$G$6:$G$205))/10000),0),""))),"")</f>
        <v/>
      </c>
      <c r="G47" s="43">
        <f>IFERROR(IF(IFERROR(AGGREGATE(14,6,(Inventory!$G$6:$G$205+(205-ROW(Inventory!$G$6:$G$205))/10000)/((Inventory!$G$6:$G$205&gt;0)*(Inventory!$H$6:$H$205="Amazon")),14),"")="","",INDEX(Inventory!$J$6:$J$205,IFERROR(MATCH(IFERROR(AGGREGATE(14,6,(Inventory!$G$6:$G$205+(205-ROW(Inventory!$G$6:$G$205))/10000)/((Inventory!$G$6:$G$205&gt;0)*(Inventory!$H$6:$H$205="Amazon")),14),""),(Inventory!$G$6:$G$205+(205-ROW(Inventory!$G$6:$G$205))/10000),0),""))*INDEX(Inventory!$I$6:$I$205,IFERROR(MATCH(IFERROR(AGGREGATE(14,6,(Inventory!$G$6:$G$205+(205-ROW(Inventory!$G$6:$G$205))/10000)/((Inventory!$G$6:$G$205&gt;0)*(Inventory!$H$6:$H$205="Amazon")),14),""),(Inventory!$G$6:$G$205+(205-ROW(Inventory!$G$6:$G$205))/10000),0),""))),"")</f>
        <v/>
      </c>
    </row>
    <row r="48" ht="14" customHeight="1">
      <c r="A48" s="46">
        <f>IFERROR(IF(IFERROR(AGGREGATE(14,6,(Inventory!$G$6:$G$205+(205-ROW(Inventory!$G$6:$G$205))/10000)/((Inventory!$G$6:$G$205&gt;0)*(Inventory!$H$6:$H$205="Amazon")),15),"")="","",INDEX(Inventory!$A$6:$A$205,IFERROR(MATCH(IFERROR(AGGREGATE(14,6,(Inventory!$G$6:$G$205+(205-ROW(Inventory!$G$6:$G$205))/10000)/((Inventory!$G$6:$G$205&gt;0)*(Inventory!$H$6:$H$205="Amazon")),15),""),(Inventory!$G$6:$G$205+(205-ROW(Inventory!$G$6:$G$205))/10000),0),""))),"")</f>
        <v/>
      </c>
      <c r="B48" s="46">
        <f>IFERROR(IF(IFERROR(AGGREGATE(14,6,(Inventory!$G$6:$G$205+(205-ROW(Inventory!$G$6:$G$205))/10000)/((Inventory!$G$6:$G$205&gt;0)*(Inventory!$H$6:$H$205="Amazon")),15),"")="","",INDEX(Inventory!$B$6:$B$205,IFERROR(MATCH(IFERROR(AGGREGATE(14,6,(Inventory!$G$6:$G$205+(205-ROW(Inventory!$G$6:$G$205))/10000)/((Inventory!$G$6:$G$205&gt;0)*(Inventory!$H$6:$H$205="Amazon")),15),""),(Inventory!$G$6:$G$205+(205-ROW(Inventory!$G$6:$G$205))/10000),0),""))),"")</f>
        <v/>
      </c>
      <c r="C48" s="46">
        <f>IFERROR(IF(IFERROR(AGGREGATE(14,6,(Inventory!$G$6:$G$205+(205-ROW(Inventory!$G$6:$G$205))/10000)/((Inventory!$G$6:$G$205&gt;0)*(Inventory!$H$6:$H$205="Amazon")),15),"")="","",INDEX(Inventory!$D$6:$D$205,IFERROR(MATCH(IFERROR(AGGREGATE(14,6,(Inventory!$G$6:$G$205+(205-ROW(Inventory!$G$6:$G$205))/10000)/((Inventory!$G$6:$G$205&gt;0)*(Inventory!$H$6:$H$205="Amazon")),15),""),(Inventory!$G$6:$G$205+(205-ROW(Inventory!$G$6:$G$205))/10000),0),""))),"")</f>
        <v/>
      </c>
      <c r="D48" s="41">
        <f>IFERROR(IF(IFERROR(AGGREGATE(14,6,(Inventory!$G$6:$G$205+(205-ROW(Inventory!$G$6:$G$205))/10000)/((Inventory!$G$6:$G$205&gt;0)*(Inventory!$H$6:$H$205="Amazon")),15),"")="","",INDEX(Inventory!$E$6:$E$205,IFERROR(MATCH(IFERROR(AGGREGATE(14,6,(Inventory!$G$6:$G$205+(205-ROW(Inventory!$G$6:$G$205))/10000)/((Inventory!$G$6:$G$205&gt;0)*(Inventory!$H$6:$H$205="Amazon")),15),""),(Inventory!$G$6:$G$205+(205-ROW(Inventory!$G$6:$G$205))/10000),0),""))),"")</f>
        <v/>
      </c>
      <c r="E48" s="41">
        <f>IFERROR(IF(IFERROR(AGGREGATE(14,6,(Inventory!$G$6:$G$205+(205-ROW(Inventory!$G$6:$G$205))/10000)/((Inventory!$G$6:$G$205&gt;0)*(Inventory!$H$6:$H$205="Amazon")),15),"")="","",INDEX(Inventory!$F$6:$F$205,IFERROR(MATCH(IFERROR(AGGREGATE(14,6,(Inventory!$G$6:$G$205+(205-ROW(Inventory!$G$6:$G$205))/10000)/((Inventory!$G$6:$G$205&gt;0)*(Inventory!$H$6:$H$205="Amazon")),15),""),(Inventory!$G$6:$G$205+(205-ROW(Inventory!$G$6:$G$205))/10000),0),""))),"")</f>
        <v/>
      </c>
      <c r="F48" s="41">
        <f>IFERROR(IF(IFERROR(AGGREGATE(14,6,(Inventory!$G$6:$G$205+(205-ROW(Inventory!$G$6:$G$205))/10000)/((Inventory!$G$6:$G$205&gt;0)*(Inventory!$H$6:$H$205="Amazon")),15),"")="","",INDEX(Inventory!$J$6:$J$205,IFERROR(MATCH(IFERROR(AGGREGATE(14,6,(Inventory!$G$6:$G$205+(205-ROW(Inventory!$G$6:$G$205))/10000)/((Inventory!$G$6:$G$205&gt;0)*(Inventory!$H$6:$H$205="Amazon")),15),""),(Inventory!$G$6:$G$205+(205-ROW(Inventory!$G$6:$G$205))/10000),0),""))),"")</f>
        <v/>
      </c>
      <c r="G48" s="43">
        <f>IFERROR(IF(IFERROR(AGGREGATE(14,6,(Inventory!$G$6:$G$205+(205-ROW(Inventory!$G$6:$G$205))/10000)/((Inventory!$G$6:$G$205&gt;0)*(Inventory!$H$6:$H$205="Amazon")),15),"")="","",INDEX(Inventory!$J$6:$J$205,IFERROR(MATCH(IFERROR(AGGREGATE(14,6,(Inventory!$G$6:$G$205+(205-ROW(Inventory!$G$6:$G$205))/10000)/((Inventory!$G$6:$G$205&gt;0)*(Inventory!$H$6:$H$205="Amazon")),15),""),(Inventory!$G$6:$G$205+(205-ROW(Inventory!$G$6:$G$205))/10000),0),""))*INDEX(Inventory!$I$6:$I$205,IFERROR(MATCH(IFERROR(AGGREGATE(14,6,(Inventory!$G$6:$G$205+(205-ROW(Inventory!$G$6:$G$205))/10000)/((Inventory!$G$6:$G$205&gt;0)*(Inventory!$H$6:$H$205="Amazon")),15),""),(Inventory!$G$6:$G$205+(205-ROW(Inventory!$G$6:$G$205))/10000),0),""))),"")</f>
        <v/>
      </c>
    </row>
    <row r="49" ht="14" customHeight="1">
      <c r="A49" s="46">
        <f>IFERROR(IF(IFERROR(AGGREGATE(14,6,(Inventory!$G$6:$G$205+(205-ROW(Inventory!$G$6:$G$205))/10000)/((Inventory!$G$6:$G$205&gt;0)*(Inventory!$H$6:$H$205="Amazon")),16),"")="","",INDEX(Inventory!$A$6:$A$205,IFERROR(MATCH(IFERROR(AGGREGATE(14,6,(Inventory!$G$6:$G$205+(205-ROW(Inventory!$G$6:$G$205))/10000)/((Inventory!$G$6:$G$205&gt;0)*(Inventory!$H$6:$H$205="Amazon")),16),""),(Inventory!$G$6:$G$205+(205-ROW(Inventory!$G$6:$G$205))/10000),0),""))),"")</f>
        <v/>
      </c>
      <c r="B49" s="46">
        <f>IFERROR(IF(IFERROR(AGGREGATE(14,6,(Inventory!$G$6:$G$205+(205-ROW(Inventory!$G$6:$G$205))/10000)/((Inventory!$G$6:$G$205&gt;0)*(Inventory!$H$6:$H$205="Amazon")),16),"")="","",INDEX(Inventory!$B$6:$B$205,IFERROR(MATCH(IFERROR(AGGREGATE(14,6,(Inventory!$G$6:$G$205+(205-ROW(Inventory!$G$6:$G$205))/10000)/((Inventory!$G$6:$G$205&gt;0)*(Inventory!$H$6:$H$205="Amazon")),16),""),(Inventory!$G$6:$G$205+(205-ROW(Inventory!$G$6:$G$205))/10000),0),""))),"")</f>
        <v/>
      </c>
      <c r="C49" s="46">
        <f>IFERROR(IF(IFERROR(AGGREGATE(14,6,(Inventory!$G$6:$G$205+(205-ROW(Inventory!$G$6:$G$205))/10000)/((Inventory!$G$6:$G$205&gt;0)*(Inventory!$H$6:$H$205="Amazon")),16),"")="","",INDEX(Inventory!$D$6:$D$205,IFERROR(MATCH(IFERROR(AGGREGATE(14,6,(Inventory!$G$6:$G$205+(205-ROW(Inventory!$G$6:$G$205))/10000)/((Inventory!$G$6:$G$205&gt;0)*(Inventory!$H$6:$H$205="Amazon")),16),""),(Inventory!$G$6:$G$205+(205-ROW(Inventory!$G$6:$G$205))/10000),0),""))),"")</f>
        <v/>
      </c>
      <c r="D49" s="41">
        <f>IFERROR(IF(IFERROR(AGGREGATE(14,6,(Inventory!$G$6:$G$205+(205-ROW(Inventory!$G$6:$G$205))/10000)/((Inventory!$G$6:$G$205&gt;0)*(Inventory!$H$6:$H$205="Amazon")),16),"")="","",INDEX(Inventory!$E$6:$E$205,IFERROR(MATCH(IFERROR(AGGREGATE(14,6,(Inventory!$G$6:$G$205+(205-ROW(Inventory!$G$6:$G$205))/10000)/((Inventory!$G$6:$G$205&gt;0)*(Inventory!$H$6:$H$205="Amazon")),16),""),(Inventory!$G$6:$G$205+(205-ROW(Inventory!$G$6:$G$205))/10000),0),""))),"")</f>
        <v/>
      </c>
      <c r="E49" s="41">
        <f>IFERROR(IF(IFERROR(AGGREGATE(14,6,(Inventory!$G$6:$G$205+(205-ROW(Inventory!$G$6:$G$205))/10000)/((Inventory!$G$6:$G$205&gt;0)*(Inventory!$H$6:$H$205="Amazon")),16),"")="","",INDEX(Inventory!$F$6:$F$205,IFERROR(MATCH(IFERROR(AGGREGATE(14,6,(Inventory!$G$6:$G$205+(205-ROW(Inventory!$G$6:$G$205))/10000)/((Inventory!$G$6:$G$205&gt;0)*(Inventory!$H$6:$H$205="Amazon")),16),""),(Inventory!$G$6:$G$205+(205-ROW(Inventory!$G$6:$G$205))/10000),0),""))),"")</f>
        <v/>
      </c>
      <c r="F49" s="41">
        <f>IFERROR(IF(IFERROR(AGGREGATE(14,6,(Inventory!$G$6:$G$205+(205-ROW(Inventory!$G$6:$G$205))/10000)/((Inventory!$G$6:$G$205&gt;0)*(Inventory!$H$6:$H$205="Amazon")),16),"")="","",INDEX(Inventory!$J$6:$J$205,IFERROR(MATCH(IFERROR(AGGREGATE(14,6,(Inventory!$G$6:$G$205+(205-ROW(Inventory!$G$6:$G$205))/10000)/((Inventory!$G$6:$G$205&gt;0)*(Inventory!$H$6:$H$205="Amazon")),16),""),(Inventory!$G$6:$G$205+(205-ROW(Inventory!$G$6:$G$205))/10000),0),""))),"")</f>
        <v/>
      </c>
      <c r="G49" s="43">
        <f>IFERROR(IF(IFERROR(AGGREGATE(14,6,(Inventory!$G$6:$G$205+(205-ROW(Inventory!$G$6:$G$205))/10000)/((Inventory!$G$6:$G$205&gt;0)*(Inventory!$H$6:$H$205="Amazon")),16),"")="","",INDEX(Inventory!$J$6:$J$205,IFERROR(MATCH(IFERROR(AGGREGATE(14,6,(Inventory!$G$6:$G$205+(205-ROW(Inventory!$G$6:$G$205))/10000)/((Inventory!$G$6:$G$205&gt;0)*(Inventory!$H$6:$H$205="Amazon")),16),""),(Inventory!$G$6:$G$205+(205-ROW(Inventory!$G$6:$G$205))/10000),0),""))*INDEX(Inventory!$I$6:$I$205,IFERROR(MATCH(IFERROR(AGGREGATE(14,6,(Inventory!$G$6:$G$205+(205-ROW(Inventory!$G$6:$G$205))/10000)/((Inventory!$G$6:$G$205&gt;0)*(Inventory!$H$6:$H$205="Amazon")),16),""),(Inventory!$G$6:$G$205+(205-ROW(Inventory!$G$6:$G$205))/10000),0),""))),"")</f>
        <v/>
      </c>
    </row>
    <row r="50" ht="14" customHeight="1">
      <c r="A50" s="46">
        <f>IFERROR(IF(IFERROR(AGGREGATE(14,6,(Inventory!$G$6:$G$205+(205-ROW(Inventory!$G$6:$G$205))/10000)/((Inventory!$G$6:$G$205&gt;0)*(Inventory!$H$6:$H$205="Amazon")),17),"")="","",INDEX(Inventory!$A$6:$A$205,IFERROR(MATCH(IFERROR(AGGREGATE(14,6,(Inventory!$G$6:$G$205+(205-ROW(Inventory!$G$6:$G$205))/10000)/((Inventory!$G$6:$G$205&gt;0)*(Inventory!$H$6:$H$205="Amazon")),17),""),(Inventory!$G$6:$G$205+(205-ROW(Inventory!$G$6:$G$205))/10000),0),""))),"")</f>
        <v/>
      </c>
      <c r="B50" s="46">
        <f>IFERROR(IF(IFERROR(AGGREGATE(14,6,(Inventory!$G$6:$G$205+(205-ROW(Inventory!$G$6:$G$205))/10000)/((Inventory!$G$6:$G$205&gt;0)*(Inventory!$H$6:$H$205="Amazon")),17),"")="","",INDEX(Inventory!$B$6:$B$205,IFERROR(MATCH(IFERROR(AGGREGATE(14,6,(Inventory!$G$6:$G$205+(205-ROW(Inventory!$G$6:$G$205))/10000)/((Inventory!$G$6:$G$205&gt;0)*(Inventory!$H$6:$H$205="Amazon")),17),""),(Inventory!$G$6:$G$205+(205-ROW(Inventory!$G$6:$G$205))/10000),0),""))),"")</f>
        <v/>
      </c>
      <c r="C50" s="46">
        <f>IFERROR(IF(IFERROR(AGGREGATE(14,6,(Inventory!$G$6:$G$205+(205-ROW(Inventory!$G$6:$G$205))/10000)/((Inventory!$G$6:$G$205&gt;0)*(Inventory!$H$6:$H$205="Amazon")),17),"")="","",INDEX(Inventory!$D$6:$D$205,IFERROR(MATCH(IFERROR(AGGREGATE(14,6,(Inventory!$G$6:$G$205+(205-ROW(Inventory!$G$6:$G$205))/10000)/((Inventory!$G$6:$G$205&gt;0)*(Inventory!$H$6:$H$205="Amazon")),17),""),(Inventory!$G$6:$G$205+(205-ROW(Inventory!$G$6:$G$205))/10000),0),""))),"")</f>
        <v/>
      </c>
      <c r="D50" s="41">
        <f>IFERROR(IF(IFERROR(AGGREGATE(14,6,(Inventory!$G$6:$G$205+(205-ROW(Inventory!$G$6:$G$205))/10000)/((Inventory!$G$6:$G$205&gt;0)*(Inventory!$H$6:$H$205="Amazon")),17),"")="","",INDEX(Inventory!$E$6:$E$205,IFERROR(MATCH(IFERROR(AGGREGATE(14,6,(Inventory!$G$6:$G$205+(205-ROW(Inventory!$G$6:$G$205))/10000)/((Inventory!$G$6:$G$205&gt;0)*(Inventory!$H$6:$H$205="Amazon")),17),""),(Inventory!$G$6:$G$205+(205-ROW(Inventory!$G$6:$G$205))/10000),0),""))),"")</f>
        <v/>
      </c>
      <c r="E50" s="41">
        <f>IFERROR(IF(IFERROR(AGGREGATE(14,6,(Inventory!$G$6:$G$205+(205-ROW(Inventory!$G$6:$G$205))/10000)/((Inventory!$G$6:$G$205&gt;0)*(Inventory!$H$6:$H$205="Amazon")),17),"")="","",INDEX(Inventory!$F$6:$F$205,IFERROR(MATCH(IFERROR(AGGREGATE(14,6,(Inventory!$G$6:$G$205+(205-ROW(Inventory!$G$6:$G$205))/10000)/((Inventory!$G$6:$G$205&gt;0)*(Inventory!$H$6:$H$205="Amazon")),17),""),(Inventory!$G$6:$G$205+(205-ROW(Inventory!$G$6:$G$205))/10000),0),""))),"")</f>
        <v/>
      </c>
      <c r="F50" s="41">
        <f>IFERROR(IF(IFERROR(AGGREGATE(14,6,(Inventory!$G$6:$G$205+(205-ROW(Inventory!$G$6:$G$205))/10000)/((Inventory!$G$6:$G$205&gt;0)*(Inventory!$H$6:$H$205="Amazon")),17),"")="","",INDEX(Inventory!$J$6:$J$205,IFERROR(MATCH(IFERROR(AGGREGATE(14,6,(Inventory!$G$6:$G$205+(205-ROW(Inventory!$G$6:$G$205))/10000)/((Inventory!$G$6:$G$205&gt;0)*(Inventory!$H$6:$H$205="Amazon")),17),""),(Inventory!$G$6:$G$205+(205-ROW(Inventory!$G$6:$G$205))/10000),0),""))),"")</f>
        <v/>
      </c>
      <c r="G50" s="43">
        <f>IFERROR(IF(IFERROR(AGGREGATE(14,6,(Inventory!$G$6:$G$205+(205-ROW(Inventory!$G$6:$G$205))/10000)/((Inventory!$G$6:$G$205&gt;0)*(Inventory!$H$6:$H$205="Amazon")),17),"")="","",INDEX(Inventory!$J$6:$J$205,IFERROR(MATCH(IFERROR(AGGREGATE(14,6,(Inventory!$G$6:$G$205+(205-ROW(Inventory!$G$6:$G$205))/10000)/((Inventory!$G$6:$G$205&gt;0)*(Inventory!$H$6:$H$205="Amazon")),17),""),(Inventory!$G$6:$G$205+(205-ROW(Inventory!$G$6:$G$205))/10000),0),""))*INDEX(Inventory!$I$6:$I$205,IFERROR(MATCH(IFERROR(AGGREGATE(14,6,(Inventory!$G$6:$G$205+(205-ROW(Inventory!$G$6:$G$205))/10000)/((Inventory!$G$6:$G$205&gt;0)*(Inventory!$H$6:$H$205="Amazon")),17),""),(Inventory!$G$6:$G$205+(205-ROW(Inventory!$G$6:$G$205))/10000),0),""))),"")</f>
        <v/>
      </c>
    </row>
    <row r="51" ht="14" customHeight="1">
      <c r="A51" s="46">
        <f>IFERROR(IF(IFERROR(AGGREGATE(14,6,(Inventory!$G$6:$G$205+(205-ROW(Inventory!$G$6:$G$205))/10000)/((Inventory!$G$6:$G$205&gt;0)*(Inventory!$H$6:$H$205="Amazon")),18),"")="","",INDEX(Inventory!$A$6:$A$205,IFERROR(MATCH(IFERROR(AGGREGATE(14,6,(Inventory!$G$6:$G$205+(205-ROW(Inventory!$G$6:$G$205))/10000)/((Inventory!$G$6:$G$205&gt;0)*(Inventory!$H$6:$H$205="Amazon")),18),""),(Inventory!$G$6:$G$205+(205-ROW(Inventory!$G$6:$G$205))/10000),0),""))),"")</f>
        <v/>
      </c>
      <c r="B51" s="46">
        <f>IFERROR(IF(IFERROR(AGGREGATE(14,6,(Inventory!$G$6:$G$205+(205-ROW(Inventory!$G$6:$G$205))/10000)/((Inventory!$G$6:$G$205&gt;0)*(Inventory!$H$6:$H$205="Amazon")),18),"")="","",INDEX(Inventory!$B$6:$B$205,IFERROR(MATCH(IFERROR(AGGREGATE(14,6,(Inventory!$G$6:$G$205+(205-ROW(Inventory!$G$6:$G$205))/10000)/((Inventory!$G$6:$G$205&gt;0)*(Inventory!$H$6:$H$205="Amazon")),18),""),(Inventory!$G$6:$G$205+(205-ROW(Inventory!$G$6:$G$205))/10000),0),""))),"")</f>
        <v/>
      </c>
      <c r="C51" s="46">
        <f>IFERROR(IF(IFERROR(AGGREGATE(14,6,(Inventory!$G$6:$G$205+(205-ROW(Inventory!$G$6:$G$205))/10000)/((Inventory!$G$6:$G$205&gt;0)*(Inventory!$H$6:$H$205="Amazon")),18),"")="","",INDEX(Inventory!$D$6:$D$205,IFERROR(MATCH(IFERROR(AGGREGATE(14,6,(Inventory!$G$6:$G$205+(205-ROW(Inventory!$G$6:$G$205))/10000)/((Inventory!$G$6:$G$205&gt;0)*(Inventory!$H$6:$H$205="Amazon")),18),""),(Inventory!$G$6:$G$205+(205-ROW(Inventory!$G$6:$G$205))/10000),0),""))),"")</f>
        <v/>
      </c>
      <c r="D51" s="41">
        <f>IFERROR(IF(IFERROR(AGGREGATE(14,6,(Inventory!$G$6:$G$205+(205-ROW(Inventory!$G$6:$G$205))/10000)/((Inventory!$G$6:$G$205&gt;0)*(Inventory!$H$6:$H$205="Amazon")),18),"")="","",INDEX(Inventory!$E$6:$E$205,IFERROR(MATCH(IFERROR(AGGREGATE(14,6,(Inventory!$G$6:$G$205+(205-ROW(Inventory!$G$6:$G$205))/10000)/((Inventory!$G$6:$G$205&gt;0)*(Inventory!$H$6:$H$205="Amazon")),18),""),(Inventory!$G$6:$G$205+(205-ROW(Inventory!$G$6:$G$205))/10000),0),""))),"")</f>
        <v/>
      </c>
      <c r="E51" s="41">
        <f>IFERROR(IF(IFERROR(AGGREGATE(14,6,(Inventory!$G$6:$G$205+(205-ROW(Inventory!$G$6:$G$205))/10000)/((Inventory!$G$6:$G$205&gt;0)*(Inventory!$H$6:$H$205="Amazon")),18),"")="","",INDEX(Inventory!$F$6:$F$205,IFERROR(MATCH(IFERROR(AGGREGATE(14,6,(Inventory!$G$6:$G$205+(205-ROW(Inventory!$G$6:$G$205))/10000)/((Inventory!$G$6:$G$205&gt;0)*(Inventory!$H$6:$H$205="Amazon")),18),""),(Inventory!$G$6:$G$205+(205-ROW(Inventory!$G$6:$G$205))/10000),0),""))),"")</f>
        <v/>
      </c>
      <c r="F51" s="41">
        <f>IFERROR(IF(IFERROR(AGGREGATE(14,6,(Inventory!$G$6:$G$205+(205-ROW(Inventory!$G$6:$G$205))/10000)/((Inventory!$G$6:$G$205&gt;0)*(Inventory!$H$6:$H$205="Amazon")),18),"")="","",INDEX(Inventory!$J$6:$J$205,IFERROR(MATCH(IFERROR(AGGREGATE(14,6,(Inventory!$G$6:$G$205+(205-ROW(Inventory!$G$6:$G$205))/10000)/((Inventory!$G$6:$G$205&gt;0)*(Inventory!$H$6:$H$205="Amazon")),18),""),(Inventory!$G$6:$G$205+(205-ROW(Inventory!$G$6:$G$205))/10000),0),""))),"")</f>
        <v/>
      </c>
      <c r="G51" s="43">
        <f>IFERROR(IF(IFERROR(AGGREGATE(14,6,(Inventory!$G$6:$G$205+(205-ROW(Inventory!$G$6:$G$205))/10000)/((Inventory!$G$6:$G$205&gt;0)*(Inventory!$H$6:$H$205="Amazon")),18),"")="","",INDEX(Inventory!$J$6:$J$205,IFERROR(MATCH(IFERROR(AGGREGATE(14,6,(Inventory!$G$6:$G$205+(205-ROW(Inventory!$G$6:$G$205))/10000)/((Inventory!$G$6:$G$205&gt;0)*(Inventory!$H$6:$H$205="Amazon")),18),""),(Inventory!$G$6:$G$205+(205-ROW(Inventory!$G$6:$G$205))/10000),0),""))*INDEX(Inventory!$I$6:$I$205,IFERROR(MATCH(IFERROR(AGGREGATE(14,6,(Inventory!$G$6:$G$205+(205-ROW(Inventory!$G$6:$G$205))/10000)/((Inventory!$G$6:$G$205&gt;0)*(Inventory!$H$6:$H$205="Amazon")),18),""),(Inventory!$G$6:$G$205+(205-ROW(Inventory!$G$6:$G$205))/10000),0),""))),"")</f>
        <v/>
      </c>
    </row>
    <row r="52" ht="14" customHeight="1">
      <c r="A52" s="46">
        <f>IFERROR(IF(IFERROR(AGGREGATE(14,6,(Inventory!$G$6:$G$205+(205-ROW(Inventory!$G$6:$G$205))/10000)/((Inventory!$G$6:$G$205&gt;0)*(Inventory!$H$6:$H$205="Amazon")),19),"")="","",INDEX(Inventory!$A$6:$A$205,IFERROR(MATCH(IFERROR(AGGREGATE(14,6,(Inventory!$G$6:$G$205+(205-ROW(Inventory!$G$6:$G$205))/10000)/((Inventory!$G$6:$G$205&gt;0)*(Inventory!$H$6:$H$205="Amazon")),19),""),(Inventory!$G$6:$G$205+(205-ROW(Inventory!$G$6:$G$205))/10000),0),""))),"")</f>
        <v/>
      </c>
      <c r="B52" s="46">
        <f>IFERROR(IF(IFERROR(AGGREGATE(14,6,(Inventory!$G$6:$G$205+(205-ROW(Inventory!$G$6:$G$205))/10000)/((Inventory!$G$6:$G$205&gt;0)*(Inventory!$H$6:$H$205="Amazon")),19),"")="","",INDEX(Inventory!$B$6:$B$205,IFERROR(MATCH(IFERROR(AGGREGATE(14,6,(Inventory!$G$6:$G$205+(205-ROW(Inventory!$G$6:$G$205))/10000)/((Inventory!$G$6:$G$205&gt;0)*(Inventory!$H$6:$H$205="Amazon")),19),""),(Inventory!$G$6:$G$205+(205-ROW(Inventory!$G$6:$G$205))/10000),0),""))),"")</f>
        <v/>
      </c>
      <c r="C52" s="46">
        <f>IFERROR(IF(IFERROR(AGGREGATE(14,6,(Inventory!$G$6:$G$205+(205-ROW(Inventory!$G$6:$G$205))/10000)/((Inventory!$G$6:$G$205&gt;0)*(Inventory!$H$6:$H$205="Amazon")),19),"")="","",INDEX(Inventory!$D$6:$D$205,IFERROR(MATCH(IFERROR(AGGREGATE(14,6,(Inventory!$G$6:$G$205+(205-ROW(Inventory!$G$6:$G$205))/10000)/((Inventory!$G$6:$G$205&gt;0)*(Inventory!$H$6:$H$205="Amazon")),19),""),(Inventory!$G$6:$G$205+(205-ROW(Inventory!$G$6:$G$205))/10000),0),""))),"")</f>
        <v/>
      </c>
      <c r="D52" s="41">
        <f>IFERROR(IF(IFERROR(AGGREGATE(14,6,(Inventory!$G$6:$G$205+(205-ROW(Inventory!$G$6:$G$205))/10000)/((Inventory!$G$6:$G$205&gt;0)*(Inventory!$H$6:$H$205="Amazon")),19),"")="","",INDEX(Inventory!$E$6:$E$205,IFERROR(MATCH(IFERROR(AGGREGATE(14,6,(Inventory!$G$6:$G$205+(205-ROW(Inventory!$G$6:$G$205))/10000)/((Inventory!$G$6:$G$205&gt;0)*(Inventory!$H$6:$H$205="Amazon")),19),""),(Inventory!$G$6:$G$205+(205-ROW(Inventory!$G$6:$G$205))/10000),0),""))),"")</f>
        <v/>
      </c>
      <c r="E52" s="41">
        <f>IFERROR(IF(IFERROR(AGGREGATE(14,6,(Inventory!$G$6:$G$205+(205-ROW(Inventory!$G$6:$G$205))/10000)/((Inventory!$G$6:$G$205&gt;0)*(Inventory!$H$6:$H$205="Amazon")),19),"")="","",INDEX(Inventory!$F$6:$F$205,IFERROR(MATCH(IFERROR(AGGREGATE(14,6,(Inventory!$G$6:$G$205+(205-ROW(Inventory!$G$6:$G$205))/10000)/((Inventory!$G$6:$G$205&gt;0)*(Inventory!$H$6:$H$205="Amazon")),19),""),(Inventory!$G$6:$G$205+(205-ROW(Inventory!$G$6:$G$205))/10000),0),""))),"")</f>
        <v/>
      </c>
      <c r="F52" s="41">
        <f>IFERROR(IF(IFERROR(AGGREGATE(14,6,(Inventory!$G$6:$G$205+(205-ROW(Inventory!$G$6:$G$205))/10000)/((Inventory!$G$6:$G$205&gt;0)*(Inventory!$H$6:$H$205="Amazon")),19),"")="","",INDEX(Inventory!$J$6:$J$205,IFERROR(MATCH(IFERROR(AGGREGATE(14,6,(Inventory!$G$6:$G$205+(205-ROW(Inventory!$G$6:$G$205))/10000)/((Inventory!$G$6:$G$205&gt;0)*(Inventory!$H$6:$H$205="Amazon")),19),""),(Inventory!$G$6:$G$205+(205-ROW(Inventory!$G$6:$G$205))/10000),0),""))),"")</f>
        <v/>
      </c>
      <c r="G52" s="43">
        <f>IFERROR(IF(IFERROR(AGGREGATE(14,6,(Inventory!$G$6:$G$205+(205-ROW(Inventory!$G$6:$G$205))/10000)/((Inventory!$G$6:$G$205&gt;0)*(Inventory!$H$6:$H$205="Amazon")),19),"")="","",INDEX(Inventory!$J$6:$J$205,IFERROR(MATCH(IFERROR(AGGREGATE(14,6,(Inventory!$G$6:$G$205+(205-ROW(Inventory!$G$6:$G$205))/10000)/((Inventory!$G$6:$G$205&gt;0)*(Inventory!$H$6:$H$205="Amazon")),19),""),(Inventory!$G$6:$G$205+(205-ROW(Inventory!$G$6:$G$205))/10000),0),""))*INDEX(Inventory!$I$6:$I$205,IFERROR(MATCH(IFERROR(AGGREGATE(14,6,(Inventory!$G$6:$G$205+(205-ROW(Inventory!$G$6:$G$205))/10000)/((Inventory!$G$6:$G$205&gt;0)*(Inventory!$H$6:$H$205="Amazon")),19),""),(Inventory!$G$6:$G$205+(205-ROW(Inventory!$G$6:$G$205))/10000),0),""))),"")</f>
        <v/>
      </c>
    </row>
    <row r="53" ht="14" customHeight="1">
      <c r="A53" s="46">
        <f>IFERROR(IF(IFERROR(AGGREGATE(14,6,(Inventory!$G$6:$G$205+(205-ROW(Inventory!$G$6:$G$205))/10000)/((Inventory!$G$6:$G$205&gt;0)*(Inventory!$H$6:$H$205="Amazon")),20),"")="","",INDEX(Inventory!$A$6:$A$205,IFERROR(MATCH(IFERROR(AGGREGATE(14,6,(Inventory!$G$6:$G$205+(205-ROW(Inventory!$G$6:$G$205))/10000)/((Inventory!$G$6:$G$205&gt;0)*(Inventory!$H$6:$H$205="Amazon")),20),""),(Inventory!$G$6:$G$205+(205-ROW(Inventory!$G$6:$G$205))/10000),0),""))),"")</f>
        <v/>
      </c>
      <c r="B53" s="46">
        <f>IFERROR(IF(IFERROR(AGGREGATE(14,6,(Inventory!$G$6:$G$205+(205-ROW(Inventory!$G$6:$G$205))/10000)/((Inventory!$G$6:$G$205&gt;0)*(Inventory!$H$6:$H$205="Amazon")),20),"")="","",INDEX(Inventory!$B$6:$B$205,IFERROR(MATCH(IFERROR(AGGREGATE(14,6,(Inventory!$G$6:$G$205+(205-ROW(Inventory!$G$6:$G$205))/10000)/((Inventory!$G$6:$G$205&gt;0)*(Inventory!$H$6:$H$205="Amazon")),20),""),(Inventory!$G$6:$G$205+(205-ROW(Inventory!$G$6:$G$205))/10000),0),""))),"")</f>
        <v/>
      </c>
      <c r="C53" s="46">
        <f>IFERROR(IF(IFERROR(AGGREGATE(14,6,(Inventory!$G$6:$G$205+(205-ROW(Inventory!$G$6:$G$205))/10000)/((Inventory!$G$6:$G$205&gt;0)*(Inventory!$H$6:$H$205="Amazon")),20),"")="","",INDEX(Inventory!$D$6:$D$205,IFERROR(MATCH(IFERROR(AGGREGATE(14,6,(Inventory!$G$6:$G$205+(205-ROW(Inventory!$G$6:$G$205))/10000)/((Inventory!$G$6:$G$205&gt;0)*(Inventory!$H$6:$H$205="Amazon")),20),""),(Inventory!$G$6:$G$205+(205-ROW(Inventory!$G$6:$G$205))/10000),0),""))),"")</f>
        <v/>
      </c>
      <c r="D53" s="41">
        <f>IFERROR(IF(IFERROR(AGGREGATE(14,6,(Inventory!$G$6:$G$205+(205-ROW(Inventory!$G$6:$G$205))/10000)/((Inventory!$G$6:$G$205&gt;0)*(Inventory!$H$6:$H$205="Amazon")),20),"")="","",INDEX(Inventory!$E$6:$E$205,IFERROR(MATCH(IFERROR(AGGREGATE(14,6,(Inventory!$G$6:$G$205+(205-ROW(Inventory!$G$6:$G$205))/10000)/((Inventory!$G$6:$G$205&gt;0)*(Inventory!$H$6:$H$205="Amazon")),20),""),(Inventory!$G$6:$G$205+(205-ROW(Inventory!$G$6:$G$205))/10000),0),""))),"")</f>
        <v/>
      </c>
      <c r="E53" s="41">
        <f>IFERROR(IF(IFERROR(AGGREGATE(14,6,(Inventory!$G$6:$G$205+(205-ROW(Inventory!$G$6:$G$205))/10000)/((Inventory!$G$6:$G$205&gt;0)*(Inventory!$H$6:$H$205="Amazon")),20),"")="","",INDEX(Inventory!$F$6:$F$205,IFERROR(MATCH(IFERROR(AGGREGATE(14,6,(Inventory!$G$6:$G$205+(205-ROW(Inventory!$G$6:$G$205))/10000)/((Inventory!$G$6:$G$205&gt;0)*(Inventory!$H$6:$H$205="Amazon")),20),""),(Inventory!$G$6:$G$205+(205-ROW(Inventory!$G$6:$G$205))/10000),0),""))),"")</f>
        <v/>
      </c>
      <c r="F53" s="41">
        <f>IFERROR(IF(IFERROR(AGGREGATE(14,6,(Inventory!$G$6:$G$205+(205-ROW(Inventory!$G$6:$G$205))/10000)/((Inventory!$G$6:$G$205&gt;0)*(Inventory!$H$6:$H$205="Amazon")),20),"")="","",INDEX(Inventory!$J$6:$J$205,IFERROR(MATCH(IFERROR(AGGREGATE(14,6,(Inventory!$G$6:$G$205+(205-ROW(Inventory!$G$6:$G$205))/10000)/((Inventory!$G$6:$G$205&gt;0)*(Inventory!$H$6:$H$205="Amazon")),20),""),(Inventory!$G$6:$G$205+(205-ROW(Inventory!$G$6:$G$205))/10000),0),""))),"")</f>
        <v/>
      </c>
      <c r="G53" s="43">
        <f>IFERROR(IF(IFERROR(AGGREGATE(14,6,(Inventory!$G$6:$G$205+(205-ROW(Inventory!$G$6:$G$205))/10000)/((Inventory!$G$6:$G$205&gt;0)*(Inventory!$H$6:$H$205="Amazon")),20),"")="","",INDEX(Inventory!$J$6:$J$205,IFERROR(MATCH(IFERROR(AGGREGATE(14,6,(Inventory!$G$6:$G$205+(205-ROW(Inventory!$G$6:$G$205))/10000)/((Inventory!$G$6:$G$205&gt;0)*(Inventory!$H$6:$H$205="Amazon")),20),""),(Inventory!$G$6:$G$205+(205-ROW(Inventory!$G$6:$G$205))/10000),0),""))*INDEX(Inventory!$I$6:$I$205,IFERROR(MATCH(IFERROR(AGGREGATE(14,6,(Inventory!$G$6:$G$205+(205-ROW(Inventory!$G$6:$G$205))/10000)/((Inventory!$G$6:$G$205&gt;0)*(Inventory!$H$6:$H$205="Amazon")),20),""),(Inventory!$G$6:$G$205+(205-ROW(Inventory!$G$6:$G$205))/10000),0),""))),"")</f>
        <v/>
      </c>
    </row>
    <row r="54" ht="20" customHeight="1">
      <c r="A54" s="48" t="inlineStr">
        <is>
          <t>Amazon order total:</t>
        </is>
      </c>
      <c r="G54" s="49">
        <f>SUMPRODUCT((Inventory!H6:H205="Amazon")*(Inventory!G6:G205&gt;0)*Inventory!J6:J205*Inventory!I6:I205)</f>
        <v/>
      </c>
    </row>
    <row r="56" ht="22" customHeight="1">
      <c r="A56" s="47">
        <f>"SAM'S CLUB  ·  "&amp;COUNTIFS(Inventory!H6:H205,"Sam's Club",Inventory!G6:G205,"&gt;0")&amp;" item(s) below par"</f>
        <v/>
      </c>
    </row>
    <row r="57" ht="6" customHeight="1"/>
    <row r="58" ht="18" customHeight="1">
      <c r="A58" s="38" t="inlineStr">
        <is>
          <t>SKU</t>
        </is>
      </c>
      <c r="B58" s="38" t="inlineStr">
        <is>
          <t>Item</t>
        </is>
      </c>
      <c r="C58" s="38" t="inlineStr">
        <is>
          <t>Property</t>
        </is>
      </c>
      <c r="D58" s="38" t="inlineStr">
        <is>
          <t>Par</t>
        </is>
      </c>
      <c r="E58" s="38" t="inlineStr">
        <is>
          <t>On-hand</t>
        </is>
      </c>
      <c r="F58" s="38" t="inlineStr">
        <is>
          <t>Reorder qty</t>
        </is>
      </c>
      <c r="G58" s="38" t="inlineStr">
        <is>
          <t>Subtotal $</t>
        </is>
      </c>
    </row>
    <row r="59" ht="14" customHeight="1">
      <c r="A59" s="46">
        <f>IFERROR(IF(IFERROR(AGGREGATE(14,6,(Inventory!$G$6:$G$205+(205-ROW(Inventory!$G$6:$G$205))/10000)/((Inventory!$G$6:$G$205&gt;0)*(Inventory!$H$6:$H$205="Sam's Club")),1),"")="","",INDEX(Inventory!$A$6:$A$205,IFERROR(MATCH(IFERROR(AGGREGATE(14,6,(Inventory!$G$6:$G$205+(205-ROW(Inventory!$G$6:$G$205))/10000)/((Inventory!$G$6:$G$205&gt;0)*(Inventory!$H$6:$H$205="Sam's Club")),1),""),(Inventory!$G$6:$G$205+(205-ROW(Inventory!$G$6:$G$205))/10000),0),""))),"")</f>
        <v/>
      </c>
      <c r="B59" s="46">
        <f>IFERROR(IF(IFERROR(AGGREGATE(14,6,(Inventory!$G$6:$G$205+(205-ROW(Inventory!$G$6:$G$205))/10000)/((Inventory!$G$6:$G$205&gt;0)*(Inventory!$H$6:$H$205="Sam's Club")),1),"")="","",INDEX(Inventory!$B$6:$B$205,IFERROR(MATCH(IFERROR(AGGREGATE(14,6,(Inventory!$G$6:$G$205+(205-ROW(Inventory!$G$6:$G$205))/10000)/((Inventory!$G$6:$G$205&gt;0)*(Inventory!$H$6:$H$205="Sam's Club")),1),""),(Inventory!$G$6:$G$205+(205-ROW(Inventory!$G$6:$G$205))/10000),0),""))),"")</f>
        <v/>
      </c>
      <c r="C59" s="46">
        <f>IFERROR(IF(IFERROR(AGGREGATE(14,6,(Inventory!$G$6:$G$205+(205-ROW(Inventory!$G$6:$G$205))/10000)/((Inventory!$G$6:$G$205&gt;0)*(Inventory!$H$6:$H$205="Sam's Club")),1),"")="","",INDEX(Inventory!$D$6:$D$205,IFERROR(MATCH(IFERROR(AGGREGATE(14,6,(Inventory!$G$6:$G$205+(205-ROW(Inventory!$G$6:$G$205))/10000)/((Inventory!$G$6:$G$205&gt;0)*(Inventory!$H$6:$H$205="Sam's Club")),1),""),(Inventory!$G$6:$G$205+(205-ROW(Inventory!$G$6:$G$205))/10000),0),""))),"")</f>
        <v/>
      </c>
      <c r="D59" s="41">
        <f>IFERROR(IF(IFERROR(AGGREGATE(14,6,(Inventory!$G$6:$G$205+(205-ROW(Inventory!$G$6:$G$205))/10000)/((Inventory!$G$6:$G$205&gt;0)*(Inventory!$H$6:$H$205="Sam's Club")),1),"")="","",INDEX(Inventory!$E$6:$E$205,IFERROR(MATCH(IFERROR(AGGREGATE(14,6,(Inventory!$G$6:$G$205+(205-ROW(Inventory!$G$6:$G$205))/10000)/((Inventory!$G$6:$G$205&gt;0)*(Inventory!$H$6:$H$205="Sam's Club")),1),""),(Inventory!$G$6:$G$205+(205-ROW(Inventory!$G$6:$G$205))/10000),0),""))),"")</f>
        <v/>
      </c>
      <c r="E59" s="41">
        <f>IFERROR(IF(IFERROR(AGGREGATE(14,6,(Inventory!$G$6:$G$205+(205-ROW(Inventory!$G$6:$G$205))/10000)/((Inventory!$G$6:$G$205&gt;0)*(Inventory!$H$6:$H$205="Sam's Club")),1),"")="","",INDEX(Inventory!$F$6:$F$205,IFERROR(MATCH(IFERROR(AGGREGATE(14,6,(Inventory!$G$6:$G$205+(205-ROW(Inventory!$G$6:$G$205))/10000)/((Inventory!$G$6:$G$205&gt;0)*(Inventory!$H$6:$H$205="Sam's Club")),1),""),(Inventory!$G$6:$G$205+(205-ROW(Inventory!$G$6:$G$205))/10000),0),""))),"")</f>
        <v/>
      </c>
      <c r="F59" s="41">
        <f>IFERROR(IF(IFERROR(AGGREGATE(14,6,(Inventory!$G$6:$G$205+(205-ROW(Inventory!$G$6:$G$205))/10000)/((Inventory!$G$6:$G$205&gt;0)*(Inventory!$H$6:$H$205="Sam's Club")),1),"")="","",INDEX(Inventory!$J$6:$J$205,IFERROR(MATCH(IFERROR(AGGREGATE(14,6,(Inventory!$G$6:$G$205+(205-ROW(Inventory!$G$6:$G$205))/10000)/((Inventory!$G$6:$G$205&gt;0)*(Inventory!$H$6:$H$205="Sam's Club")),1),""),(Inventory!$G$6:$G$205+(205-ROW(Inventory!$G$6:$G$205))/10000),0),""))),"")</f>
        <v/>
      </c>
      <c r="G59" s="43">
        <f>IFERROR(IF(IFERROR(AGGREGATE(14,6,(Inventory!$G$6:$G$205+(205-ROW(Inventory!$G$6:$G$205))/10000)/((Inventory!$G$6:$G$205&gt;0)*(Inventory!$H$6:$H$205="Sam's Club")),1),"")="","",INDEX(Inventory!$J$6:$J$205,IFERROR(MATCH(IFERROR(AGGREGATE(14,6,(Inventory!$G$6:$G$205+(205-ROW(Inventory!$G$6:$G$205))/10000)/((Inventory!$G$6:$G$205&gt;0)*(Inventory!$H$6:$H$205="Sam's Club")),1),""),(Inventory!$G$6:$G$205+(205-ROW(Inventory!$G$6:$G$205))/10000),0),""))*INDEX(Inventory!$I$6:$I$205,IFERROR(MATCH(IFERROR(AGGREGATE(14,6,(Inventory!$G$6:$G$205+(205-ROW(Inventory!$G$6:$G$205))/10000)/((Inventory!$G$6:$G$205&gt;0)*(Inventory!$H$6:$H$205="Sam's Club")),1),""),(Inventory!$G$6:$G$205+(205-ROW(Inventory!$G$6:$G$205))/10000),0),""))),"")</f>
        <v/>
      </c>
    </row>
    <row r="60" ht="14" customHeight="1">
      <c r="A60" s="46">
        <f>IFERROR(IF(IFERROR(AGGREGATE(14,6,(Inventory!$G$6:$G$205+(205-ROW(Inventory!$G$6:$G$205))/10000)/((Inventory!$G$6:$G$205&gt;0)*(Inventory!$H$6:$H$205="Sam's Club")),2),"")="","",INDEX(Inventory!$A$6:$A$205,IFERROR(MATCH(IFERROR(AGGREGATE(14,6,(Inventory!$G$6:$G$205+(205-ROW(Inventory!$G$6:$G$205))/10000)/((Inventory!$G$6:$G$205&gt;0)*(Inventory!$H$6:$H$205="Sam's Club")),2),""),(Inventory!$G$6:$G$205+(205-ROW(Inventory!$G$6:$G$205))/10000),0),""))),"")</f>
        <v/>
      </c>
      <c r="B60" s="46">
        <f>IFERROR(IF(IFERROR(AGGREGATE(14,6,(Inventory!$G$6:$G$205+(205-ROW(Inventory!$G$6:$G$205))/10000)/((Inventory!$G$6:$G$205&gt;0)*(Inventory!$H$6:$H$205="Sam's Club")),2),"")="","",INDEX(Inventory!$B$6:$B$205,IFERROR(MATCH(IFERROR(AGGREGATE(14,6,(Inventory!$G$6:$G$205+(205-ROW(Inventory!$G$6:$G$205))/10000)/((Inventory!$G$6:$G$205&gt;0)*(Inventory!$H$6:$H$205="Sam's Club")),2),""),(Inventory!$G$6:$G$205+(205-ROW(Inventory!$G$6:$G$205))/10000),0),""))),"")</f>
        <v/>
      </c>
      <c r="C60" s="46">
        <f>IFERROR(IF(IFERROR(AGGREGATE(14,6,(Inventory!$G$6:$G$205+(205-ROW(Inventory!$G$6:$G$205))/10000)/((Inventory!$G$6:$G$205&gt;0)*(Inventory!$H$6:$H$205="Sam's Club")),2),"")="","",INDEX(Inventory!$D$6:$D$205,IFERROR(MATCH(IFERROR(AGGREGATE(14,6,(Inventory!$G$6:$G$205+(205-ROW(Inventory!$G$6:$G$205))/10000)/((Inventory!$G$6:$G$205&gt;0)*(Inventory!$H$6:$H$205="Sam's Club")),2),""),(Inventory!$G$6:$G$205+(205-ROW(Inventory!$G$6:$G$205))/10000),0),""))),"")</f>
        <v/>
      </c>
      <c r="D60" s="41">
        <f>IFERROR(IF(IFERROR(AGGREGATE(14,6,(Inventory!$G$6:$G$205+(205-ROW(Inventory!$G$6:$G$205))/10000)/((Inventory!$G$6:$G$205&gt;0)*(Inventory!$H$6:$H$205="Sam's Club")),2),"")="","",INDEX(Inventory!$E$6:$E$205,IFERROR(MATCH(IFERROR(AGGREGATE(14,6,(Inventory!$G$6:$G$205+(205-ROW(Inventory!$G$6:$G$205))/10000)/((Inventory!$G$6:$G$205&gt;0)*(Inventory!$H$6:$H$205="Sam's Club")),2),""),(Inventory!$G$6:$G$205+(205-ROW(Inventory!$G$6:$G$205))/10000),0),""))),"")</f>
        <v/>
      </c>
      <c r="E60" s="41">
        <f>IFERROR(IF(IFERROR(AGGREGATE(14,6,(Inventory!$G$6:$G$205+(205-ROW(Inventory!$G$6:$G$205))/10000)/((Inventory!$G$6:$G$205&gt;0)*(Inventory!$H$6:$H$205="Sam's Club")),2),"")="","",INDEX(Inventory!$F$6:$F$205,IFERROR(MATCH(IFERROR(AGGREGATE(14,6,(Inventory!$G$6:$G$205+(205-ROW(Inventory!$G$6:$G$205))/10000)/((Inventory!$G$6:$G$205&gt;0)*(Inventory!$H$6:$H$205="Sam's Club")),2),""),(Inventory!$G$6:$G$205+(205-ROW(Inventory!$G$6:$G$205))/10000),0),""))),"")</f>
        <v/>
      </c>
      <c r="F60" s="41">
        <f>IFERROR(IF(IFERROR(AGGREGATE(14,6,(Inventory!$G$6:$G$205+(205-ROW(Inventory!$G$6:$G$205))/10000)/((Inventory!$G$6:$G$205&gt;0)*(Inventory!$H$6:$H$205="Sam's Club")),2),"")="","",INDEX(Inventory!$J$6:$J$205,IFERROR(MATCH(IFERROR(AGGREGATE(14,6,(Inventory!$G$6:$G$205+(205-ROW(Inventory!$G$6:$G$205))/10000)/((Inventory!$G$6:$G$205&gt;0)*(Inventory!$H$6:$H$205="Sam's Club")),2),""),(Inventory!$G$6:$G$205+(205-ROW(Inventory!$G$6:$G$205))/10000),0),""))),"")</f>
        <v/>
      </c>
      <c r="G60" s="43">
        <f>IFERROR(IF(IFERROR(AGGREGATE(14,6,(Inventory!$G$6:$G$205+(205-ROW(Inventory!$G$6:$G$205))/10000)/((Inventory!$G$6:$G$205&gt;0)*(Inventory!$H$6:$H$205="Sam's Club")),2),"")="","",INDEX(Inventory!$J$6:$J$205,IFERROR(MATCH(IFERROR(AGGREGATE(14,6,(Inventory!$G$6:$G$205+(205-ROW(Inventory!$G$6:$G$205))/10000)/((Inventory!$G$6:$G$205&gt;0)*(Inventory!$H$6:$H$205="Sam's Club")),2),""),(Inventory!$G$6:$G$205+(205-ROW(Inventory!$G$6:$G$205))/10000),0),""))*INDEX(Inventory!$I$6:$I$205,IFERROR(MATCH(IFERROR(AGGREGATE(14,6,(Inventory!$G$6:$G$205+(205-ROW(Inventory!$G$6:$G$205))/10000)/((Inventory!$G$6:$G$205&gt;0)*(Inventory!$H$6:$H$205="Sam's Club")),2),""),(Inventory!$G$6:$G$205+(205-ROW(Inventory!$G$6:$G$205))/10000),0),""))),"")</f>
        <v/>
      </c>
    </row>
    <row r="61" ht="14" customHeight="1">
      <c r="A61" s="46">
        <f>IFERROR(IF(IFERROR(AGGREGATE(14,6,(Inventory!$G$6:$G$205+(205-ROW(Inventory!$G$6:$G$205))/10000)/((Inventory!$G$6:$G$205&gt;0)*(Inventory!$H$6:$H$205="Sam's Club")),3),"")="","",INDEX(Inventory!$A$6:$A$205,IFERROR(MATCH(IFERROR(AGGREGATE(14,6,(Inventory!$G$6:$G$205+(205-ROW(Inventory!$G$6:$G$205))/10000)/((Inventory!$G$6:$G$205&gt;0)*(Inventory!$H$6:$H$205="Sam's Club")),3),""),(Inventory!$G$6:$G$205+(205-ROW(Inventory!$G$6:$G$205))/10000),0),""))),"")</f>
        <v/>
      </c>
      <c r="B61" s="46">
        <f>IFERROR(IF(IFERROR(AGGREGATE(14,6,(Inventory!$G$6:$G$205+(205-ROW(Inventory!$G$6:$G$205))/10000)/((Inventory!$G$6:$G$205&gt;0)*(Inventory!$H$6:$H$205="Sam's Club")),3),"")="","",INDEX(Inventory!$B$6:$B$205,IFERROR(MATCH(IFERROR(AGGREGATE(14,6,(Inventory!$G$6:$G$205+(205-ROW(Inventory!$G$6:$G$205))/10000)/((Inventory!$G$6:$G$205&gt;0)*(Inventory!$H$6:$H$205="Sam's Club")),3),""),(Inventory!$G$6:$G$205+(205-ROW(Inventory!$G$6:$G$205))/10000),0),""))),"")</f>
        <v/>
      </c>
      <c r="C61" s="46">
        <f>IFERROR(IF(IFERROR(AGGREGATE(14,6,(Inventory!$G$6:$G$205+(205-ROW(Inventory!$G$6:$G$205))/10000)/((Inventory!$G$6:$G$205&gt;0)*(Inventory!$H$6:$H$205="Sam's Club")),3),"")="","",INDEX(Inventory!$D$6:$D$205,IFERROR(MATCH(IFERROR(AGGREGATE(14,6,(Inventory!$G$6:$G$205+(205-ROW(Inventory!$G$6:$G$205))/10000)/((Inventory!$G$6:$G$205&gt;0)*(Inventory!$H$6:$H$205="Sam's Club")),3),""),(Inventory!$G$6:$G$205+(205-ROW(Inventory!$G$6:$G$205))/10000),0),""))),"")</f>
        <v/>
      </c>
      <c r="D61" s="41">
        <f>IFERROR(IF(IFERROR(AGGREGATE(14,6,(Inventory!$G$6:$G$205+(205-ROW(Inventory!$G$6:$G$205))/10000)/((Inventory!$G$6:$G$205&gt;0)*(Inventory!$H$6:$H$205="Sam's Club")),3),"")="","",INDEX(Inventory!$E$6:$E$205,IFERROR(MATCH(IFERROR(AGGREGATE(14,6,(Inventory!$G$6:$G$205+(205-ROW(Inventory!$G$6:$G$205))/10000)/((Inventory!$G$6:$G$205&gt;0)*(Inventory!$H$6:$H$205="Sam's Club")),3),""),(Inventory!$G$6:$G$205+(205-ROW(Inventory!$G$6:$G$205))/10000),0),""))),"")</f>
        <v/>
      </c>
      <c r="E61" s="41">
        <f>IFERROR(IF(IFERROR(AGGREGATE(14,6,(Inventory!$G$6:$G$205+(205-ROW(Inventory!$G$6:$G$205))/10000)/((Inventory!$G$6:$G$205&gt;0)*(Inventory!$H$6:$H$205="Sam's Club")),3),"")="","",INDEX(Inventory!$F$6:$F$205,IFERROR(MATCH(IFERROR(AGGREGATE(14,6,(Inventory!$G$6:$G$205+(205-ROW(Inventory!$G$6:$G$205))/10000)/((Inventory!$G$6:$G$205&gt;0)*(Inventory!$H$6:$H$205="Sam's Club")),3),""),(Inventory!$G$6:$G$205+(205-ROW(Inventory!$G$6:$G$205))/10000),0),""))),"")</f>
        <v/>
      </c>
      <c r="F61" s="41">
        <f>IFERROR(IF(IFERROR(AGGREGATE(14,6,(Inventory!$G$6:$G$205+(205-ROW(Inventory!$G$6:$G$205))/10000)/((Inventory!$G$6:$G$205&gt;0)*(Inventory!$H$6:$H$205="Sam's Club")),3),"")="","",INDEX(Inventory!$J$6:$J$205,IFERROR(MATCH(IFERROR(AGGREGATE(14,6,(Inventory!$G$6:$G$205+(205-ROW(Inventory!$G$6:$G$205))/10000)/((Inventory!$G$6:$G$205&gt;0)*(Inventory!$H$6:$H$205="Sam's Club")),3),""),(Inventory!$G$6:$G$205+(205-ROW(Inventory!$G$6:$G$205))/10000),0),""))),"")</f>
        <v/>
      </c>
      <c r="G61" s="43">
        <f>IFERROR(IF(IFERROR(AGGREGATE(14,6,(Inventory!$G$6:$G$205+(205-ROW(Inventory!$G$6:$G$205))/10000)/((Inventory!$G$6:$G$205&gt;0)*(Inventory!$H$6:$H$205="Sam's Club")),3),"")="","",INDEX(Inventory!$J$6:$J$205,IFERROR(MATCH(IFERROR(AGGREGATE(14,6,(Inventory!$G$6:$G$205+(205-ROW(Inventory!$G$6:$G$205))/10000)/((Inventory!$G$6:$G$205&gt;0)*(Inventory!$H$6:$H$205="Sam's Club")),3),""),(Inventory!$G$6:$G$205+(205-ROW(Inventory!$G$6:$G$205))/10000),0),""))*INDEX(Inventory!$I$6:$I$205,IFERROR(MATCH(IFERROR(AGGREGATE(14,6,(Inventory!$G$6:$G$205+(205-ROW(Inventory!$G$6:$G$205))/10000)/((Inventory!$G$6:$G$205&gt;0)*(Inventory!$H$6:$H$205="Sam's Club")),3),""),(Inventory!$G$6:$G$205+(205-ROW(Inventory!$G$6:$G$205))/10000),0),""))),"")</f>
        <v/>
      </c>
    </row>
    <row r="62" ht="14" customHeight="1">
      <c r="A62" s="46">
        <f>IFERROR(IF(IFERROR(AGGREGATE(14,6,(Inventory!$G$6:$G$205+(205-ROW(Inventory!$G$6:$G$205))/10000)/((Inventory!$G$6:$G$205&gt;0)*(Inventory!$H$6:$H$205="Sam's Club")),4),"")="","",INDEX(Inventory!$A$6:$A$205,IFERROR(MATCH(IFERROR(AGGREGATE(14,6,(Inventory!$G$6:$G$205+(205-ROW(Inventory!$G$6:$G$205))/10000)/((Inventory!$G$6:$G$205&gt;0)*(Inventory!$H$6:$H$205="Sam's Club")),4),""),(Inventory!$G$6:$G$205+(205-ROW(Inventory!$G$6:$G$205))/10000),0),""))),"")</f>
        <v/>
      </c>
      <c r="B62" s="46">
        <f>IFERROR(IF(IFERROR(AGGREGATE(14,6,(Inventory!$G$6:$G$205+(205-ROW(Inventory!$G$6:$G$205))/10000)/((Inventory!$G$6:$G$205&gt;0)*(Inventory!$H$6:$H$205="Sam's Club")),4),"")="","",INDEX(Inventory!$B$6:$B$205,IFERROR(MATCH(IFERROR(AGGREGATE(14,6,(Inventory!$G$6:$G$205+(205-ROW(Inventory!$G$6:$G$205))/10000)/((Inventory!$G$6:$G$205&gt;0)*(Inventory!$H$6:$H$205="Sam's Club")),4),""),(Inventory!$G$6:$G$205+(205-ROW(Inventory!$G$6:$G$205))/10000),0),""))),"")</f>
        <v/>
      </c>
      <c r="C62" s="46">
        <f>IFERROR(IF(IFERROR(AGGREGATE(14,6,(Inventory!$G$6:$G$205+(205-ROW(Inventory!$G$6:$G$205))/10000)/((Inventory!$G$6:$G$205&gt;0)*(Inventory!$H$6:$H$205="Sam's Club")),4),"")="","",INDEX(Inventory!$D$6:$D$205,IFERROR(MATCH(IFERROR(AGGREGATE(14,6,(Inventory!$G$6:$G$205+(205-ROW(Inventory!$G$6:$G$205))/10000)/((Inventory!$G$6:$G$205&gt;0)*(Inventory!$H$6:$H$205="Sam's Club")),4),""),(Inventory!$G$6:$G$205+(205-ROW(Inventory!$G$6:$G$205))/10000),0),""))),"")</f>
        <v/>
      </c>
      <c r="D62" s="41">
        <f>IFERROR(IF(IFERROR(AGGREGATE(14,6,(Inventory!$G$6:$G$205+(205-ROW(Inventory!$G$6:$G$205))/10000)/((Inventory!$G$6:$G$205&gt;0)*(Inventory!$H$6:$H$205="Sam's Club")),4),"")="","",INDEX(Inventory!$E$6:$E$205,IFERROR(MATCH(IFERROR(AGGREGATE(14,6,(Inventory!$G$6:$G$205+(205-ROW(Inventory!$G$6:$G$205))/10000)/((Inventory!$G$6:$G$205&gt;0)*(Inventory!$H$6:$H$205="Sam's Club")),4),""),(Inventory!$G$6:$G$205+(205-ROW(Inventory!$G$6:$G$205))/10000),0),""))),"")</f>
        <v/>
      </c>
      <c r="E62" s="41">
        <f>IFERROR(IF(IFERROR(AGGREGATE(14,6,(Inventory!$G$6:$G$205+(205-ROW(Inventory!$G$6:$G$205))/10000)/((Inventory!$G$6:$G$205&gt;0)*(Inventory!$H$6:$H$205="Sam's Club")),4),"")="","",INDEX(Inventory!$F$6:$F$205,IFERROR(MATCH(IFERROR(AGGREGATE(14,6,(Inventory!$G$6:$G$205+(205-ROW(Inventory!$G$6:$G$205))/10000)/((Inventory!$G$6:$G$205&gt;0)*(Inventory!$H$6:$H$205="Sam's Club")),4),""),(Inventory!$G$6:$G$205+(205-ROW(Inventory!$G$6:$G$205))/10000),0),""))),"")</f>
        <v/>
      </c>
      <c r="F62" s="41">
        <f>IFERROR(IF(IFERROR(AGGREGATE(14,6,(Inventory!$G$6:$G$205+(205-ROW(Inventory!$G$6:$G$205))/10000)/((Inventory!$G$6:$G$205&gt;0)*(Inventory!$H$6:$H$205="Sam's Club")),4),"")="","",INDEX(Inventory!$J$6:$J$205,IFERROR(MATCH(IFERROR(AGGREGATE(14,6,(Inventory!$G$6:$G$205+(205-ROW(Inventory!$G$6:$G$205))/10000)/((Inventory!$G$6:$G$205&gt;0)*(Inventory!$H$6:$H$205="Sam's Club")),4),""),(Inventory!$G$6:$G$205+(205-ROW(Inventory!$G$6:$G$205))/10000),0),""))),"")</f>
        <v/>
      </c>
      <c r="G62" s="43">
        <f>IFERROR(IF(IFERROR(AGGREGATE(14,6,(Inventory!$G$6:$G$205+(205-ROW(Inventory!$G$6:$G$205))/10000)/((Inventory!$G$6:$G$205&gt;0)*(Inventory!$H$6:$H$205="Sam's Club")),4),"")="","",INDEX(Inventory!$J$6:$J$205,IFERROR(MATCH(IFERROR(AGGREGATE(14,6,(Inventory!$G$6:$G$205+(205-ROW(Inventory!$G$6:$G$205))/10000)/((Inventory!$G$6:$G$205&gt;0)*(Inventory!$H$6:$H$205="Sam's Club")),4),""),(Inventory!$G$6:$G$205+(205-ROW(Inventory!$G$6:$G$205))/10000),0),""))*INDEX(Inventory!$I$6:$I$205,IFERROR(MATCH(IFERROR(AGGREGATE(14,6,(Inventory!$G$6:$G$205+(205-ROW(Inventory!$G$6:$G$205))/10000)/((Inventory!$G$6:$G$205&gt;0)*(Inventory!$H$6:$H$205="Sam's Club")),4),""),(Inventory!$G$6:$G$205+(205-ROW(Inventory!$G$6:$G$205))/10000),0),""))),"")</f>
        <v/>
      </c>
    </row>
    <row r="63" ht="14" customHeight="1">
      <c r="A63" s="46">
        <f>IFERROR(IF(IFERROR(AGGREGATE(14,6,(Inventory!$G$6:$G$205+(205-ROW(Inventory!$G$6:$G$205))/10000)/((Inventory!$G$6:$G$205&gt;0)*(Inventory!$H$6:$H$205="Sam's Club")),5),"")="","",INDEX(Inventory!$A$6:$A$205,IFERROR(MATCH(IFERROR(AGGREGATE(14,6,(Inventory!$G$6:$G$205+(205-ROW(Inventory!$G$6:$G$205))/10000)/((Inventory!$G$6:$G$205&gt;0)*(Inventory!$H$6:$H$205="Sam's Club")),5),""),(Inventory!$G$6:$G$205+(205-ROW(Inventory!$G$6:$G$205))/10000),0),""))),"")</f>
        <v/>
      </c>
      <c r="B63" s="46">
        <f>IFERROR(IF(IFERROR(AGGREGATE(14,6,(Inventory!$G$6:$G$205+(205-ROW(Inventory!$G$6:$G$205))/10000)/((Inventory!$G$6:$G$205&gt;0)*(Inventory!$H$6:$H$205="Sam's Club")),5),"")="","",INDEX(Inventory!$B$6:$B$205,IFERROR(MATCH(IFERROR(AGGREGATE(14,6,(Inventory!$G$6:$G$205+(205-ROW(Inventory!$G$6:$G$205))/10000)/((Inventory!$G$6:$G$205&gt;0)*(Inventory!$H$6:$H$205="Sam's Club")),5),""),(Inventory!$G$6:$G$205+(205-ROW(Inventory!$G$6:$G$205))/10000),0),""))),"")</f>
        <v/>
      </c>
      <c r="C63" s="46">
        <f>IFERROR(IF(IFERROR(AGGREGATE(14,6,(Inventory!$G$6:$G$205+(205-ROW(Inventory!$G$6:$G$205))/10000)/((Inventory!$G$6:$G$205&gt;0)*(Inventory!$H$6:$H$205="Sam's Club")),5),"")="","",INDEX(Inventory!$D$6:$D$205,IFERROR(MATCH(IFERROR(AGGREGATE(14,6,(Inventory!$G$6:$G$205+(205-ROW(Inventory!$G$6:$G$205))/10000)/((Inventory!$G$6:$G$205&gt;0)*(Inventory!$H$6:$H$205="Sam's Club")),5),""),(Inventory!$G$6:$G$205+(205-ROW(Inventory!$G$6:$G$205))/10000),0),""))),"")</f>
        <v/>
      </c>
      <c r="D63" s="41">
        <f>IFERROR(IF(IFERROR(AGGREGATE(14,6,(Inventory!$G$6:$G$205+(205-ROW(Inventory!$G$6:$G$205))/10000)/((Inventory!$G$6:$G$205&gt;0)*(Inventory!$H$6:$H$205="Sam's Club")),5),"")="","",INDEX(Inventory!$E$6:$E$205,IFERROR(MATCH(IFERROR(AGGREGATE(14,6,(Inventory!$G$6:$G$205+(205-ROW(Inventory!$G$6:$G$205))/10000)/((Inventory!$G$6:$G$205&gt;0)*(Inventory!$H$6:$H$205="Sam's Club")),5),""),(Inventory!$G$6:$G$205+(205-ROW(Inventory!$G$6:$G$205))/10000),0),""))),"")</f>
        <v/>
      </c>
      <c r="E63" s="41">
        <f>IFERROR(IF(IFERROR(AGGREGATE(14,6,(Inventory!$G$6:$G$205+(205-ROW(Inventory!$G$6:$G$205))/10000)/((Inventory!$G$6:$G$205&gt;0)*(Inventory!$H$6:$H$205="Sam's Club")),5),"")="","",INDEX(Inventory!$F$6:$F$205,IFERROR(MATCH(IFERROR(AGGREGATE(14,6,(Inventory!$G$6:$G$205+(205-ROW(Inventory!$G$6:$G$205))/10000)/((Inventory!$G$6:$G$205&gt;0)*(Inventory!$H$6:$H$205="Sam's Club")),5),""),(Inventory!$G$6:$G$205+(205-ROW(Inventory!$G$6:$G$205))/10000),0),""))),"")</f>
        <v/>
      </c>
      <c r="F63" s="41">
        <f>IFERROR(IF(IFERROR(AGGREGATE(14,6,(Inventory!$G$6:$G$205+(205-ROW(Inventory!$G$6:$G$205))/10000)/((Inventory!$G$6:$G$205&gt;0)*(Inventory!$H$6:$H$205="Sam's Club")),5),"")="","",INDEX(Inventory!$J$6:$J$205,IFERROR(MATCH(IFERROR(AGGREGATE(14,6,(Inventory!$G$6:$G$205+(205-ROW(Inventory!$G$6:$G$205))/10000)/((Inventory!$G$6:$G$205&gt;0)*(Inventory!$H$6:$H$205="Sam's Club")),5),""),(Inventory!$G$6:$G$205+(205-ROW(Inventory!$G$6:$G$205))/10000),0),""))),"")</f>
        <v/>
      </c>
      <c r="G63" s="43">
        <f>IFERROR(IF(IFERROR(AGGREGATE(14,6,(Inventory!$G$6:$G$205+(205-ROW(Inventory!$G$6:$G$205))/10000)/((Inventory!$G$6:$G$205&gt;0)*(Inventory!$H$6:$H$205="Sam's Club")),5),"")="","",INDEX(Inventory!$J$6:$J$205,IFERROR(MATCH(IFERROR(AGGREGATE(14,6,(Inventory!$G$6:$G$205+(205-ROW(Inventory!$G$6:$G$205))/10000)/((Inventory!$G$6:$G$205&gt;0)*(Inventory!$H$6:$H$205="Sam's Club")),5),""),(Inventory!$G$6:$G$205+(205-ROW(Inventory!$G$6:$G$205))/10000),0),""))*INDEX(Inventory!$I$6:$I$205,IFERROR(MATCH(IFERROR(AGGREGATE(14,6,(Inventory!$G$6:$G$205+(205-ROW(Inventory!$G$6:$G$205))/10000)/((Inventory!$G$6:$G$205&gt;0)*(Inventory!$H$6:$H$205="Sam's Club")),5),""),(Inventory!$G$6:$G$205+(205-ROW(Inventory!$G$6:$G$205))/10000),0),""))),"")</f>
        <v/>
      </c>
    </row>
    <row r="64" ht="14" customHeight="1">
      <c r="A64" s="46">
        <f>IFERROR(IF(IFERROR(AGGREGATE(14,6,(Inventory!$G$6:$G$205+(205-ROW(Inventory!$G$6:$G$205))/10000)/((Inventory!$G$6:$G$205&gt;0)*(Inventory!$H$6:$H$205="Sam's Club")),6),"")="","",INDEX(Inventory!$A$6:$A$205,IFERROR(MATCH(IFERROR(AGGREGATE(14,6,(Inventory!$G$6:$G$205+(205-ROW(Inventory!$G$6:$G$205))/10000)/((Inventory!$G$6:$G$205&gt;0)*(Inventory!$H$6:$H$205="Sam's Club")),6),""),(Inventory!$G$6:$G$205+(205-ROW(Inventory!$G$6:$G$205))/10000),0),""))),"")</f>
        <v/>
      </c>
      <c r="B64" s="46">
        <f>IFERROR(IF(IFERROR(AGGREGATE(14,6,(Inventory!$G$6:$G$205+(205-ROW(Inventory!$G$6:$G$205))/10000)/((Inventory!$G$6:$G$205&gt;0)*(Inventory!$H$6:$H$205="Sam's Club")),6),"")="","",INDEX(Inventory!$B$6:$B$205,IFERROR(MATCH(IFERROR(AGGREGATE(14,6,(Inventory!$G$6:$G$205+(205-ROW(Inventory!$G$6:$G$205))/10000)/((Inventory!$G$6:$G$205&gt;0)*(Inventory!$H$6:$H$205="Sam's Club")),6),""),(Inventory!$G$6:$G$205+(205-ROW(Inventory!$G$6:$G$205))/10000),0),""))),"")</f>
        <v/>
      </c>
      <c r="C64" s="46">
        <f>IFERROR(IF(IFERROR(AGGREGATE(14,6,(Inventory!$G$6:$G$205+(205-ROW(Inventory!$G$6:$G$205))/10000)/((Inventory!$G$6:$G$205&gt;0)*(Inventory!$H$6:$H$205="Sam's Club")),6),"")="","",INDEX(Inventory!$D$6:$D$205,IFERROR(MATCH(IFERROR(AGGREGATE(14,6,(Inventory!$G$6:$G$205+(205-ROW(Inventory!$G$6:$G$205))/10000)/((Inventory!$G$6:$G$205&gt;0)*(Inventory!$H$6:$H$205="Sam's Club")),6),""),(Inventory!$G$6:$G$205+(205-ROW(Inventory!$G$6:$G$205))/10000),0),""))),"")</f>
        <v/>
      </c>
      <c r="D64" s="41">
        <f>IFERROR(IF(IFERROR(AGGREGATE(14,6,(Inventory!$G$6:$G$205+(205-ROW(Inventory!$G$6:$G$205))/10000)/((Inventory!$G$6:$G$205&gt;0)*(Inventory!$H$6:$H$205="Sam's Club")),6),"")="","",INDEX(Inventory!$E$6:$E$205,IFERROR(MATCH(IFERROR(AGGREGATE(14,6,(Inventory!$G$6:$G$205+(205-ROW(Inventory!$G$6:$G$205))/10000)/((Inventory!$G$6:$G$205&gt;0)*(Inventory!$H$6:$H$205="Sam's Club")),6),""),(Inventory!$G$6:$G$205+(205-ROW(Inventory!$G$6:$G$205))/10000),0),""))),"")</f>
        <v/>
      </c>
      <c r="E64" s="41">
        <f>IFERROR(IF(IFERROR(AGGREGATE(14,6,(Inventory!$G$6:$G$205+(205-ROW(Inventory!$G$6:$G$205))/10000)/((Inventory!$G$6:$G$205&gt;0)*(Inventory!$H$6:$H$205="Sam's Club")),6),"")="","",INDEX(Inventory!$F$6:$F$205,IFERROR(MATCH(IFERROR(AGGREGATE(14,6,(Inventory!$G$6:$G$205+(205-ROW(Inventory!$G$6:$G$205))/10000)/((Inventory!$G$6:$G$205&gt;0)*(Inventory!$H$6:$H$205="Sam's Club")),6),""),(Inventory!$G$6:$G$205+(205-ROW(Inventory!$G$6:$G$205))/10000),0),""))),"")</f>
        <v/>
      </c>
      <c r="F64" s="41">
        <f>IFERROR(IF(IFERROR(AGGREGATE(14,6,(Inventory!$G$6:$G$205+(205-ROW(Inventory!$G$6:$G$205))/10000)/((Inventory!$G$6:$G$205&gt;0)*(Inventory!$H$6:$H$205="Sam's Club")),6),"")="","",INDEX(Inventory!$J$6:$J$205,IFERROR(MATCH(IFERROR(AGGREGATE(14,6,(Inventory!$G$6:$G$205+(205-ROW(Inventory!$G$6:$G$205))/10000)/((Inventory!$G$6:$G$205&gt;0)*(Inventory!$H$6:$H$205="Sam's Club")),6),""),(Inventory!$G$6:$G$205+(205-ROW(Inventory!$G$6:$G$205))/10000),0),""))),"")</f>
        <v/>
      </c>
      <c r="G64" s="43">
        <f>IFERROR(IF(IFERROR(AGGREGATE(14,6,(Inventory!$G$6:$G$205+(205-ROW(Inventory!$G$6:$G$205))/10000)/((Inventory!$G$6:$G$205&gt;0)*(Inventory!$H$6:$H$205="Sam's Club")),6),"")="","",INDEX(Inventory!$J$6:$J$205,IFERROR(MATCH(IFERROR(AGGREGATE(14,6,(Inventory!$G$6:$G$205+(205-ROW(Inventory!$G$6:$G$205))/10000)/((Inventory!$G$6:$G$205&gt;0)*(Inventory!$H$6:$H$205="Sam's Club")),6),""),(Inventory!$G$6:$G$205+(205-ROW(Inventory!$G$6:$G$205))/10000),0),""))*INDEX(Inventory!$I$6:$I$205,IFERROR(MATCH(IFERROR(AGGREGATE(14,6,(Inventory!$G$6:$G$205+(205-ROW(Inventory!$G$6:$G$205))/10000)/((Inventory!$G$6:$G$205&gt;0)*(Inventory!$H$6:$H$205="Sam's Club")),6),""),(Inventory!$G$6:$G$205+(205-ROW(Inventory!$G$6:$G$205))/10000),0),""))),"")</f>
        <v/>
      </c>
    </row>
    <row r="65" ht="14" customHeight="1">
      <c r="A65" s="46">
        <f>IFERROR(IF(IFERROR(AGGREGATE(14,6,(Inventory!$G$6:$G$205+(205-ROW(Inventory!$G$6:$G$205))/10000)/((Inventory!$G$6:$G$205&gt;0)*(Inventory!$H$6:$H$205="Sam's Club")),7),"")="","",INDEX(Inventory!$A$6:$A$205,IFERROR(MATCH(IFERROR(AGGREGATE(14,6,(Inventory!$G$6:$G$205+(205-ROW(Inventory!$G$6:$G$205))/10000)/((Inventory!$G$6:$G$205&gt;0)*(Inventory!$H$6:$H$205="Sam's Club")),7),""),(Inventory!$G$6:$G$205+(205-ROW(Inventory!$G$6:$G$205))/10000),0),""))),"")</f>
        <v/>
      </c>
      <c r="B65" s="46">
        <f>IFERROR(IF(IFERROR(AGGREGATE(14,6,(Inventory!$G$6:$G$205+(205-ROW(Inventory!$G$6:$G$205))/10000)/((Inventory!$G$6:$G$205&gt;0)*(Inventory!$H$6:$H$205="Sam's Club")),7),"")="","",INDEX(Inventory!$B$6:$B$205,IFERROR(MATCH(IFERROR(AGGREGATE(14,6,(Inventory!$G$6:$G$205+(205-ROW(Inventory!$G$6:$G$205))/10000)/((Inventory!$G$6:$G$205&gt;0)*(Inventory!$H$6:$H$205="Sam's Club")),7),""),(Inventory!$G$6:$G$205+(205-ROW(Inventory!$G$6:$G$205))/10000),0),""))),"")</f>
        <v/>
      </c>
      <c r="C65" s="46">
        <f>IFERROR(IF(IFERROR(AGGREGATE(14,6,(Inventory!$G$6:$G$205+(205-ROW(Inventory!$G$6:$G$205))/10000)/((Inventory!$G$6:$G$205&gt;0)*(Inventory!$H$6:$H$205="Sam's Club")),7),"")="","",INDEX(Inventory!$D$6:$D$205,IFERROR(MATCH(IFERROR(AGGREGATE(14,6,(Inventory!$G$6:$G$205+(205-ROW(Inventory!$G$6:$G$205))/10000)/((Inventory!$G$6:$G$205&gt;0)*(Inventory!$H$6:$H$205="Sam's Club")),7),""),(Inventory!$G$6:$G$205+(205-ROW(Inventory!$G$6:$G$205))/10000),0),""))),"")</f>
        <v/>
      </c>
      <c r="D65" s="41">
        <f>IFERROR(IF(IFERROR(AGGREGATE(14,6,(Inventory!$G$6:$G$205+(205-ROW(Inventory!$G$6:$G$205))/10000)/((Inventory!$G$6:$G$205&gt;0)*(Inventory!$H$6:$H$205="Sam's Club")),7),"")="","",INDEX(Inventory!$E$6:$E$205,IFERROR(MATCH(IFERROR(AGGREGATE(14,6,(Inventory!$G$6:$G$205+(205-ROW(Inventory!$G$6:$G$205))/10000)/((Inventory!$G$6:$G$205&gt;0)*(Inventory!$H$6:$H$205="Sam's Club")),7),""),(Inventory!$G$6:$G$205+(205-ROW(Inventory!$G$6:$G$205))/10000),0),""))),"")</f>
        <v/>
      </c>
      <c r="E65" s="41">
        <f>IFERROR(IF(IFERROR(AGGREGATE(14,6,(Inventory!$G$6:$G$205+(205-ROW(Inventory!$G$6:$G$205))/10000)/((Inventory!$G$6:$G$205&gt;0)*(Inventory!$H$6:$H$205="Sam's Club")),7),"")="","",INDEX(Inventory!$F$6:$F$205,IFERROR(MATCH(IFERROR(AGGREGATE(14,6,(Inventory!$G$6:$G$205+(205-ROW(Inventory!$G$6:$G$205))/10000)/((Inventory!$G$6:$G$205&gt;0)*(Inventory!$H$6:$H$205="Sam's Club")),7),""),(Inventory!$G$6:$G$205+(205-ROW(Inventory!$G$6:$G$205))/10000),0),""))),"")</f>
        <v/>
      </c>
      <c r="F65" s="41">
        <f>IFERROR(IF(IFERROR(AGGREGATE(14,6,(Inventory!$G$6:$G$205+(205-ROW(Inventory!$G$6:$G$205))/10000)/((Inventory!$G$6:$G$205&gt;0)*(Inventory!$H$6:$H$205="Sam's Club")),7),"")="","",INDEX(Inventory!$J$6:$J$205,IFERROR(MATCH(IFERROR(AGGREGATE(14,6,(Inventory!$G$6:$G$205+(205-ROW(Inventory!$G$6:$G$205))/10000)/((Inventory!$G$6:$G$205&gt;0)*(Inventory!$H$6:$H$205="Sam's Club")),7),""),(Inventory!$G$6:$G$205+(205-ROW(Inventory!$G$6:$G$205))/10000),0),""))),"")</f>
        <v/>
      </c>
      <c r="G65" s="43">
        <f>IFERROR(IF(IFERROR(AGGREGATE(14,6,(Inventory!$G$6:$G$205+(205-ROW(Inventory!$G$6:$G$205))/10000)/((Inventory!$G$6:$G$205&gt;0)*(Inventory!$H$6:$H$205="Sam's Club")),7),"")="","",INDEX(Inventory!$J$6:$J$205,IFERROR(MATCH(IFERROR(AGGREGATE(14,6,(Inventory!$G$6:$G$205+(205-ROW(Inventory!$G$6:$G$205))/10000)/((Inventory!$G$6:$G$205&gt;0)*(Inventory!$H$6:$H$205="Sam's Club")),7),""),(Inventory!$G$6:$G$205+(205-ROW(Inventory!$G$6:$G$205))/10000),0),""))*INDEX(Inventory!$I$6:$I$205,IFERROR(MATCH(IFERROR(AGGREGATE(14,6,(Inventory!$G$6:$G$205+(205-ROW(Inventory!$G$6:$G$205))/10000)/((Inventory!$G$6:$G$205&gt;0)*(Inventory!$H$6:$H$205="Sam's Club")),7),""),(Inventory!$G$6:$G$205+(205-ROW(Inventory!$G$6:$G$205))/10000),0),""))),"")</f>
        <v/>
      </c>
    </row>
    <row r="66" ht="14" customHeight="1">
      <c r="A66" s="46">
        <f>IFERROR(IF(IFERROR(AGGREGATE(14,6,(Inventory!$G$6:$G$205+(205-ROW(Inventory!$G$6:$G$205))/10000)/((Inventory!$G$6:$G$205&gt;0)*(Inventory!$H$6:$H$205="Sam's Club")),8),"")="","",INDEX(Inventory!$A$6:$A$205,IFERROR(MATCH(IFERROR(AGGREGATE(14,6,(Inventory!$G$6:$G$205+(205-ROW(Inventory!$G$6:$G$205))/10000)/((Inventory!$G$6:$G$205&gt;0)*(Inventory!$H$6:$H$205="Sam's Club")),8),""),(Inventory!$G$6:$G$205+(205-ROW(Inventory!$G$6:$G$205))/10000),0),""))),"")</f>
        <v/>
      </c>
      <c r="B66" s="46">
        <f>IFERROR(IF(IFERROR(AGGREGATE(14,6,(Inventory!$G$6:$G$205+(205-ROW(Inventory!$G$6:$G$205))/10000)/((Inventory!$G$6:$G$205&gt;0)*(Inventory!$H$6:$H$205="Sam's Club")),8),"")="","",INDEX(Inventory!$B$6:$B$205,IFERROR(MATCH(IFERROR(AGGREGATE(14,6,(Inventory!$G$6:$G$205+(205-ROW(Inventory!$G$6:$G$205))/10000)/((Inventory!$G$6:$G$205&gt;0)*(Inventory!$H$6:$H$205="Sam's Club")),8),""),(Inventory!$G$6:$G$205+(205-ROW(Inventory!$G$6:$G$205))/10000),0),""))),"")</f>
        <v/>
      </c>
      <c r="C66" s="46">
        <f>IFERROR(IF(IFERROR(AGGREGATE(14,6,(Inventory!$G$6:$G$205+(205-ROW(Inventory!$G$6:$G$205))/10000)/((Inventory!$G$6:$G$205&gt;0)*(Inventory!$H$6:$H$205="Sam's Club")),8),"")="","",INDEX(Inventory!$D$6:$D$205,IFERROR(MATCH(IFERROR(AGGREGATE(14,6,(Inventory!$G$6:$G$205+(205-ROW(Inventory!$G$6:$G$205))/10000)/((Inventory!$G$6:$G$205&gt;0)*(Inventory!$H$6:$H$205="Sam's Club")),8),""),(Inventory!$G$6:$G$205+(205-ROW(Inventory!$G$6:$G$205))/10000),0),""))),"")</f>
        <v/>
      </c>
      <c r="D66" s="41">
        <f>IFERROR(IF(IFERROR(AGGREGATE(14,6,(Inventory!$G$6:$G$205+(205-ROW(Inventory!$G$6:$G$205))/10000)/((Inventory!$G$6:$G$205&gt;0)*(Inventory!$H$6:$H$205="Sam's Club")),8),"")="","",INDEX(Inventory!$E$6:$E$205,IFERROR(MATCH(IFERROR(AGGREGATE(14,6,(Inventory!$G$6:$G$205+(205-ROW(Inventory!$G$6:$G$205))/10000)/((Inventory!$G$6:$G$205&gt;0)*(Inventory!$H$6:$H$205="Sam's Club")),8),""),(Inventory!$G$6:$G$205+(205-ROW(Inventory!$G$6:$G$205))/10000),0),""))),"")</f>
        <v/>
      </c>
      <c r="E66" s="41">
        <f>IFERROR(IF(IFERROR(AGGREGATE(14,6,(Inventory!$G$6:$G$205+(205-ROW(Inventory!$G$6:$G$205))/10000)/((Inventory!$G$6:$G$205&gt;0)*(Inventory!$H$6:$H$205="Sam's Club")),8),"")="","",INDEX(Inventory!$F$6:$F$205,IFERROR(MATCH(IFERROR(AGGREGATE(14,6,(Inventory!$G$6:$G$205+(205-ROW(Inventory!$G$6:$G$205))/10000)/((Inventory!$G$6:$G$205&gt;0)*(Inventory!$H$6:$H$205="Sam's Club")),8),""),(Inventory!$G$6:$G$205+(205-ROW(Inventory!$G$6:$G$205))/10000),0),""))),"")</f>
        <v/>
      </c>
      <c r="F66" s="41">
        <f>IFERROR(IF(IFERROR(AGGREGATE(14,6,(Inventory!$G$6:$G$205+(205-ROW(Inventory!$G$6:$G$205))/10000)/((Inventory!$G$6:$G$205&gt;0)*(Inventory!$H$6:$H$205="Sam's Club")),8),"")="","",INDEX(Inventory!$J$6:$J$205,IFERROR(MATCH(IFERROR(AGGREGATE(14,6,(Inventory!$G$6:$G$205+(205-ROW(Inventory!$G$6:$G$205))/10000)/((Inventory!$G$6:$G$205&gt;0)*(Inventory!$H$6:$H$205="Sam's Club")),8),""),(Inventory!$G$6:$G$205+(205-ROW(Inventory!$G$6:$G$205))/10000),0),""))),"")</f>
        <v/>
      </c>
      <c r="G66" s="43">
        <f>IFERROR(IF(IFERROR(AGGREGATE(14,6,(Inventory!$G$6:$G$205+(205-ROW(Inventory!$G$6:$G$205))/10000)/((Inventory!$G$6:$G$205&gt;0)*(Inventory!$H$6:$H$205="Sam's Club")),8),"")="","",INDEX(Inventory!$J$6:$J$205,IFERROR(MATCH(IFERROR(AGGREGATE(14,6,(Inventory!$G$6:$G$205+(205-ROW(Inventory!$G$6:$G$205))/10000)/((Inventory!$G$6:$G$205&gt;0)*(Inventory!$H$6:$H$205="Sam's Club")),8),""),(Inventory!$G$6:$G$205+(205-ROW(Inventory!$G$6:$G$205))/10000),0),""))*INDEX(Inventory!$I$6:$I$205,IFERROR(MATCH(IFERROR(AGGREGATE(14,6,(Inventory!$G$6:$G$205+(205-ROW(Inventory!$G$6:$G$205))/10000)/((Inventory!$G$6:$G$205&gt;0)*(Inventory!$H$6:$H$205="Sam's Club")),8),""),(Inventory!$G$6:$G$205+(205-ROW(Inventory!$G$6:$G$205))/10000),0),""))),"")</f>
        <v/>
      </c>
    </row>
    <row r="67" ht="14" customHeight="1">
      <c r="A67" s="46">
        <f>IFERROR(IF(IFERROR(AGGREGATE(14,6,(Inventory!$G$6:$G$205+(205-ROW(Inventory!$G$6:$G$205))/10000)/((Inventory!$G$6:$G$205&gt;0)*(Inventory!$H$6:$H$205="Sam's Club")),9),"")="","",INDEX(Inventory!$A$6:$A$205,IFERROR(MATCH(IFERROR(AGGREGATE(14,6,(Inventory!$G$6:$G$205+(205-ROW(Inventory!$G$6:$G$205))/10000)/((Inventory!$G$6:$G$205&gt;0)*(Inventory!$H$6:$H$205="Sam's Club")),9),""),(Inventory!$G$6:$G$205+(205-ROW(Inventory!$G$6:$G$205))/10000),0),""))),"")</f>
        <v/>
      </c>
      <c r="B67" s="46">
        <f>IFERROR(IF(IFERROR(AGGREGATE(14,6,(Inventory!$G$6:$G$205+(205-ROW(Inventory!$G$6:$G$205))/10000)/((Inventory!$G$6:$G$205&gt;0)*(Inventory!$H$6:$H$205="Sam's Club")),9),"")="","",INDEX(Inventory!$B$6:$B$205,IFERROR(MATCH(IFERROR(AGGREGATE(14,6,(Inventory!$G$6:$G$205+(205-ROW(Inventory!$G$6:$G$205))/10000)/((Inventory!$G$6:$G$205&gt;0)*(Inventory!$H$6:$H$205="Sam's Club")),9),""),(Inventory!$G$6:$G$205+(205-ROW(Inventory!$G$6:$G$205))/10000),0),""))),"")</f>
        <v/>
      </c>
      <c r="C67" s="46">
        <f>IFERROR(IF(IFERROR(AGGREGATE(14,6,(Inventory!$G$6:$G$205+(205-ROW(Inventory!$G$6:$G$205))/10000)/((Inventory!$G$6:$G$205&gt;0)*(Inventory!$H$6:$H$205="Sam's Club")),9),"")="","",INDEX(Inventory!$D$6:$D$205,IFERROR(MATCH(IFERROR(AGGREGATE(14,6,(Inventory!$G$6:$G$205+(205-ROW(Inventory!$G$6:$G$205))/10000)/((Inventory!$G$6:$G$205&gt;0)*(Inventory!$H$6:$H$205="Sam's Club")),9),""),(Inventory!$G$6:$G$205+(205-ROW(Inventory!$G$6:$G$205))/10000),0),""))),"")</f>
        <v/>
      </c>
      <c r="D67" s="41">
        <f>IFERROR(IF(IFERROR(AGGREGATE(14,6,(Inventory!$G$6:$G$205+(205-ROW(Inventory!$G$6:$G$205))/10000)/((Inventory!$G$6:$G$205&gt;0)*(Inventory!$H$6:$H$205="Sam's Club")),9),"")="","",INDEX(Inventory!$E$6:$E$205,IFERROR(MATCH(IFERROR(AGGREGATE(14,6,(Inventory!$G$6:$G$205+(205-ROW(Inventory!$G$6:$G$205))/10000)/((Inventory!$G$6:$G$205&gt;0)*(Inventory!$H$6:$H$205="Sam's Club")),9),""),(Inventory!$G$6:$G$205+(205-ROW(Inventory!$G$6:$G$205))/10000),0),""))),"")</f>
        <v/>
      </c>
      <c r="E67" s="41">
        <f>IFERROR(IF(IFERROR(AGGREGATE(14,6,(Inventory!$G$6:$G$205+(205-ROW(Inventory!$G$6:$G$205))/10000)/((Inventory!$G$6:$G$205&gt;0)*(Inventory!$H$6:$H$205="Sam's Club")),9),"")="","",INDEX(Inventory!$F$6:$F$205,IFERROR(MATCH(IFERROR(AGGREGATE(14,6,(Inventory!$G$6:$G$205+(205-ROW(Inventory!$G$6:$G$205))/10000)/((Inventory!$G$6:$G$205&gt;0)*(Inventory!$H$6:$H$205="Sam's Club")),9),""),(Inventory!$G$6:$G$205+(205-ROW(Inventory!$G$6:$G$205))/10000),0),""))),"")</f>
        <v/>
      </c>
      <c r="F67" s="41">
        <f>IFERROR(IF(IFERROR(AGGREGATE(14,6,(Inventory!$G$6:$G$205+(205-ROW(Inventory!$G$6:$G$205))/10000)/((Inventory!$G$6:$G$205&gt;0)*(Inventory!$H$6:$H$205="Sam's Club")),9),"")="","",INDEX(Inventory!$J$6:$J$205,IFERROR(MATCH(IFERROR(AGGREGATE(14,6,(Inventory!$G$6:$G$205+(205-ROW(Inventory!$G$6:$G$205))/10000)/((Inventory!$G$6:$G$205&gt;0)*(Inventory!$H$6:$H$205="Sam's Club")),9),""),(Inventory!$G$6:$G$205+(205-ROW(Inventory!$G$6:$G$205))/10000),0),""))),"")</f>
        <v/>
      </c>
      <c r="G67" s="43">
        <f>IFERROR(IF(IFERROR(AGGREGATE(14,6,(Inventory!$G$6:$G$205+(205-ROW(Inventory!$G$6:$G$205))/10000)/((Inventory!$G$6:$G$205&gt;0)*(Inventory!$H$6:$H$205="Sam's Club")),9),"")="","",INDEX(Inventory!$J$6:$J$205,IFERROR(MATCH(IFERROR(AGGREGATE(14,6,(Inventory!$G$6:$G$205+(205-ROW(Inventory!$G$6:$G$205))/10000)/((Inventory!$G$6:$G$205&gt;0)*(Inventory!$H$6:$H$205="Sam's Club")),9),""),(Inventory!$G$6:$G$205+(205-ROW(Inventory!$G$6:$G$205))/10000),0),""))*INDEX(Inventory!$I$6:$I$205,IFERROR(MATCH(IFERROR(AGGREGATE(14,6,(Inventory!$G$6:$G$205+(205-ROW(Inventory!$G$6:$G$205))/10000)/((Inventory!$G$6:$G$205&gt;0)*(Inventory!$H$6:$H$205="Sam's Club")),9),""),(Inventory!$G$6:$G$205+(205-ROW(Inventory!$G$6:$G$205))/10000),0),""))),"")</f>
        <v/>
      </c>
    </row>
    <row r="68" ht="14" customHeight="1">
      <c r="A68" s="46">
        <f>IFERROR(IF(IFERROR(AGGREGATE(14,6,(Inventory!$G$6:$G$205+(205-ROW(Inventory!$G$6:$G$205))/10000)/((Inventory!$G$6:$G$205&gt;0)*(Inventory!$H$6:$H$205="Sam's Club")),10),"")="","",INDEX(Inventory!$A$6:$A$205,IFERROR(MATCH(IFERROR(AGGREGATE(14,6,(Inventory!$G$6:$G$205+(205-ROW(Inventory!$G$6:$G$205))/10000)/((Inventory!$G$6:$G$205&gt;0)*(Inventory!$H$6:$H$205="Sam's Club")),10),""),(Inventory!$G$6:$G$205+(205-ROW(Inventory!$G$6:$G$205))/10000),0),""))),"")</f>
        <v/>
      </c>
      <c r="B68" s="46">
        <f>IFERROR(IF(IFERROR(AGGREGATE(14,6,(Inventory!$G$6:$G$205+(205-ROW(Inventory!$G$6:$G$205))/10000)/((Inventory!$G$6:$G$205&gt;0)*(Inventory!$H$6:$H$205="Sam's Club")),10),"")="","",INDEX(Inventory!$B$6:$B$205,IFERROR(MATCH(IFERROR(AGGREGATE(14,6,(Inventory!$G$6:$G$205+(205-ROW(Inventory!$G$6:$G$205))/10000)/((Inventory!$G$6:$G$205&gt;0)*(Inventory!$H$6:$H$205="Sam's Club")),10),""),(Inventory!$G$6:$G$205+(205-ROW(Inventory!$G$6:$G$205))/10000),0),""))),"")</f>
        <v/>
      </c>
      <c r="C68" s="46">
        <f>IFERROR(IF(IFERROR(AGGREGATE(14,6,(Inventory!$G$6:$G$205+(205-ROW(Inventory!$G$6:$G$205))/10000)/((Inventory!$G$6:$G$205&gt;0)*(Inventory!$H$6:$H$205="Sam's Club")),10),"")="","",INDEX(Inventory!$D$6:$D$205,IFERROR(MATCH(IFERROR(AGGREGATE(14,6,(Inventory!$G$6:$G$205+(205-ROW(Inventory!$G$6:$G$205))/10000)/((Inventory!$G$6:$G$205&gt;0)*(Inventory!$H$6:$H$205="Sam's Club")),10),""),(Inventory!$G$6:$G$205+(205-ROW(Inventory!$G$6:$G$205))/10000),0),""))),"")</f>
        <v/>
      </c>
      <c r="D68" s="41">
        <f>IFERROR(IF(IFERROR(AGGREGATE(14,6,(Inventory!$G$6:$G$205+(205-ROW(Inventory!$G$6:$G$205))/10000)/((Inventory!$G$6:$G$205&gt;0)*(Inventory!$H$6:$H$205="Sam's Club")),10),"")="","",INDEX(Inventory!$E$6:$E$205,IFERROR(MATCH(IFERROR(AGGREGATE(14,6,(Inventory!$G$6:$G$205+(205-ROW(Inventory!$G$6:$G$205))/10000)/((Inventory!$G$6:$G$205&gt;0)*(Inventory!$H$6:$H$205="Sam's Club")),10),""),(Inventory!$G$6:$G$205+(205-ROW(Inventory!$G$6:$G$205))/10000),0),""))),"")</f>
        <v/>
      </c>
      <c r="E68" s="41">
        <f>IFERROR(IF(IFERROR(AGGREGATE(14,6,(Inventory!$G$6:$G$205+(205-ROW(Inventory!$G$6:$G$205))/10000)/((Inventory!$G$6:$G$205&gt;0)*(Inventory!$H$6:$H$205="Sam's Club")),10),"")="","",INDEX(Inventory!$F$6:$F$205,IFERROR(MATCH(IFERROR(AGGREGATE(14,6,(Inventory!$G$6:$G$205+(205-ROW(Inventory!$G$6:$G$205))/10000)/((Inventory!$G$6:$G$205&gt;0)*(Inventory!$H$6:$H$205="Sam's Club")),10),""),(Inventory!$G$6:$G$205+(205-ROW(Inventory!$G$6:$G$205))/10000),0),""))),"")</f>
        <v/>
      </c>
      <c r="F68" s="41">
        <f>IFERROR(IF(IFERROR(AGGREGATE(14,6,(Inventory!$G$6:$G$205+(205-ROW(Inventory!$G$6:$G$205))/10000)/((Inventory!$G$6:$G$205&gt;0)*(Inventory!$H$6:$H$205="Sam's Club")),10),"")="","",INDEX(Inventory!$J$6:$J$205,IFERROR(MATCH(IFERROR(AGGREGATE(14,6,(Inventory!$G$6:$G$205+(205-ROW(Inventory!$G$6:$G$205))/10000)/((Inventory!$G$6:$G$205&gt;0)*(Inventory!$H$6:$H$205="Sam's Club")),10),""),(Inventory!$G$6:$G$205+(205-ROW(Inventory!$G$6:$G$205))/10000),0),""))),"")</f>
        <v/>
      </c>
      <c r="G68" s="43">
        <f>IFERROR(IF(IFERROR(AGGREGATE(14,6,(Inventory!$G$6:$G$205+(205-ROW(Inventory!$G$6:$G$205))/10000)/((Inventory!$G$6:$G$205&gt;0)*(Inventory!$H$6:$H$205="Sam's Club")),10),"")="","",INDEX(Inventory!$J$6:$J$205,IFERROR(MATCH(IFERROR(AGGREGATE(14,6,(Inventory!$G$6:$G$205+(205-ROW(Inventory!$G$6:$G$205))/10000)/((Inventory!$G$6:$G$205&gt;0)*(Inventory!$H$6:$H$205="Sam's Club")),10),""),(Inventory!$G$6:$G$205+(205-ROW(Inventory!$G$6:$G$205))/10000),0),""))*INDEX(Inventory!$I$6:$I$205,IFERROR(MATCH(IFERROR(AGGREGATE(14,6,(Inventory!$G$6:$G$205+(205-ROW(Inventory!$G$6:$G$205))/10000)/((Inventory!$G$6:$G$205&gt;0)*(Inventory!$H$6:$H$205="Sam's Club")),10),""),(Inventory!$G$6:$G$205+(205-ROW(Inventory!$G$6:$G$205))/10000),0),""))),"")</f>
        <v/>
      </c>
    </row>
    <row r="69" ht="14" customHeight="1">
      <c r="A69" s="46">
        <f>IFERROR(IF(IFERROR(AGGREGATE(14,6,(Inventory!$G$6:$G$205+(205-ROW(Inventory!$G$6:$G$205))/10000)/((Inventory!$G$6:$G$205&gt;0)*(Inventory!$H$6:$H$205="Sam's Club")),11),"")="","",INDEX(Inventory!$A$6:$A$205,IFERROR(MATCH(IFERROR(AGGREGATE(14,6,(Inventory!$G$6:$G$205+(205-ROW(Inventory!$G$6:$G$205))/10000)/((Inventory!$G$6:$G$205&gt;0)*(Inventory!$H$6:$H$205="Sam's Club")),11),""),(Inventory!$G$6:$G$205+(205-ROW(Inventory!$G$6:$G$205))/10000),0),""))),"")</f>
        <v/>
      </c>
      <c r="B69" s="46">
        <f>IFERROR(IF(IFERROR(AGGREGATE(14,6,(Inventory!$G$6:$G$205+(205-ROW(Inventory!$G$6:$G$205))/10000)/((Inventory!$G$6:$G$205&gt;0)*(Inventory!$H$6:$H$205="Sam's Club")),11),"")="","",INDEX(Inventory!$B$6:$B$205,IFERROR(MATCH(IFERROR(AGGREGATE(14,6,(Inventory!$G$6:$G$205+(205-ROW(Inventory!$G$6:$G$205))/10000)/((Inventory!$G$6:$G$205&gt;0)*(Inventory!$H$6:$H$205="Sam's Club")),11),""),(Inventory!$G$6:$G$205+(205-ROW(Inventory!$G$6:$G$205))/10000),0),""))),"")</f>
        <v/>
      </c>
      <c r="C69" s="46">
        <f>IFERROR(IF(IFERROR(AGGREGATE(14,6,(Inventory!$G$6:$G$205+(205-ROW(Inventory!$G$6:$G$205))/10000)/((Inventory!$G$6:$G$205&gt;0)*(Inventory!$H$6:$H$205="Sam's Club")),11),"")="","",INDEX(Inventory!$D$6:$D$205,IFERROR(MATCH(IFERROR(AGGREGATE(14,6,(Inventory!$G$6:$G$205+(205-ROW(Inventory!$G$6:$G$205))/10000)/((Inventory!$G$6:$G$205&gt;0)*(Inventory!$H$6:$H$205="Sam's Club")),11),""),(Inventory!$G$6:$G$205+(205-ROW(Inventory!$G$6:$G$205))/10000),0),""))),"")</f>
        <v/>
      </c>
      <c r="D69" s="41">
        <f>IFERROR(IF(IFERROR(AGGREGATE(14,6,(Inventory!$G$6:$G$205+(205-ROW(Inventory!$G$6:$G$205))/10000)/((Inventory!$G$6:$G$205&gt;0)*(Inventory!$H$6:$H$205="Sam's Club")),11),"")="","",INDEX(Inventory!$E$6:$E$205,IFERROR(MATCH(IFERROR(AGGREGATE(14,6,(Inventory!$G$6:$G$205+(205-ROW(Inventory!$G$6:$G$205))/10000)/((Inventory!$G$6:$G$205&gt;0)*(Inventory!$H$6:$H$205="Sam's Club")),11),""),(Inventory!$G$6:$G$205+(205-ROW(Inventory!$G$6:$G$205))/10000),0),""))),"")</f>
        <v/>
      </c>
      <c r="E69" s="41">
        <f>IFERROR(IF(IFERROR(AGGREGATE(14,6,(Inventory!$G$6:$G$205+(205-ROW(Inventory!$G$6:$G$205))/10000)/((Inventory!$G$6:$G$205&gt;0)*(Inventory!$H$6:$H$205="Sam's Club")),11),"")="","",INDEX(Inventory!$F$6:$F$205,IFERROR(MATCH(IFERROR(AGGREGATE(14,6,(Inventory!$G$6:$G$205+(205-ROW(Inventory!$G$6:$G$205))/10000)/((Inventory!$G$6:$G$205&gt;0)*(Inventory!$H$6:$H$205="Sam's Club")),11),""),(Inventory!$G$6:$G$205+(205-ROW(Inventory!$G$6:$G$205))/10000),0),""))),"")</f>
        <v/>
      </c>
      <c r="F69" s="41">
        <f>IFERROR(IF(IFERROR(AGGREGATE(14,6,(Inventory!$G$6:$G$205+(205-ROW(Inventory!$G$6:$G$205))/10000)/((Inventory!$G$6:$G$205&gt;0)*(Inventory!$H$6:$H$205="Sam's Club")),11),"")="","",INDEX(Inventory!$J$6:$J$205,IFERROR(MATCH(IFERROR(AGGREGATE(14,6,(Inventory!$G$6:$G$205+(205-ROW(Inventory!$G$6:$G$205))/10000)/((Inventory!$G$6:$G$205&gt;0)*(Inventory!$H$6:$H$205="Sam's Club")),11),""),(Inventory!$G$6:$G$205+(205-ROW(Inventory!$G$6:$G$205))/10000),0),""))),"")</f>
        <v/>
      </c>
      <c r="G69" s="43">
        <f>IFERROR(IF(IFERROR(AGGREGATE(14,6,(Inventory!$G$6:$G$205+(205-ROW(Inventory!$G$6:$G$205))/10000)/((Inventory!$G$6:$G$205&gt;0)*(Inventory!$H$6:$H$205="Sam's Club")),11),"")="","",INDEX(Inventory!$J$6:$J$205,IFERROR(MATCH(IFERROR(AGGREGATE(14,6,(Inventory!$G$6:$G$205+(205-ROW(Inventory!$G$6:$G$205))/10000)/((Inventory!$G$6:$G$205&gt;0)*(Inventory!$H$6:$H$205="Sam's Club")),11),""),(Inventory!$G$6:$G$205+(205-ROW(Inventory!$G$6:$G$205))/10000),0),""))*INDEX(Inventory!$I$6:$I$205,IFERROR(MATCH(IFERROR(AGGREGATE(14,6,(Inventory!$G$6:$G$205+(205-ROW(Inventory!$G$6:$G$205))/10000)/((Inventory!$G$6:$G$205&gt;0)*(Inventory!$H$6:$H$205="Sam's Club")),11),""),(Inventory!$G$6:$G$205+(205-ROW(Inventory!$G$6:$G$205))/10000),0),""))),"")</f>
        <v/>
      </c>
    </row>
    <row r="70" ht="14" customHeight="1">
      <c r="A70" s="46">
        <f>IFERROR(IF(IFERROR(AGGREGATE(14,6,(Inventory!$G$6:$G$205+(205-ROW(Inventory!$G$6:$G$205))/10000)/((Inventory!$G$6:$G$205&gt;0)*(Inventory!$H$6:$H$205="Sam's Club")),12),"")="","",INDEX(Inventory!$A$6:$A$205,IFERROR(MATCH(IFERROR(AGGREGATE(14,6,(Inventory!$G$6:$G$205+(205-ROW(Inventory!$G$6:$G$205))/10000)/((Inventory!$G$6:$G$205&gt;0)*(Inventory!$H$6:$H$205="Sam's Club")),12),""),(Inventory!$G$6:$G$205+(205-ROW(Inventory!$G$6:$G$205))/10000),0),""))),"")</f>
        <v/>
      </c>
      <c r="B70" s="46">
        <f>IFERROR(IF(IFERROR(AGGREGATE(14,6,(Inventory!$G$6:$G$205+(205-ROW(Inventory!$G$6:$G$205))/10000)/((Inventory!$G$6:$G$205&gt;0)*(Inventory!$H$6:$H$205="Sam's Club")),12),"")="","",INDEX(Inventory!$B$6:$B$205,IFERROR(MATCH(IFERROR(AGGREGATE(14,6,(Inventory!$G$6:$G$205+(205-ROW(Inventory!$G$6:$G$205))/10000)/((Inventory!$G$6:$G$205&gt;0)*(Inventory!$H$6:$H$205="Sam's Club")),12),""),(Inventory!$G$6:$G$205+(205-ROW(Inventory!$G$6:$G$205))/10000),0),""))),"")</f>
        <v/>
      </c>
      <c r="C70" s="46">
        <f>IFERROR(IF(IFERROR(AGGREGATE(14,6,(Inventory!$G$6:$G$205+(205-ROW(Inventory!$G$6:$G$205))/10000)/((Inventory!$G$6:$G$205&gt;0)*(Inventory!$H$6:$H$205="Sam's Club")),12),"")="","",INDEX(Inventory!$D$6:$D$205,IFERROR(MATCH(IFERROR(AGGREGATE(14,6,(Inventory!$G$6:$G$205+(205-ROW(Inventory!$G$6:$G$205))/10000)/((Inventory!$G$6:$G$205&gt;0)*(Inventory!$H$6:$H$205="Sam's Club")),12),""),(Inventory!$G$6:$G$205+(205-ROW(Inventory!$G$6:$G$205))/10000),0),""))),"")</f>
        <v/>
      </c>
      <c r="D70" s="41">
        <f>IFERROR(IF(IFERROR(AGGREGATE(14,6,(Inventory!$G$6:$G$205+(205-ROW(Inventory!$G$6:$G$205))/10000)/((Inventory!$G$6:$G$205&gt;0)*(Inventory!$H$6:$H$205="Sam's Club")),12),"")="","",INDEX(Inventory!$E$6:$E$205,IFERROR(MATCH(IFERROR(AGGREGATE(14,6,(Inventory!$G$6:$G$205+(205-ROW(Inventory!$G$6:$G$205))/10000)/((Inventory!$G$6:$G$205&gt;0)*(Inventory!$H$6:$H$205="Sam's Club")),12),""),(Inventory!$G$6:$G$205+(205-ROW(Inventory!$G$6:$G$205))/10000),0),""))),"")</f>
        <v/>
      </c>
      <c r="E70" s="41">
        <f>IFERROR(IF(IFERROR(AGGREGATE(14,6,(Inventory!$G$6:$G$205+(205-ROW(Inventory!$G$6:$G$205))/10000)/((Inventory!$G$6:$G$205&gt;0)*(Inventory!$H$6:$H$205="Sam's Club")),12),"")="","",INDEX(Inventory!$F$6:$F$205,IFERROR(MATCH(IFERROR(AGGREGATE(14,6,(Inventory!$G$6:$G$205+(205-ROW(Inventory!$G$6:$G$205))/10000)/((Inventory!$G$6:$G$205&gt;0)*(Inventory!$H$6:$H$205="Sam's Club")),12),""),(Inventory!$G$6:$G$205+(205-ROW(Inventory!$G$6:$G$205))/10000),0),""))),"")</f>
        <v/>
      </c>
      <c r="F70" s="41">
        <f>IFERROR(IF(IFERROR(AGGREGATE(14,6,(Inventory!$G$6:$G$205+(205-ROW(Inventory!$G$6:$G$205))/10000)/((Inventory!$G$6:$G$205&gt;0)*(Inventory!$H$6:$H$205="Sam's Club")),12),"")="","",INDEX(Inventory!$J$6:$J$205,IFERROR(MATCH(IFERROR(AGGREGATE(14,6,(Inventory!$G$6:$G$205+(205-ROW(Inventory!$G$6:$G$205))/10000)/((Inventory!$G$6:$G$205&gt;0)*(Inventory!$H$6:$H$205="Sam's Club")),12),""),(Inventory!$G$6:$G$205+(205-ROW(Inventory!$G$6:$G$205))/10000),0),""))),"")</f>
        <v/>
      </c>
      <c r="G70" s="43">
        <f>IFERROR(IF(IFERROR(AGGREGATE(14,6,(Inventory!$G$6:$G$205+(205-ROW(Inventory!$G$6:$G$205))/10000)/((Inventory!$G$6:$G$205&gt;0)*(Inventory!$H$6:$H$205="Sam's Club")),12),"")="","",INDEX(Inventory!$J$6:$J$205,IFERROR(MATCH(IFERROR(AGGREGATE(14,6,(Inventory!$G$6:$G$205+(205-ROW(Inventory!$G$6:$G$205))/10000)/((Inventory!$G$6:$G$205&gt;0)*(Inventory!$H$6:$H$205="Sam's Club")),12),""),(Inventory!$G$6:$G$205+(205-ROW(Inventory!$G$6:$G$205))/10000),0),""))*INDEX(Inventory!$I$6:$I$205,IFERROR(MATCH(IFERROR(AGGREGATE(14,6,(Inventory!$G$6:$G$205+(205-ROW(Inventory!$G$6:$G$205))/10000)/((Inventory!$G$6:$G$205&gt;0)*(Inventory!$H$6:$H$205="Sam's Club")),12),""),(Inventory!$G$6:$G$205+(205-ROW(Inventory!$G$6:$G$205))/10000),0),""))),"")</f>
        <v/>
      </c>
    </row>
    <row r="71" ht="14" customHeight="1">
      <c r="A71" s="46">
        <f>IFERROR(IF(IFERROR(AGGREGATE(14,6,(Inventory!$G$6:$G$205+(205-ROW(Inventory!$G$6:$G$205))/10000)/((Inventory!$G$6:$G$205&gt;0)*(Inventory!$H$6:$H$205="Sam's Club")),13),"")="","",INDEX(Inventory!$A$6:$A$205,IFERROR(MATCH(IFERROR(AGGREGATE(14,6,(Inventory!$G$6:$G$205+(205-ROW(Inventory!$G$6:$G$205))/10000)/((Inventory!$G$6:$G$205&gt;0)*(Inventory!$H$6:$H$205="Sam's Club")),13),""),(Inventory!$G$6:$G$205+(205-ROW(Inventory!$G$6:$G$205))/10000),0),""))),"")</f>
        <v/>
      </c>
      <c r="B71" s="46">
        <f>IFERROR(IF(IFERROR(AGGREGATE(14,6,(Inventory!$G$6:$G$205+(205-ROW(Inventory!$G$6:$G$205))/10000)/((Inventory!$G$6:$G$205&gt;0)*(Inventory!$H$6:$H$205="Sam's Club")),13),"")="","",INDEX(Inventory!$B$6:$B$205,IFERROR(MATCH(IFERROR(AGGREGATE(14,6,(Inventory!$G$6:$G$205+(205-ROW(Inventory!$G$6:$G$205))/10000)/((Inventory!$G$6:$G$205&gt;0)*(Inventory!$H$6:$H$205="Sam's Club")),13),""),(Inventory!$G$6:$G$205+(205-ROW(Inventory!$G$6:$G$205))/10000),0),""))),"")</f>
        <v/>
      </c>
      <c r="C71" s="46">
        <f>IFERROR(IF(IFERROR(AGGREGATE(14,6,(Inventory!$G$6:$G$205+(205-ROW(Inventory!$G$6:$G$205))/10000)/((Inventory!$G$6:$G$205&gt;0)*(Inventory!$H$6:$H$205="Sam's Club")),13),"")="","",INDEX(Inventory!$D$6:$D$205,IFERROR(MATCH(IFERROR(AGGREGATE(14,6,(Inventory!$G$6:$G$205+(205-ROW(Inventory!$G$6:$G$205))/10000)/((Inventory!$G$6:$G$205&gt;0)*(Inventory!$H$6:$H$205="Sam's Club")),13),""),(Inventory!$G$6:$G$205+(205-ROW(Inventory!$G$6:$G$205))/10000),0),""))),"")</f>
        <v/>
      </c>
      <c r="D71" s="41">
        <f>IFERROR(IF(IFERROR(AGGREGATE(14,6,(Inventory!$G$6:$G$205+(205-ROW(Inventory!$G$6:$G$205))/10000)/((Inventory!$G$6:$G$205&gt;0)*(Inventory!$H$6:$H$205="Sam's Club")),13),"")="","",INDEX(Inventory!$E$6:$E$205,IFERROR(MATCH(IFERROR(AGGREGATE(14,6,(Inventory!$G$6:$G$205+(205-ROW(Inventory!$G$6:$G$205))/10000)/((Inventory!$G$6:$G$205&gt;0)*(Inventory!$H$6:$H$205="Sam's Club")),13),""),(Inventory!$G$6:$G$205+(205-ROW(Inventory!$G$6:$G$205))/10000),0),""))),"")</f>
        <v/>
      </c>
      <c r="E71" s="41">
        <f>IFERROR(IF(IFERROR(AGGREGATE(14,6,(Inventory!$G$6:$G$205+(205-ROW(Inventory!$G$6:$G$205))/10000)/((Inventory!$G$6:$G$205&gt;0)*(Inventory!$H$6:$H$205="Sam's Club")),13),"")="","",INDEX(Inventory!$F$6:$F$205,IFERROR(MATCH(IFERROR(AGGREGATE(14,6,(Inventory!$G$6:$G$205+(205-ROW(Inventory!$G$6:$G$205))/10000)/((Inventory!$G$6:$G$205&gt;0)*(Inventory!$H$6:$H$205="Sam's Club")),13),""),(Inventory!$G$6:$G$205+(205-ROW(Inventory!$G$6:$G$205))/10000),0),""))),"")</f>
        <v/>
      </c>
      <c r="F71" s="41">
        <f>IFERROR(IF(IFERROR(AGGREGATE(14,6,(Inventory!$G$6:$G$205+(205-ROW(Inventory!$G$6:$G$205))/10000)/((Inventory!$G$6:$G$205&gt;0)*(Inventory!$H$6:$H$205="Sam's Club")),13),"")="","",INDEX(Inventory!$J$6:$J$205,IFERROR(MATCH(IFERROR(AGGREGATE(14,6,(Inventory!$G$6:$G$205+(205-ROW(Inventory!$G$6:$G$205))/10000)/((Inventory!$G$6:$G$205&gt;0)*(Inventory!$H$6:$H$205="Sam's Club")),13),""),(Inventory!$G$6:$G$205+(205-ROW(Inventory!$G$6:$G$205))/10000),0),""))),"")</f>
        <v/>
      </c>
      <c r="G71" s="43">
        <f>IFERROR(IF(IFERROR(AGGREGATE(14,6,(Inventory!$G$6:$G$205+(205-ROW(Inventory!$G$6:$G$205))/10000)/((Inventory!$G$6:$G$205&gt;0)*(Inventory!$H$6:$H$205="Sam's Club")),13),"")="","",INDEX(Inventory!$J$6:$J$205,IFERROR(MATCH(IFERROR(AGGREGATE(14,6,(Inventory!$G$6:$G$205+(205-ROW(Inventory!$G$6:$G$205))/10000)/((Inventory!$G$6:$G$205&gt;0)*(Inventory!$H$6:$H$205="Sam's Club")),13),""),(Inventory!$G$6:$G$205+(205-ROW(Inventory!$G$6:$G$205))/10000),0),""))*INDEX(Inventory!$I$6:$I$205,IFERROR(MATCH(IFERROR(AGGREGATE(14,6,(Inventory!$G$6:$G$205+(205-ROW(Inventory!$G$6:$G$205))/10000)/((Inventory!$G$6:$G$205&gt;0)*(Inventory!$H$6:$H$205="Sam's Club")),13),""),(Inventory!$G$6:$G$205+(205-ROW(Inventory!$G$6:$G$205))/10000),0),""))),"")</f>
        <v/>
      </c>
    </row>
    <row r="72" ht="14" customHeight="1">
      <c r="A72" s="46">
        <f>IFERROR(IF(IFERROR(AGGREGATE(14,6,(Inventory!$G$6:$G$205+(205-ROW(Inventory!$G$6:$G$205))/10000)/((Inventory!$G$6:$G$205&gt;0)*(Inventory!$H$6:$H$205="Sam's Club")),14),"")="","",INDEX(Inventory!$A$6:$A$205,IFERROR(MATCH(IFERROR(AGGREGATE(14,6,(Inventory!$G$6:$G$205+(205-ROW(Inventory!$G$6:$G$205))/10000)/((Inventory!$G$6:$G$205&gt;0)*(Inventory!$H$6:$H$205="Sam's Club")),14),""),(Inventory!$G$6:$G$205+(205-ROW(Inventory!$G$6:$G$205))/10000),0),""))),"")</f>
        <v/>
      </c>
      <c r="B72" s="46">
        <f>IFERROR(IF(IFERROR(AGGREGATE(14,6,(Inventory!$G$6:$G$205+(205-ROW(Inventory!$G$6:$G$205))/10000)/((Inventory!$G$6:$G$205&gt;0)*(Inventory!$H$6:$H$205="Sam's Club")),14),"")="","",INDEX(Inventory!$B$6:$B$205,IFERROR(MATCH(IFERROR(AGGREGATE(14,6,(Inventory!$G$6:$G$205+(205-ROW(Inventory!$G$6:$G$205))/10000)/((Inventory!$G$6:$G$205&gt;0)*(Inventory!$H$6:$H$205="Sam's Club")),14),""),(Inventory!$G$6:$G$205+(205-ROW(Inventory!$G$6:$G$205))/10000),0),""))),"")</f>
        <v/>
      </c>
      <c r="C72" s="46">
        <f>IFERROR(IF(IFERROR(AGGREGATE(14,6,(Inventory!$G$6:$G$205+(205-ROW(Inventory!$G$6:$G$205))/10000)/((Inventory!$G$6:$G$205&gt;0)*(Inventory!$H$6:$H$205="Sam's Club")),14),"")="","",INDEX(Inventory!$D$6:$D$205,IFERROR(MATCH(IFERROR(AGGREGATE(14,6,(Inventory!$G$6:$G$205+(205-ROW(Inventory!$G$6:$G$205))/10000)/((Inventory!$G$6:$G$205&gt;0)*(Inventory!$H$6:$H$205="Sam's Club")),14),""),(Inventory!$G$6:$G$205+(205-ROW(Inventory!$G$6:$G$205))/10000),0),""))),"")</f>
        <v/>
      </c>
      <c r="D72" s="41">
        <f>IFERROR(IF(IFERROR(AGGREGATE(14,6,(Inventory!$G$6:$G$205+(205-ROW(Inventory!$G$6:$G$205))/10000)/((Inventory!$G$6:$G$205&gt;0)*(Inventory!$H$6:$H$205="Sam's Club")),14),"")="","",INDEX(Inventory!$E$6:$E$205,IFERROR(MATCH(IFERROR(AGGREGATE(14,6,(Inventory!$G$6:$G$205+(205-ROW(Inventory!$G$6:$G$205))/10000)/((Inventory!$G$6:$G$205&gt;0)*(Inventory!$H$6:$H$205="Sam's Club")),14),""),(Inventory!$G$6:$G$205+(205-ROW(Inventory!$G$6:$G$205))/10000),0),""))),"")</f>
        <v/>
      </c>
      <c r="E72" s="41">
        <f>IFERROR(IF(IFERROR(AGGREGATE(14,6,(Inventory!$G$6:$G$205+(205-ROW(Inventory!$G$6:$G$205))/10000)/((Inventory!$G$6:$G$205&gt;0)*(Inventory!$H$6:$H$205="Sam's Club")),14),"")="","",INDEX(Inventory!$F$6:$F$205,IFERROR(MATCH(IFERROR(AGGREGATE(14,6,(Inventory!$G$6:$G$205+(205-ROW(Inventory!$G$6:$G$205))/10000)/((Inventory!$G$6:$G$205&gt;0)*(Inventory!$H$6:$H$205="Sam's Club")),14),""),(Inventory!$G$6:$G$205+(205-ROW(Inventory!$G$6:$G$205))/10000),0),""))),"")</f>
        <v/>
      </c>
      <c r="F72" s="41">
        <f>IFERROR(IF(IFERROR(AGGREGATE(14,6,(Inventory!$G$6:$G$205+(205-ROW(Inventory!$G$6:$G$205))/10000)/((Inventory!$G$6:$G$205&gt;0)*(Inventory!$H$6:$H$205="Sam's Club")),14),"")="","",INDEX(Inventory!$J$6:$J$205,IFERROR(MATCH(IFERROR(AGGREGATE(14,6,(Inventory!$G$6:$G$205+(205-ROW(Inventory!$G$6:$G$205))/10000)/((Inventory!$G$6:$G$205&gt;0)*(Inventory!$H$6:$H$205="Sam's Club")),14),""),(Inventory!$G$6:$G$205+(205-ROW(Inventory!$G$6:$G$205))/10000),0),""))),"")</f>
        <v/>
      </c>
      <c r="G72" s="43">
        <f>IFERROR(IF(IFERROR(AGGREGATE(14,6,(Inventory!$G$6:$G$205+(205-ROW(Inventory!$G$6:$G$205))/10000)/((Inventory!$G$6:$G$205&gt;0)*(Inventory!$H$6:$H$205="Sam's Club")),14),"")="","",INDEX(Inventory!$J$6:$J$205,IFERROR(MATCH(IFERROR(AGGREGATE(14,6,(Inventory!$G$6:$G$205+(205-ROW(Inventory!$G$6:$G$205))/10000)/((Inventory!$G$6:$G$205&gt;0)*(Inventory!$H$6:$H$205="Sam's Club")),14),""),(Inventory!$G$6:$G$205+(205-ROW(Inventory!$G$6:$G$205))/10000),0),""))*INDEX(Inventory!$I$6:$I$205,IFERROR(MATCH(IFERROR(AGGREGATE(14,6,(Inventory!$G$6:$G$205+(205-ROW(Inventory!$G$6:$G$205))/10000)/((Inventory!$G$6:$G$205&gt;0)*(Inventory!$H$6:$H$205="Sam's Club")),14),""),(Inventory!$G$6:$G$205+(205-ROW(Inventory!$G$6:$G$205))/10000),0),""))),"")</f>
        <v/>
      </c>
    </row>
    <row r="73" ht="14" customHeight="1">
      <c r="A73" s="46">
        <f>IFERROR(IF(IFERROR(AGGREGATE(14,6,(Inventory!$G$6:$G$205+(205-ROW(Inventory!$G$6:$G$205))/10000)/((Inventory!$G$6:$G$205&gt;0)*(Inventory!$H$6:$H$205="Sam's Club")),15),"")="","",INDEX(Inventory!$A$6:$A$205,IFERROR(MATCH(IFERROR(AGGREGATE(14,6,(Inventory!$G$6:$G$205+(205-ROW(Inventory!$G$6:$G$205))/10000)/((Inventory!$G$6:$G$205&gt;0)*(Inventory!$H$6:$H$205="Sam's Club")),15),""),(Inventory!$G$6:$G$205+(205-ROW(Inventory!$G$6:$G$205))/10000),0),""))),"")</f>
        <v/>
      </c>
      <c r="B73" s="46">
        <f>IFERROR(IF(IFERROR(AGGREGATE(14,6,(Inventory!$G$6:$G$205+(205-ROW(Inventory!$G$6:$G$205))/10000)/((Inventory!$G$6:$G$205&gt;0)*(Inventory!$H$6:$H$205="Sam's Club")),15),"")="","",INDEX(Inventory!$B$6:$B$205,IFERROR(MATCH(IFERROR(AGGREGATE(14,6,(Inventory!$G$6:$G$205+(205-ROW(Inventory!$G$6:$G$205))/10000)/((Inventory!$G$6:$G$205&gt;0)*(Inventory!$H$6:$H$205="Sam's Club")),15),""),(Inventory!$G$6:$G$205+(205-ROW(Inventory!$G$6:$G$205))/10000),0),""))),"")</f>
        <v/>
      </c>
      <c r="C73" s="46">
        <f>IFERROR(IF(IFERROR(AGGREGATE(14,6,(Inventory!$G$6:$G$205+(205-ROW(Inventory!$G$6:$G$205))/10000)/((Inventory!$G$6:$G$205&gt;0)*(Inventory!$H$6:$H$205="Sam's Club")),15),"")="","",INDEX(Inventory!$D$6:$D$205,IFERROR(MATCH(IFERROR(AGGREGATE(14,6,(Inventory!$G$6:$G$205+(205-ROW(Inventory!$G$6:$G$205))/10000)/((Inventory!$G$6:$G$205&gt;0)*(Inventory!$H$6:$H$205="Sam's Club")),15),""),(Inventory!$G$6:$G$205+(205-ROW(Inventory!$G$6:$G$205))/10000),0),""))),"")</f>
        <v/>
      </c>
      <c r="D73" s="41">
        <f>IFERROR(IF(IFERROR(AGGREGATE(14,6,(Inventory!$G$6:$G$205+(205-ROW(Inventory!$G$6:$G$205))/10000)/((Inventory!$G$6:$G$205&gt;0)*(Inventory!$H$6:$H$205="Sam's Club")),15),"")="","",INDEX(Inventory!$E$6:$E$205,IFERROR(MATCH(IFERROR(AGGREGATE(14,6,(Inventory!$G$6:$G$205+(205-ROW(Inventory!$G$6:$G$205))/10000)/((Inventory!$G$6:$G$205&gt;0)*(Inventory!$H$6:$H$205="Sam's Club")),15),""),(Inventory!$G$6:$G$205+(205-ROW(Inventory!$G$6:$G$205))/10000),0),""))),"")</f>
        <v/>
      </c>
      <c r="E73" s="41">
        <f>IFERROR(IF(IFERROR(AGGREGATE(14,6,(Inventory!$G$6:$G$205+(205-ROW(Inventory!$G$6:$G$205))/10000)/((Inventory!$G$6:$G$205&gt;0)*(Inventory!$H$6:$H$205="Sam's Club")),15),"")="","",INDEX(Inventory!$F$6:$F$205,IFERROR(MATCH(IFERROR(AGGREGATE(14,6,(Inventory!$G$6:$G$205+(205-ROW(Inventory!$G$6:$G$205))/10000)/((Inventory!$G$6:$G$205&gt;0)*(Inventory!$H$6:$H$205="Sam's Club")),15),""),(Inventory!$G$6:$G$205+(205-ROW(Inventory!$G$6:$G$205))/10000),0),""))),"")</f>
        <v/>
      </c>
      <c r="F73" s="41">
        <f>IFERROR(IF(IFERROR(AGGREGATE(14,6,(Inventory!$G$6:$G$205+(205-ROW(Inventory!$G$6:$G$205))/10000)/((Inventory!$G$6:$G$205&gt;0)*(Inventory!$H$6:$H$205="Sam's Club")),15),"")="","",INDEX(Inventory!$J$6:$J$205,IFERROR(MATCH(IFERROR(AGGREGATE(14,6,(Inventory!$G$6:$G$205+(205-ROW(Inventory!$G$6:$G$205))/10000)/((Inventory!$G$6:$G$205&gt;0)*(Inventory!$H$6:$H$205="Sam's Club")),15),""),(Inventory!$G$6:$G$205+(205-ROW(Inventory!$G$6:$G$205))/10000),0),""))),"")</f>
        <v/>
      </c>
      <c r="G73" s="43">
        <f>IFERROR(IF(IFERROR(AGGREGATE(14,6,(Inventory!$G$6:$G$205+(205-ROW(Inventory!$G$6:$G$205))/10000)/((Inventory!$G$6:$G$205&gt;0)*(Inventory!$H$6:$H$205="Sam's Club")),15),"")="","",INDEX(Inventory!$J$6:$J$205,IFERROR(MATCH(IFERROR(AGGREGATE(14,6,(Inventory!$G$6:$G$205+(205-ROW(Inventory!$G$6:$G$205))/10000)/((Inventory!$G$6:$G$205&gt;0)*(Inventory!$H$6:$H$205="Sam's Club")),15),""),(Inventory!$G$6:$G$205+(205-ROW(Inventory!$G$6:$G$205))/10000),0),""))*INDEX(Inventory!$I$6:$I$205,IFERROR(MATCH(IFERROR(AGGREGATE(14,6,(Inventory!$G$6:$G$205+(205-ROW(Inventory!$G$6:$G$205))/10000)/((Inventory!$G$6:$G$205&gt;0)*(Inventory!$H$6:$H$205="Sam's Club")),15),""),(Inventory!$G$6:$G$205+(205-ROW(Inventory!$G$6:$G$205))/10000),0),""))),"")</f>
        <v/>
      </c>
    </row>
    <row r="74" ht="14" customHeight="1">
      <c r="A74" s="46">
        <f>IFERROR(IF(IFERROR(AGGREGATE(14,6,(Inventory!$G$6:$G$205+(205-ROW(Inventory!$G$6:$G$205))/10000)/((Inventory!$G$6:$G$205&gt;0)*(Inventory!$H$6:$H$205="Sam's Club")),16),"")="","",INDEX(Inventory!$A$6:$A$205,IFERROR(MATCH(IFERROR(AGGREGATE(14,6,(Inventory!$G$6:$G$205+(205-ROW(Inventory!$G$6:$G$205))/10000)/((Inventory!$G$6:$G$205&gt;0)*(Inventory!$H$6:$H$205="Sam's Club")),16),""),(Inventory!$G$6:$G$205+(205-ROW(Inventory!$G$6:$G$205))/10000),0),""))),"")</f>
        <v/>
      </c>
      <c r="B74" s="46">
        <f>IFERROR(IF(IFERROR(AGGREGATE(14,6,(Inventory!$G$6:$G$205+(205-ROW(Inventory!$G$6:$G$205))/10000)/((Inventory!$G$6:$G$205&gt;0)*(Inventory!$H$6:$H$205="Sam's Club")),16),"")="","",INDEX(Inventory!$B$6:$B$205,IFERROR(MATCH(IFERROR(AGGREGATE(14,6,(Inventory!$G$6:$G$205+(205-ROW(Inventory!$G$6:$G$205))/10000)/((Inventory!$G$6:$G$205&gt;0)*(Inventory!$H$6:$H$205="Sam's Club")),16),""),(Inventory!$G$6:$G$205+(205-ROW(Inventory!$G$6:$G$205))/10000),0),""))),"")</f>
        <v/>
      </c>
      <c r="C74" s="46">
        <f>IFERROR(IF(IFERROR(AGGREGATE(14,6,(Inventory!$G$6:$G$205+(205-ROW(Inventory!$G$6:$G$205))/10000)/((Inventory!$G$6:$G$205&gt;0)*(Inventory!$H$6:$H$205="Sam's Club")),16),"")="","",INDEX(Inventory!$D$6:$D$205,IFERROR(MATCH(IFERROR(AGGREGATE(14,6,(Inventory!$G$6:$G$205+(205-ROW(Inventory!$G$6:$G$205))/10000)/((Inventory!$G$6:$G$205&gt;0)*(Inventory!$H$6:$H$205="Sam's Club")),16),""),(Inventory!$G$6:$G$205+(205-ROW(Inventory!$G$6:$G$205))/10000),0),""))),"")</f>
        <v/>
      </c>
      <c r="D74" s="41">
        <f>IFERROR(IF(IFERROR(AGGREGATE(14,6,(Inventory!$G$6:$G$205+(205-ROW(Inventory!$G$6:$G$205))/10000)/((Inventory!$G$6:$G$205&gt;0)*(Inventory!$H$6:$H$205="Sam's Club")),16),"")="","",INDEX(Inventory!$E$6:$E$205,IFERROR(MATCH(IFERROR(AGGREGATE(14,6,(Inventory!$G$6:$G$205+(205-ROW(Inventory!$G$6:$G$205))/10000)/((Inventory!$G$6:$G$205&gt;0)*(Inventory!$H$6:$H$205="Sam's Club")),16),""),(Inventory!$G$6:$G$205+(205-ROW(Inventory!$G$6:$G$205))/10000),0),""))),"")</f>
        <v/>
      </c>
      <c r="E74" s="41">
        <f>IFERROR(IF(IFERROR(AGGREGATE(14,6,(Inventory!$G$6:$G$205+(205-ROW(Inventory!$G$6:$G$205))/10000)/((Inventory!$G$6:$G$205&gt;0)*(Inventory!$H$6:$H$205="Sam's Club")),16),"")="","",INDEX(Inventory!$F$6:$F$205,IFERROR(MATCH(IFERROR(AGGREGATE(14,6,(Inventory!$G$6:$G$205+(205-ROW(Inventory!$G$6:$G$205))/10000)/((Inventory!$G$6:$G$205&gt;0)*(Inventory!$H$6:$H$205="Sam's Club")),16),""),(Inventory!$G$6:$G$205+(205-ROW(Inventory!$G$6:$G$205))/10000),0),""))),"")</f>
        <v/>
      </c>
      <c r="F74" s="41">
        <f>IFERROR(IF(IFERROR(AGGREGATE(14,6,(Inventory!$G$6:$G$205+(205-ROW(Inventory!$G$6:$G$205))/10000)/((Inventory!$G$6:$G$205&gt;0)*(Inventory!$H$6:$H$205="Sam's Club")),16),"")="","",INDEX(Inventory!$J$6:$J$205,IFERROR(MATCH(IFERROR(AGGREGATE(14,6,(Inventory!$G$6:$G$205+(205-ROW(Inventory!$G$6:$G$205))/10000)/((Inventory!$G$6:$G$205&gt;0)*(Inventory!$H$6:$H$205="Sam's Club")),16),""),(Inventory!$G$6:$G$205+(205-ROW(Inventory!$G$6:$G$205))/10000),0),""))),"")</f>
        <v/>
      </c>
      <c r="G74" s="43">
        <f>IFERROR(IF(IFERROR(AGGREGATE(14,6,(Inventory!$G$6:$G$205+(205-ROW(Inventory!$G$6:$G$205))/10000)/((Inventory!$G$6:$G$205&gt;0)*(Inventory!$H$6:$H$205="Sam's Club")),16),"")="","",INDEX(Inventory!$J$6:$J$205,IFERROR(MATCH(IFERROR(AGGREGATE(14,6,(Inventory!$G$6:$G$205+(205-ROW(Inventory!$G$6:$G$205))/10000)/((Inventory!$G$6:$G$205&gt;0)*(Inventory!$H$6:$H$205="Sam's Club")),16),""),(Inventory!$G$6:$G$205+(205-ROW(Inventory!$G$6:$G$205))/10000),0),""))*INDEX(Inventory!$I$6:$I$205,IFERROR(MATCH(IFERROR(AGGREGATE(14,6,(Inventory!$G$6:$G$205+(205-ROW(Inventory!$G$6:$G$205))/10000)/((Inventory!$G$6:$G$205&gt;0)*(Inventory!$H$6:$H$205="Sam's Club")),16),""),(Inventory!$G$6:$G$205+(205-ROW(Inventory!$G$6:$G$205))/10000),0),""))),"")</f>
        <v/>
      </c>
    </row>
    <row r="75" ht="14" customHeight="1">
      <c r="A75" s="46">
        <f>IFERROR(IF(IFERROR(AGGREGATE(14,6,(Inventory!$G$6:$G$205+(205-ROW(Inventory!$G$6:$G$205))/10000)/((Inventory!$G$6:$G$205&gt;0)*(Inventory!$H$6:$H$205="Sam's Club")),17),"")="","",INDEX(Inventory!$A$6:$A$205,IFERROR(MATCH(IFERROR(AGGREGATE(14,6,(Inventory!$G$6:$G$205+(205-ROW(Inventory!$G$6:$G$205))/10000)/((Inventory!$G$6:$G$205&gt;0)*(Inventory!$H$6:$H$205="Sam's Club")),17),""),(Inventory!$G$6:$G$205+(205-ROW(Inventory!$G$6:$G$205))/10000),0),""))),"")</f>
        <v/>
      </c>
      <c r="B75" s="46">
        <f>IFERROR(IF(IFERROR(AGGREGATE(14,6,(Inventory!$G$6:$G$205+(205-ROW(Inventory!$G$6:$G$205))/10000)/((Inventory!$G$6:$G$205&gt;0)*(Inventory!$H$6:$H$205="Sam's Club")),17),"")="","",INDEX(Inventory!$B$6:$B$205,IFERROR(MATCH(IFERROR(AGGREGATE(14,6,(Inventory!$G$6:$G$205+(205-ROW(Inventory!$G$6:$G$205))/10000)/((Inventory!$G$6:$G$205&gt;0)*(Inventory!$H$6:$H$205="Sam's Club")),17),""),(Inventory!$G$6:$G$205+(205-ROW(Inventory!$G$6:$G$205))/10000),0),""))),"")</f>
        <v/>
      </c>
      <c r="C75" s="46">
        <f>IFERROR(IF(IFERROR(AGGREGATE(14,6,(Inventory!$G$6:$G$205+(205-ROW(Inventory!$G$6:$G$205))/10000)/((Inventory!$G$6:$G$205&gt;0)*(Inventory!$H$6:$H$205="Sam's Club")),17),"")="","",INDEX(Inventory!$D$6:$D$205,IFERROR(MATCH(IFERROR(AGGREGATE(14,6,(Inventory!$G$6:$G$205+(205-ROW(Inventory!$G$6:$G$205))/10000)/((Inventory!$G$6:$G$205&gt;0)*(Inventory!$H$6:$H$205="Sam's Club")),17),""),(Inventory!$G$6:$G$205+(205-ROW(Inventory!$G$6:$G$205))/10000),0),""))),"")</f>
        <v/>
      </c>
      <c r="D75" s="41">
        <f>IFERROR(IF(IFERROR(AGGREGATE(14,6,(Inventory!$G$6:$G$205+(205-ROW(Inventory!$G$6:$G$205))/10000)/((Inventory!$G$6:$G$205&gt;0)*(Inventory!$H$6:$H$205="Sam's Club")),17),"")="","",INDEX(Inventory!$E$6:$E$205,IFERROR(MATCH(IFERROR(AGGREGATE(14,6,(Inventory!$G$6:$G$205+(205-ROW(Inventory!$G$6:$G$205))/10000)/((Inventory!$G$6:$G$205&gt;0)*(Inventory!$H$6:$H$205="Sam's Club")),17),""),(Inventory!$G$6:$G$205+(205-ROW(Inventory!$G$6:$G$205))/10000),0),""))),"")</f>
        <v/>
      </c>
      <c r="E75" s="41">
        <f>IFERROR(IF(IFERROR(AGGREGATE(14,6,(Inventory!$G$6:$G$205+(205-ROW(Inventory!$G$6:$G$205))/10000)/((Inventory!$G$6:$G$205&gt;0)*(Inventory!$H$6:$H$205="Sam's Club")),17),"")="","",INDEX(Inventory!$F$6:$F$205,IFERROR(MATCH(IFERROR(AGGREGATE(14,6,(Inventory!$G$6:$G$205+(205-ROW(Inventory!$G$6:$G$205))/10000)/((Inventory!$G$6:$G$205&gt;0)*(Inventory!$H$6:$H$205="Sam's Club")),17),""),(Inventory!$G$6:$G$205+(205-ROW(Inventory!$G$6:$G$205))/10000),0),""))),"")</f>
        <v/>
      </c>
      <c r="F75" s="41">
        <f>IFERROR(IF(IFERROR(AGGREGATE(14,6,(Inventory!$G$6:$G$205+(205-ROW(Inventory!$G$6:$G$205))/10000)/((Inventory!$G$6:$G$205&gt;0)*(Inventory!$H$6:$H$205="Sam's Club")),17),"")="","",INDEX(Inventory!$J$6:$J$205,IFERROR(MATCH(IFERROR(AGGREGATE(14,6,(Inventory!$G$6:$G$205+(205-ROW(Inventory!$G$6:$G$205))/10000)/((Inventory!$G$6:$G$205&gt;0)*(Inventory!$H$6:$H$205="Sam's Club")),17),""),(Inventory!$G$6:$G$205+(205-ROW(Inventory!$G$6:$G$205))/10000),0),""))),"")</f>
        <v/>
      </c>
      <c r="G75" s="43">
        <f>IFERROR(IF(IFERROR(AGGREGATE(14,6,(Inventory!$G$6:$G$205+(205-ROW(Inventory!$G$6:$G$205))/10000)/((Inventory!$G$6:$G$205&gt;0)*(Inventory!$H$6:$H$205="Sam's Club")),17),"")="","",INDEX(Inventory!$J$6:$J$205,IFERROR(MATCH(IFERROR(AGGREGATE(14,6,(Inventory!$G$6:$G$205+(205-ROW(Inventory!$G$6:$G$205))/10000)/((Inventory!$G$6:$G$205&gt;0)*(Inventory!$H$6:$H$205="Sam's Club")),17),""),(Inventory!$G$6:$G$205+(205-ROW(Inventory!$G$6:$G$205))/10000),0),""))*INDEX(Inventory!$I$6:$I$205,IFERROR(MATCH(IFERROR(AGGREGATE(14,6,(Inventory!$G$6:$G$205+(205-ROW(Inventory!$G$6:$G$205))/10000)/((Inventory!$G$6:$G$205&gt;0)*(Inventory!$H$6:$H$205="Sam's Club")),17),""),(Inventory!$G$6:$G$205+(205-ROW(Inventory!$G$6:$G$205))/10000),0),""))),"")</f>
        <v/>
      </c>
    </row>
    <row r="76" ht="14" customHeight="1">
      <c r="A76" s="46">
        <f>IFERROR(IF(IFERROR(AGGREGATE(14,6,(Inventory!$G$6:$G$205+(205-ROW(Inventory!$G$6:$G$205))/10000)/((Inventory!$G$6:$G$205&gt;0)*(Inventory!$H$6:$H$205="Sam's Club")),18),"")="","",INDEX(Inventory!$A$6:$A$205,IFERROR(MATCH(IFERROR(AGGREGATE(14,6,(Inventory!$G$6:$G$205+(205-ROW(Inventory!$G$6:$G$205))/10000)/((Inventory!$G$6:$G$205&gt;0)*(Inventory!$H$6:$H$205="Sam's Club")),18),""),(Inventory!$G$6:$G$205+(205-ROW(Inventory!$G$6:$G$205))/10000),0),""))),"")</f>
        <v/>
      </c>
      <c r="B76" s="46">
        <f>IFERROR(IF(IFERROR(AGGREGATE(14,6,(Inventory!$G$6:$G$205+(205-ROW(Inventory!$G$6:$G$205))/10000)/((Inventory!$G$6:$G$205&gt;0)*(Inventory!$H$6:$H$205="Sam's Club")),18),"")="","",INDEX(Inventory!$B$6:$B$205,IFERROR(MATCH(IFERROR(AGGREGATE(14,6,(Inventory!$G$6:$G$205+(205-ROW(Inventory!$G$6:$G$205))/10000)/((Inventory!$G$6:$G$205&gt;0)*(Inventory!$H$6:$H$205="Sam's Club")),18),""),(Inventory!$G$6:$G$205+(205-ROW(Inventory!$G$6:$G$205))/10000),0),""))),"")</f>
        <v/>
      </c>
      <c r="C76" s="46">
        <f>IFERROR(IF(IFERROR(AGGREGATE(14,6,(Inventory!$G$6:$G$205+(205-ROW(Inventory!$G$6:$G$205))/10000)/((Inventory!$G$6:$G$205&gt;0)*(Inventory!$H$6:$H$205="Sam's Club")),18),"")="","",INDEX(Inventory!$D$6:$D$205,IFERROR(MATCH(IFERROR(AGGREGATE(14,6,(Inventory!$G$6:$G$205+(205-ROW(Inventory!$G$6:$G$205))/10000)/((Inventory!$G$6:$G$205&gt;0)*(Inventory!$H$6:$H$205="Sam's Club")),18),""),(Inventory!$G$6:$G$205+(205-ROW(Inventory!$G$6:$G$205))/10000),0),""))),"")</f>
        <v/>
      </c>
      <c r="D76" s="41">
        <f>IFERROR(IF(IFERROR(AGGREGATE(14,6,(Inventory!$G$6:$G$205+(205-ROW(Inventory!$G$6:$G$205))/10000)/((Inventory!$G$6:$G$205&gt;0)*(Inventory!$H$6:$H$205="Sam's Club")),18),"")="","",INDEX(Inventory!$E$6:$E$205,IFERROR(MATCH(IFERROR(AGGREGATE(14,6,(Inventory!$G$6:$G$205+(205-ROW(Inventory!$G$6:$G$205))/10000)/((Inventory!$G$6:$G$205&gt;0)*(Inventory!$H$6:$H$205="Sam's Club")),18),""),(Inventory!$G$6:$G$205+(205-ROW(Inventory!$G$6:$G$205))/10000),0),""))),"")</f>
        <v/>
      </c>
      <c r="E76" s="41">
        <f>IFERROR(IF(IFERROR(AGGREGATE(14,6,(Inventory!$G$6:$G$205+(205-ROW(Inventory!$G$6:$G$205))/10000)/((Inventory!$G$6:$G$205&gt;0)*(Inventory!$H$6:$H$205="Sam's Club")),18),"")="","",INDEX(Inventory!$F$6:$F$205,IFERROR(MATCH(IFERROR(AGGREGATE(14,6,(Inventory!$G$6:$G$205+(205-ROW(Inventory!$G$6:$G$205))/10000)/((Inventory!$G$6:$G$205&gt;0)*(Inventory!$H$6:$H$205="Sam's Club")),18),""),(Inventory!$G$6:$G$205+(205-ROW(Inventory!$G$6:$G$205))/10000),0),""))),"")</f>
        <v/>
      </c>
      <c r="F76" s="41">
        <f>IFERROR(IF(IFERROR(AGGREGATE(14,6,(Inventory!$G$6:$G$205+(205-ROW(Inventory!$G$6:$G$205))/10000)/((Inventory!$G$6:$G$205&gt;0)*(Inventory!$H$6:$H$205="Sam's Club")),18),"")="","",INDEX(Inventory!$J$6:$J$205,IFERROR(MATCH(IFERROR(AGGREGATE(14,6,(Inventory!$G$6:$G$205+(205-ROW(Inventory!$G$6:$G$205))/10000)/((Inventory!$G$6:$G$205&gt;0)*(Inventory!$H$6:$H$205="Sam's Club")),18),""),(Inventory!$G$6:$G$205+(205-ROW(Inventory!$G$6:$G$205))/10000),0),""))),"")</f>
        <v/>
      </c>
      <c r="G76" s="43">
        <f>IFERROR(IF(IFERROR(AGGREGATE(14,6,(Inventory!$G$6:$G$205+(205-ROW(Inventory!$G$6:$G$205))/10000)/((Inventory!$G$6:$G$205&gt;0)*(Inventory!$H$6:$H$205="Sam's Club")),18),"")="","",INDEX(Inventory!$J$6:$J$205,IFERROR(MATCH(IFERROR(AGGREGATE(14,6,(Inventory!$G$6:$G$205+(205-ROW(Inventory!$G$6:$G$205))/10000)/((Inventory!$G$6:$G$205&gt;0)*(Inventory!$H$6:$H$205="Sam's Club")),18),""),(Inventory!$G$6:$G$205+(205-ROW(Inventory!$G$6:$G$205))/10000),0),""))*INDEX(Inventory!$I$6:$I$205,IFERROR(MATCH(IFERROR(AGGREGATE(14,6,(Inventory!$G$6:$G$205+(205-ROW(Inventory!$G$6:$G$205))/10000)/((Inventory!$G$6:$G$205&gt;0)*(Inventory!$H$6:$H$205="Sam's Club")),18),""),(Inventory!$G$6:$G$205+(205-ROW(Inventory!$G$6:$G$205))/10000),0),""))),"")</f>
        <v/>
      </c>
    </row>
    <row r="77" ht="14" customHeight="1">
      <c r="A77" s="46">
        <f>IFERROR(IF(IFERROR(AGGREGATE(14,6,(Inventory!$G$6:$G$205+(205-ROW(Inventory!$G$6:$G$205))/10000)/((Inventory!$G$6:$G$205&gt;0)*(Inventory!$H$6:$H$205="Sam's Club")),19),"")="","",INDEX(Inventory!$A$6:$A$205,IFERROR(MATCH(IFERROR(AGGREGATE(14,6,(Inventory!$G$6:$G$205+(205-ROW(Inventory!$G$6:$G$205))/10000)/((Inventory!$G$6:$G$205&gt;0)*(Inventory!$H$6:$H$205="Sam's Club")),19),""),(Inventory!$G$6:$G$205+(205-ROW(Inventory!$G$6:$G$205))/10000),0),""))),"")</f>
        <v/>
      </c>
      <c r="B77" s="46">
        <f>IFERROR(IF(IFERROR(AGGREGATE(14,6,(Inventory!$G$6:$G$205+(205-ROW(Inventory!$G$6:$G$205))/10000)/((Inventory!$G$6:$G$205&gt;0)*(Inventory!$H$6:$H$205="Sam's Club")),19),"")="","",INDEX(Inventory!$B$6:$B$205,IFERROR(MATCH(IFERROR(AGGREGATE(14,6,(Inventory!$G$6:$G$205+(205-ROW(Inventory!$G$6:$G$205))/10000)/((Inventory!$G$6:$G$205&gt;0)*(Inventory!$H$6:$H$205="Sam's Club")),19),""),(Inventory!$G$6:$G$205+(205-ROW(Inventory!$G$6:$G$205))/10000),0),""))),"")</f>
        <v/>
      </c>
      <c r="C77" s="46">
        <f>IFERROR(IF(IFERROR(AGGREGATE(14,6,(Inventory!$G$6:$G$205+(205-ROW(Inventory!$G$6:$G$205))/10000)/((Inventory!$G$6:$G$205&gt;0)*(Inventory!$H$6:$H$205="Sam's Club")),19),"")="","",INDEX(Inventory!$D$6:$D$205,IFERROR(MATCH(IFERROR(AGGREGATE(14,6,(Inventory!$G$6:$G$205+(205-ROW(Inventory!$G$6:$G$205))/10000)/((Inventory!$G$6:$G$205&gt;0)*(Inventory!$H$6:$H$205="Sam's Club")),19),""),(Inventory!$G$6:$G$205+(205-ROW(Inventory!$G$6:$G$205))/10000),0),""))),"")</f>
        <v/>
      </c>
      <c r="D77" s="41">
        <f>IFERROR(IF(IFERROR(AGGREGATE(14,6,(Inventory!$G$6:$G$205+(205-ROW(Inventory!$G$6:$G$205))/10000)/((Inventory!$G$6:$G$205&gt;0)*(Inventory!$H$6:$H$205="Sam's Club")),19),"")="","",INDEX(Inventory!$E$6:$E$205,IFERROR(MATCH(IFERROR(AGGREGATE(14,6,(Inventory!$G$6:$G$205+(205-ROW(Inventory!$G$6:$G$205))/10000)/((Inventory!$G$6:$G$205&gt;0)*(Inventory!$H$6:$H$205="Sam's Club")),19),""),(Inventory!$G$6:$G$205+(205-ROW(Inventory!$G$6:$G$205))/10000),0),""))),"")</f>
        <v/>
      </c>
      <c r="E77" s="41">
        <f>IFERROR(IF(IFERROR(AGGREGATE(14,6,(Inventory!$G$6:$G$205+(205-ROW(Inventory!$G$6:$G$205))/10000)/((Inventory!$G$6:$G$205&gt;0)*(Inventory!$H$6:$H$205="Sam's Club")),19),"")="","",INDEX(Inventory!$F$6:$F$205,IFERROR(MATCH(IFERROR(AGGREGATE(14,6,(Inventory!$G$6:$G$205+(205-ROW(Inventory!$G$6:$G$205))/10000)/((Inventory!$G$6:$G$205&gt;0)*(Inventory!$H$6:$H$205="Sam's Club")),19),""),(Inventory!$G$6:$G$205+(205-ROW(Inventory!$G$6:$G$205))/10000),0),""))),"")</f>
        <v/>
      </c>
      <c r="F77" s="41">
        <f>IFERROR(IF(IFERROR(AGGREGATE(14,6,(Inventory!$G$6:$G$205+(205-ROW(Inventory!$G$6:$G$205))/10000)/((Inventory!$G$6:$G$205&gt;0)*(Inventory!$H$6:$H$205="Sam's Club")),19),"")="","",INDEX(Inventory!$J$6:$J$205,IFERROR(MATCH(IFERROR(AGGREGATE(14,6,(Inventory!$G$6:$G$205+(205-ROW(Inventory!$G$6:$G$205))/10000)/((Inventory!$G$6:$G$205&gt;0)*(Inventory!$H$6:$H$205="Sam's Club")),19),""),(Inventory!$G$6:$G$205+(205-ROW(Inventory!$G$6:$G$205))/10000),0),""))),"")</f>
        <v/>
      </c>
      <c r="G77" s="43">
        <f>IFERROR(IF(IFERROR(AGGREGATE(14,6,(Inventory!$G$6:$G$205+(205-ROW(Inventory!$G$6:$G$205))/10000)/((Inventory!$G$6:$G$205&gt;0)*(Inventory!$H$6:$H$205="Sam's Club")),19),"")="","",INDEX(Inventory!$J$6:$J$205,IFERROR(MATCH(IFERROR(AGGREGATE(14,6,(Inventory!$G$6:$G$205+(205-ROW(Inventory!$G$6:$G$205))/10000)/((Inventory!$G$6:$G$205&gt;0)*(Inventory!$H$6:$H$205="Sam's Club")),19),""),(Inventory!$G$6:$G$205+(205-ROW(Inventory!$G$6:$G$205))/10000),0),""))*INDEX(Inventory!$I$6:$I$205,IFERROR(MATCH(IFERROR(AGGREGATE(14,6,(Inventory!$G$6:$G$205+(205-ROW(Inventory!$G$6:$G$205))/10000)/((Inventory!$G$6:$G$205&gt;0)*(Inventory!$H$6:$H$205="Sam's Club")),19),""),(Inventory!$G$6:$G$205+(205-ROW(Inventory!$G$6:$G$205))/10000),0),""))),"")</f>
        <v/>
      </c>
    </row>
    <row r="78" ht="14" customHeight="1">
      <c r="A78" s="46">
        <f>IFERROR(IF(IFERROR(AGGREGATE(14,6,(Inventory!$G$6:$G$205+(205-ROW(Inventory!$G$6:$G$205))/10000)/((Inventory!$G$6:$G$205&gt;0)*(Inventory!$H$6:$H$205="Sam's Club")),20),"")="","",INDEX(Inventory!$A$6:$A$205,IFERROR(MATCH(IFERROR(AGGREGATE(14,6,(Inventory!$G$6:$G$205+(205-ROW(Inventory!$G$6:$G$205))/10000)/((Inventory!$G$6:$G$205&gt;0)*(Inventory!$H$6:$H$205="Sam's Club")),20),""),(Inventory!$G$6:$G$205+(205-ROW(Inventory!$G$6:$G$205))/10000),0),""))),"")</f>
        <v/>
      </c>
      <c r="B78" s="46">
        <f>IFERROR(IF(IFERROR(AGGREGATE(14,6,(Inventory!$G$6:$G$205+(205-ROW(Inventory!$G$6:$G$205))/10000)/((Inventory!$G$6:$G$205&gt;0)*(Inventory!$H$6:$H$205="Sam's Club")),20),"")="","",INDEX(Inventory!$B$6:$B$205,IFERROR(MATCH(IFERROR(AGGREGATE(14,6,(Inventory!$G$6:$G$205+(205-ROW(Inventory!$G$6:$G$205))/10000)/((Inventory!$G$6:$G$205&gt;0)*(Inventory!$H$6:$H$205="Sam's Club")),20),""),(Inventory!$G$6:$G$205+(205-ROW(Inventory!$G$6:$G$205))/10000),0),""))),"")</f>
        <v/>
      </c>
      <c r="C78" s="46">
        <f>IFERROR(IF(IFERROR(AGGREGATE(14,6,(Inventory!$G$6:$G$205+(205-ROW(Inventory!$G$6:$G$205))/10000)/((Inventory!$G$6:$G$205&gt;0)*(Inventory!$H$6:$H$205="Sam's Club")),20),"")="","",INDEX(Inventory!$D$6:$D$205,IFERROR(MATCH(IFERROR(AGGREGATE(14,6,(Inventory!$G$6:$G$205+(205-ROW(Inventory!$G$6:$G$205))/10000)/((Inventory!$G$6:$G$205&gt;0)*(Inventory!$H$6:$H$205="Sam's Club")),20),""),(Inventory!$G$6:$G$205+(205-ROW(Inventory!$G$6:$G$205))/10000),0),""))),"")</f>
        <v/>
      </c>
      <c r="D78" s="41">
        <f>IFERROR(IF(IFERROR(AGGREGATE(14,6,(Inventory!$G$6:$G$205+(205-ROW(Inventory!$G$6:$G$205))/10000)/((Inventory!$G$6:$G$205&gt;0)*(Inventory!$H$6:$H$205="Sam's Club")),20),"")="","",INDEX(Inventory!$E$6:$E$205,IFERROR(MATCH(IFERROR(AGGREGATE(14,6,(Inventory!$G$6:$G$205+(205-ROW(Inventory!$G$6:$G$205))/10000)/((Inventory!$G$6:$G$205&gt;0)*(Inventory!$H$6:$H$205="Sam's Club")),20),""),(Inventory!$G$6:$G$205+(205-ROW(Inventory!$G$6:$G$205))/10000),0),""))),"")</f>
        <v/>
      </c>
      <c r="E78" s="41">
        <f>IFERROR(IF(IFERROR(AGGREGATE(14,6,(Inventory!$G$6:$G$205+(205-ROW(Inventory!$G$6:$G$205))/10000)/((Inventory!$G$6:$G$205&gt;0)*(Inventory!$H$6:$H$205="Sam's Club")),20),"")="","",INDEX(Inventory!$F$6:$F$205,IFERROR(MATCH(IFERROR(AGGREGATE(14,6,(Inventory!$G$6:$G$205+(205-ROW(Inventory!$G$6:$G$205))/10000)/((Inventory!$G$6:$G$205&gt;0)*(Inventory!$H$6:$H$205="Sam's Club")),20),""),(Inventory!$G$6:$G$205+(205-ROW(Inventory!$G$6:$G$205))/10000),0),""))),"")</f>
        <v/>
      </c>
      <c r="F78" s="41">
        <f>IFERROR(IF(IFERROR(AGGREGATE(14,6,(Inventory!$G$6:$G$205+(205-ROW(Inventory!$G$6:$G$205))/10000)/((Inventory!$G$6:$G$205&gt;0)*(Inventory!$H$6:$H$205="Sam's Club")),20),"")="","",INDEX(Inventory!$J$6:$J$205,IFERROR(MATCH(IFERROR(AGGREGATE(14,6,(Inventory!$G$6:$G$205+(205-ROW(Inventory!$G$6:$G$205))/10000)/((Inventory!$G$6:$G$205&gt;0)*(Inventory!$H$6:$H$205="Sam's Club")),20),""),(Inventory!$G$6:$G$205+(205-ROW(Inventory!$G$6:$G$205))/10000),0),""))),"")</f>
        <v/>
      </c>
      <c r="G78" s="43">
        <f>IFERROR(IF(IFERROR(AGGREGATE(14,6,(Inventory!$G$6:$G$205+(205-ROW(Inventory!$G$6:$G$205))/10000)/((Inventory!$G$6:$G$205&gt;0)*(Inventory!$H$6:$H$205="Sam's Club")),20),"")="","",INDEX(Inventory!$J$6:$J$205,IFERROR(MATCH(IFERROR(AGGREGATE(14,6,(Inventory!$G$6:$G$205+(205-ROW(Inventory!$G$6:$G$205))/10000)/((Inventory!$G$6:$G$205&gt;0)*(Inventory!$H$6:$H$205="Sam's Club")),20),""),(Inventory!$G$6:$G$205+(205-ROW(Inventory!$G$6:$G$205))/10000),0),""))*INDEX(Inventory!$I$6:$I$205,IFERROR(MATCH(IFERROR(AGGREGATE(14,6,(Inventory!$G$6:$G$205+(205-ROW(Inventory!$G$6:$G$205))/10000)/((Inventory!$G$6:$G$205&gt;0)*(Inventory!$H$6:$H$205="Sam's Club")),20),""),(Inventory!$G$6:$G$205+(205-ROW(Inventory!$G$6:$G$205))/10000),0),""))),"")</f>
        <v/>
      </c>
    </row>
    <row r="79" ht="20" customHeight="1">
      <c r="A79" s="48" t="inlineStr">
        <is>
          <t>Sam's Club order total:</t>
        </is>
      </c>
      <c r="G79" s="49">
        <f>SUMPRODUCT((Inventory!H6:H205="Sam's Club")*(Inventory!G6:G205&gt;0)*Inventory!J6:J205*Inventory!I6:I205)</f>
        <v/>
      </c>
    </row>
    <row r="81" ht="22" customHeight="1">
      <c r="A81" s="47">
        <f>"LOCAL  ·  "&amp;COUNTIFS(Inventory!H6:H205,"Local",Inventory!G6:G205,"&gt;0")&amp;" item(s) below par"</f>
        <v/>
      </c>
    </row>
    <row r="82" ht="6" customHeight="1"/>
    <row r="83" ht="18" customHeight="1">
      <c r="A83" s="38" t="inlineStr">
        <is>
          <t>SKU</t>
        </is>
      </c>
      <c r="B83" s="38" t="inlineStr">
        <is>
          <t>Item</t>
        </is>
      </c>
      <c r="C83" s="38" t="inlineStr">
        <is>
          <t>Property</t>
        </is>
      </c>
      <c r="D83" s="38" t="inlineStr">
        <is>
          <t>Par</t>
        </is>
      </c>
      <c r="E83" s="38" t="inlineStr">
        <is>
          <t>On-hand</t>
        </is>
      </c>
      <c r="F83" s="38" t="inlineStr">
        <is>
          <t>Reorder qty</t>
        </is>
      </c>
      <c r="G83" s="38" t="inlineStr">
        <is>
          <t>Subtotal $</t>
        </is>
      </c>
    </row>
    <row r="84" ht="14" customHeight="1">
      <c r="A84" s="46">
        <f>IFERROR(IF(IFERROR(AGGREGATE(14,6,(Inventory!$G$6:$G$205+(205-ROW(Inventory!$G$6:$G$205))/10000)/((Inventory!$G$6:$G$205&gt;0)*(Inventory!$H$6:$H$205="Local")),1),"")="","",INDEX(Inventory!$A$6:$A$205,IFERROR(MATCH(IFERROR(AGGREGATE(14,6,(Inventory!$G$6:$G$205+(205-ROW(Inventory!$G$6:$G$205))/10000)/((Inventory!$G$6:$G$205&gt;0)*(Inventory!$H$6:$H$205="Local")),1),""),(Inventory!$G$6:$G$205+(205-ROW(Inventory!$G$6:$G$205))/10000),0),""))),"")</f>
        <v/>
      </c>
      <c r="B84" s="46">
        <f>IFERROR(IF(IFERROR(AGGREGATE(14,6,(Inventory!$G$6:$G$205+(205-ROW(Inventory!$G$6:$G$205))/10000)/((Inventory!$G$6:$G$205&gt;0)*(Inventory!$H$6:$H$205="Local")),1),"")="","",INDEX(Inventory!$B$6:$B$205,IFERROR(MATCH(IFERROR(AGGREGATE(14,6,(Inventory!$G$6:$G$205+(205-ROW(Inventory!$G$6:$G$205))/10000)/((Inventory!$G$6:$G$205&gt;0)*(Inventory!$H$6:$H$205="Local")),1),""),(Inventory!$G$6:$G$205+(205-ROW(Inventory!$G$6:$G$205))/10000),0),""))),"")</f>
        <v/>
      </c>
      <c r="C84" s="46">
        <f>IFERROR(IF(IFERROR(AGGREGATE(14,6,(Inventory!$G$6:$G$205+(205-ROW(Inventory!$G$6:$G$205))/10000)/((Inventory!$G$6:$G$205&gt;0)*(Inventory!$H$6:$H$205="Local")),1),"")="","",INDEX(Inventory!$D$6:$D$205,IFERROR(MATCH(IFERROR(AGGREGATE(14,6,(Inventory!$G$6:$G$205+(205-ROW(Inventory!$G$6:$G$205))/10000)/((Inventory!$G$6:$G$205&gt;0)*(Inventory!$H$6:$H$205="Local")),1),""),(Inventory!$G$6:$G$205+(205-ROW(Inventory!$G$6:$G$205))/10000),0),""))),"")</f>
        <v/>
      </c>
      <c r="D84" s="41">
        <f>IFERROR(IF(IFERROR(AGGREGATE(14,6,(Inventory!$G$6:$G$205+(205-ROW(Inventory!$G$6:$G$205))/10000)/((Inventory!$G$6:$G$205&gt;0)*(Inventory!$H$6:$H$205="Local")),1),"")="","",INDEX(Inventory!$E$6:$E$205,IFERROR(MATCH(IFERROR(AGGREGATE(14,6,(Inventory!$G$6:$G$205+(205-ROW(Inventory!$G$6:$G$205))/10000)/((Inventory!$G$6:$G$205&gt;0)*(Inventory!$H$6:$H$205="Local")),1),""),(Inventory!$G$6:$G$205+(205-ROW(Inventory!$G$6:$G$205))/10000),0),""))),"")</f>
        <v/>
      </c>
      <c r="E84" s="41">
        <f>IFERROR(IF(IFERROR(AGGREGATE(14,6,(Inventory!$G$6:$G$205+(205-ROW(Inventory!$G$6:$G$205))/10000)/((Inventory!$G$6:$G$205&gt;0)*(Inventory!$H$6:$H$205="Local")),1),"")="","",INDEX(Inventory!$F$6:$F$205,IFERROR(MATCH(IFERROR(AGGREGATE(14,6,(Inventory!$G$6:$G$205+(205-ROW(Inventory!$G$6:$G$205))/10000)/((Inventory!$G$6:$G$205&gt;0)*(Inventory!$H$6:$H$205="Local")),1),""),(Inventory!$G$6:$G$205+(205-ROW(Inventory!$G$6:$G$205))/10000),0),""))),"")</f>
        <v/>
      </c>
      <c r="F84" s="41">
        <f>IFERROR(IF(IFERROR(AGGREGATE(14,6,(Inventory!$G$6:$G$205+(205-ROW(Inventory!$G$6:$G$205))/10000)/((Inventory!$G$6:$G$205&gt;0)*(Inventory!$H$6:$H$205="Local")),1),"")="","",INDEX(Inventory!$J$6:$J$205,IFERROR(MATCH(IFERROR(AGGREGATE(14,6,(Inventory!$G$6:$G$205+(205-ROW(Inventory!$G$6:$G$205))/10000)/((Inventory!$G$6:$G$205&gt;0)*(Inventory!$H$6:$H$205="Local")),1),""),(Inventory!$G$6:$G$205+(205-ROW(Inventory!$G$6:$G$205))/10000),0),""))),"")</f>
        <v/>
      </c>
      <c r="G84" s="43">
        <f>IFERROR(IF(IFERROR(AGGREGATE(14,6,(Inventory!$G$6:$G$205+(205-ROW(Inventory!$G$6:$G$205))/10000)/((Inventory!$G$6:$G$205&gt;0)*(Inventory!$H$6:$H$205="Local")),1),"")="","",INDEX(Inventory!$J$6:$J$205,IFERROR(MATCH(IFERROR(AGGREGATE(14,6,(Inventory!$G$6:$G$205+(205-ROW(Inventory!$G$6:$G$205))/10000)/((Inventory!$G$6:$G$205&gt;0)*(Inventory!$H$6:$H$205="Local")),1),""),(Inventory!$G$6:$G$205+(205-ROW(Inventory!$G$6:$G$205))/10000),0),""))*INDEX(Inventory!$I$6:$I$205,IFERROR(MATCH(IFERROR(AGGREGATE(14,6,(Inventory!$G$6:$G$205+(205-ROW(Inventory!$G$6:$G$205))/10000)/((Inventory!$G$6:$G$205&gt;0)*(Inventory!$H$6:$H$205="Local")),1),""),(Inventory!$G$6:$G$205+(205-ROW(Inventory!$G$6:$G$205))/10000),0),""))),"")</f>
        <v/>
      </c>
    </row>
    <row r="85" ht="14" customHeight="1">
      <c r="A85" s="46">
        <f>IFERROR(IF(IFERROR(AGGREGATE(14,6,(Inventory!$G$6:$G$205+(205-ROW(Inventory!$G$6:$G$205))/10000)/((Inventory!$G$6:$G$205&gt;0)*(Inventory!$H$6:$H$205="Local")),2),"")="","",INDEX(Inventory!$A$6:$A$205,IFERROR(MATCH(IFERROR(AGGREGATE(14,6,(Inventory!$G$6:$G$205+(205-ROW(Inventory!$G$6:$G$205))/10000)/((Inventory!$G$6:$G$205&gt;0)*(Inventory!$H$6:$H$205="Local")),2),""),(Inventory!$G$6:$G$205+(205-ROW(Inventory!$G$6:$G$205))/10000),0),""))),"")</f>
        <v/>
      </c>
      <c r="B85" s="46">
        <f>IFERROR(IF(IFERROR(AGGREGATE(14,6,(Inventory!$G$6:$G$205+(205-ROW(Inventory!$G$6:$G$205))/10000)/((Inventory!$G$6:$G$205&gt;0)*(Inventory!$H$6:$H$205="Local")),2),"")="","",INDEX(Inventory!$B$6:$B$205,IFERROR(MATCH(IFERROR(AGGREGATE(14,6,(Inventory!$G$6:$G$205+(205-ROW(Inventory!$G$6:$G$205))/10000)/((Inventory!$G$6:$G$205&gt;0)*(Inventory!$H$6:$H$205="Local")),2),""),(Inventory!$G$6:$G$205+(205-ROW(Inventory!$G$6:$G$205))/10000),0),""))),"")</f>
        <v/>
      </c>
      <c r="C85" s="46">
        <f>IFERROR(IF(IFERROR(AGGREGATE(14,6,(Inventory!$G$6:$G$205+(205-ROW(Inventory!$G$6:$G$205))/10000)/((Inventory!$G$6:$G$205&gt;0)*(Inventory!$H$6:$H$205="Local")),2),"")="","",INDEX(Inventory!$D$6:$D$205,IFERROR(MATCH(IFERROR(AGGREGATE(14,6,(Inventory!$G$6:$G$205+(205-ROW(Inventory!$G$6:$G$205))/10000)/((Inventory!$G$6:$G$205&gt;0)*(Inventory!$H$6:$H$205="Local")),2),""),(Inventory!$G$6:$G$205+(205-ROW(Inventory!$G$6:$G$205))/10000),0),""))),"")</f>
        <v/>
      </c>
      <c r="D85" s="41">
        <f>IFERROR(IF(IFERROR(AGGREGATE(14,6,(Inventory!$G$6:$G$205+(205-ROW(Inventory!$G$6:$G$205))/10000)/((Inventory!$G$6:$G$205&gt;0)*(Inventory!$H$6:$H$205="Local")),2),"")="","",INDEX(Inventory!$E$6:$E$205,IFERROR(MATCH(IFERROR(AGGREGATE(14,6,(Inventory!$G$6:$G$205+(205-ROW(Inventory!$G$6:$G$205))/10000)/((Inventory!$G$6:$G$205&gt;0)*(Inventory!$H$6:$H$205="Local")),2),""),(Inventory!$G$6:$G$205+(205-ROW(Inventory!$G$6:$G$205))/10000),0),""))),"")</f>
        <v/>
      </c>
      <c r="E85" s="41">
        <f>IFERROR(IF(IFERROR(AGGREGATE(14,6,(Inventory!$G$6:$G$205+(205-ROW(Inventory!$G$6:$G$205))/10000)/((Inventory!$G$6:$G$205&gt;0)*(Inventory!$H$6:$H$205="Local")),2),"")="","",INDEX(Inventory!$F$6:$F$205,IFERROR(MATCH(IFERROR(AGGREGATE(14,6,(Inventory!$G$6:$G$205+(205-ROW(Inventory!$G$6:$G$205))/10000)/((Inventory!$G$6:$G$205&gt;0)*(Inventory!$H$6:$H$205="Local")),2),""),(Inventory!$G$6:$G$205+(205-ROW(Inventory!$G$6:$G$205))/10000),0),""))),"")</f>
        <v/>
      </c>
      <c r="F85" s="41">
        <f>IFERROR(IF(IFERROR(AGGREGATE(14,6,(Inventory!$G$6:$G$205+(205-ROW(Inventory!$G$6:$G$205))/10000)/((Inventory!$G$6:$G$205&gt;0)*(Inventory!$H$6:$H$205="Local")),2),"")="","",INDEX(Inventory!$J$6:$J$205,IFERROR(MATCH(IFERROR(AGGREGATE(14,6,(Inventory!$G$6:$G$205+(205-ROW(Inventory!$G$6:$G$205))/10000)/((Inventory!$G$6:$G$205&gt;0)*(Inventory!$H$6:$H$205="Local")),2),""),(Inventory!$G$6:$G$205+(205-ROW(Inventory!$G$6:$G$205))/10000),0),""))),"")</f>
        <v/>
      </c>
      <c r="G85" s="43">
        <f>IFERROR(IF(IFERROR(AGGREGATE(14,6,(Inventory!$G$6:$G$205+(205-ROW(Inventory!$G$6:$G$205))/10000)/((Inventory!$G$6:$G$205&gt;0)*(Inventory!$H$6:$H$205="Local")),2),"")="","",INDEX(Inventory!$J$6:$J$205,IFERROR(MATCH(IFERROR(AGGREGATE(14,6,(Inventory!$G$6:$G$205+(205-ROW(Inventory!$G$6:$G$205))/10000)/((Inventory!$G$6:$G$205&gt;0)*(Inventory!$H$6:$H$205="Local")),2),""),(Inventory!$G$6:$G$205+(205-ROW(Inventory!$G$6:$G$205))/10000),0),""))*INDEX(Inventory!$I$6:$I$205,IFERROR(MATCH(IFERROR(AGGREGATE(14,6,(Inventory!$G$6:$G$205+(205-ROW(Inventory!$G$6:$G$205))/10000)/((Inventory!$G$6:$G$205&gt;0)*(Inventory!$H$6:$H$205="Local")),2),""),(Inventory!$G$6:$G$205+(205-ROW(Inventory!$G$6:$G$205))/10000),0),""))),"")</f>
        <v/>
      </c>
    </row>
    <row r="86" ht="14" customHeight="1">
      <c r="A86" s="46">
        <f>IFERROR(IF(IFERROR(AGGREGATE(14,6,(Inventory!$G$6:$G$205+(205-ROW(Inventory!$G$6:$G$205))/10000)/((Inventory!$G$6:$G$205&gt;0)*(Inventory!$H$6:$H$205="Local")),3),"")="","",INDEX(Inventory!$A$6:$A$205,IFERROR(MATCH(IFERROR(AGGREGATE(14,6,(Inventory!$G$6:$G$205+(205-ROW(Inventory!$G$6:$G$205))/10000)/((Inventory!$G$6:$G$205&gt;0)*(Inventory!$H$6:$H$205="Local")),3),""),(Inventory!$G$6:$G$205+(205-ROW(Inventory!$G$6:$G$205))/10000),0),""))),"")</f>
        <v/>
      </c>
      <c r="B86" s="46">
        <f>IFERROR(IF(IFERROR(AGGREGATE(14,6,(Inventory!$G$6:$G$205+(205-ROW(Inventory!$G$6:$G$205))/10000)/((Inventory!$G$6:$G$205&gt;0)*(Inventory!$H$6:$H$205="Local")),3),"")="","",INDEX(Inventory!$B$6:$B$205,IFERROR(MATCH(IFERROR(AGGREGATE(14,6,(Inventory!$G$6:$G$205+(205-ROW(Inventory!$G$6:$G$205))/10000)/((Inventory!$G$6:$G$205&gt;0)*(Inventory!$H$6:$H$205="Local")),3),""),(Inventory!$G$6:$G$205+(205-ROW(Inventory!$G$6:$G$205))/10000),0),""))),"")</f>
        <v/>
      </c>
      <c r="C86" s="46">
        <f>IFERROR(IF(IFERROR(AGGREGATE(14,6,(Inventory!$G$6:$G$205+(205-ROW(Inventory!$G$6:$G$205))/10000)/((Inventory!$G$6:$G$205&gt;0)*(Inventory!$H$6:$H$205="Local")),3),"")="","",INDEX(Inventory!$D$6:$D$205,IFERROR(MATCH(IFERROR(AGGREGATE(14,6,(Inventory!$G$6:$G$205+(205-ROW(Inventory!$G$6:$G$205))/10000)/((Inventory!$G$6:$G$205&gt;0)*(Inventory!$H$6:$H$205="Local")),3),""),(Inventory!$G$6:$G$205+(205-ROW(Inventory!$G$6:$G$205))/10000),0),""))),"")</f>
        <v/>
      </c>
      <c r="D86" s="41">
        <f>IFERROR(IF(IFERROR(AGGREGATE(14,6,(Inventory!$G$6:$G$205+(205-ROW(Inventory!$G$6:$G$205))/10000)/((Inventory!$G$6:$G$205&gt;0)*(Inventory!$H$6:$H$205="Local")),3),"")="","",INDEX(Inventory!$E$6:$E$205,IFERROR(MATCH(IFERROR(AGGREGATE(14,6,(Inventory!$G$6:$G$205+(205-ROW(Inventory!$G$6:$G$205))/10000)/((Inventory!$G$6:$G$205&gt;0)*(Inventory!$H$6:$H$205="Local")),3),""),(Inventory!$G$6:$G$205+(205-ROW(Inventory!$G$6:$G$205))/10000),0),""))),"")</f>
        <v/>
      </c>
      <c r="E86" s="41">
        <f>IFERROR(IF(IFERROR(AGGREGATE(14,6,(Inventory!$G$6:$G$205+(205-ROW(Inventory!$G$6:$G$205))/10000)/((Inventory!$G$6:$G$205&gt;0)*(Inventory!$H$6:$H$205="Local")),3),"")="","",INDEX(Inventory!$F$6:$F$205,IFERROR(MATCH(IFERROR(AGGREGATE(14,6,(Inventory!$G$6:$G$205+(205-ROW(Inventory!$G$6:$G$205))/10000)/((Inventory!$G$6:$G$205&gt;0)*(Inventory!$H$6:$H$205="Local")),3),""),(Inventory!$G$6:$G$205+(205-ROW(Inventory!$G$6:$G$205))/10000),0),""))),"")</f>
        <v/>
      </c>
      <c r="F86" s="41">
        <f>IFERROR(IF(IFERROR(AGGREGATE(14,6,(Inventory!$G$6:$G$205+(205-ROW(Inventory!$G$6:$G$205))/10000)/((Inventory!$G$6:$G$205&gt;0)*(Inventory!$H$6:$H$205="Local")),3),"")="","",INDEX(Inventory!$J$6:$J$205,IFERROR(MATCH(IFERROR(AGGREGATE(14,6,(Inventory!$G$6:$G$205+(205-ROW(Inventory!$G$6:$G$205))/10000)/((Inventory!$G$6:$G$205&gt;0)*(Inventory!$H$6:$H$205="Local")),3),""),(Inventory!$G$6:$G$205+(205-ROW(Inventory!$G$6:$G$205))/10000),0),""))),"")</f>
        <v/>
      </c>
      <c r="G86" s="43">
        <f>IFERROR(IF(IFERROR(AGGREGATE(14,6,(Inventory!$G$6:$G$205+(205-ROW(Inventory!$G$6:$G$205))/10000)/((Inventory!$G$6:$G$205&gt;0)*(Inventory!$H$6:$H$205="Local")),3),"")="","",INDEX(Inventory!$J$6:$J$205,IFERROR(MATCH(IFERROR(AGGREGATE(14,6,(Inventory!$G$6:$G$205+(205-ROW(Inventory!$G$6:$G$205))/10000)/((Inventory!$G$6:$G$205&gt;0)*(Inventory!$H$6:$H$205="Local")),3),""),(Inventory!$G$6:$G$205+(205-ROW(Inventory!$G$6:$G$205))/10000),0),""))*INDEX(Inventory!$I$6:$I$205,IFERROR(MATCH(IFERROR(AGGREGATE(14,6,(Inventory!$G$6:$G$205+(205-ROW(Inventory!$G$6:$G$205))/10000)/((Inventory!$G$6:$G$205&gt;0)*(Inventory!$H$6:$H$205="Local")),3),""),(Inventory!$G$6:$G$205+(205-ROW(Inventory!$G$6:$G$205))/10000),0),""))),"")</f>
        <v/>
      </c>
    </row>
    <row r="87" ht="14" customHeight="1">
      <c r="A87" s="46">
        <f>IFERROR(IF(IFERROR(AGGREGATE(14,6,(Inventory!$G$6:$G$205+(205-ROW(Inventory!$G$6:$G$205))/10000)/((Inventory!$G$6:$G$205&gt;0)*(Inventory!$H$6:$H$205="Local")),4),"")="","",INDEX(Inventory!$A$6:$A$205,IFERROR(MATCH(IFERROR(AGGREGATE(14,6,(Inventory!$G$6:$G$205+(205-ROW(Inventory!$G$6:$G$205))/10000)/((Inventory!$G$6:$G$205&gt;0)*(Inventory!$H$6:$H$205="Local")),4),""),(Inventory!$G$6:$G$205+(205-ROW(Inventory!$G$6:$G$205))/10000),0),""))),"")</f>
        <v/>
      </c>
      <c r="B87" s="46">
        <f>IFERROR(IF(IFERROR(AGGREGATE(14,6,(Inventory!$G$6:$G$205+(205-ROW(Inventory!$G$6:$G$205))/10000)/((Inventory!$G$6:$G$205&gt;0)*(Inventory!$H$6:$H$205="Local")),4),"")="","",INDEX(Inventory!$B$6:$B$205,IFERROR(MATCH(IFERROR(AGGREGATE(14,6,(Inventory!$G$6:$G$205+(205-ROW(Inventory!$G$6:$G$205))/10000)/((Inventory!$G$6:$G$205&gt;0)*(Inventory!$H$6:$H$205="Local")),4),""),(Inventory!$G$6:$G$205+(205-ROW(Inventory!$G$6:$G$205))/10000),0),""))),"")</f>
        <v/>
      </c>
      <c r="C87" s="46">
        <f>IFERROR(IF(IFERROR(AGGREGATE(14,6,(Inventory!$G$6:$G$205+(205-ROW(Inventory!$G$6:$G$205))/10000)/((Inventory!$G$6:$G$205&gt;0)*(Inventory!$H$6:$H$205="Local")),4),"")="","",INDEX(Inventory!$D$6:$D$205,IFERROR(MATCH(IFERROR(AGGREGATE(14,6,(Inventory!$G$6:$G$205+(205-ROW(Inventory!$G$6:$G$205))/10000)/((Inventory!$G$6:$G$205&gt;0)*(Inventory!$H$6:$H$205="Local")),4),""),(Inventory!$G$6:$G$205+(205-ROW(Inventory!$G$6:$G$205))/10000),0),""))),"")</f>
        <v/>
      </c>
      <c r="D87" s="41">
        <f>IFERROR(IF(IFERROR(AGGREGATE(14,6,(Inventory!$G$6:$G$205+(205-ROW(Inventory!$G$6:$G$205))/10000)/((Inventory!$G$6:$G$205&gt;0)*(Inventory!$H$6:$H$205="Local")),4),"")="","",INDEX(Inventory!$E$6:$E$205,IFERROR(MATCH(IFERROR(AGGREGATE(14,6,(Inventory!$G$6:$G$205+(205-ROW(Inventory!$G$6:$G$205))/10000)/((Inventory!$G$6:$G$205&gt;0)*(Inventory!$H$6:$H$205="Local")),4),""),(Inventory!$G$6:$G$205+(205-ROW(Inventory!$G$6:$G$205))/10000),0),""))),"")</f>
        <v/>
      </c>
      <c r="E87" s="41">
        <f>IFERROR(IF(IFERROR(AGGREGATE(14,6,(Inventory!$G$6:$G$205+(205-ROW(Inventory!$G$6:$G$205))/10000)/((Inventory!$G$6:$G$205&gt;0)*(Inventory!$H$6:$H$205="Local")),4),"")="","",INDEX(Inventory!$F$6:$F$205,IFERROR(MATCH(IFERROR(AGGREGATE(14,6,(Inventory!$G$6:$G$205+(205-ROW(Inventory!$G$6:$G$205))/10000)/((Inventory!$G$6:$G$205&gt;0)*(Inventory!$H$6:$H$205="Local")),4),""),(Inventory!$G$6:$G$205+(205-ROW(Inventory!$G$6:$G$205))/10000),0),""))),"")</f>
        <v/>
      </c>
      <c r="F87" s="41">
        <f>IFERROR(IF(IFERROR(AGGREGATE(14,6,(Inventory!$G$6:$G$205+(205-ROW(Inventory!$G$6:$G$205))/10000)/((Inventory!$G$6:$G$205&gt;0)*(Inventory!$H$6:$H$205="Local")),4),"")="","",INDEX(Inventory!$J$6:$J$205,IFERROR(MATCH(IFERROR(AGGREGATE(14,6,(Inventory!$G$6:$G$205+(205-ROW(Inventory!$G$6:$G$205))/10000)/((Inventory!$G$6:$G$205&gt;0)*(Inventory!$H$6:$H$205="Local")),4),""),(Inventory!$G$6:$G$205+(205-ROW(Inventory!$G$6:$G$205))/10000),0),""))),"")</f>
        <v/>
      </c>
      <c r="G87" s="43">
        <f>IFERROR(IF(IFERROR(AGGREGATE(14,6,(Inventory!$G$6:$G$205+(205-ROW(Inventory!$G$6:$G$205))/10000)/((Inventory!$G$6:$G$205&gt;0)*(Inventory!$H$6:$H$205="Local")),4),"")="","",INDEX(Inventory!$J$6:$J$205,IFERROR(MATCH(IFERROR(AGGREGATE(14,6,(Inventory!$G$6:$G$205+(205-ROW(Inventory!$G$6:$G$205))/10000)/((Inventory!$G$6:$G$205&gt;0)*(Inventory!$H$6:$H$205="Local")),4),""),(Inventory!$G$6:$G$205+(205-ROW(Inventory!$G$6:$G$205))/10000),0),""))*INDEX(Inventory!$I$6:$I$205,IFERROR(MATCH(IFERROR(AGGREGATE(14,6,(Inventory!$G$6:$G$205+(205-ROW(Inventory!$G$6:$G$205))/10000)/((Inventory!$G$6:$G$205&gt;0)*(Inventory!$H$6:$H$205="Local")),4),""),(Inventory!$G$6:$G$205+(205-ROW(Inventory!$G$6:$G$205))/10000),0),""))),"")</f>
        <v/>
      </c>
    </row>
    <row r="88" ht="14" customHeight="1">
      <c r="A88" s="46">
        <f>IFERROR(IF(IFERROR(AGGREGATE(14,6,(Inventory!$G$6:$G$205+(205-ROW(Inventory!$G$6:$G$205))/10000)/((Inventory!$G$6:$G$205&gt;0)*(Inventory!$H$6:$H$205="Local")),5),"")="","",INDEX(Inventory!$A$6:$A$205,IFERROR(MATCH(IFERROR(AGGREGATE(14,6,(Inventory!$G$6:$G$205+(205-ROW(Inventory!$G$6:$G$205))/10000)/((Inventory!$G$6:$G$205&gt;0)*(Inventory!$H$6:$H$205="Local")),5),""),(Inventory!$G$6:$G$205+(205-ROW(Inventory!$G$6:$G$205))/10000),0),""))),"")</f>
        <v/>
      </c>
      <c r="B88" s="46">
        <f>IFERROR(IF(IFERROR(AGGREGATE(14,6,(Inventory!$G$6:$G$205+(205-ROW(Inventory!$G$6:$G$205))/10000)/((Inventory!$G$6:$G$205&gt;0)*(Inventory!$H$6:$H$205="Local")),5),"")="","",INDEX(Inventory!$B$6:$B$205,IFERROR(MATCH(IFERROR(AGGREGATE(14,6,(Inventory!$G$6:$G$205+(205-ROW(Inventory!$G$6:$G$205))/10000)/((Inventory!$G$6:$G$205&gt;0)*(Inventory!$H$6:$H$205="Local")),5),""),(Inventory!$G$6:$G$205+(205-ROW(Inventory!$G$6:$G$205))/10000),0),""))),"")</f>
        <v/>
      </c>
      <c r="C88" s="46">
        <f>IFERROR(IF(IFERROR(AGGREGATE(14,6,(Inventory!$G$6:$G$205+(205-ROW(Inventory!$G$6:$G$205))/10000)/((Inventory!$G$6:$G$205&gt;0)*(Inventory!$H$6:$H$205="Local")),5),"")="","",INDEX(Inventory!$D$6:$D$205,IFERROR(MATCH(IFERROR(AGGREGATE(14,6,(Inventory!$G$6:$G$205+(205-ROW(Inventory!$G$6:$G$205))/10000)/((Inventory!$G$6:$G$205&gt;0)*(Inventory!$H$6:$H$205="Local")),5),""),(Inventory!$G$6:$G$205+(205-ROW(Inventory!$G$6:$G$205))/10000),0),""))),"")</f>
        <v/>
      </c>
      <c r="D88" s="41">
        <f>IFERROR(IF(IFERROR(AGGREGATE(14,6,(Inventory!$G$6:$G$205+(205-ROW(Inventory!$G$6:$G$205))/10000)/((Inventory!$G$6:$G$205&gt;0)*(Inventory!$H$6:$H$205="Local")),5),"")="","",INDEX(Inventory!$E$6:$E$205,IFERROR(MATCH(IFERROR(AGGREGATE(14,6,(Inventory!$G$6:$G$205+(205-ROW(Inventory!$G$6:$G$205))/10000)/((Inventory!$G$6:$G$205&gt;0)*(Inventory!$H$6:$H$205="Local")),5),""),(Inventory!$G$6:$G$205+(205-ROW(Inventory!$G$6:$G$205))/10000),0),""))),"")</f>
        <v/>
      </c>
      <c r="E88" s="41">
        <f>IFERROR(IF(IFERROR(AGGREGATE(14,6,(Inventory!$G$6:$G$205+(205-ROW(Inventory!$G$6:$G$205))/10000)/((Inventory!$G$6:$G$205&gt;0)*(Inventory!$H$6:$H$205="Local")),5),"")="","",INDEX(Inventory!$F$6:$F$205,IFERROR(MATCH(IFERROR(AGGREGATE(14,6,(Inventory!$G$6:$G$205+(205-ROW(Inventory!$G$6:$G$205))/10000)/((Inventory!$G$6:$G$205&gt;0)*(Inventory!$H$6:$H$205="Local")),5),""),(Inventory!$G$6:$G$205+(205-ROW(Inventory!$G$6:$G$205))/10000),0),""))),"")</f>
        <v/>
      </c>
      <c r="F88" s="41">
        <f>IFERROR(IF(IFERROR(AGGREGATE(14,6,(Inventory!$G$6:$G$205+(205-ROW(Inventory!$G$6:$G$205))/10000)/((Inventory!$G$6:$G$205&gt;0)*(Inventory!$H$6:$H$205="Local")),5),"")="","",INDEX(Inventory!$J$6:$J$205,IFERROR(MATCH(IFERROR(AGGREGATE(14,6,(Inventory!$G$6:$G$205+(205-ROW(Inventory!$G$6:$G$205))/10000)/((Inventory!$G$6:$G$205&gt;0)*(Inventory!$H$6:$H$205="Local")),5),""),(Inventory!$G$6:$G$205+(205-ROW(Inventory!$G$6:$G$205))/10000),0),""))),"")</f>
        <v/>
      </c>
      <c r="G88" s="43">
        <f>IFERROR(IF(IFERROR(AGGREGATE(14,6,(Inventory!$G$6:$G$205+(205-ROW(Inventory!$G$6:$G$205))/10000)/((Inventory!$G$6:$G$205&gt;0)*(Inventory!$H$6:$H$205="Local")),5),"")="","",INDEX(Inventory!$J$6:$J$205,IFERROR(MATCH(IFERROR(AGGREGATE(14,6,(Inventory!$G$6:$G$205+(205-ROW(Inventory!$G$6:$G$205))/10000)/((Inventory!$G$6:$G$205&gt;0)*(Inventory!$H$6:$H$205="Local")),5),""),(Inventory!$G$6:$G$205+(205-ROW(Inventory!$G$6:$G$205))/10000),0),""))*INDEX(Inventory!$I$6:$I$205,IFERROR(MATCH(IFERROR(AGGREGATE(14,6,(Inventory!$G$6:$G$205+(205-ROW(Inventory!$G$6:$G$205))/10000)/((Inventory!$G$6:$G$205&gt;0)*(Inventory!$H$6:$H$205="Local")),5),""),(Inventory!$G$6:$G$205+(205-ROW(Inventory!$G$6:$G$205))/10000),0),""))),"")</f>
        <v/>
      </c>
    </row>
    <row r="89" ht="14" customHeight="1">
      <c r="A89" s="46">
        <f>IFERROR(IF(IFERROR(AGGREGATE(14,6,(Inventory!$G$6:$G$205+(205-ROW(Inventory!$G$6:$G$205))/10000)/((Inventory!$G$6:$G$205&gt;0)*(Inventory!$H$6:$H$205="Local")),6),"")="","",INDEX(Inventory!$A$6:$A$205,IFERROR(MATCH(IFERROR(AGGREGATE(14,6,(Inventory!$G$6:$G$205+(205-ROW(Inventory!$G$6:$G$205))/10000)/((Inventory!$G$6:$G$205&gt;0)*(Inventory!$H$6:$H$205="Local")),6),""),(Inventory!$G$6:$G$205+(205-ROW(Inventory!$G$6:$G$205))/10000),0),""))),"")</f>
        <v/>
      </c>
      <c r="B89" s="46">
        <f>IFERROR(IF(IFERROR(AGGREGATE(14,6,(Inventory!$G$6:$G$205+(205-ROW(Inventory!$G$6:$G$205))/10000)/((Inventory!$G$6:$G$205&gt;0)*(Inventory!$H$6:$H$205="Local")),6),"")="","",INDEX(Inventory!$B$6:$B$205,IFERROR(MATCH(IFERROR(AGGREGATE(14,6,(Inventory!$G$6:$G$205+(205-ROW(Inventory!$G$6:$G$205))/10000)/((Inventory!$G$6:$G$205&gt;0)*(Inventory!$H$6:$H$205="Local")),6),""),(Inventory!$G$6:$G$205+(205-ROW(Inventory!$G$6:$G$205))/10000),0),""))),"")</f>
        <v/>
      </c>
      <c r="C89" s="46">
        <f>IFERROR(IF(IFERROR(AGGREGATE(14,6,(Inventory!$G$6:$G$205+(205-ROW(Inventory!$G$6:$G$205))/10000)/((Inventory!$G$6:$G$205&gt;0)*(Inventory!$H$6:$H$205="Local")),6),"")="","",INDEX(Inventory!$D$6:$D$205,IFERROR(MATCH(IFERROR(AGGREGATE(14,6,(Inventory!$G$6:$G$205+(205-ROW(Inventory!$G$6:$G$205))/10000)/((Inventory!$G$6:$G$205&gt;0)*(Inventory!$H$6:$H$205="Local")),6),""),(Inventory!$G$6:$G$205+(205-ROW(Inventory!$G$6:$G$205))/10000),0),""))),"")</f>
        <v/>
      </c>
      <c r="D89" s="41">
        <f>IFERROR(IF(IFERROR(AGGREGATE(14,6,(Inventory!$G$6:$G$205+(205-ROW(Inventory!$G$6:$G$205))/10000)/((Inventory!$G$6:$G$205&gt;0)*(Inventory!$H$6:$H$205="Local")),6),"")="","",INDEX(Inventory!$E$6:$E$205,IFERROR(MATCH(IFERROR(AGGREGATE(14,6,(Inventory!$G$6:$G$205+(205-ROW(Inventory!$G$6:$G$205))/10000)/((Inventory!$G$6:$G$205&gt;0)*(Inventory!$H$6:$H$205="Local")),6),""),(Inventory!$G$6:$G$205+(205-ROW(Inventory!$G$6:$G$205))/10000),0),""))),"")</f>
        <v/>
      </c>
      <c r="E89" s="41">
        <f>IFERROR(IF(IFERROR(AGGREGATE(14,6,(Inventory!$G$6:$G$205+(205-ROW(Inventory!$G$6:$G$205))/10000)/((Inventory!$G$6:$G$205&gt;0)*(Inventory!$H$6:$H$205="Local")),6),"")="","",INDEX(Inventory!$F$6:$F$205,IFERROR(MATCH(IFERROR(AGGREGATE(14,6,(Inventory!$G$6:$G$205+(205-ROW(Inventory!$G$6:$G$205))/10000)/((Inventory!$G$6:$G$205&gt;0)*(Inventory!$H$6:$H$205="Local")),6),""),(Inventory!$G$6:$G$205+(205-ROW(Inventory!$G$6:$G$205))/10000),0),""))),"")</f>
        <v/>
      </c>
      <c r="F89" s="41">
        <f>IFERROR(IF(IFERROR(AGGREGATE(14,6,(Inventory!$G$6:$G$205+(205-ROW(Inventory!$G$6:$G$205))/10000)/((Inventory!$G$6:$G$205&gt;0)*(Inventory!$H$6:$H$205="Local")),6),"")="","",INDEX(Inventory!$J$6:$J$205,IFERROR(MATCH(IFERROR(AGGREGATE(14,6,(Inventory!$G$6:$G$205+(205-ROW(Inventory!$G$6:$G$205))/10000)/((Inventory!$G$6:$G$205&gt;0)*(Inventory!$H$6:$H$205="Local")),6),""),(Inventory!$G$6:$G$205+(205-ROW(Inventory!$G$6:$G$205))/10000),0),""))),"")</f>
        <v/>
      </c>
      <c r="G89" s="43">
        <f>IFERROR(IF(IFERROR(AGGREGATE(14,6,(Inventory!$G$6:$G$205+(205-ROW(Inventory!$G$6:$G$205))/10000)/((Inventory!$G$6:$G$205&gt;0)*(Inventory!$H$6:$H$205="Local")),6),"")="","",INDEX(Inventory!$J$6:$J$205,IFERROR(MATCH(IFERROR(AGGREGATE(14,6,(Inventory!$G$6:$G$205+(205-ROW(Inventory!$G$6:$G$205))/10000)/((Inventory!$G$6:$G$205&gt;0)*(Inventory!$H$6:$H$205="Local")),6),""),(Inventory!$G$6:$G$205+(205-ROW(Inventory!$G$6:$G$205))/10000),0),""))*INDEX(Inventory!$I$6:$I$205,IFERROR(MATCH(IFERROR(AGGREGATE(14,6,(Inventory!$G$6:$G$205+(205-ROW(Inventory!$G$6:$G$205))/10000)/((Inventory!$G$6:$G$205&gt;0)*(Inventory!$H$6:$H$205="Local")),6),""),(Inventory!$G$6:$G$205+(205-ROW(Inventory!$G$6:$G$205))/10000),0),""))),"")</f>
        <v/>
      </c>
    </row>
    <row r="90" ht="14" customHeight="1">
      <c r="A90" s="46">
        <f>IFERROR(IF(IFERROR(AGGREGATE(14,6,(Inventory!$G$6:$G$205+(205-ROW(Inventory!$G$6:$G$205))/10000)/((Inventory!$G$6:$G$205&gt;0)*(Inventory!$H$6:$H$205="Local")),7),"")="","",INDEX(Inventory!$A$6:$A$205,IFERROR(MATCH(IFERROR(AGGREGATE(14,6,(Inventory!$G$6:$G$205+(205-ROW(Inventory!$G$6:$G$205))/10000)/((Inventory!$G$6:$G$205&gt;0)*(Inventory!$H$6:$H$205="Local")),7),""),(Inventory!$G$6:$G$205+(205-ROW(Inventory!$G$6:$G$205))/10000),0),""))),"")</f>
        <v/>
      </c>
      <c r="B90" s="46">
        <f>IFERROR(IF(IFERROR(AGGREGATE(14,6,(Inventory!$G$6:$G$205+(205-ROW(Inventory!$G$6:$G$205))/10000)/((Inventory!$G$6:$G$205&gt;0)*(Inventory!$H$6:$H$205="Local")),7),"")="","",INDEX(Inventory!$B$6:$B$205,IFERROR(MATCH(IFERROR(AGGREGATE(14,6,(Inventory!$G$6:$G$205+(205-ROW(Inventory!$G$6:$G$205))/10000)/((Inventory!$G$6:$G$205&gt;0)*(Inventory!$H$6:$H$205="Local")),7),""),(Inventory!$G$6:$G$205+(205-ROW(Inventory!$G$6:$G$205))/10000),0),""))),"")</f>
        <v/>
      </c>
      <c r="C90" s="46">
        <f>IFERROR(IF(IFERROR(AGGREGATE(14,6,(Inventory!$G$6:$G$205+(205-ROW(Inventory!$G$6:$G$205))/10000)/((Inventory!$G$6:$G$205&gt;0)*(Inventory!$H$6:$H$205="Local")),7),"")="","",INDEX(Inventory!$D$6:$D$205,IFERROR(MATCH(IFERROR(AGGREGATE(14,6,(Inventory!$G$6:$G$205+(205-ROW(Inventory!$G$6:$G$205))/10000)/((Inventory!$G$6:$G$205&gt;0)*(Inventory!$H$6:$H$205="Local")),7),""),(Inventory!$G$6:$G$205+(205-ROW(Inventory!$G$6:$G$205))/10000),0),""))),"")</f>
        <v/>
      </c>
      <c r="D90" s="41">
        <f>IFERROR(IF(IFERROR(AGGREGATE(14,6,(Inventory!$G$6:$G$205+(205-ROW(Inventory!$G$6:$G$205))/10000)/((Inventory!$G$6:$G$205&gt;0)*(Inventory!$H$6:$H$205="Local")),7),"")="","",INDEX(Inventory!$E$6:$E$205,IFERROR(MATCH(IFERROR(AGGREGATE(14,6,(Inventory!$G$6:$G$205+(205-ROW(Inventory!$G$6:$G$205))/10000)/((Inventory!$G$6:$G$205&gt;0)*(Inventory!$H$6:$H$205="Local")),7),""),(Inventory!$G$6:$G$205+(205-ROW(Inventory!$G$6:$G$205))/10000),0),""))),"")</f>
        <v/>
      </c>
      <c r="E90" s="41">
        <f>IFERROR(IF(IFERROR(AGGREGATE(14,6,(Inventory!$G$6:$G$205+(205-ROW(Inventory!$G$6:$G$205))/10000)/((Inventory!$G$6:$G$205&gt;0)*(Inventory!$H$6:$H$205="Local")),7),"")="","",INDEX(Inventory!$F$6:$F$205,IFERROR(MATCH(IFERROR(AGGREGATE(14,6,(Inventory!$G$6:$G$205+(205-ROW(Inventory!$G$6:$G$205))/10000)/((Inventory!$G$6:$G$205&gt;0)*(Inventory!$H$6:$H$205="Local")),7),""),(Inventory!$G$6:$G$205+(205-ROW(Inventory!$G$6:$G$205))/10000),0),""))),"")</f>
        <v/>
      </c>
      <c r="F90" s="41">
        <f>IFERROR(IF(IFERROR(AGGREGATE(14,6,(Inventory!$G$6:$G$205+(205-ROW(Inventory!$G$6:$G$205))/10000)/((Inventory!$G$6:$G$205&gt;0)*(Inventory!$H$6:$H$205="Local")),7),"")="","",INDEX(Inventory!$J$6:$J$205,IFERROR(MATCH(IFERROR(AGGREGATE(14,6,(Inventory!$G$6:$G$205+(205-ROW(Inventory!$G$6:$G$205))/10000)/((Inventory!$G$6:$G$205&gt;0)*(Inventory!$H$6:$H$205="Local")),7),""),(Inventory!$G$6:$G$205+(205-ROW(Inventory!$G$6:$G$205))/10000),0),""))),"")</f>
        <v/>
      </c>
      <c r="G90" s="43">
        <f>IFERROR(IF(IFERROR(AGGREGATE(14,6,(Inventory!$G$6:$G$205+(205-ROW(Inventory!$G$6:$G$205))/10000)/((Inventory!$G$6:$G$205&gt;0)*(Inventory!$H$6:$H$205="Local")),7),"")="","",INDEX(Inventory!$J$6:$J$205,IFERROR(MATCH(IFERROR(AGGREGATE(14,6,(Inventory!$G$6:$G$205+(205-ROW(Inventory!$G$6:$G$205))/10000)/((Inventory!$G$6:$G$205&gt;0)*(Inventory!$H$6:$H$205="Local")),7),""),(Inventory!$G$6:$G$205+(205-ROW(Inventory!$G$6:$G$205))/10000),0),""))*INDEX(Inventory!$I$6:$I$205,IFERROR(MATCH(IFERROR(AGGREGATE(14,6,(Inventory!$G$6:$G$205+(205-ROW(Inventory!$G$6:$G$205))/10000)/((Inventory!$G$6:$G$205&gt;0)*(Inventory!$H$6:$H$205="Local")),7),""),(Inventory!$G$6:$G$205+(205-ROW(Inventory!$G$6:$G$205))/10000),0),""))),"")</f>
        <v/>
      </c>
    </row>
    <row r="91" ht="14" customHeight="1">
      <c r="A91" s="46">
        <f>IFERROR(IF(IFERROR(AGGREGATE(14,6,(Inventory!$G$6:$G$205+(205-ROW(Inventory!$G$6:$G$205))/10000)/((Inventory!$G$6:$G$205&gt;0)*(Inventory!$H$6:$H$205="Local")),8),"")="","",INDEX(Inventory!$A$6:$A$205,IFERROR(MATCH(IFERROR(AGGREGATE(14,6,(Inventory!$G$6:$G$205+(205-ROW(Inventory!$G$6:$G$205))/10000)/((Inventory!$G$6:$G$205&gt;0)*(Inventory!$H$6:$H$205="Local")),8),""),(Inventory!$G$6:$G$205+(205-ROW(Inventory!$G$6:$G$205))/10000),0),""))),"")</f>
        <v/>
      </c>
      <c r="B91" s="46">
        <f>IFERROR(IF(IFERROR(AGGREGATE(14,6,(Inventory!$G$6:$G$205+(205-ROW(Inventory!$G$6:$G$205))/10000)/((Inventory!$G$6:$G$205&gt;0)*(Inventory!$H$6:$H$205="Local")),8),"")="","",INDEX(Inventory!$B$6:$B$205,IFERROR(MATCH(IFERROR(AGGREGATE(14,6,(Inventory!$G$6:$G$205+(205-ROW(Inventory!$G$6:$G$205))/10000)/((Inventory!$G$6:$G$205&gt;0)*(Inventory!$H$6:$H$205="Local")),8),""),(Inventory!$G$6:$G$205+(205-ROW(Inventory!$G$6:$G$205))/10000),0),""))),"")</f>
        <v/>
      </c>
      <c r="C91" s="46">
        <f>IFERROR(IF(IFERROR(AGGREGATE(14,6,(Inventory!$G$6:$G$205+(205-ROW(Inventory!$G$6:$G$205))/10000)/((Inventory!$G$6:$G$205&gt;0)*(Inventory!$H$6:$H$205="Local")),8),"")="","",INDEX(Inventory!$D$6:$D$205,IFERROR(MATCH(IFERROR(AGGREGATE(14,6,(Inventory!$G$6:$G$205+(205-ROW(Inventory!$G$6:$G$205))/10000)/((Inventory!$G$6:$G$205&gt;0)*(Inventory!$H$6:$H$205="Local")),8),""),(Inventory!$G$6:$G$205+(205-ROW(Inventory!$G$6:$G$205))/10000),0),""))),"")</f>
        <v/>
      </c>
      <c r="D91" s="41">
        <f>IFERROR(IF(IFERROR(AGGREGATE(14,6,(Inventory!$G$6:$G$205+(205-ROW(Inventory!$G$6:$G$205))/10000)/((Inventory!$G$6:$G$205&gt;0)*(Inventory!$H$6:$H$205="Local")),8),"")="","",INDEX(Inventory!$E$6:$E$205,IFERROR(MATCH(IFERROR(AGGREGATE(14,6,(Inventory!$G$6:$G$205+(205-ROW(Inventory!$G$6:$G$205))/10000)/((Inventory!$G$6:$G$205&gt;0)*(Inventory!$H$6:$H$205="Local")),8),""),(Inventory!$G$6:$G$205+(205-ROW(Inventory!$G$6:$G$205))/10000),0),""))),"")</f>
        <v/>
      </c>
      <c r="E91" s="41">
        <f>IFERROR(IF(IFERROR(AGGREGATE(14,6,(Inventory!$G$6:$G$205+(205-ROW(Inventory!$G$6:$G$205))/10000)/((Inventory!$G$6:$G$205&gt;0)*(Inventory!$H$6:$H$205="Local")),8),"")="","",INDEX(Inventory!$F$6:$F$205,IFERROR(MATCH(IFERROR(AGGREGATE(14,6,(Inventory!$G$6:$G$205+(205-ROW(Inventory!$G$6:$G$205))/10000)/((Inventory!$G$6:$G$205&gt;0)*(Inventory!$H$6:$H$205="Local")),8),""),(Inventory!$G$6:$G$205+(205-ROW(Inventory!$G$6:$G$205))/10000),0),""))),"")</f>
        <v/>
      </c>
      <c r="F91" s="41">
        <f>IFERROR(IF(IFERROR(AGGREGATE(14,6,(Inventory!$G$6:$G$205+(205-ROW(Inventory!$G$6:$G$205))/10000)/((Inventory!$G$6:$G$205&gt;0)*(Inventory!$H$6:$H$205="Local")),8),"")="","",INDEX(Inventory!$J$6:$J$205,IFERROR(MATCH(IFERROR(AGGREGATE(14,6,(Inventory!$G$6:$G$205+(205-ROW(Inventory!$G$6:$G$205))/10000)/((Inventory!$G$6:$G$205&gt;0)*(Inventory!$H$6:$H$205="Local")),8),""),(Inventory!$G$6:$G$205+(205-ROW(Inventory!$G$6:$G$205))/10000),0),""))),"")</f>
        <v/>
      </c>
      <c r="G91" s="43">
        <f>IFERROR(IF(IFERROR(AGGREGATE(14,6,(Inventory!$G$6:$G$205+(205-ROW(Inventory!$G$6:$G$205))/10000)/((Inventory!$G$6:$G$205&gt;0)*(Inventory!$H$6:$H$205="Local")),8),"")="","",INDEX(Inventory!$J$6:$J$205,IFERROR(MATCH(IFERROR(AGGREGATE(14,6,(Inventory!$G$6:$G$205+(205-ROW(Inventory!$G$6:$G$205))/10000)/((Inventory!$G$6:$G$205&gt;0)*(Inventory!$H$6:$H$205="Local")),8),""),(Inventory!$G$6:$G$205+(205-ROW(Inventory!$G$6:$G$205))/10000),0),""))*INDEX(Inventory!$I$6:$I$205,IFERROR(MATCH(IFERROR(AGGREGATE(14,6,(Inventory!$G$6:$G$205+(205-ROW(Inventory!$G$6:$G$205))/10000)/((Inventory!$G$6:$G$205&gt;0)*(Inventory!$H$6:$H$205="Local")),8),""),(Inventory!$G$6:$G$205+(205-ROW(Inventory!$G$6:$G$205))/10000),0),""))),"")</f>
        <v/>
      </c>
    </row>
    <row r="92" ht="14" customHeight="1">
      <c r="A92" s="46">
        <f>IFERROR(IF(IFERROR(AGGREGATE(14,6,(Inventory!$G$6:$G$205+(205-ROW(Inventory!$G$6:$G$205))/10000)/((Inventory!$G$6:$G$205&gt;0)*(Inventory!$H$6:$H$205="Local")),9),"")="","",INDEX(Inventory!$A$6:$A$205,IFERROR(MATCH(IFERROR(AGGREGATE(14,6,(Inventory!$G$6:$G$205+(205-ROW(Inventory!$G$6:$G$205))/10000)/((Inventory!$G$6:$G$205&gt;0)*(Inventory!$H$6:$H$205="Local")),9),""),(Inventory!$G$6:$G$205+(205-ROW(Inventory!$G$6:$G$205))/10000),0),""))),"")</f>
        <v/>
      </c>
      <c r="B92" s="46">
        <f>IFERROR(IF(IFERROR(AGGREGATE(14,6,(Inventory!$G$6:$G$205+(205-ROW(Inventory!$G$6:$G$205))/10000)/((Inventory!$G$6:$G$205&gt;0)*(Inventory!$H$6:$H$205="Local")),9),"")="","",INDEX(Inventory!$B$6:$B$205,IFERROR(MATCH(IFERROR(AGGREGATE(14,6,(Inventory!$G$6:$G$205+(205-ROW(Inventory!$G$6:$G$205))/10000)/((Inventory!$G$6:$G$205&gt;0)*(Inventory!$H$6:$H$205="Local")),9),""),(Inventory!$G$6:$G$205+(205-ROW(Inventory!$G$6:$G$205))/10000),0),""))),"")</f>
        <v/>
      </c>
      <c r="C92" s="46">
        <f>IFERROR(IF(IFERROR(AGGREGATE(14,6,(Inventory!$G$6:$G$205+(205-ROW(Inventory!$G$6:$G$205))/10000)/((Inventory!$G$6:$G$205&gt;0)*(Inventory!$H$6:$H$205="Local")),9),"")="","",INDEX(Inventory!$D$6:$D$205,IFERROR(MATCH(IFERROR(AGGREGATE(14,6,(Inventory!$G$6:$G$205+(205-ROW(Inventory!$G$6:$G$205))/10000)/((Inventory!$G$6:$G$205&gt;0)*(Inventory!$H$6:$H$205="Local")),9),""),(Inventory!$G$6:$G$205+(205-ROW(Inventory!$G$6:$G$205))/10000),0),""))),"")</f>
        <v/>
      </c>
      <c r="D92" s="41">
        <f>IFERROR(IF(IFERROR(AGGREGATE(14,6,(Inventory!$G$6:$G$205+(205-ROW(Inventory!$G$6:$G$205))/10000)/((Inventory!$G$6:$G$205&gt;0)*(Inventory!$H$6:$H$205="Local")),9),"")="","",INDEX(Inventory!$E$6:$E$205,IFERROR(MATCH(IFERROR(AGGREGATE(14,6,(Inventory!$G$6:$G$205+(205-ROW(Inventory!$G$6:$G$205))/10000)/((Inventory!$G$6:$G$205&gt;0)*(Inventory!$H$6:$H$205="Local")),9),""),(Inventory!$G$6:$G$205+(205-ROW(Inventory!$G$6:$G$205))/10000),0),""))),"")</f>
        <v/>
      </c>
      <c r="E92" s="41">
        <f>IFERROR(IF(IFERROR(AGGREGATE(14,6,(Inventory!$G$6:$G$205+(205-ROW(Inventory!$G$6:$G$205))/10000)/((Inventory!$G$6:$G$205&gt;0)*(Inventory!$H$6:$H$205="Local")),9),"")="","",INDEX(Inventory!$F$6:$F$205,IFERROR(MATCH(IFERROR(AGGREGATE(14,6,(Inventory!$G$6:$G$205+(205-ROW(Inventory!$G$6:$G$205))/10000)/((Inventory!$G$6:$G$205&gt;0)*(Inventory!$H$6:$H$205="Local")),9),""),(Inventory!$G$6:$G$205+(205-ROW(Inventory!$G$6:$G$205))/10000),0),""))),"")</f>
        <v/>
      </c>
      <c r="F92" s="41">
        <f>IFERROR(IF(IFERROR(AGGREGATE(14,6,(Inventory!$G$6:$G$205+(205-ROW(Inventory!$G$6:$G$205))/10000)/((Inventory!$G$6:$G$205&gt;0)*(Inventory!$H$6:$H$205="Local")),9),"")="","",INDEX(Inventory!$J$6:$J$205,IFERROR(MATCH(IFERROR(AGGREGATE(14,6,(Inventory!$G$6:$G$205+(205-ROW(Inventory!$G$6:$G$205))/10000)/((Inventory!$G$6:$G$205&gt;0)*(Inventory!$H$6:$H$205="Local")),9),""),(Inventory!$G$6:$G$205+(205-ROW(Inventory!$G$6:$G$205))/10000),0),""))),"")</f>
        <v/>
      </c>
      <c r="G92" s="43">
        <f>IFERROR(IF(IFERROR(AGGREGATE(14,6,(Inventory!$G$6:$G$205+(205-ROW(Inventory!$G$6:$G$205))/10000)/((Inventory!$G$6:$G$205&gt;0)*(Inventory!$H$6:$H$205="Local")),9),"")="","",INDEX(Inventory!$J$6:$J$205,IFERROR(MATCH(IFERROR(AGGREGATE(14,6,(Inventory!$G$6:$G$205+(205-ROW(Inventory!$G$6:$G$205))/10000)/((Inventory!$G$6:$G$205&gt;0)*(Inventory!$H$6:$H$205="Local")),9),""),(Inventory!$G$6:$G$205+(205-ROW(Inventory!$G$6:$G$205))/10000),0),""))*INDEX(Inventory!$I$6:$I$205,IFERROR(MATCH(IFERROR(AGGREGATE(14,6,(Inventory!$G$6:$G$205+(205-ROW(Inventory!$G$6:$G$205))/10000)/((Inventory!$G$6:$G$205&gt;0)*(Inventory!$H$6:$H$205="Local")),9),""),(Inventory!$G$6:$G$205+(205-ROW(Inventory!$G$6:$G$205))/10000),0),""))),"")</f>
        <v/>
      </c>
    </row>
    <row r="93" ht="14" customHeight="1">
      <c r="A93" s="46">
        <f>IFERROR(IF(IFERROR(AGGREGATE(14,6,(Inventory!$G$6:$G$205+(205-ROW(Inventory!$G$6:$G$205))/10000)/((Inventory!$G$6:$G$205&gt;0)*(Inventory!$H$6:$H$205="Local")),10),"")="","",INDEX(Inventory!$A$6:$A$205,IFERROR(MATCH(IFERROR(AGGREGATE(14,6,(Inventory!$G$6:$G$205+(205-ROW(Inventory!$G$6:$G$205))/10000)/((Inventory!$G$6:$G$205&gt;0)*(Inventory!$H$6:$H$205="Local")),10),""),(Inventory!$G$6:$G$205+(205-ROW(Inventory!$G$6:$G$205))/10000),0),""))),"")</f>
        <v/>
      </c>
      <c r="B93" s="46">
        <f>IFERROR(IF(IFERROR(AGGREGATE(14,6,(Inventory!$G$6:$G$205+(205-ROW(Inventory!$G$6:$G$205))/10000)/((Inventory!$G$6:$G$205&gt;0)*(Inventory!$H$6:$H$205="Local")),10),"")="","",INDEX(Inventory!$B$6:$B$205,IFERROR(MATCH(IFERROR(AGGREGATE(14,6,(Inventory!$G$6:$G$205+(205-ROW(Inventory!$G$6:$G$205))/10000)/((Inventory!$G$6:$G$205&gt;0)*(Inventory!$H$6:$H$205="Local")),10),""),(Inventory!$G$6:$G$205+(205-ROW(Inventory!$G$6:$G$205))/10000),0),""))),"")</f>
        <v/>
      </c>
      <c r="C93" s="46">
        <f>IFERROR(IF(IFERROR(AGGREGATE(14,6,(Inventory!$G$6:$G$205+(205-ROW(Inventory!$G$6:$G$205))/10000)/((Inventory!$G$6:$G$205&gt;0)*(Inventory!$H$6:$H$205="Local")),10),"")="","",INDEX(Inventory!$D$6:$D$205,IFERROR(MATCH(IFERROR(AGGREGATE(14,6,(Inventory!$G$6:$G$205+(205-ROW(Inventory!$G$6:$G$205))/10000)/((Inventory!$G$6:$G$205&gt;0)*(Inventory!$H$6:$H$205="Local")),10),""),(Inventory!$G$6:$G$205+(205-ROW(Inventory!$G$6:$G$205))/10000),0),""))),"")</f>
        <v/>
      </c>
      <c r="D93" s="41">
        <f>IFERROR(IF(IFERROR(AGGREGATE(14,6,(Inventory!$G$6:$G$205+(205-ROW(Inventory!$G$6:$G$205))/10000)/((Inventory!$G$6:$G$205&gt;0)*(Inventory!$H$6:$H$205="Local")),10),"")="","",INDEX(Inventory!$E$6:$E$205,IFERROR(MATCH(IFERROR(AGGREGATE(14,6,(Inventory!$G$6:$G$205+(205-ROW(Inventory!$G$6:$G$205))/10000)/((Inventory!$G$6:$G$205&gt;0)*(Inventory!$H$6:$H$205="Local")),10),""),(Inventory!$G$6:$G$205+(205-ROW(Inventory!$G$6:$G$205))/10000),0),""))),"")</f>
        <v/>
      </c>
      <c r="E93" s="41">
        <f>IFERROR(IF(IFERROR(AGGREGATE(14,6,(Inventory!$G$6:$G$205+(205-ROW(Inventory!$G$6:$G$205))/10000)/((Inventory!$G$6:$G$205&gt;0)*(Inventory!$H$6:$H$205="Local")),10),"")="","",INDEX(Inventory!$F$6:$F$205,IFERROR(MATCH(IFERROR(AGGREGATE(14,6,(Inventory!$G$6:$G$205+(205-ROW(Inventory!$G$6:$G$205))/10000)/((Inventory!$G$6:$G$205&gt;0)*(Inventory!$H$6:$H$205="Local")),10),""),(Inventory!$G$6:$G$205+(205-ROW(Inventory!$G$6:$G$205))/10000),0),""))),"")</f>
        <v/>
      </c>
      <c r="F93" s="41">
        <f>IFERROR(IF(IFERROR(AGGREGATE(14,6,(Inventory!$G$6:$G$205+(205-ROW(Inventory!$G$6:$G$205))/10000)/((Inventory!$G$6:$G$205&gt;0)*(Inventory!$H$6:$H$205="Local")),10),"")="","",INDEX(Inventory!$J$6:$J$205,IFERROR(MATCH(IFERROR(AGGREGATE(14,6,(Inventory!$G$6:$G$205+(205-ROW(Inventory!$G$6:$G$205))/10000)/((Inventory!$G$6:$G$205&gt;0)*(Inventory!$H$6:$H$205="Local")),10),""),(Inventory!$G$6:$G$205+(205-ROW(Inventory!$G$6:$G$205))/10000),0),""))),"")</f>
        <v/>
      </c>
      <c r="G93" s="43">
        <f>IFERROR(IF(IFERROR(AGGREGATE(14,6,(Inventory!$G$6:$G$205+(205-ROW(Inventory!$G$6:$G$205))/10000)/((Inventory!$G$6:$G$205&gt;0)*(Inventory!$H$6:$H$205="Local")),10),"")="","",INDEX(Inventory!$J$6:$J$205,IFERROR(MATCH(IFERROR(AGGREGATE(14,6,(Inventory!$G$6:$G$205+(205-ROW(Inventory!$G$6:$G$205))/10000)/((Inventory!$G$6:$G$205&gt;0)*(Inventory!$H$6:$H$205="Local")),10),""),(Inventory!$G$6:$G$205+(205-ROW(Inventory!$G$6:$G$205))/10000),0),""))*INDEX(Inventory!$I$6:$I$205,IFERROR(MATCH(IFERROR(AGGREGATE(14,6,(Inventory!$G$6:$G$205+(205-ROW(Inventory!$G$6:$G$205))/10000)/((Inventory!$G$6:$G$205&gt;0)*(Inventory!$H$6:$H$205="Local")),10),""),(Inventory!$G$6:$G$205+(205-ROW(Inventory!$G$6:$G$205))/10000),0),""))),"")</f>
        <v/>
      </c>
    </row>
    <row r="94" ht="14" customHeight="1">
      <c r="A94" s="46">
        <f>IFERROR(IF(IFERROR(AGGREGATE(14,6,(Inventory!$G$6:$G$205+(205-ROW(Inventory!$G$6:$G$205))/10000)/((Inventory!$G$6:$G$205&gt;0)*(Inventory!$H$6:$H$205="Local")),11),"")="","",INDEX(Inventory!$A$6:$A$205,IFERROR(MATCH(IFERROR(AGGREGATE(14,6,(Inventory!$G$6:$G$205+(205-ROW(Inventory!$G$6:$G$205))/10000)/((Inventory!$G$6:$G$205&gt;0)*(Inventory!$H$6:$H$205="Local")),11),""),(Inventory!$G$6:$G$205+(205-ROW(Inventory!$G$6:$G$205))/10000),0),""))),"")</f>
        <v/>
      </c>
      <c r="B94" s="46">
        <f>IFERROR(IF(IFERROR(AGGREGATE(14,6,(Inventory!$G$6:$G$205+(205-ROW(Inventory!$G$6:$G$205))/10000)/((Inventory!$G$6:$G$205&gt;0)*(Inventory!$H$6:$H$205="Local")),11),"")="","",INDEX(Inventory!$B$6:$B$205,IFERROR(MATCH(IFERROR(AGGREGATE(14,6,(Inventory!$G$6:$G$205+(205-ROW(Inventory!$G$6:$G$205))/10000)/((Inventory!$G$6:$G$205&gt;0)*(Inventory!$H$6:$H$205="Local")),11),""),(Inventory!$G$6:$G$205+(205-ROW(Inventory!$G$6:$G$205))/10000),0),""))),"")</f>
        <v/>
      </c>
      <c r="C94" s="46">
        <f>IFERROR(IF(IFERROR(AGGREGATE(14,6,(Inventory!$G$6:$G$205+(205-ROW(Inventory!$G$6:$G$205))/10000)/((Inventory!$G$6:$G$205&gt;0)*(Inventory!$H$6:$H$205="Local")),11),"")="","",INDEX(Inventory!$D$6:$D$205,IFERROR(MATCH(IFERROR(AGGREGATE(14,6,(Inventory!$G$6:$G$205+(205-ROW(Inventory!$G$6:$G$205))/10000)/((Inventory!$G$6:$G$205&gt;0)*(Inventory!$H$6:$H$205="Local")),11),""),(Inventory!$G$6:$G$205+(205-ROW(Inventory!$G$6:$G$205))/10000),0),""))),"")</f>
        <v/>
      </c>
      <c r="D94" s="41">
        <f>IFERROR(IF(IFERROR(AGGREGATE(14,6,(Inventory!$G$6:$G$205+(205-ROW(Inventory!$G$6:$G$205))/10000)/((Inventory!$G$6:$G$205&gt;0)*(Inventory!$H$6:$H$205="Local")),11),"")="","",INDEX(Inventory!$E$6:$E$205,IFERROR(MATCH(IFERROR(AGGREGATE(14,6,(Inventory!$G$6:$G$205+(205-ROW(Inventory!$G$6:$G$205))/10000)/((Inventory!$G$6:$G$205&gt;0)*(Inventory!$H$6:$H$205="Local")),11),""),(Inventory!$G$6:$G$205+(205-ROW(Inventory!$G$6:$G$205))/10000),0),""))),"")</f>
        <v/>
      </c>
      <c r="E94" s="41">
        <f>IFERROR(IF(IFERROR(AGGREGATE(14,6,(Inventory!$G$6:$G$205+(205-ROW(Inventory!$G$6:$G$205))/10000)/((Inventory!$G$6:$G$205&gt;0)*(Inventory!$H$6:$H$205="Local")),11),"")="","",INDEX(Inventory!$F$6:$F$205,IFERROR(MATCH(IFERROR(AGGREGATE(14,6,(Inventory!$G$6:$G$205+(205-ROW(Inventory!$G$6:$G$205))/10000)/((Inventory!$G$6:$G$205&gt;0)*(Inventory!$H$6:$H$205="Local")),11),""),(Inventory!$G$6:$G$205+(205-ROW(Inventory!$G$6:$G$205))/10000),0),""))),"")</f>
        <v/>
      </c>
      <c r="F94" s="41">
        <f>IFERROR(IF(IFERROR(AGGREGATE(14,6,(Inventory!$G$6:$G$205+(205-ROW(Inventory!$G$6:$G$205))/10000)/((Inventory!$G$6:$G$205&gt;0)*(Inventory!$H$6:$H$205="Local")),11),"")="","",INDEX(Inventory!$J$6:$J$205,IFERROR(MATCH(IFERROR(AGGREGATE(14,6,(Inventory!$G$6:$G$205+(205-ROW(Inventory!$G$6:$G$205))/10000)/((Inventory!$G$6:$G$205&gt;0)*(Inventory!$H$6:$H$205="Local")),11),""),(Inventory!$G$6:$G$205+(205-ROW(Inventory!$G$6:$G$205))/10000),0),""))),"")</f>
        <v/>
      </c>
      <c r="G94" s="43">
        <f>IFERROR(IF(IFERROR(AGGREGATE(14,6,(Inventory!$G$6:$G$205+(205-ROW(Inventory!$G$6:$G$205))/10000)/((Inventory!$G$6:$G$205&gt;0)*(Inventory!$H$6:$H$205="Local")),11),"")="","",INDEX(Inventory!$J$6:$J$205,IFERROR(MATCH(IFERROR(AGGREGATE(14,6,(Inventory!$G$6:$G$205+(205-ROW(Inventory!$G$6:$G$205))/10000)/((Inventory!$G$6:$G$205&gt;0)*(Inventory!$H$6:$H$205="Local")),11),""),(Inventory!$G$6:$G$205+(205-ROW(Inventory!$G$6:$G$205))/10000),0),""))*INDEX(Inventory!$I$6:$I$205,IFERROR(MATCH(IFERROR(AGGREGATE(14,6,(Inventory!$G$6:$G$205+(205-ROW(Inventory!$G$6:$G$205))/10000)/((Inventory!$G$6:$G$205&gt;0)*(Inventory!$H$6:$H$205="Local")),11),""),(Inventory!$G$6:$G$205+(205-ROW(Inventory!$G$6:$G$205))/10000),0),""))),"")</f>
        <v/>
      </c>
    </row>
    <row r="95" ht="14" customHeight="1">
      <c r="A95" s="46">
        <f>IFERROR(IF(IFERROR(AGGREGATE(14,6,(Inventory!$G$6:$G$205+(205-ROW(Inventory!$G$6:$G$205))/10000)/((Inventory!$G$6:$G$205&gt;0)*(Inventory!$H$6:$H$205="Local")),12),"")="","",INDEX(Inventory!$A$6:$A$205,IFERROR(MATCH(IFERROR(AGGREGATE(14,6,(Inventory!$G$6:$G$205+(205-ROW(Inventory!$G$6:$G$205))/10000)/((Inventory!$G$6:$G$205&gt;0)*(Inventory!$H$6:$H$205="Local")),12),""),(Inventory!$G$6:$G$205+(205-ROW(Inventory!$G$6:$G$205))/10000),0),""))),"")</f>
        <v/>
      </c>
      <c r="B95" s="46">
        <f>IFERROR(IF(IFERROR(AGGREGATE(14,6,(Inventory!$G$6:$G$205+(205-ROW(Inventory!$G$6:$G$205))/10000)/((Inventory!$G$6:$G$205&gt;0)*(Inventory!$H$6:$H$205="Local")),12),"")="","",INDEX(Inventory!$B$6:$B$205,IFERROR(MATCH(IFERROR(AGGREGATE(14,6,(Inventory!$G$6:$G$205+(205-ROW(Inventory!$G$6:$G$205))/10000)/((Inventory!$G$6:$G$205&gt;0)*(Inventory!$H$6:$H$205="Local")),12),""),(Inventory!$G$6:$G$205+(205-ROW(Inventory!$G$6:$G$205))/10000),0),""))),"")</f>
        <v/>
      </c>
      <c r="C95" s="46">
        <f>IFERROR(IF(IFERROR(AGGREGATE(14,6,(Inventory!$G$6:$G$205+(205-ROW(Inventory!$G$6:$G$205))/10000)/((Inventory!$G$6:$G$205&gt;0)*(Inventory!$H$6:$H$205="Local")),12),"")="","",INDEX(Inventory!$D$6:$D$205,IFERROR(MATCH(IFERROR(AGGREGATE(14,6,(Inventory!$G$6:$G$205+(205-ROW(Inventory!$G$6:$G$205))/10000)/((Inventory!$G$6:$G$205&gt;0)*(Inventory!$H$6:$H$205="Local")),12),""),(Inventory!$G$6:$G$205+(205-ROW(Inventory!$G$6:$G$205))/10000),0),""))),"")</f>
        <v/>
      </c>
      <c r="D95" s="41">
        <f>IFERROR(IF(IFERROR(AGGREGATE(14,6,(Inventory!$G$6:$G$205+(205-ROW(Inventory!$G$6:$G$205))/10000)/((Inventory!$G$6:$G$205&gt;0)*(Inventory!$H$6:$H$205="Local")),12),"")="","",INDEX(Inventory!$E$6:$E$205,IFERROR(MATCH(IFERROR(AGGREGATE(14,6,(Inventory!$G$6:$G$205+(205-ROW(Inventory!$G$6:$G$205))/10000)/((Inventory!$G$6:$G$205&gt;0)*(Inventory!$H$6:$H$205="Local")),12),""),(Inventory!$G$6:$G$205+(205-ROW(Inventory!$G$6:$G$205))/10000),0),""))),"")</f>
        <v/>
      </c>
      <c r="E95" s="41">
        <f>IFERROR(IF(IFERROR(AGGREGATE(14,6,(Inventory!$G$6:$G$205+(205-ROW(Inventory!$G$6:$G$205))/10000)/((Inventory!$G$6:$G$205&gt;0)*(Inventory!$H$6:$H$205="Local")),12),"")="","",INDEX(Inventory!$F$6:$F$205,IFERROR(MATCH(IFERROR(AGGREGATE(14,6,(Inventory!$G$6:$G$205+(205-ROW(Inventory!$G$6:$G$205))/10000)/((Inventory!$G$6:$G$205&gt;0)*(Inventory!$H$6:$H$205="Local")),12),""),(Inventory!$G$6:$G$205+(205-ROW(Inventory!$G$6:$G$205))/10000),0),""))),"")</f>
        <v/>
      </c>
      <c r="F95" s="41">
        <f>IFERROR(IF(IFERROR(AGGREGATE(14,6,(Inventory!$G$6:$G$205+(205-ROW(Inventory!$G$6:$G$205))/10000)/((Inventory!$G$6:$G$205&gt;0)*(Inventory!$H$6:$H$205="Local")),12),"")="","",INDEX(Inventory!$J$6:$J$205,IFERROR(MATCH(IFERROR(AGGREGATE(14,6,(Inventory!$G$6:$G$205+(205-ROW(Inventory!$G$6:$G$205))/10000)/((Inventory!$G$6:$G$205&gt;0)*(Inventory!$H$6:$H$205="Local")),12),""),(Inventory!$G$6:$G$205+(205-ROW(Inventory!$G$6:$G$205))/10000),0),""))),"")</f>
        <v/>
      </c>
      <c r="G95" s="43">
        <f>IFERROR(IF(IFERROR(AGGREGATE(14,6,(Inventory!$G$6:$G$205+(205-ROW(Inventory!$G$6:$G$205))/10000)/((Inventory!$G$6:$G$205&gt;0)*(Inventory!$H$6:$H$205="Local")),12),"")="","",INDEX(Inventory!$J$6:$J$205,IFERROR(MATCH(IFERROR(AGGREGATE(14,6,(Inventory!$G$6:$G$205+(205-ROW(Inventory!$G$6:$G$205))/10000)/((Inventory!$G$6:$G$205&gt;0)*(Inventory!$H$6:$H$205="Local")),12),""),(Inventory!$G$6:$G$205+(205-ROW(Inventory!$G$6:$G$205))/10000),0),""))*INDEX(Inventory!$I$6:$I$205,IFERROR(MATCH(IFERROR(AGGREGATE(14,6,(Inventory!$G$6:$G$205+(205-ROW(Inventory!$G$6:$G$205))/10000)/((Inventory!$G$6:$G$205&gt;0)*(Inventory!$H$6:$H$205="Local")),12),""),(Inventory!$G$6:$G$205+(205-ROW(Inventory!$G$6:$G$205))/10000),0),""))),"")</f>
        <v/>
      </c>
    </row>
    <row r="96" ht="14" customHeight="1">
      <c r="A96" s="46">
        <f>IFERROR(IF(IFERROR(AGGREGATE(14,6,(Inventory!$G$6:$G$205+(205-ROW(Inventory!$G$6:$G$205))/10000)/((Inventory!$G$6:$G$205&gt;0)*(Inventory!$H$6:$H$205="Local")),13),"")="","",INDEX(Inventory!$A$6:$A$205,IFERROR(MATCH(IFERROR(AGGREGATE(14,6,(Inventory!$G$6:$G$205+(205-ROW(Inventory!$G$6:$G$205))/10000)/((Inventory!$G$6:$G$205&gt;0)*(Inventory!$H$6:$H$205="Local")),13),""),(Inventory!$G$6:$G$205+(205-ROW(Inventory!$G$6:$G$205))/10000),0),""))),"")</f>
        <v/>
      </c>
      <c r="B96" s="46">
        <f>IFERROR(IF(IFERROR(AGGREGATE(14,6,(Inventory!$G$6:$G$205+(205-ROW(Inventory!$G$6:$G$205))/10000)/((Inventory!$G$6:$G$205&gt;0)*(Inventory!$H$6:$H$205="Local")),13),"")="","",INDEX(Inventory!$B$6:$B$205,IFERROR(MATCH(IFERROR(AGGREGATE(14,6,(Inventory!$G$6:$G$205+(205-ROW(Inventory!$G$6:$G$205))/10000)/((Inventory!$G$6:$G$205&gt;0)*(Inventory!$H$6:$H$205="Local")),13),""),(Inventory!$G$6:$G$205+(205-ROW(Inventory!$G$6:$G$205))/10000),0),""))),"")</f>
        <v/>
      </c>
      <c r="C96" s="46">
        <f>IFERROR(IF(IFERROR(AGGREGATE(14,6,(Inventory!$G$6:$G$205+(205-ROW(Inventory!$G$6:$G$205))/10000)/((Inventory!$G$6:$G$205&gt;0)*(Inventory!$H$6:$H$205="Local")),13),"")="","",INDEX(Inventory!$D$6:$D$205,IFERROR(MATCH(IFERROR(AGGREGATE(14,6,(Inventory!$G$6:$G$205+(205-ROW(Inventory!$G$6:$G$205))/10000)/((Inventory!$G$6:$G$205&gt;0)*(Inventory!$H$6:$H$205="Local")),13),""),(Inventory!$G$6:$G$205+(205-ROW(Inventory!$G$6:$G$205))/10000),0),""))),"")</f>
        <v/>
      </c>
      <c r="D96" s="41">
        <f>IFERROR(IF(IFERROR(AGGREGATE(14,6,(Inventory!$G$6:$G$205+(205-ROW(Inventory!$G$6:$G$205))/10000)/((Inventory!$G$6:$G$205&gt;0)*(Inventory!$H$6:$H$205="Local")),13),"")="","",INDEX(Inventory!$E$6:$E$205,IFERROR(MATCH(IFERROR(AGGREGATE(14,6,(Inventory!$G$6:$G$205+(205-ROW(Inventory!$G$6:$G$205))/10000)/((Inventory!$G$6:$G$205&gt;0)*(Inventory!$H$6:$H$205="Local")),13),""),(Inventory!$G$6:$G$205+(205-ROW(Inventory!$G$6:$G$205))/10000),0),""))),"")</f>
        <v/>
      </c>
      <c r="E96" s="41">
        <f>IFERROR(IF(IFERROR(AGGREGATE(14,6,(Inventory!$G$6:$G$205+(205-ROW(Inventory!$G$6:$G$205))/10000)/((Inventory!$G$6:$G$205&gt;0)*(Inventory!$H$6:$H$205="Local")),13),"")="","",INDEX(Inventory!$F$6:$F$205,IFERROR(MATCH(IFERROR(AGGREGATE(14,6,(Inventory!$G$6:$G$205+(205-ROW(Inventory!$G$6:$G$205))/10000)/((Inventory!$G$6:$G$205&gt;0)*(Inventory!$H$6:$H$205="Local")),13),""),(Inventory!$G$6:$G$205+(205-ROW(Inventory!$G$6:$G$205))/10000),0),""))),"")</f>
        <v/>
      </c>
      <c r="F96" s="41">
        <f>IFERROR(IF(IFERROR(AGGREGATE(14,6,(Inventory!$G$6:$G$205+(205-ROW(Inventory!$G$6:$G$205))/10000)/((Inventory!$G$6:$G$205&gt;0)*(Inventory!$H$6:$H$205="Local")),13),"")="","",INDEX(Inventory!$J$6:$J$205,IFERROR(MATCH(IFERROR(AGGREGATE(14,6,(Inventory!$G$6:$G$205+(205-ROW(Inventory!$G$6:$G$205))/10000)/((Inventory!$G$6:$G$205&gt;0)*(Inventory!$H$6:$H$205="Local")),13),""),(Inventory!$G$6:$G$205+(205-ROW(Inventory!$G$6:$G$205))/10000),0),""))),"")</f>
        <v/>
      </c>
      <c r="G96" s="43">
        <f>IFERROR(IF(IFERROR(AGGREGATE(14,6,(Inventory!$G$6:$G$205+(205-ROW(Inventory!$G$6:$G$205))/10000)/((Inventory!$G$6:$G$205&gt;0)*(Inventory!$H$6:$H$205="Local")),13),"")="","",INDEX(Inventory!$J$6:$J$205,IFERROR(MATCH(IFERROR(AGGREGATE(14,6,(Inventory!$G$6:$G$205+(205-ROW(Inventory!$G$6:$G$205))/10000)/((Inventory!$G$6:$G$205&gt;0)*(Inventory!$H$6:$H$205="Local")),13),""),(Inventory!$G$6:$G$205+(205-ROW(Inventory!$G$6:$G$205))/10000),0),""))*INDEX(Inventory!$I$6:$I$205,IFERROR(MATCH(IFERROR(AGGREGATE(14,6,(Inventory!$G$6:$G$205+(205-ROW(Inventory!$G$6:$G$205))/10000)/((Inventory!$G$6:$G$205&gt;0)*(Inventory!$H$6:$H$205="Local")),13),""),(Inventory!$G$6:$G$205+(205-ROW(Inventory!$G$6:$G$205))/10000),0),""))),"")</f>
        <v/>
      </c>
    </row>
    <row r="97" ht="14" customHeight="1">
      <c r="A97" s="46">
        <f>IFERROR(IF(IFERROR(AGGREGATE(14,6,(Inventory!$G$6:$G$205+(205-ROW(Inventory!$G$6:$G$205))/10000)/((Inventory!$G$6:$G$205&gt;0)*(Inventory!$H$6:$H$205="Local")),14),"")="","",INDEX(Inventory!$A$6:$A$205,IFERROR(MATCH(IFERROR(AGGREGATE(14,6,(Inventory!$G$6:$G$205+(205-ROW(Inventory!$G$6:$G$205))/10000)/((Inventory!$G$6:$G$205&gt;0)*(Inventory!$H$6:$H$205="Local")),14),""),(Inventory!$G$6:$G$205+(205-ROW(Inventory!$G$6:$G$205))/10000),0),""))),"")</f>
        <v/>
      </c>
      <c r="B97" s="46">
        <f>IFERROR(IF(IFERROR(AGGREGATE(14,6,(Inventory!$G$6:$G$205+(205-ROW(Inventory!$G$6:$G$205))/10000)/((Inventory!$G$6:$G$205&gt;0)*(Inventory!$H$6:$H$205="Local")),14),"")="","",INDEX(Inventory!$B$6:$B$205,IFERROR(MATCH(IFERROR(AGGREGATE(14,6,(Inventory!$G$6:$G$205+(205-ROW(Inventory!$G$6:$G$205))/10000)/((Inventory!$G$6:$G$205&gt;0)*(Inventory!$H$6:$H$205="Local")),14),""),(Inventory!$G$6:$G$205+(205-ROW(Inventory!$G$6:$G$205))/10000),0),""))),"")</f>
        <v/>
      </c>
      <c r="C97" s="46">
        <f>IFERROR(IF(IFERROR(AGGREGATE(14,6,(Inventory!$G$6:$G$205+(205-ROW(Inventory!$G$6:$G$205))/10000)/((Inventory!$G$6:$G$205&gt;0)*(Inventory!$H$6:$H$205="Local")),14),"")="","",INDEX(Inventory!$D$6:$D$205,IFERROR(MATCH(IFERROR(AGGREGATE(14,6,(Inventory!$G$6:$G$205+(205-ROW(Inventory!$G$6:$G$205))/10000)/((Inventory!$G$6:$G$205&gt;0)*(Inventory!$H$6:$H$205="Local")),14),""),(Inventory!$G$6:$G$205+(205-ROW(Inventory!$G$6:$G$205))/10000),0),""))),"")</f>
        <v/>
      </c>
      <c r="D97" s="41">
        <f>IFERROR(IF(IFERROR(AGGREGATE(14,6,(Inventory!$G$6:$G$205+(205-ROW(Inventory!$G$6:$G$205))/10000)/((Inventory!$G$6:$G$205&gt;0)*(Inventory!$H$6:$H$205="Local")),14),"")="","",INDEX(Inventory!$E$6:$E$205,IFERROR(MATCH(IFERROR(AGGREGATE(14,6,(Inventory!$G$6:$G$205+(205-ROW(Inventory!$G$6:$G$205))/10000)/((Inventory!$G$6:$G$205&gt;0)*(Inventory!$H$6:$H$205="Local")),14),""),(Inventory!$G$6:$G$205+(205-ROW(Inventory!$G$6:$G$205))/10000),0),""))),"")</f>
        <v/>
      </c>
      <c r="E97" s="41">
        <f>IFERROR(IF(IFERROR(AGGREGATE(14,6,(Inventory!$G$6:$G$205+(205-ROW(Inventory!$G$6:$G$205))/10000)/((Inventory!$G$6:$G$205&gt;0)*(Inventory!$H$6:$H$205="Local")),14),"")="","",INDEX(Inventory!$F$6:$F$205,IFERROR(MATCH(IFERROR(AGGREGATE(14,6,(Inventory!$G$6:$G$205+(205-ROW(Inventory!$G$6:$G$205))/10000)/((Inventory!$G$6:$G$205&gt;0)*(Inventory!$H$6:$H$205="Local")),14),""),(Inventory!$G$6:$G$205+(205-ROW(Inventory!$G$6:$G$205))/10000),0),""))),"")</f>
        <v/>
      </c>
      <c r="F97" s="41">
        <f>IFERROR(IF(IFERROR(AGGREGATE(14,6,(Inventory!$G$6:$G$205+(205-ROW(Inventory!$G$6:$G$205))/10000)/((Inventory!$G$6:$G$205&gt;0)*(Inventory!$H$6:$H$205="Local")),14),"")="","",INDEX(Inventory!$J$6:$J$205,IFERROR(MATCH(IFERROR(AGGREGATE(14,6,(Inventory!$G$6:$G$205+(205-ROW(Inventory!$G$6:$G$205))/10000)/((Inventory!$G$6:$G$205&gt;0)*(Inventory!$H$6:$H$205="Local")),14),""),(Inventory!$G$6:$G$205+(205-ROW(Inventory!$G$6:$G$205))/10000),0),""))),"")</f>
        <v/>
      </c>
      <c r="G97" s="43">
        <f>IFERROR(IF(IFERROR(AGGREGATE(14,6,(Inventory!$G$6:$G$205+(205-ROW(Inventory!$G$6:$G$205))/10000)/((Inventory!$G$6:$G$205&gt;0)*(Inventory!$H$6:$H$205="Local")),14),"")="","",INDEX(Inventory!$J$6:$J$205,IFERROR(MATCH(IFERROR(AGGREGATE(14,6,(Inventory!$G$6:$G$205+(205-ROW(Inventory!$G$6:$G$205))/10000)/((Inventory!$G$6:$G$205&gt;0)*(Inventory!$H$6:$H$205="Local")),14),""),(Inventory!$G$6:$G$205+(205-ROW(Inventory!$G$6:$G$205))/10000),0),""))*INDEX(Inventory!$I$6:$I$205,IFERROR(MATCH(IFERROR(AGGREGATE(14,6,(Inventory!$G$6:$G$205+(205-ROW(Inventory!$G$6:$G$205))/10000)/((Inventory!$G$6:$G$205&gt;0)*(Inventory!$H$6:$H$205="Local")),14),""),(Inventory!$G$6:$G$205+(205-ROW(Inventory!$G$6:$G$205))/10000),0),""))),"")</f>
        <v/>
      </c>
    </row>
    <row r="98" ht="14" customHeight="1">
      <c r="A98" s="46">
        <f>IFERROR(IF(IFERROR(AGGREGATE(14,6,(Inventory!$G$6:$G$205+(205-ROW(Inventory!$G$6:$G$205))/10000)/((Inventory!$G$6:$G$205&gt;0)*(Inventory!$H$6:$H$205="Local")),15),"")="","",INDEX(Inventory!$A$6:$A$205,IFERROR(MATCH(IFERROR(AGGREGATE(14,6,(Inventory!$G$6:$G$205+(205-ROW(Inventory!$G$6:$G$205))/10000)/((Inventory!$G$6:$G$205&gt;0)*(Inventory!$H$6:$H$205="Local")),15),""),(Inventory!$G$6:$G$205+(205-ROW(Inventory!$G$6:$G$205))/10000),0),""))),"")</f>
        <v/>
      </c>
      <c r="B98" s="46">
        <f>IFERROR(IF(IFERROR(AGGREGATE(14,6,(Inventory!$G$6:$G$205+(205-ROW(Inventory!$G$6:$G$205))/10000)/((Inventory!$G$6:$G$205&gt;0)*(Inventory!$H$6:$H$205="Local")),15),"")="","",INDEX(Inventory!$B$6:$B$205,IFERROR(MATCH(IFERROR(AGGREGATE(14,6,(Inventory!$G$6:$G$205+(205-ROW(Inventory!$G$6:$G$205))/10000)/((Inventory!$G$6:$G$205&gt;0)*(Inventory!$H$6:$H$205="Local")),15),""),(Inventory!$G$6:$G$205+(205-ROW(Inventory!$G$6:$G$205))/10000),0),""))),"")</f>
        <v/>
      </c>
      <c r="C98" s="46">
        <f>IFERROR(IF(IFERROR(AGGREGATE(14,6,(Inventory!$G$6:$G$205+(205-ROW(Inventory!$G$6:$G$205))/10000)/((Inventory!$G$6:$G$205&gt;0)*(Inventory!$H$6:$H$205="Local")),15),"")="","",INDEX(Inventory!$D$6:$D$205,IFERROR(MATCH(IFERROR(AGGREGATE(14,6,(Inventory!$G$6:$G$205+(205-ROW(Inventory!$G$6:$G$205))/10000)/((Inventory!$G$6:$G$205&gt;0)*(Inventory!$H$6:$H$205="Local")),15),""),(Inventory!$G$6:$G$205+(205-ROW(Inventory!$G$6:$G$205))/10000),0),""))),"")</f>
        <v/>
      </c>
      <c r="D98" s="41">
        <f>IFERROR(IF(IFERROR(AGGREGATE(14,6,(Inventory!$G$6:$G$205+(205-ROW(Inventory!$G$6:$G$205))/10000)/((Inventory!$G$6:$G$205&gt;0)*(Inventory!$H$6:$H$205="Local")),15),"")="","",INDEX(Inventory!$E$6:$E$205,IFERROR(MATCH(IFERROR(AGGREGATE(14,6,(Inventory!$G$6:$G$205+(205-ROW(Inventory!$G$6:$G$205))/10000)/((Inventory!$G$6:$G$205&gt;0)*(Inventory!$H$6:$H$205="Local")),15),""),(Inventory!$G$6:$G$205+(205-ROW(Inventory!$G$6:$G$205))/10000),0),""))),"")</f>
        <v/>
      </c>
      <c r="E98" s="41">
        <f>IFERROR(IF(IFERROR(AGGREGATE(14,6,(Inventory!$G$6:$G$205+(205-ROW(Inventory!$G$6:$G$205))/10000)/((Inventory!$G$6:$G$205&gt;0)*(Inventory!$H$6:$H$205="Local")),15),"")="","",INDEX(Inventory!$F$6:$F$205,IFERROR(MATCH(IFERROR(AGGREGATE(14,6,(Inventory!$G$6:$G$205+(205-ROW(Inventory!$G$6:$G$205))/10000)/((Inventory!$G$6:$G$205&gt;0)*(Inventory!$H$6:$H$205="Local")),15),""),(Inventory!$G$6:$G$205+(205-ROW(Inventory!$G$6:$G$205))/10000),0),""))),"")</f>
        <v/>
      </c>
      <c r="F98" s="41">
        <f>IFERROR(IF(IFERROR(AGGREGATE(14,6,(Inventory!$G$6:$G$205+(205-ROW(Inventory!$G$6:$G$205))/10000)/((Inventory!$G$6:$G$205&gt;0)*(Inventory!$H$6:$H$205="Local")),15),"")="","",INDEX(Inventory!$J$6:$J$205,IFERROR(MATCH(IFERROR(AGGREGATE(14,6,(Inventory!$G$6:$G$205+(205-ROW(Inventory!$G$6:$G$205))/10000)/((Inventory!$G$6:$G$205&gt;0)*(Inventory!$H$6:$H$205="Local")),15),""),(Inventory!$G$6:$G$205+(205-ROW(Inventory!$G$6:$G$205))/10000),0),""))),"")</f>
        <v/>
      </c>
      <c r="G98" s="43">
        <f>IFERROR(IF(IFERROR(AGGREGATE(14,6,(Inventory!$G$6:$G$205+(205-ROW(Inventory!$G$6:$G$205))/10000)/((Inventory!$G$6:$G$205&gt;0)*(Inventory!$H$6:$H$205="Local")),15),"")="","",INDEX(Inventory!$J$6:$J$205,IFERROR(MATCH(IFERROR(AGGREGATE(14,6,(Inventory!$G$6:$G$205+(205-ROW(Inventory!$G$6:$G$205))/10000)/((Inventory!$G$6:$G$205&gt;0)*(Inventory!$H$6:$H$205="Local")),15),""),(Inventory!$G$6:$G$205+(205-ROW(Inventory!$G$6:$G$205))/10000),0),""))*INDEX(Inventory!$I$6:$I$205,IFERROR(MATCH(IFERROR(AGGREGATE(14,6,(Inventory!$G$6:$G$205+(205-ROW(Inventory!$G$6:$G$205))/10000)/((Inventory!$G$6:$G$205&gt;0)*(Inventory!$H$6:$H$205="Local")),15),""),(Inventory!$G$6:$G$205+(205-ROW(Inventory!$G$6:$G$205))/10000),0),""))),"")</f>
        <v/>
      </c>
    </row>
    <row r="99" ht="14" customHeight="1">
      <c r="A99" s="46">
        <f>IFERROR(IF(IFERROR(AGGREGATE(14,6,(Inventory!$G$6:$G$205+(205-ROW(Inventory!$G$6:$G$205))/10000)/((Inventory!$G$6:$G$205&gt;0)*(Inventory!$H$6:$H$205="Local")),16),"")="","",INDEX(Inventory!$A$6:$A$205,IFERROR(MATCH(IFERROR(AGGREGATE(14,6,(Inventory!$G$6:$G$205+(205-ROW(Inventory!$G$6:$G$205))/10000)/((Inventory!$G$6:$G$205&gt;0)*(Inventory!$H$6:$H$205="Local")),16),""),(Inventory!$G$6:$G$205+(205-ROW(Inventory!$G$6:$G$205))/10000),0),""))),"")</f>
        <v/>
      </c>
      <c r="B99" s="46">
        <f>IFERROR(IF(IFERROR(AGGREGATE(14,6,(Inventory!$G$6:$G$205+(205-ROW(Inventory!$G$6:$G$205))/10000)/((Inventory!$G$6:$G$205&gt;0)*(Inventory!$H$6:$H$205="Local")),16),"")="","",INDEX(Inventory!$B$6:$B$205,IFERROR(MATCH(IFERROR(AGGREGATE(14,6,(Inventory!$G$6:$G$205+(205-ROW(Inventory!$G$6:$G$205))/10000)/((Inventory!$G$6:$G$205&gt;0)*(Inventory!$H$6:$H$205="Local")),16),""),(Inventory!$G$6:$G$205+(205-ROW(Inventory!$G$6:$G$205))/10000),0),""))),"")</f>
        <v/>
      </c>
      <c r="C99" s="46">
        <f>IFERROR(IF(IFERROR(AGGREGATE(14,6,(Inventory!$G$6:$G$205+(205-ROW(Inventory!$G$6:$G$205))/10000)/((Inventory!$G$6:$G$205&gt;0)*(Inventory!$H$6:$H$205="Local")),16),"")="","",INDEX(Inventory!$D$6:$D$205,IFERROR(MATCH(IFERROR(AGGREGATE(14,6,(Inventory!$G$6:$G$205+(205-ROW(Inventory!$G$6:$G$205))/10000)/((Inventory!$G$6:$G$205&gt;0)*(Inventory!$H$6:$H$205="Local")),16),""),(Inventory!$G$6:$G$205+(205-ROW(Inventory!$G$6:$G$205))/10000),0),""))),"")</f>
        <v/>
      </c>
      <c r="D99" s="41">
        <f>IFERROR(IF(IFERROR(AGGREGATE(14,6,(Inventory!$G$6:$G$205+(205-ROW(Inventory!$G$6:$G$205))/10000)/((Inventory!$G$6:$G$205&gt;0)*(Inventory!$H$6:$H$205="Local")),16),"")="","",INDEX(Inventory!$E$6:$E$205,IFERROR(MATCH(IFERROR(AGGREGATE(14,6,(Inventory!$G$6:$G$205+(205-ROW(Inventory!$G$6:$G$205))/10000)/((Inventory!$G$6:$G$205&gt;0)*(Inventory!$H$6:$H$205="Local")),16),""),(Inventory!$G$6:$G$205+(205-ROW(Inventory!$G$6:$G$205))/10000),0),""))),"")</f>
        <v/>
      </c>
      <c r="E99" s="41">
        <f>IFERROR(IF(IFERROR(AGGREGATE(14,6,(Inventory!$G$6:$G$205+(205-ROW(Inventory!$G$6:$G$205))/10000)/((Inventory!$G$6:$G$205&gt;0)*(Inventory!$H$6:$H$205="Local")),16),"")="","",INDEX(Inventory!$F$6:$F$205,IFERROR(MATCH(IFERROR(AGGREGATE(14,6,(Inventory!$G$6:$G$205+(205-ROW(Inventory!$G$6:$G$205))/10000)/((Inventory!$G$6:$G$205&gt;0)*(Inventory!$H$6:$H$205="Local")),16),""),(Inventory!$G$6:$G$205+(205-ROW(Inventory!$G$6:$G$205))/10000),0),""))),"")</f>
        <v/>
      </c>
      <c r="F99" s="41">
        <f>IFERROR(IF(IFERROR(AGGREGATE(14,6,(Inventory!$G$6:$G$205+(205-ROW(Inventory!$G$6:$G$205))/10000)/((Inventory!$G$6:$G$205&gt;0)*(Inventory!$H$6:$H$205="Local")),16),"")="","",INDEX(Inventory!$J$6:$J$205,IFERROR(MATCH(IFERROR(AGGREGATE(14,6,(Inventory!$G$6:$G$205+(205-ROW(Inventory!$G$6:$G$205))/10000)/((Inventory!$G$6:$G$205&gt;0)*(Inventory!$H$6:$H$205="Local")),16),""),(Inventory!$G$6:$G$205+(205-ROW(Inventory!$G$6:$G$205))/10000),0),""))),"")</f>
        <v/>
      </c>
      <c r="G99" s="43">
        <f>IFERROR(IF(IFERROR(AGGREGATE(14,6,(Inventory!$G$6:$G$205+(205-ROW(Inventory!$G$6:$G$205))/10000)/((Inventory!$G$6:$G$205&gt;0)*(Inventory!$H$6:$H$205="Local")),16),"")="","",INDEX(Inventory!$J$6:$J$205,IFERROR(MATCH(IFERROR(AGGREGATE(14,6,(Inventory!$G$6:$G$205+(205-ROW(Inventory!$G$6:$G$205))/10000)/((Inventory!$G$6:$G$205&gt;0)*(Inventory!$H$6:$H$205="Local")),16),""),(Inventory!$G$6:$G$205+(205-ROW(Inventory!$G$6:$G$205))/10000),0),""))*INDEX(Inventory!$I$6:$I$205,IFERROR(MATCH(IFERROR(AGGREGATE(14,6,(Inventory!$G$6:$G$205+(205-ROW(Inventory!$G$6:$G$205))/10000)/((Inventory!$G$6:$G$205&gt;0)*(Inventory!$H$6:$H$205="Local")),16),""),(Inventory!$G$6:$G$205+(205-ROW(Inventory!$G$6:$G$205))/10000),0),""))),"")</f>
        <v/>
      </c>
    </row>
    <row r="100" ht="14" customHeight="1">
      <c r="A100" s="46">
        <f>IFERROR(IF(IFERROR(AGGREGATE(14,6,(Inventory!$G$6:$G$205+(205-ROW(Inventory!$G$6:$G$205))/10000)/((Inventory!$G$6:$G$205&gt;0)*(Inventory!$H$6:$H$205="Local")),17),"")="","",INDEX(Inventory!$A$6:$A$205,IFERROR(MATCH(IFERROR(AGGREGATE(14,6,(Inventory!$G$6:$G$205+(205-ROW(Inventory!$G$6:$G$205))/10000)/((Inventory!$G$6:$G$205&gt;0)*(Inventory!$H$6:$H$205="Local")),17),""),(Inventory!$G$6:$G$205+(205-ROW(Inventory!$G$6:$G$205))/10000),0),""))),"")</f>
        <v/>
      </c>
      <c r="B100" s="46">
        <f>IFERROR(IF(IFERROR(AGGREGATE(14,6,(Inventory!$G$6:$G$205+(205-ROW(Inventory!$G$6:$G$205))/10000)/((Inventory!$G$6:$G$205&gt;0)*(Inventory!$H$6:$H$205="Local")),17),"")="","",INDEX(Inventory!$B$6:$B$205,IFERROR(MATCH(IFERROR(AGGREGATE(14,6,(Inventory!$G$6:$G$205+(205-ROW(Inventory!$G$6:$G$205))/10000)/((Inventory!$G$6:$G$205&gt;0)*(Inventory!$H$6:$H$205="Local")),17),""),(Inventory!$G$6:$G$205+(205-ROW(Inventory!$G$6:$G$205))/10000),0),""))),"")</f>
        <v/>
      </c>
      <c r="C100" s="46">
        <f>IFERROR(IF(IFERROR(AGGREGATE(14,6,(Inventory!$G$6:$G$205+(205-ROW(Inventory!$G$6:$G$205))/10000)/((Inventory!$G$6:$G$205&gt;0)*(Inventory!$H$6:$H$205="Local")),17),"")="","",INDEX(Inventory!$D$6:$D$205,IFERROR(MATCH(IFERROR(AGGREGATE(14,6,(Inventory!$G$6:$G$205+(205-ROW(Inventory!$G$6:$G$205))/10000)/((Inventory!$G$6:$G$205&gt;0)*(Inventory!$H$6:$H$205="Local")),17),""),(Inventory!$G$6:$G$205+(205-ROW(Inventory!$G$6:$G$205))/10000),0),""))),"")</f>
        <v/>
      </c>
      <c r="D100" s="41">
        <f>IFERROR(IF(IFERROR(AGGREGATE(14,6,(Inventory!$G$6:$G$205+(205-ROW(Inventory!$G$6:$G$205))/10000)/((Inventory!$G$6:$G$205&gt;0)*(Inventory!$H$6:$H$205="Local")),17),"")="","",INDEX(Inventory!$E$6:$E$205,IFERROR(MATCH(IFERROR(AGGREGATE(14,6,(Inventory!$G$6:$G$205+(205-ROW(Inventory!$G$6:$G$205))/10000)/((Inventory!$G$6:$G$205&gt;0)*(Inventory!$H$6:$H$205="Local")),17),""),(Inventory!$G$6:$G$205+(205-ROW(Inventory!$G$6:$G$205))/10000),0),""))),"")</f>
        <v/>
      </c>
      <c r="E100" s="41">
        <f>IFERROR(IF(IFERROR(AGGREGATE(14,6,(Inventory!$G$6:$G$205+(205-ROW(Inventory!$G$6:$G$205))/10000)/((Inventory!$G$6:$G$205&gt;0)*(Inventory!$H$6:$H$205="Local")),17),"")="","",INDEX(Inventory!$F$6:$F$205,IFERROR(MATCH(IFERROR(AGGREGATE(14,6,(Inventory!$G$6:$G$205+(205-ROW(Inventory!$G$6:$G$205))/10000)/((Inventory!$G$6:$G$205&gt;0)*(Inventory!$H$6:$H$205="Local")),17),""),(Inventory!$G$6:$G$205+(205-ROW(Inventory!$G$6:$G$205))/10000),0),""))),"")</f>
        <v/>
      </c>
      <c r="F100" s="41">
        <f>IFERROR(IF(IFERROR(AGGREGATE(14,6,(Inventory!$G$6:$G$205+(205-ROW(Inventory!$G$6:$G$205))/10000)/((Inventory!$G$6:$G$205&gt;0)*(Inventory!$H$6:$H$205="Local")),17),"")="","",INDEX(Inventory!$J$6:$J$205,IFERROR(MATCH(IFERROR(AGGREGATE(14,6,(Inventory!$G$6:$G$205+(205-ROW(Inventory!$G$6:$G$205))/10000)/((Inventory!$G$6:$G$205&gt;0)*(Inventory!$H$6:$H$205="Local")),17),""),(Inventory!$G$6:$G$205+(205-ROW(Inventory!$G$6:$G$205))/10000),0),""))),"")</f>
        <v/>
      </c>
      <c r="G100" s="43">
        <f>IFERROR(IF(IFERROR(AGGREGATE(14,6,(Inventory!$G$6:$G$205+(205-ROW(Inventory!$G$6:$G$205))/10000)/((Inventory!$G$6:$G$205&gt;0)*(Inventory!$H$6:$H$205="Local")),17),"")="","",INDEX(Inventory!$J$6:$J$205,IFERROR(MATCH(IFERROR(AGGREGATE(14,6,(Inventory!$G$6:$G$205+(205-ROW(Inventory!$G$6:$G$205))/10000)/((Inventory!$G$6:$G$205&gt;0)*(Inventory!$H$6:$H$205="Local")),17),""),(Inventory!$G$6:$G$205+(205-ROW(Inventory!$G$6:$G$205))/10000),0),""))*INDEX(Inventory!$I$6:$I$205,IFERROR(MATCH(IFERROR(AGGREGATE(14,6,(Inventory!$G$6:$G$205+(205-ROW(Inventory!$G$6:$G$205))/10000)/((Inventory!$G$6:$G$205&gt;0)*(Inventory!$H$6:$H$205="Local")),17),""),(Inventory!$G$6:$G$205+(205-ROW(Inventory!$G$6:$G$205))/10000),0),""))),"")</f>
        <v/>
      </c>
    </row>
    <row r="101" ht="14" customHeight="1">
      <c r="A101" s="46">
        <f>IFERROR(IF(IFERROR(AGGREGATE(14,6,(Inventory!$G$6:$G$205+(205-ROW(Inventory!$G$6:$G$205))/10000)/((Inventory!$G$6:$G$205&gt;0)*(Inventory!$H$6:$H$205="Local")),18),"")="","",INDEX(Inventory!$A$6:$A$205,IFERROR(MATCH(IFERROR(AGGREGATE(14,6,(Inventory!$G$6:$G$205+(205-ROW(Inventory!$G$6:$G$205))/10000)/((Inventory!$G$6:$G$205&gt;0)*(Inventory!$H$6:$H$205="Local")),18),""),(Inventory!$G$6:$G$205+(205-ROW(Inventory!$G$6:$G$205))/10000),0),""))),"")</f>
        <v/>
      </c>
      <c r="B101" s="46">
        <f>IFERROR(IF(IFERROR(AGGREGATE(14,6,(Inventory!$G$6:$G$205+(205-ROW(Inventory!$G$6:$G$205))/10000)/((Inventory!$G$6:$G$205&gt;0)*(Inventory!$H$6:$H$205="Local")),18),"")="","",INDEX(Inventory!$B$6:$B$205,IFERROR(MATCH(IFERROR(AGGREGATE(14,6,(Inventory!$G$6:$G$205+(205-ROW(Inventory!$G$6:$G$205))/10000)/((Inventory!$G$6:$G$205&gt;0)*(Inventory!$H$6:$H$205="Local")),18),""),(Inventory!$G$6:$G$205+(205-ROW(Inventory!$G$6:$G$205))/10000),0),""))),"")</f>
        <v/>
      </c>
      <c r="C101" s="46">
        <f>IFERROR(IF(IFERROR(AGGREGATE(14,6,(Inventory!$G$6:$G$205+(205-ROW(Inventory!$G$6:$G$205))/10000)/((Inventory!$G$6:$G$205&gt;0)*(Inventory!$H$6:$H$205="Local")),18),"")="","",INDEX(Inventory!$D$6:$D$205,IFERROR(MATCH(IFERROR(AGGREGATE(14,6,(Inventory!$G$6:$G$205+(205-ROW(Inventory!$G$6:$G$205))/10000)/((Inventory!$G$6:$G$205&gt;0)*(Inventory!$H$6:$H$205="Local")),18),""),(Inventory!$G$6:$G$205+(205-ROW(Inventory!$G$6:$G$205))/10000),0),""))),"")</f>
        <v/>
      </c>
      <c r="D101" s="41">
        <f>IFERROR(IF(IFERROR(AGGREGATE(14,6,(Inventory!$G$6:$G$205+(205-ROW(Inventory!$G$6:$G$205))/10000)/((Inventory!$G$6:$G$205&gt;0)*(Inventory!$H$6:$H$205="Local")),18),"")="","",INDEX(Inventory!$E$6:$E$205,IFERROR(MATCH(IFERROR(AGGREGATE(14,6,(Inventory!$G$6:$G$205+(205-ROW(Inventory!$G$6:$G$205))/10000)/((Inventory!$G$6:$G$205&gt;0)*(Inventory!$H$6:$H$205="Local")),18),""),(Inventory!$G$6:$G$205+(205-ROW(Inventory!$G$6:$G$205))/10000),0),""))),"")</f>
        <v/>
      </c>
      <c r="E101" s="41">
        <f>IFERROR(IF(IFERROR(AGGREGATE(14,6,(Inventory!$G$6:$G$205+(205-ROW(Inventory!$G$6:$G$205))/10000)/((Inventory!$G$6:$G$205&gt;0)*(Inventory!$H$6:$H$205="Local")),18),"")="","",INDEX(Inventory!$F$6:$F$205,IFERROR(MATCH(IFERROR(AGGREGATE(14,6,(Inventory!$G$6:$G$205+(205-ROW(Inventory!$G$6:$G$205))/10000)/((Inventory!$G$6:$G$205&gt;0)*(Inventory!$H$6:$H$205="Local")),18),""),(Inventory!$G$6:$G$205+(205-ROW(Inventory!$G$6:$G$205))/10000),0),""))),"")</f>
        <v/>
      </c>
      <c r="F101" s="41">
        <f>IFERROR(IF(IFERROR(AGGREGATE(14,6,(Inventory!$G$6:$G$205+(205-ROW(Inventory!$G$6:$G$205))/10000)/((Inventory!$G$6:$G$205&gt;0)*(Inventory!$H$6:$H$205="Local")),18),"")="","",INDEX(Inventory!$J$6:$J$205,IFERROR(MATCH(IFERROR(AGGREGATE(14,6,(Inventory!$G$6:$G$205+(205-ROW(Inventory!$G$6:$G$205))/10000)/((Inventory!$G$6:$G$205&gt;0)*(Inventory!$H$6:$H$205="Local")),18),""),(Inventory!$G$6:$G$205+(205-ROW(Inventory!$G$6:$G$205))/10000),0),""))),"")</f>
        <v/>
      </c>
      <c r="G101" s="43">
        <f>IFERROR(IF(IFERROR(AGGREGATE(14,6,(Inventory!$G$6:$G$205+(205-ROW(Inventory!$G$6:$G$205))/10000)/((Inventory!$G$6:$G$205&gt;0)*(Inventory!$H$6:$H$205="Local")),18),"")="","",INDEX(Inventory!$J$6:$J$205,IFERROR(MATCH(IFERROR(AGGREGATE(14,6,(Inventory!$G$6:$G$205+(205-ROW(Inventory!$G$6:$G$205))/10000)/((Inventory!$G$6:$G$205&gt;0)*(Inventory!$H$6:$H$205="Local")),18),""),(Inventory!$G$6:$G$205+(205-ROW(Inventory!$G$6:$G$205))/10000),0),""))*INDEX(Inventory!$I$6:$I$205,IFERROR(MATCH(IFERROR(AGGREGATE(14,6,(Inventory!$G$6:$G$205+(205-ROW(Inventory!$G$6:$G$205))/10000)/((Inventory!$G$6:$G$205&gt;0)*(Inventory!$H$6:$H$205="Local")),18),""),(Inventory!$G$6:$G$205+(205-ROW(Inventory!$G$6:$G$205))/10000),0),""))),"")</f>
        <v/>
      </c>
    </row>
    <row r="102" ht="14" customHeight="1">
      <c r="A102" s="46">
        <f>IFERROR(IF(IFERROR(AGGREGATE(14,6,(Inventory!$G$6:$G$205+(205-ROW(Inventory!$G$6:$G$205))/10000)/((Inventory!$G$6:$G$205&gt;0)*(Inventory!$H$6:$H$205="Local")),19),"")="","",INDEX(Inventory!$A$6:$A$205,IFERROR(MATCH(IFERROR(AGGREGATE(14,6,(Inventory!$G$6:$G$205+(205-ROW(Inventory!$G$6:$G$205))/10000)/((Inventory!$G$6:$G$205&gt;0)*(Inventory!$H$6:$H$205="Local")),19),""),(Inventory!$G$6:$G$205+(205-ROW(Inventory!$G$6:$G$205))/10000),0),""))),"")</f>
        <v/>
      </c>
      <c r="B102" s="46">
        <f>IFERROR(IF(IFERROR(AGGREGATE(14,6,(Inventory!$G$6:$G$205+(205-ROW(Inventory!$G$6:$G$205))/10000)/((Inventory!$G$6:$G$205&gt;0)*(Inventory!$H$6:$H$205="Local")),19),"")="","",INDEX(Inventory!$B$6:$B$205,IFERROR(MATCH(IFERROR(AGGREGATE(14,6,(Inventory!$G$6:$G$205+(205-ROW(Inventory!$G$6:$G$205))/10000)/((Inventory!$G$6:$G$205&gt;0)*(Inventory!$H$6:$H$205="Local")),19),""),(Inventory!$G$6:$G$205+(205-ROW(Inventory!$G$6:$G$205))/10000),0),""))),"")</f>
        <v/>
      </c>
      <c r="C102" s="46">
        <f>IFERROR(IF(IFERROR(AGGREGATE(14,6,(Inventory!$G$6:$G$205+(205-ROW(Inventory!$G$6:$G$205))/10000)/((Inventory!$G$6:$G$205&gt;0)*(Inventory!$H$6:$H$205="Local")),19),"")="","",INDEX(Inventory!$D$6:$D$205,IFERROR(MATCH(IFERROR(AGGREGATE(14,6,(Inventory!$G$6:$G$205+(205-ROW(Inventory!$G$6:$G$205))/10000)/((Inventory!$G$6:$G$205&gt;0)*(Inventory!$H$6:$H$205="Local")),19),""),(Inventory!$G$6:$G$205+(205-ROW(Inventory!$G$6:$G$205))/10000),0),""))),"")</f>
        <v/>
      </c>
      <c r="D102" s="41">
        <f>IFERROR(IF(IFERROR(AGGREGATE(14,6,(Inventory!$G$6:$G$205+(205-ROW(Inventory!$G$6:$G$205))/10000)/((Inventory!$G$6:$G$205&gt;0)*(Inventory!$H$6:$H$205="Local")),19),"")="","",INDEX(Inventory!$E$6:$E$205,IFERROR(MATCH(IFERROR(AGGREGATE(14,6,(Inventory!$G$6:$G$205+(205-ROW(Inventory!$G$6:$G$205))/10000)/((Inventory!$G$6:$G$205&gt;0)*(Inventory!$H$6:$H$205="Local")),19),""),(Inventory!$G$6:$G$205+(205-ROW(Inventory!$G$6:$G$205))/10000),0),""))),"")</f>
        <v/>
      </c>
      <c r="E102" s="41">
        <f>IFERROR(IF(IFERROR(AGGREGATE(14,6,(Inventory!$G$6:$G$205+(205-ROW(Inventory!$G$6:$G$205))/10000)/((Inventory!$G$6:$G$205&gt;0)*(Inventory!$H$6:$H$205="Local")),19),"")="","",INDEX(Inventory!$F$6:$F$205,IFERROR(MATCH(IFERROR(AGGREGATE(14,6,(Inventory!$G$6:$G$205+(205-ROW(Inventory!$G$6:$G$205))/10000)/((Inventory!$G$6:$G$205&gt;0)*(Inventory!$H$6:$H$205="Local")),19),""),(Inventory!$G$6:$G$205+(205-ROW(Inventory!$G$6:$G$205))/10000),0),""))),"")</f>
        <v/>
      </c>
      <c r="F102" s="41">
        <f>IFERROR(IF(IFERROR(AGGREGATE(14,6,(Inventory!$G$6:$G$205+(205-ROW(Inventory!$G$6:$G$205))/10000)/((Inventory!$G$6:$G$205&gt;0)*(Inventory!$H$6:$H$205="Local")),19),"")="","",INDEX(Inventory!$J$6:$J$205,IFERROR(MATCH(IFERROR(AGGREGATE(14,6,(Inventory!$G$6:$G$205+(205-ROW(Inventory!$G$6:$G$205))/10000)/((Inventory!$G$6:$G$205&gt;0)*(Inventory!$H$6:$H$205="Local")),19),""),(Inventory!$G$6:$G$205+(205-ROW(Inventory!$G$6:$G$205))/10000),0),""))),"")</f>
        <v/>
      </c>
      <c r="G102" s="43">
        <f>IFERROR(IF(IFERROR(AGGREGATE(14,6,(Inventory!$G$6:$G$205+(205-ROW(Inventory!$G$6:$G$205))/10000)/((Inventory!$G$6:$G$205&gt;0)*(Inventory!$H$6:$H$205="Local")),19),"")="","",INDEX(Inventory!$J$6:$J$205,IFERROR(MATCH(IFERROR(AGGREGATE(14,6,(Inventory!$G$6:$G$205+(205-ROW(Inventory!$G$6:$G$205))/10000)/((Inventory!$G$6:$G$205&gt;0)*(Inventory!$H$6:$H$205="Local")),19),""),(Inventory!$G$6:$G$205+(205-ROW(Inventory!$G$6:$G$205))/10000),0),""))*INDEX(Inventory!$I$6:$I$205,IFERROR(MATCH(IFERROR(AGGREGATE(14,6,(Inventory!$G$6:$G$205+(205-ROW(Inventory!$G$6:$G$205))/10000)/((Inventory!$G$6:$G$205&gt;0)*(Inventory!$H$6:$H$205="Local")),19),""),(Inventory!$G$6:$G$205+(205-ROW(Inventory!$G$6:$G$205))/10000),0),""))),"")</f>
        <v/>
      </c>
    </row>
    <row r="103" ht="14" customHeight="1">
      <c r="A103" s="46">
        <f>IFERROR(IF(IFERROR(AGGREGATE(14,6,(Inventory!$G$6:$G$205+(205-ROW(Inventory!$G$6:$G$205))/10000)/((Inventory!$G$6:$G$205&gt;0)*(Inventory!$H$6:$H$205="Local")),20),"")="","",INDEX(Inventory!$A$6:$A$205,IFERROR(MATCH(IFERROR(AGGREGATE(14,6,(Inventory!$G$6:$G$205+(205-ROW(Inventory!$G$6:$G$205))/10000)/((Inventory!$G$6:$G$205&gt;0)*(Inventory!$H$6:$H$205="Local")),20),""),(Inventory!$G$6:$G$205+(205-ROW(Inventory!$G$6:$G$205))/10000),0),""))),"")</f>
        <v/>
      </c>
      <c r="B103" s="46">
        <f>IFERROR(IF(IFERROR(AGGREGATE(14,6,(Inventory!$G$6:$G$205+(205-ROW(Inventory!$G$6:$G$205))/10000)/((Inventory!$G$6:$G$205&gt;0)*(Inventory!$H$6:$H$205="Local")),20),"")="","",INDEX(Inventory!$B$6:$B$205,IFERROR(MATCH(IFERROR(AGGREGATE(14,6,(Inventory!$G$6:$G$205+(205-ROW(Inventory!$G$6:$G$205))/10000)/((Inventory!$G$6:$G$205&gt;0)*(Inventory!$H$6:$H$205="Local")),20),""),(Inventory!$G$6:$G$205+(205-ROW(Inventory!$G$6:$G$205))/10000),0),""))),"")</f>
        <v/>
      </c>
      <c r="C103" s="46">
        <f>IFERROR(IF(IFERROR(AGGREGATE(14,6,(Inventory!$G$6:$G$205+(205-ROW(Inventory!$G$6:$G$205))/10000)/((Inventory!$G$6:$G$205&gt;0)*(Inventory!$H$6:$H$205="Local")),20),"")="","",INDEX(Inventory!$D$6:$D$205,IFERROR(MATCH(IFERROR(AGGREGATE(14,6,(Inventory!$G$6:$G$205+(205-ROW(Inventory!$G$6:$G$205))/10000)/((Inventory!$G$6:$G$205&gt;0)*(Inventory!$H$6:$H$205="Local")),20),""),(Inventory!$G$6:$G$205+(205-ROW(Inventory!$G$6:$G$205))/10000),0),""))),"")</f>
        <v/>
      </c>
      <c r="D103" s="41">
        <f>IFERROR(IF(IFERROR(AGGREGATE(14,6,(Inventory!$G$6:$G$205+(205-ROW(Inventory!$G$6:$G$205))/10000)/((Inventory!$G$6:$G$205&gt;0)*(Inventory!$H$6:$H$205="Local")),20),"")="","",INDEX(Inventory!$E$6:$E$205,IFERROR(MATCH(IFERROR(AGGREGATE(14,6,(Inventory!$G$6:$G$205+(205-ROW(Inventory!$G$6:$G$205))/10000)/((Inventory!$G$6:$G$205&gt;0)*(Inventory!$H$6:$H$205="Local")),20),""),(Inventory!$G$6:$G$205+(205-ROW(Inventory!$G$6:$G$205))/10000),0),""))),"")</f>
        <v/>
      </c>
      <c r="E103" s="41">
        <f>IFERROR(IF(IFERROR(AGGREGATE(14,6,(Inventory!$G$6:$G$205+(205-ROW(Inventory!$G$6:$G$205))/10000)/((Inventory!$G$6:$G$205&gt;0)*(Inventory!$H$6:$H$205="Local")),20),"")="","",INDEX(Inventory!$F$6:$F$205,IFERROR(MATCH(IFERROR(AGGREGATE(14,6,(Inventory!$G$6:$G$205+(205-ROW(Inventory!$G$6:$G$205))/10000)/((Inventory!$G$6:$G$205&gt;0)*(Inventory!$H$6:$H$205="Local")),20),""),(Inventory!$G$6:$G$205+(205-ROW(Inventory!$G$6:$G$205))/10000),0),""))),"")</f>
        <v/>
      </c>
      <c r="F103" s="41">
        <f>IFERROR(IF(IFERROR(AGGREGATE(14,6,(Inventory!$G$6:$G$205+(205-ROW(Inventory!$G$6:$G$205))/10000)/((Inventory!$G$6:$G$205&gt;0)*(Inventory!$H$6:$H$205="Local")),20),"")="","",INDEX(Inventory!$J$6:$J$205,IFERROR(MATCH(IFERROR(AGGREGATE(14,6,(Inventory!$G$6:$G$205+(205-ROW(Inventory!$G$6:$G$205))/10000)/((Inventory!$G$6:$G$205&gt;0)*(Inventory!$H$6:$H$205="Local")),20),""),(Inventory!$G$6:$G$205+(205-ROW(Inventory!$G$6:$G$205))/10000),0),""))),"")</f>
        <v/>
      </c>
      <c r="G103" s="43">
        <f>IFERROR(IF(IFERROR(AGGREGATE(14,6,(Inventory!$G$6:$G$205+(205-ROW(Inventory!$G$6:$G$205))/10000)/((Inventory!$G$6:$G$205&gt;0)*(Inventory!$H$6:$H$205="Local")),20),"")="","",INDEX(Inventory!$J$6:$J$205,IFERROR(MATCH(IFERROR(AGGREGATE(14,6,(Inventory!$G$6:$G$205+(205-ROW(Inventory!$G$6:$G$205))/10000)/((Inventory!$G$6:$G$205&gt;0)*(Inventory!$H$6:$H$205="Local")),20),""),(Inventory!$G$6:$G$205+(205-ROW(Inventory!$G$6:$G$205))/10000),0),""))*INDEX(Inventory!$I$6:$I$205,IFERROR(MATCH(IFERROR(AGGREGATE(14,6,(Inventory!$G$6:$G$205+(205-ROW(Inventory!$G$6:$G$205))/10000)/((Inventory!$G$6:$G$205&gt;0)*(Inventory!$H$6:$H$205="Local")),20),""),(Inventory!$G$6:$G$205+(205-ROW(Inventory!$G$6:$G$205))/10000),0),""))),"")</f>
        <v/>
      </c>
    </row>
    <row r="104" ht="20" customHeight="1">
      <c r="A104" s="48" t="inlineStr">
        <is>
          <t>Local order total:</t>
        </is>
      </c>
      <c r="G104" s="49">
        <f>SUMPRODUCT((Inventory!H6:H205="Local")*(Inventory!G6:G205&gt;0)*Inventory!J6:J205*Inventory!I6:I205)</f>
        <v/>
      </c>
    </row>
  </sheetData>
  <mergeCells count="12">
    <mergeCell ref="A54:F54"/>
    <mergeCell ref="J2:L2"/>
    <mergeCell ref="D2:I2"/>
    <mergeCell ref="A56:G56"/>
    <mergeCell ref="A31:G31"/>
    <mergeCell ref="A104:F104"/>
    <mergeCell ref="A6:G6"/>
    <mergeCell ref="A4:G4"/>
    <mergeCell ref="A79:F79"/>
    <mergeCell ref="A81:G81"/>
    <mergeCell ref="A29:F29"/>
    <mergeCell ref="A2:C2"/>
  </mergeCells>
  <pageMargins left="0.4" right="0.4" top="0.5" bottom="0.5" header="0.5" footer="0.5"/>
  <pageSetup orientation="portrait" paperSize="1" fitToHeight="0" fitToWidth="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4" customWidth="1" min="3" max="3"/>
    <col width="32" customWidth="1" min="4" max="4"/>
    <col width="24" customWidth="1" min="5" max="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HYPERLINK("#'Vendor Quick Order'!A1", "← BACK")</f>
        <v/>
      </c>
      <c r="B2" s="12" t="n"/>
      <c r="C2" s="12" t="n"/>
      <c r="D2" s="36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Active year · property list · vendor list · category list</t>
        </is>
      </c>
    </row>
    <row r="5" ht="18" customHeight="1">
      <c r="A5" s="50" t="inlineStr">
        <is>
          <t>Active year (informational):</t>
        </is>
      </c>
      <c r="B5" s="51" t="n">
        <v>2026</v>
      </c>
    </row>
    <row r="6" ht="24" customHeight="1">
      <c r="A6" s="52" t="inlineStr">
        <is>
          <t>Inventory state is real-time (not year-locked) — this cell is informational and used in archive labels.</t>
        </is>
      </c>
    </row>
    <row r="7" ht="16" customHeight="1">
      <c r="A7" s="50" t="inlineStr">
        <is>
          <t>Property list (used in Inventory dropdown):</t>
        </is>
      </c>
      <c r="B7" s="39" t="n"/>
    </row>
    <row r="8" ht="16" customHeight="1">
      <c r="B8" s="39" t="n"/>
    </row>
    <row r="9" ht="16" customHeight="1">
      <c r="B9" s="39" t="n"/>
    </row>
    <row r="10" ht="16" customHeight="1">
      <c r="B10" s="39" t="n"/>
    </row>
    <row r="11" ht="16" customHeight="1">
      <c r="B11" s="39" t="n"/>
    </row>
    <row r="12" ht="16" customHeight="1">
      <c r="B12" s="39" t="n"/>
    </row>
    <row r="13" ht="16" customHeight="1">
      <c r="B13" s="39" t="n"/>
    </row>
    <row r="14" ht="16" customHeight="1">
      <c r="B14" s="39" t="n"/>
    </row>
    <row r="15" ht="16" customHeight="1">
      <c r="B15" s="39" t="n"/>
    </row>
    <row r="16" ht="16" customHeight="1">
      <c r="B16" s="39" t="n"/>
    </row>
    <row r="18" ht="16" customHeight="1">
      <c r="A18" s="50" t="inlineStr">
        <is>
          <t>Vendor list (used in Inventory dropdown):</t>
        </is>
      </c>
      <c r="B18" s="39" t="n"/>
    </row>
    <row r="19" ht="16" customHeight="1">
      <c r="B19" s="39" t="n"/>
    </row>
    <row r="20" ht="16" customHeight="1">
      <c r="B20" s="39" t="n"/>
    </row>
    <row r="21" ht="16" customHeight="1">
      <c r="B21" s="39" t="n"/>
    </row>
    <row r="22" ht="16" customHeight="1">
      <c r="B22" s="39" t="n"/>
    </row>
    <row r="23" ht="16" customHeight="1">
      <c r="B23" s="39" t="n"/>
    </row>
    <row r="24" ht="16" customHeight="1">
      <c r="B24" s="39" t="n"/>
    </row>
    <row r="25" ht="16" customHeight="1">
      <c r="B25" s="39" t="n"/>
    </row>
    <row r="26" ht="16" customHeight="1">
      <c r="B26" s="39" t="n"/>
    </row>
    <row r="27" ht="16" customHeight="1">
      <c r="B27" s="39" t="n"/>
    </row>
    <row r="28" ht="8" customHeight="1"/>
    <row r="29" ht="16" customHeight="1">
      <c r="A29" s="50" t="inlineStr">
        <is>
          <t>Category list (locked — used in Inventory dropdown):</t>
        </is>
      </c>
      <c r="B29" s="46" t="inlineStr">
        <is>
          <t>Linens</t>
        </is>
      </c>
    </row>
    <row r="30" ht="16" customHeight="1">
      <c r="B30" s="46" t="inlineStr">
        <is>
          <t>Bath</t>
        </is>
      </c>
    </row>
    <row r="31" ht="16" customHeight="1">
      <c r="B31" s="46" t="inlineStr">
        <is>
          <t>Kitchen</t>
        </is>
      </c>
    </row>
    <row r="32" ht="16" customHeight="1">
      <c r="B32" s="46" t="inlineStr">
        <is>
          <t>Cleaning</t>
        </is>
      </c>
    </row>
    <row r="33" ht="16" customHeight="1">
      <c r="B33" s="46" t="inlineStr">
        <is>
          <t>Paper</t>
        </is>
      </c>
    </row>
    <row r="34" ht="16" customHeight="1">
      <c r="B34" s="46" t="inlineStr">
        <is>
          <t>Decor</t>
        </is>
      </c>
    </row>
    <row r="35" ht="16" customHeight="1">
      <c r="B35" s="46" t="inlineStr">
        <is>
          <t>Other</t>
        </is>
      </c>
    </row>
    <row r="38" ht="22" customHeight="1">
      <c r="A38" s="53" t="inlineStr">
        <is>
          <t>Year-end Archive</t>
        </is>
      </c>
    </row>
    <row r="39" ht="24" customHeight="1">
      <c r="A39" s="54" t="inlineStr">
        <is>
          <t>Each January, copy YTD totals into the row for the closing year. Inventory state itself is real-time and rolls forward.</t>
        </is>
      </c>
    </row>
    <row r="40" ht="18" customHeight="1">
      <c r="A40" s="38" t="inlineStr">
        <is>
          <t>Year</t>
        </is>
      </c>
      <c r="B40" s="38" t="inlineStr">
        <is>
          <t>Items Tracked</t>
        </is>
      </c>
      <c r="C40" s="38" t="inlineStr">
        <is>
          <t>$ Spent on Restocks</t>
        </is>
      </c>
      <c r="D40" s="38" t="inlineStr">
        <is>
          <t>Notes</t>
        </is>
      </c>
    </row>
    <row r="41" ht="16" customHeight="1">
      <c r="A41" s="55" t="n">
        <v>2024</v>
      </c>
      <c r="B41" s="56" t="n"/>
      <c r="C41" s="57" t="n"/>
      <c r="D41" s="39" t="n"/>
    </row>
    <row r="42" ht="16" customHeight="1">
      <c r="A42" s="55" t="n">
        <v>2025</v>
      </c>
      <c r="B42" s="56" t="n"/>
      <c r="C42" s="57" t="n"/>
      <c r="D42" s="39" t="n"/>
    </row>
    <row r="43" ht="16" customHeight="1">
      <c r="A43" s="55" t="n">
        <v>2026</v>
      </c>
      <c r="B43" s="56" t="n"/>
      <c r="C43" s="57" t="n"/>
      <c r="D43" s="39" t="n"/>
    </row>
    <row r="44" ht="16" customHeight="1">
      <c r="A44" s="55" t="n">
        <v>2027</v>
      </c>
      <c r="B44" s="56" t="n"/>
      <c r="C44" s="57" t="n"/>
      <c r="D44" s="39" t="n"/>
    </row>
    <row r="45" ht="16" customHeight="1">
      <c r="A45" s="55" t="n">
        <v>2028</v>
      </c>
      <c r="B45" s="56" t="n"/>
      <c r="C45" s="57" t="n"/>
      <c r="D45" s="39" t="n"/>
    </row>
    <row r="46" ht="16" customHeight="1">
      <c r="A46" s="55" t="n">
        <v>2029</v>
      </c>
      <c r="B46" s="56" t="n"/>
      <c r="C46" s="57" t="n"/>
      <c r="D46" s="39" t="n"/>
    </row>
    <row r="47" ht="16" customHeight="1">
      <c r="A47" s="55" t="n">
        <v>2030</v>
      </c>
      <c r="B47" s="56" t="n"/>
      <c r="C47" s="57" t="n"/>
      <c r="D47" s="39" t="n"/>
    </row>
  </sheetData>
  <mergeCells count="5">
    <mergeCell ref="D2:L2"/>
    <mergeCell ref="A39:E39"/>
    <mergeCell ref="A6:E6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Supply Inventory + Par-Level Restock (BLANK) — The STR Ledger</dc:title>
  <dc:description xmlns:dc="http://purl.org/dc/elements/1.1/">Per-property consumables register with par-level restock alerts (v2.2).</dc:description>
  <dcterms:created xmlns:dcterms="http://purl.org/dc/terms/" xmlns:xsi="http://www.w3.org/2001/XMLSchema-instance" xsi:type="dcterms:W3CDTF">2026-05-03T19:06:28Z</dcterms:created>
  <dcterms:modified xmlns:dcterms="http://purl.org/dc/terms/" xmlns:xsi="http://www.w3.org/2001/XMLSchema-instance" xsi:type="dcterms:W3CDTF">2026-05-03T19:06:29Z</dcterms:modified>
</cp:coreProperties>
</file>