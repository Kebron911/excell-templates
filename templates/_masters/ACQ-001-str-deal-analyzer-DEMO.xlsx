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roperty" sheetId="2" state="visible" r:id="rId2"/>
    <sheet xmlns:r="http://schemas.openxmlformats.org/officeDocument/2006/relationships" name="Market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Finance" sheetId="5" state="visible" r:id="rId5"/>
    <sheet xmlns:r="http://schemas.openxmlformats.org/officeDocument/2006/relationships" name="Verdict" sheetId="6" state="visible" r:id="rId6"/>
    <sheet xmlns:r="http://schemas.openxmlformats.org/officeDocument/2006/relationships" name="CPA Summary" sheetId="7" state="visible" r:id="rId7"/>
  </sheets>
  <definedNames>
    <definedName name="_xlnm.Print_Area" localSheetId="0">'Start'!$A$1:$L$37</definedName>
    <definedName name="_xlnm.Print_Area" localSheetId="6">'CPA Summary'!$A$1:$E$40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"/>
    <numFmt numFmtId="166" formatCode="0.0%"/>
    <numFmt numFmtId="167" formatCode="0.000%"/>
    <numFmt numFmtId="168" formatCode="&quot;$&quot;#,##0.00"/>
  </numFmts>
  <fonts count="3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12304E"/>
      <sz val="10"/>
    </font>
    <font>
      <name val="Georgia"/>
      <b val="1"/>
      <color rgb="00C9A24B"/>
      <sz val="36"/>
    </font>
    <font>
      <name val="Consolas"/>
      <b val="1"/>
      <color rgb="0012304E"/>
      <sz val="9"/>
    </font>
    <font>
      <name val="Consolas"/>
      <b val="1"/>
      <color rgb="00C9A24B"/>
      <sz val="9"/>
    </font>
    <font>
      <name val="Georgia"/>
      <b val="1"/>
      <color rgb="0012304E"/>
      <sz val="24"/>
    </font>
    <font>
      <name val="Georgia"/>
      <b val="1"/>
      <color rgb="00C9A24B"/>
      <sz val="24"/>
    </font>
    <font>
      <name val="Georgia"/>
      <b val="1"/>
      <color rgb="0012304E"/>
      <sz val="14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7280"/>
      <sz val="9"/>
    </font>
    <font>
      <name val="Calibri"/>
      <color rgb="002B2B2B"/>
      <sz val="10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Georgia"/>
      <b val="1"/>
      <color rgb="00C9A24B"/>
      <sz val="12"/>
    </font>
    <font>
      <name val="Georgia"/>
      <b val="1"/>
      <color rgb="00B5725E"/>
      <sz val="12"/>
    </font>
    <font>
      <name val="Georgia"/>
      <b val="1"/>
      <color rgb="00C9A24B"/>
      <sz val="20"/>
    </font>
    <font>
      <name val="Georgia"/>
      <b val="1"/>
      <color rgb="0012304E"/>
      <sz val="20"/>
    </font>
    <font>
      <b val="1"/>
      <sz val="11"/>
    </font>
    <font>
      <b val="1"/>
      <color rgb="0012304E"/>
      <sz val="11"/>
    </font>
    <font>
      <b val="1"/>
      <color rgb="00C9A24B"/>
      <sz val="11"/>
    </font>
    <font>
      <name val="Georgia"/>
      <b val="1"/>
      <color rgb="00C9A24B"/>
      <sz val="18"/>
    </font>
    <font>
      <name val="Calibri"/>
      <i val="1"/>
      <color rgb="0012304E"/>
      <sz val="11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164" fontId="10" fillId="3" borderId="0" applyAlignment="1" pivotButton="0" quotePrefix="0" xfId="0">
      <alignment horizontal="center" vertical="center"/>
    </xf>
    <xf numFmtId="164" fontId="11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4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5" fillId="4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right" vertical="center" indent="2"/>
    </xf>
    <xf numFmtId="0" fontId="19" fillId="3" borderId="0" applyAlignment="1" pivotButton="0" quotePrefix="0" xfId="0">
      <alignment horizontal="left" vertical="center" indent="1"/>
    </xf>
    <xf numFmtId="0" fontId="20" fillId="2" borderId="0" applyAlignment="1" pivotButton="0" quotePrefix="0" xfId="0">
      <alignment horizontal="left" vertical="center" indent="2"/>
    </xf>
    <xf numFmtId="0" fontId="21" fillId="0" borderId="0" applyAlignment="1" pivotButton="0" quotePrefix="0" xfId="0">
      <alignment horizontal="right" vertical="center" indent="1"/>
    </xf>
    <xf numFmtId="0" fontId="22" fillId="5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indent="1"/>
    </xf>
    <xf numFmtId="1" fontId="22" fillId="5" borderId="0" applyAlignment="1" pivotButton="0" quotePrefix="0" xfId="0">
      <alignment horizontal="center" vertical="center"/>
    </xf>
    <xf numFmtId="165" fontId="22" fillId="5" borderId="0" applyAlignment="1" pivotButton="0" quotePrefix="0" xfId="0">
      <alignment horizontal="center" vertical="center"/>
    </xf>
    <xf numFmtId="3" fontId="22" fillId="5" borderId="0" applyAlignment="1" pivotButton="0" quotePrefix="0" xfId="0">
      <alignment horizontal="center" vertical="center"/>
    </xf>
    <xf numFmtId="164" fontId="22" fillId="5" borderId="0" applyAlignment="1" pivotButton="0" quotePrefix="0" xfId="0">
      <alignment horizontal="center" vertical="center"/>
    </xf>
    <xf numFmtId="166" fontId="22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 indent="2"/>
    </xf>
    <xf numFmtId="0" fontId="24" fillId="7" borderId="0" applyAlignment="1" pivotButton="0" quotePrefix="0" xfId="0">
      <alignment horizontal="left" vertical="top" wrapText="1" indent="2"/>
    </xf>
    <xf numFmtId="167" fontId="22" fillId="5" borderId="0" applyAlignment="1" pivotButton="0" quotePrefix="0" xfId="0">
      <alignment horizontal="center" vertical="center"/>
    </xf>
    <xf numFmtId="164" fontId="25" fillId="8" borderId="0" applyAlignment="1" pivotButton="0" quotePrefix="0" xfId="0">
      <alignment horizontal="center" vertical="center"/>
    </xf>
    <xf numFmtId="168" fontId="25" fillId="8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vertical="center" indent="1"/>
    </xf>
    <xf numFmtId="164" fontId="27" fillId="6" borderId="0" applyAlignment="1" pivotButton="0" quotePrefix="0" xfId="0">
      <alignment horizontal="center" vertical="center"/>
    </xf>
    <xf numFmtId="0" fontId="15" fillId="2" borderId="5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indent="1"/>
    </xf>
    <xf numFmtId="164" fontId="26" fillId="8" borderId="0" applyAlignment="1" pivotButton="0" quotePrefix="0" xfId="0">
      <alignment horizontal="center" vertical="center"/>
    </xf>
    <xf numFmtId="164" fontId="28" fillId="8" borderId="0" applyAlignment="1" pivotButton="0" quotePrefix="0" xfId="0">
      <alignment horizontal="center" vertical="center"/>
    </xf>
    <xf numFmtId="164" fontId="29" fillId="8" borderId="0" applyAlignment="1" pivotButton="0" quotePrefix="0" xfId="0">
      <alignment horizontal="center" vertical="center"/>
    </xf>
    <xf numFmtId="166" fontId="25" fillId="8" borderId="0" applyAlignment="1" pivotButton="0" quotePrefix="0" xfId="0">
      <alignment horizontal="center" vertical="center"/>
    </xf>
    <xf numFmtId="2" fontId="25" fillId="8" borderId="0" applyAlignment="1" pivotButton="0" quotePrefix="0" xfId="0">
      <alignment horizontal="center" vertical="center"/>
    </xf>
    <xf numFmtId="0" fontId="30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 wrapText="1"/>
    </xf>
    <xf numFmtId="0" fontId="31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25" fillId="8" borderId="0" applyAlignment="1" pivotButton="0" quotePrefix="0" xfId="0">
      <alignment horizontal="center" vertical="center"/>
    </xf>
    <xf numFmtId="0" fontId="25" fillId="8" borderId="0" applyAlignment="1" pivotButton="0" quotePrefix="0" xfId="0">
      <alignment horizontal="center" vertical="center"/>
    </xf>
    <xf numFmtId="0" fontId="32" fillId="0" borderId="0" pivotButton="0" quotePrefix="0" xfId="0"/>
    <xf numFmtId="0" fontId="33" fillId="0" borderId="0" applyAlignment="1" pivotButton="0" quotePrefix="0" xfId="0">
      <alignment horizontal="center"/>
    </xf>
    <xf numFmtId="0" fontId="34" fillId="0" borderId="0" applyAlignment="1" pivotButton="0" quotePrefix="0" xfId="0">
      <alignment horizontal="center"/>
    </xf>
    <xf numFmtId="0" fontId="35" fillId="6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STR Deal Analyzer</t>
        </is>
      </c>
    </row>
    <row r="5" ht="22" customHeight="1">
      <c r="A5" s="4" t="inlineStr">
        <is>
          <t>Yes-or-no on a property in 10 minutes.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ACQ-001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>
        <f>IF(Property!C7="","(enter property on Property tab)",Property!C7)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8" t="inlineStr">
        <is>
          <t>VERDICT</t>
        </is>
      </c>
    </row>
    <row r="14" ht="30" customHeight="1">
      <c r="A14" s="9">
        <f>Verdict!A17</f>
        <v/>
      </c>
    </row>
    <row r="15" ht="24" customHeight="1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18" customHeight="1">
      <c r="A17" s="10" t="inlineStr">
        <is>
          <t>Y1 ANNUAL CASH FLOW</t>
        </is>
      </c>
      <c r="G17" s="11" t="inlineStr">
        <is>
          <t>STABILIZED CASH FLOW</t>
        </is>
      </c>
    </row>
    <row r="18" ht="28" customHeight="1">
      <c r="A18" s="12">
        <f>Verdict!C10</f>
        <v/>
      </c>
      <c r="G18" s="13">
        <f>Verdict!D10</f>
        <v/>
      </c>
    </row>
    <row r="19" ht="18" customHeight="1"/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24" customHeight="1">
      <c r="A21" s="14">
        <f>Verdict!A22</f>
        <v/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4" ht="22" customHeight="1">
      <c r="A24" s="15">
        <f>HYPERLINK("#'Property'!A1", "Property")</f>
        <v/>
      </c>
      <c r="B24" s="16" t="n"/>
      <c r="C24" s="16" t="n"/>
      <c r="D24" s="15">
        <f>HYPERLINK("#'Market'!A1", "Market")</f>
        <v/>
      </c>
      <c r="E24" s="16" t="n"/>
      <c r="F24" s="16" t="n"/>
      <c r="G24" s="15">
        <f>HYPERLINK("#'Costs'!A1", "Costs")</f>
        <v/>
      </c>
      <c r="H24" s="16" t="n"/>
      <c r="I24" s="16" t="n"/>
      <c r="J24" s="15">
        <f>HYPERLINK("#'Finance'!A1", "Finance")</f>
        <v/>
      </c>
      <c r="K24" s="16" t="n"/>
      <c r="L24" s="16" t="n"/>
    </row>
    <row r="25" ht="22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</row>
    <row r="26" ht="22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8" ht="22" customHeight="1">
      <c r="A28" s="17">
        <f>HYPERLINK("#'Verdict'!A1", "→  Verdict + Stress Test")</f>
        <v/>
      </c>
      <c r="B28" s="18" t="n"/>
      <c r="C28" s="18" t="n"/>
      <c r="D28" s="18" t="n"/>
      <c r="E28" s="18" t="n"/>
      <c r="F28" s="18" t="n"/>
      <c r="G28" s="19">
        <f>HYPERLINK("#'CPA Summary'!A1", "CPA / Partner Summary")</f>
        <v/>
      </c>
      <c r="H28" s="20" t="n"/>
      <c r="I28" s="20" t="n"/>
      <c r="J28" s="20" t="n"/>
      <c r="K28" s="20" t="n"/>
      <c r="L28" s="20" t="n"/>
    </row>
    <row r="29" ht="22" customHeight="1">
      <c r="A29" s="18" t="n"/>
      <c r="B29" s="18" t="n"/>
      <c r="C29" s="18" t="n"/>
      <c r="D29" s="18" t="n"/>
      <c r="E29" s="18" t="n"/>
      <c r="F29" s="18" t="n"/>
      <c r="G29" s="20" t="n"/>
      <c r="H29" s="20" t="n"/>
      <c r="I29" s="20" t="n"/>
      <c r="J29" s="20" t="n"/>
      <c r="K29" s="20" t="n"/>
      <c r="L29" s="20" t="n"/>
    </row>
    <row r="30" ht="22" customHeight="1">
      <c r="A30" s="18" t="n"/>
      <c r="B30" s="18" t="n"/>
      <c r="C30" s="18" t="n"/>
      <c r="D30" s="18" t="n"/>
      <c r="E30" s="18" t="n"/>
      <c r="F30" s="18" t="n"/>
      <c r="G30" s="20" t="n"/>
      <c r="H30" s="20" t="n"/>
      <c r="I30" s="20" t="n"/>
      <c r="J30" s="20" t="n"/>
      <c r="K30" s="20" t="n"/>
      <c r="L30" s="20" t="n"/>
    </row>
    <row r="33" ht="36" customHeight="1">
      <c r="A33" s="21" t="inlineStr">
        <is>
          <t>💡  Underwriting multiple properties? Get the 3-Property Side-by-Side at thestrledger.com — $67, or grab the Acquisition Bundle for $147.</t>
        </is>
      </c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</row>
    <row r="36" ht="18" customHeight="1">
      <c r="A36" s="23" t="inlineStr">
        <is>
          <t>Questions? hello@thestrledger.com</t>
        </is>
      </c>
    </row>
    <row r="37" ht="18" customHeight="1">
      <c r="A37" s="24" t="inlineStr">
        <is>
          <t>ACQ-001 · v1.0 · DEMO · Free updates forever</t>
        </is>
      </c>
    </row>
  </sheetData>
  <mergeCells count="21">
    <mergeCell ref="A7:L7"/>
    <mergeCell ref="A37:L37"/>
    <mergeCell ref="J24:L26"/>
    <mergeCell ref="A21:L21"/>
    <mergeCell ref="A2:F2"/>
    <mergeCell ref="G28:L30"/>
    <mergeCell ref="G24:I26"/>
    <mergeCell ref="A33:L33"/>
    <mergeCell ref="A5:L5"/>
    <mergeCell ref="A17:F17"/>
    <mergeCell ref="A4:L4"/>
    <mergeCell ref="D24:F26"/>
    <mergeCell ref="A13:L13"/>
    <mergeCell ref="A28:F30"/>
    <mergeCell ref="A24:C26"/>
    <mergeCell ref="A18:F19"/>
    <mergeCell ref="A11:L11"/>
    <mergeCell ref="G18:L19"/>
    <mergeCell ref="A36:L36"/>
    <mergeCell ref="G17:L17"/>
    <mergeCell ref="A14:L15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HYPERLINK("#'Start'!A1", "← BACK")</f>
        <v/>
      </c>
      <c r="B2" s="16" t="n"/>
      <c r="C2" s="16" t="n"/>
      <c r="D2" s="25" t="inlineStr">
        <is>
          <t>PROPERTY</t>
        </is>
      </c>
      <c r="J2" s="17">
        <f>HYPERLINK("#'Market'!A1",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1 of 4 — what you're underwriting</t>
        </is>
      </c>
    </row>
    <row r="6" ht="24" customHeight="1">
      <c r="A6" s="27" t="inlineStr">
        <is>
          <t>PROPERTY</t>
        </is>
      </c>
    </row>
    <row r="7" ht="18" customHeight="1">
      <c r="B7" s="28" t="inlineStr">
        <is>
          <t>Property name:</t>
        </is>
      </c>
      <c r="C7" s="29" t="inlineStr">
        <is>
          <t>Smokies Ridge Cabin</t>
        </is>
      </c>
    </row>
    <row r="8" ht="18" customHeight="1">
      <c r="B8" s="28" t="inlineStr">
        <is>
          <t>Street address:</t>
        </is>
      </c>
      <c r="C8" s="29" t="inlineStr">
        <is>
          <t>123 Mountain Lane</t>
        </is>
      </c>
    </row>
    <row r="9" ht="18" customHeight="1">
      <c r="B9" s="28" t="inlineStr">
        <is>
          <t>City, State, Zip:</t>
        </is>
      </c>
      <c r="C9" s="29" t="inlineStr">
        <is>
          <t>Gatlinburg, TN 37738</t>
        </is>
      </c>
    </row>
    <row r="10" ht="18" customHeight="1">
      <c r="B10" s="28" t="inlineStr">
        <is>
          <t>Property type:</t>
        </is>
      </c>
      <c r="C10" s="29" t="inlineStr">
        <is>
          <t>Cabin</t>
        </is>
      </c>
      <c r="E10" s="30" t="inlineStr">
        <is>
          <t>Dropdown</t>
        </is>
      </c>
    </row>
    <row r="11" ht="18" customHeight="1">
      <c r="B11" s="28" t="inlineStr">
        <is>
          <t>Bedrooms:</t>
        </is>
      </c>
      <c r="C11" s="31" t="n">
        <v>3</v>
      </c>
    </row>
    <row r="12" ht="18" customHeight="1">
      <c r="B12" s="28" t="inlineStr">
        <is>
          <t>Bathrooms:</t>
        </is>
      </c>
      <c r="C12" s="32" t="n">
        <v>2</v>
      </c>
    </row>
    <row r="13" ht="18" customHeight="1">
      <c r="B13" s="28" t="inlineStr">
        <is>
          <t>Square feet:</t>
        </is>
      </c>
      <c r="C13" s="33" t="n">
        <v>1850</v>
      </c>
    </row>
    <row r="14" ht="18" customHeight="1">
      <c r="B14" s="28" t="inlineStr">
        <is>
          <t>Year built:</t>
        </is>
      </c>
      <c r="C14" s="31" t="n">
        <v>2014</v>
      </c>
    </row>
    <row r="15" ht="18" customHeight="1">
      <c r="B15" s="28" t="inlineStr">
        <is>
          <t>Lot type:</t>
        </is>
      </c>
      <c r="C15" s="29" t="inlineStr">
        <is>
          <t>Rural</t>
        </is>
      </c>
      <c r="E15" s="30" t="inlineStr">
        <is>
          <t>Dropdown — drives ADR adjustment intuition</t>
        </is>
      </c>
    </row>
    <row r="17" ht="18" customHeight="1">
      <c r="B17" s="28" t="inlineStr">
        <is>
          <t>Hot tub?</t>
        </is>
      </c>
      <c r="C17" s="29" t="inlineStr">
        <is>
          <t>Yes</t>
        </is>
      </c>
      <c r="E17" s="30" t="inlineStr">
        <is>
          <t>Yes/No</t>
        </is>
      </c>
    </row>
    <row r="18" ht="18" customHeight="1">
      <c r="B18" s="28" t="inlineStr">
        <is>
          <t>View premium?</t>
        </is>
      </c>
      <c r="C18" s="29" t="inlineStr">
        <is>
          <t>Yes</t>
        </is>
      </c>
      <c r="E18" s="30" t="inlineStr">
        <is>
          <t>Yes/No</t>
        </is>
      </c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</row>
    <row r="22" ht="18" customHeight="1">
      <c r="A22" s="23" t="inlineStr">
        <is>
          <t>Questions? hello@thestrledger.com</t>
        </is>
      </c>
    </row>
    <row r="23" ht="18" customHeight="1">
      <c r="A23" s="24" t="inlineStr">
        <is>
          <t>ACQ-001 · Property</t>
        </is>
      </c>
    </row>
  </sheetData>
  <mergeCells count="11">
    <mergeCell ref="E17:L17"/>
    <mergeCell ref="E18:L18"/>
    <mergeCell ref="J2:L2"/>
    <mergeCell ref="D2:I2"/>
    <mergeCell ref="E15:L15"/>
    <mergeCell ref="A23:L23"/>
    <mergeCell ref="E10:L10"/>
    <mergeCell ref="A6:L6"/>
    <mergeCell ref="A22:L22"/>
    <mergeCell ref="A2:C2"/>
    <mergeCell ref="A4:L4"/>
  </mergeCells>
  <dataValidations count="4">
    <dataValidation sqref="C10" showDropDown="0" showInputMessage="0" showErrorMessage="0" allowBlank="1" type="list">
      <formula1>"Single-family,Cabin,Condo,Multi-unit,Glamping,Other"</formula1>
    </dataValidation>
    <dataValidation sqref="C15" showDropDown="0" showInputMessage="0" showErrorMessage="0" allowBlank="1" type="list">
      <formula1>"Urban,Suburban,Rural"</formula1>
    </dataValidation>
    <dataValidation sqref="C17" showDropDown="0" showInputMessage="0" showErrorMessage="0" allowBlank="1" type="list">
      <formula1>"Yes,No"</formula1>
    </dataValidation>
    <dataValidation sqref="C1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HYPERLINK("#'Property'!A1", "← BACK")</f>
        <v/>
      </c>
      <c r="B2" s="16" t="n"/>
      <c r="C2" s="16" t="n"/>
      <c r="D2" s="25" t="inlineStr">
        <is>
          <t>MARKET</t>
        </is>
      </c>
      <c r="J2" s="17">
        <f>HYPERLINK("#'Costs'!A1",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2 of 4 — ADR, occupancy, comp benchmarks</t>
        </is>
      </c>
    </row>
    <row r="6" ht="24" customHeight="1">
      <c r="A6" s="27" t="inlineStr">
        <is>
          <t>MARKET ASSUMPTIONS</t>
        </is>
      </c>
    </row>
    <row r="7" ht="18" customHeight="1">
      <c r="B7" s="28" t="inlineStr">
        <is>
          <t>ADR — Avg nightly rate ($):</t>
        </is>
      </c>
      <c r="C7" s="34" t="n">
        <v>285</v>
      </c>
      <c r="E7" s="30" t="inlineStr">
        <is>
          <t>Paste from AirDNA / verify with comps</t>
        </is>
      </c>
    </row>
    <row r="8" ht="18" customHeight="1">
      <c r="B8" s="28" t="inlineStr">
        <is>
          <t>Comp ADR (3-comp average, $):</t>
        </is>
      </c>
      <c r="C8" s="34" t="n">
        <v>268</v>
      </c>
      <c r="E8" s="30" t="inlineStr">
        <is>
          <t>Sanity check on your ADR assumption</t>
        </is>
      </c>
    </row>
    <row r="9" ht="18" customHeight="1">
      <c r="B9" s="28" t="inlineStr">
        <is>
          <t>Stabilized occupancy (%):</t>
        </is>
      </c>
      <c r="C9" s="35" t="n">
        <v>0.68</v>
      </c>
      <c r="E9" s="30" t="inlineStr">
        <is>
          <t>Year 2-3 expected</t>
        </is>
      </c>
    </row>
    <row r="10" ht="18" customHeight="1">
      <c r="B10" s="28" t="inlineStr">
        <is>
          <t>Year 1 occupancy (%):</t>
        </is>
      </c>
      <c r="C10" s="35" t="n">
        <v>0.44</v>
      </c>
      <c r="E10" s="30" t="inlineStr">
        <is>
          <t>Default ≈ 65% of stabilized (BiggerPockets consensus)</t>
        </is>
      </c>
    </row>
    <row r="11" ht="18" customHeight="1">
      <c r="B11" s="28" t="inlineStr">
        <is>
          <t>Avg length of stay (nights):</t>
        </is>
      </c>
      <c r="C11" s="32" t="n">
        <v>3.4</v>
      </c>
      <c r="E11" s="30" t="inlineStr">
        <is>
          <t>1.5-7 typical</t>
        </is>
      </c>
    </row>
    <row r="12" ht="18" customHeight="1">
      <c r="B12" s="28" t="inlineStr">
        <is>
          <t>Platform commission (%):</t>
        </is>
      </c>
      <c r="C12" s="35" t="n">
        <v>0.15</v>
      </c>
      <c r="E12" s="30" t="inlineStr">
        <is>
          <t>Airbnb 15%, VRBO 8%, direct 0-3%</t>
        </is>
      </c>
    </row>
    <row r="14" ht="20" customHeight="1">
      <c r="A14" s="36" t="inlineStr">
        <is>
          <t>📋  PASTE FROM AIRDNA / RABBU / KEYDATA</t>
        </is>
      </c>
    </row>
    <row r="15" ht="18" customHeight="1">
      <c r="A15" s="37" t="inlineStr">
        <is>
          <t>Pull market RevPAR, ADR, and occupancy from AirDNA Markets (or Rabbu / KeyData free comp). Look for the same beds/baths/lot type. Then haircut: if AirDNA shows median ADR, use the 25th-percentile ADR for Y1 here. AirDNA optimism is the #1 reason new STR investors get burned — the Verdict tab's stress test lives at AirDNA's 25th-percentile assumptions.</t>
        </is>
      </c>
    </row>
    <row r="16" ht="18" customHeight="1"/>
    <row r="17" ht="18" customHeight="1"/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</row>
    <row r="21" ht="18" customHeight="1">
      <c r="A21" s="23" t="inlineStr">
        <is>
          <t>Questions? hello@thestrledger.com</t>
        </is>
      </c>
    </row>
    <row r="22" ht="18" customHeight="1">
      <c r="A22" s="24" t="inlineStr">
        <is>
          <t>ACQ-001 · Market</t>
        </is>
      </c>
    </row>
  </sheetData>
  <mergeCells count="15">
    <mergeCell ref="E9:L9"/>
    <mergeCell ref="E12:L12"/>
    <mergeCell ref="J2:L2"/>
    <mergeCell ref="D2:I2"/>
    <mergeCell ref="A15:L17"/>
    <mergeCell ref="E7:L7"/>
    <mergeCell ref="E11:L11"/>
    <mergeCell ref="E10:L10"/>
    <mergeCell ref="A14:L14"/>
    <mergeCell ref="A6:L6"/>
    <mergeCell ref="A22:L22"/>
    <mergeCell ref="E8:L8"/>
    <mergeCell ref="A21:L21"/>
    <mergeCell ref="A2:C2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HYPERLINK("#'Market'!A1", "← BACK")</f>
        <v/>
      </c>
      <c r="B2" s="16" t="n"/>
      <c r="C2" s="16" t="n"/>
      <c r="D2" s="25" t="inlineStr">
        <is>
          <t>COSTS</t>
        </is>
      </c>
      <c r="J2" s="17">
        <f>HYPERLINK("#'Finance'!A1",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3 of 4 — operating costs (mirrors TAX-002 / FIN-002 structure)</t>
        </is>
      </c>
    </row>
    <row r="6" ht="24" customHeight="1">
      <c r="A6" s="27" t="inlineStr">
        <is>
          <t>ANNUAL FIXED COSTS</t>
        </is>
      </c>
    </row>
    <row r="7" ht="18" customHeight="1">
      <c r="B7" s="28" t="inlineStr">
        <is>
          <t>Property tax (annual, $):</t>
        </is>
      </c>
      <c r="C7" s="34" t="n">
        <v>5800</v>
      </c>
    </row>
    <row r="8" ht="18" customHeight="1">
      <c r="B8" s="28" t="inlineStr">
        <is>
          <t>Insurance (annual, $):</t>
        </is>
      </c>
      <c r="C8" s="34" t="n">
        <v>3400</v>
      </c>
      <c r="E8" s="30" t="inlineStr">
        <is>
          <t>STR rider included</t>
        </is>
      </c>
    </row>
    <row r="9" ht="18" customHeight="1">
      <c r="B9" s="28" t="inlineStr">
        <is>
          <t>HOA / Condo (annual, $):</t>
        </is>
      </c>
      <c r="C9" s="34" t="n">
        <v>0</v>
      </c>
    </row>
    <row r="10" ht="18" customHeight="1">
      <c r="B10" s="28" t="inlineStr">
        <is>
          <t>Utilities (annual, $):</t>
        </is>
      </c>
      <c r="C10" s="34" t="n">
        <v>2400</v>
      </c>
      <c r="E10" s="30" t="inlineStr">
        <is>
          <t>Electric/gas/water/trash combined</t>
        </is>
      </c>
    </row>
    <row r="11" ht="18" customHeight="1">
      <c r="B11" s="28" t="inlineStr">
        <is>
          <t>Internet (annual, $):</t>
        </is>
      </c>
      <c r="C11" s="34" t="n">
        <v>960</v>
      </c>
    </row>
    <row r="12" ht="18" customHeight="1">
      <c r="B12" s="28" t="inlineStr">
        <is>
          <t>Software / PMS (annual, $):</t>
        </is>
      </c>
      <c r="C12" s="34" t="n">
        <v>480</v>
      </c>
    </row>
    <row r="13" ht="18" customHeight="1">
      <c r="B13" s="28" t="inlineStr">
        <is>
          <t>Marketing (annual, $):</t>
        </is>
      </c>
      <c r="C13" s="34" t="n">
        <v>1200</v>
      </c>
      <c r="E13" s="30" t="inlineStr">
        <is>
          <t>Photos refresh, listing fees</t>
        </is>
      </c>
    </row>
    <row r="15" ht="24" customHeight="1">
      <c r="A15" s="27" t="inlineStr">
        <is>
          <t>PER-TURNOVER VARIABLE</t>
        </is>
      </c>
    </row>
    <row r="16" ht="18" customHeight="1">
      <c r="B16" s="28" t="inlineStr">
        <is>
          <t>Cleaning paid ($/turnover):</t>
        </is>
      </c>
      <c r="C16" s="34" t="n">
        <v>185</v>
      </c>
    </row>
    <row r="17" ht="18" customHeight="1">
      <c r="B17" s="28" t="inlineStr">
        <is>
          <t>Supplies ($/turnover):</t>
        </is>
      </c>
      <c r="C17" s="34" t="n">
        <v>35</v>
      </c>
    </row>
    <row r="19" ht="24" customHeight="1">
      <c r="A19" s="27" t="inlineStr">
        <is>
          <t>RESERVES &amp; MGMT (% OF REVENUE)</t>
        </is>
      </c>
    </row>
    <row r="20" ht="18" customHeight="1">
      <c r="B20" s="28" t="inlineStr">
        <is>
          <t>Management fee (%):</t>
        </is>
      </c>
      <c r="C20" s="35" t="n">
        <v>0</v>
      </c>
      <c r="E20" s="30" t="inlineStr">
        <is>
          <t>0% if self-managed; 15-25% with a PM</t>
        </is>
      </c>
    </row>
    <row r="21" ht="18" customHeight="1">
      <c r="B21" s="28" t="inlineStr">
        <is>
          <t>Maintenance reserve (%):</t>
        </is>
      </c>
      <c r="C21" s="35" t="n">
        <v>0.05</v>
      </c>
      <c r="E21" s="30" t="inlineStr">
        <is>
          <t>5% typical</t>
        </is>
      </c>
    </row>
    <row r="22" ht="18" customHeight="1">
      <c r="B22" s="28" t="inlineStr">
        <is>
          <t>CapEx reserve (%):</t>
        </is>
      </c>
      <c r="C22" s="35" t="n">
        <v>0.03</v>
      </c>
      <c r="E22" s="30" t="inlineStr">
        <is>
          <t>3% typical</t>
        </is>
      </c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8" customHeight="1">
      <c r="A26" s="23" t="inlineStr">
        <is>
          <t>Questions? hello@thestrledger.com</t>
        </is>
      </c>
    </row>
    <row r="27" ht="18" customHeight="1">
      <c r="A27" s="24" t="inlineStr">
        <is>
          <t>ACQ-001 · Costs</t>
        </is>
      </c>
    </row>
  </sheetData>
  <mergeCells count="15">
    <mergeCell ref="A26:L26"/>
    <mergeCell ref="A27:L27"/>
    <mergeCell ref="J2:L2"/>
    <mergeCell ref="D2:I2"/>
    <mergeCell ref="A15:L15"/>
    <mergeCell ref="E20:L20"/>
    <mergeCell ref="E21:L21"/>
    <mergeCell ref="A19:L19"/>
    <mergeCell ref="E10:L10"/>
    <mergeCell ref="A6:L6"/>
    <mergeCell ref="E13:L13"/>
    <mergeCell ref="E8:L8"/>
    <mergeCell ref="E22:L22"/>
    <mergeCell ref="A2:C2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5725E"/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HYPERLINK("#'Costs'!A1", "← BACK")</f>
        <v/>
      </c>
      <c r="B2" s="16" t="n"/>
      <c r="C2" s="16" t="n"/>
      <c r="D2" s="25" t="inlineStr">
        <is>
          <t>FINANCE</t>
        </is>
      </c>
      <c r="J2" s="17">
        <f>HYPERLINK("#'Verdict'!A1",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4 of 4 — purchase, loan, closing, rehab, furnishing</t>
        </is>
      </c>
    </row>
    <row r="6" ht="24" customHeight="1">
      <c r="A6" s="27" t="inlineStr">
        <is>
          <t>FINANCING</t>
        </is>
      </c>
    </row>
    <row r="7" ht="18" customHeight="1">
      <c r="B7" s="28" t="inlineStr">
        <is>
          <t>Purchase price ($):</t>
        </is>
      </c>
      <c r="C7" s="34" t="n">
        <v>485000</v>
      </c>
    </row>
    <row r="8" ht="18" customHeight="1">
      <c r="B8" s="28" t="inlineStr">
        <is>
          <t>Down payment (%):</t>
        </is>
      </c>
      <c r="C8" s="35" t="n">
        <v>0.25</v>
      </c>
      <c r="E8" s="30" t="inlineStr">
        <is>
          <t>20-25% typical for STR</t>
        </is>
      </c>
    </row>
    <row r="9" ht="18" customHeight="1">
      <c r="B9" s="28" t="inlineStr">
        <is>
          <t>Interest rate (%):</t>
        </is>
      </c>
      <c r="C9" s="38" t="n">
        <v>0.07000000000000001</v>
      </c>
    </row>
    <row r="10" ht="18" customHeight="1">
      <c r="B10" s="28" t="inlineStr">
        <is>
          <t>Term (years):</t>
        </is>
      </c>
      <c r="C10" s="31" t="n">
        <v>30</v>
      </c>
      <c r="E10" s="30" t="inlineStr">
        <is>
          <t>30 typical</t>
        </is>
      </c>
    </row>
    <row r="11" ht="18" customHeight="1">
      <c r="B11" s="28" t="inlineStr">
        <is>
          <t>Closing costs ($):</t>
        </is>
      </c>
      <c r="C11" s="34" t="n">
        <v>9000</v>
      </c>
      <c r="E11" s="30" t="inlineStr">
        <is>
          <t>2-3% of purchase typical</t>
        </is>
      </c>
    </row>
    <row r="12" ht="18" customHeight="1">
      <c r="B12" s="28" t="inlineStr">
        <is>
          <t>Rehab budget ($):</t>
        </is>
      </c>
      <c r="C12" s="34" t="n">
        <v>35000</v>
      </c>
    </row>
    <row r="13" ht="18" customHeight="1">
      <c r="B13" s="28" t="inlineStr">
        <is>
          <t>Furnishing budget ($):</t>
        </is>
      </c>
      <c r="C13" s="34" t="n">
        <v>25000</v>
      </c>
      <c r="E13" s="30" t="inlineStr">
        <is>
          <t>Cross-reference ACQ-002</t>
        </is>
      </c>
    </row>
    <row r="15" ht="24" customHeight="1">
      <c r="A15" s="27" t="inlineStr">
        <is>
          <t>DERIVED</t>
        </is>
      </c>
    </row>
    <row r="16" ht="18" customHeight="1">
      <c r="B16" s="28" t="inlineStr">
        <is>
          <t>Loan amount:</t>
        </is>
      </c>
      <c r="C16" s="39">
        <f>C7*(1-C8)</f>
        <v/>
      </c>
    </row>
    <row r="17" ht="18" customHeight="1">
      <c r="B17" s="28" t="inlineStr">
        <is>
          <t>Monthly P&amp;I:</t>
        </is>
      </c>
      <c r="C17" s="40">
        <f>IFERROR(PMT(C9/12,C10*12,-C16),0)</f>
        <v/>
      </c>
    </row>
    <row r="18" ht="18" customHeight="1">
      <c r="B18" s="28" t="inlineStr">
        <is>
          <t>Annual debt service (P&amp;I):</t>
        </is>
      </c>
      <c r="C18" s="39">
        <f>C17*12</f>
        <v/>
      </c>
    </row>
    <row r="19" ht="18" customHeight="1">
      <c r="B19" s="28" t="inlineStr">
        <is>
          <t>Annual mortgage interest (Y1 approx):</t>
        </is>
      </c>
      <c r="C19" s="39">
        <f>C16*C9</f>
        <v/>
      </c>
    </row>
    <row r="20" ht="22" customHeight="1">
      <c r="B20" s="41" t="inlineStr">
        <is>
          <t>Total cash to close:</t>
        </is>
      </c>
      <c r="C20" s="42">
        <f>C7*C8+C11+C12+C13</f>
        <v/>
      </c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8" customHeight="1">
      <c r="A24" s="23" t="inlineStr">
        <is>
          <t>Questions? hello@thestrledger.com</t>
        </is>
      </c>
    </row>
    <row r="25" ht="18" customHeight="1">
      <c r="A25" s="24" t="inlineStr">
        <is>
          <t>ACQ-001 · Finance</t>
        </is>
      </c>
    </row>
  </sheetData>
  <mergeCells count="12">
    <mergeCell ref="A24:L24"/>
    <mergeCell ref="J2:L2"/>
    <mergeCell ref="D2:I2"/>
    <mergeCell ref="A15:L15"/>
    <mergeCell ref="A25:L25"/>
    <mergeCell ref="E11:L11"/>
    <mergeCell ref="E10:L10"/>
    <mergeCell ref="A6:L6"/>
    <mergeCell ref="E13:L13"/>
    <mergeCell ref="E8:L8"/>
    <mergeCell ref="A2:C2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16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HYPERLINK("#'Finance'!A1", "← BACK")</f>
        <v/>
      </c>
      <c r="B2" s="16" t="n"/>
      <c r="C2" s="16" t="n"/>
      <c r="D2" s="25" t="inlineStr">
        <is>
          <t>VERDICT</t>
        </is>
      </c>
      <c r="J2" s="17">
        <f>HYPERLINK("#'CPA Summary'!A1",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6" t="inlineStr">
        <is>
          <t>Toggle Y1 vs Stabilized below. The Stress Test column compares your deal against AirDNA's pessimistic case.</t>
        </is>
      </c>
    </row>
    <row r="6" ht="24" customHeight="1">
      <c r="B6" s="43" t="inlineStr">
        <is>
          <t>Metric</t>
        </is>
      </c>
      <c r="C6" s="43" t="inlineStr">
        <is>
          <t>Year 1</t>
        </is>
      </c>
      <c r="D6" s="43" t="inlineStr">
        <is>
          <t>Stabilized</t>
        </is>
      </c>
      <c r="E6" s="43" t="inlineStr">
        <is>
          <t>Stress Test</t>
        </is>
      </c>
    </row>
    <row r="7" ht="20" customHeight="1">
      <c r="B7" s="44" t="inlineStr">
        <is>
          <t>Gross revenue:</t>
        </is>
      </c>
      <c r="C7" s="39">
        <f>((Market!C7)*(Market!C10)*365*(1-Market!C12))</f>
        <v/>
      </c>
      <c r="D7" s="39">
        <f>((Market!C7)*(Market!C9)*365*(1-Market!C12))</f>
        <v/>
      </c>
      <c r="E7" s="39">
        <f>((Market!C7*0.9)*(Market!C9*0.85)*365*(1-Market!C12))</f>
        <v/>
      </c>
    </row>
    <row r="8" ht="20" customHeight="1">
      <c r="B8" s="44" t="inlineStr">
        <is>
          <t>NOI (operating profit):</t>
        </is>
      </c>
      <c r="C8" s="39">
        <f>(((Market!C7)*(Market!C10)*365*(1-Market!C12))-(SUM(Costs!C7:C13))-(((Market!C7)*(Market!C10)*365*(1-Market!C12))*(Costs!C20+Costs!C21+Costs!C22))-((Market!C10*365/Market!C11)*(Costs!C16+Costs!C17)))</f>
        <v/>
      </c>
      <c r="D8" s="39">
        <f>(((Market!C7)*(Market!C9)*365*(1-Market!C12))-(SUM(Costs!C7:C13))-(((Market!C7)*(Market!C9)*365*(1-Market!C12))*(Costs!C20+Costs!C21+Costs!C22))-((Market!C9*365/Market!C11)*(Costs!C16+Costs!C17)))</f>
        <v/>
      </c>
      <c r="E8" s="39">
        <f>(((Market!C7*0.9)*(Market!C9*0.85)*365*(1-Market!C12))-(SUM(Costs!C7:C13))*1.2-(((Market!C7*0.9)*(Market!C9*0.85)*365*(1-Market!C12))*(Costs!C20+Costs!C21+Costs!C22))-((Market!C9*0.85*365/Market!C11)*(Costs!C16+Costs!C17)*1.2))</f>
        <v/>
      </c>
    </row>
    <row r="9" ht="20" customHeight="1">
      <c r="B9" s="44" t="inlineStr">
        <is>
          <t>Annual debt service:</t>
        </is>
      </c>
      <c r="C9" s="39">
        <f>(Finance!C18)</f>
        <v/>
      </c>
      <c r="D9" s="39">
        <f>(Finance!C18)</f>
        <v/>
      </c>
      <c r="E9" s="39">
        <f>(Finance!C18)</f>
        <v/>
      </c>
    </row>
    <row r="10" ht="20" customHeight="1">
      <c r="B10" s="28" t="inlineStr">
        <is>
          <t>ANNUAL CASH FLOW:</t>
        </is>
      </c>
      <c r="C10" s="45">
        <f>((((Market!C7)*(Market!C10)*365*(1-Market!C12))-(SUM(Costs!C7:C13))-(((Market!C7)*(Market!C10)*365*(1-Market!C12))*(Costs!C20+Costs!C21+Costs!C22))-((Market!C10*365/Market!C11)*(Costs!C16+Costs!C17)))-(Finance!C18))</f>
        <v/>
      </c>
      <c r="D10" s="46">
        <f>((((Market!C7)*(Market!C9)*365*(1-Market!C12))-(SUM(Costs!C7:C13))-(((Market!C7)*(Market!C9)*365*(1-Market!C12))*(Costs!C20+Costs!C21+Costs!C22))-((Market!C9*365/Market!C11)*(Costs!C16+Costs!C17)))-(Finance!C18))</f>
        <v/>
      </c>
      <c r="E10" s="47">
        <f>((((Market!C7*0.9)*(Market!C9*0.85)*365*(1-Market!C12))-(SUM(Costs!C7:C13))*1.2-(((Market!C7*0.9)*(Market!C9*0.85)*365*(1-Market!C12))*(Costs!C20+Costs!C21+Costs!C22))-((Market!C9*0.85*365/Market!C11)*(Costs!C16+Costs!C17)*1.2))-(Finance!C18))</f>
        <v/>
      </c>
    </row>
    <row r="11" ht="20" customHeight="1">
      <c r="B11" s="44" t="inlineStr">
        <is>
          <t>Cash invested:</t>
        </is>
      </c>
      <c r="C11" s="39">
        <f>(Finance!C7*Finance!C8+Finance!C11+Finance!C12+Finance!C13)</f>
        <v/>
      </c>
      <c r="D11" s="39">
        <f>(Finance!C7*Finance!C8+Finance!C11+Finance!C12+Finance!C13)</f>
        <v/>
      </c>
      <c r="E11" s="39">
        <f>(Finance!C7*Finance!C8+Finance!C11+Finance!C12+Finance!C13)</f>
        <v/>
      </c>
    </row>
    <row r="12" ht="20" customHeight="1">
      <c r="B12" s="44" t="inlineStr">
        <is>
          <t>Cash-on-cash:</t>
        </is>
      </c>
      <c r="C12" s="48">
        <f>(((((Market!C7)*(Market!C10)*365*(1-Market!C12))-(SUM(Costs!C7:C13))-(((Market!C7)*(Market!C10)*365*(1-Market!C12))*(Costs!C20+Costs!C21+Costs!C22))-((Market!C10*365/Market!C11)*(Costs!C16+Costs!C17)))-(Finance!C18))/(Finance!C7*Finance!C8+Finance!C11+Finance!C12+Finance!C13))</f>
        <v/>
      </c>
      <c r="D12" s="48">
        <f>(((((Market!C7)*(Market!C9)*365*(1-Market!C12))-(SUM(Costs!C7:C13))-(((Market!C7)*(Market!C9)*365*(1-Market!C12))*(Costs!C20+Costs!C21+Costs!C22))-((Market!C9*365/Market!C11)*(Costs!C16+Costs!C17)))-(Finance!C18))/(Finance!C7*Finance!C8+Finance!C11+Finance!C12+Finance!C13))</f>
        <v/>
      </c>
      <c r="E12" s="48">
        <f>(((((Market!C7*0.9)*(Market!C9*0.85)*365*(1-Market!C12))-(SUM(Costs!C7:C13))*1.2-(((Market!C7*0.9)*(Market!C9*0.85)*365*(1-Market!C12))*(Costs!C20+Costs!C21+Costs!C22))-((Market!C9*0.85*365/Market!C11)*(Costs!C16+Costs!C17)*1.2))-(Finance!C18))/(Finance!C7*Finance!C8+Finance!C11+Finance!C12+Finance!C13))</f>
        <v/>
      </c>
    </row>
    <row r="13" ht="20" customHeight="1">
      <c r="B13" s="44" t="inlineStr">
        <is>
          <t>DSCR:</t>
        </is>
      </c>
      <c r="C13" s="49">
        <f>((((Market!C7)*(Market!C10)*365*(1-Market!C12))-(SUM(Costs!C7:C13))-(((Market!C7)*(Market!C10)*365*(1-Market!C12))*(Costs!C20+Costs!C21+Costs!C22))-((Market!C10*365/Market!C11)*(Costs!C16+Costs!C17)))/(Finance!C18))</f>
        <v/>
      </c>
      <c r="D13" s="49">
        <f>((((Market!C7)*(Market!C9)*365*(1-Market!C12))-(SUM(Costs!C7:C13))-(((Market!C7)*(Market!C9)*365*(1-Market!C12))*(Costs!C20+Costs!C21+Costs!C22))-((Market!C9*365/Market!C11)*(Costs!C16+Costs!C17)))/(Finance!C18))</f>
        <v/>
      </c>
      <c r="E13" s="49">
        <f>((((Market!C7*0.9)*(Market!C9*0.85)*365*(1-Market!C12))-(SUM(Costs!C7:C13))*1.2-(((Market!C7*0.9)*(Market!C9*0.85)*365*(1-Market!C12))*(Costs!C20+Costs!C21+Costs!C22))-((Market!C9*0.85*365/Market!C11)*(Costs!C16+Costs!C17)*1.2))/(Finance!C18))</f>
        <v/>
      </c>
    </row>
    <row r="14" ht="20" customHeight="1">
      <c r="B14" s="44" t="inlineStr">
        <is>
          <t>Cap rate:</t>
        </is>
      </c>
      <c r="C14" s="48">
        <f>((((Market!C7)*(Market!C10)*365*(1-Market!C12))-(SUM(Costs!C7:C13))-(((Market!C7)*(Market!C10)*365*(1-Market!C12))*(Costs!C20+Costs!C21+Costs!C22))-((Market!C10*365/Market!C11)*(Costs!C16+Costs!C17)))/Finance!C7)</f>
        <v/>
      </c>
      <c r="D14" s="48">
        <f>((((Market!C7)*(Market!C9)*365*(1-Market!C12))-(SUM(Costs!C7:C13))-(((Market!C7)*(Market!C9)*365*(1-Market!C12))*(Costs!C20+Costs!C21+Costs!C22))-((Market!C9*365/Market!C11)*(Costs!C16+Costs!C17)))/Finance!C7)</f>
        <v/>
      </c>
      <c r="E14" s="48">
        <f>((((Market!C7)*(Market!C9)*365*(1-Market!C12))-(SUM(Costs!C7:C13))-(((Market!C7)*(Market!C9)*365*(1-Market!C12))*(Costs!C20+Costs!C21+Costs!C22))-((Market!C9*365/Market!C11)*(Costs!C16+Costs!C17)))/Finance!C7)</f>
        <v/>
      </c>
    </row>
    <row r="17" ht="36" customHeight="1">
      <c r="A17" s="50">
        <f>IF(AND((((((Market!C7)*(Market!C9)*365*(1-Market!C12))-(SUM(Costs!C7:C13))-(((Market!C7)*(Market!C9)*365*(1-Market!C12))*(Costs!C20+Costs!C21+Costs!C22))-((Market!C9*365/Market!C11)*(Costs!C16+Costs!C17)))-(Finance!C18))/(Finance!C7*Finance!C8+Finance!C11+Finance!C12+Finance!C13))&gt;0.08,((((Market!C7)*(Market!C9)*365*(1-Market!C12))-(SUM(Costs!C7:C13))-(((Market!C7)*(Market!C9)*365*(1-Market!C12))*(Costs!C20+Costs!C21+Costs!C22))-((Market!C9*365/Market!C11)*(Costs!C16+Costs!C17)))/(Finance!C18))&gt;1.25),"✅  DEAL",IF(OR((((((Market!C7)*(Market!C9)*365*(1-Market!C12))-(SUM(Costs!C7:C13))-(((Market!C7)*(Market!C9)*365*(1-Market!C12))*(Costs!C20+Costs!C21+Costs!C22))-((Market!C9*365/Market!C11)*(Costs!C16+Costs!C17)))-(Finance!C18))/(Finance!C7*Finance!C8+Finance!C11+Finance!C12+Finance!C13))&lt;0.04,((((Market!C7)*(Market!C9)*365*(1-Market!C12))-(SUM(Costs!C7:C13))-(((Market!C7)*(Market!C9)*365*(1-Market!C12))*(Costs!C20+Costs!C21+Costs!C22))-((Market!C9*365/Market!C11)*(Costs!C16+Costs!C17)))/(Finance!C18))&lt;1.05),"❌  PASS","⚠  MARGINAL"))</f>
        <v/>
      </c>
    </row>
    <row r="22" ht="28" customHeight="1">
      <c r="A22" s="51">
        <f>IF(((((Market!C7*0.9)*(Market!C9*0.85)*365*(1-Market!C12))-(SUM(Costs!C7:C13))*1.2-(((Market!C7*0.9)*(Market!C9*0.85)*365*(1-Market!C12))*(Costs!C20+Costs!C21+Costs!C22))-((Market!C9*0.85*365/Market!C11)*(Costs!C16+Costs!C17)*1.2))-(Finance!C18))&gt;0,"✅  Survives stress test ($"&amp;TEXT(((((Market!C7*0.9)*(Market!C9*0.85)*365*(1-Market!C12))-(SUM(Costs!C7:C13))*1.2-(((Market!C7*0.9)*(Market!C9*0.85)*365*(1-Market!C12))*(Costs!C20+Costs!C21+Costs!C22))-((Market!C9*0.85*365/Market!C11)*(Costs!C16+Costs!C17)*1.2))-(Finance!C18)),"#,##0")&amp;" CF)",IF(((((Market!C7*0.9)*(Market!C9*0.85)*365*(1-Market!C12))-(SUM(Costs!C7:C13))*1.2-(((Market!C7*0.9)*(Market!C9*0.85)*365*(1-Market!C12))*(Costs!C20+Costs!C21+Costs!C22))-((Market!C9*0.85*365/Market!C11)*(Costs!C16+Costs!C17)*1.2))-(Finance!C18))&gt;-5000,"⚠  Marginal under stress (−$"&amp;TEXT(ABS(((((Market!C7*0.9)*(Market!C9*0.85)*365*(1-Market!C12))-(SUM(Costs!C7:C13))*1.2-(((Market!C7*0.9)*(Market!C9*0.85)*365*(1-Market!C12))*(Costs!C20+Costs!C21+Costs!C22))-((Market!C9*0.85*365/Market!C11)*(Costs!C16+Costs!C17)*1.2))-(Finance!C18))),"#,##0")&amp;")","❌  Fails under stress ($"&amp;TEXT(((((Market!C7*0.9)*(Market!C9*0.85)*365*(1-Market!C12))-(SUM(Costs!C7:C13))*1.2-(((Market!C7*0.9)*(Market!C9*0.85)*365*(1-Market!C12))*(Costs!C20+Costs!C21+Costs!C22))-((Market!C9*0.85*365/Market!C11)*(Costs!C16+Costs!C17)*1.2))-(Finance!C18)),"#,##0")&amp;")"))</f>
        <v/>
      </c>
    </row>
    <row r="24" ht="16" customHeight="1">
      <c r="A24" s="52" t="inlineStr">
        <is>
          <t>Stress test method: ADR -10%, occupancy haircut to 85% of stabilized, operating expenses +20%. Roughly equivalent to AirDNA's 25th-percentile projection — what real underwriters use. If your deal fails this stress, you're underwriting too aggressively or the property is marginal.</t>
        </is>
      </c>
    </row>
    <row r="25" ht="16" customHeight="1"/>
    <row r="26" ht="16" customHeight="1"/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</row>
    <row r="29" ht="18" customHeight="1">
      <c r="A29" s="23" t="inlineStr">
        <is>
          <t>Questions? hello@thestrledger.com</t>
        </is>
      </c>
    </row>
    <row r="30" ht="18" customHeight="1">
      <c r="A30" s="24" t="inlineStr">
        <is>
          <t>ACQ-001 · Verdict</t>
        </is>
      </c>
    </row>
  </sheetData>
  <mergeCells count="9">
    <mergeCell ref="A30:L30"/>
    <mergeCell ref="J2:L2"/>
    <mergeCell ref="D2:I2"/>
    <mergeCell ref="A24:L26"/>
    <mergeCell ref="A29:L29"/>
    <mergeCell ref="A22:L22"/>
    <mergeCell ref="A17:L17"/>
    <mergeCell ref="A2:C2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FE5D0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1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HYPERLINK("#'Verdict'!A1", "← BACK")</f>
        <v/>
      </c>
      <c r="B2" s="16" t="n"/>
      <c r="C2" s="16" t="n"/>
      <c r="D2" s="25" t="inlineStr">
        <is>
          <t>CPA / PARTNER SUMMARY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8" customHeight="1">
      <c r="A4" s="53" t="inlineStr">
        <is>
          <t>Deal Underwriting Summary</t>
        </is>
      </c>
    </row>
    <row r="5" ht="16" customHeight="1"/>
    <row r="7" ht="22" customHeight="1">
      <c r="A7" s="54">
        <f>Property!C7&amp;"   ·   "&amp;Property!C9</f>
        <v/>
      </c>
    </row>
    <row r="8" ht="16" customHeight="1">
      <c r="A8" s="23">
        <f>"Analysis date: "&amp;TEXT(TODAY(),"yyyy-mm-dd")</f>
        <v/>
      </c>
    </row>
    <row r="10" ht="24" customHeight="1">
      <c r="A10" s="27" t="inlineStr">
        <is>
          <t>KEY TERMS</t>
        </is>
      </c>
    </row>
    <row r="11" ht="18" customHeight="1">
      <c r="B11" s="28" t="inlineStr">
        <is>
          <t>Purchase price:</t>
        </is>
      </c>
      <c r="C11" s="39">
        <f>Finance!C7</f>
        <v/>
      </c>
    </row>
    <row r="12" ht="18" customHeight="1">
      <c r="B12" s="28" t="inlineStr">
        <is>
          <t>Down payment:</t>
        </is>
      </c>
      <c r="C12" s="39">
        <f>Finance!C7*Finance!C8</f>
        <v/>
      </c>
    </row>
    <row r="13" ht="18" customHeight="1">
      <c r="B13" s="28" t="inlineStr">
        <is>
          <t>Loan amount:</t>
        </is>
      </c>
      <c r="C13" s="39">
        <f>Finance!C16</f>
        <v/>
      </c>
    </row>
    <row r="14" ht="18" customHeight="1">
      <c r="B14" s="28" t="inlineStr">
        <is>
          <t>Interest rate:</t>
        </is>
      </c>
      <c r="C14" s="55">
        <f>Finance!C9</f>
        <v/>
      </c>
    </row>
    <row r="15" ht="18" customHeight="1">
      <c r="B15" s="28" t="inlineStr">
        <is>
          <t>Term:</t>
        </is>
      </c>
      <c r="C15" s="56">
        <f>Finance!C10&amp;" years"</f>
        <v/>
      </c>
    </row>
    <row r="16" ht="18" customHeight="1">
      <c r="B16" s="28" t="inlineStr">
        <is>
          <t>Total cash to close:</t>
        </is>
      </c>
      <c r="C16" s="39">
        <f>Finance!C20</f>
        <v/>
      </c>
    </row>
    <row r="19" ht="24" customHeight="1">
      <c r="A19" s="27" t="inlineStr">
        <is>
          <t>5-YEAR PRO-FORMA  (3% appreciation, stabilized after Y2)</t>
        </is>
      </c>
    </row>
    <row r="20" ht="22" customHeight="1">
      <c r="B20" s="57" t="inlineStr"/>
      <c r="C20" s="58" t="inlineStr">
        <is>
          <t>Year 1</t>
        </is>
      </c>
      <c r="D20" s="59" t="inlineStr">
        <is>
          <t>Year 2 Stab</t>
        </is>
      </c>
      <c r="E20" s="59" t="inlineStr">
        <is>
          <t>Year 5 Stab</t>
        </is>
      </c>
    </row>
    <row r="21" ht="18" customHeight="1">
      <c r="B21" s="44" t="inlineStr">
        <is>
          <t>Revenue (gross):</t>
        </is>
      </c>
      <c r="C21" s="39">
        <f>Market!C7*Market!C10*365</f>
        <v/>
      </c>
      <c r="D21" s="39">
        <f>Market!C7*Market!C9*365</f>
        <v/>
      </c>
      <c r="E21" s="39">
        <f>Market!C7*Market!C9*365*1.06</f>
        <v/>
      </c>
    </row>
    <row r="22" ht="18" customHeight="1">
      <c r="B22" s="44" t="inlineStr">
        <is>
          <t>Operating expenses:</t>
        </is>
      </c>
      <c r="C22" s="39">
        <f>SUM(Costs!C7:C13)+(Market!C7*Market!C10*365)*(Costs!C20+Costs!C21+Costs!C22)+(Market!C10*365/Market!C11)*(Costs!C16+Costs!C17)</f>
        <v/>
      </c>
      <c r="D22" s="39">
        <f>SUM(Costs!C7:C13)+(Market!C7*Market!C9*365)*(Costs!C20+Costs!C21+Costs!C22)+(Market!C9*365/Market!C11)*(Costs!C16+Costs!C17)</f>
        <v/>
      </c>
      <c r="E22" s="39">
        <f>SUM(Costs!C7:C13)*1.10+(Market!C7*Market!C9*365*1.06)*(Costs!C20+Costs!C21+Costs!C22)+(Market!C9*365/Market!C11)*(Costs!C16+Costs!C17)*1.10</f>
        <v/>
      </c>
    </row>
    <row r="23" ht="18" customHeight="1">
      <c r="B23" s="28" t="inlineStr">
        <is>
          <t>NOI:</t>
        </is>
      </c>
      <c r="C23" s="39">
        <f>C21-C22</f>
        <v/>
      </c>
      <c r="D23" s="39">
        <f>D21-D22</f>
        <v/>
      </c>
      <c r="E23" s="39">
        <f>E21-E22</f>
        <v/>
      </c>
    </row>
    <row r="24" ht="18" customHeight="1">
      <c r="B24" s="44" t="inlineStr">
        <is>
          <t>Debt service:</t>
        </is>
      </c>
      <c r="C24" s="39">
        <f>Finance!C18</f>
        <v/>
      </c>
      <c r="D24" s="39">
        <f>Finance!C18</f>
        <v/>
      </c>
      <c r="E24" s="39">
        <f>Finance!C18</f>
        <v/>
      </c>
    </row>
    <row r="25" ht="18" customHeight="1">
      <c r="B25" s="28" t="inlineStr">
        <is>
          <t>Cash flow:</t>
        </is>
      </c>
      <c r="C25" s="39">
        <f>C23-C24</f>
        <v/>
      </c>
      <c r="D25" s="39">
        <f>D23-D24</f>
        <v/>
      </c>
      <c r="E25" s="39">
        <f>E23-E24</f>
        <v/>
      </c>
    </row>
    <row r="26" ht="18" customHeight="1">
      <c r="B26" s="44" t="inlineStr">
        <is>
          <t>Cumulative cash:</t>
        </is>
      </c>
      <c r="C26" s="39">
        <f>C25</f>
        <v/>
      </c>
      <c r="D26" s="39">
        <f>C25+D25</f>
        <v/>
      </c>
      <c r="E26" s="39">
        <f>C25+D25+(D25*3)</f>
        <v/>
      </c>
    </row>
    <row r="28" ht="24" customHeight="1">
      <c r="A28" s="27" t="inlineStr">
        <is>
          <t>VERDICT  +  STRESS TEST</t>
        </is>
      </c>
    </row>
    <row r="29" ht="30" customHeight="1">
      <c r="B29" s="60">
        <f>Verdict!A17</f>
        <v/>
      </c>
    </row>
    <row r="30" ht="22" customHeight="1">
      <c r="B30" s="61">
        <f>Verdict!A22</f>
        <v/>
      </c>
    </row>
    <row r="32" ht="24" customHeight="1">
      <c r="A32" s="27" t="inlineStr">
        <is>
          <t>UNDERWRITING NOTES</t>
        </is>
      </c>
    </row>
    <row r="33" ht="18" customHeight="1">
      <c r="B33" s="62" t="n"/>
    </row>
    <row r="34" ht="18" customHeight="1"/>
    <row r="35" ht="18" customHeight="1"/>
    <row r="36" ht="18" customHeight="1"/>
    <row r="37" ht="18" customHeight="1"/>
  </sheetData>
  <mergeCells count="12">
    <mergeCell ref="D2:L2"/>
    <mergeCell ref="A4:L5"/>
    <mergeCell ref="A7:L7"/>
    <mergeCell ref="A10:L10"/>
    <mergeCell ref="A19:L19"/>
    <mergeCell ref="A28:L28"/>
    <mergeCell ref="B30:E30"/>
    <mergeCell ref="A32:L32"/>
    <mergeCell ref="B33:E37"/>
    <mergeCell ref="A8:L8"/>
    <mergeCell ref="B29:E29"/>
    <mergeCell ref="A2:C2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STR Deal Analyzer — The STR Ledger</dc:title>
  <dc:description xmlns:dc="http://purl.org/dc/elements/1.1/">Single-property STR underwriting workbook with stress test, Y1/stabilized toggle, and CPA/partner printable summary.</dc:description>
  <dcterms:created xmlns:dcterms="http://purl.org/dc/terms/" xmlns:xsi="http://www.w3.org/2001/XMLSchema-instance" xsi:type="dcterms:W3CDTF">2026-05-03T19:06:24Z</dcterms:created>
  <dcterms:modified xmlns:dcterms="http://purl.org/dc/terms/" xmlns:xsi="http://www.w3.org/2001/XMLSchema-instance" xsi:type="dcterms:W3CDTF">2026-05-03T19:06:24Z</dcterms:modified>
</cp:coreProperties>
</file>