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Term Inputs" sheetId="2" state="visible" r:id="rId2"/>
    <sheet xmlns:r="http://schemas.openxmlformats.org/officeDocument/2006/relationships" name="Side-by-Side" sheetId="3" state="visible" r:id="rId3"/>
    <sheet xmlns:r="http://schemas.openxmlformats.org/officeDocument/2006/relationships" name="Term Sheet" sheetId="4" state="visible" r:id="rId4"/>
    <sheet xmlns:r="http://schemas.openxmlformats.org/officeDocument/2006/relationships" name="Settings" sheetId="5" state="visible" r:id="rId5"/>
  </sheets>
  <definedNames>
    <definedName name="_xlnm.Print_Area" localSheetId="0">'Start'!$A$1:$L$30</definedName>
    <definedName name="_xlnm.Print_Area" localSheetId="1">'Term Inputs'!$A$1:$L$29</definedName>
    <definedName name="_xlnm.Print_Titles" localSheetId="2">'Side-by-Side'!$1:$5</definedName>
    <definedName name="_xlnm.Print_Area" localSheetId="2">'Side-by-Side'!$A$1:$G$29</definedName>
    <definedName name="_xlnm.Print_Area" localSheetId="3">'Term Sheet'!$B$13:$E$42</definedName>
    <definedName name="_xlnm.Print_Area" localSheetId="4">'Settings'!$A$1:$F$32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0.000%"/>
    <numFmt numFmtId="167" formatCode="&quot;$&quot;#,##0;[Red]-&quot;$&quot;#,##0"/>
    <numFmt numFmtId="168" formatCode="&quot;$&quot;#,##0.00"/>
  </numFmts>
  <fonts count="28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0"/>
    </font>
    <font>
      <name val="Georgia"/>
      <i val="1"/>
      <color rgb="00C9A24B"/>
      <sz val="14"/>
    </font>
    <font>
      <name val="Consolas"/>
      <color rgb="00C9A24B"/>
      <sz val="9"/>
    </font>
    <font>
      <name val="Georgia"/>
      <i val="1"/>
      <color rgb="00C9A24B"/>
      <sz val="18"/>
    </font>
    <font>
      <name val="Consolas"/>
      <b val="1"/>
      <color rgb="0012304E"/>
      <sz val="9"/>
    </font>
    <font>
      <name val="Georgia"/>
      <b val="1"/>
      <color rgb="0012304E"/>
      <sz val="20"/>
    </font>
    <font>
      <name val="Georgia"/>
      <b val="1"/>
      <color rgb="00C9A24B"/>
      <sz val="13"/>
    </font>
    <font>
      <name val="Georgia"/>
      <b val="1"/>
      <color rgb="00F6EFE2"/>
      <sz val="13"/>
    </font>
    <font>
      <name val="Georgia"/>
      <b val="1"/>
      <color rgb="0012304E"/>
      <sz val="13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Georgia"/>
      <b val="1"/>
      <color rgb="00F6EFE2"/>
      <sz val="12"/>
    </font>
    <font>
      <name val="Calibri"/>
      <b val="1"/>
      <color rgb="002B2B2B"/>
      <sz val="11"/>
    </font>
    <font>
      <name val="Calibri"/>
      <color rgb="002B2B2B"/>
      <sz val="11"/>
    </font>
    <font>
      <name val="Calibri"/>
      <i val="1"/>
      <color rgb="006B7280"/>
      <sz val="9"/>
    </font>
    <font>
      <name val="Calibri"/>
      <i val="1"/>
      <color rgb="002B2B2B"/>
      <sz val="11"/>
    </font>
    <font>
      <name val="Georgia"/>
      <b val="1"/>
      <color rgb="0012304E"/>
      <sz val="12"/>
    </font>
    <font>
      <name val="Georgia"/>
      <b val="1"/>
      <color rgb="00C9A24B"/>
      <sz val="14"/>
    </font>
    <font>
      <name val="Calibri"/>
      <b val="1"/>
      <color rgb="0012304E"/>
      <sz val="11"/>
    </font>
    <font>
      <name val="Georgia"/>
      <b val="1"/>
      <color rgb="00C9A24B"/>
      <sz val="11"/>
    </font>
    <font>
      <name val="Georgia"/>
      <b val="1"/>
      <color rgb="0012304E"/>
      <sz val="16"/>
    </font>
    <font>
      <name val="Calibri"/>
      <i val="1"/>
      <color rgb="006B7280"/>
      <sz val="10"/>
    </font>
    <font>
      <name val="Calibri"/>
      <sz val="11"/>
    </font>
  </fonts>
  <fills count="9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2C884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DEDED"/>
      </patternFill>
    </fill>
    <fill>
      <patternFill patternType="solid">
        <fgColor rgb="00EFE5D0"/>
      </patternFill>
    </fill>
  </fills>
  <borders count="7">
    <border>
      <left/>
      <right/>
      <top/>
      <bottom/>
      <diagonal/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  <border>
      <bottom style="thin">
        <color rgb="0012304E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164" fontId="7" fillId="3" borderId="0" applyAlignment="1" pivotButton="0" quotePrefix="0" xfId="0">
      <alignment horizontal="center" vertical="center"/>
    </xf>
    <xf numFmtId="165" fontId="7" fillId="3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0" fillId="5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0" fillId="3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11" fillId="5" borderId="0" applyAlignment="1" pivotButton="0" quotePrefix="0" xfId="0">
      <alignment horizontal="center" vertical="center" wrapText="1"/>
    </xf>
    <xf numFmtId="0" fontId="0" fillId="0" borderId="4" pivotButton="0" quotePrefix="0" xfId="0"/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right" vertical="center" indent="2"/>
    </xf>
    <xf numFmtId="0" fontId="15" fillId="3" borderId="0" applyAlignment="1" pivotButton="0" quotePrefix="0" xfId="0">
      <alignment horizontal="left" vertical="center" indent="1"/>
    </xf>
    <xf numFmtId="0" fontId="16" fillId="2" borderId="0" applyAlignment="1" pivotButton="0" quotePrefix="0" xfId="0">
      <alignment horizontal="left" vertical="center" indent="2"/>
    </xf>
    <xf numFmtId="0" fontId="17" fillId="0" borderId="0" applyAlignment="1" pivotButton="0" quotePrefix="0" xfId="0">
      <alignment horizontal="right" vertical="center" indent="1"/>
    </xf>
    <xf numFmtId="164" fontId="18" fillId="6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 indent="1"/>
    </xf>
    <xf numFmtId="165" fontId="18" fillId="6" borderId="0" applyAlignment="1" pivotButton="0" quotePrefix="0" xfId="0">
      <alignment horizontal="center" vertical="center"/>
    </xf>
    <xf numFmtId="166" fontId="18" fillId="6" borderId="0" applyAlignment="1" pivotButton="0" quotePrefix="0" xfId="0">
      <alignment horizontal="center" vertical="center"/>
    </xf>
    <xf numFmtId="1" fontId="18" fillId="6" borderId="0" applyAlignment="1" pivotButton="0" quotePrefix="0" xfId="0">
      <alignment horizontal="center" vertical="center"/>
    </xf>
    <xf numFmtId="0" fontId="18" fillId="6" borderId="0" applyAlignment="1" pivotButton="0" quotePrefix="0" xfId="0">
      <alignment horizontal="center" vertical="center"/>
    </xf>
    <xf numFmtId="164" fontId="20" fillId="7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right" vertical="center" indent="1"/>
    </xf>
    <xf numFmtId="164" fontId="22" fillId="4" borderId="0" applyAlignment="1" pivotButton="0" quotePrefix="0" xfId="0">
      <alignment horizontal="center" vertical="center"/>
    </xf>
    <xf numFmtId="0" fontId="11" fillId="2" borderId="5" applyAlignment="1" pivotButton="0" quotePrefix="0" xfId="0">
      <alignment horizontal="center" vertical="center"/>
    </xf>
    <xf numFmtId="0" fontId="23" fillId="5" borderId="5" applyAlignment="1" pivotButton="0" quotePrefix="0" xfId="0">
      <alignment horizontal="center" vertical="center"/>
    </xf>
    <xf numFmtId="164" fontId="20" fillId="4" borderId="0" applyAlignment="1" pivotButton="0" quotePrefix="0" xfId="0">
      <alignment horizontal="center" vertical="center"/>
    </xf>
    <xf numFmtId="167" fontId="24" fillId="7" borderId="0" applyAlignment="1" pivotButton="0" quotePrefix="0" xfId="0">
      <alignment horizontal="center" vertical="center"/>
    </xf>
    <xf numFmtId="166" fontId="20" fillId="4" borderId="0" applyAlignment="1" pivotButton="0" quotePrefix="0" xfId="0">
      <alignment horizontal="center" vertical="center"/>
    </xf>
    <xf numFmtId="166" fontId="20" fillId="7" borderId="0" applyAlignment="1" pivotButton="0" quotePrefix="0" xfId="0">
      <alignment horizontal="center" vertical="center"/>
    </xf>
    <xf numFmtId="168" fontId="20" fillId="4" borderId="0" applyAlignment="1" pivotButton="0" quotePrefix="0" xfId="0">
      <alignment horizontal="center" vertical="center"/>
    </xf>
    <xf numFmtId="168" fontId="20" fillId="7" borderId="0" applyAlignment="1" pivotButton="0" quotePrefix="0" xfId="0">
      <alignment horizontal="center" vertical="center"/>
    </xf>
    <xf numFmtId="167" fontId="20" fillId="7" borderId="0" applyAlignment="1" pivotButton="0" quotePrefix="0" xfId="0">
      <alignment horizontal="center" vertical="center"/>
    </xf>
    <xf numFmtId="0" fontId="20" fillId="4" borderId="0" applyAlignment="1" pivotButton="0" quotePrefix="0" xfId="0">
      <alignment horizontal="center" vertical="center"/>
    </xf>
    <xf numFmtId="0" fontId="20" fillId="7" borderId="0" applyAlignment="1" pivotButton="0" quotePrefix="0" xfId="0">
      <alignment horizontal="center" vertical="center"/>
    </xf>
    <xf numFmtId="165" fontId="20" fillId="4" borderId="0" applyAlignment="1" pivotButton="0" quotePrefix="0" xfId="0">
      <alignment horizontal="center" vertical="center"/>
    </xf>
    <xf numFmtId="165" fontId="20" fillId="7" borderId="0" applyAlignment="1" pivotButton="0" quotePrefix="0" xfId="0">
      <alignment horizontal="center" vertical="center"/>
    </xf>
    <xf numFmtId="0" fontId="21" fillId="4" borderId="0" applyAlignment="1" pivotButton="0" quotePrefix="0" xfId="0">
      <alignment horizontal="center" vertical="center" wrapText="1"/>
    </xf>
    <xf numFmtId="0" fontId="19" fillId="8" borderId="0" applyAlignment="1" pivotButton="0" quotePrefix="0" xfId="0">
      <alignment horizontal="left" vertical="top" wrapText="1" indent="2"/>
    </xf>
    <xf numFmtId="0" fontId="18" fillId="6" borderId="0" applyAlignment="1" pivotButton="0" quotePrefix="0" xfId="0">
      <alignment horizontal="left" vertical="center" indent="1"/>
    </xf>
    <xf numFmtId="0" fontId="25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top" wrapText="1" indent="1"/>
    </xf>
    <xf numFmtId="0" fontId="17" fillId="0" borderId="0" applyAlignment="1" pivotButton="0" quotePrefix="0" xfId="0">
      <alignment horizontal="left" vertical="top" wrapText="1" indent="1"/>
    </xf>
    <xf numFmtId="0" fontId="18" fillId="0" borderId="0" applyAlignment="1" pivotButton="0" quotePrefix="0" xfId="0">
      <alignment horizontal="left" vertical="top" wrapText="1" indent="1"/>
    </xf>
    <xf numFmtId="0" fontId="21" fillId="0" borderId="0" applyAlignment="1" pivotButton="0" quotePrefix="0" xfId="0">
      <alignment horizontal="left" vertical="center"/>
    </xf>
    <xf numFmtId="0" fontId="18" fillId="0" borderId="6" applyAlignment="1" pivotButton="0" quotePrefix="0" xfId="0">
      <alignment horizontal="left" vertical="bottom" indent="1"/>
    </xf>
    <xf numFmtId="0" fontId="0" fillId="0" borderId="6" pivotButton="0" quotePrefix="0" xfId="0"/>
    <xf numFmtId="0" fontId="17" fillId="0" borderId="0" applyAlignment="1" pivotButton="0" quotePrefix="0" xfId="0">
      <alignment horizontal="left" vertical="center" indent="1"/>
    </xf>
    <xf numFmtId="0" fontId="18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3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4" customHeight="1">
      <c r="A4" s="3" t="inlineStr">
        <is>
          <t>Seller-Finance Offer Calculator</t>
        </is>
      </c>
    </row>
    <row r="5" ht="22" customHeight="1">
      <c r="A5" s="4" t="inlineStr">
        <is>
          <t>What does this seller-finance deal really cost vs going to a bank?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ACQ-010 · v1.0 · DEMO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 ht="28" customHeight="1">
      <c r="A11" s="7">
        <f>IF(Settings!B5="","(set property name on Settings tab)",Settings!B5)</f>
        <v/>
      </c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 ht="18" customHeight="1">
      <c r="A13" s="8" t="inlineStr">
        <is>
          <t>MONTHLY P&amp;I</t>
        </is>
      </c>
      <c r="D13" s="8" t="inlineStr">
        <is>
          <t>TOTAL COST OF LOAN</t>
        </is>
      </c>
      <c r="G13" s="8" t="inlineStr">
        <is>
          <t>VS-CONV SAVINGS</t>
        </is>
      </c>
      <c r="J13" s="8" t="inlineStr">
        <is>
          <t>CASH-ON-CASH</t>
        </is>
      </c>
    </row>
    <row r="14" ht="16" customHeight="1">
      <c r="A14" s="9">
        <f>'Side-by-Side'!C12</f>
        <v/>
      </c>
      <c r="D14" s="9">
        <f>'Side-by-Side'!C16</f>
        <v/>
      </c>
      <c r="G14" s="9">
        <f>'Side-by-Side'!F18</f>
        <v/>
      </c>
      <c r="J14" s="10">
        <f>'Side-by-Side'!C19</f>
        <v/>
      </c>
    </row>
    <row r="15" ht="16" customHeight="1"/>
    <row r="16" ht="16" customHeight="1"/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</row>
    <row r="18" ht="20" customHeight="1">
      <c r="A18" s="11">
        <f>IF('Side-by-Side'!F18&gt;0,"✅  Seller finance saves $"&amp;TEXT('Side-by-Side'!F18,"#,##0")&amp;" cash up front · "&amp;TEXT('Side-by-Side'!F19,"0.0%")&amp;" CoC lift","⚠  Seller terms net more expensive than conventional — review Side-by-Side")</f>
        <v/>
      </c>
    </row>
    <row r="19" ht="20" customHeight="1"/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 ht="22" customHeight="1">
      <c r="A21" s="12">
        <f>HYPERLINK("#'Term Inputs'!A1", "→ Term Inputs")</f>
        <v/>
      </c>
      <c r="B21" s="13" t="n"/>
      <c r="C21" s="13" t="n"/>
      <c r="D21" s="12">
        <f>HYPERLINK("#'Side-by-Side'!A1", "Side-by-Side")</f>
        <v/>
      </c>
      <c r="E21" s="13" t="n"/>
      <c r="F21" s="13" t="n"/>
      <c r="G21" s="14">
        <f>HYPERLINK("#'Term Sheet'!A1", "Term Sheet")</f>
        <v/>
      </c>
      <c r="H21" s="15" t="n"/>
      <c r="I21" s="15" t="n"/>
      <c r="J21" s="16">
        <f>HYPERLINK("#'Settings'!A1", "Settings")</f>
        <v/>
      </c>
      <c r="K21" s="17" t="n"/>
      <c r="L21" s="17" t="n"/>
    </row>
    <row r="22" ht="22" customHeight="1">
      <c r="A22" s="13" t="n"/>
      <c r="B22" s="13" t="n"/>
      <c r="C22" s="13" t="n"/>
      <c r="D22" s="13" t="n"/>
      <c r="E22" s="13" t="n"/>
      <c r="F22" s="13" t="n"/>
      <c r="G22" s="15" t="n"/>
      <c r="H22" s="15" t="n"/>
      <c r="I22" s="15" t="n"/>
      <c r="J22" s="17" t="n"/>
      <c r="K22" s="17" t="n"/>
      <c r="L22" s="17" t="n"/>
    </row>
    <row r="23" ht="22" customHeight="1">
      <c r="A23" s="13" t="n"/>
      <c r="B23" s="13" t="n"/>
      <c r="C23" s="13" t="n"/>
      <c r="D23" s="13" t="n"/>
      <c r="E23" s="13" t="n"/>
      <c r="F23" s="13" t="n"/>
      <c r="G23" s="15" t="n"/>
      <c r="H23" s="15" t="n"/>
      <c r="I23" s="15" t="n"/>
      <c r="J23" s="17" t="n"/>
      <c r="K23" s="17" t="n"/>
      <c r="L23" s="17" t="n"/>
    </row>
    <row r="26" ht="36" customHeight="1">
      <c r="A26" s="18" t="inlineStr">
        <is>
          <t>💡  Negotiating multiple seller-finance offers? Pair with the STR Deal Analyzer at thestrledger.com for full underwriting + DSCR stress test.</t>
        </is>
      </c>
    </row>
    <row r="28">
      <c r="A28" s="19" t="n"/>
      <c r="B28" s="19" t="n"/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</row>
    <row r="29" ht="18" customHeight="1">
      <c r="A29" s="20" t="inlineStr">
        <is>
          <t>Questions? hello@thestrledger.com</t>
        </is>
      </c>
    </row>
    <row r="30" ht="18" customHeight="1">
      <c r="A30" s="21" t="inlineStr">
        <is>
          <t>ACQ-010 · v1.0 · DEMO · Free updates forever</t>
        </is>
      </c>
    </row>
  </sheetData>
  <mergeCells count="21">
    <mergeCell ref="D13:F13"/>
    <mergeCell ref="A7:L7"/>
    <mergeCell ref="G13:I13"/>
    <mergeCell ref="A26:L26"/>
    <mergeCell ref="A2:F2"/>
    <mergeCell ref="A21:C23"/>
    <mergeCell ref="A5:L5"/>
    <mergeCell ref="G14:I16"/>
    <mergeCell ref="A4:L4"/>
    <mergeCell ref="A14:C16"/>
    <mergeCell ref="A13:C13"/>
    <mergeCell ref="A29:L29"/>
    <mergeCell ref="D14:F16"/>
    <mergeCell ref="J21:L23"/>
    <mergeCell ref="A30:L30"/>
    <mergeCell ref="J14:L16"/>
    <mergeCell ref="A11:L11"/>
    <mergeCell ref="J13:L13"/>
    <mergeCell ref="A18:L19"/>
    <mergeCell ref="G21:I23"/>
    <mergeCell ref="D21:F23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B5725E"/>
    <outlinePr summaryBelow="1" summaryRight="1"/>
    <pageSetUpPr fitToPage="1"/>
  </sheetPr>
  <dimension ref="A1:L29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20" customWidth="1" min="3" max="3"/>
    <col width="4" customWidth="1" min="4" max="4"/>
    <col width="3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2">
        <f>HYPERLINK("#'Start'!A1", "← BACK")</f>
        <v/>
      </c>
      <c r="B2" s="13" t="n"/>
      <c r="C2" s="13" t="n"/>
      <c r="D2" s="22" t="inlineStr">
        <is>
          <t>TERM INPUTS</t>
        </is>
      </c>
      <c r="J2" s="14">
        <f>HYPERLINK("#'Side-by-Side'!A1", "NEXT →")</f>
        <v/>
      </c>
      <c r="K2" s="15" t="n"/>
      <c r="L2" s="15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3" t="inlineStr">
        <is>
          <t>The seller-finance offer terms you're modeling — edit yellow cells.</t>
        </is>
      </c>
    </row>
    <row r="6" ht="24" customHeight="1">
      <c r="A6" s="24" t="inlineStr">
        <is>
          <t>PRICE &amp; DOWN PAYMENT</t>
        </is>
      </c>
    </row>
    <row r="7" ht="18" customHeight="1">
      <c r="B7" s="25" t="inlineStr">
        <is>
          <t>Purchase price ($):</t>
        </is>
      </c>
      <c r="C7" s="26" t="n">
        <v>485000</v>
      </c>
    </row>
    <row r="8" ht="18" customHeight="1">
      <c r="B8" s="25" t="inlineStr">
        <is>
          <t>Earnest money ($):</t>
        </is>
      </c>
      <c r="C8" s="26" t="n">
        <v>5000</v>
      </c>
      <c r="E8" s="27" t="inlineStr">
        <is>
          <t>Held in escrow at signing</t>
        </is>
      </c>
    </row>
    <row r="9" ht="18" customHeight="1">
      <c r="B9" s="25" t="inlineStr">
        <is>
          <t>Seller-finance down (%):</t>
        </is>
      </c>
      <c r="C9" s="28" t="n">
        <v>0.1</v>
      </c>
      <c r="E9" s="27" t="inlineStr">
        <is>
          <t>Typical 5-15% for seller carry</t>
        </is>
      </c>
    </row>
    <row r="11" ht="18" customHeight="1">
      <c r="B11" s="25" t="inlineStr">
        <is>
          <t>Seller note rate (%):</t>
        </is>
      </c>
      <c r="C11" s="29" t="n">
        <v>0.065</v>
      </c>
      <c r="E11" s="27" t="inlineStr">
        <is>
          <t>Fixed; often below market on motivated sellers</t>
        </is>
      </c>
    </row>
    <row r="12" ht="18" customHeight="1">
      <c r="B12" s="25" t="inlineStr">
        <is>
          <t>Amortization (years):</t>
        </is>
      </c>
      <c r="C12" s="30" t="n">
        <v>30</v>
      </c>
      <c r="E12" s="27" t="inlineStr">
        <is>
          <t>30-yr amortization standard</t>
        </is>
      </c>
    </row>
    <row r="13" ht="18" customHeight="1">
      <c r="B13" s="25" t="inlineStr">
        <is>
          <t>Balloon (years):</t>
        </is>
      </c>
      <c r="C13" s="30" t="n">
        <v>7</v>
      </c>
      <c r="E13" s="27" t="inlineStr">
        <is>
          <t>0 = fully amortizing; 5-7 typical balloon</t>
        </is>
      </c>
    </row>
    <row r="14" ht="18" customHeight="1">
      <c r="B14" s="25" t="inlineStr">
        <is>
          <t>Interest-only period (months):</t>
        </is>
      </c>
      <c r="C14" s="30" t="n">
        <v>0</v>
      </c>
      <c r="E14" s="27" t="inlineStr">
        <is>
          <t>0 = no IO; 6-24 months reduces Y1 cash burn</t>
        </is>
      </c>
    </row>
    <row r="16" ht="24" customHeight="1">
      <c r="A16" s="24" t="inlineStr">
        <is>
          <t>PREPAYMENT &amp; CLOSING</t>
        </is>
      </c>
    </row>
    <row r="17" ht="18" customHeight="1">
      <c r="B17" s="25" t="inlineStr">
        <is>
          <t>Prepayment penalty terms:</t>
        </is>
      </c>
      <c r="C17" s="31" t="inlineStr">
        <is>
          <t>None after Year 3 (3-2-1 step-down)</t>
        </is>
      </c>
      <c r="E17" s="27" t="inlineStr">
        <is>
          <t>Free-text — pasted into Term Sheet</t>
        </is>
      </c>
    </row>
    <row r="18" ht="18" customHeight="1">
      <c r="B18" s="25" t="inlineStr">
        <is>
          <t>Closing costs ($):</t>
        </is>
      </c>
      <c r="C18" s="26" t="n">
        <v>3500</v>
      </c>
      <c r="E18" s="27" t="inlineStr">
        <is>
          <t>Seller-finance often 1-2% (no lender fees)</t>
        </is>
      </c>
    </row>
    <row r="19" ht="18" customHeight="1">
      <c r="B19" s="25" t="inlineStr">
        <is>
          <t>Target closing date:</t>
        </is>
      </c>
      <c r="C19" s="31" t="inlineStr">
        <is>
          <t>2026-07-15</t>
        </is>
      </c>
      <c r="E19" s="27" t="inlineStr">
        <is>
          <t>YYYY-MM-DD format</t>
        </is>
      </c>
    </row>
    <row r="21" ht="24" customHeight="1">
      <c r="A21" s="24" t="inlineStr">
        <is>
          <t>DERIVED</t>
        </is>
      </c>
    </row>
    <row r="22" ht="18" customHeight="1">
      <c r="B22" s="25" t="inlineStr">
        <is>
          <t>Down payment ($):</t>
        </is>
      </c>
      <c r="C22" s="32">
        <f>C7*C9</f>
        <v/>
      </c>
    </row>
    <row r="23" ht="22" customHeight="1">
      <c r="B23" s="33" t="inlineStr">
        <is>
          <t>Seller carry-back ($):</t>
        </is>
      </c>
      <c r="C23" s="34">
        <f>C7*(1-C9)</f>
        <v/>
      </c>
    </row>
    <row r="24" ht="18" customHeight="1">
      <c r="B24" s="25" t="inlineStr">
        <is>
          <t>Total cash to close ($):</t>
        </is>
      </c>
      <c r="C24" s="32">
        <f>C7*C9+C18</f>
        <v/>
      </c>
    </row>
    <row r="27">
      <c r="A27" s="19" t="n"/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</row>
    <row r="28" ht="18" customHeight="1">
      <c r="A28" s="20" t="inlineStr">
        <is>
          <t>Questions? hello@thestrledger.com</t>
        </is>
      </c>
    </row>
    <row r="29" ht="18" customHeight="1">
      <c r="A29" s="21" t="inlineStr">
        <is>
          <t>ACQ-010 · Term Inputs</t>
        </is>
      </c>
    </row>
  </sheetData>
  <mergeCells count="18">
    <mergeCell ref="E17:L17"/>
    <mergeCell ref="E9:L9"/>
    <mergeCell ref="E12:L12"/>
    <mergeCell ref="J2:L2"/>
    <mergeCell ref="D2:I2"/>
    <mergeCell ref="A16:L16"/>
    <mergeCell ref="E18:L18"/>
    <mergeCell ref="A29:L29"/>
    <mergeCell ref="A28:L28"/>
    <mergeCell ref="E11:L11"/>
    <mergeCell ref="A6:L6"/>
    <mergeCell ref="E13:L13"/>
    <mergeCell ref="E8:L8"/>
    <mergeCell ref="E14:L14"/>
    <mergeCell ref="E19:L19"/>
    <mergeCell ref="A21:L21"/>
    <mergeCell ref="A2:C2"/>
    <mergeCell ref="A4:L4"/>
  </mergeCells>
  <pageMargins left="0.5" right="0.5" top="0.5" bottom="0.5" header="0.5" footer="0.5"/>
  <pageSetup orientation="portrait"/>
</worksheet>
</file>

<file path=xl/worksheets/sheet3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29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8" customWidth="1" min="3" max="3"/>
    <col width="18" customWidth="1" min="4" max="4"/>
    <col width="4" customWidth="1" min="5" max="5"/>
    <col width="18" customWidth="1" min="6" max="6"/>
    <col width="1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2">
        <f>HYPERLINK("#'Term Inputs'!A1", "← BACK")</f>
        <v/>
      </c>
      <c r="B2" s="13" t="n"/>
      <c r="C2" s="13" t="n"/>
      <c r="D2" s="22" t="inlineStr">
        <is>
          <t>SIDE-BY-SIDE</t>
        </is>
      </c>
      <c r="J2" s="14">
        <f>HYPERLINK("#'Term Sheet'!A1", "NEXT →")</f>
        <v/>
      </c>
      <c r="K2" s="15" t="n"/>
      <c r="L2" s="15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3" t="inlineStr">
        <is>
          <t>Seller finance vs conventional 25%-down DSCR loan — row-by-row deltas.</t>
        </is>
      </c>
    </row>
    <row r="6" ht="24" customHeight="1">
      <c r="B6" s="35" t="inlineStr">
        <is>
          <t>Metric</t>
        </is>
      </c>
      <c r="C6" s="35" t="inlineStr">
        <is>
          <t>Seller Finance</t>
        </is>
      </c>
      <c r="D6" s="35" t="inlineStr">
        <is>
          <t>Conventional 25%</t>
        </is>
      </c>
      <c r="F6" s="36" t="inlineStr">
        <is>
          <t>Δ Cash Saved</t>
        </is>
      </c>
      <c r="G6" s="36" t="inlineStr">
        <is>
          <t>Δ Annual CF</t>
        </is>
      </c>
    </row>
    <row r="7" ht="20" customHeight="1">
      <c r="B7" s="25" t="inlineStr">
        <is>
          <t>Down payment</t>
        </is>
      </c>
      <c r="C7" s="37">
        <f>('Term Inputs'!C7*'Term Inputs'!C9)</f>
        <v/>
      </c>
      <c r="D7" s="32">
        <f>('Term Inputs'!C7*Settings!B11)</f>
        <v/>
      </c>
      <c r="F7" s="38">
        <f>D7-C7</f>
        <v/>
      </c>
    </row>
    <row r="8" ht="20" customHeight="1">
      <c r="B8" s="25" t="inlineStr">
        <is>
          <t>Closing costs</t>
        </is>
      </c>
      <c r="C8" s="37">
        <f>'Term Inputs'!C18</f>
        <v/>
      </c>
      <c r="D8" s="32">
        <f>('Term Inputs'!C7*Settings!B13)</f>
        <v/>
      </c>
      <c r="F8" s="38">
        <f>D8-C8</f>
        <v/>
      </c>
    </row>
    <row r="9" ht="20" customHeight="1">
      <c r="B9" s="25" t="inlineStr">
        <is>
          <t>Total cash in</t>
        </is>
      </c>
      <c r="C9" s="37">
        <f>(('Term Inputs'!C7*'Term Inputs'!C9)+'Term Inputs'!C18)</f>
        <v/>
      </c>
      <c r="D9" s="32">
        <f>(('Term Inputs'!C7*Settings!B11)+('Term Inputs'!C7*Settings!B13))</f>
        <v/>
      </c>
      <c r="F9" s="38">
        <f>D9-C9</f>
        <v/>
      </c>
    </row>
    <row r="10" ht="20" customHeight="1">
      <c r="B10" s="25" t="inlineStr">
        <is>
          <t>Loan amount</t>
        </is>
      </c>
      <c r="C10" s="37">
        <f>('Term Inputs'!C7*(1-'Term Inputs'!C9))</f>
        <v/>
      </c>
      <c r="D10" s="32">
        <f>('Term Inputs'!C7*(1-Settings!B11))</f>
        <v/>
      </c>
    </row>
    <row r="11" ht="20" customHeight="1">
      <c r="B11" s="25" t="inlineStr">
        <is>
          <t>Interest rate</t>
        </is>
      </c>
      <c r="C11" s="39">
        <f>'Term Inputs'!C11</f>
        <v/>
      </c>
      <c r="D11" s="40">
        <f>Settings!B7</f>
        <v/>
      </c>
    </row>
    <row r="12" ht="20" customHeight="1">
      <c r="B12" s="25" t="inlineStr">
        <is>
          <t>Monthly P&amp;I</t>
        </is>
      </c>
      <c r="C12" s="41">
        <f>IFERROR(PMT('Term Inputs'!C11/12,'Term Inputs'!C12*12,-('Term Inputs'!C7*(1-'Term Inputs'!C9))),0)</f>
        <v/>
      </c>
      <c r="D12" s="42">
        <f>IFERROR(PMT(Settings!B7/12,Settings!B9*12,-('Term Inputs'!C7*(1-Settings!B11))),0)</f>
        <v/>
      </c>
      <c r="G12" s="43">
        <f>(C12-D12)*12</f>
        <v/>
      </c>
    </row>
    <row r="13" ht="20" customHeight="1">
      <c r="B13" s="25" t="inlineStr">
        <is>
          <t>Annual debt service</t>
        </is>
      </c>
      <c r="C13" s="37">
        <f>(IFERROR(PMT('Term Inputs'!C11/12,'Term Inputs'!C12*12,-('Term Inputs'!C7*(1-'Term Inputs'!C9))),0)*12)</f>
        <v/>
      </c>
      <c r="D13" s="32">
        <f>(IFERROR(PMT(Settings!B7/12,Settings!B9*12,-('Term Inputs'!C7*(1-Settings!B11))),0)*12)</f>
        <v/>
      </c>
      <c r="G13" s="38">
        <f>C13-D13</f>
        <v/>
      </c>
    </row>
    <row r="14" ht="20" customHeight="1">
      <c r="B14" s="25" t="inlineStr">
        <is>
          <t>Term / Balloon (years)</t>
        </is>
      </c>
      <c r="C14" s="44">
        <f>IF('Term Inputs'!C13&gt;0,'Term Inputs'!C13&amp;"-yr balloon",'Term Inputs'!C12&amp;"-yr fully amort")</f>
        <v/>
      </c>
      <c r="D14" s="45">
        <f>Settings!B9&amp;"-yr fully amort"</f>
        <v/>
      </c>
    </row>
    <row r="15" ht="20" customHeight="1">
      <c r="B15" s="25" t="inlineStr">
        <is>
          <t>Balloon balance owed</t>
        </is>
      </c>
      <c r="C15" s="37">
        <f>IFERROR(-FV('Term Inputs'!C11/12,IF('Term Inputs'!C13&gt;0,'Term Inputs'!C13*12,'Term Inputs'!C12*12),IFERROR(PMT('Term Inputs'!C11/12,'Term Inputs'!C12*12,-('Term Inputs'!C7*(1-'Term Inputs'!C9))),0),('Term Inputs'!C7*(1-'Term Inputs'!C9))),0)</f>
        <v/>
      </c>
      <c r="D15" s="32">
        <f>0</f>
        <v/>
      </c>
    </row>
    <row r="16" ht="20" customHeight="1">
      <c r="B16" s="25" t="inlineStr">
        <is>
          <t>Total cost of loan (life)</t>
        </is>
      </c>
      <c r="C16" s="37">
        <f>(IFERROR(PMT('Term Inputs'!C11/12,'Term Inputs'!C12*12,-('Term Inputs'!C7*(1-'Term Inputs'!C9))),0)*IF('Term Inputs'!C13&gt;0,'Term Inputs'!C13*12,'Term Inputs'!C12*12)+IFERROR(-FV('Term Inputs'!C11/12,IF('Term Inputs'!C13&gt;0,'Term Inputs'!C13*12,'Term Inputs'!C12*12),IFERROR(PMT('Term Inputs'!C11/12,'Term Inputs'!C12*12,-('Term Inputs'!C7*(1-'Term Inputs'!C9))),0),('Term Inputs'!C7*(1-'Term Inputs'!C9))),0)+('Term Inputs'!C7*'Term Inputs'!C9)+'Term Inputs'!C18)</f>
        <v/>
      </c>
      <c r="D16" s="32">
        <f>(IFERROR(PMT(Settings!B7/12,Settings!B9*12,-('Term Inputs'!C7*(1-Settings!B11))),0)*(Settings!B9*12)+('Term Inputs'!C7*Settings!B11)+('Term Inputs'!C7*Settings!B13))</f>
        <v/>
      </c>
    </row>
    <row r="17" ht="20" customHeight="1">
      <c r="B17" s="25" t="inlineStr">
        <is>
          <t>Total interest paid</t>
        </is>
      </c>
      <c r="C17" s="37">
        <f>(IFERROR(PMT('Term Inputs'!C11/12,'Term Inputs'!C12*12,-('Term Inputs'!C7*(1-'Term Inputs'!C9))),0)*IF('Term Inputs'!C13&gt;0,'Term Inputs'!C13*12,'Term Inputs'!C12*12)-(('Term Inputs'!C7*(1-'Term Inputs'!C9))-IFERROR(-FV('Term Inputs'!C11/12,IF('Term Inputs'!C13&gt;0,'Term Inputs'!C13*12,'Term Inputs'!C12*12),IFERROR(PMT('Term Inputs'!C11/12,'Term Inputs'!C12*12,-('Term Inputs'!C7*(1-'Term Inputs'!C9))),0),('Term Inputs'!C7*(1-'Term Inputs'!C9))),0)))</f>
        <v/>
      </c>
      <c r="D17" s="32">
        <f>(IFERROR(PMT(Settings!B7/12,Settings!B9*12,-('Term Inputs'!C7*(1-Settings!B11))),0)*(Settings!B9*12)-('Term Inputs'!C7*(1-Settings!B11)))</f>
        <v/>
      </c>
    </row>
    <row r="18" ht="20" customHeight="1">
      <c r="B18" s="25" t="inlineStr">
        <is>
          <t>Annual cash flow (NOI − DS)</t>
        </is>
      </c>
      <c r="C18" s="37">
        <f>(Settings!B15-(IFERROR(PMT('Term Inputs'!C11/12,'Term Inputs'!C12*12,-('Term Inputs'!C7*(1-'Term Inputs'!C9))),0)*12))</f>
        <v/>
      </c>
      <c r="D18" s="32">
        <f>(Settings!B15-(IFERROR(PMT(Settings!B7/12,Settings!B9*12,-('Term Inputs'!C7*(1-Settings!B11))),0)*12))</f>
        <v/>
      </c>
    </row>
    <row r="19" ht="20" customHeight="1">
      <c r="B19" s="25" t="inlineStr">
        <is>
          <t>Cash-on-cash</t>
        </is>
      </c>
      <c r="C19" s="46">
        <f>((Settings!B15-(IFERROR(PMT('Term Inputs'!C11/12,'Term Inputs'!C12*12,-('Term Inputs'!C7*(1-'Term Inputs'!C9))),0)*12))/(('Term Inputs'!C7*'Term Inputs'!C9)+'Term Inputs'!C18))</f>
        <v/>
      </c>
      <c r="D19" s="47">
        <f>((Settings!B15-(IFERROR(PMT(Settings!B7/12,Settings!B9*12,-('Term Inputs'!C7*(1-Settings!B11))),0)*12))/(('Term Inputs'!C7*Settings!B11)+('Term Inputs'!C7*Settings!B13)))</f>
        <v/>
      </c>
    </row>
    <row r="21" ht="36" customHeight="1">
      <c r="B21" s="48">
        <f>IF(F9&gt;0,"Seller finance saves $"&amp;TEXT(F9,"#,##0")&amp;" cash up front. "&amp;IF(C18&gt;D18,"And nets +$"&amp;TEXT(C18-D18,"#,##0")&amp;" more annual cash flow.","But nets −$"&amp;TEXT(D18-C18,"#,##0")&amp;" less annual cash flow.")&amp;" CoC: "&amp;TEXT(C19,"0.0%")&amp;" vs "&amp;TEXT(D19,"0.0%")&amp;".","Conventional is cheaper here — seller terms above market.")</f>
        <v/>
      </c>
    </row>
    <row r="23" ht="16" customHeight="1">
      <c r="B23" s="49" t="inlineStr">
        <is>
          <t>Effective cost note: if seller note rate exceeds market (Settings!B7), the absolute monthly P&amp;I may be higher despite lower cash in. The CoC metric is the honest tiebreaker — cash flow earned per dollar invested. If you're cash-constrained, low-cash deals often win even with higher rate.</t>
        </is>
      </c>
    </row>
    <row r="24" ht="16" customHeight="1"/>
    <row r="25" ht="16" customHeight="1"/>
    <row r="27">
      <c r="A27" s="19" t="n"/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</row>
    <row r="28" ht="18" customHeight="1">
      <c r="A28" s="20" t="inlineStr">
        <is>
          <t>Questions? hello@thestrledger.com</t>
        </is>
      </c>
    </row>
    <row r="29" ht="18" customHeight="1">
      <c r="A29" s="21" t="inlineStr">
        <is>
          <t>ACQ-010 · Side-by-Side</t>
        </is>
      </c>
    </row>
  </sheetData>
  <mergeCells count="8">
    <mergeCell ref="J2:L2"/>
    <mergeCell ref="D2:I2"/>
    <mergeCell ref="A29:L29"/>
    <mergeCell ref="A28:L28"/>
    <mergeCell ref="B23:G25"/>
    <mergeCell ref="B21:G21"/>
    <mergeCell ref="A2:C2"/>
    <mergeCell ref="A4:L4"/>
  </mergeCells>
  <pageMargins left="0.5" right="0.5" top="0.5" bottom="0.5" header="0.5" footer="0.5"/>
  <pageSetup orientation="landscape" paperSize="1" fitToHeight="1" fitToWidth="1"/>
</worksheet>
</file>

<file path=xl/worksheets/sheet4.xml><?xml version="1.0" encoding="utf-8"?>
<worksheet xmlns="http://schemas.openxmlformats.org/spreadsheetml/2006/main">
  <sheetPr>
    <tabColor rgb="00EFE5D0"/>
    <outlinePr summaryBelow="1" summaryRight="1"/>
    <pageSetUpPr fitToPage="1"/>
  </sheetPr>
  <dimension ref="A1:L45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2" customWidth="1" min="3" max="3"/>
    <col width="22" customWidth="1" min="4" max="4"/>
    <col width="22" customWidth="1" min="5" max="5"/>
    <col width="4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2">
        <f>HYPERLINK("#'Side-by-Side'!A1", "← BACK")</f>
        <v/>
      </c>
      <c r="B2" s="13" t="n"/>
      <c r="C2" s="13" t="n"/>
      <c r="D2" s="22" t="inlineStr">
        <is>
          <t>TERM SHEET</t>
        </is>
      </c>
      <c r="J2" s="14">
        <f>HYPERLINK("#'Settings'!A1", "NEXT →")</f>
        <v/>
      </c>
      <c r="K2" s="15" t="n"/>
      <c r="L2" s="15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3" t="inlineStr">
        <is>
          <t>Print-ready draft term sheet — generated from Term Inputs + Settings. Edit parties below.</t>
        </is>
      </c>
    </row>
    <row r="6" ht="24" customHeight="1">
      <c r="A6" s="24" t="inlineStr">
        <is>
          <t>PARTIES (edit these — flow into the document below)</t>
        </is>
      </c>
    </row>
    <row r="7" ht="18" customHeight="1">
      <c r="B7" s="25" t="inlineStr">
        <is>
          <t>Buyer name:</t>
        </is>
      </c>
      <c r="C7" s="50" t="inlineStr">
        <is>
          <t>Daniel Harrison</t>
        </is>
      </c>
    </row>
    <row r="8" ht="18" customHeight="1">
      <c r="B8" s="25" t="inlineStr">
        <is>
          <t>Buyer entity:</t>
        </is>
      </c>
      <c r="C8" s="50" t="inlineStr">
        <is>
          <t>Smokies Ridge Holdings LLC</t>
        </is>
      </c>
    </row>
    <row r="9" ht="18" customHeight="1">
      <c r="B9" s="25" t="inlineStr">
        <is>
          <t>Seller name(s):</t>
        </is>
      </c>
      <c r="C9" s="50" t="inlineStr">
        <is>
          <t>Robert &amp; Mary Whitfield</t>
        </is>
      </c>
    </row>
    <row r="11" ht="24" customHeight="1">
      <c r="A11" s="24" t="inlineStr">
        <is>
          <t>DRAFT TERM SHEET — copy/paste or print</t>
        </is>
      </c>
    </row>
    <row r="13" ht="26" customHeight="1">
      <c r="B13" s="51" t="inlineStr">
        <is>
          <t>SELLER-FINANCED PURCHASE — TERM SHEET</t>
        </is>
      </c>
    </row>
    <row r="14" ht="16" customHeight="1">
      <c r="B14" s="52">
        <f>"Drafted: "&amp;TEXT(TODAY(),"mmmm d, yyyy")</f>
        <v/>
      </c>
    </row>
    <row r="16" ht="18" customHeight="1">
      <c r="B16" s="53">
        <f>"Property: "&amp;Settings!B5&amp;" — "&amp;Settings!B17</f>
        <v/>
      </c>
    </row>
    <row r="17" ht="18" customHeight="1">
      <c r="B17" s="53">
        <f>"Buyer: "&amp;C7&amp;IF(C8="",""," (acting through "&amp;C8&amp;")")</f>
        <v/>
      </c>
    </row>
    <row r="18" ht="18" customHeight="1">
      <c r="B18" s="53">
        <f>"Seller: "&amp;C9</f>
        <v/>
      </c>
    </row>
    <row r="20" ht="30" customHeight="1">
      <c r="B20" s="54">
        <f>"1. Purchase Price: $"&amp;TEXT('Term Inputs'!C7,"#,##0")&amp;" USD."</f>
        <v/>
      </c>
    </row>
    <row r="21" ht="30" customHeight="1">
      <c r="B21" s="55">
        <f>"2. Earnest Money: $"&amp;TEXT('Term Inputs'!C8,"#,##0")&amp;" deposited within three (3) business days of mutual execution, held in escrow and credited at Closing."</f>
        <v/>
      </c>
    </row>
    <row r="22" ht="30" customHeight="1">
      <c r="B22" s="55">
        <f>"3. Down Payment: $"&amp;TEXT('Term Inputs'!C7*'Term Inputs'!C9,"#,##0")&amp;" ("&amp;TEXT('Term Inputs'!C9,"0.0%")&amp;" of Purchase Price), payable at Closing."</f>
        <v/>
      </c>
    </row>
    <row r="23" ht="30" customHeight="1">
      <c r="B23" s="54">
        <f>"4. Seller Carry-Back Note: Principal of $"&amp;TEXT('Term Inputs'!C7*(1-'Term Inputs'!C9),"#,##0")&amp;" at "&amp;TEXT('Term Inputs'!C11,"0.000%")&amp;" fixed annual interest, amortized over "&amp;'Term Inputs'!C12&amp;" years, "&amp;IF('Term Inputs'!C13&gt;0,"with a balloon payment of all unpaid principal and accrued interest due at the end of Year "&amp;'Term Inputs'!C13&amp;".","fully amortizing with no balloon.")</f>
        <v/>
      </c>
    </row>
    <row r="24" ht="30" customHeight="1">
      <c r="B24" s="55">
        <f>IF('Term Inputs'!C14&gt;0,"5. Interest-Only Period: First "&amp;'Term Inputs'!C14&amp;" months interest-only, then converting to fully amortizing payments per Section 4.","5. Payment Schedule: Standard amortizing monthly payments of approximately $"&amp;TEXT(IFERROR(PMT('Term Inputs'!C11/12,'Term Inputs'!C12*12,-('Term Inputs'!C7*(1-'Term Inputs'!C9))),0),"#,##0.00")&amp;" beginning the first day of the month following Closing.")</f>
        <v/>
      </c>
    </row>
    <row r="25" ht="30" customHeight="1">
      <c r="B25" s="54">
        <f>"6. Prepayment: "&amp;'Term Inputs'!C17&amp;". Buyer may prepay all or any portion of principal subject to the foregoing terms."</f>
        <v/>
      </c>
    </row>
    <row r="26" ht="30" customHeight="1">
      <c r="B26" s="55">
        <f>"7. Security: Note secured by a first-position Deed of Trust / Mortgage on the Property recorded at Closing."</f>
        <v/>
      </c>
    </row>
    <row r="27" ht="30" customHeight="1">
      <c r="B27" s="54">
        <f>"8. Closing Date: On or before "&amp;'Term Inputs'!C19&amp;", or such later date as the parties mutually agree in writing."</f>
        <v/>
      </c>
    </row>
    <row r="28" ht="30" customHeight="1">
      <c r="B28" s="55">
        <f>"9. Closing Costs: Each party bears their customary share. Buyer estimates total closing costs of $"&amp;TEXT('Term Inputs'!C18,"#,##0")&amp;"."</f>
        <v/>
      </c>
    </row>
    <row r="29" ht="30" customHeight="1">
      <c r="B29" s="55">
        <f>"10. Contingencies: This offer is contingent upon (a) Buyer's satisfactory inspection of the Property within fifteen (15) days, (b) clear and marketable title, (c) Buyer's confirmation of permitted short-term-rental use, and (d) any zoning, HOA, or insurance verifications customary in the jurisdiction."</f>
        <v/>
      </c>
    </row>
    <row r="30" ht="30" customHeight="1">
      <c r="B30" s="55">
        <f>"11. Assignment: Buyer may assign this agreement to a wholly-owned entity ("&amp;IF(C8="","TBD",C8)&amp;") prior to Closing without further consent."</f>
        <v/>
      </c>
    </row>
    <row r="31" ht="30" customHeight="1">
      <c r="B31" s="55">
        <f>"12. Default &amp; Cure: Standard 30-day cure period; on uncured default, Seller's remedies are limited to those stated in the Note and Deed of Trust."</f>
        <v/>
      </c>
    </row>
    <row r="32" ht="30" customHeight="1">
      <c r="B32" s="55">
        <f>"13. This Term Sheet is non-binding and intended to summarize the principal economic terms. The parties shall execute a definitive Purchase &amp; Sale Agreement and Promissory Note reflecting these terms."</f>
        <v/>
      </c>
    </row>
    <row r="34" ht="22" customHeight="1">
      <c r="B34" s="56" t="inlineStr">
        <is>
          <t>SIGNATURES</t>
        </is>
      </c>
    </row>
    <row r="36" ht="22" customHeight="1">
      <c r="B36" s="25" t="inlineStr">
        <is>
          <t>Buyer:</t>
        </is>
      </c>
      <c r="C36" s="57">
        <f>C7</f>
        <v/>
      </c>
      <c r="D36" s="58" t="n"/>
      <c r="E36" s="58" t="n"/>
    </row>
    <row r="37" ht="22" customHeight="1">
      <c r="B37" s="25" t="inlineStr">
        <is>
          <t>Date:</t>
        </is>
      </c>
      <c r="C37" s="57" t="n"/>
      <c r="D37" s="58" t="n"/>
      <c r="E37" s="58" t="n"/>
    </row>
    <row r="39" ht="22" customHeight="1">
      <c r="B39" s="25" t="inlineStr">
        <is>
          <t>Seller:</t>
        </is>
      </c>
      <c r="C39" s="57">
        <f>C9</f>
        <v/>
      </c>
      <c r="D39" s="58" t="n"/>
      <c r="E39" s="58" t="n"/>
    </row>
    <row r="40" ht="22" customHeight="1">
      <c r="B40" s="25" t="inlineStr">
        <is>
          <t>Date:</t>
        </is>
      </c>
      <c r="C40" s="57" t="n"/>
      <c r="D40" s="58" t="n"/>
      <c r="E40" s="58" t="n"/>
    </row>
    <row r="43">
      <c r="A43" s="19" t="n"/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</row>
    <row r="44" ht="18" customHeight="1">
      <c r="A44" s="20" t="inlineStr">
        <is>
          <t>Questions? hello@thestrledger.com</t>
        </is>
      </c>
    </row>
    <row r="45" ht="18" customHeight="1">
      <c r="A45" s="21" t="inlineStr">
        <is>
          <t>ACQ-010 · Term Sheet · NON-BINDING DRAFT</t>
        </is>
      </c>
    </row>
  </sheetData>
  <mergeCells count="34">
    <mergeCell ref="D2:I2"/>
    <mergeCell ref="B30:E30"/>
    <mergeCell ref="C40:E40"/>
    <mergeCell ref="C9:E9"/>
    <mergeCell ref="B24:E24"/>
    <mergeCell ref="B20:E20"/>
    <mergeCell ref="A2:C2"/>
    <mergeCell ref="B32:E32"/>
    <mergeCell ref="B26:E26"/>
    <mergeCell ref="C36:E36"/>
    <mergeCell ref="C39:E39"/>
    <mergeCell ref="C8:E8"/>
    <mergeCell ref="B16:E16"/>
    <mergeCell ref="B25:E25"/>
    <mergeCell ref="C7:E7"/>
    <mergeCell ref="B22:E22"/>
    <mergeCell ref="A4:L4"/>
    <mergeCell ref="B31:E31"/>
    <mergeCell ref="B18:E18"/>
    <mergeCell ref="J2:L2"/>
    <mergeCell ref="B27:E27"/>
    <mergeCell ref="C37:E37"/>
    <mergeCell ref="B21:E21"/>
    <mergeCell ref="A44:L44"/>
    <mergeCell ref="B14:E14"/>
    <mergeCell ref="B17:E17"/>
    <mergeCell ref="B23:E23"/>
    <mergeCell ref="A11:L11"/>
    <mergeCell ref="B13:E13"/>
    <mergeCell ref="A45:L45"/>
    <mergeCell ref="B29:E29"/>
    <mergeCell ref="A6:L6"/>
    <mergeCell ref="B34:E34"/>
    <mergeCell ref="B28:E28"/>
  </mergeCells>
  <pageMargins left="0.7" right="0.7" top="0.7" bottom="0.7" header="0.5" footer="0.5"/>
  <pageSetup orientation="portrait" paperSize="1" fitToHeight="1" fitToWidth="1"/>
</worksheet>
</file>

<file path=xl/worksheets/sheet5.xml><?xml version="1.0" encoding="utf-8"?>
<worksheet xmlns="http://schemas.openxmlformats.org/spreadsheetml/2006/main">
  <sheetPr>
    <tabColor rgb="006B7280"/>
    <outlinePr summaryBelow="1" summaryRight="1"/>
    <pageSetUpPr fitToPage="1"/>
  </sheetPr>
  <dimension ref="A1:L32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4" customWidth="1" min="3" max="3"/>
    <col width="30" customWidth="1" min="4" max="4"/>
    <col width="36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2">
        <f>HYPERLINK("#'Term Sheet'!A1", "← BACK")</f>
        <v/>
      </c>
      <c r="B2" s="13" t="n"/>
      <c r="C2" s="13" t="n"/>
      <c r="D2" s="22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3" t="inlineStr">
        <is>
          <t>Property identity + conventional-loan benchmarks for the Side-by-Side comparison.</t>
        </is>
      </c>
    </row>
    <row r="5" ht="18" customHeight="1">
      <c r="B5" s="31" t="inlineStr">
        <is>
          <t>Smokies Ridge Cabin</t>
        </is>
      </c>
      <c r="D5" s="59" t="inlineStr">
        <is>
          <t>Property name:</t>
        </is>
      </c>
    </row>
    <row r="7" ht="18" customHeight="1">
      <c r="B7" s="29" t="n">
        <v>0.0725</v>
      </c>
      <c r="D7" s="59" t="inlineStr">
        <is>
          <t>Conventional rate (%):</t>
        </is>
      </c>
      <c r="E7" s="27" t="inlineStr">
        <is>
          <t>Today's market DSCR rate (default 7.25%)</t>
        </is>
      </c>
    </row>
    <row r="9" ht="18" customHeight="1">
      <c r="B9" s="30" t="n">
        <v>30</v>
      </c>
      <c r="D9" s="59" t="inlineStr">
        <is>
          <t>Conventional term (yrs):</t>
        </is>
      </c>
      <c r="E9" s="27" t="inlineStr">
        <is>
          <t>30 standard</t>
        </is>
      </c>
    </row>
    <row r="11" ht="18" customHeight="1">
      <c r="B11" s="28" t="n">
        <v>0.25</v>
      </c>
      <c r="D11" s="59" t="inlineStr">
        <is>
          <t>Conventional down (%):</t>
        </is>
      </c>
      <c r="E11" s="27" t="inlineStr">
        <is>
          <t>25% standard for DSCR</t>
        </is>
      </c>
    </row>
    <row r="13" ht="18" customHeight="1">
      <c r="B13" s="28" t="n">
        <v>0.03</v>
      </c>
      <c r="D13" s="59" t="inlineStr">
        <is>
          <t>Conventional closing (%):</t>
        </is>
      </c>
      <c r="E13" s="27" t="inlineStr">
        <is>
          <t>Approx 3% of purchase</t>
        </is>
      </c>
    </row>
    <row r="15" ht="18" customHeight="1">
      <c r="B15" s="26" t="n">
        <v>42000</v>
      </c>
      <c r="D15" s="59" t="inlineStr">
        <is>
          <t>Annual NOI (after opex, $):</t>
        </is>
      </c>
      <c r="E15" s="27" t="inlineStr">
        <is>
          <t>From your operating P&amp;L — drives CoC</t>
        </is>
      </c>
    </row>
    <row r="17" ht="18" customHeight="1">
      <c r="B17" s="31" t="inlineStr">
        <is>
          <t>123 Mountain Lane, Gatlinburg, TN 37738</t>
        </is>
      </c>
      <c r="D17" s="59" t="inlineStr">
        <is>
          <t>Property address:</t>
        </is>
      </c>
      <c r="E17" s="27" t="inlineStr">
        <is>
          <t>Used in Term Sheet</t>
        </is>
      </c>
    </row>
    <row r="20" ht="24" customHeight="1">
      <c r="A20" s="24" t="inlineStr">
        <is>
          <t>DEAL ARCHIVE — log each seller-finance offer outcome</t>
        </is>
      </c>
    </row>
    <row r="21" ht="22" customHeight="1">
      <c r="B21" s="35" t="inlineStr">
        <is>
          <t>Year</t>
        </is>
      </c>
      <c r="C21" s="35" t="inlineStr">
        <is>
          <t>Property</t>
        </is>
      </c>
      <c r="D21" s="35" t="inlineStr">
        <is>
          <t>Outcome</t>
        </is>
      </c>
      <c r="E21" s="35" t="inlineStr">
        <is>
          <t>Final monthly P&amp;I</t>
        </is>
      </c>
      <c r="F21" s="35" t="inlineStr">
        <is>
          <t>Notes</t>
        </is>
      </c>
    </row>
    <row r="22" ht="18" customHeight="1">
      <c r="B22" s="60" t="n">
        <v>2026</v>
      </c>
      <c r="C22" s="50" t="n"/>
      <c r="D22" s="50" t="n"/>
      <c r="E22" s="50" t="n"/>
      <c r="F22" s="50" t="n"/>
    </row>
    <row r="23" ht="18" customHeight="1">
      <c r="B23" s="60" t="n">
        <v>2027</v>
      </c>
      <c r="C23" s="50" t="n"/>
      <c r="D23" s="50" t="n"/>
      <c r="E23" s="50" t="n"/>
      <c r="F23" s="50" t="n"/>
    </row>
    <row r="24" ht="18" customHeight="1">
      <c r="B24" s="60" t="n">
        <v>2028</v>
      </c>
      <c r="C24" s="50" t="n"/>
      <c r="D24" s="50" t="n"/>
      <c r="E24" s="50" t="n"/>
      <c r="F24" s="50" t="n"/>
    </row>
    <row r="25" ht="18" customHeight="1">
      <c r="B25" s="60" t="n">
        <v>2029</v>
      </c>
      <c r="C25" s="50" t="n"/>
      <c r="D25" s="50" t="n"/>
      <c r="E25" s="50" t="n"/>
      <c r="F25" s="50" t="n"/>
    </row>
    <row r="26" ht="18" customHeight="1">
      <c r="B26" s="60" t="n">
        <v>2030</v>
      </c>
      <c r="C26" s="50" t="n"/>
      <c r="D26" s="50" t="n"/>
      <c r="E26" s="50" t="n"/>
      <c r="F26" s="50" t="n"/>
    </row>
    <row r="30">
      <c r="A30" s="19" t="n"/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</row>
    <row r="31" ht="18" customHeight="1">
      <c r="A31" s="20" t="inlineStr">
        <is>
          <t>Questions? hello@thestrledger.com</t>
        </is>
      </c>
    </row>
    <row r="32" ht="18" customHeight="1">
      <c r="A32" s="21" t="inlineStr">
        <is>
          <t>ACQ-010 · Settings</t>
        </is>
      </c>
    </row>
  </sheetData>
  <mergeCells count="6">
    <mergeCell ref="A20:L20"/>
    <mergeCell ref="D2:L2"/>
    <mergeCell ref="A32:L32"/>
    <mergeCell ref="A31:L31"/>
    <mergeCell ref="A2:C2"/>
    <mergeCell ref="A4:L4"/>
  </mergeCells>
  <pageMargins left="0.5" right="0.5" top="0.5" bottom="0.5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Seller-Finance Offer Calculator — The STR Ledger</dc:title>
  <dc:description xmlns:dc="http://purl.org/dc/elements/1.1/">Models seller-finance acquisition terms — monthly P&amp;I, total cost, side-by-side vs conventional 25%-down DSCR, and a print-ready draft term sheet.</dc:description>
  <dcterms:created xmlns:dcterms="http://purl.org/dc/terms/" xmlns:xsi="http://www.w3.org/2001/XMLSchema-instance" xsi:type="dcterms:W3CDTF">2026-05-03T19:06:23Z</dcterms:created>
  <dcterms:modified xmlns:dcterms="http://purl.org/dc/terms/" xmlns:xsi="http://www.w3.org/2001/XMLSchema-instance" xsi:type="dcterms:W3CDTF">2026-05-03T19:06:23Z</dcterms:modified>
</cp:coreProperties>
</file>