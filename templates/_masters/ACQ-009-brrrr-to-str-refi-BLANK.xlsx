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Acquisition + Rehab" sheetId="2" state="visible" r:id="rId2"/>
    <sheet xmlns:r="http://schemas.openxmlformats.org/officeDocument/2006/relationships" name="ARV + Refi" sheetId="3" state="visible" r:id="rId3"/>
    <sheet xmlns:r="http://schemas.openxmlformats.org/officeDocument/2006/relationships" name="Post-Refi Operating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'Start'!$A$1:$L$37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0.000%"/>
    <numFmt numFmtId="167" formatCode="&quot;$&quot;#,##0.00"/>
  </numFmts>
  <fonts count="29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10"/>
    </font>
    <font>
      <name val="Georgia"/>
      <b val="1"/>
      <color rgb="00C9A24B"/>
      <sz val="42"/>
    </font>
    <font>
      <name val="Georgia"/>
      <b val="1"/>
      <color rgb="0012304E"/>
      <sz val="16"/>
    </font>
    <font>
      <name val="Consolas"/>
      <b val="1"/>
      <color rgb="0012304E"/>
      <sz val="9"/>
    </font>
    <font>
      <name val="Consolas"/>
      <b val="1"/>
      <color rgb="00C9A24B"/>
      <sz val="9"/>
    </font>
    <font>
      <name val="Georgia"/>
      <b val="1"/>
      <color rgb="0012304E"/>
      <sz val="22"/>
    </font>
    <font>
      <name val="Georgia"/>
      <b val="1"/>
      <color rgb="00C9A24B"/>
      <sz val="22"/>
    </font>
    <font>
      <name val="Georgia"/>
      <b val="1"/>
      <color rgb="0012304E"/>
      <sz val="13"/>
    </font>
    <font>
      <name val="Georgia"/>
      <b val="1"/>
      <color rgb="00C9A24B"/>
      <sz val="13"/>
    </font>
    <font>
      <name val="Calibri"/>
      <i val="1"/>
      <color rgb="006B7280"/>
      <sz val="10"/>
    </font>
    <font>
      <name val="Georgia"/>
      <b val="1"/>
      <color rgb="00F6EFE2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Georgia"/>
      <b val="1"/>
      <color rgb="0012304E"/>
      <sz val="12"/>
    </font>
    <font>
      <name val="Calibri"/>
      <i val="1"/>
      <color rgb="002B2B2B"/>
      <sz val="11"/>
    </font>
    <font>
      <name val="Georgia"/>
      <b val="1"/>
      <color rgb="00C9A24B"/>
      <sz val="14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</fills>
  <borders count="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9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164" fontId="11" fillId="3" borderId="0" applyAlignment="1" pivotButton="0" quotePrefix="0" xfId="0">
      <alignment horizontal="center" vertical="center"/>
    </xf>
    <xf numFmtId="164" fontId="12" fillId="3" borderId="0" applyAlignment="1" pivotButton="0" quotePrefix="0" xfId="0">
      <alignment horizontal="center" vertical="center"/>
    </xf>
    <xf numFmtId="2" fontId="11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3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7" fillId="5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right" vertical="center" indent="2"/>
    </xf>
    <xf numFmtId="0" fontId="13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21" fillId="3" borderId="0" applyAlignment="1" pivotButton="0" quotePrefix="0" xfId="0">
      <alignment horizontal="left" vertical="center" indent="1"/>
    </xf>
    <xf numFmtId="0" fontId="22" fillId="2" borderId="0" applyAlignment="1" pivotButton="0" quotePrefix="0" xfId="0">
      <alignment horizontal="left" vertical="center" indent="2"/>
    </xf>
    <xf numFmtId="0" fontId="23" fillId="0" borderId="0" applyAlignment="1" pivotButton="0" quotePrefix="0" xfId="0">
      <alignment horizontal="right" vertical="center" indent="1"/>
    </xf>
    <xf numFmtId="164" fontId="24" fillId="6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indent="1"/>
    </xf>
    <xf numFmtId="1" fontId="24" fillId="6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vertical="center" indent="1"/>
    </xf>
    <xf numFmtId="164" fontId="28" fillId="8" borderId="0" applyAlignment="1" pivotButton="0" quotePrefix="0" xfId="0">
      <alignment horizontal="center" vertical="center"/>
    </xf>
    <xf numFmtId="164" fontId="27" fillId="7" borderId="0" applyAlignment="1" pivotButton="0" quotePrefix="0" xfId="0">
      <alignment horizontal="center" vertical="center"/>
    </xf>
    <xf numFmtId="165" fontId="27" fillId="7" borderId="0" applyAlignment="1" pivotButton="0" quotePrefix="0" xfId="0">
      <alignment horizontal="center" vertical="center"/>
    </xf>
    <xf numFmtId="166" fontId="27" fillId="7" borderId="0" applyAlignment="1" pivotButton="0" quotePrefix="0" xfId="0">
      <alignment horizontal="center" vertical="center"/>
    </xf>
    <xf numFmtId="1" fontId="27" fillId="7" borderId="0" applyAlignment="1" pivotButton="0" quotePrefix="0" xfId="0">
      <alignment horizontal="center" vertical="center"/>
    </xf>
    <xf numFmtId="165" fontId="24" fillId="6" borderId="0" applyAlignment="1" pivotButton="0" quotePrefix="0" xfId="0">
      <alignment horizontal="center" vertical="center"/>
    </xf>
    <xf numFmtId="165" fontId="28" fillId="8" borderId="0" applyAlignment="1" pivotButton="0" quotePrefix="0" xfId="0">
      <alignment horizontal="center" vertical="center"/>
    </xf>
    <xf numFmtId="2" fontId="28" fillId="8" borderId="0" applyAlignment="1" pivotButton="0" quotePrefix="0" xfId="0">
      <alignment horizontal="center" vertical="center"/>
    </xf>
    <xf numFmtId="167" fontId="27" fillId="7" borderId="0" applyAlignment="1" pivotButton="0" quotePrefix="0" xfId="0">
      <alignment horizontal="center" vertical="center"/>
    </xf>
    <xf numFmtId="0" fontId="24" fillId="6" borderId="0" applyAlignment="1" pivotButton="0" quotePrefix="0" xfId="0">
      <alignment horizontal="center" vertical="center"/>
    </xf>
    <xf numFmtId="166" fontId="24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Georgia"/>
        <b val="1"/>
        <color rgb="00B91C1C"/>
        <sz val="14"/>
      </font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BRRRR-to-STR Refi Math</t>
        </is>
      </c>
    </row>
    <row r="5" ht="22" customHeight="1">
      <c r="A5" s="4" t="inlineStr">
        <is>
          <t>Did this BRRRR actually return all your cash?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ACQ-009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IF(Settings!C5="","(enter property on Settings tab)",Settings!C5)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8" t="inlineStr">
        <is>
          <t>% CAPITAL RETURNED AT REFI</t>
        </is>
      </c>
    </row>
    <row r="14" ht="36" customHeight="1">
      <c r="A14" s="9">
        <f>'ARV + Refi'!C25</f>
        <v/>
      </c>
    </row>
    <row r="15" ht="24" customHeight="1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28" customHeight="1">
      <c r="A17" s="10">
        <f>IF('ARV + Refi'!C25&gt;=0.95,"✅  Full BRRRR — capital recycled",IF('ARV + Refi'!C25&gt;=0.75,"⚠  Partial BRRRR — some cash trapped","❌  Cash-heavy deal — most equity stays in"))</f>
        <v/>
      </c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18" customHeight="1">
      <c r="A19" s="11" t="inlineStr">
        <is>
          <t>CASH INVESTED</t>
        </is>
      </c>
      <c r="E19" s="12" t="inlineStr">
        <is>
          <t>CASH RETURNED</t>
        </is>
      </c>
      <c r="I19" s="11" t="inlineStr">
        <is>
          <t>POST-REFI DSCR</t>
        </is>
      </c>
    </row>
    <row r="20" ht="26" customHeight="1">
      <c r="A20" s="13">
        <f>'Acquisition + Rehab'!C18</f>
        <v/>
      </c>
      <c r="E20" s="14">
        <f>'ARV + Refi'!C23</f>
        <v/>
      </c>
      <c r="I20" s="15">
        <f>'Post-Refi Operating'!C13</f>
        <v/>
      </c>
    </row>
    <row r="21" ht="18" customHeight="1"/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24" customHeight="1">
      <c r="A23" s="16">
        <f>"Cash left in deal: "&amp;TEXT('ARV + Refi'!C24,"$#,##0")</f>
        <v/>
      </c>
      <c r="G23" s="17">
        <f>IF('Post-Refi Operating'!C13&gt;=1.20,"✅  Meets DSCR-loan minimum (1.20)","⚠  Below DSCR-loan minimum (1.20)")</f>
        <v/>
      </c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8" customHeight="1">
      <c r="A25" s="18" t="inlineStr">
        <is>
          <t>Note: BRRRR math here covers acquisition + rehab + holding cash, ARV estimate, refi cash-out, and post-refi DSCR/cash flow. It does NOT model rehab overruns, appraisal misses, or DSCR-loan seasoning windows. Re-run the moment any input changes — every $5K rehab overrun is real money.</t>
        </is>
      </c>
    </row>
    <row r="26" ht="18" customHeight="1"/>
    <row r="28" ht="22" customHeight="1">
      <c r="A28" s="19">
        <f>HYPERLINK("#'Acquisition + Rehab'!A1", "Acquisition + Rehab")</f>
        <v/>
      </c>
      <c r="B28" s="20" t="n"/>
      <c r="C28" s="20" t="n"/>
      <c r="D28" s="19">
        <f>HYPERLINK("#'ARV + Refi'!A1", "ARV + Refi")</f>
        <v/>
      </c>
      <c r="E28" s="20" t="n"/>
      <c r="F28" s="20" t="n"/>
      <c r="G28" s="19">
        <f>HYPERLINK("#'Post-Refi Operating'!A1", "Post-Refi Operating")</f>
        <v/>
      </c>
      <c r="H28" s="20" t="n"/>
      <c r="I28" s="20" t="n"/>
      <c r="J28" s="21">
        <f>HYPERLINK("#'Settings'!A1", "Settings")</f>
        <v/>
      </c>
      <c r="K28" s="22" t="n"/>
      <c r="L28" s="22" t="n"/>
    </row>
    <row r="29" ht="22" customHeight="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2" t="n"/>
      <c r="K29" s="22" t="n"/>
      <c r="L29" s="22" t="n"/>
    </row>
    <row r="30" ht="22" customHeight="1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2" t="n"/>
      <c r="K30" s="22" t="n"/>
      <c r="L30" s="22" t="n"/>
    </row>
    <row r="33" ht="36" customHeight="1">
      <c r="A33" s="23" t="inlineStr">
        <is>
          <t>💡  Stacking BRRRRs? Get the Acquisition Bundle at thestrledger.com — Deal Analyzer + Cost-to-Launch + BRRRR Math + more.</t>
        </is>
      </c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 ht="18" customHeight="1">
      <c r="A36" s="25" t="inlineStr">
        <is>
          <t>Questions? hello@thestrledger.com</t>
        </is>
      </c>
    </row>
    <row r="37" ht="18" customHeight="1">
      <c r="A37" s="26" t="inlineStr">
        <is>
          <t>ACQ-009 · v1.0 · BLANK · Free updates forever</t>
        </is>
      </c>
    </row>
  </sheetData>
  <mergeCells count="24">
    <mergeCell ref="A7:L7"/>
    <mergeCell ref="A37:L37"/>
    <mergeCell ref="E20:H21"/>
    <mergeCell ref="A19:D19"/>
    <mergeCell ref="I19:L19"/>
    <mergeCell ref="G28:I30"/>
    <mergeCell ref="A2:F2"/>
    <mergeCell ref="D28:F30"/>
    <mergeCell ref="A33:L33"/>
    <mergeCell ref="A5:L5"/>
    <mergeCell ref="A23:F23"/>
    <mergeCell ref="A17:L17"/>
    <mergeCell ref="A4:L4"/>
    <mergeCell ref="A13:L13"/>
    <mergeCell ref="A20:D21"/>
    <mergeCell ref="I20:L21"/>
    <mergeCell ref="E19:H19"/>
    <mergeCell ref="A28:C30"/>
    <mergeCell ref="A25:L26"/>
    <mergeCell ref="A11:L11"/>
    <mergeCell ref="A36:L36"/>
    <mergeCell ref="G23:L23"/>
    <mergeCell ref="A14:L15"/>
    <mergeCell ref="J28:L30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9">
        <f>HYPERLINK("#'Start'!A1", "← BACK")</f>
        <v/>
      </c>
      <c r="B2" s="20" t="n"/>
      <c r="C2" s="20" t="n"/>
      <c r="D2" s="27" t="inlineStr">
        <is>
          <t>ACQUISITION + REHAB</t>
        </is>
      </c>
      <c r="J2" s="28">
        <f>HYPERLINK("#'ARV + Refi'!A1",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0" t="inlineStr">
        <is>
          <t>Section 1 of 3 — every dollar that goes in before the refi</t>
        </is>
      </c>
    </row>
    <row r="6" ht="24" customHeight="1">
      <c r="A6" s="31" t="inlineStr">
        <is>
          <t>PURCHASE</t>
        </is>
      </c>
    </row>
    <row r="7" ht="18" customHeight="1">
      <c r="B7" s="32" t="inlineStr">
        <is>
          <t>Purchase price ($):</t>
        </is>
      </c>
      <c r="C7" s="33" t="n"/>
      <c r="E7" s="34" t="inlineStr">
        <is>
          <t>Distressed/below-market is the BRRRR target</t>
        </is>
      </c>
    </row>
    <row r="8" ht="18" customHeight="1">
      <c r="B8" s="32" t="inlineStr">
        <is>
          <t>Closing costs at purchase ($):</t>
        </is>
      </c>
      <c r="C8" s="33" t="n"/>
      <c r="E8" s="34" t="inlineStr">
        <is>
          <t>Title, recording, lender fees — typically 2-3%</t>
        </is>
      </c>
    </row>
    <row r="9" ht="18" customHeight="1">
      <c r="B9" s="32" t="inlineStr">
        <is>
          <t>Hard money / acquisition loan ($):</t>
        </is>
      </c>
      <c r="C9" s="33" t="n"/>
      <c r="E9" s="34" t="inlineStr">
        <is>
          <t>0 if all-cash. HML typically 80% of purchase + 100% rehab</t>
        </is>
      </c>
    </row>
    <row r="10" ht="18" customHeight="1">
      <c r="B10" s="32" t="inlineStr">
        <is>
          <t>Down + closing in cash ($):</t>
        </is>
      </c>
      <c r="C10" s="33" t="n"/>
      <c r="E10" s="34" t="inlineStr">
        <is>
          <t>Purchase − HML loan + closing costs paid out of pocket</t>
        </is>
      </c>
    </row>
    <row r="12" ht="24" customHeight="1">
      <c r="A12" s="31" t="inlineStr">
        <is>
          <t>REHAB + HOLDING</t>
        </is>
      </c>
    </row>
    <row r="13" ht="18" customHeight="1">
      <c r="B13" s="32" t="inlineStr">
        <is>
          <t>Rehab budget ($):</t>
        </is>
      </c>
      <c r="C13" s="33" t="n"/>
      <c r="E13" s="34" t="inlineStr">
        <is>
          <t>Hard costs — labor, materials, permits</t>
        </is>
      </c>
    </row>
    <row r="14" ht="18" customHeight="1">
      <c r="B14" s="32" t="inlineStr">
        <is>
          <t>Furniture budget ($):</t>
        </is>
      </c>
      <c r="C14" s="33" t="n"/>
      <c r="E14" s="34" t="inlineStr">
        <is>
          <t>Often deferred to post-refi — toggle to $0 if so</t>
        </is>
      </c>
    </row>
    <row r="15" ht="18" customHeight="1">
      <c r="B15" s="32" t="inlineStr">
        <is>
          <t>Holding period (months):</t>
        </is>
      </c>
      <c r="C15" s="35" t="n"/>
      <c r="E15" s="34" t="inlineStr">
        <is>
          <t>Months from close to refi cash-out</t>
        </is>
      </c>
    </row>
    <row r="16" ht="18" customHeight="1">
      <c r="B16" s="32" t="inlineStr">
        <is>
          <t>Holding cost per month ($):</t>
        </is>
      </c>
      <c r="C16" s="33" t="n"/>
      <c r="E16" s="34" t="inlineStr">
        <is>
          <t>Insurance + utilities + tax + HML interest</t>
        </is>
      </c>
    </row>
    <row r="17" ht="24" customHeight="1">
      <c r="A17" s="31" t="inlineStr">
        <is>
          <t>TOTAL CASH INVESTED  —  CALCULATED</t>
        </is>
      </c>
    </row>
    <row r="18" ht="22" customHeight="1">
      <c r="B18" s="36" t="inlineStr">
        <is>
          <t>Total cash in (pre-refi):</t>
        </is>
      </c>
      <c r="C18" s="37">
        <f>C10+C13+C14+(C15*C16)</f>
        <v/>
      </c>
      <c r="E18" s="34" t="inlineStr">
        <is>
          <t>Sum of all out-of-pocket dollars before refi</t>
        </is>
      </c>
    </row>
    <row r="20" ht="18" customHeight="1">
      <c r="B20" s="32" t="inlineStr">
        <is>
          <t>Total holding costs:</t>
        </is>
      </c>
      <c r="C20" s="38">
        <f>C15*C16</f>
        <v/>
      </c>
      <c r="E20" s="34" t="inlineStr">
        <is>
          <t>Months × monthly carry</t>
        </is>
      </c>
    </row>
    <row r="21" ht="18" customHeight="1">
      <c r="B21" s="32" t="inlineStr">
        <is>
          <t>Hard money outstanding (refi payoff):</t>
        </is>
      </c>
      <c r="C21" s="38">
        <f>C9</f>
        <v/>
      </c>
      <c r="E21" s="34" t="inlineStr">
        <is>
          <t>Pulled to ARV + Refi tab as loan payoff</t>
        </is>
      </c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 ht="18" customHeight="1">
      <c r="A25" s="25" t="inlineStr">
        <is>
          <t>Questions? hello@thestrledger.com</t>
        </is>
      </c>
    </row>
    <row r="26" ht="18" customHeight="1">
      <c r="A26" s="26" t="inlineStr">
        <is>
          <t>ACQ-009 · Acquisition + Rehab</t>
        </is>
      </c>
    </row>
  </sheetData>
  <mergeCells count="20">
    <mergeCell ref="E18:L18"/>
    <mergeCell ref="D2:I2"/>
    <mergeCell ref="E21:L21"/>
    <mergeCell ref="A25:L25"/>
    <mergeCell ref="E14:L14"/>
    <mergeCell ref="A12:L12"/>
    <mergeCell ref="E8:L8"/>
    <mergeCell ref="A2:C2"/>
    <mergeCell ref="A26:L26"/>
    <mergeCell ref="E20:L20"/>
    <mergeCell ref="E10:L10"/>
    <mergeCell ref="E13:L13"/>
    <mergeCell ref="A17:L17"/>
    <mergeCell ref="A4:L4"/>
    <mergeCell ref="E9:L9"/>
    <mergeCell ref="J2:L2"/>
    <mergeCell ref="E15:L15"/>
    <mergeCell ref="E7:L7"/>
    <mergeCell ref="E16:L16"/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9">
        <f>HYPERLINK("#'Acquisition + Rehab'!A1", "← BACK")</f>
        <v/>
      </c>
      <c r="B2" s="20" t="n"/>
      <c r="C2" s="20" t="n"/>
      <c r="D2" s="27" t="inlineStr">
        <is>
          <t>ARV + REFI</t>
        </is>
      </c>
      <c r="J2" s="28">
        <f>HYPERLINK("#'Post-Refi Operating'!A1",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0" t="inlineStr">
        <is>
          <t>Section 2 of 3 — what it appraises for and how much cash comes back</t>
        </is>
      </c>
    </row>
    <row r="6" ht="24" customHeight="1">
      <c r="A6" s="31" t="inlineStr">
        <is>
          <t>ARV ESTIMATE  —  THREE METHODS</t>
        </is>
      </c>
    </row>
    <row r="7" ht="18" customHeight="1">
      <c r="B7" s="32" t="inlineStr">
        <is>
          <t>ARV — Comp sales method ($):</t>
        </is>
      </c>
      <c r="C7" s="33" t="n"/>
      <c r="E7" s="34" t="inlineStr">
        <is>
          <t>3 nearby sold comps × adjusted $/sqft</t>
        </is>
      </c>
    </row>
    <row r="8" ht="18" customHeight="1">
      <c r="B8" s="32" t="inlineStr">
        <is>
          <t>ARV — Cap rate × NOI method ($):</t>
        </is>
      </c>
      <c r="C8" s="33" t="n"/>
      <c r="E8" s="34" t="inlineStr">
        <is>
          <t>Year-1 NOI ÷ market cap rate</t>
        </is>
      </c>
    </row>
    <row r="9" ht="18" customHeight="1">
      <c r="B9" s="32" t="inlineStr">
        <is>
          <t>ARV — $/sq ft method ($):</t>
        </is>
      </c>
      <c r="C9" s="33" t="n"/>
      <c r="E9" s="34" t="inlineStr">
        <is>
          <t>Renovated comp $/sqft × your sqft</t>
        </is>
      </c>
    </row>
    <row r="10" ht="18" customHeight="1">
      <c r="B10" s="32" t="inlineStr">
        <is>
          <t>Average of three methods:</t>
        </is>
      </c>
      <c r="C10" s="38">
        <f>AVERAGE(C7:C9)</f>
        <v/>
      </c>
      <c r="E10" s="34" t="inlineStr">
        <is>
          <t>Reality check on your selected ARV below</t>
        </is>
      </c>
    </row>
    <row r="12" ht="18" customHeight="1">
      <c r="B12" s="32" t="inlineStr">
        <is>
          <t>Selected ARV ($):</t>
        </is>
      </c>
      <c r="C12" s="33" t="n"/>
      <c r="E12" s="34" t="inlineStr">
        <is>
          <t>What you're underwriting — usually conservative</t>
        </is>
      </c>
    </row>
    <row r="14" ht="24" customHeight="1">
      <c r="A14" s="31" t="inlineStr">
        <is>
          <t>REFINANCE</t>
        </is>
      </c>
    </row>
    <row r="15" ht="18" customHeight="1">
      <c r="B15" s="32" t="inlineStr">
        <is>
          <t>Target LTV (from Settings):</t>
        </is>
      </c>
      <c r="C15" s="39">
        <f>Settings!C7</f>
        <v/>
      </c>
      <c r="E15" s="34" t="inlineStr">
        <is>
          <t>DSCR loans typically 70-75%</t>
        </is>
      </c>
    </row>
    <row r="16" ht="18" customHeight="1">
      <c r="B16" s="32" t="inlineStr">
        <is>
          <t>Refi rate (from Settings):</t>
        </is>
      </c>
      <c r="C16" s="40">
        <f>Settings!C9</f>
        <v/>
      </c>
      <c r="E16" s="34" t="inlineStr">
        <is>
          <t>Current DSCR-loan rate</t>
        </is>
      </c>
    </row>
    <row r="17" ht="18" customHeight="1">
      <c r="B17" s="32" t="inlineStr">
        <is>
          <t>Refi term in years (from Settings):</t>
        </is>
      </c>
      <c r="C17" s="41">
        <f>Settings!C11</f>
        <v/>
      </c>
      <c r="E17" s="34" t="inlineStr">
        <is>
          <t>30 typical</t>
        </is>
      </c>
    </row>
    <row r="18" ht="18" customHeight="1">
      <c r="B18" s="32" t="inlineStr">
        <is>
          <t>Max refi loan amount:</t>
        </is>
      </c>
      <c r="C18" s="38">
        <f>C12*C15</f>
        <v/>
      </c>
      <c r="E18" s="34" t="inlineStr">
        <is>
          <t>Selected ARV × target LTV</t>
        </is>
      </c>
    </row>
    <row r="19" ht="18" customHeight="1">
      <c r="B19" s="32" t="inlineStr">
        <is>
          <t>Less: original loan payoff ($):</t>
        </is>
      </c>
      <c r="C19" s="33" t="n"/>
      <c r="E19" s="34" t="inlineStr">
        <is>
          <t>HML principal paid off at refi (0 if all-cash purchase)</t>
        </is>
      </c>
    </row>
    <row r="20" ht="18" customHeight="1">
      <c r="B20" s="32" t="inlineStr">
        <is>
          <t>Refi closing cost (% of refi loan):</t>
        </is>
      </c>
      <c r="C20" s="42" t="n"/>
      <c r="E20" s="34" t="inlineStr">
        <is>
          <t>DSCR-loan closing typically 2-4%</t>
        </is>
      </c>
    </row>
    <row r="21" ht="18" customHeight="1">
      <c r="B21" s="32" t="inlineStr">
        <is>
          <t>Refi closing cost ($):</t>
        </is>
      </c>
      <c r="C21" s="38">
        <f>C18*C20</f>
        <v/>
      </c>
      <c r="E21" s="34" t="inlineStr">
        <is>
          <t>Refi loan × refi closing %</t>
        </is>
      </c>
    </row>
    <row r="22" ht="18" customHeight="1">
      <c r="B22" s="32" t="inlineStr">
        <is>
          <t>Cash out at refi (gross):</t>
        </is>
      </c>
      <c r="C22" s="38">
        <f>C18-C19</f>
        <v/>
      </c>
      <c r="E22" s="34" t="inlineStr">
        <is>
          <t>Refi proceeds after HML payoff (before closing)</t>
        </is>
      </c>
    </row>
    <row r="23" ht="22" customHeight="1">
      <c r="B23" s="36" t="inlineStr">
        <is>
          <t>Net cash returned after refi:</t>
        </is>
      </c>
      <c r="C23" s="37">
        <f>'Acquisition + Rehab'!C18-MAX(0,'Acquisition + Rehab'!C18-(C18-C19-C21))</f>
        <v/>
      </c>
      <c r="E23" s="34" t="inlineStr">
        <is>
          <t>Cash returned to host — capped at total cash in</t>
        </is>
      </c>
    </row>
    <row r="24" ht="22" customHeight="1">
      <c r="B24" s="36" t="inlineStr">
        <is>
          <t>Cash left in deal:</t>
        </is>
      </c>
      <c r="C24" s="37">
        <f>MAX(0,'Acquisition + Rehab'!C18-(C18-C19-C21))</f>
        <v/>
      </c>
      <c r="E24" s="34" t="inlineStr">
        <is>
          <t>Cash in − cash returned (never negative)</t>
        </is>
      </c>
    </row>
    <row r="25" ht="22" customHeight="1">
      <c r="B25" s="36" t="inlineStr">
        <is>
          <t>% capital returned:</t>
        </is>
      </c>
      <c r="C25" s="43">
        <f>IFERROR(C23/'Acquisition + Rehab'!C18,0)</f>
        <v/>
      </c>
      <c r="E25" s="34" t="inlineStr">
        <is>
          <t>Cash returned ÷ cash in (&gt;=95% = full BRRRR)</t>
        </is>
      </c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 ht="18" customHeight="1">
      <c r="A29" s="25" t="inlineStr">
        <is>
          <t>Questions? hello@thestrledger.com</t>
        </is>
      </c>
    </row>
    <row r="30" ht="18" customHeight="1">
      <c r="A30" s="26" t="inlineStr">
        <is>
          <t>ACQ-009 · ARV + Refi</t>
        </is>
      </c>
    </row>
  </sheetData>
  <mergeCells count="24">
    <mergeCell ref="E12:L12"/>
    <mergeCell ref="E18:L18"/>
    <mergeCell ref="D2:I2"/>
    <mergeCell ref="E21:L21"/>
    <mergeCell ref="E24:L24"/>
    <mergeCell ref="E23:L23"/>
    <mergeCell ref="E8:L8"/>
    <mergeCell ref="A2:C2"/>
    <mergeCell ref="E17:L17"/>
    <mergeCell ref="E20:L20"/>
    <mergeCell ref="E10:L10"/>
    <mergeCell ref="A14:L14"/>
    <mergeCell ref="E19:L19"/>
    <mergeCell ref="A4:L4"/>
    <mergeCell ref="E9:L9"/>
    <mergeCell ref="J2:L2"/>
    <mergeCell ref="A29:L29"/>
    <mergeCell ref="E15:L15"/>
    <mergeCell ref="A30:L30"/>
    <mergeCell ref="E7:L7"/>
    <mergeCell ref="E25:L25"/>
    <mergeCell ref="E16:L16"/>
    <mergeCell ref="A6:L6"/>
    <mergeCell ref="E22:L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9">
        <f>HYPERLINK("#'ARV + Refi'!A1", "← BACK")</f>
        <v/>
      </c>
      <c r="B2" s="20" t="n"/>
      <c r="C2" s="20" t="n"/>
      <c r="D2" s="27" t="inlineStr">
        <is>
          <t>POST-REFI OPERATING</t>
        </is>
      </c>
      <c r="J2" s="28">
        <f>HYPERLINK("#'Settings'!A1",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0" t="inlineStr">
        <is>
          <t>Section 3 of 3 — does it cash flow with the new debt service?</t>
        </is>
      </c>
    </row>
    <row r="6" ht="24" customHeight="1">
      <c r="A6" s="31" t="inlineStr">
        <is>
          <t>OPERATING — YEAR 1 STABILIZED</t>
        </is>
      </c>
    </row>
    <row r="7" ht="18" customHeight="1">
      <c r="B7" s="32" t="inlineStr">
        <is>
          <t>Year-1 STR projected revenue ($):</t>
        </is>
      </c>
      <c r="C7" s="33" t="n"/>
      <c r="E7" s="34" t="inlineStr">
        <is>
          <t>Net of platform commission</t>
        </is>
      </c>
    </row>
    <row r="8" ht="18" customHeight="1">
      <c r="B8" s="32" t="inlineStr">
        <is>
          <t>Year-1 operating expenses ($):</t>
        </is>
      </c>
      <c r="C8" s="33" t="n"/>
      <c r="E8" s="34" t="inlineStr">
        <is>
          <t>Excludes debt service (added below)</t>
        </is>
      </c>
    </row>
    <row r="9" ht="18" customHeight="1">
      <c r="B9" s="32" t="inlineStr">
        <is>
          <t>NOI (Net Operating Income):</t>
        </is>
      </c>
      <c r="C9" s="38">
        <f>C7-C8</f>
        <v/>
      </c>
      <c r="E9" s="34" t="inlineStr">
        <is>
          <t>Revenue − operating expenses</t>
        </is>
      </c>
    </row>
    <row r="11" ht="24" customHeight="1">
      <c r="A11" s="31" t="inlineStr">
        <is>
          <t>NEW DEBT SERVICE  +  DSCR</t>
        </is>
      </c>
    </row>
    <row r="12" ht="18" customHeight="1">
      <c r="B12" s="32" t="inlineStr">
        <is>
          <t>Annual debt service (Excel PMT × 12):</t>
        </is>
      </c>
      <c r="C12" s="38">
        <f>IFERROR(PMT(Settings!C9/12,Settings!C11*12,-'ARV + Refi'!C18),0)*12</f>
        <v/>
      </c>
      <c r="E12" s="34" t="inlineStr">
        <is>
          <t>PMT(rate/12, term×12, -refi_loan) × 12</t>
        </is>
      </c>
    </row>
    <row r="13" ht="22" customHeight="1">
      <c r="B13" s="36" t="inlineStr">
        <is>
          <t>DSCR (NOI ÷ debt service):</t>
        </is>
      </c>
      <c r="C13" s="44">
        <f>IFERROR(C9/C12,0)</f>
        <v/>
      </c>
      <c r="E13" s="34" t="inlineStr">
        <is>
          <t>DSCR loans require ≥ 1.20</t>
        </is>
      </c>
    </row>
    <row r="14" ht="18" customHeight="1">
      <c r="B14" s="32" t="inlineStr">
        <is>
          <t>Monthly P&amp;I (post-refi):</t>
        </is>
      </c>
      <c r="C14" s="45">
        <f>IFERROR(PMT(Settings!C9/12,Settings!C11*12,-'ARV + Refi'!C18),0)</f>
        <v/>
      </c>
      <c r="E14" s="34" t="inlineStr">
        <is>
          <t>Excel PMT — handy reference</t>
        </is>
      </c>
    </row>
    <row r="16" ht="24" customHeight="1">
      <c r="A16" s="31" t="inlineStr">
        <is>
          <t>OUTPUTS</t>
        </is>
      </c>
    </row>
    <row r="17" ht="22" customHeight="1">
      <c r="B17" s="36" t="inlineStr">
        <is>
          <t>Cash flow (NOI − debt service):</t>
        </is>
      </c>
      <c r="C17" s="37">
        <f>C9-C12</f>
        <v/>
      </c>
      <c r="E17" s="34" t="inlineStr">
        <is>
          <t>Annual cash flow after debt</t>
        </is>
      </c>
    </row>
    <row r="18" ht="22" customHeight="1">
      <c r="B18" s="36" t="inlineStr">
        <is>
          <t>Cash-on-cash on cash-left-in:</t>
        </is>
      </c>
      <c r="C18" s="43">
        <f>IFERROR(C17/'ARV + Refi'!C24,0)</f>
        <v/>
      </c>
      <c r="E18" s="34" t="inlineStr">
        <is>
          <t>Annual cash flow ÷ cash left in</t>
        </is>
      </c>
    </row>
    <row r="20" ht="16" customHeight="1">
      <c r="A20" s="18" t="inlineStr">
        <is>
          <t>DSCR 1.20 is the standard floor for non-QM DSCR loans. Below that, your refi may not approve at the target LTV — lenders will haircut the loan amount or push you to a lower-LTV product. If DSCR is borderline, model a 70% LTV scenario in Settings.</t>
        </is>
      </c>
    </row>
    <row r="21" ht="16" customHeight="1"/>
    <row r="22" ht="16" customHeight="1"/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 ht="18" customHeight="1">
      <c r="A25" s="25" t="inlineStr">
        <is>
          <t>Questions? hello@thestrledger.com</t>
        </is>
      </c>
    </row>
    <row r="26" ht="18" customHeight="1">
      <c r="A26" s="26" t="inlineStr">
        <is>
          <t>ACQ-009 · Post-Refi Operating</t>
        </is>
      </c>
    </row>
  </sheetData>
  <mergeCells count="18">
    <mergeCell ref="A26:L26"/>
    <mergeCell ref="E17:L17"/>
    <mergeCell ref="E9:L9"/>
    <mergeCell ref="E12:L12"/>
    <mergeCell ref="J2:L2"/>
    <mergeCell ref="D2:I2"/>
    <mergeCell ref="A16:L16"/>
    <mergeCell ref="E18:L18"/>
    <mergeCell ref="A20:L22"/>
    <mergeCell ref="A25:L25"/>
    <mergeCell ref="E7:L7"/>
    <mergeCell ref="A11:L11"/>
    <mergeCell ref="A6:L6"/>
    <mergeCell ref="E13:L13"/>
    <mergeCell ref="E8:L8"/>
    <mergeCell ref="E14:L14"/>
    <mergeCell ref="A2:C2"/>
    <mergeCell ref="A4:L4"/>
  </mergeCells>
  <conditionalFormatting sqref="C13">
    <cfRule type="cellIs" priority="1" operator="lessThan" dxfId="0">
      <formula>1.2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9">
        <f>HYPERLINK("#'Post-Refi Operating'!A1", "← BACK")</f>
        <v/>
      </c>
      <c r="B2" s="20" t="n"/>
      <c r="C2" s="20" t="n"/>
      <c r="D2" s="27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0" t="inlineStr">
        <is>
          <t>Property name + refi assumptions used across the workbook</t>
        </is>
      </c>
    </row>
    <row r="5" ht="18" customHeight="1">
      <c r="B5" s="32" t="inlineStr">
        <is>
          <t>Property name:</t>
        </is>
      </c>
      <c r="C5" s="46" t="n"/>
      <c r="E5" s="34" t="inlineStr">
        <is>
          <t>Shown on Start tab headline</t>
        </is>
      </c>
    </row>
    <row r="7" ht="18" customHeight="1">
      <c r="B7" s="32" t="inlineStr">
        <is>
          <t>Target LTV (refi):</t>
        </is>
      </c>
      <c r="C7" s="42" t="n"/>
      <c r="E7" s="34" t="inlineStr">
        <is>
          <t>75% typical for DSCR; 70% conservative</t>
        </is>
      </c>
    </row>
    <row r="9" ht="18" customHeight="1">
      <c r="B9" s="32" t="inlineStr">
        <is>
          <t>Refi rate (annual):</t>
        </is>
      </c>
      <c r="C9" s="47" t="n"/>
      <c r="E9" s="34" t="inlineStr">
        <is>
          <t>Current DSCR-loan quote — verify with broker</t>
        </is>
      </c>
    </row>
    <row r="11" ht="18" customHeight="1">
      <c r="B11" s="32" t="inlineStr">
        <is>
          <t>Refi term (years):</t>
        </is>
      </c>
      <c r="C11" s="35" t="n"/>
      <c r="E11" s="34" t="inlineStr">
        <is>
          <t>30 typical; 25 sometimes for DSCR</t>
        </is>
      </c>
    </row>
    <row r="14" ht="16" customHeight="1">
      <c r="A14" s="18" t="inlineStr">
        <is>
          <t>These four settings drive Max-refi-loan, post-refi P&amp;I, and DSCR. Re-quote your DSCR rate every 30 days while sourcing — STR DSCR rates have moved 100-200bp in single quarters since 2023. The ARV + Refi tab uses the LTV here. The Post-Refi Operating tab uses the rate + term here in the Excel PMT formula.</t>
        </is>
      </c>
    </row>
    <row r="15" ht="16" customHeight="1"/>
    <row r="16" ht="16" customHeight="1"/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 ht="18" customHeight="1">
      <c r="A20" s="25" t="inlineStr">
        <is>
          <t>Questions? hello@thestrledger.com</t>
        </is>
      </c>
    </row>
    <row r="21" ht="18" customHeight="1">
      <c r="A21" s="26" t="inlineStr">
        <is>
          <t>ACQ-009 · Settings</t>
        </is>
      </c>
    </row>
  </sheetData>
  <mergeCells count="10">
    <mergeCell ref="A20:L20"/>
    <mergeCell ref="D2:L2"/>
    <mergeCell ref="E9:L9"/>
    <mergeCell ref="A14:L16"/>
    <mergeCell ref="E7:L7"/>
    <mergeCell ref="E11:L11"/>
    <mergeCell ref="E5:L5"/>
    <mergeCell ref="A21:L21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BRRRR-to-STR Refi Math — The STR Ledger</dc:title>
  <dc:description xmlns:dc="http://purl.org/dc/elements/1.1/">BRRRR strategy calculator for STR — ARV, refi cash-out, cash-left-in, post-refi DSCR, and capital-returned KPI.</dc:description>
  <dcterms:created xmlns:dcterms="http://purl.org/dc/terms/" xmlns:xsi="http://www.w3.org/2001/XMLSchema-instance" xsi:type="dcterms:W3CDTF">2026-05-03T12:30:16Z</dcterms:created>
  <dcterms:modified xmlns:dcterms="http://purl.org/dc/terms/" xmlns:xsi="http://www.w3.org/2001/XMLSchema-instance" xsi:type="dcterms:W3CDTF">2026-05-03T12:30:16Z</dcterms:modified>
</cp:coreProperties>
</file>