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pital Contributions" sheetId="3" state="visible" r:id="rId3"/>
    <sheet xmlns:r="http://schemas.openxmlformats.org/officeDocument/2006/relationships" name="Distributions" sheetId="4" state="visible" r:id="rId4"/>
    <sheet xmlns:r="http://schemas.openxmlformats.org/officeDocument/2006/relationships" name="P&amp;L Allocation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'Start'!$A$1:$L$50</definedName>
    <definedName name="_xlnm.Print_Titles" localSheetId="1">'Partners'!$1:$5</definedName>
    <definedName name="_xlnm.Print_Titles" localSheetId="2">'Capital Contributions'!$1:$5</definedName>
    <definedName name="_xlnm.Print_Titles" localSheetId="3">'Distributions'!$1:$5</definedName>
    <definedName name="_xlnm.Print_Titles" localSheetId="4">'P&amp;L Allocation'!$1:$7</definedName>
    <definedName name="_xlnm.Print_Area" localSheetId="4">'P&amp;L Allocation'!$A$1:$E$17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yyyy-mm-dd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28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color rgb="002B2B2B"/>
      <sz val="11"/>
    </font>
    <font>
      <name val="Calibri"/>
      <b val="1"/>
      <color rgb="0012304E"/>
      <sz val="12"/>
    </font>
    <font>
      <name val="Calibri"/>
      <b val="1"/>
      <color rgb="00B91C1C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2" fillId="3" borderId="5" applyAlignment="1" pivotButton="0" quotePrefix="0" xfId="0">
      <alignment horizontal="center" vertical="center"/>
    </xf>
    <xf numFmtId="164" fontId="13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4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4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4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17" fillId="2" borderId="14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10" fontId="6" fillId="7" borderId="0" applyAlignment="1" pivotButton="0" quotePrefix="0" xfId="0">
      <alignment horizontal="right" vertical="center"/>
    </xf>
    <xf numFmtId="165" fontId="6" fillId="7" borderId="0" applyAlignment="1" pivotButton="0" quotePrefix="0" xfId="0">
      <alignment horizontal="left" vertical="center"/>
    </xf>
    <xf numFmtId="165" fontId="22" fillId="8" borderId="0" applyAlignment="1" pivotButton="0" quotePrefix="0" xfId="0">
      <alignment horizontal="right" vertical="center"/>
    </xf>
    <xf numFmtId="165" fontId="23" fillId="8" borderId="0" applyAlignment="1" pivotButton="0" quotePrefix="0" xfId="0">
      <alignment horizontal="right" vertical="center"/>
    </xf>
    <xf numFmtId="10" fontId="25" fillId="8" borderId="0" applyAlignment="1" pivotButton="0" quotePrefix="0" xfId="0">
      <alignment horizontal="right" vertical="center"/>
    </xf>
    <xf numFmtId="0" fontId="26" fillId="8" borderId="0" applyAlignment="1" pivotButton="0" quotePrefix="0" xfId="0">
      <alignment horizontal="left" vertical="center"/>
    </xf>
    <xf numFmtId="0" fontId="14" fillId="0" borderId="0" pivotButton="0" quotePrefix="0" xfId="0"/>
    <xf numFmtId="0" fontId="27" fillId="0" borderId="0" pivotButton="0" quotePrefix="0" xfId="0"/>
    <xf numFmtId="166" fontId="6" fillId="7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0" fontId="22" fillId="8" borderId="0" applyAlignment="1" pivotButton="0" quotePrefix="0" xfId="0">
      <alignment horizontal="left" vertical="center"/>
    </xf>
    <xf numFmtId="10" fontId="22" fillId="8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/>
    </xf>
    <xf numFmtId="10" fontId="23" fillId="8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 indent="1"/>
    </xf>
    <xf numFmtId="1" fontId="22" fillId="8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FCCCC"/>
        </patternFill>
      </fill>
    </dxf>
    <dxf>
      <font>
        <b val="1"/>
        <color rgb="0012304E"/>
      </font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allocation share</a:t>
            </a:r>
          </a:p>
        </rich>
      </tx>
    </title>
    <plotArea>
      <doughnutChart>
        <varyColors val="1"/>
        <ser>
          <idx val="0"/>
          <order val="0"/>
          <tx>
            <strRef>
              <f>'P&amp;L Allocation'!D7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'P&amp;L Allocation'!$A$8:$A$15</f>
            </numRef>
          </cat>
          <val>
            <numRef>
              <f>'P&amp;L Allocation'!$D$8:$D$15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6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Partnership Distribution Tracker</t>
        </is>
      </c>
    </row>
    <row r="5" ht="22" customHeight="1">
      <c r="A5" s="4" t="inlineStr">
        <is>
          <t>K-1 Item L numbers, ready for your tax preparer in February.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FIN-007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For STR partnerships (LLC taxed as a partnership, not single-member). Tracks capital contributions, profit/loss allocation by ownership %, distributions paid, and ending capital account per partner. The five K-1 Item L numbers — beginning capital, contributions, profit allocated, distributions, ending capital — drop straight onto Schedule K-1 for each partner. Ownership % checksum flags the moment the roster drifts off 100%.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Settings: set the active tax year, partnership name, EIN, and allocation method.</t>
        </is>
      </c>
    </row>
    <row r="20" ht="22" customHeight="1">
      <c r="A20" s="9" t="inlineStr">
        <is>
          <t>② Partners: enter every partner — name, ownership %, beginning capital. % MUST sum to 100.</t>
        </is>
      </c>
    </row>
    <row r="21" ht="22" customHeight="1">
      <c r="A21" s="9" t="inlineStr">
        <is>
          <t>③ Capital Contributions: log each new contribution as it happens (date, partner, amount, type).</t>
        </is>
      </c>
    </row>
    <row r="22" ht="22" customHeight="1">
      <c r="A22" s="9" t="inlineStr">
        <is>
          <t>④ Distributions: log every distribution paid (date, partner, amount, type, source entity).</t>
        </is>
      </c>
    </row>
    <row r="23" ht="22" customHeight="1">
      <c r="A23" s="9" t="inlineStr">
        <is>
          <t>⑤ P&amp;L Allocation: enter annual partnership net income — per-partner allocation auto-computes.</t>
        </is>
      </c>
    </row>
    <row r="24" ht="22" customHeight="1">
      <c r="A24" s="9" t="inlineStr">
        <is>
          <t>⑥ February: hand the Partners tab + P&amp;L Allocation to your tax preparer for K-1s.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HYPERLINK("#'Distributions'!A6", "→  ADD A DISTRIBUTION  (OPEN DISTRIBUTIONS)")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PARTNERS</t>
        </is>
      </c>
      <c r="B32" s="14" t="n"/>
      <c r="C32" s="14" t="n"/>
      <c r="D32" s="15" t="n"/>
      <c r="E32" s="16" t="inlineStr">
        <is>
          <t>DISTRIBUTIONS YTD</t>
        </is>
      </c>
      <c r="F32" s="14" t="n"/>
      <c r="G32" s="14" t="n"/>
      <c r="H32" s="15" t="n"/>
      <c r="I32" s="13" t="inlineStr">
        <is>
          <t>TOTAL ENDING CAPITAL</t>
        </is>
      </c>
      <c r="J32" s="14" t="n"/>
      <c r="K32" s="14" t="n"/>
      <c r="L32" s="15" t="n"/>
    </row>
    <row r="33">
      <c r="A33" s="17">
        <f>COUNTA(Partners!B6:B13)</f>
        <v/>
      </c>
      <c r="B33" s="18" t="n"/>
      <c r="C33" s="18" t="n"/>
      <c r="D33" s="19" t="n"/>
      <c r="E33" s="20">
        <f>SUM(Distributions!C6:C205)</f>
        <v/>
      </c>
      <c r="F33" s="18" t="n"/>
      <c r="G33" s="18" t="n"/>
      <c r="H33" s="19" t="n"/>
      <c r="I33" s="21">
        <f>SUM(Partners!I6:I13)</f>
        <v/>
      </c>
      <c r="J33" s="18" t="n"/>
      <c r="K33" s="18" t="n"/>
      <c r="L33" s="19" t="n"/>
    </row>
    <row r="34">
      <c r="A34" s="22" t="n"/>
      <c r="B34" s="18" t="n"/>
      <c r="C34" s="18" t="n"/>
      <c r="D34" s="19" t="n"/>
      <c r="E34" s="22" t="n"/>
      <c r="F34" s="18" t="n"/>
      <c r="G34" s="18" t="n"/>
      <c r="H34" s="19" t="n"/>
      <c r="I34" s="22" t="n"/>
      <c r="J34" s="18" t="n"/>
      <c r="K34" s="18" t="n"/>
      <c r="L34" s="19" t="n"/>
    </row>
    <row r="35">
      <c r="A35" s="23" t="inlineStr">
        <is>
          <t>rows on the Partners tab</t>
        </is>
      </c>
      <c r="B35" s="24" t="n"/>
      <c r="C35" s="24" t="n"/>
      <c r="D35" s="25" t="n"/>
      <c r="E35" s="23" t="inlineStr">
        <is>
          <t>all partners, current year</t>
        </is>
      </c>
      <c r="F35" s="24" t="n"/>
      <c r="G35" s="24" t="n"/>
      <c r="H35" s="25" t="n"/>
      <c r="I35" s="23" t="inlineStr">
        <is>
          <t>sum of partner capital accounts</t>
        </is>
      </c>
      <c r="J35" s="24" t="n"/>
      <c r="K35" s="24" t="n"/>
      <c r="L35" s="25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6">
        <f>HYPERLINK("#'Partners'!A1", "Partners")</f>
        <v/>
      </c>
      <c r="B39" s="27" t="n"/>
      <c r="C39" s="27" t="n"/>
      <c r="D39" s="26">
        <f>HYPERLINK("#'Capital Contributions'!A1", "Capital Contributions")</f>
        <v/>
      </c>
      <c r="E39" s="27" t="n"/>
      <c r="F39" s="27" t="n"/>
      <c r="G39" s="28">
        <f>HYPERLINK("#'P&amp;L Allocation'!A1", "P&amp;L Allocation")</f>
        <v/>
      </c>
      <c r="H39" s="29" t="n"/>
      <c r="I39" s="29" t="n"/>
      <c r="J39" s="26">
        <f>HYPERLINK("#'Settings'!A1", "Settings")</f>
        <v/>
      </c>
      <c r="K39" s="27" t="n"/>
      <c r="L39" s="27" t="n"/>
    </row>
    <row r="40" ht="22" customHeight="1">
      <c r="A40" s="27" t="n"/>
      <c r="B40" s="27" t="n"/>
      <c r="C40" s="27" t="n"/>
      <c r="D40" s="27" t="n"/>
      <c r="E40" s="27" t="n"/>
      <c r="F40" s="27" t="n"/>
      <c r="G40" s="29" t="n"/>
      <c r="H40" s="29" t="n"/>
      <c r="I40" s="29" t="n"/>
      <c r="J40" s="27" t="n"/>
      <c r="K40" s="27" t="n"/>
      <c r="L40" s="27" t="n"/>
    </row>
    <row r="42" ht="36" customHeight="1">
      <c r="A42" s="30" t="inlineStr">
        <is>
          <t>📅 K-1 PREP: in February, the Partners tab shows the five Item L numbers for each partner — beginning capital, contributions, profit allocated, distributions, ending capital. Hand it to your tax preparer.</t>
        </is>
      </c>
    </row>
    <row r="44" ht="28" customHeight="1">
      <c r="A44" s="31" t="inlineStr">
        <is>
          <t>⚠ Ownership % across all partners must equal 100%. The Partners tab shows a checksum — fix it before relying on the P&amp;L allocation.</t>
        </is>
      </c>
    </row>
    <row r="46" ht="30" customHeight="1">
      <c r="A46" s="32" t="inlineStr">
        <is>
          <t>💡 Upgrade to the Full version at thestrledger.com/upgrade — multi-property, depreciation, multi-LLC support.</t>
        </is>
      </c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</row>
    <row r="49" ht="18" customHeight="1">
      <c r="A49" s="34" t="inlineStr">
        <is>
          <t>Questions? hello@thestrledger.com</t>
        </is>
      </c>
    </row>
    <row r="50" ht="18" customHeight="1">
      <c r="A50" s="35" t="inlineStr">
        <is>
          <t>FIN-007 · v2.3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50:L50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24:L24"/>
    <mergeCell ref="A49:L49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8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6" t="inlineStr">
        <is>
          <t>PARTNERS</t>
        </is>
      </c>
      <c r="J2" s="28">
        <f>HYPERLINK("#'Capital Contributions'!A1",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Partner roster (capacity 8) — % must sum to 100. Five K-1 Item L numbers per row.</t>
        </is>
      </c>
    </row>
    <row r="5" ht="28" customHeight="1">
      <c r="A5" s="38" t="inlineStr">
        <is>
          <t>Partner #</t>
        </is>
      </c>
      <c r="B5" s="38" t="inlineStr">
        <is>
          <t>Partner name</t>
        </is>
      </c>
      <c r="C5" s="38" t="inlineStr">
        <is>
          <t>Tax ID last4</t>
        </is>
      </c>
      <c r="D5" s="38" t="inlineStr">
        <is>
          <t>Ownership %</t>
        </is>
      </c>
      <c r="E5" s="38" t="inlineStr">
        <is>
          <t>Beginning capital (Jan 1)</t>
        </is>
      </c>
      <c r="F5" s="38" t="inlineStr">
        <is>
          <t>Contributions YTD</t>
        </is>
      </c>
      <c r="G5" s="38" t="inlineStr">
        <is>
          <t>Profit allocated YTD</t>
        </is>
      </c>
      <c r="H5" s="38" t="inlineStr">
        <is>
          <t>Distributions YTD</t>
        </is>
      </c>
      <c r="I5" s="38" t="inlineStr">
        <is>
          <t>Ending capital</t>
        </is>
      </c>
      <c r="J5" s="38" t="inlineStr">
        <is>
          <t>Notes</t>
        </is>
      </c>
    </row>
    <row r="6" ht="18" customHeight="1">
      <c r="A6" s="39" t="n">
        <v>1</v>
      </c>
      <c r="B6" s="40" t="inlineStr">
        <is>
          <t>Daniel Harrison</t>
        </is>
      </c>
      <c r="C6" s="39" t="inlineStr">
        <is>
          <t>1234</t>
        </is>
      </c>
      <c r="D6" s="41" t="n">
        <v>0.6</v>
      </c>
      <c r="E6" s="42" t="n">
        <v>80000</v>
      </c>
      <c r="F6" s="43">
        <f>IF(B6="","",SUMIFS('Capital Contributions'!$C$6:$C$105,'Capital Contributions'!$B$6:$B$105,B6))</f>
        <v/>
      </c>
      <c r="G6" s="43">
        <f>IF(B6="","",IFERROR(VLOOKUP(B6,'P&amp;L Allocation'!$A$8:$D$15,4,FALSE),0))</f>
        <v/>
      </c>
      <c r="H6" s="43">
        <f>IF(B6="","",SUMIFS(Distributions!$C$6:$C$205,Distributions!$B$6:$B$205,B6))</f>
        <v/>
      </c>
      <c r="I6" s="44">
        <f>IF(B6="","",E6+F6+G6-H6)</f>
        <v/>
      </c>
      <c r="J6" s="40" t="inlineStr">
        <is>
          <t>Managing partner</t>
        </is>
      </c>
    </row>
    <row r="7" ht="18" customHeight="1">
      <c r="A7" s="39" t="n">
        <v>2</v>
      </c>
      <c r="B7" s="40" t="inlineStr">
        <is>
          <t>Jordan Reeves</t>
        </is>
      </c>
      <c r="C7" s="39" t="inlineStr">
        <is>
          <t>5678</t>
        </is>
      </c>
      <c r="D7" s="41" t="n">
        <v>0.4</v>
      </c>
      <c r="E7" s="42" t="n">
        <v>40000</v>
      </c>
      <c r="F7" s="43">
        <f>IF(B7="","",SUMIFS('Capital Contributions'!$C$6:$C$105,'Capital Contributions'!$B$6:$B$105,B7))</f>
        <v/>
      </c>
      <c r="G7" s="43">
        <f>IF(B7="","",IFERROR(VLOOKUP(B7,'P&amp;L Allocation'!$A$8:$D$15,4,FALSE),0))</f>
        <v/>
      </c>
      <c r="H7" s="43">
        <f>IF(B7="","",SUMIFS(Distributions!$C$6:$C$205,Distributions!$B$6:$B$205,B7))</f>
        <v/>
      </c>
      <c r="I7" s="44">
        <f>IF(B7="","",E7+F7+G7-H7)</f>
        <v/>
      </c>
      <c r="J7" s="40" t="inlineStr">
        <is>
          <t>Capital partner</t>
        </is>
      </c>
    </row>
    <row r="8" ht="18" customHeight="1">
      <c r="A8" s="39" t="n">
        <v>3</v>
      </c>
      <c r="B8" s="40" t="n"/>
      <c r="C8" s="39" t="n"/>
      <c r="D8" s="41" t="n"/>
      <c r="E8" s="42" t="n"/>
      <c r="F8" s="43">
        <f>IF(B8="","",SUMIFS('Capital Contributions'!$C$6:$C$105,'Capital Contributions'!$B$6:$B$105,B8))</f>
        <v/>
      </c>
      <c r="G8" s="43">
        <f>IF(B8="","",IFERROR(VLOOKUP(B8,'P&amp;L Allocation'!$A$8:$D$15,4,FALSE),0))</f>
        <v/>
      </c>
      <c r="H8" s="43">
        <f>IF(B8="","",SUMIFS(Distributions!$C$6:$C$205,Distributions!$B$6:$B$205,B8))</f>
        <v/>
      </c>
      <c r="I8" s="44">
        <f>IF(B8="","",E8+F8+G8-H8)</f>
        <v/>
      </c>
      <c r="J8" s="40" t="n"/>
    </row>
    <row r="9" ht="18" customHeight="1">
      <c r="A9" s="39" t="n">
        <v>4</v>
      </c>
      <c r="B9" s="40" t="n"/>
      <c r="C9" s="39" t="n"/>
      <c r="D9" s="41" t="n"/>
      <c r="E9" s="42" t="n"/>
      <c r="F9" s="43">
        <f>IF(B9="","",SUMIFS('Capital Contributions'!$C$6:$C$105,'Capital Contributions'!$B$6:$B$105,B9))</f>
        <v/>
      </c>
      <c r="G9" s="43">
        <f>IF(B9="","",IFERROR(VLOOKUP(B9,'P&amp;L Allocation'!$A$8:$D$15,4,FALSE),0))</f>
        <v/>
      </c>
      <c r="H9" s="43">
        <f>IF(B9="","",SUMIFS(Distributions!$C$6:$C$205,Distributions!$B$6:$B$205,B9))</f>
        <v/>
      </c>
      <c r="I9" s="44">
        <f>IF(B9="","",E9+F9+G9-H9)</f>
        <v/>
      </c>
      <c r="J9" s="40" t="n"/>
    </row>
    <row r="10" ht="18" customHeight="1">
      <c r="A10" s="39" t="n">
        <v>5</v>
      </c>
      <c r="B10" s="40" t="n"/>
      <c r="C10" s="39" t="n"/>
      <c r="D10" s="41" t="n"/>
      <c r="E10" s="42" t="n"/>
      <c r="F10" s="43">
        <f>IF(B10="","",SUMIFS('Capital Contributions'!$C$6:$C$105,'Capital Contributions'!$B$6:$B$105,B10))</f>
        <v/>
      </c>
      <c r="G10" s="43">
        <f>IF(B10="","",IFERROR(VLOOKUP(B10,'P&amp;L Allocation'!$A$8:$D$15,4,FALSE),0))</f>
        <v/>
      </c>
      <c r="H10" s="43">
        <f>IF(B10="","",SUMIFS(Distributions!$C$6:$C$205,Distributions!$B$6:$B$205,B10))</f>
        <v/>
      </c>
      <c r="I10" s="44">
        <f>IF(B10="","",E10+F10+G10-H10)</f>
        <v/>
      </c>
      <c r="J10" s="40" t="n"/>
    </row>
    <row r="11" ht="18" customHeight="1">
      <c r="A11" s="39" t="n">
        <v>6</v>
      </c>
      <c r="B11" s="40" t="n"/>
      <c r="C11" s="39" t="n"/>
      <c r="D11" s="41" t="n"/>
      <c r="E11" s="42" t="n"/>
      <c r="F11" s="43">
        <f>IF(B11="","",SUMIFS('Capital Contributions'!$C$6:$C$105,'Capital Contributions'!$B$6:$B$105,B11))</f>
        <v/>
      </c>
      <c r="G11" s="43">
        <f>IF(B11="","",IFERROR(VLOOKUP(B11,'P&amp;L Allocation'!$A$8:$D$15,4,FALSE),0))</f>
        <v/>
      </c>
      <c r="H11" s="43">
        <f>IF(B11="","",SUMIFS(Distributions!$C$6:$C$205,Distributions!$B$6:$B$205,B11))</f>
        <v/>
      </c>
      <c r="I11" s="44">
        <f>IF(B11="","",E11+F11+G11-H11)</f>
        <v/>
      </c>
      <c r="J11" s="40" t="n"/>
    </row>
    <row r="12" ht="18" customHeight="1">
      <c r="A12" s="39" t="n">
        <v>7</v>
      </c>
      <c r="B12" s="40" t="n"/>
      <c r="C12" s="39" t="n"/>
      <c r="D12" s="41" t="n"/>
      <c r="E12" s="42" t="n"/>
      <c r="F12" s="43">
        <f>IF(B12="","",SUMIFS('Capital Contributions'!$C$6:$C$105,'Capital Contributions'!$B$6:$B$105,B12))</f>
        <v/>
      </c>
      <c r="G12" s="43">
        <f>IF(B12="","",IFERROR(VLOOKUP(B12,'P&amp;L Allocation'!$A$8:$D$15,4,FALSE),0))</f>
        <v/>
      </c>
      <c r="H12" s="43">
        <f>IF(B12="","",SUMIFS(Distributions!$C$6:$C$205,Distributions!$B$6:$B$205,B12))</f>
        <v/>
      </c>
      <c r="I12" s="44">
        <f>IF(B12="","",E12+F12+G12-H12)</f>
        <v/>
      </c>
      <c r="J12" s="40" t="n"/>
    </row>
    <row r="13" ht="18" customHeight="1">
      <c r="A13" s="39" t="n">
        <v>8</v>
      </c>
      <c r="B13" s="40" t="n"/>
      <c r="C13" s="39" t="n"/>
      <c r="D13" s="41" t="n"/>
      <c r="E13" s="42" t="n"/>
      <c r="F13" s="43">
        <f>IF(B13="","",SUMIFS('Capital Contributions'!$C$6:$C$105,'Capital Contributions'!$B$6:$B$105,B13))</f>
        <v/>
      </c>
      <c r="G13" s="43">
        <f>IF(B13="","",IFERROR(VLOOKUP(B13,'P&amp;L Allocation'!$A$8:$D$15,4,FALSE),0))</f>
        <v/>
      </c>
      <c r="H13" s="43">
        <f>IF(B13="","",SUMIFS(Distributions!$C$6:$C$205,Distributions!$B$6:$B$205,B13))</f>
        <v/>
      </c>
      <c r="I13" s="44">
        <f>IF(B13="","",E13+F13+G13-H13)</f>
        <v/>
      </c>
      <c r="J13" s="40" t="n"/>
    </row>
    <row r="14" ht="8" customHeight="1"/>
    <row r="15" ht="22" customHeight="1">
      <c r="D15" s="45">
        <f>SUM(D6:D13)</f>
        <v/>
      </c>
      <c r="E15" s="46">
        <f>IF(ROUND(D15,4)=1,"✓ OK","⚠ FIX — must equal 100%")</f>
        <v/>
      </c>
    </row>
    <row r="16" ht="8" customHeight="1"/>
    <row r="17" ht="22" customHeight="1">
      <c r="A17" s="47" t="inlineStr">
        <is>
          <t>K-1 Item L summary — these five numbers per partner</t>
        </is>
      </c>
    </row>
    <row r="18" ht="16" customHeight="1">
      <c r="A18" s="48" t="inlineStr">
        <is>
          <t>Beginning capital · Contributions · Profit allocated · Distributions · Ending capital → drop straight onto Schedule K-1.</t>
        </is>
      </c>
    </row>
  </sheetData>
  <mergeCells count="8">
    <mergeCell ref="E15:J15"/>
    <mergeCell ref="J2:L2"/>
    <mergeCell ref="D2:I2"/>
    <mergeCell ref="A17:J17"/>
    <mergeCell ref="A18:J18"/>
    <mergeCell ref="A15:C15"/>
    <mergeCell ref="A2:C2"/>
    <mergeCell ref="A4:L4"/>
  </mergeCells>
  <conditionalFormatting sqref="D15">
    <cfRule type="expression" priority="1" dxfId="0">
      <formula>ROUND(D15,4)&lt;&gt;1</formula>
    </cfRule>
    <cfRule type="expression" priority="2" dxfId="1">
      <formula>ROUND(D15,4)=1</formula>
    </cfRule>
  </conditionalFormatting>
  <conditionalFormatting sqref="E15">
    <cfRule type="expression" priority="3" dxfId="0">
      <formula>ROUND(D15,4)&lt;&gt;1</formula>
    </cfRule>
  </conditionalFormatting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2" customWidth="1" min="4" max="4"/>
    <col width="38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HYPERLINK("#'Partners'!A1", "← BACK")</f>
        <v/>
      </c>
      <c r="B2" s="12" t="n"/>
      <c r="C2" s="12" t="n"/>
      <c r="D2" s="36" t="inlineStr">
        <is>
          <t>CAPITAL CONTRIBUTIONS</t>
        </is>
      </c>
      <c r="J2" s="28">
        <f>HYPERLINK("#'Distributions'!A1",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Log every contribution AS IT HAPPENS — date, partner, amount, type, notes.</t>
        </is>
      </c>
    </row>
    <row r="5" ht="20" customHeight="1">
      <c r="A5" s="38" t="inlineStr">
        <is>
          <t>Date</t>
        </is>
      </c>
      <c r="B5" s="38" t="inlineStr">
        <is>
          <t>Partner</t>
        </is>
      </c>
      <c r="C5" s="38" t="inlineStr">
        <is>
          <t>Amount</t>
        </is>
      </c>
      <c r="D5" s="38" t="inlineStr">
        <is>
          <t>Type</t>
        </is>
      </c>
      <c r="E5" s="38" t="inlineStr">
        <is>
          <t>Notes</t>
        </is>
      </c>
    </row>
    <row r="6" ht="16" customHeight="1">
      <c r="A6" s="49" t="n">
        <v>46037</v>
      </c>
      <c r="B6" s="40" t="inlineStr">
        <is>
          <t>Daniel Harrison</t>
        </is>
      </c>
      <c r="C6" s="42" t="n">
        <v>5000</v>
      </c>
      <c r="D6" s="40" t="inlineStr">
        <is>
          <t>Cash</t>
        </is>
      </c>
      <c r="E6" s="40" t="inlineStr">
        <is>
          <t>Working capital top-up</t>
        </is>
      </c>
    </row>
    <row r="7" ht="16" customHeight="1">
      <c r="A7" s="49" t="n">
        <v>46103</v>
      </c>
      <c r="B7" s="40" t="inlineStr">
        <is>
          <t>Jordan Reeves</t>
        </is>
      </c>
      <c r="C7" s="42" t="n">
        <v>2500</v>
      </c>
      <c r="D7" s="40" t="inlineStr">
        <is>
          <t>Cash</t>
        </is>
      </c>
      <c r="E7" s="40" t="inlineStr">
        <is>
          <t>Furnishing budget</t>
        </is>
      </c>
    </row>
    <row r="8" ht="16" customHeight="1">
      <c r="A8" s="49" t="n">
        <v>46183</v>
      </c>
      <c r="B8" s="40" t="inlineStr">
        <is>
          <t>Daniel Harrison</t>
        </is>
      </c>
      <c r="C8" s="42" t="n">
        <v>3000</v>
      </c>
      <c r="D8" s="40" t="inlineStr">
        <is>
          <t>Property contribution</t>
        </is>
      </c>
      <c r="E8" s="40" t="inlineStr">
        <is>
          <t>Tools + outdoor furniture</t>
        </is>
      </c>
    </row>
    <row r="9" ht="16" customHeight="1">
      <c r="A9" s="49" t="n"/>
      <c r="B9" s="40" t="n"/>
      <c r="C9" s="42" t="n"/>
      <c r="D9" s="40" t="n"/>
      <c r="E9" s="40" t="n"/>
    </row>
    <row r="10" ht="16" customHeight="1">
      <c r="A10" s="49" t="n"/>
      <c r="B10" s="40" t="n"/>
      <c r="C10" s="42" t="n"/>
      <c r="D10" s="40" t="n"/>
      <c r="E10" s="40" t="n"/>
    </row>
    <row r="11" ht="16" customHeight="1">
      <c r="A11" s="49" t="n"/>
      <c r="B11" s="40" t="n"/>
      <c r="C11" s="42" t="n"/>
      <c r="D11" s="40" t="n"/>
      <c r="E11" s="40" t="n"/>
    </row>
    <row r="12" ht="16" customHeight="1">
      <c r="A12" s="49" t="n"/>
      <c r="B12" s="40" t="n"/>
      <c r="C12" s="42" t="n"/>
      <c r="D12" s="40" t="n"/>
      <c r="E12" s="40" t="n"/>
    </row>
    <row r="13" ht="16" customHeight="1">
      <c r="A13" s="49" t="n"/>
      <c r="B13" s="40" t="n"/>
      <c r="C13" s="42" t="n"/>
      <c r="D13" s="40" t="n"/>
      <c r="E13" s="40" t="n"/>
    </row>
    <row r="14" ht="16" customHeight="1">
      <c r="A14" s="49" t="n"/>
      <c r="B14" s="40" t="n"/>
      <c r="C14" s="42" t="n"/>
      <c r="D14" s="40" t="n"/>
      <c r="E14" s="40" t="n"/>
    </row>
    <row r="15" ht="16" customHeight="1">
      <c r="A15" s="49" t="n"/>
      <c r="B15" s="40" t="n"/>
      <c r="C15" s="42" t="n"/>
      <c r="D15" s="40" t="n"/>
      <c r="E15" s="40" t="n"/>
    </row>
    <row r="16" ht="16" customHeight="1">
      <c r="A16" s="49" t="n"/>
      <c r="B16" s="40" t="n"/>
      <c r="C16" s="42" t="n"/>
      <c r="D16" s="40" t="n"/>
      <c r="E16" s="40" t="n"/>
    </row>
    <row r="17" ht="16" customHeight="1">
      <c r="A17" s="49" t="n"/>
      <c r="B17" s="40" t="n"/>
      <c r="C17" s="42" t="n"/>
      <c r="D17" s="40" t="n"/>
      <c r="E17" s="40" t="n"/>
    </row>
    <row r="18" ht="16" customHeight="1">
      <c r="A18" s="49" t="n"/>
      <c r="B18" s="40" t="n"/>
      <c r="C18" s="42" t="n"/>
      <c r="D18" s="40" t="n"/>
      <c r="E18" s="40" t="n"/>
    </row>
    <row r="19" ht="16" customHeight="1">
      <c r="A19" s="49" t="n"/>
      <c r="B19" s="40" t="n"/>
      <c r="C19" s="42" t="n"/>
      <c r="D19" s="40" t="n"/>
      <c r="E19" s="40" t="n"/>
    </row>
    <row r="20" ht="16" customHeight="1">
      <c r="A20" s="49" t="n"/>
      <c r="B20" s="40" t="n"/>
      <c r="C20" s="42" t="n"/>
      <c r="D20" s="40" t="n"/>
      <c r="E20" s="40" t="n"/>
    </row>
    <row r="21" ht="16" customHeight="1">
      <c r="A21" s="49" t="n"/>
      <c r="B21" s="40" t="n"/>
      <c r="C21" s="42" t="n"/>
      <c r="D21" s="40" t="n"/>
      <c r="E21" s="40" t="n"/>
    </row>
    <row r="22" ht="16" customHeight="1">
      <c r="A22" s="49" t="n"/>
      <c r="B22" s="40" t="n"/>
      <c r="C22" s="42" t="n"/>
      <c r="D22" s="40" t="n"/>
      <c r="E22" s="40" t="n"/>
    </row>
    <row r="23" ht="16" customHeight="1">
      <c r="A23" s="49" t="n"/>
      <c r="B23" s="40" t="n"/>
      <c r="C23" s="42" t="n"/>
      <c r="D23" s="40" t="n"/>
      <c r="E23" s="40" t="n"/>
    </row>
    <row r="24" ht="16" customHeight="1">
      <c r="A24" s="49" t="n"/>
      <c r="B24" s="40" t="n"/>
      <c r="C24" s="42" t="n"/>
      <c r="D24" s="40" t="n"/>
      <c r="E24" s="40" t="n"/>
    </row>
    <row r="25" ht="16" customHeight="1">
      <c r="A25" s="49" t="n"/>
      <c r="B25" s="40" t="n"/>
      <c r="C25" s="42" t="n"/>
      <c r="D25" s="40" t="n"/>
      <c r="E25" s="40" t="n"/>
    </row>
    <row r="26" ht="16" customHeight="1">
      <c r="A26" s="49" t="n"/>
      <c r="B26" s="40" t="n"/>
      <c r="C26" s="42" t="n"/>
      <c r="D26" s="40" t="n"/>
      <c r="E26" s="40" t="n"/>
    </row>
    <row r="27" ht="16" customHeight="1">
      <c r="A27" s="49" t="n"/>
      <c r="B27" s="40" t="n"/>
      <c r="C27" s="42" t="n"/>
      <c r="D27" s="40" t="n"/>
      <c r="E27" s="40" t="n"/>
    </row>
    <row r="28" ht="16" customHeight="1">
      <c r="A28" s="49" t="n"/>
      <c r="B28" s="40" t="n"/>
      <c r="C28" s="42" t="n"/>
      <c r="D28" s="40" t="n"/>
      <c r="E28" s="40" t="n"/>
    </row>
    <row r="29" ht="16" customHeight="1">
      <c r="A29" s="49" t="n"/>
      <c r="B29" s="40" t="n"/>
      <c r="C29" s="42" t="n"/>
      <c r="D29" s="40" t="n"/>
      <c r="E29" s="40" t="n"/>
    </row>
    <row r="30" ht="16" customHeight="1">
      <c r="A30" s="49" t="n"/>
      <c r="B30" s="40" t="n"/>
      <c r="C30" s="42" t="n"/>
      <c r="D30" s="40" t="n"/>
      <c r="E30" s="40" t="n"/>
    </row>
    <row r="31" ht="16" customHeight="1">
      <c r="A31" s="49" t="n"/>
      <c r="B31" s="40" t="n"/>
      <c r="C31" s="42" t="n"/>
      <c r="D31" s="40" t="n"/>
      <c r="E31" s="40" t="n"/>
    </row>
    <row r="32" ht="16" customHeight="1">
      <c r="A32" s="49" t="n"/>
      <c r="B32" s="40" t="n"/>
      <c r="C32" s="42" t="n"/>
      <c r="D32" s="40" t="n"/>
      <c r="E32" s="40" t="n"/>
    </row>
    <row r="33" ht="16" customHeight="1">
      <c r="A33" s="49" t="n"/>
      <c r="B33" s="40" t="n"/>
      <c r="C33" s="42" t="n"/>
      <c r="D33" s="40" t="n"/>
      <c r="E33" s="40" t="n"/>
    </row>
    <row r="34" ht="16" customHeight="1">
      <c r="A34" s="49" t="n"/>
      <c r="B34" s="40" t="n"/>
      <c r="C34" s="42" t="n"/>
      <c r="D34" s="40" t="n"/>
      <c r="E34" s="40" t="n"/>
    </row>
    <row r="35" ht="16" customHeight="1">
      <c r="A35" s="49" t="n"/>
      <c r="B35" s="40" t="n"/>
      <c r="C35" s="42" t="n"/>
      <c r="D35" s="40" t="n"/>
      <c r="E35" s="40" t="n"/>
    </row>
    <row r="36" ht="16" customHeight="1">
      <c r="A36" s="49" t="n"/>
      <c r="B36" s="40" t="n"/>
      <c r="C36" s="42" t="n"/>
      <c r="D36" s="40" t="n"/>
      <c r="E36" s="40" t="n"/>
    </row>
    <row r="37" ht="16" customHeight="1">
      <c r="A37" s="49" t="n"/>
      <c r="B37" s="40" t="n"/>
      <c r="C37" s="42" t="n"/>
      <c r="D37" s="40" t="n"/>
      <c r="E37" s="40" t="n"/>
    </row>
    <row r="38" ht="16" customHeight="1">
      <c r="A38" s="49" t="n"/>
      <c r="B38" s="40" t="n"/>
      <c r="C38" s="42" t="n"/>
      <c r="D38" s="40" t="n"/>
      <c r="E38" s="40" t="n"/>
    </row>
    <row r="39" ht="16" customHeight="1">
      <c r="A39" s="49" t="n"/>
      <c r="B39" s="40" t="n"/>
      <c r="C39" s="42" t="n"/>
      <c r="D39" s="40" t="n"/>
      <c r="E39" s="40" t="n"/>
    </row>
    <row r="40" ht="16" customHeight="1">
      <c r="A40" s="49" t="n"/>
      <c r="B40" s="40" t="n"/>
      <c r="C40" s="42" t="n"/>
      <c r="D40" s="40" t="n"/>
      <c r="E40" s="40" t="n"/>
    </row>
    <row r="41" ht="16" customHeight="1">
      <c r="A41" s="49" t="n"/>
      <c r="B41" s="40" t="n"/>
      <c r="C41" s="42" t="n"/>
      <c r="D41" s="40" t="n"/>
      <c r="E41" s="40" t="n"/>
    </row>
    <row r="42" ht="16" customHeight="1">
      <c r="A42" s="49" t="n"/>
      <c r="B42" s="40" t="n"/>
      <c r="C42" s="42" t="n"/>
      <c r="D42" s="40" t="n"/>
      <c r="E42" s="40" t="n"/>
    </row>
    <row r="43" ht="16" customHeight="1">
      <c r="A43" s="49" t="n"/>
      <c r="B43" s="40" t="n"/>
      <c r="C43" s="42" t="n"/>
      <c r="D43" s="40" t="n"/>
      <c r="E43" s="40" t="n"/>
    </row>
    <row r="44" ht="16" customHeight="1">
      <c r="A44" s="49" t="n"/>
      <c r="B44" s="40" t="n"/>
      <c r="C44" s="42" t="n"/>
      <c r="D44" s="40" t="n"/>
      <c r="E44" s="40" t="n"/>
    </row>
    <row r="45" ht="16" customHeight="1">
      <c r="A45" s="49" t="n"/>
      <c r="B45" s="40" t="n"/>
      <c r="C45" s="42" t="n"/>
      <c r="D45" s="40" t="n"/>
      <c r="E45" s="40" t="n"/>
    </row>
    <row r="46" ht="16" customHeight="1">
      <c r="A46" s="49" t="n"/>
      <c r="B46" s="40" t="n"/>
      <c r="C46" s="42" t="n"/>
      <c r="D46" s="40" t="n"/>
      <c r="E46" s="40" t="n"/>
    </row>
    <row r="47" ht="16" customHeight="1">
      <c r="A47" s="49" t="n"/>
      <c r="B47" s="40" t="n"/>
      <c r="C47" s="42" t="n"/>
      <c r="D47" s="40" t="n"/>
      <c r="E47" s="40" t="n"/>
    </row>
    <row r="48" ht="16" customHeight="1">
      <c r="A48" s="49" t="n"/>
      <c r="B48" s="40" t="n"/>
      <c r="C48" s="42" t="n"/>
      <c r="D48" s="40" t="n"/>
      <c r="E48" s="40" t="n"/>
    </row>
    <row r="49" ht="16" customHeight="1">
      <c r="A49" s="49" t="n"/>
      <c r="B49" s="40" t="n"/>
      <c r="C49" s="42" t="n"/>
      <c r="D49" s="40" t="n"/>
      <c r="E49" s="40" t="n"/>
    </row>
    <row r="50" ht="16" customHeight="1">
      <c r="A50" s="49" t="n"/>
      <c r="B50" s="40" t="n"/>
      <c r="C50" s="42" t="n"/>
      <c r="D50" s="40" t="n"/>
      <c r="E50" s="40" t="n"/>
    </row>
    <row r="51" ht="16" customHeight="1">
      <c r="A51" s="49" t="n"/>
      <c r="B51" s="40" t="n"/>
      <c r="C51" s="42" t="n"/>
      <c r="D51" s="40" t="n"/>
      <c r="E51" s="40" t="n"/>
    </row>
    <row r="52" ht="16" customHeight="1">
      <c r="A52" s="49" t="n"/>
      <c r="B52" s="40" t="n"/>
      <c r="C52" s="42" t="n"/>
      <c r="D52" s="40" t="n"/>
      <c r="E52" s="40" t="n"/>
    </row>
    <row r="53" ht="16" customHeight="1">
      <c r="A53" s="49" t="n"/>
      <c r="B53" s="40" t="n"/>
      <c r="C53" s="42" t="n"/>
      <c r="D53" s="40" t="n"/>
      <c r="E53" s="40" t="n"/>
    </row>
    <row r="54" ht="16" customHeight="1">
      <c r="A54" s="49" t="n"/>
      <c r="B54" s="40" t="n"/>
      <c r="C54" s="42" t="n"/>
      <c r="D54" s="40" t="n"/>
      <c r="E54" s="40" t="n"/>
    </row>
    <row r="55" ht="16" customHeight="1">
      <c r="A55" s="49" t="n"/>
      <c r="B55" s="40" t="n"/>
      <c r="C55" s="42" t="n"/>
      <c r="D55" s="40" t="n"/>
      <c r="E55" s="40" t="n"/>
    </row>
    <row r="56" ht="16" customHeight="1">
      <c r="A56" s="49" t="n"/>
      <c r="B56" s="40" t="n"/>
      <c r="C56" s="42" t="n"/>
      <c r="D56" s="40" t="n"/>
      <c r="E56" s="40" t="n"/>
    </row>
    <row r="57" ht="16" customHeight="1">
      <c r="A57" s="49" t="n"/>
      <c r="B57" s="40" t="n"/>
      <c r="C57" s="42" t="n"/>
      <c r="D57" s="40" t="n"/>
      <c r="E57" s="40" t="n"/>
    </row>
    <row r="58" ht="16" customHeight="1">
      <c r="A58" s="49" t="n"/>
      <c r="B58" s="40" t="n"/>
      <c r="C58" s="42" t="n"/>
      <c r="D58" s="40" t="n"/>
      <c r="E58" s="40" t="n"/>
    </row>
    <row r="59" ht="16" customHeight="1">
      <c r="A59" s="49" t="n"/>
      <c r="B59" s="40" t="n"/>
      <c r="C59" s="42" t="n"/>
      <c r="D59" s="40" t="n"/>
      <c r="E59" s="40" t="n"/>
    </row>
    <row r="60" ht="16" customHeight="1">
      <c r="A60" s="49" t="n"/>
      <c r="B60" s="40" t="n"/>
      <c r="C60" s="42" t="n"/>
      <c r="D60" s="40" t="n"/>
      <c r="E60" s="40" t="n"/>
    </row>
    <row r="61" ht="16" customHeight="1">
      <c r="A61" s="49" t="n"/>
      <c r="B61" s="40" t="n"/>
      <c r="C61" s="42" t="n"/>
      <c r="D61" s="40" t="n"/>
      <c r="E61" s="40" t="n"/>
    </row>
    <row r="62" ht="16" customHeight="1">
      <c r="A62" s="49" t="n"/>
      <c r="B62" s="40" t="n"/>
      <c r="C62" s="42" t="n"/>
      <c r="D62" s="40" t="n"/>
      <c r="E62" s="40" t="n"/>
    </row>
    <row r="63" ht="16" customHeight="1">
      <c r="A63" s="49" t="n"/>
      <c r="B63" s="40" t="n"/>
      <c r="C63" s="42" t="n"/>
      <c r="D63" s="40" t="n"/>
      <c r="E63" s="40" t="n"/>
    </row>
    <row r="64" ht="16" customHeight="1">
      <c r="A64" s="49" t="n"/>
      <c r="B64" s="40" t="n"/>
      <c r="C64" s="42" t="n"/>
      <c r="D64" s="40" t="n"/>
      <c r="E64" s="40" t="n"/>
    </row>
    <row r="65" ht="16" customHeight="1">
      <c r="A65" s="49" t="n"/>
      <c r="B65" s="40" t="n"/>
      <c r="C65" s="42" t="n"/>
      <c r="D65" s="40" t="n"/>
      <c r="E65" s="40" t="n"/>
    </row>
    <row r="66" ht="16" customHeight="1">
      <c r="A66" s="49" t="n"/>
      <c r="B66" s="40" t="n"/>
      <c r="C66" s="42" t="n"/>
      <c r="D66" s="40" t="n"/>
      <c r="E66" s="40" t="n"/>
    </row>
    <row r="67" ht="16" customHeight="1">
      <c r="A67" s="49" t="n"/>
      <c r="B67" s="40" t="n"/>
      <c r="C67" s="42" t="n"/>
      <c r="D67" s="40" t="n"/>
      <c r="E67" s="40" t="n"/>
    </row>
    <row r="68" ht="16" customHeight="1">
      <c r="A68" s="49" t="n"/>
      <c r="B68" s="40" t="n"/>
      <c r="C68" s="42" t="n"/>
      <c r="D68" s="40" t="n"/>
      <c r="E68" s="40" t="n"/>
    </row>
    <row r="69" ht="16" customHeight="1">
      <c r="A69" s="49" t="n"/>
      <c r="B69" s="40" t="n"/>
      <c r="C69" s="42" t="n"/>
      <c r="D69" s="40" t="n"/>
      <c r="E69" s="40" t="n"/>
    </row>
    <row r="70" ht="16" customHeight="1">
      <c r="A70" s="49" t="n"/>
      <c r="B70" s="40" t="n"/>
      <c r="C70" s="42" t="n"/>
      <c r="D70" s="40" t="n"/>
      <c r="E70" s="40" t="n"/>
    </row>
    <row r="71" ht="16" customHeight="1">
      <c r="A71" s="49" t="n"/>
      <c r="B71" s="40" t="n"/>
      <c r="C71" s="42" t="n"/>
      <c r="D71" s="40" t="n"/>
      <c r="E71" s="40" t="n"/>
    </row>
    <row r="72" ht="16" customHeight="1">
      <c r="A72" s="49" t="n"/>
      <c r="B72" s="40" t="n"/>
      <c r="C72" s="42" t="n"/>
      <c r="D72" s="40" t="n"/>
      <c r="E72" s="40" t="n"/>
    </row>
    <row r="73" ht="16" customHeight="1">
      <c r="A73" s="49" t="n"/>
      <c r="B73" s="40" t="n"/>
      <c r="C73" s="42" t="n"/>
      <c r="D73" s="40" t="n"/>
      <c r="E73" s="40" t="n"/>
    </row>
    <row r="74" ht="16" customHeight="1">
      <c r="A74" s="49" t="n"/>
      <c r="B74" s="40" t="n"/>
      <c r="C74" s="42" t="n"/>
      <c r="D74" s="40" t="n"/>
      <c r="E74" s="40" t="n"/>
    </row>
    <row r="75" ht="16" customHeight="1">
      <c r="A75" s="49" t="n"/>
      <c r="B75" s="40" t="n"/>
      <c r="C75" s="42" t="n"/>
      <c r="D75" s="40" t="n"/>
      <c r="E75" s="40" t="n"/>
    </row>
    <row r="76" ht="16" customHeight="1">
      <c r="A76" s="49" t="n"/>
      <c r="B76" s="40" t="n"/>
      <c r="C76" s="42" t="n"/>
      <c r="D76" s="40" t="n"/>
      <c r="E76" s="40" t="n"/>
    </row>
    <row r="77" ht="16" customHeight="1">
      <c r="A77" s="49" t="n"/>
      <c r="B77" s="40" t="n"/>
      <c r="C77" s="42" t="n"/>
      <c r="D77" s="40" t="n"/>
      <c r="E77" s="40" t="n"/>
    </row>
    <row r="78" ht="16" customHeight="1">
      <c r="A78" s="49" t="n"/>
      <c r="B78" s="40" t="n"/>
      <c r="C78" s="42" t="n"/>
      <c r="D78" s="40" t="n"/>
      <c r="E78" s="40" t="n"/>
    </row>
    <row r="79" ht="16" customHeight="1">
      <c r="A79" s="49" t="n"/>
      <c r="B79" s="40" t="n"/>
      <c r="C79" s="42" t="n"/>
      <c r="D79" s="40" t="n"/>
      <c r="E79" s="40" t="n"/>
    </row>
    <row r="80" ht="16" customHeight="1">
      <c r="A80" s="49" t="n"/>
      <c r="B80" s="40" t="n"/>
      <c r="C80" s="42" t="n"/>
      <c r="D80" s="40" t="n"/>
      <c r="E80" s="40" t="n"/>
    </row>
    <row r="81" ht="16" customHeight="1">
      <c r="A81" s="49" t="n"/>
      <c r="B81" s="40" t="n"/>
      <c r="C81" s="42" t="n"/>
      <c r="D81" s="40" t="n"/>
      <c r="E81" s="40" t="n"/>
    </row>
    <row r="82" ht="16" customHeight="1">
      <c r="A82" s="49" t="n"/>
      <c r="B82" s="40" t="n"/>
      <c r="C82" s="42" t="n"/>
      <c r="D82" s="40" t="n"/>
      <c r="E82" s="40" t="n"/>
    </row>
    <row r="83" ht="16" customHeight="1">
      <c r="A83" s="49" t="n"/>
      <c r="B83" s="40" t="n"/>
      <c r="C83" s="42" t="n"/>
      <c r="D83" s="40" t="n"/>
      <c r="E83" s="40" t="n"/>
    </row>
    <row r="84" ht="16" customHeight="1">
      <c r="A84" s="49" t="n"/>
      <c r="B84" s="40" t="n"/>
      <c r="C84" s="42" t="n"/>
      <c r="D84" s="40" t="n"/>
      <c r="E84" s="40" t="n"/>
    </row>
    <row r="85" ht="16" customHeight="1">
      <c r="A85" s="49" t="n"/>
      <c r="B85" s="40" t="n"/>
      <c r="C85" s="42" t="n"/>
      <c r="D85" s="40" t="n"/>
      <c r="E85" s="40" t="n"/>
    </row>
    <row r="86" ht="16" customHeight="1">
      <c r="A86" s="49" t="n"/>
      <c r="B86" s="40" t="n"/>
      <c r="C86" s="42" t="n"/>
      <c r="D86" s="40" t="n"/>
      <c r="E86" s="40" t="n"/>
    </row>
    <row r="87" ht="16" customHeight="1">
      <c r="A87" s="49" t="n"/>
      <c r="B87" s="40" t="n"/>
      <c r="C87" s="42" t="n"/>
      <c r="D87" s="40" t="n"/>
      <c r="E87" s="40" t="n"/>
    </row>
    <row r="88" ht="16" customHeight="1">
      <c r="A88" s="49" t="n"/>
      <c r="B88" s="40" t="n"/>
      <c r="C88" s="42" t="n"/>
      <c r="D88" s="40" t="n"/>
      <c r="E88" s="40" t="n"/>
    </row>
    <row r="89" ht="16" customHeight="1">
      <c r="A89" s="49" t="n"/>
      <c r="B89" s="40" t="n"/>
      <c r="C89" s="42" t="n"/>
      <c r="D89" s="40" t="n"/>
      <c r="E89" s="40" t="n"/>
    </row>
    <row r="90" ht="16" customHeight="1">
      <c r="A90" s="49" t="n"/>
      <c r="B90" s="40" t="n"/>
      <c r="C90" s="42" t="n"/>
      <c r="D90" s="40" t="n"/>
      <c r="E90" s="40" t="n"/>
    </row>
    <row r="91" ht="16" customHeight="1">
      <c r="A91" s="49" t="n"/>
      <c r="B91" s="40" t="n"/>
      <c r="C91" s="42" t="n"/>
      <c r="D91" s="40" t="n"/>
      <c r="E91" s="40" t="n"/>
    </row>
    <row r="92" ht="16" customHeight="1">
      <c r="A92" s="49" t="n"/>
      <c r="B92" s="40" t="n"/>
      <c r="C92" s="42" t="n"/>
      <c r="D92" s="40" t="n"/>
      <c r="E92" s="40" t="n"/>
    </row>
    <row r="93" ht="16" customHeight="1">
      <c r="A93" s="49" t="n"/>
      <c r="B93" s="40" t="n"/>
      <c r="C93" s="42" t="n"/>
      <c r="D93" s="40" t="n"/>
      <c r="E93" s="40" t="n"/>
    </row>
    <row r="94" ht="16" customHeight="1">
      <c r="A94" s="49" t="n"/>
      <c r="B94" s="40" t="n"/>
      <c r="C94" s="42" t="n"/>
      <c r="D94" s="40" t="n"/>
      <c r="E94" s="40" t="n"/>
    </row>
    <row r="95" ht="16" customHeight="1">
      <c r="A95" s="49" t="n"/>
      <c r="B95" s="40" t="n"/>
      <c r="C95" s="42" t="n"/>
      <c r="D95" s="40" t="n"/>
      <c r="E95" s="40" t="n"/>
    </row>
    <row r="96" ht="16" customHeight="1">
      <c r="A96" s="49" t="n"/>
      <c r="B96" s="40" t="n"/>
      <c r="C96" s="42" t="n"/>
      <c r="D96" s="40" t="n"/>
      <c r="E96" s="40" t="n"/>
    </row>
    <row r="97" ht="16" customHeight="1">
      <c r="A97" s="49" t="n"/>
      <c r="B97" s="40" t="n"/>
      <c r="C97" s="42" t="n"/>
      <c r="D97" s="40" t="n"/>
      <c r="E97" s="40" t="n"/>
    </row>
    <row r="98" ht="16" customHeight="1">
      <c r="A98" s="49" t="n"/>
      <c r="B98" s="40" t="n"/>
      <c r="C98" s="42" t="n"/>
      <c r="D98" s="40" t="n"/>
      <c r="E98" s="40" t="n"/>
    </row>
    <row r="99" ht="16" customHeight="1">
      <c r="A99" s="49" t="n"/>
      <c r="B99" s="40" t="n"/>
      <c r="C99" s="42" t="n"/>
      <c r="D99" s="40" t="n"/>
      <c r="E99" s="40" t="n"/>
    </row>
    <row r="100" ht="16" customHeight="1">
      <c r="A100" s="49" t="n"/>
      <c r="B100" s="40" t="n"/>
      <c r="C100" s="42" t="n"/>
      <c r="D100" s="40" t="n"/>
      <c r="E100" s="40" t="n"/>
    </row>
    <row r="101" ht="16" customHeight="1">
      <c r="A101" s="49" t="n"/>
      <c r="B101" s="40" t="n"/>
      <c r="C101" s="42" t="n"/>
      <c r="D101" s="40" t="n"/>
      <c r="E101" s="40" t="n"/>
    </row>
    <row r="102" ht="16" customHeight="1">
      <c r="A102" s="49" t="n"/>
      <c r="B102" s="40" t="n"/>
      <c r="C102" s="42" t="n"/>
      <c r="D102" s="40" t="n"/>
      <c r="E102" s="40" t="n"/>
    </row>
    <row r="103" ht="16" customHeight="1">
      <c r="A103" s="49" t="n"/>
      <c r="B103" s="40" t="n"/>
      <c r="C103" s="42" t="n"/>
      <c r="D103" s="40" t="n"/>
      <c r="E103" s="40" t="n"/>
    </row>
    <row r="104" ht="16" customHeight="1">
      <c r="A104" s="49" t="n"/>
      <c r="B104" s="40" t="n"/>
      <c r="C104" s="42" t="n"/>
      <c r="D104" s="40" t="n"/>
      <c r="E104" s="40" t="n"/>
    </row>
    <row r="105" ht="16" customHeight="1">
      <c r="A105" s="49" t="n"/>
      <c r="B105" s="40" t="n"/>
      <c r="C105" s="42" t="n"/>
      <c r="D105" s="40" t="n"/>
      <c r="E105" s="40" t="n"/>
    </row>
  </sheetData>
  <mergeCells count="4">
    <mergeCell ref="J2:L2"/>
    <mergeCell ref="D2:I2"/>
    <mergeCell ref="A2:C2"/>
    <mergeCell ref="A4:L4"/>
  </mergeCells>
  <dataValidations count="2">
    <dataValidation sqref="B6:B105" showDropDown="0" showInputMessage="0" showErrorMessage="0" allowBlank="1" type="list">
      <formula1>=Partners!$B$6:$B$13</formula1>
    </dataValidation>
    <dataValidation sqref="D6:D105" showDropDown="0" showInputMessage="0" showErrorMessage="0" allowBlank="1" type="list">
      <formula1>"Cash,Property contribution,Services"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0" customWidth="1" min="4" max="4"/>
    <col width="26" customWidth="1" min="5" max="5"/>
    <col width="32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HYPERLINK("#'Capital Contributions'!A1", "← BACK")</f>
        <v/>
      </c>
      <c r="B2" s="12" t="n"/>
      <c r="C2" s="12" t="n"/>
      <c r="D2" s="36" t="inlineStr">
        <is>
          <t>DISTRIBUTIONS</t>
        </is>
      </c>
      <c r="J2" s="28">
        <f>HYPERLINK("#'P&amp;L Allocation'!A1",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Log every distribution paid — date, partner, amount, type, source entity.</t>
        </is>
      </c>
    </row>
    <row r="5" ht="20" customHeight="1">
      <c r="A5" s="38" t="inlineStr">
        <is>
          <t>Date</t>
        </is>
      </c>
      <c r="B5" s="38" t="inlineStr">
        <is>
          <t>Partner</t>
        </is>
      </c>
      <c r="C5" s="38" t="inlineStr">
        <is>
          <t>Amount</t>
        </is>
      </c>
      <c r="D5" s="38" t="inlineStr">
        <is>
          <t>Type</t>
        </is>
      </c>
      <c r="E5" s="38" t="inlineStr">
        <is>
          <t>Source entity</t>
        </is>
      </c>
      <c r="F5" s="38" t="inlineStr">
        <is>
          <t>Notes</t>
        </is>
      </c>
    </row>
    <row r="6" ht="16" customHeight="1">
      <c r="A6" s="49" t="n">
        <v>46112</v>
      </c>
      <c r="B6" s="40" t="inlineStr">
        <is>
          <t>Daniel Harrison</t>
        </is>
      </c>
      <c r="C6" s="42" t="n">
        <v>4500</v>
      </c>
      <c r="D6" s="40" t="inlineStr">
        <is>
          <t>Cash</t>
        </is>
      </c>
      <c r="E6" s="40" t="inlineStr">
        <is>
          <t>Smokies Ridge LLC</t>
        </is>
      </c>
      <c r="F6" s="40" t="inlineStr">
        <is>
          <t>Q1 distribution</t>
        </is>
      </c>
    </row>
    <row r="7" ht="16" customHeight="1">
      <c r="A7" s="49" t="n">
        <v>46112</v>
      </c>
      <c r="B7" s="40" t="inlineStr">
        <is>
          <t>Jordan Reeves</t>
        </is>
      </c>
      <c r="C7" s="42" t="n">
        <v>3000</v>
      </c>
      <c r="D7" s="40" t="inlineStr">
        <is>
          <t>Cash</t>
        </is>
      </c>
      <c r="E7" s="40" t="inlineStr">
        <is>
          <t>Smokies Ridge LLC</t>
        </is>
      </c>
      <c r="F7" s="40" t="inlineStr">
        <is>
          <t>Q1 distribution</t>
        </is>
      </c>
    </row>
    <row r="8" ht="16" customHeight="1">
      <c r="A8" s="49" t="n">
        <v>46203</v>
      </c>
      <c r="B8" s="40" t="inlineStr">
        <is>
          <t>Daniel Harrison</t>
        </is>
      </c>
      <c r="C8" s="42" t="n">
        <v>4500</v>
      </c>
      <c r="D8" s="40" t="inlineStr">
        <is>
          <t>Cash</t>
        </is>
      </c>
      <c r="E8" s="40" t="inlineStr">
        <is>
          <t>Smokies Ridge LLC</t>
        </is>
      </c>
      <c r="F8" s="40" t="inlineStr">
        <is>
          <t>Q2 distribution</t>
        </is>
      </c>
    </row>
    <row r="9" ht="16" customHeight="1">
      <c r="A9" s="49" t="n">
        <v>46203</v>
      </c>
      <c r="B9" s="40" t="inlineStr">
        <is>
          <t>Jordan Reeves</t>
        </is>
      </c>
      <c r="C9" s="42" t="n">
        <v>3000</v>
      </c>
      <c r="D9" s="40" t="inlineStr">
        <is>
          <t>Cash</t>
        </is>
      </c>
      <c r="E9" s="40" t="inlineStr">
        <is>
          <t>Smokies Ridge LLC</t>
        </is>
      </c>
      <c r="F9" s="40" t="inlineStr">
        <is>
          <t>Q2 distribution</t>
        </is>
      </c>
    </row>
    <row r="10" ht="16" customHeight="1">
      <c r="A10" s="49" t="n">
        <v>46295</v>
      </c>
      <c r="B10" s="40" t="inlineStr">
        <is>
          <t>Daniel Harrison</t>
        </is>
      </c>
      <c r="C10" s="42" t="n">
        <v>4500</v>
      </c>
      <c r="D10" s="40" t="inlineStr">
        <is>
          <t>Cash</t>
        </is>
      </c>
      <c r="E10" s="40" t="inlineStr">
        <is>
          <t>Smokies Ridge LLC</t>
        </is>
      </c>
      <c r="F10" s="40" t="inlineStr">
        <is>
          <t>Q3 distribution</t>
        </is>
      </c>
    </row>
    <row r="11" ht="16" customHeight="1">
      <c r="A11" s="49" t="n">
        <v>46295</v>
      </c>
      <c r="B11" s="40" t="inlineStr">
        <is>
          <t>Jordan Reeves</t>
        </is>
      </c>
      <c r="C11" s="42" t="n">
        <v>3000</v>
      </c>
      <c r="D11" s="40" t="inlineStr">
        <is>
          <t>Cash</t>
        </is>
      </c>
      <c r="E11" s="40" t="inlineStr">
        <is>
          <t>Smokies Ridge LLC</t>
        </is>
      </c>
      <c r="F11" s="40" t="inlineStr">
        <is>
          <t>Q3 distribution</t>
        </is>
      </c>
    </row>
    <row r="12" ht="16" customHeight="1">
      <c r="A12" s="49" t="n">
        <v>46371</v>
      </c>
      <c r="B12" s="40" t="inlineStr">
        <is>
          <t>Daniel Harrison</t>
        </is>
      </c>
      <c r="C12" s="42" t="n">
        <v>4500</v>
      </c>
      <c r="D12" s="40" t="inlineStr">
        <is>
          <t>Tax distribution</t>
        </is>
      </c>
      <c r="E12" s="40" t="inlineStr">
        <is>
          <t>Smokies Ridge LLC</t>
        </is>
      </c>
      <c r="F12" s="40" t="inlineStr">
        <is>
          <t>Q4 + tax distribution</t>
        </is>
      </c>
    </row>
    <row r="13" ht="16" customHeight="1">
      <c r="A13" s="49" t="n">
        <v>46371</v>
      </c>
      <c r="B13" s="40" t="inlineStr">
        <is>
          <t>Jordan Reeves</t>
        </is>
      </c>
      <c r="C13" s="42" t="n">
        <v>3000</v>
      </c>
      <c r="D13" s="40" t="inlineStr">
        <is>
          <t>Tax distribution</t>
        </is>
      </c>
      <c r="E13" s="40" t="inlineStr">
        <is>
          <t>Smokies Ridge LLC</t>
        </is>
      </c>
      <c r="F13" s="40" t="inlineStr">
        <is>
          <t>Q4 + tax distribution</t>
        </is>
      </c>
    </row>
    <row r="14" ht="16" customHeight="1">
      <c r="A14" s="49" t="n"/>
      <c r="B14" s="40" t="n"/>
      <c r="C14" s="42" t="n"/>
      <c r="D14" s="40" t="n"/>
      <c r="E14" s="40" t="n"/>
      <c r="F14" s="40" t="n"/>
    </row>
    <row r="15" ht="16" customHeight="1">
      <c r="A15" s="49" t="n"/>
      <c r="B15" s="40" t="n"/>
      <c r="C15" s="42" t="n"/>
      <c r="D15" s="40" t="n"/>
      <c r="E15" s="40" t="n"/>
      <c r="F15" s="40" t="n"/>
    </row>
    <row r="16" ht="16" customHeight="1">
      <c r="A16" s="49" t="n"/>
      <c r="B16" s="40" t="n"/>
      <c r="C16" s="42" t="n"/>
      <c r="D16" s="40" t="n"/>
      <c r="E16" s="40" t="n"/>
      <c r="F16" s="40" t="n"/>
    </row>
    <row r="17" ht="16" customHeight="1">
      <c r="A17" s="49" t="n"/>
      <c r="B17" s="40" t="n"/>
      <c r="C17" s="42" t="n"/>
      <c r="D17" s="40" t="n"/>
      <c r="E17" s="40" t="n"/>
      <c r="F17" s="40" t="n"/>
    </row>
    <row r="18" ht="16" customHeight="1">
      <c r="A18" s="49" t="n"/>
      <c r="B18" s="40" t="n"/>
      <c r="C18" s="42" t="n"/>
      <c r="D18" s="40" t="n"/>
      <c r="E18" s="40" t="n"/>
      <c r="F18" s="40" t="n"/>
    </row>
    <row r="19" ht="16" customHeight="1">
      <c r="A19" s="49" t="n"/>
      <c r="B19" s="40" t="n"/>
      <c r="C19" s="42" t="n"/>
      <c r="D19" s="40" t="n"/>
      <c r="E19" s="40" t="n"/>
      <c r="F19" s="40" t="n"/>
    </row>
    <row r="20" ht="16" customHeight="1">
      <c r="A20" s="49" t="n"/>
      <c r="B20" s="40" t="n"/>
      <c r="C20" s="42" t="n"/>
      <c r="D20" s="40" t="n"/>
      <c r="E20" s="40" t="n"/>
      <c r="F20" s="40" t="n"/>
    </row>
    <row r="21" ht="16" customHeight="1">
      <c r="A21" s="49" t="n"/>
      <c r="B21" s="40" t="n"/>
      <c r="C21" s="42" t="n"/>
      <c r="D21" s="40" t="n"/>
      <c r="E21" s="40" t="n"/>
      <c r="F21" s="40" t="n"/>
    </row>
    <row r="22" ht="16" customHeight="1">
      <c r="A22" s="49" t="n"/>
      <c r="B22" s="40" t="n"/>
      <c r="C22" s="42" t="n"/>
      <c r="D22" s="40" t="n"/>
      <c r="E22" s="40" t="n"/>
      <c r="F22" s="40" t="n"/>
    </row>
    <row r="23" ht="16" customHeight="1">
      <c r="A23" s="49" t="n"/>
      <c r="B23" s="40" t="n"/>
      <c r="C23" s="42" t="n"/>
      <c r="D23" s="40" t="n"/>
      <c r="E23" s="40" t="n"/>
      <c r="F23" s="40" t="n"/>
    </row>
    <row r="24" ht="16" customHeight="1">
      <c r="A24" s="49" t="n"/>
      <c r="B24" s="40" t="n"/>
      <c r="C24" s="42" t="n"/>
      <c r="D24" s="40" t="n"/>
      <c r="E24" s="40" t="n"/>
      <c r="F24" s="40" t="n"/>
    </row>
    <row r="25" ht="16" customHeight="1">
      <c r="A25" s="49" t="n"/>
      <c r="B25" s="40" t="n"/>
      <c r="C25" s="42" t="n"/>
      <c r="D25" s="40" t="n"/>
      <c r="E25" s="40" t="n"/>
      <c r="F25" s="40" t="n"/>
    </row>
    <row r="26" ht="16" customHeight="1">
      <c r="A26" s="49" t="n"/>
      <c r="B26" s="40" t="n"/>
      <c r="C26" s="42" t="n"/>
      <c r="D26" s="40" t="n"/>
      <c r="E26" s="40" t="n"/>
      <c r="F26" s="40" t="n"/>
    </row>
    <row r="27" ht="16" customHeight="1">
      <c r="A27" s="49" t="n"/>
      <c r="B27" s="40" t="n"/>
      <c r="C27" s="42" t="n"/>
      <c r="D27" s="40" t="n"/>
      <c r="E27" s="40" t="n"/>
      <c r="F27" s="40" t="n"/>
    </row>
    <row r="28" ht="16" customHeight="1">
      <c r="A28" s="49" t="n"/>
      <c r="B28" s="40" t="n"/>
      <c r="C28" s="42" t="n"/>
      <c r="D28" s="40" t="n"/>
      <c r="E28" s="40" t="n"/>
      <c r="F28" s="40" t="n"/>
    </row>
    <row r="29" ht="16" customHeight="1">
      <c r="A29" s="49" t="n"/>
      <c r="B29" s="40" t="n"/>
      <c r="C29" s="42" t="n"/>
      <c r="D29" s="40" t="n"/>
      <c r="E29" s="40" t="n"/>
      <c r="F29" s="40" t="n"/>
    </row>
    <row r="30" ht="16" customHeight="1">
      <c r="A30" s="49" t="n"/>
      <c r="B30" s="40" t="n"/>
      <c r="C30" s="42" t="n"/>
      <c r="D30" s="40" t="n"/>
      <c r="E30" s="40" t="n"/>
      <c r="F30" s="40" t="n"/>
    </row>
    <row r="31" ht="16" customHeight="1">
      <c r="A31" s="49" t="n"/>
      <c r="B31" s="40" t="n"/>
      <c r="C31" s="42" t="n"/>
      <c r="D31" s="40" t="n"/>
      <c r="E31" s="40" t="n"/>
      <c r="F31" s="40" t="n"/>
    </row>
    <row r="32" ht="16" customHeight="1">
      <c r="A32" s="49" t="n"/>
      <c r="B32" s="40" t="n"/>
      <c r="C32" s="42" t="n"/>
      <c r="D32" s="40" t="n"/>
      <c r="E32" s="40" t="n"/>
      <c r="F32" s="40" t="n"/>
    </row>
    <row r="33" ht="16" customHeight="1">
      <c r="A33" s="49" t="n"/>
      <c r="B33" s="40" t="n"/>
      <c r="C33" s="42" t="n"/>
      <c r="D33" s="40" t="n"/>
      <c r="E33" s="40" t="n"/>
      <c r="F33" s="40" t="n"/>
    </row>
    <row r="34" ht="16" customHeight="1">
      <c r="A34" s="49" t="n"/>
      <c r="B34" s="40" t="n"/>
      <c r="C34" s="42" t="n"/>
      <c r="D34" s="40" t="n"/>
      <c r="E34" s="40" t="n"/>
      <c r="F34" s="40" t="n"/>
    </row>
    <row r="35" ht="16" customHeight="1">
      <c r="A35" s="49" t="n"/>
      <c r="B35" s="40" t="n"/>
      <c r="C35" s="42" t="n"/>
      <c r="D35" s="40" t="n"/>
      <c r="E35" s="40" t="n"/>
      <c r="F35" s="40" t="n"/>
    </row>
    <row r="36" ht="16" customHeight="1">
      <c r="A36" s="49" t="n"/>
      <c r="B36" s="40" t="n"/>
      <c r="C36" s="42" t="n"/>
      <c r="D36" s="40" t="n"/>
      <c r="E36" s="40" t="n"/>
      <c r="F36" s="40" t="n"/>
    </row>
    <row r="37" ht="16" customHeight="1">
      <c r="A37" s="49" t="n"/>
      <c r="B37" s="40" t="n"/>
      <c r="C37" s="42" t="n"/>
      <c r="D37" s="40" t="n"/>
      <c r="E37" s="40" t="n"/>
      <c r="F37" s="40" t="n"/>
    </row>
    <row r="38" ht="16" customHeight="1">
      <c r="A38" s="49" t="n"/>
      <c r="B38" s="40" t="n"/>
      <c r="C38" s="42" t="n"/>
      <c r="D38" s="40" t="n"/>
      <c r="E38" s="40" t="n"/>
      <c r="F38" s="40" t="n"/>
    </row>
    <row r="39" ht="16" customHeight="1">
      <c r="A39" s="49" t="n"/>
      <c r="B39" s="40" t="n"/>
      <c r="C39" s="42" t="n"/>
      <c r="D39" s="40" t="n"/>
      <c r="E39" s="40" t="n"/>
      <c r="F39" s="40" t="n"/>
    </row>
    <row r="40" ht="16" customHeight="1">
      <c r="A40" s="49" t="n"/>
      <c r="B40" s="40" t="n"/>
      <c r="C40" s="42" t="n"/>
      <c r="D40" s="40" t="n"/>
      <c r="E40" s="40" t="n"/>
      <c r="F40" s="40" t="n"/>
    </row>
    <row r="41" ht="16" customHeight="1">
      <c r="A41" s="49" t="n"/>
      <c r="B41" s="40" t="n"/>
      <c r="C41" s="42" t="n"/>
      <c r="D41" s="40" t="n"/>
      <c r="E41" s="40" t="n"/>
      <c r="F41" s="40" t="n"/>
    </row>
    <row r="42" ht="16" customHeight="1">
      <c r="A42" s="49" t="n"/>
      <c r="B42" s="40" t="n"/>
      <c r="C42" s="42" t="n"/>
      <c r="D42" s="40" t="n"/>
      <c r="E42" s="40" t="n"/>
      <c r="F42" s="40" t="n"/>
    </row>
    <row r="43" ht="16" customHeight="1">
      <c r="A43" s="49" t="n"/>
      <c r="B43" s="40" t="n"/>
      <c r="C43" s="42" t="n"/>
      <c r="D43" s="40" t="n"/>
      <c r="E43" s="40" t="n"/>
      <c r="F43" s="40" t="n"/>
    </row>
    <row r="44" ht="16" customHeight="1">
      <c r="A44" s="49" t="n"/>
      <c r="B44" s="40" t="n"/>
      <c r="C44" s="42" t="n"/>
      <c r="D44" s="40" t="n"/>
      <c r="E44" s="40" t="n"/>
      <c r="F44" s="40" t="n"/>
    </row>
    <row r="45" ht="16" customHeight="1">
      <c r="A45" s="49" t="n"/>
      <c r="B45" s="40" t="n"/>
      <c r="C45" s="42" t="n"/>
      <c r="D45" s="40" t="n"/>
      <c r="E45" s="40" t="n"/>
      <c r="F45" s="40" t="n"/>
    </row>
    <row r="46" ht="16" customHeight="1">
      <c r="A46" s="49" t="n"/>
      <c r="B46" s="40" t="n"/>
      <c r="C46" s="42" t="n"/>
      <c r="D46" s="40" t="n"/>
      <c r="E46" s="40" t="n"/>
      <c r="F46" s="40" t="n"/>
    </row>
    <row r="47" ht="16" customHeight="1">
      <c r="A47" s="49" t="n"/>
      <c r="B47" s="40" t="n"/>
      <c r="C47" s="42" t="n"/>
      <c r="D47" s="40" t="n"/>
      <c r="E47" s="40" t="n"/>
      <c r="F47" s="40" t="n"/>
    </row>
    <row r="48" ht="16" customHeight="1">
      <c r="A48" s="49" t="n"/>
      <c r="B48" s="40" t="n"/>
      <c r="C48" s="42" t="n"/>
      <c r="D48" s="40" t="n"/>
      <c r="E48" s="40" t="n"/>
      <c r="F48" s="40" t="n"/>
    </row>
    <row r="49" ht="16" customHeight="1">
      <c r="A49" s="49" t="n"/>
      <c r="B49" s="40" t="n"/>
      <c r="C49" s="42" t="n"/>
      <c r="D49" s="40" t="n"/>
      <c r="E49" s="40" t="n"/>
      <c r="F49" s="40" t="n"/>
    </row>
    <row r="50" ht="16" customHeight="1">
      <c r="A50" s="49" t="n"/>
      <c r="B50" s="40" t="n"/>
      <c r="C50" s="42" t="n"/>
      <c r="D50" s="40" t="n"/>
      <c r="E50" s="40" t="n"/>
      <c r="F50" s="40" t="n"/>
    </row>
    <row r="51" ht="16" customHeight="1">
      <c r="A51" s="49" t="n"/>
      <c r="B51" s="40" t="n"/>
      <c r="C51" s="42" t="n"/>
      <c r="D51" s="40" t="n"/>
      <c r="E51" s="40" t="n"/>
      <c r="F51" s="40" t="n"/>
    </row>
    <row r="52" ht="16" customHeight="1">
      <c r="A52" s="49" t="n"/>
      <c r="B52" s="40" t="n"/>
      <c r="C52" s="42" t="n"/>
      <c r="D52" s="40" t="n"/>
      <c r="E52" s="40" t="n"/>
      <c r="F52" s="40" t="n"/>
    </row>
    <row r="53" ht="16" customHeight="1">
      <c r="A53" s="49" t="n"/>
      <c r="B53" s="40" t="n"/>
      <c r="C53" s="42" t="n"/>
      <c r="D53" s="40" t="n"/>
      <c r="E53" s="40" t="n"/>
      <c r="F53" s="40" t="n"/>
    </row>
    <row r="54" ht="16" customHeight="1">
      <c r="A54" s="49" t="n"/>
      <c r="B54" s="40" t="n"/>
      <c r="C54" s="42" t="n"/>
      <c r="D54" s="40" t="n"/>
      <c r="E54" s="40" t="n"/>
      <c r="F54" s="40" t="n"/>
    </row>
    <row r="55" ht="16" customHeight="1">
      <c r="A55" s="49" t="n"/>
      <c r="B55" s="40" t="n"/>
      <c r="C55" s="42" t="n"/>
      <c r="D55" s="40" t="n"/>
      <c r="E55" s="40" t="n"/>
      <c r="F55" s="40" t="n"/>
    </row>
    <row r="56" ht="16" customHeight="1">
      <c r="A56" s="49" t="n"/>
      <c r="B56" s="40" t="n"/>
      <c r="C56" s="42" t="n"/>
      <c r="D56" s="40" t="n"/>
      <c r="E56" s="40" t="n"/>
      <c r="F56" s="40" t="n"/>
    </row>
    <row r="57" ht="16" customHeight="1">
      <c r="A57" s="49" t="n"/>
      <c r="B57" s="40" t="n"/>
      <c r="C57" s="42" t="n"/>
      <c r="D57" s="40" t="n"/>
      <c r="E57" s="40" t="n"/>
      <c r="F57" s="40" t="n"/>
    </row>
    <row r="58" ht="16" customHeight="1">
      <c r="A58" s="49" t="n"/>
      <c r="B58" s="40" t="n"/>
      <c r="C58" s="42" t="n"/>
      <c r="D58" s="40" t="n"/>
      <c r="E58" s="40" t="n"/>
      <c r="F58" s="40" t="n"/>
    </row>
    <row r="59" ht="16" customHeight="1">
      <c r="A59" s="49" t="n"/>
      <c r="B59" s="40" t="n"/>
      <c r="C59" s="42" t="n"/>
      <c r="D59" s="40" t="n"/>
      <c r="E59" s="40" t="n"/>
      <c r="F59" s="40" t="n"/>
    </row>
    <row r="60" ht="16" customHeight="1">
      <c r="A60" s="49" t="n"/>
      <c r="B60" s="40" t="n"/>
      <c r="C60" s="42" t="n"/>
      <c r="D60" s="40" t="n"/>
      <c r="E60" s="40" t="n"/>
      <c r="F60" s="40" t="n"/>
    </row>
    <row r="61" ht="16" customHeight="1">
      <c r="A61" s="49" t="n"/>
      <c r="B61" s="40" t="n"/>
      <c r="C61" s="42" t="n"/>
      <c r="D61" s="40" t="n"/>
      <c r="E61" s="40" t="n"/>
      <c r="F61" s="40" t="n"/>
    </row>
    <row r="62" ht="16" customHeight="1">
      <c r="A62" s="49" t="n"/>
      <c r="B62" s="40" t="n"/>
      <c r="C62" s="42" t="n"/>
      <c r="D62" s="40" t="n"/>
      <c r="E62" s="40" t="n"/>
      <c r="F62" s="40" t="n"/>
    </row>
    <row r="63" ht="16" customHeight="1">
      <c r="A63" s="49" t="n"/>
      <c r="B63" s="40" t="n"/>
      <c r="C63" s="42" t="n"/>
      <c r="D63" s="40" t="n"/>
      <c r="E63" s="40" t="n"/>
      <c r="F63" s="40" t="n"/>
    </row>
    <row r="64" ht="16" customHeight="1">
      <c r="A64" s="49" t="n"/>
      <c r="B64" s="40" t="n"/>
      <c r="C64" s="42" t="n"/>
      <c r="D64" s="40" t="n"/>
      <c r="E64" s="40" t="n"/>
      <c r="F64" s="40" t="n"/>
    </row>
    <row r="65" ht="16" customHeight="1">
      <c r="A65" s="49" t="n"/>
      <c r="B65" s="40" t="n"/>
      <c r="C65" s="42" t="n"/>
      <c r="D65" s="40" t="n"/>
      <c r="E65" s="40" t="n"/>
      <c r="F65" s="40" t="n"/>
    </row>
    <row r="66" ht="16" customHeight="1">
      <c r="A66" s="49" t="n"/>
      <c r="B66" s="40" t="n"/>
      <c r="C66" s="42" t="n"/>
      <c r="D66" s="40" t="n"/>
      <c r="E66" s="40" t="n"/>
      <c r="F66" s="40" t="n"/>
    </row>
    <row r="67" ht="16" customHeight="1">
      <c r="A67" s="49" t="n"/>
      <c r="B67" s="40" t="n"/>
      <c r="C67" s="42" t="n"/>
      <c r="D67" s="40" t="n"/>
      <c r="E67" s="40" t="n"/>
      <c r="F67" s="40" t="n"/>
    </row>
    <row r="68" ht="16" customHeight="1">
      <c r="A68" s="49" t="n"/>
      <c r="B68" s="40" t="n"/>
      <c r="C68" s="42" t="n"/>
      <c r="D68" s="40" t="n"/>
      <c r="E68" s="40" t="n"/>
      <c r="F68" s="40" t="n"/>
    </row>
    <row r="69" ht="16" customHeight="1">
      <c r="A69" s="49" t="n"/>
      <c r="B69" s="40" t="n"/>
      <c r="C69" s="42" t="n"/>
      <c r="D69" s="40" t="n"/>
      <c r="E69" s="40" t="n"/>
      <c r="F69" s="40" t="n"/>
    </row>
    <row r="70" ht="16" customHeight="1">
      <c r="A70" s="49" t="n"/>
      <c r="B70" s="40" t="n"/>
      <c r="C70" s="42" t="n"/>
      <c r="D70" s="40" t="n"/>
      <c r="E70" s="40" t="n"/>
      <c r="F70" s="40" t="n"/>
    </row>
    <row r="71" ht="16" customHeight="1">
      <c r="A71" s="49" t="n"/>
      <c r="B71" s="40" t="n"/>
      <c r="C71" s="42" t="n"/>
      <c r="D71" s="40" t="n"/>
      <c r="E71" s="40" t="n"/>
      <c r="F71" s="40" t="n"/>
    </row>
    <row r="72" ht="16" customHeight="1">
      <c r="A72" s="49" t="n"/>
      <c r="B72" s="40" t="n"/>
      <c r="C72" s="42" t="n"/>
      <c r="D72" s="40" t="n"/>
      <c r="E72" s="40" t="n"/>
      <c r="F72" s="40" t="n"/>
    </row>
    <row r="73" ht="16" customHeight="1">
      <c r="A73" s="49" t="n"/>
      <c r="B73" s="40" t="n"/>
      <c r="C73" s="42" t="n"/>
      <c r="D73" s="40" t="n"/>
      <c r="E73" s="40" t="n"/>
      <c r="F73" s="40" t="n"/>
    </row>
    <row r="74" ht="16" customHeight="1">
      <c r="A74" s="49" t="n"/>
      <c r="B74" s="40" t="n"/>
      <c r="C74" s="42" t="n"/>
      <c r="D74" s="40" t="n"/>
      <c r="E74" s="40" t="n"/>
      <c r="F74" s="40" t="n"/>
    </row>
    <row r="75" ht="16" customHeight="1">
      <c r="A75" s="49" t="n"/>
      <c r="B75" s="40" t="n"/>
      <c r="C75" s="42" t="n"/>
      <c r="D75" s="40" t="n"/>
      <c r="E75" s="40" t="n"/>
      <c r="F75" s="40" t="n"/>
    </row>
    <row r="76" ht="16" customHeight="1">
      <c r="A76" s="49" t="n"/>
      <c r="B76" s="40" t="n"/>
      <c r="C76" s="42" t="n"/>
      <c r="D76" s="40" t="n"/>
      <c r="E76" s="40" t="n"/>
      <c r="F76" s="40" t="n"/>
    </row>
    <row r="77" ht="16" customHeight="1">
      <c r="A77" s="49" t="n"/>
      <c r="B77" s="40" t="n"/>
      <c r="C77" s="42" t="n"/>
      <c r="D77" s="40" t="n"/>
      <c r="E77" s="40" t="n"/>
      <c r="F77" s="40" t="n"/>
    </row>
    <row r="78" ht="16" customHeight="1">
      <c r="A78" s="49" t="n"/>
      <c r="B78" s="40" t="n"/>
      <c r="C78" s="42" t="n"/>
      <c r="D78" s="40" t="n"/>
      <c r="E78" s="40" t="n"/>
      <c r="F78" s="40" t="n"/>
    </row>
    <row r="79" ht="16" customHeight="1">
      <c r="A79" s="49" t="n"/>
      <c r="B79" s="40" t="n"/>
      <c r="C79" s="42" t="n"/>
      <c r="D79" s="40" t="n"/>
      <c r="E79" s="40" t="n"/>
      <c r="F79" s="40" t="n"/>
    </row>
    <row r="80" ht="16" customHeight="1">
      <c r="A80" s="49" t="n"/>
      <c r="B80" s="40" t="n"/>
      <c r="C80" s="42" t="n"/>
      <c r="D80" s="40" t="n"/>
      <c r="E80" s="40" t="n"/>
      <c r="F80" s="40" t="n"/>
    </row>
    <row r="81" ht="16" customHeight="1">
      <c r="A81" s="49" t="n"/>
      <c r="B81" s="40" t="n"/>
      <c r="C81" s="42" t="n"/>
      <c r="D81" s="40" t="n"/>
      <c r="E81" s="40" t="n"/>
      <c r="F81" s="40" t="n"/>
    </row>
    <row r="82" ht="16" customHeight="1">
      <c r="A82" s="49" t="n"/>
      <c r="B82" s="40" t="n"/>
      <c r="C82" s="42" t="n"/>
      <c r="D82" s="40" t="n"/>
      <c r="E82" s="40" t="n"/>
      <c r="F82" s="40" t="n"/>
    </row>
    <row r="83" ht="16" customHeight="1">
      <c r="A83" s="49" t="n"/>
      <c r="B83" s="40" t="n"/>
      <c r="C83" s="42" t="n"/>
      <c r="D83" s="40" t="n"/>
      <c r="E83" s="40" t="n"/>
      <c r="F83" s="40" t="n"/>
    </row>
    <row r="84" ht="16" customHeight="1">
      <c r="A84" s="49" t="n"/>
      <c r="B84" s="40" t="n"/>
      <c r="C84" s="42" t="n"/>
      <c r="D84" s="40" t="n"/>
      <c r="E84" s="40" t="n"/>
      <c r="F84" s="40" t="n"/>
    </row>
    <row r="85" ht="16" customHeight="1">
      <c r="A85" s="49" t="n"/>
      <c r="B85" s="40" t="n"/>
      <c r="C85" s="42" t="n"/>
      <c r="D85" s="40" t="n"/>
      <c r="E85" s="40" t="n"/>
      <c r="F85" s="40" t="n"/>
    </row>
    <row r="86" ht="16" customHeight="1">
      <c r="A86" s="49" t="n"/>
      <c r="B86" s="40" t="n"/>
      <c r="C86" s="42" t="n"/>
      <c r="D86" s="40" t="n"/>
      <c r="E86" s="40" t="n"/>
      <c r="F86" s="40" t="n"/>
    </row>
    <row r="87" ht="16" customHeight="1">
      <c r="A87" s="49" t="n"/>
      <c r="B87" s="40" t="n"/>
      <c r="C87" s="42" t="n"/>
      <c r="D87" s="40" t="n"/>
      <c r="E87" s="40" t="n"/>
      <c r="F87" s="40" t="n"/>
    </row>
    <row r="88" ht="16" customHeight="1">
      <c r="A88" s="49" t="n"/>
      <c r="B88" s="40" t="n"/>
      <c r="C88" s="42" t="n"/>
      <c r="D88" s="40" t="n"/>
      <c r="E88" s="40" t="n"/>
      <c r="F88" s="40" t="n"/>
    </row>
    <row r="89" ht="16" customHeight="1">
      <c r="A89" s="49" t="n"/>
      <c r="B89" s="40" t="n"/>
      <c r="C89" s="42" t="n"/>
      <c r="D89" s="40" t="n"/>
      <c r="E89" s="40" t="n"/>
      <c r="F89" s="40" t="n"/>
    </row>
    <row r="90" ht="16" customHeight="1">
      <c r="A90" s="49" t="n"/>
      <c r="B90" s="40" t="n"/>
      <c r="C90" s="42" t="n"/>
      <c r="D90" s="40" t="n"/>
      <c r="E90" s="40" t="n"/>
      <c r="F90" s="40" t="n"/>
    </row>
    <row r="91" ht="16" customHeight="1">
      <c r="A91" s="49" t="n"/>
      <c r="B91" s="40" t="n"/>
      <c r="C91" s="42" t="n"/>
      <c r="D91" s="40" t="n"/>
      <c r="E91" s="40" t="n"/>
      <c r="F91" s="40" t="n"/>
    </row>
    <row r="92" ht="16" customHeight="1">
      <c r="A92" s="49" t="n"/>
      <c r="B92" s="40" t="n"/>
      <c r="C92" s="42" t="n"/>
      <c r="D92" s="40" t="n"/>
      <c r="E92" s="40" t="n"/>
      <c r="F92" s="40" t="n"/>
    </row>
    <row r="93" ht="16" customHeight="1">
      <c r="A93" s="49" t="n"/>
      <c r="B93" s="40" t="n"/>
      <c r="C93" s="42" t="n"/>
      <c r="D93" s="40" t="n"/>
      <c r="E93" s="40" t="n"/>
      <c r="F93" s="40" t="n"/>
    </row>
    <row r="94" ht="16" customHeight="1">
      <c r="A94" s="49" t="n"/>
      <c r="B94" s="40" t="n"/>
      <c r="C94" s="42" t="n"/>
      <c r="D94" s="40" t="n"/>
      <c r="E94" s="40" t="n"/>
      <c r="F94" s="40" t="n"/>
    </row>
    <row r="95" ht="16" customHeight="1">
      <c r="A95" s="49" t="n"/>
      <c r="B95" s="40" t="n"/>
      <c r="C95" s="42" t="n"/>
      <c r="D95" s="40" t="n"/>
      <c r="E95" s="40" t="n"/>
      <c r="F95" s="40" t="n"/>
    </row>
    <row r="96" ht="16" customHeight="1">
      <c r="A96" s="49" t="n"/>
      <c r="B96" s="40" t="n"/>
      <c r="C96" s="42" t="n"/>
      <c r="D96" s="40" t="n"/>
      <c r="E96" s="40" t="n"/>
      <c r="F96" s="40" t="n"/>
    </row>
    <row r="97" ht="16" customHeight="1">
      <c r="A97" s="49" t="n"/>
      <c r="B97" s="40" t="n"/>
      <c r="C97" s="42" t="n"/>
      <c r="D97" s="40" t="n"/>
      <c r="E97" s="40" t="n"/>
      <c r="F97" s="40" t="n"/>
    </row>
    <row r="98" ht="16" customHeight="1">
      <c r="A98" s="49" t="n"/>
      <c r="B98" s="40" t="n"/>
      <c r="C98" s="42" t="n"/>
      <c r="D98" s="40" t="n"/>
      <c r="E98" s="40" t="n"/>
      <c r="F98" s="40" t="n"/>
    </row>
    <row r="99" ht="16" customHeight="1">
      <c r="A99" s="49" t="n"/>
      <c r="B99" s="40" t="n"/>
      <c r="C99" s="42" t="n"/>
      <c r="D99" s="40" t="n"/>
      <c r="E99" s="40" t="n"/>
      <c r="F99" s="40" t="n"/>
    </row>
    <row r="100" ht="16" customHeight="1">
      <c r="A100" s="49" t="n"/>
      <c r="B100" s="40" t="n"/>
      <c r="C100" s="42" t="n"/>
      <c r="D100" s="40" t="n"/>
      <c r="E100" s="40" t="n"/>
      <c r="F100" s="40" t="n"/>
    </row>
    <row r="101" ht="16" customHeight="1">
      <c r="A101" s="49" t="n"/>
      <c r="B101" s="40" t="n"/>
      <c r="C101" s="42" t="n"/>
      <c r="D101" s="40" t="n"/>
      <c r="E101" s="40" t="n"/>
      <c r="F101" s="40" t="n"/>
    </row>
    <row r="102" ht="16" customHeight="1">
      <c r="A102" s="49" t="n"/>
      <c r="B102" s="40" t="n"/>
      <c r="C102" s="42" t="n"/>
      <c r="D102" s="40" t="n"/>
      <c r="E102" s="40" t="n"/>
      <c r="F102" s="40" t="n"/>
    </row>
    <row r="103" ht="16" customHeight="1">
      <c r="A103" s="49" t="n"/>
      <c r="B103" s="40" t="n"/>
      <c r="C103" s="42" t="n"/>
      <c r="D103" s="40" t="n"/>
      <c r="E103" s="40" t="n"/>
      <c r="F103" s="40" t="n"/>
    </row>
    <row r="104" ht="16" customHeight="1">
      <c r="A104" s="49" t="n"/>
      <c r="B104" s="40" t="n"/>
      <c r="C104" s="42" t="n"/>
      <c r="D104" s="40" t="n"/>
      <c r="E104" s="40" t="n"/>
      <c r="F104" s="40" t="n"/>
    </row>
    <row r="105" ht="16" customHeight="1">
      <c r="A105" s="49" t="n"/>
      <c r="B105" s="40" t="n"/>
      <c r="C105" s="42" t="n"/>
      <c r="D105" s="40" t="n"/>
      <c r="E105" s="40" t="n"/>
      <c r="F105" s="40" t="n"/>
    </row>
    <row r="106" ht="16" customHeight="1">
      <c r="A106" s="49" t="n"/>
      <c r="B106" s="40" t="n"/>
      <c r="C106" s="42" t="n"/>
      <c r="D106" s="40" t="n"/>
      <c r="E106" s="40" t="n"/>
      <c r="F106" s="40" t="n"/>
    </row>
    <row r="107" ht="16" customHeight="1">
      <c r="A107" s="49" t="n"/>
      <c r="B107" s="40" t="n"/>
      <c r="C107" s="42" t="n"/>
      <c r="D107" s="40" t="n"/>
      <c r="E107" s="40" t="n"/>
      <c r="F107" s="40" t="n"/>
    </row>
    <row r="108" ht="16" customHeight="1">
      <c r="A108" s="49" t="n"/>
      <c r="B108" s="40" t="n"/>
      <c r="C108" s="42" t="n"/>
      <c r="D108" s="40" t="n"/>
      <c r="E108" s="40" t="n"/>
      <c r="F108" s="40" t="n"/>
    </row>
    <row r="109" ht="16" customHeight="1">
      <c r="A109" s="49" t="n"/>
      <c r="B109" s="40" t="n"/>
      <c r="C109" s="42" t="n"/>
      <c r="D109" s="40" t="n"/>
      <c r="E109" s="40" t="n"/>
      <c r="F109" s="40" t="n"/>
    </row>
    <row r="110" ht="16" customHeight="1">
      <c r="A110" s="49" t="n"/>
      <c r="B110" s="40" t="n"/>
      <c r="C110" s="42" t="n"/>
      <c r="D110" s="40" t="n"/>
      <c r="E110" s="40" t="n"/>
      <c r="F110" s="40" t="n"/>
    </row>
    <row r="111" ht="16" customHeight="1">
      <c r="A111" s="49" t="n"/>
      <c r="B111" s="40" t="n"/>
      <c r="C111" s="42" t="n"/>
      <c r="D111" s="40" t="n"/>
      <c r="E111" s="40" t="n"/>
      <c r="F111" s="40" t="n"/>
    </row>
    <row r="112" ht="16" customHeight="1">
      <c r="A112" s="49" t="n"/>
      <c r="B112" s="40" t="n"/>
      <c r="C112" s="42" t="n"/>
      <c r="D112" s="40" t="n"/>
      <c r="E112" s="40" t="n"/>
      <c r="F112" s="40" t="n"/>
    </row>
    <row r="113" ht="16" customHeight="1">
      <c r="A113" s="49" t="n"/>
      <c r="B113" s="40" t="n"/>
      <c r="C113" s="42" t="n"/>
      <c r="D113" s="40" t="n"/>
      <c r="E113" s="40" t="n"/>
      <c r="F113" s="40" t="n"/>
    </row>
    <row r="114" ht="16" customHeight="1">
      <c r="A114" s="49" t="n"/>
      <c r="B114" s="40" t="n"/>
      <c r="C114" s="42" t="n"/>
      <c r="D114" s="40" t="n"/>
      <c r="E114" s="40" t="n"/>
      <c r="F114" s="40" t="n"/>
    </row>
    <row r="115" ht="16" customHeight="1">
      <c r="A115" s="49" t="n"/>
      <c r="B115" s="40" t="n"/>
      <c r="C115" s="42" t="n"/>
      <c r="D115" s="40" t="n"/>
      <c r="E115" s="40" t="n"/>
      <c r="F115" s="40" t="n"/>
    </row>
    <row r="116" ht="16" customHeight="1">
      <c r="A116" s="49" t="n"/>
      <c r="B116" s="40" t="n"/>
      <c r="C116" s="42" t="n"/>
      <c r="D116" s="40" t="n"/>
      <c r="E116" s="40" t="n"/>
      <c r="F116" s="40" t="n"/>
    </row>
    <row r="117" ht="16" customHeight="1">
      <c r="A117" s="49" t="n"/>
      <c r="B117" s="40" t="n"/>
      <c r="C117" s="42" t="n"/>
      <c r="D117" s="40" t="n"/>
      <c r="E117" s="40" t="n"/>
      <c r="F117" s="40" t="n"/>
    </row>
    <row r="118" ht="16" customHeight="1">
      <c r="A118" s="49" t="n"/>
      <c r="B118" s="40" t="n"/>
      <c r="C118" s="42" t="n"/>
      <c r="D118" s="40" t="n"/>
      <c r="E118" s="40" t="n"/>
      <c r="F118" s="40" t="n"/>
    </row>
    <row r="119" ht="16" customHeight="1">
      <c r="A119" s="49" t="n"/>
      <c r="B119" s="40" t="n"/>
      <c r="C119" s="42" t="n"/>
      <c r="D119" s="40" t="n"/>
      <c r="E119" s="40" t="n"/>
      <c r="F119" s="40" t="n"/>
    </row>
    <row r="120" ht="16" customHeight="1">
      <c r="A120" s="49" t="n"/>
      <c r="B120" s="40" t="n"/>
      <c r="C120" s="42" t="n"/>
      <c r="D120" s="40" t="n"/>
      <c r="E120" s="40" t="n"/>
      <c r="F120" s="40" t="n"/>
    </row>
    <row r="121" ht="16" customHeight="1">
      <c r="A121" s="49" t="n"/>
      <c r="B121" s="40" t="n"/>
      <c r="C121" s="42" t="n"/>
      <c r="D121" s="40" t="n"/>
      <c r="E121" s="40" t="n"/>
      <c r="F121" s="40" t="n"/>
    </row>
    <row r="122" ht="16" customHeight="1">
      <c r="A122" s="49" t="n"/>
      <c r="B122" s="40" t="n"/>
      <c r="C122" s="42" t="n"/>
      <c r="D122" s="40" t="n"/>
      <c r="E122" s="40" t="n"/>
      <c r="F122" s="40" t="n"/>
    </row>
    <row r="123" ht="16" customHeight="1">
      <c r="A123" s="49" t="n"/>
      <c r="B123" s="40" t="n"/>
      <c r="C123" s="42" t="n"/>
      <c r="D123" s="40" t="n"/>
      <c r="E123" s="40" t="n"/>
      <c r="F123" s="40" t="n"/>
    </row>
    <row r="124" ht="16" customHeight="1">
      <c r="A124" s="49" t="n"/>
      <c r="B124" s="40" t="n"/>
      <c r="C124" s="42" t="n"/>
      <c r="D124" s="40" t="n"/>
      <c r="E124" s="40" t="n"/>
      <c r="F124" s="40" t="n"/>
    </row>
    <row r="125" ht="16" customHeight="1">
      <c r="A125" s="49" t="n"/>
      <c r="B125" s="40" t="n"/>
      <c r="C125" s="42" t="n"/>
      <c r="D125" s="40" t="n"/>
      <c r="E125" s="40" t="n"/>
      <c r="F125" s="40" t="n"/>
    </row>
    <row r="126" ht="16" customHeight="1">
      <c r="A126" s="49" t="n"/>
      <c r="B126" s="40" t="n"/>
      <c r="C126" s="42" t="n"/>
      <c r="D126" s="40" t="n"/>
      <c r="E126" s="40" t="n"/>
      <c r="F126" s="40" t="n"/>
    </row>
    <row r="127" ht="16" customHeight="1">
      <c r="A127" s="49" t="n"/>
      <c r="B127" s="40" t="n"/>
      <c r="C127" s="42" t="n"/>
      <c r="D127" s="40" t="n"/>
      <c r="E127" s="40" t="n"/>
      <c r="F127" s="40" t="n"/>
    </row>
    <row r="128" ht="16" customHeight="1">
      <c r="A128" s="49" t="n"/>
      <c r="B128" s="40" t="n"/>
      <c r="C128" s="42" t="n"/>
      <c r="D128" s="40" t="n"/>
      <c r="E128" s="40" t="n"/>
      <c r="F128" s="40" t="n"/>
    </row>
    <row r="129" ht="16" customHeight="1">
      <c r="A129" s="49" t="n"/>
      <c r="B129" s="40" t="n"/>
      <c r="C129" s="42" t="n"/>
      <c r="D129" s="40" t="n"/>
      <c r="E129" s="40" t="n"/>
      <c r="F129" s="40" t="n"/>
    </row>
    <row r="130" ht="16" customHeight="1">
      <c r="A130" s="49" t="n"/>
      <c r="B130" s="40" t="n"/>
      <c r="C130" s="42" t="n"/>
      <c r="D130" s="40" t="n"/>
      <c r="E130" s="40" t="n"/>
      <c r="F130" s="40" t="n"/>
    </row>
    <row r="131" ht="16" customHeight="1">
      <c r="A131" s="49" t="n"/>
      <c r="B131" s="40" t="n"/>
      <c r="C131" s="42" t="n"/>
      <c r="D131" s="40" t="n"/>
      <c r="E131" s="40" t="n"/>
      <c r="F131" s="40" t="n"/>
    </row>
    <row r="132" ht="16" customHeight="1">
      <c r="A132" s="49" t="n"/>
      <c r="B132" s="40" t="n"/>
      <c r="C132" s="42" t="n"/>
      <c r="D132" s="40" t="n"/>
      <c r="E132" s="40" t="n"/>
      <c r="F132" s="40" t="n"/>
    </row>
    <row r="133" ht="16" customHeight="1">
      <c r="A133" s="49" t="n"/>
      <c r="B133" s="40" t="n"/>
      <c r="C133" s="42" t="n"/>
      <c r="D133" s="40" t="n"/>
      <c r="E133" s="40" t="n"/>
      <c r="F133" s="40" t="n"/>
    </row>
    <row r="134" ht="16" customHeight="1">
      <c r="A134" s="49" t="n"/>
      <c r="B134" s="40" t="n"/>
      <c r="C134" s="42" t="n"/>
      <c r="D134" s="40" t="n"/>
      <c r="E134" s="40" t="n"/>
      <c r="F134" s="40" t="n"/>
    </row>
    <row r="135" ht="16" customHeight="1">
      <c r="A135" s="49" t="n"/>
      <c r="B135" s="40" t="n"/>
      <c r="C135" s="42" t="n"/>
      <c r="D135" s="40" t="n"/>
      <c r="E135" s="40" t="n"/>
      <c r="F135" s="40" t="n"/>
    </row>
    <row r="136" ht="16" customHeight="1">
      <c r="A136" s="49" t="n"/>
      <c r="B136" s="40" t="n"/>
      <c r="C136" s="42" t="n"/>
      <c r="D136" s="40" t="n"/>
      <c r="E136" s="40" t="n"/>
      <c r="F136" s="40" t="n"/>
    </row>
    <row r="137" ht="16" customHeight="1">
      <c r="A137" s="49" t="n"/>
      <c r="B137" s="40" t="n"/>
      <c r="C137" s="42" t="n"/>
      <c r="D137" s="40" t="n"/>
      <c r="E137" s="40" t="n"/>
      <c r="F137" s="40" t="n"/>
    </row>
    <row r="138" ht="16" customHeight="1">
      <c r="A138" s="49" t="n"/>
      <c r="B138" s="40" t="n"/>
      <c r="C138" s="42" t="n"/>
      <c r="D138" s="40" t="n"/>
      <c r="E138" s="40" t="n"/>
      <c r="F138" s="40" t="n"/>
    </row>
    <row r="139" ht="16" customHeight="1">
      <c r="A139" s="49" t="n"/>
      <c r="B139" s="40" t="n"/>
      <c r="C139" s="42" t="n"/>
      <c r="D139" s="40" t="n"/>
      <c r="E139" s="40" t="n"/>
      <c r="F139" s="40" t="n"/>
    </row>
    <row r="140" ht="16" customHeight="1">
      <c r="A140" s="49" t="n"/>
      <c r="B140" s="40" t="n"/>
      <c r="C140" s="42" t="n"/>
      <c r="D140" s="40" t="n"/>
      <c r="E140" s="40" t="n"/>
      <c r="F140" s="40" t="n"/>
    </row>
    <row r="141" ht="16" customHeight="1">
      <c r="A141" s="49" t="n"/>
      <c r="B141" s="40" t="n"/>
      <c r="C141" s="42" t="n"/>
      <c r="D141" s="40" t="n"/>
      <c r="E141" s="40" t="n"/>
      <c r="F141" s="40" t="n"/>
    </row>
    <row r="142" ht="16" customHeight="1">
      <c r="A142" s="49" t="n"/>
      <c r="B142" s="40" t="n"/>
      <c r="C142" s="42" t="n"/>
      <c r="D142" s="40" t="n"/>
      <c r="E142" s="40" t="n"/>
      <c r="F142" s="40" t="n"/>
    </row>
    <row r="143" ht="16" customHeight="1">
      <c r="A143" s="49" t="n"/>
      <c r="B143" s="40" t="n"/>
      <c r="C143" s="42" t="n"/>
      <c r="D143" s="40" t="n"/>
      <c r="E143" s="40" t="n"/>
      <c r="F143" s="40" t="n"/>
    </row>
    <row r="144" ht="16" customHeight="1">
      <c r="A144" s="49" t="n"/>
      <c r="B144" s="40" t="n"/>
      <c r="C144" s="42" t="n"/>
      <c r="D144" s="40" t="n"/>
      <c r="E144" s="40" t="n"/>
      <c r="F144" s="40" t="n"/>
    </row>
    <row r="145" ht="16" customHeight="1">
      <c r="A145" s="49" t="n"/>
      <c r="B145" s="40" t="n"/>
      <c r="C145" s="42" t="n"/>
      <c r="D145" s="40" t="n"/>
      <c r="E145" s="40" t="n"/>
      <c r="F145" s="40" t="n"/>
    </row>
    <row r="146" ht="16" customHeight="1">
      <c r="A146" s="49" t="n"/>
      <c r="B146" s="40" t="n"/>
      <c r="C146" s="42" t="n"/>
      <c r="D146" s="40" t="n"/>
      <c r="E146" s="40" t="n"/>
      <c r="F146" s="40" t="n"/>
    </row>
    <row r="147" ht="16" customHeight="1">
      <c r="A147" s="49" t="n"/>
      <c r="B147" s="40" t="n"/>
      <c r="C147" s="42" t="n"/>
      <c r="D147" s="40" t="n"/>
      <c r="E147" s="40" t="n"/>
      <c r="F147" s="40" t="n"/>
    </row>
    <row r="148" ht="16" customHeight="1">
      <c r="A148" s="49" t="n"/>
      <c r="B148" s="40" t="n"/>
      <c r="C148" s="42" t="n"/>
      <c r="D148" s="40" t="n"/>
      <c r="E148" s="40" t="n"/>
      <c r="F148" s="40" t="n"/>
    </row>
    <row r="149" ht="16" customHeight="1">
      <c r="A149" s="49" t="n"/>
      <c r="B149" s="40" t="n"/>
      <c r="C149" s="42" t="n"/>
      <c r="D149" s="40" t="n"/>
      <c r="E149" s="40" t="n"/>
      <c r="F149" s="40" t="n"/>
    </row>
    <row r="150" ht="16" customHeight="1">
      <c r="A150" s="49" t="n"/>
      <c r="B150" s="40" t="n"/>
      <c r="C150" s="42" t="n"/>
      <c r="D150" s="40" t="n"/>
      <c r="E150" s="40" t="n"/>
      <c r="F150" s="40" t="n"/>
    </row>
    <row r="151" ht="16" customHeight="1">
      <c r="A151" s="49" t="n"/>
      <c r="B151" s="40" t="n"/>
      <c r="C151" s="42" t="n"/>
      <c r="D151" s="40" t="n"/>
      <c r="E151" s="40" t="n"/>
      <c r="F151" s="40" t="n"/>
    </row>
    <row r="152" ht="16" customHeight="1">
      <c r="A152" s="49" t="n"/>
      <c r="B152" s="40" t="n"/>
      <c r="C152" s="42" t="n"/>
      <c r="D152" s="40" t="n"/>
      <c r="E152" s="40" t="n"/>
      <c r="F152" s="40" t="n"/>
    </row>
    <row r="153" ht="16" customHeight="1">
      <c r="A153" s="49" t="n"/>
      <c r="B153" s="40" t="n"/>
      <c r="C153" s="42" t="n"/>
      <c r="D153" s="40" t="n"/>
      <c r="E153" s="40" t="n"/>
      <c r="F153" s="40" t="n"/>
    </row>
    <row r="154" ht="16" customHeight="1">
      <c r="A154" s="49" t="n"/>
      <c r="B154" s="40" t="n"/>
      <c r="C154" s="42" t="n"/>
      <c r="D154" s="40" t="n"/>
      <c r="E154" s="40" t="n"/>
      <c r="F154" s="40" t="n"/>
    </row>
    <row r="155" ht="16" customHeight="1">
      <c r="A155" s="49" t="n"/>
      <c r="B155" s="40" t="n"/>
      <c r="C155" s="42" t="n"/>
      <c r="D155" s="40" t="n"/>
      <c r="E155" s="40" t="n"/>
      <c r="F155" s="40" t="n"/>
    </row>
    <row r="156" ht="16" customHeight="1">
      <c r="A156" s="49" t="n"/>
      <c r="B156" s="40" t="n"/>
      <c r="C156" s="42" t="n"/>
      <c r="D156" s="40" t="n"/>
      <c r="E156" s="40" t="n"/>
      <c r="F156" s="40" t="n"/>
    </row>
    <row r="157" ht="16" customHeight="1">
      <c r="A157" s="49" t="n"/>
      <c r="B157" s="40" t="n"/>
      <c r="C157" s="42" t="n"/>
      <c r="D157" s="40" t="n"/>
      <c r="E157" s="40" t="n"/>
      <c r="F157" s="40" t="n"/>
    </row>
    <row r="158" ht="16" customHeight="1">
      <c r="A158" s="49" t="n"/>
      <c r="B158" s="40" t="n"/>
      <c r="C158" s="42" t="n"/>
      <c r="D158" s="40" t="n"/>
      <c r="E158" s="40" t="n"/>
      <c r="F158" s="40" t="n"/>
    </row>
    <row r="159" ht="16" customHeight="1">
      <c r="A159" s="49" t="n"/>
      <c r="B159" s="40" t="n"/>
      <c r="C159" s="42" t="n"/>
      <c r="D159" s="40" t="n"/>
      <c r="E159" s="40" t="n"/>
      <c r="F159" s="40" t="n"/>
    </row>
    <row r="160" ht="16" customHeight="1">
      <c r="A160" s="49" t="n"/>
      <c r="B160" s="40" t="n"/>
      <c r="C160" s="42" t="n"/>
      <c r="D160" s="40" t="n"/>
      <c r="E160" s="40" t="n"/>
      <c r="F160" s="40" t="n"/>
    </row>
    <row r="161" ht="16" customHeight="1">
      <c r="A161" s="49" t="n"/>
      <c r="B161" s="40" t="n"/>
      <c r="C161" s="42" t="n"/>
      <c r="D161" s="40" t="n"/>
      <c r="E161" s="40" t="n"/>
      <c r="F161" s="40" t="n"/>
    </row>
    <row r="162" ht="16" customHeight="1">
      <c r="A162" s="49" t="n"/>
      <c r="B162" s="40" t="n"/>
      <c r="C162" s="42" t="n"/>
      <c r="D162" s="40" t="n"/>
      <c r="E162" s="40" t="n"/>
      <c r="F162" s="40" t="n"/>
    </row>
    <row r="163" ht="16" customHeight="1">
      <c r="A163" s="49" t="n"/>
      <c r="B163" s="40" t="n"/>
      <c r="C163" s="42" t="n"/>
      <c r="D163" s="40" t="n"/>
      <c r="E163" s="40" t="n"/>
      <c r="F163" s="40" t="n"/>
    </row>
    <row r="164" ht="16" customHeight="1">
      <c r="A164" s="49" t="n"/>
      <c r="B164" s="40" t="n"/>
      <c r="C164" s="42" t="n"/>
      <c r="D164" s="40" t="n"/>
      <c r="E164" s="40" t="n"/>
      <c r="F164" s="40" t="n"/>
    </row>
    <row r="165" ht="16" customHeight="1">
      <c r="A165" s="49" t="n"/>
      <c r="B165" s="40" t="n"/>
      <c r="C165" s="42" t="n"/>
      <c r="D165" s="40" t="n"/>
      <c r="E165" s="40" t="n"/>
      <c r="F165" s="40" t="n"/>
    </row>
    <row r="166" ht="16" customHeight="1">
      <c r="A166" s="49" t="n"/>
      <c r="B166" s="40" t="n"/>
      <c r="C166" s="42" t="n"/>
      <c r="D166" s="40" t="n"/>
      <c r="E166" s="40" t="n"/>
      <c r="F166" s="40" t="n"/>
    </row>
    <row r="167" ht="16" customHeight="1">
      <c r="A167" s="49" t="n"/>
      <c r="B167" s="40" t="n"/>
      <c r="C167" s="42" t="n"/>
      <c r="D167" s="40" t="n"/>
      <c r="E167" s="40" t="n"/>
      <c r="F167" s="40" t="n"/>
    </row>
    <row r="168" ht="16" customHeight="1">
      <c r="A168" s="49" t="n"/>
      <c r="B168" s="40" t="n"/>
      <c r="C168" s="42" t="n"/>
      <c r="D168" s="40" t="n"/>
      <c r="E168" s="40" t="n"/>
      <c r="F168" s="40" t="n"/>
    </row>
    <row r="169" ht="16" customHeight="1">
      <c r="A169" s="49" t="n"/>
      <c r="B169" s="40" t="n"/>
      <c r="C169" s="42" t="n"/>
      <c r="D169" s="40" t="n"/>
      <c r="E169" s="40" t="n"/>
      <c r="F169" s="40" t="n"/>
    </row>
    <row r="170" ht="16" customHeight="1">
      <c r="A170" s="49" t="n"/>
      <c r="B170" s="40" t="n"/>
      <c r="C170" s="42" t="n"/>
      <c r="D170" s="40" t="n"/>
      <c r="E170" s="40" t="n"/>
      <c r="F170" s="40" t="n"/>
    </row>
    <row r="171" ht="16" customHeight="1">
      <c r="A171" s="49" t="n"/>
      <c r="B171" s="40" t="n"/>
      <c r="C171" s="42" t="n"/>
      <c r="D171" s="40" t="n"/>
      <c r="E171" s="40" t="n"/>
      <c r="F171" s="40" t="n"/>
    </row>
    <row r="172" ht="16" customHeight="1">
      <c r="A172" s="49" t="n"/>
      <c r="B172" s="40" t="n"/>
      <c r="C172" s="42" t="n"/>
      <c r="D172" s="40" t="n"/>
      <c r="E172" s="40" t="n"/>
      <c r="F172" s="40" t="n"/>
    </row>
    <row r="173" ht="16" customHeight="1">
      <c r="A173" s="49" t="n"/>
      <c r="B173" s="40" t="n"/>
      <c r="C173" s="42" t="n"/>
      <c r="D173" s="40" t="n"/>
      <c r="E173" s="40" t="n"/>
      <c r="F173" s="40" t="n"/>
    </row>
    <row r="174" ht="16" customHeight="1">
      <c r="A174" s="49" t="n"/>
      <c r="B174" s="40" t="n"/>
      <c r="C174" s="42" t="n"/>
      <c r="D174" s="40" t="n"/>
      <c r="E174" s="40" t="n"/>
      <c r="F174" s="40" t="n"/>
    </row>
    <row r="175" ht="16" customHeight="1">
      <c r="A175" s="49" t="n"/>
      <c r="B175" s="40" t="n"/>
      <c r="C175" s="42" t="n"/>
      <c r="D175" s="40" t="n"/>
      <c r="E175" s="40" t="n"/>
      <c r="F175" s="40" t="n"/>
    </row>
    <row r="176" ht="16" customHeight="1">
      <c r="A176" s="49" t="n"/>
      <c r="B176" s="40" t="n"/>
      <c r="C176" s="42" t="n"/>
      <c r="D176" s="40" t="n"/>
      <c r="E176" s="40" t="n"/>
      <c r="F176" s="40" t="n"/>
    </row>
    <row r="177" ht="16" customHeight="1">
      <c r="A177" s="49" t="n"/>
      <c r="B177" s="40" t="n"/>
      <c r="C177" s="42" t="n"/>
      <c r="D177" s="40" t="n"/>
      <c r="E177" s="40" t="n"/>
      <c r="F177" s="40" t="n"/>
    </row>
    <row r="178" ht="16" customHeight="1">
      <c r="A178" s="49" t="n"/>
      <c r="B178" s="40" t="n"/>
      <c r="C178" s="42" t="n"/>
      <c r="D178" s="40" t="n"/>
      <c r="E178" s="40" t="n"/>
      <c r="F178" s="40" t="n"/>
    </row>
    <row r="179" ht="16" customHeight="1">
      <c r="A179" s="49" t="n"/>
      <c r="B179" s="40" t="n"/>
      <c r="C179" s="42" t="n"/>
      <c r="D179" s="40" t="n"/>
      <c r="E179" s="40" t="n"/>
      <c r="F179" s="40" t="n"/>
    </row>
    <row r="180" ht="16" customHeight="1">
      <c r="A180" s="49" t="n"/>
      <c r="B180" s="40" t="n"/>
      <c r="C180" s="42" t="n"/>
      <c r="D180" s="40" t="n"/>
      <c r="E180" s="40" t="n"/>
      <c r="F180" s="40" t="n"/>
    </row>
    <row r="181" ht="16" customHeight="1">
      <c r="A181" s="49" t="n"/>
      <c r="B181" s="40" t="n"/>
      <c r="C181" s="42" t="n"/>
      <c r="D181" s="40" t="n"/>
      <c r="E181" s="40" t="n"/>
      <c r="F181" s="40" t="n"/>
    </row>
    <row r="182" ht="16" customHeight="1">
      <c r="A182" s="49" t="n"/>
      <c r="B182" s="40" t="n"/>
      <c r="C182" s="42" t="n"/>
      <c r="D182" s="40" t="n"/>
      <c r="E182" s="40" t="n"/>
      <c r="F182" s="40" t="n"/>
    </row>
    <row r="183" ht="16" customHeight="1">
      <c r="A183" s="49" t="n"/>
      <c r="B183" s="40" t="n"/>
      <c r="C183" s="42" t="n"/>
      <c r="D183" s="40" t="n"/>
      <c r="E183" s="40" t="n"/>
      <c r="F183" s="40" t="n"/>
    </row>
    <row r="184" ht="16" customHeight="1">
      <c r="A184" s="49" t="n"/>
      <c r="B184" s="40" t="n"/>
      <c r="C184" s="42" t="n"/>
      <c r="D184" s="40" t="n"/>
      <c r="E184" s="40" t="n"/>
      <c r="F184" s="40" t="n"/>
    </row>
    <row r="185" ht="16" customHeight="1">
      <c r="A185" s="49" t="n"/>
      <c r="B185" s="40" t="n"/>
      <c r="C185" s="42" t="n"/>
      <c r="D185" s="40" t="n"/>
      <c r="E185" s="40" t="n"/>
      <c r="F185" s="40" t="n"/>
    </row>
    <row r="186" ht="16" customHeight="1">
      <c r="A186" s="49" t="n"/>
      <c r="B186" s="40" t="n"/>
      <c r="C186" s="42" t="n"/>
      <c r="D186" s="40" t="n"/>
      <c r="E186" s="40" t="n"/>
      <c r="F186" s="40" t="n"/>
    </row>
    <row r="187" ht="16" customHeight="1">
      <c r="A187" s="49" t="n"/>
      <c r="B187" s="40" t="n"/>
      <c r="C187" s="42" t="n"/>
      <c r="D187" s="40" t="n"/>
      <c r="E187" s="40" t="n"/>
      <c r="F187" s="40" t="n"/>
    </row>
    <row r="188" ht="16" customHeight="1">
      <c r="A188" s="49" t="n"/>
      <c r="B188" s="40" t="n"/>
      <c r="C188" s="42" t="n"/>
      <c r="D188" s="40" t="n"/>
      <c r="E188" s="40" t="n"/>
      <c r="F188" s="40" t="n"/>
    </row>
    <row r="189" ht="16" customHeight="1">
      <c r="A189" s="49" t="n"/>
      <c r="B189" s="40" t="n"/>
      <c r="C189" s="42" t="n"/>
      <c r="D189" s="40" t="n"/>
      <c r="E189" s="40" t="n"/>
      <c r="F189" s="40" t="n"/>
    </row>
    <row r="190" ht="16" customHeight="1">
      <c r="A190" s="49" t="n"/>
      <c r="B190" s="40" t="n"/>
      <c r="C190" s="42" t="n"/>
      <c r="D190" s="40" t="n"/>
      <c r="E190" s="40" t="n"/>
      <c r="F190" s="40" t="n"/>
    </row>
    <row r="191" ht="16" customHeight="1">
      <c r="A191" s="49" t="n"/>
      <c r="B191" s="40" t="n"/>
      <c r="C191" s="42" t="n"/>
      <c r="D191" s="40" t="n"/>
      <c r="E191" s="40" t="n"/>
      <c r="F191" s="40" t="n"/>
    </row>
    <row r="192" ht="16" customHeight="1">
      <c r="A192" s="49" t="n"/>
      <c r="B192" s="40" t="n"/>
      <c r="C192" s="42" t="n"/>
      <c r="D192" s="40" t="n"/>
      <c r="E192" s="40" t="n"/>
      <c r="F192" s="40" t="n"/>
    </row>
    <row r="193" ht="16" customHeight="1">
      <c r="A193" s="49" t="n"/>
      <c r="B193" s="40" t="n"/>
      <c r="C193" s="42" t="n"/>
      <c r="D193" s="40" t="n"/>
      <c r="E193" s="40" t="n"/>
      <c r="F193" s="40" t="n"/>
    </row>
    <row r="194" ht="16" customHeight="1">
      <c r="A194" s="49" t="n"/>
      <c r="B194" s="40" t="n"/>
      <c r="C194" s="42" t="n"/>
      <c r="D194" s="40" t="n"/>
      <c r="E194" s="40" t="n"/>
      <c r="F194" s="40" t="n"/>
    </row>
    <row r="195" ht="16" customHeight="1">
      <c r="A195" s="49" t="n"/>
      <c r="B195" s="40" t="n"/>
      <c r="C195" s="42" t="n"/>
      <c r="D195" s="40" t="n"/>
      <c r="E195" s="40" t="n"/>
      <c r="F195" s="40" t="n"/>
    </row>
    <row r="196" ht="16" customHeight="1">
      <c r="A196" s="49" t="n"/>
      <c r="B196" s="40" t="n"/>
      <c r="C196" s="42" t="n"/>
      <c r="D196" s="40" t="n"/>
      <c r="E196" s="40" t="n"/>
      <c r="F196" s="40" t="n"/>
    </row>
    <row r="197" ht="16" customHeight="1">
      <c r="A197" s="49" t="n"/>
      <c r="B197" s="40" t="n"/>
      <c r="C197" s="42" t="n"/>
      <c r="D197" s="40" t="n"/>
      <c r="E197" s="40" t="n"/>
      <c r="F197" s="40" t="n"/>
    </row>
    <row r="198" ht="16" customHeight="1">
      <c r="A198" s="49" t="n"/>
      <c r="B198" s="40" t="n"/>
      <c r="C198" s="42" t="n"/>
      <c r="D198" s="40" t="n"/>
      <c r="E198" s="40" t="n"/>
      <c r="F198" s="40" t="n"/>
    </row>
    <row r="199" ht="16" customHeight="1">
      <c r="A199" s="49" t="n"/>
      <c r="B199" s="40" t="n"/>
      <c r="C199" s="42" t="n"/>
      <c r="D199" s="40" t="n"/>
      <c r="E199" s="40" t="n"/>
      <c r="F199" s="40" t="n"/>
    </row>
    <row r="200" ht="16" customHeight="1">
      <c r="A200" s="49" t="n"/>
      <c r="B200" s="40" t="n"/>
      <c r="C200" s="42" t="n"/>
      <c r="D200" s="40" t="n"/>
      <c r="E200" s="40" t="n"/>
      <c r="F200" s="40" t="n"/>
    </row>
    <row r="201" ht="16" customHeight="1">
      <c r="A201" s="49" t="n"/>
      <c r="B201" s="40" t="n"/>
      <c r="C201" s="42" t="n"/>
      <c r="D201" s="40" t="n"/>
      <c r="E201" s="40" t="n"/>
      <c r="F201" s="40" t="n"/>
    </row>
    <row r="202" ht="16" customHeight="1">
      <c r="A202" s="49" t="n"/>
      <c r="B202" s="40" t="n"/>
      <c r="C202" s="42" t="n"/>
      <c r="D202" s="40" t="n"/>
      <c r="E202" s="40" t="n"/>
      <c r="F202" s="40" t="n"/>
    </row>
    <row r="203" ht="16" customHeight="1">
      <c r="A203" s="49" t="n"/>
      <c r="B203" s="40" t="n"/>
      <c r="C203" s="42" t="n"/>
      <c r="D203" s="40" t="n"/>
      <c r="E203" s="40" t="n"/>
      <c r="F203" s="40" t="n"/>
    </row>
    <row r="204" ht="16" customHeight="1">
      <c r="A204" s="49" t="n"/>
      <c r="B204" s="40" t="n"/>
      <c r="C204" s="42" t="n"/>
      <c r="D204" s="40" t="n"/>
      <c r="E204" s="40" t="n"/>
      <c r="F204" s="40" t="n"/>
    </row>
    <row r="205" ht="16" customHeight="1">
      <c r="A205" s="49" t="n"/>
      <c r="B205" s="40" t="n"/>
      <c r="C205" s="42" t="n"/>
      <c r="D205" s="40" t="n"/>
      <c r="E205" s="40" t="n"/>
      <c r="F205" s="40" t="n"/>
    </row>
  </sheetData>
  <mergeCells count="4">
    <mergeCell ref="J2:L2"/>
    <mergeCell ref="D2:I2"/>
    <mergeCell ref="A2:C2"/>
    <mergeCell ref="A4:L4"/>
  </mergeCells>
  <dataValidations count="2">
    <dataValidation sqref="B6:B205" showDropDown="0" showInputMessage="0" showErrorMessage="0" allowBlank="1" type="list">
      <formula1>=Partners!$B$6:$B$13</formula1>
    </dataValidation>
    <dataValidation sqref="D6:D205" showDropDown="0" showInputMessage="0" showErrorMessage="0" allowBlank="1" type="list">
      <formula1>"Cash,Property,In-kind,Tax distribution,Liquidating"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8" customWidth="1" min="4" max="4"/>
    <col width="22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HYPERLINK("#'Distributions'!A1", "← BACK")</f>
        <v/>
      </c>
      <c r="B2" s="12" t="n"/>
      <c r="C2" s="12" t="n"/>
      <c r="D2" s="36" t="inlineStr">
        <is>
          <t>P&amp;L ALLOCATION · FOR YOUR CPA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📄 FOR YOUR CPA — annual partnership net income allocated by ownership %.</t>
        </is>
      </c>
    </row>
    <row r="5" ht="20" customHeight="1">
      <c r="A5" s="50" t="inlineStr">
        <is>
          <t>Annual partnership net income:</t>
        </is>
      </c>
      <c r="B5" s="42" t="n">
        <v>36000</v>
      </c>
    </row>
    <row r="6" ht="20" customHeight="1">
      <c r="A6" s="50" t="inlineStr">
        <is>
          <t>Special allocations (e.g., guaranteed payments):</t>
        </is>
      </c>
      <c r="B6" s="42" t="n">
        <v>0</v>
      </c>
    </row>
    <row r="7" ht="22" customHeight="1">
      <c r="A7" s="38" t="inlineStr">
        <is>
          <t>Partner</t>
        </is>
      </c>
      <c r="B7" s="38" t="inlineStr">
        <is>
          <t>Ownership %</t>
        </is>
      </c>
      <c r="C7" s="38" t="inlineStr">
        <is>
          <t>Pro-rata share</t>
        </is>
      </c>
      <c r="D7" s="38" t="inlineStr">
        <is>
          <t>Final allocated income</t>
        </is>
      </c>
      <c r="E7" s="38" t="inlineStr">
        <is>
          <t>Notes</t>
        </is>
      </c>
    </row>
    <row r="8" ht="18" customHeight="1">
      <c r="A8" s="51">
        <f>IF(Partners!B6="","",Partners!B6)</f>
        <v/>
      </c>
      <c r="B8" s="52">
        <f>IF(Partners!B6="","",Partners!D6)</f>
        <v/>
      </c>
      <c r="C8" s="43">
        <f>IF(A8="","",($B$5-$B$6)*B8)</f>
        <v/>
      </c>
      <c r="D8" s="44">
        <f>IF(A8="","",C8)</f>
        <v/>
      </c>
      <c r="E8" s="40" t="n"/>
    </row>
    <row r="9" ht="18" customHeight="1">
      <c r="A9" s="51">
        <f>IF(Partners!B7="","",Partners!B7)</f>
        <v/>
      </c>
      <c r="B9" s="52">
        <f>IF(Partners!B7="","",Partners!D7)</f>
        <v/>
      </c>
      <c r="C9" s="43">
        <f>IF(A9="","",($B$5-$B$6)*B9)</f>
        <v/>
      </c>
      <c r="D9" s="44">
        <f>IF(A9="","",C9)</f>
        <v/>
      </c>
      <c r="E9" s="40" t="n"/>
    </row>
    <row r="10" ht="18" customHeight="1">
      <c r="A10" s="51">
        <f>IF(Partners!B8="","",Partners!B8)</f>
        <v/>
      </c>
      <c r="B10" s="52">
        <f>IF(Partners!B8="","",Partners!D8)</f>
        <v/>
      </c>
      <c r="C10" s="43">
        <f>IF(A10="","",($B$5-$B$6)*B10)</f>
        <v/>
      </c>
      <c r="D10" s="44">
        <f>IF(A10="","",C10)</f>
        <v/>
      </c>
      <c r="E10" s="40" t="n"/>
    </row>
    <row r="11" ht="18" customHeight="1">
      <c r="A11" s="51">
        <f>IF(Partners!B9="","",Partners!B9)</f>
        <v/>
      </c>
      <c r="B11" s="52">
        <f>IF(Partners!B9="","",Partners!D9)</f>
        <v/>
      </c>
      <c r="C11" s="43">
        <f>IF(A11="","",($B$5-$B$6)*B11)</f>
        <v/>
      </c>
      <c r="D11" s="44">
        <f>IF(A11="","",C11)</f>
        <v/>
      </c>
      <c r="E11" s="40" t="n"/>
    </row>
    <row r="12" ht="18" customHeight="1">
      <c r="A12" s="51">
        <f>IF(Partners!B10="","",Partners!B10)</f>
        <v/>
      </c>
      <c r="B12" s="52">
        <f>IF(Partners!B10="","",Partners!D10)</f>
        <v/>
      </c>
      <c r="C12" s="43">
        <f>IF(A12="","",($B$5-$B$6)*B12)</f>
        <v/>
      </c>
      <c r="D12" s="44">
        <f>IF(A12="","",C12)</f>
        <v/>
      </c>
      <c r="E12" s="40" t="n"/>
    </row>
    <row r="13" ht="18" customHeight="1">
      <c r="A13" s="51">
        <f>IF(Partners!B11="","",Partners!B11)</f>
        <v/>
      </c>
      <c r="B13" s="52">
        <f>IF(Partners!B11="","",Partners!D11)</f>
        <v/>
      </c>
      <c r="C13" s="43">
        <f>IF(A13="","",($B$5-$B$6)*B13)</f>
        <v/>
      </c>
      <c r="D13" s="44">
        <f>IF(A13="","",C13)</f>
        <v/>
      </c>
      <c r="E13" s="40" t="n"/>
    </row>
    <row r="14" ht="18" customHeight="1">
      <c r="A14" s="51">
        <f>IF(Partners!B12="","",Partners!B12)</f>
        <v/>
      </c>
      <c r="B14" s="52">
        <f>IF(Partners!B12="","",Partners!D12)</f>
        <v/>
      </c>
      <c r="C14" s="43">
        <f>IF(A14="","",($B$5-$B$6)*B14)</f>
        <v/>
      </c>
      <c r="D14" s="44">
        <f>IF(A14="","",C14)</f>
        <v/>
      </c>
      <c r="E14" s="40" t="n"/>
    </row>
    <row r="15" ht="18" customHeight="1">
      <c r="A15" s="51">
        <f>IF(Partners!B13="","",Partners!B13)</f>
        <v/>
      </c>
      <c r="B15" s="52">
        <f>IF(Partners!B13="","",Partners!D13)</f>
        <v/>
      </c>
      <c r="C15" s="43">
        <f>IF(A15="","",($B$5-$B$6)*B15)</f>
        <v/>
      </c>
      <c r="D15" s="44">
        <f>IF(A15="","",C15)</f>
        <v/>
      </c>
      <c r="E15" s="40" t="n"/>
    </row>
    <row r="16" ht="20" customHeight="1">
      <c r="A16" s="53" t="inlineStr">
        <is>
          <t>TOTAL</t>
        </is>
      </c>
      <c r="B16" s="54">
        <f>SUM(B8:B15)</f>
        <v/>
      </c>
      <c r="C16" s="44">
        <f>SUM(C8:C15)</f>
        <v/>
      </c>
      <c r="D16" s="44">
        <f>SUM(D8:D15)</f>
        <v/>
      </c>
    </row>
  </sheetData>
  <mergeCells count="4">
    <mergeCell ref="J2:L2"/>
    <mergeCell ref="D2:I2"/>
    <mergeCell ref="A2:C2"/>
    <mergeCell ref="A4:L4"/>
  </mergeCells>
  <conditionalFormatting sqref="B16">
    <cfRule type="expression" priority="1" dxfId="0">
      <formula>ROUND(B16,4)&lt;&gt;1</formula>
    </cfRule>
  </conditionalFormatting>
  <pageMargins left="0.4" right="0.4" top="0.5" bottom="0.5" header="0.5" footer="0.5"/>
  <pageSetup orientation="portrait" paperSize="1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14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HYPERLINK("#'P&amp;L Allocation'!A1", "← BACK")</f>
        <v/>
      </c>
      <c r="B2" s="12" t="n"/>
      <c r="C2" s="12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Active tax year · partnership info · allocation method</t>
        </is>
      </c>
    </row>
    <row r="5" ht="20" customHeight="1">
      <c r="A5" s="50" t="inlineStr">
        <is>
          <t>Active tax year:</t>
        </is>
      </c>
      <c r="B5" s="55" t="n">
        <v>2026</v>
      </c>
    </row>
    <row r="6" ht="28" customHeight="1">
      <c r="A6" s="56" t="inlineStr">
        <is>
          <t>Active year drives every YTD calculation and the K-1 Item L summary. Update each January when starting a new tax year.</t>
        </is>
      </c>
    </row>
    <row r="7" ht="20" customHeight="1">
      <c r="A7" s="50" t="inlineStr">
        <is>
          <t>Partnership name:</t>
        </is>
      </c>
      <c r="B7" s="40" t="inlineStr">
        <is>
          <t>Smokies Ridge Holdings LLC</t>
        </is>
      </c>
    </row>
    <row r="9" ht="20" customHeight="1">
      <c r="A9" s="50" t="inlineStr">
        <is>
          <t>EIN:</t>
        </is>
      </c>
      <c r="B9" s="40" t="inlineStr">
        <is>
          <t>XX-XXXXXXX</t>
        </is>
      </c>
    </row>
    <row r="11" ht="20" customHeight="1">
      <c r="A11" s="50" t="inlineStr">
        <is>
          <t>Allocation method:</t>
        </is>
      </c>
      <c r="B11" s="40" t="inlineStr">
        <is>
          <t>Pro-rata by ownership</t>
        </is>
      </c>
    </row>
    <row r="13" ht="20" customHeight="1">
      <c r="A13" s="50" t="inlineStr">
        <is>
          <t>Partner count (auto):</t>
        </is>
      </c>
      <c r="B13" s="57">
        <f>COUNTA(Partners!B6:B13)</f>
        <v/>
      </c>
    </row>
    <row r="14" ht="10" customHeight="1"/>
    <row r="15" ht="22" customHeight="1">
      <c r="A15" s="47" t="inlineStr">
        <is>
          <t>K-1 Item L summary (per partner)</t>
        </is>
      </c>
    </row>
    <row r="16" ht="28" customHeight="1">
      <c r="A16" s="58" t="inlineStr">
        <is>
          <t>These five numbers per partner go directly to K-1 Item L. See the Partners tab for the live values.</t>
        </is>
      </c>
    </row>
    <row r="17" ht="18" customHeight="1">
      <c r="A17" s="50" t="inlineStr">
        <is>
          <t>Beginning capital (total):</t>
        </is>
      </c>
      <c r="B17" s="59">
        <f>SUM(Partners!E6:Partners!E13)</f>
        <v/>
      </c>
    </row>
    <row r="18" ht="18" customHeight="1">
      <c r="A18" s="50" t="inlineStr">
        <is>
          <t>Contributions (total):</t>
        </is>
      </c>
      <c r="B18" s="59">
        <f>SUM(Partners!F6:Partners!F13)</f>
        <v/>
      </c>
    </row>
    <row r="19" ht="18" customHeight="1">
      <c r="A19" s="50" t="inlineStr">
        <is>
          <t>Profit allocated (total):</t>
        </is>
      </c>
      <c r="B19" s="59">
        <f>SUM(Partners!G6:Partners!G13)</f>
        <v/>
      </c>
    </row>
    <row r="20" ht="18" customHeight="1">
      <c r="A20" s="50" t="inlineStr">
        <is>
          <t>Distributions (total):</t>
        </is>
      </c>
      <c r="B20" s="59">
        <f>SUM(Partners!H6:Partners!H13)</f>
        <v/>
      </c>
    </row>
    <row r="21" ht="18" customHeight="1">
      <c r="A21" s="50" t="inlineStr">
        <is>
          <t>Ending capital (total):</t>
        </is>
      </c>
      <c r="B21" s="59">
        <f>SUM(Partners!I6:Partners!I13)</f>
        <v/>
      </c>
    </row>
  </sheetData>
  <mergeCells count="5">
    <mergeCell ref="D2:L2"/>
    <mergeCell ref="A6:D6"/>
    <mergeCell ref="A16:D16"/>
    <mergeCell ref="A2:C2"/>
    <mergeCell ref="A4:L4"/>
  </mergeCells>
  <dataValidations count="1">
    <dataValidation sqref="B11" showDropDown="0" showInputMessage="0" showErrorMessage="0" allowBlank="1" type="list">
      <formula1>"Pro-rata by ownership,Special allocation per agreement"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Partnership Distribution Tracker (DEMO) — The STR Ledger</dc:title>
  <dc:description xmlns:dc="http://purl.org/dc/elements/1.1/">Partnership distribution tracker: capital contributions, P&amp;L allocation by ownership %, distributions, and K-1 Item L ending-capital figures for STR LLCs taxed as partnerships (v2.3).</dc:description>
  <dcterms:created xmlns:dcterms="http://purl.org/dc/terms/" xmlns:xsi="http://www.w3.org/2001/XMLSchema-instance" xsi:type="dcterms:W3CDTF">2026-05-03T19:05:41Z</dcterms:created>
  <dcterms:modified xmlns:dcterms="http://purl.org/dc/terms/" xmlns:xsi="http://www.w3.org/2001/XMLSchema-instance" xsi:type="dcterms:W3CDTF">2026-05-03T19:05:41Z</dcterms:modified>
</cp:coreProperties>
</file>