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Listing Inputs" sheetId="2" state="visible" r:id="rId2"/>
    <sheet xmlns:r="http://schemas.openxmlformats.org/officeDocument/2006/relationships" name="Audit Score" sheetId="3" state="visible" r:id="rId3"/>
    <sheet xmlns:r="http://schemas.openxmlformats.org/officeDocument/2006/relationships" name="Comp Compare" sheetId="4" state="visible" r:id="rId4"/>
    <sheet xmlns:r="http://schemas.openxmlformats.org/officeDocument/2006/relationships" name="Methodology" sheetId="5" state="visible" r:id="rId5"/>
    <sheet xmlns:r="http://schemas.openxmlformats.org/officeDocument/2006/relationships" name="Re-audit Tracker" sheetId="6" state="visible" r:id="rId6"/>
  </sheets>
  <definedNames>
    <definedName name="_xlnm.Print_Area" localSheetId="0">'Start'!$A$1:$L$46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+0;-0;0"/>
  </numFmts>
  <fonts count="40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6"/>
    </font>
    <font>
      <name val="Consolas"/>
      <b val="1"/>
      <color rgb="0012304E"/>
      <sz val="10"/>
    </font>
    <font>
      <name val="Georgia"/>
      <b val="1"/>
      <color rgb="0012304E"/>
      <sz val="42"/>
    </font>
    <font>
      <name val="Georgia"/>
      <b val="1"/>
      <color rgb="0012304E"/>
      <sz val="14"/>
    </font>
    <font>
      <name val="Consolas"/>
      <b val="1"/>
      <color rgb="006B7280"/>
      <sz val="8"/>
    </font>
    <font>
      <name val="Georgia"/>
      <b val="1"/>
      <color rgb="00C9A24B"/>
      <sz val="14"/>
    </font>
    <font>
      <name val="Consolas"/>
      <b val="1"/>
      <color rgb="00F6EFE2"/>
      <sz val="10"/>
    </font>
    <font>
      <name val="Calibri"/>
      <b val="1"/>
      <color rgb="0012304E"/>
      <sz val="11"/>
    </font>
    <font>
      <name val="Calibri"/>
      <i val="1"/>
      <color rgb="002B2B2B"/>
      <sz val="10"/>
    </font>
    <font>
      <name val="Calibri"/>
      <b val="1"/>
      <color rgb="002B2B2B"/>
      <sz val="11"/>
    </font>
    <font>
      <name val="Georgia"/>
      <b val="1"/>
      <color rgb="00C9A24B"/>
      <sz val="12"/>
    </font>
    <font>
      <name val="Calibri"/>
      <i val="1"/>
      <color rgb="006B7280"/>
      <sz val="9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Georgia"/>
      <b val="1"/>
      <color rgb="00F6EFE2"/>
      <sz val="12"/>
    </font>
    <font>
      <name val="Calibri"/>
      <color rgb="002B2B2B"/>
      <sz val="11"/>
    </font>
    <font>
      <name val="Consolas"/>
      <b val="1"/>
      <color rgb="00FFFFFF"/>
      <sz val="9"/>
    </font>
    <font>
      <name val="Consolas"/>
      <b val="1"/>
      <color rgb="0012304E"/>
      <sz val="9"/>
    </font>
    <font>
      <name val="Consolas"/>
      <color rgb="006B7280"/>
      <sz val="10"/>
    </font>
    <font>
      <name val="Calibri"/>
      <i val="1"/>
      <color rgb="002B2B2B"/>
      <sz val="11"/>
    </font>
    <font>
      <name val="Calibri"/>
      <b val="1"/>
      <color rgb="006B7280"/>
      <sz val="11"/>
    </font>
    <font>
      <name val="Calibri"/>
      <b val="1"/>
      <color rgb="00C9A24B"/>
      <sz val="11"/>
    </font>
    <font>
      <name val="Georgia"/>
      <b val="1"/>
      <color rgb="0012304E"/>
      <sz val="12"/>
    </font>
    <font>
      <name val="Georgia"/>
      <b val="1"/>
      <color rgb="00C9A24B"/>
      <sz val="20"/>
    </font>
    <font>
      <name val="Calibri"/>
      <color rgb="006B7280"/>
      <sz val="8"/>
    </font>
    <font>
      <name val="Calibri"/>
      <color rgb="002B2B2B"/>
      <sz val="10"/>
    </font>
    <font>
      <name val="Georgia"/>
      <b val="1"/>
      <color rgb="00C9A24B"/>
      <sz val="11"/>
    </font>
    <font>
      <name val="Calibri"/>
      <b val="1"/>
      <color rgb="0012304E"/>
      <sz val="10"/>
    </font>
    <font>
      <name val="Consolas"/>
      <color rgb="006B7280"/>
      <sz val="9"/>
    </font>
    <font>
      <name val="Calibri"/>
      <color rgb="006B7280"/>
      <sz val="9"/>
    </font>
    <font>
      <name val="Calibri"/>
      <i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" fontId="10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indent="2"/>
    </xf>
    <xf numFmtId="0" fontId="10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wrapText="1" indent="1"/>
    </xf>
    <xf numFmtId="0" fontId="13" fillId="3" borderId="0" applyAlignment="1" pivotButton="0" quotePrefix="0" xfId="0">
      <alignment horizontal="left" vertical="center" wrapText="1" indent="1"/>
    </xf>
    <xf numFmtId="0" fontId="14" fillId="3" borderId="0" applyAlignment="1" pivotButton="0" quotePrefix="0" xfId="0">
      <alignment horizontal="right" vertical="center" indent="1"/>
    </xf>
    <xf numFmtId="164" fontId="15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left" vertical="center" indent="1"/>
    </xf>
    <xf numFmtId="0" fontId="1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8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8" fillId="5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9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right" vertical="center" indent="2"/>
    </xf>
    <xf numFmtId="0" fontId="13" fillId="3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2"/>
    </xf>
    <xf numFmtId="0" fontId="14" fillId="0" borderId="0" applyAlignment="1" pivotButton="0" quotePrefix="0" xfId="0">
      <alignment horizontal="right" vertical="center" indent="1"/>
    </xf>
    <xf numFmtId="0" fontId="24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indent="1"/>
    </xf>
    <xf numFmtId="1" fontId="24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top" indent="1"/>
    </xf>
    <xf numFmtId="0" fontId="24" fillId="6" borderId="0" applyAlignment="1" pivotButton="0" quotePrefix="0" xfId="0">
      <alignment horizontal="left" vertical="top" wrapText="1" indent="1"/>
    </xf>
    <xf numFmtId="9" fontId="24" fillId="6" borderId="0" applyAlignment="1" pivotButton="0" quotePrefix="0" xfId="0">
      <alignment horizontal="center" vertical="center"/>
    </xf>
    <xf numFmtId="2" fontId="24" fillId="6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indent="1"/>
    </xf>
    <xf numFmtId="1" fontId="28" fillId="7" borderId="0" applyAlignment="1" pivotButton="0" quotePrefix="0" xfId="0">
      <alignment horizontal="center" vertical="center"/>
    </xf>
    <xf numFmtId="165" fontId="30" fillId="7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vertical="center" indent="1"/>
    </xf>
    <xf numFmtId="165" fontId="10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 indent="1"/>
    </xf>
    <xf numFmtId="1" fontId="32" fillId="4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indent="1"/>
    </xf>
    <xf numFmtId="0" fontId="34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9" fillId="2" borderId="5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 indent="1"/>
    </xf>
    <xf numFmtId="2" fontId="33" fillId="0" borderId="0" pivotButton="0" quotePrefix="0" xfId="0"/>
    <xf numFmtId="0" fontId="12" fillId="0" borderId="0" applyAlignment="1" pivotButton="0" quotePrefix="0" xfId="0">
      <alignment horizontal="right" vertical="center" indent="1"/>
    </xf>
    <xf numFmtId="1" fontId="12" fillId="7" borderId="0" applyAlignment="1" pivotButton="0" quotePrefix="0" xfId="0">
      <alignment horizontal="center" vertical="center"/>
    </xf>
    <xf numFmtId="1" fontId="29" fillId="0" borderId="0" applyAlignment="1" pivotButton="0" quotePrefix="0" xfId="0">
      <alignment horizontal="center" vertical="center"/>
    </xf>
    <xf numFmtId="1" fontId="31" fillId="7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 indent="1"/>
    </xf>
    <xf numFmtId="0" fontId="35" fillId="4" borderId="0" applyAlignment="1" pivotButton="0" quotePrefix="0" xfId="0">
      <alignment horizontal="center" vertical="center" wrapText="1"/>
    </xf>
    <xf numFmtId="0" fontId="36" fillId="6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 wrapText="1" indent="1"/>
    </xf>
    <xf numFmtId="0" fontId="28" fillId="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top" wrapText="1" indent="1"/>
    </xf>
    <xf numFmtId="2" fontId="36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/>
    </xf>
    <xf numFmtId="164" fontId="10" fillId="6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right" vertical="center" indent="1"/>
    </xf>
    <xf numFmtId="164" fontId="24" fillId="6" borderId="0" applyAlignment="1" pivotButton="0" quotePrefix="0" xfId="0">
      <alignment horizontal="center" vertical="center"/>
    </xf>
    <xf numFmtId="166" fontId="28" fillId="7" borderId="0" applyAlignment="1" pivotButton="0" quotePrefix="0" xfId="0">
      <alignment horizontal="center" vertical="center"/>
    </xf>
    <xf numFmtId="0" fontId="24" fillId="6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B91C1C"/>
        </patternFill>
      </fill>
    </dxf>
    <dxf>
      <font>
        <b val="1"/>
        <color rgb="0012304E"/>
      </font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Listing SEO Audit</t>
        </is>
      </c>
    </row>
    <row r="5" ht="22" customHeight="1">
      <c r="A5" s="4" t="inlineStr">
        <is>
          <t>Score, fix list, re-audit date — your listing diagnosed.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MKT-001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6" customHeight="1">
      <c r="A11" s="7">
        <f>IF('Listing Inputs'!C7="","(enter listing name on Listing Inputs)",'Listing Inputs'!C7)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OVERALL SCORE</t>
        </is>
      </c>
    </row>
    <row r="14" ht="30" customHeight="1">
      <c r="A14" s="9">
        <f>TEXT('Audit Score'!C2,"0")&amp;" / 100"</f>
        <v/>
      </c>
    </row>
    <row r="15" ht="24" customHeight="1"/>
    <row r="16" ht="18" customHeight="1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6" customHeight="1">
      <c r="A18" s="10">
        <f>IF('Audit Score'!C2&gt;=90,"PARCHMENT — listing is dialed in",IF('Audit Score'!C2&gt;=80,"GOLD-SOFT — strong listing, polish remaining",IF('Audit Score'!C2&gt;=60,"GOLD — typical listing; clear room to grow","RED — major fixes needed before paid traffic helps")))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16" customHeight="1">
      <c r="A20" s="11" t="inlineStr">
        <is>
          <t>TITLE</t>
        </is>
      </c>
      <c r="B20" s="6" t="n"/>
      <c r="C20" s="11" t="inlineStr">
        <is>
          <t>DESC</t>
        </is>
      </c>
      <c r="D20" s="6" t="n"/>
      <c r="E20" s="11" t="inlineStr">
        <is>
          <t>PHOTOS</t>
        </is>
      </c>
      <c r="F20" s="6" t="n"/>
      <c r="G20" s="11" t="inlineStr">
        <is>
          <t>AMEN</t>
        </is>
      </c>
      <c r="H20" s="6" t="n"/>
      <c r="I20" s="11" t="inlineStr">
        <is>
          <t>TRUST</t>
        </is>
      </c>
      <c r="J20" s="6" t="n"/>
      <c r="K20" s="11" t="inlineStr">
        <is>
          <t>TOTAL</t>
        </is>
      </c>
      <c r="L20" s="6" t="n"/>
    </row>
    <row r="21" ht="22" customHeight="1">
      <c r="A21" s="6" t="n"/>
      <c r="B21" s="12">
        <f>'Audit Score'!E5</f>
        <v/>
      </c>
      <c r="C21" s="6" t="n"/>
      <c r="D21" s="12">
        <f>'Audit Score'!E6</f>
        <v/>
      </c>
      <c r="E21" s="6" t="n"/>
      <c r="F21" s="12">
        <f>'Audit Score'!E7</f>
        <v/>
      </c>
      <c r="G21" s="6" t="n"/>
      <c r="H21" s="12">
        <f>'Audit Score'!E8</f>
        <v/>
      </c>
      <c r="I21" s="6" t="n"/>
      <c r="J21" s="12">
        <f>'Audit Score'!E9</f>
        <v/>
      </c>
      <c r="K21" s="6" t="n"/>
      <c r="L21" s="12">
        <f>'Audit Score'!C11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4" ht="22" customHeight="1">
      <c r="A24" s="13" t="inlineStr">
        <is>
          <t>TOP 3 FIXES TO PRIORITIZE</t>
        </is>
      </c>
    </row>
    <row r="25" ht="32" customHeight="1">
      <c r="A25" s="14" t="inlineStr">
        <is>
          <t>1.</t>
        </is>
      </c>
      <c r="B25" s="15">
        <f>'Audit Score'!H20</f>
        <v/>
      </c>
      <c r="C25" s="6" t="n"/>
      <c r="D25" s="6" t="n"/>
      <c r="E25" s="6" t="n"/>
      <c r="F25" s="16">
        <f>'Audit Score'!I20</f>
        <v/>
      </c>
      <c r="G25" s="6" t="n"/>
      <c r="H25" s="6" t="n"/>
      <c r="I25" s="6" t="n"/>
      <c r="J25" s="6" t="n"/>
      <c r="K25" s="6" t="n"/>
      <c r="L25" s="6" t="n"/>
    </row>
    <row r="26" ht="32" customHeight="1">
      <c r="A26" s="14" t="inlineStr">
        <is>
          <t>2.</t>
        </is>
      </c>
      <c r="B26" s="15">
        <f>'Audit Score'!H21</f>
        <v/>
      </c>
      <c r="C26" s="6" t="n"/>
      <c r="D26" s="6" t="n"/>
      <c r="E26" s="6" t="n"/>
      <c r="F26" s="16">
        <f>'Audit Score'!I21</f>
        <v/>
      </c>
      <c r="G26" s="6" t="n"/>
      <c r="H26" s="6" t="n"/>
      <c r="I26" s="6" t="n"/>
      <c r="J26" s="6" t="n"/>
      <c r="K26" s="6" t="n"/>
      <c r="L26" s="6" t="n"/>
    </row>
    <row r="27" ht="32" customHeight="1">
      <c r="A27" s="14" t="inlineStr">
        <is>
          <t>3.</t>
        </is>
      </c>
      <c r="B27" s="15">
        <f>'Audit Score'!H22</f>
        <v/>
      </c>
      <c r="C27" s="6" t="n"/>
      <c r="D27" s="6" t="n"/>
      <c r="E27" s="6" t="n"/>
      <c r="F27" s="16">
        <f>'Audit Score'!I22</f>
        <v/>
      </c>
      <c r="G27" s="6" t="n"/>
      <c r="H27" s="6" t="n"/>
      <c r="I27" s="6" t="n"/>
      <c r="J27" s="6" t="n"/>
      <c r="K27" s="6" t="n"/>
      <c r="L27" s="6" t="n"/>
    </row>
    <row r="29" ht="18" customHeight="1">
      <c r="B29" s="17" t="inlineStr">
        <is>
          <t>Next re-audit by:</t>
        </is>
      </c>
      <c r="C29" s="18">
        <f>'Re-audit Tracker'!C7</f>
        <v/>
      </c>
      <c r="E29" s="19" t="inlineStr">
        <is>
          <t>Set on the Re-audit Tracker tab. Re-run after material listing changes.</t>
        </is>
      </c>
    </row>
    <row r="32" ht="22" customHeight="1">
      <c r="A32" s="20">
        <f>HYPERLINK("#'Listing Inputs'!A1", "Listing Inputs")</f>
        <v/>
      </c>
      <c r="B32" s="21" t="n"/>
      <c r="C32" s="21" t="n"/>
      <c r="D32" s="20">
        <f>HYPERLINK("#'Audit Score'!A1", "Audit Score")</f>
        <v/>
      </c>
      <c r="E32" s="21" t="n"/>
      <c r="F32" s="21" t="n"/>
      <c r="G32" s="20">
        <f>HYPERLINK("#'Comp Compare'!A1", "Comp Compare")</f>
        <v/>
      </c>
      <c r="H32" s="21" t="n"/>
      <c r="I32" s="21" t="n"/>
      <c r="J32" s="22">
        <f>HYPERLINK("#'Methodology'!A1", "Methodology")</f>
        <v/>
      </c>
      <c r="K32" s="23" t="n"/>
      <c r="L32" s="23" t="n"/>
    </row>
    <row r="33" ht="22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3" t="n"/>
      <c r="K33" s="23" t="n"/>
      <c r="L33" s="23" t="n"/>
    </row>
    <row r="34" ht="22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3" t="n"/>
      <c r="K34" s="23" t="n"/>
      <c r="L34" s="23" t="n"/>
    </row>
    <row r="36" ht="22" customHeight="1">
      <c r="A36" s="24">
        <f>HYPERLINK("#'Re-audit Tracker'!A1", "→  Re-audit Tracker")</f>
        <v/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</row>
    <row r="37" ht="22" customHeight="1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</row>
    <row r="38" ht="22" customHeight="1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</row>
    <row r="40" ht="36" customHeight="1">
      <c r="A40" s="26" t="inlineStr">
        <is>
          <t>💡  Auditing your whole portfolio? Get the Marketing Bundle at thestrledger.com — SEO audit + review tracker + referral CRM, $97.</t>
        </is>
      </c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</row>
    <row r="43" ht="18" customHeight="1">
      <c r="A43" s="28" t="inlineStr">
        <is>
          <t>Questions? hello@thestrledger.com</t>
        </is>
      </c>
    </row>
    <row r="44" ht="18" customHeight="1">
      <c r="A44" s="29" t="inlineStr">
        <is>
          <t>MKT-001 · v1.0 · BLANK · Free updates forever</t>
        </is>
      </c>
    </row>
  </sheetData>
  <mergeCells count="24">
    <mergeCell ref="A7:L7"/>
    <mergeCell ref="F27:L27"/>
    <mergeCell ref="A18:L18"/>
    <mergeCell ref="A2:F2"/>
    <mergeCell ref="B26:E26"/>
    <mergeCell ref="D32:F34"/>
    <mergeCell ref="E29:L29"/>
    <mergeCell ref="J32:L34"/>
    <mergeCell ref="A5:L5"/>
    <mergeCell ref="B25:E25"/>
    <mergeCell ref="F25:L25"/>
    <mergeCell ref="A4:L4"/>
    <mergeCell ref="A32:C34"/>
    <mergeCell ref="B27:E27"/>
    <mergeCell ref="A43:L43"/>
    <mergeCell ref="A14:L16"/>
    <mergeCell ref="G32:I34"/>
    <mergeCell ref="A13:L13"/>
    <mergeCell ref="A44:L44"/>
    <mergeCell ref="A40:L40"/>
    <mergeCell ref="A24:L24"/>
    <mergeCell ref="F26:L26"/>
    <mergeCell ref="A11:L11"/>
    <mergeCell ref="A36:L38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HYPERLINK("#'Start'!A1", "← BACK")</f>
        <v/>
      </c>
      <c r="B2" s="21" t="n"/>
      <c r="C2" s="21" t="n"/>
      <c r="D2" s="30" t="inlineStr">
        <is>
          <t>LISTING INPUTS</t>
        </is>
      </c>
      <c r="J2" s="24">
        <f>HYPERLINK("#'Audit Score'!A1",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1" t="inlineStr">
        <is>
          <t>Paste your live listing details here. The Audit Score tab reads from these inputs.</t>
        </is>
      </c>
    </row>
    <row r="6" ht="24" customHeight="1">
      <c r="A6" s="32" t="inlineStr">
        <is>
          <t>LISTING IDENTITY</t>
        </is>
      </c>
    </row>
    <row r="7" ht="18" customHeight="1">
      <c r="B7" s="33" t="inlineStr">
        <is>
          <t>Listing name:</t>
        </is>
      </c>
      <c r="C7" s="34" t="n"/>
      <c r="E7" s="35" t="inlineStr">
        <is>
          <t>How you'll reference this listing internally</t>
        </is>
      </c>
    </row>
    <row r="8" ht="18" customHeight="1">
      <c r="B8" s="33" t="inlineStr">
        <is>
          <t>Listing URL:</t>
        </is>
      </c>
      <c r="C8" s="34" t="n"/>
      <c r="E8" s="35" t="inlineStr">
        <is>
          <t>airbnb.com/h/... (paste the public link)</t>
        </is>
      </c>
    </row>
    <row r="10" ht="24" customHeight="1">
      <c r="A10" s="32" t="inlineStr">
        <is>
          <t>TITLE</t>
        </is>
      </c>
    </row>
    <row r="11" ht="18" customHeight="1">
      <c r="B11" s="33" t="inlineStr">
        <is>
          <t>Title text (paste):</t>
        </is>
      </c>
      <c r="C11" s="34" t="n"/>
      <c r="E11" s="35" t="inlineStr">
        <is>
          <t>Airbnb caps titles at 50 characters</t>
        </is>
      </c>
    </row>
    <row r="12" ht="18" customHeight="1">
      <c r="B12" s="33" t="inlineStr">
        <is>
          <t>Title char count:</t>
        </is>
      </c>
      <c r="C12" s="36" t="n"/>
      <c r="E12" s="35" t="inlineStr">
        <is>
          <t>Should be 35-50 — under is thin, over gets truncated</t>
        </is>
      </c>
    </row>
    <row r="14" ht="24" customHeight="1">
      <c r="A14" s="32" t="inlineStr">
        <is>
          <t>DESCRIPTION</t>
        </is>
      </c>
    </row>
    <row r="15" ht="32" customHeight="1">
      <c r="B15" s="37" t="inlineStr">
        <is>
          <t>Description:</t>
        </is>
      </c>
      <c r="C15" s="38" t="n"/>
    </row>
    <row r="16" ht="32" customHeight="1"/>
    <row r="17" ht="32" customHeight="1"/>
    <row r="18" ht="18" customHeight="1">
      <c r="B18" s="33" t="inlineStr">
        <is>
          <t>Description word count:</t>
        </is>
      </c>
      <c r="C18" s="36" t="n"/>
      <c r="E18" s="35" t="inlineStr">
        <is>
          <t>Sweet spot: 150-500 words</t>
        </is>
      </c>
    </row>
    <row r="20" ht="24" customHeight="1">
      <c r="A20" s="32" t="inlineStr">
        <is>
          <t>PHOTOS</t>
        </is>
      </c>
    </row>
    <row r="21" ht="18" customHeight="1">
      <c r="B21" s="33" t="inlineStr">
        <is>
          <t>Total photo count:</t>
        </is>
      </c>
      <c r="C21" s="36" t="n"/>
      <c r="E21" s="35" t="inlineStr">
        <is>
          <t>Aim for ≥ 25</t>
        </is>
      </c>
    </row>
    <row r="22" ht="18" customHeight="1">
      <c r="B22" s="33" t="inlineStr">
        <is>
          <t>Cover photo type:</t>
        </is>
      </c>
      <c r="C22" s="34" t="n"/>
      <c r="E22" s="35" t="inlineStr">
        <is>
          <t>Dropdown — should be Exterior or hero Living</t>
        </is>
      </c>
    </row>
    <row r="23" ht="18" customHeight="1">
      <c r="B23" s="33" t="inlineStr">
        <is>
          <t>Bedroom photos count:</t>
        </is>
      </c>
      <c r="C23" s="36" t="n"/>
      <c r="E23" s="35" t="inlineStr">
        <is>
          <t>≥ 1 per bedroom</t>
        </is>
      </c>
    </row>
    <row r="24" ht="18" customHeight="1">
      <c r="B24" s="33" t="inlineStr">
        <is>
          <t>Bathroom photos count:</t>
        </is>
      </c>
      <c r="C24" s="36" t="n"/>
      <c r="E24" s="35" t="inlineStr">
        <is>
          <t>≥ 1 per bathroom</t>
        </is>
      </c>
    </row>
    <row r="25" ht="18" customHeight="1">
      <c r="B25" s="33" t="inlineStr">
        <is>
          <t>Kitchen photos count:</t>
        </is>
      </c>
      <c r="C25" s="36" t="n"/>
      <c r="E25" s="35" t="inlineStr">
        <is>
          <t>Wide + 1 detail shot</t>
        </is>
      </c>
    </row>
    <row r="26" ht="18" customHeight="1">
      <c r="B26" s="33" t="inlineStr">
        <is>
          <t>Outdoor photos count:</t>
        </is>
      </c>
      <c r="C26" s="36" t="n"/>
      <c r="E26" s="35" t="inlineStr">
        <is>
          <t>Porch, deck, yard, view</t>
        </is>
      </c>
    </row>
    <row r="27" ht="18" customHeight="1">
      <c r="B27" s="33" t="inlineStr">
        <is>
          <t>Photos professional?</t>
        </is>
      </c>
      <c r="C27" s="34" t="n"/>
      <c r="E27" s="35" t="inlineStr">
        <is>
          <t>Yes/No — paid photographer or pro-grade DSLR</t>
        </is>
      </c>
    </row>
    <row r="28" ht="18" customHeight="1">
      <c r="B28" s="33" t="inlineStr">
        <is>
          <t>Twilight / sunset photos?</t>
        </is>
      </c>
      <c r="C28" s="34" t="n"/>
      <c r="E28" s="35" t="inlineStr">
        <is>
          <t>Yes/No — at least 1-2</t>
        </is>
      </c>
    </row>
    <row r="29" ht="18" customHeight="1">
      <c r="B29" s="33" t="inlineStr">
        <is>
          <t>Sequenced as guest journey?</t>
        </is>
      </c>
      <c r="C29" s="34" t="n"/>
      <c r="E29" s="35" t="inlineStr">
        <is>
          <t>Yes/No — arrival → living → bedrooms → bath → kitchen → outdoor</t>
        </is>
      </c>
    </row>
    <row r="31" ht="24" customHeight="1">
      <c r="A31" s="32" t="inlineStr">
        <is>
          <t>AMENITIES</t>
        </is>
      </c>
    </row>
    <row r="32" ht="18" customHeight="1">
      <c r="B32" s="33" t="inlineStr">
        <is>
          <t>Total amenities listed:</t>
        </is>
      </c>
      <c r="C32" s="36" t="n"/>
      <c r="E32" s="35" t="inlineStr">
        <is>
          <t>Walk through Airbnb's full list — aim for ≥ 40</t>
        </is>
      </c>
    </row>
    <row r="33" ht="18" customHeight="1">
      <c r="B33" s="33" t="inlineStr">
        <is>
          <t>Hot tub?</t>
        </is>
      </c>
      <c r="C33" s="34" t="n"/>
    </row>
    <row r="34" ht="18" customHeight="1">
      <c r="B34" s="33" t="inlineStr">
        <is>
          <t>Pool?</t>
        </is>
      </c>
      <c r="C34" s="34" t="n"/>
    </row>
    <row r="35" ht="18" customHeight="1">
      <c r="B35" s="33" t="inlineStr">
        <is>
          <t>Fireplace?</t>
        </is>
      </c>
      <c r="C35" s="34" t="n"/>
    </row>
    <row r="36" ht="18" customHeight="1">
      <c r="B36" s="33" t="inlineStr">
        <is>
          <t>Fast WiFi (≥ 100 Mbps)?</t>
        </is>
      </c>
      <c r="C36" s="34" t="n"/>
    </row>
    <row r="37" ht="18" customHeight="1">
      <c r="B37" s="33" t="inlineStr">
        <is>
          <t>Workspace / desk?</t>
        </is>
      </c>
      <c r="C37" s="34" t="n"/>
    </row>
    <row r="38" ht="18" customHeight="1">
      <c r="B38" s="33" t="inlineStr">
        <is>
          <t>EV charger?</t>
        </is>
      </c>
      <c r="C38" s="34" t="n"/>
    </row>
    <row r="39" ht="18" customHeight="1">
      <c r="B39" s="33" t="inlineStr">
        <is>
          <t>Pet-friendly?</t>
        </is>
      </c>
      <c r="C39" s="34" t="n"/>
    </row>
    <row r="40" ht="18" customHeight="1">
      <c r="B40" s="33" t="inlineStr">
        <is>
          <t>Kid-friendly?</t>
        </is>
      </c>
      <c r="C40" s="34" t="n"/>
    </row>
    <row r="41" ht="18" customHeight="1">
      <c r="B41" s="33" t="inlineStr">
        <is>
          <t>Self check-in?</t>
        </is>
      </c>
      <c r="C41" s="34" t="n"/>
    </row>
    <row r="43" ht="24" customHeight="1">
      <c r="A43" s="32" t="inlineStr">
        <is>
          <t>TRUST SIGNALS</t>
        </is>
      </c>
    </row>
    <row r="44" ht="18" customHeight="1">
      <c r="B44" s="33" t="inlineStr">
        <is>
          <t>Response rate (%):</t>
        </is>
      </c>
      <c r="C44" s="39" t="n"/>
      <c r="E44" s="35" t="inlineStr">
        <is>
          <t>Airbnb dashboard shows this</t>
        </is>
      </c>
    </row>
    <row r="45" ht="18" customHeight="1">
      <c r="B45" s="33" t="inlineStr">
        <is>
          <t>Response time:</t>
        </is>
      </c>
      <c r="C45" s="34" t="n"/>
      <c r="E45" s="35" t="inlineStr">
        <is>
          <t>Dropdown — &lt;1hr is the sweet spot</t>
        </is>
      </c>
    </row>
    <row r="46" ht="18" customHeight="1">
      <c r="B46" s="33" t="inlineStr">
        <is>
          <t>Instant Book on?</t>
        </is>
      </c>
      <c r="C46" s="34" t="n"/>
      <c r="E46" s="35" t="inlineStr">
        <is>
          <t>Yes/No</t>
        </is>
      </c>
    </row>
    <row r="47" ht="18" customHeight="1">
      <c r="B47" s="33" t="inlineStr">
        <is>
          <t>Superhost?</t>
        </is>
      </c>
      <c r="C47" s="34" t="n"/>
      <c r="E47" s="35" t="inlineStr">
        <is>
          <t>Yes/No</t>
        </is>
      </c>
    </row>
    <row r="48" ht="18" customHeight="1">
      <c r="B48" s="33" t="inlineStr">
        <is>
          <t>Total reviews:</t>
        </is>
      </c>
      <c r="C48" s="36" t="n"/>
    </row>
    <row r="49" ht="18" customHeight="1">
      <c r="B49" s="33" t="inlineStr">
        <is>
          <t>Average rating:</t>
        </is>
      </c>
      <c r="C49" s="40" t="n"/>
    </row>
    <row r="50" ht="18" customHeight="1">
      <c r="B50" s="33" t="inlineStr">
        <is>
          <t>Cancellation policy:</t>
        </is>
      </c>
      <c r="C50" s="34" t="n"/>
      <c r="E50" s="35" t="inlineStr">
        <is>
          <t>Dropdown</t>
        </is>
      </c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</row>
    <row r="54" ht="18" customHeight="1">
      <c r="A54" s="28" t="inlineStr">
        <is>
          <t>Questions? hello@thestrledger.com</t>
        </is>
      </c>
    </row>
    <row r="55" ht="18" customHeight="1">
      <c r="A55" s="29" t="inlineStr">
        <is>
          <t>MKT-001 · Listing Inputs</t>
        </is>
      </c>
    </row>
  </sheetData>
  <mergeCells count="33">
    <mergeCell ref="E12:L12"/>
    <mergeCell ref="E18:L18"/>
    <mergeCell ref="D2:I2"/>
    <mergeCell ref="E50:L50"/>
    <mergeCell ref="E21:L21"/>
    <mergeCell ref="A54:L54"/>
    <mergeCell ref="E24:L24"/>
    <mergeCell ref="E23:L23"/>
    <mergeCell ref="A55:L55"/>
    <mergeCell ref="E8:L8"/>
    <mergeCell ref="A2:C2"/>
    <mergeCell ref="E44:L44"/>
    <mergeCell ref="E29:L29"/>
    <mergeCell ref="A14:L14"/>
    <mergeCell ref="E28:L28"/>
    <mergeCell ref="A4:L4"/>
    <mergeCell ref="A20:L20"/>
    <mergeCell ref="J2:L2"/>
    <mergeCell ref="A10:L10"/>
    <mergeCell ref="A43:L43"/>
    <mergeCell ref="E11:L11"/>
    <mergeCell ref="E46:L46"/>
    <mergeCell ref="A31:L31"/>
    <mergeCell ref="C15:L17"/>
    <mergeCell ref="E27:L27"/>
    <mergeCell ref="E45:L45"/>
    <mergeCell ref="E26:L26"/>
    <mergeCell ref="E7:L7"/>
    <mergeCell ref="E25:L25"/>
    <mergeCell ref="E32:L32"/>
    <mergeCell ref="A6:L6"/>
    <mergeCell ref="E22:L22"/>
    <mergeCell ref="E47:L47"/>
  </mergeCells>
  <dataValidations count="17">
    <dataValidation sqref="C22" showDropDown="0" showInputMessage="0" showErrorMessage="0" allowBlank="1" type="list">
      <formula1>"Exterior wide,Interior living,Bedroom,Kitchen,Outdoor amenity,Other"</formula1>
    </dataValidation>
    <dataValidation sqref="C27" showDropDown="0" showInputMessage="0" showErrorMessage="0" allowBlank="1" type="list">
      <formula1>"Yes,No"</formula1>
    </dataValidation>
    <dataValidation sqref="C28" showDropDown="0" showInputMessage="0" showErrorMessage="0" allowBlank="1" type="list">
      <formula1>"Yes,No"</formula1>
    </dataValidation>
    <dataValidation sqref="C29" showDropDown="0" showInputMessage="0" showErrorMessage="0" allowBlank="1" type="list">
      <formula1>"Yes,No"</formula1>
    </dataValidation>
    <dataValidation sqref="C33" showDropDown="0" showInputMessage="0" showErrorMessage="0" allowBlank="1" type="list">
      <formula1>"Yes,No"</formula1>
    </dataValidation>
    <dataValidation sqref="C34" showDropDown="0" showInputMessage="0" showErrorMessage="0" allowBlank="1" type="list">
      <formula1>"Yes,No"</formula1>
    </dataValidation>
    <dataValidation sqref="C35" showDropDown="0" showInputMessage="0" showErrorMessage="0" allowBlank="1" type="list">
      <formula1>"Yes,No"</formula1>
    </dataValidation>
    <dataValidation sqref="C36" showDropDown="0" showInputMessage="0" showErrorMessage="0" allowBlank="1" type="list">
      <formula1>"Yes,No"</formula1>
    </dataValidation>
    <dataValidation sqref="C37" showDropDown="0" showInputMessage="0" showErrorMessage="0" allowBlank="1" type="list">
      <formula1>"Yes,No"</formula1>
    </dataValidation>
    <dataValidation sqref="C38" showDropDown="0" showInputMessage="0" showErrorMessage="0" allowBlank="1" type="list">
      <formula1>"Yes,No"</formula1>
    </dataValidation>
    <dataValidation sqref="C39" showDropDown="0" showInputMessage="0" showErrorMessage="0" allowBlank="1" type="list">
      <formula1>"Yes,No"</formula1>
    </dataValidation>
    <dataValidation sqref="C40" showDropDown="0" showInputMessage="0" showErrorMessage="0" allowBlank="1" type="list">
      <formula1>"Yes,No"</formula1>
    </dataValidation>
    <dataValidation sqref="C41" showDropDown="0" showInputMessage="0" showErrorMessage="0" allowBlank="1" type="list">
      <formula1>"Yes,No"</formula1>
    </dataValidation>
    <dataValidation sqref="C45" showDropDown="0" showInputMessage="0" showErrorMessage="0" allowBlank="1" type="list">
      <formula1>"&lt;1hr,1-12hr,12-24hr,&gt;24hr"</formula1>
    </dataValidation>
    <dataValidation sqref="C46" showDropDown="0" showInputMessage="0" showErrorMessage="0" allowBlank="1" type="list">
      <formula1>"Yes,No"</formula1>
    </dataValidation>
    <dataValidation sqref="C47" showDropDown="0" showInputMessage="0" showErrorMessage="0" allowBlank="1" type="list">
      <formula1>"Yes,No"</formula1>
    </dataValidation>
    <dataValidation sqref="C50" showDropDown="0" showInputMessage="0" showErrorMessage="0" allowBlank="1" type="list">
      <formula1>"Flexible,Moderate,Strict,Long-term"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5" customWidth="1" min="1" max="1"/>
    <col width="56" customWidth="1" min="2" max="2"/>
    <col width="10" customWidth="1" min="3" max="3"/>
    <col width="9" customWidth="1" min="4" max="4"/>
    <col width="9" customWidth="1" min="5" max="5"/>
    <col width="56" customWidth="1" min="6" max="6"/>
    <col width="4" customWidth="1" min="7" max="7"/>
    <col width="38" customWidth="1" min="8" max="8"/>
    <col width="50" customWidth="1" min="9" max="9"/>
    <col hidden="1"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HYPERLINK("#'Listing Inputs'!A1", "← BACK")</f>
        <v/>
      </c>
      <c r="B2" s="21" t="n"/>
      <c r="C2" s="21" t="n"/>
      <c r="D2" s="30" t="inlineStr">
        <is>
          <t>AUDIT SCORE</t>
        </is>
      </c>
      <c r="J2" s="24">
        <f>HYPERLINK("#'Comp Compare'!A1",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B4" s="41" t="inlineStr">
        <is>
          <t>CATEGORY</t>
        </is>
      </c>
      <c r="C4" s="41" t="inlineStr">
        <is>
          <t>MAX PTS</t>
        </is>
      </c>
      <c r="D4" s="41" t="inlineStr">
        <is>
          <t>EARNED</t>
        </is>
      </c>
      <c r="E4" s="41" t="inlineStr">
        <is>
          <t>WEIGHTED</t>
        </is>
      </c>
    </row>
    <row r="5" ht="20" customHeight="1">
      <c r="B5" s="42" t="inlineStr">
        <is>
          <t>Category A — Title  (15% weight)</t>
        </is>
      </c>
      <c r="C5" s="43">
        <f>E31</f>
        <v/>
      </c>
      <c r="D5" s="43">
        <f>D31</f>
        <v/>
      </c>
      <c r="E5" s="44">
        <f>IF(C5=0,0,(D5/C5)*15)</f>
        <v/>
      </c>
    </row>
    <row r="6" ht="20" customHeight="1">
      <c r="B6" s="42" t="inlineStr">
        <is>
          <t>Category B — Description  (20% weight)</t>
        </is>
      </c>
      <c r="C6" s="43">
        <f>E42</f>
        <v/>
      </c>
      <c r="D6" s="43">
        <f>D42</f>
        <v/>
      </c>
      <c r="E6" s="44">
        <f>IF(C6=0,0,(D6/C6)*20)</f>
        <v/>
      </c>
    </row>
    <row r="7" ht="20" customHeight="1">
      <c r="B7" s="42" t="inlineStr">
        <is>
          <t>Category C — Photos  (30% weight)</t>
        </is>
      </c>
      <c r="C7" s="43">
        <f>E57</f>
        <v/>
      </c>
      <c r="D7" s="43">
        <f>D57</f>
        <v/>
      </c>
      <c r="E7" s="44">
        <f>IF(C7=0,0,(D7/C7)*30)</f>
        <v/>
      </c>
    </row>
    <row r="8" ht="20" customHeight="1">
      <c r="B8" s="42" t="inlineStr">
        <is>
          <t>Category D — Amenities  (20% weight)</t>
        </is>
      </c>
      <c r="C8" s="43">
        <f>E68</f>
        <v/>
      </c>
      <c r="D8" s="43">
        <f>D68</f>
        <v/>
      </c>
      <c r="E8" s="44">
        <f>IF(C8=0,0,(D8/C8)*20)</f>
        <v/>
      </c>
    </row>
    <row r="9" ht="20" customHeight="1">
      <c r="B9" s="42" t="inlineStr">
        <is>
          <t>Category E — Trust signals (Airbnb algorithm)  (15% weight)</t>
        </is>
      </c>
      <c r="C9" s="43">
        <f>E78</f>
        <v/>
      </c>
      <c r="D9" s="43">
        <f>D78</f>
        <v/>
      </c>
      <c r="E9" s="44">
        <f>IF(C9=0,0,(D9/C9)*15)</f>
        <v/>
      </c>
    </row>
    <row r="10" ht="26" customHeight="1">
      <c r="B10" s="45" t="inlineStr">
        <is>
          <t>TOTAL  (max possible 100)</t>
        </is>
      </c>
      <c r="E10" s="46">
        <f>SUM(E5:E9)</f>
        <v/>
      </c>
    </row>
    <row r="11" ht="28" customHeight="1">
      <c r="B11" s="47" t="inlineStr">
        <is>
          <t>OVERALL SCORE (0-100):</t>
        </is>
      </c>
      <c r="C11" s="48">
        <f>E10/100*100</f>
        <v/>
      </c>
    </row>
    <row r="19" ht="18" customHeight="1">
      <c r="H19" s="49" t="inlineStr">
        <is>
          <t>TOP 3 LOWEST-SCORING (CRITERION + FIX)</t>
        </is>
      </c>
    </row>
    <row r="20" ht="22" customHeight="1">
      <c r="H20" s="50">
        <f>IFERROR(INDEX(B26:B77,MATCH(LARGE(J26:J77,1),J26:J77,0)),"")</f>
        <v/>
      </c>
      <c r="I20" s="51">
        <f>IFERROR(INDEX(F26:F77,MATCH(LARGE(J26:J77,1),J26:J77,0)),"")</f>
        <v/>
      </c>
    </row>
    <row r="21" ht="22" customHeight="1">
      <c r="H21" s="50">
        <f>IFERROR(INDEX(B26:B77,MATCH(LARGE(J26:J77,2),J26:J77,0)),"")</f>
        <v/>
      </c>
      <c r="I21" s="51">
        <f>IFERROR(INDEX(F26:F77,MATCH(LARGE(J26:J77,2),J26:J77,0)),"")</f>
        <v/>
      </c>
    </row>
    <row r="22" ht="22" customHeight="1">
      <c r="H22" s="50">
        <f>IFERROR(INDEX(B26:B77,MATCH(LARGE(J26:J77,3),J26:J77,0)),"")</f>
        <v/>
      </c>
      <c r="I22" s="51">
        <f>IFERROR(INDEX(F26:F77,MATCH(LARGE(J26:J77,3),J26:J77,0)),"")</f>
        <v/>
      </c>
    </row>
    <row r="24" ht="22" customHeight="1">
      <c r="A24" s="52" t="inlineStr">
        <is>
          <t>ID</t>
        </is>
      </c>
      <c r="B24" s="52" t="inlineStr">
        <is>
          <t>Criterion</t>
        </is>
      </c>
      <c r="C24" s="52" t="inlineStr">
        <is>
          <t>Met?</t>
        </is>
      </c>
      <c r="D24" s="52" t="inlineStr">
        <is>
          <t>Pts</t>
        </is>
      </c>
      <c r="E24" s="52" t="inlineStr">
        <is>
          <t>Max</t>
        </is>
      </c>
      <c r="F24" s="52" t="inlineStr">
        <is>
          <t>Specific fix</t>
        </is>
      </c>
    </row>
    <row r="25" ht="22" customHeight="1">
      <c r="A25" s="53" t="inlineStr">
        <is>
          <t>CATEGORY A — TITLE  ·  15% WEIGHT</t>
        </is>
      </c>
    </row>
    <row r="26" ht="30" customHeight="1">
      <c r="A26" s="54" t="n">
        <v>1</v>
      </c>
      <c r="B26" s="55" t="inlineStr">
        <is>
          <t>Title length 35-50 chars (sweet spot)</t>
        </is>
      </c>
      <c r="C26" s="34" t="n"/>
      <c r="D26" s="43">
        <f>IF(C26="Yes",10,IF(C26="Partial",5,IF(C26="No",0,0)))</f>
        <v/>
      </c>
      <c r="E26" s="28" t="n">
        <v>10</v>
      </c>
      <c r="F26" s="56" t="inlineStr">
        <is>
          <t>Trim to 50 chars max. Cut weak words first: 'beautiful', 'amazing', 'cozy'.</t>
        </is>
      </c>
      <c r="J26" s="57">
        <f>(E26-D26)*15/10</f>
        <v/>
      </c>
    </row>
    <row r="27" ht="30" customHeight="1">
      <c r="A27" s="54" t="n">
        <v>2</v>
      </c>
      <c r="B27" s="55" t="inlineStr">
        <is>
          <t>Includes city or neighborhood</t>
        </is>
      </c>
      <c r="C27" s="34" t="n"/>
      <c r="D27" s="43">
        <f>IF(C27="Yes",10,IF(C27="Partial",5,IF(C27="No",0,0)))</f>
        <v/>
      </c>
      <c r="E27" s="28" t="n">
        <v>10</v>
      </c>
      <c r="F27" s="56" t="inlineStr">
        <is>
          <t>Add city or neighborhood near the front of the title.</t>
        </is>
      </c>
      <c r="J27" s="57">
        <f>(E27-D27)*15/10</f>
        <v/>
      </c>
    </row>
    <row r="28" ht="30" customHeight="1">
      <c r="A28" s="54" t="n">
        <v>3</v>
      </c>
      <c r="B28" s="55" t="inlineStr">
        <is>
          <t>Includes 1-2 highest-value amenities (hot tub / view / walkable)</t>
        </is>
      </c>
      <c r="C28" s="34" t="n"/>
      <c r="D28" s="43">
        <f>IF(C28="Yes",10,IF(C28="Partial",5,IF(C28="No",0,0)))</f>
        <v/>
      </c>
      <c r="E28" s="28" t="n">
        <v>10</v>
      </c>
      <c r="F28" s="56" t="inlineStr">
        <is>
          <t>Promote your top 1-2 amenities into the title. Hot tub &gt; view &gt; walkable.</t>
        </is>
      </c>
      <c r="J28" s="57">
        <f>(E28-D28)*15/10</f>
        <v/>
      </c>
    </row>
    <row r="29" ht="30" customHeight="1">
      <c r="A29" s="54" t="n">
        <v>4</v>
      </c>
      <c r="B29" s="55" t="inlineStr">
        <is>
          <t>No ALL CAPS, no emojis, no clickbait</t>
        </is>
      </c>
      <c r="C29" s="34" t="n"/>
      <c r="D29" s="43">
        <f>IF(C29="Yes",10,IF(C29="Partial",5,IF(C29="No",0,0)))</f>
        <v/>
      </c>
      <c r="E29" s="28" t="n">
        <v>10</v>
      </c>
      <c r="F29" s="56" t="inlineStr">
        <is>
          <t>Strip caps and emojis. Airbnb's algorithm and guests both penalize them.</t>
        </is>
      </c>
      <c r="J29" s="57">
        <f>(E29-D29)*15/10</f>
        <v/>
      </c>
    </row>
    <row r="30" ht="30" customHeight="1">
      <c r="A30" s="54" t="n">
        <v>5</v>
      </c>
      <c r="B30" s="55" t="inlineStr">
        <is>
          <t>Differentiating phrase or experience hook</t>
        </is>
      </c>
      <c r="C30" s="34" t="n"/>
      <c r="D30" s="43">
        <f>IF(C30="Yes",10,IF(C30="Partial",5,IF(C30="No",0,0)))</f>
        <v/>
      </c>
      <c r="E30" s="28" t="n">
        <v>10</v>
      </c>
      <c r="F30" s="56" t="inlineStr">
        <is>
          <t>Add a 2-3 word hook: 'sunset deck', 'creekside cabin', 'walk to brewery'.</t>
        </is>
      </c>
      <c r="J30" s="57">
        <f>(E30-D30)*15/10</f>
        <v/>
      </c>
    </row>
    <row r="31" ht="22" customHeight="1">
      <c r="B31" s="58" t="inlineStr">
        <is>
          <t>Category A subtotal:</t>
        </is>
      </c>
      <c r="D31" s="59">
        <f>SUM(D26:D30)</f>
        <v/>
      </c>
      <c r="E31" s="60">
        <f>SUM(E26:E30)</f>
        <v/>
      </c>
    </row>
    <row r="33" ht="22" customHeight="1">
      <c r="A33" s="53" t="inlineStr">
        <is>
          <t>CATEGORY B — DESCRIPTION  ·  20% WEIGHT</t>
        </is>
      </c>
    </row>
    <row r="34" ht="30" customHeight="1">
      <c r="A34" s="54" t="n">
        <v>6</v>
      </c>
      <c r="B34" s="55" t="inlineStr">
        <is>
          <t>Opens with a hook line (NOT 'Welcome to my home!')</t>
        </is>
      </c>
      <c r="C34" s="34" t="n"/>
      <c r="D34" s="43">
        <f>IF(C34="Yes",10,IF(C34="Partial",5,IF(C34="No",0,0)))</f>
        <v/>
      </c>
      <c r="E34" s="28" t="n">
        <v>10</v>
      </c>
      <c r="F34" s="56" t="inlineStr">
        <is>
          <t>Replace generic welcome with one sentence that paints a scene or promise.</t>
        </is>
      </c>
      <c r="J34" s="57">
        <f>(E34-D34)*20/10</f>
        <v/>
      </c>
    </row>
    <row r="35" ht="30" customHeight="1">
      <c r="A35" s="54" t="n">
        <v>7</v>
      </c>
      <c r="B35" s="55" t="inlineStr">
        <is>
          <t>Length between 150-500 words</t>
        </is>
      </c>
      <c r="C35" s="34" t="n"/>
      <c r="D35" s="43">
        <f>IF(C35="Yes",10,IF(C35="Partial",5,IF(C35="No",0,0)))</f>
        <v/>
      </c>
      <c r="E35" s="28" t="n">
        <v>10</v>
      </c>
      <c r="F35" s="56" t="inlineStr">
        <is>
          <t>Aim for 220-350 words. Less = thin. More = guests skim and miss key info.</t>
        </is>
      </c>
      <c r="J35" s="57">
        <f>(E35-D35)*20/10</f>
        <v/>
      </c>
    </row>
    <row r="36" ht="30" customHeight="1">
      <c r="A36" s="54" t="n">
        <v>8</v>
      </c>
      <c r="B36" s="55" t="inlineStr">
        <is>
          <t>Lists what makes property unique in first 3 sentences</t>
        </is>
      </c>
      <c r="C36" s="34" t="n"/>
      <c r="D36" s="43">
        <f>IF(C36="Yes",10,IF(C36="Partial",5,IF(C36="No",0,0)))</f>
        <v/>
      </c>
      <c r="E36" s="28" t="n">
        <v>10</v>
      </c>
      <c r="F36" s="56" t="inlineStr">
        <is>
          <t>Move your unique edge (view, hot tub, location) into the opening 3 sentences.</t>
        </is>
      </c>
      <c r="J36" s="57">
        <f>(E36-D36)*20/10</f>
        <v/>
      </c>
    </row>
    <row r="37" ht="30" customHeight="1">
      <c r="A37" s="54" t="n">
        <v>9</v>
      </c>
      <c r="B37" s="55" t="inlineStr">
        <is>
          <t>Mentions surrounding area + walkability or drive times</t>
        </is>
      </c>
      <c r="C37" s="34" t="n"/>
      <c r="D37" s="43">
        <f>IF(C37="Yes",10,IF(C37="Partial",5,IF(C37="No",0,0)))</f>
        <v/>
      </c>
      <c r="E37" s="28" t="n">
        <v>10</v>
      </c>
      <c r="F37" s="56" t="inlineStr">
        <is>
          <t>Add 1-2 lines on nearby attractions with drive minutes ('15 min to Dollywood').</t>
        </is>
      </c>
      <c r="J37" s="57">
        <f>(E37-D37)*20/10</f>
        <v/>
      </c>
    </row>
    <row r="38" ht="30" customHeight="1">
      <c r="A38" s="54" t="n">
        <v>10</v>
      </c>
      <c r="B38" s="55" t="inlineStr">
        <is>
          <t>Has dedicated bedrooms section with sleeping config</t>
        </is>
      </c>
      <c r="C38" s="34" t="n"/>
      <c r="D38" s="43">
        <f>IF(C38="Yes",10,IF(C38="Partial",5,IF(C38="No",0,0)))</f>
        <v/>
      </c>
      <c r="E38" s="28" t="n">
        <v>10</v>
      </c>
      <c r="F38" s="56" t="inlineStr">
        <is>
          <t>Add a 'Sleeping arrangements' block: 'Bedroom 1: King · Bedroom 2: Queen + bunk'.</t>
        </is>
      </c>
      <c r="J38" s="57">
        <f>(E38-D38)*20/10</f>
        <v/>
      </c>
    </row>
    <row r="39" ht="30" customHeight="1">
      <c r="A39" s="54" t="n">
        <v>11</v>
      </c>
      <c r="B39" s="55" t="inlineStr">
        <is>
          <t>Has dedicated amenities section (formatted, scannable)</t>
        </is>
      </c>
      <c r="C39" s="34" t="n"/>
      <c r="D39" s="43">
        <f>IF(C39="Yes",10,IF(C39="Partial",5,IF(C39="No",0,0)))</f>
        <v/>
      </c>
      <c r="E39" s="28" t="n">
        <v>10</v>
      </c>
      <c r="F39" s="56" t="inlineStr">
        <is>
          <t>Add a bullet list: 'Hot tub · Fast WiFi · EV charger · Workspace'.</t>
        </is>
      </c>
      <c r="J39" s="57">
        <f>(E39-D39)*20/10</f>
        <v/>
      </c>
    </row>
    <row r="40" ht="30" customHeight="1">
      <c r="A40" s="54" t="n">
        <v>12</v>
      </c>
      <c r="B40" s="55" t="inlineStr">
        <is>
          <t>Includes house rules (positive framing)</t>
        </is>
      </c>
      <c r="C40" s="34" t="n"/>
      <c r="D40" s="43">
        <f>IF(C40="Yes",10,IF(C40="Partial",5,IF(C40="No",0,0)))</f>
        <v/>
      </c>
      <c r="E40" s="28" t="n">
        <v>10</v>
      </c>
      <c r="F40" s="56" t="inlineStr">
        <is>
          <t>Reframe rules as guest-friendly: 'Quiet hours after 10pm to keep neighbors happy'.</t>
        </is>
      </c>
      <c r="J40" s="57">
        <f>(E40-D40)*20/10</f>
        <v/>
      </c>
    </row>
    <row r="41" ht="30" customHeight="1">
      <c r="A41" s="54" t="n">
        <v>13</v>
      </c>
      <c r="B41" s="55" t="inlineStr">
        <is>
          <t>Closes with hospitality / response promise</t>
        </is>
      </c>
      <c r="C41" s="34" t="n"/>
      <c r="D41" s="43">
        <f>IF(C41="Yes",10,IF(C41="Partial",5,IF(C41="No",0,0)))</f>
        <v/>
      </c>
      <c r="E41" s="28" t="n">
        <v>10</v>
      </c>
      <c r="F41" s="56" t="inlineStr">
        <is>
          <t>End with: 'Message us anytime — we typically reply within an hour.'</t>
        </is>
      </c>
      <c r="J41" s="57">
        <f>(E41-D41)*20/10</f>
        <v/>
      </c>
    </row>
    <row r="42" ht="22" customHeight="1">
      <c r="B42" s="58" t="inlineStr">
        <is>
          <t>Category B subtotal:</t>
        </is>
      </c>
      <c r="D42" s="59">
        <f>SUM(D34:D41)</f>
        <v/>
      </c>
      <c r="E42" s="60">
        <f>SUM(E34:E41)</f>
        <v/>
      </c>
    </row>
    <row r="44" ht="22" customHeight="1">
      <c r="A44" s="53" t="inlineStr">
        <is>
          <t>CATEGORY C — PHOTOS  ·  30% WEIGHT</t>
        </is>
      </c>
    </row>
    <row r="45" ht="30" customHeight="1">
      <c r="A45" s="54" t="n">
        <v>14</v>
      </c>
      <c r="B45" s="55" t="inlineStr">
        <is>
          <t>At least 25 photos posted</t>
        </is>
      </c>
      <c r="C45" s="34" t="n"/>
      <c r="D45" s="43">
        <f>IF(C45="Yes",10,IF(C45="Partial",5,IF(C45="No",0,0)))</f>
        <v/>
      </c>
      <c r="E45" s="28" t="n">
        <v>10</v>
      </c>
      <c r="F45" s="56" t="inlineStr">
        <is>
          <t>Add 6+ photos to reach 25. Twilight exterior, kitchen detail, bedroom #2 are common gaps.</t>
        </is>
      </c>
      <c r="J45" s="57">
        <f>(E45-D45)*30/10</f>
        <v/>
      </c>
    </row>
    <row r="46" ht="30" customHeight="1">
      <c r="A46" s="54" t="n">
        <v>15</v>
      </c>
      <c r="B46" s="55" t="inlineStr">
        <is>
          <t>Cover photo is exterior or hero interior shot</t>
        </is>
      </c>
      <c r="C46" s="34" t="n"/>
      <c r="D46" s="43">
        <f>IF(C46="Yes",10,IF(C46="Partial",5,IF(C46="No",0,0)))</f>
        <v/>
      </c>
      <c r="E46" s="28" t="n">
        <v>10</v>
      </c>
      <c r="F46" s="56" t="inlineStr">
        <is>
          <t>Swap cover to exterior or hero living shot. Bedroom covers are conversion killers.</t>
        </is>
      </c>
      <c r="J46" s="57">
        <f>(E46-D46)*30/10</f>
        <v/>
      </c>
    </row>
    <row r="47" ht="30" customHeight="1">
      <c r="A47" s="54" t="n">
        <v>16</v>
      </c>
      <c r="B47" s="55" t="inlineStr">
        <is>
          <t>Bedroom photo for every bedroom</t>
        </is>
      </c>
      <c r="C47" s="34" t="n"/>
      <c r="D47" s="43">
        <f>IF(C47="Yes",10,IF(C47="Partial",5,IF(C47="No",0,0)))</f>
        <v/>
      </c>
      <c r="E47" s="28" t="n">
        <v>10</v>
      </c>
      <c r="F47" s="56" t="inlineStr">
        <is>
          <t>Add at least one wide-angle shot per bedroom. Show the bed clearly.</t>
        </is>
      </c>
      <c r="J47" s="57">
        <f>(E47-D47)*30/10</f>
        <v/>
      </c>
    </row>
    <row r="48" ht="30" customHeight="1">
      <c r="A48" s="54" t="n">
        <v>17</v>
      </c>
      <c r="B48" s="55" t="inlineStr">
        <is>
          <t>Bathroom photo for every bathroom</t>
        </is>
      </c>
      <c r="C48" s="34" t="n"/>
      <c r="D48" s="43">
        <f>IF(C48="Yes",10,IF(C48="Partial",5,IF(C48="No",0,0)))</f>
        <v/>
      </c>
      <c r="E48" s="28" t="n">
        <v>10</v>
      </c>
      <c r="F48" s="56" t="inlineStr">
        <is>
          <t>Add bathroom shots. Highlight cleanliness, towels, walk-in shower if you have one.</t>
        </is>
      </c>
      <c r="J48" s="57">
        <f>(E48-D48)*30/10</f>
        <v/>
      </c>
    </row>
    <row r="49" ht="30" customHeight="1">
      <c r="A49" s="54" t="n">
        <v>18</v>
      </c>
      <c r="B49" s="55" t="inlineStr">
        <is>
          <t>Kitchen photo (wide + detail)</t>
        </is>
      </c>
      <c r="C49" s="34" t="n"/>
      <c r="D49" s="43">
        <f>IF(C49="Yes",10,IF(C49="Partial",5,IF(C49="No",0,0)))</f>
        <v/>
      </c>
      <c r="E49" s="28" t="n">
        <v>10</v>
      </c>
      <c r="F49" s="56" t="inlineStr">
        <is>
          <t>Add a wide kitchen shot plus 1 detail (coffee setup, island, range).</t>
        </is>
      </c>
      <c r="J49" s="57">
        <f>(E49-D49)*30/10</f>
        <v/>
      </c>
    </row>
    <row r="50" ht="30" customHeight="1">
      <c r="A50" s="54" t="n">
        <v>19</v>
      </c>
      <c r="B50" s="55" t="inlineStr">
        <is>
          <t>Living / common space photo</t>
        </is>
      </c>
      <c r="C50" s="34" t="n"/>
      <c r="D50" s="43">
        <f>IF(C50="Yes",10,IF(C50="Partial",5,IF(C50="No",0,0)))</f>
        <v/>
      </c>
      <c r="E50" s="28" t="n">
        <v>10</v>
      </c>
      <c r="F50" s="56" t="inlineStr">
        <is>
          <t>Show the main hangout space with sofa, lighting, and TV in frame.</t>
        </is>
      </c>
      <c r="J50" s="57">
        <f>(E50-D50)*30/10</f>
        <v/>
      </c>
    </row>
    <row r="51" ht="30" customHeight="1">
      <c r="A51" s="54" t="n">
        <v>20</v>
      </c>
      <c r="B51" s="55" t="inlineStr">
        <is>
          <t>Outdoor space photo (porch, deck, yard, view)</t>
        </is>
      </c>
      <c r="C51" s="34" t="n"/>
      <c r="D51" s="43">
        <f>IF(C51="Yes",10,IF(C51="Partial",5,IF(C51="No",0,0)))</f>
        <v/>
      </c>
      <c r="E51" s="28" t="n">
        <v>10</v>
      </c>
      <c r="F51" s="56" t="inlineStr">
        <is>
          <t>Add an outdoor shot. Hot tub at twilight or a deck view drives bookings.</t>
        </is>
      </c>
      <c r="J51" s="57">
        <f>(E51-D51)*30/10</f>
        <v/>
      </c>
    </row>
    <row r="52" ht="30" customHeight="1">
      <c r="A52" s="54" t="n">
        <v>21</v>
      </c>
      <c r="B52" s="55" t="inlineStr">
        <is>
          <t>Twilight or sunset photo</t>
        </is>
      </c>
      <c r="C52" s="34" t="n"/>
      <c r="D52" s="43">
        <f>IF(C52="Yes",10,IF(C52="Partial",5,IF(C52="No",0,0)))</f>
        <v/>
      </c>
      <c r="E52" s="28" t="n">
        <v>10</v>
      </c>
      <c r="F52" s="56" t="inlineStr">
        <is>
          <t>Add 1-2 twilight shots. Hire a pro or shoot 30 min after sunset, lights ON.</t>
        </is>
      </c>
      <c r="J52" s="57">
        <f>(E52-D52)*30/10</f>
        <v/>
      </c>
    </row>
    <row r="53" ht="30" customHeight="1">
      <c r="A53" s="54" t="n">
        <v>22</v>
      </c>
      <c r="B53" s="55" t="inlineStr">
        <is>
          <t>Professional quality (sharp, well-lit, level horizon)</t>
        </is>
      </c>
      <c r="C53" s="34" t="n"/>
      <c r="D53" s="43">
        <f>IF(C53="Yes",10,IF(C53="Partial",5,IF(C53="No",0,0)))</f>
        <v/>
      </c>
      <c r="E53" s="28" t="n">
        <v>10</v>
      </c>
      <c r="F53" s="56" t="inlineStr">
        <is>
          <t>Pay $250-500 for a 1-hour STR photographer. Highest-ROI marketing dollar you spend.</t>
        </is>
      </c>
      <c r="J53" s="57">
        <f>(E53-D53)*30/10</f>
        <v/>
      </c>
    </row>
    <row r="54" ht="30" customHeight="1">
      <c r="A54" s="54" t="n">
        <v>23</v>
      </c>
      <c r="B54" s="55" t="inlineStr">
        <is>
          <t>Photos sequenced as guest journey (arrival → living → bedrooms → bath → kitchen → outdoor)</t>
        </is>
      </c>
      <c r="C54" s="34" t="n"/>
      <c r="D54" s="43">
        <f>IF(C54="Yes",10,IF(C54="Partial",5,IF(C54="No",0,0)))</f>
        <v/>
      </c>
      <c r="E54" s="28" t="n">
        <v>10</v>
      </c>
      <c r="F54" s="56" t="inlineStr">
        <is>
          <t>Drag photos into journey order in the Airbnb editor. Cover, then living, then bedrooms.</t>
        </is>
      </c>
      <c r="J54" s="57">
        <f>(E54-D54)*30/10</f>
        <v/>
      </c>
    </row>
    <row r="55" ht="30" customHeight="1">
      <c r="A55" s="54" t="n">
        <v>24</v>
      </c>
      <c r="B55" s="55" t="inlineStr">
        <is>
          <t>Captions on every photo</t>
        </is>
      </c>
      <c r="C55" s="34" t="n"/>
      <c r="D55" s="43">
        <f>IF(C55="Yes",10,IF(C55="Partial",5,IF(C55="No",0,0)))</f>
        <v/>
      </c>
      <c r="E55" s="28" t="n">
        <v>10</v>
      </c>
      <c r="F55" s="56" t="inlineStr">
        <is>
          <t>Caption each photo: 'King bed with mountain view', not 'Bedroom 1'.</t>
        </is>
      </c>
      <c r="J55" s="57">
        <f>(E55-D55)*30/10</f>
        <v/>
      </c>
    </row>
    <row r="56" ht="30" customHeight="1">
      <c r="A56" s="54" t="n">
        <v>25</v>
      </c>
      <c r="B56" s="55" t="inlineStr">
        <is>
          <t>No phone-camera-mirror shots, no clutter visible</t>
        </is>
      </c>
      <c r="C56" s="34" t="n"/>
      <c r="D56" s="43">
        <f>IF(C56="Yes",10,IF(C56="Partial",5,IF(C56="No",0,0)))</f>
        <v/>
      </c>
      <c r="E56" s="28" t="n">
        <v>10</v>
      </c>
      <c r="F56" s="56" t="inlineStr">
        <is>
          <t>Remove any mirror-selfie shots. Hide cords, remotes, and personal items before shooting.</t>
        </is>
      </c>
      <c r="J56" s="57">
        <f>(E56-D56)*30/10</f>
        <v/>
      </c>
    </row>
    <row r="57" ht="22" customHeight="1">
      <c r="B57" s="58" t="inlineStr">
        <is>
          <t>Category C subtotal:</t>
        </is>
      </c>
      <c r="D57" s="59">
        <f>SUM(D45:D56)</f>
        <v/>
      </c>
      <c r="E57" s="60">
        <f>SUM(E45:E56)</f>
        <v/>
      </c>
    </row>
    <row r="59" ht="22" customHeight="1">
      <c r="A59" s="53" t="inlineStr">
        <is>
          <t>CATEGORY D — AMENITIES  ·  20% WEIGHT</t>
        </is>
      </c>
    </row>
    <row r="60" ht="30" customHeight="1">
      <c r="A60" s="54" t="n">
        <v>26</v>
      </c>
      <c r="B60" s="55" t="inlineStr">
        <is>
          <t>At least 40 amenities checked</t>
        </is>
      </c>
      <c r="C60" s="34" t="n"/>
      <c r="D60" s="43">
        <f>IF(C60="Yes",10,IF(C60="Partial",5,IF(C60="No",0,0)))</f>
        <v/>
      </c>
      <c r="E60" s="28" t="n">
        <v>10</v>
      </c>
      <c r="F60" s="56" t="inlineStr">
        <is>
          <t>Walk through the Airbnb amenity list and check everything you actually offer.</t>
        </is>
      </c>
      <c r="J60" s="57">
        <f>(E60-D60)*20/10</f>
        <v/>
      </c>
    </row>
    <row r="61" ht="30" customHeight="1">
      <c r="A61" s="54" t="n">
        <v>27</v>
      </c>
      <c r="B61" s="55" t="inlineStr">
        <is>
          <t>Top-tier amenities listed (hot tub / pool / view / fireplace)</t>
        </is>
      </c>
      <c r="C61" s="34" t="n"/>
      <c r="D61" s="43">
        <f>IF(C61="Yes",10,IF(C61="Partial",5,IF(C61="No",0,0)))</f>
        <v/>
      </c>
      <c r="E61" s="28" t="n">
        <v>10</v>
      </c>
      <c r="F61" s="56" t="inlineStr">
        <is>
          <t>If you have any of these, make sure they're checked AND mentioned in title/description.</t>
        </is>
      </c>
      <c r="J61" s="57">
        <f>(E61-D61)*20/10</f>
        <v/>
      </c>
    </row>
    <row r="62" ht="30" customHeight="1">
      <c r="A62" s="54" t="n">
        <v>28</v>
      </c>
      <c r="B62" s="55" t="inlineStr">
        <is>
          <t>Fast WiFi listed with speed (≥ 100 Mbps)</t>
        </is>
      </c>
      <c r="C62" s="34" t="n"/>
      <c r="D62" s="43">
        <f>IF(C62="Yes",10,IF(C62="Partial",5,IF(C62="No",0,0)))</f>
        <v/>
      </c>
      <c r="E62" s="28" t="n">
        <v>10</v>
      </c>
      <c r="F62" s="56" t="inlineStr">
        <is>
          <t>Add the speed. Run a speedtest, screenshot result, paste in description.</t>
        </is>
      </c>
      <c r="J62" s="57">
        <f>(E62-D62)*20/10</f>
        <v/>
      </c>
    </row>
    <row r="63" ht="30" customHeight="1">
      <c r="A63" s="54" t="n">
        <v>29</v>
      </c>
      <c r="B63" s="55" t="inlineStr">
        <is>
          <t>Workspace / desk listed</t>
        </is>
      </c>
      <c r="C63" s="34" t="n"/>
      <c r="D63" s="43">
        <f>IF(C63="Yes",10,IF(C63="Partial",5,IF(C63="No",0,0)))</f>
        <v/>
      </c>
      <c r="E63" s="28" t="n">
        <v>10</v>
      </c>
      <c r="F63" s="56" t="inlineStr">
        <is>
          <t>Add a desk + chair to a corner. 30%+ of weekday bookings filter for workspace.</t>
        </is>
      </c>
      <c r="J63" s="57">
        <f>(E63-D63)*20/10</f>
        <v/>
      </c>
    </row>
    <row r="64" ht="30" customHeight="1">
      <c r="A64" s="54" t="n">
        <v>30</v>
      </c>
      <c r="B64" s="55" t="inlineStr">
        <is>
          <t>Self check-in OR clear arrival instructions</t>
        </is>
      </c>
      <c r="C64" s="34" t="n"/>
      <c r="D64" s="43">
        <f>IF(C64="Yes",10,IF(C64="Partial",5,IF(C64="No",0,0)))</f>
        <v/>
      </c>
      <c r="E64" s="28" t="n">
        <v>10</v>
      </c>
      <c r="F64" s="56" t="inlineStr">
        <is>
          <t>Add a smart lock or lockbox. Self check-in unlocks Instant Book guest segments.</t>
        </is>
      </c>
      <c r="J64" s="57">
        <f>(E64-D64)*20/10</f>
        <v/>
      </c>
    </row>
    <row r="65" ht="30" customHeight="1">
      <c r="A65" s="54" t="n">
        <v>31</v>
      </c>
      <c r="B65" s="55" t="inlineStr">
        <is>
          <t>Pet policy clearly stated</t>
        </is>
      </c>
      <c r="C65" s="34" t="n"/>
      <c r="D65" s="43">
        <f>IF(C65="Yes",10,IF(C65="Partial",5,IF(C65="No",0,0)))</f>
        <v/>
      </c>
      <c r="E65" s="28" t="n">
        <v>10</v>
      </c>
      <c r="F65" s="56" t="inlineStr">
        <is>
          <t>State explicitly: 'Pet-friendly — 2 pets max, $25 fee per stay.'</t>
        </is>
      </c>
      <c r="J65" s="57">
        <f>(E65-D65)*20/10</f>
        <v/>
      </c>
    </row>
    <row r="66" ht="30" customHeight="1">
      <c r="A66" s="54" t="n">
        <v>32</v>
      </c>
      <c r="B66" s="55" t="inlineStr">
        <is>
          <t>Family-friendly amenities (if family-friendly listing)</t>
        </is>
      </c>
      <c r="C66" s="34" t="n"/>
      <c r="D66" s="43">
        <f>IF(C66="Yes",10,IF(C66="Partial",5,IF(C66="No",0,0)))</f>
        <v/>
      </c>
      <c r="E66" s="28" t="n">
        <v>10</v>
      </c>
      <c r="F66" s="56" t="inlineStr">
        <is>
          <t>Add: high chair, pack-n-play, board games, baby gates. Family searches filter for these.</t>
        </is>
      </c>
      <c r="J66" s="57">
        <f>(E66-D66)*20/10</f>
        <v/>
      </c>
    </row>
    <row r="67" ht="30" customHeight="1">
      <c r="A67" s="54" t="n">
        <v>33</v>
      </c>
      <c r="B67" s="55" t="inlineStr">
        <is>
          <t>Accessibility features listed</t>
        </is>
      </c>
      <c r="C67" s="34" t="n"/>
      <c r="D67" s="43">
        <f>IF(C67="Yes",10,IF(C67="Partial",5,IF(C67="No",0,0)))</f>
        <v/>
      </c>
      <c r="E67" s="28" t="n">
        <v>10</v>
      </c>
      <c r="F67" s="56" t="inlineStr">
        <is>
          <t>Audit accessibility: step-free entry, grab bars, wide doorways. Tag what applies.</t>
        </is>
      </c>
      <c r="J67" s="57">
        <f>(E67-D67)*20/10</f>
        <v/>
      </c>
    </row>
    <row r="68" ht="22" customHeight="1">
      <c r="B68" s="58" t="inlineStr">
        <is>
          <t>Category D subtotal:</t>
        </is>
      </c>
      <c r="D68" s="59">
        <f>SUM(D60:D67)</f>
        <v/>
      </c>
      <c r="E68" s="60">
        <f>SUM(E60:E67)</f>
        <v/>
      </c>
    </row>
    <row r="70" ht="22" customHeight="1">
      <c r="A70" s="53" t="inlineStr">
        <is>
          <t>CATEGORY E — TRUST SIGNALS (AIRBNB ALGORITHM)  ·  15% WEIGHT</t>
        </is>
      </c>
    </row>
    <row r="71" ht="30" customHeight="1">
      <c r="A71" s="54" t="n">
        <v>34</v>
      </c>
      <c r="B71" s="55" t="inlineStr">
        <is>
          <t>Response time &lt; 1 hour</t>
        </is>
      </c>
      <c r="C71" s="34" t="n"/>
      <c r="D71" s="43">
        <f>IF(C71="Yes",10,IF(C71="Partial",5,IF(C71="No",0,0)))</f>
        <v/>
      </c>
      <c r="E71" s="28" t="n">
        <v>10</v>
      </c>
      <c r="F71" s="56" t="inlineStr">
        <is>
          <t>Turn on Airbnb push notifications. Auto-reply messages count toward response time.</t>
        </is>
      </c>
      <c r="J71" s="57">
        <f>(E71-D71)*15/10</f>
        <v/>
      </c>
    </row>
    <row r="72" ht="30" customHeight="1">
      <c r="A72" s="54" t="n">
        <v>35</v>
      </c>
      <c r="B72" s="55" t="inlineStr">
        <is>
          <t>Response rate ≥ 95%</t>
        </is>
      </c>
      <c r="C72" s="34" t="n"/>
      <c r="D72" s="43">
        <f>IF(C72="Yes",10,IF(C72="Partial",5,IF(C72="No",0,0)))</f>
        <v/>
      </c>
      <c r="E72" s="28" t="n">
        <v>10</v>
      </c>
      <c r="F72" s="56" t="inlineStr">
        <is>
          <t>Reply to every inquiry within 24 hours, even with a 'one moment' holding message.</t>
        </is>
      </c>
      <c r="J72" s="57">
        <f>(E72-D72)*15/10</f>
        <v/>
      </c>
    </row>
    <row r="73" ht="30" customHeight="1">
      <c r="A73" s="54" t="n">
        <v>36</v>
      </c>
      <c r="B73" s="55" t="inlineStr">
        <is>
          <t>Instant Book is ON</t>
        </is>
      </c>
      <c r="C73" s="34" t="n"/>
      <c r="D73" s="43">
        <f>IF(C73="Yes",10,IF(C73="Partial",5,IF(C73="No",0,0)))</f>
        <v/>
      </c>
      <c r="E73" s="28" t="n">
        <v>10</v>
      </c>
      <c r="F73" s="56" t="inlineStr">
        <is>
          <t>Turn on Instant Book with verified-guest + good-reviews requirement. Biggest single ranking lift.</t>
        </is>
      </c>
      <c r="J73" s="57">
        <f>(E73-D73)*15/10</f>
        <v/>
      </c>
    </row>
    <row r="74" ht="30" customHeight="1">
      <c r="A74" s="54" t="n">
        <v>37</v>
      </c>
      <c r="B74" s="55" t="inlineStr">
        <is>
          <t>Superhost status</t>
        </is>
      </c>
      <c r="C74" s="34" t="n"/>
      <c r="D74" s="43">
        <f>IF(C74="Yes",10,IF(C74="Partial",5,IF(C74="No",0,0)))</f>
        <v/>
      </c>
      <c r="E74" s="28" t="n">
        <v>10</v>
      </c>
      <c r="F74" s="56" t="inlineStr">
        <is>
          <t>Maintain 4.8+ rating, 90%+ response, 1%+ cancel rate, 10+ stays per year.</t>
        </is>
      </c>
      <c r="J74" s="57">
        <f>(E74-D74)*15/10</f>
        <v/>
      </c>
    </row>
    <row r="75" ht="30" customHeight="1">
      <c r="A75" s="54" t="n">
        <v>38</v>
      </c>
      <c r="B75" s="55" t="inlineStr">
        <is>
          <t>Cancellation policy = Flexible or Moderate</t>
        </is>
      </c>
      <c r="C75" s="34" t="n"/>
      <c r="D75" s="43">
        <f>IF(C75="Yes",10,IF(C75="Partial",5,IF(C75="No",0,0)))</f>
        <v/>
      </c>
      <c r="E75" s="28" t="n">
        <v>10</v>
      </c>
      <c r="F75" s="56" t="inlineStr">
        <is>
          <t>Switch to Moderate. Strict policies suppress ranking and conversion both.</t>
        </is>
      </c>
      <c r="J75" s="57">
        <f>(E75-D75)*15/10</f>
        <v/>
      </c>
    </row>
    <row r="76" ht="30" customHeight="1">
      <c r="A76" s="54" t="n">
        <v>39</v>
      </c>
      <c r="B76" s="55" t="inlineStr">
        <is>
          <t>20+ reviews with 4.8+ avg</t>
        </is>
      </c>
      <c r="C76" s="34" t="n"/>
      <c r="D76" s="43">
        <f>IF(C76="Yes",10,IF(C76="Partial",5,IF(C76="No",0,0)))</f>
        <v/>
      </c>
      <c r="E76" s="28" t="n">
        <v>10</v>
      </c>
      <c r="F76" s="56" t="inlineStr">
        <is>
          <t>Until you hit 20 reviews, optimize EVERY stay for a 5-star: pre-arrival message, mid-stay check-in, post-stay thank-you.</t>
        </is>
      </c>
      <c r="J76" s="57">
        <f>(E76-D76)*15/10</f>
        <v/>
      </c>
    </row>
    <row r="77" ht="30" customHeight="1">
      <c r="A77" s="54" t="n">
        <v>40</v>
      </c>
      <c r="B77" s="55" t="inlineStr">
        <is>
          <t>Verified ID + government ID requirement set</t>
        </is>
      </c>
      <c r="C77" s="34" t="n"/>
      <c r="D77" s="43">
        <f>IF(C77="Yes",10,IF(C77="Partial",5,IF(C77="No",0,0)))</f>
        <v/>
      </c>
      <c r="E77" s="28" t="n">
        <v>10</v>
      </c>
      <c r="F77" s="56" t="inlineStr">
        <is>
          <t>In Settings, require government ID for booking. Reduces party / bad-guest risk.</t>
        </is>
      </c>
      <c r="J77" s="57">
        <f>(E77-D77)*15/10</f>
        <v/>
      </c>
    </row>
    <row r="78" ht="22" customHeight="1">
      <c r="B78" s="58" t="inlineStr">
        <is>
          <t>Category E subtotal:</t>
        </is>
      </c>
      <c r="D78" s="59">
        <f>SUM(D71:D77)</f>
        <v/>
      </c>
      <c r="E78" s="60">
        <f>SUM(E71:E77)</f>
        <v/>
      </c>
    </row>
    <row r="80" ht="26" customHeight="1">
      <c r="B80" s="45" t="inlineStr">
        <is>
          <t>OVERALL  (sum of weighted category scores)</t>
        </is>
      </c>
      <c r="D80" s="61">
        <f>SUM(D5:D9)</f>
        <v/>
      </c>
      <c r="E80" s="46">
        <f>E10</f>
        <v/>
      </c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</row>
    <row r="84" ht="18" customHeight="1">
      <c r="A84" s="28" t="inlineStr">
        <is>
          <t>Questions? hello@thestrledger.com</t>
        </is>
      </c>
    </row>
    <row r="85" ht="18" customHeight="1">
      <c r="A85" s="29" t="inlineStr">
        <is>
          <t>MKT-001 · Audit Score</t>
        </is>
      </c>
    </row>
  </sheetData>
  <mergeCells count="10">
    <mergeCell ref="A33:F33"/>
    <mergeCell ref="J2:L2"/>
    <mergeCell ref="D2:I2"/>
    <mergeCell ref="A44:F44"/>
    <mergeCell ref="A85:L85"/>
    <mergeCell ref="A70:F70"/>
    <mergeCell ref="A84:L84"/>
    <mergeCell ref="A59:F59"/>
    <mergeCell ref="A2:C2"/>
    <mergeCell ref="A25:F25"/>
  </mergeCells>
  <conditionalFormatting sqref="C11">
    <cfRule type="cellIs" priority="1" operator="lessThan" dxfId="0">
      <formula>60</formula>
    </cfRule>
  </conditionalFormatting>
  <conditionalFormatting sqref="C26:C30">
    <cfRule type="expression" priority="2" dxfId="0" stopIfTrue="0">
      <formula>$C26="No"</formula>
    </cfRule>
  </conditionalFormatting>
  <conditionalFormatting sqref="C34:C41">
    <cfRule type="expression" priority="3" dxfId="0" stopIfTrue="0">
      <formula>$C34="No"</formula>
    </cfRule>
  </conditionalFormatting>
  <conditionalFormatting sqref="C45:C56">
    <cfRule type="expression" priority="4" dxfId="0" stopIfTrue="0">
      <formula>$C45="No"</formula>
    </cfRule>
  </conditionalFormatting>
  <conditionalFormatting sqref="C60:C67">
    <cfRule type="expression" priority="5" dxfId="0" stopIfTrue="0">
      <formula>$C60="No"</formula>
    </cfRule>
  </conditionalFormatting>
  <conditionalFormatting sqref="C71:C77">
    <cfRule type="expression" priority="6" dxfId="0" stopIfTrue="0">
      <formula>$C71="No"</formula>
    </cfRule>
  </conditionalFormatting>
  <dataValidations count="5">
    <dataValidation sqref="C26:C30" showDropDown="0" showInputMessage="0" showErrorMessage="0" allowBlank="1" type="list">
      <formula1>"Yes,Partial,No"</formula1>
    </dataValidation>
    <dataValidation sqref="C34:C41" showDropDown="0" showInputMessage="0" showErrorMessage="0" allowBlank="1" type="list">
      <formula1>"Yes,Partial,No"</formula1>
    </dataValidation>
    <dataValidation sqref="C45:C56" showDropDown="0" showInputMessage="0" showErrorMessage="0" allowBlank="1" type="list">
      <formula1>"Yes,Partial,No"</formula1>
    </dataValidation>
    <dataValidation sqref="C60:C67" showDropDown="0" showInputMessage="0" showErrorMessage="0" allowBlank="1" type="list">
      <formula1>"Yes,Partial,No"</formula1>
    </dataValidation>
    <dataValidation sqref="C71:C77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HYPERLINK("#'Audit Score'!A1", "← BACK")</f>
        <v/>
      </c>
      <c r="B2" s="21" t="n"/>
      <c r="C2" s="21" t="n"/>
      <c r="D2" s="30" t="inlineStr">
        <is>
          <t>COMP COMPARE</t>
        </is>
      </c>
      <c r="J2" s="24">
        <f>HYPERLINK("#'Methodology'!A1",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1" t="inlineStr">
        <is>
          <t>Paste 5 competitor listings as you'd score them. The grid surfaces where comps beat you.</t>
        </is>
      </c>
    </row>
    <row r="6" ht="36" customHeight="1">
      <c r="B6" s="62" t="inlineStr">
        <is>
          <t>Comp →</t>
        </is>
      </c>
      <c r="C6" s="63" t="inlineStr">
        <is>
          <t>Mine</t>
        </is>
      </c>
      <c r="D6" s="64" t="n"/>
      <c r="E6" s="64" t="n"/>
      <c r="F6" s="64" t="n"/>
      <c r="G6" s="64" t="n"/>
      <c r="H6" s="64" t="n"/>
    </row>
    <row r="7" ht="22" customHeight="1">
      <c r="A7" s="52" t="inlineStr">
        <is>
          <t>ID</t>
        </is>
      </c>
      <c r="B7" s="52" t="inlineStr">
        <is>
          <t>Criterion</t>
        </is>
      </c>
      <c r="C7" s="52" t="inlineStr">
        <is>
          <t>Mine</t>
        </is>
      </c>
      <c r="D7" s="52" t="inlineStr">
        <is>
          <t>Comp 1</t>
        </is>
      </c>
      <c r="E7" s="52" t="inlineStr">
        <is>
          <t>Comp 2</t>
        </is>
      </c>
      <c r="F7" s="52" t="inlineStr">
        <is>
          <t>Comp 3</t>
        </is>
      </c>
      <c r="G7" s="52" t="inlineStr">
        <is>
          <t>Comp 4</t>
        </is>
      </c>
      <c r="H7" s="52" t="inlineStr">
        <is>
          <t>Comp 5</t>
        </is>
      </c>
    </row>
    <row r="9" ht="20" customHeight="1">
      <c r="A9" s="53" t="inlineStr">
        <is>
          <t>CATEGORY A — TITLE  ·  15% WEIGHT</t>
        </is>
      </c>
    </row>
    <row r="10" ht="22" customHeight="1">
      <c r="A10" s="65" t="n">
        <v>1</v>
      </c>
      <c r="B10" s="66" t="inlineStr">
        <is>
          <t>Title length 35-50 chars (sweet spot)</t>
        </is>
      </c>
      <c r="C10" s="67">
        <f>IFERROR(INDEX('Audit Score'!$C:$C,MATCH(1,'Audit Score'!$A:$A,0)),"")</f>
        <v/>
      </c>
      <c r="D10" s="34" t="n"/>
      <c r="E10" s="34" t="n"/>
      <c r="F10" s="34" t="n"/>
      <c r="G10" s="34" t="n"/>
      <c r="H10" s="34" t="n"/>
    </row>
    <row r="11" ht="22" customHeight="1">
      <c r="A11" s="65" t="n">
        <v>2</v>
      </c>
      <c r="B11" s="66" t="inlineStr">
        <is>
          <t>Includes city or neighborhood</t>
        </is>
      </c>
      <c r="C11" s="67">
        <f>IFERROR(INDEX('Audit Score'!$C:$C,MATCH(2,'Audit Score'!$A:$A,0)),"")</f>
        <v/>
      </c>
      <c r="D11" s="34" t="n"/>
      <c r="E11" s="34" t="n"/>
      <c r="F11" s="34" t="n"/>
      <c r="G11" s="34" t="n"/>
      <c r="H11" s="34" t="n"/>
    </row>
    <row r="12" ht="22" customHeight="1">
      <c r="A12" s="65" t="n">
        <v>3</v>
      </c>
      <c r="B12" s="66" t="inlineStr">
        <is>
          <t>Includes 1-2 highest-value amenities (hot tub / view / walkable)</t>
        </is>
      </c>
      <c r="C12" s="67">
        <f>IFERROR(INDEX('Audit Score'!$C:$C,MATCH(3,'Audit Score'!$A:$A,0)),"")</f>
        <v/>
      </c>
      <c r="D12" s="34" t="n"/>
      <c r="E12" s="34" t="n"/>
      <c r="F12" s="34" t="n"/>
      <c r="G12" s="34" t="n"/>
      <c r="H12" s="34" t="n"/>
    </row>
    <row r="13" ht="22" customHeight="1">
      <c r="A13" s="65" t="n">
        <v>4</v>
      </c>
      <c r="B13" s="66" t="inlineStr">
        <is>
          <t>No ALL CAPS, no emojis, no clickbait</t>
        </is>
      </c>
      <c r="C13" s="67">
        <f>IFERROR(INDEX('Audit Score'!$C:$C,MATCH(4,'Audit Score'!$A:$A,0)),"")</f>
        <v/>
      </c>
      <c r="D13" s="34" t="n"/>
      <c r="E13" s="34" t="n"/>
      <c r="F13" s="34" t="n"/>
      <c r="G13" s="34" t="n"/>
      <c r="H13" s="34" t="n"/>
    </row>
    <row r="14" ht="22" customHeight="1">
      <c r="A14" s="65" t="n">
        <v>5</v>
      </c>
      <c r="B14" s="66" t="inlineStr">
        <is>
          <t>Differentiating phrase or experience hook</t>
        </is>
      </c>
      <c r="C14" s="67">
        <f>IFERROR(INDEX('Audit Score'!$C:$C,MATCH(5,'Audit Score'!$A:$A,0)),"")</f>
        <v/>
      </c>
      <c r="D14" s="34" t="n"/>
      <c r="E14" s="34" t="n"/>
      <c r="F14" s="34" t="n"/>
      <c r="G14" s="34" t="n"/>
      <c r="H14" s="34" t="n"/>
    </row>
    <row r="15" ht="20" customHeight="1">
      <c r="A15" s="53" t="inlineStr">
        <is>
          <t>CATEGORY B — DESCRIPTION  ·  20% WEIGHT</t>
        </is>
      </c>
    </row>
    <row r="16" ht="22" customHeight="1">
      <c r="A16" s="65" t="n">
        <v>6</v>
      </c>
      <c r="B16" s="66" t="inlineStr">
        <is>
          <t>Opens with a hook line (NOT 'Welcome to my home!')</t>
        </is>
      </c>
      <c r="C16" s="67">
        <f>IFERROR(INDEX('Audit Score'!$C:$C,MATCH(6,'Audit Score'!$A:$A,0)),"")</f>
        <v/>
      </c>
      <c r="D16" s="34" t="n"/>
      <c r="E16" s="34" t="n"/>
      <c r="F16" s="34" t="n"/>
      <c r="G16" s="34" t="n"/>
      <c r="H16" s="34" t="n"/>
    </row>
    <row r="17" ht="22" customHeight="1">
      <c r="A17" s="65" t="n">
        <v>7</v>
      </c>
      <c r="B17" s="66" t="inlineStr">
        <is>
          <t>Length between 150-500 words</t>
        </is>
      </c>
      <c r="C17" s="67">
        <f>IFERROR(INDEX('Audit Score'!$C:$C,MATCH(7,'Audit Score'!$A:$A,0)),"")</f>
        <v/>
      </c>
      <c r="D17" s="34" t="n"/>
      <c r="E17" s="34" t="n"/>
      <c r="F17" s="34" t="n"/>
      <c r="G17" s="34" t="n"/>
      <c r="H17" s="34" t="n"/>
    </row>
    <row r="18" ht="22" customHeight="1">
      <c r="A18" s="65" t="n">
        <v>8</v>
      </c>
      <c r="B18" s="66" t="inlineStr">
        <is>
          <t>Lists what makes property unique in first 3 sentences</t>
        </is>
      </c>
      <c r="C18" s="67">
        <f>IFERROR(INDEX('Audit Score'!$C:$C,MATCH(8,'Audit Score'!$A:$A,0)),"")</f>
        <v/>
      </c>
      <c r="D18" s="34" t="n"/>
      <c r="E18" s="34" t="n"/>
      <c r="F18" s="34" t="n"/>
      <c r="G18" s="34" t="n"/>
      <c r="H18" s="34" t="n"/>
    </row>
    <row r="19" ht="22" customHeight="1">
      <c r="A19" s="65" t="n">
        <v>9</v>
      </c>
      <c r="B19" s="66" t="inlineStr">
        <is>
          <t>Mentions surrounding area + walkability or drive times</t>
        </is>
      </c>
      <c r="C19" s="67">
        <f>IFERROR(INDEX('Audit Score'!$C:$C,MATCH(9,'Audit Score'!$A:$A,0)),"")</f>
        <v/>
      </c>
      <c r="D19" s="34" t="n"/>
      <c r="E19" s="34" t="n"/>
      <c r="F19" s="34" t="n"/>
      <c r="G19" s="34" t="n"/>
      <c r="H19" s="34" t="n"/>
    </row>
    <row r="20" ht="22" customHeight="1">
      <c r="A20" s="65" t="n">
        <v>10</v>
      </c>
      <c r="B20" s="66" t="inlineStr">
        <is>
          <t>Has dedicated bedrooms section with sleeping config</t>
        </is>
      </c>
      <c r="C20" s="67">
        <f>IFERROR(INDEX('Audit Score'!$C:$C,MATCH(10,'Audit Score'!$A:$A,0)),"")</f>
        <v/>
      </c>
      <c r="D20" s="34" t="n"/>
      <c r="E20" s="34" t="n"/>
      <c r="F20" s="34" t="n"/>
      <c r="G20" s="34" t="n"/>
      <c r="H20" s="34" t="n"/>
    </row>
    <row r="21" ht="22" customHeight="1">
      <c r="A21" s="65" t="n">
        <v>11</v>
      </c>
      <c r="B21" s="66" t="inlineStr">
        <is>
          <t>Has dedicated amenities section (formatted, scannable)</t>
        </is>
      </c>
      <c r="C21" s="67">
        <f>IFERROR(INDEX('Audit Score'!$C:$C,MATCH(11,'Audit Score'!$A:$A,0)),"")</f>
        <v/>
      </c>
      <c r="D21" s="34" t="n"/>
      <c r="E21" s="34" t="n"/>
      <c r="F21" s="34" t="n"/>
      <c r="G21" s="34" t="n"/>
      <c r="H21" s="34" t="n"/>
    </row>
    <row r="22" ht="22" customHeight="1">
      <c r="A22" s="65" t="n">
        <v>12</v>
      </c>
      <c r="B22" s="66" t="inlineStr">
        <is>
          <t>Includes house rules (positive framing)</t>
        </is>
      </c>
      <c r="C22" s="67">
        <f>IFERROR(INDEX('Audit Score'!$C:$C,MATCH(12,'Audit Score'!$A:$A,0)),"")</f>
        <v/>
      </c>
      <c r="D22" s="34" t="n"/>
      <c r="E22" s="34" t="n"/>
      <c r="F22" s="34" t="n"/>
      <c r="G22" s="34" t="n"/>
      <c r="H22" s="34" t="n"/>
    </row>
    <row r="23" ht="22" customHeight="1">
      <c r="A23" s="65" t="n">
        <v>13</v>
      </c>
      <c r="B23" s="66" t="inlineStr">
        <is>
          <t>Closes with hospitality / response promise</t>
        </is>
      </c>
      <c r="C23" s="67">
        <f>IFERROR(INDEX('Audit Score'!$C:$C,MATCH(13,'Audit Score'!$A:$A,0)),"")</f>
        <v/>
      </c>
      <c r="D23" s="34" t="n"/>
      <c r="E23" s="34" t="n"/>
      <c r="F23" s="34" t="n"/>
      <c r="G23" s="34" t="n"/>
      <c r="H23" s="34" t="n"/>
    </row>
    <row r="24" ht="20" customHeight="1">
      <c r="A24" s="53" t="inlineStr">
        <is>
          <t>CATEGORY C — PHOTOS  ·  30% WEIGHT</t>
        </is>
      </c>
    </row>
    <row r="25" ht="22" customHeight="1">
      <c r="A25" s="65" t="n">
        <v>14</v>
      </c>
      <c r="B25" s="66" t="inlineStr">
        <is>
          <t>At least 25 photos posted</t>
        </is>
      </c>
      <c r="C25" s="67">
        <f>IFERROR(INDEX('Audit Score'!$C:$C,MATCH(14,'Audit Score'!$A:$A,0)),"")</f>
        <v/>
      </c>
      <c r="D25" s="34" t="n"/>
      <c r="E25" s="34" t="n"/>
      <c r="F25" s="34" t="n"/>
      <c r="G25" s="34" t="n"/>
      <c r="H25" s="34" t="n"/>
    </row>
    <row r="26" ht="22" customHeight="1">
      <c r="A26" s="65" t="n">
        <v>15</v>
      </c>
      <c r="B26" s="66" t="inlineStr">
        <is>
          <t>Cover photo is exterior or hero interior shot</t>
        </is>
      </c>
      <c r="C26" s="67">
        <f>IFERROR(INDEX('Audit Score'!$C:$C,MATCH(15,'Audit Score'!$A:$A,0)),"")</f>
        <v/>
      </c>
      <c r="D26" s="34" t="n"/>
      <c r="E26" s="34" t="n"/>
      <c r="F26" s="34" t="n"/>
      <c r="G26" s="34" t="n"/>
      <c r="H26" s="34" t="n"/>
    </row>
    <row r="27" ht="22" customHeight="1">
      <c r="A27" s="65" t="n">
        <v>16</v>
      </c>
      <c r="B27" s="66" t="inlineStr">
        <is>
          <t>Bedroom photo for every bedroom</t>
        </is>
      </c>
      <c r="C27" s="67">
        <f>IFERROR(INDEX('Audit Score'!$C:$C,MATCH(16,'Audit Score'!$A:$A,0)),"")</f>
        <v/>
      </c>
      <c r="D27" s="34" t="n"/>
      <c r="E27" s="34" t="n"/>
      <c r="F27" s="34" t="n"/>
      <c r="G27" s="34" t="n"/>
      <c r="H27" s="34" t="n"/>
    </row>
    <row r="28" ht="22" customHeight="1">
      <c r="A28" s="65" t="n">
        <v>17</v>
      </c>
      <c r="B28" s="66" t="inlineStr">
        <is>
          <t>Bathroom photo for every bathroom</t>
        </is>
      </c>
      <c r="C28" s="67">
        <f>IFERROR(INDEX('Audit Score'!$C:$C,MATCH(17,'Audit Score'!$A:$A,0)),"")</f>
        <v/>
      </c>
      <c r="D28" s="34" t="n"/>
      <c r="E28" s="34" t="n"/>
      <c r="F28" s="34" t="n"/>
      <c r="G28" s="34" t="n"/>
      <c r="H28" s="34" t="n"/>
    </row>
    <row r="29" ht="22" customHeight="1">
      <c r="A29" s="65" t="n">
        <v>18</v>
      </c>
      <c r="B29" s="66" t="inlineStr">
        <is>
          <t>Kitchen photo (wide + detail)</t>
        </is>
      </c>
      <c r="C29" s="67">
        <f>IFERROR(INDEX('Audit Score'!$C:$C,MATCH(18,'Audit Score'!$A:$A,0)),"")</f>
        <v/>
      </c>
      <c r="D29" s="34" t="n"/>
      <c r="E29" s="34" t="n"/>
      <c r="F29" s="34" t="n"/>
      <c r="G29" s="34" t="n"/>
      <c r="H29" s="34" t="n"/>
    </row>
    <row r="30" ht="22" customHeight="1">
      <c r="A30" s="65" t="n">
        <v>19</v>
      </c>
      <c r="B30" s="66" t="inlineStr">
        <is>
          <t>Living / common space photo</t>
        </is>
      </c>
      <c r="C30" s="67">
        <f>IFERROR(INDEX('Audit Score'!$C:$C,MATCH(19,'Audit Score'!$A:$A,0)),"")</f>
        <v/>
      </c>
      <c r="D30" s="34" t="n"/>
      <c r="E30" s="34" t="n"/>
      <c r="F30" s="34" t="n"/>
      <c r="G30" s="34" t="n"/>
      <c r="H30" s="34" t="n"/>
    </row>
    <row r="31" ht="22" customHeight="1">
      <c r="A31" s="65" t="n">
        <v>20</v>
      </c>
      <c r="B31" s="66" t="inlineStr">
        <is>
          <t>Outdoor space photo (porch, deck, yard, view)</t>
        </is>
      </c>
      <c r="C31" s="67">
        <f>IFERROR(INDEX('Audit Score'!$C:$C,MATCH(20,'Audit Score'!$A:$A,0)),"")</f>
        <v/>
      </c>
      <c r="D31" s="34" t="n"/>
      <c r="E31" s="34" t="n"/>
      <c r="F31" s="34" t="n"/>
      <c r="G31" s="34" t="n"/>
      <c r="H31" s="34" t="n"/>
    </row>
    <row r="32" ht="22" customHeight="1">
      <c r="A32" s="65" t="n">
        <v>21</v>
      </c>
      <c r="B32" s="66" t="inlineStr">
        <is>
          <t>Twilight or sunset photo</t>
        </is>
      </c>
      <c r="C32" s="67">
        <f>IFERROR(INDEX('Audit Score'!$C:$C,MATCH(21,'Audit Score'!$A:$A,0)),"")</f>
        <v/>
      </c>
      <c r="D32" s="34" t="n"/>
      <c r="E32" s="34" t="n"/>
      <c r="F32" s="34" t="n"/>
      <c r="G32" s="34" t="n"/>
      <c r="H32" s="34" t="n"/>
    </row>
    <row r="33" ht="22" customHeight="1">
      <c r="A33" s="65" t="n">
        <v>22</v>
      </c>
      <c r="B33" s="66" t="inlineStr">
        <is>
          <t>Professional quality (sharp, well-lit, level horizon)</t>
        </is>
      </c>
      <c r="C33" s="67">
        <f>IFERROR(INDEX('Audit Score'!$C:$C,MATCH(22,'Audit Score'!$A:$A,0)),"")</f>
        <v/>
      </c>
      <c r="D33" s="34" t="n"/>
      <c r="E33" s="34" t="n"/>
      <c r="F33" s="34" t="n"/>
      <c r="G33" s="34" t="n"/>
      <c r="H33" s="34" t="n"/>
    </row>
    <row r="34" ht="22" customHeight="1">
      <c r="A34" s="65" t="n">
        <v>23</v>
      </c>
      <c r="B34" s="66" t="inlineStr">
        <is>
          <t>Photos sequenced as guest journey (arrival → living → bedrooms → bath → kitchen → outdoor)</t>
        </is>
      </c>
      <c r="C34" s="67">
        <f>IFERROR(INDEX('Audit Score'!$C:$C,MATCH(23,'Audit Score'!$A:$A,0)),"")</f>
        <v/>
      </c>
      <c r="D34" s="34" t="n"/>
      <c r="E34" s="34" t="n"/>
      <c r="F34" s="34" t="n"/>
      <c r="G34" s="34" t="n"/>
      <c r="H34" s="34" t="n"/>
    </row>
    <row r="35" ht="22" customHeight="1">
      <c r="A35" s="65" t="n">
        <v>24</v>
      </c>
      <c r="B35" s="66" t="inlineStr">
        <is>
          <t>Captions on every photo</t>
        </is>
      </c>
      <c r="C35" s="67">
        <f>IFERROR(INDEX('Audit Score'!$C:$C,MATCH(24,'Audit Score'!$A:$A,0)),"")</f>
        <v/>
      </c>
      <c r="D35" s="34" t="n"/>
      <c r="E35" s="34" t="n"/>
      <c r="F35" s="34" t="n"/>
      <c r="G35" s="34" t="n"/>
      <c r="H35" s="34" t="n"/>
    </row>
    <row r="36" ht="22" customHeight="1">
      <c r="A36" s="65" t="n">
        <v>25</v>
      </c>
      <c r="B36" s="66" t="inlineStr">
        <is>
          <t>No phone-camera-mirror shots, no clutter visible</t>
        </is>
      </c>
      <c r="C36" s="67">
        <f>IFERROR(INDEX('Audit Score'!$C:$C,MATCH(25,'Audit Score'!$A:$A,0)),"")</f>
        <v/>
      </c>
      <c r="D36" s="34" t="n"/>
      <c r="E36" s="34" t="n"/>
      <c r="F36" s="34" t="n"/>
      <c r="G36" s="34" t="n"/>
      <c r="H36" s="34" t="n"/>
    </row>
    <row r="37" ht="20" customHeight="1">
      <c r="A37" s="53" t="inlineStr">
        <is>
          <t>CATEGORY D — AMENITIES  ·  20% WEIGHT</t>
        </is>
      </c>
    </row>
    <row r="38" ht="22" customHeight="1">
      <c r="A38" s="65" t="n">
        <v>26</v>
      </c>
      <c r="B38" s="66" t="inlineStr">
        <is>
          <t>At least 40 amenities checked</t>
        </is>
      </c>
      <c r="C38" s="67">
        <f>IFERROR(INDEX('Audit Score'!$C:$C,MATCH(26,'Audit Score'!$A:$A,0)),"")</f>
        <v/>
      </c>
      <c r="D38" s="34" t="n"/>
      <c r="E38" s="34" t="n"/>
      <c r="F38" s="34" t="n"/>
      <c r="G38" s="34" t="n"/>
      <c r="H38" s="34" t="n"/>
    </row>
    <row r="39" ht="22" customHeight="1">
      <c r="A39" s="65" t="n">
        <v>27</v>
      </c>
      <c r="B39" s="66" t="inlineStr">
        <is>
          <t>Top-tier amenities listed (hot tub / pool / view / fireplace)</t>
        </is>
      </c>
      <c r="C39" s="67">
        <f>IFERROR(INDEX('Audit Score'!$C:$C,MATCH(27,'Audit Score'!$A:$A,0)),"")</f>
        <v/>
      </c>
      <c r="D39" s="34" t="n"/>
      <c r="E39" s="34" t="n"/>
      <c r="F39" s="34" t="n"/>
      <c r="G39" s="34" t="n"/>
      <c r="H39" s="34" t="n"/>
    </row>
    <row r="40" ht="22" customHeight="1">
      <c r="A40" s="65" t="n">
        <v>28</v>
      </c>
      <c r="B40" s="66" t="inlineStr">
        <is>
          <t>Fast WiFi listed with speed (≥ 100 Mbps)</t>
        </is>
      </c>
      <c r="C40" s="67">
        <f>IFERROR(INDEX('Audit Score'!$C:$C,MATCH(28,'Audit Score'!$A:$A,0)),"")</f>
        <v/>
      </c>
      <c r="D40" s="34" t="n"/>
      <c r="E40" s="34" t="n"/>
      <c r="F40" s="34" t="n"/>
      <c r="G40" s="34" t="n"/>
      <c r="H40" s="34" t="n"/>
    </row>
    <row r="41" ht="22" customHeight="1">
      <c r="A41" s="65" t="n">
        <v>29</v>
      </c>
      <c r="B41" s="66" t="inlineStr">
        <is>
          <t>Workspace / desk listed</t>
        </is>
      </c>
      <c r="C41" s="67">
        <f>IFERROR(INDEX('Audit Score'!$C:$C,MATCH(29,'Audit Score'!$A:$A,0)),"")</f>
        <v/>
      </c>
      <c r="D41" s="34" t="n"/>
      <c r="E41" s="34" t="n"/>
      <c r="F41" s="34" t="n"/>
      <c r="G41" s="34" t="n"/>
      <c r="H41" s="34" t="n"/>
    </row>
    <row r="42" ht="22" customHeight="1">
      <c r="A42" s="65" t="n">
        <v>30</v>
      </c>
      <c r="B42" s="66" t="inlineStr">
        <is>
          <t>Self check-in OR clear arrival instructions</t>
        </is>
      </c>
      <c r="C42" s="67">
        <f>IFERROR(INDEX('Audit Score'!$C:$C,MATCH(30,'Audit Score'!$A:$A,0)),"")</f>
        <v/>
      </c>
      <c r="D42" s="34" t="n"/>
      <c r="E42" s="34" t="n"/>
      <c r="F42" s="34" t="n"/>
      <c r="G42" s="34" t="n"/>
      <c r="H42" s="34" t="n"/>
    </row>
    <row r="43" ht="22" customHeight="1">
      <c r="A43" s="65" t="n">
        <v>31</v>
      </c>
      <c r="B43" s="66" t="inlineStr">
        <is>
          <t>Pet policy clearly stated</t>
        </is>
      </c>
      <c r="C43" s="67">
        <f>IFERROR(INDEX('Audit Score'!$C:$C,MATCH(31,'Audit Score'!$A:$A,0)),"")</f>
        <v/>
      </c>
      <c r="D43" s="34" t="n"/>
      <c r="E43" s="34" t="n"/>
      <c r="F43" s="34" t="n"/>
      <c r="G43" s="34" t="n"/>
      <c r="H43" s="34" t="n"/>
    </row>
    <row r="44" ht="22" customHeight="1">
      <c r="A44" s="65" t="n">
        <v>32</v>
      </c>
      <c r="B44" s="66" t="inlineStr">
        <is>
          <t>Family-friendly amenities (if family-friendly listing)</t>
        </is>
      </c>
      <c r="C44" s="67">
        <f>IFERROR(INDEX('Audit Score'!$C:$C,MATCH(32,'Audit Score'!$A:$A,0)),"")</f>
        <v/>
      </c>
      <c r="D44" s="34" t="n"/>
      <c r="E44" s="34" t="n"/>
      <c r="F44" s="34" t="n"/>
      <c r="G44" s="34" t="n"/>
      <c r="H44" s="34" t="n"/>
    </row>
    <row r="45" ht="22" customHeight="1">
      <c r="A45" s="65" t="n">
        <v>33</v>
      </c>
      <c r="B45" s="66" t="inlineStr">
        <is>
          <t>Accessibility features listed</t>
        </is>
      </c>
      <c r="C45" s="67">
        <f>IFERROR(INDEX('Audit Score'!$C:$C,MATCH(33,'Audit Score'!$A:$A,0)),"")</f>
        <v/>
      </c>
      <c r="D45" s="34" t="n"/>
      <c r="E45" s="34" t="n"/>
      <c r="F45" s="34" t="n"/>
      <c r="G45" s="34" t="n"/>
      <c r="H45" s="34" t="n"/>
    </row>
    <row r="46" ht="20" customHeight="1">
      <c r="A46" s="53" t="inlineStr">
        <is>
          <t>CATEGORY E — TRUST SIGNALS (AIRBNB ALGORITHM)  ·  15% WEIGHT</t>
        </is>
      </c>
    </row>
    <row r="47" ht="22" customHeight="1">
      <c r="A47" s="65" t="n">
        <v>34</v>
      </c>
      <c r="B47" s="66" t="inlineStr">
        <is>
          <t>Response time &lt; 1 hour</t>
        </is>
      </c>
      <c r="C47" s="67">
        <f>IFERROR(INDEX('Audit Score'!$C:$C,MATCH(34,'Audit Score'!$A:$A,0)),"")</f>
        <v/>
      </c>
      <c r="D47" s="34" t="n"/>
      <c r="E47" s="34" t="n"/>
      <c r="F47" s="34" t="n"/>
      <c r="G47" s="34" t="n"/>
      <c r="H47" s="34" t="n"/>
    </row>
    <row r="48" ht="22" customHeight="1">
      <c r="A48" s="65" t="n">
        <v>35</v>
      </c>
      <c r="B48" s="66" t="inlineStr">
        <is>
          <t>Response rate ≥ 95%</t>
        </is>
      </c>
      <c r="C48" s="67">
        <f>IFERROR(INDEX('Audit Score'!$C:$C,MATCH(35,'Audit Score'!$A:$A,0)),"")</f>
        <v/>
      </c>
      <c r="D48" s="34" t="n"/>
      <c r="E48" s="34" t="n"/>
      <c r="F48" s="34" t="n"/>
      <c r="G48" s="34" t="n"/>
      <c r="H48" s="34" t="n"/>
    </row>
    <row r="49" ht="22" customHeight="1">
      <c r="A49" s="65" t="n">
        <v>36</v>
      </c>
      <c r="B49" s="66" t="inlineStr">
        <is>
          <t>Instant Book is ON</t>
        </is>
      </c>
      <c r="C49" s="67">
        <f>IFERROR(INDEX('Audit Score'!$C:$C,MATCH(36,'Audit Score'!$A:$A,0)),"")</f>
        <v/>
      </c>
      <c r="D49" s="34" t="n"/>
      <c r="E49" s="34" t="n"/>
      <c r="F49" s="34" t="n"/>
      <c r="G49" s="34" t="n"/>
      <c r="H49" s="34" t="n"/>
    </row>
    <row r="50" ht="22" customHeight="1">
      <c r="A50" s="65" t="n">
        <v>37</v>
      </c>
      <c r="B50" s="66" t="inlineStr">
        <is>
          <t>Superhost status</t>
        </is>
      </c>
      <c r="C50" s="67">
        <f>IFERROR(INDEX('Audit Score'!$C:$C,MATCH(37,'Audit Score'!$A:$A,0)),"")</f>
        <v/>
      </c>
      <c r="D50" s="34" t="n"/>
      <c r="E50" s="34" t="n"/>
      <c r="F50" s="34" t="n"/>
      <c r="G50" s="34" t="n"/>
      <c r="H50" s="34" t="n"/>
    </row>
    <row r="51" ht="22" customHeight="1">
      <c r="A51" s="65" t="n">
        <v>38</v>
      </c>
      <c r="B51" s="66" t="inlineStr">
        <is>
          <t>Cancellation policy = Flexible or Moderate</t>
        </is>
      </c>
      <c r="C51" s="67">
        <f>IFERROR(INDEX('Audit Score'!$C:$C,MATCH(38,'Audit Score'!$A:$A,0)),"")</f>
        <v/>
      </c>
      <c r="D51" s="34" t="n"/>
      <c r="E51" s="34" t="n"/>
      <c r="F51" s="34" t="n"/>
      <c r="G51" s="34" t="n"/>
      <c r="H51" s="34" t="n"/>
    </row>
    <row r="52" ht="22" customHeight="1">
      <c r="A52" s="65" t="n">
        <v>39</v>
      </c>
      <c r="B52" s="66" t="inlineStr">
        <is>
          <t>20+ reviews with 4.8+ avg</t>
        </is>
      </c>
      <c r="C52" s="67">
        <f>IFERROR(INDEX('Audit Score'!$C:$C,MATCH(39,'Audit Score'!$A:$A,0)),"")</f>
        <v/>
      </c>
      <c r="D52" s="34" t="n"/>
      <c r="E52" s="34" t="n"/>
      <c r="F52" s="34" t="n"/>
      <c r="G52" s="34" t="n"/>
      <c r="H52" s="34" t="n"/>
    </row>
    <row r="53" ht="22" customHeight="1">
      <c r="A53" s="65" t="n">
        <v>40</v>
      </c>
      <c r="B53" s="66" t="inlineStr">
        <is>
          <t>Verified ID + government ID requirement set</t>
        </is>
      </c>
      <c r="C53" s="67">
        <f>IFERROR(INDEX('Audit Score'!$C:$C,MATCH(40,'Audit Score'!$A:$A,0)),"")</f>
        <v/>
      </c>
      <c r="D53" s="34" t="n"/>
      <c r="E53" s="34" t="n"/>
      <c r="F53" s="34" t="n"/>
      <c r="G53" s="34" t="n"/>
      <c r="H53" s="34" t="n"/>
    </row>
    <row r="55" ht="16" customHeight="1">
      <c r="A55" s="68" t="inlineStr">
        <is>
          <t>Red cells = comp beats you on that criterion. Score each comp the same way you scored your own listing. Pick comps that are roughly the same beds/baths/lot.</t>
        </is>
      </c>
    </row>
    <row r="56" ht="16" customHeight="1"/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</row>
    <row r="60" ht="18" customHeight="1">
      <c r="A60" s="28" t="inlineStr">
        <is>
          <t>Questions? hello@thestrledger.com</t>
        </is>
      </c>
    </row>
    <row r="61" ht="18" customHeight="1">
      <c r="A61" s="29" t="inlineStr">
        <is>
          <t>MKT-001 · Comp Compare</t>
        </is>
      </c>
    </row>
  </sheetData>
  <mergeCells count="12">
    <mergeCell ref="A9:H9"/>
    <mergeCell ref="J2:L2"/>
    <mergeCell ref="D2:I2"/>
    <mergeCell ref="A46:H46"/>
    <mergeCell ref="A15:H15"/>
    <mergeCell ref="A60:L60"/>
    <mergeCell ref="A55:H56"/>
    <mergeCell ref="A24:H24"/>
    <mergeCell ref="A61:L61"/>
    <mergeCell ref="A37:H37"/>
    <mergeCell ref="A2:C2"/>
    <mergeCell ref="A4:L4"/>
  </mergeCells>
  <conditionalFormatting sqref="D10:D53">
    <cfRule type="expression" priority="1" dxfId="0" stopIfTrue="0">
      <formula>AND($D10="Yes",$C10&lt;&gt;"Yes")</formula>
    </cfRule>
  </conditionalFormatting>
  <conditionalFormatting sqref="E10:E53">
    <cfRule type="expression" priority="2" dxfId="0" stopIfTrue="0">
      <formula>AND($E10="Yes",$C10&lt;&gt;"Yes")</formula>
    </cfRule>
  </conditionalFormatting>
  <conditionalFormatting sqref="F10:F53">
    <cfRule type="expression" priority="3" dxfId="0" stopIfTrue="0">
      <formula>AND($F10="Yes",$C10&lt;&gt;"Yes")</formula>
    </cfRule>
  </conditionalFormatting>
  <conditionalFormatting sqref="G10:G53">
    <cfRule type="expression" priority="4" dxfId="0" stopIfTrue="0">
      <formula>AND($G10="Yes",$C10&lt;&gt;"Yes")</formula>
    </cfRule>
  </conditionalFormatting>
  <conditionalFormatting sqref="H10:H53">
    <cfRule type="expression" priority="5" dxfId="0" stopIfTrue="0">
      <formula>AND($H10="Yes",$C10&lt;&gt;"Yes")</formula>
    </cfRule>
  </conditionalFormatting>
  <dataValidations count="200">
    <dataValidation sqref="D10" showDropDown="0" showInputMessage="0" showErrorMessage="0" allowBlank="1" type="list">
      <formula1>"Yes,Partial,No"</formula1>
    </dataValidation>
    <dataValidation sqref="E10" showDropDown="0" showInputMessage="0" showErrorMessage="0" allowBlank="1" type="list">
      <formula1>"Yes,Partial,No"</formula1>
    </dataValidation>
    <dataValidation sqref="F10" showDropDown="0" showInputMessage="0" showErrorMessage="0" allowBlank="1" type="list">
      <formula1>"Yes,Partial,No"</formula1>
    </dataValidation>
    <dataValidation sqref="G10" showDropDown="0" showInputMessage="0" showErrorMessage="0" allowBlank="1" type="list">
      <formula1>"Yes,Partial,No"</formula1>
    </dataValidation>
    <dataValidation sqref="H10" showDropDown="0" showInputMessage="0" showErrorMessage="0" allowBlank="1" type="list">
      <formula1>"Yes,Partial,No"</formula1>
    </dataValidation>
    <dataValidation sqref="D11" showDropDown="0" showInputMessage="0" showErrorMessage="0" allowBlank="1" type="list">
      <formula1>"Yes,Partial,No"</formula1>
    </dataValidation>
    <dataValidation sqref="E11" showDropDown="0" showInputMessage="0" showErrorMessage="0" allowBlank="1" type="list">
      <formula1>"Yes,Partial,No"</formula1>
    </dataValidation>
    <dataValidation sqref="F11" showDropDown="0" showInputMessage="0" showErrorMessage="0" allowBlank="1" type="list">
      <formula1>"Yes,Partial,No"</formula1>
    </dataValidation>
    <dataValidation sqref="G11" showDropDown="0" showInputMessage="0" showErrorMessage="0" allowBlank="1" type="list">
      <formula1>"Yes,Partial,No"</formula1>
    </dataValidation>
    <dataValidation sqref="H11" showDropDown="0" showInputMessage="0" showErrorMessage="0" allowBlank="1" type="list">
      <formula1>"Yes,Partial,No"</formula1>
    </dataValidation>
    <dataValidation sqref="D12" showDropDown="0" showInputMessage="0" showErrorMessage="0" allowBlank="1" type="list">
      <formula1>"Yes,Partial,No"</formula1>
    </dataValidation>
    <dataValidation sqref="E12" showDropDown="0" showInputMessage="0" showErrorMessage="0" allowBlank="1" type="list">
      <formula1>"Yes,Partial,No"</formula1>
    </dataValidation>
    <dataValidation sqref="F12" showDropDown="0" showInputMessage="0" showErrorMessage="0" allowBlank="1" type="list">
      <formula1>"Yes,Partial,No"</formula1>
    </dataValidation>
    <dataValidation sqref="G12" showDropDown="0" showInputMessage="0" showErrorMessage="0" allowBlank="1" type="list">
      <formula1>"Yes,Partial,No"</formula1>
    </dataValidation>
    <dataValidation sqref="H12" showDropDown="0" showInputMessage="0" showErrorMessage="0" allowBlank="1" type="list">
      <formula1>"Yes,Partial,No"</formula1>
    </dataValidation>
    <dataValidation sqref="D13" showDropDown="0" showInputMessage="0" showErrorMessage="0" allowBlank="1" type="list">
      <formula1>"Yes,Partial,No"</formula1>
    </dataValidation>
    <dataValidation sqref="E13" showDropDown="0" showInputMessage="0" showErrorMessage="0" allowBlank="1" type="list">
      <formula1>"Yes,Partial,No"</formula1>
    </dataValidation>
    <dataValidation sqref="F13" showDropDown="0" showInputMessage="0" showErrorMessage="0" allowBlank="1" type="list">
      <formula1>"Yes,Partial,No"</formula1>
    </dataValidation>
    <dataValidation sqref="G13" showDropDown="0" showInputMessage="0" showErrorMessage="0" allowBlank="1" type="list">
      <formula1>"Yes,Partial,No"</formula1>
    </dataValidation>
    <dataValidation sqref="H13" showDropDown="0" showInputMessage="0" showErrorMessage="0" allowBlank="1" type="list">
      <formula1>"Yes,Partial,No"</formula1>
    </dataValidation>
    <dataValidation sqref="D14" showDropDown="0" showInputMessage="0" showErrorMessage="0" allowBlank="1" type="list">
      <formula1>"Yes,Partial,No"</formula1>
    </dataValidation>
    <dataValidation sqref="E14" showDropDown="0" showInputMessage="0" showErrorMessage="0" allowBlank="1" type="list">
      <formula1>"Yes,Partial,No"</formula1>
    </dataValidation>
    <dataValidation sqref="F14" showDropDown="0" showInputMessage="0" showErrorMessage="0" allowBlank="1" type="list">
      <formula1>"Yes,Partial,No"</formula1>
    </dataValidation>
    <dataValidation sqref="G14" showDropDown="0" showInputMessage="0" showErrorMessage="0" allowBlank="1" type="list">
      <formula1>"Yes,Partial,No"</formula1>
    </dataValidation>
    <dataValidation sqref="H14" showDropDown="0" showInputMessage="0" showErrorMessage="0" allowBlank="1" type="list">
      <formula1>"Yes,Partial,No"</formula1>
    </dataValidation>
    <dataValidation sqref="D16" showDropDown="0" showInputMessage="0" showErrorMessage="0" allowBlank="1" type="list">
      <formula1>"Yes,Partial,No"</formula1>
    </dataValidation>
    <dataValidation sqref="E16" showDropDown="0" showInputMessage="0" showErrorMessage="0" allowBlank="1" type="list">
      <formula1>"Yes,Partial,No"</formula1>
    </dataValidation>
    <dataValidation sqref="F16" showDropDown="0" showInputMessage="0" showErrorMessage="0" allowBlank="1" type="list">
      <formula1>"Yes,Partial,No"</formula1>
    </dataValidation>
    <dataValidation sqref="G16" showDropDown="0" showInputMessage="0" showErrorMessage="0" allowBlank="1" type="list">
      <formula1>"Yes,Partial,No"</formula1>
    </dataValidation>
    <dataValidation sqref="H16" showDropDown="0" showInputMessage="0" showErrorMessage="0" allowBlank="1" type="list">
      <formula1>"Yes,Partial,No"</formula1>
    </dataValidation>
    <dataValidation sqref="D17" showDropDown="0" showInputMessage="0" showErrorMessage="0" allowBlank="1" type="list">
      <formula1>"Yes,Partial,No"</formula1>
    </dataValidation>
    <dataValidation sqref="E17" showDropDown="0" showInputMessage="0" showErrorMessage="0" allowBlank="1" type="list">
      <formula1>"Yes,Partial,No"</formula1>
    </dataValidation>
    <dataValidation sqref="F17" showDropDown="0" showInputMessage="0" showErrorMessage="0" allowBlank="1" type="list">
      <formula1>"Yes,Partial,No"</formula1>
    </dataValidation>
    <dataValidation sqref="G17" showDropDown="0" showInputMessage="0" showErrorMessage="0" allowBlank="1" type="list">
      <formula1>"Yes,Partial,No"</formula1>
    </dataValidation>
    <dataValidation sqref="H17" showDropDown="0" showInputMessage="0" showErrorMessage="0" allowBlank="1" type="list">
      <formula1>"Yes,Partial,No"</formula1>
    </dataValidation>
    <dataValidation sqref="D18" showDropDown="0" showInputMessage="0" showErrorMessage="0" allowBlank="1" type="list">
      <formula1>"Yes,Partial,No"</formula1>
    </dataValidation>
    <dataValidation sqref="E18" showDropDown="0" showInputMessage="0" showErrorMessage="0" allowBlank="1" type="list">
      <formula1>"Yes,Partial,No"</formula1>
    </dataValidation>
    <dataValidation sqref="F18" showDropDown="0" showInputMessage="0" showErrorMessage="0" allowBlank="1" type="list">
      <formula1>"Yes,Partial,No"</formula1>
    </dataValidation>
    <dataValidation sqref="G18" showDropDown="0" showInputMessage="0" showErrorMessage="0" allowBlank="1" type="list">
      <formula1>"Yes,Partial,No"</formula1>
    </dataValidation>
    <dataValidation sqref="H18" showDropDown="0" showInputMessage="0" showErrorMessage="0" allowBlank="1" type="list">
      <formula1>"Yes,Partial,No"</formula1>
    </dataValidation>
    <dataValidation sqref="D19" showDropDown="0" showInputMessage="0" showErrorMessage="0" allowBlank="1" type="list">
      <formula1>"Yes,Partial,No"</formula1>
    </dataValidation>
    <dataValidation sqref="E19" showDropDown="0" showInputMessage="0" showErrorMessage="0" allowBlank="1" type="list">
      <formula1>"Yes,Partial,No"</formula1>
    </dataValidation>
    <dataValidation sqref="F19" showDropDown="0" showInputMessage="0" showErrorMessage="0" allowBlank="1" type="list">
      <formula1>"Yes,Partial,No"</formula1>
    </dataValidation>
    <dataValidation sqref="G19" showDropDown="0" showInputMessage="0" showErrorMessage="0" allowBlank="1" type="list">
      <formula1>"Yes,Partial,No"</formula1>
    </dataValidation>
    <dataValidation sqref="H19" showDropDown="0" showInputMessage="0" showErrorMessage="0" allowBlank="1" type="list">
      <formula1>"Yes,Partial,No"</formula1>
    </dataValidation>
    <dataValidation sqref="D20" showDropDown="0" showInputMessage="0" showErrorMessage="0" allowBlank="1" type="list">
      <formula1>"Yes,Partial,No"</formula1>
    </dataValidation>
    <dataValidation sqref="E20" showDropDown="0" showInputMessage="0" showErrorMessage="0" allowBlank="1" type="list">
      <formula1>"Yes,Partial,No"</formula1>
    </dataValidation>
    <dataValidation sqref="F20" showDropDown="0" showInputMessage="0" showErrorMessage="0" allowBlank="1" type="list">
      <formula1>"Yes,Partial,No"</formula1>
    </dataValidation>
    <dataValidation sqref="G20" showDropDown="0" showInputMessage="0" showErrorMessage="0" allowBlank="1" type="list">
      <formula1>"Yes,Partial,No"</formula1>
    </dataValidation>
    <dataValidation sqref="H20" showDropDown="0" showInputMessage="0" showErrorMessage="0" allowBlank="1" type="list">
      <formula1>"Yes,Partial,No"</formula1>
    </dataValidation>
    <dataValidation sqref="D21" showDropDown="0" showInputMessage="0" showErrorMessage="0" allowBlank="1" type="list">
      <formula1>"Yes,Partial,No"</formula1>
    </dataValidation>
    <dataValidation sqref="E21" showDropDown="0" showInputMessage="0" showErrorMessage="0" allowBlank="1" type="list">
      <formula1>"Yes,Partial,No"</formula1>
    </dataValidation>
    <dataValidation sqref="F21" showDropDown="0" showInputMessage="0" showErrorMessage="0" allowBlank="1" type="list">
      <formula1>"Yes,Partial,No"</formula1>
    </dataValidation>
    <dataValidation sqref="G21" showDropDown="0" showInputMessage="0" showErrorMessage="0" allowBlank="1" type="list">
      <formula1>"Yes,Partial,No"</formula1>
    </dataValidation>
    <dataValidation sqref="H21" showDropDown="0" showInputMessage="0" showErrorMessage="0" allowBlank="1" type="list">
      <formula1>"Yes,Partial,No"</formula1>
    </dataValidation>
    <dataValidation sqref="D22" showDropDown="0" showInputMessage="0" showErrorMessage="0" allowBlank="1" type="list">
      <formula1>"Yes,Partial,No"</formula1>
    </dataValidation>
    <dataValidation sqref="E22" showDropDown="0" showInputMessage="0" showErrorMessage="0" allowBlank="1" type="list">
      <formula1>"Yes,Partial,No"</formula1>
    </dataValidation>
    <dataValidation sqref="F22" showDropDown="0" showInputMessage="0" showErrorMessage="0" allowBlank="1" type="list">
      <formula1>"Yes,Partial,No"</formula1>
    </dataValidation>
    <dataValidation sqref="G22" showDropDown="0" showInputMessage="0" showErrorMessage="0" allowBlank="1" type="list">
      <formula1>"Yes,Partial,No"</formula1>
    </dataValidation>
    <dataValidation sqref="H22" showDropDown="0" showInputMessage="0" showErrorMessage="0" allowBlank="1" type="list">
      <formula1>"Yes,Partial,No"</formula1>
    </dataValidation>
    <dataValidation sqref="D23" showDropDown="0" showInputMessage="0" showErrorMessage="0" allowBlank="1" type="list">
      <formula1>"Yes,Partial,No"</formula1>
    </dataValidation>
    <dataValidation sqref="E23" showDropDown="0" showInputMessage="0" showErrorMessage="0" allowBlank="1" type="list">
      <formula1>"Yes,Partial,No"</formula1>
    </dataValidation>
    <dataValidation sqref="F23" showDropDown="0" showInputMessage="0" showErrorMessage="0" allowBlank="1" type="list">
      <formula1>"Yes,Partial,No"</formula1>
    </dataValidation>
    <dataValidation sqref="G23" showDropDown="0" showInputMessage="0" showErrorMessage="0" allowBlank="1" type="list">
      <formula1>"Yes,Partial,No"</formula1>
    </dataValidation>
    <dataValidation sqref="H23" showDropDown="0" showInputMessage="0" showErrorMessage="0" allowBlank="1" type="list">
      <formula1>"Yes,Partial,No"</formula1>
    </dataValidation>
    <dataValidation sqref="D25" showDropDown="0" showInputMessage="0" showErrorMessage="0" allowBlank="1" type="list">
      <formula1>"Yes,Partial,No"</formula1>
    </dataValidation>
    <dataValidation sqref="E25" showDropDown="0" showInputMessage="0" showErrorMessage="0" allowBlank="1" type="list">
      <formula1>"Yes,Partial,No"</formula1>
    </dataValidation>
    <dataValidation sqref="F25" showDropDown="0" showInputMessage="0" showErrorMessage="0" allowBlank="1" type="list">
      <formula1>"Yes,Partial,No"</formula1>
    </dataValidation>
    <dataValidation sqref="G25" showDropDown="0" showInputMessage="0" showErrorMessage="0" allowBlank="1" type="list">
      <formula1>"Yes,Partial,No"</formula1>
    </dataValidation>
    <dataValidation sqref="H25" showDropDown="0" showInputMessage="0" showErrorMessage="0" allowBlank="1" type="list">
      <formula1>"Yes,Partial,No"</formula1>
    </dataValidation>
    <dataValidation sqref="D26" showDropDown="0" showInputMessage="0" showErrorMessage="0" allowBlank="1" type="list">
      <formula1>"Yes,Partial,No"</formula1>
    </dataValidation>
    <dataValidation sqref="E26" showDropDown="0" showInputMessage="0" showErrorMessage="0" allowBlank="1" type="list">
      <formula1>"Yes,Partial,No"</formula1>
    </dataValidation>
    <dataValidation sqref="F26" showDropDown="0" showInputMessage="0" showErrorMessage="0" allowBlank="1" type="list">
      <formula1>"Yes,Partial,No"</formula1>
    </dataValidation>
    <dataValidation sqref="G26" showDropDown="0" showInputMessage="0" showErrorMessage="0" allowBlank="1" type="list">
      <formula1>"Yes,Partial,No"</formula1>
    </dataValidation>
    <dataValidation sqref="H26" showDropDown="0" showInputMessage="0" showErrorMessage="0" allowBlank="1" type="list">
      <formula1>"Yes,Partial,No"</formula1>
    </dataValidation>
    <dataValidation sqref="D27" showDropDown="0" showInputMessage="0" showErrorMessage="0" allowBlank="1" type="list">
      <formula1>"Yes,Partial,No"</formula1>
    </dataValidation>
    <dataValidation sqref="E27" showDropDown="0" showInputMessage="0" showErrorMessage="0" allowBlank="1" type="list">
      <formula1>"Yes,Partial,No"</formula1>
    </dataValidation>
    <dataValidation sqref="F27" showDropDown="0" showInputMessage="0" showErrorMessage="0" allowBlank="1" type="list">
      <formula1>"Yes,Partial,No"</formula1>
    </dataValidation>
    <dataValidation sqref="G27" showDropDown="0" showInputMessage="0" showErrorMessage="0" allowBlank="1" type="list">
      <formula1>"Yes,Partial,No"</formula1>
    </dataValidation>
    <dataValidation sqref="H27" showDropDown="0" showInputMessage="0" showErrorMessage="0" allowBlank="1" type="list">
      <formula1>"Yes,Partial,No"</formula1>
    </dataValidation>
    <dataValidation sqref="D28" showDropDown="0" showInputMessage="0" showErrorMessage="0" allowBlank="1" type="list">
      <formula1>"Yes,Partial,No"</formula1>
    </dataValidation>
    <dataValidation sqref="E28" showDropDown="0" showInputMessage="0" showErrorMessage="0" allowBlank="1" type="list">
      <formula1>"Yes,Partial,No"</formula1>
    </dataValidation>
    <dataValidation sqref="F28" showDropDown="0" showInputMessage="0" showErrorMessage="0" allowBlank="1" type="list">
      <formula1>"Yes,Partial,No"</formula1>
    </dataValidation>
    <dataValidation sqref="G28" showDropDown="0" showInputMessage="0" showErrorMessage="0" allowBlank="1" type="list">
      <formula1>"Yes,Partial,No"</formula1>
    </dataValidation>
    <dataValidation sqref="H28" showDropDown="0" showInputMessage="0" showErrorMessage="0" allowBlank="1" type="list">
      <formula1>"Yes,Partial,No"</formula1>
    </dataValidation>
    <dataValidation sqref="D29" showDropDown="0" showInputMessage="0" showErrorMessage="0" allowBlank="1" type="list">
      <formula1>"Yes,Partial,No"</formula1>
    </dataValidation>
    <dataValidation sqref="E29" showDropDown="0" showInputMessage="0" showErrorMessage="0" allowBlank="1" type="list">
      <formula1>"Yes,Partial,No"</formula1>
    </dataValidation>
    <dataValidation sqref="F29" showDropDown="0" showInputMessage="0" showErrorMessage="0" allowBlank="1" type="list">
      <formula1>"Yes,Partial,No"</formula1>
    </dataValidation>
    <dataValidation sqref="G29" showDropDown="0" showInputMessage="0" showErrorMessage="0" allowBlank="1" type="list">
      <formula1>"Yes,Partial,No"</formula1>
    </dataValidation>
    <dataValidation sqref="H29" showDropDown="0" showInputMessage="0" showErrorMessage="0" allowBlank="1" type="list">
      <formula1>"Yes,Partial,No"</formula1>
    </dataValidation>
    <dataValidation sqref="D30" showDropDown="0" showInputMessage="0" showErrorMessage="0" allowBlank="1" type="list">
      <formula1>"Yes,Partial,No"</formula1>
    </dataValidation>
    <dataValidation sqref="E30" showDropDown="0" showInputMessage="0" showErrorMessage="0" allowBlank="1" type="list">
      <formula1>"Yes,Partial,No"</formula1>
    </dataValidation>
    <dataValidation sqref="F30" showDropDown="0" showInputMessage="0" showErrorMessage="0" allowBlank="1" type="list">
      <formula1>"Yes,Partial,No"</formula1>
    </dataValidation>
    <dataValidation sqref="G30" showDropDown="0" showInputMessage="0" showErrorMessage="0" allowBlank="1" type="list">
      <formula1>"Yes,Partial,No"</formula1>
    </dataValidation>
    <dataValidation sqref="H30" showDropDown="0" showInputMessage="0" showErrorMessage="0" allowBlank="1" type="list">
      <formula1>"Yes,Partial,No"</formula1>
    </dataValidation>
    <dataValidation sqref="D31" showDropDown="0" showInputMessage="0" showErrorMessage="0" allowBlank="1" type="list">
      <formula1>"Yes,Partial,No"</formula1>
    </dataValidation>
    <dataValidation sqref="E31" showDropDown="0" showInputMessage="0" showErrorMessage="0" allowBlank="1" type="list">
      <formula1>"Yes,Partial,No"</formula1>
    </dataValidation>
    <dataValidation sqref="F31" showDropDown="0" showInputMessage="0" showErrorMessage="0" allowBlank="1" type="list">
      <formula1>"Yes,Partial,No"</formula1>
    </dataValidation>
    <dataValidation sqref="G31" showDropDown="0" showInputMessage="0" showErrorMessage="0" allowBlank="1" type="list">
      <formula1>"Yes,Partial,No"</formula1>
    </dataValidation>
    <dataValidation sqref="H31" showDropDown="0" showInputMessage="0" showErrorMessage="0" allowBlank="1" type="list">
      <formula1>"Yes,Partial,No"</formula1>
    </dataValidation>
    <dataValidation sqref="D32" showDropDown="0" showInputMessage="0" showErrorMessage="0" allowBlank="1" type="list">
      <formula1>"Yes,Partial,No"</formula1>
    </dataValidation>
    <dataValidation sqref="E32" showDropDown="0" showInputMessage="0" showErrorMessage="0" allowBlank="1" type="list">
      <formula1>"Yes,Partial,No"</formula1>
    </dataValidation>
    <dataValidation sqref="F32" showDropDown="0" showInputMessage="0" showErrorMessage="0" allowBlank="1" type="list">
      <formula1>"Yes,Partial,No"</formula1>
    </dataValidation>
    <dataValidation sqref="G32" showDropDown="0" showInputMessage="0" showErrorMessage="0" allowBlank="1" type="list">
      <formula1>"Yes,Partial,No"</formula1>
    </dataValidation>
    <dataValidation sqref="H32" showDropDown="0" showInputMessage="0" showErrorMessage="0" allowBlank="1" type="list">
      <formula1>"Yes,Partial,No"</formula1>
    </dataValidation>
    <dataValidation sqref="D33" showDropDown="0" showInputMessage="0" showErrorMessage="0" allowBlank="1" type="list">
      <formula1>"Yes,Partial,No"</formula1>
    </dataValidation>
    <dataValidation sqref="E33" showDropDown="0" showInputMessage="0" showErrorMessage="0" allowBlank="1" type="list">
      <formula1>"Yes,Partial,No"</formula1>
    </dataValidation>
    <dataValidation sqref="F33" showDropDown="0" showInputMessage="0" showErrorMessage="0" allowBlank="1" type="list">
      <formula1>"Yes,Partial,No"</formula1>
    </dataValidation>
    <dataValidation sqref="G33" showDropDown="0" showInputMessage="0" showErrorMessage="0" allowBlank="1" type="list">
      <formula1>"Yes,Partial,No"</formula1>
    </dataValidation>
    <dataValidation sqref="H33" showDropDown="0" showInputMessage="0" showErrorMessage="0" allowBlank="1" type="list">
      <formula1>"Yes,Partial,No"</formula1>
    </dataValidation>
    <dataValidation sqref="D34" showDropDown="0" showInputMessage="0" showErrorMessage="0" allowBlank="1" type="list">
      <formula1>"Yes,Partial,No"</formula1>
    </dataValidation>
    <dataValidation sqref="E34" showDropDown="0" showInputMessage="0" showErrorMessage="0" allowBlank="1" type="list">
      <formula1>"Yes,Partial,No"</formula1>
    </dataValidation>
    <dataValidation sqref="F34" showDropDown="0" showInputMessage="0" showErrorMessage="0" allowBlank="1" type="list">
      <formula1>"Yes,Partial,No"</formula1>
    </dataValidation>
    <dataValidation sqref="G34" showDropDown="0" showInputMessage="0" showErrorMessage="0" allowBlank="1" type="list">
      <formula1>"Yes,Partial,No"</formula1>
    </dataValidation>
    <dataValidation sqref="H34" showDropDown="0" showInputMessage="0" showErrorMessage="0" allowBlank="1" type="list">
      <formula1>"Yes,Partial,No"</formula1>
    </dataValidation>
    <dataValidation sqref="D35" showDropDown="0" showInputMessage="0" showErrorMessage="0" allowBlank="1" type="list">
      <formula1>"Yes,Partial,No"</formula1>
    </dataValidation>
    <dataValidation sqref="E35" showDropDown="0" showInputMessage="0" showErrorMessage="0" allowBlank="1" type="list">
      <formula1>"Yes,Partial,No"</formula1>
    </dataValidation>
    <dataValidation sqref="F35" showDropDown="0" showInputMessage="0" showErrorMessage="0" allowBlank="1" type="list">
      <formula1>"Yes,Partial,No"</formula1>
    </dataValidation>
    <dataValidation sqref="G35" showDropDown="0" showInputMessage="0" showErrorMessage="0" allowBlank="1" type="list">
      <formula1>"Yes,Partial,No"</formula1>
    </dataValidation>
    <dataValidation sqref="H35" showDropDown="0" showInputMessage="0" showErrorMessage="0" allowBlank="1" type="list">
      <formula1>"Yes,Partial,No"</formula1>
    </dataValidation>
    <dataValidation sqref="D36" showDropDown="0" showInputMessage="0" showErrorMessage="0" allowBlank="1" type="list">
      <formula1>"Yes,Partial,No"</formula1>
    </dataValidation>
    <dataValidation sqref="E36" showDropDown="0" showInputMessage="0" showErrorMessage="0" allowBlank="1" type="list">
      <formula1>"Yes,Partial,No"</formula1>
    </dataValidation>
    <dataValidation sqref="F36" showDropDown="0" showInputMessage="0" showErrorMessage="0" allowBlank="1" type="list">
      <formula1>"Yes,Partial,No"</formula1>
    </dataValidation>
    <dataValidation sqref="G36" showDropDown="0" showInputMessage="0" showErrorMessage="0" allowBlank="1" type="list">
      <formula1>"Yes,Partial,No"</formula1>
    </dataValidation>
    <dataValidation sqref="H36" showDropDown="0" showInputMessage="0" showErrorMessage="0" allowBlank="1" type="list">
      <formula1>"Yes,Partial,No"</formula1>
    </dataValidation>
    <dataValidation sqref="D38" showDropDown="0" showInputMessage="0" showErrorMessage="0" allowBlank="1" type="list">
      <formula1>"Yes,Partial,No"</formula1>
    </dataValidation>
    <dataValidation sqref="E38" showDropDown="0" showInputMessage="0" showErrorMessage="0" allowBlank="1" type="list">
      <formula1>"Yes,Partial,No"</formula1>
    </dataValidation>
    <dataValidation sqref="F38" showDropDown="0" showInputMessage="0" showErrorMessage="0" allowBlank="1" type="list">
      <formula1>"Yes,Partial,No"</formula1>
    </dataValidation>
    <dataValidation sqref="G38" showDropDown="0" showInputMessage="0" showErrorMessage="0" allowBlank="1" type="list">
      <formula1>"Yes,Partial,No"</formula1>
    </dataValidation>
    <dataValidation sqref="H38" showDropDown="0" showInputMessage="0" showErrorMessage="0" allowBlank="1" type="list">
      <formula1>"Yes,Partial,No"</formula1>
    </dataValidation>
    <dataValidation sqref="D39" showDropDown="0" showInputMessage="0" showErrorMessage="0" allowBlank="1" type="list">
      <formula1>"Yes,Partial,No"</formula1>
    </dataValidation>
    <dataValidation sqref="E39" showDropDown="0" showInputMessage="0" showErrorMessage="0" allowBlank="1" type="list">
      <formula1>"Yes,Partial,No"</formula1>
    </dataValidation>
    <dataValidation sqref="F39" showDropDown="0" showInputMessage="0" showErrorMessage="0" allowBlank="1" type="list">
      <formula1>"Yes,Partial,No"</formula1>
    </dataValidation>
    <dataValidation sqref="G39" showDropDown="0" showInputMessage="0" showErrorMessage="0" allowBlank="1" type="list">
      <formula1>"Yes,Partial,No"</formula1>
    </dataValidation>
    <dataValidation sqref="H39" showDropDown="0" showInputMessage="0" showErrorMessage="0" allowBlank="1" type="list">
      <formula1>"Yes,Partial,No"</formula1>
    </dataValidation>
    <dataValidation sqref="D40" showDropDown="0" showInputMessage="0" showErrorMessage="0" allowBlank="1" type="list">
      <formula1>"Yes,Partial,No"</formula1>
    </dataValidation>
    <dataValidation sqref="E40" showDropDown="0" showInputMessage="0" showErrorMessage="0" allowBlank="1" type="list">
      <formula1>"Yes,Partial,No"</formula1>
    </dataValidation>
    <dataValidation sqref="F40" showDropDown="0" showInputMessage="0" showErrorMessage="0" allowBlank="1" type="list">
      <formula1>"Yes,Partial,No"</formula1>
    </dataValidation>
    <dataValidation sqref="G40" showDropDown="0" showInputMessage="0" showErrorMessage="0" allowBlank="1" type="list">
      <formula1>"Yes,Partial,No"</formula1>
    </dataValidation>
    <dataValidation sqref="H40" showDropDown="0" showInputMessage="0" showErrorMessage="0" allowBlank="1" type="list">
      <formula1>"Yes,Partial,No"</formula1>
    </dataValidation>
    <dataValidation sqref="D41" showDropDown="0" showInputMessage="0" showErrorMessage="0" allowBlank="1" type="list">
      <formula1>"Yes,Partial,No"</formula1>
    </dataValidation>
    <dataValidation sqref="E41" showDropDown="0" showInputMessage="0" showErrorMessage="0" allowBlank="1" type="list">
      <formula1>"Yes,Partial,No"</formula1>
    </dataValidation>
    <dataValidation sqref="F41" showDropDown="0" showInputMessage="0" showErrorMessage="0" allowBlank="1" type="list">
      <formula1>"Yes,Partial,No"</formula1>
    </dataValidation>
    <dataValidation sqref="G41" showDropDown="0" showInputMessage="0" showErrorMessage="0" allowBlank="1" type="list">
      <formula1>"Yes,Partial,No"</formula1>
    </dataValidation>
    <dataValidation sqref="H41" showDropDown="0" showInputMessage="0" showErrorMessage="0" allowBlank="1" type="list">
      <formula1>"Yes,Partial,No"</formula1>
    </dataValidation>
    <dataValidation sqref="D42" showDropDown="0" showInputMessage="0" showErrorMessage="0" allowBlank="1" type="list">
      <formula1>"Yes,Partial,No"</formula1>
    </dataValidation>
    <dataValidation sqref="E42" showDropDown="0" showInputMessage="0" showErrorMessage="0" allowBlank="1" type="list">
      <formula1>"Yes,Partial,No"</formula1>
    </dataValidation>
    <dataValidation sqref="F42" showDropDown="0" showInputMessage="0" showErrorMessage="0" allowBlank="1" type="list">
      <formula1>"Yes,Partial,No"</formula1>
    </dataValidation>
    <dataValidation sqref="G42" showDropDown="0" showInputMessage="0" showErrorMessage="0" allowBlank="1" type="list">
      <formula1>"Yes,Partial,No"</formula1>
    </dataValidation>
    <dataValidation sqref="H42" showDropDown="0" showInputMessage="0" showErrorMessage="0" allowBlank="1" type="list">
      <formula1>"Yes,Partial,No"</formula1>
    </dataValidation>
    <dataValidation sqref="D43" showDropDown="0" showInputMessage="0" showErrorMessage="0" allowBlank="1" type="list">
      <formula1>"Yes,Partial,No"</formula1>
    </dataValidation>
    <dataValidation sqref="E43" showDropDown="0" showInputMessage="0" showErrorMessage="0" allowBlank="1" type="list">
      <formula1>"Yes,Partial,No"</formula1>
    </dataValidation>
    <dataValidation sqref="F43" showDropDown="0" showInputMessage="0" showErrorMessage="0" allowBlank="1" type="list">
      <formula1>"Yes,Partial,No"</formula1>
    </dataValidation>
    <dataValidation sqref="G43" showDropDown="0" showInputMessage="0" showErrorMessage="0" allowBlank="1" type="list">
      <formula1>"Yes,Partial,No"</formula1>
    </dataValidation>
    <dataValidation sqref="H43" showDropDown="0" showInputMessage="0" showErrorMessage="0" allowBlank="1" type="list">
      <formula1>"Yes,Partial,No"</formula1>
    </dataValidation>
    <dataValidation sqref="D44" showDropDown="0" showInputMessage="0" showErrorMessage="0" allowBlank="1" type="list">
      <formula1>"Yes,Partial,No"</formula1>
    </dataValidation>
    <dataValidation sqref="E44" showDropDown="0" showInputMessage="0" showErrorMessage="0" allowBlank="1" type="list">
      <formula1>"Yes,Partial,No"</formula1>
    </dataValidation>
    <dataValidation sqref="F44" showDropDown="0" showInputMessage="0" showErrorMessage="0" allowBlank="1" type="list">
      <formula1>"Yes,Partial,No"</formula1>
    </dataValidation>
    <dataValidation sqref="G44" showDropDown="0" showInputMessage="0" showErrorMessage="0" allowBlank="1" type="list">
      <formula1>"Yes,Partial,No"</formula1>
    </dataValidation>
    <dataValidation sqref="H44" showDropDown="0" showInputMessage="0" showErrorMessage="0" allowBlank="1" type="list">
      <formula1>"Yes,Partial,No"</formula1>
    </dataValidation>
    <dataValidation sqref="D45" showDropDown="0" showInputMessage="0" showErrorMessage="0" allowBlank="1" type="list">
      <formula1>"Yes,Partial,No"</formula1>
    </dataValidation>
    <dataValidation sqref="E45" showDropDown="0" showInputMessage="0" showErrorMessage="0" allowBlank="1" type="list">
      <formula1>"Yes,Partial,No"</formula1>
    </dataValidation>
    <dataValidation sqref="F45" showDropDown="0" showInputMessage="0" showErrorMessage="0" allowBlank="1" type="list">
      <formula1>"Yes,Partial,No"</formula1>
    </dataValidation>
    <dataValidation sqref="G45" showDropDown="0" showInputMessage="0" showErrorMessage="0" allowBlank="1" type="list">
      <formula1>"Yes,Partial,No"</formula1>
    </dataValidation>
    <dataValidation sqref="H45" showDropDown="0" showInputMessage="0" showErrorMessage="0" allowBlank="1" type="list">
      <formula1>"Yes,Partial,No"</formula1>
    </dataValidation>
    <dataValidation sqref="D47" showDropDown="0" showInputMessage="0" showErrorMessage="0" allowBlank="1" type="list">
      <formula1>"Yes,Partial,No"</formula1>
    </dataValidation>
    <dataValidation sqref="E47" showDropDown="0" showInputMessage="0" showErrorMessage="0" allowBlank="1" type="list">
      <formula1>"Yes,Partial,No"</formula1>
    </dataValidation>
    <dataValidation sqref="F47" showDropDown="0" showInputMessage="0" showErrorMessage="0" allowBlank="1" type="list">
      <formula1>"Yes,Partial,No"</formula1>
    </dataValidation>
    <dataValidation sqref="G47" showDropDown="0" showInputMessage="0" showErrorMessage="0" allowBlank="1" type="list">
      <formula1>"Yes,Partial,No"</formula1>
    </dataValidation>
    <dataValidation sqref="H47" showDropDown="0" showInputMessage="0" showErrorMessage="0" allowBlank="1" type="list">
      <formula1>"Yes,Partial,No"</formula1>
    </dataValidation>
    <dataValidation sqref="D48" showDropDown="0" showInputMessage="0" showErrorMessage="0" allowBlank="1" type="list">
      <formula1>"Yes,Partial,No"</formula1>
    </dataValidation>
    <dataValidation sqref="E48" showDropDown="0" showInputMessage="0" showErrorMessage="0" allowBlank="1" type="list">
      <formula1>"Yes,Partial,No"</formula1>
    </dataValidation>
    <dataValidation sqref="F48" showDropDown="0" showInputMessage="0" showErrorMessage="0" allowBlank="1" type="list">
      <formula1>"Yes,Partial,No"</formula1>
    </dataValidation>
    <dataValidation sqref="G48" showDropDown="0" showInputMessage="0" showErrorMessage="0" allowBlank="1" type="list">
      <formula1>"Yes,Partial,No"</formula1>
    </dataValidation>
    <dataValidation sqref="H48" showDropDown="0" showInputMessage="0" showErrorMessage="0" allowBlank="1" type="list">
      <formula1>"Yes,Partial,No"</formula1>
    </dataValidation>
    <dataValidation sqref="D49" showDropDown="0" showInputMessage="0" showErrorMessage="0" allowBlank="1" type="list">
      <formula1>"Yes,Partial,No"</formula1>
    </dataValidation>
    <dataValidation sqref="E49" showDropDown="0" showInputMessage="0" showErrorMessage="0" allowBlank="1" type="list">
      <formula1>"Yes,Partial,No"</formula1>
    </dataValidation>
    <dataValidation sqref="F49" showDropDown="0" showInputMessage="0" showErrorMessage="0" allowBlank="1" type="list">
      <formula1>"Yes,Partial,No"</formula1>
    </dataValidation>
    <dataValidation sqref="G49" showDropDown="0" showInputMessage="0" showErrorMessage="0" allowBlank="1" type="list">
      <formula1>"Yes,Partial,No"</formula1>
    </dataValidation>
    <dataValidation sqref="H49" showDropDown="0" showInputMessage="0" showErrorMessage="0" allowBlank="1" type="list">
      <formula1>"Yes,Partial,No"</formula1>
    </dataValidation>
    <dataValidation sqref="D50" showDropDown="0" showInputMessage="0" showErrorMessage="0" allowBlank="1" type="list">
      <formula1>"Yes,Partial,No"</formula1>
    </dataValidation>
    <dataValidation sqref="E50" showDropDown="0" showInputMessage="0" showErrorMessage="0" allowBlank="1" type="list">
      <formula1>"Yes,Partial,No"</formula1>
    </dataValidation>
    <dataValidation sqref="F50" showDropDown="0" showInputMessage="0" showErrorMessage="0" allowBlank="1" type="list">
      <formula1>"Yes,Partial,No"</formula1>
    </dataValidation>
    <dataValidation sqref="G50" showDropDown="0" showInputMessage="0" showErrorMessage="0" allowBlank="1" type="list">
      <formula1>"Yes,Partial,No"</formula1>
    </dataValidation>
    <dataValidation sqref="H50" showDropDown="0" showInputMessage="0" showErrorMessage="0" allowBlank="1" type="list">
      <formula1>"Yes,Partial,No"</formula1>
    </dataValidation>
    <dataValidation sqref="D51" showDropDown="0" showInputMessage="0" showErrorMessage="0" allowBlank="1" type="list">
      <formula1>"Yes,Partial,No"</formula1>
    </dataValidation>
    <dataValidation sqref="E51" showDropDown="0" showInputMessage="0" showErrorMessage="0" allowBlank="1" type="list">
      <formula1>"Yes,Partial,No"</formula1>
    </dataValidation>
    <dataValidation sqref="F51" showDropDown="0" showInputMessage="0" showErrorMessage="0" allowBlank="1" type="list">
      <formula1>"Yes,Partial,No"</formula1>
    </dataValidation>
    <dataValidation sqref="G51" showDropDown="0" showInputMessage="0" showErrorMessage="0" allowBlank="1" type="list">
      <formula1>"Yes,Partial,No"</formula1>
    </dataValidation>
    <dataValidation sqref="H51" showDropDown="0" showInputMessage="0" showErrorMessage="0" allowBlank="1" type="list">
      <formula1>"Yes,Partial,No"</formula1>
    </dataValidation>
    <dataValidation sqref="D52" showDropDown="0" showInputMessage="0" showErrorMessage="0" allowBlank="1" type="list">
      <formula1>"Yes,Partial,No"</formula1>
    </dataValidation>
    <dataValidation sqref="E52" showDropDown="0" showInputMessage="0" showErrorMessage="0" allowBlank="1" type="list">
      <formula1>"Yes,Partial,No"</formula1>
    </dataValidation>
    <dataValidation sqref="F52" showDropDown="0" showInputMessage="0" showErrorMessage="0" allowBlank="1" type="list">
      <formula1>"Yes,Partial,No"</formula1>
    </dataValidation>
    <dataValidation sqref="G52" showDropDown="0" showInputMessage="0" showErrorMessage="0" allowBlank="1" type="list">
      <formula1>"Yes,Partial,No"</formula1>
    </dataValidation>
    <dataValidation sqref="H52" showDropDown="0" showInputMessage="0" showErrorMessage="0" allowBlank="1" type="list">
      <formula1>"Yes,Partial,No"</formula1>
    </dataValidation>
    <dataValidation sqref="D53" showDropDown="0" showInputMessage="0" showErrorMessage="0" allowBlank="1" type="list">
      <formula1>"Yes,Partial,No"</formula1>
    </dataValidation>
    <dataValidation sqref="E53" showDropDown="0" showInputMessage="0" showErrorMessage="0" allowBlank="1" type="list">
      <formula1>"Yes,Partial,No"</formula1>
    </dataValidation>
    <dataValidation sqref="F53" showDropDown="0" showInputMessage="0" showErrorMessage="0" allowBlank="1" type="list">
      <formula1>"Yes,Partial,No"</formula1>
    </dataValidation>
    <dataValidation sqref="G53" showDropDown="0" showInputMessage="0" showErrorMessage="0" allowBlank="1" type="list">
      <formula1>"Yes,Partial,No"</formula1>
    </dataValidation>
    <dataValidation sqref="H53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E5D0"/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9" customWidth="1" min="3" max="3"/>
    <col width="50" customWidth="1" min="4" max="4"/>
    <col width="28" customWidth="1" min="5" max="5"/>
    <col width="1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HYPERLINK("#'Comp Compare'!A1", "← BACK")</f>
        <v/>
      </c>
      <c r="B2" s="21" t="n"/>
      <c r="C2" s="21" t="n"/>
      <c r="D2" s="30" t="inlineStr">
        <is>
          <t>METHODOLOGY</t>
        </is>
      </c>
      <c r="J2" s="24">
        <f>HYPERLINK("#'Re-audit Tracker'!A1",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0" customHeight="1">
      <c r="A4" s="31" t="inlineStr">
        <is>
          <t>How we score — published rubric. Public-facing. Last updated 2026-05-01.</t>
        </is>
      </c>
      <c r="G4" s="6" t="n"/>
      <c r="H4" s="6" t="n"/>
      <c r="I4" s="6" t="n"/>
      <c r="J4" s="6" t="n"/>
      <c r="K4" s="6" t="n"/>
      <c r="L4" s="6" t="n"/>
    </row>
    <row r="6" ht="22" customHeight="1">
      <c r="A6" s="52" t="inlineStr">
        <is>
          <t>ID</t>
        </is>
      </c>
      <c r="B6" s="52" t="inlineStr">
        <is>
          <t>Criterion</t>
        </is>
      </c>
      <c r="C6" s="52" t="inlineStr">
        <is>
          <t>Weight%</t>
        </is>
      </c>
      <c r="D6" s="52" t="inlineStr">
        <is>
          <t>Why it matters</t>
        </is>
      </c>
      <c r="E6" s="52" t="inlineStr">
        <is>
          <t>Source</t>
        </is>
      </c>
      <c r="F6" s="52" t="inlineStr">
        <is>
          <t>Last verified</t>
        </is>
      </c>
    </row>
    <row r="7" ht="20" customHeight="1">
      <c r="A7" s="53" t="inlineStr">
        <is>
          <t>CATEGORY A — TITLE  ·  15% TOTAL  ·  3.00% PER CRITERION</t>
        </is>
      </c>
    </row>
    <row r="8" ht="32" customHeight="1">
      <c r="A8" s="65" t="n">
        <v>1</v>
      </c>
      <c r="B8" s="66" t="inlineStr">
        <is>
          <t>Title length 35-50 chars (sweet spot)</t>
        </is>
      </c>
      <c r="C8" s="69" t="n">
        <v>3</v>
      </c>
      <c r="D8" s="56" t="inlineStr">
        <is>
          <t>Airbnb truncates titles past 50 chars on mobile search results — your hook gets cut.</t>
        </is>
      </c>
      <c r="E8" s="70" t="inlineStr">
        <is>
          <t>Airbnb published</t>
        </is>
      </c>
      <c r="F8" s="71" t="inlineStr">
        <is>
          <t>2026-05-01</t>
        </is>
      </c>
    </row>
    <row r="9" ht="32" customHeight="1">
      <c r="A9" s="65" t="n">
        <v>2</v>
      </c>
      <c r="B9" s="66" t="inlineStr">
        <is>
          <t>Includes city or neighborhood</t>
        </is>
      </c>
      <c r="C9" s="69" t="n">
        <v>3</v>
      </c>
      <c r="D9" s="56" t="inlineStr">
        <is>
          <t>Location keywords match guest search queries directly. ~70% of searches include geo.</t>
        </is>
      </c>
      <c r="E9" s="70" t="inlineStr">
        <is>
          <t>Airbnb published</t>
        </is>
      </c>
      <c r="F9" s="71" t="inlineStr">
        <is>
          <t>2026-05-01</t>
        </is>
      </c>
    </row>
    <row r="10" ht="32" customHeight="1">
      <c r="A10" s="65" t="n">
        <v>3</v>
      </c>
      <c r="B10" s="66" t="inlineStr">
        <is>
          <t>Includes 1-2 highest-value amenities (hot tub / view / walkable)</t>
        </is>
      </c>
      <c r="C10" s="69" t="n">
        <v>3</v>
      </c>
      <c r="D10" s="56" t="inlineStr">
        <is>
          <t>Top-tier amenities (hot tub, view) are the #1 booking decision driver.</t>
        </is>
      </c>
      <c r="E10" s="70" t="inlineStr">
        <is>
          <t>Hospitable 2024 study</t>
        </is>
      </c>
      <c r="F10" s="71" t="inlineStr">
        <is>
          <t>2026-05-01</t>
        </is>
      </c>
    </row>
    <row r="11" ht="32" customHeight="1">
      <c r="A11" s="65" t="n">
        <v>4</v>
      </c>
      <c r="B11" s="66" t="inlineStr">
        <is>
          <t>No ALL CAPS, no emojis, no clickbait</t>
        </is>
      </c>
      <c r="C11" s="69" t="n">
        <v>3</v>
      </c>
      <c r="D11" s="56" t="inlineStr">
        <is>
          <t>Caps and emojis trigger algorithm-spam heuristics + reduce perceived professionalism.</t>
        </is>
      </c>
      <c r="E11" s="70" t="inlineStr">
        <is>
          <t>Host community consensus</t>
        </is>
      </c>
      <c r="F11" s="71" t="inlineStr">
        <is>
          <t>2026-05-01</t>
        </is>
      </c>
    </row>
    <row r="12" ht="32" customHeight="1">
      <c r="A12" s="65" t="n">
        <v>5</v>
      </c>
      <c r="B12" s="66" t="inlineStr">
        <is>
          <t>Differentiating phrase or experience hook</t>
        </is>
      </c>
      <c r="C12" s="69" t="n">
        <v>3</v>
      </c>
      <c r="D12" s="56" t="inlineStr">
        <is>
          <t>Differentiating phrases capture the 'experience' signal Airbnb's algorithm rewards.</t>
        </is>
      </c>
      <c r="E12" s="70" t="inlineStr">
        <is>
          <t>AirDNA Marketscore</t>
        </is>
      </c>
      <c r="F12" s="71" t="inlineStr">
        <is>
          <t>2026-05-01</t>
        </is>
      </c>
    </row>
    <row r="13" ht="20" customHeight="1">
      <c r="A13" s="53" t="inlineStr">
        <is>
          <t>CATEGORY B — DESCRIPTION  ·  20% TOTAL  ·  2.50% PER CRITERION</t>
        </is>
      </c>
    </row>
    <row r="14" ht="32" customHeight="1">
      <c r="A14" s="65" t="n">
        <v>6</v>
      </c>
      <c r="B14" s="66" t="inlineStr">
        <is>
          <t>Opens with a hook line (NOT 'Welcome to my home!')</t>
        </is>
      </c>
      <c r="C14" s="69" t="n">
        <v>2.5</v>
      </c>
      <c r="D14" s="56" t="inlineStr">
        <is>
          <t>Generic openings lose the first-3-second skim test. Hook = retention.</t>
        </is>
      </c>
      <c r="E14" s="70" t="inlineStr">
        <is>
          <t>Hospitable 2024 study</t>
        </is>
      </c>
      <c r="F14" s="71" t="inlineStr">
        <is>
          <t>2026-05-01</t>
        </is>
      </c>
    </row>
    <row r="15" ht="32" customHeight="1">
      <c r="A15" s="65" t="n">
        <v>7</v>
      </c>
      <c r="B15" s="66" t="inlineStr">
        <is>
          <t>Length between 150-500 words</t>
        </is>
      </c>
      <c r="C15" s="69" t="n">
        <v>2.5</v>
      </c>
      <c r="D15" s="56" t="inlineStr">
        <is>
          <t>&lt;150 words = thin signal. &gt;500 words = guests skim and miss key info.</t>
        </is>
      </c>
      <c r="E15" s="70" t="inlineStr">
        <is>
          <t>Host community consensus</t>
        </is>
      </c>
      <c r="F15" s="71" t="inlineStr">
        <is>
          <t>2026-05-01</t>
        </is>
      </c>
    </row>
    <row r="16" ht="32" customHeight="1">
      <c r="A16" s="65" t="n">
        <v>8</v>
      </c>
      <c r="B16" s="66" t="inlineStr">
        <is>
          <t>Lists what makes property unique in first 3 sentences</t>
        </is>
      </c>
      <c r="C16" s="69" t="n">
        <v>2.5</v>
      </c>
      <c r="D16" s="56" t="inlineStr">
        <is>
          <t>Guests decide in 3 sentences. Bury the lead and you lose them.</t>
        </is>
      </c>
      <c r="E16" s="70" t="inlineStr">
        <is>
          <t>Conversion best practice</t>
        </is>
      </c>
      <c r="F16" s="71" t="inlineStr">
        <is>
          <t>2026-05-01</t>
        </is>
      </c>
    </row>
    <row r="17" ht="32" customHeight="1">
      <c r="A17" s="65" t="n">
        <v>9</v>
      </c>
      <c r="B17" s="66" t="inlineStr">
        <is>
          <t>Mentions surrounding area + walkability or drive times</t>
        </is>
      </c>
      <c r="C17" s="69" t="n">
        <v>2.5</v>
      </c>
      <c r="D17" s="56" t="inlineStr">
        <is>
          <t>Walkability/drive times answer the silent question every guest has.</t>
        </is>
      </c>
      <c r="E17" s="70" t="inlineStr">
        <is>
          <t>Airbnb host blog</t>
        </is>
      </c>
      <c r="F17" s="71" t="inlineStr">
        <is>
          <t>2026-05-01</t>
        </is>
      </c>
    </row>
    <row r="18" ht="32" customHeight="1">
      <c r="A18" s="65" t="n">
        <v>10</v>
      </c>
      <c r="B18" s="66" t="inlineStr">
        <is>
          <t>Has dedicated bedrooms section with sleeping config</t>
        </is>
      </c>
      <c r="C18" s="69" t="n">
        <v>2.5</v>
      </c>
      <c r="D18" s="56" t="inlineStr">
        <is>
          <t>Sleeping config is the #1 question guests message about.</t>
        </is>
      </c>
      <c r="E18" s="70" t="inlineStr">
        <is>
          <t>Host community consensus</t>
        </is>
      </c>
      <c r="F18" s="71" t="inlineStr">
        <is>
          <t>2026-05-01</t>
        </is>
      </c>
    </row>
    <row r="19" ht="32" customHeight="1">
      <c r="A19" s="65" t="n">
        <v>11</v>
      </c>
      <c r="B19" s="66" t="inlineStr">
        <is>
          <t>Has dedicated amenities section (formatted, scannable)</t>
        </is>
      </c>
      <c r="C19" s="69" t="n">
        <v>2.5</v>
      </c>
      <c r="D19" s="56" t="inlineStr">
        <is>
          <t>Scannable amenity list reduces messages and improves conversion.</t>
        </is>
      </c>
      <c r="E19" s="70" t="inlineStr">
        <is>
          <t>Hospitable 2024 study</t>
        </is>
      </c>
      <c r="F19" s="71" t="inlineStr">
        <is>
          <t>2026-05-01</t>
        </is>
      </c>
    </row>
    <row r="20" ht="32" customHeight="1">
      <c r="A20" s="65" t="n">
        <v>12</v>
      </c>
      <c r="B20" s="66" t="inlineStr">
        <is>
          <t>Includes house rules (positive framing)</t>
        </is>
      </c>
      <c r="C20" s="69" t="n">
        <v>2.5</v>
      </c>
      <c r="D20" s="56" t="inlineStr">
        <is>
          <t>Positive-framed rules signal hospitality. Negative framing kills bookings.</t>
        </is>
      </c>
      <c r="E20" s="70" t="inlineStr">
        <is>
          <t>Host community consensus</t>
        </is>
      </c>
      <c r="F20" s="71" t="inlineStr">
        <is>
          <t>2026-05-01</t>
        </is>
      </c>
    </row>
    <row r="21" ht="32" customHeight="1">
      <c r="A21" s="65" t="n">
        <v>13</v>
      </c>
      <c r="B21" s="66" t="inlineStr">
        <is>
          <t>Closes with hospitality / response promise</t>
        </is>
      </c>
      <c r="C21" s="69" t="n">
        <v>2.5</v>
      </c>
      <c r="D21" s="56" t="inlineStr">
        <is>
          <t>Response promise sets expectations and improves message-to-book rate.</t>
        </is>
      </c>
      <c r="E21" s="70" t="inlineStr">
        <is>
          <t>Conversion best practice</t>
        </is>
      </c>
      <c r="F21" s="71" t="inlineStr">
        <is>
          <t>2026-05-01</t>
        </is>
      </c>
    </row>
    <row r="22" ht="20" customHeight="1">
      <c r="A22" s="53" t="inlineStr">
        <is>
          <t>CATEGORY C — PHOTOS  ·  30% TOTAL  ·  2.50% PER CRITERION</t>
        </is>
      </c>
    </row>
    <row r="23" ht="32" customHeight="1">
      <c r="A23" s="65" t="n">
        <v>14</v>
      </c>
      <c r="B23" s="66" t="inlineStr">
        <is>
          <t>At least 25 photos posted</t>
        </is>
      </c>
      <c r="C23" s="69" t="n">
        <v>2.5</v>
      </c>
      <c r="D23" s="56" t="inlineStr">
        <is>
          <t>Listings with 25+ photos out-book sub-25 by ~30% on average.</t>
        </is>
      </c>
      <c r="E23" s="70" t="inlineStr">
        <is>
          <t>AirDNA 2023 study</t>
        </is>
      </c>
      <c r="F23" s="71" t="inlineStr">
        <is>
          <t>2026-05-01</t>
        </is>
      </c>
    </row>
    <row r="24" ht="32" customHeight="1">
      <c r="A24" s="65" t="n">
        <v>15</v>
      </c>
      <c r="B24" s="66" t="inlineStr">
        <is>
          <t>Cover photo is exterior or hero interior shot</t>
        </is>
      </c>
      <c r="C24" s="69" t="n">
        <v>2.5</v>
      </c>
      <c r="D24" s="56" t="inlineStr">
        <is>
          <t>Cover photo is the click-through trigger. Bedroom covers underperform exterior 2:1.</t>
        </is>
      </c>
      <c r="E24" s="70" t="inlineStr">
        <is>
          <t>AirDNA 2023 study</t>
        </is>
      </c>
      <c r="F24" s="71" t="inlineStr">
        <is>
          <t>2026-05-01</t>
        </is>
      </c>
    </row>
    <row r="25" ht="32" customHeight="1">
      <c r="A25" s="65" t="n">
        <v>16</v>
      </c>
      <c r="B25" s="66" t="inlineStr">
        <is>
          <t>Bedroom photo for every bedroom</t>
        </is>
      </c>
      <c r="C25" s="69" t="n">
        <v>2.5</v>
      </c>
      <c r="D25" s="56" t="inlineStr">
        <is>
          <t>Guests filter by bedroom count — they expect to see each one.</t>
        </is>
      </c>
      <c r="E25" s="70" t="inlineStr">
        <is>
          <t>Airbnb published</t>
        </is>
      </c>
      <c r="F25" s="71" t="inlineStr">
        <is>
          <t>2026-05-01</t>
        </is>
      </c>
    </row>
    <row r="26" ht="32" customHeight="1">
      <c r="A26" s="65" t="n">
        <v>17</v>
      </c>
      <c r="B26" s="66" t="inlineStr">
        <is>
          <t>Bathroom photo for every bathroom</t>
        </is>
      </c>
      <c r="C26" s="69" t="n">
        <v>2.5</v>
      </c>
      <c r="D26" s="56" t="inlineStr">
        <is>
          <t>Bathroom photos signal cleanliness, the #1 review factor.</t>
        </is>
      </c>
      <c r="E26" s="70" t="inlineStr">
        <is>
          <t>Airbnb review data</t>
        </is>
      </c>
      <c r="F26" s="71" t="inlineStr">
        <is>
          <t>2026-05-01</t>
        </is>
      </c>
    </row>
    <row r="27" ht="32" customHeight="1">
      <c r="A27" s="65" t="n">
        <v>18</v>
      </c>
      <c r="B27" s="66" t="inlineStr">
        <is>
          <t>Kitchen photo (wide + detail)</t>
        </is>
      </c>
      <c r="C27" s="69" t="n">
        <v>2.5</v>
      </c>
      <c r="D27" s="56" t="inlineStr">
        <is>
          <t>Kitchen is the second-most-photographed room in winning listings.</t>
        </is>
      </c>
      <c r="E27" s="70" t="inlineStr">
        <is>
          <t>AirDNA 2023 study</t>
        </is>
      </c>
      <c r="F27" s="71" t="inlineStr">
        <is>
          <t>2026-05-01</t>
        </is>
      </c>
    </row>
    <row r="28" ht="32" customHeight="1">
      <c r="A28" s="65" t="n">
        <v>19</v>
      </c>
      <c r="B28" s="66" t="inlineStr">
        <is>
          <t>Living / common space photo</t>
        </is>
      </c>
      <c r="C28" s="69" t="n">
        <v>2.5</v>
      </c>
      <c r="D28" s="56" t="inlineStr">
        <is>
          <t>Living photo establishes the 'hangout' value — drives long-stay bookings.</t>
        </is>
      </c>
      <c r="E28" s="70" t="inlineStr">
        <is>
          <t>Conversion best practice</t>
        </is>
      </c>
      <c r="F28" s="71" t="inlineStr">
        <is>
          <t>2026-05-01</t>
        </is>
      </c>
    </row>
    <row r="29" ht="32" customHeight="1">
      <c r="A29" s="65" t="n">
        <v>20</v>
      </c>
      <c r="B29" s="66" t="inlineStr">
        <is>
          <t>Outdoor space photo (porch, deck, yard, view)</t>
        </is>
      </c>
      <c r="C29" s="69" t="n">
        <v>2.5</v>
      </c>
      <c r="D29" s="56" t="inlineStr">
        <is>
          <t>Outdoor space signals seasonal value, hot tubs convert highest.</t>
        </is>
      </c>
      <c r="E29" s="70" t="inlineStr">
        <is>
          <t>Hospitable 2024 study</t>
        </is>
      </c>
      <c r="F29" s="71" t="inlineStr">
        <is>
          <t>2026-05-01</t>
        </is>
      </c>
    </row>
    <row r="30" ht="32" customHeight="1">
      <c r="A30" s="65" t="n">
        <v>21</v>
      </c>
      <c r="B30" s="66" t="inlineStr">
        <is>
          <t>Twilight or sunset photo</t>
        </is>
      </c>
      <c r="C30" s="69" t="n">
        <v>2.5</v>
      </c>
      <c r="D30" s="56" t="inlineStr">
        <is>
          <t>Twilight photos beat daytime photos on engagement by ~40%.</t>
        </is>
      </c>
      <c r="E30" s="70" t="inlineStr">
        <is>
          <t>Hospitable 2024 study</t>
        </is>
      </c>
      <c r="F30" s="71" t="inlineStr">
        <is>
          <t>2026-05-01</t>
        </is>
      </c>
    </row>
    <row r="31" ht="32" customHeight="1">
      <c r="A31" s="65" t="n">
        <v>22</v>
      </c>
      <c r="B31" s="66" t="inlineStr">
        <is>
          <t>Professional quality (sharp, well-lit, level horizon)</t>
        </is>
      </c>
      <c r="C31" s="69" t="n">
        <v>2.5</v>
      </c>
      <c r="D31" s="56" t="inlineStr">
        <is>
          <t>Pro photos pay back in 30-60 days. Highest ROI marketing spend.</t>
        </is>
      </c>
      <c r="E31" s="70" t="inlineStr">
        <is>
          <t>STR investor consensus</t>
        </is>
      </c>
      <c r="F31" s="71" t="inlineStr">
        <is>
          <t>2026-05-01</t>
        </is>
      </c>
    </row>
    <row r="32" ht="32" customHeight="1">
      <c r="A32" s="65" t="n">
        <v>23</v>
      </c>
      <c r="B32" s="66" t="inlineStr">
        <is>
          <t>Photos sequenced as guest journey (arrival → living → bedrooms → bath → kitchen → outdoor)</t>
        </is>
      </c>
      <c r="C32" s="69" t="n">
        <v>2.5</v>
      </c>
      <c r="D32" s="56" t="inlineStr">
        <is>
          <t>Guest journey order matches mental model: arrive → live → sleep → eat → outside.</t>
        </is>
      </c>
      <c r="E32" s="70" t="inlineStr">
        <is>
          <t>UX best practice</t>
        </is>
      </c>
      <c r="F32" s="71" t="inlineStr">
        <is>
          <t>2026-05-01</t>
        </is>
      </c>
    </row>
    <row r="33" ht="32" customHeight="1">
      <c r="A33" s="65" t="n">
        <v>24</v>
      </c>
      <c r="B33" s="66" t="inlineStr">
        <is>
          <t>Captions on every photo</t>
        </is>
      </c>
      <c r="C33" s="69" t="n">
        <v>2.5</v>
      </c>
      <c r="D33" s="56" t="inlineStr">
        <is>
          <t>Captioned photos rank higher in Airbnb search — accessibility signal.</t>
        </is>
      </c>
      <c r="E33" s="70" t="inlineStr">
        <is>
          <t>Airbnb published</t>
        </is>
      </c>
      <c r="F33" s="71" t="inlineStr">
        <is>
          <t>2026-05-01</t>
        </is>
      </c>
    </row>
    <row r="34" ht="32" customHeight="1">
      <c r="A34" s="65" t="n">
        <v>25</v>
      </c>
      <c r="B34" s="66" t="inlineStr">
        <is>
          <t>No phone-camera-mirror shots, no clutter visible</t>
        </is>
      </c>
      <c r="C34" s="69" t="n">
        <v>2.5</v>
      </c>
      <c r="D34" s="56" t="inlineStr">
        <is>
          <t>Mirror-selfies and clutter signal amateur listing → lower trust.</t>
        </is>
      </c>
      <c r="E34" s="70" t="inlineStr">
        <is>
          <t>Host community consensus</t>
        </is>
      </c>
      <c r="F34" s="71" t="inlineStr">
        <is>
          <t>2026-05-01</t>
        </is>
      </c>
    </row>
    <row r="35" ht="20" customHeight="1">
      <c r="A35" s="53" t="inlineStr">
        <is>
          <t>CATEGORY D — AMENITIES  ·  20% TOTAL  ·  2.50% PER CRITERION</t>
        </is>
      </c>
    </row>
    <row r="36" ht="32" customHeight="1">
      <c r="A36" s="65" t="n">
        <v>26</v>
      </c>
      <c r="B36" s="66" t="inlineStr">
        <is>
          <t>At least 40 amenities checked</t>
        </is>
      </c>
      <c r="C36" s="69" t="n">
        <v>2.5</v>
      </c>
      <c r="D36" s="56" t="inlineStr">
        <is>
          <t>Amenity count is a direct algorithm completeness signal.</t>
        </is>
      </c>
      <c r="E36" s="70" t="inlineStr">
        <is>
          <t>Airbnb published</t>
        </is>
      </c>
      <c r="F36" s="71" t="inlineStr">
        <is>
          <t>2026-05-01</t>
        </is>
      </c>
    </row>
    <row r="37" ht="32" customHeight="1">
      <c r="A37" s="65" t="n">
        <v>27</v>
      </c>
      <c r="B37" s="66" t="inlineStr">
        <is>
          <t>Top-tier amenities listed (hot tub / pool / view / fireplace)</t>
        </is>
      </c>
      <c r="C37" s="69" t="n">
        <v>2.5</v>
      </c>
      <c r="D37" s="56" t="inlineStr">
        <is>
          <t>Top-tier amenities have explicit search filters — must be checked to appear.</t>
        </is>
      </c>
      <c r="E37" s="70" t="inlineStr">
        <is>
          <t>Airbnb published</t>
        </is>
      </c>
      <c r="F37" s="71" t="inlineStr">
        <is>
          <t>2026-05-01</t>
        </is>
      </c>
    </row>
    <row r="38" ht="32" customHeight="1">
      <c r="A38" s="65" t="n">
        <v>28</v>
      </c>
      <c r="B38" s="66" t="inlineStr">
        <is>
          <t>Fast WiFi listed with speed (≥ 100 Mbps)</t>
        </is>
      </c>
      <c r="C38" s="69" t="n">
        <v>2.5</v>
      </c>
      <c r="D38" s="56" t="inlineStr">
        <is>
          <t>WiFi speed in description converts remote workers (30%+ weekday demand).</t>
        </is>
      </c>
      <c r="E38" s="70" t="inlineStr">
        <is>
          <t>AirDNA workforce data</t>
        </is>
      </c>
      <c r="F38" s="71" t="inlineStr">
        <is>
          <t>2026-05-01</t>
        </is>
      </c>
    </row>
    <row r="39" ht="32" customHeight="1">
      <c r="A39" s="65" t="n">
        <v>29</v>
      </c>
      <c r="B39" s="66" t="inlineStr">
        <is>
          <t>Workspace / desk listed</t>
        </is>
      </c>
      <c r="C39" s="69" t="n">
        <v>2.5</v>
      </c>
      <c r="D39" s="56" t="inlineStr">
        <is>
          <t>Workspace amenity has its own search filter — easy ranking lift.</t>
        </is>
      </c>
      <c r="E39" s="70" t="inlineStr">
        <is>
          <t>Airbnb published</t>
        </is>
      </c>
      <c r="F39" s="71" t="inlineStr">
        <is>
          <t>2026-05-01</t>
        </is>
      </c>
    </row>
    <row r="40" ht="32" customHeight="1">
      <c r="A40" s="65" t="n">
        <v>30</v>
      </c>
      <c r="B40" s="66" t="inlineStr">
        <is>
          <t>Self check-in OR clear arrival instructions</t>
        </is>
      </c>
      <c r="C40" s="69" t="n">
        <v>2.5</v>
      </c>
      <c r="D40" s="56" t="inlineStr">
        <is>
          <t>Self check-in unlocks Instant Book guest segments with separate filter.</t>
        </is>
      </c>
      <c r="E40" s="70" t="inlineStr">
        <is>
          <t>Airbnb published</t>
        </is>
      </c>
      <c r="F40" s="71" t="inlineStr">
        <is>
          <t>2026-05-01</t>
        </is>
      </c>
    </row>
    <row r="41" ht="32" customHeight="1">
      <c r="A41" s="65" t="n">
        <v>31</v>
      </c>
      <c r="B41" s="66" t="inlineStr">
        <is>
          <t>Pet policy clearly stated</t>
        </is>
      </c>
      <c r="C41" s="69" t="n">
        <v>2.5</v>
      </c>
      <c r="D41" s="56" t="inlineStr">
        <is>
          <t>Pet policy clarity reduces wrong-fit bookings and bad reviews.</t>
        </is>
      </c>
      <c r="E41" s="70" t="inlineStr">
        <is>
          <t>Host community consensus</t>
        </is>
      </c>
      <c r="F41" s="71" t="inlineStr">
        <is>
          <t>2026-05-01</t>
        </is>
      </c>
    </row>
    <row r="42" ht="32" customHeight="1">
      <c r="A42" s="65" t="n">
        <v>32</v>
      </c>
      <c r="B42" s="66" t="inlineStr">
        <is>
          <t>Family-friendly amenities (if family-friendly listing)</t>
        </is>
      </c>
      <c r="C42" s="69" t="n">
        <v>2.5</v>
      </c>
      <c r="D42" s="56" t="inlineStr">
        <is>
          <t>Family filters drive 40%+ of weekend bookings in family markets.</t>
        </is>
      </c>
      <c r="E42" s="70" t="inlineStr">
        <is>
          <t>AirDNA family data</t>
        </is>
      </c>
      <c r="F42" s="71" t="inlineStr">
        <is>
          <t>2026-05-01</t>
        </is>
      </c>
    </row>
    <row r="43" ht="32" customHeight="1">
      <c r="A43" s="65" t="n">
        <v>33</v>
      </c>
      <c r="B43" s="66" t="inlineStr">
        <is>
          <t>Accessibility features listed</t>
        </is>
      </c>
      <c r="C43" s="69" t="n">
        <v>2.5</v>
      </c>
      <c r="D43" s="56" t="inlineStr">
        <is>
          <t>Accessibility tags expand qualified-buyer pool with no inventory change.</t>
        </is>
      </c>
      <c r="E43" s="70" t="inlineStr">
        <is>
          <t>Airbnb published</t>
        </is>
      </c>
      <c r="F43" s="71" t="inlineStr">
        <is>
          <t>2026-05-01</t>
        </is>
      </c>
    </row>
    <row r="44" ht="20" customHeight="1">
      <c r="A44" s="53" t="inlineStr">
        <is>
          <t>CATEGORY E — TRUST SIGNALS (AIRBNB ALGORITHM)  ·  15% TOTAL  ·  2.14% PER CRITERION</t>
        </is>
      </c>
    </row>
    <row r="45" ht="32" customHeight="1">
      <c r="A45" s="65" t="n">
        <v>34</v>
      </c>
      <c r="B45" s="66" t="inlineStr">
        <is>
          <t>Response time &lt; 1 hour</t>
        </is>
      </c>
      <c r="C45" s="69" t="n">
        <v>2.14</v>
      </c>
      <c r="D45" s="56" t="inlineStr">
        <is>
          <t>Response time &lt;1hr is the #1 published Airbnb ranking factor.</t>
        </is>
      </c>
      <c r="E45" s="70" t="inlineStr">
        <is>
          <t>Airbnb published</t>
        </is>
      </c>
      <c r="F45" s="71" t="inlineStr">
        <is>
          <t>2026-05-01</t>
        </is>
      </c>
    </row>
    <row r="46" ht="32" customHeight="1">
      <c r="A46" s="65" t="n">
        <v>35</v>
      </c>
      <c r="B46" s="66" t="inlineStr">
        <is>
          <t>Response rate ≥ 95%</t>
        </is>
      </c>
      <c r="C46" s="69" t="n">
        <v>2.14</v>
      </c>
      <c r="D46" s="56" t="inlineStr">
        <is>
          <t>Response rate &lt;90% suppresses ranking algorithmically.</t>
        </is>
      </c>
      <c r="E46" s="70" t="inlineStr">
        <is>
          <t>Airbnb published</t>
        </is>
      </c>
      <c r="F46" s="71" t="inlineStr">
        <is>
          <t>2026-05-01</t>
        </is>
      </c>
    </row>
    <row r="47" ht="32" customHeight="1">
      <c r="A47" s="65" t="n">
        <v>36</v>
      </c>
      <c r="B47" s="66" t="inlineStr">
        <is>
          <t>Instant Book is ON</t>
        </is>
      </c>
      <c r="C47" s="69" t="n">
        <v>2.14</v>
      </c>
      <c r="D47" s="56" t="inlineStr">
        <is>
          <t>Instant Book is the single largest published ranking lift available.</t>
        </is>
      </c>
      <c r="E47" s="70" t="inlineStr">
        <is>
          <t>Airbnb published</t>
        </is>
      </c>
      <c r="F47" s="71" t="inlineStr">
        <is>
          <t>2026-05-01</t>
        </is>
      </c>
    </row>
    <row r="48" ht="32" customHeight="1">
      <c r="A48" s="65" t="n">
        <v>37</v>
      </c>
      <c r="B48" s="66" t="inlineStr">
        <is>
          <t>Superhost status</t>
        </is>
      </c>
      <c r="C48" s="69" t="n">
        <v>2.14</v>
      </c>
      <c r="D48" s="56" t="inlineStr">
        <is>
          <t>Superhost gets a separate badge + dedicated search filter.</t>
        </is>
      </c>
      <c r="E48" s="70" t="inlineStr">
        <is>
          <t>Airbnb published</t>
        </is>
      </c>
      <c r="F48" s="71" t="inlineStr">
        <is>
          <t>2026-05-01</t>
        </is>
      </c>
    </row>
    <row r="49" ht="32" customHeight="1">
      <c r="A49" s="65" t="n">
        <v>38</v>
      </c>
      <c r="B49" s="66" t="inlineStr">
        <is>
          <t>Cancellation policy = Flexible or Moderate</t>
        </is>
      </c>
      <c r="C49" s="69" t="n">
        <v>2.14</v>
      </c>
      <c r="D49" s="56" t="inlineStr">
        <is>
          <t>Strict cancellation policies reduce conversion 15-20%.</t>
        </is>
      </c>
      <c r="E49" s="70" t="inlineStr">
        <is>
          <t>Hospitable 2024 study</t>
        </is>
      </c>
      <c r="F49" s="71" t="inlineStr">
        <is>
          <t>2026-05-01</t>
        </is>
      </c>
    </row>
    <row r="50" ht="32" customHeight="1">
      <c r="A50" s="65" t="n">
        <v>39</v>
      </c>
      <c r="B50" s="66" t="inlineStr">
        <is>
          <t>20+ reviews with 4.8+ avg</t>
        </is>
      </c>
      <c r="C50" s="69" t="n">
        <v>2.14</v>
      </c>
      <c r="D50" s="56" t="inlineStr">
        <is>
          <t>4.8+ avg with 20+ reviews is the threshold for top-of-search visibility.</t>
        </is>
      </c>
      <c r="E50" s="70" t="inlineStr">
        <is>
          <t>Airbnb published</t>
        </is>
      </c>
      <c r="F50" s="71" t="inlineStr">
        <is>
          <t>2026-05-01</t>
        </is>
      </c>
    </row>
    <row r="51" ht="32" customHeight="1">
      <c r="A51" s="65" t="n">
        <v>40</v>
      </c>
      <c r="B51" s="66" t="inlineStr">
        <is>
          <t>Verified ID + government ID requirement set</t>
        </is>
      </c>
      <c r="C51" s="69" t="n">
        <v>2.14</v>
      </c>
      <c r="D51" s="56" t="inlineStr">
        <is>
          <t>ID-verified guests reduce party / damage risk + improve filter-pool size.</t>
        </is>
      </c>
      <c r="E51" s="70" t="inlineStr">
        <is>
          <t>Airbnb published</t>
        </is>
      </c>
      <c r="F51" s="71" t="inlineStr">
        <is>
          <t>2026-05-01</t>
        </is>
      </c>
    </row>
    <row r="53" ht="14" customHeight="1">
      <c r="A53" s="68" t="inlineStr">
        <is>
          <t>Methodology updated when Airbnb publishes algorithm changes. Re-verified quarterly. Sources: Airbnb published guidelines · Hospitable host studies · AirDNA Marketscore · STR investor community consensus. Questions on methodology? hello@thestrledger.com.</t>
        </is>
      </c>
    </row>
    <row r="54" ht="14" customHeight="1"/>
    <row r="55" ht="14" customHeight="1"/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</row>
    <row r="58" ht="18" customHeight="1">
      <c r="A58" s="28" t="inlineStr">
        <is>
          <t>Questions? hello@thestrledger.com</t>
        </is>
      </c>
    </row>
    <row r="59" ht="18" customHeight="1">
      <c r="A59" s="29" t="inlineStr">
        <is>
          <t>MKT-001 · Methodology · v1.0 · 2026-05-01</t>
        </is>
      </c>
    </row>
  </sheetData>
  <mergeCells count="12">
    <mergeCell ref="J2:L2"/>
    <mergeCell ref="D2:I2"/>
    <mergeCell ref="A7:F7"/>
    <mergeCell ref="A13:F13"/>
    <mergeCell ref="A44:F44"/>
    <mergeCell ref="A53:F55"/>
    <mergeCell ref="A22:F22"/>
    <mergeCell ref="A58:L58"/>
    <mergeCell ref="A35:F35"/>
    <mergeCell ref="A4:F4"/>
    <mergeCell ref="A2:C2"/>
    <mergeCell ref="A59:L5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E5D0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4" customWidth="1" min="4" max="4"/>
    <col width="5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HYPERLINK("#'Methodology'!A1", "← BACK")</f>
        <v/>
      </c>
      <c r="B2" s="21" t="n"/>
      <c r="C2" s="21" t="n"/>
      <c r="D2" s="30" t="inlineStr">
        <is>
          <t>RE-AUDIT TRACKER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1" t="inlineStr">
        <is>
          <t>Schedule your next audit and log every prior re-run. Track score progression.</t>
        </is>
      </c>
    </row>
    <row r="6" ht="24" customHeight="1">
      <c r="A6" s="32" t="inlineStr">
        <is>
          <t>NEXT RE-AUDIT</t>
        </is>
      </c>
    </row>
    <row r="7" ht="24" customHeight="1">
      <c r="B7" s="33" t="inlineStr">
        <is>
          <t>Re-audit by:</t>
        </is>
      </c>
      <c r="C7" s="72" t="n"/>
      <c r="E7" s="73" t="inlineStr">
        <is>
          <t>Re-run after pro photos refresh, description rewrite, or pricing/ADR change.</t>
        </is>
      </c>
    </row>
    <row r="8">
      <c r="B8" s="74" t="inlineStr">
        <is>
          <t>Days until next audit:</t>
        </is>
      </c>
      <c r="C8" s="43">
        <f>IF(C7="","",C7-TODAY())</f>
        <v/>
      </c>
    </row>
    <row r="11" ht="24" customHeight="1">
      <c r="A11" s="32" t="inlineStr">
        <is>
          <t>AUDIT HISTORY  (5 most recent)</t>
        </is>
      </c>
    </row>
    <row r="12" ht="22" customHeight="1">
      <c r="B12" s="52" t="inlineStr">
        <is>
          <t>Audit date</t>
        </is>
      </c>
      <c r="C12" s="52" t="inlineStr">
        <is>
          <t>Score</t>
        </is>
      </c>
      <c r="D12" s="52" t="inlineStr">
        <is>
          <t>Δ vs prior</t>
        </is>
      </c>
      <c r="E12" s="52" t="inlineStr">
        <is>
          <t>Notes / what changed</t>
        </is>
      </c>
    </row>
    <row r="13" ht="20" customHeight="1">
      <c r="B13" s="75" t="n"/>
      <c r="C13" s="36" t="n"/>
      <c r="D13" s="76">
        <f>""</f>
        <v/>
      </c>
      <c r="E13" s="77" t="n"/>
    </row>
    <row r="14" ht="20" customHeight="1">
      <c r="B14" s="75" t="n"/>
      <c r="C14" s="36" t="n"/>
      <c r="D14" s="76">
        <f>IF(OR(C14="",C13=""),"",C14-C13)</f>
        <v/>
      </c>
      <c r="E14" s="77" t="n"/>
    </row>
    <row r="15" ht="20" customHeight="1">
      <c r="B15" s="75" t="n"/>
      <c r="C15" s="36" t="n"/>
      <c r="D15" s="76">
        <f>IF(OR(C15="",C14=""),"",C15-C14)</f>
        <v/>
      </c>
      <c r="E15" s="77" t="n"/>
    </row>
    <row r="16" ht="20" customHeight="1">
      <c r="B16" s="75" t="n"/>
      <c r="C16" s="36" t="n"/>
      <c r="D16" s="76">
        <f>IF(OR(C16="",C15=""),"",C16-C15)</f>
        <v/>
      </c>
      <c r="E16" s="77" t="n"/>
    </row>
    <row r="17" ht="20" customHeight="1">
      <c r="B17" s="75" t="n"/>
      <c r="C17" s="36" t="n"/>
      <c r="D17" s="76">
        <f>IF(OR(C17="",C16=""),"",C17-C16)</f>
        <v/>
      </c>
      <c r="E17" s="77" t="n"/>
    </row>
    <row r="20" ht="24" customHeight="1">
      <c r="A20" s="32" t="inlineStr">
        <is>
          <t>WHEN TO RE-AUDIT</t>
        </is>
      </c>
    </row>
    <row r="21" ht="18" customHeight="1">
      <c r="B21" s="78" t="inlineStr">
        <is>
          <t>Quarterly minimum.</t>
        </is>
      </c>
      <c r="C21" s="73" t="inlineStr">
        <is>
          <t>STR markets shift season-to-season. A Q1 score is stale by Q3.</t>
        </is>
      </c>
    </row>
    <row r="22" ht="18" customHeight="1">
      <c r="B22" s="78" t="inlineStr">
        <is>
          <t>After every material listing change.</t>
        </is>
      </c>
      <c r="C22" s="73" t="inlineStr">
        <is>
          <t>New photos, rewritten description, amenity changes, pricing changes.</t>
        </is>
      </c>
    </row>
    <row r="23" ht="18" customHeight="1">
      <c r="B23" s="78" t="inlineStr">
        <is>
          <t>After Airbnb algorithm announcements.</t>
        </is>
      </c>
      <c r="C23" s="73" t="inlineStr">
        <is>
          <t>Methodology page updates after Airbnb publishes changes — re-run to verify.</t>
        </is>
      </c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</row>
    <row r="27" ht="18" customHeight="1">
      <c r="A27" s="28" t="inlineStr">
        <is>
          <t>Questions? hello@thestrledger.com</t>
        </is>
      </c>
    </row>
    <row r="28" ht="18" customHeight="1">
      <c r="A28" s="29" t="inlineStr">
        <is>
          <t>MKT-001 · Re-audit Tracker</t>
        </is>
      </c>
    </row>
  </sheetData>
  <mergeCells count="12">
    <mergeCell ref="A20:L20"/>
    <mergeCell ref="D2:L2"/>
    <mergeCell ref="C23:L23"/>
    <mergeCell ref="C22:L22"/>
    <mergeCell ref="E7:L7"/>
    <mergeCell ref="A11:L11"/>
    <mergeCell ref="A28:L28"/>
    <mergeCell ref="C21:L21"/>
    <mergeCell ref="A6:L6"/>
    <mergeCell ref="A27:L27"/>
    <mergeCell ref="A2:C2"/>
    <mergeCell ref="A4:L4"/>
  </mergeCells>
  <conditionalFormatting sqref="C8">
    <cfRule type="cellIs" priority="1" operator="lessThan" dxfId="0">
      <formula>0</formula>
    </cfRule>
    <cfRule type="cellIs" priority="2" operator="between" dxfId="1">
      <formula>0</formula>
      <formula>30</formula>
    </cfRule>
  </conditionalFormatting>
  <conditionalFormatting sqref="D13:D17">
    <cfRule type="cellIs" priority="3" operator="greaterThan" dxfId="1">
      <formula>0</formula>
    </cfRule>
    <cfRule type="cellIs" priority="4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Listing SEO Audit — The STR Ledger</dc:title>
  <dc:description xmlns:dc="http://purl.org/dc/elements/1.1/">40-criteria Airbnb listing audit with weighted scoring, prioritized fix list, methodology page, comp compare, and re-audit cadence tracker.</dc:description>
  <dcterms:created xmlns:dcterms="http://purl.org/dc/terms/" xmlns:xsi="http://www.w3.org/2001/XMLSchema-instance" xsi:type="dcterms:W3CDTF">2026-05-03T19:04:54Z</dcterms:created>
  <dcterms:modified xmlns:dcterms="http://purl.org/dc/terms/" xmlns:xsi="http://www.w3.org/2001/XMLSchema-instance" xsi:type="dcterms:W3CDTF">2026-05-03T19:04:54Z</dcterms:modified>
</cp:coreProperties>
</file>