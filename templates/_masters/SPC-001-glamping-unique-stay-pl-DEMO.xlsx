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easonality Dashboard" sheetId="4" state="visible" r:id="rId4"/>
    <sheet xmlns:r="http://schemas.openxmlformats.org/officeDocument/2006/relationships" name="Off-Grid Utilities" sheetId="5" state="visible" r:id="rId5"/>
    <sheet xmlns:r="http://schemas.openxmlformats.org/officeDocument/2006/relationships" name="Alt Revenue" sheetId="6" state="visible" r:id="rId6"/>
    <sheet xmlns:r="http://schemas.openxmlformats.org/officeDocument/2006/relationships" name="Settings" sheetId="7" state="visible" r:id="rId7"/>
  </sheets>
  <definedNames>
    <definedName name="_xlnm.Print_Area" localSheetId="0">'Start'!$A$1:$L$34</definedName>
    <definedName name="_xlnm.Print_Titles" localSheetId="1">'Income'!$1:$5</definedName>
    <definedName name="_xlnm.Print_Titles" localSheetId="2">'Expenses'!$1:$5</definedName>
    <definedName name="_xlnm.Print_Area" localSheetId="2">'Expenses'!$A$1:$N$28</definedName>
    <definedName name="_xlnm.Print_Area" localSheetId="3">'Seasonality Dashboard'!$A$1:$D$17</definedName>
    <definedName name="_xlnm.Print_Titles" localSheetId="4">'Off-Grid Utilities'!$1:$5</definedName>
    <definedName name="_xlnm.Print_Titles" localSheetId="5">'Alt Revenue'!$1:$5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&quot;$&quot;#,##0.00"/>
  </numFmts>
  <fonts count="3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2"/>
    </font>
    <font>
      <name val="Georgia"/>
      <i val="1"/>
      <color rgb="00C9A24B"/>
      <sz val="13"/>
    </font>
    <font>
      <name val="Georgia"/>
      <b val="1"/>
      <color rgb="00C9A24B"/>
      <sz val="15"/>
    </font>
    <font>
      <name val="Consolas"/>
      <color rgb="00C9A24B"/>
      <sz val="9"/>
    </font>
    <font>
      <name val="Consolas"/>
      <b val="1"/>
      <color rgb="0012304E"/>
      <sz val="9"/>
    </font>
    <font>
      <name val="Georgia"/>
      <b val="1"/>
      <color rgb="0012304E"/>
      <sz val="24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4"/>
    </font>
    <font>
      <name val="Consolas"/>
      <b val="1"/>
      <color rgb="00B91C1C"/>
      <sz val="9"/>
    </font>
    <font>
      <name val="Georgia"/>
      <b val="1"/>
      <color rgb="00B91C1C"/>
      <sz val="24"/>
    </font>
    <font>
      <name val="Consolas"/>
      <b val="1"/>
      <color rgb="00B5725E"/>
      <sz val="9"/>
    </font>
    <font>
      <name val="Georgia"/>
      <b val="1"/>
      <color rgb="00B5725E"/>
      <sz val="24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12304E"/>
      <sz val="12"/>
    </font>
    <font>
      <name val="Calibri"/>
      <i val="1"/>
      <color rgb="002B2B2B"/>
      <sz val="11"/>
    </font>
    <font>
      <name val="Calibri"/>
      <b val="1"/>
      <i val="1"/>
      <color rgb="0012304E"/>
      <sz val="11"/>
    </font>
    <font>
      <name val="Calibri"/>
      <color rgb="002B2B2B"/>
      <sz val="11"/>
    </font>
    <font>
      <name val="Calibri"/>
      <b val="1"/>
      <color rgb="00B91C1C"/>
      <sz val="12"/>
    </font>
    <font>
      <name val="Calibri"/>
      <b val="1"/>
      <i val="1"/>
      <color rgb="00B91C1C"/>
      <sz val="11"/>
    </font>
    <font>
      <name val="Calibri"/>
      <b val="1"/>
      <color rgb="0012304E"/>
      <sz val="11"/>
    </font>
    <font>
      <name val="Calibri"/>
      <b val="1"/>
      <color rgb="00B91C1C"/>
      <sz val="11"/>
    </font>
    <font>
      <name val="Georgia"/>
      <b val="1"/>
      <color rgb="0012304E"/>
      <sz val="12"/>
    </font>
    <font>
      <name val="Calibri"/>
      <i val="1"/>
      <color rgb="006B7280"/>
      <sz val="10"/>
    </font>
    <font>
      <name val="Calibri"/>
      <b val="1"/>
      <color rgb="002B2B2B"/>
      <sz val="11"/>
    </font>
    <font>
      <name val="Georgia"/>
      <b val="1"/>
      <color rgb="00C9A24B"/>
      <sz val="14"/>
    </font>
    <font>
      <name val="Consolas"/>
      <b val="1"/>
      <color rgb="0012304E"/>
      <sz val="11"/>
    </font>
    <font>
      <name val="Calibri"/>
      <b val="1"/>
      <color rgb="00B5725E"/>
      <sz val="12"/>
    </font>
    <font>
      <name val="Calibri"/>
      <b val="1"/>
      <i val="1"/>
      <color rgb="00B5725E"/>
      <sz val="11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E2C884"/>
      </patternFill>
    </fill>
    <fill>
      <patternFill patternType="solid">
        <fgColor rgb="00EDEDED"/>
      </patternFill>
    </fill>
    <fill>
      <patternFill patternType="solid">
        <fgColor rgb="00FFF7D6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9" fillId="3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13" fillId="3" borderId="1" applyAlignment="1" pivotButton="0" quotePrefix="0" xfId="0">
      <alignment horizontal="center"/>
    </xf>
    <xf numFmtId="164" fontId="7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9" fontId="10" fillId="3" borderId="4" applyAlignment="1" pivotButton="0" quotePrefix="0" xfId="0">
      <alignment horizontal="center" vertical="center"/>
    </xf>
    <xf numFmtId="164" fontId="12" fillId="3" borderId="4" applyAlignment="1" pivotButton="0" quotePrefix="0" xfId="0">
      <alignment horizontal="center" vertical="center"/>
    </xf>
    <xf numFmtId="9" fontId="14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8" fillId="3" borderId="7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3" borderId="0" pivotButton="0" quotePrefix="0" xfId="0"/>
    <xf numFmtId="0" fontId="15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6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6" fillId="4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7" fillId="5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2"/>
    </xf>
    <xf numFmtId="0" fontId="22" fillId="3" borderId="0" applyAlignment="1" pivotButton="0" quotePrefix="0" xfId="0">
      <alignment horizontal="left" vertical="center" indent="1"/>
    </xf>
    <xf numFmtId="0" fontId="18" fillId="2" borderId="14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164" fontId="25" fillId="6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left" vertical="center"/>
    </xf>
    <xf numFmtId="164" fontId="26" fillId="7" borderId="0" applyAlignment="1" pivotButton="0" quotePrefix="0" xfId="0">
      <alignment horizontal="left" vertical="center"/>
    </xf>
    <xf numFmtId="164" fontId="24" fillId="6" borderId="0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/>
    </xf>
    <xf numFmtId="164" fontId="28" fillId="6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164" fontId="29" fillId="6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64" fontId="30" fillId="6" borderId="0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/>
    </xf>
    <xf numFmtId="164" fontId="31" fillId="6" borderId="0" applyAlignment="1" pivotButton="0" quotePrefix="0" xfId="0">
      <alignment horizontal="right" vertical="center"/>
    </xf>
    <xf numFmtId="0" fontId="32" fillId="0" borderId="0" applyAlignment="1" pivotButton="0" quotePrefix="0" xfId="0">
      <alignment horizontal="left" vertical="center" wrapText="1"/>
    </xf>
    <xf numFmtId="9" fontId="26" fillId="7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right" vertical="center"/>
    </xf>
    <xf numFmtId="9" fontId="34" fillId="6" borderId="0" applyAlignment="1" pivotButton="0" quotePrefix="0" xfId="0">
      <alignment horizontal="right" vertical="center"/>
    </xf>
    <xf numFmtId="0" fontId="35" fillId="5" borderId="0" applyAlignment="1" pivotButton="0" quotePrefix="0" xfId="0">
      <alignment horizontal="left" vertical="center" indent="2"/>
    </xf>
    <xf numFmtId="0" fontId="0" fillId="5" borderId="0" pivotButton="0" quotePrefix="0" xfId="0"/>
    <xf numFmtId="165" fontId="26" fillId="7" borderId="0" applyAlignment="1" pivotButton="0" quotePrefix="0" xfId="0">
      <alignment horizontal="left" vertical="center"/>
    </xf>
    <xf numFmtId="0" fontId="26" fillId="7" borderId="0" applyAlignment="1" pivotButton="0" quotePrefix="0" xfId="0">
      <alignment horizontal="left" vertical="center"/>
    </xf>
    <xf numFmtId="0" fontId="26" fillId="7" borderId="0" applyAlignment="1" pivotButton="0" quotePrefix="0" xfId="0">
      <alignment horizontal="center" vertical="center"/>
    </xf>
    <xf numFmtId="166" fontId="26" fillId="7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right" vertical="center"/>
    </xf>
    <xf numFmtId="0" fontId="29" fillId="6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164" fontId="37" fillId="6" borderId="0" applyAlignment="1" pivotButton="0" quotePrefix="0" xfId="0">
      <alignment horizontal="right" vertical="center"/>
    </xf>
    <xf numFmtId="1" fontId="26" fillId="7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Seasonality Mix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'Seasonality Dashboard'!$B$5:$D$5</f>
            </numRef>
          </cat>
          <val>
            <numRef>
              <f>'Seasonality Dashboard'!$A$7:$D$7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'Seasonality Dashboard'!$B$5:$D$5</f>
            </numRef>
          </cat>
          <val>
            <numRef>
              <f>'Seasonality Dashboard'!$A$8:$D$8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'Seasonality Dashboard'!$B$5:$D$5</f>
            </numRef>
          </cat>
          <val>
            <numRef>
              <f>'Seasonality Dashboard'!$A$9:$D$9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Alt Revenue Mix (YTD)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'Alt Revenue'!$A$7:$A$10</f>
            </numRef>
          </cat>
          <val>
            <numRef>
              <f>'Alt Revenue'!$N$7:$N$10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Glamping / Unique-Stay P&amp;L</t>
        </is>
      </c>
    </row>
    <row r="5" ht="22" customHeight="1">
      <c r="A5" s="4" t="inlineStr">
        <is>
          <t>Built for yurts, domes, A-frames, treehouses, and the off-grid life.</t>
        </is>
      </c>
    </row>
    <row r="6" ht="30" customHeight="1">
      <c r="A6" s="5">
        <f>IF(Income!N7=0,"📊  Log a month of revenue to see your seasonality verdict.","✓  YTD Revenue = "&amp;TEXT(Income!N7,"$#,##0")&amp;"   ·   YTD NOI = "&amp;TEXT(Income!N7-Expenses!N25,"$#,##0"))</f>
        <v/>
      </c>
    </row>
    <row r="7" ht="22" customHeight="1">
      <c r="A7" s="6" t="inlineStr">
        <is>
          <t>SPC-001 · v2.2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7" t="inlineStr">
        <is>
          <t>YTD REVENUE</t>
        </is>
      </c>
      <c r="B10" s="8" t="n"/>
      <c r="C10" s="9" t="n"/>
      <c r="D10" s="10" t="inlineStr">
        <is>
          <t>PEAK SHARE</t>
        </is>
      </c>
      <c r="E10" s="8" t="n"/>
      <c r="F10" s="9" t="n"/>
      <c r="G10" s="11" t="inlineStr">
        <is>
          <t>YTD EXPENSES</t>
        </is>
      </c>
      <c r="H10" s="8" t="n"/>
      <c r="I10" s="9" t="n"/>
      <c r="J10" s="12" t="inlineStr">
        <is>
          <t>ALT REV %</t>
        </is>
      </c>
      <c r="K10" s="8" t="n"/>
      <c r="L10" s="9" t="n"/>
    </row>
    <row r="11">
      <c r="A11" s="13">
        <f>Income!N7</f>
        <v/>
      </c>
      <c r="B11" s="14" t="n"/>
      <c r="C11" s="15" t="n"/>
      <c r="D11" s="16">
        <f>IF(Income!N7=0,0,('Seasonality Dashboard'!B7)/Income!N7)</f>
        <v/>
      </c>
      <c r="E11" s="14" t="n"/>
      <c r="F11" s="15" t="n"/>
      <c r="G11" s="17">
        <f>Expenses!N25</f>
        <v/>
      </c>
      <c r="H11" s="14" t="n"/>
      <c r="I11" s="15" t="n"/>
      <c r="J11" s="18">
        <f>IF(Income!N7=0,0,SUM(Income!N10:N13)/Income!N7)</f>
        <v/>
      </c>
      <c r="K11" s="14" t="n"/>
      <c r="L11" s="15" t="n"/>
    </row>
    <row r="12">
      <c r="A12" s="19" t="n"/>
      <c r="B12" s="14" t="n"/>
      <c r="C12" s="15" t="n"/>
      <c r="D12" s="19" t="n"/>
      <c r="E12" s="14" t="n"/>
      <c r="F12" s="15" t="n"/>
      <c r="G12" s="19" t="n"/>
      <c r="H12" s="14" t="n"/>
      <c r="I12" s="15" t="n"/>
      <c r="J12" s="19" t="n"/>
      <c r="K12" s="14" t="n"/>
      <c r="L12" s="15" t="n"/>
    </row>
    <row r="13">
      <c r="A13" s="19" t="n"/>
      <c r="B13" s="14" t="n"/>
      <c r="C13" s="15" t="n"/>
      <c r="D13" s="19" t="n"/>
      <c r="E13" s="14" t="n"/>
      <c r="F13" s="15" t="n"/>
      <c r="G13" s="19" t="n"/>
      <c r="H13" s="14" t="n"/>
      <c r="I13" s="15" t="n"/>
      <c r="J13" s="19" t="n"/>
      <c r="K13" s="14" t="n"/>
      <c r="L13" s="15" t="n"/>
    </row>
    <row r="14">
      <c r="A14" s="20" t="inlineStr">
        <is>
          <t>lodging + alt</t>
        </is>
      </c>
      <c r="B14" s="21" t="n"/>
      <c r="C14" s="22" t="n"/>
      <c r="D14" s="20" t="inlineStr">
        <is>
          <t>of total revenue</t>
        </is>
      </c>
      <c r="E14" s="21" t="n"/>
      <c r="F14" s="22" t="n"/>
      <c r="G14" s="20" t="inlineStr">
        <is>
          <t>all categories</t>
        </is>
      </c>
      <c r="H14" s="21" t="n"/>
      <c r="I14" s="22" t="n"/>
      <c r="J14" s="20" t="inlineStr">
        <is>
          <t>firewood + gear + experiences</t>
        </is>
      </c>
      <c r="K14" s="21" t="n"/>
      <c r="L14" s="22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</row>
    <row r="17" ht="20" customHeight="1">
      <c r="A17" s="24">
        <f>HYPERLINK("#'Income'!A1", "→  OPEN INCOME MATRIX")</f>
        <v/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</row>
    <row r="18" ht="20" customHeight="1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</row>
    <row r="19" ht="20" customHeight="1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</row>
    <row r="20" ht="20" customHeight="1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</row>
    <row r="22" ht="22" customHeight="1">
      <c r="A22" s="26">
        <f>HYPERLINK("#'Expenses'!A1", "Expenses")</f>
        <v/>
      </c>
      <c r="B22" s="27" t="n"/>
      <c r="C22" s="27" t="n"/>
      <c r="D22" s="28">
        <f>HYPERLINK("#'Seasonality Dashboard'!A1", "Seasonality")</f>
        <v/>
      </c>
      <c r="E22" s="29" t="n"/>
      <c r="F22" s="29" t="n"/>
      <c r="G22" s="26">
        <f>HYPERLINK("#'Off-Grid Utilities'!A1", "Off-Grid Utilities")</f>
        <v/>
      </c>
      <c r="H22" s="27" t="n"/>
      <c r="I22" s="27" t="n"/>
      <c r="J22" s="26">
        <f>HYPERLINK("#'Settings'!A1", "Settings")</f>
        <v/>
      </c>
      <c r="K22" s="27" t="n"/>
      <c r="L22" s="27" t="n"/>
    </row>
    <row r="23" ht="22" customHeight="1">
      <c r="A23" s="27" t="n"/>
      <c r="B23" s="27" t="n"/>
      <c r="C23" s="27" t="n"/>
      <c r="D23" s="29" t="n"/>
      <c r="E23" s="29" t="n"/>
      <c r="F23" s="29" t="n"/>
      <c r="G23" s="27" t="n"/>
      <c r="H23" s="27" t="n"/>
      <c r="I23" s="27" t="n"/>
      <c r="J23" s="27" t="n"/>
      <c r="K23" s="27" t="n"/>
      <c r="L23" s="27" t="n"/>
    </row>
    <row r="25" ht="22" customHeight="1">
      <c r="A25" s="26">
        <f>HYPERLINK("#'Alt Revenue'!A1", "Alt Revenue")</f>
        <v/>
      </c>
      <c r="B25" s="27" t="n"/>
      <c r="C25" s="27" t="n"/>
      <c r="D25" s="27" t="n"/>
      <c r="E25" s="27" t="n"/>
      <c r="F25" s="27" t="n"/>
      <c r="G25" s="28">
        <f>HYPERLINK("#'Expenses'!A1", "📄  Print Year-End P&amp;L")</f>
        <v/>
      </c>
      <c r="H25" s="29" t="n"/>
      <c r="I25" s="29" t="n"/>
      <c r="J25" s="29" t="n"/>
      <c r="K25" s="29" t="n"/>
      <c r="L25" s="29" t="n"/>
    </row>
    <row r="26" ht="22" customHeight="1">
      <c r="A26" s="27" t="n"/>
      <c r="B26" s="27" t="n"/>
      <c r="C26" s="27" t="n"/>
      <c r="D26" s="27" t="n"/>
      <c r="E26" s="27" t="n"/>
      <c r="F26" s="27" t="n"/>
      <c r="G26" s="29" t="n"/>
      <c r="H26" s="29" t="n"/>
      <c r="I26" s="29" t="n"/>
      <c r="J26" s="29" t="n"/>
      <c r="K26" s="29" t="n"/>
      <c r="L26" s="29" t="n"/>
    </row>
    <row r="28" ht="32" customHeight="1">
      <c r="A28" s="30" t="inlineStr">
        <is>
          <t>📅 SEASONALITY: glamping commonly loses money Off-Season — track Peak NOI carefully. Most operators earn ~70% of annual NOI in Peak alone.</t>
        </is>
      </c>
    </row>
    <row r="30" ht="30" customHeight="1">
      <c r="A30" s="31" t="inlineStr">
        <is>
          <t>💡 Upgrade to the Full version at thestrledger.com/upgrade — multi-property, depreciation, multi-LLC support.</t>
        </is>
      </c>
    </row>
    <row r="32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</row>
    <row r="33" ht="18" customHeight="1">
      <c r="A33" s="33" t="inlineStr">
        <is>
          <t>Questions? hello@thestrledger.com</t>
        </is>
      </c>
    </row>
    <row r="34" ht="18" customHeight="1">
      <c r="A34" s="34" t="inlineStr">
        <is>
          <t>SPC-001 · v2.2 · Free updates forever</t>
        </is>
      </c>
    </row>
  </sheetData>
  <mergeCells count="27">
    <mergeCell ref="A7:L7"/>
    <mergeCell ref="G10:I10"/>
    <mergeCell ref="J22:L23"/>
    <mergeCell ref="G25:L26"/>
    <mergeCell ref="G22:I23"/>
    <mergeCell ref="D11:F13"/>
    <mergeCell ref="A2:F2"/>
    <mergeCell ref="J11:L13"/>
    <mergeCell ref="G11:I13"/>
    <mergeCell ref="G14:I14"/>
    <mergeCell ref="A33:L33"/>
    <mergeCell ref="D22:F23"/>
    <mergeCell ref="A14:C14"/>
    <mergeCell ref="A5:L5"/>
    <mergeCell ref="A4:L4"/>
    <mergeCell ref="A10:C10"/>
    <mergeCell ref="D14:F14"/>
    <mergeCell ref="A28:L28"/>
    <mergeCell ref="A25:F26"/>
    <mergeCell ref="A34:L34"/>
    <mergeCell ref="D10:F10"/>
    <mergeCell ref="J14:L14"/>
    <mergeCell ref="J10:L10"/>
    <mergeCell ref="A22:C23"/>
    <mergeCell ref="A6:L6"/>
    <mergeCell ref="A11:C13"/>
    <mergeCell ref="A17:L20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HYPERLINK("#'Start'!A1", "← BACK")</f>
        <v/>
      </c>
      <c r="B2" s="25" t="n"/>
      <c r="C2" s="25" t="n"/>
      <c r="D2" s="35" t="inlineStr">
        <is>
          <t>INCOME</t>
        </is>
      </c>
      <c r="J2" s="28">
        <f>HYPERLINK("#'Expenses'!A1",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Monthly revenue rollup — lodging + alt-revenue lines</t>
        </is>
      </c>
    </row>
    <row r="5" ht="20" customHeight="1">
      <c r="A5" s="37" t="inlineStr">
        <is>
          <t>Line</t>
        </is>
      </c>
      <c r="B5" s="37" t="inlineStr">
        <is>
          <t>Jan</t>
        </is>
      </c>
      <c r="C5" s="37" t="inlineStr">
        <is>
          <t>Feb</t>
        </is>
      </c>
      <c r="D5" s="37" t="inlineStr">
        <is>
          <t>Mar</t>
        </is>
      </c>
      <c r="E5" s="37" t="inlineStr">
        <is>
          <t>Apr</t>
        </is>
      </c>
      <c r="F5" s="37" t="inlineStr">
        <is>
          <t>May</t>
        </is>
      </c>
      <c r="G5" s="37" t="inlineStr">
        <is>
          <t>Jun</t>
        </is>
      </c>
      <c r="H5" s="37" t="inlineStr">
        <is>
          <t>Jul</t>
        </is>
      </c>
      <c r="I5" s="37" t="inlineStr">
        <is>
          <t>Aug</t>
        </is>
      </c>
      <c r="J5" s="37" t="inlineStr">
        <is>
          <t>Sep</t>
        </is>
      </c>
      <c r="K5" s="37" t="inlineStr">
        <is>
          <t>Oct</t>
        </is>
      </c>
      <c r="L5" s="37" t="inlineStr">
        <is>
          <t>Nov</t>
        </is>
      </c>
      <c r="M5" s="37" t="inlineStr">
        <is>
          <t>Dec</t>
        </is>
      </c>
      <c r="N5" s="37" t="inlineStr">
        <is>
          <t>YTD</t>
        </is>
      </c>
    </row>
    <row r="6" ht="8" customHeight="1"/>
    <row r="7" ht="22" customHeight="1">
      <c r="A7" s="38" t="inlineStr">
        <is>
          <t>TOTAL REVENUE</t>
        </is>
      </c>
      <c r="B7" s="39">
        <f>SUM(B8:B14)</f>
        <v/>
      </c>
      <c r="C7" s="39">
        <f>SUM(C8:C14)</f>
        <v/>
      </c>
      <c r="D7" s="39">
        <f>SUM(D8:D14)</f>
        <v/>
      </c>
      <c r="E7" s="39">
        <f>SUM(E8:E14)</f>
        <v/>
      </c>
      <c r="F7" s="39">
        <f>SUM(F8:F14)</f>
        <v/>
      </c>
      <c r="G7" s="39">
        <f>SUM(G8:G14)</f>
        <v/>
      </c>
      <c r="H7" s="39">
        <f>SUM(H8:H14)</f>
        <v/>
      </c>
      <c r="I7" s="39">
        <f>SUM(I8:I14)</f>
        <v/>
      </c>
      <c r="J7" s="39">
        <f>SUM(J8:J14)</f>
        <v/>
      </c>
      <c r="K7" s="39">
        <f>SUM(K8:K14)</f>
        <v/>
      </c>
      <c r="L7" s="39">
        <f>SUM(L8:L14)</f>
        <v/>
      </c>
      <c r="M7" s="39">
        <f>SUM(M8:M14)</f>
        <v/>
      </c>
      <c r="N7" s="39">
        <f>SUM(N8:N14)</f>
        <v/>
      </c>
    </row>
    <row r="8" ht="16" customHeight="1">
      <c r="A8" s="40" t="inlineStr">
        <is>
          <t>Lodging revenue (nightly rate × nights)</t>
        </is>
      </c>
      <c r="B8" s="41" t="n">
        <v>1100</v>
      </c>
      <c r="C8" s="41" t="n">
        <v>1000</v>
      </c>
      <c r="D8" s="41" t="n">
        <v>3200</v>
      </c>
      <c r="E8" s="41" t="n">
        <v>3500</v>
      </c>
      <c r="F8" s="41" t="n">
        <v>9800</v>
      </c>
      <c r="G8" s="41" t="n">
        <v>13200</v>
      </c>
      <c r="H8" s="41" t="n">
        <v>14500</v>
      </c>
      <c r="I8" s="41" t="n">
        <v>14200</v>
      </c>
      <c r="J8" s="41" t="n">
        <v>12800</v>
      </c>
      <c r="K8" s="41" t="n">
        <v>11500</v>
      </c>
      <c r="L8" s="41" t="n">
        <v>4300</v>
      </c>
      <c r="M8" s="41" t="n">
        <v>1300</v>
      </c>
      <c r="N8" s="42">
        <f>SUM(B8:M8)</f>
        <v/>
      </c>
    </row>
    <row r="9" ht="16" customHeight="1">
      <c r="A9" s="40" t="inlineStr">
        <is>
          <t>Cleaning fee revenue</t>
        </is>
      </c>
      <c r="B9" s="41" t="n">
        <v>150</v>
      </c>
      <c r="C9" s="41" t="n">
        <v>130</v>
      </c>
      <c r="D9" s="41" t="n">
        <v>320</v>
      </c>
      <c r="E9" s="41" t="n">
        <v>360</v>
      </c>
      <c r="F9" s="41" t="n">
        <v>980</v>
      </c>
      <c r="G9" s="41" t="n">
        <v>1200</v>
      </c>
      <c r="H9" s="41" t="n">
        <v>1320</v>
      </c>
      <c r="I9" s="41" t="n">
        <v>1280</v>
      </c>
      <c r="J9" s="41" t="n">
        <v>1180</v>
      </c>
      <c r="K9" s="41" t="n">
        <v>1080</v>
      </c>
      <c r="L9" s="41" t="n">
        <v>430</v>
      </c>
      <c r="M9" s="41" t="n">
        <v>170</v>
      </c>
      <c r="N9" s="42">
        <f>SUM(B9:M9)</f>
        <v/>
      </c>
    </row>
    <row r="10" ht="16" customHeight="1">
      <c r="A10" s="40" t="inlineStr">
        <is>
          <t>Firewood sales</t>
        </is>
      </c>
      <c r="B10" s="41" t="n">
        <v>20</v>
      </c>
      <c r="C10" s="41" t="n">
        <v>20</v>
      </c>
      <c r="D10" s="41" t="n">
        <v>60</v>
      </c>
      <c r="E10" s="41" t="n">
        <v>80</v>
      </c>
      <c r="F10" s="41" t="n">
        <v>240</v>
      </c>
      <c r="G10" s="41" t="n">
        <v>340</v>
      </c>
      <c r="H10" s="41" t="n">
        <v>380</v>
      </c>
      <c r="I10" s="41" t="n">
        <v>360</v>
      </c>
      <c r="J10" s="41" t="n">
        <v>280</v>
      </c>
      <c r="K10" s="41" t="n">
        <v>200</v>
      </c>
      <c r="L10" s="41" t="n">
        <v>60</v>
      </c>
      <c r="M10" s="41" t="n">
        <v>20</v>
      </c>
      <c r="N10" s="42">
        <f>SUM(B10:M10)</f>
        <v/>
      </c>
    </row>
    <row r="11" ht="16" customHeight="1">
      <c r="A11" s="40" t="inlineStr">
        <is>
          <t>Gear rentals (kayak / fire pit / e-bike)</t>
        </is>
      </c>
      <c r="B11" s="41" t="n">
        <v>0</v>
      </c>
      <c r="C11" s="41" t="n">
        <v>0</v>
      </c>
      <c r="D11" s="41" t="n">
        <v>60</v>
      </c>
      <c r="E11" s="41" t="n">
        <v>120</v>
      </c>
      <c r="F11" s="41" t="n">
        <v>380</v>
      </c>
      <c r="G11" s="41" t="n">
        <v>540</v>
      </c>
      <c r="H11" s="41" t="n">
        <v>620</v>
      </c>
      <c r="I11" s="41" t="n">
        <v>600</v>
      </c>
      <c r="J11" s="41" t="n">
        <v>480</v>
      </c>
      <c r="K11" s="41" t="n">
        <v>240</v>
      </c>
      <c r="L11" s="41" t="n">
        <v>0</v>
      </c>
      <c r="M11" s="41" t="n">
        <v>0</v>
      </c>
      <c r="N11" s="42">
        <f>SUM(B11:M11)</f>
        <v/>
      </c>
    </row>
    <row r="12" ht="16" customHeight="1">
      <c r="A12" s="40" t="inlineStr">
        <is>
          <t>On-site experiences (guided / hosted)</t>
        </is>
      </c>
      <c r="B12" s="41" t="n">
        <v>0</v>
      </c>
      <c r="C12" s="41" t="n">
        <v>0</v>
      </c>
      <c r="D12" s="41" t="n">
        <v>0</v>
      </c>
      <c r="E12" s="41" t="n">
        <v>50</v>
      </c>
      <c r="F12" s="41" t="n">
        <v>150</v>
      </c>
      <c r="G12" s="41" t="n">
        <v>220</v>
      </c>
      <c r="H12" s="41" t="n">
        <v>260</v>
      </c>
      <c r="I12" s="41" t="n">
        <v>240</v>
      </c>
      <c r="J12" s="41" t="n">
        <v>180</v>
      </c>
      <c r="K12" s="41" t="n">
        <v>80</v>
      </c>
      <c r="L12" s="41" t="n">
        <v>20</v>
      </c>
      <c r="M12" s="41" t="n">
        <v>0</v>
      </c>
      <c r="N12" s="42">
        <f>SUM(B12:M12)</f>
        <v/>
      </c>
    </row>
    <row r="13" ht="16" customHeight="1">
      <c r="A13" s="40" t="inlineStr">
        <is>
          <t>Photo-shoot fees</t>
        </is>
      </c>
      <c r="B13" s="41" t="n">
        <v>0</v>
      </c>
      <c r="C13" s="41" t="n">
        <v>0</v>
      </c>
      <c r="D13" s="41" t="n">
        <v>50</v>
      </c>
      <c r="E13" s="41" t="n">
        <v>100</v>
      </c>
      <c r="F13" s="41" t="n">
        <v>250</v>
      </c>
      <c r="G13" s="41" t="n">
        <v>350</v>
      </c>
      <c r="H13" s="41" t="n">
        <v>400</v>
      </c>
      <c r="I13" s="41" t="n">
        <v>400</v>
      </c>
      <c r="J13" s="41" t="n">
        <v>250</v>
      </c>
      <c r="K13" s="41" t="n">
        <v>150</v>
      </c>
      <c r="L13" s="41" t="n">
        <v>50</v>
      </c>
      <c r="M13" s="41" t="n">
        <v>0</v>
      </c>
      <c r="N13" s="42">
        <f>SUM(B13:M13)</f>
        <v/>
      </c>
    </row>
    <row r="14" ht="16" customHeight="1">
      <c r="A14" s="40" t="inlineStr">
        <is>
          <t>Pet fee revenue</t>
        </is>
      </c>
      <c r="B14" s="41" t="n">
        <v>50</v>
      </c>
      <c r="C14" s="41" t="n">
        <v>50</v>
      </c>
      <c r="D14" s="41" t="n">
        <v>100</v>
      </c>
      <c r="E14" s="41" t="n">
        <v>100</v>
      </c>
      <c r="F14" s="41" t="n">
        <v>250</v>
      </c>
      <c r="G14" s="41" t="n">
        <v>350</v>
      </c>
      <c r="H14" s="41" t="n">
        <v>400</v>
      </c>
      <c r="I14" s="41" t="n">
        <v>400</v>
      </c>
      <c r="J14" s="41" t="n">
        <v>350</v>
      </c>
      <c r="K14" s="41" t="n">
        <v>300</v>
      </c>
      <c r="L14" s="41" t="n">
        <v>100</v>
      </c>
      <c r="M14" s="41" t="n">
        <v>50</v>
      </c>
      <c r="N14" s="42">
        <f>SUM(B14:M14)</f>
        <v/>
      </c>
    </row>
  </sheetData>
  <mergeCells count="4">
    <mergeCell ref="J2:L2"/>
    <mergeCell ref="D2:I2"/>
    <mergeCell ref="A2:C2"/>
    <mergeCell ref="A4:L4"/>
  </mergeCells>
  <pageMargins left="0.4" right="0.4" top="0.5" bottom="0.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HYPERLINK("#'Income'!A1", "← BACK")</f>
        <v/>
      </c>
      <c r="B2" s="25" t="n"/>
      <c r="C2" s="25" t="n"/>
      <c r="D2" s="35" t="inlineStr">
        <is>
          <t>EXPENSES</t>
        </is>
      </c>
      <c r="J2" s="28">
        <f>HYPERLINK("#'Seasonality Dashboard'!A1",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Monthly expense rollup — glamping-specific categories</t>
        </is>
      </c>
    </row>
    <row r="5" ht="20" customHeight="1">
      <c r="A5" s="37" t="inlineStr">
        <is>
          <t>Category</t>
        </is>
      </c>
      <c r="B5" s="37" t="inlineStr">
        <is>
          <t>Jan</t>
        </is>
      </c>
      <c r="C5" s="37" t="inlineStr">
        <is>
          <t>Feb</t>
        </is>
      </c>
      <c r="D5" s="37" t="inlineStr">
        <is>
          <t>Mar</t>
        </is>
      </c>
      <c r="E5" s="37" t="inlineStr">
        <is>
          <t>Apr</t>
        </is>
      </c>
      <c r="F5" s="37" t="inlineStr">
        <is>
          <t>May</t>
        </is>
      </c>
      <c r="G5" s="37" t="inlineStr">
        <is>
          <t>Jun</t>
        </is>
      </c>
      <c r="H5" s="37" t="inlineStr">
        <is>
          <t>Jul</t>
        </is>
      </c>
      <c r="I5" s="37" t="inlineStr">
        <is>
          <t>Aug</t>
        </is>
      </c>
      <c r="J5" s="37" t="inlineStr">
        <is>
          <t>Sep</t>
        </is>
      </c>
      <c r="K5" s="37" t="inlineStr">
        <is>
          <t>Oct</t>
        </is>
      </c>
      <c r="L5" s="37" t="inlineStr">
        <is>
          <t>Nov</t>
        </is>
      </c>
      <c r="M5" s="37" t="inlineStr">
        <is>
          <t>Dec</t>
        </is>
      </c>
      <c r="N5" s="37" t="inlineStr">
        <is>
          <t>YTD</t>
        </is>
      </c>
    </row>
    <row r="6" ht="8" customHeight="1"/>
    <row r="7" ht="16" customHeight="1">
      <c r="A7" s="40" t="inlineStr">
        <is>
          <t>Propane (refills + tank rental)</t>
        </is>
      </c>
      <c r="B7" s="41" t="n">
        <v>220</v>
      </c>
      <c r="C7" s="41" t="n">
        <v>220</v>
      </c>
      <c r="D7" s="41" t="n">
        <v>280</v>
      </c>
      <c r="E7" s="41" t="n">
        <v>320</v>
      </c>
      <c r="F7" s="41" t="n">
        <v>480</v>
      </c>
      <c r="G7" s="41" t="n">
        <v>540</v>
      </c>
      <c r="H7" s="41" t="n">
        <v>560</v>
      </c>
      <c r="I7" s="41" t="n">
        <v>540</v>
      </c>
      <c r="J7" s="41" t="n">
        <v>500</v>
      </c>
      <c r="K7" s="41" t="n">
        <v>420</v>
      </c>
      <c r="L7" s="41" t="n">
        <v>380</v>
      </c>
      <c r="M7" s="41" t="n">
        <v>340</v>
      </c>
      <c r="N7" s="42">
        <f>SUM(B7:M7)</f>
        <v/>
      </c>
    </row>
    <row r="8" ht="16" customHeight="1">
      <c r="A8" s="40" t="inlineStr">
        <is>
          <t>Generator fuel + maintenance</t>
        </is>
      </c>
      <c r="B8" s="41" t="n">
        <v>30</v>
      </c>
      <c r="C8" s="41" t="n">
        <v>30</v>
      </c>
      <c r="D8" s="41" t="n">
        <v>60</v>
      </c>
      <c r="E8" s="41" t="n">
        <v>80</v>
      </c>
      <c r="F8" s="41" t="n">
        <v>140</v>
      </c>
      <c r="G8" s="41" t="n">
        <v>180</v>
      </c>
      <c r="H8" s="41" t="n">
        <v>200</v>
      </c>
      <c r="I8" s="41" t="n">
        <v>180</v>
      </c>
      <c r="J8" s="41" t="n">
        <v>160</v>
      </c>
      <c r="K8" s="41" t="n">
        <v>100</v>
      </c>
      <c r="L8" s="41" t="n">
        <v>30</v>
      </c>
      <c r="M8" s="41" t="n">
        <v>10</v>
      </c>
      <c r="N8" s="42">
        <f>SUM(B8:M8)</f>
        <v/>
      </c>
    </row>
    <row r="9" ht="16" customHeight="1">
      <c r="A9" s="40" t="inlineStr">
        <is>
          <t>Water (delivery / well pump electrical)</t>
        </is>
      </c>
      <c r="B9" s="41" t="n">
        <v>80</v>
      </c>
      <c r="C9" s="41" t="n">
        <v>80</v>
      </c>
      <c r="D9" s="41" t="n">
        <v>100</v>
      </c>
      <c r="E9" s="41" t="n">
        <v>120</v>
      </c>
      <c r="F9" s="41" t="n">
        <v>200</v>
      </c>
      <c r="G9" s="41" t="n">
        <v>240</v>
      </c>
      <c r="H9" s="41" t="n">
        <v>260</v>
      </c>
      <c r="I9" s="41" t="n">
        <v>240</v>
      </c>
      <c r="J9" s="41" t="n">
        <v>220</v>
      </c>
      <c r="K9" s="41" t="n">
        <v>160</v>
      </c>
      <c r="L9" s="41" t="n">
        <v>100</v>
      </c>
      <c r="M9" s="41" t="n">
        <v>80</v>
      </c>
      <c r="N9" s="42">
        <f>SUM(B9:M9)</f>
        <v/>
      </c>
    </row>
    <row r="10" ht="16" customHeight="1">
      <c r="A10" s="40" t="inlineStr">
        <is>
          <t>Septic / port-a-potty pumping</t>
        </is>
      </c>
      <c r="B10" s="41" t="n">
        <v>0</v>
      </c>
      <c r="C10" s="41" t="n">
        <v>0</v>
      </c>
      <c r="D10" s="41" t="n">
        <v>120</v>
      </c>
      <c r="E10" s="41" t="n">
        <v>120</v>
      </c>
      <c r="F10" s="41" t="n">
        <v>240</v>
      </c>
      <c r="G10" s="41" t="n">
        <v>240</v>
      </c>
      <c r="H10" s="41" t="n">
        <v>240</v>
      </c>
      <c r="I10" s="41" t="n">
        <v>240</v>
      </c>
      <c r="J10" s="41" t="n">
        <v>240</v>
      </c>
      <c r="K10" s="41" t="n">
        <v>240</v>
      </c>
      <c r="L10" s="41" t="n">
        <v>120</v>
      </c>
      <c r="M10" s="41" t="n">
        <v>0</v>
      </c>
      <c r="N10" s="42">
        <f>SUM(B10:M10)</f>
        <v/>
      </c>
    </row>
    <row r="11" ht="16" customHeight="1">
      <c r="A11" s="40" t="inlineStr">
        <is>
          <t>Linens (replaced more frequently)</t>
        </is>
      </c>
      <c r="B11" s="41" t="n">
        <v>120</v>
      </c>
      <c r="C11" s="41" t="n">
        <v>120</v>
      </c>
      <c r="D11" s="41" t="n">
        <v>200</v>
      </c>
      <c r="E11" s="41" t="n">
        <v>240</v>
      </c>
      <c r="F11" s="41" t="n">
        <v>420</v>
      </c>
      <c r="G11" s="41" t="n">
        <v>480</v>
      </c>
      <c r="H11" s="41" t="n">
        <v>500</v>
      </c>
      <c r="I11" s="41" t="n">
        <v>480</v>
      </c>
      <c r="J11" s="41" t="n">
        <v>440</v>
      </c>
      <c r="K11" s="41" t="n">
        <v>380</v>
      </c>
      <c r="L11" s="41" t="n">
        <v>180</v>
      </c>
      <c r="M11" s="41" t="n">
        <v>120</v>
      </c>
      <c r="N11" s="42">
        <f>SUM(B11:M11)</f>
        <v/>
      </c>
    </row>
    <row r="12" ht="16" customHeight="1">
      <c r="A12" s="40" t="inlineStr">
        <is>
          <t>Weather damage repairs</t>
        </is>
      </c>
      <c r="B12" s="41" t="n">
        <v>200</v>
      </c>
      <c r="C12" s="41" t="n">
        <v>0</v>
      </c>
      <c r="D12" s="41" t="n">
        <v>400</v>
      </c>
      <c r="E12" s="41" t="n">
        <v>0</v>
      </c>
      <c r="F12" s="41" t="n">
        <v>200</v>
      </c>
      <c r="G12" s="41" t="n">
        <v>0</v>
      </c>
      <c r="H12" s="41" t="n">
        <v>0</v>
      </c>
      <c r="I12" s="41" t="n">
        <v>0</v>
      </c>
      <c r="J12" s="41" t="n">
        <v>200</v>
      </c>
      <c r="K12" s="41" t="n">
        <v>200</v>
      </c>
      <c r="L12" s="41" t="n">
        <v>400</v>
      </c>
      <c r="M12" s="41" t="n">
        <v>200</v>
      </c>
      <c r="N12" s="42">
        <f>SUM(B12:M12)</f>
        <v/>
      </c>
    </row>
    <row r="13" ht="16" customHeight="1">
      <c r="A13" s="40" t="inlineStr">
        <is>
          <t>Pest control</t>
        </is>
      </c>
      <c r="B13" s="41" t="n">
        <v>0</v>
      </c>
      <c r="C13" s="41" t="n">
        <v>60</v>
      </c>
      <c r="D13" s="41" t="n">
        <v>0</v>
      </c>
      <c r="E13" s="41" t="n">
        <v>60</v>
      </c>
      <c r="F13" s="41" t="n">
        <v>0</v>
      </c>
      <c r="G13" s="41" t="n">
        <v>60</v>
      </c>
      <c r="H13" s="41" t="n">
        <v>0</v>
      </c>
      <c r="I13" s="41" t="n">
        <v>60</v>
      </c>
      <c r="J13" s="41" t="n">
        <v>0</v>
      </c>
      <c r="K13" s="41" t="n">
        <v>60</v>
      </c>
      <c r="L13" s="41" t="n">
        <v>0</v>
      </c>
      <c r="M13" s="41" t="n">
        <v>60</v>
      </c>
      <c r="N13" s="42">
        <f>SUM(B13:M13)</f>
        <v/>
      </c>
    </row>
    <row r="14" ht="16" customHeight="1">
      <c r="A14" s="40" t="inlineStr">
        <is>
          <t>Composting / waste management</t>
        </is>
      </c>
      <c r="B14" s="41" t="n">
        <v>40</v>
      </c>
      <c r="C14" s="41" t="n">
        <v>40</v>
      </c>
      <c r="D14" s="41" t="n">
        <v>60</v>
      </c>
      <c r="E14" s="41" t="n">
        <v>60</v>
      </c>
      <c r="F14" s="41" t="n">
        <v>100</v>
      </c>
      <c r="G14" s="41" t="n">
        <v>120</v>
      </c>
      <c r="H14" s="41" t="n">
        <v>140</v>
      </c>
      <c r="I14" s="41" t="n">
        <v>120</v>
      </c>
      <c r="J14" s="41" t="n">
        <v>100</v>
      </c>
      <c r="K14" s="41" t="n">
        <v>80</v>
      </c>
      <c r="L14" s="41" t="n">
        <v>60</v>
      </c>
      <c r="M14" s="41" t="n">
        <v>40</v>
      </c>
      <c r="N14" s="42">
        <f>SUM(B14:M14)</f>
        <v/>
      </c>
    </row>
    <row r="15" ht="16" customHeight="1">
      <c r="A15" s="40" t="inlineStr">
        <is>
          <t>Decor refresh (Insta inventory)</t>
        </is>
      </c>
      <c r="B15" s="41" t="n">
        <v>0</v>
      </c>
      <c r="C15" s="41" t="n">
        <v>0</v>
      </c>
      <c r="D15" s="41" t="n">
        <v>200</v>
      </c>
      <c r="E15" s="41" t="n">
        <v>0</v>
      </c>
      <c r="F15" s="41" t="n">
        <v>300</v>
      </c>
      <c r="G15" s="41" t="n">
        <v>0</v>
      </c>
      <c r="H15" s="41" t="n">
        <v>200</v>
      </c>
      <c r="I15" s="41" t="n">
        <v>0</v>
      </c>
      <c r="J15" s="41" t="n">
        <v>200</v>
      </c>
      <c r="K15" s="41" t="n">
        <v>0</v>
      </c>
      <c r="L15" s="41" t="n">
        <v>0</v>
      </c>
      <c r="M15" s="41" t="n">
        <v>0</v>
      </c>
      <c r="N15" s="42">
        <f>SUM(B15:M15)</f>
        <v/>
      </c>
    </row>
    <row r="16" ht="16" customHeight="1">
      <c r="A16" s="40" t="inlineStr">
        <is>
          <t>Listing photo refresh</t>
        </is>
      </c>
      <c r="B16" s="41" t="n">
        <v>0</v>
      </c>
      <c r="C16" s="41" t="n">
        <v>0</v>
      </c>
      <c r="D16" s="41" t="n">
        <v>400</v>
      </c>
      <c r="E16" s="41" t="n">
        <v>0</v>
      </c>
      <c r="F16" s="41" t="n">
        <v>0</v>
      </c>
      <c r="G16" s="41" t="n">
        <v>0</v>
      </c>
      <c r="H16" s="41" t="n">
        <v>400</v>
      </c>
      <c r="I16" s="41" t="n">
        <v>0</v>
      </c>
      <c r="J16" s="41" t="n">
        <v>0</v>
      </c>
      <c r="K16" s="41" t="n">
        <v>0</v>
      </c>
      <c r="L16" s="41" t="n">
        <v>400</v>
      </c>
      <c r="M16" s="41" t="n">
        <v>0</v>
      </c>
      <c r="N16" s="42">
        <f>SUM(B16:M16)</f>
        <v/>
      </c>
    </row>
    <row r="17" ht="16" customHeight="1">
      <c r="A17" s="40" t="inlineStr">
        <is>
          <t>Insurance (specialty glamping policy)</t>
        </is>
      </c>
      <c r="B17" s="41" t="n">
        <v>180</v>
      </c>
      <c r="C17" s="41" t="n">
        <v>180</v>
      </c>
      <c r="D17" s="41" t="n">
        <v>180</v>
      </c>
      <c r="E17" s="41" t="n">
        <v>180</v>
      </c>
      <c r="F17" s="41" t="n">
        <v>180</v>
      </c>
      <c r="G17" s="41" t="n">
        <v>180</v>
      </c>
      <c r="H17" s="41" t="n">
        <v>180</v>
      </c>
      <c r="I17" s="41" t="n">
        <v>180</v>
      </c>
      <c r="J17" s="41" t="n">
        <v>180</v>
      </c>
      <c r="K17" s="41" t="n">
        <v>180</v>
      </c>
      <c r="L17" s="41" t="n">
        <v>180</v>
      </c>
      <c r="M17" s="41" t="n">
        <v>180</v>
      </c>
      <c r="N17" s="42">
        <f>SUM(B17:M17)</f>
        <v/>
      </c>
    </row>
    <row r="18" ht="16" customHeight="1">
      <c r="A18" s="40" t="inlineStr">
        <is>
          <t>Property taxes</t>
        </is>
      </c>
      <c r="B18" s="41" t="n">
        <v>0</v>
      </c>
      <c r="C18" s="41" t="n">
        <v>0</v>
      </c>
      <c r="D18" s="41" t="n">
        <v>0</v>
      </c>
      <c r="E18" s="41" t="n">
        <v>0</v>
      </c>
      <c r="F18" s="41" t="n">
        <v>0</v>
      </c>
      <c r="G18" s="41" t="n">
        <v>0</v>
      </c>
      <c r="H18" s="41" t="n">
        <v>0</v>
      </c>
      <c r="I18" s="41" t="n">
        <v>0</v>
      </c>
      <c r="J18" s="41" t="n">
        <v>0</v>
      </c>
      <c r="K18" s="41" t="n">
        <v>0</v>
      </c>
      <c r="L18" s="41" t="n">
        <v>1800</v>
      </c>
      <c r="M18" s="41" t="n">
        <v>0</v>
      </c>
      <c r="N18" s="42">
        <f>SUM(B18:M18)</f>
        <v/>
      </c>
    </row>
    <row r="19" ht="16" customHeight="1">
      <c r="A19" s="40" t="inlineStr">
        <is>
          <t>Internet / connectivity</t>
        </is>
      </c>
      <c r="B19" s="41" t="n">
        <v>95</v>
      </c>
      <c r="C19" s="41" t="n">
        <v>95</v>
      </c>
      <c r="D19" s="41" t="n">
        <v>95</v>
      </c>
      <c r="E19" s="41" t="n">
        <v>95</v>
      </c>
      <c r="F19" s="41" t="n">
        <v>95</v>
      </c>
      <c r="G19" s="41" t="n">
        <v>95</v>
      </c>
      <c r="H19" s="41" t="n">
        <v>95</v>
      </c>
      <c r="I19" s="41" t="n">
        <v>95</v>
      </c>
      <c r="J19" s="41" t="n">
        <v>95</v>
      </c>
      <c r="K19" s="41" t="n">
        <v>95</v>
      </c>
      <c r="L19" s="41" t="n">
        <v>95</v>
      </c>
      <c r="M19" s="41" t="n">
        <v>95</v>
      </c>
      <c r="N19" s="42">
        <f>SUM(B19:M19)</f>
        <v/>
      </c>
    </row>
    <row r="20" ht="16" customHeight="1">
      <c r="A20" s="40" t="inlineStr">
        <is>
          <t>Marketing / ads</t>
        </is>
      </c>
      <c r="B20" s="41" t="n">
        <v>50</v>
      </c>
      <c r="C20" s="41" t="n">
        <v>50</v>
      </c>
      <c r="D20" s="41" t="n">
        <v>80</v>
      </c>
      <c r="E20" s="41" t="n">
        <v>120</v>
      </c>
      <c r="F20" s="41" t="n">
        <v>180</v>
      </c>
      <c r="G20" s="41" t="n">
        <v>200</v>
      </c>
      <c r="H20" s="41" t="n">
        <v>220</v>
      </c>
      <c r="I20" s="41" t="n">
        <v>200</v>
      </c>
      <c r="J20" s="41" t="n">
        <v>160</v>
      </c>
      <c r="K20" s="41" t="n">
        <v>120</v>
      </c>
      <c r="L20" s="41" t="n">
        <v>60</v>
      </c>
      <c r="M20" s="41" t="n">
        <v>40</v>
      </c>
      <c r="N20" s="42">
        <f>SUM(B20:M20)</f>
        <v/>
      </c>
    </row>
    <row r="21" ht="16" customHeight="1">
      <c r="A21" s="40" t="inlineStr">
        <is>
          <t>Cleaning + turnover supplies</t>
        </is>
      </c>
      <c r="B21" s="41" t="n">
        <v>80</v>
      </c>
      <c r="C21" s="41" t="n">
        <v>80</v>
      </c>
      <c r="D21" s="41" t="n">
        <v>140</v>
      </c>
      <c r="E21" s="41" t="n">
        <v>160</v>
      </c>
      <c r="F21" s="41" t="n">
        <v>320</v>
      </c>
      <c r="G21" s="41" t="n">
        <v>380</v>
      </c>
      <c r="H21" s="41" t="n">
        <v>400</v>
      </c>
      <c r="I21" s="41" t="n">
        <v>380</v>
      </c>
      <c r="J21" s="41" t="n">
        <v>340</v>
      </c>
      <c r="K21" s="41" t="n">
        <v>280</v>
      </c>
      <c r="L21" s="41" t="n">
        <v>140</v>
      </c>
      <c r="M21" s="41" t="n">
        <v>80</v>
      </c>
      <c r="N21" s="42">
        <f>SUM(B21:M21)</f>
        <v/>
      </c>
    </row>
    <row r="22" ht="16" customHeight="1">
      <c r="A22" s="40" t="inlineStr">
        <is>
          <t>Platform fees (Airbnb / VRBO)</t>
        </is>
      </c>
      <c r="B22" s="41" t="n">
        <v>110</v>
      </c>
      <c r="C22" s="41" t="n">
        <v>100</v>
      </c>
      <c r="D22" s="41" t="n">
        <v>320</v>
      </c>
      <c r="E22" s="41" t="n">
        <v>350</v>
      </c>
      <c r="F22" s="41" t="n">
        <v>980</v>
      </c>
      <c r="G22" s="41" t="n">
        <v>1320</v>
      </c>
      <c r="H22" s="41" t="n">
        <v>1450</v>
      </c>
      <c r="I22" s="41" t="n">
        <v>1420</v>
      </c>
      <c r="J22" s="41" t="n">
        <v>1280</v>
      </c>
      <c r="K22" s="41" t="n">
        <v>1150</v>
      </c>
      <c r="L22" s="41" t="n">
        <v>430</v>
      </c>
      <c r="M22" s="41" t="n">
        <v>130</v>
      </c>
      <c r="N22" s="42">
        <f>SUM(B22:M22)</f>
        <v/>
      </c>
    </row>
    <row r="23" ht="16" customHeight="1">
      <c r="A23" s="40" t="inlineStr">
        <is>
          <t>Other — Misc</t>
        </is>
      </c>
      <c r="B23" s="41" t="n">
        <v>40</v>
      </c>
      <c r="C23" s="41" t="n">
        <v>40</v>
      </c>
      <c r="D23" s="41" t="n">
        <v>60</v>
      </c>
      <c r="E23" s="41" t="n">
        <v>60</v>
      </c>
      <c r="F23" s="41" t="n">
        <v>100</v>
      </c>
      <c r="G23" s="41" t="n">
        <v>120</v>
      </c>
      <c r="H23" s="41" t="n">
        <v>140</v>
      </c>
      <c r="I23" s="41" t="n">
        <v>120</v>
      </c>
      <c r="J23" s="41" t="n">
        <v>100</v>
      </c>
      <c r="K23" s="41" t="n">
        <v>80</v>
      </c>
      <c r="L23" s="41" t="n">
        <v>60</v>
      </c>
      <c r="M23" s="41" t="n">
        <v>40</v>
      </c>
      <c r="N23" s="42">
        <f>SUM(B23:M23)</f>
        <v/>
      </c>
    </row>
    <row r="24" ht="8" customHeight="1"/>
    <row r="25" ht="22" customHeight="1">
      <c r="A25" s="43" t="inlineStr">
        <is>
          <t>TOTAL EXPENSES</t>
        </is>
      </c>
      <c r="B25" s="44">
        <f>SUM(B7:B23)</f>
        <v/>
      </c>
      <c r="C25" s="44">
        <f>SUM(C7:C23)</f>
        <v/>
      </c>
      <c r="D25" s="44">
        <f>SUM(D7:D23)</f>
        <v/>
      </c>
      <c r="E25" s="44">
        <f>SUM(E7:E23)</f>
        <v/>
      </c>
      <c r="F25" s="44">
        <f>SUM(F7:F23)</f>
        <v/>
      </c>
      <c r="G25" s="44">
        <f>SUM(G7:G23)</f>
        <v/>
      </c>
      <c r="H25" s="44">
        <f>SUM(H7:H23)</f>
        <v/>
      </c>
      <c r="I25" s="44">
        <f>SUM(I7:I23)</f>
        <v/>
      </c>
      <c r="J25" s="44">
        <f>SUM(J7:J23)</f>
        <v/>
      </c>
      <c r="K25" s="44">
        <f>SUM(K7:K23)</f>
        <v/>
      </c>
      <c r="L25" s="44">
        <f>SUM(L7:L23)</f>
        <v/>
      </c>
      <c r="M25" s="44">
        <f>SUM(M7:M23)</f>
        <v/>
      </c>
      <c r="N25" s="44">
        <f>SUM(N7:N23)</f>
        <v/>
      </c>
    </row>
    <row r="26" ht="8" customHeight="1"/>
    <row r="27" ht="22" customHeight="1">
      <c r="A27" s="45" t="inlineStr">
        <is>
          <t>NET OPERATING INCOME</t>
        </is>
      </c>
      <c r="B27" s="39">
        <f>Income!B7-B25</f>
        <v/>
      </c>
      <c r="C27" s="39">
        <f>Income!C7-C25</f>
        <v/>
      </c>
      <c r="D27" s="39">
        <f>Income!D7-D25</f>
        <v/>
      </c>
      <c r="E27" s="39">
        <f>Income!E7-E25</f>
        <v/>
      </c>
      <c r="F27" s="39">
        <f>Income!F7-F25</f>
        <v/>
      </c>
      <c r="G27" s="39">
        <f>Income!G7-G25</f>
        <v/>
      </c>
      <c r="H27" s="39">
        <f>Income!H7-H25</f>
        <v/>
      </c>
      <c r="I27" s="39">
        <f>Income!I7-I25</f>
        <v/>
      </c>
      <c r="J27" s="39">
        <f>Income!J7-J25</f>
        <v/>
      </c>
      <c r="K27" s="39">
        <f>Income!K7-K25</f>
        <v/>
      </c>
      <c r="L27" s="39">
        <f>Income!L7-L25</f>
        <v/>
      </c>
      <c r="M27" s="39">
        <f>Income!M7-M25</f>
        <v/>
      </c>
      <c r="N27" s="39">
        <f>Income!N7-N25</f>
        <v/>
      </c>
    </row>
  </sheetData>
  <mergeCells count="4">
    <mergeCell ref="J2:L2"/>
    <mergeCell ref="D2:I2"/>
    <mergeCell ref="A2:C2"/>
    <mergeCell ref="A4:L4"/>
  </mergeCells>
  <conditionalFormatting sqref="B27:N27">
    <cfRule type="cellIs" priority="1" operator="lessThan" dxfId="0">
      <formula>0</formula>
    </cfRule>
    <cfRule type="cellIs" priority="2" operator="greaterThan" dxfId="1">
      <formula>0</formula>
    </cfRule>
  </conditionalFormatting>
  <pageMargins left="0.4" right="0.4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HYPERLINK("#'Expenses'!A1", "← BACK")</f>
        <v/>
      </c>
      <c r="B2" s="25" t="n"/>
      <c r="C2" s="25" t="n"/>
      <c r="D2" s="35" t="inlineStr">
        <is>
          <t>SEASONALITY DASHBOARD</t>
        </is>
      </c>
      <c r="J2" s="28">
        <f>HYPERLINK("#'Off-Grid Utilities'!A1",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Per-season breakdown — set season month ranges on Settings</t>
        </is>
      </c>
    </row>
    <row r="5" ht="22" customHeight="1">
      <c r="A5" s="37" t="inlineStr">
        <is>
          <t>Metric</t>
        </is>
      </c>
      <c r="B5" s="37" t="inlineStr">
        <is>
          <t>Peak (May-Oct)</t>
        </is>
      </c>
      <c r="C5" s="37" t="inlineStr">
        <is>
          <t>Shoulder (Mar-Apr, Nov)</t>
        </is>
      </c>
      <c r="D5" s="37" t="inlineStr">
        <is>
          <t>Off (Dec-Feb)</t>
        </is>
      </c>
    </row>
    <row r="6" ht="8" customHeight="1"/>
    <row r="7" ht="20" customHeight="1">
      <c r="A7" s="46" t="inlineStr">
        <is>
          <t>Revenue total</t>
        </is>
      </c>
      <c r="B7" s="47">
        <f>Income!F7+Income!G7+Income!H7+Income!I7+Income!J7+Income!K7</f>
        <v/>
      </c>
      <c r="C7" s="47">
        <f>Income!D7+Income!E7+Income!L7</f>
        <v/>
      </c>
      <c r="D7" s="47">
        <f>Income!B7+Income!C7+Income!M7</f>
        <v/>
      </c>
    </row>
    <row r="8" ht="20" customHeight="1">
      <c r="A8" s="48" t="inlineStr">
        <is>
          <t>Expenses total</t>
        </is>
      </c>
      <c r="B8" s="49">
        <f>Expenses!F25+Expenses!G25+Expenses!H25+Expenses!I25+Expenses!J25+Expenses!K25</f>
        <v/>
      </c>
      <c r="C8" s="49">
        <f>Expenses!D25+Expenses!E25+Expenses!L25</f>
        <v/>
      </c>
      <c r="D8" s="49">
        <f>Expenses!B25+Expenses!C25+Expenses!M25</f>
        <v/>
      </c>
    </row>
    <row r="9" ht="22" customHeight="1">
      <c r="A9" s="50" t="inlineStr">
        <is>
          <t>NOI</t>
        </is>
      </c>
      <c r="B9" s="51">
        <f>B7-B8</f>
        <v/>
      </c>
      <c r="C9" s="51">
        <f>C7-C8</f>
        <v/>
      </c>
      <c r="D9" s="51">
        <f>D7-D8</f>
        <v/>
      </c>
    </row>
    <row r="10" ht="8" customHeight="1"/>
    <row r="11" ht="28" customHeight="1">
      <c r="A11" s="40" t="inlineStr">
        <is>
          <t>Months in season</t>
        </is>
      </c>
      <c r="B11" s="52" t="inlineStr">
        <is>
          <t>May, Jun, Jul, Aug, Sep, Oct</t>
        </is>
      </c>
      <c r="C11" s="52" t="inlineStr">
        <is>
          <t>Mar, Apr, Nov</t>
        </is>
      </c>
      <c r="D11" s="52" t="inlineStr">
        <is>
          <t>Dec, Jan, Feb</t>
        </is>
      </c>
    </row>
    <row r="12" ht="18" customHeight="1">
      <c r="A12" s="40" t="inlineStr">
        <is>
          <t>Avg occupancy %</t>
        </is>
      </c>
      <c r="B12" s="53" t="n">
        <v>0.78</v>
      </c>
      <c r="C12" s="53" t="n">
        <v>0.45</v>
      </c>
      <c r="D12" s="53" t="n">
        <v>0.18</v>
      </c>
    </row>
    <row r="13" ht="18" customHeight="1">
      <c r="A13" s="40" t="inlineStr">
        <is>
          <t>Avg ADR</t>
        </is>
      </c>
      <c r="B13" s="41" t="n">
        <v>245</v>
      </c>
      <c r="C13" s="41" t="n">
        <v>185</v>
      </c>
      <c r="D13" s="41" t="n">
        <v>145</v>
      </c>
    </row>
    <row r="14" ht="8" customHeight="1"/>
    <row r="15" ht="24" customHeight="1">
      <c r="A15" s="54" t="inlineStr">
        <is>
          <t>Peak share of NOI:</t>
        </is>
      </c>
      <c r="B15" s="55">
        <f>IF(SUM(B9:D9)=0,0,B9/SUM(B9:D9))</f>
        <v/>
      </c>
    </row>
  </sheetData>
  <mergeCells count="4">
    <mergeCell ref="J2:L2"/>
    <mergeCell ref="D2:I2"/>
    <mergeCell ref="A2:C2"/>
    <mergeCell ref="A4:L4"/>
  </mergeCells>
  <pageMargins left="0.5" right="0.5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2" customWidth="1" min="5" max="5"/>
    <col width="18" customWidth="1" min="6" max="6"/>
    <col width="28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HYPERLINK("#'Seasonality Dashboard'!A1", "← BACK")</f>
        <v/>
      </c>
      <c r="B2" s="25" t="n"/>
      <c r="C2" s="25" t="n"/>
      <c r="D2" s="35" t="inlineStr">
        <is>
          <t>OFF-GRID UTILITIES</t>
        </is>
      </c>
      <c r="J2" s="28">
        <f>HYPERLINK("#'Alt Revenue'!A1",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Three stacked registers — propane refills, generator hours, water-haul</t>
        </is>
      </c>
    </row>
    <row r="6" ht="22" customHeight="1">
      <c r="A6" s="56" t="inlineStr">
        <is>
          <t>PROPANE REFILL LOG</t>
        </is>
      </c>
      <c r="B6" s="57" t="n"/>
      <c r="C6" s="57" t="n"/>
      <c r="D6" s="57" t="n"/>
      <c r="E6" s="57" t="n"/>
      <c r="F6" s="57" t="n"/>
      <c r="G6" s="57" t="n"/>
    </row>
    <row r="7" ht="20" customHeight="1">
      <c r="A7" s="37" t="inlineStr">
        <is>
          <t>Date</t>
        </is>
      </c>
      <c r="B7" s="37" t="inlineStr">
        <is>
          <t>Property</t>
        </is>
      </c>
      <c r="C7" s="37" t="inlineStr">
        <is>
          <t>Refill (gal)</t>
        </is>
      </c>
      <c r="D7" s="37" t="inlineStr">
        <is>
          <t>Cost ($)</t>
        </is>
      </c>
      <c r="E7" s="37" t="inlineStr">
        <is>
          <t>Vendor</t>
        </is>
      </c>
      <c r="F7" s="37" t="inlineStr">
        <is>
          <t>Tank % at refill</t>
        </is>
      </c>
      <c r="G7" s="37" t="inlineStr">
        <is>
          <t>Notes</t>
        </is>
      </c>
    </row>
    <row r="8">
      <c r="A8" s="58" t="n">
        <v>46034</v>
      </c>
      <c r="B8" s="59" t="inlineStr">
        <is>
          <t>Smokies Yurt</t>
        </is>
      </c>
      <c r="C8" s="60" t="n">
        <v>100</v>
      </c>
      <c r="D8" s="61" t="n">
        <v>320</v>
      </c>
      <c r="E8" s="59" t="inlineStr">
        <is>
          <t>Suburban Propane</t>
        </is>
      </c>
      <c r="F8" s="60" t="inlineStr">
        <is>
          <t>20%</t>
        </is>
      </c>
      <c r="G8" s="59" t="n"/>
    </row>
    <row r="9">
      <c r="A9" s="58" t="n">
        <v>46068</v>
      </c>
      <c r="B9" s="59" t="inlineStr">
        <is>
          <t>Smokies Yurt</t>
        </is>
      </c>
      <c r="C9" s="60" t="n">
        <v>100</v>
      </c>
      <c r="D9" s="61" t="n">
        <v>315</v>
      </c>
      <c r="E9" s="59" t="inlineStr">
        <is>
          <t>Suburban Propane</t>
        </is>
      </c>
      <c r="F9" s="60" t="inlineStr">
        <is>
          <t>25%</t>
        </is>
      </c>
      <c r="G9" s="59" t="n"/>
    </row>
    <row r="10">
      <c r="A10" s="58" t="n">
        <v>46101</v>
      </c>
      <c r="B10" s="59" t="inlineStr">
        <is>
          <t>Smokies Yurt</t>
        </is>
      </c>
      <c r="C10" s="60" t="n">
        <v>120</v>
      </c>
      <c r="D10" s="61" t="n">
        <v>380</v>
      </c>
      <c r="E10" s="59" t="inlineStr">
        <is>
          <t>AmeriGas</t>
        </is>
      </c>
      <c r="F10" s="60" t="inlineStr">
        <is>
          <t>15%</t>
        </is>
      </c>
      <c r="G10" s="59" t="n"/>
    </row>
    <row r="11">
      <c r="A11" s="58" t="n">
        <v>46134</v>
      </c>
      <c r="B11" s="59" t="inlineStr">
        <is>
          <t>Smokies Yurt</t>
        </is>
      </c>
      <c r="C11" s="60" t="n">
        <v>120</v>
      </c>
      <c r="D11" s="61" t="n">
        <v>385</v>
      </c>
      <c r="E11" s="59" t="inlineStr">
        <is>
          <t>AmeriGas</t>
        </is>
      </c>
      <c r="F11" s="60" t="inlineStr">
        <is>
          <t>20%</t>
        </is>
      </c>
      <c r="G11" s="59" t="n"/>
    </row>
    <row r="12">
      <c r="A12" s="58" t="n">
        <v>46160</v>
      </c>
      <c r="B12" s="59" t="inlineStr">
        <is>
          <t>Smokies Yurt</t>
        </is>
      </c>
      <c r="C12" s="60" t="n">
        <v>150</v>
      </c>
      <c r="D12" s="61" t="n">
        <v>470</v>
      </c>
      <c r="E12" s="59" t="inlineStr">
        <is>
          <t>Suburban Propane</t>
        </is>
      </c>
      <c r="F12" s="60" t="inlineStr">
        <is>
          <t>10%</t>
        </is>
      </c>
      <c r="G12" s="59" t="n"/>
    </row>
    <row r="13">
      <c r="A13" s="58" t="n">
        <v>46188</v>
      </c>
      <c r="B13" s="59" t="inlineStr">
        <is>
          <t>Smokies Yurt</t>
        </is>
      </c>
      <c r="C13" s="60" t="n">
        <v>150</v>
      </c>
      <c r="D13" s="61" t="n">
        <v>475</v>
      </c>
      <c r="E13" s="59" t="inlineStr">
        <is>
          <t>Suburban Propane</t>
        </is>
      </c>
      <c r="F13" s="60" t="inlineStr">
        <is>
          <t>10%</t>
        </is>
      </c>
      <c r="G13" s="59" t="n"/>
    </row>
    <row r="14">
      <c r="A14" s="58" t="n">
        <v>46215</v>
      </c>
      <c r="B14" s="59" t="inlineStr">
        <is>
          <t>Smokies Yurt</t>
        </is>
      </c>
      <c r="C14" s="60" t="n">
        <v>150</v>
      </c>
      <c r="D14" s="61" t="n">
        <v>480</v>
      </c>
      <c r="E14" s="59" t="inlineStr">
        <is>
          <t>AmeriGas</t>
        </is>
      </c>
      <c r="F14" s="60" t="inlineStr">
        <is>
          <t>15%</t>
        </is>
      </c>
      <c r="G14" s="59" t="n"/>
    </row>
    <row r="15">
      <c r="A15" s="58" t="n">
        <v>46244</v>
      </c>
      <c r="B15" s="59" t="inlineStr">
        <is>
          <t>Smokies Yurt</t>
        </is>
      </c>
      <c r="C15" s="60" t="n">
        <v>150</v>
      </c>
      <c r="D15" s="61" t="n">
        <v>470</v>
      </c>
      <c r="E15" s="59" t="inlineStr">
        <is>
          <t>AmeriGas</t>
        </is>
      </c>
      <c r="F15" s="60" t="inlineStr">
        <is>
          <t>10%</t>
        </is>
      </c>
      <c r="G15" s="59" t="n"/>
    </row>
    <row r="16">
      <c r="A16" s="58" t="n">
        <v>46280</v>
      </c>
      <c r="B16" s="59" t="inlineStr">
        <is>
          <t>Smokies Yurt</t>
        </is>
      </c>
      <c r="C16" s="60" t="n">
        <v>140</v>
      </c>
      <c r="D16" s="61" t="n">
        <v>440</v>
      </c>
      <c r="E16" s="59" t="inlineStr">
        <is>
          <t>Suburban Propane</t>
        </is>
      </c>
      <c r="F16" s="60" t="inlineStr">
        <is>
          <t>15%</t>
        </is>
      </c>
      <c r="G16" s="59" t="n"/>
    </row>
    <row r="17">
      <c r="A17" s="58" t="n">
        <v>46315</v>
      </c>
      <c r="B17" s="59" t="inlineStr">
        <is>
          <t>Smokies Yurt</t>
        </is>
      </c>
      <c r="C17" s="60" t="n">
        <v>130</v>
      </c>
      <c r="D17" s="61" t="n">
        <v>410</v>
      </c>
      <c r="E17" s="59" t="inlineStr">
        <is>
          <t>Suburban Propane</t>
        </is>
      </c>
      <c r="F17" s="60" t="inlineStr">
        <is>
          <t>20%</t>
        </is>
      </c>
      <c r="G17" s="59" t="n"/>
    </row>
    <row r="18">
      <c r="A18" s="58" t="n">
        <v>46348</v>
      </c>
      <c r="B18" s="59" t="inlineStr">
        <is>
          <t>Smokies Yurt</t>
        </is>
      </c>
      <c r="C18" s="60" t="n">
        <v>120</v>
      </c>
      <c r="D18" s="61" t="n">
        <v>380</v>
      </c>
      <c r="E18" s="59" t="inlineStr">
        <is>
          <t>AmeriGas</t>
        </is>
      </c>
      <c r="F18" s="60" t="inlineStr">
        <is>
          <t>20%</t>
        </is>
      </c>
      <c r="G18" s="59" t="n"/>
    </row>
    <row r="19">
      <c r="A19" s="58" t="n">
        <v>46374</v>
      </c>
      <c r="B19" s="59" t="inlineStr">
        <is>
          <t>Smokies Yurt</t>
        </is>
      </c>
      <c r="C19" s="60" t="n">
        <v>110</v>
      </c>
      <c r="D19" s="61" t="n">
        <v>350</v>
      </c>
      <c r="E19" s="59" t="inlineStr">
        <is>
          <t>AmeriGas</t>
        </is>
      </c>
      <c r="F19" s="60" t="inlineStr">
        <is>
          <t>25%</t>
        </is>
      </c>
      <c r="G19" s="59" t="n"/>
    </row>
    <row r="20">
      <c r="A20" s="58" t="n"/>
      <c r="B20" s="59" t="n"/>
      <c r="C20" s="60" t="n"/>
      <c r="D20" s="61" t="n"/>
      <c r="E20" s="59" t="n"/>
      <c r="F20" s="60" t="n"/>
      <c r="G20" s="59" t="n"/>
    </row>
    <row r="21">
      <c r="A21" s="58" t="n"/>
      <c r="B21" s="59" t="n"/>
      <c r="C21" s="60" t="n"/>
      <c r="D21" s="61" t="n"/>
      <c r="E21" s="59" t="n"/>
      <c r="F21" s="60" t="n"/>
      <c r="G21" s="59" t="n"/>
    </row>
    <row r="22">
      <c r="A22" s="58" t="n"/>
      <c r="B22" s="59" t="n"/>
      <c r="C22" s="60" t="n"/>
      <c r="D22" s="61" t="n"/>
      <c r="E22" s="59" t="n"/>
      <c r="F22" s="60" t="n"/>
      <c r="G22" s="59" t="n"/>
    </row>
    <row r="23">
      <c r="A23" s="58" t="n"/>
      <c r="B23" s="59" t="n"/>
      <c r="C23" s="60" t="n"/>
      <c r="D23" s="61" t="n"/>
      <c r="E23" s="59" t="n"/>
      <c r="F23" s="60" t="n"/>
      <c r="G23" s="59" t="n"/>
    </row>
    <row r="24">
      <c r="A24" s="58" t="n"/>
      <c r="B24" s="59" t="n"/>
      <c r="C24" s="60" t="n"/>
      <c r="D24" s="61" t="n"/>
      <c r="E24" s="59" t="n"/>
      <c r="F24" s="60" t="n"/>
      <c r="G24" s="59" t="n"/>
    </row>
    <row r="25">
      <c r="A25" s="58" t="n"/>
      <c r="B25" s="59" t="n"/>
      <c r="C25" s="60" t="n"/>
      <c r="D25" s="61" t="n"/>
      <c r="E25" s="59" t="n"/>
      <c r="F25" s="60" t="n"/>
      <c r="G25" s="59" t="n"/>
    </row>
    <row r="26">
      <c r="A26" s="58" t="n"/>
      <c r="B26" s="59" t="n"/>
      <c r="C26" s="60" t="n"/>
      <c r="D26" s="61" t="n"/>
      <c r="E26" s="59" t="n"/>
      <c r="F26" s="60" t="n"/>
      <c r="G26" s="59" t="n"/>
    </row>
    <row r="27">
      <c r="A27" s="58" t="n"/>
      <c r="B27" s="59" t="n"/>
      <c r="C27" s="60" t="n"/>
      <c r="D27" s="61" t="n"/>
      <c r="E27" s="59" t="n"/>
      <c r="F27" s="60" t="n"/>
      <c r="G27" s="59" t="n"/>
    </row>
    <row r="28">
      <c r="A28" s="58" t="n"/>
      <c r="B28" s="59" t="n"/>
      <c r="C28" s="60" t="n"/>
      <c r="D28" s="61" t="n"/>
      <c r="E28" s="59" t="n"/>
      <c r="F28" s="60" t="n"/>
      <c r="G28" s="59" t="n"/>
    </row>
    <row r="29">
      <c r="A29" s="58" t="n"/>
      <c r="B29" s="59" t="n"/>
      <c r="C29" s="60" t="n"/>
      <c r="D29" s="61" t="n"/>
      <c r="E29" s="59" t="n"/>
      <c r="F29" s="60" t="n"/>
      <c r="G29" s="59" t="n"/>
    </row>
    <row r="30">
      <c r="A30" s="58" t="n"/>
      <c r="B30" s="59" t="n"/>
      <c r="C30" s="60" t="n"/>
      <c r="D30" s="61" t="n"/>
      <c r="E30" s="59" t="n"/>
      <c r="F30" s="60" t="n"/>
      <c r="G30" s="59" t="n"/>
    </row>
    <row r="31">
      <c r="A31" s="58" t="n"/>
      <c r="B31" s="59" t="n"/>
      <c r="C31" s="60" t="n"/>
      <c r="D31" s="61" t="n"/>
      <c r="E31" s="59" t="n"/>
      <c r="F31" s="60" t="n"/>
      <c r="G31" s="59" t="n"/>
    </row>
    <row r="32">
      <c r="A32" s="58" t="n"/>
      <c r="B32" s="59" t="n"/>
      <c r="C32" s="60" t="n"/>
      <c r="D32" s="61" t="n"/>
      <c r="E32" s="59" t="n"/>
      <c r="F32" s="60" t="n"/>
      <c r="G32" s="59" t="n"/>
    </row>
    <row r="33">
      <c r="A33" s="58" t="n"/>
      <c r="B33" s="59" t="n"/>
      <c r="C33" s="60" t="n"/>
      <c r="D33" s="61" t="n"/>
      <c r="E33" s="59" t="n"/>
      <c r="F33" s="60" t="n"/>
      <c r="G33" s="59" t="n"/>
    </row>
    <row r="34">
      <c r="A34" s="58" t="n"/>
      <c r="B34" s="59" t="n"/>
      <c r="C34" s="60" t="n"/>
      <c r="D34" s="61" t="n"/>
      <c r="E34" s="59" t="n"/>
      <c r="F34" s="60" t="n"/>
      <c r="G34" s="59" t="n"/>
    </row>
    <row r="35">
      <c r="A35" s="58" t="n"/>
      <c r="B35" s="59" t="n"/>
      <c r="C35" s="60" t="n"/>
      <c r="D35" s="61" t="n"/>
      <c r="E35" s="59" t="n"/>
      <c r="F35" s="60" t="n"/>
      <c r="G35" s="59" t="n"/>
    </row>
    <row r="36">
      <c r="A36" s="58" t="n"/>
      <c r="B36" s="59" t="n"/>
      <c r="C36" s="60" t="n"/>
      <c r="D36" s="61" t="n"/>
      <c r="E36" s="59" t="n"/>
      <c r="F36" s="60" t="n"/>
      <c r="G36" s="59" t="n"/>
    </row>
    <row r="37">
      <c r="A37" s="58" t="n"/>
      <c r="B37" s="59" t="n"/>
      <c r="C37" s="60" t="n"/>
      <c r="D37" s="61" t="n"/>
      <c r="E37" s="59" t="n"/>
      <c r="F37" s="60" t="n"/>
      <c r="G37" s="59" t="n"/>
    </row>
    <row r="38">
      <c r="A38" s="58" t="n"/>
      <c r="B38" s="59" t="n"/>
      <c r="C38" s="60" t="n"/>
      <c r="D38" s="61" t="n"/>
      <c r="E38" s="59" t="n"/>
      <c r="F38" s="60" t="n"/>
      <c r="G38" s="59" t="n"/>
    </row>
    <row r="39">
      <c r="A39" s="58" t="n"/>
      <c r="B39" s="59" t="n"/>
      <c r="C39" s="60" t="n"/>
      <c r="D39" s="61" t="n"/>
      <c r="E39" s="59" t="n"/>
      <c r="F39" s="60" t="n"/>
      <c r="G39" s="59" t="n"/>
    </row>
    <row r="40">
      <c r="A40" s="58" t="n"/>
      <c r="B40" s="59" t="n"/>
      <c r="C40" s="60" t="n"/>
      <c r="D40" s="61" t="n"/>
      <c r="E40" s="59" t="n"/>
      <c r="F40" s="60" t="n"/>
      <c r="G40" s="59" t="n"/>
    </row>
    <row r="41">
      <c r="A41" s="58" t="n"/>
      <c r="B41" s="59" t="n"/>
      <c r="C41" s="60" t="n"/>
      <c r="D41" s="61" t="n"/>
      <c r="E41" s="59" t="n"/>
      <c r="F41" s="60" t="n"/>
      <c r="G41" s="59" t="n"/>
    </row>
    <row r="42">
      <c r="A42" s="58" t="n"/>
      <c r="B42" s="59" t="n"/>
      <c r="C42" s="60" t="n"/>
      <c r="D42" s="61" t="n"/>
      <c r="E42" s="59" t="n"/>
      <c r="F42" s="60" t="n"/>
      <c r="G42" s="59" t="n"/>
    </row>
    <row r="43">
      <c r="A43" s="58" t="n"/>
      <c r="B43" s="59" t="n"/>
      <c r="C43" s="60" t="n"/>
      <c r="D43" s="61" t="n"/>
      <c r="E43" s="59" t="n"/>
      <c r="F43" s="60" t="n"/>
      <c r="G43" s="59" t="n"/>
    </row>
    <row r="44">
      <c r="A44" s="58" t="n"/>
      <c r="B44" s="59" t="n"/>
      <c r="C44" s="60" t="n"/>
      <c r="D44" s="61" t="n"/>
      <c r="E44" s="59" t="n"/>
      <c r="F44" s="60" t="n"/>
      <c r="G44" s="59" t="n"/>
    </row>
    <row r="45">
      <c r="A45" s="58" t="n"/>
      <c r="B45" s="59" t="n"/>
      <c r="C45" s="60" t="n"/>
      <c r="D45" s="61" t="n"/>
      <c r="E45" s="59" t="n"/>
      <c r="F45" s="60" t="n"/>
      <c r="G45" s="59" t="n"/>
    </row>
    <row r="46">
      <c r="A46" s="58" t="n"/>
      <c r="B46" s="59" t="n"/>
      <c r="C46" s="60" t="n"/>
      <c r="D46" s="61" t="n"/>
      <c r="E46" s="59" t="n"/>
      <c r="F46" s="60" t="n"/>
      <c r="G46" s="59" t="n"/>
    </row>
    <row r="47">
      <c r="A47" s="58" t="n"/>
      <c r="B47" s="59" t="n"/>
      <c r="C47" s="60" t="n"/>
      <c r="D47" s="61" t="n"/>
      <c r="E47" s="59" t="n"/>
      <c r="F47" s="60" t="n"/>
      <c r="G47" s="59" t="n"/>
    </row>
    <row r="48">
      <c r="A48" s="58" t="n"/>
      <c r="B48" s="59" t="n"/>
      <c r="C48" s="60" t="n"/>
      <c r="D48" s="61" t="n"/>
      <c r="E48" s="59" t="n"/>
      <c r="F48" s="60" t="n"/>
      <c r="G48" s="59" t="n"/>
    </row>
    <row r="49">
      <c r="A49" s="58" t="n"/>
      <c r="B49" s="59" t="n"/>
      <c r="C49" s="60" t="n"/>
      <c r="D49" s="61" t="n"/>
      <c r="E49" s="59" t="n"/>
      <c r="F49" s="60" t="n"/>
      <c r="G49" s="59" t="n"/>
    </row>
    <row r="50">
      <c r="A50" s="58" t="n"/>
      <c r="B50" s="59" t="n"/>
      <c r="C50" s="60" t="n"/>
      <c r="D50" s="61" t="n"/>
      <c r="E50" s="59" t="n"/>
      <c r="F50" s="60" t="n"/>
      <c r="G50" s="59" t="n"/>
    </row>
    <row r="51">
      <c r="A51" s="58" t="n"/>
      <c r="B51" s="59" t="n"/>
      <c r="C51" s="60" t="n"/>
      <c r="D51" s="61" t="n"/>
      <c r="E51" s="59" t="n"/>
      <c r="F51" s="60" t="n"/>
      <c r="G51" s="59" t="n"/>
    </row>
    <row r="52">
      <c r="A52" s="58" t="n"/>
      <c r="B52" s="59" t="n"/>
      <c r="C52" s="60" t="n"/>
      <c r="D52" s="61" t="n"/>
      <c r="E52" s="59" t="n"/>
      <c r="F52" s="60" t="n"/>
      <c r="G52" s="59" t="n"/>
    </row>
    <row r="53">
      <c r="A53" s="58" t="n"/>
      <c r="B53" s="59" t="n"/>
      <c r="C53" s="60" t="n"/>
      <c r="D53" s="61" t="n"/>
      <c r="E53" s="59" t="n"/>
      <c r="F53" s="60" t="n"/>
      <c r="G53" s="59" t="n"/>
    </row>
    <row r="54">
      <c r="A54" s="58" t="n"/>
      <c r="B54" s="59" t="n"/>
      <c r="C54" s="60" t="n"/>
      <c r="D54" s="61" t="n"/>
      <c r="E54" s="59" t="n"/>
      <c r="F54" s="60" t="n"/>
      <c r="G54" s="59" t="n"/>
    </row>
    <row r="55">
      <c r="A55" s="58" t="n"/>
      <c r="B55" s="59" t="n"/>
      <c r="C55" s="60" t="n"/>
      <c r="D55" s="61" t="n"/>
      <c r="E55" s="59" t="n"/>
      <c r="F55" s="60" t="n"/>
      <c r="G55" s="59" t="n"/>
    </row>
    <row r="56">
      <c r="A56" s="58" t="n"/>
      <c r="B56" s="59" t="n"/>
      <c r="C56" s="60" t="n"/>
      <c r="D56" s="61" t="n"/>
      <c r="E56" s="59" t="n"/>
      <c r="F56" s="60" t="n"/>
      <c r="G56" s="59" t="n"/>
    </row>
    <row r="57">
      <c r="A57" s="58" t="n"/>
      <c r="B57" s="59" t="n"/>
      <c r="C57" s="60" t="n"/>
      <c r="D57" s="61" t="n"/>
      <c r="E57" s="59" t="n"/>
      <c r="F57" s="60" t="n"/>
      <c r="G57" s="59" t="n"/>
    </row>
    <row r="58" ht="20" customHeight="1">
      <c r="A58" s="62" t="inlineStr">
        <is>
          <t>TOTALS</t>
        </is>
      </c>
      <c r="C58" s="63">
        <f>SUM(C8:C57)</f>
        <v/>
      </c>
      <c r="D58" s="47">
        <f>SUM(D8:D57)</f>
        <v/>
      </c>
    </row>
    <row r="59" ht="8" customHeight="1"/>
    <row r="60" ht="22" customHeight="1">
      <c r="A60" s="56" t="inlineStr">
        <is>
          <t>GENERATOR HOURS LOG</t>
        </is>
      </c>
      <c r="B60" s="57" t="n"/>
      <c r="C60" s="57" t="n"/>
      <c r="D60" s="57" t="n"/>
      <c r="E60" s="57" t="n"/>
      <c r="F60" s="57" t="n"/>
      <c r="G60" s="57" t="n"/>
    </row>
    <row r="61" ht="20" customHeight="1">
      <c r="A61" s="37" t="inlineStr">
        <is>
          <t>Date</t>
        </is>
      </c>
      <c r="B61" s="37" t="inlineStr">
        <is>
          <t>Hours run</t>
        </is>
      </c>
      <c r="C61" s="37" t="inlineStr">
        <is>
          <t>Fuel added (gal)</t>
        </is>
      </c>
      <c r="D61" s="37" t="inlineStr">
        <is>
          <t>Service notes</t>
        </is>
      </c>
    </row>
    <row r="62">
      <c r="A62" s="58" t="n">
        <v>46037</v>
      </c>
      <c r="B62" s="60" t="n">
        <v>4</v>
      </c>
      <c r="C62" s="60" t="n">
        <v>2</v>
      </c>
      <c r="D62" s="59" t="inlineStr">
        <is>
          <t>Cold-snap backup</t>
        </is>
      </c>
    </row>
    <row r="63">
      <c r="A63" s="58" t="n">
        <v>46073</v>
      </c>
      <c r="B63" s="60" t="n">
        <v>3</v>
      </c>
      <c r="C63" s="60" t="n">
        <v>2</v>
      </c>
      <c r="D63" s="59" t="inlineStr">
        <is>
          <t>Storm outage</t>
        </is>
      </c>
    </row>
    <row r="64">
      <c r="A64" s="58" t="n">
        <v>46099</v>
      </c>
      <c r="B64" s="60" t="n">
        <v>6</v>
      </c>
      <c r="C64" s="60" t="n">
        <v>3</v>
      </c>
      <c r="D64" s="59" t="inlineStr">
        <is>
          <t>Routine</t>
        </is>
      </c>
    </row>
    <row r="65">
      <c r="A65" s="58" t="n">
        <v>46134</v>
      </c>
      <c r="B65" s="60" t="n">
        <v>8</v>
      </c>
      <c r="C65" s="60" t="n">
        <v>4</v>
      </c>
      <c r="D65" s="59" t="inlineStr">
        <is>
          <t>Routine + oil change</t>
        </is>
      </c>
    </row>
    <row r="66">
      <c r="A66" s="58" t="n">
        <v>46157</v>
      </c>
      <c r="B66" s="60" t="n">
        <v>14</v>
      </c>
      <c r="C66" s="60" t="n">
        <v>6</v>
      </c>
      <c r="D66" s="59" t="inlineStr">
        <is>
          <t>Peak season starts</t>
        </is>
      </c>
    </row>
    <row r="67">
      <c r="A67" s="58" t="n">
        <v>46185</v>
      </c>
      <c r="B67" s="60" t="n">
        <v>22</v>
      </c>
      <c r="C67" s="60" t="n">
        <v>10</v>
      </c>
      <c r="D67" s="59" t="inlineStr">
        <is>
          <t>Peak operations</t>
        </is>
      </c>
    </row>
    <row r="68">
      <c r="A68" s="58" t="n">
        <v>46213</v>
      </c>
      <c r="B68" s="60" t="n">
        <v>28</v>
      </c>
      <c r="C68" s="60" t="n">
        <v>12</v>
      </c>
      <c r="D68" s="59" t="inlineStr">
        <is>
          <t>Peak — heatwave AC</t>
        </is>
      </c>
    </row>
    <row r="69">
      <c r="A69" s="58" t="n">
        <v>46228</v>
      </c>
      <c r="B69" s="60" t="n">
        <v>24</v>
      </c>
      <c r="C69" s="60" t="n">
        <v>12</v>
      </c>
      <c r="D69" s="59" t="inlineStr">
        <is>
          <t>Peak — continued</t>
        </is>
      </c>
    </row>
    <row r="70">
      <c r="A70" s="58" t="n">
        <v>46249</v>
      </c>
      <c r="B70" s="60" t="n">
        <v>26</v>
      </c>
      <c r="C70" s="60" t="n">
        <v>12</v>
      </c>
      <c r="D70" s="59" t="inlineStr">
        <is>
          <t>Peak — service due</t>
        </is>
      </c>
    </row>
    <row r="71">
      <c r="A71" s="58" t="n">
        <v>46277</v>
      </c>
      <c r="B71" s="60" t="n">
        <v>18</v>
      </c>
      <c r="C71" s="60" t="n">
        <v>8</v>
      </c>
      <c r="D71" s="59" t="inlineStr">
        <is>
          <t>Shoulder taper</t>
        </is>
      </c>
    </row>
    <row r="72">
      <c r="A72" s="58" t="n">
        <v>46310</v>
      </c>
      <c r="B72" s="60" t="n">
        <v>12</v>
      </c>
      <c r="C72" s="60" t="n">
        <v>6</v>
      </c>
      <c r="D72" s="59" t="inlineStr">
        <is>
          <t>Shoulder taper</t>
        </is>
      </c>
    </row>
    <row r="73">
      <c r="A73" s="58" t="n">
        <v>46346</v>
      </c>
      <c r="B73" s="60" t="n">
        <v>4</v>
      </c>
      <c r="C73" s="60" t="n">
        <v>2</v>
      </c>
      <c r="D73" s="59" t="inlineStr">
        <is>
          <t>Off-season check</t>
        </is>
      </c>
    </row>
    <row r="74">
      <c r="A74" s="58" t="n"/>
      <c r="B74" s="60" t="n"/>
      <c r="C74" s="60" t="n"/>
      <c r="D74" s="59" t="n"/>
    </row>
    <row r="75">
      <c r="A75" s="58" t="n"/>
      <c r="B75" s="60" t="n"/>
      <c r="C75" s="60" t="n"/>
      <c r="D75" s="59" t="n"/>
    </row>
    <row r="76">
      <c r="A76" s="58" t="n"/>
      <c r="B76" s="60" t="n"/>
      <c r="C76" s="60" t="n"/>
      <c r="D76" s="59" t="n"/>
    </row>
    <row r="77">
      <c r="A77" s="58" t="n"/>
      <c r="B77" s="60" t="n"/>
      <c r="C77" s="60" t="n"/>
      <c r="D77" s="59" t="n"/>
    </row>
    <row r="78">
      <c r="A78" s="58" t="n"/>
      <c r="B78" s="60" t="n"/>
      <c r="C78" s="60" t="n"/>
      <c r="D78" s="59" t="n"/>
    </row>
    <row r="79">
      <c r="A79" s="58" t="n"/>
      <c r="B79" s="60" t="n"/>
      <c r="C79" s="60" t="n"/>
      <c r="D79" s="59" t="n"/>
    </row>
    <row r="80">
      <c r="A80" s="58" t="n"/>
      <c r="B80" s="60" t="n"/>
      <c r="C80" s="60" t="n"/>
      <c r="D80" s="59" t="n"/>
    </row>
    <row r="81">
      <c r="A81" s="58" t="n"/>
      <c r="B81" s="60" t="n"/>
      <c r="C81" s="60" t="n"/>
      <c r="D81" s="59" t="n"/>
    </row>
    <row r="82">
      <c r="A82" s="58" t="n"/>
      <c r="B82" s="60" t="n"/>
      <c r="C82" s="60" t="n"/>
      <c r="D82" s="59" t="n"/>
    </row>
    <row r="83">
      <c r="A83" s="58" t="n"/>
      <c r="B83" s="60" t="n"/>
      <c r="C83" s="60" t="n"/>
      <c r="D83" s="59" t="n"/>
    </row>
    <row r="84">
      <c r="A84" s="58" t="n"/>
      <c r="B84" s="60" t="n"/>
      <c r="C84" s="60" t="n"/>
      <c r="D84" s="59" t="n"/>
    </row>
    <row r="85">
      <c r="A85" s="58" t="n"/>
      <c r="B85" s="60" t="n"/>
      <c r="C85" s="60" t="n"/>
      <c r="D85" s="59" t="n"/>
    </row>
    <row r="86">
      <c r="A86" s="58" t="n"/>
      <c r="B86" s="60" t="n"/>
      <c r="C86" s="60" t="n"/>
      <c r="D86" s="59" t="n"/>
    </row>
    <row r="87">
      <c r="A87" s="58" t="n"/>
      <c r="B87" s="60" t="n"/>
      <c r="C87" s="60" t="n"/>
      <c r="D87" s="59" t="n"/>
    </row>
    <row r="88">
      <c r="A88" s="58" t="n"/>
      <c r="B88" s="60" t="n"/>
      <c r="C88" s="60" t="n"/>
      <c r="D88" s="59" t="n"/>
    </row>
    <row r="89">
      <c r="A89" s="58" t="n"/>
      <c r="B89" s="60" t="n"/>
      <c r="C89" s="60" t="n"/>
      <c r="D89" s="59" t="n"/>
    </row>
    <row r="90">
      <c r="A90" s="58" t="n"/>
      <c r="B90" s="60" t="n"/>
      <c r="C90" s="60" t="n"/>
      <c r="D90" s="59" t="n"/>
    </row>
    <row r="91">
      <c r="A91" s="58" t="n"/>
      <c r="B91" s="60" t="n"/>
      <c r="C91" s="60" t="n"/>
      <c r="D91" s="59" t="n"/>
    </row>
    <row r="92">
      <c r="A92" s="58" t="n"/>
      <c r="B92" s="60" t="n"/>
      <c r="C92" s="60" t="n"/>
      <c r="D92" s="59" t="n"/>
    </row>
    <row r="93">
      <c r="A93" s="58" t="n"/>
      <c r="B93" s="60" t="n"/>
      <c r="C93" s="60" t="n"/>
      <c r="D93" s="59" t="n"/>
    </row>
    <row r="94">
      <c r="A94" s="58" t="n"/>
      <c r="B94" s="60" t="n"/>
      <c r="C94" s="60" t="n"/>
      <c r="D94" s="59" t="n"/>
    </row>
    <row r="95">
      <c r="A95" s="58" t="n"/>
      <c r="B95" s="60" t="n"/>
      <c r="C95" s="60" t="n"/>
      <c r="D95" s="59" t="n"/>
    </row>
    <row r="96">
      <c r="A96" s="58" t="n"/>
      <c r="B96" s="60" t="n"/>
      <c r="C96" s="60" t="n"/>
      <c r="D96" s="59" t="n"/>
    </row>
    <row r="97">
      <c r="A97" s="58" t="n"/>
      <c r="B97" s="60" t="n"/>
      <c r="C97" s="60" t="n"/>
      <c r="D97" s="59" t="n"/>
    </row>
    <row r="98">
      <c r="A98" s="58" t="n"/>
      <c r="B98" s="60" t="n"/>
      <c r="C98" s="60" t="n"/>
      <c r="D98" s="59" t="n"/>
    </row>
    <row r="99">
      <c r="A99" s="58" t="n"/>
      <c r="B99" s="60" t="n"/>
      <c r="C99" s="60" t="n"/>
      <c r="D99" s="59" t="n"/>
    </row>
    <row r="100">
      <c r="A100" s="58" t="n"/>
      <c r="B100" s="60" t="n"/>
      <c r="C100" s="60" t="n"/>
      <c r="D100" s="59" t="n"/>
    </row>
    <row r="101">
      <c r="A101" s="58" t="n"/>
      <c r="B101" s="60" t="n"/>
      <c r="C101" s="60" t="n"/>
      <c r="D101" s="59" t="n"/>
    </row>
    <row r="102">
      <c r="A102" s="58" t="n"/>
      <c r="B102" s="60" t="n"/>
      <c r="C102" s="60" t="n"/>
      <c r="D102" s="59" t="n"/>
    </row>
    <row r="103">
      <c r="A103" s="58" t="n"/>
      <c r="B103" s="60" t="n"/>
      <c r="C103" s="60" t="n"/>
      <c r="D103" s="59" t="n"/>
    </row>
    <row r="104">
      <c r="A104" s="58" t="n"/>
      <c r="B104" s="60" t="n"/>
      <c r="C104" s="60" t="n"/>
      <c r="D104" s="59" t="n"/>
    </row>
    <row r="105">
      <c r="A105" s="58" t="n"/>
      <c r="B105" s="60" t="n"/>
      <c r="C105" s="60" t="n"/>
      <c r="D105" s="59" t="n"/>
    </row>
    <row r="106">
      <c r="A106" s="58" t="n"/>
      <c r="B106" s="60" t="n"/>
      <c r="C106" s="60" t="n"/>
      <c r="D106" s="59" t="n"/>
    </row>
    <row r="107">
      <c r="A107" s="58" t="n"/>
      <c r="B107" s="60" t="n"/>
      <c r="C107" s="60" t="n"/>
      <c r="D107" s="59" t="n"/>
    </row>
    <row r="108">
      <c r="A108" s="58" t="n"/>
      <c r="B108" s="60" t="n"/>
      <c r="C108" s="60" t="n"/>
      <c r="D108" s="59" t="n"/>
    </row>
    <row r="109">
      <c r="A109" s="58" t="n"/>
      <c r="B109" s="60" t="n"/>
      <c r="C109" s="60" t="n"/>
      <c r="D109" s="59" t="n"/>
    </row>
    <row r="110">
      <c r="A110" s="58" t="n"/>
      <c r="B110" s="60" t="n"/>
      <c r="C110" s="60" t="n"/>
      <c r="D110" s="59" t="n"/>
    </row>
    <row r="111">
      <c r="A111" s="58" t="n"/>
      <c r="B111" s="60" t="n"/>
      <c r="C111" s="60" t="n"/>
      <c r="D111" s="59" t="n"/>
    </row>
    <row r="112" ht="20" customHeight="1">
      <c r="A112" s="62" t="inlineStr">
        <is>
          <t>TOTALS</t>
        </is>
      </c>
      <c r="B112" s="63">
        <f>SUM(B62:B111)</f>
        <v/>
      </c>
      <c r="C112" s="63">
        <f>SUM(C62:C111)</f>
        <v/>
      </c>
    </row>
    <row r="113" ht="8" customHeight="1"/>
    <row r="114" ht="22" customHeight="1">
      <c r="A114" s="56" t="inlineStr">
        <is>
          <t>WATER-HAUL LOG</t>
        </is>
      </c>
      <c r="B114" s="57" t="n"/>
      <c r="C114" s="57" t="n"/>
      <c r="D114" s="57" t="n"/>
      <c r="E114" s="57" t="n"/>
      <c r="F114" s="57" t="n"/>
      <c r="G114" s="57" t="n"/>
    </row>
    <row r="115" ht="20" customHeight="1">
      <c r="A115" s="37" t="inlineStr">
        <is>
          <t>Date</t>
        </is>
      </c>
      <c r="B115" s="37" t="inlineStr">
        <is>
          <t>Gallons delivered</t>
        </is>
      </c>
      <c r="C115" s="37" t="inlineStr">
        <is>
          <t>Cost ($)</t>
        </is>
      </c>
      <c r="D115" s="37" t="inlineStr">
        <is>
          <t>Vendor</t>
        </is>
      </c>
    </row>
    <row r="116">
      <c r="A116" s="58" t="n">
        <v>46096</v>
      </c>
      <c r="B116" s="60" t="n">
        <v>500</v>
      </c>
      <c r="C116" s="61" t="n">
        <v>120</v>
      </c>
      <c r="D116" s="59" t="inlineStr">
        <is>
          <t>AquaHaul TN</t>
        </is>
      </c>
    </row>
    <row r="117">
      <c r="A117" s="58" t="n">
        <v>46130</v>
      </c>
      <c r="B117" s="60" t="n">
        <v>500</v>
      </c>
      <c r="C117" s="61" t="n">
        <v>120</v>
      </c>
      <c r="D117" s="59" t="inlineStr">
        <is>
          <t>AquaHaul TN</t>
        </is>
      </c>
    </row>
    <row r="118">
      <c r="A118" s="58" t="n">
        <v>46157</v>
      </c>
      <c r="B118" s="60" t="n">
        <v>750</v>
      </c>
      <c r="C118" s="61" t="n">
        <v>180</v>
      </c>
      <c r="D118" s="59" t="inlineStr">
        <is>
          <t>AquaHaul TN</t>
        </is>
      </c>
    </row>
    <row r="119">
      <c r="A119" s="58" t="n">
        <v>46183</v>
      </c>
      <c r="B119" s="60" t="n">
        <v>750</v>
      </c>
      <c r="C119" s="61" t="n">
        <v>180</v>
      </c>
      <c r="D119" s="59" t="inlineStr">
        <is>
          <t>Mountain Water Co</t>
        </is>
      </c>
    </row>
    <row r="120">
      <c r="A120" s="58" t="n">
        <v>46211</v>
      </c>
      <c r="B120" s="60" t="n">
        <v>1000</v>
      </c>
      <c r="C120" s="61" t="n">
        <v>240</v>
      </c>
      <c r="D120" s="59" t="inlineStr">
        <is>
          <t>Mountain Water Co</t>
        </is>
      </c>
    </row>
    <row r="121">
      <c r="A121" s="58" t="n">
        <v>46225</v>
      </c>
      <c r="B121" s="60" t="n">
        <v>1000</v>
      </c>
      <c r="C121" s="61" t="n">
        <v>240</v>
      </c>
      <c r="D121" s="59" t="inlineStr">
        <is>
          <t>AquaHaul TN</t>
        </is>
      </c>
    </row>
    <row r="122">
      <c r="A122" s="58" t="n">
        <v>46244</v>
      </c>
      <c r="B122" s="60" t="n">
        <v>1000</v>
      </c>
      <c r="C122" s="61" t="n">
        <v>240</v>
      </c>
      <c r="D122" s="59" t="inlineStr">
        <is>
          <t>Mountain Water Co</t>
        </is>
      </c>
    </row>
    <row r="123">
      <c r="A123" s="58" t="n">
        <v>46259</v>
      </c>
      <c r="B123" s="60" t="n">
        <v>750</v>
      </c>
      <c r="C123" s="61" t="n">
        <v>180</v>
      </c>
      <c r="D123" s="59" t="inlineStr">
        <is>
          <t>Mountain Water Co</t>
        </is>
      </c>
    </row>
    <row r="124">
      <c r="A124" s="58" t="n">
        <v>46280</v>
      </c>
      <c r="B124" s="60" t="n">
        <v>750</v>
      </c>
      <c r="C124" s="61" t="n">
        <v>180</v>
      </c>
      <c r="D124" s="59" t="inlineStr">
        <is>
          <t>AquaHaul TN</t>
        </is>
      </c>
    </row>
    <row r="125">
      <c r="A125" s="58" t="n">
        <v>46307</v>
      </c>
      <c r="B125" s="60" t="n">
        <v>500</v>
      </c>
      <c r="C125" s="61" t="n">
        <v>120</v>
      </c>
      <c r="D125" s="59" t="inlineStr">
        <is>
          <t>AquaHaul TN</t>
        </is>
      </c>
    </row>
    <row r="126">
      <c r="A126" s="58" t="n">
        <v>46341</v>
      </c>
      <c r="B126" s="60" t="n">
        <v>500</v>
      </c>
      <c r="C126" s="61" t="n">
        <v>120</v>
      </c>
      <c r="D126" s="59" t="inlineStr">
        <is>
          <t>AquaHaul TN</t>
        </is>
      </c>
    </row>
    <row r="127">
      <c r="A127" s="58" t="n"/>
      <c r="B127" s="60" t="n"/>
      <c r="C127" s="61" t="n"/>
      <c r="D127" s="59" t="n"/>
    </row>
    <row r="128">
      <c r="A128" s="58" t="n"/>
      <c r="B128" s="60" t="n"/>
      <c r="C128" s="61" t="n"/>
      <c r="D128" s="59" t="n"/>
    </row>
    <row r="129">
      <c r="A129" s="58" t="n"/>
      <c r="B129" s="60" t="n"/>
      <c r="C129" s="61" t="n"/>
      <c r="D129" s="59" t="n"/>
    </row>
    <row r="130">
      <c r="A130" s="58" t="n"/>
      <c r="B130" s="60" t="n"/>
      <c r="C130" s="61" t="n"/>
      <c r="D130" s="59" t="n"/>
    </row>
    <row r="131">
      <c r="A131" s="58" t="n"/>
      <c r="B131" s="60" t="n"/>
      <c r="C131" s="61" t="n"/>
      <c r="D131" s="59" t="n"/>
    </row>
    <row r="132">
      <c r="A132" s="58" t="n"/>
      <c r="B132" s="60" t="n"/>
      <c r="C132" s="61" t="n"/>
      <c r="D132" s="59" t="n"/>
    </row>
    <row r="133">
      <c r="A133" s="58" t="n"/>
      <c r="B133" s="60" t="n"/>
      <c r="C133" s="61" t="n"/>
      <c r="D133" s="59" t="n"/>
    </row>
    <row r="134">
      <c r="A134" s="58" t="n"/>
      <c r="B134" s="60" t="n"/>
      <c r="C134" s="61" t="n"/>
      <c r="D134" s="59" t="n"/>
    </row>
    <row r="135">
      <c r="A135" s="58" t="n"/>
      <c r="B135" s="60" t="n"/>
      <c r="C135" s="61" t="n"/>
      <c r="D135" s="59" t="n"/>
    </row>
    <row r="136">
      <c r="A136" s="58" t="n"/>
      <c r="B136" s="60" t="n"/>
      <c r="C136" s="61" t="n"/>
      <c r="D136" s="59" t="n"/>
    </row>
    <row r="137">
      <c r="A137" s="58" t="n"/>
      <c r="B137" s="60" t="n"/>
      <c r="C137" s="61" t="n"/>
      <c r="D137" s="59" t="n"/>
    </row>
    <row r="138">
      <c r="A138" s="58" t="n"/>
      <c r="B138" s="60" t="n"/>
      <c r="C138" s="61" t="n"/>
      <c r="D138" s="59" t="n"/>
    </row>
    <row r="139">
      <c r="A139" s="58" t="n"/>
      <c r="B139" s="60" t="n"/>
      <c r="C139" s="61" t="n"/>
      <c r="D139" s="59" t="n"/>
    </row>
    <row r="140">
      <c r="A140" s="58" t="n"/>
      <c r="B140" s="60" t="n"/>
      <c r="C140" s="61" t="n"/>
      <c r="D140" s="59" t="n"/>
    </row>
    <row r="141">
      <c r="A141" s="58" t="n"/>
      <c r="B141" s="60" t="n"/>
      <c r="C141" s="61" t="n"/>
      <c r="D141" s="59" t="n"/>
    </row>
    <row r="142">
      <c r="A142" s="58" t="n"/>
      <c r="B142" s="60" t="n"/>
      <c r="C142" s="61" t="n"/>
      <c r="D142" s="59" t="n"/>
    </row>
    <row r="143">
      <c r="A143" s="58" t="n"/>
      <c r="B143" s="60" t="n"/>
      <c r="C143" s="61" t="n"/>
      <c r="D143" s="59" t="n"/>
    </row>
    <row r="144">
      <c r="A144" s="58" t="n"/>
      <c r="B144" s="60" t="n"/>
      <c r="C144" s="61" t="n"/>
      <c r="D144" s="59" t="n"/>
    </row>
    <row r="145">
      <c r="A145" s="58" t="n"/>
      <c r="B145" s="60" t="n"/>
      <c r="C145" s="61" t="n"/>
      <c r="D145" s="59" t="n"/>
    </row>
    <row r="146">
      <c r="A146" s="58" t="n"/>
      <c r="B146" s="60" t="n"/>
      <c r="C146" s="61" t="n"/>
      <c r="D146" s="59" t="n"/>
    </row>
    <row r="147">
      <c r="A147" s="58" t="n"/>
      <c r="B147" s="60" t="n"/>
      <c r="C147" s="61" t="n"/>
      <c r="D147" s="59" t="n"/>
    </row>
    <row r="148">
      <c r="A148" s="58" t="n"/>
      <c r="B148" s="60" t="n"/>
      <c r="C148" s="61" t="n"/>
      <c r="D148" s="59" t="n"/>
    </row>
    <row r="149">
      <c r="A149" s="58" t="n"/>
      <c r="B149" s="60" t="n"/>
      <c r="C149" s="61" t="n"/>
      <c r="D149" s="59" t="n"/>
    </row>
    <row r="150">
      <c r="A150" s="58" t="n"/>
      <c r="B150" s="60" t="n"/>
      <c r="C150" s="61" t="n"/>
      <c r="D150" s="59" t="n"/>
    </row>
    <row r="151">
      <c r="A151" s="58" t="n"/>
      <c r="B151" s="60" t="n"/>
      <c r="C151" s="61" t="n"/>
      <c r="D151" s="59" t="n"/>
    </row>
    <row r="152">
      <c r="A152" s="58" t="n"/>
      <c r="B152" s="60" t="n"/>
      <c r="C152" s="61" t="n"/>
      <c r="D152" s="59" t="n"/>
    </row>
    <row r="153">
      <c r="A153" s="58" t="n"/>
      <c r="B153" s="60" t="n"/>
      <c r="C153" s="61" t="n"/>
      <c r="D153" s="59" t="n"/>
    </row>
    <row r="154">
      <c r="A154" s="58" t="n"/>
      <c r="B154" s="60" t="n"/>
      <c r="C154" s="61" t="n"/>
      <c r="D154" s="59" t="n"/>
    </row>
    <row r="155">
      <c r="A155" s="58" t="n"/>
      <c r="B155" s="60" t="n"/>
      <c r="C155" s="61" t="n"/>
      <c r="D155" s="59" t="n"/>
    </row>
    <row r="156">
      <c r="A156" s="58" t="n"/>
      <c r="B156" s="60" t="n"/>
      <c r="C156" s="61" t="n"/>
      <c r="D156" s="59" t="n"/>
    </row>
    <row r="157">
      <c r="A157" s="58" t="n"/>
      <c r="B157" s="60" t="n"/>
      <c r="C157" s="61" t="n"/>
      <c r="D157" s="59" t="n"/>
    </row>
    <row r="158">
      <c r="A158" s="58" t="n"/>
      <c r="B158" s="60" t="n"/>
      <c r="C158" s="61" t="n"/>
      <c r="D158" s="59" t="n"/>
    </row>
    <row r="159">
      <c r="A159" s="58" t="n"/>
      <c r="B159" s="60" t="n"/>
      <c r="C159" s="61" t="n"/>
      <c r="D159" s="59" t="n"/>
    </row>
    <row r="160">
      <c r="A160" s="58" t="n"/>
      <c r="B160" s="60" t="n"/>
      <c r="C160" s="61" t="n"/>
      <c r="D160" s="59" t="n"/>
    </row>
    <row r="161">
      <c r="A161" s="58" t="n"/>
      <c r="B161" s="60" t="n"/>
      <c r="C161" s="61" t="n"/>
      <c r="D161" s="59" t="n"/>
    </row>
    <row r="162">
      <c r="A162" s="58" t="n"/>
      <c r="B162" s="60" t="n"/>
      <c r="C162" s="61" t="n"/>
      <c r="D162" s="59" t="n"/>
    </row>
    <row r="163">
      <c r="A163" s="58" t="n"/>
      <c r="B163" s="60" t="n"/>
      <c r="C163" s="61" t="n"/>
      <c r="D163" s="59" t="n"/>
    </row>
    <row r="164">
      <c r="A164" s="58" t="n"/>
      <c r="B164" s="60" t="n"/>
      <c r="C164" s="61" t="n"/>
      <c r="D164" s="59" t="n"/>
    </row>
    <row r="165">
      <c r="A165" s="58" t="n"/>
      <c r="B165" s="60" t="n"/>
      <c r="C165" s="61" t="n"/>
      <c r="D165" s="59" t="n"/>
    </row>
    <row r="166" ht="20" customHeight="1">
      <c r="A166" s="62" t="inlineStr">
        <is>
          <t>TOTALS</t>
        </is>
      </c>
      <c r="B166" s="63">
        <f>SUM(B116:B165)</f>
        <v/>
      </c>
      <c r="C166" s="47">
        <f>SUM(C116:C165)</f>
        <v/>
      </c>
    </row>
  </sheetData>
  <mergeCells count="4">
    <mergeCell ref="J2:L2"/>
    <mergeCell ref="D2:I2"/>
    <mergeCell ref="A2:C2"/>
    <mergeCell ref="A4:L4"/>
  </mergeCells>
  <pageMargins left="0.4" right="0.4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HYPERLINK("#'Off-Grid Utilities'!A1", "← BACK")</f>
        <v/>
      </c>
      <c r="B2" s="25" t="n"/>
      <c r="C2" s="25" t="n"/>
      <c r="D2" s="35" t="inlineStr">
        <is>
          <t>ALT REVENUE</t>
        </is>
      </c>
      <c r="J2" s="28">
        <f>HYPERLINK("#'Settings'!A1",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Alt-revenue mix — pulls from Income tab rows 10-13</t>
        </is>
      </c>
    </row>
    <row r="5" ht="20" customHeight="1">
      <c r="A5" s="37" t="inlineStr">
        <is>
          <t>Alt-Revenue Line</t>
        </is>
      </c>
      <c r="B5" s="37" t="inlineStr">
        <is>
          <t>Jan</t>
        </is>
      </c>
      <c r="C5" s="37" t="inlineStr">
        <is>
          <t>Feb</t>
        </is>
      </c>
      <c r="D5" s="37" t="inlineStr">
        <is>
          <t>Mar</t>
        </is>
      </c>
      <c r="E5" s="37" t="inlineStr">
        <is>
          <t>Apr</t>
        </is>
      </c>
      <c r="F5" s="37" t="inlineStr">
        <is>
          <t>May</t>
        </is>
      </c>
      <c r="G5" s="37" t="inlineStr">
        <is>
          <t>Jun</t>
        </is>
      </c>
      <c r="H5" s="37" t="inlineStr">
        <is>
          <t>Jul</t>
        </is>
      </c>
      <c r="I5" s="37" t="inlineStr">
        <is>
          <t>Aug</t>
        </is>
      </c>
      <c r="J5" s="37" t="inlineStr">
        <is>
          <t>Sep</t>
        </is>
      </c>
      <c r="K5" s="37" t="inlineStr">
        <is>
          <t>Oct</t>
        </is>
      </c>
      <c r="L5" s="37" t="inlineStr">
        <is>
          <t>Nov</t>
        </is>
      </c>
      <c r="M5" s="37" t="inlineStr">
        <is>
          <t>Dec</t>
        </is>
      </c>
      <c r="N5" s="37" t="inlineStr">
        <is>
          <t>YTD</t>
        </is>
      </c>
    </row>
    <row r="6" ht="8" customHeight="1"/>
    <row r="7" ht="16" customHeight="1">
      <c r="A7" s="40" t="inlineStr">
        <is>
          <t>Firewood sales</t>
        </is>
      </c>
      <c r="B7" s="42">
        <f>Income!B10</f>
        <v/>
      </c>
      <c r="C7" s="42">
        <f>Income!C10</f>
        <v/>
      </c>
      <c r="D7" s="42">
        <f>Income!D10</f>
        <v/>
      </c>
      <c r="E7" s="42">
        <f>Income!E10</f>
        <v/>
      </c>
      <c r="F7" s="42">
        <f>Income!F10</f>
        <v/>
      </c>
      <c r="G7" s="42">
        <f>Income!G10</f>
        <v/>
      </c>
      <c r="H7" s="42">
        <f>Income!H10</f>
        <v/>
      </c>
      <c r="I7" s="42">
        <f>Income!I10</f>
        <v/>
      </c>
      <c r="J7" s="42">
        <f>Income!J10</f>
        <v/>
      </c>
      <c r="K7" s="42">
        <f>Income!K10</f>
        <v/>
      </c>
      <c r="L7" s="42">
        <f>Income!L10</f>
        <v/>
      </c>
      <c r="M7" s="42">
        <f>Income!M10</f>
        <v/>
      </c>
      <c r="N7" s="42">
        <f>SUM(B7:M7)</f>
        <v/>
      </c>
    </row>
    <row r="8" ht="16" customHeight="1">
      <c r="A8" s="40" t="inlineStr">
        <is>
          <t>Gear rentals (kayak / fire pit / e-bike)</t>
        </is>
      </c>
      <c r="B8" s="42">
        <f>Income!B11</f>
        <v/>
      </c>
      <c r="C8" s="42">
        <f>Income!C11</f>
        <v/>
      </c>
      <c r="D8" s="42">
        <f>Income!D11</f>
        <v/>
      </c>
      <c r="E8" s="42">
        <f>Income!E11</f>
        <v/>
      </c>
      <c r="F8" s="42">
        <f>Income!F11</f>
        <v/>
      </c>
      <c r="G8" s="42">
        <f>Income!G11</f>
        <v/>
      </c>
      <c r="H8" s="42">
        <f>Income!H11</f>
        <v/>
      </c>
      <c r="I8" s="42">
        <f>Income!I11</f>
        <v/>
      </c>
      <c r="J8" s="42">
        <f>Income!J11</f>
        <v/>
      </c>
      <c r="K8" s="42">
        <f>Income!K11</f>
        <v/>
      </c>
      <c r="L8" s="42">
        <f>Income!L11</f>
        <v/>
      </c>
      <c r="M8" s="42">
        <f>Income!M11</f>
        <v/>
      </c>
      <c r="N8" s="42">
        <f>SUM(B8:M8)</f>
        <v/>
      </c>
    </row>
    <row r="9" ht="16" customHeight="1">
      <c r="A9" s="40" t="inlineStr">
        <is>
          <t>On-site experiences (guided / hosted)</t>
        </is>
      </c>
      <c r="B9" s="42">
        <f>Income!B12</f>
        <v/>
      </c>
      <c r="C9" s="42">
        <f>Income!C12</f>
        <v/>
      </c>
      <c r="D9" s="42">
        <f>Income!D12</f>
        <v/>
      </c>
      <c r="E9" s="42">
        <f>Income!E12</f>
        <v/>
      </c>
      <c r="F9" s="42">
        <f>Income!F12</f>
        <v/>
      </c>
      <c r="G9" s="42">
        <f>Income!G12</f>
        <v/>
      </c>
      <c r="H9" s="42">
        <f>Income!H12</f>
        <v/>
      </c>
      <c r="I9" s="42">
        <f>Income!I12</f>
        <v/>
      </c>
      <c r="J9" s="42">
        <f>Income!J12</f>
        <v/>
      </c>
      <c r="K9" s="42">
        <f>Income!K12</f>
        <v/>
      </c>
      <c r="L9" s="42">
        <f>Income!L12</f>
        <v/>
      </c>
      <c r="M9" s="42">
        <f>Income!M12</f>
        <v/>
      </c>
      <c r="N9" s="42">
        <f>SUM(B9:M9)</f>
        <v/>
      </c>
    </row>
    <row r="10" ht="16" customHeight="1">
      <c r="A10" s="40" t="inlineStr">
        <is>
          <t>Photo-shoot fees</t>
        </is>
      </c>
      <c r="B10" s="42">
        <f>Income!B13</f>
        <v/>
      </c>
      <c r="C10" s="42">
        <f>Income!C13</f>
        <v/>
      </c>
      <c r="D10" s="42">
        <f>Income!D13</f>
        <v/>
      </c>
      <c r="E10" s="42">
        <f>Income!E13</f>
        <v/>
      </c>
      <c r="F10" s="42">
        <f>Income!F13</f>
        <v/>
      </c>
      <c r="G10" s="42">
        <f>Income!G13</f>
        <v/>
      </c>
      <c r="H10" s="42">
        <f>Income!H13</f>
        <v/>
      </c>
      <c r="I10" s="42">
        <f>Income!I13</f>
        <v/>
      </c>
      <c r="J10" s="42">
        <f>Income!J13</f>
        <v/>
      </c>
      <c r="K10" s="42">
        <f>Income!K13</f>
        <v/>
      </c>
      <c r="L10" s="42">
        <f>Income!L13</f>
        <v/>
      </c>
      <c r="M10" s="42">
        <f>Income!M13</f>
        <v/>
      </c>
      <c r="N10" s="42">
        <f>SUM(B10:M10)</f>
        <v/>
      </c>
    </row>
    <row r="11" ht="8" customHeight="1"/>
    <row r="12" ht="22" customHeight="1">
      <c r="A12" s="64" t="inlineStr">
        <is>
          <t>TOTAL ALT REVENUE</t>
        </is>
      </c>
      <c r="B12" s="65">
        <f>SUM(B7:B10)</f>
        <v/>
      </c>
      <c r="C12" s="65">
        <f>SUM(C7:C10)</f>
        <v/>
      </c>
      <c r="D12" s="65">
        <f>SUM(D7:D10)</f>
        <v/>
      </c>
      <c r="E12" s="65">
        <f>SUM(E7:E10)</f>
        <v/>
      </c>
      <c r="F12" s="65">
        <f>SUM(F7:F10)</f>
        <v/>
      </c>
      <c r="G12" s="65">
        <f>SUM(G7:G10)</f>
        <v/>
      </c>
      <c r="H12" s="65">
        <f>SUM(H7:H10)</f>
        <v/>
      </c>
      <c r="I12" s="65">
        <f>SUM(I7:I10)</f>
        <v/>
      </c>
      <c r="J12" s="65">
        <f>SUM(J7:J10)</f>
        <v/>
      </c>
      <c r="K12" s="65">
        <f>SUM(K7:K10)</f>
        <v/>
      </c>
      <c r="L12" s="65">
        <f>SUM(L7:L10)</f>
        <v/>
      </c>
      <c r="M12" s="65">
        <f>SUM(M7:M10)</f>
        <v/>
      </c>
      <c r="N12" s="65">
        <f>SUM(N7:N10)</f>
        <v/>
      </c>
    </row>
  </sheetData>
  <mergeCells count="4">
    <mergeCell ref="J2:L2"/>
    <mergeCell ref="D2:I2"/>
    <mergeCell ref="A2:C2"/>
    <mergeCell ref="A4:L4"/>
  </mergeCells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6EFE2"/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HYPERLINK("#'Alt Revenue'!A1", "← BACK")</f>
        <v/>
      </c>
      <c r="B2" s="25" t="n"/>
      <c r="C2" s="25" t="n"/>
      <c r="D2" s="3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Property name · active year · season cutoffs · off-grid toggle</t>
        </is>
      </c>
    </row>
    <row r="5" ht="18" customHeight="1">
      <c r="A5" s="54" t="inlineStr">
        <is>
          <t>Property name:</t>
        </is>
      </c>
      <c r="B5" s="59" t="inlineStr">
        <is>
          <t>Smokies Yurt</t>
        </is>
      </c>
    </row>
    <row r="6" ht="18" customHeight="1">
      <c r="A6" s="54" t="inlineStr">
        <is>
          <t>Property type:</t>
        </is>
      </c>
      <c r="B6" s="59" t="inlineStr">
        <is>
          <t>Yurt + dome combo (10 acres)</t>
        </is>
      </c>
    </row>
    <row r="7" ht="18" customHeight="1">
      <c r="A7" s="54" t="inlineStr">
        <is>
          <t>Active year:</t>
        </is>
      </c>
      <c r="B7" s="66" t="n">
        <v>2026</v>
      </c>
    </row>
    <row r="8" ht="8" customHeight="1"/>
    <row r="9" ht="18" customHeight="1">
      <c r="A9" s="54" t="inlineStr">
        <is>
          <t>Peak season start date:</t>
        </is>
      </c>
      <c r="B9" s="58" t="n">
        <v>46143</v>
      </c>
    </row>
    <row r="10" ht="18" customHeight="1">
      <c r="A10" s="54" t="inlineStr">
        <is>
          <t>Shoulder start date:</t>
        </is>
      </c>
      <c r="B10" s="58" t="n">
        <v>46082</v>
      </c>
    </row>
    <row r="11" ht="18" customHeight="1">
      <c r="A11" s="54" t="inlineStr">
        <is>
          <t>Off-season start date:</t>
        </is>
      </c>
      <c r="B11" s="58" t="n">
        <v>46357</v>
      </c>
    </row>
    <row r="12" ht="8" customHeight="1"/>
    <row r="13" ht="18" customHeight="1">
      <c r="A13" s="54" t="inlineStr">
        <is>
          <t>Off-grid? (Y/N):</t>
        </is>
      </c>
      <c r="B13" s="59" t="inlineStr">
        <is>
          <t>Y</t>
        </is>
      </c>
    </row>
    <row r="14" ht="18" customHeight="1">
      <c r="A14" s="54" t="inlineStr">
        <is>
          <t>Number of units:</t>
        </is>
      </c>
      <c r="B14" s="66" t="n">
        <v>2</v>
      </c>
    </row>
    <row r="15" ht="18" customHeight="1">
      <c r="A15" s="54" t="inlineStr">
        <is>
          <t>Avg unit capacity (sqft):</t>
        </is>
      </c>
      <c r="B15" s="66" t="n">
        <v>320</v>
      </c>
    </row>
    <row r="17" ht="36" customHeight="1">
      <c r="A17" s="67" t="inlineStr">
        <is>
          <t>Active year drives every monthly aggregate. Bump it each January. Season cutoff dates are reference markers — Seasonality Dashboard uses fixed Peak (May-Oct) / Shoulder (Mar-Apr, Nov) / Off (Dec-Feb) windows.</t>
        </is>
      </c>
    </row>
    <row r="20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</row>
    <row r="21" ht="18" customHeight="1">
      <c r="A21" s="33" t="inlineStr">
        <is>
          <t>Questions? hello@thestrledger.com</t>
        </is>
      </c>
    </row>
    <row r="22" ht="18" customHeight="1">
      <c r="A22" s="34" t="inlineStr">
        <is>
          <t>SPC-001 · v2.2</t>
        </is>
      </c>
    </row>
  </sheetData>
  <mergeCells count="6">
    <mergeCell ref="D2:L2"/>
    <mergeCell ref="A22:L22"/>
    <mergeCell ref="A17:B17"/>
    <mergeCell ref="A21:L21"/>
    <mergeCell ref="A2:C2"/>
    <mergeCell ref="A4:L4"/>
  </mergeCells>
  <dataValidations count="1">
    <dataValidation sqref="B1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Glamping / Unique-Stay P&amp;L (DEMO) — The STR Ledger</dc:title>
  <dc:description xmlns:dc="http://purl.org/dc/elements/1.1/">Glamping &amp; unique-stay P&amp;L with seasonality dashboard, off-grid utility logs (propane / generator / water-haul), and alt-revenue tracking (v2.2).</dc:description>
  <dcterms:created xmlns:dcterms="http://purl.org/dc/terms/" xmlns:xsi="http://www.w3.org/2001/XMLSchema-instance" xsi:type="dcterms:W3CDTF">2026-05-03T19:04:42Z</dcterms:created>
  <dcterms:modified xmlns:dcterms="http://purl.org/dc/terms/" xmlns:xsi="http://www.w3.org/2001/XMLSchema-instance" xsi:type="dcterms:W3CDTF">2026-05-03T19:04:42Z</dcterms:modified>
</cp:coreProperties>
</file>