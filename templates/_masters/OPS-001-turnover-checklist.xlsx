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Printable Checklist" sheetId="2" state="visible" r:id="rId2"/>
    <sheet xmlns:r="http://schemas.openxmlformats.org/officeDocument/2006/relationships" name="Turnover Log" sheetId="3" state="visible" r:id="rId3"/>
    <sheet xmlns:r="http://schemas.openxmlformats.org/officeDocument/2006/relationships" name="Scorecard Dashboard" sheetId="4" state="visible" r:id="rId4"/>
    <sheet xmlns:r="http://schemas.openxmlformats.org/officeDocument/2006/relationships" name="Cleaner Roster" sheetId="5" state="visible" r:id="rId5"/>
    <sheet xmlns:r="http://schemas.openxmlformats.org/officeDocument/2006/relationships" name="Supplies Par Levels" sheetId="6" state="visible" r:id="rId6"/>
  </sheets>
  <definedNames>
    <definedName name="_xlnm.Print_Area" localSheetId="1">'Printable Checklist'!$A$1:$D$67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&quot;$&quot;#,##0"/>
  </numFmts>
  <fonts count="12">
    <font>
      <name val="Calibri"/>
      <family val="2"/>
      <color theme="1"/>
      <sz val="11"/>
      <scheme val="minor"/>
    </font>
    <font>
      <name val="Georgia"/>
      <b val="1"/>
      <color rgb="0012304E"/>
      <sz val="20"/>
    </font>
    <font>
      <name val="Calibri"/>
      <i val="1"/>
      <color rgb="006B7280"/>
      <sz val="11"/>
    </font>
    <font>
      <name val="Calibri"/>
      <color rgb="006B7280"/>
      <sz val="9"/>
    </font>
    <font>
      <name val="Georgia"/>
      <b val="1"/>
      <color rgb="0012304E"/>
      <sz val="14"/>
    </font>
    <font>
      <name val="Calibri"/>
      <color rgb="002B2B2B"/>
      <sz val="11"/>
    </font>
    <font>
      <name val="Calibri"/>
      <b val="1"/>
      <color rgb="00FFFFFF"/>
      <sz val="11"/>
    </font>
    <font>
      <name val="Calibri"/>
      <b val="1"/>
      <color rgb="002B2B2B"/>
      <sz val="10"/>
    </font>
    <font>
      <name val="Georgia"/>
      <b val="1"/>
      <color rgb="0012304E"/>
      <sz val="12"/>
    </font>
    <font>
      <name val="Calibri"/>
      <color rgb="002B2B2B"/>
      <sz val="14"/>
    </font>
    <font>
      <name val="Calibri"/>
      <color rgb="002B2B2B"/>
      <sz val="10"/>
    </font>
    <font>
      <name val="Calibri"/>
      <i val="1"/>
      <color rgb="002B2B2B"/>
      <sz val="11"/>
    </font>
  </fonts>
  <fills count="7">
    <fill>
      <patternFill/>
    </fill>
    <fill>
      <patternFill patternType="gray125"/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F0EBE3"/>
      </patternFill>
    </fill>
    <fill>
      <patternFill patternType="solid">
        <fgColor rgb="0012304E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bottom style="thin">
        <color rgb="00AAAAAA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2" applyAlignment="1" pivotButton="0" quotePrefix="0" xfId="0">
      <alignment horizontal="center" vertical="center"/>
    </xf>
    <xf numFmtId="164" fontId="5" fillId="3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right" vertical="center"/>
    </xf>
    <xf numFmtId="165" fontId="11" fillId="6" borderId="0" applyAlignment="1" pivotButton="0" quotePrefix="0" xfId="0">
      <alignment horizontal="right" vertical="center"/>
    </xf>
    <xf numFmtId="9" fontId="11" fillId="6" borderId="0" applyAlignment="1" pivotButton="0" quotePrefix="0" xfId="0">
      <alignment horizontal="right" vertical="center"/>
    </xf>
    <xf numFmtId="0" fontId="8" fillId="0" borderId="0" pivotButton="0" quotePrefix="0" xfId="0"/>
    <xf numFmtId="166" fontId="5" fillId="3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ill>
        <patternFill patternType="solid">
          <fgColor rgb="00C7EFCF"/>
        </patternFill>
      </fill>
    </dxf>
    <dxf>
      <fill>
        <patternFill patternType="solid">
          <fgColor rgb="00FFF3BF"/>
        </patternFill>
      </fill>
    </dxf>
    <dxf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5725E"/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5" customWidth="1" min="1" max="1"/>
  </cols>
  <sheetData>
    <row r="1" ht="28" customHeight="1">
      <c r="A1" s="1" t="inlineStr">
        <is>
          <t>Cleaner Turnover Checklist + Scorecard</t>
        </is>
      </c>
    </row>
    <row r="2" ht="18" customHeight="1">
      <c r="A2" s="2" t="inlineStr">
        <is>
          <t>Turnover chaos has a spreadsheet.</t>
        </is>
      </c>
    </row>
    <row r="3" ht="14" customHeight="1">
      <c r="A3" s="3" t="inlineStr">
        <is>
          <t>The STR Ledger · thestrledger.com</t>
        </is>
      </c>
    </row>
    <row r="4" ht="10" customHeight="1"/>
    <row r="5">
      <c r="A5" s="4" t="inlineStr">
        <is>
          <t>How this works</t>
        </is>
      </c>
    </row>
    <row r="6">
      <c r="A6" s="5" t="inlineStr">
        <is>
          <t>1. Print tab 2 (Printable Checklist) — one per turnover. Give to cleaner.</t>
        </is>
      </c>
    </row>
    <row r="7">
      <c r="A7" s="5" t="inlineStr">
        <is>
          <t>2. Cleaner checks off each item, signs, dates, returns to you.</t>
        </is>
      </c>
    </row>
    <row r="8">
      <c r="A8" s="5" t="inlineStr">
        <is>
          <t>3. After turnover, open tab 3 (Turnover Log). Add a row: date, property, cleaner, items checked, notes.</t>
        </is>
      </c>
    </row>
    <row r="9">
      <c r="A9" s="5" t="inlineStr">
        <is>
          <t>4. Open tab 4 (Scorecard Dashboard). See who your best cleaner is at a glance.</t>
        </is>
      </c>
    </row>
    <row r="10">
      <c r="A10" s="5" t="inlineStr">
        <is>
          <t>5. Tab 5 (Cleaner Roster): list all your cleaners. Dropdown on Turnover Log pulls from here.</t>
        </is>
      </c>
    </row>
    <row r="11">
      <c r="A11" s="5" t="inlineStr">
        <is>
          <t>6. Tab 6 (Supplies Par Levels): optional — per-property stock targets.</t>
        </is>
      </c>
    </row>
    <row r="12" ht="10" customHeight="1"/>
    <row r="13">
      <c r="A13" s="4" t="inlineStr">
        <is>
          <t>Before first use</t>
        </is>
      </c>
    </row>
    <row r="14">
      <c r="A14" s="5" t="inlineStr">
        <is>
          <t>• Go to tab 5, replace the 3 sample cleaners with your real ones.</t>
        </is>
      </c>
    </row>
    <row r="15">
      <c r="A15" s="5" t="inlineStr">
        <is>
          <t>• Go to tab 4, replace sample property names (rows 18-23) with yours.</t>
        </is>
      </c>
    </row>
    <row r="16">
      <c r="A16" s="5" t="inlineStr">
        <is>
          <t>• Print tab 2 for your next turnover.</t>
        </is>
      </c>
    </row>
    <row r="17" ht="10" customHeight="1"/>
    <row r="18" ht="30" customHeight="1">
      <c r="A18" s="6" t="inlineStr">
        <is>
          <t>💡 Upgrade to the Full version at thestrledger.com/upgrade — multi-property, depreciation, multi-LLC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D67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10" customWidth="1" min="3" max="3"/>
    <col width="15" customWidth="1" min="4" max="4"/>
  </cols>
  <sheetData>
    <row r="1" ht="28" customHeight="1">
      <c r="A1" s="1" t="inlineStr">
        <is>
          <t>Turnover Checklist</t>
        </is>
      </c>
    </row>
    <row r="2" ht="18" customHeight="1">
      <c r="A2" s="2" t="inlineStr">
        <is>
          <t>Print one per turnover</t>
        </is>
      </c>
    </row>
    <row r="3" ht="14" customHeight="1">
      <c r="A3" s="3" t="inlineStr">
        <is>
          <t>The STR Ledger · thestrledger.com</t>
        </is>
      </c>
    </row>
    <row r="4" ht="20" customHeight="1">
      <c r="A4" s="7" t="inlineStr">
        <is>
          <t>Property:</t>
        </is>
      </c>
      <c r="B4" s="8" t="inlineStr"/>
      <c r="C4" s="7" t="inlineStr">
        <is>
          <t>Date:</t>
        </is>
      </c>
      <c r="D4" s="8" t="inlineStr"/>
    </row>
    <row r="5" ht="8" customHeight="1"/>
    <row r="6" ht="18" customHeight="1">
      <c r="A6" s="9" t="inlineStr">
        <is>
          <t>BEDROOM (6)</t>
        </is>
      </c>
    </row>
    <row r="7" ht="16" customHeight="1">
      <c r="A7" s="10" t="inlineStr">
        <is>
          <t>☐</t>
        </is>
      </c>
      <c r="B7" s="11" t="inlineStr">
        <is>
          <t>Dust all horizontal surfaces (nightstands, dresser, headboard)</t>
        </is>
      </c>
      <c r="C7" s="12" t="inlineStr"/>
      <c r="D7" t="inlineStr"/>
    </row>
    <row r="8" ht="16" customHeight="1">
      <c r="A8" s="10" t="inlineStr">
        <is>
          <t>☐</t>
        </is>
      </c>
      <c r="B8" s="11" t="inlineStr">
        <is>
          <t>Strip and replace bed linens (crisp hospital corners)</t>
        </is>
      </c>
      <c r="C8" s="12" t="inlineStr"/>
      <c r="D8" t="inlineStr"/>
    </row>
    <row r="9" ht="16" customHeight="1">
      <c r="A9" s="10" t="inlineStr">
        <is>
          <t>☐</t>
        </is>
      </c>
      <c r="B9" s="11" t="inlineStr">
        <is>
          <t>Fresh pillowcases both sides</t>
        </is>
      </c>
      <c r="C9" s="12" t="inlineStr"/>
      <c r="D9" t="inlineStr"/>
    </row>
    <row r="10" ht="16" customHeight="1">
      <c r="A10" s="10" t="inlineStr">
        <is>
          <t>☐</t>
        </is>
      </c>
      <c r="B10" s="11" t="inlineStr">
        <is>
          <t>Vacuum under bed</t>
        </is>
      </c>
      <c r="C10" s="12" t="inlineStr"/>
      <c r="D10" t="inlineStr"/>
    </row>
    <row r="11" ht="16" customHeight="1">
      <c r="A11" s="10" t="inlineStr">
        <is>
          <t>☐</t>
        </is>
      </c>
      <c r="B11" s="11" t="inlineStr">
        <is>
          <t>Empty wastebasket</t>
        </is>
      </c>
      <c r="C11" s="12" t="inlineStr"/>
      <c r="D11" t="inlineStr"/>
    </row>
    <row r="12" ht="16" customHeight="1">
      <c r="A12" s="10" t="inlineStr">
        <is>
          <t>☐</t>
        </is>
      </c>
      <c r="B12" s="11" t="inlineStr">
        <is>
          <t>Check under bed for guest items</t>
        </is>
      </c>
      <c r="C12" s="12" t="inlineStr"/>
      <c r="D12" t="inlineStr"/>
    </row>
    <row r="13" ht="6" customHeight="1"/>
    <row r="14" ht="18" customHeight="1">
      <c r="A14" s="9" t="inlineStr">
        <is>
          <t>BATHROOM (7)</t>
        </is>
      </c>
    </row>
    <row r="15" ht="16" customHeight="1">
      <c r="A15" s="10" t="inlineStr">
        <is>
          <t>☐</t>
        </is>
      </c>
      <c r="B15" s="11" t="inlineStr">
        <is>
          <t>Scrub toilet inside + outside base</t>
        </is>
      </c>
      <c r="C15" s="12" t="inlineStr"/>
      <c r="D15" t="inlineStr"/>
    </row>
    <row r="16" ht="16" customHeight="1">
      <c r="A16" s="10" t="inlineStr">
        <is>
          <t>☐</t>
        </is>
      </c>
      <c r="B16" s="11" t="inlineStr">
        <is>
          <t>Clean mirror streak-free</t>
        </is>
      </c>
      <c r="C16" s="12" t="inlineStr"/>
      <c r="D16" t="inlineStr"/>
    </row>
    <row r="17" ht="16" customHeight="1">
      <c r="A17" s="10" t="inlineStr">
        <is>
          <t>☐</t>
        </is>
      </c>
      <c r="B17" s="11" t="inlineStr">
        <is>
          <t>Wipe sink + faucet</t>
        </is>
      </c>
      <c r="C17" s="12" t="inlineStr"/>
      <c r="D17" t="inlineStr"/>
    </row>
    <row r="18" ht="16" customHeight="1">
      <c r="A18" s="10" t="inlineStr">
        <is>
          <t>☐</t>
        </is>
      </c>
      <c r="B18" s="11" t="inlineStr">
        <is>
          <t>Scrub shower/tub including drain</t>
        </is>
      </c>
      <c r="C18" s="12" t="inlineStr"/>
      <c r="D18" t="inlineStr"/>
    </row>
    <row r="19" ht="16" customHeight="1">
      <c r="A19" s="10" t="inlineStr">
        <is>
          <t>☐</t>
        </is>
      </c>
      <c r="B19" s="11" t="inlineStr">
        <is>
          <t>Replace towels (bath, hand, face)</t>
        </is>
      </c>
      <c r="C19" s="12" t="inlineStr"/>
      <c r="D19" t="inlineStr"/>
    </row>
    <row r="20" ht="16" customHeight="1">
      <c r="A20" s="10" t="inlineStr">
        <is>
          <t>☐</t>
        </is>
      </c>
      <c r="B20" s="11" t="inlineStr">
        <is>
          <t>Restock toilet paper (min 2 rolls)</t>
        </is>
      </c>
      <c r="C20" s="12" t="inlineStr"/>
      <c r="D20" t="inlineStr"/>
    </row>
    <row r="21" ht="16" customHeight="1">
      <c r="A21" s="10" t="inlineStr">
        <is>
          <t>☐</t>
        </is>
      </c>
      <c r="B21" s="11" t="inlineStr">
        <is>
          <t>Empty wastebasket</t>
        </is>
      </c>
      <c r="C21" s="12" t="inlineStr"/>
      <c r="D21" t="inlineStr"/>
    </row>
    <row r="22" ht="6" customHeight="1"/>
    <row r="23" ht="18" customHeight="1">
      <c r="A23" s="9" t="inlineStr">
        <is>
          <t>KITCHEN (8)</t>
        </is>
      </c>
    </row>
    <row r="24" ht="16" customHeight="1">
      <c r="A24" s="10" t="inlineStr">
        <is>
          <t>☐</t>
        </is>
      </c>
      <c r="B24" s="11" t="inlineStr">
        <is>
          <t>Wipe all counters</t>
        </is>
      </c>
      <c r="C24" s="12" t="inlineStr"/>
      <c r="D24" t="inlineStr"/>
    </row>
    <row r="25" ht="16" customHeight="1">
      <c r="A25" s="10" t="inlineStr">
        <is>
          <t>☐</t>
        </is>
      </c>
      <c r="B25" s="11" t="inlineStr">
        <is>
          <t>Clean stovetop (all burners + under)</t>
        </is>
      </c>
      <c r="C25" s="12" t="inlineStr"/>
      <c r="D25" t="inlineStr"/>
    </row>
    <row r="26" ht="16" customHeight="1">
      <c r="A26" s="10" t="inlineStr">
        <is>
          <t>☐</t>
        </is>
      </c>
      <c r="B26" s="11" t="inlineStr">
        <is>
          <t>Wipe inside microwave</t>
        </is>
      </c>
      <c r="C26" s="12" t="inlineStr"/>
      <c r="D26" t="inlineStr"/>
    </row>
    <row r="27" ht="16" customHeight="1">
      <c r="A27" s="10" t="inlineStr">
        <is>
          <t>☐</t>
        </is>
      </c>
      <c r="B27" s="11" t="inlineStr">
        <is>
          <t>Run dishwasher if items inside</t>
        </is>
      </c>
      <c r="C27" s="12" t="inlineStr"/>
      <c r="D27" t="inlineStr"/>
    </row>
    <row r="28" ht="16" customHeight="1">
      <c r="A28" s="10" t="inlineStr">
        <is>
          <t>☐</t>
        </is>
      </c>
      <c r="B28" s="11" t="inlineStr">
        <is>
          <t>Wipe fridge exterior + handles</t>
        </is>
      </c>
      <c r="C28" s="12" t="inlineStr"/>
      <c r="D28" t="inlineStr"/>
    </row>
    <row r="29" ht="16" customHeight="1">
      <c r="A29" s="10" t="inlineStr">
        <is>
          <t>☐</t>
        </is>
      </c>
      <c r="B29" s="11" t="inlineStr">
        <is>
          <t>Check fridge interior for guest leftovers (discard)</t>
        </is>
      </c>
      <c r="C29" s="12" t="inlineStr"/>
      <c r="D29" t="inlineStr"/>
    </row>
    <row r="30" ht="16" customHeight="1">
      <c r="A30" s="10" t="inlineStr">
        <is>
          <t>☐</t>
        </is>
      </c>
      <c r="B30" s="11" t="inlineStr">
        <is>
          <t>Empty trash + replace liner</t>
        </is>
      </c>
      <c r="C30" s="12" t="inlineStr"/>
      <c r="D30" t="inlineStr"/>
    </row>
    <row r="31" ht="16" customHeight="1">
      <c r="A31" s="10" t="inlineStr">
        <is>
          <t>☐</t>
        </is>
      </c>
      <c r="B31" s="11" t="inlineStr">
        <is>
          <t>Restock coffee + filters (check par level)</t>
        </is>
      </c>
      <c r="C31" s="12" t="inlineStr"/>
      <c r="D31" t="inlineStr"/>
    </row>
    <row r="32" ht="6" customHeight="1"/>
    <row r="33" ht="18" customHeight="1">
      <c r="A33" s="9" t="inlineStr">
        <is>
          <t>LIVING (5)</t>
        </is>
      </c>
    </row>
    <row r="34" ht="16" customHeight="1">
      <c r="A34" s="10" t="inlineStr">
        <is>
          <t>☐</t>
        </is>
      </c>
      <c r="B34" s="11" t="inlineStr">
        <is>
          <t>Vacuum/sweep floors</t>
        </is>
      </c>
      <c r="C34" s="12" t="inlineStr"/>
      <c r="D34" t="inlineStr"/>
    </row>
    <row r="35" ht="16" customHeight="1">
      <c r="A35" s="10" t="inlineStr">
        <is>
          <t>☐</t>
        </is>
      </c>
      <c r="B35" s="11" t="inlineStr">
        <is>
          <t>Dust TV + surfaces</t>
        </is>
      </c>
      <c r="C35" s="12" t="inlineStr"/>
      <c r="D35" t="inlineStr"/>
    </row>
    <row r="36" ht="16" customHeight="1">
      <c r="A36" s="10" t="inlineStr">
        <is>
          <t>☐</t>
        </is>
      </c>
      <c r="B36" s="11" t="inlineStr">
        <is>
          <t>Fluff + realign pillows + throws</t>
        </is>
      </c>
      <c r="C36" s="12" t="inlineStr"/>
      <c r="D36" t="inlineStr"/>
    </row>
    <row r="37" ht="16" customHeight="1">
      <c r="A37" s="10" t="inlineStr">
        <is>
          <t>☐</t>
        </is>
      </c>
      <c r="B37" s="11" t="inlineStr">
        <is>
          <t>Wipe remote controls</t>
        </is>
      </c>
      <c r="C37" s="12" t="inlineStr"/>
      <c r="D37" t="inlineStr"/>
    </row>
    <row r="38" ht="16" customHeight="1">
      <c r="A38" s="10" t="inlineStr">
        <is>
          <t>☐</t>
        </is>
      </c>
      <c r="B38" s="11" t="inlineStr">
        <is>
          <t>Reset all furniture to original position</t>
        </is>
      </c>
      <c r="C38" s="12" t="inlineStr"/>
      <c r="D38" t="inlineStr"/>
    </row>
    <row r="39" ht="6" customHeight="1"/>
    <row r="40" ht="18" customHeight="1">
      <c r="A40" s="9" t="inlineStr">
        <is>
          <t>OUTDOOR (4)</t>
        </is>
      </c>
    </row>
    <row r="41" ht="16" customHeight="1">
      <c r="A41" s="10" t="inlineStr">
        <is>
          <t>☐</t>
        </is>
      </c>
      <c r="B41" s="11" t="inlineStr">
        <is>
          <t>Sweep porch/deck</t>
        </is>
      </c>
      <c r="C41" s="12" t="inlineStr"/>
      <c r="D41" t="inlineStr"/>
    </row>
    <row r="42" ht="16" customHeight="1">
      <c r="A42" s="10" t="inlineStr">
        <is>
          <t>☐</t>
        </is>
      </c>
      <c r="B42" s="11" t="inlineStr">
        <is>
          <t>Wipe outdoor furniture if present</t>
        </is>
      </c>
      <c r="C42" s="12" t="inlineStr"/>
      <c r="D42" t="inlineStr"/>
    </row>
    <row r="43" ht="16" customHeight="1">
      <c r="A43" s="10" t="inlineStr">
        <is>
          <t>☐</t>
        </is>
      </c>
      <c r="B43" s="11" t="inlineStr">
        <is>
          <t>Check hot tub cover seated + clean</t>
        </is>
      </c>
      <c r="C43" s="12" t="inlineStr"/>
      <c r="D43" t="inlineStr"/>
    </row>
    <row r="44" ht="16" customHeight="1">
      <c r="A44" s="10" t="inlineStr">
        <is>
          <t>☐</t>
        </is>
      </c>
      <c r="B44" s="11" t="inlineStr">
        <is>
          <t>Empty outdoor trash</t>
        </is>
      </c>
      <c r="C44" s="12" t="inlineStr"/>
      <c r="D44" t="inlineStr"/>
    </row>
    <row r="45" ht="6" customHeight="1"/>
    <row r="46" ht="18" customHeight="1">
      <c r="A46" s="9" t="inlineStr">
        <is>
          <t>SUPPLIES (4)</t>
        </is>
      </c>
    </row>
    <row r="47" ht="16" customHeight="1">
      <c r="A47" s="10" t="inlineStr">
        <is>
          <t>☐</t>
        </is>
      </c>
      <c r="B47" s="11" t="inlineStr">
        <is>
          <t>Coffee pods ≥ 10</t>
        </is>
      </c>
      <c r="C47" s="12" t="inlineStr"/>
      <c r="D47" t="inlineStr"/>
    </row>
    <row r="48" ht="16" customHeight="1">
      <c r="A48" s="10" t="inlineStr">
        <is>
          <t>☐</t>
        </is>
      </c>
      <c r="B48" s="11" t="inlineStr">
        <is>
          <t>Paper towels ≥ 2 rolls</t>
        </is>
      </c>
      <c r="C48" s="12" t="inlineStr"/>
      <c r="D48" t="inlineStr"/>
    </row>
    <row r="49" ht="16" customHeight="1">
      <c r="A49" s="10" t="inlineStr">
        <is>
          <t>☐</t>
        </is>
      </c>
      <c r="B49" s="11" t="inlineStr">
        <is>
          <t>TP ≥ 2 per bathroom</t>
        </is>
      </c>
      <c r="C49" s="12" t="inlineStr"/>
      <c r="D49" t="inlineStr"/>
    </row>
    <row r="50" ht="16" customHeight="1">
      <c r="A50" s="10" t="inlineStr">
        <is>
          <t>☐</t>
        </is>
      </c>
      <c r="B50" s="11" t="inlineStr">
        <is>
          <t>Dish soap + dishwasher pods topped up</t>
        </is>
      </c>
      <c r="C50" s="12" t="inlineStr"/>
      <c r="D50" t="inlineStr"/>
    </row>
    <row r="51" ht="6" customHeight="1"/>
    <row r="52" ht="18" customHeight="1">
      <c r="A52" s="9" t="inlineStr">
        <is>
          <t>SAFETY (3)</t>
        </is>
      </c>
    </row>
    <row r="53" ht="16" customHeight="1">
      <c r="A53" s="10" t="inlineStr">
        <is>
          <t>☐</t>
        </is>
      </c>
      <c r="B53" s="11" t="inlineStr">
        <is>
          <t>All smoke detectors blinking green</t>
        </is>
      </c>
      <c r="C53" s="12" t="inlineStr"/>
      <c r="D53" t="inlineStr"/>
    </row>
    <row r="54" ht="16" customHeight="1">
      <c r="A54" s="10" t="inlineStr">
        <is>
          <t>☐</t>
        </is>
      </c>
      <c r="B54" s="11" t="inlineStr">
        <is>
          <t>All doors + windows locked</t>
        </is>
      </c>
      <c r="C54" s="12" t="inlineStr"/>
      <c r="D54" t="inlineStr"/>
    </row>
    <row r="55" ht="16" customHeight="1">
      <c r="A55" s="10" t="inlineStr">
        <is>
          <t>☐</t>
        </is>
      </c>
      <c r="B55" s="11" t="inlineStr">
        <is>
          <t>Keyless entry code reset (if applicable)</t>
        </is>
      </c>
      <c r="C55" s="12" t="inlineStr"/>
      <c r="D55" t="inlineStr"/>
    </row>
    <row r="56" ht="6" customHeight="1"/>
    <row r="57" ht="18" customHeight="1">
      <c r="A57" s="9" t="inlineStr">
        <is>
          <t>FINAL WALK (3)</t>
        </is>
      </c>
    </row>
    <row r="58" ht="16" customHeight="1">
      <c r="A58" s="10" t="inlineStr">
        <is>
          <t>☐</t>
        </is>
      </c>
      <c r="B58" s="11" t="inlineStr">
        <is>
          <t>Photograph each room (send to host via text)</t>
        </is>
      </c>
      <c r="C58" s="12" t="inlineStr"/>
      <c r="D58" t="inlineStr"/>
    </row>
    <row r="59" ht="16" customHeight="1">
      <c r="A59" s="10" t="inlineStr">
        <is>
          <t>☐</t>
        </is>
      </c>
      <c r="B59" s="11" t="inlineStr">
        <is>
          <t>Turn thermostat to host-preferred setting</t>
        </is>
      </c>
      <c r="C59" s="12" t="inlineStr"/>
      <c r="D59" t="inlineStr"/>
    </row>
    <row r="60" ht="16" customHeight="1">
      <c r="A60" s="10" t="inlineStr">
        <is>
          <t>☐</t>
        </is>
      </c>
      <c r="B60" s="11" t="inlineStr">
        <is>
          <t>Lock up + leave</t>
        </is>
      </c>
      <c r="C60" s="12" t="inlineStr"/>
      <c r="D60" t="inlineStr"/>
    </row>
    <row r="61" ht="6" customHeight="1"/>
    <row r="62" ht="18" customHeight="1">
      <c r="A62" s="7" t="inlineStr">
        <is>
          <t>Cleaner name:</t>
        </is>
      </c>
      <c r="B62" s="13" t="inlineStr"/>
    </row>
    <row r="63" ht="18" customHeight="1">
      <c r="A63" s="7" t="inlineStr">
        <is>
          <t>Date:</t>
        </is>
      </c>
      <c r="B63" s="13" t="inlineStr"/>
    </row>
    <row r="64" ht="8" customHeight="1"/>
    <row r="65" ht="20" customHeight="1">
      <c r="A65" s="7" t="inlineStr">
        <is>
          <t>Signature:</t>
        </is>
      </c>
      <c r="B65" s="13" t="inlineStr"/>
    </row>
    <row r="66" ht="8" customHeight="1"/>
    <row r="67" ht="18" customHeight="1">
      <c r="A67" s="7" t="inlineStr">
        <is>
          <t>Time on site (min):</t>
        </is>
      </c>
      <c r="B67" s="13" t="inlineStr"/>
    </row>
  </sheetData>
  <mergeCells count="9">
    <mergeCell ref="A40:D40"/>
    <mergeCell ref="A23:D23"/>
    <mergeCell ref="A6:D6"/>
    <mergeCell ref="A52:D52"/>
    <mergeCell ref="A57:D57"/>
    <mergeCell ref="B65:D65"/>
    <mergeCell ref="A33:D33"/>
    <mergeCell ref="A46:D46"/>
    <mergeCell ref="A14:D14"/>
  </mergeCells>
  <pageMargins left="0.75" right="0.75" top="1" bottom="1" header="0.5" footer="0.5"/>
  <pageSetup orientation="portrait" paperSize="1" fitToHeight="1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G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40" customWidth="1" min="5" max="5"/>
    <col width="16" customWidth="1" min="6" max="6"/>
    <col width="12" customWidth="1" min="7" max="7"/>
  </cols>
  <sheetData>
    <row r="1" ht="28" customHeight="1">
      <c r="A1" s="1" t="inlineStr">
        <is>
          <t>Turnover Log</t>
        </is>
      </c>
    </row>
    <row r="2" ht="18" customHeight="1">
      <c r="A2" s="2" t="inlineStr">
        <is>
          <t>One row per turnover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4" t="inlineStr">
        <is>
          <t>Date</t>
        </is>
      </c>
      <c r="B5" s="14" t="inlineStr">
        <is>
          <t>Property</t>
        </is>
      </c>
      <c r="C5" s="14" t="inlineStr">
        <is>
          <t>Cleaner</t>
        </is>
      </c>
      <c r="D5" s="14" t="inlineStr">
        <is>
          <t>Items Checked (0-40)</t>
        </is>
      </c>
      <c r="E5" s="14" t="inlineStr">
        <is>
          <t>Notes/Issues</t>
        </is>
      </c>
      <c r="F5" s="14" t="inlineStr">
        <is>
          <t>Guest Complaint?</t>
        </is>
      </c>
      <c r="G5" s="14" t="inlineStr">
        <is>
          <t>Minutes on Site</t>
        </is>
      </c>
    </row>
    <row r="6" ht="16" customHeight="1">
      <c r="A6" s="15" t="inlineStr">
        <is>
          <t>2026-03-14</t>
        </is>
      </c>
      <c r="B6" s="8" t="inlineStr">
        <is>
          <t>Smokies Ridge</t>
        </is>
      </c>
      <c r="C6" s="8" t="inlineStr">
        <is>
          <t>Sarah — Smokies Clean</t>
        </is>
      </c>
      <c r="D6" s="8" t="n">
        <v>40</v>
      </c>
      <c r="E6" s="8" t="inlineStr">
        <is>
          <t>Perfect turnover</t>
        </is>
      </c>
      <c r="F6" s="8" t="inlineStr">
        <is>
          <t>No</t>
        </is>
      </c>
      <c r="G6" s="8" t="n">
        <v>95</v>
      </c>
    </row>
    <row r="7" ht="16" customHeight="1">
      <c r="A7" s="15" t="inlineStr">
        <is>
          <t>2026-03-16</t>
        </is>
      </c>
      <c r="B7" s="8" t="inlineStr">
        <is>
          <t>Creek Side</t>
        </is>
      </c>
      <c r="C7" s="8" t="inlineStr">
        <is>
          <t>Miguel — Ridge Housekeeping</t>
        </is>
      </c>
      <c r="D7" s="8" t="n">
        <v>36</v>
      </c>
      <c r="E7" s="8" t="inlineStr">
        <is>
          <t>Missed: smoke detectors check</t>
        </is>
      </c>
      <c r="F7" s="8" t="inlineStr">
        <is>
          <t>No</t>
        </is>
      </c>
      <c r="G7" s="8" t="n">
        <v>110</v>
      </c>
    </row>
    <row r="8" ht="16" customHeight="1">
      <c r="A8" s="15" t="inlineStr">
        <is>
          <t>2026-03-18</t>
        </is>
      </c>
      <c r="B8" s="8" t="inlineStr">
        <is>
          <t>Lakehouse A</t>
        </is>
      </c>
      <c r="C8" s="8" t="inlineStr">
        <is>
          <t>Sarah — Smokies Clean</t>
        </is>
      </c>
      <c r="D8" s="8" t="n">
        <v>39</v>
      </c>
      <c r="E8" s="8" t="inlineStr">
        <is>
          <t>Minor: 1 pillowcase off-center</t>
        </is>
      </c>
      <c r="F8" s="8" t="inlineStr">
        <is>
          <t>No</t>
        </is>
      </c>
      <c r="G8" s="8" t="n">
        <v>90</v>
      </c>
    </row>
    <row r="9" ht="16" customHeight="1">
      <c r="A9" s="15" t="inlineStr">
        <is>
          <t>2026-03-20</t>
        </is>
      </c>
      <c r="B9" s="8" t="inlineStr">
        <is>
          <t>Smokies Ridge</t>
        </is>
      </c>
      <c r="C9" s="8" t="inlineStr">
        <is>
          <t>Jamie — Solo</t>
        </is>
      </c>
      <c r="D9" s="8" t="n">
        <v>32</v>
      </c>
      <c r="E9" s="8" t="inlineStr">
        <is>
          <t>TP not restocked; shower drain clogged</t>
        </is>
      </c>
      <c r="F9" s="8" t="inlineStr">
        <is>
          <t>Yes</t>
        </is>
      </c>
      <c r="G9" s="8" t="n">
        <v>75</v>
      </c>
    </row>
    <row r="10" ht="16" customHeight="1">
      <c r="A10" s="15" t="inlineStr">
        <is>
          <t>2026-03-21</t>
        </is>
      </c>
      <c r="B10" s="8" t="inlineStr">
        <is>
          <t>Lakehouse B</t>
        </is>
      </c>
      <c r="C10" s="8" t="inlineStr">
        <is>
          <t>Miguel — Ridge Housekeeping</t>
        </is>
      </c>
      <c r="D10" s="8" t="n">
        <v>38</v>
      </c>
      <c r="E10" s="8" t="inlineStr">
        <is>
          <t>All good</t>
        </is>
      </c>
      <c r="F10" s="8" t="inlineStr">
        <is>
          <t>No</t>
        </is>
      </c>
      <c r="G10" s="8" t="n">
        <v>105</v>
      </c>
    </row>
    <row r="11" ht="16" customHeight="1">
      <c r="A11" s="15" t="inlineStr">
        <is>
          <t>2026-03-23</t>
        </is>
      </c>
      <c r="B11" s="8" t="inlineStr">
        <is>
          <t>Smokies Ridge</t>
        </is>
      </c>
      <c r="C11" s="8" t="inlineStr">
        <is>
          <t>Sarah — Smokies Clean</t>
        </is>
      </c>
      <c r="D11" s="8" t="n">
        <v>38</v>
      </c>
      <c r="E11" s="8" t="inlineStr">
        <is>
          <t>Missed outdoor trash</t>
        </is>
      </c>
      <c r="F11" s="8" t="inlineStr">
        <is>
          <t>No</t>
        </is>
      </c>
      <c r="G11" s="8" t="n">
        <v>92</v>
      </c>
    </row>
    <row r="12" ht="16" customHeight="1">
      <c r="A12" s="15" t="inlineStr">
        <is>
          <t>2026-03-25</t>
        </is>
      </c>
      <c r="B12" s="8" t="inlineStr">
        <is>
          <t>Creek Side</t>
        </is>
      </c>
      <c r="C12" s="8" t="inlineStr">
        <is>
          <t>Jamie — Solo</t>
        </is>
      </c>
      <c r="D12" s="8" t="n">
        <v>30</v>
      </c>
      <c r="E12" s="8" t="inlineStr">
        <is>
          <t>Coffee pods empty; mirror streaked</t>
        </is>
      </c>
      <c r="F12" s="8" t="inlineStr">
        <is>
          <t>Yes</t>
        </is>
      </c>
      <c r="G12" s="8" t="n">
        <v>65</v>
      </c>
    </row>
    <row r="13" ht="16" customHeight="1">
      <c r="A13" s="15" t="inlineStr">
        <is>
          <t>2026-03-26</t>
        </is>
      </c>
      <c r="B13" s="8" t="inlineStr">
        <is>
          <t>Mountain View</t>
        </is>
      </c>
      <c r="C13" s="8" t="inlineStr">
        <is>
          <t>Miguel — Ridge Housekeeping</t>
        </is>
      </c>
      <c r="D13" s="8" t="n">
        <v>37</v>
      </c>
      <c r="E13" s="8" t="inlineStr"/>
      <c r="F13" s="8" t="inlineStr">
        <is>
          <t>No</t>
        </is>
      </c>
      <c r="G13" s="8" t="n">
        <v>100</v>
      </c>
    </row>
    <row r="14" ht="16" customHeight="1">
      <c r="A14" s="15" t="inlineStr">
        <is>
          <t>2026-03-28</t>
        </is>
      </c>
      <c r="B14" s="8" t="inlineStr">
        <is>
          <t>Lakehouse A</t>
        </is>
      </c>
      <c r="C14" s="8" t="inlineStr">
        <is>
          <t>Sarah — Smokies Clean</t>
        </is>
      </c>
      <c r="D14" s="8" t="n">
        <v>40</v>
      </c>
      <c r="E14" s="8" t="inlineStr"/>
      <c r="F14" s="8" t="inlineStr">
        <is>
          <t>No</t>
        </is>
      </c>
      <c r="G14" s="8" t="n">
        <v>88</v>
      </c>
    </row>
    <row r="15" ht="16" customHeight="1">
      <c r="A15" s="15" t="inlineStr">
        <is>
          <t>2026-03-29</t>
        </is>
      </c>
      <c r="B15" s="8" t="inlineStr">
        <is>
          <t>Downtown Loft</t>
        </is>
      </c>
      <c r="C15" s="8" t="inlineStr">
        <is>
          <t>Miguel — Ridge Housekeeping</t>
        </is>
      </c>
      <c r="D15" s="8" t="n">
        <v>35</v>
      </c>
      <c r="E15" s="8" t="inlineStr">
        <is>
          <t>Dishwasher not run</t>
        </is>
      </c>
      <c r="F15" s="8" t="inlineStr">
        <is>
          <t>No</t>
        </is>
      </c>
      <c r="G15" s="8" t="n">
        <v>85</v>
      </c>
    </row>
    <row r="16" ht="16" customHeight="1">
      <c r="A16" s="15" t="inlineStr">
        <is>
          <t>2026-03-30</t>
        </is>
      </c>
      <c r="B16" s="8" t="inlineStr">
        <is>
          <t>Smokies Ridge</t>
        </is>
      </c>
      <c r="C16" s="8" t="inlineStr">
        <is>
          <t>Sarah — Smokies Clean</t>
        </is>
      </c>
      <c r="D16" s="8" t="n">
        <v>37</v>
      </c>
      <c r="E16" s="8" t="inlineStr">
        <is>
          <t>Late start — guest arrived early</t>
        </is>
      </c>
      <c r="F16" s="8" t="inlineStr">
        <is>
          <t>No</t>
        </is>
      </c>
      <c r="G16" s="8" t="n">
        <v>70</v>
      </c>
    </row>
    <row r="17" ht="16" customHeight="1">
      <c r="A17" s="15" t="inlineStr">
        <is>
          <t>2026-04-01</t>
        </is>
      </c>
      <c r="B17" s="8" t="inlineStr">
        <is>
          <t>Lakehouse B</t>
        </is>
      </c>
      <c r="C17" s="8" t="inlineStr">
        <is>
          <t>Jamie — Solo</t>
        </is>
      </c>
      <c r="D17" s="8" t="n">
        <v>34</v>
      </c>
      <c r="E17" s="8" t="inlineStr">
        <is>
          <t>Fridge not checked</t>
        </is>
      </c>
      <c r="F17" s="8" t="inlineStr">
        <is>
          <t>No</t>
        </is>
      </c>
      <c r="G17" s="8" t="n">
        <v>72</v>
      </c>
    </row>
    <row r="18" ht="16" customHeight="1">
      <c r="A18" s="15" t="inlineStr">
        <is>
          <t>2026-04-03</t>
        </is>
      </c>
      <c r="B18" s="8" t="inlineStr">
        <is>
          <t>Mountain View</t>
        </is>
      </c>
      <c r="C18" s="8" t="inlineStr">
        <is>
          <t>Miguel — Ridge Housekeeping</t>
        </is>
      </c>
      <c r="D18" s="8" t="n">
        <v>36</v>
      </c>
      <c r="E18" s="8" t="inlineStr"/>
      <c r="F18" s="8" t="inlineStr">
        <is>
          <t>No</t>
        </is>
      </c>
      <c r="G18" s="8" t="n">
        <v>95</v>
      </c>
    </row>
    <row r="19" ht="16" customHeight="1">
      <c r="A19" s="15" t="inlineStr">
        <is>
          <t>2026-04-05</t>
        </is>
      </c>
      <c r="B19" s="8" t="inlineStr">
        <is>
          <t>Creek Side</t>
        </is>
      </c>
      <c r="C19" s="8" t="inlineStr">
        <is>
          <t>Jamie — Solo</t>
        </is>
      </c>
      <c r="D19" s="8" t="n">
        <v>34</v>
      </c>
      <c r="E19" s="8" t="inlineStr">
        <is>
          <t>Minor: thermostat not reset</t>
        </is>
      </c>
      <c r="F19" s="8" t="inlineStr">
        <is>
          <t>No</t>
        </is>
      </c>
      <c r="G19" s="8" t="n">
        <v>68</v>
      </c>
    </row>
    <row r="20" ht="16" customHeight="1">
      <c r="A20" s="15" t="inlineStr">
        <is>
          <t>2026-04-07</t>
        </is>
      </c>
      <c r="B20" s="8" t="inlineStr">
        <is>
          <t>Lakehouse A</t>
        </is>
      </c>
      <c r="C20" s="8" t="inlineStr">
        <is>
          <t>Miguel — Ridge Housekeeping</t>
        </is>
      </c>
      <c r="D20" s="8" t="n">
        <v>38</v>
      </c>
      <c r="E20" s="8" t="inlineStr"/>
      <c r="F20" s="8" t="inlineStr">
        <is>
          <t>No</t>
        </is>
      </c>
      <c r="G20" s="8" t="n">
        <v>100</v>
      </c>
    </row>
  </sheetData>
  <dataValidations count="3">
    <dataValidation sqref="B6:B506" showDropDown="0" showInputMessage="0" showErrorMessage="0" allowBlank="1" type="list">
      <formula1>='Scorecard Dashboard'!$A$18:$A$27</formula1>
    </dataValidation>
    <dataValidation sqref="C6:C506" showDropDown="0" showInputMessage="0" showErrorMessage="0" allowBlank="1" type="list">
      <formula1>='Cleaner Roster'!$A$6:$A$25</formula1>
    </dataValidation>
    <dataValidation sqref="F6:F50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E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 ht="28" customHeight="1">
      <c r="A1" s="1" t="inlineStr">
        <is>
          <t>Cleaner Scorecard Dashboard</t>
        </is>
      </c>
    </row>
    <row r="2" ht="18" customHeight="1">
      <c r="A2" s="2" t="inlineStr">
        <is>
          <t>Rolling metrics per cleaner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4" t="inlineStr">
        <is>
          <t>Cleaner</t>
        </is>
      </c>
      <c r="B5" s="14" t="inlineStr">
        <is>
          <t>Turnovers</t>
        </is>
      </c>
      <c r="C5" s="14" t="inlineStr">
        <is>
          <t>Avg Score</t>
        </is>
      </c>
      <c r="D5" s="14" t="inlineStr">
        <is>
          <t>Issue Rate</t>
        </is>
      </c>
      <c r="E5" s="14" t="inlineStr">
        <is>
          <t>Rank</t>
        </is>
      </c>
    </row>
    <row r="6" ht="16" customHeight="1">
      <c r="A6" s="5" t="inlineStr">
        <is>
          <t>Sarah — Smokies Clean</t>
        </is>
      </c>
      <c r="B6" s="16">
        <f>IF(A6="","",COUNTIF('Turnover Log'!C:C,A6))</f>
        <v/>
      </c>
      <c r="C6" s="17">
        <f>IF(A6="","",IFERROR(AVERAGEIF('Turnover Log'!C:C,A6,'Turnover Log'!D:D),0))</f>
        <v/>
      </c>
      <c r="D6" s="18">
        <f>IF(A6="","",IFERROR(COUNTIFS('Turnover Log'!C:C,A6,'Turnover Log'!F:F,"Yes")/COUNTIF('Turnover Log'!C:C,A6),0))</f>
        <v/>
      </c>
      <c r="E6" s="16">
        <f>IF(OR(A6="",B6=0),"",RANK.EQ(C6,$C$6:$C$15,0))</f>
        <v/>
      </c>
    </row>
    <row r="7" ht="16" customHeight="1">
      <c r="A7" s="5" t="inlineStr">
        <is>
          <t>Miguel — Ridge Housekeeping</t>
        </is>
      </c>
      <c r="B7" s="16">
        <f>IF(A7="","",COUNTIF('Turnover Log'!C:C,A7))</f>
        <v/>
      </c>
      <c r="C7" s="17">
        <f>IF(A7="","",IFERROR(AVERAGEIF('Turnover Log'!C:C,A7,'Turnover Log'!D:D),0))</f>
        <v/>
      </c>
      <c r="D7" s="18">
        <f>IF(A7="","",IFERROR(COUNTIFS('Turnover Log'!C:C,A7,'Turnover Log'!F:F,"Yes")/COUNTIF('Turnover Log'!C:C,A7),0))</f>
        <v/>
      </c>
      <c r="E7" s="16">
        <f>IF(OR(A7="",B7=0),"",RANK.EQ(C7,$C$6:$C$15,0))</f>
        <v/>
      </c>
    </row>
    <row r="8" ht="16" customHeight="1">
      <c r="A8" s="5" t="inlineStr">
        <is>
          <t>Jamie — Solo</t>
        </is>
      </c>
      <c r="B8" s="16">
        <f>IF(A8="","",COUNTIF('Turnover Log'!C:C,A8))</f>
        <v/>
      </c>
      <c r="C8" s="17">
        <f>IF(A8="","",IFERROR(AVERAGEIF('Turnover Log'!C:C,A8,'Turnover Log'!D:D),0))</f>
        <v/>
      </c>
      <c r="D8" s="18">
        <f>IF(A8="","",IFERROR(COUNTIFS('Turnover Log'!C:C,A8,'Turnover Log'!F:F,"Yes")/COUNTIF('Turnover Log'!C:C,A8),0))</f>
        <v/>
      </c>
      <c r="E8" s="16">
        <f>IF(OR(A8="",B8=0),"",RANK.EQ(C8,$C$6:$C$15,0))</f>
        <v/>
      </c>
    </row>
    <row r="9" ht="16" customHeight="1">
      <c r="B9" s="16">
        <f>IF(A9="","",COUNTIF('Turnover Log'!C:C,A9))</f>
        <v/>
      </c>
      <c r="C9" s="17">
        <f>IF(A9="","",IFERROR(AVERAGEIF('Turnover Log'!C:C,A9,'Turnover Log'!D:D),0))</f>
        <v/>
      </c>
      <c r="D9" s="18">
        <f>IF(A9="","",IFERROR(COUNTIFS('Turnover Log'!C:C,A9,'Turnover Log'!F:F,"Yes")/COUNTIF('Turnover Log'!C:C,A9),0))</f>
        <v/>
      </c>
      <c r="E9" s="16">
        <f>IF(OR(A9="",B9=0),"",RANK.EQ(C9,$C$6:$C$15,0))</f>
        <v/>
      </c>
    </row>
    <row r="10" ht="16" customHeight="1">
      <c r="B10" s="16">
        <f>IF(A10="","",COUNTIF('Turnover Log'!C:C,A10))</f>
        <v/>
      </c>
      <c r="C10" s="17">
        <f>IF(A10="","",IFERROR(AVERAGEIF('Turnover Log'!C:C,A10,'Turnover Log'!D:D),0))</f>
        <v/>
      </c>
      <c r="D10" s="18">
        <f>IF(A10="","",IFERROR(COUNTIFS('Turnover Log'!C:C,A10,'Turnover Log'!F:F,"Yes")/COUNTIF('Turnover Log'!C:C,A10),0))</f>
        <v/>
      </c>
      <c r="E10" s="16">
        <f>IF(OR(A10="",B10=0),"",RANK.EQ(C10,$C$6:$C$15,0))</f>
        <v/>
      </c>
    </row>
    <row r="11" ht="16" customHeight="1">
      <c r="B11" s="16">
        <f>IF(A11="","",COUNTIF('Turnover Log'!C:C,A11))</f>
        <v/>
      </c>
      <c r="C11" s="17">
        <f>IF(A11="","",IFERROR(AVERAGEIF('Turnover Log'!C:C,A11,'Turnover Log'!D:D),0))</f>
        <v/>
      </c>
      <c r="D11" s="18">
        <f>IF(A11="","",IFERROR(COUNTIFS('Turnover Log'!C:C,A11,'Turnover Log'!F:F,"Yes")/COUNTIF('Turnover Log'!C:C,A11),0))</f>
        <v/>
      </c>
      <c r="E11" s="16">
        <f>IF(OR(A11="",B11=0),"",RANK.EQ(C11,$C$6:$C$15,0))</f>
        <v/>
      </c>
    </row>
    <row r="12" ht="16" customHeight="1">
      <c r="B12" s="16">
        <f>IF(A12="","",COUNTIF('Turnover Log'!C:C,A12))</f>
        <v/>
      </c>
      <c r="C12" s="17">
        <f>IF(A12="","",IFERROR(AVERAGEIF('Turnover Log'!C:C,A12,'Turnover Log'!D:D),0))</f>
        <v/>
      </c>
      <c r="D12" s="18">
        <f>IF(A12="","",IFERROR(COUNTIFS('Turnover Log'!C:C,A12,'Turnover Log'!F:F,"Yes")/COUNTIF('Turnover Log'!C:C,A12),0))</f>
        <v/>
      </c>
      <c r="E12" s="16">
        <f>IF(OR(A12="",B12=0),"",RANK.EQ(C12,$C$6:$C$15,0))</f>
        <v/>
      </c>
    </row>
    <row r="13" ht="16" customHeight="1">
      <c r="B13" s="16">
        <f>IF(A13="","",COUNTIF('Turnover Log'!C:C,A13))</f>
        <v/>
      </c>
      <c r="C13" s="17">
        <f>IF(A13="","",IFERROR(AVERAGEIF('Turnover Log'!C:C,A13,'Turnover Log'!D:D),0))</f>
        <v/>
      </c>
      <c r="D13" s="18">
        <f>IF(A13="","",IFERROR(COUNTIFS('Turnover Log'!C:C,A13,'Turnover Log'!F:F,"Yes")/COUNTIF('Turnover Log'!C:C,A13),0))</f>
        <v/>
      </c>
      <c r="E13" s="16">
        <f>IF(OR(A13="",B13=0),"",RANK.EQ(C13,$C$6:$C$15,0))</f>
        <v/>
      </c>
    </row>
    <row r="14" ht="16" customHeight="1">
      <c r="B14" s="16">
        <f>IF(A14="","",COUNTIF('Turnover Log'!C:C,A14))</f>
        <v/>
      </c>
      <c r="C14" s="17">
        <f>IF(A14="","",IFERROR(AVERAGEIF('Turnover Log'!C:C,A14,'Turnover Log'!D:D),0))</f>
        <v/>
      </c>
      <c r="D14" s="18">
        <f>IF(A14="","",IFERROR(COUNTIFS('Turnover Log'!C:C,A14,'Turnover Log'!F:F,"Yes")/COUNTIF('Turnover Log'!C:C,A14),0))</f>
        <v/>
      </c>
      <c r="E14" s="16">
        <f>IF(OR(A14="",B14=0),"",RANK.EQ(C14,$C$6:$C$15,0))</f>
        <v/>
      </c>
    </row>
    <row r="15" ht="16" customHeight="1">
      <c r="B15" s="16">
        <f>IF(A15="","",COUNTIF('Turnover Log'!C:C,A15))</f>
        <v/>
      </c>
      <c r="C15" s="17">
        <f>IF(A15="","",IFERROR(AVERAGEIF('Turnover Log'!C:C,A15,'Turnover Log'!D:D),0))</f>
        <v/>
      </c>
      <c r="D15" s="18">
        <f>IF(A15="","",IFERROR(COUNTIFS('Turnover Log'!C:C,A15,'Turnover Log'!F:F,"Yes")/COUNTIF('Turnover Log'!C:C,A15),0))</f>
        <v/>
      </c>
      <c r="E15" s="16">
        <f>IF(OR(A15="",B15=0),"",RANK.EQ(C15,$C$6:$C$15,0))</f>
        <v/>
      </c>
    </row>
    <row r="16" ht="10" customHeight="1"/>
    <row r="17" ht="20" customHeight="1">
      <c r="A17" s="19" t="inlineStr">
        <is>
          <t>Properties (source for Turnover Log dropdown):</t>
        </is>
      </c>
    </row>
    <row r="18" ht="16" customHeight="1">
      <c r="A18" s="8" t="inlineStr">
        <is>
          <t>Smokies Ridge</t>
        </is>
      </c>
    </row>
    <row r="19" ht="16" customHeight="1">
      <c r="A19" s="8" t="inlineStr">
        <is>
          <t>Creek Side</t>
        </is>
      </c>
    </row>
    <row r="20" ht="16" customHeight="1">
      <c r="A20" s="8" t="inlineStr">
        <is>
          <t>Lakehouse A</t>
        </is>
      </c>
    </row>
    <row r="21" ht="16" customHeight="1">
      <c r="A21" s="8" t="inlineStr">
        <is>
          <t>Lakehouse B</t>
        </is>
      </c>
    </row>
    <row r="22" ht="16" customHeight="1">
      <c r="A22" s="8" t="inlineStr">
        <is>
          <t>Mountain View</t>
        </is>
      </c>
    </row>
    <row r="23" ht="16" customHeight="1">
      <c r="A23" s="8" t="inlineStr">
        <is>
          <t>Downtown Loft</t>
        </is>
      </c>
    </row>
  </sheetData>
  <conditionalFormatting sqref="C6:C15">
    <cfRule type="cellIs" priority="1" operator="greaterThanOrEqual" dxfId="0">
      <formula>37</formula>
    </cfRule>
    <cfRule type="cellIs" priority="2" operator="between" dxfId="1">
      <formula>33</formula>
      <formula>36.99</formula>
    </cfRule>
    <cfRule type="cellIs" priority="3" operator="between" dxfId="2">
      <formula>0.01</formula>
      <formula>32.99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2" customWidth="1" min="4" max="4"/>
    <col width="14" customWidth="1" min="5" max="5"/>
    <col width="40" customWidth="1" min="6" max="6"/>
  </cols>
  <sheetData>
    <row r="1" ht="28" customHeight="1">
      <c r="A1" s="1" t="inlineStr">
        <is>
          <t>Cleaner Roster</t>
        </is>
      </c>
    </row>
    <row r="2" ht="18" customHeight="1">
      <c r="A2" s="2" t="inlineStr">
        <is>
          <t>Your team, in one place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4" t="inlineStr">
        <is>
          <t>Name</t>
        </is>
      </c>
      <c r="B5" s="14" t="inlineStr">
        <is>
          <t>Phone</t>
        </is>
      </c>
      <c r="C5" s="14" t="inlineStr">
        <is>
          <t>Email</t>
        </is>
      </c>
      <c r="D5" s="14" t="inlineStr">
        <is>
          <t>Pay Rate</t>
        </is>
      </c>
      <c r="E5" s="14" t="inlineStr">
        <is>
          <t>Start Date</t>
        </is>
      </c>
      <c r="F5" s="14" t="inlineStr">
        <is>
          <t>Notes</t>
        </is>
      </c>
    </row>
    <row r="6" ht="16" customHeight="1">
      <c r="A6" s="8" t="inlineStr">
        <is>
          <t>Sarah — Smokies Clean</t>
        </is>
      </c>
      <c r="B6" s="8" t="inlineStr">
        <is>
          <t>(865) 555-0145</t>
        </is>
      </c>
      <c r="C6" s="8" t="inlineStr">
        <is>
          <t>sarah@smokiesclean.com</t>
        </is>
      </c>
      <c r="D6" s="20" t="n">
        <v>45</v>
      </c>
      <c r="E6" s="15" t="inlineStr">
        <is>
          <t>2025-06-01</t>
        </is>
      </c>
      <c r="F6" s="8" t="inlineStr">
        <is>
          <t>Flat rate per turnover; reliable</t>
        </is>
      </c>
    </row>
    <row r="7" ht="16" customHeight="1">
      <c r="A7" s="8" t="inlineStr">
        <is>
          <t>Miguel — Ridge Housekeeping</t>
        </is>
      </c>
      <c r="B7" s="8" t="inlineStr">
        <is>
          <t>(865) 555-0177</t>
        </is>
      </c>
      <c r="C7" s="8" t="inlineStr">
        <is>
          <t>miguel@ridgehk.com</t>
        </is>
      </c>
      <c r="D7" s="20" t="n">
        <v>40</v>
      </c>
      <c r="E7" s="15" t="inlineStr">
        <is>
          <t>2025-08-15</t>
        </is>
      </c>
      <c r="F7" s="8" t="inlineStr">
        <is>
          <t>Team of 2; can handle back-to-back</t>
        </is>
      </c>
    </row>
    <row r="8" ht="16" customHeight="1">
      <c r="A8" s="8" t="inlineStr">
        <is>
          <t>Jamie — Solo</t>
        </is>
      </c>
      <c r="B8" s="8" t="inlineStr">
        <is>
          <t>(865) 555-0192</t>
        </is>
      </c>
      <c r="C8" s="8" t="inlineStr">
        <is>
          <t>jamie.cleans@gmail.com</t>
        </is>
      </c>
      <c r="D8" s="20" t="n">
        <v>35</v>
      </c>
      <c r="E8" s="15" t="inlineStr">
        <is>
          <t>2026-01-10</t>
        </is>
      </c>
      <c r="F8" s="8" t="inlineStr">
        <is>
          <t>New — still ramping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5725E"/>
    <outlinePr summaryBelow="1" summaryRight="1"/>
    <pageSetUpPr/>
  </sheetPr>
  <dimension ref="A1:J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8" customHeight="1">
      <c r="A1" s="1" t="inlineStr">
        <is>
          <t>Supplies Par Levels by Property</t>
        </is>
      </c>
    </row>
    <row r="2" ht="18" customHeight="1">
      <c r="A2" s="2" t="inlineStr">
        <is>
          <t>Bonus: per-property stock targets</t>
        </is>
      </c>
    </row>
    <row r="3" ht="14" customHeight="1">
      <c r="A3" s="3" t="inlineStr">
        <is>
          <t>The STR Ledger · thestrledger.com</t>
        </is>
      </c>
    </row>
    <row r="4" ht="10" customHeight="1"/>
    <row r="5" ht="20" customHeight="1">
      <c r="A5" s="14" t="inlineStr">
        <is>
          <t>Property</t>
        </is>
      </c>
      <c r="B5" s="14" t="inlineStr">
        <is>
          <t>Coffee pods</t>
        </is>
      </c>
      <c r="C5" s="14" t="inlineStr">
        <is>
          <t>Paper towels</t>
        </is>
      </c>
      <c r="D5" s="14" t="inlineStr">
        <is>
          <t>TP rolls</t>
        </is>
      </c>
      <c r="E5" s="14" t="inlineStr">
        <is>
          <t>Dish pods</t>
        </is>
      </c>
      <c r="F5" s="14" t="inlineStr">
        <is>
          <t>Laundry pods</t>
        </is>
      </c>
      <c r="G5" s="14" t="inlineStr">
        <is>
          <t>Shampoo</t>
        </is>
      </c>
      <c r="H5" s="14" t="inlineStr">
        <is>
          <t>Body wash</t>
        </is>
      </c>
      <c r="I5" s="14" t="inlineStr">
        <is>
          <t>Trash bags</t>
        </is>
      </c>
      <c r="J5" s="14" t="inlineStr">
        <is>
          <t>Snacks</t>
        </is>
      </c>
    </row>
    <row r="6" ht="16" customHeight="1">
      <c r="A6" s="8" t="inlineStr">
        <is>
          <t>Smokies Ridge</t>
        </is>
      </c>
      <c r="B6" s="8" t="n">
        <v>12</v>
      </c>
      <c r="C6" s="8" t="n">
        <v>4</v>
      </c>
      <c r="D6" s="8" t="n">
        <v>8</v>
      </c>
      <c r="E6" s="8" t="n">
        <v>30</v>
      </c>
      <c r="F6" s="8" t="n">
        <v>12</v>
      </c>
      <c r="G6" s="8" t="n">
        <v>3</v>
      </c>
      <c r="H6" s="8" t="n">
        <v>3</v>
      </c>
      <c r="I6" s="8" t="n">
        <v>20</v>
      </c>
      <c r="J6" s="8" t="n">
        <v>0</v>
      </c>
    </row>
    <row r="7" ht="16" customHeight="1">
      <c r="A7" s="8" t="inlineStr">
        <is>
          <t>Creek Side</t>
        </is>
      </c>
      <c r="B7" s="8" t="n">
        <v>10</v>
      </c>
      <c r="C7" s="8" t="n">
        <v>3</v>
      </c>
      <c r="D7" s="8" t="n">
        <v>6</v>
      </c>
      <c r="E7" s="8" t="n">
        <v>20</v>
      </c>
      <c r="F7" s="8" t="n">
        <v>10</v>
      </c>
      <c r="G7" s="8" t="n">
        <v>2</v>
      </c>
      <c r="H7" s="8" t="n">
        <v>2</v>
      </c>
      <c r="I7" s="8" t="n">
        <v>15</v>
      </c>
      <c r="J7" s="8" t="n">
        <v>0</v>
      </c>
    </row>
    <row r="8" ht="16" customHeight="1">
      <c r="A8" s="8" t="inlineStr">
        <is>
          <t>Lakehouse A</t>
        </is>
      </c>
      <c r="B8" s="8" t="n">
        <v>15</v>
      </c>
      <c r="C8" s="8" t="n">
        <v>4</v>
      </c>
      <c r="D8" s="8" t="n">
        <v>10</v>
      </c>
      <c r="E8" s="8" t="n">
        <v>30</v>
      </c>
      <c r="F8" s="8" t="n">
        <v>15</v>
      </c>
      <c r="G8" s="8" t="n">
        <v>4</v>
      </c>
      <c r="H8" s="8" t="n">
        <v>4</v>
      </c>
      <c r="I8" s="8" t="n">
        <v>25</v>
      </c>
      <c r="J8" s="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Cleaner Turnover Checklist + Scorecard — The STR Ledger</dc:title>
  <dc:description xmlns:dc="http://purl.org/dc/elements/1.1/">Printable cleaner checklist + rolling cleaner scorecard for STR hosts.</dc:description>
  <dcterms:created xmlns:dcterms="http://purl.org/dc/terms/" xmlns:xsi="http://www.w3.org/2001/XMLSchema-instance" xsi:type="dcterms:W3CDTF">2026-04-23T23:24:37Z</dcterms:created>
  <dcterms:modified xmlns:dcterms="http://purl.org/dc/terms/" xmlns:xsi="http://www.w3.org/2001/XMLSchema-instance" xsi:type="dcterms:W3CDTF">2026-04-23T23:24:37Z</dcterms:modified>
</cp:coreProperties>
</file>