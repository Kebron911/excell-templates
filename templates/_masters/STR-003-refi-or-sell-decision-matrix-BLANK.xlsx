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 Inputs" sheetId="2" state="visible" r:id="rId2"/>
    <sheet xmlns:r="http://schemas.openxmlformats.org/officeDocument/2006/relationships" name="Path 1 Refi" sheetId="3" state="visible" r:id="rId3"/>
    <sheet xmlns:r="http://schemas.openxmlformats.org/officeDocument/2006/relationships" name="Path 2 Sell" sheetId="4" state="visible" r:id="rId4"/>
    <sheet xmlns:r="http://schemas.openxmlformats.org/officeDocument/2006/relationships" name="Path 3 1031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0.0%"/>
    <numFmt numFmtId="167" formatCode="0.000%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F6EFE2"/>
      <sz val="10"/>
    </font>
    <font>
      <name val="Consolas"/>
      <color rgb="006B7280"/>
      <sz val="8"/>
    </font>
    <font>
      <name val="Georgia"/>
      <b val="1"/>
      <color rgb="0012304E"/>
      <sz val="24"/>
    </font>
    <font>
      <name val="Georgia"/>
      <b val="1"/>
      <color rgb="00B5725E"/>
      <sz val="24"/>
    </font>
    <font>
      <name val="Georgia"/>
      <b val="1"/>
      <color rgb="00C9A24B"/>
      <sz val="24"/>
    </font>
    <font>
      <name val="Consolas"/>
      <color rgb="006B7280"/>
      <sz val="9"/>
    </font>
    <font>
      <name val="Calibri"/>
      <i val="1"/>
      <color rgb="006B7280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B5725E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  <fill>
      <patternFill patternType="solid">
        <fgColor rgb="00EFE5D0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5" fontId="21" fillId="6" borderId="0" applyAlignment="1" pivotButton="0" quotePrefix="0" xfId="0">
      <alignment horizontal="center" vertical="center"/>
    </xf>
    <xf numFmtId="1" fontId="21" fillId="6" borderId="0" applyAlignment="1" pivotButton="0" quotePrefix="0" xfId="0">
      <alignment horizontal="center" vertical="center"/>
    </xf>
    <xf numFmtId="164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indent="1"/>
    </xf>
    <xf numFmtId="164" fontId="25" fillId="8" borderId="0" applyAlignment="1" pivotButton="0" quotePrefix="0" xfId="0">
      <alignment horizontal="center" vertical="center"/>
    </xf>
    <xf numFmtId="166" fontId="21" fillId="6" borderId="0" applyAlignment="1" pivotButton="0" quotePrefix="0" xfId="0">
      <alignment horizontal="center" vertical="center"/>
    </xf>
    <xf numFmtId="165" fontId="23" fillId="7" borderId="0" applyAlignment="1" pivotButton="0" quotePrefix="0" xfId="0">
      <alignment horizontal="center" vertical="center"/>
    </xf>
    <xf numFmtId="0" fontId="22" fillId="9" borderId="0" applyAlignment="1" pivotButton="0" quotePrefix="0" xfId="0">
      <alignment horizontal="center" vertical="center" wrapText="1"/>
    </xf>
    <xf numFmtId="166" fontId="23" fillId="7" borderId="0" applyAlignment="1" pivotButton="0" quotePrefix="0" xfId="0">
      <alignment horizontal="center" vertical="center"/>
    </xf>
    <xf numFmtId="1" fontId="23" fillId="7" borderId="0" applyAlignment="1" pivotButton="0" quotePrefix="0" xfId="0">
      <alignment horizontal="center" vertical="center"/>
    </xf>
    <xf numFmtId="167" fontId="21" fillId="6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Refi-or-Sell Decision Matrix</t>
        </is>
      </c>
    </row>
    <row r="5" ht="22" customHeight="1">
      <c r="A5" s="4" t="inlineStr">
        <is>
          <t>Three paths. One year-5 number each. The biggest wins.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STR-003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2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IF(Settings!C5="","(enter property on Settings tab)",Settings!C5)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4" ht="22" customHeight="1">
      <c r="A14" s="8" t="inlineStr">
        <is>
          <t>PATH 1 · HOLD + REFI</t>
        </is>
      </c>
      <c r="E14" s="9" t="inlineStr">
        <is>
          <t>PATH 2 · SELL</t>
        </is>
      </c>
      <c r="I14" s="10" t="inlineStr">
        <is>
          <t>PATH 3 · SELL + 1031</t>
        </is>
      </c>
    </row>
    <row r="15" ht="14" customHeight="1">
      <c r="A15" s="11" t="inlineStr">
        <is>
          <t>5-YEAR WEALTH</t>
        </is>
      </c>
      <c r="E15" s="11" t="inlineStr">
        <is>
          <t>5-YEAR WEALTH</t>
        </is>
      </c>
      <c r="I15" s="11" t="inlineStr">
        <is>
          <t>5-YEAR WEALTH</t>
        </is>
      </c>
    </row>
    <row r="16" ht="18" customHeight="1">
      <c r="A16" s="12">
        <f>'Path 1 Refi'!C30</f>
        <v/>
      </c>
      <c r="E16" s="13">
        <f>'Path 2 Sell'!C25</f>
        <v/>
      </c>
      <c r="I16" s="14">
        <f>'Path 3 1031'!C30</f>
        <v/>
      </c>
    </row>
    <row r="17" ht="18" customHeight="1"/>
    <row r="18" ht="18" customHeight="1"/>
    <row r="19" ht="18" customHeight="1"/>
    <row r="20" ht="16" customHeight="1">
      <c r="A20" s="15">
        <f>"Cash out: "&amp;TEXT('Path 1 Refi'!C12,"$#,##0")</f>
        <v/>
      </c>
      <c r="E20" s="15">
        <f>"Net cash: "&amp;TEXT('Path 2 Sell'!C13,"$#,##0")</f>
        <v/>
      </c>
      <c r="I20" s="15">
        <f>"Replacement: "&amp;TEXT('Path 3 1031'!C13,"$#,##0")</f>
        <v/>
      </c>
    </row>
    <row r="21" ht="8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22" customHeight="1">
      <c r="A23" s="16" t="inlineStr">
        <is>
          <t>Scenario projections only. Actual outcome depends on market timing, guest reality, and financing availability when you act.</t>
        </is>
      </c>
    </row>
    <row r="25" ht="22" customHeight="1">
      <c r="A25" s="17">
        <f>HYPERLINK("#'Property Inputs'!A1", "Property Inputs")</f>
        <v/>
      </c>
      <c r="B25" s="18" t="n"/>
      <c r="C25" s="18" t="n"/>
      <c r="D25" s="17">
        <f>HYPERLINK("#'Path 1 Refi'!A1", "Path 1: Refi")</f>
        <v/>
      </c>
      <c r="E25" s="18" t="n"/>
      <c r="F25" s="18" t="n"/>
      <c r="G25" s="17">
        <f>HYPERLINK("#'Path 2 Sell'!A1", "Path 2: Sell")</f>
        <v/>
      </c>
      <c r="H25" s="18" t="n"/>
      <c r="I25" s="18" t="n"/>
      <c r="J25" s="17">
        <f>HYPERLINK("#'Path 3 1031'!A1", "Path 3: 1031")</f>
        <v/>
      </c>
      <c r="K25" s="18" t="n"/>
      <c r="L25" s="18" t="n"/>
    </row>
    <row r="26" ht="22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 ht="22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9" ht="22" customHeight="1">
      <c r="A29" s="19">
        <f>HYPERLINK("#'Settings'!A1", "→  Settings &amp; Assumptions")</f>
        <v/>
      </c>
      <c r="B29" s="20" t="n"/>
      <c r="C29" s="20" t="n"/>
      <c r="D29" s="20" t="n"/>
      <c r="E29" s="20" t="n"/>
      <c r="F29" s="20" t="n"/>
      <c r="G29" s="21">
        <f>HYPERLINK("https://thestrledger.com", "More tools at thestrledger.com")</f>
        <v/>
      </c>
      <c r="H29" s="22" t="n"/>
      <c r="I29" s="22" t="n"/>
      <c r="J29" s="22" t="n"/>
      <c r="K29" s="22" t="n"/>
      <c r="L29" s="22" t="n"/>
    </row>
    <row r="30" ht="22" customHeight="1">
      <c r="A30" s="20" t="n"/>
      <c r="B30" s="20" t="n"/>
      <c r="C30" s="20" t="n"/>
      <c r="D30" s="20" t="n"/>
      <c r="E30" s="20" t="n"/>
      <c r="F30" s="20" t="n"/>
      <c r="G30" s="22" t="n"/>
      <c r="H30" s="22" t="n"/>
      <c r="I30" s="22" t="n"/>
      <c r="J30" s="22" t="n"/>
      <c r="K30" s="22" t="n"/>
      <c r="L30" s="22" t="n"/>
    </row>
    <row r="31" ht="22" customHeight="1">
      <c r="A31" s="20" t="n"/>
      <c r="B31" s="20" t="n"/>
      <c r="C31" s="20" t="n"/>
      <c r="D31" s="20" t="n"/>
      <c r="E31" s="20" t="n"/>
      <c r="F31" s="20" t="n"/>
      <c r="G31" s="22" t="n"/>
      <c r="H31" s="22" t="n"/>
      <c r="I31" s="22" t="n"/>
      <c r="J31" s="22" t="n"/>
      <c r="K31" s="22" t="n"/>
      <c r="L31" s="22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</row>
    <row r="34" ht="18" customHeight="1">
      <c r="A34" s="24" t="inlineStr">
        <is>
          <t>Questions? hello@thestrledger.com</t>
        </is>
      </c>
    </row>
    <row r="35" ht="18" customHeight="1">
      <c r="A35" s="25" t="inlineStr">
        <is>
          <t>STR-003 · v1.0 · BLANK · Free updates forever</t>
        </is>
      </c>
    </row>
  </sheetData>
  <mergeCells count="26">
    <mergeCell ref="I14:L14"/>
    <mergeCell ref="A7:L7"/>
    <mergeCell ref="A20:D20"/>
    <mergeCell ref="I20:L20"/>
    <mergeCell ref="A16:D19"/>
    <mergeCell ref="A25:C27"/>
    <mergeCell ref="I16:L19"/>
    <mergeCell ref="A2:F2"/>
    <mergeCell ref="A5:L5"/>
    <mergeCell ref="A23:L23"/>
    <mergeCell ref="A15:D15"/>
    <mergeCell ref="I15:L15"/>
    <mergeCell ref="J25:L27"/>
    <mergeCell ref="A35:L35"/>
    <mergeCell ref="A4:L4"/>
    <mergeCell ref="D25:F27"/>
    <mergeCell ref="E14:H14"/>
    <mergeCell ref="A29:F31"/>
    <mergeCell ref="G29:L31"/>
    <mergeCell ref="E20:H20"/>
    <mergeCell ref="E16:H19"/>
    <mergeCell ref="A34:L34"/>
    <mergeCell ref="G25:I27"/>
    <mergeCell ref="A11:L11"/>
    <mergeCell ref="E15:H15"/>
    <mergeCell ref="A14:D14"/>
  </mergeCells>
  <conditionalFormatting sqref="A16:D19">
    <cfRule type="expression" priority="1" dxfId="0">
      <formula>AND('Path 1 Refi'!$C$30&gt;0,'Path 1 Refi'!$C$30=MAX('Path 1 Refi'!$C$30,'Path 2 Sell'!$C$25,'Path 3 1031'!$C$30))</formula>
    </cfRule>
  </conditionalFormatting>
  <conditionalFormatting sqref="E16:H19">
    <cfRule type="expression" priority="2" dxfId="0">
      <formula>AND('Path 2 Sell'!$C$25&gt;0,'Path 2 Sell'!$C$25=MAX('Path 1 Refi'!$C$30,'Path 2 Sell'!$C$25,'Path 3 1031'!$C$30))</formula>
    </cfRule>
  </conditionalFormatting>
  <conditionalFormatting sqref="I16:L19">
    <cfRule type="expression" priority="3" dxfId="0">
      <formula>AND('Path 3 1031'!$C$30&gt;0,'Path 3 1031'!$C$30=MAX('Path 1 Refi'!$C$30,'Path 2 Sell'!$C$25,'Path 3 1031'!$C$30))</formula>
    </cfRule>
  </conditionalFormatting>
  <pageMargins left="0.5" right="0.5" top="0.5" bottom="0.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HYPERLINK("#'Start'!A1", "← BACK")</f>
        <v/>
      </c>
      <c r="B2" s="18" t="n"/>
      <c r="C2" s="18" t="n"/>
      <c r="D2" s="26" t="inlineStr">
        <is>
          <t>PROPERTY INPUTS</t>
        </is>
      </c>
      <c r="J2" s="19">
        <f>HYPERLINK("#'Path 1 Refi'!A1",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What you own today — value, loan, NOI, basis, depreciation</t>
        </is>
      </c>
    </row>
    <row r="6" ht="24" customHeight="1">
      <c r="A6" s="28" t="inlineStr">
        <is>
          <t>CURRENT POSITION</t>
        </is>
      </c>
    </row>
    <row r="7" ht="18" customHeight="1">
      <c r="B7" s="29" t="inlineStr">
        <is>
          <t>Current market value ($):</t>
        </is>
      </c>
      <c r="C7" s="30" t="n"/>
      <c r="E7" s="31" t="inlineStr">
        <is>
          <t>From STR-002 valuation, broker BPO, or recent comp</t>
        </is>
      </c>
    </row>
    <row r="8" ht="18" customHeight="1">
      <c r="B8" s="29" t="inlineStr">
        <is>
          <t>Current loan balance ($):</t>
        </is>
      </c>
      <c r="C8" s="30" t="n"/>
      <c r="E8" s="31" t="inlineStr">
        <is>
          <t>Today's principal owed</t>
        </is>
      </c>
    </row>
    <row r="9" ht="18" customHeight="1">
      <c r="B9" s="29" t="inlineStr">
        <is>
          <t>Current monthly P&amp;I ($):</t>
        </is>
      </c>
      <c r="C9" s="32" t="n"/>
      <c r="E9" s="31" t="inlineStr">
        <is>
          <t>Existing payment (P&amp;I only, exclude tax/ins escrow)</t>
        </is>
      </c>
    </row>
    <row r="10" ht="18" customHeight="1">
      <c r="B10" s="29" t="inlineStr">
        <is>
          <t>Annual NOI ($):</t>
        </is>
      </c>
      <c r="C10" s="30" t="n"/>
      <c r="E10" s="31" t="inlineStr">
        <is>
          <t>Net operating income — revenue minus opex (no debt)</t>
        </is>
      </c>
    </row>
    <row r="12" ht="24" customHeight="1">
      <c r="A12" s="28" t="inlineStr">
        <is>
          <t>TAX BASIS</t>
        </is>
      </c>
    </row>
    <row r="13" ht="18" customHeight="1">
      <c r="B13" s="29" t="inlineStr">
        <is>
          <t>Original cost basis ($):</t>
        </is>
      </c>
      <c r="C13" s="30" t="n"/>
      <c r="E13" s="31" t="inlineStr">
        <is>
          <t>Purchase price + capitalized improvements</t>
        </is>
      </c>
    </row>
    <row r="14" ht="18" customHeight="1">
      <c r="B14" s="29" t="inlineStr">
        <is>
          <t>Years held:</t>
        </is>
      </c>
      <c r="C14" s="33" t="n"/>
    </row>
    <row r="15" ht="18" customHeight="1">
      <c r="B15" s="29" t="inlineStr">
        <is>
          <t>Accumulated depreciation ($):</t>
        </is>
      </c>
      <c r="C15" s="30" t="n"/>
      <c r="E15" s="31" t="inlineStr">
        <is>
          <t>From your tax returns (Form 4562 / Sched E)</t>
        </is>
      </c>
    </row>
    <row r="17" ht="24" customHeight="1">
      <c r="A17" s="28" t="inlineStr">
        <is>
          <t>DERIVED — IF SOLD TODAY</t>
        </is>
      </c>
    </row>
    <row r="18" ht="18" customHeight="1">
      <c r="B18" s="29" t="inlineStr">
        <is>
          <t>Adjusted basis:</t>
        </is>
      </c>
      <c r="C18" s="34">
        <f>C13-C15</f>
        <v/>
      </c>
    </row>
    <row r="19" ht="18" customHeight="1">
      <c r="B19" s="29" t="inlineStr">
        <is>
          <t>Realized gain (sale @ current value):</t>
        </is>
      </c>
      <c r="C19" s="34">
        <f>C7*(1-Settings!C19)-C18</f>
        <v/>
      </c>
    </row>
    <row r="20" ht="18" customHeight="1">
      <c r="B20" s="29" t="inlineStr">
        <is>
          <t>Depreciation recapture portion:</t>
        </is>
      </c>
      <c r="C20" s="34">
        <f>MIN(C15,MAX(0,C19))</f>
        <v/>
      </c>
    </row>
    <row r="21" ht="18" customHeight="1">
      <c r="B21" s="29" t="inlineStr">
        <is>
          <t>Capital gain portion:</t>
        </is>
      </c>
      <c r="C21" s="34">
        <f>MAX(0,C19-C20)</f>
        <v/>
      </c>
    </row>
    <row r="22" ht="18" customHeight="1">
      <c r="B22" s="29" t="inlineStr">
        <is>
          <t>Recapture tax (25%):</t>
        </is>
      </c>
      <c r="C22" s="34">
        <f>C20*Settings!C17</f>
        <v/>
      </c>
    </row>
    <row r="23" ht="18" customHeight="1">
      <c r="B23" s="29" t="inlineStr">
        <is>
          <t>Capital gain tax (LTCG):</t>
        </is>
      </c>
      <c r="C23" s="34">
        <f>C21*Settings!C15</f>
        <v/>
      </c>
    </row>
    <row r="24" ht="22" customHeight="1">
      <c r="B24" s="35" t="inlineStr">
        <is>
          <t>Total tax if sold today:</t>
        </is>
      </c>
      <c r="C24" s="36">
        <f>C22+C23</f>
        <v/>
      </c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</row>
    <row r="28" ht="18" customHeight="1">
      <c r="A28" s="24" t="inlineStr">
        <is>
          <t>Questions? hello@thestrledger.com</t>
        </is>
      </c>
    </row>
    <row r="29" ht="18" customHeight="1">
      <c r="A29" s="25" t="inlineStr">
        <is>
          <t>STR-003 · Property Inputs</t>
        </is>
      </c>
    </row>
  </sheetData>
  <mergeCells count="15">
    <mergeCell ref="E9:L9"/>
    <mergeCell ref="J2:L2"/>
    <mergeCell ref="D2:I2"/>
    <mergeCell ref="A12:L12"/>
    <mergeCell ref="A29:L29"/>
    <mergeCell ref="E15:L15"/>
    <mergeCell ref="E7:L7"/>
    <mergeCell ref="A28:L28"/>
    <mergeCell ref="E10:L10"/>
    <mergeCell ref="A6:L6"/>
    <mergeCell ref="E13:L13"/>
    <mergeCell ref="E8:L8"/>
    <mergeCell ref="A17:L17"/>
    <mergeCell ref="A2:C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2304E"/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HYPERLINK("#'Property Inputs'!A1", "← BACK")</f>
        <v/>
      </c>
      <c r="B2" s="18" t="n"/>
      <c r="C2" s="18" t="n"/>
      <c r="D2" s="26" t="inlineStr">
        <is>
          <t>PATH 1: HOLD + REFI</t>
        </is>
      </c>
      <c r="J2" s="19">
        <f>HYPERLINK("#'Path 2 Sell'!A1",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Cash-out refi at current rates. Wealth = cash out + 5-yr cash flow + final equity.</t>
        </is>
      </c>
    </row>
    <row r="6" ht="24" customHeight="1">
      <c r="A6" s="28" t="inlineStr">
        <is>
          <t>REFI INPUTS</t>
        </is>
      </c>
    </row>
    <row r="7" ht="18" customHeight="1">
      <c r="B7" s="29" t="inlineStr">
        <is>
          <t>New LTV (% of value):</t>
        </is>
      </c>
      <c r="C7" s="37" t="n"/>
      <c r="E7" s="31" t="inlineStr">
        <is>
          <t>Cash-out STR loans typically max 70-75% LTV</t>
        </is>
      </c>
    </row>
    <row r="8" ht="18" customHeight="1">
      <c r="B8" s="29" t="inlineStr">
        <is>
          <t>Refi term (years):</t>
        </is>
      </c>
      <c r="C8" s="33" t="n"/>
      <c r="E8" s="31" t="inlineStr">
        <is>
          <t>30 typical</t>
        </is>
      </c>
    </row>
    <row r="9" ht="18" customHeight="1">
      <c r="B9" s="29" t="inlineStr">
        <is>
          <t>Refi closing costs ($):</t>
        </is>
      </c>
      <c r="C9" s="30" t="n"/>
      <c r="E9" s="31" t="inlineStr">
        <is>
          <t>2-3% of loan amount typical</t>
        </is>
      </c>
    </row>
    <row r="11" ht="24" customHeight="1">
      <c r="A11" s="28" t="inlineStr">
        <is>
          <t>REFI MECHANICS</t>
        </is>
      </c>
    </row>
    <row r="12" ht="18" customHeight="1">
      <c r="B12" s="29" t="inlineStr">
        <is>
          <t>New loan amount:</t>
        </is>
      </c>
      <c r="C12" s="34">
        <f>'Property Inputs'!C7*C7</f>
        <v/>
      </c>
    </row>
    <row r="13" ht="22" customHeight="1">
      <c r="B13" s="35" t="inlineStr">
        <is>
          <t>Cash out at close:</t>
        </is>
      </c>
      <c r="C13" s="36">
        <f>C12-'Property Inputs'!C8-C9</f>
        <v/>
      </c>
    </row>
    <row r="14" ht="18" customHeight="1">
      <c r="B14" s="29" t="inlineStr">
        <is>
          <t>New monthly P&amp;I (Excel PMT):</t>
        </is>
      </c>
      <c r="C14" s="38">
        <f>IFERROR(PMT(Settings!C13/12,C8*12,-C12),0)</f>
        <v/>
      </c>
    </row>
    <row r="15" ht="18" customHeight="1">
      <c r="B15" s="29" t="inlineStr">
        <is>
          <t>New annual debt service:</t>
        </is>
      </c>
      <c r="C15" s="34">
        <f>C14*12</f>
        <v/>
      </c>
    </row>
    <row r="16" ht="18" customHeight="1">
      <c r="B16" s="29" t="inlineStr">
        <is>
          <t>Cash flow change (NOI - new DS):</t>
        </is>
      </c>
      <c r="C16" s="34">
        <f>'Property Inputs'!C10-C15</f>
        <v/>
      </c>
    </row>
    <row r="17" ht="18" customHeight="1">
      <c r="B17" s="29" t="inlineStr">
        <is>
          <t>Old annual debt service (for ref):</t>
        </is>
      </c>
      <c r="C17" s="34">
        <f>'Property Inputs'!C9*12</f>
        <v/>
      </c>
    </row>
    <row r="19" ht="24" customHeight="1">
      <c r="A19" s="28" t="inlineStr">
        <is>
          <t>5-YEAR PROJECTION</t>
        </is>
      </c>
    </row>
    <row r="20" ht="18" customHeight="1">
      <c r="B20" s="29" t="inlineStr">
        <is>
          <t>Annual cash flow (Y1, post-refi):</t>
        </is>
      </c>
      <c r="C20" s="34">
        <f>C16</f>
        <v/>
      </c>
    </row>
    <row r="21" ht="18" customHeight="1">
      <c r="B21" s="29" t="inlineStr">
        <is>
          <t>5-year cumulative cash flow:</t>
        </is>
      </c>
      <c r="C21" s="34">
        <f>C20*Settings!C7</f>
        <v/>
      </c>
    </row>
    <row r="22" ht="18" customHeight="1">
      <c r="B22" s="29" t="inlineStr">
        <is>
          <t>Property value at year-5:</t>
        </is>
      </c>
      <c r="C22" s="34">
        <f>'Property Inputs'!C7*(1+Settings!C9)^Settings!C7</f>
        <v/>
      </c>
    </row>
    <row r="23" ht="18" customHeight="1">
      <c r="B23" s="29" t="inlineStr">
        <is>
          <t>New loan balance at year-5:</t>
        </is>
      </c>
      <c r="C23" s="34">
        <f>-FV(Settings!C13/12,Settings!C7*12,C14,-C12)</f>
        <v/>
      </c>
    </row>
    <row r="24" ht="18" customHeight="1">
      <c r="B24" s="29" t="inlineStr">
        <is>
          <t>Final equity at year-5:</t>
        </is>
      </c>
      <c r="C24" s="34">
        <f>C22-C23</f>
        <v/>
      </c>
    </row>
    <row r="27" ht="24" customHeight="1">
      <c r="A27" s="28" t="inlineStr">
        <is>
          <t>TOTAL 5-YEAR WEALTH</t>
        </is>
      </c>
    </row>
    <row r="30" ht="22" customHeight="1">
      <c r="B30" s="35" t="inlineStr">
        <is>
          <t>Total wealth at year-5:</t>
        </is>
      </c>
      <c r="C30" s="36">
        <f>C13+C21+C24</f>
        <v/>
      </c>
    </row>
    <row r="33" ht="16" customHeight="1">
      <c r="A33" s="39" t="inlineStr">
        <is>
          <t>Method: Hold the property, refinance to extract tax-free cash. 5-yr wealth = cash extracted + cumulative levered cash flow + final equity (value × growth − amortized new loan).</t>
        </is>
      </c>
    </row>
    <row r="34" ht="16" customHeight="1"/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</row>
    <row r="37" ht="18" customHeight="1">
      <c r="A37" s="24" t="inlineStr">
        <is>
          <t>Questions? hello@thestrledger.com</t>
        </is>
      </c>
    </row>
    <row r="38" ht="18" customHeight="1">
      <c r="A38" s="25" t="inlineStr">
        <is>
          <t>STR-003 · Path 1 Refi</t>
        </is>
      </c>
    </row>
  </sheetData>
  <mergeCells count="14">
    <mergeCell ref="A38:L38"/>
    <mergeCell ref="E9:L9"/>
    <mergeCell ref="J2:L2"/>
    <mergeCell ref="D2:I2"/>
    <mergeCell ref="A33:L34"/>
    <mergeCell ref="A19:L19"/>
    <mergeCell ref="E7:L7"/>
    <mergeCell ref="A11:L11"/>
    <mergeCell ref="A37:L37"/>
    <mergeCell ref="A6:L6"/>
    <mergeCell ref="E8:L8"/>
    <mergeCell ref="A27:L27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HYPERLINK("#'Path 1 Refi'!A1", "← BACK")</f>
        <v/>
      </c>
      <c r="B2" s="18" t="n"/>
      <c r="C2" s="18" t="n"/>
      <c r="D2" s="26" t="inlineStr">
        <is>
          <t>PATH 2: SELL</t>
        </is>
      </c>
      <c r="J2" s="19">
        <f>HYPERLINK("#'Path 3 1031'!A1",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Sell outright. Reinvest net cash at the assumed rate. Wealth = future value at year-5.</t>
        </is>
      </c>
    </row>
    <row r="6" ht="24" customHeight="1">
      <c r="A6" s="28" t="inlineStr">
        <is>
          <t>SALE MECHANICS</t>
        </is>
      </c>
    </row>
    <row r="7" ht="18" customHeight="1">
      <c r="B7" s="29" t="inlineStr">
        <is>
          <t>Gross sale price (current value):</t>
        </is>
      </c>
      <c r="C7" s="34">
        <f>'Property Inputs'!C7</f>
        <v/>
      </c>
    </row>
    <row r="8" ht="18" customHeight="1">
      <c r="B8" s="29" t="inlineStr">
        <is>
          <t>Selling costs (commission + closing):</t>
        </is>
      </c>
      <c r="C8" s="34">
        <f>C7*Settings!C19</f>
        <v/>
      </c>
    </row>
    <row r="9" ht="18" customHeight="1">
      <c r="B9" s="29" t="inlineStr">
        <is>
          <t>Net sale proceeds:</t>
        </is>
      </c>
      <c r="C9" s="34">
        <f>C7-C8</f>
        <v/>
      </c>
    </row>
    <row r="10" ht="18" customHeight="1">
      <c r="B10" s="29" t="inlineStr">
        <is>
          <t>Mortgage payoff:</t>
        </is>
      </c>
      <c r="C10" s="34">
        <f>'Property Inputs'!C8</f>
        <v/>
      </c>
    </row>
    <row r="11" ht="18" customHeight="1">
      <c r="B11" s="29" t="inlineStr">
        <is>
          <t>Cash before tax:</t>
        </is>
      </c>
      <c r="C11" s="34">
        <f>C9-C10</f>
        <v/>
      </c>
    </row>
    <row r="12" ht="18" customHeight="1">
      <c r="B12" s="29" t="inlineStr">
        <is>
          <t>Total tax (recapture + LTCG):</t>
        </is>
      </c>
      <c r="C12" s="34">
        <f>'Property Inputs'!C24</f>
        <v/>
      </c>
    </row>
    <row r="13" ht="22" customHeight="1">
      <c r="B13" s="35" t="inlineStr">
        <is>
          <t>Net cash freed up:</t>
        </is>
      </c>
      <c r="C13" s="36">
        <f>C11-C12</f>
        <v/>
      </c>
    </row>
    <row r="15" ht="24" customHeight="1">
      <c r="A15" s="28" t="inlineStr">
        <is>
          <t>REINVESTMENT</t>
        </is>
      </c>
    </row>
    <row r="16" ht="18" customHeight="1">
      <c r="B16" s="29" t="inlineStr">
        <is>
          <t>Reinvestment rate (override Settings):</t>
        </is>
      </c>
      <c r="C16" s="37" t="n"/>
      <c r="E16" s="31" t="inlineStr">
        <is>
          <t>Default pulls from Settings; override for sensitivity</t>
        </is>
      </c>
    </row>
    <row r="17" ht="18" customHeight="1">
      <c r="B17" s="29" t="inlineStr">
        <is>
          <t>Effective reinvest rate:</t>
        </is>
      </c>
      <c r="C17" s="40">
        <f>IF(C16="",Settings!C11,C16)</f>
        <v/>
      </c>
    </row>
    <row r="18" ht="18" customHeight="1">
      <c r="B18" s="29" t="inlineStr">
        <is>
          <t>Years compounding:</t>
        </is>
      </c>
      <c r="C18" s="41">
        <f>Settings!C7</f>
        <v/>
      </c>
    </row>
    <row r="19" ht="18" customHeight="1">
      <c r="B19" s="29" t="inlineStr">
        <is>
          <t>Future value at year-5:</t>
        </is>
      </c>
      <c r="C19" s="34">
        <f>C13*(1+C17)^C18</f>
        <v/>
      </c>
    </row>
    <row r="22" ht="24" customHeight="1">
      <c r="A22" s="28" t="inlineStr">
        <is>
          <t>TOTAL 5-YEAR WEALTH</t>
        </is>
      </c>
    </row>
    <row r="25" ht="22" customHeight="1">
      <c r="B25" s="35" t="inlineStr">
        <is>
          <t>Total wealth at year-5:</t>
        </is>
      </c>
      <c r="C25" s="36">
        <f>C19</f>
        <v/>
      </c>
    </row>
    <row r="28" ht="16" customHeight="1">
      <c r="A28" s="39" t="inlineStr">
        <is>
          <t>Method: Sell at current value, pay selling costs and taxes (recapture at 25% + capital gain at LTCG rate), reinvest net cash at the assumed rate for the hold period.</t>
        </is>
      </c>
    </row>
    <row r="29" ht="16" customHeight="1"/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</row>
    <row r="32" ht="18" customHeight="1">
      <c r="A32" s="24" t="inlineStr">
        <is>
          <t>Questions? hello@thestrledger.com</t>
        </is>
      </c>
    </row>
    <row r="33" ht="18" customHeight="1">
      <c r="A33" s="25" t="inlineStr">
        <is>
          <t>STR-003 · Path 2 Sell</t>
        </is>
      </c>
    </row>
  </sheetData>
  <mergeCells count="11">
    <mergeCell ref="A28:L29"/>
    <mergeCell ref="J2:L2"/>
    <mergeCell ref="D2:I2"/>
    <mergeCell ref="A15:L15"/>
    <mergeCell ref="A33:L33"/>
    <mergeCell ref="E16:L16"/>
    <mergeCell ref="A32:L32"/>
    <mergeCell ref="A6:L6"/>
    <mergeCell ref="A22:L22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HYPERLINK("#'Path 2 Sell'!A1", "← BACK")</f>
        <v/>
      </c>
      <c r="B2" s="18" t="n"/>
      <c r="C2" s="18" t="n"/>
      <c r="D2" s="26" t="inlineStr">
        <is>
          <t>PATH 3: SELL + 1031</t>
        </is>
      </c>
      <c r="J2" s="19">
        <f>HYPERLINK("#'Settings'!A1",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Sell + 1031 into a larger asset. Defer all gain. Wealth = replacement equity + 5-yr cash flow.</t>
        </is>
      </c>
    </row>
    <row r="6" ht="24" customHeight="1">
      <c r="A6" s="28" t="inlineStr">
        <is>
          <t>REPLACEMENT PROPERTY INPUTS</t>
        </is>
      </c>
    </row>
    <row r="7" ht="18" customHeight="1">
      <c r="B7" s="29" t="inlineStr">
        <is>
          <t>Replacement property value ($):</t>
        </is>
      </c>
      <c r="C7" s="30" t="n"/>
      <c r="E7" s="31" t="inlineStr">
        <is>
          <t>Equal or greater for full gain deferral</t>
        </is>
      </c>
    </row>
    <row r="8" ht="18" customHeight="1">
      <c r="B8" s="29" t="inlineStr">
        <is>
          <t>Replacement annual NOI ($):</t>
        </is>
      </c>
      <c r="C8" s="30" t="n"/>
      <c r="E8" s="31" t="inlineStr">
        <is>
          <t>Larger asset = larger NOI typically</t>
        </is>
      </c>
    </row>
    <row r="9" ht="18" customHeight="1">
      <c r="B9" s="29" t="inlineStr">
        <is>
          <t>Replacement loan amount ($):</t>
        </is>
      </c>
      <c r="C9" s="30" t="n"/>
      <c r="E9" s="31" t="inlineStr">
        <is>
          <t>70% LTV typical for STR</t>
        </is>
      </c>
    </row>
    <row r="10" ht="18" customHeight="1">
      <c r="B10" s="29" t="inlineStr">
        <is>
          <t>Replacement loan rate:</t>
        </is>
      </c>
      <c r="C10" s="42" t="n"/>
      <c r="E10" s="31" t="inlineStr">
        <is>
          <t>Current acquisition rate</t>
        </is>
      </c>
    </row>
    <row r="12" ht="24" customHeight="1">
      <c r="A12" s="28" t="inlineStr">
        <is>
          <t>1031 MECHANICS</t>
        </is>
      </c>
    </row>
    <row r="13" ht="22" customHeight="1">
      <c r="B13" s="35" t="inlineStr">
        <is>
          <t>Equity into replacement:</t>
        </is>
      </c>
      <c r="C13" s="36">
        <f>C7-C9</f>
        <v/>
      </c>
    </row>
    <row r="14" ht="18" customHeight="1">
      <c r="B14" s="29" t="inlineStr">
        <is>
          <t>Cash from sale (deferred):</t>
        </is>
      </c>
      <c r="C14" s="34">
        <f>'Path 2 Sell'!C9-'Path 2 Sell'!C10</f>
        <v/>
      </c>
    </row>
    <row r="15" ht="18" customHeight="1">
      <c r="B15" s="29" t="inlineStr">
        <is>
          <t>Carryover basis (replacement):</t>
        </is>
      </c>
      <c r="C15" s="34">
        <f>'Property Inputs'!C18+(C7-'Property Inputs'!C7)</f>
        <v/>
      </c>
    </row>
    <row r="17" ht="24" customHeight="1">
      <c r="A17" s="28" t="inlineStr">
        <is>
          <t>REPLACEMENT OPERATIONS</t>
        </is>
      </c>
    </row>
    <row r="18" ht="18" customHeight="1">
      <c r="B18" s="29" t="inlineStr">
        <is>
          <t>Replacement monthly P&amp;I (Excel PMT):</t>
        </is>
      </c>
      <c r="C18" s="38">
        <f>IFERROR(PMT(C10/12,30*12,-C9),0)</f>
        <v/>
      </c>
    </row>
    <row r="19" ht="18" customHeight="1">
      <c r="B19" s="29" t="inlineStr">
        <is>
          <t>Replacement annual debt service:</t>
        </is>
      </c>
      <c r="C19" s="34">
        <f>C18*12</f>
        <v/>
      </c>
    </row>
    <row r="20" ht="18" customHeight="1">
      <c r="B20" s="29" t="inlineStr">
        <is>
          <t>Annual cash flow (NOI − DS):</t>
        </is>
      </c>
      <c r="C20" s="34">
        <f>C8-C19</f>
        <v/>
      </c>
    </row>
    <row r="21" ht="18" customHeight="1">
      <c r="B21" s="29" t="inlineStr">
        <is>
          <t>5-year cumulative cash flow:</t>
        </is>
      </c>
      <c r="C21" s="34">
        <f>C20*Settings!C7</f>
        <v/>
      </c>
    </row>
    <row r="23" ht="24" customHeight="1">
      <c r="A23" s="28" t="inlineStr">
        <is>
          <t>EXIT EQUITY AT YEAR-5</t>
        </is>
      </c>
    </row>
    <row r="24" ht="18" customHeight="1">
      <c r="B24" s="29" t="inlineStr">
        <is>
          <t>Replacement value at year-5:</t>
        </is>
      </c>
      <c r="C24" s="34">
        <f>C7*(1+Settings!C9)^Settings!C7</f>
        <v/>
      </c>
    </row>
    <row r="25" ht="18" customHeight="1">
      <c r="B25" s="29" t="inlineStr">
        <is>
          <t>Replacement loan balance at year-5:</t>
        </is>
      </c>
      <c r="C25" s="34">
        <f>-FV(C10/12,Settings!C7*12,C18,-C9)</f>
        <v/>
      </c>
    </row>
    <row r="26" ht="18" customHeight="1">
      <c r="B26" s="29" t="inlineStr">
        <is>
          <t>Final equity at year-5:</t>
        </is>
      </c>
      <c r="C26" s="34">
        <f>C24-C25</f>
        <v/>
      </c>
    </row>
    <row r="28" ht="24" customHeight="1">
      <c r="A28" s="28" t="inlineStr">
        <is>
          <t>TOTAL 5-YEAR WEALTH</t>
        </is>
      </c>
    </row>
    <row r="30" ht="22" customHeight="1">
      <c r="B30" s="35" t="inlineStr">
        <is>
          <t>Total wealth at year-5:</t>
        </is>
      </c>
      <c r="C30" s="36">
        <f>C26+C21</f>
        <v/>
      </c>
    </row>
    <row r="33" ht="16" customHeight="1">
      <c r="A33" s="39" t="inlineStr">
        <is>
          <t>Method: 1031 exchange defers all gain. Equity rolls into a larger asset; depreciation basis carries over. 5-yr wealth = year-5 equity + cumulative cash flow on the replacement.</t>
        </is>
      </c>
    </row>
    <row r="34" ht="16" customHeight="1"/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</row>
    <row r="37" ht="18" customHeight="1">
      <c r="A37" s="24" t="inlineStr">
        <is>
          <t>Questions? hello@thestrledger.com</t>
        </is>
      </c>
    </row>
    <row r="38" ht="18" customHeight="1">
      <c r="A38" s="25" t="inlineStr">
        <is>
          <t>STR-003 · Path 3 1031</t>
        </is>
      </c>
    </row>
  </sheetData>
  <mergeCells count="16">
    <mergeCell ref="A38:L38"/>
    <mergeCell ref="E9:L9"/>
    <mergeCell ref="J2:L2"/>
    <mergeCell ref="D2:I2"/>
    <mergeCell ref="A12:L12"/>
    <mergeCell ref="A33:L34"/>
    <mergeCell ref="E7:L7"/>
    <mergeCell ref="A28:L28"/>
    <mergeCell ref="A23:L23"/>
    <mergeCell ref="A37:L37"/>
    <mergeCell ref="E10:L10"/>
    <mergeCell ref="A6:L6"/>
    <mergeCell ref="A17:L17"/>
    <mergeCell ref="E8:L8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E5D0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HYPERLINK("#'Path 3 1031'!A1", "← BACK")</f>
        <v/>
      </c>
      <c r="B2" s="18" t="n"/>
      <c r="C2" s="18" t="n"/>
      <c r="D2" s="26" t="inlineStr">
        <is>
          <t>SETTINGS</t>
        </is>
      </c>
      <c r="J2" s="19">
        <f>HYPERLINK("#'Start'!A1", "HOME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Property name + assumptions used by all three path tabs.</t>
        </is>
      </c>
    </row>
    <row r="5" ht="18" customHeight="1">
      <c r="B5" s="29" t="inlineStr">
        <is>
          <t>Property name:</t>
        </is>
      </c>
      <c r="C5" s="43" t="n"/>
      <c r="E5" s="31" t="inlineStr">
        <is>
          <t>Shows on Start tab hero band</t>
        </is>
      </c>
    </row>
    <row r="7" ht="18" customHeight="1">
      <c r="B7" s="29" t="inlineStr">
        <is>
          <t>Hold / projection period (years):</t>
        </is>
      </c>
      <c r="C7" s="33" t="n"/>
      <c r="E7" s="31" t="inlineStr">
        <is>
          <t>Default 5 yrs — matches brief</t>
        </is>
      </c>
    </row>
    <row r="9" ht="18" customHeight="1">
      <c r="B9" s="29" t="inlineStr">
        <is>
          <t>Property value growth (%/yr):</t>
        </is>
      </c>
      <c r="C9" s="37" t="n"/>
      <c r="E9" s="31" t="inlineStr">
        <is>
          <t>Annual appreciation assumption (3% conservative default)</t>
        </is>
      </c>
    </row>
    <row r="11" ht="18" customHeight="1">
      <c r="B11" s="29" t="inlineStr">
        <is>
          <t>Reinvestment rate (Path 2):</t>
        </is>
      </c>
      <c r="C11" s="37" t="n"/>
      <c r="E11" s="31" t="inlineStr">
        <is>
          <t>Where do sale proceeds go? S&amp;P ≈ 7-9%, another deal ≈ 8-12%</t>
        </is>
      </c>
    </row>
    <row r="13" ht="18" customHeight="1">
      <c r="B13" s="29" t="inlineStr">
        <is>
          <t>Refi rate (Path 1):</t>
        </is>
      </c>
      <c r="C13" s="42" t="n"/>
      <c r="E13" s="31" t="inlineStr">
        <is>
          <t>Today's cash-out STR rate</t>
        </is>
      </c>
    </row>
    <row r="15" ht="18" customHeight="1">
      <c r="B15" s="29" t="inlineStr">
        <is>
          <t>Long-term capital gains rate:</t>
        </is>
      </c>
      <c r="C15" s="37" t="n"/>
      <c r="E15" s="31" t="inlineStr">
        <is>
          <t>15% or 20% federal — check your bracket + state add-on</t>
        </is>
      </c>
    </row>
    <row r="17" ht="18" customHeight="1">
      <c r="B17" s="29" t="inlineStr">
        <is>
          <t>Depreciation recapture rate:</t>
        </is>
      </c>
      <c r="C17" s="37" t="n"/>
      <c r="E17" s="31" t="inlineStr">
        <is>
          <t>Federal flat 25% on accumulated depreciation</t>
        </is>
      </c>
    </row>
    <row r="19" ht="18" customHeight="1">
      <c r="B19" s="29" t="inlineStr">
        <is>
          <t>Selling costs (% of sale):</t>
        </is>
      </c>
      <c r="C19" s="37" t="n"/>
      <c r="E19" s="31" t="inlineStr">
        <is>
          <t>6% commission + 1.5% closing typical (= 7.5%)</t>
        </is>
      </c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</row>
    <row r="23" ht="18" customHeight="1">
      <c r="A23" s="24" t="inlineStr">
        <is>
          <t>Questions? hello@thestrledger.com</t>
        </is>
      </c>
    </row>
    <row r="24" ht="18" customHeight="1">
      <c r="A24" s="25" t="inlineStr">
        <is>
          <t>STR-003 · Settings</t>
        </is>
      </c>
    </row>
  </sheetData>
  <mergeCells count="14">
    <mergeCell ref="E17:L17"/>
    <mergeCell ref="E9:L9"/>
    <mergeCell ref="A24:L24"/>
    <mergeCell ref="J2:L2"/>
    <mergeCell ref="D2:I2"/>
    <mergeCell ref="E15:L15"/>
    <mergeCell ref="E7:L7"/>
    <mergeCell ref="A23:L23"/>
    <mergeCell ref="E11:L11"/>
    <mergeCell ref="E13:L13"/>
    <mergeCell ref="E19:L19"/>
    <mergeCell ref="E5:L5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Refi-or-Sell Decision Matrix — The STR Ledger</dc:title>
  <dc:description xmlns:dc="http://purl.org/dc/elements/1.1/">Three-path 5-year wealth comparison for an existing STR property: hold + cash-out refi vs. sell + reinvest vs. sell + 1031 exchange. Surfaces tax consequences, transaction costs, and ongoing cash flow.</dc:description>
  <dcterms:created xmlns:dcterms="http://purl.org/dc/terms/" xmlns:xsi="http://www.w3.org/2001/XMLSchema-instance" xsi:type="dcterms:W3CDTF">2026-05-03T19:05:59Z</dcterms:created>
  <dcterms:modified xmlns:dcterms="http://purl.org/dc/terms/" xmlns:xsi="http://www.w3.org/2001/XMLSchema-instance" xsi:type="dcterms:W3CDTF">2026-05-03T19:05:59Z</dcterms:modified>
</cp:coreProperties>
</file>