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Relinquished Property" sheetId="2" state="visible" r:id="rId2"/>
    <sheet xmlns:r="http://schemas.openxmlformats.org/officeDocument/2006/relationships" name="Identification" sheetId="3" state="visible" r:id="rId3"/>
    <sheet xmlns:r="http://schemas.openxmlformats.org/officeDocument/2006/relationships" name="Replacement + Closing" sheetId="4" state="visible" r:id="rId4"/>
    <sheet xmlns:r="http://schemas.openxmlformats.org/officeDocument/2006/relationships" name="Carryover Basis" sheetId="5" state="visible" r:id="rId5"/>
    <sheet xmlns:r="http://schemas.openxmlformats.org/officeDocument/2006/relationships" name="Settings" sheetId="6" state="visible" r:id="rId6"/>
  </sheets>
  <definedNames>
    <definedName name="_xlnm.Print_Area" localSheetId="0">'Start'!$A$1:$L$40</definedName>
    <definedName name="_xlnm.Print_Titles" localSheetId="1">'Relinquished Property'!$1:$5</definedName>
    <definedName name="_xlnm.Print_Area" localSheetId="1">'Relinquished Property'!$A$1:$L$28</definedName>
    <definedName name="_xlnm.Print_Titles" localSheetId="2">'Identification'!$1:$7</definedName>
    <definedName name="_xlnm.Print_Area" localSheetId="2">'Identification'!$A$1:$E$28</definedName>
    <definedName name="_xlnm.Print_Titles" localSheetId="3">'Replacement + Closing'!$1:$5</definedName>
    <definedName name="_xlnm.Print_Area" localSheetId="3">'Replacement + Closing'!$A$1:$L$31</definedName>
    <definedName name="_xlnm.Print_Titles" localSheetId="4">'Carryover Basis'!$1:$5</definedName>
    <definedName name="_xlnm.Print_Area" localSheetId="4">'Carryover Basis'!$A$1:$L$28</definedName>
    <definedName name="_xlnm.Print_Area" localSheetId="5">'Settings'!$A$1:$L$25</definedName>
  </definedNames>
  <calcPr calcId="124519" fullCalcOnLoad="1"/>
</workbook>
</file>

<file path=xl/styles.xml><?xml version="1.0" encoding="utf-8"?>
<styleSheet xmlns="http://schemas.openxmlformats.org/spreadsheetml/2006/main">
  <numFmts count="6">
    <numFmt numFmtId="164" formatCode="0&quot; days&quot;"/>
    <numFmt numFmtId="165" formatCode="&quot;due &quot;yyyy-mm-dd"/>
    <numFmt numFmtId="166" formatCode="yyyy-mm-dd"/>
    <numFmt numFmtId="167" formatCode="&quot;$&quot;#,##0"/>
    <numFmt numFmtId="168" formatCode="0.0&quot; yrs&quot;"/>
    <numFmt numFmtId="169" formatCode="&quot;$&quot;#,##0&quot; / yr&quot;"/>
  </numFmts>
  <fonts count="27">
    <font>
      <name val="Calibri"/>
      <family val="2"/>
      <color theme="1"/>
      <sz val="11"/>
      <scheme val="minor"/>
    </font>
    <font>
      <name val="Georgia"/>
      <color rgb="00F6EFE2"/>
      <sz val="14"/>
    </font>
    <font>
      <name val="Georgia"/>
      <b val="1"/>
      <color rgb="00F6EFE2"/>
      <sz val="36"/>
    </font>
    <font>
      <name val="Georgia"/>
      <i val="1"/>
      <color rgb="00C9A24B"/>
      <sz val="14"/>
    </font>
    <font>
      <name val="Georgia"/>
      <b val="1"/>
      <color rgb="00C9A24B"/>
      <sz val="16"/>
    </font>
    <font>
      <name val="Consolas"/>
      <color rgb="00C9A24B"/>
      <sz val="9"/>
    </font>
    <font>
      <name val="Consolas"/>
      <b val="1"/>
      <color rgb="0012304E"/>
      <sz val="10"/>
    </font>
    <font>
      <name val="Georgia"/>
      <b val="1"/>
      <color rgb="0012304E"/>
      <sz val="42"/>
    </font>
    <font>
      <name val="Calibri"/>
      <color rgb="006B7280"/>
      <sz val="11"/>
    </font>
    <font>
      <name val="Calibri"/>
      <i val="1"/>
      <color rgb="006B7280"/>
      <sz val="9"/>
    </font>
    <font>
      <name val="Georgia"/>
      <b val="1"/>
      <color rgb="00FFFFFF"/>
      <sz val="11"/>
    </font>
    <font>
      <name val="Calibri"/>
      <color rgb="002B2B2B"/>
      <sz val="11"/>
    </font>
    <font>
      <name val="Georgia"/>
      <b val="1"/>
      <color rgb="00F6EFE2"/>
      <sz val="13"/>
    </font>
    <font>
      <name val="Georgia"/>
      <b val="1"/>
      <color rgb="0012304E"/>
      <sz val="13"/>
    </font>
    <font>
      <name val="Calibri"/>
      <color rgb="006B7280"/>
      <sz val="10"/>
    </font>
    <font>
      <name val="Calibri"/>
      <i val="1"/>
      <color rgb="00C9A24B"/>
      <sz val="10"/>
    </font>
    <font>
      <name val="Consolas"/>
      <b val="1"/>
      <color rgb="00C9A24B"/>
      <sz val="10"/>
    </font>
    <font>
      <name val="Calibri"/>
      <i val="1"/>
      <color rgb="002B2B2B"/>
      <sz val="10"/>
    </font>
    <font>
      <name val="Calibri"/>
      <b val="1"/>
      <color rgb="002B2B2B"/>
      <sz val="11"/>
    </font>
    <font>
      <name val="Calibri"/>
      <i val="1"/>
      <color rgb="002B2B2B"/>
      <sz val="11"/>
    </font>
    <font>
      <name val="Georgia"/>
      <b val="1"/>
      <color rgb="0012304E"/>
      <sz val="12"/>
    </font>
    <font>
      <name val="Georgia"/>
      <b val="1"/>
      <color rgb="00C9A24B"/>
      <sz val="14"/>
    </font>
    <font>
      <name val="Calibri"/>
      <i val="1"/>
      <color rgb="0012304E"/>
      <sz val="10"/>
    </font>
    <font>
      <name val="Calibri"/>
      <i val="1"/>
      <color rgb="006B7280"/>
      <sz val="10"/>
    </font>
    <font>
      <name val="Calibri"/>
      <b val="1"/>
      <color rgb="00FFFFFF"/>
      <sz val="11"/>
    </font>
    <font>
      <name val="Georgia"/>
      <b val="1"/>
      <color rgb="00B91C1C"/>
      <sz val="12"/>
    </font>
    <font>
      <name val="Georgia"/>
      <b val="1"/>
      <color rgb="00F6EFE2"/>
      <sz val="14"/>
    </font>
  </fonts>
  <fills count="10">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B91C1C"/>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s>
  <borders count="15">
    <border>
      <left/>
      <right/>
      <top/>
      <bottom/>
      <diagonal/>
    </border>
    <border>
      <left style="medium">
        <color rgb="00C9A24B"/>
      </left>
      <right/>
      <top style="medium">
        <color rgb="00C9A24B"/>
      </top>
      <bottom/>
    </border>
    <border>
      <left/>
      <right/>
      <top style="medium">
        <color rgb="00C9A24B"/>
      </top>
      <bottom/>
    </border>
    <border>
      <left/>
      <right style="medium">
        <color rgb="00C9A24B"/>
      </right>
      <top style="medium">
        <color rgb="00C9A24B"/>
      </top>
      <bottom/>
    </border>
    <border>
      <left style="medium">
        <color rgb="00C9A24B"/>
      </left>
      <right/>
      <top/>
      <bottom/>
    </border>
    <border>
      <left/>
      <right/>
      <top/>
      <bottom/>
    </border>
    <border>
      <left/>
      <right style="medium">
        <color rgb="00C9A24B"/>
      </right>
      <top/>
      <bottom/>
    </border>
    <border>
      <left style="medium">
        <color rgb="00C9A24B"/>
      </left>
      <right/>
      <top/>
      <bottom style="medium">
        <color rgb="00C9A24B"/>
      </bottom>
    </border>
    <border>
      <left/>
      <right/>
      <top/>
      <bottom style="medium">
        <color rgb="00C9A24B"/>
      </bottom>
    </border>
    <border>
      <left/>
      <right style="medium">
        <color rgb="00C9A24B"/>
      </right>
      <top/>
      <bottom style="medium">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58">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4" borderId="1" applyAlignment="1" pivotButton="0" quotePrefix="0" xfId="0">
      <alignment horizontal="center" vertical="center"/>
    </xf>
    <xf numFmtId="0" fontId="0" fillId="0" borderId="2" pivotButton="0" quotePrefix="0" xfId="0"/>
    <xf numFmtId="0" fontId="0" fillId="0" borderId="3" pivotButton="0" quotePrefix="0" xfId="0"/>
    <xf numFmtId="164" fontId="7" fillId="3"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4" pivotButton="0" quotePrefix="0" xfId="0"/>
    <xf numFmtId="165" fontId="8" fillId="3" borderId="4" applyAlignment="1" pivotButton="0" quotePrefix="0" xfId="0">
      <alignment horizontal="center" vertical="center"/>
    </xf>
    <xf numFmtId="0" fontId="9" fillId="3" borderId="7" applyAlignment="1" pivotButton="0" quotePrefix="0" xfId="0">
      <alignment horizontal="center" vertical="center"/>
    </xf>
    <xf numFmtId="0" fontId="0" fillId="0" borderId="8" pivotButton="0" quotePrefix="0" xfId="0"/>
    <xf numFmtId="0" fontId="0" fillId="0" borderId="9" pivotButton="0" quotePrefix="0" xfId="0"/>
    <xf numFmtId="0" fontId="10" fillId="5" borderId="0" applyAlignment="1" pivotButton="0" quotePrefix="0" xfId="0">
      <alignment horizontal="center" vertical="center" wrapText="1"/>
    </xf>
    <xf numFmtId="0" fontId="6" fillId="4" borderId="0" applyAlignment="1" pivotButton="0" quotePrefix="0" xfId="0">
      <alignment horizontal="left" vertical="center" indent="2"/>
    </xf>
    <xf numFmtId="0" fontId="11" fillId="6" borderId="0" applyAlignment="1" pivotButton="0" quotePrefix="0" xfId="0">
      <alignment horizontal="left" vertical="center" wrapText="1" indent="2"/>
    </xf>
    <xf numFmtId="0" fontId="0" fillId="6" borderId="0" pivotButton="0" quotePrefix="0" xfId="0"/>
    <xf numFmtId="0" fontId="12" fillId="2" borderId="10" applyAlignment="1" pivotButton="0" quotePrefix="0" xfId="0">
      <alignment horizontal="center" vertical="center" wrapText="1"/>
    </xf>
    <xf numFmtId="0" fontId="0" fillId="0" borderId="10" pivotButton="0" quotePrefix="0" xfId="0"/>
    <xf numFmtId="0" fontId="13" fillId="3" borderId="11" applyAlignment="1" pivotButton="0" quotePrefix="0" xfId="0">
      <alignment horizontal="center" vertical="center" wrapText="1"/>
    </xf>
    <xf numFmtId="0" fontId="0" fillId="0" borderId="11" pivotButton="0" quotePrefix="0" xfId="0"/>
    <xf numFmtId="0" fontId="13" fillId="7" borderId="12" applyAlignment="1" pivotButton="0" quotePrefix="0" xfId="0">
      <alignment horizontal="center" vertical="center" wrapText="1"/>
    </xf>
    <xf numFmtId="0" fontId="0" fillId="0" borderId="12" pivotButton="0" quotePrefix="0" xfId="0"/>
    <xf numFmtId="0" fontId="0" fillId="0" borderId="13"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6" fillId="2" borderId="0" applyAlignment="1" pivotButton="0" quotePrefix="0" xfId="0">
      <alignment horizontal="right" vertical="center" indent="2"/>
    </xf>
    <xf numFmtId="0" fontId="17" fillId="3" borderId="0" applyAlignment="1" pivotButton="0" quotePrefix="0" xfId="0">
      <alignment horizontal="left" vertical="center" indent="1"/>
    </xf>
    <xf numFmtId="0" fontId="6" fillId="4" borderId="0" applyAlignment="1" pivotButton="0" quotePrefix="0" xfId="0">
      <alignment horizontal="left" vertical="center" indent="1"/>
    </xf>
    <xf numFmtId="0" fontId="18" fillId="0" borderId="0" applyAlignment="1" pivotButton="0" quotePrefix="0" xfId="0">
      <alignment horizontal="right" vertical="center" indent="1"/>
    </xf>
    <xf numFmtId="0" fontId="11" fillId="8" borderId="0" applyAlignment="1" pivotButton="0" quotePrefix="0" xfId="0">
      <alignment horizontal="left" vertical="center"/>
    </xf>
    <xf numFmtId="166" fontId="19" fillId="9" borderId="0" applyAlignment="1" pivotButton="0" quotePrefix="0" xfId="0">
      <alignment horizontal="right" vertical="center"/>
    </xf>
    <xf numFmtId="167" fontId="11" fillId="8" borderId="0" applyAlignment="1" pivotButton="0" quotePrefix="0" xfId="0">
      <alignment horizontal="left" vertical="center"/>
    </xf>
    <xf numFmtId="167" fontId="19" fillId="9" borderId="0" applyAlignment="1" pivotButton="0" quotePrefix="0" xfId="0">
      <alignment horizontal="right" vertical="center"/>
    </xf>
    <xf numFmtId="164" fontId="20" fillId="9" borderId="0" applyAlignment="1" pivotButton="0" quotePrefix="0" xfId="0">
      <alignment horizontal="right" vertical="center"/>
    </xf>
    <xf numFmtId="167" fontId="21" fillId="4" borderId="0" applyAlignment="1" pivotButton="0" quotePrefix="0" xfId="0">
      <alignment horizontal="right" vertical="center"/>
    </xf>
    <xf numFmtId="0" fontId="22" fillId="4" borderId="0" applyAlignment="1" pivotButton="0" quotePrefix="0" xfId="0">
      <alignment horizontal="left" vertical="center" wrapText="1" indent="2"/>
    </xf>
    <xf numFmtId="0" fontId="20" fillId="8" borderId="0" applyAlignment="1" pivotButton="0" quotePrefix="0" xfId="0">
      <alignment horizontal="left" vertical="center"/>
    </xf>
    <xf numFmtId="0" fontId="23" fillId="0" borderId="0" applyAlignment="1" pivotButton="0" quotePrefix="0" xfId="0">
      <alignment horizontal="left" vertical="center" wrapText="1" indent="1"/>
    </xf>
    <xf numFmtId="0" fontId="24" fillId="2" borderId="14" applyAlignment="1" pivotButton="0" quotePrefix="0" xfId="0">
      <alignment horizontal="center" vertical="center"/>
    </xf>
    <xf numFmtId="0" fontId="8" fillId="0" borderId="0" applyAlignment="1" pivotButton="0" quotePrefix="0" xfId="0">
      <alignment horizontal="center" vertical="center"/>
    </xf>
    <xf numFmtId="0" fontId="11" fillId="8" borderId="0" applyAlignment="1" pivotButton="0" quotePrefix="0" xfId="0">
      <alignment horizontal="center" vertical="center"/>
    </xf>
    <xf numFmtId="1" fontId="19" fillId="9" borderId="0" applyAlignment="1" pivotButton="0" quotePrefix="0" xfId="0">
      <alignment horizontal="right" vertical="center"/>
    </xf>
    <xf numFmtId="0" fontId="20" fillId="4" borderId="0" applyAlignment="1" pivotButton="0" quotePrefix="0" xfId="0">
      <alignment horizontal="left" vertical="center" indent="1"/>
    </xf>
    <xf numFmtId="166" fontId="11" fillId="8" borderId="0" applyAlignment="1" pivotButton="0" quotePrefix="0" xfId="0">
      <alignment horizontal="left" vertical="center"/>
    </xf>
    <xf numFmtId="167" fontId="25" fillId="4" borderId="0" applyAlignment="1" pivotButton="0" quotePrefix="0" xfId="0">
      <alignment horizontal="right" vertical="center"/>
    </xf>
    <xf numFmtId="167" fontId="26" fillId="2" borderId="0" applyAlignment="1" pivotButton="0" quotePrefix="0" xfId="0">
      <alignment horizontal="right" vertical="center"/>
    </xf>
    <xf numFmtId="168" fontId="19" fillId="9" borderId="0" applyAlignment="1" pivotButton="0" quotePrefix="0" xfId="0">
      <alignment horizontal="right" vertical="center"/>
    </xf>
    <xf numFmtId="9" fontId="11" fillId="8" borderId="0" applyAlignment="1" pivotButton="0" quotePrefix="0" xfId="0">
      <alignment horizontal="left" vertical="center"/>
    </xf>
    <xf numFmtId="169" fontId="19" fillId="9" borderId="0" applyAlignment="1" pivotButton="0" quotePrefix="0" xfId="0">
      <alignment horizontal="right" vertical="center"/>
    </xf>
    <xf numFmtId="1" fontId="11" fillId="8" borderId="0" applyAlignment="1" pivotButton="0" quotePrefix="0" xfId="0">
      <alignment horizontal="left" vertical="center"/>
    </xf>
    <xf numFmtId="166" fontId="20" fillId="4" borderId="0" applyAlignment="1" pivotButton="0" quotePrefix="0" xfId="0">
      <alignment horizontal="left" vertical="center"/>
    </xf>
    <xf numFmtId="0" fontId="17" fillId="6" borderId="0" applyAlignment="1" pivotButton="0" quotePrefix="0" xfId="0">
      <alignment horizontal="left" vertical="center" wrapText="1" indent="2"/>
    </xf>
  </cellXfs>
  <cellStyles count="1">
    <cellStyle name="Normal" xfId="0" builtinId="0" hidden="0"/>
  </cellStyles>
  <dxfs count="3">
    <dxf>
      <font>
        <name val="Georgia"/>
        <b val="1"/>
        <color rgb="00FFFFFF"/>
        <sz val="12"/>
      </font>
      <fill>
        <patternFill patternType="solid">
          <fgColor rgb="00B91C1C"/>
        </patternFill>
      </fill>
    </dxf>
    <dxf>
      <font>
        <name val="Georgia"/>
        <b val="1"/>
        <color rgb="0012304E"/>
        <sz val="12"/>
      </font>
      <fill>
        <patternFill patternType="solid">
          <fgColor rgb="00C9A24B"/>
        </patternFill>
      </fill>
    </dxf>
    <dxf>
      <font>
        <name val="Georgia"/>
        <b val="1"/>
        <color rgb="0012304E"/>
        <sz val="12"/>
      </font>
      <fill>
        <patternFill patternType="solid">
          <fgColor rgb="00F6EF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9"/>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1031 Exchange Tracker</t>
        </is>
      </c>
    </row>
    <row r="5" ht="22" customHeight="1">
      <c r="A5" s="4" t="inlineStr">
        <is>
          <t>Two deadlines. Zero forgiveness. Don't miss them.</t>
        </is>
      </c>
    </row>
    <row r="6" ht="32" customHeight="1">
      <c r="A6" s="5">
        <f>IF('Settings'!B11="","→  Enter sale date in Settings to start the countdown.","→  ID deadline in "&amp;'Relinquished Property'!B16&amp;" days  ·  Closing deadline in "&amp;'Relinquished Property'!B17&amp;" days")</f>
        <v/>
      </c>
    </row>
    <row r="7" ht="22" customHeight="1">
      <c r="A7" s="6" t="inlineStr">
        <is>
          <t>ACQ-011 · v2.3 · BLANK</t>
        </is>
      </c>
    </row>
    <row r="8" ht="22" customHeight="1">
      <c r="A8" s="1" t="n"/>
      <c r="B8" s="1" t="n"/>
      <c r="C8" s="1" t="n"/>
      <c r="D8" s="1" t="n"/>
      <c r="E8" s="1" t="n"/>
      <c r="F8" s="1" t="n"/>
      <c r="G8" s="1" t="n"/>
      <c r="H8" s="1" t="n"/>
      <c r="I8" s="1" t="n"/>
      <c r="J8" s="1" t="n"/>
      <c r="K8" s="1" t="n"/>
      <c r="L8" s="1" t="n"/>
    </row>
    <row r="10" ht="20" customHeight="1">
      <c r="A10" s="7" t="inlineStr">
        <is>
          <t>45-DAY IDENTIFICATION</t>
        </is>
      </c>
      <c r="B10" s="8" t="n"/>
      <c r="C10" s="8" t="n"/>
      <c r="D10" s="8" t="n"/>
      <c r="E10" s="8" t="n"/>
      <c r="F10" s="9" t="n"/>
      <c r="G10" s="7" t="inlineStr">
        <is>
          <t>180-DAY CLOSING</t>
        </is>
      </c>
      <c r="H10" s="8" t="n"/>
      <c r="I10" s="8" t="n"/>
      <c r="J10" s="8" t="n"/>
      <c r="K10" s="8" t="n"/>
      <c r="L10" s="9" t="n"/>
    </row>
    <row r="11" ht="28" customHeight="1">
      <c r="A11" s="10">
        <f>'Relinquished Property'!B16</f>
        <v/>
      </c>
      <c r="B11" s="11" t="n"/>
      <c r="C11" s="11" t="n"/>
      <c r="D11" s="11" t="n"/>
      <c r="E11" s="11" t="n"/>
      <c r="F11" s="12" t="n"/>
      <c r="G11" s="10">
        <f>'Relinquished Property'!B17</f>
        <v/>
      </c>
      <c r="H11" s="11" t="n"/>
      <c r="I11" s="11" t="n"/>
      <c r="J11" s="11" t="n"/>
      <c r="K11" s="11" t="n"/>
      <c r="L11" s="12" t="n"/>
    </row>
    <row r="12" ht="28" customHeight="1">
      <c r="A12" s="13" t="n"/>
      <c r="B12" s="11" t="n"/>
      <c r="C12" s="11" t="n"/>
      <c r="D12" s="11" t="n"/>
      <c r="E12" s="11" t="n"/>
      <c r="F12" s="12" t="n"/>
      <c r="G12" s="13" t="n"/>
      <c r="H12" s="11" t="n"/>
      <c r="I12" s="11" t="n"/>
      <c r="J12" s="11" t="n"/>
      <c r="K12" s="11" t="n"/>
      <c r="L12" s="12" t="n"/>
    </row>
    <row r="13" ht="28" customHeight="1">
      <c r="A13" s="13" t="n"/>
      <c r="B13" s="11" t="n"/>
      <c r="C13" s="11" t="n"/>
      <c r="D13" s="11" t="n"/>
      <c r="E13" s="11" t="n"/>
      <c r="F13" s="12" t="n"/>
      <c r="G13" s="13" t="n"/>
      <c r="H13" s="11" t="n"/>
      <c r="I13" s="11" t="n"/>
      <c r="J13" s="11" t="n"/>
      <c r="K13" s="11" t="n"/>
      <c r="L13" s="12" t="n"/>
    </row>
    <row r="14" ht="18" customHeight="1">
      <c r="A14" s="14">
        <f>'Relinquished Property'!B14</f>
        <v/>
      </c>
      <c r="B14" s="11" t="n"/>
      <c r="C14" s="11" t="n"/>
      <c r="D14" s="11" t="n"/>
      <c r="E14" s="11" t="n"/>
      <c r="F14" s="12" t="n"/>
      <c r="G14" s="14">
        <f>'Relinquished Property'!B15</f>
        <v/>
      </c>
      <c r="H14" s="11" t="n"/>
      <c r="I14" s="11" t="n"/>
      <c r="J14" s="11" t="n"/>
      <c r="K14" s="11" t="n"/>
      <c r="L14" s="12" t="n"/>
    </row>
    <row r="15">
      <c r="A15" s="15" t="inlineStr">
        <is>
          <t>Identify replacement properties by this date</t>
        </is>
      </c>
      <c r="B15" s="16" t="n"/>
      <c r="C15" s="16" t="n"/>
      <c r="D15" s="16" t="n"/>
      <c r="E15" s="16" t="n"/>
      <c r="F15" s="17" t="n"/>
      <c r="G15" s="15" t="inlineStr">
        <is>
          <t>Close on replacement(s) by this date</t>
        </is>
      </c>
      <c r="H15" s="16" t="n"/>
      <c r="I15" s="16" t="n"/>
      <c r="J15" s="16" t="n"/>
      <c r="K15" s="16" t="n"/>
      <c r="L15" s="17" t="n"/>
    </row>
    <row r="17" ht="22" customHeight="1">
      <c r="A17" s="18" t="inlineStr">
        <is>
          <t>⚠  1031 EXCHANGE RULES ARE STRICT AND UNFORGIVING.
This workbook is recordkeeping support only. Your Qualified Intermediary (QI) and CPA execute the exchange — not this spreadsheet. The exchange is VOID without a QI in place before sale closing. Miss the 45-day ID or 180-day closing window by ONE DAY and the entire deferral fails — you owe full tax on the gain.</t>
        </is>
      </c>
    </row>
    <row r="18" ht="22" customHeight="1"/>
    <row r="19" ht="22" customHeight="1"/>
    <row r="21" ht="20" customHeight="1">
      <c r="A21" s="19" t="inlineStr">
        <is>
          <t>HOW TO USE</t>
        </is>
      </c>
    </row>
    <row r="22" ht="22" customHeight="1">
      <c r="A22" s="20" t="inlineStr">
        <is>
          <t>① Settings — enter sale date, QI info (REQUIRED), CPA contact.</t>
        </is>
      </c>
    </row>
    <row r="23" ht="22" customHeight="1">
      <c r="A23" s="20" t="inlineStr">
        <is>
          <t>② Relinquished Property — sale price, basis, depreciation -&gt; realized gain.</t>
        </is>
      </c>
    </row>
    <row r="24" ht="22" customHeight="1">
      <c r="A24" s="20" t="inlineStr">
        <is>
          <t>③ Identification — pick a rule (3-property / 200% / 95%), list candidates by Day 45.</t>
        </is>
      </c>
    </row>
    <row r="25" ht="22" customHeight="1">
      <c r="A25" s="20" t="inlineStr">
        <is>
          <t>④ Replacement + Closing — log each closing, boot received, deferred gain.</t>
        </is>
      </c>
    </row>
    <row r="26" ht="22" customHeight="1">
      <c r="A26" s="20" t="inlineStr">
        <is>
          <t>⑤ Carryover Basis — read the new property's depreciation basis for next year.</t>
        </is>
      </c>
    </row>
    <row r="27">
      <c r="A27" s="21" t="n"/>
      <c r="B27" s="21" t="n"/>
      <c r="C27" s="21" t="n"/>
      <c r="D27" s="21" t="n"/>
      <c r="E27" s="21" t="n"/>
      <c r="F27" s="21" t="n"/>
      <c r="G27" s="21" t="n"/>
      <c r="H27" s="21" t="n"/>
      <c r="I27" s="21" t="n"/>
      <c r="J27" s="21" t="n"/>
      <c r="K27" s="21" t="n"/>
      <c r="L27" s="21" t="n"/>
    </row>
    <row r="29" ht="22" customHeight="1">
      <c r="A29" s="22">
        <f>HYPERLINK("#'Relinquished Property'!A5", "→  GO TO RELINQUISHED PROPERTY  →")</f>
        <v/>
      </c>
      <c r="B29" s="23" t="n"/>
      <c r="C29" s="23" t="n"/>
      <c r="D29" s="23" t="n"/>
      <c r="E29" s="23" t="n"/>
      <c r="F29" s="23" t="n"/>
      <c r="G29" s="23" t="n"/>
      <c r="H29" s="23" t="n"/>
      <c r="I29" s="23" t="n"/>
      <c r="J29" s="23" t="n"/>
      <c r="K29" s="23" t="n"/>
      <c r="L29" s="23" t="n"/>
    </row>
    <row r="30" ht="22" customHeight="1">
      <c r="A30" s="23" t="n"/>
      <c r="B30" s="23" t="n"/>
      <c r="C30" s="23" t="n"/>
      <c r="D30" s="23" t="n"/>
      <c r="E30" s="23" t="n"/>
      <c r="F30" s="23" t="n"/>
      <c r="G30" s="23" t="n"/>
      <c r="H30" s="23" t="n"/>
      <c r="I30" s="23" t="n"/>
      <c r="J30" s="23" t="n"/>
      <c r="K30" s="23" t="n"/>
      <c r="L30" s="23" t="n"/>
    </row>
    <row r="31" ht="22" customHeight="1">
      <c r="A31" s="23" t="n"/>
      <c r="B31" s="23" t="n"/>
      <c r="C31" s="23" t="n"/>
      <c r="D31" s="23" t="n"/>
      <c r="E31" s="23" t="n"/>
      <c r="F31" s="23" t="n"/>
      <c r="G31" s="23" t="n"/>
      <c r="H31" s="23" t="n"/>
      <c r="I31" s="23" t="n"/>
      <c r="J31" s="23" t="n"/>
      <c r="K31" s="23" t="n"/>
      <c r="L31" s="23" t="n"/>
    </row>
    <row r="32" ht="22" customHeight="1">
      <c r="A32" s="23" t="n"/>
      <c r="B32" s="23" t="n"/>
      <c r="C32" s="23" t="n"/>
      <c r="D32" s="23" t="n"/>
      <c r="E32" s="23" t="n"/>
      <c r="F32" s="23" t="n"/>
      <c r="G32" s="23" t="n"/>
      <c r="H32" s="23" t="n"/>
      <c r="I32" s="23" t="n"/>
      <c r="J32" s="23" t="n"/>
      <c r="K32" s="23" t="n"/>
      <c r="L32" s="23" t="n"/>
    </row>
    <row r="34" ht="22" customHeight="1">
      <c r="A34" s="24">
        <f>HYPERLINK("#'Identification'!A1", "Identification")</f>
        <v/>
      </c>
      <c r="B34" s="25" t="n"/>
      <c r="C34" s="25" t="n"/>
      <c r="D34" s="24">
        <f>HYPERLINK("#'Replacement + Closing'!A1", "Replacement + Closing")</f>
        <v/>
      </c>
      <c r="E34" s="25" t="n"/>
      <c r="F34" s="25" t="n"/>
      <c r="G34" s="24">
        <f>HYPERLINK("#'Carryover Basis'!A1", "Carryover Basis")</f>
        <v/>
      </c>
      <c r="H34" s="25" t="n"/>
      <c r="I34" s="25" t="n"/>
      <c r="J34" s="26">
        <f>HYPERLINK("#'Settings'!A1", "Settings")</f>
        <v/>
      </c>
      <c r="K34" s="27" t="n"/>
      <c r="L34" s="27" t="n"/>
    </row>
    <row r="35" ht="22" customHeight="1">
      <c r="A35" s="25" t="n"/>
      <c r="B35" s="25" t="n"/>
      <c r="C35" s="25" t="n"/>
      <c r="D35" s="25" t="n"/>
      <c r="E35" s="25" t="n"/>
      <c r="F35" s="25" t="n"/>
      <c r="G35" s="25" t="n"/>
      <c r="H35" s="25" t="n"/>
      <c r="I35" s="25" t="n"/>
      <c r="J35" s="27" t="n"/>
      <c r="K35" s="27" t="n"/>
      <c r="L35" s="27" t="n"/>
    </row>
    <row r="37">
      <c r="A37" s="28" t="n"/>
      <c r="B37" s="28" t="n"/>
      <c r="C37" s="28" t="n"/>
      <c r="D37" s="28" t="n"/>
      <c r="E37" s="28" t="n"/>
      <c r="F37" s="28" t="n"/>
      <c r="G37" s="28" t="n"/>
      <c r="H37" s="28" t="n"/>
      <c r="I37" s="28" t="n"/>
      <c r="J37" s="28" t="n"/>
      <c r="K37" s="28" t="n"/>
      <c r="L37" s="28" t="n"/>
    </row>
    <row r="38" ht="18" customHeight="1">
      <c r="A38" s="29" t="inlineStr">
        <is>
          <t>Questions? hello@thestrledger.com</t>
        </is>
      </c>
    </row>
    <row r="39" ht="18" customHeight="1">
      <c r="A39" s="30" t="inlineStr">
        <is>
          <t>ACQ-011 · v2.3 · Free updates forever</t>
        </is>
      </c>
    </row>
  </sheetData>
  <mergeCells count="27">
    <mergeCell ref="A11:F13"/>
    <mergeCell ref="A7:L7"/>
    <mergeCell ref="A25:L25"/>
    <mergeCell ref="A29:L32"/>
    <mergeCell ref="G10:L10"/>
    <mergeCell ref="A34:C35"/>
    <mergeCell ref="A21:L21"/>
    <mergeCell ref="A26:L26"/>
    <mergeCell ref="A2:F2"/>
    <mergeCell ref="G15:L15"/>
    <mergeCell ref="D34:F35"/>
    <mergeCell ref="A14:F14"/>
    <mergeCell ref="G14:L14"/>
    <mergeCell ref="A5:L5"/>
    <mergeCell ref="A23:L23"/>
    <mergeCell ref="A22:L22"/>
    <mergeCell ref="A17:L19"/>
    <mergeCell ref="J34:L35"/>
    <mergeCell ref="A4:L4"/>
    <mergeCell ref="A38:L38"/>
    <mergeCell ref="A10:F10"/>
    <mergeCell ref="G34:I35"/>
    <mergeCell ref="A39:L39"/>
    <mergeCell ref="A15:F15"/>
    <mergeCell ref="A24:L24"/>
    <mergeCell ref="A6:L6"/>
    <mergeCell ref="G11:L13"/>
  </mergeCells>
  <conditionalFormatting sqref="A11:F13">
    <cfRule type="cellIs" priority="1" operator="lessThan" dxfId="0">
      <formula>7</formula>
    </cfRule>
    <cfRule type="cellIs" priority="2" operator="between" dxfId="1">
      <formula>7</formula>
      <formula>21</formula>
    </cfRule>
    <cfRule type="cellIs" priority="3" operator="greaterThan" dxfId="2">
      <formula>21</formula>
    </cfRule>
  </conditionalFormatting>
  <conditionalFormatting sqref="G11:L13">
    <cfRule type="cellIs" priority="4" operator="lessThan" dxfId="0">
      <formula>7</formula>
    </cfRule>
    <cfRule type="cellIs" priority="5" operator="between" dxfId="1">
      <formula>7</formula>
      <formula>21</formula>
    </cfRule>
    <cfRule type="cellIs" priority="6" operator="greaterThan" dxfId="2">
      <formula>21</formula>
    </cfRule>
  </conditionalFormatting>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fitToPage="1"/>
  </sheetPr>
  <dimension ref="A1:L26"/>
  <sheetViews>
    <sheetView workbookViewId="0">
      <selection activeCell="A1" sqref="A1"/>
    </sheetView>
  </sheetViews>
  <sheetFormatPr baseColWidth="8" defaultRowHeight="15"/>
  <cols>
    <col width="38" customWidth="1" min="1" max="1"/>
    <col width="2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HYPERLINK("#'Start'!A1", "← BACK")</f>
        <v/>
      </c>
      <c r="B2" s="23" t="n"/>
      <c r="C2" s="23" t="n"/>
      <c r="D2" s="31" t="inlineStr">
        <is>
          <t>RELINQUISHED PROPERTY</t>
        </is>
      </c>
      <c r="J2" s="26">
        <f>HYPERLINK("#'Identification'!A1", "NEXT →")</f>
        <v/>
      </c>
      <c r="K2" s="27" t="n"/>
      <c r="L2" s="27" t="n"/>
    </row>
    <row r="3" ht="6" customHeight="1">
      <c r="A3" s="1" t="n"/>
      <c r="B3" s="1" t="n"/>
      <c r="C3" s="1" t="n"/>
      <c r="D3" s="1" t="n"/>
      <c r="E3" s="1" t="n"/>
      <c r="F3" s="1" t="n"/>
      <c r="G3" s="1" t="n"/>
      <c r="H3" s="1" t="n"/>
      <c r="I3" s="1" t="n"/>
      <c r="J3" s="1" t="n"/>
      <c r="K3" s="1" t="n"/>
      <c r="L3" s="1" t="n"/>
    </row>
    <row r="4" ht="18" customHeight="1">
      <c r="A4" s="32" t="inlineStr">
        <is>
          <t>Sale of the property you're exchanging out of. Sale date drives both deadlines.</t>
        </is>
      </c>
    </row>
    <row r="5" ht="20" customHeight="1">
      <c r="A5" s="33" t="inlineStr">
        <is>
          <t>PROPERTY + SALE</t>
        </is>
      </c>
    </row>
    <row r="6" ht="18" customHeight="1">
      <c r="A6" s="34" t="inlineStr">
        <is>
          <t>Property name:</t>
        </is>
      </c>
      <c r="B6" s="35" t="n"/>
    </row>
    <row r="7" ht="18" customHeight="1">
      <c r="A7" s="34" t="inlineStr">
        <is>
          <t>Address:</t>
        </is>
      </c>
      <c r="B7" s="35" t="n"/>
    </row>
    <row r="8" ht="18" customHeight="1">
      <c r="A8" s="34" t="inlineStr">
        <is>
          <t>Sale date:</t>
        </is>
      </c>
      <c r="B8" s="36">
        <f>'Settings'!B11</f>
        <v/>
      </c>
    </row>
    <row r="9" ht="18" customHeight="1">
      <c r="A9" s="34" t="inlineStr">
        <is>
          <t>Sale price:</t>
        </is>
      </c>
      <c r="B9" s="37" t="n"/>
    </row>
    <row r="10" ht="18" customHeight="1">
      <c r="A10" s="34" t="inlineStr">
        <is>
          <t>Selling expenses (commissions, closing):</t>
        </is>
      </c>
      <c r="B10" s="37" t="n"/>
    </row>
    <row r="11" ht="18" customHeight="1">
      <c r="A11" s="34" t="inlineStr">
        <is>
          <t>Net sale proceeds:</t>
        </is>
      </c>
      <c r="B11" s="38">
        <f>B9-B10</f>
        <v/>
      </c>
    </row>
    <row r="12" ht="8" customHeight="1"/>
    <row r="13" ht="18" customHeight="1">
      <c r="A13" s="34" t="inlineStr">
        <is>
          <t>Original cost basis:</t>
        </is>
      </c>
      <c r="B13" s="37" t="n"/>
    </row>
    <row r="14" ht="18" customHeight="1">
      <c r="A14" s="34" t="inlineStr">
        <is>
          <t>45-day ID deadline:</t>
        </is>
      </c>
      <c r="B14" s="36">
        <f>B8+45</f>
        <v/>
      </c>
    </row>
    <row r="15" ht="18" customHeight="1">
      <c r="A15" s="34" t="inlineStr">
        <is>
          <t>180-day closing deadline:</t>
        </is>
      </c>
      <c r="B15" s="36">
        <f>B8+180</f>
        <v/>
      </c>
    </row>
    <row r="16" ht="22" customHeight="1">
      <c r="A16" s="34" t="inlineStr">
        <is>
          <t>Days remaining — ID deadline:</t>
        </is>
      </c>
      <c r="B16" s="39">
        <f>B14-TODAY()</f>
        <v/>
      </c>
    </row>
    <row r="17" ht="22" customHeight="1">
      <c r="A17" s="34" t="inlineStr">
        <is>
          <t>Days remaining — closing deadline:</t>
        </is>
      </c>
      <c r="B17" s="39">
        <f>B15-TODAY()</f>
        <v/>
      </c>
    </row>
    <row r="18" ht="8" customHeight="1"/>
    <row r="19" ht="20" customHeight="1">
      <c r="A19" s="33" t="inlineStr">
        <is>
          <t>BASIS + REALIZED GAIN</t>
        </is>
      </c>
    </row>
    <row r="20" ht="18" customHeight="1">
      <c r="A20" s="34" t="inlineStr">
        <is>
          <t>Accumulated depreciation:</t>
        </is>
      </c>
      <c r="B20" s="37" t="n"/>
    </row>
    <row r="21" ht="18" customHeight="1">
      <c r="A21" s="34" t="inlineStr">
        <is>
          <t>Adjusted basis:</t>
        </is>
      </c>
      <c r="B21" s="38">
        <f>B13-B20</f>
        <v/>
      </c>
    </row>
    <row r="22" ht="18" customHeight="1">
      <c r="A22" s="34" t="inlineStr">
        <is>
          <t>Realized gain (sale proceeds − adjusted basis):</t>
        </is>
      </c>
      <c r="B22" s="40">
        <f>B11-B21</f>
        <v/>
      </c>
    </row>
    <row r="23" ht="18" customHeight="1">
      <c r="A23" s="34" t="inlineStr">
        <is>
          <t>Depreciation recapture portion (taxed up to 25%):</t>
        </is>
      </c>
      <c r="B23" s="38">
        <f>MIN(B20,B22)</f>
        <v/>
      </c>
    </row>
    <row r="24" ht="18" customHeight="1">
      <c r="A24" s="34" t="inlineStr">
        <is>
          <t>Capital gain portion (taxed up to 20%+NIIT):</t>
        </is>
      </c>
      <c r="B24" s="38">
        <f>MAX(B22-B23,0)</f>
        <v/>
      </c>
    </row>
    <row r="25" ht="8" customHeight="1"/>
    <row r="26" ht="32" customHeight="1">
      <c r="A26" s="41" t="inlineStr">
        <is>
          <t>ⓘ  In a successful 1031 exchange, this realized gain is DEFERRED — you don't pay tax now. But the gain still exists; it carries into the new property's basis. The IRS gets paid eventually.</t>
        </is>
      </c>
    </row>
  </sheetData>
  <mergeCells count="7">
    <mergeCell ref="A26:L26"/>
    <mergeCell ref="J2:L2"/>
    <mergeCell ref="D2:I2"/>
    <mergeCell ref="A19:L19"/>
    <mergeCell ref="A5:L5"/>
    <mergeCell ref="A2:C2"/>
    <mergeCell ref="A4:L4"/>
  </mergeCells>
  <conditionalFormatting sqref="B16:B17">
    <cfRule type="cellIs" priority="1" operator="lessThan" dxfId="0">
      <formula>7</formula>
    </cfRule>
    <cfRule type="cellIs" priority="2" operator="between" dxfId="1">
      <formula>7</formula>
      <formula>21</formula>
    </cfRule>
    <cfRule type="cellIs" priority="3" operator="greaterThan" dxfId="2">
      <formula>21</formula>
    </cfRule>
  </conditionalFormatting>
  <pageMargins left="0.5" right="0.5" top="0.5" bottom="0.5" header="0.5" footer="0.5"/>
  <pageSetup orientation="portrait" paperSize="1" fitToHeight="1" fitToWidth="1"/>
</worksheet>
</file>

<file path=xl/worksheets/sheet3.xml><?xml version="1.0" encoding="utf-8"?>
<worksheet xmlns="http://schemas.openxmlformats.org/spreadsheetml/2006/main">
  <sheetPr>
    <tabColor rgb="00F6EFE2"/>
    <outlinePr summaryBelow="1" summaryRight="1"/>
    <pageSetUpPr fitToPage="1"/>
  </sheetPr>
  <dimension ref="A1:L27"/>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32" customWidth="1" min="3" max="3"/>
    <col width="16" customWidth="1" min="4" max="4"/>
    <col width="18"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HYPERLINK("#'Relinquished Property'!A1", "← BACK")</f>
        <v/>
      </c>
      <c r="B2" s="23" t="n"/>
      <c r="C2" s="23" t="n"/>
      <c r="D2" s="31" t="inlineStr">
        <is>
          <t>IDENTIFICATION</t>
        </is>
      </c>
      <c r="J2" s="26">
        <f>HYPERLINK("#'Replacement + Closing'!A1", "NEXT →")</f>
        <v/>
      </c>
      <c r="K2" s="27" t="n"/>
      <c r="L2" s="27" t="n"/>
    </row>
    <row r="3" ht="6" customHeight="1">
      <c r="A3" s="1" t="n"/>
      <c r="B3" s="1" t="n"/>
      <c r="C3" s="1" t="n"/>
      <c r="D3" s="1" t="n"/>
      <c r="E3" s="1" t="n"/>
      <c r="F3" s="1" t="n"/>
      <c r="G3" s="1" t="n"/>
      <c r="H3" s="1" t="n"/>
      <c r="I3" s="1" t="n"/>
      <c r="J3" s="1" t="n"/>
      <c r="K3" s="1" t="n"/>
      <c r="L3" s="1" t="n"/>
    </row>
    <row r="4" ht="18" customHeight="1">
      <c r="A4" s="32" t="inlineStr">
        <is>
          <t>List candidate replacements by Day 45. Pick ONE rule: 3-property, 200%, or 95%.</t>
        </is>
      </c>
    </row>
    <row r="5" ht="22" customHeight="1">
      <c r="A5" s="34" t="inlineStr">
        <is>
          <t>Rule:</t>
        </is>
      </c>
      <c r="B5" s="42" t="n"/>
      <c r="C5" s="43">
        <f>IF(B5="3-property rule","Up to 3 properties; value doesn't matter.",IF(B5="200% rule","Any number; total FMV ≤ 200% of relinquished sale price.",IF(B5="95% rule","Any number; must close on ≥95% of identified value.","")))</f>
        <v/>
      </c>
    </row>
    <row r="6" ht="8" customHeight="1"/>
    <row r="7" ht="20" customHeight="1">
      <c r="A7" s="44" t="inlineStr">
        <is>
          <t>#</t>
        </is>
      </c>
      <c r="B7" s="44" t="inlineStr">
        <is>
          <t>Property name</t>
        </is>
      </c>
      <c r="C7" s="44" t="inlineStr">
        <is>
          <t>Address</t>
        </is>
      </c>
      <c r="D7" s="44" t="inlineStr">
        <is>
          <t>Asking price</t>
        </is>
      </c>
      <c r="E7" s="44" t="inlineStr">
        <is>
          <t>Status</t>
        </is>
      </c>
    </row>
    <row r="8" ht="18" customHeight="1">
      <c r="A8" s="45" t="n">
        <v>1</v>
      </c>
      <c r="B8" s="35" t="n"/>
      <c r="C8" s="35" t="n"/>
      <c r="D8" s="37" t="n"/>
      <c r="E8" s="46" t="n"/>
    </row>
    <row r="9" ht="18" customHeight="1">
      <c r="A9" s="45" t="n">
        <v>2</v>
      </c>
      <c r="B9" s="35" t="n"/>
      <c r="C9" s="35" t="n"/>
      <c r="D9" s="37" t="n"/>
      <c r="E9" s="46" t="n"/>
    </row>
    <row r="10" ht="18" customHeight="1">
      <c r="A10" s="45" t="n">
        <v>3</v>
      </c>
      <c r="B10" s="35" t="n"/>
      <c r="C10" s="35" t="n"/>
      <c r="D10" s="37" t="n"/>
      <c r="E10" s="46" t="n"/>
    </row>
    <row r="11" ht="18" customHeight="1">
      <c r="A11" s="45" t="n">
        <v>4</v>
      </c>
      <c r="B11" s="35" t="n"/>
      <c r="C11" s="35" t="n"/>
      <c r="D11" s="37" t="n"/>
      <c r="E11" s="46" t="n"/>
    </row>
    <row r="12" ht="18" customHeight="1">
      <c r="A12" s="45" t="n">
        <v>5</v>
      </c>
      <c r="B12" s="35" t="n"/>
      <c r="C12" s="35" t="n"/>
      <c r="D12" s="37" t="n"/>
      <c r="E12" s="46" t="n"/>
    </row>
    <row r="13" ht="18" customHeight="1">
      <c r="A13" s="45" t="n">
        <v>6</v>
      </c>
      <c r="B13" s="35" t="n"/>
      <c r="C13" s="35" t="n"/>
      <c r="D13" s="37" t="n"/>
      <c r="E13" s="46" t="n"/>
    </row>
    <row r="14" ht="18" customHeight="1">
      <c r="A14" s="45" t="n">
        <v>7</v>
      </c>
      <c r="B14" s="35" t="n"/>
      <c r="C14" s="35" t="n"/>
      <c r="D14" s="37" t="n"/>
      <c r="E14" s="46" t="n"/>
    </row>
    <row r="15" ht="18" customHeight="1">
      <c r="A15" s="45" t="n">
        <v>8</v>
      </c>
      <c r="B15" s="35" t="n"/>
      <c r="C15" s="35" t="n"/>
      <c r="D15" s="37" t="n"/>
      <c r="E15" s="46" t="n"/>
    </row>
    <row r="16" ht="8" customHeight="1"/>
    <row r="17" ht="20" customHeight="1">
      <c r="A17" s="33" t="inlineStr">
        <is>
          <t>AGGREGATES + RULE CHECK</t>
        </is>
      </c>
    </row>
    <row r="18" ht="18" customHeight="1">
      <c r="A18" s="34" t="inlineStr">
        <is>
          <t>Count of identified properties:</t>
        </is>
      </c>
      <c r="B18" s="47">
        <f>COUNTA(B8:B15)</f>
        <v/>
      </c>
    </row>
    <row r="19" ht="18" customHeight="1">
      <c r="A19" s="34" t="inlineStr">
        <is>
          <t>Aggregate asking value:</t>
        </is>
      </c>
      <c r="B19" s="38">
        <f>SUM(D8:D15)</f>
        <v/>
      </c>
    </row>
    <row r="20" ht="18" customHeight="1">
      <c r="A20" s="34" t="inlineStr">
        <is>
          <t>Closed value (status=Closed):</t>
        </is>
      </c>
      <c r="B20" s="38">
        <f>SUMIFS(D8:D15,E8:E15,"Closed")</f>
        <v/>
      </c>
    </row>
    <row r="21" ht="18" customHeight="1">
      <c r="A21" s="34" t="inlineStr">
        <is>
          <t>Relinquished sale price (reference):</t>
        </is>
      </c>
      <c r="B21" s="38">
        <f>'Relinquished Property'!B9</f>
        <v/>
      </c>
    </row>
    <row r="22" ht="18" customHeight="1">
      <c r="A22" s="34" t="inlineStr">
        <is>
          <t>200% cap (2 × relinquished sale price):</t>
        </is>
      </c>
      <c r="B22" s="38">
        <f>B21*2</f>
        <v/>
      </c>
    </row>
    <row r="23" ht="18" customHeight="1">
      <c r="A23" s="34" t="inlineStr">
        <is>
          <t>95% threshold (of aggregate identified):</t>
        </is>
      </c>
      <c r="B23" s="38">
        <f>B19*0.95</f>
        <v/>
      </c>
    </row>
    <row r="24" ht="8" customHeight="1"/>
    <row r="25" ht="24" customHeight="1">
      <c r="A25" s="34" t="inlineStr">
        <is>
          <t>Rule compliance:</t>
        </is>
      </c>
      <c r="B25" s="48">
        <f>IF(B5="3-property rule",IF(B18&lt;=3,"✓ OK — within 3-property limit","✗ OVER — reduce to 3 or switch rule"),IF(B5="200% rule",IF(B19&lt;=B22,"✓ OK — within 200% cap","✗ OVER — aggregate exceeds 200% cap"),IF(B5="95% rule",IF(B20&gt;=B23,"✓ OK — closed value meets 95% threshold","✗ PENDING — must close on ≥95% of identified"),"Pick a rule above")))</f>
        <v/>
      </c>
    </row>
    <row r="26" ht="8" customHeight="1"/>
    <row r="27" ht="32" customHeight="1">
      <c r="A27" s="41" t="inlineStr">
        <is>
          <t>ⓘ  Identification must be in writing, signed, and delivered to your QI by Day 45. Verbal identification doesn't count. After Day 45, you can ONLY close on identified properties — no swaps, no substitutions.</t>
        </is>
      </c>
    </row>
  </sheetData>
  <mergeCells count="7">
    <mergeCell ref="J2:L2"/>
    <mergeCell ref="D2:I2"/>
    <mergeCell ref="C5:E5"/>
    <mergeCell ref="A17:L17"/>
    <mergeCell ref="A27:L27"/>
    <mergeCell ref="A2:C2"/>
    <mergeCell ref="A4:L4"/>
  </mergeCells>
  <dataValidations count="2">
    <dataValidation sqref="B5" showDropDown="0" showInputMessage="0" showErrorMessage="0" allowBlank="1" type="list">
      <formula1>"3-property rule,200% rule,95% rule"</formula1>
    </dataValidation>
    <dataValidation sqref="E8:E15" showDropDown="0" showInputMessage="0" showErrorMessage="0" allowBlank="1" type="list">
      <formula1>"Identified,Under contract,Closed,Backup,Withdrawn"</formula1>
    </dataValidation>
  </dataValidations>
  <pageMargins left="0.75" right="0.75" top="1" bottom="1" header="0.5" footer="0.5"/>
  <pageSetup orientation="landscape" paperSize="1" fitToHeight="1" fitToWidth="1"/>
</worksheet>
</file>

<file path=xl/worksheets/sheet4.xml><?xml version="1.0" encoding="utf-8"?>
<worksheet xmlns="http://schemas.openxmlformats.org/spreadsheetml/2006/main">
  <sheetPr>
    <tabColor rgb="00F6EFE2"/>
    <outlinePr summaryBelow="1" summaryRight="1"/>
    <pageSetUpPr fitToPage="1"/>
  </sheetPr>
  <dimension ref="A1:L30"/>
  <sheetViews>
    <sheetView workbookViewId="0">
      <selection activeCell="A1" sqref="A1"/>
    </sheetView>
  </sheetViews>
  <sheetFormatPr baseColWidth="8" defaultRowHeight="15"/>
  <cols>
    <col width="38" customWidth="1" min="1" max="1"/>
    <col width="2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HYPERLINK("#'Identification'!A1", "← BACK")</f>
        <v/>
      </c>
      <c r="B2" s="23" t="n"/>
      <c r="C2" s="23" t="n"/>
      <c r="D2" s="31" t="inlineStr">
        <is>
          <t>REPLACEMENT + CLOSING</t>
        </is>
      </c>
      <c r="J2" s="26">
        <f>HYPERLINK("#'Carryover Basis'!A1", "NEXT →")</f>
        <v/>
      </c>
      <c r="K2" s="27" t="n"/>
      <c r="L2" s="27" t="n"/>
    </row>
    <row r="3" ht="6" customHeight="1">
      <c r="A3" s="1" t="n"/>
      <c r="B3" s="1" t="n"/>
      <c r="C3" s="1" t="n"/>
      <c r="D3" s="1" t="n"/>
      <c r="E3" s="1" t="n"/>
      <c r="F3" s="1" t="n"/>
      <c r="G3" s="1" t="n"/>
      <c r="H3" s="1" t="n"/>
      <c r="I3" s="1" t="n"/>
      <c r="J3" s="1" t="n"/>
      <c r="K3" s="1" t="n"/>
      <c r="L3" s="1" t="n"/>
    </row>
    <row r="4" ht="18" customHeight="1">
      <c r="A4" s="32" t="inlineStr">
        <is>
          <t>Closings on selected replacement(s). Boot received = recognized gain; the rest is deferred.</t>
        </is>
      </c>
    </row>
    <row r="5" ht="20" customHeight="1">
      <c r="A5" s="33" t="inlineStr">
        <is>
          <t>REPLACEMENT PROPERTY (combined if multiple)</t>
        </is>
      </c>
    </row>
    <row r="6" ht="18" customHeight="1">
      <c r="A6" s="34" t="inlineStr">
        <is>
          <t>Selected replacement(s):</t>
        </is>
      </c>
      <c r="B6" s="35" t="n"/>
    </row>
    <row r="7" ht="18" customHeight="1">
      <c r="A7" s="34" t="inlineStr">
        <is>
          <t>Total purchase price:</t>
        </is>
      </c>
      <c r="B7" s="37" t="n"/>
    </row>
    <row r="8" ht="18" customHeight="1">
      <c r="A8" s="34" t="inlineStr">
        <is>
          <t>Closing date:</t>
        </is>
      </c>
      <c r="B8" s="49" t="n"/>
    </row>
    <row r="9" ht="18" customHeight="1">
      <c r="A9" s="34" t="inlineStr">
        <is>
          <t>Closing costs (paid by buyer):</t>
        </is>
      </c>
      <c r="B9" s="37" t="n"/>
    </row>
    <row r="10" ht="18" customHeight="1">
      <c r="A10" s="34" t="inlineStr">
        <is>
          <t>Additional cash paid in (boot paid):</t>
        </is>
      </c>
      <c r="B10" s="37" t="n"/>
    </row>
    <row r="11" ht="18" customHeight="1">
      <c r="A11" s="34" t="inlineStr">
        <is>
          <t>Mortgage debt assumed on replacement:</t>
        </is>
      </c>
      <c r="B11" s="37" t="n"/>
    </row>
    <row r="12" ht="18" customHeight="1">
      <c r="A12" s="34" t="inlineStr">
        <is>
          <t>Mortgage debt relieved on relinquished:</t>
        </is>
      </c>
      <c r="B12" s="37" t="n"/>
    </row>
    <row r="13" ht="8" customHeight="1"/>
    <row r="14" ht="20" customHeight="1">
      <c r="A14" s="33" t="inlineStr">
        <is>
          <t>BOOT + DEFERRED GAIN</t>
        </is>
      </c>
    </row>
    <row r="15" ht="18" customHeight="1">
      <c r="A15" s="34" t="inlineStr">
        <is>
          <t>Net debt relief (relinquished mortgage − assumed mortgage):</t>
        </is>
      </c>
      <c r="B15" s="38">
        <f>MAX(B12-B11,0)</f>
        <v/>
      </c>
    </row>
    <row r="16" ht="18" customHeight="1">
      <c r="A16" s="34" t="inlineStr">
        <is>
          <t>Cash boot received (proceeds not reinvested):</t>
        </is>
      </c>
      <c r="B16" s="38">
        <f>MAX('Relinquished Property'!B11-B7,0)</f>
        <v/>
      </c>
    </row>
    <row r="17" ht="18" customHeight="1">
      <c r="A17" s="34" t="inlineStr">
        <is>
          <t>Total boot received (cash + debt relief):</t>
        </is>
      </c>
      <c r="B17" s="38">
        <f>B15+B16</f>
        <v/>
      </c>
    </row>
    <row r="18" ht="18" customHeight="1">
      <c r="A18" s="34" t="inlineStr">
        <is>
          <t>Realized gain (from Relinquished tab):</t>
        </is>
      </c>
      <c r="B18" s="38">
        <f>'Relinquished Property'!B22</f>
        <v/>
      </c>
    </row>
    <row r="19" ht="18" customHeight="1">
      <c r="A19" s="34" t="inlineStr">
        <is>
          <t>Recognized gain (= total boot, capped at realized):</t>
        </is>
      </c>
      <c r="B19" s="50">
        <f>MIN(B17,B18)</f>
        <v/>
      </c>
    </row>
    <row r="20" ht="18" customHeight="1">
      <c r="A20" s="34" t="inlineStr">
        <is>
          <t>Recapture portion of recognized gain (taxed first, up to 25%):</t>
        </is>
      </c>
      <c r="B20" s="38">
        <f>MIN(B19,'Relinquished Property'!B23)</f>
        <v/>
      </c>
    </row>
    <row r="21" ht="18" customHeight="1">
      <c r="A21" s="34" t="inlineStr">
        <is>
          <t>Capital-gain portion of recognized gain (up to 20%+NIIT):</t>
        </is>
      </c>
      <c r="B21" s="38">
        <f>MAX(B19-B20,0)</f>
        <v/>
      </c>
    </row>
    <row r="22" ht="18" customHeight="1">
      <c r="A22" s="34" t="inlineStr">
        <is>
          <t>DEFERRED GAIN (rolls into new basis):</t>
        </is>
      </c>
      <c r="B22" s="51">
        <f>B18-B19</f>
        <v/>
      </c>
    </row>
    <row r="23" ht="8" customHeight="1"/>
    <row r="24" ht="20" customHeight="1">
      <c r="A24" s="33" t="inlineStr">
        <is>
          <t>EST. TAX ON RECOGNIZED GAIN (informational)</t>
        </is>
      </c>
    </row>
    <row r="25" ht="18" customHeight="1">
      <c r="A25" s="34" t="inlineStr">
        <is>
          <t>Recapture tax (25% × recapture portion):</t>
        </is>
      </c>
      <c r="B25" s="38">
        <f>ROUND(B20*0.25,0)</f>
        <v/>
      </c>
    </row>
    <row r="26" ht="18" customHeight="1">
      <c r="A26" s="34" t="inlineStr">
        <is>
          <t>Capital gain tax (20% × capital gain portion):</t>
        </is>
      </c>
      <c r="B26" s="38">
        <f>ROUND(B21*0.20,0)</f>
        <v/>
      </c>
    </row>
    <row r="27" ht="18" customHeight="1">
      <c r="A27" s="34" t="inlineStr">
        <is>
          <t>NIIT (3.8% × capital gain portion, if AGI threshold):</t>
        </is>
      </c>
      <c r="B27" s="38">
        <f>ROUND(B21*0.038,0)</f>
        <v/>
      </c>
    </row>
    <row r="28" ht="18" customHeight="1">
      <c r="A28" s="34" t="inlineStr">
        <is>
          <t>Total est. federal tax due on boot:</t>
        </is>
      </c>
      <c r="B28" s="50">
        <f>B25+B26+B27</f>
        <v/>
      </c>
    </row>
    <row r="29" ht="8" customHeight="1"/>
    <row r="30" ht="36" customHeight="1">
      <c r="A30" s="41" t="inlineStr">
        <is>
          <t>ⓘ  Boot = anything you receive that isn't like-kind real estate. Cash, debt relief, personal property. Recapture is taxed FIRST (up to 25%), then capital gain (up to 20% + 3.8% NIIT). Your CPA confirms the tax — these are estimates only.</t>
        </is>
      </c>
    </row>
  </sheetData>
  <mergeCells count="8">
    <mergeCell ref="A24:L24"/>
    <mergeCell ref="A30:L30"/>
    <mergeCell ref="J2:L2"/>
    <mergeCell ref="D2:I2"/>
    <mergeCell ref="A5:L5"/>
    <mergeCell ref="A14:L14"/>
    <mergeCell ref="A2:C2"/>
    <mergeCell ref="A4:L4"/>
  </mergeCells>
  <pageMargins left="0.5" right="0.5" top="0.5" bottom="0.5" header="0.5" footer="0.5"/>
  <pageSetup orientation="portrait" paperSize="1" fitToHeight="1" fitToWidth="1"/>
</worksheet>
</file>

<file path=xl/worksheets/sheet5.xml><?xml version="1.0" encoding="utf-8"?>
<worksheet xmlns="http://schemas.openxmlformats.org/spreadsheetml/2006/main">
  <sheetPr>
    <tabColor rgb="00F6EFE2"/>
    <outlinePr summaryBelow="1" summaryRight="1"/>
    <pageSetUpPr fitToPage="1"/>
  </sheetPr>
  <dimension ref="A1:L26"/>
  <sheetViews>
    <sheetView workbookViewId="0">
      <selection activeCell="A1" sqref="A1"/>
    </sheetView>
  </sheetViews>
  <sheetFormatPr baseColWidth="8" defaultRowHeight="15"/>
  <cols>
    <col width="44" customWidth="1" min="1" max="1"/>
    <col width="22"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HYPERLINK("#'Replacement + Closing'!A1", "← BACK")</f>
        <v/>
      </c>
      <c r="B2" s="23" t="n"/>
      <c r="C2" s="23" t="n"/>
      <c r="D2" s="31" t="inlineStr">
        <is>
          <t>CARRYOVER BASIS</t>
        </is>
      </c>
      <c r="J2" s="26">
        <f>HYPERLINK("#'Settings'!A1", "NEXT →")</f>
        <v/>
      </c>
      <c r="K2" s="27" t="n"/>
      <c r="L2" s="27" t="n"/>
    </row>
    <row r="3" ht="6" customHeight="1">
      <c r="A3" s="1" t="n"/>
      <c r="B3" s="1" t="n"/>
      <c r="C3" s="1" t="n"/>
      <c r="D3" s="1" t="n"/>
      <c r="E3" s="1" t="n"/>
      <c r="F3" s="1" t="n"/>
      <c r="G3" s="1" t="n"/>
      <c r="H3" s="1" t="n"/>
      <c r="I3" s="1" t="n"/>
      <c r="J3" s="1" t="n"/>
      <c r="K3" s="1" t="n"/>
      <c r="L3" s="1" t="n"/>
    </row>
    <row r="4" ht="18" customHeight="1">
      <c r="A4" s="32" t="inlineStr">
        <is>
          <t>New property's tax basis carries from the relinquished property — not its purchase price.</t>
        </is>
      </c>
    </row>
    <row r="5" ht="20" customHeight="1">
      <c r="A5" s="33" t="inlineStr">
        <is>
          <t>CARRYOVER BASIS BUILD-UP</t>
        </is>
      </c>
    </row>
    <row r="6" ht="20" customHeight="1">
      <c r="A6" s="34" t="inlineStr">
        <is>
          <t>Relinquished adjusted basis:</t>
        </is>
      </c>
      <c r="B6" s="38">
        <f>'Relinquished Property'!B21</f>
        <v/>
      </c>
    </row>
    <row r="7" ht="20" customHeight="1">
      <c r="A7" s="34" t="inlineStr">
        <is>
          <t>+ Boot paid (additional cash in):</t>
        </is>
      </c>
      <c r="B7" s="38">
        <f>'Replacement + Closing'!B10</f>
        <v/>
      </c>
    </row>
    <row r="8" ht="20" customHeight="1">
      <c r="A8" s="34" t="inlineStr">
        <is>
          <t>+ Closing costs added to basis:</t>
        </is>
      </c>
      <c r="B8" s="38">
        <f>'Replacement + Closing'!B9</f>
        <v/>
      </c>
    </row>
    <row r="9" ht="20" customHeight="1">
      <c r="A9" s="34" t="inlineStr">
        <is>
          <t>+ Net new debt (assumed − relieved):</t>
        </is>
      </c>
      <c r="B9" s="38">
        <f>MAX('Replacement + Closing'!B11-'Replacement + Closing'!B12,0)</f>
        <v/>
      </c>
    </row>
    <row r="10" ht="20" customHeight="1">
      <c r="A10" s="34" t="inlineStr">
        <is>
          <t>− Boot received (cash + debt relief):</t>
        </is>
      </c>
      <c r="B10" s="38">
        <f>'Replacement + Closing'!B17</f>
        <v/>
      </c>
    </row>
    <row r="11" ht="20" customHeight="1">
      <c r="A11" s="34" t="inlineStr">
        <is>
          <t>+ Recognized gain (boot recognized now):</t>
        </is>
      </c>
      <c r="B11" s="38">
        <f>'Replacement + Closing'!B19</f>
        <v/>
      </c>
    </row>
    <row r="12" ht="20" customHeight="1">
      <c r="A12" s="34">
        <f> NEW PROPERTY TAX BASIS (for depreciation):</f>
        <v/>
      </c>
      <c r="B12" s="51">
        <f>B6+B7+B8+B9-B10+B11</f>
        <v/>
      </c>
    </row>
    <row r="13" ht="8" customHeight="1"/>
    <row r="14" ht="20" customHeight="1">
      <c r="A14" s="33" t="inlineStr">
        <is>
          <t>HOLDING PERIOD</t>
        </is>
      </c>
    </row>
    <row r="15" ht="18" customHeight="1">
      <c r="A15" s="34" t="inlineStr">
        <is>
          <t>Relinquished property acquired:</t>
        </is>
      </c>
      <c r="B15" s="49" t="n"/>
    </row>
    <row r="16" ht="18" customHeight="1">
      <c r="A16" s="34" t="inlineStr">
        <is>
          <t>Relinquished sale date:</t>
        </is>
      </c>
      <c r="B16" s="36">
        <f>'Relinquished Property'!B8</f>
        <v/>
      </c>
    </row>
    <row r="17" ht="18" customHeight="1">
      <c r="A17" s="34" t="inlineStr">
        <is>
          <t>Replacement closing date:</t>
        </is>
      </c>
      <c r="B17" s="36">
        <f>'Replacement + Closing'!B8</f>
        <v/>
      </c>
    </row>
    <row r="18" ht="18" customHeight="1">
      <c r="A18" s="34" t="inlineStr">
        <is>
          <t>Carryover holding period start (= acquired date above):</t>
        </is>
      </c>
      <c r="B18" s="36">
        <f>B15</f>
        <v/>
      </c>
    </row>
    <row r="19" ht="18" customHeight="1">
      <c r="A19" s="34" t="inlineStr">
        <is>
          <t>Years held (combined, as of replacement close):</t>
        </is>
      </c>
      <c r="B19" s="52">
        <f>ROUND((B17-B15)/365.25,1)</f>
        <v/>
      </c>
    </row>
    <row r="20" ht="8" customHeight="1"/>
    <row r="21" ht="20" customHeight="1">
      <c r="A21" s="33" t="inlineStr">
        <is>
          <t>DEPRECIATION HANDOFF (for next year's P&amp;L)</t>
        </is>
      </c>
    </row>
    <row r="22" ht="18" customHeight="1">
      <c r="A22" s="34" t="inlineStr">
        <is>
          <t>Depreciable building portion (typical 80%):</t>
        </is>
      </c>
      <c r="B22" s="53" t="n"/>
    </row>
    <row r="23" ht="18" customHeight="1">
      <c r="A23" s="34" t="inlineStr">
        <is>
          <t>Building basis subject to depreciation:</t>
        </is>
      </c>
      <c r="B23" s="38">
        <f>B12*B22</f>
        <v/>
      </c>
    </row>
    <row r="24" ht="18" customHeight="1">
      <c r="A24" s="34" t="inlineStr">
        <is>
          <t>MACRS recovery (residential rental — 27.5 yr):</t>
        </is>
      </c>
      <c r="B24" s="54">
        <f>ROUND(B23/27.5,0)</f>
        <v/>
      </c>
    </row>
    <row r="25" ht="8" customHeight="1"/>
    <row r="26" ht="36" customHeight="1">
      <c r="A26" s="41" t="inlineStr">
        <is>
          <t>ⓘ  Your new property's depreciation basis is NOT what you paid — it's the relinquished basis plus adjustments. This is the IRS price for deferring the gain. Confirm with your CPA before filing Form 4562 next year.</t>
        </is>
      </c>
    </row>
  </sheetData>
  <mergeCells count="8">
    <mergeCell ref="A26:L26"/>
    <mergeCell ref="J2:L2"/>
    <mergeCell ref="D2:I2"/>
    <mergeCell ref="A5:L5"/>
    <mergeCell ref="A14:L14"/>
    <mergeCell ref="A21:L21"/>
    <mergeCell ref="A2:C2"/>
    <mergeCell ref="A4:L4"/>
  </mergeCells>
  <pageMargins left="0.5" right="0.5" top="0.5" bottom="0.5" header="0.5" footer="0.5"/>
  <pageSetup orientation="portrait" paperSize="1" fitToHeight="1" fitToWidth="1"/>
</worksheet>
</file>

<file path=xl/worksheets/sheet6.xml><?xml version="1.0" encoding="utf-8"?>
<worksheet xmlns="http://schemas.openxmlformats.org/spreadsheetml/2006/main">
  <sheetPr>
    <tabColor rgb="00F6EFE2"/>
    <outlinePr summaryBelow="1" summaryRight="1"/>
    <pageSetUpPr fitToPage="1"/>
  </sheetPr>
  <dimension ref="A1:L24"/>
  <sheetViews>
    <sheetView workbookViewId="0">
      <selection activeCell="A1" sqref="A1"/>
    </sheetView>
  </sheetViews>
  <sheetFormatPr baseColWidth="8" defaultRowHeight="15"/>
  <cols>
    <col width="38" customWidth="1" min="1" max="1"/>
    <col width="3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2">
        <f>HYPERLINK("#'Carryover Basis'!A1", "← BACK")</f>
        <v/>
      </c>
      <c r="B2" s="23" t="n"/>
      <c r="C2" s="23" t="n"/>
      <c r="D2" s="31" t="inlineStr">
        <is>
          <t>SETTINGS</t>
        </is>
      </c>
    </row>
    <row r="3" ht="6" customHeight="1">
      <c r="A3" s="1" t="n"/>
      <c r="B3" s="1" t="n"/>
      <c r="C3" s="1" t="n"/>
      <c r="D3" s="1" t="n"/>
      <c r="E3" s="1" t="n"/>
      <c r="F3" s="1" t="n"/>
      <c r="G3" s="1" t="n"/>
      <c r="H3" s="1" t="n"/>
      <c r="I3" s="1" t="n"/>
      <c r="J3" s="1" t="n"/>
      <c r="K3" s="1" t="n"/>
      <c r="L3" s="1" t="n"/>
    </row>
    <row r="4" ht="18" customHeight="1">
      <c r="A4" s="32" t="inlineStr">
        <is>
          <t>Active year, sale date (drives countdowns), and your QI + CPA contacts.</t>
        </is>
      </c>
    </row>
    <row r="5" ht="20" customHeight="1">
      <c r="A5" s="34" t="inlineStr">
        <is>
          <t>Active tax year:</t>
        </is>
      </c>
      <c r="B5" s="55" t="n">
        <v>2026</v>
      </c>
    </row>
    <row r="6" ht="20" customHeight="1">
      <c r="A6" s="34" t="inlineStr">
        <is>
          <t>Filing status:</t>
        </is>
      </c>
      <c r="B6" s="35" t="inlineStr">
        <is>
          <t>MFJ</t>
        </is>
      </c>
    </row>
    <row r="7" ht="20" customHeight="1">
      <c r="A7" s="34" t="inlineStr">
        <is>
          <t>Qualified Intermediary (QI) name:</t>
        </is>
      </c>
      <c r="B7" s="35" t="n"/>
    </row>
    <row r="8" ht="20" customHeight="1">
      <c r="A8" s="34" t="inlineStr">
        <is>
          <t>QI contact (phone / email):</t>
        </is>
      </c>
      <c r="B8" s="35" t="n"/>
    </row>
    <row r="9" ht="20" customHeight="1">
      <c r="A9" s="34" t="inlineStr">
        <is>
          <t>CPA name + contact:</t>
        </is>
      </c>
      <c r="B9" s="35" t="n"/>
    </row>
    <row r="10" ht="20" customHeight="1">
      <c r="A10" s="34" t="inlineStr">
        <is>
          <t>CPA email:</t>
        </is>
      </c>
      <c r="B10" s="35" t="n"/>
    </row>
    <row r="11" ht="20" customHeight="1">
      <c r="A11" s="34" t="inlineStr">
        <is>
          <t>Sale date (drives all countdowns):</t>
        </is>
      </c>
      <c r="B11" s="56" t="n"/>
    </row>
    <row r="12" ht="8" customHeight="1"/>
    <row r="13">
      <c r="A13" s="18" t="inlineStr">
        <is>
          <t>⚠  REQUIRED: A Qualified Intermediary (QI) must be in place BEFORE the relinquished sale closes. If you receive sale proceeds directly — even for one day — the exchange is VOID and the entire gain is taxable. The QI holds proceeds in escrow and transfers them to the replacement closing. This workbook tracks the timeline; the QI executes the exchange.</t>
        </is>
      </c>
    </row>
    <row r="14"/>
    <row r="15"/>
    <row r="16" ht="8" customHeight="1"/>
    <row r="17">
      <c r="A17" s="57" t="inlineStr">
        <is>
          <t>Disclaimer: This workbook is recordkeeping and timeline support for a 1031 like-kind exchange under IRC §1031. It is not legal, tax, or financial advice. The IRS requires strict adherence to the 45-day identification window, the 180-day closing window, the QI safe harbor (Treas. Reg. §1.1031(k)-1), and the like-kind requirement (real estate held for investment or productive use only since the 2017 TCJA). Your QI and CPA execute the exchange. Confirm every figure with them before signing closing documents.</t>
        </is>
      </c>
    </row>
    <row r="18"/>
    <row r="19"/>
    <row r="22">
      <c r="A22" s="28" t="n"/>
      <c r="B22" s="28" t="n"/>
      <c r="C22" s="28" t="n"/>
      <c r="D22" s="28" t="n"/>
      <c r="E22" s="28" t="n"/>
      <c r="F22" s="28" t="n"/>
      <c r="G22" s="28" t="n"/>
      <c r="H22" s="28" t="n"/>
      <c r="I22" s="28" t="n"/>
      <c r="J22" s="28" t="n"/>
      <c r="K22" s="28" t="n"/>
      <c r="L22" s="28" t="n"/>
    </row>
    <row r="23" ht="18" customHeight="1">
      <c r="A23" s="29" t="inlineStr">
        <is>
          <t>Questions? hello@thestrledger.com</t>
        </is>
      </c>
    </row>
    <row r="24" ht="18" customHeight="1">
      <c r="A24" s="30" t="inlineStr">
        <is>
          <t>ACQ-011 · v2.3 · Free updates forever</t>
        </is>
      </c>
    </row>
  </sheetData>
  <mergeCells count="7">
    <mergeCell ref="D2:L2"/>
    <mergeCell ref="A24:L24"/>
    <mergeCell ref="A23:L23"/>
    <mergeCell ref="A13:L15"/>
    <mergeCell ref="A17:L19"/>
    <mergeCell ref="A2:C2"/>
    <mergeCell ref="A4:L4"/>
  </mergeCells>
  <dataValidations count="1">
    <dataValidation sqref="B6" showDropDown="0" showInputMessage="0" showErrorMessage="0" allowBlank="1" type="list">
      <formula1>"Single,MFJ,HoH,MFS"</formula1>
    </dataValidation>
  </dataValidation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1031 Exchange Tracker (BLANK) — The STR Ledger</dc:title>
  <dc:description xmlns:dc="http://purl.org/dc/elements/1.1/">Like-kind exchange tracker for STR -&gt; STR swaps under IRC §1031. Timeline support only — QI and CPA execute the exchange.</dc:description>
  <dcterms:created xmlns:dcterms="http://purl.org/dc/terms/" xmlns:xsi="http://www.w3.org/2001/XMLSchema-instance" xsi:type="dcterms:W3CDTF">2026-05-03T12:26:20Z</dcterms:created>
  <dcterms:modified xmlns:dcterms="http://purl.org/dc/terms/" xmlns:xsi="http://www.w3.org/2001/XMLSchema-instance" xsi:type="dcterms:W3CDTF">2026-05-03T12:26:20Z</dcterms:modified>
</cp:coreProperties>
</file>