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Owners" sheetId="2" state="visible" r:id="rId2"/>
    <sheet xmlns:r="http://schemas.openxmlformats.org/officeDocument/2006/relationships" name="Per-Owner Dashboard" sheetId="3" state="visible" r:id="rId3"/>
    <sheet xmlns:r="http://schemas.openxmlformats.org/officeDocument/2006/relationships" name="Pam P&amp;L" sheetId="4" state="visible" r:id="rId4"/>
    <sheet xmlns:r="http://schemas.openxmlformats.org/officeDocument/2006/relationships" name="Time Allocation" sheetId="5" state="visible" r:id="rId5"/>
    <sheet xmlns:r="http://schemas.openxmlformats.org/officeDocument/2006/relationships" name="Owner Profitability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'Start'!$A$1:$L$37</definedName>
    <definedName name="_xlnm.Print_Titles" localSheetId="1">'Owners'!$1:$5</definedName>
    <definedName name="_xlnm.Print_Titles" localSheetId="3">'Pam P&amp;L'!$1:$5</definedName>
    <definedName name="_xlnm.Print_Titles" localSheetId="4">'Time Allocation'!$1:$5</definedName>
    <definedName name="_xlnm.Print_Titles" localSheetId="5">'Owner Profitability'!$1:$5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0.0%"/>
    <numFmt numFmtId="167" formatCode="0.0"/>
  </numFmts>
  <fonts count="30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28"/>
    </font>
    <font>
      <name val="Georgia"/>
      <i val="1"/>
      <color rgb="00C9A24B"/>
      <sz val="13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0"/>
    </font>
    <font>
      <name val="Calibri"/>
      <i val="1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0"/>
    </font>
    <font>
      <name val="Consolas"/>
      <b val="1"/>
      <color rgb="00B5725E"/>
      <sz val="8"/>
    </font>
    <font>
      <name val="Georgia"/>
      <b val="1"/>
      <color rgb="00B5725E"/>
      <sz val="20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F6EFE2"/>
      <sz val="12"/>
    </font>
    <font>
      <name val="Calibri"/>
      <b val="1"/>
      <color rgb="00F6EFE2"/>
      <sz val="11"/>
    </font>
    <font>
      <name val="Calibri"/>
      <i val="1"/>
      <color rgb="006B7280"/>
      <sz val="10"/>
    </font>
    <font>
      <name val="Consolas"/>
      <b val="1"/>
      <color rgb="0012304E"/>
      <sz val="9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b val="1"/>
      <color rgb="0012304E"/>
      <sz val="12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" fontId="6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9" fillId="3" borderId="4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11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5" borderId="0" applyAlignment="1" pivotButton="0" quotePrefix="0" xfId="0">
      <alignment horizontal="left" vertical="center" indent="2"/>
    </xf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14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1" fontId="21" fillId="8" borderId="0" applyAlignment="1" pivotButton="0" quotePrefix="0" xfId="0">
      <alignment horizontal="right" vertical="center"/>
    </xf>
    <xf numFmtId="165" fontId="13" fillId="7" borderId="0" applyAlignment="1" pivotButton="0" quotePrefix="0" xfId="0">
      <alignment horizontal="left" vertical="center"/>
    </xf>
    <xf numFmtId="9" fontId="13" fillId="7" borderId="0" applyAlignment="1" pivotButton="0" quotePrefix="0" xfId="0">
      <alignment horizontal="left" vertical="center"/>
    </xf>
    <xf numFmtId="164" fontId="13" fillId="7" borderId="0" applyAlignment="1" pivotButton="0" quotePrefix="0" xfId="0">
      <alignment horizontal="left" vertical="center"/>
    </xf>
    <xf numFmtId="1" fontId="13" fillId="7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indent="2"/>
    </xf>
    <xf numFmtId="0" fontId="25" fillId="4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164" fontId="21" fillId="8" borderId="0" applyAlignment="1" pivotButton="0" quotePrefix="0" xfId="0">
      <alignment horizontal="right" vertical="center"/>
    </xf>
    <xf numFmtId="167" fontId="21" fillId="8" borderId="0" applyAlignment="1" pivotButton="0" quotePrefix="0" xfId="0">
      <alignment horizontal="right" vertical="center"/>
    </xf>
    <xf numFmtId="0" fontId="21" fillId="8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 indent="1"/>
    </xf>
    <xf numFmtId="164" fontId="21" fillId="4" borderId="0" applyAlignment="1" pivotButton="0" quotePrefix="0" xfId="0">
      <alignment horizontal="right" vertical="center"/>
    </xf>
    <xf numFmtId="0" fontId="22" fillId="2" borderId="0" applyAlignment="1" pivotButton="0" quotePrefix="0" xfId="0">
      <alignment horizontal="left" vertical="center" indent="2"/>
    </xf>
    <xf numFmtId="0" fontId="22" fillId="2" borderId="0" applyAlignment="1" pivotButton="0" quotePrefix="0" xfId="0">
      <alignment horizontal="left" vertical="center" indent="1"/>
    </xf>
    <xf numFmtId="164" fontId="23" fillId="2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1" fillId="8" borderId="0" applyAlignment="1" pivotButton="0" quotePrefix="0" xfId="0">
      <alignment horizontal="right" vertical="center"/>
    </xf>
    <xf numFmtId="167" fontId="13" fillId="7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left" vertical="center" wrapText="1" indent="1"/>
    </xf>
    <xf numFmtId="0" fontId="26" fillId="0" borderId="0" applyAlignment="1" pivotButton="0" quotePrefix="0" xfId="0">
      <alignment horizontal="right" vertical="center" indent="1"/>
    </xf>
    <xf numFmtId="1" fontId="28" fillId="7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 indent="1"/>
    </xf>
    <xf numFmtId="0" fontId="24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ont>
        <name val="Calibri"/>
        <b val="1"/>
        <color rgb="00FFFFFF"/>
        <sz val="11"/>
      </font>
      <fill>
        <patternFill patternType="solid">
          <fgColor rgb="00B91C1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Commission — 12-Month Trend</a:t>
            </a:r>
          </a:p>
        </rich>
      </tx>
    </title>
    <plotArea>
      <lineChart>
        <grouping val="standar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P&amp;L'!$B$6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P&amp;L'!$C$6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P&amp;L'!$D$6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P&amp;L'!$E$6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P&amp;L'!$F$6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P&amp;L'!$G$6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P&amp;L'!$H$6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P&amp;L'!$I$6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P&amp;L'!$J$6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P&amp;L'!$K$6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P&amp;L'!$L$6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'Pam P&amp;L'!$B$5:$M$5</f>
            </numRef>
          </cat>
          <val>
            <numRef>
              <f>'Pam P&amp;L'!$M$6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Commission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Pam NOI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P&amp;L'!$B$20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P&amp;L'!$C$20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P&amp;L'!$D$20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P&amp;L'!$E$20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P&amp;L'!$F$20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P&amp;L'!$G$20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P&amp;L'!$H$20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P&amp;L'!$I$20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P&amp;L'!$J$20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P&amp;L'!$K$20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P&amp;L'!$L$20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'Pam P&amp;L'!$B$5:$M$5</f>
            </numRef>
          </cat>
          <val>
            <numRef>
              <f>'Pam P&amp;L'!$M$20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NOI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($/hr) by Owner — 2026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'Owner Profitability'!$A$6:$A$20</f>
            </numRef>
          </cat>
          <val>
            <numRef>
              <f>'Owner Profitability'!$D$6:$D$20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3" t="inlineStr">
        <is>
          <t>Multi-Owner Consolidated Reporting</t>
        </is>
      </c>
    </row>
    <row r="5" ht="22" customHeight="1">
      <c r="A5" s="4" t="inlineStr">
        <is>
          <t>Which owner relationships are worth keeping. Which ones to fire.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PAM-004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MANAGED PROPERTIES</t>
        </is>
      </c>
      <c r="B10" s="7" t="n"/>
      <c r="C10" s="8" t="n"/>
      <c r="D10" s="9" t="inlineStr">
        <is>
          <t>TOTAL COMMISSION YTD</t>
        </is>
      </c>
      <c r="E10" s="7" t="n"/>
      <c r="F10" s="8" t="n"/>
      <c r="G10" s="6" t="inlineStr">
        <is>
          <t>TOP OWNER</t>
        </is>
      </c>
      <c r="H10" s="7" t="n"/>
      <c r="I10" s="8" t="n"/>
      <c r="J10" s="10" t="inlineStr">
        <is>
          <t>LOWEST NPS</t>
        </is>
      </c>
      <c r="K10" s="7" t="n"/>
      <c r="L10" s="8" t="n"/>
    </row>
    <row r="11">
      <c r="A11" s="11">
        <f>COUNTA('Settings'!$B$23:$B$52)</f>
        <v/>
      </c>
      <c r="B11" s="12" t="n"/>
      <c r="C11" s="13" t="n"/>
      <c r="D11" s="14">
        <f>SUM('Owners'!$I$6:$I$20)</f>
        <v/>
      </c>
      <c r="E11" s="12" t="n"/>
      <c r="F11" s="13" t="n"/>
      <c r="G11" s="15">
        <f>IFERROR(INDEX('Owners'!$B$6:$B$20,MATCH(MAX('Owners'!$I$6:$I$20),'Owners'!$I$6:$I$20,0)),"—")</f>
        <v/>
      </c>
      <c r="H11" s="12" t="n"/>
      <c r="I11" s="13" t="n"/>
      <c r="J11" s="16">
        <f>IFERROR(INDEX('Owners'!$B$6:$B$20,MATCH(MIN('Owners'!$J$6:$J$20),'Owners'!$J$6:$J$20,0)),"—")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>
        <is>
          <t>in active portfolio</t>
        </is>
      </c>
      <c r="B14" s="12" t="n"/>
      <c r="C14" s="13" t="n"/>
      <c r="D14" s="18" t="inlineStr">
        <is>
          <t>across all owners</t>
        </is>
      </c>
      <c r="E14" s="12" t="n"/>
      <c r="F14" s="13" t="n"/>
      <c r="G14" s="18" t="inlineStr">
        <is>
          <t>highest commission YTD</t>
        </is>
      </c>
      <c r="H14" s="12" t="n"/>
      <c r="I14" s="13" t="n"/>
      <c r="J14" s="18" t="inlineStr">
        <is>
          <t>weakest relationship</t>
        </is>
      </c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7" ht="22" customHeight="1">
      <c r="A17" s="22" t="inlineStr">
        <is>
          <t>PRO PAM WORKFLOW</t>
        </is>
      </c>
    </row>
    <row r="18" ht="22" customHeight="1">
      <c r="A18" s="23" t="inlineStr">
        <is>
          <t>(1)  Owners — log every owner you manage with NPS + agreement terms.</t>
        </is>
      </c>
    </row>
    <row r="19" ht="22" customHeight="1">
      <c r="A19" s="23" t="inlineStr">
        <is>
          <t>(2)  Time Allocation — track every hour you spend, tagged to owner + property.</t>
        </is>
      </c>
    </row>
    <row r="20" ht="22" customHeight="1">
      <c r="A20" s="23" t="inlineStr">
        <is>
          <t>(3)  Pam P&amp;L — your business income (commission) less your expenses.</t>
        </is>
      </c>
    </row>
    <row r="21" ht="22" customHeight="1">
      <c r="A21" s="23" t="inlineStr">
        <is>
          <t>(4)  Per-Owner Dashboard — see commission, hours, $/hr per owner.</t>
        </is>
      </c>
    </row>
    <row r="22" ht="22" customHeight="1">
      <c r="A22" s="23" t="inlineStr">
        <is>
          <t>(5)  Owner Profitability — ranked. Bottom-3 in red. Decide who to fire.</t>
        </is>
      </c>
    </row>
    <row r="25" ht="22" customHeight="1">
      <c r="A25" s="24">
        <f>HYPERLINK("#'Owners'!A1", "Owners")</f>
        <v/>
      </c>
      <c r="B25" s="25" t="n"/>
      <c r="C25" s="25" t="n"/>
      <c r="D25" s="24">
        <f>HYPERLINK("#'Per-Owner Dashboard'!A1", "Per-Owner Dashboard")</f>
        <v/>
      </c>
      <c r="E25" s="25" t="n"/>
      <c r="F25" s="25" t="n"/>
      <c r="G25" s="24">
        <f>HYPERLINK("#'Pam P&amp;L'!A1", "Pam P&amp;L")</f>
        <v/>
      </c>
      <c r="H25" s="25" t="n"/>
      <c r="I25" s="25" t="n"/>
      <c r="J25" s="24">
        <f>HYPERLINK("#'Time Allocation'!A1", "Time Allocation")</f>
        <v/>
      </c>
      <c r="K25" s="25" t="n"/>
      <c r="L25" s="25" t="n"/>
    </row>
    <row r="26" ht="22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 ht="22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9" ht="22" customHeight="1">
      <c r="A29" s="26">
        <f>HYPERLINK("#'Owner Profitability'!A1", "→  Owner Profitability")</f>
        <v/>
      </c>
      <c r="B29" s="27" t="n"/>
      <c r="C29" s="27" t="n"/>
      <c r="D29" s="27" t="n"/>
      <c r="E29" s="27" t="n"/>
      <c r="F29" s="27" t="n"/>
      <c r="G29" s="28">
        <f>HYPERLINK("#'Settings'!A1", "Settings")</f>
        <v/>
      </c>
      <c r="H29" s="29" t="n"/>
      <c r="I29" s="29" t="n"/>
      <c r="J29" s="29" t="n"/>
      <c r="K29" s="29" t="n"/>
      <c r="L29" s="29" t="n"/>
    </row>
    <row r="30" ht="22" customHeight="1">
      <c r="A30" s="27" t="n"/>
      <c r="B30" s="27" t="n"/>
      <c r="C30" s="27" t="n"/>
      <c r="D30" s="27" t="n"/>
      <c r="E30" s="27" t="n"/>
      <c r="F30" s="27" t="n"/>
      <c r="G30" s="29" t="n"/>
      <c r="H30" s="29" t="n"/>
      <c r="I30" s="29" t="n"/>
      <c r="J30" s="29" t="n"/>
      <c r="K30" s="29" t="n"/>
      <c r="L30" s="29" t="n"/>
    </row>
    <row r="31" ht="22" customHeight="1">
      <c r="A31" s="27" t="n"/>
      <c r="B31" s="27" t="n"/>
      <c r="C31" s="27" t="n"/>
      <c r="D31" s="27" t="n"/>
      <c r="E31" s="27" t="n"/>
      <c r="F31" s="27" t="n"/>
      <c r="G31" s="29" t="n"/>
      <c r="H31" s="29" t="n"/>
      <c r="I31" s="29" t="n"/>
      <c r="J31" s="29" t="n"/>
      <c r="K31" s="29" t="n"/>
      <c r="L31" s="29" t="n"/>
    </row>
    <row r="33" ht="36" customHeight="1">
      <c r="A33" s="30" t="inlineStr">
        <is>
          <t>Manage cleaners + commissions + multi-owner reporting in one bundle? Get the Pro Manager Bundle at thestrledger.com/pro-manager — saves $1,000+ vs individual SKUs.</t>
        </is>
      </c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</row>
    <row r="36" ht="18" customHeight="1">
      <c r="A36" s="32" t="inlineStr">
        <is>
          <t>Questions? hello@thestrledger.com</t>
        </is>
      </c>
    </row>
    <row r="37" ht="18" customHeight="1">
      <c r="A37" s="33" t="inlineStr">
        <is>
          <t>PAM-004 · v1.0 · DEMO · Free updates forever</t>
        </is>
      </c>
    </row>
  </sheetData>
  <mergeCells count="31">
    <mergeCell ref="A7:L7"/>
    <mergeCell ref="G10:I10"/>
    <mergeCell ref="D14:F15"/>
    <mergeCell ref="A37:L37"/>
    <mergeCell ref="J14:L15"/>
    <mergeCell ref="A18:L18"/>
    <mergeCell ref="A25:C27"/>
    <mergeCell ref="A21:L21"/>
    <mergeCell ref="D11:F13"/>
    <mergeCell ref="A2:F2"/>
    <mergeCell ref="J11:L13"/>
    <mergeCell ref="A33:L33"/>
    <mergeCell ref="A5:L5"/>
    <mergeCell ref="A22:L22"/>
    <mergeCell ref="A17:L17"/>
    <mergeCell ref="J25:L27"/>
    <mergeCell ref="A4:L4"/>
    <mergeCell ref="D25:F27"/>
    <mergeCell ref="A10:C10"/>
    <mergeCell ref="A20:L20"/>
    <mergeCell ref="A29:F31"/>
    <mergeCell ref="G29:L31"/>
    <mergeCell ref="A19:L19"/>
    <mergeCell ref="G25:I27"/>
    <mergeCell ref="D10:F10"/>
    <mergeCell ref="J10:L10"/>
    <mergeCell ref="G14:I15"/>
    <mergeCell ref="A14:C15"/>
    <mergeCell ref="A36:L36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12" customWidth="1" min="10" max="10"/>
    <col width="14" customWidth="1" min="11" max="11"/>
    <col width="30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4" t="inlineStr">
        <is>
          <t>OWNERS</t>
        </is>
      </c>
      <c r="J2" s="26">
        <f>HYPERLINK("#'Per-Owner Dashboard'!A1",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One row per owner relationship. Capacity 15. Active year on Settings (B5).</t>
        </is>
      </c>
    </row>
    <row r="5" ht="28" customHeight="1">
      <c r="A5" s="36" t="inlineStr">
        <is>
          <t>Owner ID</t>
        </is>
      </c>
      <c r="B5" s="36" t="inlineStr">
        <is>
          <t>Owner name</t>
        </is>
      </c>
      <c r="C5" s="36" t="inlineStr">
        <is>
          <t>Email</t>
        </is>
      </c>
      <c r="D5" s="36" t="inlineStr">
        <is>
          <t>Phone</t>
        </is>
      </c>
      <c r="E5" s="36" t="inlineStr">
        <is>
          <t>Properties (count)</t>
        </is>
      </c>
      <c r="F5" s="36" t="inlineStr">
        <is>
          <t>Agreement start</t>
        </is>
      </c>
      <c r="G5" s="36" t="inlineStr">
        <is>
          <t>Agreement type</t>
        </is>
      </c>
      <c r="H5" s="36" t="inlineStr">
        <is>
          <t>Commission % avg</t>
        </is>
      </c>
      <c r="I5" s="36" t="inlineStr">
        <is>
          <t>Total commission YTD</t>
        </is>
      </c>
      <c r="J5" s="36" t="inlineStr">
        <is>
          <t>NPS (1-10)</t>
        </is>
      </c>
      <c r="K5" s="36" t="inlineStr">
        <is>
          <t>Status</t>
        </is>
      </c>
      <c r="L5" s="36" t="inlineStr">
        <is>
          <t>Notes</t>
        </is>
      </c>
    </row>
    <row r="6" ht="18" customHeight="1">
      <c r="A6" s="37" t="inlineStr">
        <is>
          <t>OWN-01</t>
        </is>
      </c>
      <c r="B6" s="37" t="inlineStr">
        <is>
          <t>Lakeside Holdings LLC</t>
        </is>
      </c>
      <c r="C6" s="37" t="inlineStr">
        <is>
          <t>owner1@lakeside.example</t>
        </is>
      </c>
      <c r="D6" s="37" t="inlineStr">
        <is>
          <t>(865) 555-0114</t>
        </is>
      </c>
      <c r="E6" s="38">
        <f>IF(B6="","",COUNTIF('Settings'!$C$23:$C$52,B6))</f>
        <v/>
      </c>
      <c r="F6" s="39" t="n">
        <v>45292</v>
      </c>
      <c r="G6" s="37" t="inlineStr">
        <is>
          <t>% of revenue</t>
        </is>
      </c>
      <c r="H6" s="40" t="n">
        <v>0.2</v>
      </c>
      <c r="I6" s="41" t="n">
        <v>32000</v>
      </c>
      <c r="J6" s="42" t="n">
        <v>9</v>
      </c>
      <c r="K6" s="37" t="inlineStr">
        <is>
          <t>Active</t>
        </is>
      </c>
      <c r="L6" s="37" t="inlineStr">
        <is>
          <t>5 properties — flagship account.</t>
        </is>
      </c>
    </row>
    <row r="7" ht="18" customHeight="1">
      <c r="A7" s="37" t="inlineStr">
        <is>
          <t>OWN-02</t>
        </is>
      </c>
      <c r="B7" s="37" t="inlineStr">
        <is>
          <t>Maddox Trust</t>
        </is>
      </c>
      <c r="C7" s="37" t="inlineStr">
        <is>
          <t>owner2@maddox.example</t>
        </is>
      </c>
      <c r="D7" s="37" t="inlineStr">
        <is>
          <t>(865) 555-0122</t>
        </is>
      </c>
      <c r="E7" s="38">
        <f>IF(B7="","",COUNTIF('Settings'!$C$23:$C$52,B7))</f>
        <v/>
      </c>
      <c r="F7" s="39" t="n">
        <v>45809</v>
      </c>
      <c r="G7" s="37" t="inlineStr">
        <is>
          <t>% of revenue</t>
        </is>
      </c>
      <c r="H7" s="40" t="n">
        <v>0.15</v>
      </c>
      <c r="I7" s="41" t="n">
        <v>18000</v>
      </c>
      <c r="J7" s="42" t="n">
        <v>8</v>
      </c>
      <c r="K7" s="37" t="inlineStr">
        <is>
          <t>Active</t>
        </is>
      </c>
      <c r="L7" s="37" t="inlineStr">
        <is>
          <t>3 properties — growing portfolio.</t>
        </is>
      </c>
    </row>
    <row r="8" ht="18" customHeight="1">
      <c r="A8" s="37" t="inlineStr">
        <is>
          <t>OWN-03</t>
        </is>
      </c>
      <c r="B8" s="37" t="inlineStr">
        <is>
          <t>Highland Properties LLC</t>
        </is>
      </c>
      <c r="C8" s="37" t="inlineStr">
        <is>
          <t>owner3@highland.example</t>
        </is>
      </c>
      <c r="D8" s="37" t="inlineStr">
        <is>
          <t>(865) 555-0138</t>
        </is>
      </c>
      <c r="E8" s="38">
        <f>IF(B8="","",COUNTIF('Settings'!$C$23:$C$52,B8))</f>
        <v/>
      </c>
      <c r="F8" s="39" t="n">
        <v>45870</v>
      </c>
      <c r="G8" s="37" t="inlineStr">
        <is>
          <t>Hybrid (base + %)</t>
        </is>
      </c>
      <c r="H8" s="40" t="n">
        <v>0.1</v>
      </c>
      <c r="I8" s="41" t="n">
        <v>11000</v>
      </c>
      <c r="J8" s="42" t="n">
        <v>7</v>
      </c>
      <c r="K8" s="37" t="inlineStr">
        <is>
          <t>Active</t>
        </is>
      </c>
      <c r="L8" s="37" t="inlineStr">
        <is>
          <t>2 properties — consider commission bump at renewal.</t>
        </is>
      </c>
    </row>
    <row r="9" ht="18" customHeight="1">
      <c r="A9" s="37" t="inlineStr">
        <is>
          <t>OWN-04</t>
        </is>
      </c>
      <c r="B9" s="37" t="inlineStr">
        <is>
          <t>Brookline Estates</t>
        </is>
      </c>
      <c r="C9" s="37" t="inlineStr">
        <is>
          <t>owner4@brookline.example</t>
        </is>
      </c>
      <c r="D9" s="37" t="inlineStr">
        <is>
          <t>(865) 555-0151</t>
        </is>
      </c>
      <c r="E9" s="38">
        <f>IF(B9="","",COUNTIF('Settings'!$C$23:$C$52,B9))</f>
        <v/>
      </c>
      <c r="F9" s="39" t="n">
        <v>45748</v>
      </c>
      <c r="G9" s="37" t="inlineStr">
        <is>
          <t>% of revenue</t>
        </is>
      </c>
      <c r="H9" s="40" t="n">
        <v>0.12</v>
      </c>
      <c r="I9" s="41" t="n">
        <v>4500</v>
      </c>
      <c r="J9" s="42" t="n">
        <v>5</v>
      </c>
      <c r="K9" s="37" t="inlineStr">
        <is>
          <t>Churning</t>
        </is>
      </c>
      <c r="L9" s="37" t="inlineStr">
        <is>
          <t>2 properties — high-touch, low margin. Fire candidate.</t>
        </is>
      </c>
    </row>
    <row r="10" ht="18" customHeight="1">
      <c r="A10" s="37" t="n"/>
      <c r="B10" s="37" t="n"/>
      <c r="C10" s="37" t="n"/>
      <c r="D10" s="37" t="n"/>
      <c r="E10" s="38">
        <f>IF(B10="","",COUNTIF('Settings'!$C$23:$C$52,B10))</f>
        <v/>
      </c>
      <c r="F10" s="39" t="n"/>
      <c r="G10" s="37" t="n"/>
      <c r="H10" s="40" t="n"/>
      <c r="I10" s="41" t="n"/>
      <c r="J10" s="42" t="n"/>
      <c r="K10" s="37" t="n"/>
      <c r="L10" s="37" t="n"/>
    </row>
    <row r="11" ht="18" customHeight="1">
      <c r="A11" s="37" t="n"/>
      <c r="B11" s="37" t="n"/>
      <c r="C11" s="37" t="n"/>
      <c r="D11" s="37" t="n"/>
      <c r="E11" s="38">
        <f>IF(B11="","",COUNTIF('Settings'!$C$23:$C$52,B11))</f>
        <v/>
      </c>
      <c r="F11" s="39" t="n"/>
      <c r="G11" s="37" t="n"/>
      <c r="H11" s="40" t="n"/>
      <c r="I11" s="41" t="n"/>
      <c r="J11" s="42" t="n"/>
      <c r="K11" s="37" t="n"/>
      <c r="L11" s="37" t="n"/>
    </row>
    <row r="12" ht="18" customHeight="1">
      <c r="A12" s="37" t="n"/>
      <c r="B12" s="37" t="n"/>
      <c r="C12" s="37" t="n"/>
      <c r="D12" s="37" t="n"/>
      <c r="E12" s="38">
        <f>IF(B12="","",COUNTIF('Settings'!$C$23:$C$52,B12))</f>
        <v/>
      </c>
      <c r="F12" s="39" t="n"/>
      <c r="G12" s="37" t="n"/>
      <c r="H12" s="40" t="n"/>
      <c r="I12" s="41" t="n"/>
      <c r="J12" s="42" t="n"/>
      <c r="K12" s="37" t="n"/>
      <c r="L12" s="37" t="n"/>
    </row>
    <row r="13" ht="18" customHeight="1">
      <c r="A13" s="37" t="n"/>
      <c r="B13" s="37" t="n"/>
      <c r="C13" s="37" t="n"/>
      <c r="D13" s="37" t="n"/>
      <c r="E13" s="38">
        <f>IF(B13="","",COUNTIF('Settings'!$C$23:$C$52,B13))</f>
        <v/>
      </c>
      <c r="F13" s="39" t="n"/>
      <c r="G13" s="37" t="n"/>
      <c r="H13" s="40" t="n"/>
      <c r="I13" s="41" t="n"/>
      <c r="J13" s="42" t="n"/>
      <c r="K13" s="37" t="n"/>
      <c r="L13" s="37" t="n"/>
    </row>
    <row r="14" ht="18" customHeight="1">
      <c r="A14" s="37" t="n"/>
      <c r="B14" s="37" t="n"/>
      <c r="C14" s="37" t="n"/>
      <c r="D14" s="37" t="n"/>
      <c r="E14" s="38">
        <f>IF(B14="","",COUNTIF('Settings'!$C$23:$C$52,B14))</f>
        <v/>
      </c>
      <c r="F14" s="39" t="n"/>
      <c r="G14" s="37" t="n"/>
      <c r="H14" s="40" t="n"/>
      <c r="I14" s="41" t="n"/>
      <c r="J14" s="42" t="n"/>
      <c r="K14" s="37" t="n"/>
      <c r="L14" s="37" t="n"/>
    </row>
    <row r="15" ht="18" customHeight="1">
      <c r="A15" s="37" t="n"/>
      <c r="B15" s="37" t="n"/>
      <c r="C15" s="37" t="n"/>
      <c r="D15" s="37" t="n"/>
      <c r="E15" s="38">
        <f>IF(B15="","",COUNTIF('Settings'!$C$23:$C$52,B15))</f>
        <v/>
      </c>
      <c r="F15" s="39" t="n"/>
      <c r="G15" s="37" t="n"/>
      <c r="H15" s="40" t="n"/>
      <c r="I15" s="41" t="n"/>
      <c r="J15" s="42" t="n"/>
      <c r="K15" s="37" t="n"/>
      <c r="L15" s="37" t="n"/>
    </row>
    <row r="16" ht="18" customHeight="1">
      <c r="A16" s="37" t="n"/>
      <c r="B16" s="37" t="n"/>
      <c r="C16" s="37" t="n"/>
      <c r="D16" s="37" t="n"/>
      <c r="E16" s="38">
        <f>IF(B16="","",COUNTIF('Settings'!$C$23:$C$52,B16))</f>
        <v/>
      </c>
      <c r="F16" s="39" t="n"/>
      <c r="G16" s="37" t="n"/>
      <c r="H16" s="40" t="n"/>
      <c r="I16" s="41" t="n"/>
      <c r="J16" s="42" t="n"/>
      <c r="K16" s="37" t="n"/>
      <c r="L16" s="37" t="n"/>
    </row>
    <row r="17" ht="18" customHeight="1">
      <c r="A17" s="37" t="n"/>
      <c r="B17" s="37" t="n"/>
      <c r="C17" s="37" t="n"/>
      <c r="D17" s="37" t="n"/>
      <c r="E17" s="38">
        <f>IF(B17="","",COUNTIF('Settings'!$C$23:$C$52,B17))</f>
        <v/>
      </c>
      <c r="F17" s="39" t="n"/>
      <c r="G17" s="37" t="n"/>
      <c r="H17" s="40" t="n"/>
      <c r="I17" s="41" t="n"/>
      <c r="J17" s="42" t="n"/>
      <c r="K17" s="37" t="n"/>
      <c r="L17" s="37" t="n"/>
    </row>
    <row r="18" ht="18" customHeight="1">
      <c r="A18" s="37" t="n"/>
      <c r="B18" s="37" t="n"/>
      <c r="C18" s="37" t="n"/>
      <c r="D18" s="37" t="n"/>
      <c r="E18" s="38">
        <f>IF(B18="","",COUNTIF('Settings'!$C$23:$C$52,B18))</f>
        <v/>
      </c>
      <c r="F18" s="39" t="n"/>
      <c r="G18" s="37" t="n"/>
      <c r="H18" s="40" t="n"/>
      <c r="I18" s="41" t="n"/>
      <c r="J18" s="42" t="n"/>
      <c r="K18" s="37" t="n"/>
      <c r="L18" s="37" t="n"/>
    </row>
    <row r="19" ht="18" customHeight="1">
      <c r="A19" s="37" t="n"/>
      <c r="B19" s="37" t="n"/>
      <c r="C19" s="37" t="n"/>
      <c r="D19" s="37" t="n"/>
      <c r="E19" s="38">
        <f>IF(B19="","",COUNTIF('Settings'!$C$23:$C$52,B19))</f>
        <v/>
      </c>
      <c r="F19" s="39" t="n"/>
      <c r="G19" s="37" t="n"/>
      <c r="H19" s="40" t="n"/>
      <c r="I19" s="41" t="n"/>
      <c r="J19" s="42" t="n"/>
      <c r="K19" s="37" t="n"/>
      <c r="L19" s="37" t="n"/>
    </row>
    <row r="20" ht="18" customHeight="1">
      <c r="A20" s="37" t="n"/>
      <c r="B20" s="37" t="n"/>
      <c r="C20" s="37" t="n"/>
      <c r="D20" s="37" t="n"/>
      <c r="E20" s="38">
        <f>IF(B20="","",COUNTIF('Settings'!$C$23:$C$52,B20))</f>
        <v/>
      </c>
      <c r="F20" s="39" t="n"/>
      <c r="G20" s="37" t="n"/>
      <c r="H20" s="40" t="n"/>
      <c r="I20" s="41" t="n"/>
      <c r="J20" s="42" t="n"/>
      <c r="K20" s="37" t="n"/>
      <c r="L20" s="37" t="n"/>
    </row>
  </sheetData>
  <mergeCells count="4">
    <mergeCell ref="J2:L2"/>
    <mergeCell ref="D2:I2"/>
    <mergeCell ref="A2:C2"/>
    <mergeCell ref="A4:L4"/>
  </mergeCells>
  <dataValidations count="2">
    <dataValidation sqref="G6:G20" showDropDown="0" showInputMessage="0" showErrorMessage="0" allowBlank="1" type="list">
      <formula1>"Flat $,% of revenue,Hybrid (base + %),Custom"</formula1>
    </dataValidation>
    <dataValidation sqref="K6:K20" showDropDown="0" showInputMessage="0" showErrorMessage="0" allowBlank="1" type="list">
      <formula1>"Active,Churning,Onboarding,Sunset"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HYPERLINK("#'Owners'!A1", "← BACK")</f>
        <v/>
      </c>
      <c r="B2" s="25" t="n"/>
      <c r="C2" s="25" t="n"/>
      <c r="D2" s="34" t="inlineStr">
        <is>
          <t>PER-OWNER DASHBOARD</t>
        </is>
      </c>
      <c r="J2" s="26">
        <f>HYPERLINK("#'Pam P&amp;L'!A1",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One section per owner. Active year drives YTD figures (Settings!B5).</t>
        </is>
      </c>
    </row>
    <row r="6" ht="22" customHeight="1">
      <c r="A6" s="43">
        <f>IFERROR("OWNER " &amp; 1 &amp; ": " &amp; 'Owners'!B6, "OWNER " &amp; 1)</f>
        <v/>
      </c>
    </row>
    <row r="7" ht="18" customHeight="1">
      <c r="A7" s="44" t="inlineStr"/>
      <c r="B7" s="44" t="inlineStr">
        <is>
          <t>Metric</t>
        </is>
      </c>
      <c r="C7" s="44" t="inlineStr">
        <is>
          <t>Properties</t>
        </is>
      </c>
      <c r="D7" s="44" t="inlineStr">
        <is>
          <t>YTD revenue</t>
        </is>
      </c>
      <c r="E7" s="44" t="inlineStr">
        <is>
          <t>YTD commission</t>
        </is>
      </c>
      <c r="F7" s="44" t="inlineStr">
        <is>
          <t>YTD hours</t>
        </is>
      </c>
      <c r="G7" s="44" t="inlineStr">
        <is>
          <t>$/hr</t>
        </is>
      </c>
      <c r="H7" s="44" t="inlineStr">
        <is>
          <t>Notes</t>
        </is>
      </c>
    </row>
    <row r="8" ht="24" customHeight="1">
      <c r="B8" s="45" t="inlineStr">
        <is>
          <t>Totals</t>
        </is>
      </c>
      <c r="C8" s="38">
        <f>IFERROR('Owners'!E6,0)</f>
        <v/>
      </c>
      <c r="D8" s="46">
        <f>IFERROR('Owners'!I6/'Owners'!H6,0)</f>
        <v/>
      </c>
      <c r="E8" s="46">
        <f>IFERROR('Owners'!I6,0)</f>
        <v/>
      </c>
      <c r="F8" s="47">
        <f>IFERROR(SUMIFS('Time Allocation'!$E$6:$E$1005,'Time Allocation'!$B$6:$B$1005,'Owners'!B6,'Time Allocation'!$F$6:$F$1005,'Settings'!$B$5),0)</f>
        <v/>
      </c>
      <c r="G8" s="46">
        <f>IFERROR(E8/F8,0)</f>
        <v/>
      </c>
      <c r="H8" s="48">
        <f>IFERROR('Owners'!L6,"")</f>
        <v/>
      </c>
    </row>
    <row r="9" ht="14" customHeight="1">
      <c r="B9" s="49" t="inlineStr">
        <is>
          <t>12-month commission trend (chart on row block below)</t>
        </is>
      </c>
    </row>
    <row r="14" ht="22" customHeight="1">
      <c r="A14" s="43">
        <f>IFERROR("OWNER " &amp; 2 &amp; ": " &amp; 'Owners'!B7, "OWNER " &amp; 2)</f>
        <v/>
      </c>
    </row>
    <row r="15" ht="18" customHeight="1">
      <c r="A15" s="44" t="inlineStr"/>
      <c r="B15" s="44" t="inlineStr">
        <is>
          <t>Metric</t>
        </is>
      </c>
      <c r="C15" s="44" t="inlineStr">
        <is>
          <t>Properties</t>
        </is>
      </c>
      <c r="D15" s="44" t="inlineStr">
        <is>
          <t>YTD revenue</t>
        </is>
      </c>
      <c r="E15" s="44" t="inlineStr">
        <is>
          <t>YTD commission</t>
        </is>
      </c>
      <c r="F15" s="44" t="inlineStr">
        <is>
          <t>YTD hours</t>
        </is>
      </c>
      <c r="G15" s="44" t="inlineStr">
        <is>
          <t>$/hr</t>
        </is>
      </c>
      <c r="H15" s="44" t="inlineStr">
        <is>
          <t>Notes</t>
        </is>
      </c>
    </row>
    <row r="16" ht="24" customHeight="1">
      <c r="B16" s="45" t="inlineStr">
        <is>
          <t>Totals</t>
        </is>
      </c>
      <c r="C16" s="38">
        <f>IFERROR('Owners'!E7,0)</f>
        <v/>
      </c>
      <c r="D16" s="46">
        <f>IFERROR('Owners'!I7/'Owners'!H7,0)</f>
        <v/>
      </c>
      <c r="E16" s="46">
        <f>IFERROR('Owners'!I7,0)</f>
        <v/>
      </c>
      <c r="F16" s="47">
        <f>IFERROR(SUMIFS('Time Allocation'!$E$6:$E$1005,'Time Allocation'!$B$6:$B$1005,'Owners'!B7,'Time Allocation'!$F$6:$F$1005,'Settings'!$B$5),0)</f>
        <v/>
      </c>
      <c r="G16" s="46">
        <f>IFERROR(E16/F16,0)</f>
        <v/>
      </c>
      <c r="H16" s="48">
        <f>IFERROR('Owners'!L7,"")</f>
        <v/>
      </c>
    </row>
    <row r="17" ht="14" customHeight="1">
      <c r="B17" s="49" t="inlineStr">
        <is>
          <t>12-month commission trend (chart on row block below)</t>
        </is>
      </c>
    </row>
    <row r="22" ht="22" customHeight="1">
      <c r="A22" s="43">
        <f>IFERROR("OWNER " &amp; 3 &amp; ": " &amp; 'Owners'!B8, "OWNER " &amp; 3)</f>
        <v/>
      </c>
    </row>
    <row r="23" ht="18" customHeight="1">
      <c r="A23" s="44" t="inlineStr"/>
      <c r="B23" s="44" t="inlineStr">
        <is>
          <t>Metric</t>
        </is>
      </c>
      <c r="C23" s="44" t="inlineStr">
        <is>
          <t>Properties</t>
        </is>
      </c>
      <c r="D23" s="44" t="inlineStr">
        <is>
          <t>YTD revenue</t>
        </is>
      </c>
      <c r="E23" s="44" t="inlineStr">
        <is>
          <t>YTD commission</t>
        </is>
      </c>
      <c r="F23" s="44" t="inlineStr">
        <is>
          <t>YTD hours</t>
        </is>
      </c>
      <c r="G23" s="44" t="inlineStr">
        <is>
          <t>$/hr</t>
        </is>
      </c>
      <c r="H23" s="44" t="inlineStr">
        <is>
          <t>Notes</t>
        </is>
      </c>
    </row>
    <row r="24" ht="24" customHeight="1">
      <c r="B24" s="45" t="inlineStr">
        <is>
          <t>Totals</t>
        </is>
      </c>
      <c r="C24" s="38">
        <f>IFERROR('Owners'!E8,0)</f>
        <v/>
      </c>
      <c r="D24" s="46">
        <f>IFERROR('Owners'!I8/'Owners'!H8,0)</f>
        <v/>
      </c>
      <c r="E24" s="46">
        <f>IFERROR('Owners'!I8,0)</f>
        <v/>
      </c>
      <c r="F24" s="47">
        <f>IFERROR(SUMIFS('Time Allocation'!$E$6:$E$1005,'Time Allocation'!$B$6:$B$1005,'Owners'!B8,'Time Allocation'!$F$6:$F$1005,'Settings'!$B$5),0)</f>
        <v/>
      </c>
      <c r="G24" s="46">
        <f>IFERROR(E24/F24,0)</f>
        <v/>
      </c>
      <c r="H24" s="48">
        <f>IFERROR('Owners'!L8,"")</f>
        <v/>
      </c>
    </row>
    <row r="25" ht="14" customHeight="1">
      <c r="B25" s="49" t="inlineStr">
        <is>
          <t>12-month commission trend (chart on row block below)</t>
        </is>
      </c>
    </row>
    <row r="30" ht="22" customHeight="1">
      <c r="A30" s="43">
        <f>IFERROR("OWNER " &amp; 4 &amp; ": " &amp; 'Owners'!B9, "OWNER " &amp; 4)</f>
        <v/>
      </c>
    </row>
    <row r="31" ht="18" customHeight="1">
      <c r="A31" s="44" t="inlineStr"/>
      <c r="B31" s="44" t="inlineStr">
        <is>
          <t>Metric</t>
        </is>
      </c>
      <c r="C31" s="44" t="inlineStr">
        <is>
          <t>Properties</t>
        </is>
      </c>
      <c r="D31" s="44" t="inlineStr">
        <is>
          <t>YTD revenue</t>
        </is>
      </c>
      <c r="E31" s="44" t="inlineStr">
        <is>
          <t>YTD commission</t>
        </is>
      </c>
      <c r="F31" s="44" t="inlineStr">
        <is>
          <t>YTD hours</t>
        </is>
      </c>
      <c r="G31" s="44" t="inlineStr">
        <is>
          <t>$/hr</t>
        </is>
      </c>
      <c r="H31" s="44" t="inlineStr">
        <is>
          <t>Notes</t>
        </is>
      </c>
    </row>
    <row r="32" ht="24" customHeight="1">
      <c r="B32" s="45" t="inlineStr">
        <is>
          <t>Totals</t>
        </is>
      </c>
      <c r="C32" s="38">
        <f>IFERROR('Owners'!E9,0)</f>
        <v/>
      </c>
      <c r="D32" s="46">
        <f>IFERROR('Owners'!I9/'Owners'!H9,0)</f>
        <v/>
      </c>
      <c r="E32" s="46">
        <f>IFERROR('Owners'!I9,0)</f>
        <v/>
      </c>
      <c r="F32" s="47">
        <f>IFERROR(SUMIFS('Time Allocation'!$E$6:$E$1005,'Time Allocation'!$B$6:$B$1005,'Owners'!B9,'Time Allocation'!$F$6:$F$1005,'Settings'!$B$5),0)</f>
        <v/>
      </c>
      <c r="G32" s="46">
        <f>IFERROR(E32/F32,0)</f>
        <v/>
      </c>
      <c r="H32" s="48">
        <f>IFERROR('Owners'!L9,"")</f>
        <v/>
      </c>
    </row>
    <row r="33" ht="14" customHeight="1">
      <c r="B33" s="49" t="inlineStr">
        <is>
          <t>12-month commission trend (chart on row block below)</t>
        </is>
      </c>
    </row>
  </sheetData>
  <mergeCells count="12">
    <mergeCell ref="J2:L2"/>
    <mergeCell ref="D2:I2"/>
    <mergeCell ref="B17:H17"/>
    <mergeCell ref="B9:H9"/>
    <mergeCell ref="A30:H30"/>
    <mergeCell ref="A2:C2"/>
    <mergeCell ref="A22:H22"/>
    <mergeCell ref="A14:H14"/>
    <mergeCell ref="B33:H33"/>
    <mergeCell ref="B25:H25"/>
    <mergeCell ref="A6:H6"/>
    <mergeCell ref="A4:L4"/>
  </mergeCells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N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HYPERLINK("#'Per-Owner Dashboard'!A1", "← BACK")</f>
        <v/>
      </c>
      <c r="B2" s="25" t="n"/>
      <c r="C2" s="25" t="n"/>
      <c r="D2" s="34" t="inlineStr">
        <is>
          <t>PAM P&amp;L</t>
        </is>
      </c>
      <c r="J2" s="26">
        <f>HYPERLINK("#'Time Allocation'!A1",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Pam's business P&amp;L — commission revenue less your expenses. Active year on Settings!B5.</t>
        </is>
      </c>
    </row>
    <row r="5" ht="24" customHeight="1">
      <c r="A5" s="36" t="inlineStr">
        <is>
          <t>Line item</t>
        </is>
      </c>
      <c r="B5" s="36" t="inlineStr">
        <is>
          <t>Jan</t>
        </is>
      </c>
      <c r="C5" s="36" t="inlineStr">
        <is>
          <t>Feb</t>
        </is>
      </c>
      <c r="D5" s="36" t="inlineStr">
        <is>
          <t>Mar</t>
        </is>
      </c>
      <c r="E5" s="36" t="inlineStr">
        <is>
          <t>Apr</t>
        </is>
      </c>
      <c r="F5" s="36" t="inlineStr">
        <is>
          <t>May</t>
        </is>
      </c>
      <c r="G5" s="36" t="inlineStr">
        <is>
          <t>Jun</t>
        </is>
      </c>
      <c r="H5" s="36" t="inlineStr">
        <is>
          <t>Jul</t>
        </is>
      </c>
      <c r="I5" s="36" t="inlineStr">
        <is>
          <t>Aug</t>
        </is>
      </c>
      <c r="J5" s="36" t="inlineStr">
        <is>
          <t>Sep</t>
        </is>
      </c>
      <c r="K5" s="36" t="inlineStr">
        <is>
          <t>Oct</t>
        </is>
      </c>
      <c r="L5" s="36" t="inlineStr">
        <is>
          <t>Nov</t>
        </is>
      </c>
      <c r="M5" s="36" t="inlineStr">
        <is>
          <t>Dec</t>
        </is>
      </c>
      <c r="N5" s="36" t="inlineStr">
        <is>
          <t>YTD</t>
        </is>
      </c>
    </row>
    <row r="6" ht="18" customHeight="1">
      <c r="A6" s="50" t="inlineStr">
        <is>
          <t>Commission revenue (per-owner sum)</t>
        </is>
      </c>
      <c r="B6" s="41" t="n">
        <v>4200</v>
      </c>
      <c r="C6" s="41" t="n">
        <v>4400</v>
      </c>
      <c r="D6" s="41" t="n">
        <v>5800</v>
      </c>
      <c r="E6" s="41" t="n">
        <v>6100</v>
      </c>
      <c r="F6" s="41" t="n">
        <v>6400</v>
      </c>
      <c r="G6" s="41" t="n">
        <v>6200</v>
      </c>
      <c r="H6" s="41" t="n">
        <v>6800</v>
      </c>
      <c r="I6" s="41" t="n">
        <v>6500</v>
      </c>
      <c r="J6" s="41" t="n">
        <v>5800</v>
      </c>
      <c r="K6" s="41" t="n">
        <v>5200</v>
      </c>
      <c r="L6" s="41" t="n">
        <v>4400</v>
      </c>
      <c r="M6" s="41" t="n">
        <v>3700</v>
      </c>
      <c r="N6" s="46">
        <f>SUM(B6:M6)</f>
        <v/>
      </c>
    </row>
    <row r="7" ht="18" customHeight="1">
      <c r="A7" s="50" t="inlineStr">
        <is>
          <t>Bonus / one-off income</t>
        </is>
      </c>
      <c r="B7" s="41" t="n">
        <v>0</v>
      </c>
      <c r="C7" s="41" t="n">
        <v>0</v>
      </c>
      <c r="D7" s="41" t="n">
        <v>250</v>
      </c>
      <c r="E7" s="41" t="n">
        <v>0</v>
      </c>
      <c r="F7" s="41" t="n">
        <v>0</v>
      </c>
      <c r="G7" s="41" t="n">
        <v>500</v>
      </c>
      <c r="H7" s="41" t="n">
        <v>0</v>
      </c>
      <c r="I7" s="41" t="n">
        <v>0</v>
      </c>
      <c r="J7" s="41" t="n">
        <v>0</v>
      </c>
      <c r="K7" s="41" t="n">
        <v>350</v>
      </c>
      <c r="L7" s="41" t="n">
        <v>0</v>
      </c>
      <c r="M7" s="41" t="n">
        <v>0</v>
      </c>
      <c r="N7" s="46">
        <f>SUM(B7:M7)</f>
        <v/>
      </c>
    </row>
    <row r="8" ht="20" customHeight="1">
      <c r="A8" s="51" t="inlineStr">
        <is>
          <t>TOTAL INCOME</t>
        </is>
      </c>
      <c r="B8" s="52">
        <f>SUM(B6:B7)</f>
        <v/>
      </c>
      <c r="C8" s="52">
        <f>SUM(C6:C7)</f>
        <v/>
      </c>
      <c r="D8" s="52">
        <f>SUM(D6:D7)</f>
        <v/>
      </c>
      <c r="E8" s="52">
        <f>SUM(E6:E7)</f>
        <v/>
      </c>
      <c r="F8" s="52">
        <f>SUM(F6:F7)</f>
        <v/>
      </c>
      <c r="G8" s="52">
        <f>SUM(G6:G7)</f>
        <v/>
      </c>
      <c r="H8" s="52">
        <f>SUM(H6:H7)</f>
        <v/>
      </c>
      <c r="I8" s="52">
        <f>SUM(I6:I7)</f>
        <v/>
      </c>
      <c r="J8" s="52">
        <f>SUM(J6:J7)</f>
        <v/>
      </c>
      <c r="K8" s="52">
        <f>SUM(K6:K7)</f>
        <v/>
      </c>
      <c r="L8" s="52">
        <f>SUM(L6:L7)</f>
        <v/>
      </c>
      <c r="M8" s="52">
        <f>SUM(M6:M7)</f>
        <v/>
      </c>
      <c r="N8" s="52">
        <f>SUM(N6:N7)</f>
        <v/>
      </c>
    </row>
    <row r="9" ht="24" customHeight="1">
      <c r="A9" s="53" t="inlineStr">
        <is>
          <t>EXPENSES</t>
        </is>
      </c>
    </row>
    <row r="10" ht="18" customHeight="1">
      <c r="A10" s="50" t="inlineStr">
        <is>
          <t>Software (PMS, accounting, comms)</t>
        </is>
      </c>
      <c r="B10" s="41" t="n">
        <v>420</v>
      </c>
      <c r="C10" s="41" t="n">
        <v>420</v>
      </c>
      <c r="D10" s="41" t="n">
        <v>420</v>
      </c>
      <c r="E10" s="41" t="n">
        <v>420</v>
      </c>
      <c r="F10" s="41" t="n">
        <v>420</v>
      </c>
      <c r="G10" s="41" t="n">
        <v>420</v>
      </c>
      <c r="H10" s="41" t="n">
        <v>420</v>
      </c>
      <c r="I10" s="41" t="n">
        <v>420</v>
      </c>
      <c r="J10" s="41" t="n">
        <v>420</v>
      </c>
      <c r="K10" s="41" t="n">
        <v>420</v>
      </c>
      <c r="L10" s="41" t="n">
        <v>420</v>
      </c>
      <c r="M10" s="41" t="n">
        <v>420</v>
      </c>
      <c r="N10" s="46">
        <f>SUM(B10:M10)</f>
        <v/>
      </c>
    </row>
    <row r="11" ht="18" customHeight="1">
      <c r="A11" s="50" t="inlineStr">
        <is>
          <t>Insurance (E&amp;O / liability)</t>
        </is>
      </c>
      <c r="B11" s="41" t="n">
        <v>180</v>
      </c>
      <c r="C11" s="41" t="n">
        <v>180</v>
      </c>
      <c r="D11" s="41" t="n">
        <v>180</v>
      </c>
      <c r="E11" s="41" t="n">
        <v>180</v>
      </c>
      <c r="F11" s="41" t="n">
        <v>180</v>
      </c>
      <c r="G11" s="41" t="n">
        <v>180</v>
      </c>
      <c r="H11" s="41" t="n">
        <v>180</v>
      </c>
      <c r="I11" s="41" t="n">
        <v>180</v>
      </c>
      <c r="J11" s="41" t="n">
        <v>180</v>
      </c>
      <c r="K11" s="41" t="n">
        <v>180</v>
      </c>
      <c r="L11" s="41" t="n">
        <v>180</v>
      </c>
      <c r="M11" s="41" t="n">
        <v>180</v>
      </c>
      <c r="N11" s="46">
        <f>SUM(B11:M11)</f>
        <v/>
      </c>
    </row>
    <row r="12" ht="18" customHeight="1">
      <c r="A12" s="50" t="inlineStr">
        <is>
          <t>Contractor payments (non-pass-through)</t>
        </is>
      </c>
      <c r="B12" s="41" t="n">
        <v>220</v>
      </c>
      <c r="C12" s="41" t="n">
        <v>180</v>
      </c>
      <c r="D12" s="41" t="n">
        <v>240</v>
      </c>
      <c r="E12" s="41" t="n">
        <v>260</v>
      </c>
      <c r="F12" s="41" t="n">
        <v>320</v>
      </c>
      <c r="G12" s="41" t="n">
        <v>280</v>
      </c>
      <c r="H12" s="41" t="n">
        <v>300</v>
      </c>
      <c r="I12" s="41" t="n">
        <v>290</v>
      </c>
      <c r="J12" s="41" t="n">
        <v>250</v>
      </c>
      <c r="K12" s="41" t="n">
        <v>220</v>
      </c>
      <c r="L12" s="41" t="n">
        <v>180</v>
      </c>
      <c r="M12" s="41" t="n">
        <v>160</v>
      </c>
      <c r="N12" s="46">
        <f>SUM(B12:M12)</f>
        <v/>
      </c>
    </row>
    <row r="13" ht="18" customHeight="1">
      <c r="A13" s="50" t="inlineStr">
        <is>
          <t>Marketing</t>
        </is>
      </c>
      <c r="B13" s="41" t="n">
        <v>120</v>
      </c>
      <c r="C13" s="41" t="n">
        <v>120</v>
      </c>
      <c r="D13" s="41" t="n">
        <v>240</v>
      </c>
      <c r="E13" s="41" t="n">
        <v>180</v>
      </c>
      <c r="F13" s="41" t="n">
        <v>180</v>
      </c>
      <c r="G13" s="41" t="n">
        <v>180</v>
      </c>
      <c r="H13" s="41" t="n">
        <v>240</v>
      </c>
      <c r="I13" s="41" t="n">
        <v>180</v>
      </c>
      <c r="J13" s="41" t="n">
        <v>120</v>
      </c>
      <c r="K13" s="41" t="n">
        <v>120</v>
      </c>
      <c r="L13" s="41" t="n">
        <v>80</v>
      </c>
      <c r="M13" s="41" t="n">
        <v>80</v>
      </c>
      <c r="N13" s="46">
        <f>SUM(B13:M13)</f>
        <v/>
      </c>
    </row>
    <row r="14" ht="18" customHeight="1">
      <c r="A14" s="50" t="inlineStr">
        <is>
          <t>Office</t>
        </is>
      </c>
      <c r="B14" s="41" t="n">
        <v>140</v>
      </c>
      <c r="C14" s="41" t="n">
        <v>140</v>
      </c>
      <c r="D14" s="41" t="n">
        <v>140</v>
      </c>
      <c r="E14" s="41" t="n">
        <v>140</v>
      </c>
      <c r="F14" s="41" t="n">
        <v>140</v>
      </c>
      <c r="G14" s="41" t="n">
        <v>140</v>
      </c>
      <c r="H14" s="41" t="n">
        <v>140</v>
      </c>
      <c r="I14" s="41" t="n">
        <v>140</v>
      </c>
      <c r="J14" s="41" t="n">
        <v>140</v>
      </c>
      <c r="K14" s="41" t="n">
        <v>140</v>
      </c>
      <c r="L14" s="41" t="n">
        <v>140</v>
      </c>
      <c r="M14" s="41" t="n">
        <v>140</v>
      </c>
      <c r="N14" s="46">
        <f>SUM(B14:M14)</f>
        <v/>
      </c>
    </row>
    <row r="15" ht="18" customHeight="1">
      <c r="A15" s="50" t="inlineStr">
        <is>
          <t>Mileage (deductible)</t>
        </is>
      </c>
      <c r="B15" s="41" t="n">
        <v>85</v>
      </c>
      <c r="C15" s="41" t="n">
        <v>78</v>
      </c>
      <c r="D15" s="41" t="n">
        <v>142</v>
      </c>
      <c r="E15" s="41" t="n">
        <v>168</v>
      </c>
      <c r="F15" s="41" t="n">
        <v>195</v>
      </c>
      <c r="G15" s="41" t="n">
        <v>188</v>
      </c>
      <c r="H15" s="41" t="n">
        <v>210</v>
      </c>
      <c r="I15" s="41" t="n">
        <v>192</v>
      </c>
      <c r="J15" s="41" t="n">
        <v>168</v>
      </c>
      <c r="K15" s="41" t="n">
        <v>142</v>
      </c>
      <c r="L15" s="41" t="n">
        <v>96</v>
      </c>
      <c r="M15" s="41" t="n">
        <v>88</v>
      </c>
      <c r="N15" s="46">
        <f>SUM(B15:M15)</f>
        <v/>
      </c>
    </row>
    <row r="16" ht="18" customHeight="1">
      <c r="A16" s="50" t="inlineStr">
        <is>
          <t>Meals</t>
        </is>
      </c>
      <c r="B16" s="41" t="n">
        <v>38</v>
      </c>
      <c r="C16" s="41" t="n">
        <v>42</v>
      </c>
      <c r="D16" s="41" t="n">
        <v>64</v>
      </c>
      <c r="E16" s="41" t="n">
        <v>78</v>
      </c>
      <c r="F16" s="41" t="n">
        <v>82</v>
      </c>
      <c r="G16" s="41" t="n">
        <v>78</v>
      </c>
      <c r="H16" s="41" t="n">
        <v>88</v>
      </c>
      <c r="I16" s="41" t="n">
        <v>78</v>
      </c>
      <c r="J16" s="41" t="n">
        <v>64</v>
      </c>
      <c r="K16" s="41" t="n">
        <v>52</v>
      </c>
      <c r="L16" s="41" t="n">
        <v>38</v>
      </c>
      <c r="M16" s="41" t="n">
        <v>32</v>
      </c>
      <c r="N16" s="46">
        <f>SUM(B16:M16)</f>
        <v/>
      </c>
    </row>
    <row r="17" ht="18" customHeight="1">
      <c r="A17" s="50" t="inlineStr">
        <is>
          <t>Other</t>
        </is>
      </c>
      <c r="B17" s="41" t="n">
        <v>25</v>
      </c>
      <c r="C17" s="41" t="n">
        <v>25</v>
      </c>
      <c r="D17" s="41" t="n">
        <v>50</v>
      </c>
      <c r="E17" s="41" t="n">
        <v>25</v>
      </c>
      <c r="F17" s="41" t="n">
        <v>25</v>
      </c>
      <c r="G17" s="41" t="n">
        <v>75</v>
      </c>
      <c r="H17" s="41" t="n">
        <v>25</v>
      </c>
      <c r="I17" s="41" t="n">
        <v>25</v>
      </c>
      <c r="J17" s="41" t="n">
        <v>25</v>
      </c>
      <c r="K17" s="41" t="n">
        <v>50</v>
      </c>
      <c r="L17" s="41" t="n">
        <v>25</v>
      </c>
      <c r="M17" s="41" t="n">
        <v>25</v>
      </c>
      <c r="N17" s="46">
        <f>SUM(B17:M17)</f>
        <v/>
      </c>
    </row>
    <row r="18" ht="20" customHeight="1">
      <c r="A18" s="51" t="inlineStr">
        <is>
          <t>TOTAL EXPENSES</t>
        </is>
      </c>
      <c r="B18" s="52">
        <f>SUM(B10:B17)</f>
        <v/>
      </c>
      <c r="C18" s="52">
        <f>SUM(C10:C17)</f>
        <v/>
      </c>
      <c r="D18" s="52">
        <f>SUM(D10:D17)</f>
        <v/>
      </c>
      <c r="E18" s="52">
        <f>SUM(E10:E17)</f>
        <v/>
      </c>
      <c r="F18" s="52">
        <f>SUM(F10:F17)</f>
        <v/>
      </c>
      <c r="G18" s="52">
        <f>SUM(G10:G17)</f>
        <v/>
      </c>
      <c r="H18" s="52">
        <f>SUM(H10:H17)</f>
        <v/>
      </c>
      <c r="I18" s="52">
        <f>SUM(I10:I17)</f>
        <v/>
      </c>
      <c r="J18" s="52">
        <f>SUM(J10:J17)</f>
        <v/>
      </c>
      <c r="K18" s="52">
        <f>SUM(K10:K17)</f>
        <v/>
      </c>
      <c r="L18" s="52">
        <f>SUM(L10:L17)</f>
        <v/>
      </c>
      <c r="M18" s="52">
        <f>SUM(M10:M17)</f>
        <v/>
      </c>
      <c r="N18" s="52">
        <f>SUM(N10:N17)</f>
        <v/>
      </c>
    </row>
    <row r="20" ht="24" customHeight="1">
      <c r="A20" s="54" t="inlineStr">
        <is>
          <t>NOI (Income − Expenses)</t>
        </is>
      </c>
      <c r="B20" s="55">
        <f>B8-B18</f>
        <v/>
      </c>
      <c r="C20" s="55">
        <f>C8-C18</f>
        <v/>
      </c>
      <c r="D20" s="55">
        <f>D8-D18</f>
        <v/>
      </c>
      <c r="E20" s="55">
        <f>E8-E18</f>
        <v/>
      </c>
      <c r="F20" s="55">
        <f>F8-F18</f>
        <v/>
      </c>
      <c r="G20" s="55">
        <f>G8-G18</f>
        <v/>
      </c>
      <c r="H20" s="55">
        <f>H8-H18</f>
        <v/>
      </c>
      <c r="I20" s="55">
        <f>I8-I18</f>
        <v/>
      </c>
      <c r="J20" s="55">
        <f>J8-J18</f>
        <v/>
      </c>
      <c r="K20" s="55">
        <f>K8-K18</f>
        <v/>
      </c>
      <c r="L20" s="55">
        <f>L8-L18</f>
        <v/>
      </c>
      <c r="M20" s="55">
        <f>M8-M18</f>
        <v/>
      </c>
      <c r="N20" s="55">
        <f>N8-N18</f>
        <v/>
      </c>
    </row>
    <row r="21">
      <c r="A21" s="56" t="inlineStr">
        <is>
          <t>NOI margin</t>
        </is>
      </c>
      <c r="N21" s="57">
        <f>IFERROR(N20/N8,0)</f>
        <v/>
      </c>
    </row>
  </sheetData>
  <mergeCells count="5">
    <mergeCell ref="J2:L2"/>
    <mergeCell ref="D2:I2"/>
    <mergeCell ref="A9:L9"/>
    <mergeCell ref="A2:C2"/>
    <mergeCell ref="A4:L4"/>
  </mergeCells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6" customWidth="1" min="4" max="4"/>
    <col width="10" customWidth="1" min="5" max="5"/>
    <col width="12" customWidth="1" min="6" max="6"/>
    <col width="30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HYPERLINK("#'Pam P&amp;L'!A1", "← BACK")</f>
        <v/>
      </c>
      <c r="B2" s="25" t="n"/>
      <c r="C2" s="25" t="n"/>
      <c r="D2" s="34" t="inlineStr">
        <is>
          <t>TIME ALLOCATION</t>
        </is>
      </c>
      <c r="J2" s="26">
        <f>HYPERLINK("#'Owner Profitability'!A1",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Append-only log of every hour you work, tagged to owner + property + activity. Capacity 1000 rows.</t>
        </is>
      </c>
    </row>
    <row r="5" ht="24" customHeight="1">
      <c r="A5" s="36" t="inlineStr">
        <is>
          <t>Date</t>
        </is>
      </c>
      <c r="B5" s="36" t="inlineStr">
        <is>
          <t>Owner</t>
        </is>
      </c>
      <c r="C5" s="36" t="inlineStr">
        <is>
          <t>Property</t>
        </is>
      </c>
      <c r="D5" s="36" t="inlineStr">
        <is>
          <t>Activity</t>
        </is>
      </c>
      <c r="E5" s="36" t="inlineStr">
        <is>
          <t>Hours</t>
        </is>
      </c>
      <c r="F5" s="36" t="inlineStr">
        <is>
          <t>Year (auto)</t>
        </is>
      </c>
      <c r="G5" s="36" t="inlineStr">
        <is>
          <t>Notes</t>
        </is>
      </c>
    </row>
    <row r="6" ht="16" customHeight="1">
      <c r="A6" s="39" t="n">
        <v>46026</v>
      </c>
      <c r="B6" s="37" t="inlineStr">
        <is>
          <t>Lakeside Holdings LLC</t>
        </is>
      </c>
      <c r="C6" s="37" t="inlineStr">
        <is>
          <t>Smokies Ridge Cabin</t>
        </is>
      </c>
      <c r="D6" s="37" t="inlineStr">
        <is>
          <t>Listing mgmt</t>
        </is>
      </c>
      <c r="E6" s="58" t="n">
        <v>2.5</v>
      </c>
      <c r="F6" s="38">
        <f>IF(A6="","",YEAR(A6))</f>
        <v/>
      </c>
      <c r="G6" s="37" t="inlineStr">
        <is>
          <t>Q1 listing refresh</t>
        </is>
      </c>
    </row>
    <row r="7" ht="16" customHeight="1">
      <c r="A7" s="39" t="n">
        <v>46030</v>
      </c>
      <c r="B7" s="37" t="inlineStr">
        <is>
          <t>Lakeside Holdings LLC</t>
        </is>
      </c>
      <c r="C7" s="37" t="inlineStr">
        <is>
          <t>Creek Side</t>
        </is>
      </c>
      <c r="D7" s="37" t="inlineStr">
        <is>
          <t>Guest comms</t>
        </is>
      </c>
      <c r="E7" s="58" t="n">
        <v>3</v>
      </c>
      <c r="F7" s="38">
        <f>IF(A7="","",YEAR(A7))</f>
        <v/>
      </c>
      <c r="G7" s="37" t="inlineStr">
        <is>
          <t>Pre-arrival batch</t>
        </is>
      </c>
    </row>
    <row r="8" ht="16" customHeight="1">
      <c r="A8" s="39" t="n">
        <v>46037</v>
      </c>
      <c r="B8" s="37" t="inlineStr">
        <is>
          <t>Lakeside Holdings LLC</t>
        </is>
      </c>
      <c r="C8" s="37" t="inlineStr">
        <is>
          <t>Lakehouse A</t>
        </is>
      </c>
      <c r="D8" s="37" t="inlineStr">
        <is>
          <t>Vendor coord</t>
        </is>
      </c>
      <c r="E8" s="58" t="n">
        <v>1.8</v>
      </c>
      <c r="F8" s="38">
        <f>IF(A8="","",YEAR(A8))</f>
        <v/>
      </c>
      <c r="G8" s="37" t="inlineStr">
        <is>
          <t>HVAC scheduling</t>
        </is>
      </c>
    </row>
    <row r="9" ht="16" customHeight="1">
      <c r="A9" s="39" t="n">
        <v>46044</v>
      </c>
      <c r="B9" s="37" t="inlineStr">
        <is>
          <t>Lakeside Holdings LLC</t>
        </is>
      </c>
      <c r="C9" s="37" t="inlineStr">
        <is>
          <t>Pine Vale Retreat</t>
        </is>
      </c>
      <c r="D9" s="37" t="inlineStr">
        <is>
          <t>Reporting</t>
        </is>
      </c>
      <c r="E9" s="58" t="n">
        <v>2.2</v>
      </c>
      <c r="F9" s="38">
        <f>IF(A9="","",YEAR(A9))</f>
        <v/>
      </c>
      <c r="G9" s="37" t="inlineStr">
        <is>
          <t>Owner statement prep</t>
        </is>
      </c>
    </row>
    <row r="10" ht="16" customHeight="1">
      <c r="A10" s="39" t="n">
        <v>46051</v>
      </c>
      <c r="B10" s="37" t="inlineStr">
        <is>
          <t>Lakeside Holdings LLC</t>
        </is>
      </c>
      <c r="C10" s="37" t="inlineStr">
        <is>
          <t>Cedar Lakehouse</t>
        </is>
      </c>
      <c r="D10" s="37" t="inlineStr">
        <is>
          <t>Maintenance</t>
        </is>
      </c>
      <c r="E10" s="58" t="n">
        <v>1.5</v>
      </c>
      <c r="F10" s="38">
        <f>IF(A10="","",YEAR(A10))</f>
        <v/>
      </c>
      <c r="G10" s="37" t="inlineStr">
        <is>
          <t>Walk-through</t>
        </is>
      </c>
    </row>
    <row r="11" ht="16" customHeight="1">
      <c r="A11" s="39" t="n">
        <v>46056</v>
      </c>
      <c r="B11" s="37" t="inlineStr">
        <is>
          <t>Lakeside Holdings LLC</t>
        </is>
      </c>
      <c r="C11" s="37" t="inlineStr">
        <is>
          <t>Smokies Ridge Cabin</t>
        </is>
      </c>
      <c r="D11" s="37" t="inlineStr">
        <is>
          <t>Guest comms</t>
        </is>
      </c>
      <c r="E11" s="58" t="n">
        <v>2.8</v>
      </c>
      <c r="F11" s="38">
        <f>IF(A11="","",YEAR(A11))</f>
        <v/>
      </c>
      <c r="G11" s="37" t="inlineStr"/>
    </row>
    <row r="12" ht="16" customHeight="1">
      <c r="A12" s="39" t="n">
        <v>46063</v>
      </c>
      <c r="B12" s="37" t="inlineStr">
        <is>
          <t>Lakeside Holdings LLC</t>
        </is>
      </c>
      <c r="C12" s="37" t="inlineStr">
        <is>
          <t>Creek Side</t>
        </is>
      </c>
      <c r="D12" s="37" t="inlineStr">
        <is>
          <t>Listing mgmt</t>
        </is>
      </c>
      <c r="E12" s="58" t="n">
        <v>1.5</v>
      </c>
      <c r="F12" s="38">
        <f>IF(A12="","",YEAR(A12))</f>
        <v/>
      </c>
      <c r="G12" s="37" t="inlineStr">
        <is>
          <t>Photo update</t>
        </is>
      </c>
    </row>
    <row r="13" ht="16" customHeight="1">
      <c r="A13" s="39" t="n">
        <v>46070</v>
      </c>
      <c r="B13" s="37" t="inlineStr">
        <is>
          <t>Lakeside Holdings LLC</t>
        </is>
      </c>
      <c r="C13" s="37" t="inlineStr">
        <is>
          <t>Lakehouse A</t>
        </is>
      </c>
      <c r="D13" s="37" t="inlineStr">
        <is>
          <t>Reporting</t>
        </is>
      </c>
      <c r="E13" s="58" t="n">
        <v>2</v>
      </c>
      <c r="F13" s="38">
        <f>IF(A13="","",YEAR(A13))</f>
        <v/>
      </c>
      <c r="G13" s="37" t="inlineStr"/>
    </row>
    <row r="14" ht="16" customHeight="1">
      <c r="A14" s="39" t="n">
        <v>46077</v>
      </c>
      <c r="B14" s="37" t="inlineStr">
        <is>
          <t>Lakeside Holdings LLC</t>
        </is>
      </c>
      <c r="C14" s="37" t="inlineStr">
        <is>
          <t>Pine Vale Retreat</t>
        </is>
      </c>
      <c r="D14" s="37" t="inlineStr">
        <is>
          <t>Vendor coord</t>
        </is>
      </c>
      <c r="E14" s="58" t="n">
        <v>1.2</v>
      </c>
      <c r="F14" s="38">
        <f>IF(A14="","",YEAR(A14))</f>
        <v/>
      </c>
      <c r="G14" s="37" t="inlineStr">
        <is>
          <t>Cleaner onboarding</t>
        </is>
      </c>
    </row>
    <row r="15" ht="16" customHeight="1">
      <c r="A15" s="39" t="n">
        <v>46085</v>
      </c>
      <c r="B15" s="37" t="inlineStr">
        <is>
          <t>Lakeside Holdings LLC</t>
        </is>
      </c>
      <c r="C15" s="37" t="inlineStr">
        <is>
          <t>Cedar Lakehouse</t>
        </is>
      </c>
      <c r="D15" s="37" t="inlineStr">
        <is>
          <t>Guest comms</t>
        </is>
      </c>
      <c r="E15" s="58" t="n">
        <v>3.5</v>
      </c>
      <c r="F15" s="38">
        <f>IF(A15="","",YEAR(A15))</f>
        <v/>
      </c>
      <c r="G15" s="37" t="inlineStr">
        <is>
          <t>High-volume month</t>
        </is>
      </c>
    </row>
    <row r="16" ht="16" customHeight="1">
      <c r="A16" s="39" t="n">
        <v>46092</v>
      </c>
      <c r="B16" s="37" t="inlineStr">
        <is>
          <t>Lakeside Holdings LLC</t>
        </is>
      </c>
      <c r="C16" s="37" t="inlineStr">
        <is>
          <t>Smokies Ridge Cabin</t>
        </is>
      </c>
      <c r="D16" s="37" t="inlineStr">
        <is>
          <t>Maintenance</t>
        </is>
      </c>
      <c r="E16" s="58" t="n">
        <v>2</v>
      </c>
      <c r="F16" s="38">
        <f>IF(A16="","",YEAR(A16))</f>
        <v/>
      </c>
      <c r="G16" s="37" t="inlineStr">
        <is>
          <t>Plumbing follow-up</t>
        </is>
      </c>
    </row>
    <row r="17" ht="16" customHeight="1">
      <c r="A17" s="39" t="n">
        <v>46099</v>
      </c>
      <c r="B17" s="37" t="inlineStr">
        <is>
          <t>Lakeside Holdings LLC</t>
        </is>
      </c>
      <c r="C17" s="37" t="inlineStr">
        <is>
          <t>Creek Side</t>
        </is>
      </c>
      <c r="D17" s="37" t="inlineStr">
        <is>
          <t>Reporting</t>
        </is>
      </c>
      <c r="E17" s="58" t="n">
        <v>2.5</v>
      </c>
      <c r="F17" s="38">
        <f>IF(A17="","",YEAR(A17))</f>
        <v/>
      </c>
      <c r="G17" s="37" t="inlineStr">
        <is>
          <t>Q1 close</t>
        </is>
      </c>
    </row>
    <row r="18" ht="16" customHeight="1">
      <c r="A18" s="39" t="n">
        <v>46106</v>
      </c>
      <c r="B18" s="37" t="inlineStr">
        <is>
          <t>Lakeside Holdings LLC</t>
        </is>
      </c>
      <c r="C18" s="37" t="inlineStr">
        <is>
          <t>Lakehouse A</t>
        </is>
      </c>
      <c r="D18" s="37" t="inlineStr">
        <is>
          <t>Listing mgmt</t>
        </is>
      </c>
      <c r="E18" s="58" t="n">
        <v>1.8</v>
      </c>
      <c r="F18" s="38">
        <f>IF(A18="","",YEAR(A18))</f>
        <v/>
      </c>
      <c r="G18" s="37" t="inlineStr"/>
    </row>
    <row r="19" ht="16" customHeight="1">
      <c r="A19" s="39" t="n">
        <v>46114</v>
      </c>
      <c r="B19" s="37" t="inlineStr">
        <is>
          <t>Lakeside Holdings LLC</t>
        </is>
      </c>
      <c r="C19" s="37" t="inlineStr">
        <is>
          <t>Pine Vale Retreat</t>
        </is>
      </c>
      <c r="D19" s="37" t="inlineStr">
        <is>
          <t>Guest comms</t>
        </is>
      </c>
      <c r="E19" s="58" t="n">
        <v>2.4</v>
      </c>
      <c r="F19" s="38">
        <f>IF(A19="","",YEAR(A19))</f>
        <v/>
      </c>
      <c r="G19" s="37" t="inlineStr"/>
    </row>
    <row r="20" ht="16" customHeight="1">
      <c r="A20" s="39" t="n">
        <v>46121</v>
      </c>
      <c r="B20" s="37" t="inlineStr">
        <is>
          <t>Lakeside Holdings LLC</t>
        </is>
      </c>
      <c r="C20" s="37" t="inlineStr">
        <is>
          <t>Cedar Lakehouse</t>
        </is>
      </c>
      <c r="D20" s="37" t="inlineStr">
        <is>
          <t>Vendor coord</t>
        </is>
      </c>
      <c r="E20" s="58" t="n">
        <v>1.5</v>
      </c>
      <c r="F20" s="38">
        <f>IF(A20="","",YEAR(A20))</f>
        <v/>
      </c>
      <c r="G20" s="37" t="inlineStr"/>
    </row>
    <row r="21" ht="16" customHeight="1">
      <c r="A21" s="39" t="n">
        <v>46128</v>
      </c>
      <c r="B21" s="37" t="inlineStr">
        <is>
          <t>Lakeside Holdings LLC</t>
        </is>
      </c>
      <c r="C21" s="37" t="inlineStr">
        <is>
          <t>Smokies Ridge Cabin</t>
        </is>
      </c>
      <c r="D21" s="37" t="inlineStr">
        <is>
          <t>Reporting</t>
        </is>
      </c>
      <c r="E21" s="58" t="n">
        <v>2.2</v>
      </c>
      <c r="F21" s="38">
        <f>IF(A21="","",YEAR(A21))</f>
        <v/>
      </c>
      <c r="G21" s="37" t="inlineStr"/>
    </row>
    <row r="22" ht="16" customHeight="1">
      <c r="A22" s="39" t="n">
        <v>46135</v>
      </c>
      <c r="B22" s="37" t="inlineStr">
        <is>
          <t>Lakeside Holdings LLC</t>
        </is>
      </c>
      <c r="C22" s="37" t="inlineStr">
        <is>
          <t>Creek Side</t>
        </is>
      </c>
      <c r="D22" s="37" t="inlineStr">
        <is>
          <t>Maintenance</t>
        </is>
      </c>
      <c r="E22" s="58" t="n">
        <v>1.8</v>
      </c>
      <c r="F22" s="38">
        <f>IF(A22="","",YEAR(A22))</f>
        <v/>
      </c>
      <c r="G22" s="37" t="inlineStr"/>
    </row>
    <row r="23" ht="16" customHeight="1">
      <c r="A23" s="39" t="n">
        <v>46143</v>
      </c>
      <c r="B23" s="37" t="inlineStr">
        <is>
          <t>Lakeside Holdings LLC</t>
        </is>
      </c>
      <c r="C23" s="37" t="inlineStr">
        <is>
          <t>Lakehouse A</t>
        </is>
      </c>
      <c r="D23" s="37" t="inlineStr">
        <is>
          <t>Guest comms</t>
        </is>
      </c>
      <c r="E23" s="58" t="n">
        <v>3.2</v>
      </c>
      <c r="F23" s="38">
        <f>IF(A23="","",YEAR(A23))</f>
        <v/>
      </c>
      <c r="G23" s="37" t="inlineStr">
        <is>
          <t>Memorial wknd surge</t>
        </is>
      </c>
    </row>
    <row r="24" ht="16" customHeight="1">
      <c r="A24" s="39" t="n">
        <v>46150</v>
      </c>
      <c r="B24" s="37" t="inlineStr">
        <is>
          <t>Lakeside Holdings LLC</t>
        </is>
      </c>
      <c r="C24" s="37" t="inlineStr">
        <is>
          <t>Pine Vale Retreat</t>
        </is>
      </c>
      <c r="D24" s="37" t="inlineStr">
        <is>
          <t>Listing mgmt</t>
        </is>
      </c>
      <c r="E24" s="58" t="n">
        <v>2</v>
      </c>
      <c r="F24" s="38">
        <f>IF(A24="","",YEAR(A24))</f>
        <v/>
      </c>
      <c r="G24" s="37" t="inlineStr"/>
    </row>
    <row r="25" ht="16" customHeight="1">
      <c r="A25" s="39" t="n">
        <v>46157</v>
      </c>
      <c r="B25" s="37" t="inlineStr">
        <is>
          <t>Lakeside Holdings LLC</t>
        </is>
      </c>
      <c r="C25" s="37" t="inlineStr">
        <is>
          <t>Cedar Lakehouse</t>
        </is>
      </c>
      <c r="D25" s="37" t="inlineStr">
        <is>
          <t>Vendor coord</t>
        </is>
      </c>
      <c r="E25" s="58" t="n">
        <v>1.5</v>
      </c>
      <c r="F25" s="38">
        <f>IF(A25="","",YEAR(A25))</f>
        <v/>
      </c>
      <c r="G25" s="37" t="inlineStr"/>
    </row>
    <row r="26" ht="16" customHeight="1">
      <c r="A26" s="39" t="n">
        <v>46164</v>
      </c>
      <c r="B26" s="37" t="inlineStr">
        <is>
          <t>Lakeside Holdings LLC</t>
        </is>
      </c>
      <c r="C26" s="37" t="inlineStr">
        <is>
          <t>Smokies Ridge Cabin</t>
        </is>
      </c>
      <c r="D26" s="37" t="inlineStr">
        <is>
          <t>Reporting</t>
        </is>
      </c>
      <c r="E26" s="58" t="n">
        <v>2</v>
      </c>
      <c r="F26" s="38">
        <f>IF(A26="","",YEAR(A26))</f>
        <v/>
      </c>
      <c r="G26" s="37" t="inlineStr"/>
    </row>
    <row r="27" ht="16" customHeight="1">
      <c r="A27" s="39" t="n">
        <v>46171</v>
      </c>
      <c r="B27" s="37" t="inlineStr">
        <is>
          <t>Lakeside Holdings LLC</t>
        </is>
      </c>
      <c r="C27" s="37" t="inlineStr">
        <is>
          <t>Creek Side</t>
        </is>
      </c>
      <c r="D27" s="37" t="inlineStr">
        <is>
          <t>Maintenance</t>
        </is>
      </c>
      <c r="E27" s="58" t="n">
        <v>2.5</v>
      </c>
      <c r="F27" s="38">
        <f>IF(A27="","",YEAR(A27))</f>
        <v/>
      </c>
      <c r="G27" s="37" t="inlineStr"/>
    </row>
    <row r="28" ht="16" customHeight="1">
      <c r="A28" s="39" t="n">
        <v>46178</v>
      </c>
      <c r="B28" s="37" t="inlineStr">
        <is>
          <t>Lakeside Holdings LLC</t>
        </is>
      </c>
      <c r="C28" s="37" t="inlineStr">
        <is>
          <t>Lakehouse A</t>
        </is>
      </c>
      <c r="D28" s="37" t="inlineStr">
        <is>
          <t>Guest comms</t>
        </is>
      </c>
      <c r="E28" s="58" t="n">
        <v>3</v>
      </c>
      <c r="F28" s="38">
        <f>IF(A28="","",YEAR(A28))</f>
        <v/>
      </c>
      <c r="G28" s="37" t="inlineStr"/>
    </row>
    <row r="29" ht="16" customHeight="1">
      <c r="A29" s="39" t="n">
        <v>46185</v>
      </c>
      <c r="B29" s="37" t="inlineStr">
        <is>
          <t>Lakeside Holdings LLC</t>
        </is>
      </c>
      <c r="C29" s="37" t="inlineStr">
        <is>
          <t>Pine Vale Retreat</t>
        </is>
      </c>
      <c r="D29" s="37" t="inlineStr">
        <is>
          <t>Listing mgmt</t>
        </is>
      </c>
      <c r="E29" s="58" t="n">
        <v>1.8</v>
      </c>
      <c r="F29" s="38">
        <f>IF(A29="","",YEAR(A29))</f>
        <v/>
      </c>
      <c r="G29" s="37" t="inlineStr"/>
    </row>
    <row r="30" ht="16" customHeight="1">
      <c r="A30" s="39" t="n">
        <v>46192</v>
      </c>
      <c r="B30" s="37" t="inlineStr">
        <is>
          <t>Lakeside Holdings LLC</t>
        </is>
      </c>
      <c r="C30" s="37" t="inlineStr">
        <is>
          <t>Cedar Lakehouse</t>
        </is>
      </c>
      <c r="D30" s="37" t="inlineStr">
        <is>
          <t>Reporting</t>
        </is>
      </c>
      <c r="E30" s="58" t="n">
        <v>2.2</v>
      </c>
      <c r="F30" s="38">
        <f>IF(A30="","",YEAR(A30))</f>
        <v/>
      </c>
      <c r="G30" s="37" t="inlineStr"/>
    </row>
    <row r="31" ht="16" customHeight="1">
      <c r="A31" s="39" t="n">
        <v>46199</v>
      </c>
      <c r="B31" s="37" t="inlineStr">
        <is>
          <t>Lakeside Holdings LLC</t>
        </is>
      </c>
      <c r="C31" s="37" t="inlineStr">
        <is>
          <t>Smokies Ridge Cabin</t>
        </is>
      </c>
      <c r="D31" s="37" t="inlineStr">
        <is>
          <t>Vendor coord</t>
        </is>
      </c>
      <c r="E31" s="58" t="n">
        <v>1.5</v>
      </c>
      <c r="F31" s="38">
        <f>IF(A31="","",YEAR(A31))</f>
        <v/>
      </c>
      <c r="G31" s="37" t="inlineStr"/>
    </row>
    <row r="32" ht="16" customHeight="1">
      <c r="A32" s="39" t="n">
        <v>46206</v>
      </c>
      <c r="B32" s="37" t="inlineStr">
        <is>
          <t>Lakeside Holdings LLC</t>
        </is>
      </c>
      <c r="C32" s="37" t="inlineStr">
        <is>
          <t>Creek Side</t>
        </is>
      </c>
      <c r="D32" s="37" t="inlineStr">
        <is>
          <t>Guest comms</t>
        </is>
      </c>
      <c r="E32" s="58" t="n">
        <v>3.5</v>
      </c>
      <c r="F32" s="38">
        <f>IF(A32="","",YEAR(A32))</f>
        <v/>
      </c>
      <c r="G32" s="37" t="inlineStr">
        <is>
          <t>July 4 surge</t>
        </is>
      </c>
    </row>
    <row r="33" ht="16" customHeight="1">
      <c r="A33" s="39" t="n">
        <v>46213</v>
      </c>
      <c r="B33" s="37" t="inlineStr">
        <is>
          <t>Lakeside Holdings LLC</t>
        </is>
      </c>
      <c r="C33" s="37" t="inlineStr">
        <is>
          <t>Lakehouse A</t>
        </is>
      </c>
      <c r="D33" s="37" t="inlineStr">
        <is>
          <t>Maintenance</t>
        </is>
      </c>
      <c r="E33" s="58" t="n">
        <v>2</v>
      </c>
      <c r="F33" s="38">
        <f>IF(A33="","",YEAR(A33))</f>
        <v/>
      </c>
      <c r="G33" s="37" t="inlineStr"/>
    </row>
    <row r="34" ht="16" customHeight="1">
      <c r="A34" s="39" t="n">
        <v>46220</v>
      </c>
      <c r="B34" s="37" t="inlineStr">
        <is>
          <t>Lakeside Holdings LLC</t>
        </is>
      </c>
      <c r="C34" s="37" t="inlineStr">
        <is>
          <t>Pine Vale Retreat</t>
        </is>
      </c>
      <c r="D34" s="37" t="inlineStr">
        <is>
          <t>Reporting</t>
        </is>
      </c>
      <c r="E34" s="58" t="n">
        <v>2</v>
      </c>
      <c r="F34" s="38">
        <f>IF(A34="","",YEAR(A34))</f>
        <v/>
      </c>
      <c r="G34" s="37" t="inlineStr"/>
    </row>
    <row r="35" ht="16" customHeight="1">
      <c r="A35" s="39" t="n">
        <v>46227</v>
      </c>
      <c r="B35" s="37" t="inlineStr">
        <is>
          <t>Lakeside Holdings LLC</t>
        </is>
      </c>
      <c r="C35" s="37" t="inlineStr">
        <is>
          <t>Cedar Lakehouse</t>
        </is>
      </c>
      <c r="D35" s="37" t="inlineStr">
        <is>
          <t>Listing mgmt</t>
        </is>
      </c>
      <c r="E35" s="58" t="n">
        <v>1.5</v>
      </c>
      <c r="F35" s="38">
        <f>IF(A35="","",YEAR(A35))</f>
        <v/>
      </c>
      <c r="G35" s="37" t="inlineStr"/>
    </row>
    <row r="36" ht="16" customHeight="1">
      <c r="A36" s="39" t="n">
        <v>46234</v>
      </c>
      <c r="B36" s="37" t="inlineStr">
        <is>
          <t>Lakeside Holdings LLC</t>
        </is>
      </c>
      <c r="C36" s="37" t="inlineStr">
        <is>
          <t>Smokies Ridge Cabin</t>
        </is>
      </c>
      <c r="D36" s="37" t="inlineStr">
        <is>
          <t>Guest comms</t>
        </is>
      </c>
      <c r="E36" s="58" t="n">
        <v>2.5</v>
      </c>
      <c r="F36" s="38">
        <f>IF(A36="","",YEAR(A36))</f>
        <v/>
      </c>
      <c r="G36" s="37" t="inlineStr"/>
    </row>
    <row r="37" ht="16" customHeight="1">
      <c r="A37" s="39" t="n">
        <v>46241</v>
      </c>
      <c r="B37" s="37" t="inlineStr">
        <is>
          <t>Lakeside Holdings LLC</t>
        </is>
      </c>
      <c r="C37" s="37" t="inlineStr">
        <is>
          <t>Creek Side</t>
        </is>
      </c>
      <c r="D37" s="37" t="inlineStr">
        <is>
          <t>Vendor coord</t>
        </is>
      </c>
      <c r="E37" s="58" t="n">
        <v>1.8</v>
      </c>
      <c r="F37" s="38">
        <f>IF(A37="","",YEAR(A37))</f>
        <v/>
      </c>
      <c r="G37" s="37" t="inlineStr"/>
    </row>
    <row r="38" ht="16" customHeight="1">
      <c r="A38" s="39" t="n">
        <v>46248</v>
      </c>
      <c r="B38" s="37" t="inlineStr">
        <is>
          <t>Lakeside Holdings LLC</t>
        </is>
      </c>
      <c r="C38" s="37" t="inlineStr">
        <is>
          <t>Lakehouse A</t>
        </is>
      </c>
      <c r="D38" s="37" t="inlineStr">
        <is>
          <t>Reporting</t>
        </is>
      </c>
      <c r="E38" s="58" t="n">
        <v>2</v>
      </c>
      <c r="F38" s="38">
        <f>IF(A38="","",YEAR(A38))</f>
        <v/>
      </c>
      <c r="G38" s="37" t="inlineStr"/>
    </row>
    <row r="39" ht="16" customHeight="1">
      <c r="A39" s="39" t="n">
        <v>46255</v>
      </c>
      <c r="B39" s="37" t="inlineStr">
        <is>
          <t>Lakeside Holdings LLC</t>
        </is>
      </c>
      <c r="C39" s="37" t="inlineStr">
        <is>
          <t>Pine Vale Retreat</t>
        </is>
      </c>
      <c r="D39" s="37" t="inlineStr">
        <is>
          <t>Maintenance</t>
        </is>
      </c>
      <c r="E39" s="58" t="n">
        <v>2.2</v>
      </c>
      <c r="F39" s="38">
        <f>IF(A39="","",YEAR(A39))</f>
        <v/>
      </c>
      <c r="G39" s="37" t="inlineStr"/>
    </row>
    <row r="40" ht="16" customHeight="1">
      <c r="A40" s="39" t="n">
        <v>46262</v>
      </c>
      <c r="B40" s="37" t="inlineStr">
        <is>
          <t>Lakeside Holdings LLC</t>
        </is>
      </c>
      <c r="C40" s="37" t="inlineStr">
        <is>
          <t>Cedar Lakehouse</t>
        </is>
      </c>
      <c r="D40" s="37" t="inlineStr">
        <is>
          <t>Guest comms</t>
        </is>
      </c>
      <c r="E40" s="58" t="n">
        <v>2.5</v>
      </c>
      <c r="F40" s="38">
        <f>IF(A40="","",YEAR(A40))</f>
        <v/>
      </c>
      <c r="G40" s="37" t="inlineStr"/>
    </row>
    <row r="41" ht="16" customHeight="1">
      <c r="A41" s="39" t="n">
        <v>46269</v>
      </c>
      <c r="B41" s="37" t="inlineStr">
        <is>
          <t>Lakeside Holdings LLC</t>
        </is>
      </c>
      <c r="C41" s="37" t="inlineStr">
        <is>
          <t>Smokies Ridge Cabin</t>
        </is>
      </c>
      <c r="D41" s="37" t="inlineStr">
        <is>
          <t>Listing mgmt</t>
        </is>
      </c>
      <c r="E41" s="58" t="n">
        <v>1.5</v>
      </c>
      <c r="F41" s="38">
        <f>IF(A41="","",YEAR(A41))</f>
        <v/>
      </c>
      <c r="G41" s="37" t="inlineStr">
        <is>
          <t>Q4 prep</t>
        </is>
      </c>
    </row>
    <row r="42" ht="16" customHeight="1">
      <c r="A42" s="39" t="n">
        <v>46276</v>
      </c>
      <c r="B42" s="37" t="inlineStr">
        <is>
          <t>Lakeside Holdings LLC</t>
        </is>
      </c>
      <c r="C42" s="37" t="inlineStr">
        <is>
          <t>Creek Side</t>
        </is>
      </c>
      <c r="D42" s="37" t="inlineStr">
        <is>
          <t>Reporting</t>
        </is>
      </c>
      <c r="E42" s="58" t="n">
        <v>2</v>
      </c>
      <c r="F42" s="38">
        <f>IF(A42="","",YEAR(A42))</f>
        <v/>
      </c>
      <c r="G42" s="37" t="inlineStr"/>
    </row>
    <row r="43" ht="16" customHeight="1">
      <c r="A43" s="39" t="n">
        <v>46283</v>
      </c>
      <c r="B43" s="37" t="inlineStr">
        <is>
          <t>Lakeside Holdings LLC</t>
        </is>
      </c>
      <c r="C43" s="37" t="inlineStr">
        <is>
          <t>Lakehouse A</t>
        </is>
      </c>
      <c r="D43" s="37" t="inlineStr">
        <is>
          <t>Vendor coord</t>
        </is>
      </c>
      <c r="E43" s="58" t="n">
        <v>1.8</v>
      </c>
      <c r="F43" s="38">
        <f>IF(A43="","",YEAR(A43))</f>
        <v/>
      </c>
      <c r="G43" s="37" t="inlineStr"/>
    </row>
    <row r="44" ht="16" customHeight="1">
      <c r="A44" s="39" t="n">
        <v>46290</v>
      </c>
      <c r="B44" s="37" t="inlineStr">
        <is>
          <t>Lakeside Holdings LLC</t>
        </is>
      </c>
      <c r="C44" s="37" t="inlineStr">
        <is>
          <t>Pine Vale Retreat</t>
        </is>
      </c>
      <c r="D44" s="37" t="inlineStr">
        <is>
          <t>Guest comms</t>
        </is>
      </c>
      <c r="E44" s="58" t="n">
        <v>2.2</v>
      </c>
      <c r="F44" s="38">
        <f>IF(A44="","",YEAR(A44))</f>
        <v/>
      </c>
      <c r="G44" s="37" t="inlineStr"/>
    </row>
    <row r="45" ht="16" customHeight="1">
      <c r="A45" s="39" t="n">
        <v>46297</v>
      </c>
      <c r="B45" s="37" t="inlineStr">
        <is>
          <t>Lakeside Holdings LLC</t>
        </is>
      </c>
      <c r="C45" s="37" t="inlineStr">
        <is>
          <t>Cedar Lakehouse</t>
        </is>
      </c>
      <c r="D45" s="37" t="inlineStr">
        <is>
          <t>Maintenance</t>
        </is>
      </c>
      <c r="E45" s="58" t="n">
        <v>2</v>
      </c>
      <c r="F45" s="38">
        <f>IF(A45="","",YEAR(A45))</f>
        <v/>
      </c>
      <c r="G45" s="37" t="inlineStr"/>
    </row>
    <row r="46" ht="16" customHeight="1">
      <c r="A46" s="39" t="n">
        <v>46304</v>
      </c>
      <c r="B46" s="37" t="inlineStr">
        <is>
          <t>Lakeside Holdings LLC</t>
        </is>
      </c>
      <c r="C46" s="37" t="inlineStr">
        <is>
          <t>Smokies Ridge Cabin</t>
        </is>
      </c>
      <c r="D46" s="37" t="inlineStr">
        <is>
          <t>Reporting</t>
        </is>
      </c>
      <c r="E46" s="58" t="n">
        <v>2.5</v>
      </c>
      <c r="F46" s="38">
        <f>IF(A46="","",YEAR(A46))</f>
        <v/>
      </c>
      <c r="G46" s="37" t="inlineStr"/>
    </row>
    <row r="47" ht="16" customHeight="1">
      <c r="A47" s="39" t="n">
        <v>46311</v>
      </c>
      <c r="B47" s="37" t="inlineStr">
        <is>
          <t>Lakeside Holdings LLC</t>
        </is>
      </c>
      <c r="C47" s="37" t="inlineStr">
        <is>
          <t>Creek Side</t>
        </is>
      </c>
      <c r="D47" s="37" t="inlineStr">
        <is>
          <t>Listing mgmt</t>
        </is>
      </c>
      <c r="E47" s="58" t="n">
        <v>1.5</v>
      </c>
      <c r="F47" s="38">
        <f>IF(A47="","",YEAR(A47))</f>
        <v/>
      </c>
      <c r="G47" s="37" t="inlineStr"/>
    </row>
    <row r="48" ht="16" customHeight="1">
      <c r="A48" s="39" t="n">
        <v>46318</v>
      </c>
      <c r="B48" s="37" t="inlineStr">
        <is>
          <t>Lakeside Holdings LLC</t>
        </is>
      </c>
      <c r="C48" s="37" t="inlineStr">
        <is>
          <t>Lakehouse A</t>
        </is>
      </c>
      <c r="D48" s="37" t="inlineStr">
        <is>
          <t>Guest comms</t>
        </is>
      </c>
      <c r="E48" s="58" t="n">
        <v>2</v>
      </c>
      <c r="F48" s="38">
        <f>IF(A48="","",YEAR(A48))</f>
        <v/>
      </c>
      <c r="G48" s="37" t="inlineStr"/>
    </row>
    <row r="49" ht="16" customHeight="1">
      <c r="A49" s="39" t="n">
        <v>46325</v>
      </c>
      <c r="B49" s="37" t="inlineStr">
        <is>
          <t>Lakeside Holdings LLC</t>
        </is>
      </c>
      <c r="C49" s="37" t="inlineStr">
        <is>
          <t>Pine Vale Retreat</t>
        </is>
      </c>
      <c r="D49" s="37" t="inlineStr">
        <is>
          <t>Vendor coord</t>
        </is>
      </c>
      <c r="E49" s="58" t="n">
        <v>1.5</v>
      </c>
      <c r="F49" s="38">
        <f>IF(A49="","",YEAR(A49))</f>
        <v/>
      </c>
      <c r="G49" s="37" t="inlineStr"/>
    </row>
    <row r="50" ht="16" customHeight="1">
      <c r="A50" s="39" t="n">
        <v>46332</v>
      </c>
      <c r="B50" s="37" t="inlineStr">
        <is>
          <t>Lakeside Holdings LLC</t>
        </is>
      </c>
      <c r="C50" s="37" t="inlineStr">
        <is>
          <t>Cedar Lakehouse</t>
        </is>
      </c>
      <c r="D50" s="37" t="inlineStr">
        <is>
          <t>Reporting</t>
        </is>
      </c>
      <c r="E50" s="58" t="n">
        <v>2</v>
      </c>
      <c r="F50" s="38">
        <f>IF(A50="","",YEAR(A50))</f>
        <v/>
      </c>
      <c r="G50" s="37" t="inlineStr"/>
    </row>
    <row r="51" ht="16" customHeight="1">
      <c r="A51" s="39" t="n">
        <v>46339</v>
      </c>
      <c r="B51" s="37" t="inlineStr">
        <is>
          <t>Lakeside Holdings LLC</t>
        </is>
      </c>
      <c r="C51" s="37" t="inlineStr">
        <is>
          <t>Smokies Ridge Cabin</t>
        </is>
      </c>
      <c r="D51" s="37" t="inlineStr">
        <is>
          <t>Maintenance</t>
        </is>
      </c>
      <c r="E51" s="58" t="n">
        <v>1.8</v>
      </c>
      <c r="F51" s="38">
        <f>IF(A51="","",YEAR(A51))</f>
        <v/>
      </c>
      <c r="G51" s="37" t="inlineStr"/>
    </row>
    <row r="52" ht="16" customHeight="1">
      <c r="A52" s="39" t="n">
        <v>46346</v>
      </c>
      <c r="B52" s="37" t="inlineStr">
        <is>
          <t>Lakeside Holdings LLC</t>
        </is>
      </c>
      <c r="C52" s="37" t="inlineStr">
        <is>
          <t>Creek Side</t>
        </is>
      </c>
      <c r="D52" s="37" t="inlineStr">
        <is>
          <t>Guest comms</t>
        </is>
      </c>
      <c r="E52" s="58" t="n">
        <v>2</v>
      </c>
      <c r="F52" s="38">
        <f>IF(A52="","",YEAR(A52))</f>
        <v/>
      </c>
      <c r="G52" s="37" t="inlineStr"/>
    </row>
    <row r="53" ht="16" customHeight="1">
      <c r="A53" s="39" t="n">
        <v>46353</v>
      </c>
      <c r="B53" s="37" t="inlineStr">
        <is>
          <t>Lakeside Holdings LLC</t>
        </is>
      </c>
      <c r="C53" s="37" t="inlineStr">
        <is>
          <t>Lakehouse A</t>
        </is>
      </c>
      <c r="D53" s="37" t="inlineStr">
        <is>
          <t>Listing mgmt</t>
        </is>
      </c>
      <c r="E53" s="58" t="n">
        <v>1.5</v>
      </c>
      <c r="F53" s="38">
        <f>IF(A53="","",YEAR(A53))</f>
        <v/>
      </c>
      <c r="G53" s="37" t="inlineStr"/>
    </row>
    <row r="54" ht="16" customHeight="1">
      <c r="A54" s="39" t="n">
        <v>46360</v>
      </c>
      <c r="B54" s="37" t="inlineStr">
        <is>
          <t>Lakeside Holdings LLC</t>
        </is>
      </c>
      <c r="C54" s="37" t="inlineStr">
        <is>
          <t>Pine Vale Retreat</t>
        </is>
      </c>
      <c r="D54" s="37" t="inlineStr">
        <is>
          <t>Reporting</t>
        </is>
      </c>
      <c r="E54" s="58" t="n">
        <v>2.5</v>
      </c>
      <c r="F54" s="38">
        <f>IF(A54="","",YEAR(A54))</f>
        <v/>
      </c>
      <c r="G54" s="37" t="inlineStr">
        <is>
          <t>Year-end</t>
        </is>
      </c>
    </row>
    <row r="55" ht="16" customHeight="1">
      <c r="A55" s="39" t="n">
        <v>46367</v>
      </c>
      <c r="B55" s="37" t="inlineStr">
        <is>
          <t>Lakeside Holdings LLC</t>
        </is>
      </c>
      <c r="C55" s="37" t="inlineStr">
        <is>
          <t>Cedar Lakehouse</t>
        </is>
      </c>
      <c r="D55" s="37" t="inlineStr">
        <is>
          <t>Guest comms</t>
        </is>
      </c>
      <c r="E55" s="58" t="n">
        <v>2</v>
      </c>
      <c r="F55" s="38">
        <f>IF(A55="","",YEAR(A55))</f>
        <v/>
      </c>
      <c r="G55" s="37" t="inlineStr"/>
    </row>
    <row r="56" ht="16" customHeight="1">
      <c r="A56" s="39" t="n">
        <v>46374</v>
      </c>
      <c r="B56" s="37" t="inlineStr">
        <is>
          <t>Lakeside Holdings LLC</t>
        </is>
      </c>
      <c r="C56" s="37" t="inlineStr">
        <is>
          <t>Smokies Ridge Cabin</t>
        </is>
      </c>
      <c r="D56" s="37" t="inlineStr">
        <is>
          <t>Vendor coord</t>
        </is>
      </c>
      <c r="E56" s="58" t="n">
        <v>1.5</v>
      </c>
      <c r="F56" s="38">
        <f>IF(A56="","",YEAR(A56))</f>
        <v/>
      </c>
      <c r="G56" s="37" t="inlineStr"/>
    </row>
    <row r="57" ht="16" customHeight="1">
      <c r="A57" s="39" t="n">
        <v>46378</v>
      </c>
      <c r="B57" s="37" t="inlineStr">
        <is>
          <t>Lakeside Holdings LLC</t>
        </is>
      </c>
      <c r="C57" s="37" t="inlineStr">
        <is>
          <t>Creek Side</t>
        </is>
      </c>
      <c r="D57" s="37" t="inlineStr">
        <is>
          <t>Maintenance</t>
        </is>
      </c>
      <c r="E57" s="58" t="n">
        <v>2</v>
      </c>
      <c r="F57" s="38">
        <f>IF(A57="","",YEAR(A57))</f>
        <v/>
      </c>
      <c r="G57" s="37" t="inlineStr">
        <is>
          <t>Holiday turnover</t>
        </is>
      </c>
    </row>
    <row r="58" ht="16" customHeight="1">
      <c r="A58" s="39" t="n">
        <v>46028</v>
      </c>
      <c r="B58" s="37" t="inlineStr">
        <is>
          <t>Maddox Trust</t>
        </is>
      </c>
      <c r="C58" s="37" t="inlineStr">
        <is>
          <t>Mountain Loft</t>
        </is>
      </c>
      <c r="D58" s="37" t="inlineStr">
        <is>
          <t>Listing mgmt</t>
        </is>
      </c>
      <c r="E58" s="58" t="n">
        <v>2</v>
      </c>
      <c r="F58" s="38">
        <f>IF(A58="","",YEAR(A58))</f>
        <v/>
      </c>
      <c r="G58" s="37" t="inlineStr"/>
    </row>
    <row r="59" ht="16" customHeight="1">
      <c r="A59" s="39" t="n">
        <v>46035</v>
      </c>
      <c r="B59" s="37" t="inlineStr">
        <is>
          <t>Maddox Trust</t>
        </is>
      </c>
      <c r="C59" s="37" t="inlineStr">
        <is>
          <t>Forest Cabin</t>
        </is>
      </c>
      <c r="D59" s="37" t="inlineStr">
        <is>
          <t>Guest comms</t>
        </is>
      </c>
      <c r="E59" s="58" t="n">
        <v>2.5</v>
      </c>
      <c r="F59" s="38">
        <f>IF(A59="","",YEAR(A59))</f>
        <v/>
      </c>
      <c r="G59" s="37" t="inlineStr"/>
    </row>
    <row r="60" ht="16" customHeight="1">
      <c r="A60" s="39" t="n">
        <v>46049</v>
      </c>
      <c r="B60" s="37" t="inlineStr">
        <is>
          <t>Maddox Trust</t>
        </is>
      </c>
      <c r="C60" s="37" t="inlineStr">
        <is>
          <t>Riverbend Cottage</t>
        </is>
      </c>
      <c r="D60" s="37" t="inlineStr">
        <is>
          <t>Vendor coord</t>
        </is>
      </c>
      <c r="E60" s="58" t="n">
        <v>1.5</v>
      </c>
      <c r="F60" s="38">
        <f>IF(A60="","",YEAR(A60))</f>
        <v/>
      </c>
      <c r="G60" s="37" t="inlineStr"/>
    </row>
    <row r="61" ht="16" customHeight="1">
      <c r="A61" s="39" t="n">
        <v>46058</v>
      </c>
      <c r="B61" s="37" t="inlineStr">
        <is>
          <t>Maddox Trust</t>
        </is>
      </c>
      <c r="C61" s="37" t="inlineStr">
        <is>
          <t>Mountain Loft</t>
        </is>
      </c>
      <c r="D61" s="37" t="inlineStr">
        <is>
          <t>Reporting</t>
        </is>
      </c>
      <c r="E61" s="58" t="n">
        <v>2</v>
      </c>
      <c r="F61" s="38">
        <f>IF(A61="","",YEAR(A61))</f>
        <v/>
      </c>
      <c r="G61" s="37" t="inlineStr"/>
    </row>
    <row r="62" ht="16" customHeight="1">
      <c r="A62" s="39" t="n">
        <v>46065</v>
      </c>
      <c r="B62" s="37" t="inlineStr">
        <is>
          <t>Maddox Trust</t>
        </is>
      </c>
      <c r="C62" s="37" t="inlineStr">
        <is>
          <t>Forest Cabin</t>
        </is>
      </c>
      <c r="D62" s="37" t="inlineStr">
        <is>
          <t>Guest comms</t>
        </is>
      </c>
      <c r="E62" s="58" t="n">
        <v>2.8</v>
      </c>
      <c r="F62" s="38">
        <f>IF(A62="","",YEAR(A62))</f>
        <v/>
      </c>
      <c r="G62" s="37" t="inlineStr"/>
    </row>
    <row r="63" ht="16" customHeight="1">
      <c r="A63" s="39" t="n">
        <v>46072</v>
      </c>
      <c r="B63" s="37" t="inlineStr">
        <is>
          <t>Maddox Trust</t>
        </is>
      </c>
      <c r="C63" s="37" t="inlineStr">
        <is>
          <t>Riverbend Cottage</t>
        </is>
      </c>
      <c r="D63" s="37" t="inlineStr">
        <is>
          <t>Maintenance</t>
        </is>
      </c>
      <c r="E63" s="58" t="n">
        <v>1.8</v>
      </c>
      <c r="F63" s="38">
        <f>IF(A63="","",YEAR(A63))</f>
        <v/>
      </c>
      <c r="G63" s="37" t="inlineStr"/>
    </row>
    <row r="64" ht="16" customHeight="1">
      <c r="A64" s="39" t="n">
        <v>46087</v>
      </c>
      <c r="B64" s="37" t="inlineStr">
        <is>
          <t>Maddox Trust</t>
        </is>
      </c>
      <c r="C64" s="37" t="inlineStr">
        <is>
          <t>Mountain Loft</t>
        </is>
      </c>
      <c r="D64" s="37" t="inlineStr">
        <is>
          <t>Listing mgmt</t>
        </is>
      </c>
      <c r="E64" s="58" t="n">
        <v>1.5</v>
      </c>
      <c r="F64" s="38">
        <f>IF(A64="","",YEAR(A64))</f>
        <v/>
      </c>
      <c r="G64" s="37" t="inlineStr"/>
    </row>
    <row r="65" ht="16" customHeight="1">
      <c r="A65" s="39" t="n">
        <v>46094</v>
      </c>
      <c r="B65" s="37" t="inlineStr">
        <is>
          <t>Maddox Trust</t>
        </is>
      </c>
      <c r="C65" s="37" t="inlineStr">
        <is>
          <t>Forest Cabin</t>
        </is>
      </c>
      <c r="D65" s="37" t="inlineStr">
        <is>
          <t>Reporting</t>
        </is>
      </c>
      <c r="E65" s="58" t="n">
        <v>2.2</v>
      </c>
      <c r="F65" s="38">
        <f>IF(A65="","",YEAR(A65))</f>
        <v/>
      </c>
      <c r="G65" s="37" t="inlineStr"/>
    </row>
    <row r="66" ht="16" customHeight="1">
      <c r="A66" s="39" t="n">
        <v>46101</v>
      </c>
      <c r="B66" s="37" t="inlineStr">
        <is>
          <t>Maddox Trust</t>
        </is>
      </c>
      <c r="C66" s="37" t="inlineStr">
        <is>
          <t>Riverbend Cottage</t>
        </is>
      </c>
      <c r="D66" s="37" t="inlineStr">
        <is>
          <t>Vendor coord</t>
        </is>
      </c>
      <c r="E66" s="58" t="n">
        <v>1.2</v>
      </c>
      <c r="F66" s="38">
        <f>IF(A66="","",YEAR(A66))</f>
        <v/>
      </c>
      <c r="G66" s="37" t="inlineStr"/>
    </row>
    <row r="67" ht="16" customHeight="1">
      <c r="A67" s="39" t="n">
        <v>46115</v>
      </c>
      <c r="B67" s="37" t="inlineStr">
        <is>
          <t>Maddox Trust</t>
        </is>
      </c>
      <c r="C67" s="37" t="inlineStr">
        <is>
          <t>Mountain Loft</t>
        </is>
      </c>
      <c r="D67" s="37" t="inlineStr">
        <is>
          <t>Guest comms</t>
        </is>
      </c>
      <c r="E67" s="58" t="n">
        <v>2.5</v>
      </c>
      <c r="F67" s="38">
        <f>IF(A67="","",YEAR(A67))</f>
        <v/>
      </c>
      <c r="G67" s="37" t="inlineStr"/>
    </row>
    <row r="68" ht="16" customHeight="1">
      <c r="A68" s="39" t="n">
        <v>46122</v>
      </c>
      <c r="B68" s="37" t="inlineStr">
        <is>
          <t>Maddox Trust</t>
        </is>
      </c>
      <c r="C68" s="37" t="inlineStr">
        <is>
          <t>Forest Cabin</t>
        </is>
      </c>
      <c r="D68" s="37" t="inlineStr">
        <is>
          <t>Maintenance</t>
        </is>
      </c>
      <c r="E68" s="58" t="n">
        <v>2</v>
      </c>
      <c r="F68" s="38">
        <f>IF(A68="","",YEAR(A68))</f>
        <v/>
      </c>
      <c r="G68" s="37" t="inlineStr"/>
    </row>
    <row r="69" ht="16" customHeight="1">
      <c r="A69" s="39" t="n">
        <v>46129</v>
      </c>
      <c r="B69" s="37" t="inlineStr">
        <is>
          <t>Maddox Trust</t>
        </is>
      </c>
      <c r="C69" s="37" t="inlineStr">
        <is>
          <t>Riverbend Cottage</t>
        </is>
      </c>
      <c r="D69" s="37" t="inlineStr">
        <is>
          <t>Listing mgmt</t>
        </is>
      </c>
      <c r="E69" s="58" t="n">
        <v>1.8</v>
      </c>
      <c r="F69" s="38">
        <f>IF(A69="","",YEAR(A69))</f>
        <v/>
      </c>
      <c r="G69" s="37" t="inlineStr"/>
    </row>
    <row r="70" ht="16" customHeight="1">
      <c r="A70" s="39" t="n">
        <v>46144</v>
      </c>
      <c r="B70" s="37" t="inlineStr">
        <is>
          <t>Maddox Trust</t>
        </is>
      </c>
      <c r="C70" s="37" t="inlineStr">
        <is>
          <t>Mountain Loft</t>
        </is>
      </c>
      <c r="D70" s="37" t="inlineStr">
        <is>
          <t>Reporting</t>
        </is>
      </c>
      <c r="E70" s="58" t="n">
        <v>2</v>
      </c>
      <c r="F70" s="38">
        <f>IF(A70="","",YEAR(A70))</f>
        <v/>
      </c>
      <c r="G70" s="37" t="inlineStr"/>
    </row>
    <row r="71" ht="16" customHeight="1">
      <c r="A71" s="39" t="n">
        <v>46151</v>
      </c>
      <c r="B71" s="37" t="inlineStr">
        <is>
          <t>Maddox Trust</t>
        </is>
      </c>
      <c r="C71" s="37" t="inlineStr">
        <is>
          <t>Forest Cabin</t>
        </is>
      </c>
      <c r="D71" s="37" t="inlineStr">
        <is>
          <t>Guest comms</t>
        </is>
      </c>
      <c r="E71" s="58" t="n">
        <v>3</v>
      </c>
      <c r="F71" s="38">
        <f>IF(A71="","",YEAR(A71))</f>
        <v/>
      </c>
      <c r="G71" s="37" t="inlineStr"/>
    </row>
    <row r="72" ht="16" customHeight="1">
      <c r="A72" s="39" t="n">
        <v>46165</v>
      </c>
      <c r="B72" s="37" t="inlineStr">
        <is>
          <t>Maddox Trust</t>
        </is>
      </c>
      <c r="C72" s="37" t="inlineStr">
        <is>
          <t>Riverbend Cottage</t>
        </is>
      </c>
      <c r="D72" s="37" t="inlineStr">
        <is>
          <t>Vendor coord</t>
        </is>
      </c>
      <c r="E72" s="58" t="n">
        <v>1.5</v>
      </c>
      <c r="F72" s="38">
        <f>IF(A72="","",YEAR(A72))</f>
        <v/>
      </c>
      <c r="G72" s="37" t="inlineStr"/>
    </row>
    <row r="73" ht="16" customHeight="1">
      <c r="A73" s="39" t="n">
        <v>46179</v>
      </c>
      <c r="B73" s="37" t="inlineStr">
        <is>
          <t>Maddox Trust</t>
        </is>
      </c>
      <c r="C73" s="37" t="inlineStr">
        <is>
          <t>Mountain Loft</t>
        </is>
      </c>
      <c r="D73" s="37" t="inlineStr">
        <is>
          <t>Maintenance</t>
        </is>
      </c>
      <c r="E73" s="58" t="n">
        <v>2</v>
      </c>
      <c r="F73" s="38">
        <f>IF(A73="","",YEAR(A73))</f>
        <v/>
      </c>
      <c r="G73" s="37" t="inlineStr"/>
    </row>
    <row r="74" ht="16" customHeight="1">
      <c r="A74" s="39" t="n">
        <v>46186</v>
      </c>
      <c r="B74" s="37" t="inlineStr">
        <is>
          <t>Maddox Trust</t>
        </is>
      </c>
      <c r="C74" s="37" t="inlineStr">
        <is>
          <t>Forest Cabin</t>
        </is>
      </c>
      <c r="D74" s="37" t="inlineStr">
        <is>
          <t>Listing mgmt</t>
        </is>
      </c>
      <c r="E74" s="58" t="n">
        <v>1.5</v>
      </c>
      <c r="F74" s="38">
        <f>IF(A74="","",YEAR(A74))</f>
        <v/>
      </c>
      <c r="G74" s="37" t="inlineStr"/>
    </row>
    <row r="75" ht="16" customHeight="1">
      <c r="A75" s="39" t="n">
        <v>46193</v>
      </c>
      <c r="B75" s="37" t="inlineStr">
        <is>
          <t>Maddox Trust</t>
        </is>
      </c>
      <c r="C75" s="37" t="inlineStr">
        <is>
          <t>Riverbend Cottage</t>
        </is>
      </c>
      <c r="D75" s="37" t="inlineStr">
        <is>
          <t>Reporting</t>
        </is>
      </c>
      <c r="E75" s="58" t="n">
        <v>2.2</v>
      </c>
      <c r="F75" s="38">
        <f>IF(A75="","",YEAR(A75))</f>
        <v/>
      </c>
      <c r="G75" s="37" t="inlineStr"/>
    </row>
    <row r="76" ht="16" customHeight="1">
      <c r="A76" s="39" t="n">
        <v>46207</v>
      </c>
      <c r="B76" s="37" t="inlineStr">
        <is>
          <t>Maddox Trust</t>
        </is>
      </c>
      <c r="C76" s="37" t="inlineStr">
        <is>
          <t>Mountain Loft</t>
        </is>
      </c>
      <c r="D76" s="37" t="inlineStr">
        <is>
          <t>Guest comms</t>
        </is>
      </c>
      <c r="E76" s="58" t="n">
        <v>3</v>
      </c>
      <c r="F76" s="38">
        <f>IF(A76="","",YEAR(A76))</f>
        <v/>
      </c>
      <c r="G76" s="37" t="inlineStr"/>
    </row>
    <row r="77" ht="16" customHeight="1">
      <c r="A77" s="39" t="n">
        <v>46214</v>
      </c>
      <c r="B77" s="37" t="inlineStr">
        <is>
          <t>Maddox Trust</t>
        </is>
      </c>
      <c r="C77" s="37" t="inlineStr">
        <is>
          <t>Forest Cabin</t>
        </is>
      </c>
      <c r="D77" s="37" t="inlineStr">
        <is>
          <t>Vendor coord</t>
        </is>
      </c>
      <c r="E77" s="58" t="n">
        <v>1.5</v>
      </c>
      <c r="F77" s="38">
        <f>IF(A77="","",YEAR(A77))</f>
        <v/>
      </c>
      <c r="G77" s="37" t="inlineStr"/>
    </row>
    <row r="78" ht="16" customHeight="1">
      <c r="A78" s="39" t="n">
        <v>46228</v>
      </c>
      <c r="B78" s="37" t="inlineStr">
        <is>
          <t>Maddox Trust</t>
        </is>
      </c>
      <c r="C78" s="37" t="inlineStr">
        <is>
          <t>Riverbend Cottage</t>
        </is>
      </c>
      <c r="D78" s="37" t="inlineStr">
        <is>
          <t>Maintenance</t>
        </is>
      </c>
      <c r="E78" s="58" t="n">
        <v>2</v>
      </c>
      <c r="F78" s="38">
        <f>IF(A78="","",YEAR(A78))</f>
        <v/>
      </c>
      <c r="G78" s="37" t="inlineStr"/>
    </row>
    <row r="79" ht="16" customHeight="1">
      <c r="A79" s="39" t="n">
        <v>46242</v>
      </c>
      <c r="B79" s="37" t="inlineStr">
        <is>
          <t>Maddox Trust</t>
        </is>
      </c>
      <c r="C79" s="37" t="inlineStr">
        <is>
          <t>Mountain Loft</t>
        </is>
      </c>
      <c r="D79" s="37" t="inlineStr">
        <is>
          <t>Reporting</t>
        </is>
      </c>
      <c r="E79" s="58" t="n">
        <v>2</v>
      </c>
      <c r="F79" s="38">
        <f>IF(A79="","",YEAR(A79))</f>
        <v/>
      </c>
      <c r="G79" s="37" t="inlineStr"/>
    </row>
    <row r="80" ht="16" customHeight="1">
      <c r="A80" s="39" t="n">
        <v>46249</v>
      </c>
      <c r="B80" s="37" t="inlineStr">
        <is>
          <t>Maddox Trust</t>
        </is>
      </c>
      <c r="C80" s="37" t="inlineStr">
        <is>
          <t>Forest Cabin</t>
        </is>
      </c>
      <c r="D80" s="37" t="inlineStr">
        <is>
          <t>Guest comms</t>
        </is>
      </c>
      <c r="E80" s="58" t="n">
        <v>2.5</v>
      </c>
      <c r="F80" s="38">
        <f>IF(A80="","",YEAR(A80))</f>
        <v/>
      </c>
      <c r="G80" s="37" t="inlineStr"/>
    </row>
    <row r="81" ht="16" customHeight="1">
      <c r="A81" s="39" t="n">
        <v>46256</v>
      </c>
      <c r="B81" s="37" t="inlineStr">
        <is>
          <t>Maddox Trust</t>
        </is>
      </c>
      <c r="C81" s="37" t="inlineStr">
        <is>
          <t>Riverbend Cottage</t>
        </is>
      </c>
      <c r="D81" s="37" t="inlineStr">
        <is>
          <t>Listing mgmt</t>
        </is>
      </c>
      <c r="E81" s="58" t="n">
        <v>1.5</v>
      </c>
      <c r="F81" s="38">
        <f>IF(A81="","",YEAR(A81))</f>
        <v/>
      </c>
      <c r="G81" s="37" t="inlineStr"/>
    </row>
    <row r="82" ht="16" customHeight="1">
      <c r="A82" s="39" t="n">
        <v>46270</v>
      </c>
      <c r="B82" s="37" t="inlineStr">
        <is>
          <t>Maddox Trust</t>
        </is>
      </c>
      <c r="C82" s="37" t="inlineStr">
        <is>
          <t>Mountain Loft</t>
        </is>
      </c>
      <c r="D82" s="37" t="inlineStr">
        <is>
          <t>Vendor coord</t>
        </is>
      </c>
      <c r="E82" s="58" t="n">
        <v>1.5</v>
      </c>
      <c r="F82" s="38">
        <f>IF(A82="","",YEAR(A82))</f>
        <v/>
      </c>
      <c r="G82" s="37" t="inlineStr"/>
    </row>
    <row r="83" ht="16" customHeight="1">
      <c r="A83" s="39" t="n">
        <v>46277</v>
      </c>
      <c r="B83" s="37" t="inlineStr">
        <is>
          <t>Maddox Trust</t>
        </is>
      </c>
      <c r="C83" s="37" t="inlineStr">
        <is>
          <t>Forest Cabin</t>
        </is>
      </c>
      <c r="D83" s="37" t="inlineStr">
        <is>
          <t>Reporting</t>
        </is>
      </c>
      <c r="E83" s="58" t="n">
        <v>2</v>
      </c>
      <c r="F83" s="38">
        <f>IF(A83="","",YEAR(A83))</f>
        <v/>
      </c>
      <c r="G83" s="37" t="inlineStr"/>
    </row>
    <row r="84" ht="16" customHeight="1">
      <c r="A84" s="39" t="n">
        <v>46291</v>
      </c>
      <c r="B84" s="37" t="inlineStr">
        <is>
          <t>Maddox Trust</t>
        </is>
      </c>
      <c r="C84" s="37" t="inlineStr">
        <is>
          <t>Riverbend Cottage</t>
        </is>
      </c>
      <c r="D84" s="37" t="inlineStr">
        <is>
          <t>Guest comms</t>
        </is>
      </c>
      <c r="E84" s="58" t="n">
        <v>2.2</v>
      </c>
      <c r="F84" s="38">
        <f>IF(A84="","",YEAR(A84))</f>
        <v/>
      </c>
      <c r="G84" s="37" t="inlineStr"/>
    </row>
    <row r="85" ht="16" customHeight="1">
      <c r="A85" s="39" t="n">
        <v>46305</v>
      </c>
      <c r="B85" s="37" t="inlineStr">
        <is>
          <t>Maddox Trust</t>
        </is>
      </c>
      <c r="C85" s="37" t="inlineStr">
        <is>
          <t>Mountain Loft</t>
        </is>
      </c>
      <c r="D85" s="37" t="inlineStr">
        <is>
          <t>Maintenance</t>
        </is>
      </c>
      <c r="E85" s="58" t="n">
        <v>2</v>
      </c>
      <c r="F85" s="38">
        <f>IF(A85="","",YEAR(A85))</f>
        <v/>
      </c>
      <c r="G85" s="37" t="inlineStr"/>
    </row>
    <row r="86" ht="16" customHeight="1">
      <c r="A86" s="39" t="n">
        <v>46312</v>
      </c>
      <c r="B86" s="37" t="inlineStr">
        <is>
          <t>Maddox Trust</t>
        </is>
      </c>
      <c r="C86" s="37" t="inlineStr">
        <is>
          <t>Forest Cabin</t>
        </is>
      </c>
      <c r="D86" s="37" t="inlineStr">
        <is>
          <t>Listing mgmt</t>
        </is>
      </c>
      <c r="E86" s="58" t="n">
        <v>1.5</v>
      </c>
      <c r="F86" s="38">
        <f>IF(A86="","",YEAR(A86))</f>
        <v/>
      </c>
      <c r="G86" s="37" t="inlineStr"/>
    </row>
    <row r="87" ht="16" customHeight="1">
      <c r="A87" s="39" t="n">
        <v>46326</v>
      </c>
      <c r="B87" s="37" t="inlineStr">
        <is>
          <t>Maddox Trust</t>
        </is>
      </c>
      <c r="C87" s="37" t="inlineStr">
        <is>
          <t>Riverbend Cottage</t>
        </is>
      </c>
      <c r="D87" s="37" t="inlineStr">
        <is>
          <t>Reporting</t>
        </is>
      </c>
      <c r="E87" s="58" t="n">
        <v>2</v>
      </c>
      <c r="F87" s="38">
        <f>IF(A87="","",YEAR(A87))</f>
        <v/>
      </c>
      <c r="G87" s="37" t="inlineStr"/>
    </row>
    <row r="88" ht="16" customHeight="1">
      <c r="A88" s="39" t="n">
        <v>46333</v>
      </c>
      <c r="B88" s="37" t="inlineStr">
        <is>
          <t>Maddox Trust</t>
        </is>
      </c>
      <c r="C88" s="37" t="inlineStr">
        <is>
          <t>Mountain Loft</t>
        </is>
      </c>
      <c r="D88" s="37" t="inlineStr">
        <is>
          <t>Guest comms</t>
        </is>
      </c>
      <c r="E88" s="58" t="n">
        <v>2</v>
      </c>
      <c r="F88" s="38">
        <f>IF(A88="","",YEAR(A88))</f>
        <v/>
      </c>
      <c r="G88" s="37" t="inlineStr"/>
    </row>
    <row r="89" ht="16" customHeight="1">
      <c r="A89" s="39" t="n">
        <v>46340</v>
      </c>
      <c r="B89" s="37" t="inlineStr">
        <is>
          <t>Maddox Trust</t>
        </is>
      </c>
      <c r="C89" s="37" t="inlineStr">
        <is>
          <t>Forest Cabin</t>
        </is>
      </c>
      <c r="D89" s="37" t="inlineStr">
        <is>
          <t>Vendor coord</t>
        </is>
      </c>
      <c r="E89" s="58" t="n">
        <v>1.2</v>
      </c>
      <c r="F89" s="38">
        <f>IF(A89="","",YEAR(A89))</f>
        <v/>
      </c>
      <c r="G89" s="37" t="inlineStr"/>
    </row>
    <row r="90" ht="16" customHeight="1">
      <c r="A90" s="39" t="n">
        <v>46354</v>
      </c>
      <c r="B90" s="37" t="inlineStr">
        <is>
          <t>Maddox Trust</t>
        </is>
      </c>
      <c r="C90" s="37" t="inlineStr">
        <is>
          <t>Riverbend Cottage</t>
        </is>
      </c>
      <c r="D90" s="37" t="inlineStr">
        <is>
          <t>Maintenance</t>
        </is>
      </c>
      <c r="E90" s="58" t="n">
        <v>1.8</v>
      </c>
      <c r="F90" s="38">
        <f>IF(A90="","",YEAR(A90))</f>
        <v/>
      </c>
      <c r="G90" s="37" t="inlineStr"/>
    </row>
    <row r="91" ht="16" customHeight="1">
      <c r="A91" s="39" t="n">
        <v>46361</v>
      </c>
      <c r="B91" s="37" t="inlineStr">
        <is>
          <t>Maddox Trust</t>
        </is>
      </c>
      <c r="C91" s="37" t="inlineStr">
        <is>
          <t>Mountain Loft</t>
        </is>
      </c>
      <c r="D91" s="37" t="inlineStr">
        <is>
          <t>Reporting</t>
        </is>
      </c>
      <c r="E91" s="58" t="n">
        <v>2.5</v>
      </c>
      <c r="F91" s="38">
        <f>IF(A91="","",YEAR(A91))</f>
        <v/>
      </c>
      <c r="G91" s="37" t="inlineStr"/>
    </row>
    <row r="92" ht="16" customHeight="1">
      <c r="A92" s="39" t="n">
        <v>46368</v>
      </c>
      <c r="B92" s="37" t="inlineStr">
        <is>
          <t>Maddox Trust</t>
        </is>
      </c>
      <c r="C92" s="37" t="inlineStr">
        <is>
          <t>Forest Cabin</t>
        </is>
      </c>
      <c r="D92" s="37" t="inlineStr">
        <is>
          <t>Guest comms</t>
        </is>
      </c>
      <c r="E92" s="58" t="n">
        <v>2</v>
      </c>
      <c r="F92" s="38">
        <f>IF(A92="","",YEAR(A92))</f>
        <v/>
      </c>
      <c r="G92" s="37" t="inlineStr"/>
    </row>
    <row r="93" ht="16" customHeight="1">
      <c r="A93" s="39" t="n">
        <v>46375</v>
      </c>
      <c r="B93" s="37" t="inlineStr">
        <is>
          <t>Maddox Trust</t>
        </is>
      </c>
      <c r="C93" s="37" t="inlineStr">
        <is>
          <t>Riverbend Cottage</t>
        </is>
      </c>
      <c r="D93" s="37" t="inlineStr">
        <is>
          <t>Listing mgmt</t>
        </is>
      </c>
      <c r="E93" s="58" t="n">
        <v>1.5</v>
      </c>
      <c r="F93" s="38">
        <f>IF(A93="","",YEAR(A93))</f>
        <v/>
      </c>
      <c r="G93" s="37" t="inlineStr"/>
    </row>
    <row r="94" ht="16" customHeight="1">
      <c r="A94" s="39" t="n">
        <v>46031</v>
      </c>
      <c r="B94" s="37" t="inlineStr">
        <is>
          <t>Highland Properties LLC</t>
        </is>
      </c>
      <c r="C94" s="37" t="inlineStr">
        <is>
          <t>Highland Hideaway</t>
        </is>
      </c>
      <c r="D94" s="37" t="inlineStr">
        <is>
          <t>Listing mgmt</t>
        </is>
      </c>
      <c r="E94" s="58" t="n">
        <v>1.8</v>
      </c>
      <c r="F94" s="38">
        <f>IF(A94="","",YEAR(A94))</f>
        <v/>
      </c>
      <c r="G94" s="37" t="inlineStr"/>
    </row>
    <row r="95" ht="16" customHeight="1">
      <c r="A95" s="39" t="n">
        <v>46045</v>
      </c>
      <c r="B95" s="37" t="inlineStr">
        <is>
          <t>Highland Properties LLC</t>
        </is>
      </c>
      <c r="C95" s="37" t="inlineStr">
        <is>
          <t>Smoky View Lodge</t>
        </is>
      </c>
      <c r="D95" s="37" t="inlineStr">
        <is>
          <t>Guest comms</t>
        </is>
      </c>
      <c r="E95" s="58" t="n">
        <v>2</v>
      </c>
      <c r="F95" s="38">
        <f>IF(A95="","",YEAR(A95))</f>
        <v/>
      </c>
      <c r="G95" s="37" t="inlineStr"/>
    </row>
    <row r="96" ht="16" customHeight="1">
      <c r="A96" s="39" t="n">
        <v>46059</v>
      </c>
      <c r="B96" s="37" t="inlineStr">
        <is>
          <t>Highland Properties LLC</t>
        </is>
      </c>
      <c r="C96" s="37" t="inlineStr">
        <is>
          <t>Highland Hideaway</t>
        </is>
      </c>
      <c r="D96" s="37" t="inlineStr">
        <is>
          <t>Vendor coord</t>
        </is>
      </c>
      <c r="E96" s="58" t="n">
        <v>1.5</v>
      </c>
      <c r="F96" s="38">
        <f>IF(A96="","",YEAR(A96))</f>
        <v/>
      </c>
      <c r="G96" s="37" t="inlineStr"/>
    </row>
    <row r="97" ht="16" customHeight="1">
      <c r="A97" s="39" t="n">
        <v>46073</v>
      </c>
      <c r="B97" s="37" t="inlineStr">
        <is>
          <t>Highland Properties LLC</t>
        </is>
      </c>
      <c r="C97" s="37" t="inlineStr">
        <is>
          <t>Smoky View Lodge</t>
        </is>
      </c>
      <c r="D97" s="37" t="inlineStr">
        <is>
          <t>Reporting</t>
        </is>
      </c>
      <c r="E97" s="58" t="n">
        <v>2</v>
      </c>
      <c r="F97" s="38">
        <f>IF(A97="","",YEAR(A97))</f>
        <v/>
      </c>
      <c r="G97" s="37" t="inlineStr"/>
    </row>
    <row r="98" ht="16" customHeight="1">
      <c r="A98" s="39" t="n">
        <v>46088</v>
      </c>
      <c r="B98" s="37" t="inlineStr">
        <is>
          <t>Highland Properties LLC</t>
        </is>
      </c>
      <c r="C98" s="37" t="inlineStr">
        <is>
          <t>Highland Hideaway</t>
        </is>
      </c>
      <c r="D98" s="37" t="inlineStr">
        <is>
          <t>Maintenance</t>
        </is>
      </c>
      <c r="E98" s="58" t="n">
        <v>1.5</v>
      </c>
      <c r="F98" s="38">
        <f>IF(A98="","",YEAR(A98))</f>
        <v/>
      </c>
      <c r="G98" s="37" t="inlineStr"/>
    </row>
    <row r="99" ht="16" customHeight="1">
      <c r="A99" s="39" t="n">
        <v>46102</v>
      </c>
      <c r="B99" s="37" t="inlineStr">
        <is>
          <t>Highland Properties LLC</t>
        </is>
      </c>
      <c r="C99" s="37" t="inlineStr">
        <is>
          <t>Smoky View Lodge</t>
        </is>
      </c>
      <c r="D99" s="37" t="inlineStr">
        <is>
          <t>Guest comms</t>
        </is>
      </c>
      <c r="E99" s="58" t="n">
        <v>2.2</v>
      </c>
      <c r="F99" s="38">
        <f>IF(A99="","",YEAR(A99))</f>
        <v/>
      </c>
      <c r="G99" s="37" t="inlineStr"/>
    </row>
    <row r="100" ht="16" customHeight="1">
      <c r="A100" s="39" t="n">
        <v>46116</v>
      </c>
      <c r="B100" s="37" t="inlineStr">
        <is>
          <t>Highland Properties LLC</t>
        </is>
      </c>
      <c r="C100" s="37" t="inlineStr">
        <is>
          <t>Highland Hideaway</t>
        </is>
      </c>
      <c r="D100" s="37" t="inlineStr">
        <is>
          <t>Listing mgmt</t>
        </is>
      </c>
      <c r="E100" s="58" t="n">
        <v>1.5</v>
      </c>
      <c r="F100" s="38">
        <f>IF(A100="","",YEAR(A100))</f>
        <v/>
      </c>
      <c r="G100" s="37" t="inlineStr"/>
    </row>
    <row r="101" ht="16" customHeight="1">
      <c r="A101" s="39" t="n">
        <v>46130</v>
      </c>
      <c r="B101" s="37" t="inlineStr">
        <is>
          <t>Highland Properties LLC</t>
        </is>
      </c>
      <c r="C101" s="37" t="inlineStr">
        <is>
          <t>Smoky View Lodge</t>
        </is>
      </c>
      <c r="D101" s="37" t="inlineStr">
        <is>
          <t>Reporting</t>
        </is>
      </c>
      <c r="E101" s="58" t="n">
        <v>2</v>
      </c>
      <c r="F101" s="38">
        <f>IF(A101="","",YEAR(A101))</f>
        <v/>
      </c>
      <c r="G101" s="37" t="inlineStr"/>
    </row>
    <row r="102" ht="16" customHeight="1">
      <c r="A102" s="39" t="n">
        <v>46144</v>
      </c>
      <c r="B102" s="37" t="inlineStr">
        <is>
          <t>Highland Properties LLC</t>
        </is>
      </c>
      <c r="C102" s="37" t="inlineStr">
        <is>
          <t>Highland Hideaway</t>
        </is>
      </c>
      <c r="D102" s="37" t="inlineStr">
        <is>
          <t>Vendor coord</t>
        </is>
      </c>
      <c r="E102" s="58" t="n">
        <v>1.2</v>
      </c>
      <c r="F102" s="38">
        <f>IF(A102="","",YEAR(A102))</f>
        <v/>
      </c>
      <c r="G102" s="37" t="inlineStr"/>
    </row>
    <row r="103" ht="16" customHeight="1">
      <c r="A103" s="39" t="n">
        <v>46158</v>
      </c>
      <c r="B103" s="37" t="inlineStr">
        <is>
          <t>Highland Properties LLC</t>
        </is>
      </c>
      <c r="C103" s="37" t="inlineStr">
        <is>
          <t>Smoky View Lodge</t>
        </is>
      </c>
      <c r="D103" s="37" t="inlineStr">
        <is>
          <t>Guest comms</t>
        </is>
      </c>
      <c r="E103" s="58" t="n">
        <v>2.5</v>
      </c>
      <c r="F103" s="38">
        <f>IF(A103="","",YEAR(A103))</f>
        <v/>
      </c>
      <c r="G103" s="37" t="inlineStr"/>
    </row>
    <row r="104" ht="16" customHeight="1">
      <c r="A104" s="39" t="n">
        <v>46179</v>
      </c>
      <c r="B104" s="37" t="inlineStr">
        <is>
          <t>Highland Properties LLC</t>
        </is>
      </c>
      <c r="C104" s="37" t="inlineStr">
        <is>
          <t>Highland Hideaway</t>
        </is>
      </c>
      <c r="D104" s="37" t="inlineStr">
        <is>
          <t>Maintenance</t>
        </is>
      </c>
      <c r="E104" s="58" t="n">
        <v>1.8</v>
      </c>
      <c r="F104" s="38">
        <f>IF(A104="","",YEAR(A104))</f>
        <v/>
      </c>
      <c r="G104" s="37" t="inlineStr"/>
    </row>
    <row r="105" ht="16" customHeight="1">
      <c r="A105" s="39" t="n">
        <v>46193</v>
      </c>
      <c r="B105" s="37" t="inlineStr">
        <is>
          <t>Highland Properties LLC</t>
        </is>
      </c>
      <c r="C105" s="37" t="inlineStr">
        <is>
          <t>Smoky View Lodge</t>
        </is>
      </c>
      <c r="D105" s="37" t="inlineStr">
        <is>
          <t>Listing mgmt</t>
        </is>
      </c>
      <c r="E105" s="58" t="n">
        <v>1.5</v>
      </c>
      <c r="F105" s="38">
        <f>IF(A105="","",YEAR(A105))</f>
        <v/>
      </c>
      <c r="G105" s="37" t="inlineStr"/>
    </row>
    <row r="106" ht="16" customHeight="1">
      <c r="A106" s="39" t="n">
        <v>46207</v>
      </c>
      <c r="B106" s="37" t="inlineStr">
        <is>
          <t>Highland Properties LLC</t>
        </is>
      </c>
      <c r="C106" s="37" t="inlineStr">
        <is>
          <t>Highland Hideaway</t>
        </is>
      </c>
      <c r="D106" s="37" t="inlineStr">
        <is>
          <t>Guest comms</t>
        </is>
      </c>
      <c r="E106" s="58" t="n">
        <v>2.5</v>
      </c>
      <c r="F106" s="38">
        <f>IF(A106="","",YEAR(A106))</f>
        <v/>
      </c>
      <c r="G106" s="37" t="inlineStr"/>
    </row>
    <row r="107" ht="16" customHeight="1">
      <c r="A107" s="39" t="n">
        <v>46221</v>
      </c>
      <c r="B107" s="37" t="inlineStr">
        <is>
          <t>Highland Properties LLC</t>
        </is>
      </c>
      <c r="C107" s="37" t="inlineStr">
        <is>
          <t>Smoky View Lodge</t>
        </is>
      </c>
      <c r="D107" s="37" t="inlineStr">
        <is>
          <t>Reporting</t>
        </is>
      </c>
      <c r="E107" s="58" t="n">
        <v>2</v>
      </c>
      <c r="F107" s="38">
        <f>IF(A107="","",YEAR(A107))</f>
        <v/>
      </c>
      <c r="G107" s="37" t="inlineStr"/>
    </row>
    <row r="108" ht="16" customHeight="1">
      <c r="A108" s="39" t="n">
        <v>46235</v>
      </c>
      <c r="B108" s="37" t="inlineStr">
        <is>
          <t>Highland Properties LLC</t>
        </is>
      </c>
      <c r="C108" s="37" t="inlineStr">
        <is>
          <t>Highland Hideaway</t>
        </is>
      </c>
      <c r="D108" s="37" t="inlineStr">
        <is>
          <t>Vendor coord</t>
        </is>
      </c>
      <c r="E108" s="58" t="n">
        <v>1.5</v>
      </c>
      <c r="F108" s="38">
        <f>IF(A108="","",YEAR(A108))</f>
        <v/>
      </c>
      <c r="G108" s="37" t="inlineStr"/>
    </row>
    <row r="109" ht="16" customHeight="1">
      <c r="A109" s="39" t="n">
        <v>46249</v>
      </c>
      <c r="B109" s="37" t="inlineStr">
        <is>
          <t>Highland Properties LLC</t>
        </is>
      </c>
      <c r="C109" s="37" t="inlineStr">
        <is>
          <t>Smoky View Lodge</t>
        </is>
      </c>
      <c r="D109" s="37" t="inlineStr">
        <is>
          <t>Maintenance</t>
        </is>
      </c>
      <c r="E109" s="58" t="n">
        <v>1.8</v>
      </c>
      <c r="F109" s="38">
        <f>IF(A109="","",YEAR(A109))</f>
        <v/>
      </c>
      <c r="G109" s="37" t="inlineStr"/>
    </row>
    <row r="110" ht="16" customHeight="1">
      <c r="A110" s="39" t="n">
        <v>46270</v>
      </c>
      <c r="B110" s="37" t="inlineStr">
        <is>
          <t>Highland Properties LLC</t>
        </is>
      </c>
      <c r="C110" s="37" t="inlineStr">
        <is>
          <t>Highland Hideaway</t>
        </is>
      </c>
      <c r="D110" s="37" t="inlineStr">
        <is>
          <t>Listing mgmt</t>
        </is>
      </c>
      <c r="E110" s="58" t="n">
        <v>1.5</v>
      </c>
      <c r="F110" s="38">
        <f>IF(A110="","",YEAR(A110))</f>
        <v/>
      </c>
      <c r="G110" s="37" t="inlineStr"/>
    </row>
    <row r="111" ht="16" customHeight="1">
      <c r="A111" s="39" t="n">
        <v>46284</v>
      </c>
      <c r="B111" s="37" t="inlineStr">
        <is>
          <t>Highland Properties LLC</t>
        </is>
      </c>
      <c r="C111" s="37" t="inlineStr">
        <is>
          <t>Smoky View Lodge</t>
        </is>
      </c>
      <c r="D111" s="37" t="inlineStr">
        <is>
          <t>Guest comms</t>
        </is>
      </c>
      <c r="E111" s="58" t="n">
        <v>2</v>
      </c>
      <c r="F111" s="38">
        <f>IF(A111="","",YEAR(A111))</f>
        <v/>
      </c>
      <c r="G111" s="37" t="inlineStr"/>
    </row>
    <row r="112" ht="16" customHeight="1">
      <c r="A112" s="39" t="n">
        <v>46298</v>
      </c>
      <c r="B112" s="37" t="inlineStr">
        <is>
          <t>Highland Properties LLC</t>
        </is>
      </c>
      <c r="C112" s="37" t="inlineStr">
        <is>
          <t>Highland Hideaway</t>
        </is>
      </c>
      <c r="D112" s="37" t="inlineStr">
        <is>
          <t>Reporting</t>
        </is>
      </c>
      <c r="E112" s="58" t="n">
        <v>2</v>
      </c>
      <c r="F112" s="38">
        <f>IF(A112="","",YEAR(A112))</f>
        <v/>
      </c>
      <c r="G112" s="37" t="inlineStr"/>
    </row>
    <row r="113" ht="16" customHeight="1">
      <c r="A113" s="39" t="n">
        <v>46312</v>
      </c>
      <c r="B113" s="37" t="inlineStr">
        <is>
          <t>Highland Properties LLC</t>
        </is>
      </c>
      <c r="C113" s="37" t="inlineStr">
        <is>
          <t>Smoky View Lodge</t>
        </is>
      </c>
      <c r="D113" s="37" t="inlineStr">
        <is>
          <t>Vendor coord</t>
        </is>
      </c>
      <c r="E113" s="58" t="n">
        <v>1.2</v>
      </c>
      <c r="F113" s="38">
        <f>IF(A113="","",YEAR(A113))</f>
        <v/>
      </c>
      <c r="G113" s="37" t="inlineStr"/>
    </row>
    <row r="114" ht="16" customHeight="1">
      <c r="A114" s="39" t="n">
        <v>46333</v>
      </c>
      <c r="B114" s="37" t="inlineStr">
        <is>
          <t>Highland Properties LLC</t>
        </is>
      </c>
      <c r="C114" s="37" t="inlineStr">
        <is>
          <t>Highland Hideaway</t>
        </is>
      </c>
      <c r="D114" s="37" t="inlineStr">
        <is>
          <t>Maintenance</t>
        </is>
      </c>
      <c r="E114" s="58" t="n">
        <v>1.5</v>
      </c>
      <c r="F114" s="38">
        <f>IF(A114="","",YEAR(A114))</f>
        <v/>
      </c>
      <c r="G114" s="37" t="inlineStr"/>
    </row>
    <row r="115" ht="16" customHeight="1">
      <c r="A115" s="39" t="n">
        <v>46347</v>
      </c>
      <c r="B115" s="37" t="inlineStr">
        <is>
          <t>Highland Properties LLC</t>
        </is>
      </c>
      <c r="C115" s="37" t="inlineStr">
        <is>
          <t>Smoky View Lodge</t>
        </is>
      </c>
      <c r="D115" s="37" t="inlineStr">
        <is>
          <t>Listing mgmt</t>
        </is>
      </c>
      <c r="E115" s="58" t="n">
        <v>1.5</v>
      </c>
      <c r="F115" s="38">
        <f>IF(A115="","",YEAR(A115))</f>
        <v/>
      </c>
      <c r="G115" s="37" t="inlineStr"/>
    </row>
    <row r="116" ht="16" customHeight="1">
      <c r="A116" s="39" t="n">
        <v>46361</v>
      </c>
      <c r="B116" s="37" t="inlineStr">
        <is>
          <t>Highland Properties LLC</t>
        </is>
      </c>
      <c r="C116" s="37" t="inlineStr">
        <is>
          <t>Highland Hideaway</t>
        </is>
      </c>
      <c r="D116" s="37" t="inlineStr">
        <is>
          <t>Guest comms</t>
        </is>
      </c>
      <c r="E116" s="58" t="n">
        <v>2</v>
      </c>
      <c r="F116" s="38">
        <f>IF(A116="","",YEAR(A116))</f>
        <v/>
      </c>
      <c r="G116" s="37" t="inlineStr"/>
    </row>
    <row r="117" ht="16" customHeight="1">
      <c r="A117" s="39" t="n">
        <v>46375</v>
      </c>
      <c r="B117" s="37" t="inlineStr">
        <is>
          <t>Highland Properties LLC</t>
        </is>
      </c>
      <c r="C117" s="37" t="inlineStr">
        <is>
          <t>Smoky View Lodge</t>
        </is>
      </c>
      <c r="D117" s="37" t="inlineStr">
        <is>
          <t>Reporting</t>
        </is>
      </c>
      <c r="E117" s="58" t="n">
        <v>2.5</v>
      </c>
      <c r="F117" s="38">
        <f>IF(A117="","",YEAR(A117))</f>
        <v/>
      </c>
      <c r="G117" s="37" t="inlineStr">
        <is>
          <t>Year-end</t>
        </is>
      </c>
    </row>
    <row r="118" ht="16" customHeight="1">
      <c r="A118" s="39" t="n">
        <v>46033</v>
      </c>
      <c r="B118" s="37" t="inlineStr">
        <is>
          <t>Brookline Estates</t>
        </is>
      </c>
      <c r="C118" s="37" t="inlineStr">
        <is>
          <t>Brookline Bungalow</t>
        </is>
      </c>
      <c r="D118" s="37" t="inlineStr">
        <is>
          <t>Guest comms</t>
        </is>
      </c>
      <c r="E118" s="58" t="n">
        <v>3</v>
      </c>
      <c r="F118" s="38">
        <f>IF(A118="","",YEAR(A118))</f>
        <v/>
      </c>
      <c r="G118" s="37" t="inlineStr">
        <is>
          <t>Difficult guests</t>
        </is>
      </c>
    </row>
    <row r="119" ht="16" customHeight="1">
      <c r="A119" s="39" t="n">
        <v>46047</v>
      </c>
      <c r="B119" s="37" t="inlineStr">
        <is>
          <t>Brookline Estates</t>
        </is>
      </c>
      <c r="C119" s="37" t="inlineStr">
        <is>
          <t>Birch Hollow</t>
        </is>
      </c>
      <c r="D119" s="37" t="inlineStr">
        <is>
          <t>Vendor coord</t>
        </is>
      </c>
      <c r="E119" s="58" t="n">
        <v>2.5</v>
      </c>
      <c r="F119" s="38">
        <f>IF(A119="","",YEAR(A119))</f>
        <v/>
      </c>
      <c r="G119" s="37" t="inlineStr">
        <is>
          <t>Repeat HVAC issues</t>
        </is>
      </c>
    </row>
    <row r="120" ht="16" customHeight="1">
      <c r="A120" s="39" t="n">
        <v>46061</v>
      </c>
      <c r="B120" s="37" t="inlineStr">
        <is>
          <t>Brookline Estates</t>
        </is>
      </c>
      <c r="C120" s="37" t="inlineStr">
        <is>
          <t>Brookline Bungalow</t>
        </is>
      </c>
      <c r="D120" s="37" t="inlineStr">
        <is>
          <t>Maintenance</t>
        </is>
      </c>
      <c r="E120" s="58" t="n">
        <v>2.8</v>
      </c>
      <c r="F120" s="38">
        <f>IF(A120="","",YEAR(A120))</f>
        <v/>
      </c>
      <c r="G120" s="37" t="inlineStr">
        <is>
          <t>Plumbing</t>
        </is>
      </c>
    </row>
    <row r="121" ht="16" customHeight="1">
      <c r="A121" s="39" t="n">
        <v>46075</v>
      </c>
      <c r="B121" s="37" t="inlineStr">
        <is>
          <t>Brookline Estates</t>
        </is>
      </c>
      <c r="C121" s="37" t="inlineStr">
        <is>
          <t>Birch Hollow</t>
        </is>
      </c>
      <c r="D121" s="37" t="inlineStr">
        <is>
          <t>Guest comms</t>
        </is>
      </c>
      <c r="E121" s="58" t="n">
        <v>3.2</v>
      </c>
      <c r="F121" s="38">
        <f>IF(A121="","",YEAR(A121))</f>
        <v/>
      </c>
      <c r="G121" s="37" t="inlineStr">
        <is>
          <t>Multiple complaints</t>
        </is>
      </c>
    </row>
    <row r="122" ht="16" customHeight="1">
      <c r="A122" s="39" t="n">
        <v>46089</v>
      </c>
      <c r="B122" s="37" t="inlineStr">
        <is>
          <t>Brookline Estates</t>
        </is>
      </c>
      <c r="C122" s="37" t="inlineStr">
        <is>
          <t>Brookline Bungalow</t>
        </is>
      </c>
      <c r="D122" s="37" t="inlineStr">
        <is>
          <t>Vendor coord</t>
        </is>
      </c>
      <c r="E122" s="58" t="n">
        <v>2</v>
      </c>
      <c r="F122" s="38">
        <f>IF(A122="","",YEAR(A122))</f>
        <v/>
      </c>
      <c r="G122" s="37" t="inlineStr"/>
    </row>
    <row r="123" ht="16" customHeight="1">
      <c r="A123" s="39" t="n">
        <v>46103</v>
      </c>
      <c r="B123" s="37" t="inlineStr">
        <is>
          <t>Brookline Estates</t>
        </is>
      </c>
      <c r="C123" s="37" t="inlineStr">
        <is>
          <t>Birch Hollow</t>
        </is>
      </c>
      <c r="D123" s="37" t="inlineStr">
        <is>
          <t>Reporting</t>
        </is>
      </c>
      <c r="E123" s="58" t="n">
        <v>2.5</v>
      </c>
      <c r="F123" s="38">
        <f>IF(A123="","",YEAR(A123))</f>
        <v/>
      </c>
      <c r="G123" s="37" t="inlineStr">
        <is>
          <t>Owner disputed</t>
        </is>
      </c>
    </row>
    <row r="124" ht="16" customHeight="1">
      <c r="A124" s="39" t="n">
        <v>46117</v>
      </c>
      <c r="B124" s="37" t="inlineStr">
        <is>
          <t>Brookline Estates</t>
        </is>
      </c>
      <c r="C124" s="37" t="inlineStr">
        <is>
          <t>Brookline Bungalow</t>
        </is>
      </c>
      <c r="D124" s="37" t="inlineStr">
        <is>
          <t>Maintenance</t>
        </is>
      </c>
      <c r="E124" s="58" t="n">
        <v>2.5</v>
      </c>
      <c r="F124" s="38">
        <f>IF(A124="","",YEAR(A124))</f>
        <v/>
      </c>
      <c r="G124" s="37" t="inlineStr">
        <is>
          <t>Pest control</t>
        </is>
      </c>
    </row>
    <row r="125" ht="16" customHeight="1">
      <c r="A125" s="39" t="n">
        <v>46131</v>
      </c>
      <c r="B125" s="37" t="inlineStr">
        <is>
          <t>Brookline Estates</t>
        </is>
      </c>
      <c r="C125" s="37" t="inlineStr">
        <is>
          <t>Birch Hollow</t>
        </is>
      </c>
      <c r="D125" s="37" t="inlineStr">
        <is>
          <t>Guest comms</t>
        </is>
      </c>
      <c r="E125" s="58" t="n">
        <v>2.8</v>
      </c>
      <c r="F125" s="38">
        <f>IF(A125="","",YEAR(A125))</f>
        <v/>
      </c>
      <c r="G125" s="37" t="inlineStr"/>
    </row>
    <row r="126" ht="16" customHeight="1">
      <c r="A126" s="39" t="n">
        <v>46145</v>
      </c>
      <c r="B126" s="37" t="inlineStr">
        <is>
          <t>Brookline Estates</t>
        </is>
      </c>
      <c r="C126" s="37" t="inlineStr">
        <is>
          <t>Brookline Bungalow</t>
        </is>
      </c>
      <c r="D126" s="37" t="inlineStr">
        <is>
          <t>Listing mgmt</t>
        </is>
      </c>
      <c r="E126" s="58" t="n">
        <v>1.8</v>
      </c>
      <c r="F126" s="38">
        <f>IF(A126="","",YEAR(A126))</f>
        <v/>
      </c>
      <c r="G126" s="37" t="inlineStr"/>
    </row>
    <row r="127" ht="16" customHeight="1">
      <c r="A127" s="39" t="n">
        <v>46159</v>
      </c>
      <c r="B127" s="37" t="inlineStr">
        <is>
          <t>Brookline Estates</t>
        </is>
      </c>
      <c r="C127" s="37" t="inlineStr">
        <is>
          <t>Birch Hollow</t>
        </is>
      </c>
      <c r="D127" s="37" t="inlineStr">
        <is>
          <t>Vendor coord</t>
        </is>
      </c>
      <c r="E127" s="58" t="n">
        <v>2.2</v>
      </c>
      <c r="F127" s="38">
        <f>IF(A127="","",YEAR(A127))</f>
        <v/>
      </c>
      <c r="G127" s="37" t="inlineStr"/>
    </row>
    <row r="128" ht="16" customHeight="1">
      <c r="A128" s="39" t="n">
        <v>46180</v>
      </c>
      <c r="B128" s="37" t="inlineStr">
        <is>
          <t>Brookline Estates</t>
        </is>
      </c>
      <c r="C128" s="37" t="inlineStr">
        <is>
          <t>Brookline Bungalow</t>
        </is>
      </c>
      <c r="D128" s="37" t="inlineStr">
        <is>
          <t>Maintenance</t>
        </is>
      </c>
      <c r="E128" s="58" t="n">
        <v>3</v>
      </c>
      <c r="F128" s="38">
        <f>IF(A128="","",YEAR(A128))</f>
        <v/>
      </c>
      <c r="G128" s="37" t="inlineStr">
        <is>
          <t>AC failure</t>
        </is>
      </c>
    </row>
    <row r="129" ht="16" customHeight="1">
      <c r="A129" s="39" t="n">
        <v>46194</v>
      </c>
      <c r="B129" s="37" t="inlineStr">
        <is>
          <t>Brookline Estates</t>
        </is>
      </c>
      <c r="C129" s="37" t="inlineStr">
        <is>
          <t>Birch Hollow</t>
        </is>
      </c>
      <c r="D129" s="37" t="inlineStr">
        <is>
          <t>Guest comms</t>
        </is>
      </c>
      <c r="E129" s="58" t="n">
        <v>2.5</v>
      </c>
      <c r="F129" s="38">
        <f>IF(A129="","",YEAR(A129))</f>
        <v/>
      </c>
      <c r="G129" s="37" t="inlineStr"/>
    </row>
    <row r="130" ht="16" customHeight="1">
      <c r="A130" s="39" t="n">
        <v>46208</v>
      </c>
      <c r="B130" s="37" t="inlineStr">
        <is>
          <t>Brookline Estates</t>
        </is>
      </c>
      <c r="C130" s="37" t="inlineStr">
        <is>
          <t>Brookline Bungalow</t>
        </is>
      </c>
      <c r="D130" s="37" t="inlineStr">
        <is>
          <t>Reporting</t>
        </is>
      </c>
      <c r="E130" s="58" t="n">
        <v>2</v>
      </c>
      <c r="F130" s="38">
        <f>IF(A130="","",YEAR(A130))</f>
        <v/>
      </c>
      <c r="G130" s="37" t="inlineStr"/>
    </row>
    <row r="131" ht="16" customHeight="1">
      <c r="A131" s="39" t="n">
        <v>46222</v>
      </c>
      <c r="B131" s="37" t="inlineStr">
        <is>
          <t>Brookline Estates</t>
        </is>
      </c>
      <c r="C131" s="37" t="inlineStr">
        <is>
          <t>Birch Hollow</t>
        </is>
      </c>
      <c r="D131" s="37" t="inlineStr">
        <is>
          <t>Vendor coord</t>
        </is>
      </c>
      <c r="E131" s="58" t="n">
        <v>1.8</v>
      </c>
      <c r="F131" s="38">
        <f>IF(A131="","",YEAR(A131))</f>
        <v/>
      </c>
      <c r="G131" s="37" t="inlineStr"/>
    </row>
    <row r="132" ht="16" customHeight="1">
      <c r="A132" s="39" t="n">
        <v>46236</v>
      </c>
      <c r="B132" s="37" t="inlineStr">
        <is>
          <t>Brookline Estates</t>
        </is>
      </c>
      <c r="C132" s="37" t="inlineStr">
        <is>
          <t>Brookline Bungalow</t>
        </is>
      </c>
      <c r="D132" s="37" t="inlineStr">
        <is>
          <t>Guest comms</t>
        </is>
      </c>
      <c r="E132" s="58" t="n">
        <v>2.5</v>
      </c>
      <c r="F132" s="38">
        <f>IF(A132="","",YEAR(A132))</f>
        <v/>
      </c>
      <c r="G132" s="37" t="inlineStr"/>
    </row>
    <row r="133" ht="16" customHeight="1">
      <c r="A133" s="39" t="n">
        <v>46250</v>
      </c>
      <c r="B133" s="37" t="inlineStr">
        <is>
          <t>Brookline Estates</t>
        </is>
      </c>
      <c r="C133" s="37" t="inlineStr">
        <is>
          <t>Birch Hollow</t>
        </is>
      </c>
      <c r="D133" s="37" t="inlineStr">
        <is>
          <t>Maintenance</t>
        </is>
      </c>
      <c r="E133" s="58" t="n">
        <v>2.2</v>
      </c>
      <c r="F133" s="38">
        <f>IF(A133="","",YEAR(A133))</f>
        <v/>
      </c>
      <c r="G133" s="37" t="inlineStr"/>
    </row>
    <row r="134" ht="16" customHeight="1">
      <c r="A134" s="39" t="n">
        <v>46271</v>
      </c>
      <c r="B134" s="37" t="inlineStr">
        <is>
          <t>Brookline Estates</t>
        </is>
      </c>
      <c r="C134" s="37" t="inlineStr">
        <is>
          <t>Brookline Bungalow</t>
        </is>
      </c>
      <c r="D134" s="37" t="inlineStr">
        <is>
          <t>Listing mgmt</t>
        </is>
      </c>
      <c r="E134" s="58" t="n">
        <v>1.5</v>
      </c>
      <c r="F134" s="38">
        <f>IF(A134="","",YEAR(A134))</f>
        <v/>
      </c>
      <c r="G134" s="37" t="inlineStr"/>
    </row>
    <row r="135" ht="16" customHeight="1">
      <c r="A135" s="39" t="n">
        <v>46285</v>
      </c>
      <c r="B135" s="37" t="inlineStr">
        <is>
          <t>Brookline Estates</t>
        </is>
      </c>
      <c r="C135" s="37" t="inlineStr">
        <is>
          <t>Birch Hollow</t>
        </is>
      </c>
      <c r="D135" s="37" t="inlineStr">
        <is>
          <t>Reporting</t>
        </is>
      </c>
      <c r="E135" s="58" t="n">
        <v>2</v>
      </c>
      <c r="F135" s="38">
        <f>IF(A135="","",YEAR(A135))</f>
        <v/>
      </c>
      <c r="G135" s="37" t="inlineStr"/>
    </row>
    <row r="136" ht="16" customHeight="1">
      <c r="A136" s="39" t="n">
        <v>46299</v>
      </c>
      <c r="B136" s="37" t="inlineStr">
        <is>
          <t>Brookline Estates</t>
        </is>
      </c>
      <c r="C136" s="37" t="inlineStr">
        <is>
          <t>Brookline Bungalow</t>
        </is>
      </c>
      <c r="D136" s="37" t="inlineStr">
        <is>
          <t>Vendor coord</t>
        </is>
      </c>
      <c r="E136" s="58" t="n">
        <v>1.8</v>
      </c>
      <c r="F136" s="38">
        <f>IF(A136="","",YEAR(A136))</f>
        <v/>
      </c>
      <c r="G136" s="37" t="inlineStr"/>
    </row>
    <row r="137" ht="16" customHeight="1">
      <c r="A137" s="39" t="n">
        <v>46313</v>
      </c>
      <c r="B137" s="37" t="inlineStr">
        <is>
          <t>Brookline Estates</t>
        </is>
      </c>
      <c r="C137" s="37" t="inlineStr">
        <is>
          <t>Birch Hollow</t>
        </is>
      </c>
      <c r="D137" s="37" t="inlineStr">
        <is>
          <t>Guest comms</t>
        </is>
      </c>
      <c r="E137" s="58" t="n">
        <v>2</v>
      </c>
      <c r="F137" s="38">
        <f>IF(A137="","",YEAR(A137))</f>
        <v/>
      </c>
      <c r="G137" s="37" t="inlineStr"/>
    </row>
    <row r="138" ht="16" customHeight="1">
      <c r="A138" s="39" t="n">
        <v>46334</v>
      </c>
      <c r="B138" s="37" t="inlineStr">
        <is>
          <t>Brookline Estates</t>
        </is>
      </c>
      <c r="C138" s="37" t="inlineStr">
        <is>
          <t>Brookline Bungalow</t>
        </is>
      </c>
      <c r="D138" s="37" t="inlineStr">
        <is>
          <t>Maintenance</t>
        </is>
      </c>
      <c r="E138" s="58" t="n">
        <v>2</v>
      </c>
      <c r="F138" s="38">
        <f>IF(A138="","",YEAR(A138))</f>
        <v/>
      </c>
      <c r="G138" s="37" t="inlineStr"/>
    </row>
    <row r="139" ht="16" customHeight="1">
      <c r="A139" s="39" t="n">
        <v>46348</v>
      </c>
      <c r="B139" s="37" t="inlineStr">
        <is>
          <t>Brookline Estates</t>
        </is>
      </c>
      <c r="C139" s="37" t="inlineStr">
        <is>
          <t>Birch Hollow</t>
        </is>
      </c>
      <c r="D139" s="37" t="inlineStr">
        <is>
          <t>Listing mgmt</t>
        </is>
      </c>
      <c r="E139" s="58" t="n">
        <v>1.5</v>
      </c>
      <c r="F139" s="38">
        <f>IF(A139="","",YEAR(A139))</f>
        <v/>
      </c>
      <c r="G139" s="37" t="inlineStr"/>
    </row>
    <row r="140" ht="16" customHeight="1">
      <c r="A140" s="39" t="n">
        <v>46362</v>
      </c>
      <c r="B140" s="37" t="inlineStr">
        <is>
          <t>Brookline Estates</t>
        </is>
      </c>
      <c r="C140" s="37" t="inlineStr">
        <is>
          <t>Brookline Bungalow</t>
        </is>
      </c>
      <c r="D140" s="37" t="inlineStr">
        <is>
          <t>Reporting</t>
        </is>
      </c>
      <c r="E140" s="58" t="n">
        <v>2</v>
      </c>
      <c r="F140" s="38">
        <f>IF(A140="","",YEAR(A140))</f>
        <v/>
      </c>
      <c r="G140" s="37" t="inlineStr"/>
    </row>
    <row r="141" ht="16" customHeight="1">
      <c r="A141" s="39" t="n">
        <v>46376</v>
      </c>
      <c r="B141" s="37" t="inlineStr">
        <is>
          <t>Brookline Estates</t>
        </is>
      </c>
      <c r="C141" s="37" t="inlineStr">
        <is>
          <t>Birch Hollow</t>
        </is>
      </c>
      <c r="D141" s="37" t="inlineStr">
        <is>
          <t>Guest comms</t>
        </is>
      </c>
      <c r="E141" s="58" t="n">
        <v>2.5</v>
      </c>
      <c r="F141" s="38">
        <f>IF(A141="","",YEAR(A141))</f>
        <v/>
      </c>
      <c r="G141" s="37" t="inlineStr">
        <is>
          <t>Renewal mtg</t>
        </is>
      </c>
    </row>
    <row r="142" ht="16" customHeight="1">
      <c r="A142" s="39" t="n"/>
      <c r="B142" s="37" t="n"/>
      <c r="C142" s="37" t="n"/>
      <c r="D142" s="37" t="n"/>
      <c r="E142" s="58" t="n"/>
      <c r="F142" s="38">
        <f>IF(A142="","",YEAR(A142))</f>
        <v/>
      </c>
      <c r="G142" s="37" t="n"/>
    </row>
    <row r="143" ht="16" customHeight="1">
      <c r="A143" s="39" t="n"/>
      <c r="B143" s="37" t="n"/>
      <c r="C143" s="37" t="n"/>
      <c r="D143" s="37" t="n"/>
      <c r="E143" s="58" t="n"/>
      <c r="F143" s="38">
        <f>IF(A143="","",YEAR(A143))</f>
        <v/>
      </c>
      <c r="G143" s="37" t="n"/>
    </row>
    <row r="144" ht="16" customHeight="1">
      <c r="A144" s="39" t="n"/>
      <c r="B144" s="37" t="n"/>
      <c r="C144" s="37" t="n"/>
      <c r="D144" s="37" t="n"/>
      <c r="E144" s="58" t="n"/>
      <c r="F144" s="38">
        <f>IF(A144="","",YEAR(A144))</f>
        <v/>
      </c>
      <c r="G144" s="37" t="n"/>
    </row>
    <row r="145" ht="16" customHeight="1">
      <c r="A145" s="39" t="n"/>
      <c r="B145" s="37" t="n"/>
      <c r="C145" s="37" t="n"/>
      <c r="D145" s="37" t="n"/>
      <c r="E145" s="58" t="n"/>
      <c r="F145" s="38">
        <f>IF(A145="","",YEAR(A145))</f>
        <v/>
      </c>
      <c r="G145" s="37" t="n"/>
    </row>
    <row r="146" ht="16" customHeight="1">
      <c r="A146" s="39" t="n"/>
      <c r="B146" s="37" t="n"/>
      <c r="C146" s="37" t="n"/>
      <c r="D146" s="37" t="n"/>
      <c r="E146" s="58" t="n"/>
      <c r="F146" s="38">
        <f>IF(A146="","",YEAR(A146))</f>
        <v/>
      </c>
      <c r="G146" s="37" t="n"/>
    </row>
    <row r="147" ht="16" customHeight="1">
      <c r="A147" s="39" t="n"/>
      <c r="B147" s="37" t="n"/>
      <c r="C147" s="37" t="n"/>
      <c r="D147" s="37" t="n"/>
      <c r="E147" s="58" t="n"/>
      <c r="F147" s="38">
        <f>IF(A147="","",YEAR(A147))</f>
        <v/>
      </c>
      <c r="G147" s="37" t="n"/>
    </row>
    <row r="148" ht="16" customHeight="1">
      <c r="A148" s="39" t="n"/>
      <c r="B148" s="37" t="n"/>
      <c r="C148" s="37" t="n"/>
      <c r="D148" s="37" t="n"/>
      <c r="E148" s="58" t="n"/>
      <c r="F148" s="38">
        <f>IF(A148="","",YEAR(A148))</f>
        <v/>
      </c>
      <c r="G148" s="37" t="n"/>
    </row>
    <row r="149" ht="16" customHeight="1">
      <c r="A149" s="39" t="n"/>
      <c r="B149" s="37" t="n"/>
      <c r="C149" s="37" t="n"/>
      <c r="D149" s="37" t="n"/>
      <c r="E149" s="58" t="n"/>
      <c r="F149" s="38">
        <f>IF(A149="","",YEAR(A149))</f>
        <v/>
      </c>
      <c r="G149" s="37" t="n"/>
    </row>
    <row r="150" ht="16" customHeight="1">
      <c r="A150" s="39" t="n"/>
      <c r="B150" s="37" t="n"/>
      <c r="C150" s="37" t="n"/>
      <c r="D150" s="37" t="n"/>
      <c r="E150" s="58" t="n"/>
      <c r="F150" s="38">
        <f>IF(A150="","",YEAR(A150))</f>
        <v/>
      </c>
      <c r="G150" s="37" t="n"/>
    </row>
    <row r="151" ht="16" customHeight="1">
      <c r="A151" s="39" t="n"/>
      <c r="B151" s="37" t="n"/>
      <c r="C151" s="37" t="n"/>
      <c r="D151" s="37" t="n"/>
      <c r="E151" s="58" t="n"/>
      <c r="F151" s="38">
        <f>IF(A151="","",YEAR(A151))</f>
        <v/>
      </c>
      <c r="G151" s="37" t="n"/>
    </row>
    <row r="152" ht="16" customHeight="1">
      <c r="A152" s="39" t="n"/>
      <c r="B152" s="37" t="n"/>
      <c r="C152" s="37" t="n"/>
      <c r="D152" s="37" t="n"/>
      <c r="E152" s="58" t="n"/>
      <c r="F152" s="38">
        <f>IF(A152="","",YEAR(A152))</f>
        <v/>
      </c>
      <c r="G152" s="37" t="n"/>
    </row>
    <row r="153" ht="16" customHeight="1">
      <c r="A153" s="39" t="n"/>
      <c r="B153" s="37" t="n"/>
      <c r="C153" s="37" t="n"/>
      <c r="D153" s="37" t="n"/>
      <c r="E153" s="58" t="n"/>
      <c r="F153" s="38">
        <f>IF(A153="","",YEAR(A153))</f>
        <v/>
      </c>
      <c r="G153" s="37" t="n"/>
    </row>
    <row r="154" ht="16" customHeight="1">
      <c r="A154" s="39" t="n"/>
      <c r="B154" s="37" t="n"/>
      <c r="C154" s="37" t="n"/>
      <c r="D154" s="37" t="n"/>
      <c r="E154" s="58" t="n"/>
      <c r="F154" s="38">
        <f>IF(A154="","",YEAR(A154))</f>
        <v/>
      </c>
      <c r="G154" s="37" t="n"/>
    </row>
    <row r="155" ht="16" customHeight="1">
      <c r="A155" s="39" t="n"/>
      <c r="B155" s="37" t="n"/>
      <c r="C155" s="37" t="n"/>
      <c r="D155" s="37" t="n"/>
      <c r="E155" s="58" t="n"/>
      <c r="F155" s="38">
        <f>IF(A155="","",YEAR(A155))</f>
        <v/>
      </c>
      <c r="G155" s="37" t="n"/>
    </row>
    <row r="156" ht="16" customHeight="1">
      <c r="A156" s="39" t="n"/>
      <c r="B156" s="37" t="n"/>
      <c r="C156" s="37" t="n"/>
      <c r="D156" s="37" t="n"/>
      <c r="E156" s="58" t="n"/>
      <c r="F156" s="38">
        <f>IF(A156="","",YEAR(A156))</f>
        <v/>
      </c>
      <c r="G156" s="37" t="n"/>
    </row>
    <row r="157" ht="16" customHeight="1">
      <c r="A157" s="39" t="n"/>
      <c r="B157" s="37" t="n"/>
      <c r="C157" s="37" t="n"/>
      <c r="D157" s="37" t="n"/>
      <c r="E157" s="58" t="n"/>
      <c r="F157" s="38">
        <f>IF(A157="","",YEAR(A157))</f>
        <v/>
      </c>
      <c r="G157" s="37" t="n"/>
    </row>
    <row r="158" ht="16" customHeight="1">
      <c r="A158" s="39" t="n"/>
      <c r="B158" s="37" t="n"/>
      <c r="C158" s="37" t="n"/>
      <c r="D158" s="37" t="n"/>
      <c r="E158" s="58" t="n"/>
      <c r="F158" s="38">
        <f>IF(A158="","",YEAR(A158))</f>
        <v/>
      </c>
      <c r="G158" s="37" t="n"/>
    </row>
    <row r="159" ht="16" customHeight="1">
      <c r="A159" s="39" t="n"/>
      <c r="B159" s="37" t="n"/>
      <c r="C159" s="37" t="n"/>
      <c r="D159" s="37" t="n"/>
      <c r="E159" s="58" t="n"/>
      <c r="F159" s="38">
        <f>IF(A159="","",YEAR(A159))</f>
        <v/>
      </c>
      <c r="G159" s="37" t="n"/>
    </row>
    <row r="160" ht="16" customHeight="1">
      <c r="A160" s="39" t="n"/>
      <c r="B160" s="37" t="n"/>
      <c r="C160" s="37" t="n"/>
      <c r="D160" s="37" t="n"/>
      <c r="E160" s="58" t="n"/>
      <c r="F160" s="38">
        <f>IF(A160="","",YEAR(A160))</f>
        <v/>
      </c>
      <c r="G160" s="37" t="n"/>
    </row>
    <row r="161" ht="16" customHeight="1">
      <c r="A161" s="39" t="n"/>
      <c r="B161" s="37" t="n"/>
      <c r="C161" s="37" t="n"/>
      <c r="D161" s="37" t="n"/>
      <c r="E161" s="58" t="n"/>
      <c r="F161" s="38">
        <f>IF(A161="","",YEAR(A161))</f>
        <v/>
      </c>
      <c r="G161" s="37" t="n"/>
    </row>
    <row r="162" ht="16" customHeight="1">
      <c r="A162" s="39" t="n"/>
      <c r="B162" s="37" t="n"/>
      <c r="C162" s="37" t="n"/>
      <c r="D162" s="37" t="n"/>
      <c r="E162" s="58" t="n"/>
      <c r="F162" s="38">
        <f>IF(A162="","",YEAR(A162))</f>
        <v/>
      </c>
      <c r="G162" s="37" t="n"/>
    </row>
    <row r="163" ht="16" customHeight="1">
      <c r="A163" s="39" t="n"/>
      <c r="B163" s="37" t="n"/>
      <c r="C163" s="37" t="n"/>
      <c r="D163" s="37" t="n"/>
      <c r="E163" s="58" t="n"/>
      <c r="F163" s="38">
        <f>IF(A163="","",YEAR(A163))</f>
        <v/>
      </c>
      <c r="G163" s="37" t="n"/>
    </row>
    <row r="164" ht="16" customHeight="1">
      <c r="A164" s="39" t="n"/>
      <c r="B164" s="37" t="n"/>
      <c r="C164" s="37" t="n"/>
      <c r="D164" s="37" t="n"/>
      <c r="E164" s="58" t="n"/>
      <c r="F164" s="38">
        <f>IF(A164="","",YEAR(A164))</f>
        <v/>
      </c>
      <c r="G164" s="37" t="n"/>
    </row>
    <row r="165" ht="16" customHeight="1">
      <c r="A165" s="39" t="n"/>
      <c r="B165" s="37" t="n"/>
      <c r="C165" s="37" t="n"/>
      <c r="D165" s="37" t="n"/>
      <c r="E165" s="58" t="n"/>
      <c r="F165" s="38">
        <f>IF(A165="","",YEAR(A165))</f>
        <v/>
      </c>
      <c r="G165" s="37" t="n"/>
    </row>
    <row r="166" ht="16" customHeight="1">
      <c r="A166" s="39" t="n"/>
      <c r="B166" s="37" t="n"/>
      <c r="C166" s="37" t="n"/>
      <c r="D166" s="37" t="n"/>
      <c r="E166" s="58" t="n"/>
      <c r="F166" s="38">
        <f>IF(A166="","",YEAR(A166))</f>
        <v/>
      </c>
      <c r="G166" s="37" t="n"/>
    </row>
    <row r="167" ht="16" customHeight="1">
      <c r="A167" s="39" t="n"/>
      <c r="B167" s="37" t="n"/>
      <c r="C167" s="37" t="n"/>
      <c r="D167" s="37" t="n"/>
      <c r="E167" s="58" t="n"/>
      <c r="F167" s="38">
        <f>IF(A167="","",YEAR(A167))</f>
        <v/>
      </c>
      <c r="G167" s="37" t="n"/>
    </row>
    <row r="168" ht="16" customHeight="1">
      <c r="A168" s="39" t="n"/>
      <c r="B168" s="37" t="n"/>
      <c r="C168" s="37" t="n"/>
      <c r="D168" s="37" t="n"/>
      <c r="E168" s="58" t="n"/>
      <c r="F168" s="38">
        <f>IF(A168="","",YEAR(A168))</f>
        <v/>
      </c>
      <c r="G168" s="37" t="n"/>
    </row>
    <row r="169" ht="16" customHeight="1">
      <c r="A169" s="39" t="n"/>
      <c r="B169" s="37" t="n"/>
      <c r="C169" s="37" t="n"/>
      <c r="D169" s="37" t="n"/>
      <c r="E169" s="58" t="n"/>
      <c r="F169" s="38">
        <f>IF(A169="","",YEAR(A169))</f>
        <v/>
      </c>
      <c r="G169" s="37" t="n"/>
    </row>
    <row r="170" ht="16" customHeight="1">
      <c r="A170" s="39" t="n"/>
      <c r="B170" s="37" t="n"/>
      <c r="C170" s="37" t="n"/>
      <c r="D170" s="37" t="n"/>
      <c r="E170" s="58" t="n"/>
      <c r="F170" s="38">
        <f>IF(A170="","",YEAR(A170))</f>
        <v/>
      </c>
      <c r="G170" s="37" t="n"/>
    </row>
    <row r="171" ht="16" customHeight="1">
      <c r="A171" s="39" t="n"/>
      <c r="B171" s="37" t="n"/>
      <c r="C171" s="37" t="n"/>
      <c r="D171" s="37" t="n"/>
      <c r="E171" s="58" t="n"/>
      <c r="F171" s="38">
        <f>IF(A171="","",YEAR(A171))</f>
        <v/>
      </c>
      <c r="G171" s="37" t="n"/>
    </row>
    <row r="172" ht="16" customHeight="1">
      <c r="A172" s="39" t="n"/>
      <c r="B172" s="37" t="n"/>
      <c r="C172" s="37" t="n"/>
      <c r="D172" s="37" t="n"/>
      <c r="E172" s="58" t="n"/>
      <c r="F172" s="38">
        <f>IF(A172="","",YEAR(A172))</f>
        <v/>
      </c>
      <c r="G172" s="37" t="n"/>
    </row>
    <row r="173" ht="16" customHeight="1">
      <c r="A173" s="39" t="n"/>
      <c r="B173" s="37" t="n"/>
      <c r="C173" s="37" t="n"/>
      <c r="D173" s="37" t="n"/>
      <c r="E173" s="58" t="n"/>
      <c r="F173" s="38">
        <f>IF(A173="","",YEAR(A173))</f>
        <v/>
      </c>
      <c r="G173" s="37" t="n"/>
    </row>
    <row r="174" ht="16" customHeight="1">
      <c r="A174" s="39" t="n"/>
      <c r="B174" s="37" t="n"/>
      <c r="C174" s="37" t="n"/>
      <c r="D174" s="37" t="n"/>
      <c r="E174" s="58" t="n"/>
      <c r="F174" s="38">
        <f>IF(A174="","",YEAR(A174))</f>
        <v/>
      </c>
      <c r="G174" s="37" t="n"/>
    </row>
    <row r="175" ht="16" customHeight="1">
      <c r="A175" s="39" t="n"/>
      <c r="B175" s="37" t="n"/>
      <c r="C175" s="37" t="n"/>
      <c r="D175" s="37" t="n"/>
      <c r="E175" s="58" t="n"/>
      <c r="F175" s="38">
        <f>IF(A175="","",YEAR(A175))</f>
        <v/>
      </c>
      <c r="G175" s="37" t="n"/>
    </row>
    <row r="176" ht="16" customHeight="1">
      <c r="A176" s="39" t="n"/>
      <c r="B176" s="37" t="n"/>
      <c r="C176" s="37" t="n"/>
      <c r="D176" s="37" t="n"/>
      <c r="E176" s="58" t="n"/>
      <c r="F176" s="38">
        <f>IF(A176="","",YEAR(A176))</f>
        <v/>
      </c>
      <c r="G176" s="37" t="n"/>
    </row>
    <row r="177" ht="16" customHeight="1">
      <c r="A177" s="39" t="n"/>
      <c r="B177" s="37" t="n"/>
      <c r="C177" s="37" t="n"/>
      <c r="D177" s="37" t="n"/>
      <c r="E177" s="58" t="n"/>
      <c r="F177" s="38">
        <f>IF(A177="","",YEAR(A177))</f>
        <v/>
      </c>
      <c r="G177" s="37" t="n"/>
    </row>
    <row r="178" ht="16" customHeight="1">
      <c r="A178" s="39" t="n"/>
      <c r="B178" s="37" t="n"/>
      <c r="C178" s="37" t="n"/>
      <c r="D178" s="37" t="n"/>
      <c r="E178" s="58" t="n"/>
      <c r="F178" s="38">
        <f>IF(A178="","",YEAR(A178))</f>
        <v/>
      </c>
      <c r="G178" s="37" t="n"/>
    </row>
    <row r="179" ht="16" customHeight="1">
      <c r="A179" s="39" t="n"/>
      <c r="B179" s="37" t="n"/>
      <c r="C179" s="37" t="n"/>
      <c r="D179" s="37" t="n"/>
      <c r="E179" s="58" t="n"/>
      <c r="F179" s="38">
        <f>IF(A179="","",YEAR(A179))</f>
        <v/>
      </c>
      <c r="G179" s="37" t="n"/>
    </row>
    <row r="180" ht="16" customHeight="1">
      <c r="A180" s="39" t="n"/>
      <c r="B180" s="37" t="n"/>
      <c r="C180" s="37" t="n"/>
      <c r="D180" s="37" t="n"/>
      <c r="E180" s="58" t="n"/>
      <c r="F180" s="38">
        <f>IF(A180="","",YEAR(A180))</f>
        <v/>
      </c>
      <c r="G180" s="37" t="n"/>
    </row>
    <row r="181" ht="16" customHeight="1">
      <c r="A181" s="39" t="n"/>
      <c r="B181" s="37" t="n"/>
      <c r="C181" s="37" t="n"/>
      <c r="D181" s="37" t="n"/>
      <c r="E181" s="58" t="n"/>
      <c r="F181" s="38">
        <f>IF(A181="","",YEAR(A181))</f>
        <v/>
      </c>
      <c r="G181" s="37" t="n"/>
    </row>
    <row r="182" ht="16" customHeight="1">
      <c r="A182" s="39" t="n"/>
      <c r="B182" s="37" t="n"/>
      <c r="C182" s="37" t="n"/>
      <c r="D182" s="37" t="n"/>
      <c r="E182" s="58" t="n"/>
      <c r="F182" s="38">
        <f>IF(A182="","",YEAR(A182))</f>
        <v/>
      </c>
      <c r="G182" s="37" t="n"/>
    </row>
    <row r="183" ht="16" customHeight="1">
      <c r="A183" s="39" t="n"/>
      <c r="B183" s="37" t="n"/>
      <c r="C183" s="37" t="n"/>
      <c r="D183" s="37" t="n"/>
      <c r="E183" s="58" t="n"/>
      <c r="F183" s="38">
        <f>IF(A183="","",YEAR(A183))</f>
        <v/>
      </c>
      <c r="G183" s="37" t="n"/>
    </row>
    <row r="184" ht="16" customHeight="1">
      <c r="A184" s="39" t="n"/>
      <c r="B184" s="37" t="n"/>
      <c r="C184" s="37" t="n"/>
      <c r="D184" s="37" t="n"/>
      <c r="E184" s="58" t="n"/>
      <c r="F184" s="38">
        <f>IF(A184="","",YEAR(A184))</f>
        <v/>
      </c>
      <c r="G184" s="37" t="n"/>
    </row>
    <row r="185" ht="16" customHeight="1">
      <c r="A185" s="39" t="n"/>
      <c r="B185" s="37" t="n"/>
      <c r="C185" s="37" t="n"/>
      <c r="D185" s="37" t="n"/>
      <c r="E185" s="58" t="n"/>
      <c r="F185" s="38">
        <f>IF(A185="","",YEAR(A185))</f>
        <v/>
      </c>
      <c r="G185" s="37" t="n"/>
    </row>
    <row r="186" ht="16" customHeight="1">
      <c r="A186" s="39" t="n"/>
      <c r="B186" s="37" t="n"/>
      <c r="C186" s="37" t="n"/>
      <c r="D186" s="37" t="n"/>
      <c r="E186" s="58" t="n"/>
      <c r="F186" s="38">
        <f>IF(A186="","",YEAR(A186))</f>
        <v/>
      </c>
      <c r="G186" s="37" t="n"/>
    </row>
    <row r="187" ht="16" customHeight="1">
      <c r="A187" s="39" t="n"/>
      <c r="B187" s="37" t="n"/>
      <c r="C187" s="37" t="n"/>
      <c r="D187" s="37" t="n"/>
      <c r="E187" s="58" t="n"/>
      <c r="F187" s="38">
        <f>IF(A187="","",YEAR(A187))</f>
        <v/>
      </c>
      <c r="G187" s="37" t="n"/>
    </row>
    <row r="188" ht="16" customHeight="1">
      <c r="A188" s="39" t="n"/>
      <c r="B188" s="37" t="n"/>
      <c r="C188" s="37" t="n"/>
      <c r="D188" s="37" t="n"/>
      <c r="E188" s="58" t="n"/>
      <c r="F188" s="38">
        <f>IF(A188="","",YEAR(A188))</f>
        <v/>
      </c>
      <c r="G188" s="37" t="n"/>
    </row>
    <row r="189" ht="16" customHeight="1">
      <c r="A189" s="39" t="n"/>
      <c r="B189" s="37" t="n"/>
      <c r="C189" s="37" t="n"/>
      <c r="D189" s="37" t="n"/>
      <c r="E189" s="58" t="n"/>
      <c r="F189" s="38">
        <f>IF(A189="","",YEAR(A189))</f>
        <v/>
      </c>
      <c r="G189" s="37" t="n"/>
    </row>
    <row r="190" ht="16" customHeight="1">
      <c r="A190" s="39" t="n"/>
      <c r="B190" s="37" t="n"/>
      <c r="C190" s="37" t="n"/>
      <c r="D190" s="37" t="n"/>
      <c r="E190" s="58" t="n"/>
      <c r="F190" s="38">
        <f>IF(A190="","",YEAR(A190))</f>
        <v/>
      </c>
      <c r="G190" s="37" t="n"/>
    </row>
    <row r="191" ht="16" customHeight="1">
      <c r="A191" s="39" t="n"/>
      <c r="B191" s="37" t="n"/>
      <c r="C191" s="37" t="n"/>
      <c r="D191" s="37" t="n"/>
      <c r="E191" s="58" t="n"/>
      <c r="F191" s="38">
        <f>IF(A191="","",YEAR(A191))</f>
        <v/>
      </c>
      <c r="G191" s="37" t="n"/>
    </row>
    <row r="192" ht="16" customHeight="1">
      <c r="A192" s="39" t="n"/>
      <c r="B192" s="37" t="n"/>
      <c r="C192" s="37" t="n"/>
      <c r="D192" s="37" t="n"/>
      <c r="E192" s="58" t="n"/>
      <c r="F192" s="38">
        <f>IF(A192="","",YEAR(A192))</f>
        <v/>
      </c>
      <c r="G192" s="37" t="n"/>
    </row>
    <row r="193" ht="16" customHeight="1">
      <c r="A193" s="39" t="n"/>
      <c r="B193" s="37" t="n"/>
      <c r="C193" s="37" t="n"/>
      <c r="D193" s="37" t="n"/>
      <c r="E193" s="58" t="n"/>
      <c r="F193" s="38">
        <f>IF(A193="","",YEAR(A193))</f>
        <v/>
      </c>
      <c r="G193" s="37" t="n"/>
    </row>
    <row r="194" ht="16" customHeight="1">
      <c r="A194" s="39" t="n"/>
      <c r="B194" s="37" t="n"/>
      <c r="C194" s="37" t="n"/>
      <c r="D194" s="37" t="n"/>
      <c r="E194" s="58" t="n"/>
      <c r="F194" s="38">
        <f>IF(A194="","",YEAR(A194))</f>
        <v/>
      </c>
      <c r="G194" s="37" t="n"/>
    </row>
    <row r="195" ht="16" customHeight="1">
      <c r="A195" s="39" t="n"/>
      <c r="B195" s="37" t="n"/>
      <c r="C195" s="37" t="n"/>
      <c r="D195" s="37" t="n"/>
      <c r="E195" s="58" t="n"/>
      <c r="F195" s="38">
        <f>IF(A195="","",YEAR(A195))</f>
        <v/>
      </c>
      <c r="G195" s="37" t="n"/>
    </row>
    <row r="196" ht="16" customHeight="1">
      <c r="A196" s="39" t="n"/>
      <c r="B196" s="37" t="n"/>
      <c r="C196" s="37" t="n"/>
      <c r="D196" s="37" t="n"/>
      <c r="E196" s="58" t="n"/>
      <c r="F196" s="38">
        <f>IF(A196="","",YEAR(A196))</f>
        <v/>
      </c>
      <c r="G196" s="37" t="n"/>
    </row>
    <row r="197" ht="16" customHeight="1">
      <c r="A197" s="39" t="n"/>
      <c r="B197" s="37" t="n"/>
      <c r="C197" s="37" t="n"/>
      <c r="D197" s="37" t="n"/>
      <c r="E197" s="58" t="n"/>
      <c r="F197" s="38">
        <f>IF(A197="","",YEAR(A197))</f>
        <v/>
      </c>
      <c r="G197" s="37" t="n"/>
    </row>
    <row r="198" ht="16" customHeight="1">
      <c r="A198" s="39" t="n"/>
      <c r="B198" s="37" t="n"/>
      <c r="C198" s="37" t="n"/>
      <c r="D198" s="37" t="n"/>
      <c r="E198" s="58" t="n"/>
      <c r="F198" s="38">
        <f>IF(A198="","",YEAR(A198))</f>
        <v/>
      </c>
      <c r="G198" s="37" t="n"/>
    </row>
    <row r="199" ht="16" customHeight="1">
      <c r="A199" s="39" t="n"/>
      <c r="B199" s="37" t="n"/>
      <c r="C199" s="37" t="n"/>
      <c r="D199" s="37" t="n"/>
      <c r="E199" s="58" t="n"/>
      <c r="F199" s="38">
        <f>IF(A199="","",YEAR(A199))</f>
        <v/>
      </c>
      <c r="G199" s="37" t="n"/>
    </row>
    <row r="200" ht="16" customHeight="1">
      <c r="A200" s="39" t="n"/>
      <c r="B200" s="37" t="n"/>
      <c r="C200" s="37" t="n"/>
      <c r="D200" s="37" t="n"/>
      <c r="E200" s="58" t="n"/>
      <c r="F200" s="38">
        <f>IF(A200="","",YEAR(A200))</f>
        <v/>
      </c>
      <c r="G200" s="37" t="n"/>
    </row>
    <row r="201" ht="16" customHeight="1">
      <c r="A201" s="39" t="n"/>
      <c r="B201" s="37" t="n"/>
      <c r="C201" s="37" t="n"/>
      <c r="D201" s="37" t="n"/>
      <c r="E201" s="58" t="n"/>
      <c r="F201" s="38">
        <f>IF(A201="","",YEAR(A201))</f>
        <v/>
      </c>
      <c r="G201" s="37" t="n"/>
    </row>
    <row r="202" ht="16" customHeight="1">
      <c r="A202" s="39" t="n"/>
      <c r="B202" s="37" t="n"/>
      <c r="C202" s="37" t="n"/>
      <c r="D202" s="37" t="n"/>
      <c r="E202" s="58" t="n"/>
      <c r="F202" s="38">
        <f>IF(A202="","",YEAR(A202))</f>
        <v/>
      </c>
      <c r="G202" s="37" t="n"/>
    </row>
    <row r="203" ht="16" customHeight="1">
      <c r="A203" s="39" t="n"/>
      <c r="B203" s="37" t="n"/>
      <c r="C203" s="37" t="n"/>
      <c r="D203" s="37" t="n"/>
      <c r="E203" s="58" t="n"/>
      <c r="F203" s="38">
        <f>IF(A203="","",YEAR(A203))</f>
        <v/>
      </c>
      <c r="G203" s="37" t="n"/>
    </row>
    <row r="204" ht="16" customHeight="1">
      <c r="A204" s="39" t="n"/>
      <c r="B204" s="37" t="n"/>
      <c r="C204" s="37" t="n"/>
      <c r="D204" s="37" t="n"/>
      <c r="E204" s="58" t="n"/>
      <c r="F204" s="38">
        <f>IF(A204="","",YEAR(A204))</f>
        <v/>
      </c>
      <c r="G204" s="37" t="n"/>
    </row>
    <row r="205" ht="16" customHeight="1">
      <c r="A205" s="39" t="n"/>
      <c r="B205" s="37" t="n"/>
      <c r="C205" s="37" t="n"/>
      <c r="D205" s="37" t="n"/>
      <c r="E205" s="58" t="n"/>
      <c r="F205" s="38">
        <f>IF(A205="","",YEAR(A205))</f>
        <v/>
      </c>
      <c r="G205" s="37" t="n"/>
    </row>
    <row r="206" ht="16" customHeight="1">
      <c r="A206" s="39" t="n"/>
      <c r="B206" s="37" t="n"/>
      <c r="C206" s="37" t="n"/>
      <c r="D206" s="37" t="n"/>
      <c r="E206" s="58" t="n"/>
      <c r="F206" s="38">
        <f>IF(A206="","",YEAR(A206))</f>
        <v/>
      </c>
      <c r="G206" s="37" t="n"/>
    </row>
    <row r="207" ht="16" customHeight="1">
      <c r="A207" s="39" t="n"/>
      <c r="B207" s="37" t="n"/>
      <c r="C207" s="37" t="n"/>
      <c r="D207" s="37" t="n"/>
      <c r="E207" s="58" t="n"/>
      <c r="F207" s="38">
        <f>IF(A207="","",YEAR(A207))</f>
        <v/>
      </c>
      <c r="G207" s="37" t="n"/>
    </row>
    <row r="208" ht="16" customHeight="1">
      <c r="A208" s="39" t="n"/>
      <c r="B208" s="37" t="n"/>
      <c r="C208" s="37" t="n"/>
      <c r="D208" s="37" t="n"/>
      <c r="E208" s="58" t="n"/>
      <c r="F208" s="38">
        <f>IF(A208="","",YEAR(A208))</f>
        <v/>
      </c>
      <c r="G208" s="37" t="n"/>
    </row>
    <row r="209" ht="16" customHeight="1">
      <c r="A209" s="39" t="n"/>
      <c r="B209" s="37" t="n"/>
      <c r="C209" s="37" t="n"/>
      <c r="D209" s="37" t="n"/>
      <c r="E209" s="58" t="n"/>
      <c r="F209" s="38">
        <f>IF(A209="","",YEAR(A209))</f>
        <v/>
      </c>
      <c r="G209" s="37" t="n"/>
    </row>
    <row r="210" ht="16" customHeight="1">
      <c r="A210" s="39" t="n"/>
      <c r="B210" s="37" t="n"/>
      <c r="C210" s="37" t="n"/>
      <c r="D210" s="37" t="n"/>
      <c r="E210" s="58" t="n"/>
      <c r="F210" s="38">
        <f>IF(A210="","",YEAR(A210))</f>
        <v/>
      </c>
      <c r="G210" s="37" t="n"/>
    </row>
    <row r="211" ht="16" customHeight="1">
      <c r="A211" s="39" t="n"/>
      <c r="B211" s="37" t="n"/>
      <c r="C211" s="37" t="n"/>
      <c r="D211" s="37" t="n"/>
      <c r="E211" s="58" t="n"/>
      <c r="F211" s="38">
        <f>IF(A211="","",YEAR(A211))</f>
        <v/>
      </c>
      <c r="G211" s="37" t="n"/>
    </row>
    <row r="212" ht="16" customHeight="1">
      <c r="A212" s="39" t="n"/>
      <c r="B212" s="37" t="n"/>
      <c r="C212" s="37" t="n"/>
      <c r="D212" s="37" t="n"/>
      <c r="E212" s="58" t="n"/>
      <c r="F212" s="38">
        <f>IF(A212="","",YEAR(A212))</f>
        <v/>
      </c>
      <c r="G212" s="37" t="n"/>
    </row>
    <row r="213" ht="16" customHeight="1">
      <c r="A213" s="39" t="n"/>
      <c r="B213" s="37" t="n"/>
      <c r="C213" s="37" t="n"/>
      <c r="D213" s="37" t="n"/>
      <c r="E213" s="58" t="n"/>
      <c r="F213" s="38">
        <f>IF(A213="","",YEAR(A213))</f>
        <v/>
      </c>
      <c r="G213" s="37" t="n"/>
    </row>
    <row r="214" ht="16" customHeight="1">
      <c r="A214" s="39" t="n"/>
      <c r="B214" s="37" t="n"/>
      <c r="C214" s="37" t="n"/>
      <c r="D214" s="37" t="n"/>
      <c r="E214" s="58" t="n"/>
      <c r="F214" s="38">
        <f>IF(A214="","",YEAR(A214))</f>
        <v/>
      </c>
      <c r="G214" s="37" t="n"/>
    </row>
    <row r="215" ht="16" customHeight="1">
      <c r="A215" s="39" t="n"/>
      <c r="B215" s="37" t="n"/>
      <c r="C215" s="37" t="n"/>
      <c r="D215" s="37" t="n"/>
      <c r="E215" s="58" t="n"/>
      <c r="F215" s="38">
        <f>IF(A215="","",YEAR(A215))</f>
        <v/>
      </c>
      <c r="G215" s="37" t="n"/>
    </row>
    <row r="216" ht="16" customHeight="1">
      <c r="A216" s="39" t="n"/>
      <c r="B216" s="37" t="n"/>
      <c r="C216" s="37" t="n"/>
      <c r="D216" s="37" t="n"/>
      <c r="E216" s="58" t="n"/>
      <c r="F216" s="38">
        <f>IF(A216="","",YEAR(A216))</f>
        <v/>
      </c>
      <c r="G216" s="37" t="n"/>
    </row>
    <row r="217" ht="16" customHeight="1">
      <c r="A217" s="39" t="n"/>
      <c r="B217" s="37" t="n"/>
      <c r="C217" s="37" t="n"/>
      <c r="D217" s="37" t="n"/>
      <c r="E217" s="58" t="n"/>
      <c r="F217" s="38">
        <f>IF(A217="","",YEAR(A217))</f>
        <v/>
      </c>
      <c r="G217" s="37" t="n"/>
    </row>
    <row r="218" ht="16" customHeight="1">
      <c r="A218" s="39" t="n"/>
      <c r="B218" s="37" t="n"/>
      <c r="C218" s="37" t="n"/>
      <c r="D218" s="37" t="n"/>
      <c r="E218" s="58" t="n"/>
      <c r="F218" s="38">
        <f>IF(A218="","",YEAR(A218))</f>
        <v/>
      </c>
      <c r="G218" s="37" t="n"/>
    </row>
    <row r="219" ht="16" customHeight="1">
      <c r="A219" s="39" t="n"/>
      <c r="B219" s="37" t="n"/>
      <c r="C219" s="37" t="n"/>
      <c r="D219" s="37" t="n"/>
      <c r="E219" s="58" t="n"/>
      <c r="F219" s="38">
        <f>IF(A219="","",YEAR(A219))</f>
        <v/>
      </c>
      <c r="G219" s="37" t="n"/>
    </row>
    <row r="220" ht="16" customHeight="1">
      <c r="A220" s="39" t="n"/>
      <c r="B220" s="37" t="n"/>
      <c r="C220" s="37" t="n"/>
      <c r="D220" s="37" t="n"/>
      <c r="E220" s="58" t="n"/>
      <c r="F220" s="38">
        <f>IF(A220="","",YEAR(A220))</f>
        <v/>
      </c>
      <c r="G220" s="37" t="n"/>
    </row>
    <row r="221" ht="16" customHeight="1">
      <c r="A221" s="39" t="n"/>
      <c r="B221" s="37" t="n"/>
      <c r="C221" s="37" t="n"/>
      <c r="D221" s="37" t="n"/>
      <c r="E221" s="58" t="n"/>
      <c r="F221" s="38">
        <f>IF(A221="","",YEAR(A221))</f>
        <v/>
      </c>
      <c r="G221" s="37" t="n"/>
    </row>
    <row r="222" ht="16" customHeight="1">
      <c r="A222" s="39" t="n"/>
      <c r="B222" s="37" t="n"/>
      <c r="C222" s="37" t="n"/>
      <c r="D222" s="37" t="n"/>
      <c r="E222" s="58" t="n"/>
      <c r="F222" s="38">
        <f>IF(A222="","",YEAR(A222))</f>
        <v/>
      </c>
      <c r="G222" s="37" t="n"/>
    </row>
    <row r="223" ht="16" customHeight="1">
      <c r="A223" s="39" t="n"/>
      <c r="B223" s="37" t="n"/>
      <c r="C223" s="37" t="n"/>
      <c r="D223" s="37" t="n"/>
      <c r="E223" s="58" t="n"/>
      <c r="F223" s="38">
        <f>IF(A223="","",YEAR(A223))</f>
        <v/>
      </c>
      <c r="G223" s="37" t="n"/>
    </row>
    <row r="224" ht="16" customHeight="1">
      <c r="A224" s="39" t="n"/>
      <c r="B224" s="37" t="n"/>
      <c r="C224" s="37" t="n"/>
      <c r="D224" s="37" t="n"/>
      <c r="E224" s="58" t="n"/>
      <c r="F224" s="38">
        <f>IF(A224="","",YEAR(A224))</f>
        <v/>
      </c>
      <c r="G224" s="37" t="n"/>
    </row>
    <row r="225" ht="16" customHeight="1">
      <c r="A225" s="39" t="n"/>
      <c r="B225" s="37" t="n"/>
      <c r="C225" s="37" t="n"/>
      <c r="D225" s="37" t="n"/>
      <c r="E225" s="58" t="n"/>
      <c r="F225" s="38">
        <f>IF(A225="","",YEAR(A225))</f>
        <v/>
      </c>
      <c r="G225" s="37" t="n"/>
    </row>
    <row r="226" ht="16" customHeight="1">
      <c r="A226" s="39" t="n"/>
      <c r="B226" s="37" t="n"/>
      <c r="C226" s="37" t="n"/>
      <c r="D226" s="37" t="n"/>
      <c r="E226" s="58" t="n"/>
      <c r="F226" s="38">
        <f>IF(A226="","",YEAR(A226))</f>
        <v/>
      </c>
      <c r="G226" s="37" t="n"/>
    </row>
    <row r="227" ht="16" customHeight="1">
      <c r="A227" s="39" t="n"/>
      <c r="B227" s="37" t="n"/>
      <c r="C227" s="37" t="n"/>
      <c r="D227" s="37" t="n"/>
      <c r="E227" s="58" t="n"/>
      <c r="F227" s="38">
        <f>IF(A227="","",YEAR(A227))</f>
        <v/>
      </c>
      <c r="G227" s="37" t="n"/>
    </row>
    <row r="228" ht="16" customHeight="1">
      <c r="A228" s="39" t="n"/>
      <c r="B228" s="37" t="n"/>
      <c r="C228" s="37" t="n"/>
      <c r="D228" s="37" t="n"/>
      <c r="E228" s="58" t="n"/>
      <c r="F228" s="38">
        <f>IF(A228="","",YEAR(A228))</f>
        <v/>
      </c>
      <c r="G228" s="37" t="n"/>
    </row>
    <row r="229" ht="16" customHeight="1">
      <c r="A229" s="39" t="n"/>
      <c r="B229" s="37" t="n"/>
      <c r="C229" s="37" t="n"/>
      <c r="D229" s="37" t="n"/>
      <c r="E229" s="58" t="n"/>
      <c r="F229" s="38">
        <f>IF(A229="","",YEAR(A229))</f>
        <v/>
      </c>
      <c r="G229" s="37" t="n"/>
    </row>
    <row r="230" ht="16" customHeight="1">
      <c r="A230" s="39" t="n"/>
      <c r="B230" s="37" t="n"/>
      <c r="C230" s="37" t="n"/>
      <c r="D230" s="37" t="n"/>
      <c r="E230" s="58" t="n"/>
      <c r="F230" s="38">
        <f>IF(A230="","",YEAR(A230))</f>
        <v/>
      </c>
      <c r="G230" s="37" t="n"/>
    </row>
    <row r="231" ht="16" customHeight="1">
      <c r="A231" s="39" t="n"/>
      <c r="B231" s="37" t="n"/>
      <c r="C231" s="37" t="n"/>
      <c r="D231" s="37" t="n"/>
      <c r="E231" s="58" t="n"/>
      <c r="F231" s="38">
        <f>IF(A231="","",YEAR(A231))</f>
        <v/>
      </c>
      <c r="G231" s="37" t="n"/>
    </row>
    <row r="232" ht="16" customHeight="1">
      <c r="A232" s="39" t="n"/>
      <c r="B232" s="37" t="n"/>
      <c r="C232" s="37" t="n"/>
      <c r="D232" s="37" t="n"/>
      <c r="E232" s="58" t="n"/>
      <c r="F232" s="38">
        <f>IF(A232="","",YEAR(A232))</f>
        <v/>
      </c>
      <c r="G232" s="37" t="n"/>
    </row>
    <row r="233" ht="16" customHeight="1">
      <c r="A233" s="39" t="n"/>
      <c r="B233" s="37" t="n"/>
      <c r="C233" s="37" t="n"/>
      <c r="D233" s="37" t="n"/>
      <c r="E233" s="58" t="n"/>
      <c r="F233" s="38">
        <f>IF(A233="","",YEAR(A233))</f>
        <v/>
      </c>
      <c r="G233" s="37" t="n"/>
    </row>
    <row r="234" ht="16" customHeight="1">
      <c r="A234" s="39" t="n"/>
      <c r="B234" s="37" t="n"/>
      <c r="C234" s="37" t="n"/>
      <c r="D234" s="37" t="n"/>
      <c r="E234" s="58" t="n"/>
      <c r="F234" s="38">
        <f>IF(A234="","",YEAR(A234))</f>
        <v/>
      </c>
      <c r="G234" s="37" t="n"/>
    </row>
    <row r="235" ht="16" customHeight="1">
      <c r="A235" s="39" t="n"/>
      <c r="B235" s="37" t="n"/>
      <c r="C235" s="37" t="n"/>
      <c r="D235" s="37" t="n"/>
      <c r="E235" s="58" t="n"/>
      <c r="F235" s="38">
        <f>IF(A235="","",YEAR(A235))</f>
        <v/>
      </c>
      <c r="G235" s="37" t="n"/>
    </row>
    <row r="236" ht="16" customHeight="1">
      <c r="A236" s="39" t="n"/>
      <c r="B236" s="37" t="n"/>
      <c r="C236" s="37" t="n"/>
      <c r="D236" s="37" t="n"/>
      <c r="E236" s="58" t="n"/>
      <c r="F236" s="38">
        <f>IF(A236="","",YEAR(A236))</f>
        <v/>
      </c>
      <c r="G236" s="37" t="n"/>
    </row>
    <row r="237" ht="16" customHeight="1">
      <c r="A237" s="39" t="n"/>
      <c r="B237" s="37" t="n"/>
      <c r="C237" s="37" t="n"/>
      <c r="D237" s="37" t="n"/>
      <c r="E237" s="58" t="n"/>
      <c r="F237" s="38">
        <f>IF(A237="","",YEAR(A237))</f>
        <v/>
      </c>
      <c r="G237" s="37" t="n"/>
    </row>
    <row r="238" ht="16" customHeight="1">
      <c r="A238" s="39" t="n"/>
      <c r="B238" s="37" t="n"/>
      <c r="C238" s="37" t="n"/>
      <c r="D238" s="37" t="n"/>
      <c r="E238" s="58" t="n"/>
      <c r="F238" s="38">
        <f>IF(A238="","",YEAR(A238))</f>
        <v/>
      </c>
      <c r="G238" s="37" t="n"/>
    </row>
    <row r="239" ht="16" customHeight="1">
      <c r="A239" s="39" t="n"/>
      <c r="B239" s="37" t="n"/>
      <c r="C239" s="37" t="n"/>
      <c r="D239" s="37" t="n"/>
      <c r="E239" s="58" t="n"/>
      <c r="F239" s="38">
        <f>IF(A239="","",YEAR(A239))</f>
        <v/>
      </c>
      <c r="G239" s="37" t="n"/>
    </row>
    <row r="240" ht="16" customHeight="1">
      <c r="A240" s="39" t="n"/>
      <c r="B240" s="37" t="n"/>
      <c r="C240" s="37" t="n"/>
      <c r="D240" s="37" t="n"/>
      <c r="E240" s="58" t="n"/>
      <c r="F240" s="38">
        <f>IF(A240="","",YEAR(A240))</f>
        <v/>
      </c>
      <c r="G240" s="37" t="n"/>
    </row>
    <row r="241" ht="16" customHeight="1">
      <c r="A241" s="39" t="n"/>
      <c r="B241" s="37" t="n"/>
      <c r="C241" s="37" t="n"/>
      <c r="D241" s="37" t="n"/>
      <c r="E241" s="58" t="n"/>
      <c r="F241" s="38">
        <f>IF(A241="","",YEAR(A241))</f>
        <v/>
      </c>
      <c r="G241" s="37" t="n"/>
    </row>
    <row r="242" ht="16" customHeight="1">
      <c r="A242" s="39" t="n"/>
      <c r="B242" s="37" t="n"/>
      <c r="C242" s="37" t="n"/>
      <c r="D242" s="37" t="n"/>
      <c r="E242" s="58" t="n"/>
      <c r="F242" s="38">
        <f>IF(A242="","",YEAR(A242))</f>
        <v/>
      </c>
      <c r="G242" s="37" t="n"/>
    </row>
    <row r="243" ht="16" customHeight="1">
      <c r="A243" s="39" t="n"/>
      <c r="B243" s="37" t="n"/>
      <c r="C243" s="37" t="n"/>
      <c r="D243" s="37" t="n"/>
      <c r="E243" s="58" t="n"/>
      <c r="F243" s="38">
        <f>IF(A243="","",YEAR(A243))</f>
        <v/>
      </c>
      <c r="G243" s="37" t="n"/>
    </row>
    <row r="244" ht="16" customHeight="1">
      <c r="A244" s="39" t="n"/>
      <c r="B244" s="37" t="n"/>
      <c r="C244" s="37" t="n"/>
      <c r="D244" s="37" t="n"/>
      <c r="E244" s="58" t="n"/>
      <c r="F244" s="38">
        <f>IF(A244="","",YEAR(A244))</f>
        <v/>
      </c>
      <c r="G244" s="37" t="n"/>
    </row>
    <row r="245" ht="16" customHeight="1">
      <c r="A245" s="39" t="n"/>
      <c r="B245" s="37" t="n"/>
      <c r="C245" s="37" t="n"/>
      <c r="D245" s="37" t="n"/>
      <c r="E245" s="58" t="n"/>
      <c r="F245" s="38">
        <f>IF(A245="","",YEAR(A245))</f>
        <v/>
      </c>
      <c r="G245" s="37" t="n"/>
    </row>
    <row r="246" ht="16" customHeight="1">
      <c r="A246" s="39" t="n"/>
      <c r="B246" s="37" t="n"/>
      <c r="C246" s="37" t="n"/>
      <c r="D246" s="37" t="n"/>
      <c r="E246" s="58" t="n"/>
      <c r="F246" s="38">
        <f>IF(A246="","",YEAR(A246))</f>
        <v/>
      </c>
      <c r="G246" s="37" t="n"/>
    </row>
    <row r="247" ht="16" customHeight="1">
      <c r="A247" s="39" t="n"/>
      <c r="B247" s="37" t="n"/>
      <c r="C247" s="37" t="n"/>
      <c r="D247" s="37" t="n"/>
      <c r="E247" s="58" t="n"/>
      <c r="F247" s="38">
        <f>IF(A247="","",YEAR(A247))</f>
        <v/>
      </c>
      <c r="G247" s="37" t="n"/>
    </row>
    <row r="248" ht="16" customHeight="1">
      <c r="A248" s="39" t="n"/>
      <c r="B248" s="37" t="n"/>
      <c r="C248" s="37" t="n"/>
      <c r="D248" s="37" t="n"/>
      <c r="E248" s="58" t="n"/>
      <c r="F248" s="38">
        <f>IF(A248="","",YEAR(A248))</f>
        <v/>
      </c>
      <c r="G248" s="37" t="n"/>
    </row>
    <row r="249" ht="16" customHeight="1">
      <c r="A249" s="39" t="n"/>
      <c r="B249" s="37" t="n"/>
      <c r="C249" s="37" t="n"/>
      <c r="D249" s="37" t="n"/>
      <c r="E249" s="58" t="n"/>
      <c r="F249" s="38">
        <f>IF(A249="","",YEAR(A249))</f>
        <v/>
      </c>
      <c r="G249" s="37" t="n"/>
    </row>
    <row r="250" ht="16" customHeight="1">
      <c r="A250" s="39" t="n"/>
      <c r="B250" s="37" t="n"/>
      <c r="C250" s="37" t="n"/>
      <c r="D250" s="37" t="n"/>
      <c r="E250" s="58" t="n"/>
      <c r="F250" s="38">
        <f>IF(A250="","",YEAR(A250))</f>
        <v/>
      </c>
      <c r="G250" s="37" t="n"/>
    </row>
    <row r="251" ht="16" customHeight="1">
      <c r="A251" s="39" t="n"/>
      <c r="B251" s="37" t="n"/>
      <c r="C251" s="37" t="n"/>
      <c r="D251" s="37" t="n"/>
      <c r="E251" s="58" t="n"/>
      <c r="F251" s="38">
        <f>IF(A251="","",YEAR(A251))</f>
        <v/>
      </c>
      <c r="G251" s="37" t="n"/>
    </row>
    <row r="252" ht="16" customHeight="1">
      <c r="A252" s="39" t="n"/>
      <c r="B252" s="37" t="n"/>
      <c r="C252" s="37" t="n"/>
      <c r="D252" s="37" t="n"/>
      <c r="E252" s="58" t="n"/>
      <c r="F252" s="38">
        <f>IF(A252="","",YEAR(A252))</f>
        <v/>
      </c>
      <c r="G252" s="37" t="n"/>
    </row>
    <row r="253" ht="16" customHeight="1">
      <c r="A253" s="39" t="n"/>
      <c r="B253" s="37" t="n"/>
      <c r="C253" s="37" t="n"/>
      <c r="D253" s="37" t="n"/>
      <c r="E253" s="58" t="n"/>
      <c r="F253" s="38">
        <f>IF(A253="","",YEAR(A253))</f>
        <v/>
      </c>
      <c r="G253" s="37" t="n"/>
    </row>
    <row r="254" ht="16" customHeight="1">
      <c r="A254" s="39" t="n"/>
      <c r="B254" s="37" t="n"/>
      <c r="C254" s="37" t="n"/>
      <c r="D254" s="37" t="n"/>
      <c r="E254" s="58" t="n"/>
      <c r="F254" s="38">
        <f>IF(A254="","",YEAR(A254))</f>
        <v/>
      </c>
      <c r="G254" s="37" t="n"/>
    </row>
    <row r="255" ht="16" customHeight="1">
      <c r="A255" s="39" t="n"/>
      <c r="B255" s="37" t="n"/>
      <c r="C255" s="37" t="n"/>
      <c r="D255" s="37" t="n"/>
      <c r="E255" s="58" t="n"/>
      <c r="F255" s="38">
        <f>IF(A255="","",YEAR(A255))</f>
        <v/>
      </c>
      <c r="G255" s="37" t="n"/>
    </row>
    <row r="256" ht="16" customHeight="1">
      <c r="A256" s="39" t="n"/>
      <c r="B256" s="37" t="n"/>
      <c r="C256" s="37" t="n"/>
      <c r="D256" s="37" t="n"/>
      <c r="E256" s="58" t="n"/>
      <c r="F256" s="38">
        <f>IF(A256="","",YEAR(A256))</f>
        <v/>
      </c>
      <c r="G256" s="37" t="n"/>
    </row>
    <row r="257" ht="16" customHeight="1">
      <c r="A257" s="39" t="n"/>
      <c r="B257" s="37" t="n"/>
      <c r="C257" s="37" t="n"/>
      <c r="D257" s="37" t="n"/>
      <c r="E257" s="58" t="n"/>
      <c r="F257" s="38">
        <f>IF(A257="","",YEAR(A257))</f>
        <v/>
      </c>
      <c r="G257" s="37" t="n"/>
    </row>
    <row r="258" ht="16" customHeight="1">
      <c r="A258" s="39" t="n"/>
      <c r="B258" s="37" t="n"/>
      <c r="C258" s="37" t="n"/>
      <c r="D258" s="37" t="n"/>
      <c r="E258" s="58" t="n"/>
      <c r="F258" s="38">
        <f>IF(A258="","",YEAR(A258))</f>
        <v/>
      </c>
      <c r="G258" s="37" t="n"/>
    </row>
    <row r="259" ht="16" customHeight="1">
      <c r="A259" s="39" t="n"/>
      <c r="B259" s="37" t="n"/>
      <c r="C259" s="37" t="n"/>
      <c r="D259" s="37" t="n"/>
      <c r="E259" s="58" t="n"/>
      <c r="F259" s="38">
        <f>IF(A259="","",YEAR(A259))</f>
        <v/>
      </c>
      <c r="G259" s="37" t="n"/>
    </row>
    <row r="260" ht="16" customHeight="1">
      <c r="A260" s="39" t="n"/>
      <c r="B260" s="37" t="n"/>
      <c r="C260" s="37" t="n"/>
      <c r="D260" s="37" t="n"/>
      <c r="E260" s="58" t="n"/>
      <c r="F260" s="38">
        <f>IF(A260="","",YEAR(A260))</f>
        <v/>
      </c>
      <c r="G260" s="37" t="n"/>
    </row>
    <row r="261" ht="16" customHeight="1">
      <c r="A261" s="39" t="n"/>
      <c r="B261" s="37" t="n"/>
      <c r="C261" s="37" t="n"/>
      <c r="D261" s="37" t="n"/>
      <c r="E261" s="58" t="n"/>
      <c r="F261" s="38">
        <f>IF(A261="","",YEAR(A261))</f>
        <v/>
      </c>
      <c r="G261" s="37" t="n"/>
    </row>
    <row r="262" ht="16" customHeight="1">
      <c r="A262" s="39" t="n"/>
      <c r="B262" s="37" t="n"/>
      <c r="C262" s="37" t="n"/>
      <c r="D262" s="37" t="n"/>
      <c r="E262" s="58" t="n"/>
      <c r="F262" s="38">
        <f>IF(A262="","",YEAR(A262))</f>
        <v/>
      </c>
      <c r="G262" s="37" t="n"/>
    </row>
    <row r="263" ht="16" customHeight="1">
      <c r="A263" s="39" t="n"/>
      <c r="B263" s="37" t="n"/>
      <c r="C263" s="37" t="n"/>
      <c r="D263" s="37" t="n"/>
      <c r="E263" s="58" t="n"/>
      <c r="F263" s="38">
        <f>IF(A263="","",YEAR(A263))</f>
        <v/>
      </c>
      <c r="G263" s="37" t="n"/>
    </row>
    <row r="264" ht="16" customHeight="1">
      <c r="A264" s="39" t="n"/>
      <c r="B264" s="37" t="n"/>
      <c r="C264" s="37" t="n"/>
      <c r="D264" s="37" t="n"/>
      <c r="E264" s="58" t="n"/>
      <c r="F264" s="38">
        <f>IF(A264="","",YEAR(A264))</f>
        <v/>
      </c>
      <c r="G264" s="37" t="n"/>
    </row>
    <row r="265" ht="16" customHeight="1">
      <c r="A265" s="39" t="n"/>
      <c r="B265" s="37" t="n"/>
      <c r="C265" s="37" t="n"/>
      <c r="D265" s="37" t="n"/>
      <c r="E265" s="58" t="n"/>
      <c r="F265" s="38">
        <f>IF(A265="","",YEAR(A265))</f>
        <v/>
      </c>
      <c r="G265" s="37" t="n"/>
    </row>
    <row r="266" ht="16" customHeight="1">
      <c r="A266" s="39" t="n"/>
      <c r="B266" s="37" t="n"/>
      <c r="C266" s="37" t="n"/>
      <c r="D266" s="37" t="n"/>
      <c r="E266" s="58" t="n"/>
      <c r="F266" s="38">
        <f>IF(A266="","",YEAR(A266))</f>
        <v/>
      </c>
      <c r="G266" s="37" t="n"/>
    </row>
    <row r="267" ht="16" customHeight="1">
      <c r="A267" s="39" t="n"/>
      <c r="B267" s="37" t="n"/>
      <c r="C267" s="37" t="n"/>
      <c r="D267" s="37" t="n"/>
      <c r="E267" s="58" t="n"/>
      <c r="F267" s="38">
        <f>IF(A267="","",YEAR(A267))</f>
        <v/>
      </c>
      <c r="G267" s="37" t="n"/>
    </row>
    <row r="268" ht="16" customHeight="1">
      <c r="A268" s="39" t="n"/>
      <c r="B268" s="37" t="n"/>
      <c r="C268" s="37" t="n"/>
      <c r="D268" s="37" t="n"/>
      <c r="E268" s="58" t="n"/>
      <c r="F268" s="38">
        <f>IF(A268="","",YEAR(A268))</f>
        <v/>
      </c>
      <c r="G268" s="37" t="n"/>
    </row>
    <row r="269" ht="16" customHeight="1">
      <c r="A269" s="39" t="n"/>
      <c r="B269" s="37" t="n"/>
      <c r="C269" s="37" t="n"/>
      <c r="D269" s="37" t="n"/>
      <c r="E269" s="58" t="n"/>
      <c r="F269" s="38">
        <f>IF(A269="","",YEAR(A269))</f>
        <v/>
      </c>
      <c r="G269" s="37" t="n"/>
    </row>
    <row r="270" ht="16" customHeight="1">
      <c r="A270" s="39" t="n"/>
      <c r="B270" s="37" t="n"/>
      <c r="C270" s="37" t="n"/>
      <c r="D270" s="37" t="n"/>
      <c r="E270" s="58" t="n"/>
      <c r="F270" s="38">
        <f>IF(A270="","",YEAR(A270))</f>
        <v/>
      </c>
      <c r="G270" s="37" t="n"/>
    </row>
    <row r="271" ht="16" customHeight="1">
      <c r="A271" s="39" t="n"/>
      <c r="B271" s="37" t="n"/>
      <c r="C271" s="37" t="n"/>
      <c r="D271" s="37" t="n"/>
      <c r="E271" s="58" t="n"/>
      <c r="F271" s="38">
        <f>IF(A271="","",YEAR(A271))</f>
        <v/>
      </c>
      <c r="G271" s="37" t="n"/>
    </row>
    <row r="272" ht="16" customHeight="1">
      <c r="A272" s="39" t="n"/>
      <c r="B272" s="37" t="n"/>
      <c r="C272" s="37" t="n"/>
      <c r="D272" s="37" t="n"/>
      <c r="E272" s="58" t="n"/>
      <c r="F272" s="38">
        <f>IF(A272="","",YEAR(A272))</f>
        <v/>
      </c>
      <c r="G272" s="37" t="n"/>
    </row>
    <row r="273" ht="16" customHeight="1">
      <c r="A273" s="39" t="n"/>
      <c r="B273" s="37" t="n"/>
      <c r="C273" s="37" t="n"/>
      <c r="D273" s="37" t="n"/>
      <c r="E273" s="58" t="n"/>
      <c r="F273" s="38">
        <f>IF(A273="","",YEAR(A273))</f>
        <v/>
      </c>
      <c r="G273" s="37" t="n"/>
    </row>
    <row r="274" ht="16" customHeight="1">
      <c r="A274" s="39" t="n"/>
      <c r="B274" s="37" t="n"/>
      <c r="C274" s="37" t="n"/>
      <c r="D274" s="37" t="n"/>
      <c r="E274" s="58" t="n"/>
      <c r="F274" s="38">
        <f>IF(A274="","",YEAR(A274))</f>
        <v/>
      </c>
      <c r="G274" s="37" t="n"/>
    </row>
    <row r="275" ht="16" customHeight="1">
      <c r="A275" s="39" t="n"/>
      <c r="B275" s="37" t="n"/>
      <c r="C275" s="37" t="n"/>
      <c r="D275" s="37" t="n"/>
      <c r="E275" s="58" t="n"/>
      <c r="F275" s="38">
        <f>IF(A275="","",YEAR(A275))</f>
        <v/>
      </c>
      <c r="G275" s="37" t="n"/>
    </row>
    <row r="276" ht="16" customHeight="1">
      <c r="A276" s="39" t="n"/>
      <c r="B276" s="37" t="n"/>
      <c r="C276" s="37" t="n"/>
      <c r="D276" s="37" t="n"/>
      <c r="E276" s="58" t="n"/>
      <c r="F276" s="38">
        <f>IF(A276="","",YEAR(A276))</f>
        <v/>
      </c>
      <c r="G276" s="37" t="n"/>
    </row>
    <row r="277" ht="16" customHeight="1">
      <c r="A277" s="39" t="n"/>
      <c r="B277" s="37" t="n"/>
      <c r="C277" s="37" t="n"/>
      <c r="D277" s="37" t="n"/>
      <c r="E277" s="58" t="n"/>
      <c r="F277" s="38">
        <f>IF(A277="","",YEAR(A277))</f>
        <v/>
      </c>
      <c r="G277" s="37" t="n"/>
    </row>
    <row r="278" ht="16" customHeight="1">
      <c r="A278" s="39" t="n"/>
      <c r="B278" s="37" t="n"/>
      <c r="C278" s="37" t="n"/>
      <c r="D278" s="37" t="n"/>
      <c r="E278" s="58" t="n"/>
      <c r="F278" s="38">
        <f>IF(A278="","",YEAR(A278))</f>
        <v/>
      </c>
      <c r="G278" s="37" t="n"/>
    </row>
    <row r="279" ht="16" customHeight="1">
      <c r="A279" s="39" t="n"/>
      <c r="B279" s="37" t="n"/>
      <c r="C279" s="37" t="n"/>
      <c r="D279" s="37" t="n"/>
      <c r="E279" s="58" t="n"/>
      <c r="F279" s="38">
        <f>IF(A279="","",YEAR(A279))</f>
        <v/>
      </c>
      <c r="G279" s="37" t="n"/>
    </row>
    <row r="280" ht="16" customHeight="1">
      <c r="A280" s="39" t="n"/>
      <c r="B280" s="37" t="n"/>
      <c r="C280" s="37" t="n"/>
      <c r="D280" s="37" t="n"/>
      <c r="E280" s="58" t="n"/>
      <c r="F280" s="38">
        <f>IF(A280="","",YEAR(A280))</f>
        <v/>
      </c>
      <c r="G280" s="37" t="n"/>
    </row>
    <row r="281" ht="16" customHeight="1">
      <c r="A281" s="39" t="n"/>
      <c r="B281" s="37" t="n"/>
      <c r="C281" s="37" t="n"/>
      <c r="D281" s="37" t="n"/>
      <c r="E281" s="58" t="n"/>
      <c r="F281" s="38">
        <f>IF(A281="","",YEAR(A281))</f>
        <v/>
      </c>
      <c r="G281" s="37" t="n"/>
    </row>
    <row r="282" ht="16" customHeight="1">
      <c r="A282" s="39" t="n"/>
      <c r="B282" s="37" t="n"/>
      <c r="C282" s="37" t="n"/>
      <c r="D282" s="37" t="n"/>
      <c r="E282" s="58" t="n"/>
      <c r="F282" s="38">
        <f>IF(A282="","",YEAR(A282))</f>
        <v/>
      </c>
      <c r="G282" s="37" t="n"/>
    </row>
    <row r="283" ht="16" customHeight="1">
      <c r="A283" s="39" t="n"/>
      <c r="B283" s="37" t="n"/>
      <c r="C283" s="37" t="n"/>
      <c r="D283" s="37" t="n"/>
      <c r="E283" s="58" t="n"/>
      <c r="F283" s="38">
        <f>IF(A283="","",YEAR(A283))</f>
        <v/>
      </c>
      <c r="G283" s="37" t="n"/>
    </row>
    <row r="284" ht="16" customHeight="1">
      <c r="A284" s="39" t="n"/>
      <c r="B284" s="37" t="n"/>
      <c r="C284" s="37" t="n"/>
      <c r="D284" s="37" t="n"/>
      <c r="E284" s="58" t="n"/>
      <c r="F284" s="38">
        <f>IF(A284="","",YEAR(A284))</f>
        <v/>
      </c>
      <c r="G284" s="37" t="n"/>
    </row>
    <row r="285" ht="16" customHeight="1">
      <c r="A285" s="39" t="n"/>
      <c r="B285" s="37" t="n"/>
      <c r="C285" s="37" t="n"/>
      <c r="D285" s="37" t="n"/>
      <c r="E285" s="58" t="n"/>
      <c r="F285" s="38">
        <f>IF(A285="","",YEAR(A285))</f>
        <v/>
      </c>
      <c r="G285" s="37" t="n"/>
    </row>
    <row r="286" ht="16" customHeight="1">
      <c r="A286" s="39" t="n"/>
      <c r="B286" s="37" t="n"/>
      <c r="C286" s="37" t="n"/>
      <c r="D286" s="37" t="n"/>
      <c r="E286" s="58" t="n"/>
      <c r="F286" s="38">
        <f>IF(A286="","",YEAR(A286))</f>
        <v/>
      </c>
      <c r="G286" s="37" t="n"/>
    </row>
    <row r="287" ht="16" customHeight="1">
      <c r="A287" s="39" t="n"/>
      <c r="B287" s="37" t="n"/>
      <c r="C287" s="37" t="n"/>
      <c r="D287" s="37" t="n"/>
      <c r="E287" s="58" t="n"/>
      <c r="F287" s="38">
        <f>IF(A287="","",YEAR(A287))</f>
        <v/>
      </c>
      <c r="G287" s="37" t="n"/>
    </row>
    <row r="288" ht="16" customHeight="1">
      <c r="A288" s="39" t="n"/>
      <c r="B288" s="37" t="n"/>
      <c r="C288" s="37" t="n"/>
      <c r="D288" s="37" t="n"/>
      <c r="E288" s="58" t="n"/>
      <c r="F288" s="38">
        <f>IF(A288="","",YEAR(A288))</f>
        <v/>
      </c>
      <c r="G288" s="37" t="n"/>
    </row>
    <row r="289" ht="16" customHeight="1">
      <c r="A289" s="39" t="n"/>
      <c r="B289" s="37" t="n"/>
      <c r="C289" s="37" t="n"/>
      <c r="D289" s="37" t="n"/>
      <c r="E289" s="58" t="n"/>
      <c r="F289" s="38">
        <f>IF(A289="","",YEAR(A289))</f>
        <v/>
      </c>
      <c r="G289" s="37" t="n"/>
    </row>
    <row r="290" ht="16" customHeight="1">
      <c r="A290" s="39" t="n"/>
      <c r="B290" s="37" t="n"/>
      <c r="C290" s="37" t="n"/>
      <c r="D290" s="37" t="n"/>
      <c r="E290" s="58" t="n"/>
      <c r="F290" s="38">
        <f>IF(A290="","",YEAR(A290))</f>
        <v/>
      </c>
      <c r="G290" s="37" t="n"/>
    </row>
    <row r="291" ht="16" customHeight="1">
      <c r="A291" s="39" t="n"/>
      <c r="B291" s="37" t="n"/>
      <c r="C291" s="37" t="n"/>
      <c r="D291" s="37" t="n"/>
      <c r="E291" s="58" t="n"/>
      <c r="F291" s="38">
        <f>IF(A291="","",YEAR(A291))</f>
        <v/>
      </c>
      <c r="G291" s="37" t="n"/>
    </row>
    <row r="292" ht="16" customHeight="1">
      <c r="A292" s="39" t="n"/>
      <c r="B292" s="37" t="n"/>
      <c r="C292" s="37" t="n"/>
      <c r="D292" s="37" t="n"/>
      <c r="E292" s="58" t="n"/>
      <c r="F292" s="38">
        <f>IF(A292="","",YEAR(A292))</f>
        <v/>
      </c>
      <c r="G292" s="37" t="n"/>
    </row>
    <row r="293" ht="16" customHeight="1">
      <c r="A293" s="39" t="n"/>
      <c r="B293" s="37" t="n"/>
      <c r="C293" s="37" t="n"/>
      <c r="D293" s="37" t="n"/>
      <c r="E293" s="58" t="n"/>
      <c r="F293" s="38">
        <f>IF(A293="","",YEAR(A293))</f>
        <v/>
      </c>
      <c r="G293" s="37" t="n"/>
    </row>
    <row r="294" ht="16" customHeight="1">
      <c r="A294" s="39" t="n"/>
      <c r="B294" s="37" t="n"/>
      <c r="C294" s="37" t="n"/>
      <c r="D294" s="37" t="n"/>
      <c r="E294" s="58" t="n"/>
      <c r="F294" s="38">
        <f>IF(A294="","",YEAR(A294))</f>
        <v/>
      </c>
      <c r="G294" s="37" t="n"/>
    </row>
    <row r="295" ht="16" customHeight="1">
      <c r="A295" s="39" t="n"/>
      <c r="B295" s="37" t="n"/>
      <c r="C295" s="37" t="n"/>
      <c r="D295" s="37" t="n"/>
      <c r="E295" s="58" t="n"/>
      <c r="F295" s="38">
        <f>IF(A295="","",YEAR(A295))</f>
        <v/>
      </c>
      <c r="G295" s="37" t="n"/>
    </row>
    <row r="296" ht="16" customHeight="1">
      <c r="A296" s="39" t="n"/>
      <c r="B296" s="37" t="n"/>
      <c r="C296" s="37" t="n"/>
      <c r="D296" s="37" t="n"/>
      <c r="E296" s="58" t="n"/>
      <c r="F296" s="38">
        <f>IF(A296="","",YEAR(A296))</f>
        <v/>
      </c>
      <c r="G296" s="37" t="n"/>
    </row>
    <row r="297" ht="16" customHeight="1">
      <c r="A297" s="39" t="n"/>
      <c r="B297" s="37" t="n"/>
      <c r="C297" s="37" t="n"/>
      <c r="D297" s="37" t="n"/>
      <c r="E297" s="58" t="n"/>
      <c r="F297" s="38">
        <f>IF(A297="","",YEAR(A297))</f>
        <v/>
      </c>
      <c r="G297" s="37" t="n"/>
    </row>
    <row r="298" ht="16" customHeight="1">
      <c r="A298" s="39" t="n"/>
      <c r="B298" s="37" t="n"/>
      <c r="C298" s="37" t="n"/>
      <c r="D298" s="37" t="n"/>
      <c r="E298" s="58" t="n"/>
      <c r="F298" s="38">
        <f>IF(A298="","",YEAR(A298))</f>
        <v/>
      </c>
      <c r="G298" s="37" t="n"/>
    </row>
    <row r="299" ht="16" customHeight="1">
      <c r="A299" s="39" t="n"/>
      <c r="B299" s="37" t="n"/>
      <c r="C299" s="37" t="n"/>
      <c r="D299" s="37" t="n"/>
      <c r="E299" s="58" t="n"/>
      <c r="F299" s="38">
        <f>IF(A299="","",YEAR(A299))</f>
        <v/>
      </c>
      <c r="G299" s="37" t="n"/>
    </row>
    <row r="300" ht="16" customHeight="1">
      <c r="A300" s="39" t="n"/>
      <c r="B300" s="37" t="n"/>
      <c r="C300" s="37" t="n"/>
      <c r="D300" s="37" t="n"/>
      <c r="E300" s="58" t="n"/>
      <c r="F300" s="38">
        <f>IF(A300="","",YEAR(A300))</f>
        <v/>
      </c>
      <c r="G300" s="37" t="n"/>
    </row>
    <row r="301" ht="16" customHeight="1">
      <c r="A301" s="39" t="n"/>
      <c r="B301" s="37" t="n"/>
      <c r="C301" s="37" t="n"/>
      <c r="D301" s="37" t="n"/>
      <c r="E301" s="58" t="n"/>
      <c r="F301" s="38">
        <f>IF(A301="","",YEAR(A301))</f>
        <v/>
      </c>
      <c r="G301" s="37" t="n"/>
    </row>
    <row r="302" ht="16" customHeight="1">
      <c r="A302" s="39" t="n"/>
      <c r="B302" s="37" t="n"/>
      <c r="C302" s="37" t="n"/>
      <c r="D302" s="37" t="n"/>
      <c r="E302" s="58" t="n"/>
      <c r="F302" s="38">
        <f>IF(A302="","",YEAR(A302))</f>
        <v/>
      </c>
      <c r="G302" s="37" t="n"/>
    </row>
    <row r="303" ht="16" customHeight="1">
      <c r="A303" s="39" t="n"/>
      <c r="B303" s="37" t="n"/>
      <c r="C303" s="37" t="n"/>
      <c r="D303" s="37" t="n"/>
      <c r="E303" s="58" t="n"/>
      <c r="F303" s="38">
        <f>IF(A303="","",YEAR(A303))</f>
        <v/>
      </c>
      <c r="G303" s="37" t="n"/>
    </row>
    <row r="304" ht="16" customHeight="1">
      <c r="A304" s="39" t="n"/>
      <c r="B304" s="37" t="n"/>
      <c r="C304" s="37" t="n"/>
      <c r="D304" s="37" t="n"/>
      <c r="E304" s="58" t="n"/>
      <c r="F304" s="38">
        <f>IF(A304="","",YEAR(A304))</f>
        <v/>
      </c>
      <c r="G304" s="37" t="n"/>
    </row>
    <row r="305" ht="16" customHeight="1">
      <c r="A305" s="39" t="n"/>
      <c r="B305" s="37" t="n"/>
      <c r="C305" s="37" t="n"/>
      <c r="D305" s="37" t="n"/>
      <c r="E305" s="58" t="n"/>
      <c r="F305" s="38">
        <f>IF(A305="","",YEAR(A305))</f>
        <v/>
      </c>
      <c r="G305" s="37" t="n"/>
    </row>
    <row r="306" ht="16" customHeight="1">
      <c r="A306" s="39" t="n"/>
      <c r="B306" s="37" t="n"/>
      <c r="C306" s="37" t="n"/>
      <c r="D306" s="37" t="n"/>
      <c r="E306" s="58" t="n"/>
      <c r="F306" s="38">
        <f>IF(A306="","",YEAR(A306))</f>
        <v/>
      </c>
      <c r="G306" s="37" t="n"/>
    </row>
    <row r="307" ht="16" customHeight="1">
      <c r="A307" s="39" t="n"/>
      <c r="B307" s="37" t="n"/>
      <c r="C307" s="37" t="n"/>
      <c r="D307" s="37" t="n"/>
      <c r="E307" s="58" t="n"/>
      <c r="F307" s="38">
        <f>IF(A307="","",YEAR(A307))</f>
        <v/>
      </c>
      <c r="G307" s="37" t="n"/>
    </row>
    <row r="308" ht="16" customHeight="1">
      <c r="A308" s="39" t="n"/>
      <c r="B308" s="37" t="n"/>
      <c r="C308" s="37" t="n"/>
      <c r="D308" s="37" t="n"/>
      <c r="E308" s="58" t="n"/>
      <c r="F308" s="38">
        <f>IF(A308="","",YEAR(A308))</f>
        <v/>
      </c>
      <c r="G308" s="37" t="n"/>
    </row>
    <row r="309" ht="16" customHeight="1">
      <c r="A309" s="39" t="n"/>
      <c r="B309" s="37" t="n"/>
      <c r="C309" s="37" t="n"/>
      <c r="D309" s="37" t="n"/>
      <c r="E309" s="58" t="n"/>
      <c r="F309" s="38">
        <f>IF(A309="","",YEAR(A309))</f>
        <v/>
      </c>
      <c r="G309" s="37" t="n"/>
    </row>
    <row r="310" ht="16" customHeight="1">
      <c r="A310" s="39" t="n"/>
      <c r="B310" s="37" t="n"/>
      <c r="C310" s="37" t="n"/>
      <c r="D310" s="37" t="n"/>
      <c r="E310" s="58" t="n"/>
      <c r="F310" s="38">
        <f>IF(A310="","",YEAR(A310))</f>
        <v/>
      </c>
      <c r="G310" s="37" t="n"/>
    </row>
    <row r="311" ht="16" customHeight="1">
      <c r="A311" s="39" t="n"/>
      <c r="B311" s="37" t="n"/>
      <c r="C311" s="37" t="n"/>
      <c r="D311" s="37" t="n"/>
      <c r="E311" s="58" t="n"/>
      <c r="F311" s="38">
        <f>IF(A311="","",YEAR(A311))</f>
        <v/>
      </c>
      <c r="G311" s="37" t="n"/>
    </row>
    <row r="312" ht="16" customHeight="1">
      <c r="A312" s="39" t="n"/>
      <c r="B312" s="37" t="n"/>
      <c r="C312" s="37" t="n"/>
      <c r="D312" s="37" t="n"/>
      <c r="E312" s="58" t="n"/>
      <c r="F312" s="38">
        <f>IF(A312="","",YEAR(A312))</f>
        <v/>
      </c>
      <c r="G312" s="37" t="n"/>
    </row>
    <row r="313" ht="16" customHeight="1">
      <c r="A313" s="39" t="n"/>
      <c r="B313" s="37" t="n"/>
      <c r="C313" s="37" t="n"/>
      <c r="D313" s="37" t="n"/>
      <c r="E313" s="58" t="n"/>
      <c r="F313" s="38">
        <f>IF(A313="","",YEAR(A313))</f>
        <v/>
      </c>
      <c r="G313" s="37" t="n"/>
    </row>
    <row r="314" ht="16" customHeight="1">
      <c r="A314" s="39" t="n"/>
      <c r="B314" s="37" t="n"/>
      <c r="C314" s="37" t="n"/>
      <c r="D314" s="37" t="n"/>
      <c r="E314" s="58" t="n"/>
      <c r="F314" s="38">
        <f>IF(A314="","",YEAR(A314))</f>
        <v/>
      </c>
      <c r="G314" s="37" t="n"/>
    </row>
    <row r="315" ht="16" customHeight="1">
      <c r="A315" s="39" t="n"/>
      <c r="B315" s="37" t="n"/>
      <c r="C315" s="37" t="n"/>
      <c r="D315" s="37" t="n"/>
      <c r="E315" s="58" t="n"/>
      <c r="F315" s="38">
        <f>IF(A315="","",YEAR(A315))</f>
        <v/>
      </c>
      <c r="G315" s="37" t="n"/>
    </row>
    <row r="316" ht="16" customHeight="1">
      <c r="A316" s="39" t="n"/>
      <c r="B316" s="37" t="n"/>
      <c r="C316" s="37" t="n"/>
      <c r="D316" s="37" t="n"/>
      <c r="E316" s="58" t="n"/>
      <c r="F316" s="38">
        <f>IF(A316="","",YEAR(A316))</f>
        <v/>
      </c>
      <c r="G316" s="37" t="n"/>
    </row>
    <row r="317" ht="16" customHeight="1">
      <c r="A317" s="39" t="n"/>
      <c r="B317" s="37" t="n"/>
      <c r="C317" s="37" t="n"/>
      <c r="D317" s="37" t="n"/>
      <c r="E317" s="58" t="n"/>
      <c r="F317" s="38">
        <f>IF(A317="","",YEAR(A317))</f>
        <v/>
      </c>
      <c r="G317" s="37" t="n"/>
    </row>
    <row r="318" ht="16" customHeight="1">
      <c r="A318" s="39" t="n"/>
      <c r="B318" s="37" t="n"/>
      <c r="C318" s="37" t="n"/>
      <c r="D318" s="37" t="n"/>
      <c r="E318" s="58" t="n"/>
      <c r="F318" s="38">
        <f>IF(A318="","",YEAR(A318))</f>
        <v/>
      </c>
      <c r="G318" s="37" t="n"/>
    </row>
    <row r="319" ht="16" customHeight="1">
      <c r="A319" s="39" t="n"/>
      <c r="B319" s="37" t="n"/>
      <c r="C319" s="37" t="n"/>
      <c r="D319" s="37" t="n"/>
      <c r="E319" s="58" t="n"/>
      <c r="F319" s="38">
        <f>IF(A319="","",YEAR(A319))</f>
        <v/>
      </c>
      <c r="G319" s="37" t="n"/>
    </row>
    <row r="320" ht="16" customHeight="1">
      <c r="A320" s="39" t="n"/>
      <c r="B320" s="37" t="n"/>
      <c r="C320" s="37" t="n"/>
      <c r="D320" s="37" t="n"/>
      <c r="E320" s="58" t="n"/>
      <c r="F320" s="38">
        <f>IF(A320="","",YEAR(A320))</f>
        <v/>
      </c>
      <c r="G320" s="37" t="n"/>
    </row>
    <row r="321" ht="16" customHeight="1">
      <c r="A321" s="39" t="n"/>
      <c r="B321" s="37" t="n"/>
      <c r="C321" s="37" t="n"/>
      <c r="D321" s="37" t="n"/>
      <c r="E321" s="58" t="n"/>
      <c r="F321" s="38">
        <f>IF(A321="","",YEAR(A321))</f>
        <v/>
      </c>
      <c r="G321" s="37" t="n"/>
    </row>
    <row r="322" ht="16" customHeight="1">
      <c r="A322" s="39" t="n"/>
      <c r="B322" s="37" t="n"/>
      <c r="C322" s="37" t="n"/>
      <c r="D322" s="37" t="n"/>
      <c r="E322" s="58" t="n"/>
      <c r="F322" s="38">
        <f>IF(A322="","",YEAR(A322))</f>
        <v/>
      </c>
      <c r="G322" s="37" t="n"/>
    </row>
    <row r="323" ht="16" customHeight="1">
      <c r="A323" s="39" t="n"/>
      <c r="B323" s="37" t="n"/>
      <c r="C323" s="37" t="n"/>
      <c r="D323" s="37" t="n"/>
      <c r="E323" s="58" t="n"/>
      <c r="F323" s="38">
        <f>IF(A323="","",YEAR(A323))</f>
        <v/>
      </c>
      <c r="G323" s="37" t="n"/>
    </row>
    <row r="324" ht="16" customHeight="1">
      <c r="A324" s="39" t="n"/>
      <c r="B324" s="37" t="n"/>
      <c r="C324" s="37" t="n"/>
      <c r="D324" s="37" t="n"/>
      <c r="E324" s="58" t="n"/>
      <c r="F324" s="38">
        <f>IF(A324="","",YEAR(A324))</f>
        <v/>
      </c>
      <c r="G324" s="37" t="n"/>
    </row>
    <row r="325" ht="16" customHeight="1">
      <c r="A325" s="39" t="n"/>
      <c r="B325" s="37" t="n"/>
      <c r="C325" s="37" t="n"/>
      <c r="D325" s="37" t="n"/>
      <c r="E325" s="58" t="n"/>
      <c r="F325" s="38">
        <f>IF(A325="","",YEAR(A325))</f>
        <v/>
      </c>
      <c r="G325" s="37" t="n"/>
    </row>
    <row r="326" ht="16" customHeight="1">
      <c r="A326" s="39" t="n"/>
      <c r="B326" s="37" t="n"/>
      <c r="C326" s="37" t="n"/>
      <c r="D326" s="37" t="n"/>
      <c r="E326" s="58" t="n"/>
      <c r="F326" s="38">
        <f>IF(A326="","",YEAR(A326))</f>
        <v/>
      </c>
      <c r="G326" s="37" t="n"/>
    </row>
    <row r="327" ht="16" customHeight="1">
      <c r="A327" s="39" t="n"/>
      <c r="B327" s="37" t="n"/>
      <c r="C327" s="37" t="n"/>
      <c r="D327" s="37" t="n"/>
      <c r="E327" s="58" t="n"/>
      <c r="F327" s="38">
        <f>IF(A327="","",YEAR(A327))</f>
        <v/>
      </c>
      <c r="G327" s="37" t="n"/>
    </row>
    <row r="328" ht="16" customHeight="1">
      <c r="A328" s="39" t="n"/>
      <c r="B328" s="37" t="n"/>
      <c r="C328" s="37" t="n"/>
      <c r="D328" s="37" t="n"/>
      <c r="E328" s="58" t="n"/>
      <c r="F328" s="38">
        <f>IF(A328="","",YEAR(A328))</f>
        <v/>
      </c>
      <c r="G328" s="37" t="n"/>
    </row>
    <row r="329" ht="16" customHeight="1">
      <c r="A329" s="39" t="n"/>
      <c r="B329" s="37" t="n"/>
      <c r="C329" s="37" t="n"/>
      <c r="D329" s="37" t="n"/>
      <c r="E329" s="58" t="n"/>
      <c r="F329" s="38">
        <f>IF(A329="","",YEAR(A329))</f>
        <v/>
      </c>
      <c r="G329" s="37" t="n"/>
    </row>
    <row r="330" ht="16" customHeight="1">
      <c r="A330" s="39" t="n"/>
      <c r="B330" s="37" t="n"/>
      <c r="C330" s="37" t="n"/>
      <c r="D330" s="37" t="n"/>
      <c r="E330" s="58" t="n"/>
      <c r="F330" s="38">
        <f>IF(A330="","",YEAR(A330))</f>
        <v/>
      </c>
      <c r="G330" s="37" t="n"/>
    </row>
    <row r="331" ht="16" customHeight="1">
      <c r="A331" s="39" t="n"/>
      <c r="B331" s="37" t="n"/>
      <c r="C331" s="37" t="n"/>
      <c r="D331" s="37" t="n"/>
      <c r="E331" s="58" t="n"/>
      <c r="F331" s="38">
        <f>IF(A331="","",YEAR(A331))</f>
        <v/>
      </c>
      <c r="G331" s="37" t="n"/>
    </row>
    <row r="332" ht="16" customHeight="1">
      <c r="A332" s="39" t="n"/>
      <c r="B332" s="37" t="n"/>
      <c r="C332" s="37" t="n"/>
      <c r="D332" s="37" t="n"/>
      <c r="E332" s="58" t="n"/>
      <c r="F332" s="38">
        <f>IF(A332="","",YEAR(A332))</f>
        <v/>
      </c>
      <c r="G332" s="37" t="n"/>
    </row>
    <row r="333" ht="16" customHeight="1">
      <c r="A333" s="39" t="n"/>
      <c r="B333" s="37" t="n"/>
      <c r="C333" s="37" t="n"/>
      <c r="D333" s="37" t="n"/>
      <c r="E333" s="58" t="n"/>
      <c r="F333" s="38">
        <f>IF(A333="","",YEAR(A333))</f>
        <v/>
      </c>
      <c r="G333" s="37" t="n"/>
    </row>
    <row r="334" ht="16" customHeight="1">
      <c r="A334" s="39" t="n"/>
      <c r="B334" s="37" t="n"/>
      <c r="C334" s="37" t="n"/>
      <c r="D334" s="37" t="n"/>
      <c r="E334" s="58" t="n"/>
      <c r="F334" s="38">
        <f>IF(A334="","",YEAR(A334))</f>
        <v/>
      </c>
      <c r="G334" s="37" t="n"/>
    </row>
    <row r="335" ht="16" customHeight="1">
      <c r="A335" s="39" t="n"/>
      <c r="B335" s="37" t="n"/>
      <c r="C335" s="37" t="n"/>
      <c r="D335" s="37" t="n"/>
      <c r="E335" s="58" t="n"/>
      <c r="F335" s="38">
        <f>IF(A335="","",YEAR(A335))</f>
        <v/>
      </c>
      <c r="G335" s="37" t="n"/>
    </row>
    <row r="336" ht="16" customHeight="1">
      <c r="A336" s="39" t="n"/>
      <c r="B336" s="37" t="n"/>
      <c r="C336" s="37" t="n"/>
      <c r="D336" s="37" t="n"/>
      <c r="E336" s="58" t="n"/>
      <c r="F336" s="38">
        <f>IF(A336="","",YEAR(A336))</f>
        <v/>
      </c>
      <c r="G336" s="37" t="n"/>
    </row>
    <row r="337" ht="16" customHeight="1">
      <c r="A337" s="39" t="n"/>
      <c r="B337" s="37" t="n"/>
      <c r="C337" s="37" t="n"/>
      <c r="D337" s="37" t="n"/>
      <c r="E337" s="58" t="n"/>
      <c r="F337" s="38">
        <f>IF(A337="","",YEAR(A337))</f>
        <v/>
      </c>
      <c r="G337" s="37" t="n"/>
    </row>
    <row r="338" ht="16" customHeight="1">
      <c r="A338" s="39" t="n"/>
      <c r="B338" s="37" t="n"/>
      <c r="C338" s="37" t="n"/>
      <c r="D338" s="37" t="n"/>
      <c r="E338" s="58" t="n"/>
      <c r="F338" s="38">
        <f>IF(A338="","",YEAR(A338))</f>
        <v/>
      </c>
      <c r="G338" s="37" t="n"/>
    </row>
    <row r="339" ht="16" customHeight="1">
      <c r="A339" s="39" t="n"/>
      <c r="B339" s="37" t="n"/>
      <c r="C339" s="37" t="n"/>
      <c r="D339" s="37" t="n"/>
      <c r="E339" s="58" t="n"/>
      <c r="F339" s="38">
        <f>IF(A339="","",YEAR(A339))</f>
        <v/>
      </c>
      <c r="G339" s="37" t="n"/>
    </row>
    <row r="340" ht="16" customHeight="1">
      <c r="A340" s="39" t="n"/>
      <c r="B340" s="37" t="n"/>
      <c r="C340" s="37" t="n"/>
      <c r="D340" s="37" t="n"/>
      <c r="E340" s="58" t="n"/>
      <c r="F340" s="38">
        <f>IF(A340="","",YEAR(A340))</f>
        <v/>
      </c>
      <c r="G340" s="37" t="n"/>
    </row>
    <row r="341" ht="16" customHeight="1">
      <c r="A341" s="39" t="n"/>
      <c r="B341" s="37" t="n"/>
      <c r="C341" s="37" t="n"/>
      <c r="D341" s="37" t="n"/>
      <c r="E341" s="58" t="n"/>
      <c r="F341" s="38">
        <f>IF(A341="","",YEAR(A341))</f>
        <v/>
      </c>
      <c r="G341" s="37" t="n"/>
    </row>
    <row r="342" ht="16" customHeight="1">
      <c r="A342" s="39" t="n"/>
      <c r="B342" s="37" t="n"/>
      <c r="C342" s="37" t="n"/>
      <c r="D342" s="37" t="n"/>
      <c r="E342" s="58" t="n"/>
      <c r="F342" s="38">
        <f>IF(A342="","",YEAR(A342))</f>
        <v/>
      </c>
      <c r="G342" s="37" t="n"/>
    </row>
    <row r="343" ht="16" customHeight="1">
      <c r="A343" s="39" t="n"/>
      <c r="B343" s="37" t="n"/>
      <c r="C343" s="37" t="n"/>
      <c r="D343" s="37" t="n"/>
      <c r="E343" s="58" t="n"/>
      <c r="F343" s="38">
        <f>IF(A343="","",YEAR(A343))</f>
        <v/>
      </c>
      <c r="G343" s="37" t="n"/>
    </row>
    <row r="344" ht="16" customHeight="1">
      <c r="A344" s="39" t="n"/>
      <c r="B344" s="37" t="n"/>
      <c r="C344" s="37" t="n"/>
      <c r="D344" s="37" t="n"/>
      <c r="E344" s="58" t="n"/>
      <c r="F344" s="38">
        <f>IF(A344="","",YEAR(A344))</f>
        <v/>
      </c>
      <c r="G344" s="37" t="n"/>
    </row>
    <row r="345" ht="16" customHeight="1">
      <c r="A345" s="39" t="n"/>
      <c r="B345" s="37" t="n"/>
      <c r="C345" s="37" t="n"/>
      <c r="D345" s="37" t="n"/>
      <c r="E345" s="58" t="n"/>
      <c r="F345" s="38">
        <f>IF(A345="","",YEAR(A345))</f>
        <v/>
      </c>
      <c r="G345" s="37" t="n"/>
    </row>
    <row r="346" ht="16" customHeight="1">
      <c r="A346" s="39" t="n"/>
      <c r="B346" s="37" t="n"/>
      <c r="C346" s="37" t="n"/>
      <c r="D346" s="37" t="n"/>
      <c r="E346" s="58" t="n"/>
      <c r="F346" s="38">
        <f>IF(A346="","",YEAR(A346))</f>
        <v/>
      </c>
      <c r="G346" s="37" t="n"/>
    </row>
    <row r="347" ht="16" customHeight="1">
      <c r="A347" s="39" t="n"/>
      <c r="B347" s="37" t="n"/>
      <c r="C347" s="37" t="n"/>
      <c r="D347" s="37" t="n"/>
      <c r="E347" s="58" t="n"/>
      <c r="F347" s="38">
        <f>IF(A347="","",YEAR(A347))</f>
        <v/>
      </c>
      <c r="G347" s="37" t="n"/>
    </row>
    <row r="348" ht="16" customHeight="1">
      <c r="A348" s="39" t="n"/>
      <c r="B348" s="37" t="n"/>
      <c r="C348" s="37" t="n"/>
      <c r="D348" s="37" t="n"/>
      <c r="E348" s="58" t="n"/>
      <c r="F348" s="38">
        <f>IF(A348="","",YEAR(A348))</f>
        <v/>
      </c>
      <c r="G348" s="37" t="n"/>
    </row>
    <row r="349" ht="16" customHeight="1">
      <c r="A349" s="39" t="n"/>
      <c r="B349" s="37" t="n"/>
      <c r="C349" s="37" t="n"/>
      <c r="D349" s="37" t="n"/>
      <c r="E349" s="58" t="n"/>
      <c r="F349" s="38">
        <f>IF(A349="","",YEAR(A349))</f>
        <v/>
      </c>
      <c r="G349" s="37" t="n"/>
    </row>
    <row r="350" ht="16" customHeight="1">
      <c r="A350" s="39" t="n"/>
      <c r="B350" s="37" t="n"/>
      <c r="C350" s="37" t="n"/>
      <c r="D350" s="37" t="n"/>
      <c r="E350" s="58" t="n"/>
      <c r="F350" s="38">
        <f>IF(A350="","",YEAR(A350))</f>
        <v/>
      </c>
      <c r="G350" s="37" t="n"/>
    </row>
    <row r="351" ht="16" customHeight="1">
      <c r="A351" s="39" t="n"/>
      <c r="B351" s="37" t="n"/>
      <c r="C351" s="37" t="n"/>
      <c r="D351" s="37" t="n"/>
      <c r="E351" s="58" t="n"/>
      <c r="F351" s="38">
        <f>IF(A351="","",YEAR(A351))</f>
        <v/>
      </c>
      <c r="G351" s="37" t="n"/>
    </row>
    <row r="352" ht="16" customHeight="1">
      <c r="A352" s="39" t="n"/>
      <c r="B352" s="37" t="n"/>
      <c r="C352" s="37" t="n"/>
      <c r="D352" s="37" t="n"/>
      <c r="E352" s="58" t="n"/>
      <c r="F352" s="38">
        <f>IF(A352="","",YEAR(A352))</f>
        <v/>
      </c>
      <c r="G352" s="37" t="n"/>
    </row>
    <row r="353" ht="16" customHeight="1">
      <c r="A353" s="39" t="n"/>
      <c r="B353" s="37" t="n"/>
      <c r="C353" s="37" t="n"/>
      <c r="D353" s="37" t="n"/>
      <c r="E353" s="58" t="n"/>
      <c r="F353" s="38">
        <f>IF(A353="","",YEAR(A353))</f>
        <v/>
      </c>
      <c r="G353" s="37" t="n"/>
    </row>
    <row r="354" ht="16" customHeight="1">
      <c r="A354" s="39" t="n"/>
      <c r="B354" s="37" t="n"/>
      <c r="C354" s="37" t="n"/>
      <c r="D354" s="37" t="n"/>
      <c r="E354" s="58" t="n"/>
      <c r="F354" s="38">
        <f>IF(A354="","",YEAR(A354))</f>
        <v/>
      </c>
      <c r="G354" s="37" t="n"/>
    </row>
    <row r="355" ht="16" customHeight="1">
      <c r="A355" s="39" t="n"/>
      <c r="B355" s="37" t="n"/>
      <c r="C355" s="37" t="n"/>
      <c r="D355" s="37" t="n"/>
      <c r="E355" s="58" t="n"/>
      <c r="F355" s="38">
        <f>IF(A355="","",YEAR(A355))</f>
        <v/>
      </c>
      <c r="G355" s="37" t="n"/>
    </row>
    <row r="356" ht="16" customHeight="1">
      <c r="A356" s="39" t="n"/>
      <c r="B356" s="37" t="n"/>
      <c r="C356" s="37" t="n"/>
      <c r="D356" s="37" t="n"/>
      <c r="E356" s="58" t="n"/>
      <c r="F356" s="38">
        <f>IF(A356="","",YEAR(A356))</f>
        <v/>
      </c>
      <c r="G356" s="37" t="n"/>
    </row>
    <row r="357" ht="16" customHeight="1">
      <c r="A357" s="39" t="n"/>
      <c r="B357" s="37" t="n"/>
      <c r="C357" s="37" t="n"/>
      <c r="D357" s="37" t="n"/>
      <c r="E357" s="58" t="n"/>
      <c r="F357" s="38">
        <f>IF(A357="","",YEAR(A357))</f>
        <v/>
      </c>
      <c r="G357" s="37" t="n"/>
    </row>
    <row r="358" ht="16" customHeight="1">
      <c r="A358" s="39" t="n"/>
      <c r="B358" s="37" t="n"/>
      <c r="C358" s="37" t="n"/>
      <c r="D358" s="37" t="n"/>
      <c r="E358" s="58" t="n"/>
      <c r="F358" s="38">
        <f>IF(A358="","",YEAR(A358))</f>
        <v/>
      </c>
      <c r="G358" s="37" t="n"/>
    </row>
    <row r="359" ht="16" customHeight="1">
      <c r="A359" s="39" t="n"/>
      <c r="B359" s="37" t="n"/>
      <c r="C359" s="37" t="n"/>
      <c r="D359" s="37" t="n"/>
      <c r="E359" s="58" t="n"/>
      <c r="F359" s="38">
        <f>IF(A359="","",YEAR(A359))</f>
        <v/>
      </c>
      <c r="G359" s="37" t="n"/>
    </row>
    <row r="360" ht="16" customHeight="1">
      <c r="A360" s="39" t="n"/>
      <c r="B360" s="37" t="n"/>
      <c r="C360" s="37" t="n"/>
      <c r="D360" s="37" t="n"/>
      <c r="E360" s="58" t="n"/>
      <c r="F360" s="38">
        <f>IF(A360="","",YEAR(A360))</f>
        <v/>
      </c>
      <c r="G360" s="37" t="n"/>
    </row>
    <row r="361" ht="16" customHeight="1">
      <c r="A361" s="39" t="n"/>
      <c r="B361" s="37" t="n"/>
      <c r="C361" s="37" t="n"/>
      <c r="D361" s="37" t="n"/>
      <c r="E361" s="58" t="n"/>
      <c r="F361" s="38">
        <f>IF(A361="","",YEAR(A361))</f>
        <v/>
      </c>
      <c r="G361" s="37" t="n"/>
    </row>
    <row r="362" ht="16" customHeight="1">
      <c r="A362" s="39" t="n"/>
      <c r="B362" s="37" t="n"/>
      <c r="C362" s="37" t="n"/>
      <c r="D362" s="37" t="n"/>
      <c r="E362" s="58" t="n"/>
      <c r="F362" s="38">
        <f>IF(A362="","",YEAR(A362))</f>
        <v/>
      </c>
      <c r="G362" s="37" t="n"/>
    </row>
    <row r="363" ht="16" customHeight="1">
      <c r="A363" s="39" t="n"/>
      <c r="B363" s="37" t="n"/>
      <c r="C363" s="37" t="n"/>
      <c r="D363" s="37" t="n"/>
      <c r="E363" s="58" t="n"/>
      <c r="F363" s="38">
        <f>IF(A363="","",YEAR(A363))</f>
        <v/>
      </c>
      <c r="G363" s="37" t="n"/>
    </row>
    <row r="364" ht="16" customHeight="1">
      <c r="A364" s="39" t="n"/>
      <c r="B364" s="37" t="n"/>
      <c r="C364" s="37" t="n"/>
      <c r="D364" s="37" t="n"/>
      <c r="E364" s="58" t="n"/>
      <c r="F364" s="38">
        <f>IF(A364="","",YEAR(A364))</f>
        <v/>
      </c>
      <c r="G364" s="37" t="n"/>
    </row>
    <row r="365" ht="16" customHeight="1">
      <c r="A365" s="39" t="n"/>
      <c r="B365" s="37" t="n"/>
      <c r="C365" s="37" t="n"/>
      <c r="D365" s="37" t="n"/>
      <c r="E365" s="58" t="n"/>
      <c r="F365" s="38">
        <f>IF(A365="","",YEAR(A365))</f>
        <v/>
      </c>
      <c r="G365" s="37" t="n"/>
    </row>
    <row r="366" ht="16" customHeight="1">
      <c r="A366" s="39" t="n"/>
      <c r="B366" s="37" t="n"/>
      <c r="C366" s="37" t="n"/>
      <c r="D366" s="37" t="n"/>
      <c r="E366" s="58" t="n"/>
      <c r="F366" s="38">
        <f>IF(A366="","",YEAR(A366))</f>
        <v/>
      </c>
      <c r="G366" s="37" t="n"/>
    </row>
    <row r="367" ht="16" customHeight="1">
      <c r="A367" s="39" t="n"/>
      <c r="B367" s="37" t="n"/>
      <c r="C367" s="37" t="n"/>
      <c r="D367" s="37" t="n"/>
      <c r="E367" s="58" t="n"/>
      <c r="F367" s="38">
        <f>IF(A367="","",YEAR(A367))</f>
        <v/>
      </c>
      <c r="G367" s="37" t="n"/>
    </row>
    <row r="368" ht="16" customHeight="1">
      <c r="A368" s="39" t="n"/>
      <c r="B368" s="37" t="n"/>
      <c r="C368" s="37" t="n"/>
      <c r="D368" s="37" t="n"/>
      <c r="E368" s="58" t="n"/>
      <c r="F368" s="38">
        <f>IF(A368="","",YEAR(A368))</f>
        <v/>
      </c>
      <c r="G368" s="37" t="n"/>
    </row>
    <row r="369" ht="16" customHeight="1">
      <c r="A369" s="39" t="n"/>
      <c r="B369" s="37" t="n"/>
      <c r="C369" s="37" t="n"/>
      <c r="D369" s="37" t="n"/>
      <c r="E369" s="58" t="n"/>
      <c r="F369" s="38">
        <f>IF(A369="","",YEAR(A369))</f>
        <v/>
      </c>
      <c r="G369" s="37" t="n"/>
    </row>
    <row r="370" ht="16" customHeight="1">
      <c r="A370" s="39" t="n"/>
      <c r="B370" s="37" t="n"/>
      <c r="C370" s="37" t="n"/>
      <c r="D370" s="37" t="n"/>
      <c r="E370" s="58" t="n"/>
      <c r="F370" s="38">
        <f>IF(A370="","",YEAR(A370))</f>
        <v/>
      </c>
      <c r="G370" s="37" t="n"/>
    </row>
    <row r="371" ht="16" customHeight="1">
      <c r="A371" s="39" t="n"/>
      <c r="B371" s="37" t="n"/>
      <c r="C371" s="37" t="n"/>
      <c r="D371" s="37" t="n"/>
      <c r="E371" s="58" t="n"/>
      <c r="F371" s="38">
        <f>IF(A371="","",YEAR(A371))</f>
        <v/>
      </c>
      <c r="G371" s="37" t="n"/>
    </row>
    <row r="372" ht="16" customHeight="1">
      <c r="A372" s="39" t="n"/>
      <c r="B372" s="37" t="n"/>
      <c r="C372" s="37" t="n"/>
      <c r="D372" s="37" t="n"/>
      <c r="E372" s="58" t="n"/>
      <c r="F372" s="38">
        <f>IF(A372="","",YEAR(A372))</f>
        <v/>
      </c>
      <c r="G372" s="37" t="n"/>
    </row>
    <row r="373" ht="16" customHeight="1">
      <c r="A373" s="39" t="n"/>
      <c r="B373" s="37" t="n"/>
      <c r="C373" s="37" t="n"/>
      <c r="D373" s="37" t="n"/>
      <c r="E373" s="58" t="n"/>
      <c r="F373" s="38">
        <f>IF(A373="","",YEAR(A373))</f>
        <v/>
      </c>
      <c r="G373" s="37" t="n"/>
    </row>
    <row r="374" ht="16" customHeight="1">
      <c r="A374" s="39" t="n"/>
      <c r="B374" s="37" t="n"/>
      <c r="C374" s="37" t="n"/>
      <c r="D374" s="37" t="n"/>
      <c r="E374" s="58" t="n"/>
      <c r="F374" s="38">
        <f>IF(A374="","",YEAR(A374))</f>
        <v/>
      </c>
      <c r="G374" s="37" t="n"/>
    </row>
    <row r="375" ht="16" customHeight="1">
      <c r="A375" s="39" t="n"/>
      <c r="B375" s="37" t="n"/>
      <c r="C375" s="37" t="n"/>
      <c r="D375" s="37" t="n"/>
      <c r="E375" s="58" t="n"/>
      <c r="F375" s="38">
        <f>IF(A375="","",YEAR(A375))</f>
        <v/>
      </c>
      <c r="G375" s="37" t="n"/>
    </row>
    <row r="376" ht="16" customHeight="1">
      <c r="A376" s="39" t="n"/>
      <c r="B376" s="37" t="n"/>
      <c r="C376" s="37" t="n"/>
      <c r="D376" s="37" t="n"/>
      <c r="E376" s="58" t="n"/>
      <c r="F376" s="38">
        <f>IF(A376="","",YEAR(A376))</f>
        <v/>
      </c>
      <c r="G376" s="37" t="n"/>
    </row>
    <row r="377" ht="16" customHeight="1">
      <c r="A377" s="39" t="n"/>
      <c r="B377" s="37" t="n"/>
      <c r="C377" s="37" t="n"/>
      <c r="D377" s="37" t="n"/>
      <c r="E377" s="58" t="n"/>
      <c r="F377" s="38">
        <f>IF(A377="","",YEAR(A377))</f>
        <v/>
      </c>
      <c r="G377" s="37" t="n"/>
    </row>
    <row r="378" ht="16" customHeight="1">
      <c r="A378" s="39" t="n"/>
      <c r="B378" s="37" t="n"/>
      <c r="C378" s="37" t="n"/>
      <c r="D378" s="37" t="n"/>
      <c r="E378" s="58" t="n"/>
      <c r="F378" s="38">
        <f>IF(A378="","",YEAR(A378))</f>
        <v/>
      </c>
      <c r="G378" s="37" t="n"/>
    </row>
    <row r="379" ht="16" customHeight="1">
      <c r="A379" s="39" t="n"/>
      <c r="B379" s="37" t="n"/>
      <c r="C379" s="37" t="n"/>
      <c r="D379" s="37" t="n"/>
      <c r="E379" s="58" t="n"/>
      <c r="F379" s="38">
        <f>IF(A379="","",YEAR(A379))</f>
        <v/>
      </c>
      <c r="G379" s="37" t="n"/>
    </row>
    <row r="380" ht="16" customHeight="1">
      <c r="A380" s="39" t="n"/>
      <c r="B380" s="37" t="n"/>
      <c r="C380" s="37" t="n"/>
      <c r="D380" s="37" t="n"/>
      <c r="E380" s="58" t="n"/>
      <c r="F380" s="38">
        <f>IF(A380="","",YEAR(A380))</f>
        <v/>
      </c>
      <c r="G380" s="37" t="n"/>
    </row>
    <row r="381" ht="16" customHeight="1">
      <c r="A381" s="39" t="n"/>
      <c r="B381" s="37" t="n"/>
      <c r="C381" s="37" t="n"/>
      <c r="D381" s="37" t="n"/>
      <c r="E381" s="58" t="n"/>
      <c r="F381" s="38">
        <f>IF(A381="","",YEAR(A381))</f>
        <v/>
      </c>
      <c r="G381" s="37" t="n"/>
    </row>
    <row r="382" ht="16" customHeight="1">
      <c r="A382" s="39" t="n"/>
      <c r="B382" s="37" t="n"/>
      <c r="C382" s="37" t="n"/>
      <c r="D382" s="37" t="n"/>
      <c r="E382" s="58" t="n"/>
      <c r="F382" s="38">
        <f>IF(A382="","",YEAR(A382))</f>
        <v/>
      </c>
      <c r="G382" s="37" t="n"/>
    </row>
    <row r="383" ht="16" customHeight="1">
      <c r="A383" s="39" t="n"/>
      <c r="B383" s="37" t="n"/>
      <c r="C383" s="37" t="n"/>
      <c r="D383" s="37" t="n"/>
      <c r="E383" s="58" t="n"/>
      <c r="F383" s="38">
        <f>IF(A383="","",YEAR(A383))</f>
        <v/>
      </c>
      <c r="G383" s="37" t="n"/>
    </row>
    <row r="384" ht="16" customHeight="1">
      <c r="A384" s="39" t="n"/>
      <c r="B384" s="37" t="n"/>
      <c r="C384" s="37" t="n"/>
      <c r="D384" s="37" t="n"/>
      <c r="E384" s="58" t="n"/>
      <c r="F384" s="38">
        <f>IF(A384="","",YEAR(A384))</f>
        <v/>
      </c>
      <c r="G384" s="37" t="n"/>
    </row>
    <row r="385" ht="16" customHeight="1">
      <c r="A385" s="39" t="n"/>
      <c r="B385" s="37" t="n"/>
      <c r="C385" s="37" t="n"/>
      <c r="D385" s="37" t="n"/>
      <c r="E385" s="58" t="n"/>
      <c r="F385" s="38">
        <f>IF(A385="","",YEAR(A385))</f>
        <v/>
      </c>
      <c r="G385" s="37" t="n"/>
    </row>
    <row r="386" ht="16" customHeight="1">
      <c r="A386" s="39" t="n"/>
      <c r="B386" s="37" t="n"/>
      <c r="C386" s="37" t="n"/>
      <c r="D386" s="37" t="n"/>
      <c r="E386" s="58" t="n"/>
      <c r="F386" s="38">
        <f>IF(A386="","",YEAR(A386))</f>
        <v/>
      </c>
      <c r="G386" s="37" t="n"/>
    </row>
    <row r="387" ht="16" customHeight="1">
      <c r="A387" s="39" t="n"/>
      <c r="B387" s="37" t="n"/>
      <c r="C387" s="37" t="n"/>
      <c r="D387" s="37" t="n"/>
      <c r="E387" s="58" t="n"/>
      <c r="F387" s="38">
        <f>IF(A387="","",YEAR(A387))</f>
        <v/>
      </c>
      <c r="G387" s="37" t="n"/>
    </row>
    <row r="388" ht="16" customHeight="1">
      <c r="A388" s="39" t="n"/>
      <c r="B388" s="37" t="n"/>
      <c r="C388" s="37" t="n"/>
      <c r="D388" s="37" t="n"/>
      <c r="E388" s="58" t="n"/>
      <c r="F388" s="38">
        <f>IF(A388="","",YEAR(A388))</f>
        <v/>
      </c>
      <c r="G388" s="37" t="n"/>
    </row>
    <row r="389" ht="16" customHeight="1">
      <c r="A389" s="39" t="n"/>
      <c r="B389" s="37" t="n"/>
      <c r="C389" s="37" t="n"/>
      <c r="D389" s="37" t="n"/>
      <c r="E389" s="58" t="n"/>
      <c r="F389" s="38">
        <f>IF(A389="","",YEAR(A389))</f>
        <v/>
      </c>
      <c r="G389" s="37" t="n"/>
    </row>
    <row r="390" ht="16" customHeight="1">
      <c r="A390" s="39" t="n"/>
      <c r="B390" s="37" t="n"/>
      <c r="C390" s="37" t="n"/>
      <c r="D390" s="37" t="n"/>
      <c r="E390" s="58" t="n"/>
      <c r="F390" s="38">
        <f>IF(A390="","",YEAR(A390))</f>
        <v/>
      </c>
      <c r="G390" s="37" t="n"/>
    </row>
    <row r="391" ht="16" customHeight="1">
      <c r="A391" s="39" t="n"/>
      <c r="B391" s="37" t="n"/>
      <c r="C391" s="37" t="n"/>
      <c r="D391" s="37" t="n"/>
      <c r="E391" s="58" t="n"/>
      <c r="F391" s="38">
        <f>IF(A391="","",YEAR(A391))</f>
        <v/>
      </c>
      <c r="G391" s="37" t="n"/>
    </row>
    <row r="392" ht="16" customHeight="1">
      <c r="A392" s="39" t="n"/>
      <c r="B392" s="37" t="n"/>
      <c r="C392" s="37" t="n"/>
      <c r="D392" s="37" t="n"/>
      <c r="E392" s="58" t="n"/>
      <c r="F392" s="38">
        <f>IF(A392="","",YEAR(A392))</f>
        <v/>
      </c>
      <c r="G392" s="37" t="n"/>
    </row>
    <row r="393" ht="16" customHeight="1">
      <c r="A393" s="39" t="n"/>
      <c r="B393" s="37" t="n"/>
      <c r="C393" s="37" t="n"/>
      <c r="D393" s="37" t="n"/>
      <c r="E393" s="58" t="n"/>
      <c r="F393" s="38">
        <f>IF(A393="","",YEAR(A393))</f>
        <v/>
      </c>
      <c r="G393" s="37" t="n"/>
    </row>
    <row r="394" ht="16" customHeight="1">
      <c r="A394" s="39" t="n"/>
      <c r="B394" s="37" t="n"/>
      <c r="C394" s="37" t="n"/>
      <c r="D394" s="37" t="n"/>
      <c r="E394" s="58" t="n"/>
      <c r="F394" s="38">
        <f>IF(A394="","",YEAR(A394))</f>
        <v/>
      </c>
      <c r="G394" s="37" t="n"/>
    </row>
    <row r="395" ht="16" customHeight="1">
      <c r="A395" s="39" t="n"/>
      <c r="B395" s="37" t="n"/>
      <c r="C395" s="37" t="n"/>
      <c r="D395" s="37" t="n"/>
      <c r="E395" s="58" t="n"/>
      <c r="F395" s="38">
        <f>IF(A395="","",YEAR(A395))</f>
        <v/>
      </c>
      <c r="G395" s="37" t="n"/>
    </row>
    <row r="396" ht="16" customHeight="1">
      <c r="A396" s="39" t="n"/>
      <c r="B396" s="37" t="n"/>
      <c r="C396" s="37" t="n"/>
      <c r="D396" s="37" t="n"/>
      <c r="E396" s="58" t="n"/>
      <c r="F396" s="38">
        <f>IF(A396="","",YEAR(A396))</f>
        <v/>
      </c>
      <c r="G396" s="37" t="n"/>
    </row>
    <row r="397" ht="16" customHeight="1">
      <c r="A397" s="39" t="n"/>
      <c r="B397" s="37" t="n"/>
      <c r="C397" s="37" t="n"/>
      <c r="D397" s="37" t="n"/>
      <c r="E397" s="58" t="n"/>
      <c r="F397" s="38">
        <f>IF(A397="","",YEAR(A397))</f>
        <v/>
      </c>
      <c r="G397" s="37" t="n"/>
    </row>
    <row r="398" ht="16" customHeight="1">
      <c r="A398" s="39" t="n"/>
      <c r="B398" s="37" t="n"/>
      <c r="C398" s="37" t="n"/>
      <c r="D398" s="37" t="n"/>
      <c r="E398" s="58" t="n"/>
      <c r="F398" s="38">
        <f>IF(A398="","",YEAR(A398))</f>
        <v/>
      </c>
      <c r="G398" s="37" t="n"/>
    </row>
    <row r="399" ht="16" customHeight="1">
      <c r="A399" s="39" t="n"/>
      <c r="B399" s="37" t="n"/>
      <c r="C399" s="37" t="n"/>
      <c r="D399" s="37" t="n"/>
      <c r="E399" s="58" t="n"/>
      <c r="F399" s="38">
        <f>IF(A399="","",YEAR(A399))</f>
        <v/>
      </c>
      <c r="G399" s="37" t="n"/>
    </row>
    <row r="400" ht="16" customHeight="1">
      <c r="A400" s="39" t="n"/>
      <c r="B400" s="37" t="n"/>
      <c r="C400" s="37" t="n"/>
      <c r="D400" s="37" t="n"/>
      <c r="E400" s="58" t="n"/>
      <c r="F400" s="38">
        <f>IF(A400="","",YEAR(A400))</f>
        <v/>
      </c>
      <c r="G400" s="37" t="n"/>
    </row>
    <row r="401" ht="16" customHeight="1">
      <c r="A401" s="39" t="n"/>
      <c r="B401" s="37" t="n"/>
      <c r="C401" s="37" t="n"/>
      <c r="D401" s="37" t="n"/>
      <c r="E401" s="58" t="n"/>
      <c r="F401" s="38">
        <f>IF(A401="","",YEAR(A401))</f>
        <v/>
      </c>
      <c r="G401" s="37" t="n"/>
    </row>
    <row r="402" ht="16" customHeight="1">
      <c r="A402" s="39" t="n"/>
      <c r="B402" s="37" t="n"/>
      <c r="C402" s="37" t="n"/>
      <c r="D402" s="37" t="n"/>
      <c r="E402" s="58" t="n"/>
      <c r="F402" s="38">
        <f>IF(A402="","",YEAR(A402))</f>
        <v/>
      </c>
      <c r="G402" s="37" t="n"/>
    </row>
    <row r="403" ht="16" customHeight="1">
      <c r="A403" s="39" t="n"/>
      <c r="B403" s="37" t="n"/>
      <c r="C403" s="37" t="n"/>
      <c r="D403" s="37" t="n"/>
      <c r="E403" s="58" t="n"/>
      <c r="F403" s="38">
        <f>IF(A403="","",YEAR(A403))</f>
        <v/>
      </c>
      <c r="G403" s="37" t="n"/>
    </row>
    <row r="404" ht="16" customHeight="1">
      <c r="A404" s="39" t="n"/>
      <c r="B404" s="37" t="n"/>
      <c r="C404" s="37" t="n"/>
      <c r="D404" s="37" t="n"/>
      <c r="E404" s="58" t="n"/>
      <c r="F404" s="38">
        <f>IF(A404="","",YEAR(A404))</f>
        <v/>
      </c>
      <c r="G404" s="37" t="n"/>
    </row>
    <row r="405" ht="16" customHeight="1">
      <c r="A405" s="39" t="n"/>
      <c r="B405" s="37" t="n"/>
      <c r="C405" s="37" t="n"/>
      <c r="D405" s="37" t="n"/>
      <c r="E405" s="58" t="n"/>
      <c r="F405" s="38">
        <f>IF(A405="","",YEAR(A405))</f>
        <v/>
      </c>
      <c r="G405" s="37" t="n"/>
    </row>
    <row r="406" ht="16" customHeight="1">
      <c r="A406" s="39" t="n"/>
      <c r="B406" s="37" t="n"/>
      <c r="C406" s="37" t="n"/>
      <c r="D406" s="37" t="n"/>
      <c r="E406" s="58" t="n"/>
      <c r="F406" s="38">
        <f>IF(A406="","",YEAR(A406))</f>
        <v/>
      </c>
      <c r="G406" s="37" t="n"/>
    </row>
    <row r="407" ht="16" customHeight="1">
      <c r="A407" s="39" t="n"/>
      <c r="B407" s="37" t="n"/>
      <c r="C407" s="37" t="n"/>
      <c r="D407" s="37" t="n"/>
      <c r="E407" s="58" t="n"/>
      <c r="F407" s="38">
        <f>IF(A407="","",YEAR(A407))</f>
        <v/>
      </c>
      <c r="G407" s="37" t="n"/>
    </row>
    <row r="408" ht="16" customHeight="1">
      <c r="A408" s="39" t="n"/>
      <c r="B408" s="37" t="n"/>
      <c r="C408" s="37" t="n"/>
      <c r="D408" s="37" t="n"/>
      <c r="E408" s="58" t="n"/>
      <c r="F408" s="38">
        <f>IF(A408="","",YEAR(A408))</f>
        <v/>
      </c>
      <c r="G408" s="37" t="n"/>
    </row>
    <row r="409" ht="16" customHeight="1">
      <c r="A409" s="39" t="n"/>
      <c r="B409" s="37" t="n"/>
      <c r="C409" s="37" t="n"/>
      <c r="D409" s="37" t="n"/>
      <c r="E409" s="58" t="n"/>
      <c r="F409" s="38">
        <f>IF(A409="","",YEAR(A409))</f>
        <v/>
      </c>
      <c r="G409" s="37" t="n"/>
    </row>
    <row r="410" ht="16" customHeight="1">
      <c r="A410" s="39" t="n"/>
      <c r="B410" s="37" t="n"/>
      <c r="C410" s="37" t="n"/>
      <c r="D410" s="37" t="n"/>
      <c r="E410" s="58" t="n"/>
      <c r="F410" s="38">
        <f>IF(A410="","",YEAR(A410))</f>
        <v/>
      </c>
      <c r="G410" s="37" t="n"/>
    </row>
    <row r="411" ht="16" customHeight="1">
      <c r="A411" s="39" t="n"/>
      <c r="B411" s="37" t="n"/>
      <c r="C411" s="37" t="n"/>
      <c r="D411" s="37" t="n"/>
      <c r="E411" s="58" t="n"/>
      <c r="F411" s="38">
        <f>IF(A411="","",YEAR(A411))</f>
        <v/>
      </c>
      <c r="G411" s="37" t="n"/>
    </row>
    <row r="412" ht="16" customHeight="1">
      <c r="A412" s="39" t="n"/>
      <c r="B412" s="37" t="n"/>
      <c r="C412" s="37" t="n"/>
      <c r="D412" s="37" t="n"/>
      <c r="E412" s="58" t="n"/>
      <c r="F412" s="38">
        <f>IF(A412="","",YEAR(A412))</f>
        <v/>
      </c>
      <c r="G412" s="37" t="n"/>
    </row>
    <row r="413" ht="16" customHeight="1">
      <c r="A413" s="39" t="n"/>
      <c r="B413" s="37" t="n"/>
      <c r="C413" s="37" t="n"/>
      <c r="D413" s="37" t="n"/>
      <c r="E413" s="58" t="n"/>
      <c r="F413" s="38">
        <f>IF(A413="","",YEAR(A413))</f>
        <v/>
      </c>
      <c r="G413" s="37" t="n"/>
    </row>
    <row r="414" ht="16" customHeight="1">
      <c r="A414" s="39" t="n"/>
      <c r="B414" s="37" t="n"/>
      <c r="C414" s="37" t="n"/>
      <c r="D414" s="37" t="n"/>
      <c r="E414" s="58" t="n"/>
      <c r="F414" s="38">
        <f>IF(A414="","",YEAR(A414))</f>
        <v/>
      </c>
      <c r="G414" s="37" t="n"/>
    </row>
    <row r="415" ht="16" customHeight="1">
      <c r="A415" s="39" t="n"/>
      <c r="B415" s="37" t="n"/>
      <c r="C415" s="37" t="n"/>
      <c r="D415" s="37" t="n"/>
      <c r="E415" s="58" t="n"/>
      <c r="F415" s="38">
        <f>IF(A415="","",YEAR(A415))</f>
        <v/>
      </c>
      <c r="G415" s="37" t="n"/>
    </row>
    <row r="416" ht="16" customHeight="1">
      <c r="A416" s="39" t="n"/>
      <c r="B416" s="37" t="n"/>
      <c r="C416" s="37" t="n"/>
      <c r="D416" s="37" t="n"/>
      <c r="E416" s="58" t="n"/>
      <c r="F416" s="38">
        <f>IF(A416="","",YEAR(A416))</f>
        <v/>
      </c>
      <c r="G416" s="37" t="n"/>
    </row>
    <row r="417" ht="16" customHeight="1">
      <c r="A417" s="39" t="n"/>
      <c r="B417" s="37" t="n"/>
      <c r="C417" s="37" t="n"/>
      <c r="D417" s="37" t="n"/>
      <c r="E417" s="58" t="n"/>
      <c r="F417" s="38">
        <f>IF(A417="","",YEAR(A417))</f>
        <v/>
      </c>
      <c r="G417" s="37" t="n"/>
    </row>
    <row r="418" ht="16" customHeight="1">
      <c r="A418" s="39" t="n"/>
      <c r="B418" s="37" t="n"/>
      <c r="C418" s="37" t="n"/>
      <c r="D418" s="37" t="n"/>
      <c r="E418" s="58" t="n"/>
      <c r="F418" s="38">
        <f>IF(A418="","",YEAR(A418))</f>
        <v/>
      </c>
      <c r="G418" s="37" t="n"/>
    </row>
    <row r="419" ht="16" customHeight="1">
      <c r="A419" s="39" t="n"/>
      <c r="B419" s="37" t="n"/>
      <c r="C419" s="37" t="n"/>
      <c r="D419" s="37" t="n"/>
      <c r="E419" s="58" t="n"/>
      <c r="F419" s="38">
        <f>IF(A419="","",YEAR(A419))</f>
        <v/>
      </c>
      <c r="G419" s="37" t="n"/>
    </row>
    <row r="420" ht="16" customHeight="1">
      <c r="A420" s="39" t="n"/>
      <c r="B420" s="37" t="n"/>
      <c r="C420" s="37" t="n"/>
      <c r="D420" s="37" t="n"/>
      <c r="E420" s="58" t="n"/>
      <c r="F420" s="38">
        <f>IF(A420="","",YEAR(A420))</f>
        <v/>
      </c>
      <c r="G420" s="37" t="n"/>
    </row>
    <row r="421" ht="16" customHeight="1">
      <c r="A421" s="39" t="n"/>
      <c r="B421" s="37" t="n"/>
      <c r="C421" s="37" t="n"/>
      <c r="D421" s="37" t="n"/>
      <c r="E421" s="58" t="n"/>
      <c r="F421" s="38">
        <f>IF(A421="","",YEAR(A421))</f>
        <v/>
      </c>
      <c r="G421" s="37" t="n"/>
    </row>
    <row r="422" ht="16" customHeight="1">
      <c r="A422" s="39" t="n"/>
      <c r="B422" s="37" t="n"/>
      <c r="C422" s="37" t="n"/>
      <c r="D422" s="37" t="n"/>
      <c r="E422" s="58" t="n"/>
      <c r="F422" s="38">
        <f>IF(A422="","",YEAR(A422))</f>
        <v/>
      </c>
      <c r="G422" s="37" t="n"/>
    </row>
    <row r="423" ht="16" customHeight="1">
      <c r="A423" s="39" t="n"/>
      <c r="B423" s="37" t="n"/>
      <c r="C423" s="37" t="n"/>
      <c r="D423" s="37" t="n"/>
      <c r="E423" s="58" t="n"/>
      <c r="F423" s="38">
        <f>IF(A423="","",YEAR(A423))</f>
        <v/>
      </c>
      <c r="G423" s="37" t="n"/>
    </row>
    <row r="424" ht="16" customHeight="1">
      <c r="A424" s="39" t="n"/>
      <c r="B424" s="37" t="n"/>
      <c r="C424" s="37" t="n"/>
      <c r="D424" s="37" t="n"/>
      <c r="E424" s="58" t="n"/>
      <c r="F424" s="38">
        <f>IF(A424="","",YEAR(A424))</f>
        <v/>
      </c>
      <c r="G424" s="37" t="n"/>
    </row>
    <row r="425" ht="16" customHeight="1">
      <c r="A425" s="39" t="n"/>
      <c r="B425" s="37" t="n"/>
      <c r="C425" s="37" t="n"/>
      <c r="D425" s="37" t="n"/>
      <c r="E425" s="58" t="n"/>
      <c r="F425" s="38">
        <f>IF(A425="","",YEAR(A425))</f>
        <v/>
      </c>
      <c r="G425" s="37" t="n"/>
    </row>
    <row r="426" ht="16" customHeight="1">
      <c r="A426" s="39" t="n"/>
      <c r="B426" s="37" t="n"/>
      <c r="C426" s="37" t="n"/>
      <c r="D426" s="37" t="n"/>
      <c r="E426" s="58" t="n"/>
      <c r="F426" s="38">
        <f>IF(A426="","",YEAR(A426))</f>
        <v/>
      </c>
      <c r="G426" s="37" t="n"/>
    </row>
    <row r="427" ht="16" customHeight="1">
      <c r="A427" s="39" t="n"/>
      <c r="B427" s="37" t="n"/>
      <c r="C427" s="37" t="n"/>
      <c r="D427" s="37" t="n"/>
      <c r="E427" s="58" t="n"/>
      <c r="F427" s="38">
        <f>IF(A427="","",YEAR(A427))</f>
        <v/>
      </c>
      <c r="G427" s="37" t="n"/>
    </row>
    <row r="428" ht="16" customHeight="1">
      <c r="A428" s="39" t="n"/>
      <c r="B428" s="37" t="n"/>
      <c r="C428" s="37" t="n"/>
      <c r="D428" s="37" t="n"/>
      <c r="E428" s="58" t="n"/>
      <c r="F428" s="38">
        <f>IF(A428="","",YEAR(A428))</f>
        <v/>
      </c>
      <c r="G428" s="37" t="n"/>
    </row>
    <row r="429" ht="16" customHeight="1">
      <c r="A429" s="39" t="n"/>
      <c r="B429" s="37" t="n"/>
      <c r="C429" s="37" t="n"/>
      <c r="D429" s="37" t="n"/>
      <c r="E429" s="58" t="n"/>
      <c r="F429" s="38">
        <f>IF(A429="","",YEAR(A429))</f>
        <v/>
      </c>
      <c r="G429" s="37" t="n"/>
    </row>
    <row r="430" ht="16" customHeight="1">
      <c r="A430" s="39" t="n"/>
      <c r="B430" s="37" t="n"/>
      <c r="C430" s="37" t="n"/>
      <c r="D430" s="37" t="n"/>
      <c r="E430" s="58" t="n"/>
      <c r="F430" s="38">
        <f>IF(A430="","",YEAR(A430))</f>
        <v/>
      </c>
      <c r="G430" s="37" t="n"/>
    </row>
    <row r="431" ht="16" customHeight="1">
      <c r="A431" s="39" t="n"/>
      <c r="B431" s="37" t="n"/>
      <c r="C431" s="37" t="n"/>
      <c r="D431" s="37" t="n"/>
      <c r="E431" s="58" t="n"/>
      <c r="F431" s="38">
        <f>IF(A431="","",YEAR(A431))</f>
        <v/>
      </c>
      <c r="G431" s="37" t="n"/>
    </row>
    <row r="432" ht="16" customHeight="1">
      <c r="A432" s="39" t="n"/>
      <c r="B432" s="37" t="n"/>
      <c r="C432" s="37" t="n"/>
      <c r="D432" s="37" t="n"/>
      <c r="E432" s="58" t="n"/>
      <c r="F432" s="38">
        <f>IF(A432="","",YEAR(A432))</f>
        <v/>
      </c>
      <c r="G432" s="37" t="n"/>
    </row>
    <row r="433" ht="16" customHeight="1">
      <c r="A433" s="39" t="n"/>
      <c r="B433" s="37" t="n"/>
      <c r="C433" s="37" t="n"/>
      <c r="D433" s="37" t="n"/>
      <c r="E433" s="58" t="n"/>
      <c r="F433" s="38">
        <f>IF(A433="","",YEAR(A433))</f>
        <v/>
      </c>
      <c r="G433" s="37" t="n"/>
    </row>
    <row r="434" ht="16" customHeight="1">
      <c r="A434" s="39" t="n"/>
      <c r="B434" s="37" t="n"/>
      <c r="C434" s="37" t="n"/>
      <c r="D434" s="37" t="n"/>
      <c r="E434" s="58" t="n"/>
      <c r="F434" s="38">
        <f>IF(A434="","",YEAR(A434))</f>
        <v/>
      </c>
      <c r="G434" s="37" t="n"/>
    </row>
    <row r="435" ht="16" customHeight="1">
      <c r="A435" s="39" t="n"/>
      <c r="B435" s="37" t="n"/>
      <c r="C435" s="37" t="n"/>
      <c r="D435" s="37" t="n"/>
      <c r="E435" s="58" t="n"/>
      <c r="F435" s="38">
        <f>IF(A435="","",YEAR(A435))</f>
        <v/>
      </c>
      <c r="G435" s="37" t="n"/>
    </row>
    <row r="436" ht="16" customHeight="1">
      <c r="A436" s="39" t="n"/>
      <c r="B436" s="37" t="n"/>
      <c r="C436" s="37" t="n"/>
      <c r="D436" s="37" t="n"/>
      <c r="E436" s="58" t="n"/>
      <c r="F436" s="38">
        <f>IF(A436="","",YEAR(A436))</f>
        <v/>
      </c>
      <c r="G436" s="37" t="n"/>
    </row>
    <row r="437" ht="16" customHeight="1">
      <c r="A437" s="39" t="n"/>
      <c r="B437" s="37" t="n"/>
      <c r="C437" s="37" t="n"/>
      <c r="D437" s="37" t="n"/>
      <c r="E437" s="58" t="n"/>
      <c r="F437" s="38">
        <f>IF(A437="","",YEAR(A437))</f>
        <v/>
      </c>
      <c r="G437" s="37" t="n"/>
    </row>
    <row r="438" ht="16" customHeight="1">
      <c r="A438" s="39" t="n"/>
      <c r="B438" s="37" t="n"/>
      <c r="C438" s="37" t="n"/>
      <c r="D438" s="37" t="n"/>
      <c r="E438" s="58" t="n"/>
      <c r="F438" s="38">
        <f>IF(A438="","",YEAR(A438))</f>
        <v/>
      </c>
      <c r="G438" s="37" t="n"/>
    </row>
    <row r="439" ht="16" customHeight="1">
      <c r="A439" s="39" t="n"/>
      <c r="B439" s="37" t="n"/>
      <c r="C439" s="37" t="n"/>
      <c r="D439" s="37" t="n"/>
      <c r="E439" s="58" t="n"/>
      <c r="F439" s="38">
        <f>IF(A439="","",YEAR(A439))</f>
        <v/>
      </c>
      <c r="G439" s="37" t="n"/>
    </row>
    <row r="440" ht="16" customHeight="1">
      <c r="A440" s="39" t="n"/>
      <c r="B440" s="37" t="n"/>
      <c r="C440" s="37" t="n"/>
      <c r="D440" s="37" t="n"/>
      <c r="E440" s="58" t="n"/>
      <c r="F440" s="38">
        <f>IF(A440="","",YEAR(A440))</f>
        <v/>
      </c>
      <c r="G440" s="37" t="n"/>
    </row>
    <row r="441" ht="16" customHeight="1">
      <c r="A441" s="39" t="n"/>
      <c r="B441" s="37" t="n"/>
      <c r="C441" s="37" t="n"/>
      <c r="D441" s="37" t="n"/>
      <c r="E441" s="58" t="n"/>
      <c r="F441" s="38">
        <f>IF(A441="","",YEAR(A441))</f>
        <v/>
      </c>
      <c r="G441" s="37" t="n"/>
    </row>
    <row r="442" ht="16" customHeight="1">
      <c r="A442" s="39" t="n"/>
      <c r="B442" s="37" t="n"/>
      <c r="C442" s="37" t="n"/>
      <c r="D442" s="37" t="n"/>
      <c r="E442" s="58" t="n"/>
      <c r="F442" s="38">
        <f>IF(A442="","",YEAR(A442))</f>
        <v/>
      </c>
      <c r="G442" s="37" t="n"/>
    </row>
    <row r="443" ht="16" customHeight="1">
      <c r="A443" s="39" t="n"/>
      <c r="B443" s="37" t="n"/>
      <c r="C443" s="37" t="n"/>
      <c r="D443" s="37" t="n"/>
      <c r="E443" s="58" t="n"/>
      <c r="F443" s="38">
        <f>IF(A443="","",YEAR(A443))</f>
        <v/>
      </c>
      <c r="G443" s="37" t="n"/>
    </row>
    <row r="444" ht="16" customHeight="1">
      <c r="A444" s="39" t="n"/>
      <c r="B444" s="37" t="n"/>
      <c r="C444" s="37" t="n"/>
      <c r="D444" s="37" t="n"/>
      <c r="E444" s="58" t="n"/>
      <c r="F444" s="38">
        <f>IF(A444="","",YEAR(A444))</f>
        <v/>
      </c>
      <c r="G444" s="37" t="n"/>
    </row>
    <row r="445" ht="16" customHeight="1">
      <c r="A445" s="39" t="n"/>
      <c r="B445" s="37" t="n"/>
      <c r="C445" s="37" t="n"/>
      <c r="D445" s="37" t="n"/>
      <c r="E445" s="58" t="n"/>
      <c r="F445" s="38">
        <f>IF(A445="","",YEAR(A445))</f>
        <v/>
      </c>
      <c r="G445" s="37" t="n"/>
    </row>
    <row r="446" ht="16" customHeight="1">
      <c r="A446" s="39" t="n"/>
      <c r="B446" s="37" t="n"/>
      <c r="C446" s="37" t="n"/>
      <c r="D446" s="37" t="n"/>
      <c r="E446" s="58" t="n"/>
      <c r="F446" s="38">
        <f>IF(A446="","",YEAR(A446))</f>
        <v/>
      </c>
      <c r="G446" s="37" t="n"/>
    </row>
    <row r="447" ht="16" customHeight="1">
      <c r="A447" s="39" t="n"/>
      <c r="B447" s="37" t="n"/>
      <c r="C447" s="37" t="n"/>
      <c r="D447" s="37" t="n"/>
      <c r="E447" s="58" t="n"/>
      <c r="F447" s="38">
        <f>IF(A447="","",YEAR(A447))</f>
        <v/>
      </c>
      <c r="G447" s="37" t="n"/>
    </row>
    <row r="448" ht="16" customHeight="1">
      <c r="A448" s="39" t="n"/>
      <c r="B448" s="37" t="n"/>
      <c r="C448" s="37" t="n"/>
      <c r="D448" s="37" t="n"/>
      <c r="E448" s="58" t="n"/>
      <c r="F448" s="38">
        <f>IF(A448="","",YEAR(A448))</f>
        <v/>
      </c>
      <c r="G448" s="37" t="n"/>
    </row>
    <row r="449" ht="16" customHeight="1">
      <c r="A449" s="39" t="n"/>
      <c r="B449" s="37" t="n"/>
      <c r="C449" s="37" t="n"/>
      <c r="D449" s="37" t="n"/>
      <c r="E449" s="58" t="n"/>
      <c r="F449" s="38">
        <f>IF(A449="","",YEAR(A449))</f>
        <v/>
      </c>
      <c r="G449" s="37" t="n"/>
    </row>
    <row r="450" ht="16" customHeight="1">
      <c r="A450" s="39" t="n"/>
      <c r="B450" s="37" t="n"/>
      <c r="C450" s="37" t="n"/>
      <c r="D450" s="37" t="n"/>
      <c r="E450" s="58" t="n"/>
      <c r="F450" s="38">
        <f>IF(A450="","",YEAR(A450))</f>
        <v/>
      </c>
      <c r="G450" s="37" t="n"/>
    </row>
    <row r="451" ht="16" customHeight="1">
      <c r="A451" s="39" t="n"/>
      <c r="B451" s="37" t="n"/>
      <c r="C451" s="37" t="n"/>
      <c r="D451" s="37" t="n"/>
      <c r="E451" s="58" t="n"/>
      <c r="F451" s="38">
        <f>IF(A451="","",YEAR(A451))</f>
        <v/>
      </c>
      <c r="G451" s="37" t="n"/>
    </row>
    <row r="452" ht="16" customHeight="1">
      <c r="A452" s="39" t="n"/>
      <c r="B452" s="37" t="n"/>
      <c r="C452" s="37" t="n"/>
      <c r="D452" s="37" t="n"/>
      <c r="E452" s="58" t="n"/>
      <c r="F452" s="38">
        <f>IF(A452="","",YEAR(A452))</f>
        <v/>
      </c>
      <c r="G452" s="37" t="n"/>
    </row>
    <row r="453" ht="16" customHeight="1">
      <c r="A453" s="39" t="n"/>
      <c r="B453" s="37" t="n"/>
      <c r="C453" s="37" t="n"/>
      <c r="D453" s="37" t="n"/>
      <c r="E453" s="58" t="n"/>
      <c r="F453" s="38">
        <f>IF(A453="","",YEAR(A453))</f>
        <v/>
      </c>
      <c r="G453" s="37" t="n"/>
    </row>
    <row r="454" ht="16" customHeight="1">
      <c r="A454" s="39" t="n"/>
      <c r="B454" s="37" t="n"/>
      <c r="C454" s="37" t="n"/>
      <c r="D454" s="37" t="n"/>
      <c r="E454" s="58" t="n"/>
      <c r="F454" s="38">
        <f>IF(A454="","",YEAR(A454))</f>
        <v/>
      </c>
      <c r="G454" s="37" t="n"/>
    </row>
    <row r="455" ht="16" customHeight="1">
      <c r="A455" s="39" t="n"/>
      <c r="B455" s="37" t="n"/>
      <c r="C455" s="37" t="n"/>
      <c r="D455" s="37" t="n"/>
      <c r="E455" s="58" t="n"/>
      <c r="F455" s="38">
        <f>IF(A455="","",YEAR(A455))</f>
        <v/>
      </c>
      <c r="G455" s="37" t="n"/>
    </row>
    <row r="456" ht="16" customHeight="1">
      <c r="A456" s="39" t="n"/>
      <c r="B456" s="37" t="n"/>
      <c r="C456" s="37" t="n"/>
      <c r="D456" s="37" t="n"/>
      <c r="E456" s="58" t="n"/>
      <c r="F456" s="38">
        <f>IF(A456="","",YEAR(A456))</f>
        <v/>
      </c>
      <c r="G456" s="37" t="n"/>
    </row>
    <row r="457" ht="16" customHeight="1">
      <c r="A457" s="39" t="n"/>
      <c r="B457" s="37" t="n"/>
      <c r="C457" s="37" t="n"/>
      <c r="D457" s="37" t="n"/>
      <c r="E457" s="58" t="n"/>
      <c r="F457" s="38">
        <f>IF(A457="","",YEAR(A457))</f>
        <v/>
      </c>
      <c r="G457" s="37" t="n"/>
    </row>
    <row r="458" ht="16" customHeight="1">
      <c r="A458" s="39" t="n"/>
      <c r="B458" s="37" t="n"/>
      <c r="C458" s="37" t="n"/>
      <c r="D458" s="37" t="n"/>
      <c r="E458" s="58" t="n"/>
      <c r="F458" s="38">
        <f>IF(A458="","",YEAR(A458))</f>
        <v/>
      </c>
      <c r="G458" s="37" t="n"/>
    </row>
    <row r="459" ht="16" customHeight="1">
      <c r="A459" s="39" t="n"/>
      <c r="B459" s="37" t="n"/>
      <c r="C459" s="37" t="n"/>
      <c r="D459" s="37" t="n"/>
      <c r="E459" s="58" t="n"/>
      <c r="F459" s="38">
        <f>IF(A459="","",YEAR(A459))</f>
        <v/>
      </c>
      <c r="G459" s="37" t="n"/>
    </row>
    <row r="460" ht="16" customHeight="1">
      <c r="A460" s="39" t="n"/>
      <c r="B460" s="37" t="n"/>
      <c r="C460" s="37" t="n"/>
      <c r="D460" s="37" t="n"/>
      <c r="E460" s="58" t="n"/>
      <c r="F460" s="38">
        <f>IF(A460="","",YEAR(A460))</f>
        <v/>
      </c>
      <c r="G460" s="37" t="n"/>
    </row>
    <row r="461" ht="16" customHeight="1">
      <c r="A461" s="39" t="n"/>
      <c r="B461" s="37" t="n"/>
      <c r="C461" s="37" t="n"/>
      <c r="D461" s="37" t="n"/>
      <c r="E461" s="58" t="n"/>
      <c r="F461" s="38">
        <f>IF(A461="","",YEAR(A461))</f>
        <v/>
      </c>
      <c r="G461" s="37" t="n"/>
    </row>
    <row r="462" ht="16" customHeight="1">
      <c r="A462" s="39" t="n"/>
      <c r="B462" s="37" t="n"/>
      <c r="C462" s="37" t="n"/>
      <c r="D462" s="37" t="n"/>
      <c r="E462" s="58" t="n"/>
      <c r="F462" s="38">
        <f>IF(A462="","",YEAR(A462))</f>
        <v/>
      </c>
      <c r="G462" s="37" t="n"/>
    </row>
    <row r="463" ht="16" customHeight="1">
      <c r="A463" s="39" t="n"/>
      <c r="B463" s="37" t="n"/>
      <c r="C463" s="37" t="n"/>
      <c r="D463" s="37" t="n"/>
      <c r="E463" s="58" t="n"/>
      <c r="F463" s="38">
        <f>IF(A463="","",YEAR(A463))</f>
        <v/>
      </c>
      <c r="G463" s="37" t="n"/>
    </row>
    <row r="464" ht="16" customHeight="1">
      <c r="A464" s="39" t="n"/>
      <c r="B464" s="37" t="n"/>
      <c r="C464" s="37" t="n"/>
      <c r="D464" s="37" t="n"/>
      <c r="E464" s="58" t="n"/>
      <c r="F464" s="38">
        <f>IF(A464="","",YEAR(A464))</f>
        <v/>
      </c>
      <c r="G464" s="37" t="n"/>
    </row>
    <row r="465" ht="16" customHeight="1">
      <c r="A465" s="39" t="n"/>
      <c r="B465" s="37" t="n"/>
      <c r="C465" s="37" t="n"/>
      <c r="D465" s="37" t="n"/>
      <c r="E465" s="58" t="n"/>
      <c r="F465" s="38">
        <f>IF(A465="","",YEAR(A465))</f>
        <v/>
      </c>
      <c r="G465" s="37" t="n"/>
    </row>
    <row r="466" ht="16" customHeight="1">
      <c r="A466" s="39" t="n"/>
      <c r="B466" s="37" t="n"/>
      <c r="C466" s="37" t="n"/>
      <c r="D466" s="37" t="n"/>
      <c r="E466" s="58" t="n"/>
      <c r="F466" s="38">
        <f>IF(A466="","",YEAR(A466))</f>
        <v/>
      </c>
      <c r="G466" s="37" t="n"/>
    </row>
    <row r="467" ht="16" customHeight="1">
      <c r="A467" s="39" t="n"/>
      <c r="B467" s="37" t="n"/>
      <c r="C467" s="37" t="n"/>
      <c r="D467" s="37" t="n"/>
      <c r="E467" s="58" t="n"/>
      <c r="F467" s="38">
        <f>IF(A467="","",YEAR(A467))</f>
        <v/>
      </c>
      <c r="G467" s="37" t="n"/>
    </row>
    <row r="468" ht="16" customHeight="1">
      <c r="A468" s="39" t="n"/>
      <c r="B468" s="37" t="n"/>
      <c r="C468" s="37" t="n"/>
      <c r="D468" s="37" t="n"/>
      <c r="E468" s="58" t="n"/>
      <c r="F468" s="38">
        <f>IF(A468="","",YEAR(A468))</f>
        <v/>
      </c>
      <c r="G468" s="37" t="n"/>
    </row>
    <row r="469" ht="16" customHeight="1">
      <c r="A469" s="39" t="n"/>
      <c r="B469" s="37" t="n"/>
      <c r="C469" s="37" t="n"/>
      <c r="D469" s="37" t="n"/>
      <c r="E469" s="58" t="n"/>
      <c r="F469" s="38">
        <f>IF(A469="","",YEAR(A469))</f>
        <v/>
      </c>
      <c r="G469" s="37" t="n"/>
    </row>
    <row r="470" ht="16" customHeight="1">
      <c r="A470" s="39" t="n"/>
      <c r="B470" s="37" t="n"/>
      <c r="C470" s="37" t="n"/>
      <c r="D470" s="37" t="n"/>
      <c r="E470" s="58" t="n"/>
      <c r="F470" s="38">
        <f>IF(A470="","",YEAR(A470))</f>
        <v/>
      </c>
      <c r="G470" s="37" t="n"/>
    </row>
    <row r="471" ht="16" customHeight="1">
      <c r="A471" s="39" t="n"/>
      <c r="B471" s="37" t="n"/>
      <c r="C471" s="37" t="n"/>
      <c r="D471" s="37" t="n"/>
      <c r="E471" s="58" t="n"/>
      <c r="F471" s="38">
        <f>IF(A471="","",YEAR(A471))</f>
        <v/>
      </c>
      <c r="G471" s="37" t="n"/>
    </row>
    <row r="472" ht="16" customHeight="1">
      <c r="A472" s="39" t="n"/>
      <c r="B472" s="37" t="n"/>
      <c r="C472" s="37" t="n"/>
      <c r="D472" s="37" t="n"/>
      <c r="E472" s="58" t="n"/>
      <c r="F472" s="38">
        <f>IF(A472="","",YEAR(A472))</f>
        <v/>
      </c>
      <c r="G472" s="37" t="n"/>
    </row>
    <row r="473" ht="16" customHeight="1">
      <c r="A473" s="39" t="n"/>
      <c r="B473" s="37" t="n"/>
      <c r="C473" s="37" t="n"/>
      <c r="D473" s="37" t="n"/>
      <c r="E473" s="58" t="n"/>
      <c r="F473" s="38">
        <f>IF(A473="","",YEAR(A473))</f>
        <v/>
      </c>
      <c r="G473" s="37" t="n"/>
    </row>
    <row r="474" ht="16" customHeight="1">
      <c r="A474" s="39" t="n"/>
      <c r="B474" s="37" t="n"/>
      <c r="C474" s="37" t="n"/>
      <c r="D474" s="37" t="n"/>
      <c r="E474" s="58" t="n"/>
      <c r="F474" s="38">
        <f>IF(A474="","",YEAR(A474))</f>
        <v/>
      </c>
      <c r="G474" s="37" t="n"/>
    </row>
    <row r="475" ht="16" customHeight="1">
      <c r="A475" s="39" t="n"/>
      <c r="B475" s="37" t="n"/>
      <c r="C475" s="37" t="n"/>
      <c r="D475" s="37" t="n"/>
      <c r="E475" s="58" t="n"/>
      <c r="F475" s="38">
        <f>IF(A475="","",YEAR(A475))</f>
        <v/>
      </c>
      <c r="G475" s="37" t="n"/>
    </row>
    <row r="476" ht="16" customHeight="1">
      <c r="A476" s="39" t="n"/>
      <c r="B476" s="37" t="n"/>
      <c r="C476" s="37" t="n"/>
      <c r="D476" s="37" t="n"/>
      <c r="E476" s="58" t="n"/>
      <c r="F476" s="38">
        <f>IF(A476="","",YEAR(A476))</f>
        <v/>
      </c>
      <c r="G476" s="37" t="n"/>
    </row>
    <row r="477" ht="16" customHeight="1">
      <c r="A477" s="39" t="n"/>
      <c r="B477" s="37" t="n"/>
      <c r="C477" s="37" t="n"/>
      <c r="D477" s="37" t="n"/>
      <c r="E477" s="58" t="n"/>
      <c r="F477" s="38">
        <f>IF(A477="","",YEAR(A477))</f>
        <v/>
      </c>
      <c r="G477" s="37" t="n"/>
    </row>
    <row r="478" ht="16" customHeight="1">
      <c r="A478" s="39" t="n"/>
      <c r="B478" s="37" t="n"/>
      <c r="C478" s="37" t="n"/>
      <c r="D478" s="37" t="n"/>
      <c r="E478" s="58" t="n"/>
      <c r="F478" s="38">
        <f>IF(A478="","",YEAR(A478))</f>
        <v/>
      </c>
      <c r="G478" s="37" t="n"/>
    </row>
    <row r="479" ht="16" customHeight="1">
      <c r="A479" s="39" t="n"/>
      <c r="B479" s="37" t="n"/>
      <c r="C479" s="37" t="n"/>
      <c r="D479" s="37" t="n"/>
      <c r="E479" s="58" t="n"/>
      <c r="F479" s="38">
        <f>IF(A479="","",YEAR(A479))</f>
        <v/>
      </c>
      <c r="G479" s="37" t="n"/>
    </row>
    <row r="480" ht="16" customHeight="1">
      <c r="A480" s="39" t="n"/>
      <c r="B480" s="37" t="n"/>
      <c r="C480" s="37" t="n"/>
      <c r="D480" s="37" t="n"/>
      <c r="E480" s="58" t="n"/>
      <c r="F480" s="38">
        <f>IF(A480="","",YEAR(A480))</f>
        <v/>
      </c>
      <c r="G480" s="37" t="n"/>
    </row>
    <row r="481" ht="16" customHeight="1">
      <c r="A481" s="39" t="n"/>
      <c r="B481" s="37" t="n"/>
      <c r="C481" s="37" t="n"/>
      <c r="D481" s="37" t="n"/>
      <c r="E481" s="58" t="n"/>
      <c r="F481" s="38">
        <f>IF(A481="","",YEAR(A481))</f>
        <v/>
      </c>
      <c r="G481" s="37" t="n"/>
    </row>
    <row r="482" ht="16" customHeight="1">
      <c r="A482" s="39" t="n"/>
      <c r="B482" s="37" t="n"/>
      <c r="C482" s="37" t="n"/>
      <c r="D482" s="37" t="n"/>
      <c r="E482" s="58" t="n"/>
      <c r="F482" s="38">
        <f>IF(A482="","",YEAR(A482))</f>
        <v/>
      </c>
      <c r="G482" s="37" t="n"/>
    </row>
    <row r="483" ht="16" customHeight="1">
      <c r="A483" s="39" t="n"/>
      <c r="B483" s="37" t="n"/>
      <c r="C483" s="37" t="n"/>
      <c r="D483" s="37" t="n"/>
      <c r="E483" s="58" t="n"/>
      <c r="F483" s="38">
        <f>IF(A483="","",YEAR(A483))</f>
        <v/>
      </c>
      <c r="G483" s="37" t="n"/>
    </row>
    <row r="484" ht="16" customHeight="1">
      <c r="A484" s="39" t="n"/>
      <c r="B484" s="37" t="n"/>
      <c r="C484" s="37" t="n"/>
      <c r="D484" s="37" t="n"/>
      <c r="E484" s="58" t="n"/>
      <c r="F484" s="38">
        <f>IF(A484="","",YEAR(A484))</f>
        <v/>
      </c>
      <c r="G484" s="37" t="n"/>
    </row>
    <row r="485" ht="16" customHeight="1">
      <c r="A485" s="39" t="n"/>
      <c r="B485" s="37" t="n"/>
      <c r="C485" s="37" t="n"/>
      <c r="D485" s="37" t="n"/>
      <c r="E485" s="58" t="n"/>
      <c r="F485" s="38">
        <f>IF(A485="","",YEAR(A485))</f>
        <v/>
      </c>
      <c r="G485" s="37" t="n"/>
    </row>
    <row r="486" ht="16" customHeight="1">
      <c r="A486" s="39" t="n"/>
      <c r="B486" s="37" t="n"/>
      <c r="C486" s="37" t="n"/>
      <c r="D486" s="37" t="n"/>
      <c r="E486" s="58" t="n"/>
      <c r="F486" s="38">
        <f>IF(A486="","",YEAR(A486))</f>
        <v/>
      </c>
      <c r="G486" s="37" t="n"/>
    </row>
    <row r="487" ht="16" customHeight="1">
      <c r="A487" s="39" t="n"/>
      <c r="B487" s="37" t="n"/>
      <c r="C487" s="37" t="n"/>
      <c r="D487" s="37" t="n"/>
      <c r="E487" s="58" t="n"/>
      <c r="F487" s="38">
        <f>IF(A487="","",YEAR(A487))</f>
        <v/>
      </c>
      <c r="G487" s="37" t="n"/>
    </row>
    <row r="488" ht="16" customHeight="1">
      <c r="A488" s="39" t="n"/>
      <c r="B488" s="37" t="n"/>
      <c r="C488" s="37" t="n"/>
      <c r="D488" s="37" t="n"/>
      <c r="E488" s="58" t="n"/>
      <c r="F488" s="38">
        <f>IF(A488="","",YEAR(A488))</f>
        <v/>
      </c>
      <c r="G488" s="37" t="n"/>
    </row>
    <row r="489" ht="16" customHeight="1">
      <c r="A489" s="39" t="n"/>
      <c r="B489" s="37" t="n"/>
      <c r="C489" s="37" t="n"/>
      <c r="D489" s="37" t="n"/>
      <c r="E489" s="58" t="n"/>
      <c r="F489" s="38">
        <f>IF(A489="","",YEAR(A489))</f>
        <v/>
      </c>
      <c r="G489" s="37" t="n"/>
    </row>
    <row r="490" ht="16" customHeight="1">
      <c r="A490" s="39" t="n"/>
      <c r="B490" s="37" t="n"/>
      <c r="C490" s="37" t="n"/>
      <c r="D490" s="37" t="n"/>
      <c r="E490" s="58" t="n"/>
      <c r="F490" s="38">
        <f>IF(A490="","",YEAR(A490))</f>
        <v/>
      </c>
      <c r="G490" s="37" t="n"/>
    </row>
    <row r="491" ht="16" customHeight="1">
      <c r="A491" s="39" t="n"/>
      <c r="B491" s="37" t="n"/>
      <c r="C491" s="37" t="n"/>
      <c r="D491" s="37" t="n"/>
      <c r="E491" s="58" t="n"/>
      <c r="F491" s="38">
        <f>IF(A491="","",YEAR(A491))</f>
        <v/>
      </c>
      <c r="G491" s="37" t="n"/>
    </row>
    <row r="492" ht="16" customHeight="1">
      <c r="A492" s="39" t="n"/>
      <c r="B492" s="37" t="n"/>
      <c r="C492" s="37" t="n"/>
      <c r="D492" s="37" t="n"/>
      <c r="E492" s="58" t="n"/>
      <c r="F492" s="38">
        <f>IF(A492="","",YEAR(A492))</f>
        <v/>
      </c>
      <c r="G492" s="37" t="n"/>
    </row>
    <row r="493" ht="16" customHeight="1">
      <c r="A493" s="39" t="n"/>
      <c r="B493" s="37" t="n"/>
      <c r="C493" s="37" t="n"/>
      <c r="D493" s="37" t="n"/>
      <c r="E493" s="58" t="n"/>
      <c r="F493" s="38">
        <f>IF(A493="","",YEAR(A493))</f>
        <v/>
      </c>
      <c r="G493" s="37" t="n"/>
    </row>
    <row r="494" ht="16" customHeight="1">
      <c r="A494" s="39" t="n"/>
      <c r="B494" s="37" t="n"/>
      <c r="C494" s="37" t="n"/>
      <c r="D494" s="37" t="n"/>
      <c r="E494" s="58" t="n"/>
      <c r="F494" s="38">
        <f>IF(A494="","",YEAR(A494))</f>
        <v/>
      </c>
      <c r="G494" s="37" t="n"/>
    </row>
    <row r="495" ht="16" customHeight="1">
      <c r="A495" s="39" t="n"/>
      <c r="B495" s="37" t="n"/>
      <c r="C495" s="37" t="n"/>
      <c r="D495" s="37" t="n"/>
      <c r="E495" s="58" t="n"/>
      <c r="F495" s="38">
        <f>IF(A495="","",YEAR(A495))</f>
        <v/>
      </c>
      <c r="G495" s="37" t="n"/>
    </row>
    <row r="496" ht="16" customHeight="1">
      <c r="A496" s="39" t="n"/>
      <c r="B496" s="37" t="n"/>
      <c r="C496" s="37" t="n"/>
      <c r="D496" s="37" t="n"/>
      <c r="E496" s="58" t="n"/>
      <c r="F496" s="38">
        <f>IF(A496="","",YEAR(A496))</f>
        <v/>
      </c>
      <c r="G496" s="37" t="n"/>
    </row>
    <row r="497" ht="16" customHeight="1">
      <c r="A497" s="39" t="n"/>
      <c r="B497" s="37" t="n"/>
      <c r="C497" s="37" t="n"/>
      <c r="D497" s="37" t="n"/>
      <c r="E497" s="58" t="n"/>
      <c r="F497" s="38">
        <f>IF(A497="","",YEAR(A497))</f>
        <v/>
      </c>
      <c r="G497" s="37" t="n"/>
    </row>
    <row r="498" ht="16" customHeight="1">
      <c r="A498" s="39" t="n"/>
      <c r="B498" s="37" t="n"/>
      <c r="C498" s="37" t="n"/>
      <c r="D498" s="37" t="n"/>
      <c r="E498" s="58" t="n"/>
      <c r="F498" s="38">
        <f>IF(A498="","",YEAR(A498))</f>
        <v/>
      </c>
      <c r="G498" s="37" t="n"/>
    </row>
    <row r="499" ht="16" customHeight="1">
      <c r="A499" s="39" t="n"/>
      <c r="B499" s="37" t="n"/>
      <c r="C499" s="37" t="n"/>
      <c r="D499" s="37" t="n"/>
      <c r="E499" s="58" t="n"/>
      <c r="F499" s="38">
        <f>IF(A499="","",YEAR(A499))</f>
        <v/>
      </c>
      <c r="G499" s="37" t="n"/>
    </row>
    <row r="500" ht="16" customHeight="1">
      <c r="A500" s="39" t="n"/>
      <c r="B500" s="37" t="n"/>
      <c r="C500" s="37" t="n"/>
      <c r="D500" s="37" t="n"/>
      <c r="E500" s="58" t="n"/>
      <c r="F500" s="38">
        <f>IF(A500="","",YEAR(A500))</f>
        <v/>
      </c>
      <c r="G500" s="37" t="n"/>
    </row>
    <row r="501" ht="16" customHeight="1">
      <c r="A501" s="39" t="n"/>
      <c r="B501" s="37" t="n"/>
      <c r="C501" s="37" t="n"/>
      <c r="D501" s="37" t="n"/>
      <c r="E501" s="58" t="n"/>
      <c r="F501" s="38">
        <f>IF(A501="","",YEAR(A501))</f>
        <v/>
      </c>
      <c r="G501" s="37" t="n"/>
    </row>
    <row r="502" ht="16" customHeight="1">
      <c r="A502" s="39" t="n"/>
      <c r="B502" s="37" t="n"/>
      <c r="C502" s="37" t="n"/>
      <c r="D502" s="37" t="n"/>
      <c r="E502" s="58" t="n"/>
      <c r="F502" s="38">
        <f>IF(A502="","",YEAR(A502))</f>
        <v/>
      </c>
      <c r="G502" s="37" t="n"/>
    </row>
    <row r="503" ht="16" customHeight="1">
      <c r="A503" s="39" t="n"/>
      <c r="B503" s="37" t="n"/>
      <c r="C503" s="37" t="n"/>
      <c r="D503" s="37" t="n"/>
      <c r="E503" s="58" t="n"/>
      <c r="F503" s="38">
        <f>IF(A503="","",YEAR(A503))</f>
        <v/>
      </c>
      <c r="G503" s="37" t="n"/>
    </row>
    <row r="504" ht="16" customHeight="1">
      <c r="A504" s="39" t="n"/>
      <c r="B504" s="37" t="n"/>
      <c r="C504" s="37" t="n"/>
      <c r="D504" s="37" t="n"/>
      <c r="E504" s="58" t="n"/>
      <c r="F504" s="38">
        <f>IF(A504="","",YEAR(A504))</f>
        <v/>
      </c>
      <c r="G504" s="37" t="n"/>
    </row>
    <row r="505" ht="16" customHeight="1">
      <c r="A505" s="39" t="n"/>
      <c r="B505" s="37" t="n"/>
      <c r="C505" s="37" t="n"/>
      <c r="D505" s="37" t="n"/>
      <c r="E505" s="58" t="n"/>
      <c r="F505" s="38">
        <f>IF(A505="","",YEAR(A505))</f>
        <v/>
      </c>
      <c r="G505" s="37" t="n"/>
    </row>
    <row r="506" ht="16" customHeight="1">
      <c r="A506" s="39" t="n"/>
      <c r="B506" s="37" t="n"/>
      <c r="C506" s="37" t="n"/>
      <c r="D506" s="37" t="n"/>
      <c r="E506" s="58" t="n"/>
      <c r="F506" s="38">
        <f>IF(A506="","",YEAR(A506))</f>
        <v/>
      </c>
      <c r="G506" s="37" t="n"/>
    </row>
    <row r="507" ht="16" customHeight="1">
      <c r="A507" s="39" t="n"/>
      <c r="B507" s="37" t="n"/>
      <c r="C507" s="37" t="n"/>
      <c r="D507" s="37" t="n"/>
      <c r="E507" s="58" t="n"/>
      <c r="F507" s="38">
        <f>IF(A507="","",YEAR(A507))</f>
        <v/>
      </c>
      <c r="G507" s="37" t="n"/>
    </row>
    <row r="508" ht="16" customHeight="1">
      <c r="A508" s="39" t="n"/>
      <c r="B508" s="37" t="n"/>
      <c r="C508" s="37" t="n"/>
      <c r="D508" s="37" t="n"/>
      <c r="E508" s="58" t="n"/>
      <c r="F508" s="38">
        <f>IF(A508="","",YEAR(A508))</f>
        <v/>
      </c>
      <c r="G508" s="37" t="n"/>
    </row>
    <row r="509" ht="16" customHeight="1">
      <c r="A509" s="39" t="n"/>
      <c r="B509" s="37" t="n"/>
      <c r="C509" s="37" t="n"/>
      <c r="D509" s="37" t="n"/>
      <c r="E509" s="58" t="n"/>
      <c r="F509" s="38">
        <f>IF(A509="","",YEAR(A509))</f>
        <v/>
      </c>
      <c r="G509" s="37" t="n"/>
    </row>
    <row r="510" ht="16" customHeight="1">
      <c r="A510" s="39" t="n"/>
      <c r="B510" s="37" t="n"/>
      <c r="C510" s="37" t="n"/>
      <c r="D510" s="37" t="n"/>
      <c r="E510" s="58" t="n"/>
      <c r="F510" s="38">
        <f>IF(A510="","",YEAR(A510))</f>
        <v/>
      </c>
      <c r="G510" s="37" t="n"/>
    </row>
    <row r="511" ht="16" customHeight="1">
      <c r="A511" s="39" t="n"/>
      <c r="B511" s="37" t="n"/>
      <c r="C511" s="37" t="n"/>
      <c r="D511" s="37" t="n"/>
      <c r="E511" s="58" t="n"/>
      <c r="F511" s="38">
        <f>IF(A511="","",YEAR(A511))</f>
        <v/>
      </c>
      <c r="G511" s="37" t="n"/>
    </row>
    <row r="512" ht="16" customHeight="1">
      <c r="A512" s="39" t="n"/>
      <c r="B512" s="37" t="n"/>
      <c r="C512" s="37" t="n"/>
      <c r="D512" s="37" t="n"/>
      <c r="E512" s="58" t="n"/>
      <c r="F512" s="38">
        <f>IF(A512="","",YEAR(A512))</f>
        <v/>
      </c>
      <c r="G512" s="37" t="n"/>
    </row>
    <row r="513" ht="16" customHeight="1">
      <c r="A513" s="39" t="n"/>
      <c r="B513" s="37" t="n"/>
      <c r="C513" s="37" t="n"/>
      <c r="D513" s="37" t="n"/>
      <c r="E513" s="58" t="n"/>
      <c r="F513" s="38">
        <f>IF(A513="","",YEAR(A513))</f>
        <v/>
      </c>
      <c r="G513" s="37" t="n"/>
    </row>
    <row r="514" ht="16" customHeight="1">
      <c r="A514" s="39" t="n"/>
      <c r="B514" s="37" t="n"/>
      <c r="C514" s="37" t="n"/>
      <c r="D514" s="37" t="n"/>
      <c r="E514" s="58" t="n"/>
      <c r="F514" s="38">
        <f>IF(A514="","",YEAR(A514))</f>
        <v/>
      </c>
      <c r="G514" s="37" t="n"/>
    </row>
    <row r="515" ht="16" customHeight="1">
      <c r="A515" s="39" t="n"/>
      <c r="B515" s="37" t="n"/>
      <c r="C515" s="37" t="n"/>
      <c r="D515" s="37" t="n"/>
      <c r="E515" s="58" t="n"/>
      <c r="F515" s="38">
        <f>IF(A515="","",YEAR(A515))</f>
        <v/>
      </c>
      <c r="G515" s="37" t="n"/>
    </row>
    <row r="516" ht="16" customHeight="1">
      <c r="A516" s="39" t="n"/>
      <c r="B516" s="37" t="n"/>
      <c r="C516" s="37" t="n"/>
      <c r="D516" s="37" t="n"/>
      <c r="E516" s="58" t="n"/>
      <c r="F516" s="38">
        <f>IF(A516="","",YEAR(A516))</f>
        <v/>
      </c>
      <c r="G516" s="37" t="n"/>
    </row>
    <row r="517" ht="16" customHeight="1">
      <c r="A517" s="39" t="n"/>
      <c r="B517" s="37" t="n"/>
      <c r="C517" s="37" t="n"/>
      <c r="D517" s="37" t="n"/>
      <c r="E517" s="58" t="n"/>
      <c r="F517" s="38">
        <f>IF(A517="","",YEAR(A517))</f>
        <v/>
      </c>
      <c r="G517" s="37" t="n"/>
    </row>
    <row r="518" ht="16" customHeight="1">
      <c r="A518" s="39" t="n"/>
      <c r="B518" s="37" t="n"/>
      <c r="C518" s="37" t="n"/>
      <c r="D518" s="37" t="n"/>
      <c r="E518" s="58" t="n"/>
      <c r="F518" s="38">
        <f>IF(A518="","",YEAR(A518))</f>
        <v/>
      </c>
      <c r="G518" s="37" t="n"/>
    </row>
    <row r="519" ht="16" customHeight="1">
      <c r="A519" s="39" t="n"/>
      <c r="B519" s="37" t="n"/>
      <c r="C519" s="37" t="n"/>
      <c r="D519" s="37" t="n"/>
      <c r="E519" s="58" t="n"/>
      <c r="F519" s="38">
        <f>IF(A519="","",YEAR(A519))</f>
        <v/>
      </c>
      <c r="G519" s="37" t="n"/>
    </row>
    <row r="520" ht="16" customHeight="1">
      <c r="A520" s="39" t="n"/>
      <c r="B520" s="37" t="n"/>
      <c r="C520" s="37" t="n"/>
      <c r="D520" s="37" t="n"/>
      <c r="E520" s="58" t="n"/>
      <c r="F520" s="38">
        <f>IF(A520="","",YEAR(A520))</f>
        <v/>
      </c>
      <c r="G520" s="37" t="n"/>
    </row>
    <row r="521" ht="16" customHeight="1">
      <c r="A521" s="39" t="n"/>
      <c r="B521" s="37" t="n"/>
      <c r="C521" s="37" t="n"/>
      <c r="D521" s="37" t="n"/>
      <c r="E521" s="58" t="n"/>
      <c r="F521" s="38">
        <f>IF(A521="","",YEAR(A521))</f>
        <v/>
      </c>
      <c r="G521" s="37" t="n"/>
    </row>
    <row r="522" ht="16" customHeight="1">
      <c r="A522" s="39" t="n"/>
      <c r="B522" s="37" t="n"/>
      <c r="C522" s="37" t="n"/>
      <c r="D522" s="37" t="n"/>
      <c r="E522" s="58" t="n"/>
      <c r="F522" s="38">
        <f>IF(A522="","",YEAR(A522))</f>
        <v/>
      </c>
      <c r="G522" s="37" t="n"/>
    </row>
    <row r="523" ht="16" customHeight="1">
      <c r="A523" s="39" t="n"/>
      <c r="B523" s="37" t="n"/>
      <c r="C523" s="37" t="n"/>
      <c r="D523" s="37" t="n"/>
      <c r="E523" s="58" t="n"/>
      <c r="F523" s="38">
        <f>IF(A523="","",YEAR(A523))</f>
        <v/>
      </c>
      <c r="G523" s="37" t="n"/>
    </row>
    <row r="524" ht="16" customHeight="1">
      <c r="A524" s="39" t="n"/>
      <c r="B524" s="37" t="n"/>
      <c r="C524" s="37" t="n"/>
      <c r="D524" s="37" t="n"/>
      <c r="E524" s="58" t="n"/>
      <c r="F524" s="38">
        <f>IF(A524="","",YEAR(A524))</f>
        <v/>
      </c>
      <c r="G524" s="37" t="n"/>
    </row>
    <row r="525" ht="16" customHeight="1">
      <c r="A525" s="39" t="n"/>
      <c r="B525" s="37" t="n"/>
      <c r="C525" s="37" t="n"/>
      <c r="D525" s="37" t="n"/>
      <c r="E525" s="58" t="n"/>
      <c r="F525" s="38">
        <f>IF(A525="","",YEAR(A525))</f>
        <v/>
      </c>
      <c r="G525" s="37" t="n"/>
    </row>
    <row r="526" ht="16" customHeight="1">
      <c r="A526" s="39" t="n"/>
      <c r="B526" s="37" t="n"/>
      <c r="C526" s="37" t="n"/>
      <c r="D526" s="37" t="n"/>
      <c r="E526" s="58" t="n"/>
      <c r="F526" s="38">
        <f>IF(A526="","",YEAR(A526))</f>
        <v/>
      </c>
      <c r="G526" s="37" t="n"/>
    </row>
    <row r="527" ht="16" customHeight="1">
      <c r="A527" s="39" t="n"/>
      <c r="B527" s="37" t="n"/>
      <c r="C527" s="37" t="n"/>
      <c r="D527" s="37" t="n"/>
      <c r="E527" s="58" t="n"/>
      <c r="F527" s="38">
        <f>IF(A527="","",YEAR(A527))</f>
        <v/>
      </c>
      <c r="G527" s="37" t="n"/>
    </row>
    <row r="528" ht="16" customHeight="1">
      <c r="A528" s="39" t="n"/>
      <c r="B528" s="37" t="n"/>
      <c r="C528" s="37" t="n"/>
      <c r="D528" s="37" t="n"/>
      <c r="E528" s="58" t="n"/>
      <c r="F528" s="38">
        <f>IF(A528="","",YEAR(A528))</f>
        <v/>
      </c>
      <c r="G528" s="37" t="n"/>
    </row>
    <row r="529" ht="16" customHeight="1">
      <c r="A529" s="39" t="n"/>
      <c r="B529" s="37" t="n"/>
      <c r="C529" s="37" t="n"/>
      <c r="D529" s="37" t="n"/>
      <c r="E529" s="58" t="n"/>
      <c r="F529" s="38">
        <f>IF(A529="","",YEAR(A529))</f>
        <v/>
      </c>
      <c r="G529" s="37" t="n"/>
    </row>
    <row r="530" ht="16" customHeight="1">
      <c r="A530" s="39" t="n"/>
      <c r="B530" s="37" t="n"/>
      <c r="C530" s="37" t="n"/>
      <c r="D530" s="37" t="n"/>
      <c r="E530" s="58" t="n"/>
      <c r="F530" s="38">
        <f>IF(A530="","",YEAR(A530))</f>
        <v/>
      </c>
      <c r="G530" s="37" t="n"/>
    </row>
    <row r="531" ht="16" customHeight="1">
      <c r="A531" s="39" t="n"/>
      <c r="B531" s="37" t="n"/>
      <c r="C531" s="37" t="n"/>
      <c r="D531" s="37" t="n"/>
      <c r="E531" s="58" t="n"/>
      <c r="F531" s="38">
        <f>IF(A531="","",YEAR(A531))</f>
        <v/>
      </c>
      <c r="G531" s="37" t="n"/>
    </row>
    <row r="532" ht="16" customHeight="1">
      <c r="A532" s="39" t="n"/>
      <c r="B532" s="37" t="n"/>
      <c r="C532" s="37" t="n"/>
      <c r="D532" s="37" t="n"/>
      <c r="E532" s="58" t="n"/>
      <c r="F532" s="38">
        <f>IF(A532="","",YEAR(A532))</f>
        <v/>
      </c>
      <c r="G532" s="37" t="n"/>
    </row>
    <row r="533" ht="16" customHeight="1">
      <c r="A533" s="39" t="n"/>
      <c r="B533" s="37" t="n"/>
      <c r="C533" s="37" t="n"/>
      <c r="D533" s="37" t="n"/>
      <c r="E533" s="58" t="n"/>
      <c r="F533" s="38">
        <f>IF(A533="","",YEAR(A533))</f>
        <v/>
      </c>
      <c r="G533" s="37" t="n"/>
    </row>
    <row r="534" ht="16" customHeight="1">
      <c r="A534" s="39" t="n"/>
      <c r="B534" s="37" t="n"/>
      <c r="C534" s="37" t="n"/>
      <c r="D534" s="37" t="n"/>
      <c r="E534" s="58" t="n"/>
      <c r="F534" s="38">
        <f>IF(A534="","",YEAR(A534))</f>
        <v/>
      </c>
      <c r="G534" s="37" t="n"/>
    </row>
    <row r="535" ht="16" customHeight="1">
      <c r="A535" s="39" t="n"/>
      <c r="B535" s="37" t="n"/>
      <c r="C535" s="37" t="n"/>
      <c r="D535" s="37" t="n"/>
      <c r="E535" s="58" t="n"/>
      <c r="F535" s="38">
        <f>IF(A535="","",YEAR(A535))</f>
        <v/>
      </c>
      <c r="G535" s="37" t="n"/>
    </row>
    <row r="536" ht="16" customHeight="1">
      <c r="A536" s="39" t="n"/>
      <c r="B536" s="37" t="n"/>
      <c r="C536" s="37" t="n"/>
      <c r="D536" s="37" t="n"/>
      <c r="E536" s="58" t="n"/>
      <c r="F536" s="38">
        <f>IF(A536="","",YEAR(A536))</f>
        <v/>
      </c>
      <c r="G536" s="37" t="n"/>
    </row>
    <row r="537" ht="16" customHeight="1">
      <c r="A537" s="39" t="n"/>
      <c r="B537" s="37" t="n"/>
      <c r="C537" s="37" t="n"/>
      <c r="D537" s="37" t="n"/>
      <c r="E537" s="58" t="n"/>
      <c r="F537" s="38">
        <f>IF(A537="","",YEAR(A537))</f>
        <v/>
      </c>
      <c r="G537" s="37" t="n"/>
    </row>
    <row r="538" ht="16" customHeight="1">
      <c r="A538" s="39" t="n"/>
      <c r="B538" s="37" t="n"/>
      <c r="C538" s="37" t="n"/>
      <c r="D538" s="37" t="n"/>
      <c r="E538" s="58" t="n"/>
      <c r="F538" s="38">
        <f>IF(A538="","",YEAR(A538))</f>
        <v/>
      </c>
      <c r="G538" s="37" t="n"/>
    </row>
    <row r="539" ht="16" customHeight="1">
      <c r="A539" s="39" t="n"/>
      <c r="B539" s="37" t="n"/>
      <c r="C539" s="37" t="n"/>
      <c r="D539" s="37" t="n"/>
      <c r="E539" s="58" t="n"/>
      <c r="F539" s="38">
        <f>IF(A539="","",YEAR(A539))</f>
        <v/>
      </c>
      <c r="G539" s="37" t="n"/>
    </row>
    <row r="540" ht="16" customHeight="1">
      <c r="A540" s="39" t="n"/>
      <c r="B540" s="37" t="n"/>
      <c r="C540" s="37" t="n"/>
      <c r="D540" s="37" t="n"/>
      <c r="E540" s="58" t="n"/>
      <c r="F540" s="38">
        <f>IF(A540="","",YEAR(A540))</f>
        <v/>
      </c>
      <c r="G540" s="37" t="n"/>
    </row>
    <row r="541" ht="16" customHeight="1">
      <c r="A541" s="39" t="n"/>
      <c r="B541" s="37" t="n"/>
      <c r="C541" s="37" t="n"/>
      <c r="D541" s="37" t="n"/>
      <c r="E541" s="58" t="n"/>
      <c r="F541" s="38">
        <f>IF(A541="","",YEAR(A541))</f>
        <v/>
      </c>
      <c r="G541" s="37" t="n"/>
    </row>
    <row r="542" ht="16" customHeight="1">
      <c r="A542" s="39" t="n"/>
      <c r="B542" s="37" t="n"/>
      <c r="C542" s="37" t="n"/>
      <c r="D542" s="37" t="n"/>
      <c r="E542" s="58" t="n"/>
      <c r="F542" s="38">
        <f>IF(A542="","",YEAR(A542))</f>
        <v/>
      </c>
      <c r="G542" s="37" t="n"/>
    </row>
    <row r="543" ht="16" customHeight="1">
      <c r="A543" s="39" t="n"/>
      <c r="B543" s="37" t="n"/>
      <c r="C543" s="37" t="n"/>
      <c r="D543" s="37" t="n"/>
      <c r="E543" s="58" t="n"/>
      <c r="F543" s="38">
        <f>IF(A543="","",YEAR(A543))</f>
        <v/>
      </c>
      <c r="G543" s="37" t="n"/>
    </row>
    <row r="544" ht="16" customHeight="1">
      <c r="A544" s="39" t="n"/>
      <c r="B544" s="37" t="n"/>
      <c r="C544" s="37" t="n"/>
      <c r="D544" s="37" t="n"/>
      <c r="E544" s="58" t="n"/>
      <c r="F544" s="38">
        <f>IF(A544="","",YEAR(A544))</f>
        <v/>
      </c>
      <c r="G544" s="37" t="n"/>
    </row>
    <row r="545" ht="16" customHeight="1">
      <c r="A545" s="39" t="n"/>
      <c r="B545" s="37" t="n"/>
      <c r="C545" s="37" t="n"/>
      <c r="D545" s="37" t="n"/>
      <c r="E545" s="58" t="n"/>
      <c r="F545" s="38">
        <f>IF(A545="","",YEAR(A545))</f>
        <v/>
      </c>
      <c r="G545" s="37" t="n"/>
    </row>
    <row r="546" ht="16" customHeight="1">
      <c r="A546" s="39" t="n"/>
      <c r="B546" s="37" t="n"/>
      <c r="C546" s="37" t="n"/>
      <c r="D546" s="37" t="n"/>
      <c r="E546" s="58" t="n"/>
      <c r="F546" s="38">
        <f>IF(A546="","",YEAR(A546))</f>
        <v/>
      </c>
      <c r="G546" s="37" t="n"/>
    </row>
    <row r="547" ht="16" customHeight="1">
      <c r="A547" s="39" t="n"/>
      <c r="B547" s="37" t="n"/>
      <c r="C547" s="37" t="n"/>
      <c r="D547" s="37" t="n"/>
      <c r="E547" s="58" t="n"/>
      <c r="F547" s="38">
        <f>IF(A547="","",YEAR(A547))</f>
        <v/>
      </c>
      <c r="G547" s="37" t="n"/>
    </row>
    <row r="548" ht="16" customHeight="1">
      <c r="A548" s="39" t="n"/>
      <c r="B548" s="37" t="n"/>
      <c r="C548" s="37" t="n"/>
      <c r="D548" s="37" t="n"/>
      <c r="E548" s="58" t="n"/>
      <c r="F548" s="38">
        <f>IF(A548="","",YEAR(A548))</f>
        <v/>
      </c>
      <c r="G548" s="37" t="n"/>
    </row>
    <row r="549" ht="16" customHeight="1">
      <c r="A549" s="39" t="n"/>
      <c r="B549" s="37" t="n"/>
      <c r="C549" s="37" t="n"/>
      <c r="D549" s="37" t="n"/>
      <c r="E549" s="58" t="n"/>
      <c r="F549" s="38">
        <f>IF(A549="","",YEAR(A549))</f>
        <v/>
      </c>
      <c r="G549" s="37" t="n"/>
    </row>
    <row r="550" ht="16" customHeight="1">
      <c r="A550" s="39" t="n"/>
      <c r="B550" s="37" t="n"/>
      <c r="C550" s="37" t="n"/>
      <c r="D550" s="37" t="n"/>
      <c r="E550" s="58" t="n"/>
      <c r="F550" s="38">
        <f>IF(A550="","",YEAR(A550))</f>
        <v/>
      </c>
      <c r="G550" s="37" t="n"/>
    </row>
    <row r="551" ht="16" customHeight="1">
      <c r="A551" s="39" t="n"/>
      <c r="B551" s="37" t="n"/>
      <c r="C551" s="37" t="n"/>
      <c r="D551" s="37" t="n"/>
      <c r="E551" s="58" t="n"/>
      <c r="F551" s="38">
        <f>IF(A551="","",YEAR(A551))</f>
        <v/>
      </c>
      <c r="G551" s="37" t="n"/>
    </row>
    <row r="552" ht="16" customHeight="1">
      <c r="A552" s="39" t="n"/>
      <c r="B552" s="37" t="n"/>
      <c r="C552" s="37" t="n"/>
      <c r="D552" s="37" t="n"/>
      <c r="E552" s="58" t="n"/>
      <c r="F552" s="38">
        <f>IF(A552="","",YEAR(A552))</f>
        <v/>
      </c>
      <c r="G552" s="37" t="n"/>
    </row>
    <row r="553" ht="16" customHeight="1">
      <c r="A553" s="39" t="n"/>
      <c r="B553" s="37" t="n"/>
      <c r="C553" s="37" t="n"/>
      <c r="D553" s="37" t="n"/>
      <c r="E553" s="58" t="n"/>
      <c r="F553" s="38">
        <f>IF(A553="","",YEAR(A553))</f>
        <v/>
      </c>
      <c r="G553" s="37" t="n"/>
    </row>
    <row r="554" ht="16" customHeight="1">
      <c r="A554" s="39" t="n"/>
      <c r="B554" s="37" t="n"/>
      <c r="C554" s="37" t="n"/>
      <c r="D554" s="37" t="n"/>
      <c r="E554" s="58" t="n"/>
      <c r="F554" s="38">
        <f>IF(A554="","",YEAR(A554))</f>
        <v/>
      </c>
      <c r="G554" s="37" t="n"/>
    </row>
    <row r="555" ht="16" customHeight="1">
      <c r="A555" s="39" t="n"/>
      <c r="B555" s="37" t="n"/>
      <c r="C555" s="37" t="n"/>
      <c r="D555" s="37" t="n"/>
      <c r="E555" s="58" t="n"/>
      <c r="F555" s="38">
        <f>IF(A555="","",YEAR(A555))</f>
        <v/>
      </c>
      <c r="G555" s="37" t="n"/>
    </row>
    <row r="556" ht="16" customHeight="1">
      <c r="A556" s="39" t="n"/>
      <c r="B556" s="37" t="n"/>
      <c r="C556" s="37" t="n"/>
      <c r="D556" s="37" t="n"/>
      <c r="E556" s="58" t="n"/>
      <c r="F556" s="38">
        <f>IF(A556="","",YEAR(A556))</f>
        <v/>
      </c>
      <c r="G556" s="37" t="n"/>
    </row>
    <row r="557" ht="16" customHeight="1">
      <c r="A557" s="39" t="n"/>
      <c r="B557" s="37" t="n"/>
      <c r="C557" s="37" t="n"/>
      <c r="D557" s="37" t="n"/>
      <c r="E557" s="58" t="n"/>
      <c r="F557" s="38">
        <f>IF(A557="","",YEAR(A557))</f>
        <v/>
      </c>
      <c r="G557" s="37" t="n"/>
    </row>
    <row r="558" ht="16" customHeight="1">
      <c r="A558" s="39" t="n"/>
      <c r="B558" s="37" t="n"/>
      <c r="C558" s="37" t="n"/>
      <c r="D558" s="37" t="n"/>
      <c r="E558" s="58" t="n"/>
      <c r="F558" s="38">
        <f>IF(A558="","",YEAR(A558))</f>
        <v/>
      </c>
      <c r="G558" s="37" t="n"/>
    </row>
    <row r="559" ht="16" customHeight="1">
      <c r="A559" s="39" t="n"/>
      <c r="B559" s="37" t="n"/>
      <c r="C559" s="37" t="n"/>
      <c r="D559" s="37" t="n"/>
      <c r="E559" s="58" t="n"/>
      <c r="F559" s="38">
        <f>IF(A559="","",YEAR(A559))</f>
        <v/>
      </c>
      <c r="G559" s="37" t="n"/>
    </row>
    <row r="560" ht="16" customHeight="1">
      <c r="A560" s="39" t="n"/>
      <c r="B560" s="37" t="n"/>
      <c r="C560" s="37" t="n"/>
      <c r="D560" s="37" t="n"/>
      <c r="E560" s="58" t="n"/>
      <c r="F560" s="38">
        <f>IF(A560="","",YEAR(A560))</f>
        <v/>
      </c>
      <c r="G560" s="37" t="n"/>
    </row>
    <row r="561" ht="16" customHeight="1">
      <c r="A561" s="39" t="n"/>
      <c r="B561" s="37" t="n"/>
      <c r="C561" s="37" t="n"/>
      <c r="D561" s="37" t="n"/>
      <c r="E561" s="58" t="n"/>
      <c r="F561" s="38">
        <f>IF(A561="","",YEAR(A561))</f>
        <v/>
      </c>
      <c r="G561" s="37" t="n"/>
    </row>
    <row r="562" ht="16" customHeight="1">
      <c r="A562" s="39" t="n"/>
      <c r="B562" s="37" t="n"/>
      <c r="C562" s="37" t="n"/>
      <c r="D562" s="37" t="n"/>
      <c r="E562" s="58" t="n"/>
      <c r="F562" s="38">
        <f>IF(A562="","",YEAR(A562))</f>
        <v/>
      </c>
      <c r="G562" s="37" t="n"/>
    </row>
    <row r="563" ht="16" customHeight="1">
      <c r="A563" s="39" t="n"/>
      <c r="B563" s="37" t="n"/>
      <c r="C563" s="37" t="n"/>
      <c r="D563" s="37" t="n"/>
      <c r="E563" s="58" t="n"/>
      <c r="F563" s="38">
        <f>IF(A563="","",YEAR(A563))</f>
        <v/>
      </c>
      <c r="G563" s="37" t="n"/>
    </row>
    <row r="564" ht="16" customHeight="1">
      <c r="A564" s="39" t="n"/>
      <c r="B564" s="37" t="n"/>
      <c r="C564" s="37" t="n"/>
      <c r="D564" s="37" t="n"/>
      <c r="E564" s="58" t="n"/>
      <c r="F564" s="38">
        <f>IF(A564="","",YEAR(A564))</f>
        <v/>
      </c>
      <c r="G564" s="37" t="n"/>
    </row>
    <row r="565" ht="16" customHeight="1">
      <c r="A565" s="39" t="n"/>
      <c r="B565" s="37" t="n"/>
      <c r="C565" s="37" t="n"/>
      <c r="D565" s="37" t="n"/>
      <c r="E565" s="58" t="n"/>
      <c r="F565" s="38">
        <f>IF(A565="","",YEAR(A565))</f>
        <v/>
      </c>
      <c r="G565" s="37" t="n"/>
    </row>
    <row r="566" ht="16" customHeight="1">
      <c r="A566" s="39" t="n"/>
      <c r="B566" s="37" t="n"/>
      <c r="C566" s="37" t="n"/>
      <c r="D566" s="37" t="n"/>
      <c r="E566" s="58" t="n"/>
      <c r="F566" s="38">
        <f>IF(A566="","",YEAR(A566))</f>
        <v/>
      </c>
      <c r="G566" s="37" t="n"/>
    </row>
    <row r="567" ht="16" customHeight="1">
      <c r="A567" s="39" t="n"/>
      <c r="B567" s="37" t="n"/>
      <c r="C567" s="37" t="n"/>
      <c r="D567" s="37" t="n"/>
      <c r="E567" s="58" t="n"/>
      <c r="F567" s="38">
        <f>IF(A567="","",YEAR(A567))</f>
        <v/>
      </c>
      <c r="G567" s="37" t="n"/>
    </row>
    <row r="568" ht="16" customHeight="1">
      <c r="A568" s="39" t="n"/>
      <c r="B568" s="37" t="n"/>
      <c r="C568" s="37" t="n"/>
      <c r="D568" s="37" t="n"/>
      <c r="E568" s="58" t="n"/>
      <c r="F568" s="38">
        <f>IF(A568="","",YEAR(A568))</f>
        <v/>
      </c>
      <c r="G568" s="37" t="n"/>
    </row>
    <row r="569" ht="16" customHeight="1">
      <c r="A569" s="39" t="n"/>
      <c r="B569" s="37" t="n"/>
      <c r="C569" s="37" t="n"/>
      <c r="D569" s="37" t="n"/>
      <c r="E569" s="58" t="n"/>
      <c r="F569" s="38">
        <f>IF(A569="","",YEAR(A569))</f>
        <v/>
      </c>
      <c r="G569" s="37" t="n"/>
    </row>
    <row r="570" ht="16" customHeight="1">
      <c r="A570" s="39" t="n"/>
      <c r="B570" s="37" t="n"/>
      <c r="C570" s="37" t="n"/>
      <c r="D570" s="37" t="n"/>
      <c r="E570" s="58" t="n"/>
      <c r="F570" s="38">
        <f>IF(A570="","",YEAR(A570))</f>
        <v/>
      </c>
      <c r="G570" s="37" t="n"/>
    </row>
    <row r="571" ht="16" customHeight="1">
      <c r="A571" s="39" t="n"/>
      <c r="B571" s="37" t="n"/>
      <c r="C571" s="37" t="n"/>
      <c r="D571" s="37" t="n"/>
      <c r="E571" s="58" t="n"/>
      <c r="F571" s="38">
        <f>IF(A571="","",YEAR(A571))</f>
        <v/>
      </c>
      <c r="G571" s="37" t="n"/>
    </row>
    <row r="572" ht="16" customHeight="1">
      <c r="A572" s="39" t="n"/>
      <c r="B572" s="37" t="n"/>
      <c r="C572" s="37" t="n"/>
      <c r="D572" s="37" t="n"/>
      <c r="E572" s="58" t="n"/>
      <c r="F572" s="38">
        <f>IF(A572="","",YEAR(A572))</f>
        <v/>
      </c>
      <c r="G572" s="37" t="n"/>
    </row>
    <row r="573" ht="16" customHeight="1">
      <c r="A573" s="39" t="n"/>
      <c r="B573" s="37" t="n"/>
      <c r="C573" s="37" t="n"/>
      <c r="D573" s="37" t="n"/>
      <c r="E573" s="58" t="n"/>
      <c r="F573" s="38">
        <f>IF(A573="","",YEAR(A573))</f>
        <v/>
      </c>
      <c r="G573" s="37" t="n"/>
    </row>
    <row r="574" ht="16" customHeight="1">
      <c r="A574" s="39" t="n"/>
      <c r="B574" s="37" t="n"/>
      <c r="C574" s="37" t="n"/>
      <c r="D574" s="37" t="n"/>
      <c r="E574" s="58" t="n"/>
      <c r="F574" s="38">
        <f>IF(A574="","",YEAR(A574))</f>
        <v/>
      </c>
      <c r="G574" s="37" t="n"/>
    </row>
    <row r="575" ht="16" customHeight="1">
      <c r="A575" s="39" t="n"/>
      <c r="B575" s="37" t="n"/>
      <c r="C575" s="37" t="n"/>
      <c r="D575" s="37" t="n"/>
      <c r="E575" s="58" t="n"/>
      <c r="F575" s="38">
        <f>IF(A575="","",YEAR(A575))</f>
        <v/>
      </c>
      <c r="G575" s="37" t="n"/>
    </row>
    <row r="576" ht="16" customHeight="1">
      <c r="A576" s="39" t="n"/>
      <c r="B576" s="37" t="n"/>
      <c r="C576" s="37" t="n"/>
      <c r="D576" s="37" t="n"/>
      <c r="E576" s="58" t="n"/>
      <c r="F576" s="38">
        <f>IF(A576="","",YEAR(A576))</f>
        <v/>
      </c>
      <c r="G576" s="37" t="n"/>
    </row>
    <row r="577" ht="16" customHeight="1">
      <c r="A577" s="39" t="n"/>
      <c r="B577" s="37" t="n"/>
      <c r="C577" s="37" t="n"/>
      <c r="D577" s="37" t="n"/>
      <c r="E577" s="58" t="n"/>
      <c r="F577" s="38">
        <f>IF(A577="","",YEAR(A577))</f>
        <v/>
      </c>
      <c r="G577" s="37" t="n"/>
    </row>
    <row r="578" ht="16" customHeight="1">
      <c r="A578" s="39" t="n"/>
      <c r="B578" s="37" t="n"/>
      <c r="C578" s="37" t="n"/>
      <c r="D578" s="37" t="n"/>
      <c r="E578" s="58" t="n"/>
      <c r="F578" s="38">
        <f>IF(A578="","",YEAR(A578))</f>
        <v/>
      </c>
      <c r="G578" s="37" t="n"/>
    </row>
    <row r="579" ht="16" customHeight="1">
      <c r="A579" s="39" t="n"/>
      <c r="B579" s="37" t="n"/>
      <c r="C579" s="37" t="n"/>
      <c r="D579" s="37" t="n"/>
      <c r="E579" s="58" t="n"/>
      <c r="F579" s="38">
        <f>IF(A579="","",YEAR(A579))</f>
        <v/>
      </c>
      <c r="G579" s="37" t="n"/>
    </row>
    <row r="580" ht="16" customHeight="1">
      <c r="A580" s="39" t="n"/>
      <c r="B580" s="37" t="n"/>
      <c r="C580" s="37" t="n"/>
      <c r="D580" s="37" t="n"/>
      <c r="E580" s="58" t="n"/>
      <c r="F580" s="38">
        <f>IF(A580="","",YEAR(A580))</f>
        <v/>
      </c>
      <c r="G580" s="37" t="n"/>
    </row>
    <row r="581" ht="16" customHeight="1">
      <c r="A581" s="39" t="n"/>
      <c r="B581" s="37" t="n"/>
      <c r="C581" s="37" t="n"/>
      <c r="D581" s="37" t="n"/>
      <c r="E581" s="58" t="n"/>
      <c r="F581" s="38">
        <f>IF(A581="","",YEAR(A581))</f>
        <v/>
      </c>
      <c r="G581" s="37" t="n"/>
    </row>
    <row r="582" ht="16" customHeight="1">
      <c r="A582" s="39" t="n"/>
      <c r="B582" s="37" t="n"/>
      <c r="C582" s="37" t="n"/>
      <c r="D582" s="37" t="n"/>
      <c r="E582" s="58" t="n"/>
      <c r="F582" s="38">
        <f>IF(A582="","",YEAR(A582))</f>
        <v/>
      </c>
      <c r="G582" s="37" t="n"/>
    </row>
    <row r="583" ht="16" customHeight="1">
      <c r="A583" s="39" t="n"/>
      <c r="B583" s="37" t="n"/>
      <c r="C583" s="37" t="n"/>
      <c r="D583" s="37" t="n"/>
      <c r="E583" s="58" t="n"/>
      <c r="F583" s="38">
        <f>IF(A583="","",YEAR(A583))</f>
        <v/>
      </c>
      <c r="G583" s="37" t="n"/>
    </row>
    <row r="584" ht="16" customHeight="1">
      <c r="A584" s="39" t="n"/>
      <c r="B584" s="37" t="n"/>
      <c r="C584" s="37" t="n"/>
      <c r="D584" s="37" t="n"/>
      <c r="E584" s="58" t="n"/>
      <c r="F584" s="38">
        <f>IF(A584="","",YEAR(A584))</f>
        <v/>
      </c>
      <c r="G584" s="37" t="n"/>
    </row>
    <row r="585" ht="16" customHeight="1">
      <c r="A585" s="39" t="n"/>
      <c r="B585" s="37" t="n"/>
      <c r="C585" s="37" t="n"/>
      <c r="D585" s="37" t="n"/>
      <c r="E585" s="58" t="n"/>
      <c r="F585" s="38">
        <f>IF(A585="","",YEAR(A585))</f>
        <v/>
      </c>
      <c r="G585" s="37" t="n"/>
    </row>
    <row r="586" ht="16" customHeight="1">
      <c r="A586" s="39" t="n"/>
      <c r="B586" s="37" t="n"/>
      <c r="C586" s="37" t="n"/>
      <c r="D586" s="37" t="n"/>
      <c r="E586" s="58" t="n"/>
      <c r="F586" s="38">
        <f>IF(A586="","",YEAR(A586))</f>
        <v/>
      </c>
      <c r="G586" s="37" t="n"/>
    </row>
    <row r="587" ht="16" customHeight="1">
      <c r="A587" s="39" t="n"/>
      <c r="B587" s="37" t="n"/>
      <c r="C587" s="37" t="n"/>
      <c r="D587" s="37" t="n"/>
      <c r="E587" s="58" t="n"/>
      <c r="F587" s="38">
        <f>IF(A587="","",YEAR(A587))</f>
        <v/>
      </c>
      <c r="G587" s="37" t="n"/>
    </row>
    <row r="588" ht="16" customHeight="1">
      <c r="A588" s="39" t="n"/>
      <c r="B588" s="37" t="n"/>
      <c r="C588" s="37" t="n"/>
      <c r="D588" s="37" t="n"/>
      <c r="E588" s="58" t="n"/>
      <c r="F588" s="38">
        <f>IF(A588="","",YEAR(A588))</f>
        <v/>
      </c>
      <c r="G588" s="37" t="n"/>
    </row>
    <row r="589" ht="16" customHeight="1">
      <c r="A589" s="39" t="n"/>
      <c r="B589" s="37" t="n"/>
      <c r="C589" s="37" t="n"/>
      <c r="D589" s="37" t="n"/>
      <c r="E589" s="58" t="n"/>
      <c r="F589" s="38">
        <f>IF(A589="","",YEAR(A589))</f>
        <v/>
      </c>
      <c r="G589" s="37" t="n"/>
    </row>
    <row r="590" ht="16" customHeight="1">
      <c r="A590" s="39" t="n"/>
      <c r="B590" s="37" t="n"/>
      <c r="C590" s="37" t="n"/>
      <c r="D590" s="37" t="n"/>
      <c r="E590" s="58" t="n"/>
      <c r="F590" s="38">
        <f>IF(A590="","",YEAR(A590))</f>
        <v/>
      </c>
      <c r="G590" s="37" t="n"/>
    </row>
    <row r="591" ht="16" customHeight="1">
      <c r="A591" s="39" t="n"/>
      <c r="B591" s="37" t="n"/>
      <c r="C591" s="37" t="n"/>
      <c r="D591" s="37" t="n"/>
      <c r="E591" s="58" t="n"/>
      <c r="F591" s="38">
        <f>IF(A591="","",YEAR(A591))</f>
        <v/>
      </c>
      <c r="G591" s="37" t="n"/>
    </row>
    <row r="592" ht="16" customHeight="1">
      <c r="A592" s="39" t="n"/>
      <c r="B592" s="37" t="n"/>
      <c r="C592" s="37" t="n"/>
      <c r="D592" s="37" t="n"/>
      <c r="E592" s="58" t="n"/>
      <c r="F592" s="38">
        <f>IF(A592="","",YEAR(A592))</f>
        <v/>
      </c>
      <c r="G592" s="37" t="n"/>
    </row>
    <row r="593" ht="16" customHeight="1">
      <c r="A593" s="39" t="n"/>
      <c r="B593" s="37" t="n"/>
      <c r="C593" s="37" t="n"/>
      <c r="D593" s="37" t="n"/>
      <c r="E593" s="58" t="n"/>
      <c r="F593" s="38">
        <f>IF(A593="","",YEAR(A593))</f>
        <v/>
      </c>
      <c r="G593" s="37" t="n"/>
    </row>
    <row r="594" ht="16" customHeight="1">
      <c r="A594" s="39" t="n"/>
      <c r="B594" s="37" t="n"/>
      <c r="C594" s="37" t="n"/>
      <c r="D594" s="37" t="n"/>
      <c r="E594" s="58" t="n"/>
      <c r="F594" s="38">
        <f>IF(A594="","",YEAR(A594))</f>
        <v/>
      </c>
      <c r="G594" s="37" t="n"/>
    </row>
    <row r="595" ht="16" customHeight="1">
      <c r="A595" s="39" t="n"/>
      <c r="B595" s="37" t="n"/>
      <c r="C595" s="37" t="n"/>
      <c r="D595" s="37" t="n"/>
      <c r="E595" s="58" t="n"/>
      <c r="F595" s="38">
        <f>IF(A595="","",YEAR(A595))</f>
        <v/>
      </c>
      <c r="G595" s="37" t="n"/>
    </row>
    <row r="596" ht="16" customHeight="1">
      <c r="A596" s="39" t="n"/>
      <c r="B596" s="37" t="n"/>
      <c r="C596" s="37" t="n"/>
      <c r="D596" s="37" t="n"/>
      <c r="E596" s="58" t="n"/>
      <c r="F596" s="38">
        <f>IF(A596="","",YEAR(A596))</f>
        <v/>
      </c>
      <c r="G596" s="37" t="n"/>
    </row>
    <row r="597" ht="16" customHeight="1">
      <c r="A597" s="39" t="n"/>
      <c r="B597" s="37" t="n"/>
      <c r="C597" s="37" t="n"/>
      <c r="D597" s="37" t="n"/>
      <c r="E597" s="58" t="n"/>
      <c r="F597" s="38">
        <f>IF(A597="","",YEAR(A597))</f>
        <v/>
      </c>
      <c r="G597" s="37" t="n"/>
    </row>
    <row r="598" ht="16" customHeight="1">
      <c r="A598" s="39" t="n"/>
      <c r="B598" s="37" t="n"/>
      <c r="C598" s="37" t="n"/>
      <c r="D598" s="37" t="n"/>
      <c r="E598" s="58" t="n"/>
      <c r="F598" s="38">
        <f>IF(A598="","",YEAR(A598))</f>
        <v/>
      </c>
      <c r="G598" s="37" t="n"/>
    </row>
    <row r="599" ht="16" customHeight="1">
      <c r="A599" s="39" t="n"/>
      <c r="B599" s="37" t="n"/>
      <c r="C599" s="37" t="n"/>
      <c r="D599" s="37" t="n"/>
      <c r="E599" s="58" t="n"/>
      <c r="F599" s="38">
        <f>IF(A599="","",YEAR(A599))</f>
        <v/>
      </c>
      <c r="G599" s="37" t="n"/>
    </row>
    <row r="600" ht="16" customHeight="1">
      <c r="A600" s="39" t="n"/>
      <c r="B600" s="37" t="n"/>
      <c r="C600" s="37" t="n"/>
      <c r="D600" s="37" t="n"/>
      <c r="E600" s="58" t="n"/>
      <c r="F600" s="38">
        <f>IF(A600="","",YEAR(A600))</f>
        <v/>
      </c>
      <c r="G600" s="37" t="n"/>
    </row>
    <row r="601" ht="16" customHeight="1">
      <c r="A601" s="39" t="n"/>
      <c r="B601" s="37" t="n"/>
      <c r="C601" s="37" t="n"/>
      <c r="D601" s="37" t="n"/>
      <c r="E601" s="58" t="n"/>
      <c r="F601" s="38">
        <f>IF(A601="","",YEAR(A601))</f>
        <v/>
      </c>
      <c r="G601" s="37" t="n"/>
    </row>
    <row r="602" ht="16" customHeight="1">
      <c r="A602" s="39" t="n"/>
      <c r="B602" s="37" t="n"/>
      <c r="C602" s="37" t="n"/>
      <c r="D602" s="37" t="n"/>
      <c r="E602" s="58" t="n"/>
      <c r="F602" s="38">
        <f>IF(A602="","",YEAR(A602))</f>
        <v/>
      </c>
      <c r="G602" s="37" t="n"/>
    </row>
    <row r="603" ht="16" customHeight="1">
      <c r="A603" s="39" t="n"/>
      <c r="B603" s="37" t="n"/>
      <c r="C603" s="37" t="n"/>
      <c r="D603" s="37" t="n"/>
      <c r="E603" s="58" t="n"/>
      <c r="F603" s="38">
        <f>IF(A603="","",YEAR(A603))</f>
        <v/>
      </c>
      <c r="G603" s="37" t="n"/>
    </row>
    <row r="604" ht="16" customHeight="1">
      <c r="A604" s="39" t="n"/>
      <c r="B604" s="37" t="n"/>
      <c r="C604" s="37" t="n"/>
      <c r="D604" s="37" t="n"/>
      <c r="E604" s="58" t="n"/>
      <c r="F604" s="38">
        <f>IF(A604="","",YEAR(A604))</f>
        <v/>
      </c>
      <c r="G604" s="37" t="n"/>
    </row>
    <row r="605" ht="16" customHeight="1">
      <c r="A605" s="39" t="n"/>
      <c r="B605" s="37" t="n"/>
      <c r="C605" s="37" t="n"/>
      <c r="D605" s="37" t="n"/>
      <c r="E605" s="58" t="n"/>
      <c r="F605" s="38">
        <f>IF(A605="","",YEAR(A605))</f>
        <v/>
      </c>
      <c r="G605" s="37" t="n"/>
    </row>
    <row r="606" ht="16" customHeight="1">
      <c r="A606" s="39" t="n"/>
      <c r="B606" s="37" t="n"/>
      <c r="C606" s="37" t="n"/>
      <c r="D606" s="37" t="n"/>
      <c r="E606" s="58" t="n"/>
      <c r="F606" s="38">
        <f>IF(A606="","",YEAR(A606))</f>
        <v/>
      </c>
      <c r="G606" s="37" t="n"/>
    </row>
    <row r="607" ht="16" customHeight="1">
      <c r="A607" s="39" t="n"/>
      <c r="B607" s="37" t="n"/>
      <c r="C607" s="37" t="n"/>
      <c r="D607" s="37" t="n"/>
      <c r="E607" s="58" t="n"/>
      <c r="F607" s="38">
        <f>IF(A607="","",YEAR(A607))</f>
        <v/>
      </c>
      <c r="G607" s="37" t="n"/>
    </row>
    <row r="608" ht="16" customHeight="1">
      <c r="A608" s="39" t="n"/>
      <c r="B608" s="37" t="n"/>
      <c r="C608" s="37" t="n"/>
      <c r="D608" s="37" t="n"/>
      <c r="E608" s="58" t="n"/>
      <c r="F608" s="38">
        <f>IF(A608="","",YEAR(A608))</f>
        <v/>
      </c>
      <c r="G608" s="37" t="n"/>
    </row>
    <row r="609" ht="16" customHeight="1">
      <c r="A609" s="39" t="n"/>
      <c r="B609" s="37" t="n"/>
      <c r="C609" s="37" t="n"/>
      <c r="D609" s="37" t="n"/>
      <c r="E609" s="58" t="n"/>
      <c r="F609" s="38">
        <f>IF(A609="","",YEAR(A609))</f>
        <v/>
      </c>
      <c r="G609" s="37" t="n"/>
    </row>
    <row r="610" ht="16" customHeight="1">
      <c r="A610" s="39" t="n"/>
      <c r="B610" s="37" t="n"/>
      <c r="C610" s="37" t="n"/>
      <c r="D610" s="37" t="n"/>
      <c r="E610" s="58" t="n"/>
      <c r="F610" s="38">
        <f>IF(A610="","",YEAR(A610))</f>
        <v/>
      </c>
      <c r="G610" s="37" t="n"/>
    </row>
    <row r="611" ht="16" customHeight="1">
      <c r="A611" s="39" t="n"/>
      <c r="B611" s="37" t="n"/>
      <c r="C611" s="37" t="n"/>
      <c r="D611" s="37" t="n"/>
      <c r="E611" s="58" t="n"/>
      <c r="F611" s="38">
        <f>IF(A611="","",YEAR(A611))</f>
        <v/>
      </c>
      <c r="G611" s="37" t="n"/>
    </row>
    <row r="612" ht="16" customHeight="1">
      <c r="A612" s="39" t="n"/>
      <c r="B612" s="37" t="n"/>
      <c r="C612" s="37" t="n"/>
      <c r="D612" s="37" t="n"/>
      <c r="E612" s="58" t="n"/>
      <c r="F612" s="38">
        <f>IF(A612="","",YEAR(A612))</f>
        <v/>
      </c>
      <c r="G612" s="37" t="n"/>
    </row>
    <row r="613" ht="16" customHeight="1">
      <c r="A613" s="39" t="n"/>
      <c r="B613" s="37" t="n"/>
      <c r="C613" s="37" t="n"/>
      <c r="D613" s="37" t="n"/>
      <c r="E613" s="58" t="n"/>
      <c r="F613" s="38">
        <f>IF(A613="","",YEAR(A613))</f>
        <v/>
      </c>
      <c r="G613" s="37" t="n"/>
    </row>
    <row r="614" ht="16" customHeight="1">
      <c r="A614" s="39" t="n"/>
      <c r="B614" s="37" t="n"/>
      <c r="C614" s="37" t="n"/>
      <c r="D614" s="37" t="n"/>
      <c r="E614" s="58" t="n"/>
      <c r="F614" s="38">
        <f>IF(A614="","",YEAR(A614))</f>
        <v/>
      </c>
      <c r="G614" s="37" t="n"/>
    </row>
    <row r="615" ht="16" customHeight="1">
      <c r="A615" s="39" t="n"/>
      <c r="B615" s="37" t="n"/>
      <c r="C615" s="37" t="n"/>
      <c r="D615" s="37" t="n"/>
      <c r="E615" s="58" t="n"/>
      <c r="F615" s="38">
        <f>IF(A615="","",YEAR(A615))</f>
        <v/>
      </c>
      <c r="G615" s="37" t="n"/>
    </row>
    <row r="616" ht="16" customHeight="1">
      <c r="A616" s="39" t="n"/>
      <c r="B616" s="37" t="n"/>
      <c r="C616" s="37" t="n"/>
      <c r="D616" s="37" t="n"/>
      <c r="E616" s="58" t="n"/>
      <c r="F616" s="38">
        <f>IF(A616="","",YEAR(A616))</f>
        <v/>
      </c>
      <c r="G616" s="37" t="n"/>
    </row>
    <row r="617" ht="16" customHeight="1">
      <c r="A617" s="39" t="n"/>
      <c r="B617" s="37" t="n"/>
      <c r="C617" s="37" t="n"/>
      <c r="D617" s="37" t="n"/>
      <c r="E617" s="58" t="n"/>
      <c r="F617" s="38">
        <f>IF(A617="","",YEAR(A617))</f>
        <v/>
      </c>
      <c r="G617" s="37" t="n"/>
    </row>
    <row r="618" ht="16" customHeight="1">
      <c r="A618" s="39" t="n"/>
      <c r="B618" s="37" t="n"/>
      <c r="C618" s="37" t="n"/>
      <c r="D618" s="37" t="n"/>
      <c r="E618" s="58" t="n"/>
      <c r="F618" s="38">
        <f>IF(A618="","",YEAR(A618))</f>
        <v/>
      </c>
      <c r="G618" s="37" t="n"/>
    </row>
    <row r="619" ht="16" customHeight="1">
      <c r="A619" s="39" t="n"/>
      <c r="B619" s="37" t="n"/>
      <c r="C619" s="37" t="n"/>
      <c r="D619" s="37" t="n"/>
      <c r="E619" s="58" t="n"/>
      <c r="F619" s="38">
        <f>IF(A619="","",YEAR(A619))</f>
        <v/>
      </c>
      <c r="G619" s="37" t="n"/>
    </row>
    <row r="620" ht="16" customHeight="1">
      <c r="A620" s="39" t="n"/>
      <c r="B620" s="37" t="n"/>
      <c r="C620" s="37" t="n"/>
      <c r="D620" s="37" t="n"/>
      <c r="E620" s="58" t="n"/>
      <c r="F620" s="38">
        <f>IF(A620="","",YEAR(A620))</f>
        <v/>
      </c>
      <c r="G620" s="37" t="n"/>
    </row>
    <row r="621" ht="16" customHeight="1">
      <c r="A621" s="39" t="n"/>
      <c r="B621" s="37" t="n"/>
      <c r="C621" s="37" t="n"/>
      <c r="D621" s="37" t="n"/>
      <c r="E621" s="58" t="n"/>
      <c r="F621" s="38">
        <f>IF(A621="","",YEAR(A621))</f>
        <v/>
      </c>
      <c r="G621" s="37" t="n"/>
    </row>
    <row r="622" ht="16" customHeight="1">
      <c r="A622" s="39" t="n"/>
      <c r="B622" s="37" t="n"/>
      <c r="C622" s="37" t="n"/>
      <c r="D622" s="37" t="n"/>
      <c r="E622" s="58" t="n"/>
      <c r="F622" s="38">
        <f>IF(A622="","",YEAR(A622))</f>
        <v/>
      </c>
      <c r="G622" s="37" t="n"/>
    </row>
    <row r="623" ht="16" customHeight="1">
      <c r="A623" s="39" t="n"/>
      <c r="B623" s="37" t="n"/>
      <c r="C623" s="37" t="n"/>
      <c r="D623" s="37" t="n"/>
      <c r="E623" s="58" t="n"/>
      <c r="F623" s="38">
        <f>IF(A623="","",YEAR(A623))</f>
        <v/>
      </c>
      <c r="G623" s="37" t="n"/>
    </row>
    <row r="624" ht="16" customHeight="1">
      <c r="A624" s="39" t="n"/>
      <c r="B624" s="37" t="n"/>
      <c r="C624" s="37" t="n"/>
      <c r="D624" s="37" t="n"/>
      <c r="E624" s="58" t="n"/>
      <c r="F624" s="38">
        <f>IF(A624="","",YEAR(A624))</f>
        <v/>
      </c>
      <c r="G624" s="37" t="n"/>
    </row>
    <row r="625" ht="16" customHeight="1">
      <c r="A625" s="39" t="n"/>
      <c r="B625" s="37" t="n"/>
      <c r="C625" s="37" t="n"/>
      <c r="D625" s="37" t="n"/>
      <c r="E625" s="58" t="n"/>
      <c r="F625" s="38">
        <f>IF(A625="","",YEAR(A625))</f>
        <v/>
      </c>
      <c r="G625" s="37" t="n"/>
    </row>
    <row r="626" ht="16" customHeight="1">
      <c r="A626" s="39" t="n"/>
      <c r="B626" s="37" t="n"/>
      <c r="C626" s="37" t="n"/>
      <c r="D626" s="37" t="n"/>
      <c r="E626" s="58" t="n"/>
      <c r="F626" s="38">
        <f>IF(A626="","",YEAR(A626))</f>
        <v/>
      </c>
      <c r="G626" s="37" t="n"/>
    </row>
    <row r="627" ht="16" customHeight="1">
      <c r="A627" s="39" t="n"/>
      <c r="B627" s="37" t="n"/>
      <c r="C627" s="37" t="n"/>
      <c r="D627" s="37" t="n"/>
      <c r="E627" s="58" t="n"/>
      <c r="F627" s="38">
        <f>IF(A627="","",YEAR(A627))</f>
        <v/>
      </c>
      <c r="G627" s="37" t="n"/>
    </row>
    <row r="628" ht="16" customHeight="1">
      <c r="A628" s="39" t="n"/>
      <c r="B628" s="37" t="n"/>
      <c r="C628" s="37" t="n"/>
      <c r="D628" s="37" t="n"/>
      <c r="E628" s="58" t="n"/>
      <c r="F628" s="38">
        <f>IF(A628="","",YEAR(A628))</f>
        <v/>
      </c>
      <c r="G628" s="37" t="n"/>
    </row>
    <row r="629" ht="16" customHeight="1">
      <c r="A629" s="39" t="n"/>
      <c r="B629" s="37" t="n"/>
      <c r="C629" s="37" t="n"/>
      <c r="D629" s="37" t="n"/>
      <c r="E629" s="58" t="n"/>
      <c r="F629" s="38">
        <f>IF(A629="","",YEAR(A629))</f>
        <v/>
      </c>
      <c r="G629" s="37" t="n"/>
    </row>
    <row r="630" ht="16" customHeight="1">
      <c r="A630" s="39" t="n"/>
      <c r="B630" s="37" t="n"/>
      <c r="C630" s="37" t="n"/>
      <c r="D630" s="37" t="n"/>
      <c r="E630" s="58" t="n"/>
      <c r="F630" s="38">
        <f>IF(A630="","",YEAR(A630))</f>
        <v/>
      </c>
      <c r="G630" s="37" t="n"/>
    </row>
    <row r="631" ht="16" customHeight="1">
      <c r="A631" s="39" t="n"/>
      <c r="B631" s="37" t="n"/>
      <c r="C631" s="37" t="n"/>
      <c r="D631" s="37" t="n"/>
      <c r="E631" s="58" t="n"/>
      <c r="F631" s="38">
        <f>IF(A631="","",YEAR(A631))</f>
        <v/>
      </c>
      <c r="G631" s="37" t="n"/>
    </row>
    <row r="632" ht="16" customHeight="1">
      <c r="A632" s="39" t="n"/>
      <c r="B632" s="37" t="n"/>
      <c r="C632" s="37" t="n"/>
      <c r="D632" s="37" t="n"/>
      <c r="E632" s="58" t="n"/>
      <c r="F632" s="38">
        <f>IF(A632="","",YEAR(A632))</f>
        <v/>
      </c>
      <c r="G632" s="37" t="n"/>
    </row>
    <row r="633" ht="16" customHeight="1">
      <c r="A633" s="39" t="n"/>
      <c r="B633" s="37" t="n"/>
      <c r="C633" s="37" t="n"/>
      <c r="D633" s="37" t="n"/>
      <c r="E633" s="58" t="n"/>
      <c r="F633" s="38">
        <f>IF(A633="","",YEAR(A633))</f>
        <v/>
      </c>
      <c r="G633" s="37" t="n"/>
    </row>
    <row r="634" ht="16" customHeight="1">
      <c r="A634" s="39" t="n"/>
      <c r="B634" s="37" t="n"/>
      <c r="C634" s="37" t="n"/>
      <c r="D634" s="37" t="n"/>
      <c r="E634" s="58" t="n"/>
      <c r="F634" s="38">
        <f>IF(A634="","",YEAR(A634))</f>
        <v/>
      </c>
      <c r="G634" s="37" t="n"/>
    </row>
    <row r="635" ht="16" customHeight="1">
      <c r="A635" s="39" t="n"/>
      <c r="B635" s="37" t="n"/>
      <c r="C635" s="37" t="n"/>
      <c r="D635" s="37" t="n"/>
      <c r="E635" s="58" t="n"/>
      <c r="F635" s="38">
        <f>IF(A635="","",YEAR(A635))</f>
        <v/>
      </c>
      <c r="G635" s="37" t="n"/>
    </row>
    <row r="636" ht="16" customHeight="1">
      <c r="A636" s="39" t="n"/>
      <c r="B636" s="37" t="n"/>
      <c r="C636" s="37" t="n"/>
      <c r="D636" s="37" t="n"/>
      <c r="E636" s="58" t="n"/>
      <c r="F636" s="38">
        <f>IF(A636="","",YEAR(A636))</f>
        <v/>
      </c>
      <c r="G636" s="37" t="n"/>
    </row>
    <row r="637" ht="16" customHeight="1">
      <c r="A637" s="39" t="n"/>
      <c r="B637" s="37" t="n"/>
      <c r="C637" s="37" t="n"/>
      <c r="D637" s="37" t="n"/>
      <c r="E637" s="58" t="n"/>
      <c r="F637" s="38">
        <f>IF(A637="","",YEAR(A637))</f>
        <v/>
      </c>
      <c r="G637" s="37" t="n"/>
    </row>
    <row r="638" ht="16" customHeight="1">
      <c r="A638" s="39" t="n"/>
      <c r="B638" s="37" t="n"/>
      <c r="C638" s="37" t="n"/>
      <c r="D638" s="37" t="n"/>
      <c r="E638" s="58" t="n"/>
      <c r="F638" s="38">
        <f>IF(A638="","",YEAR(A638))</f>
        <v/>
      </c>
      <c r="G638" s="37" t="n"/>
    </row>
    <row r="639" ht="16" customHeight="1">
      <c r="A639" s="39" t="n"/>
      <c r="B639" s="37" t="n"/>
      <c r="C639" s="37" t="n"/>
      <c r="D639" s="37" t="n"/>
      <c r="E639" s="58" t="n"/>
      <c r="F639" s="38">
        <f>IF(A639="","",YEAR(A639))</f>
        <v/>
      </c>
      <c r="G639" s="37" t="n"/>
    </row>
    <row r="640" ht="16" customHeight="1">
      <c r="A640" s="39" t="n"/>
      <c r="B640" s="37" t="n"/>
      <c r="C640" s="37" t="n"/>
      <c r="D640" s="37" t="n"/>
      <c r="E640" s="58" t="n"/>
      <c r="F640" s="38">
        <f>IF(A640="","",YEAR(A640))</f>
        <v/>
      </c>
      <c r="G640" s="37" t="n"/>
    </row>
    <row r="641" ht="16" customHeight="1">
      <c r="A641" s="39" t="n"/>
      <c r="B641" s="37" t="n"/>
      <c r="C641" s="37" t="n"/>
      <c r="D641" s="37" t="n"/>
      <c r="E641" s="58" t="n"/>
      <c r="F641" s="38">
        <f>IF(A641="","",YEAR(A641))</f>
        <v/>
      </c>
      <c r="G641" s="37" t="n"/>
    </row>
    <row r="642" ht="16" customHeight="1">
      <c r="A642" s="39" t="n"/>
      <c r="B642" s="37" t="n"/>
      <c r="C642" s="37" t="n"/>
      <c r="D642" s="37" t="n"/>
      <c r="E642" s="58" t="n"/>
      <c r="F642" s="38">
        <f>IF(A642="","",YEAR(A642))</f>
        <v/>
      </c>
      <c r="G642" s="37" t="n"/>
    </row>
    <row r="643" ht="16" customHeight="1">
      <c r="A643" s="39" t="n"/>
      <c r="B643" s="37" t="n"/>
      <c r="C643" s="37" t="n"/>
      <c r="D643" s="37" t="n"/>
      <c r="E643" s="58" t="n"/>
      <c r="F643" s="38">
        <f>IF(A643="","",YEAR(A643))</f>
        <v/>
      </c>
      <c r="G643" s="37" t="n"/>
    </row>
    <row r="644" ht="16" customHeight="1">
      <c r="A644" s="39" t="n"/>
      <c r="B644" s="37" t="n"/>
      <c r="C644" s="37" t="n"/>
      <c r="D644" s="37" t="n"/>
      <c r="E644" s="58" t="n"/>
      <c r="F644" s="38">
        <f>IF(A644="","",YEAR(A644))</f>
        <v/>
      </c>
      <c r="G644" s="37" t="n"/>
    </row>
    <row r="645" ht="16" customHeight="1">
      <c r="A645" s="39" t="n"/>
      <c r="B645" s="37" t="n"/>
      <c r="C645" s="37" t="n"/>
      <c r="D645" s="37" t="n"/>
      <c r="E645" s="58" t="n"/>
      <c r="F645" s="38">
        <f>IF(A645="","",YEAR(A645))</f>
        <v/>
      </c>
      <c r="G645" s="37" t="n"/>
    </row>
    <row r="646" ht="16" customHeight="1">
      <c r="A646" s="39" t="n"/>
      <c r="B646" s="37" t="n"/>
      <c r="C646" s="37" t="n"/>
      <c r="D646" s="37" t="n"/>
      <c r="E646" s="58" t="n"/>
      <c r="F646" s="38">
        <f>IF(A646="","",YEAR(A646))</f>
        <v/>
      </c>
      <c r="G646" s="37" t="n"/>
    </row>
    <row r="647" ht="16" customHeight="1">
      <c r="A647" s="39" t="n"/>
      <c r="B647" s="37" t="n"/>
      <c r="C647" s="37" t="n"/>
      <c r="D647" s="37" t="n"/>
      <c r="E647" s="58" t="n"/>
      <c r="F647" s="38">
        <f>IF(A647="","",YEAR(A647))</f>
        <v/>
      </c>
      <c r="G647" s="37" t="n"/>
    </row>
    <row r="648" ht="16" customHeight="1">
      <c r="A648" s="39" t="n"/>
      <c r="B648" s="37" t="n"/>
      <c r="C648" s="37" t="n"/>
      <c r="D648" s="37" t="n"/>
      <c r="E648" s="58" t="n"/>
      <c r="F648" s="38">
        <f>IF(A648="","",YEAR(A648))</f>
        <v/>
      </c>
      <c r="G648" s="37" t="n"/>
    </row>
    <row r="649" ht="16" customHeight="1">
      <c r="A649" s="39" t="n"/>
      <c r="B649" s="37" t="n"/>
      <c r="C649" s="37" t="n"/>
      <c r="D649" s="37" t="n"/>
      <c r="E649" s="58" t="n"/>
      <c r="F649" s="38">
        <f>IF(A649="","",YEAR(A649))</f>
        <v/>
      </c>
      <c r="G649" s="37" t="n"/>
    </row>
    <row r="650" ht="16" customHeight="1">
      <c r="A650" s="39" t="n"/>
      <c r="B650" s="37" t="n"/>
      <c r="C650" s="37" t="n"/>
      <c r="D650" s="37" t="n"/>
      <c r="E650" s="58" t="n"/>
      <c r="F650" s="38">
        <f>IF(A650="","",YEAR(A650))</f>
        <v/>
      </c>
      <c r="G650" s="37" t="n"/>
    </row>
    <row r="651" ht="16" customHeight="1">
      <c r="A651" s="39" t="n"/>
      <c r="B651" s="37" t="n"/>
      <c r="C651" s="37" t="n"/>
      <c r="D651" s="37" t="n"/>
      <c r="E651" s="58" t="n"/>
      <c r="F651" s="38">
        <f>IF(A651="","",YEAR(A651))</f>
        <v/>
      </c>
      <c r="G651" s="37" t="n"/>
    </row>
    <row r="652" ht="16" customHeight="1">
      <c r="A652" s="39" t="n"/>
      <c r="B652" s="37" t="n"/>
      <c r="C652" s="37" t="n"/>
      <c r="D652" s="37" t="n"/>
      <c r="E652" s="58" t="n"/>
      <c r="F652" s="38">
        <f>IF(A652="","",YEAR(A652))</f>
        <v/>
      </c>
      <c r="G652" s="37" t="n"/>
    </row>
    <row r="653" ht="16" customHeight="1">
      <c r="A653" s="39" t="n"/>
      <c r="B653" s="37" t="n"/>
      <c r="C653" s="37" t="n"/>
      <c r="D653" s="37" t="n"/>
      <c r="E653" s="58" t="n"/>
      <c r="F653" s="38">
        <f>IF(A653="","",YEAR(A653))</f>
        <v/>
      </c>
      <c r="G653" s="37" t="n"/>
    </row>
    <row r="654" ht="16" customHeight="1">
      <c r="A654" s="39" t="n"/>
      <c r="B654" s="37" t="n"/>
      <c r="C654" s="37" t="n"/>
      <c r="D654" s="37" t="n"/>
      <c r="E654" s="58" t="n"/>
      <c r="F654" s="38">
        <f>IF(A654="","",YEAR(A654))</f>
        <v/>
      </c>
      <c r="G654" s="37" t="n"/>
    </row>
    <row r="655" ht="16" customHeight="1">
      <c r="A655" s="39" t="n"/>
      <c r="B655" s="37" t="n"/>
      <c r="C655" s="37" t="n"/>
      <c r="D655" s="37" t="n"/>
      <c r="E655" s="58" t="n"/>
      <c r="F655" s="38">
        <f>IF(A655="","",YEAR(A655))</f>
        <v/>
      </c>
      <c r="G655" s="37" t="n"/>
    </row>
    <row r="656" ht="16" customHeight="1">
      <c r="A656" s="39" t="n"/>
      <c r="B656" s="37" t="n"/>
      <c r="C656" s="37" t="n"/>
      <c r="D656" s="37" t="n"/>
      <c r="E656" s="58" t="n"/>
      <c r="F656" s="38">
        <f>IF(A656="","",YEAR(A656))</f>
        <v/>
      </c>
      <c r="G656" s="37" t="n"/>
    </row>
    <row r="657" ht="16" customHeight="1">
      <c r="A657" s="39" t="n"/>
      <c r="B657" s="37" t="n"/>
      <c r="C657" s="37" t="n"/>
      <c r="D657" s="37" t="n"/>
      <c r="E657" s="58" t="n"/>
      <c r="F657" s="38">
        <f>IF(A657="","",YEAR(A657))</f>
        <v/>
      </c>
      <c r="G657" s="37" t="n"/>
    </row>
    <row r="658" ht="16" customHeight="1">
      <c r="A658" s="39" t="n"/>
      <c r="B658" s="37" t="n"/>
      <c r="C658" s="37" t="n"/>
      <c r="D658" s="37" t="n"/>
      <c r="E658" s="58" t="n"/>
      <c r="F658" s="38">
        <f>IF(A658="","",YEAR(A658))</f>
        <v/>
      </c>
      <c r="G658" s="37" t="n"/>
    </row>
    <row r="659" ht="16" customHeight="1">
      <c r="A659" s="39" t="n"/>
      <c r="B659" s="37" t="n"/>
      <c r="C659" s="37" t="n"/>
      <c r="D659" s="37" t="n"/>
      <c r="E659" s="58" t="n"/>
      <c r="F659" s="38">
        <f>IF(A659="","",YEAR(A659))</f>
        <v/>
      </c>
      <c r="G659" s="37" t="n"/>
    </row>
    <row r="660" ht="16" customHeight="1">
      <c r="A660" s="39" t="n"/>
      <c r="B660" s="37" t="n"/>
      <c r="C660" s="37" t="n"/>
      <c r="D660" s="37" t="n"/>
      <c r="E660" s="58" t="n"/>
      <c r="F660" s="38">
        <f>IF(A660="","",YEAR(A660))</f>
        <v/>
      </c>
      <c r="G660" s="37" t="n"/>
    </row>
    <row r="661" ht="16" customHeight="1">
      <c r="A661" s="39" t="n"/>
      <c r="B661" s="37" t="n"/>
      <c r="C661" s="37" t="n"/>
      <c r="D661" s="37" t="n"/>
      <c r="E661" s="58" t="n"/>
      <c r="F661" s="38">
        <f>IF(A661="","",YEAR(A661))</f>
        <v/>
      </c>
      <c r="G661" s="37" t="n"/>
    </row>
    <row r="662" ht="16" customHeight="1">
      <c r="A662" s="39" t="n"/>
      <c r="B662" s="37" t="n"/>
      <c r="C662" s="37" t="n"/>
      <c r="D662" s="37" t="n"/>
      <c r="E662" s="58" t="n"/>
      <c r="F662" s="38">
        <f>IF(A662="","",YEAR(A662))</f>
        <v/>
      </c>
      <c r="G662" s="37" t="n"/>
    </row>
    <row r="663" ht="16" customHeight="1">
      <c r="A663" s="39" t="n"/>
      <c r="B663" s="37" t="n"/>
      <c r="C663" s="37" t="n"/>
      <c r="D663" s="37" t="n"/>
      <c r="E663" s="58" t="n"/>
      <c r="F663" s="38">
        <f>IF(A663="","",YEAR(A663))</f>
        <v/>
      </c>
      <c r="G663" s="37" t="n"/>
    </row>
    <row r="664" ht="16" customHeight="1">
      <c r="A664" s="39" t="n"/>
      <c r="B664" s="37" t="n"/>
      <c r="C664" s="37" t="n"/>
      <c r="D664" s="37" t="n"/>
      <c r="E664" s="58" t="n"/>
      <c r="F664" s="38">
        <f>IF(A664="","",YEAR(A664))</f>
        <v/>
      </c>
      <c r="G664" s="37" t="n"/>
    </row>
    <row r="665" ht="16" customHeight="1">
      <c r="A665" s="39" t="n"/>
      <c r="B665" s="37" t="n"/>
      <c r="C665" s="37" t="n"/>
      <c r="D665" s="37" t="n"/>
      <c r="E665" s="58" t="n"/>
      <c r="F665" s="38">
        <f>IF(A665="","",YEAR(A665))</f>
        <v/>
      </c>
      <c r="G665" s="37" t="n"/>
    </row>
    <row r="666" ht="16" customHeight="1">
      <c r="A666" s="39" t="n"/>
      <c r="B666" s="37" t="n"/>
      <c r="C666" s="37" t="n"/>
      <c r="D666" s="37" t="n"/>
      <c r="E666" s="58" t="n"/>
      <c r="F666" s="38">
        <f>IF(A666="","",YEAR(A666))</f>
        <v/>
      </c>
      <c r="G666" s="37" t="n"/>
    </row>
    <row r="667" ht="16" customHeight="1">
      <c r="A667" s="39" t="n"/>
      <c r="B667" s="37" t="n"/>
      <c r="C667" s="37" t="n"/>
      <c r="D667" s="37" t="n"/>
      <c r="E667" s="58" t="n"/>
      <c r="F667" s="38">
        <f>IF(A667="","",YEAR(A667))</f>
        <v/>
      </c>
      <c r="G667" s="37" t="n"/>
    </row>
    <row r="668" ht="16" customHeight="1">
      <c r="A668" s="39" t="n"/>
      <c r="B668" s="37" t="n"/>
      <c r="C668" s="37" t="n"/>
      <c r="D668" s="37" t="n"/>
      <c r="E668" s="58" t="n"/>
      <c r="F668" s="38">
        <f>IF(A668="","",YEAR(A668))</f>
        <v/>
      </c>
      <c r="G668" s="37" t="n"/>
    </row>
    <row r="669" ht="16" customHeight="1">
      <c r="A669" s="39" t="n"/>
      <c r="B669" s="37" t="n"/>
      <c r="C669" s="37" t="n"/>
      <c r="D669" s="37" t="n"/>
      <c r="E669" s="58" t="n"/>
      <c r="F669" s="38">
        <f>IF(A669="","",YEAR(A669))</f>
        <v/>
      </c>
      <c r="G669" s="37" t="n"/>
    </row>
    <row r="670" ht="16" customHeight="1">
      <c r="A670" s="39" t="n"/>
      <c r="B670" s="37" t="n"/>
      <c r="C670" s="37" t="n"/>
      <c r="D670" s="37" t="n"/>
      <c r="E670" s="58" t="n"/>
      <c r="F670" s="38">
        <f>IF(A670="","",YEAR(A670))</f>
        <v/>
      </c>
      <c r="G670" s="37" t="n"/>
    </row>
    <row r="671" ht="16" customHeight="1">
      <c r="A671" s="39" t="n"/>
      <c r="B671" s="37" t="n"/>
      <c r="C671" s="37" t="n"/>
      <c r="D671" s="37" t="n"/>
      <c r="E671" s="58" t="n"/>
      <c r="F671" s="38">
        <f>IF(A671="","",YEAR(A671))</f>
        <v/>
      </c>
      <c r="G671" s="37" t="n"/>
    </row>
    <row r="672" ht="16" customHeight="1">
      <c r="A672" s="39" t="n"/>
      <c r="B672" s="37" t="n"/>
      <c r="C672" s="37" t="n"/>
      <c r="D672" s="37" t="n"/>
      <c r="E672" s="58" t="n"/>
      <c r="F672" s="38">
        <f>IF(A672="","",YEAR(A672))</f>
        <v/>
      </c>
      <c r="G672" s="37" t="n"/>
    </row>
    <row r="673" ht="16" customHeight="1">
      <c r="A673" s="39" t="n"/>
      <c r="B673" s="37" t="n"/>
      <c r="C673" s="37" t="n"/>
      <c r="D673" s="37" t="n"/>
      <c r="E673" s="58" t="n"/>
      <c r="F673" s="38">
        <f>IF(A673="","",YEAR(A673))</f>
        <v/>
      </c>
      <c r="G673" s="37" t="n"/>
    </row>
    <row r="674" ht="16" customHeight="1">
      <c r="A674" s="39" t="n"/>
      <c r="B674" s="37" t="n"/>
      <c r="C674" s="37" t="n"/>
      <c r="D674" s="37" t="n"/>
      <c r="E674" s="58" t="n"/>
      <c r="F674" s="38">
        <f>IF(A674="","",YEAR(A674))</f>
        <v/>
      </c>
      <c r="G674" s="37" t="n"/>
    </row>
    <row r="675" ht="16" customHeight="1">
      <c r="A675" s="39" t="n"/>
      <c r="B675" s="37" t="n"/>
      <c r="C675" s="37" t="n"/>
      <c r="D675" s="37" t="n"/>
      <c r="E675" s="58" t="n"/>
      <c r="F675" s="38">
        <f>IF(A675="","",YEAR(A675))</f>
        <v/>
      </c>
      <c r="G675" s="37" t="n"/>
    </row>
    <row r="676" ht="16" customHeight="1">
      <c r="A676" s="39" t="n"/>
      <c r="B676" s="37" t="n"/>
      <c r="C676" s="37" t="n"/>
      <c r="D676" s="37" t="n"/>
      <c r="E676" s="58" t="n"/>
      <c r="F676" s="38">
        <f>IF(A676="","",YEAR(A676))</f>
        <v/>
      </c>
      <c r="G676" s="37" t="n"/>
    </row>
    <row r="677" ht="16" customHeight="1">
      <c r="A677" s="39" t="n"/>
      <c r="B677" s="37" t="n"/>
      <c r="C677" s="37" t="n"/>
      <c r="D677" s="37" t="n"/>
      <c r="E677" s="58" t="n"/>
      <c r="F677" s="38">
        <f>IF(A677="","",YEAR(A677))</f>
        <v/>
      </c>
      <c r="G677" s="37" t="n"/>
    </row>
    <row r="678" ht="16" customHeight="1">
      <c r="A678" s="39" t="n"/>
      <c r="B678" s="37" t="n"/>
      <c r="C678" s="37" t="n"/>
      <c r="D678" s="37" t="n"/>
      <c r="E678" s="58" t="n"/>
      <c r="F678" s="38">
        <f>IF(A678="","",YEAR(A678))</f>
        <v/>
      </c>
      <c r="G678" s="37" t="n"/>
    </row>
    <row r="679" ht="16" customHeight="1">
      <c r="A679" s="39" t="n"/>
      <c r="B679" s="37" t="n"/>
      <c r="C679" s="37" t="n"/>
      <c r="D679" s="37" t="n"/>
      <c r="E679" s="58" t="n"/>
      <c r="F679" s="38">
        <f>IF(A679="","",YEAR(A679))</f>
        <v/>
      </c>
      <c r="G679" s="37" t="n"/>
    </row>
    <row r="680" ht="16" customHeight="1">
      <c r="A680" s="39" t="n"/>
      <c r="B680" s="37" t="n"/>
      <c r="C680" s="37" t="n"/>
      <c r="D680" s="37" t="n"/>
      <c r="E680" s="58" t="n"/>
      <c r="F680" s="38">
        <f>IF(A680="","",YEAR(A680))</f>
        <v/>
      </c>
      <c r="G680" s="37" t="n"/>
    </row>
    <row r="681" ht="16" customHeight="1">
      <c r="A681" s="39" t="n"/>
      <c r="B681" s="37" t="n"/>
      <c r="C681" s="37" t="n"/>
      <c r="D681" s="37" t="n"/>
      <c r="E681" s="58" t="n"/>
      <c r="F681" s="38">
        <f>IF(A681="","",YEAR(A681))</f>
        <v/>
      </c>
      <c r="G681" s="37" t="n"/>
    </row>
    <row r="682" ht="16" customHeight="1">
      <c r="A682" s="39" t="n"/>
      <c r="B682" s="37" t="n"/>
      <c r="C682" s="37" t="n"/>
      <c r="D682" s="37" t="n"/>
      <c r="E682" s="58" t="n"/>
      <c r="F682" s="38">
        <f>IF(A682="","",YEAR(A682))</f>
        <v/>
      </c>
      <c r="G682" s="37" t="n"/>
    </row>
    <row r="683" ht="16" customHeight="1">
      <c r="A683" s="39" t="n"/>
      <c r="B683" s="37" t="n"/>
      <c r="C683" s="37" t="n"/>
      <c r="D683" s="37" t="n"/>
      <c r="E683" s="58" t="n"/>
      <c r="F683" s="38">
        <f>IF(A683="","",YEAR(A683))</f>
        <v/>
      </c>
      <c r="G683" s="37" t="n"/>
    </row>
    <row r="684" ht="16" customHeight="1">
      <c r="A684" s="39" t="n"/>
      <c r="B684" s="37" t="n"/>
      <c r="C684" s="37" t="n"/>
      <c r="D684" s="37" t="n"/>
      <c r="E684" s="58" t="n"/>
      <c r="F684" s="38">
        <f>IF(A684="","",YEAR(A684))</f>
        <v/>
      </c>
      <c r="G684" s="37" t="n"/>
    </row>
    <row r="685" ht="16" customHeight="1">
      <c r="A685" s="39" t="n"/>
      <c r="B685" s="37" t="n"/>
      <c r="C685" s="37" t="n"/>
      <c r="D685" s="37" t="n"/>
      <c r="E685" s="58" t="n"/>
      <c r="F685" s="38">
        <f>IF(A685="","",YEAR(A685))</f>
        <v/>
      </c>
      <c r="G685" s="37" t="n"/>
    </row>
    <row r="686" ht="16" customHeight="1">
      <c r="A686" s="39" t="n"/>
      <c r="B686" s="37" t="n"/>
      <c r="C686" s="37" t="n"/>
      <c r="D686" s="37" t="n"/>
      <c r="E686" s="58" t="n"/>
      <c r="F686" s="38">
        <f>IF(A686="","",YEAR(A686))</f>
        <v/>
      </c>
      <c r="G686" s="37" t="n"/>
    </row>
    <row r="687" ht="16" customHeight="1">
      <c r="A687" s="39" t="n"/>
      <c r="B687" s="37" t="n"/>
      <c r="C687" s="37" t="n"/>
      <c r="D687" s="37" t="n"/>
      <c r="E687" s="58" t="n"/>
      <c r="F687" s="38">
        <f>IF(A687="","",YEAR(A687))</f>
        <v/>
      </c>
      <c r="G687" s="37" t="n"/>
    </row>
    <row r="688" ht="16" customHeight="1">
      <c r="A688" s="39" t="n"/>
      <c r="B688" s="37" t="n"/>
      <c r="C688" s="37" t="n"/>
      <c r="D688" s="37" t="n"/>
      <c r="E688" s="58" t="n"/>
      <c r="F688" s="38">
        <f>IF(A688="","",YEAR(A688))</f>
        <v/>
      </c>
      <c r="G688" s="37" t="n"/>
    </row>
    <row r="689" ht="16" customHeight="1">
      <c r="A689" s="39" t="n"/>
      <c r="B689" s="37" t="n"/>
      <c r="C689" s="37" t="n"/>
      <c r="D689" s="37" t="n"/>
      <c r="E689" s="58" t="n"/>
      <c r="F689" s="38">
        <f>IF(A689="","",YEAR(A689))</f>
        <v/>
      </c>
      <c r="G689" s="37" t="n"/>
    </row>
    <row r="690" ht="16" customHeight="1">
      <c r="A690" s="39" t="n"/>
      <c r="B690" s="37" t="n"/>
      <c r="C690" s="37" t="n"/>
      <c r="D690" s="37" t="n"/>
      <c r="E690" s="58" t="n"/>
      <c r="F690" s="38">
        <f>IF(A690="","",YEAR(A690))</f>
        <v/>
      </c>
      <c r="G690" s="37" t="n"/>
    </row>
    <row r="691" ht="16" customHeight="1">
      <c r="A691" s="39" t="n"/>
      <c r="B691" s="37" t="n"/>
      <c r="C691" s="37" t="n"/>
      <c r="D691" s="37" t="n"/>
      <c r="E691" s="58" t="n"/>
      <c r="F691" s="38">
        <f>IF(A691="","",YEAR(A691))</f>
        <v/>
      </c>
      <c r="G691" s="37" t="n"/>
    </row>
    <row r="692" ht="16" customHeight="1">
      <c r="A692" s="39" t="n"/>
      <c r="B692" s="37" t="n"/>
      <c r="C692" s="37" t="n"/>
      <c r="D692" s="37" t="n"/>
      <c r="E692" s="58" t="n"/>
      <c r="F692" s="38">
        <f>IF(A692="","",YEAR(A692))</f>
        <v/>
      </c>
      <c r="G692" s="37" t="n"/>
    </row>
    <row r="693" ht="16" customHeight="1">
      <c r="A693" s="39" t="n"/>
      <c r="B693" s="37" t="n"/>
      <c r="C693" s="37" t="n"/>
      <c r="D693" s="37" t="n"/>
      <c r="E693" s="58" t="n"/>
      <c r="F693" s="38">
        <f>IF(A693="","",YEAR(A693))</f>
        <v/>
      </c>
      <c r="G693" s="37" t="n"/>
    </row>
    <row r="694" ht="16" customHeight="1">
      <c r="A694" s="39" t="n"/>
      <c r="B694" s="37" t="n"/>
      <c r="C694" s="37" t="n"/>
      <c r="D694" s="37" t="n"/>
      <c r="E694" s="58" t="n"/>
      <c r="F694" s="38">
        <f>IF(A694="","",YEAR(A694))</f>
        <v/>
      </c>
      <c r="G694" s="37" t="n"/>
    </row>
    <row r="695" ht="16" customHeight="1">
      <c r="A695" s="39" t="n"/>
      <c r="B695" s="37" t="n"/>
      <c r="C695" s="37" t="n"/>
      <c r="D695" s="37" t="n"/>
      <c r="E695" s="58" t="n"/>
      <c r="F695" s="38">
        <f>IF(A695="","",YEAR(A695))</f>
        <v/>
      </c>
      <c r="G695" s="37" t="n"/>
    </row>
    <row r="696" ht="16" customHeight="1">
      <c r="A696" s="39" t="n"/>
      <c r="B696" s="37" t="n"/>
      <c r="C696" s="37" t="n"/>
      <c r="D696" s="37" t="n"/>
      <c r="E696" s="58" t="n"/>
      <c r="F696" s="38">
        <f>IF(A696="","",YEAR(A696))</f>
        <v/>
      </c>
      <c r="G696" s="37" t="n"/>
    </row>
    <row r="697" ht="16" customHeight="1">
      <c r="A697" s="39" t="n"/>
      <c r="B697" s="37" t="n"/>
      <c r="C697" s="37" t="n"/>
      <c r="D697" s="37" t="n"/>
      <c r="E697" s="58" t="n"/>
      <c r="F697" s="38">
        <f>IF(A697="","",YEAR(A697))</f>
        <v/>
      </c>
      <c r="G697" s="37" t="n"/>
    </row>
    <row r="698" ht="16" customHeight="1">
      <c r="A698" s="39" t="n"/>
      <c r="B698" s="37" t="n"/>
      <c r="C698" s="37" t="n"/>
      <c r="D698" s="37" t="n"/>
      <c r="E698" s="58" t="n"/>
      <c r="F698" s="38">
        <f>IF(A698="","",YEAR(A698))</f>
        <v/>
      </c>
      <c r="G698" s="37" t="n"/>
    </row>
    <row r="699" ht="16" customHeight="1">
      <c r="A699" s="39" t="n"/>
      <c r="B699" s="37" t="n"/>
      <c r="C699" s="37" t="n"/>
      <c r="D699" s="37" t="n"/>
      <c r="E699" s="58" t="n"/>
      <c r="F699" s="38">
        <f>IF(A699="","",YEAR(A699))</f>
        <v/>
      </c>
      <c r="G699" s="37" t="n"/>
    </row>
    <row r="700" ht="16" customHeight="1">
      <c r="A700" s="39" t="n"/>
      <c r="B700" s="37" t="n"/>
      <c r="C700" s="37" t="n"/>
      <c r="D700" s="37" t="n"/>
      <c r="E700" s="58" t="n"/>
      <c r="F700" s="38">
        <f>IF(A700="","",YEAR(A700))</f>
        <v/>
      </c>
      <c r="G700" s="37" t="n"/>
    </row>
    <row r="701" ht="16" customHeight="1">
      <c r="A701" s="39" t="n"/>
      <c r="B701" s="37" t="n"/>
      <c r="C701" s="37" t="n"/>
      <c r="D701" s="37" t="n"/>
      <c r="E701" s="58" t="n"/>
      <c r="F701" s="38">
        <f>IF(A701="","",YEAR(A701))</f>
        <v/>
      </c>
      <c r="G701" s="37" t="n"/>
    </row>
    <row r="702" ht="16" customHeight="1">
      <c r="A702" s="39" t="n"/>
      <c r="B702" s="37" t="n"/>
      <c r="C702" s="37" t="n"/>
      <c r="D702" s="37" t="n"/>
      <c r="E702" s="58" t="n"/>
      <c r="F702" s="38">
        <f>IF(A702="","",YEAR(A702))</f>
        <v/>
      </c>
      <c r="G702" s="37" t="n"/>
    </row>
    <row r="703" ht="16" customHeight="1">
      <c r="A703" s="39" t="n"/>
      <c r="B703" s="37" t="n"/>
      <c r="C703" s="37" t="n"/>
      <c r="D703" s="37" t="n"/>
      <c r="E703" s="58" t="n"/>
      <c r="F703" s="38">
        <f>IF(A703="","",YEAR(A703))</f>
        <v/>
      </c>
      <c r="G703" s="37" t="n"/>
    </row>
    <row r="704" ht="16" customHeight="1">
      <c r="A704" s="39" t="n"/>
      <c r="B704" s="37" t="n"/>
      <c r="C704" s="37" t="n"/>
      <c r="D704" s="37" t="n"/>
      <c r="E704" s="58" t="n"/>
      <c r="F704" s="38">
        <f>IF(A704="","",YEAR(A704))</f>
        <v/>
      </c>
      <c r="G704" s="37" t="n"/>
    </row>
    <row r="705" ht="16" customHeight="1">
      <c r="A705" s="39" t="n"/>
      <c r="B705" s="37" t="n"/>
      <c r="C705" s="37" t="n"/>
      <c r="D705" s="37" t="n"/>
      <c r="E705" s="58" t="n"/>
      <c r="F705" s="38">
        <f>IF(A705="","",YEAR(A705))</f>
        <v/>
      </c>
      <c r="G705" s="37" t="n"/>
    </row>
    <row r="706" ht="16" customHeight="1">
      <c r="A706" s="39" t="n"/>
      <c r="B706" s="37" t="n"/>
      <c r="C706" s="37" t="n"/>
      <c r="D706" s="37" t="n"/>
      <c r="E706" s="58" t="n"/>
      <c r="F706" s="38">
        <f>IF(A706="","",YEAR(A706))</f>
        <v/>
      </c>
      <c r="G706" s="37" t="n"/>
    </row>
    <row r="707" ht="16" customHeight="1">
      <c r="A707" s="39" t="n"/>
      <c r="B707" s="37" t="n"/>
      <c r="C707" s="37" t="n"/>
      <c r="D707" s="37" t="n"/>
      <c r="E707" s="58" t="n"/>
      <c r="F707" s="38">
        <f>IF(A707="","",YEAR(A707))</f>
        <v/>
      </c>
      <c r="G707" s="37" t="n"/>
    </row>
    <row r="708" ht="16" customHeight="1">
      <c r="A708" s="39" t="n"/>
      <c r="B708" s="37" t="n"/>
      <c r="C708" s="37" t="n"/>
      <c r="D708" s="37" t="n"/>
      <c r="E708" s="58" t="n"/>
      <c r="F708" s="38">
        <f>IF(A708="","",YEAR(A708))</f>
        <v/>
      </c>
      <c r="G708" s="37" t="n"/>
    </row>
    <row r="709" ht="16" customHeight="1">
      <c r="A709" s="39" t="n"/>
      <c r="B709" s="37" t="n"/>
      <c r="C709" s="37" t="n"/>
      <c r="D709" s="37" t="n"/>
      <c r="E709" s="58" t="n"/>
      <c r="F709" s="38">
        <f>IF(A709="","",YEAR(A709))</f>
        <v/>
      </c>
      <c r="G709" s="37" t="n"/>
    </row>
    <row r="710" ht="16" customHeight="1">
      <c r="A710" s="39" t="n"/>
      <c r="B710" s="37" t="n"/>
      <c r="C710" s="37" t="n"/>
      <c r="D710" s="37" t="n"/>
      <c r="E710" s="58" t="n"/>
      <c r="F710" s="38">
        <f>IF(A710="","",YEAR(A710))</f>
        <v/>
      </c>
      <c r="G710" s="37" t="n"/>
    </row>
    <row r="711" ht="16" customHeight="1">
      <c r="A711" s="39" t="n"/>
      <c r="B711" s="37" t="n"/>
      <c r="C711" s="37" t="n"/>
      <c r="D711" s="37" t="n"/>
      <c r="E711" s="58" t="n"/>
      <c r="F711" s="38">
        <f>IF(A711="","",YEAR(A711))</f>
        <v/>
      </c>
      <c r="G711" s="37" t="n"/>
    </row>
    <row r="712" ht="16" customHeight="1">
      <c r="A712" s="39" t="n"/>
      <c r="B712" s="37" t="n"/>
      <c r="C712" s="37" t="n"/>
      <c r="D712" s="37" t="n"/>
      <c r="E712" s="58" t="n"/>
      <c r="F712" s="38">
        <f>IF(A712="","",YEAR(A712))</f>
        <v/>
      </c>
      <c r="G712" s="37" t="n"/>
    </row>
    <row r="713" ht="16" customHeight="1">
      <c r="A713" s="39" t="n"/>
      <c r="B713" s="37" t="n"/>
      <c r="C713" s="37" t="n"/>
      <c r="D713" s="37" t="n"/>
      <c r="E713" s="58" t="n"/>
      <c r="F713" s="38">
        <f>IF(A713="","",YEAR(A713))</f>
        <v/>
      </c>
      <c r="G713" s="37" t="n"/>
    </row>
    <row r="714" ht="16" customHeight="1">
      <c r="A714" s="39" t="n"/>
      <c r="B714" s="37" t="n"/>
      <c r="C714" s="37" t="n"/>
      <c r="D714" s="37" t="n"/>
      <c r="E714" s="58" t="n"/>
      <c r="F714" s="38">
        <f>IF(A714="","",YEAR(A714))</f>
        <v/>
      </c>
      <c r="G714" s="37" t="n"/>
    </row>
    <row r="715" ht="16" customHeight="1">
      <c r="A715" s="39" t="n"/>
      <c r="B715" s="37" t="n"/>
      <c r="C715" s="37" t="n"/>
      <c r="D715" s="37" t="n"/>
      <c r="E715" s="58" t="n"/>
      <c r="F715" s="38">
        <f>IF(A715="","",YEAR(A715))</f>
        <v/>
      </c>
      <c r="G715" s="37" t="n"/>
    </row>
    <row r="716" ht="16" customHeight="1">
      <c r="A716" s="39" t="n"/>
      <c r="B716" s="37" t="n"/>
      <c r="C716" s="37" t="n"/>
      <c r="D716" s="37" t="n"/>
      <c r="E716" s="58" t="n"/>
      <c r="F716" s="38">
        <f>IF(A716="","",YEAR(A716))</f>
        <v/>
      </c>
      <c r="G716" s="37" t="n"/>
    </row>
    <row r="717" ht="16" customHeight="1">
      <c r="A717" s="39" t="n"/>
      <c r="B717" s="37" t="n"/>
      <c r="C717" s="37" t="n"/>
      <c r="D717" s="37" t="n"/>
      <c r="E717" s="58" t="n"/>
      <c r="F717" s="38">
        <f>IF(A717="","",YEAR(A717))</f>
        <v/>
      </c>
      <c r="G717" s="37" t="n"/>
    </row>
    <row r="718" ht="16" customHeight="1">
      <c r="A718" s="39" t="n"/>
      <c r="B718" s="37" t="n"/>
      <c r="C718" s="37" t="n"/>
      <c r="D718" s="37" t="n"/>
      <c r="E718" s="58" t="n"/>
      <c r="F718" s="38">
        <f>IF(A718="","",YEAR(A718))</f>
        <v/>
      </c>
      <c r="G718" s="37" t="n"/>
    </row>
    <row r="719" ht="16" customHeight="1">
      <c r="A719" s="39" t="n"/>
      <c r="B719" s="37" t="n"/>
      <c r="C719" s="37" t="n"/>
      <c r="D719" s="37" t="n"/>
      <c r="E719" s="58" t="n"/>
      <c r="F719" s="38">
        <f>IF(A719="","",YEAR(A719))</f>
        <v/>
      </c>
      <c r="G719" s="37" t="n"/>
    </row>
    <row r="720" ht="16" customHeight="1">
      <c r="A720" s="39" t="n"/>
      <c r="B720" s="37" t="n"/>
      <c r="C720" s="37" t="n"/>
      <c r="D720" s="37" t="n"/>
      <c r="E720" s="58" t="n"/>
      <c r="F720" s="38">
        <f>IF(A720="","",YEAR(A720))</f>
        <v/>
      </c>
      <c r="G720" s="37" t="n"/>
    </row>
    <row r="721" ht="16" customHeight="1">
      <c r="A721" s="39" t="n"/>
      <c r="B721" s="37" t="n"/>
      <c r="C721" s="37" t="n"/>
      <c r="D721" s="37" t="n"/>
      <c r="E721" s="58" t="n"/>
      <c r="F721" s="38">
        <f>IF(A721="","",YEAR(A721))</f>
        <v/>
      </c>
      <c r="G721" s="37" t="n"/>
    </row>
    <row r="722" ht="16" customHeight="1">
      <c r="A722" s="39" t="n"/>
      <c r="B722" s="37" t="n"/>
      <c r="C722" s="37" t="n"/>
      <c r="D722" s="37" t="n"/>
      <c r="E722" s="58" t="n"/>
      <c r="F722" s="38">
        <f>IF(A722="","",YEAR(A722))</f>
        <v/>
      </c>
      <c r="G722" s="37" t="n"/>
    </row>
    <row r="723" ht="16" customHeight="1">
      <c r="A723" s="39" t="n"/>
      <c r="B723" s="37" t="n"/>
      <c r="C723" s="37" t="n"/>
      <c r="D723" s="37" t="n"/>
      <c r="E723" s="58" t="n"/>
      <c r="F723" s="38">
        <f>IF(A723="","",YEAR(A723))</f>
        <v/>
      </c>
      <c r="G723" s="37" t="n"/>
    </row>
    <row r="724" ht="16" customHeight="1">
      <c r="A724" s="39" t="n"/>
      <c r="B724" s="37" t="n"/>
      <c r="C724" s="37" t="n"/>
      <c r="D724" s="37" t="n"/>
      <c r="E724" s="58" t="n"/>
      <c r="F724" s="38">
        <f>IF(A724="","",YEAR(A724))</f>
        <v/>
      </c>
      <c r="G724" s="37" t="n"/>
    </row>
    <row r="725" ht="16" customHeight="1">
      <c r="A725" s="39" t="n"/>
      <c r="B725" s="37" t="n"/>
      <c r="C725" s="37" t="n"/>
      <c r="D725" s="37" t="n"/>
      <c r="E725" s="58" t="n"/>
      <c r="F725" s="38">
        <f>IF(A725="","",YEAR(A725))</f>
        <v/>
      </c>
      <c r="G725" s="37" t="n"/>
    </row>
    <row r="726" ht="16" customHeight="1">
      <c r="A726" s="39" t="n"/>
      <c r="B726" s="37" t="n"/>
      <c r="C726" s="37" t="n"/>
      <c r="D726" s="37" t="n"/>
      <c r="E726" s="58" t="n"/>
      <c r="F726" s="38">
        <f>IF(A726="","",YEAR(A726))</f>
        <v/>
      </c>
      <c r="G726" s="37" t="n"/>
    </row>
    <row r="727" ht="16" customHeight="1">
      <c r="A727" s="39" t="n"/>
      <c r="B727" s="37" t="n"/>
      <c r="C727" s="37" t="n"/>
      <c r="D727" s="37" t="n"/>
      <c r="E727" s="58" t="n"/>
      <c r="F727" s="38">
        <f>IF(A727="","",YEAR(A727))</f>
        <v/>
      </c>
      <c r="G727" s="37" t="n"/>
    </row>
    <row r="728" ht="16" customHeight="1">
      <c r="A728" s="39" t="n"/>
      <c r="B728" s="37" t="n"/>
      <c r="C728" s="37" t="n"/>
      <c r="D728" s="37" t="n"/>
      <c r="E728" s="58" t="n"/>
      <c r="F728" s="38">
        <f>IF(A728="","",YEAR(A728))</f>
        <v/>
      </c>
      <c r="G728" s="37" t="n"/>
    </row>
    <row r="729" ht="16" customHeight="1">
      <c r="A729" s="39" t="n"/>
      <c r="B729" s="37" t="n"/>
      <c r="C729" s="37" t="n"/>
      <c r="D729" s="37" t="n"/>
      <c r="E729" s="58" t="n"/>
      <c r="F729" s="38">
        <f>IF(A729="","",YEAR(A729))</f>
        <v/>
      </c>
      <c r="G729" s="37" t="n"/>
    </row>
    <row r="730" ht="16" customHeight="1">
      <c r="A730" s="39" t="n"/>
      <c r="B730" s="37" t="n"/>
      <c r="C730" s="37" t="n"/>
      <c r="D730" s="37" t="n"/>
      <c r="E730" s="58" t="n"/>
      <c r="F730" s="38">
        <f>IF(A730="","",YEAR(A730))</f>
        <v/>
      </c>
      <c r="G730" s="37" t="n"/>
    </row>
    <row r="731" ht="16" customHeight="1">
      <c r="A731" s="39" t="n"/>
      <c r="B731" s="37" t="n"/>
      <c r="C731" s="37" t="n"/>
      <c r="D731" s="37" t="n"/>
      <c r="E731" s="58" t="n"/>
      <c r="F731" s="38">
        <f>IF(A731="","",YEAR(A731))</f>
        <v/>
      </c>
      <c r="G731" s="37" t="n"/>
    </row>
    <row r="732" ht="16" customHeight="1">
      <c r="A732" s="39" t="n"/>
      <c r="B732" s="37" t="n"/>
      <c r="C732" s="37" t="n"/>
      <c r="D732" s="37" t="n"/>
      <c r="E732" s="58" t="n"/>
      <c r="F732" s="38">
        <f>IF(A732="","",YEAR(A732))</f>
        <v/>
      </c>
      <c r="G732" s="37" t="n"/>
    </row>
    <row r="733" ht="16" customHeight="1">
      <c r="A733" s="39" t="n"/>
      <c r="B733" s="37" t="n"/>
      <c r="C733" s="37" t="n"/>
      <c r="D733" s="37" t="n"/>
      <c r="E733" s="58" t="n"/>
      <c r="F733" s="38">
        <f>IF(A733="","",YEAR(A733))</f>
        <v/>
      </c>
      <c r="G733" s="37" t="n"/>
    </row>
    <row r="734" ht="16" customHeight="1">
      <c r="A734" s="39" t="n"/>
      <c r="B734" s="37" t="n"/>
      <c r="C734" s="37" t="n"/>
      <c r="D734" s="37" t="n"/>
      <c r="E734" s="58" t="n"/>
      <c r="F734" s="38">
        <f>IF(A734="","",YEAR(A734))</f>
        <v/>
      </c>
      <c r="G734" s="37" t="n"/>
    </row>
    <row r="735" ht="16" customHeight="1">
      <c r="A735" s="39" t="n"/>
      <c r="B735" s="37" t="n"/>
      <c r="C735" s="37" t="n"/>
      <c r="D735" s="37" t="n"/>
      <c r="E735" s="58" t="n"/>
      <c r="F735" s="38">
        <f>IF(A735="","",YEAR(A735))</f>
        <v/>
      </c>
      <c r="G735" s="37" t="n"/>
    </row>
    <row r="736" ht="16" customHeight="1">
      <c r="A736" s="39" t="n"/>
      <c r="B736" s="37" t="n"/>
      <c r="C736" s="37" t="n"/>
      <c r="D736" s="37" t="n"/>
      <c r="E736" s="58" t="n"/>
      <c r="F736" s="38">
        <f>IF(A736="","",YEAR(A736))</f>
        <v/>
      </c>
      <c r="G736" s="37" t="n"/>
    </row>
    <row r="737" ht="16" customHeight="1">
      <c r="A737" s="39" t="n"/>
      <c r="B737" s="37" t="n"/>
      <c r="C737" s="37" t="n"/>
      <c r="D737" s="37" t="n"/>
      <c r="E737" s="58" t="n"/>
      <c r="F737" s="38">
        <f>IF(A737="","",YEAR(A737))</f>
        <v/>
      </c>
      <c r="G737" s="37" t="n"/>
    </row>
    <row r="738" ht="16" customHeight="1">
      <c r="A738" s="39" t="n"/>
      <c r="B738" s="37" t="n"/>
      <c r="C738" s="37" t="n"/>
      <c r="D738" s="37" t="n"/>
      <c r="E738" s="58" t="n"/>
      <c r="F738" s="38">
        <f>IF(A738="","",YEAR(A738))</f>
        <v/>
      </c>
      <c r="G738" s="37" t="n"/>
    </row>
    <row r="739" ht="16" customHeight="1">
      <c r="A739" s="39" t="n"/>
      <c r="B739" s="37" t="n"/>
      <c r="C739" s="37" t="n"/>
      <c r="D739" s="37" t="n"/>
      <c r="E739" s="58" t="n"/>
      <c r="F739" s="38">
        <f>IF(A739="","",YEAR(A739))</f>
        <v/>
      </c>
      <c r="G739" s="37" t="n"/>
    </row>
    <row r="740" ht="16" customHeight="1">
      <c r="A740" s="39" t="n"/>
      <c r="B740" s="37" t="n"/>
      <c r="C740" s="37" t="n"/>
      <c r="D740" s="37" t="n"/>
      <c r="E740" s="58" t="n"/>
      <c r="F740" s="38">
        <f>IF(A740="","",YEAR(A740))</f>
        <v/>
      </c>
      <c r="G740" s="37" t="n"/>
    </row>
    <row r="741" ht="16" customHeight="1">
      <c r="A741" s="39" t="n"/>
      <c r="B741" s="37" t="n"/>
      <c r="C741" s="37" t="n"/>
      <c r="D741" s="37" t="n"/>
      <c r="E741" s="58" t="n"/>
      <c r="F741" s="38">
        <f>IF(A741="","",YEAR(A741))</f>
        <v/>
      </c>
      <c r="G741" s="37" t="n"/>
    </row>
    <row r="742" ht="16" customHeight="1">
      <c r="A742" s="39" t="n"/>
      <c r="B742" s="37" t="n"/>
      <c r="C742" s="37" t="n"/>
      <c r="D742" s="37" t="n"/>
      <c r="E742" s="58" t="n"/>
      <c r="F742" s="38">
        <f>IF(A742="","",YEAR(A742))</f>
        <v/>
      </c>
      <c r="G742" s="37" t="n"/>
    </row>
    <row r="743" ht="16" customHeight="1">
      <c r="A743" s="39" t="n"/>
      <c r="B743" s="37" t="n"/>
      <c r="C743" s="37" t="n"/>
      <c r="D743" s="37" t="n"/>
      <c r="E743" s="58" t="n"/>
      <c r="F743" s="38">
        <f>IF(A743="","",YEAR(A743))</f>
        <v/>
      </c>
      <c r="G743" s="37" t="n"/>
    </row>
    <row r="744" ht="16" customHeight="1">
      <c r="A744" s="39" t="n"/>
      <c r="B744" s="37" t="n"/>
      <c r="C744" s="37" t="n"/>
      <c r="D744" s="37" t="n"/>
      <c r="E744" s="58" t="n"/>
      <c r="F744" s="38">
        <f>IF(A744="","",YEAR(A744))</f>
        <v/>
      </c>
      <c r="G744" s="37" t="n"/>
    </row>
    <row r="745" ht="16" customHeight="1">
      <c r="A745" s="39" t="n"/>
      <c r="B745" s="37" t="n"/>
      <c r="C745" s="37" t="n"/>
      <c r="D745" s="37" t="n"/>
      <c r="E745" s="58" t="n"/>
      <c r="F745" s="38">
        <f>IF(A745="","",YEAR(A745))</f>
        <v/>
      </c>
      <c r="G745" s="37" t="n"/>
    </row>
    <row r="746" ht="16" customHeight="1">
      <c r="A746" s="39" t="n"/>
      <c r="B746" s="37" t="n"/>
      <c r="C746" s="37" t="n"/>
      <c r="D746" s="37" t="n"/>
      <c r="E746" s="58" t="n"/>
      <c r="F746" s="38">
        <f>IF(A746="","",YEAR(A746))</f>
        <v/>
      </c>
      <c r="G746" s="37" t="n"/>
    </row>
    <row r="747" ht="16" customHeight="1">
      <c r="A747" s="39" t="n"/>
      <c r="B747" s="37" t="n"/>
      <c r="C747" s="37" t="n"/>
      <c r="D747" s="37" t="n"/>
      <c r="E747" s="58" t="n"/>
      <c r="F747" s="38">
        <f>IF(A747="","",YEAR(A747))</f>
        <v/>
      </c>
      <c r="G747" s="37" t="n"/>
    </row>
    <row r="748" ht="16" customHeight="1">
      <c r="A748" s="39" t="n"/>
      <c r="B748" s="37" t="n"/>
      <c r="C748" s="37" t="n"/>
      <c r="D748" s="37" t="n"/>
      <c r="E748" s="58" t="n"/>
      <c r="F748" s="38">
        <f>IF(A748="","",YEAR(A748))</f>
        <v/>
      </c>
      <c r="G748" s="37" t="n"/>
    </row>
    <row r="749" ht="16" customHeight="1">
      <c r="A749" s="39" t="n"/>
      <c r="B749" s="37" t="n"/>
      <c r="C749" s="37" t="n"/>
      <c r="D749" s="37" t="n"/>
      <c r="E749" s="58" t="n"/>
      <c r="F749" s="38">
        <f>IF(A749="","",YEAR(A749))</f>
        <v/>
      </c>
      <c r="G749" s="37" t="n"/>
    </row>
    <row r="750" ht="16" customHeight="1">
      <c r="A750" s="39" t="n"/>
      <c r="B750" s="37" t="n"/>
      <c r="C750" s="37" t="n"/>
      <c r="D750" s="37" t="n"/>
      <c r="E750" s="58" t="n"/>
      <c r="F750" s="38">
        <f>IF(A750="","",YEAR(A750))</f>
        <v/>
      </c>
      <c r="G750" s="37" t="n"/>
    </row>
    <row r="751" ht="16" customHeight="1">
      <c r="A751" s="39" t="n"/>
      <c r="B751" s="37" t="n"/>
      <c r="C751" s="37" t="n"/>
      <c r="D751" s="37" t="n"/>
      <c r="E751" s="58" t="n"/>
      <c r="F751" s="38">
        <f>IF(A751="","",YEAR(A751))</f>
        <v/>
      </c>
      <c r="G751" s="37" t="n"/>
    </row>
    <row r="752" ht="16" customHeight="1">
      <c r="A752" s="39" t="n"/>
      <c r="B752" s="37" t="n"/>
      <c r="C752" s="37" t="n"/>
      <c r="D752" s="37" t="n"/>
      <c r="E752" s="58" t="n"/>
      <c r="F752" s="38">
        <f>IF(A752="","",YEAR(A752))</f>
        <v/>
      </c>
      <c r="G752" s="37" t="n"/>
    </row>
    <row r="753" ht="16" customHeight="1">
      <c r="A753" s="39" t="n"/>
      <c r="B753" s="37" t="n"/>
      <c r="C753" s="37" t="n"/>
      <c r="D753" s="37" t="n"/>
      <c r="E753" s="58" t="n"/>
      <c r="F753" s="38">
        <f>IF(A753="","",YEAR(A753))</f>
        <v/>
      </c>
      <c r="G753" s="37" t="n"/>
    </row>
    <row r="754" ht="16" customHeight="1">
      <c r="A754" s="39" t="n"/>
      <c r="B754" s="37" t="n"/>
      <c r="C754" s="37" t="n"/>
      <c r="D754" s="37" t="n"/>
      <c r="E754" s="58" t="n"/>
      <c r="F754" s="38">
        <f>IF(A754="","",YEAR(A754))</f>
        <v/>
      </c>
      <c r="G754" s="37" t="n"/>
    </row>
    <row r="755" ht="16" customHeight="1">
      <c r="A755" s="39" t="n"/>
      <c r="B755" s="37" t="n"/>
      <c r="C755" s="37" t="n"/>
      <c r="D755" s="37" t="n"/>
      <c r="E755" s="58" t="n"/>
      <c r="F755" s="38">
        <f>IF(A755="","",YEAR(A755))</f>
        <v/>
      </c>
      <c r="G755" s="37" t="n"/>
    </row>
    <row r="756" ht="16" customHeight="1">
      <c r="A756" s="39" t="n"/>
      <c r="B756" s="37" t="n"/>
      <c r="C756" s="37" t="n"/>
      <c r="D756" s="37" t="n"/>
      <c r="E756" s="58" t="n"/>
      <c r="F756" s="38">
        <f>IF(A756="","",YEAR(A756))</f>
        <v/>
      </c>
      <c r="G756" s="37" t="n"/>
    </row>
    <row r="757" ht="16" customHeight="1">
      <c r="A757" s="39" t="n"/>
      <c r="B757" s="37" t="n"/>
      <c r="C757" s="37" t="n"/>
      <c r="D757" s="37" t="n"/>
      <c r="E757" s="58" t="n"/>
      <c r="F757" s="38">
        <f>IF(A757="","",YEAR(A757))</f>
        <v/>
      </c>
      <c r="G757" s="37" t="n"/>
    </row>
    <row r="758" ht="16" customHeight="1">
      <c r="A758" s="39" t="n"/>
      <c r="B758" s="37" t="n"/>
      <c r="C758" s="37" t="n"/>
      <c r="D758" s="37" t="n"/>
      <c r="E758" s="58" t="n"/>
      <c r="F758" s="38">
        <f>IF(A758="","",YEAR(A758))</f>
        <v/>
      </c>
      <c r="G758" s="37" t="n"/>
    </row>
    <row r="759" ht="16" customHeight="1">
      <c r="A759" s="39" t="n"/>
      <c r="B759" s="37" t="n"/>
      <c r="C759" s="37" t="n"/>
      <c r="D759" s="37" t="n"/>
      <c r="E759" s="58" t="n"/>
      <c r="F759" s="38">
        <f>IF(A759="","",YEAR(A759))</f>
        <v/>
      </c>
      <c r="G759" s="37" t="n"/>
    </row>
    <row r="760" ht="16" customHeight="1">
      <c r="A760" s="39" t="n"/>
      <c r="B760" s="37" t="n"/>
      <c r="C760" s="37" t="n"/>
      <c r="D760" s="37" t="n"/>
      <c r="E760" s="58" t="n"/>
      <c r="F760" s="38">
        <f>IF(A760="","",YEAR(A760))</f>
        <v/>
      </c>
      <c r="G760" s="37" t="n"/>
    </row>
    <row r="761" ht="16" customHeight="1">
      <c r="A761" s="39" t="n"/>
      <c r="B761" s="37" t="n"/>
      <c r="C761" s="37" t="n"/>
      <c r="D761" s="37" t="n"/>
      <c r="E761" s="58" t="n"/>
      <c r="F761" s="38">
        <f>IF(A761="","",YEAR(A761))</f>
        <v/>
      </c>
      <c r="G761" s="37" t="n"/>
    </row>
    <row r="762" ht="16" customHeight="1">
      <c r="A762" s="39" t="n"/>
      <c r="B762" s="37" t="n"/>
      <c r="C762" s="37" t="n"/>
      <c r="D762" s="37" t="n"/>
      <c r="E762" s="58" t="n"/>
      <c r="F762" s="38">
        <f>IF(A762="","",YEAR(A762))</f>
        <v/>
      </c>
      <c r="G762" s="37" t="n"/>
    </row>
    <row r="763" ht="16" customHeight="1">
      <c r="A763" s="39" t="n"/>
      <c r="B763" s="37" t="n"/>
      <c r="C763" s="37" t="n"/>
      <c r="D763" s="37" t="n"/>
      <c r="E763" s="58" t="n"/>
      <c r="F763" s="38">
        <f>IF(A763="","",YEAR(A763))</f>
        <v/>
      </c>
      <c r="G763" s="37" t="n"/>
    </row>
    <row r="764" ht="16" customHeight="1">
      <c r="A764" s="39" t="n"/>
      <c r="B764" s="37" t="n"/>
      <c r="C764" s="37" t="n"/>
      <c r="D764" s="37" t="n"/>
      <c r="E764" s="58" t="n"/>
      <c r="F764" s="38">
        <f>IF(A764="","",YEAR(A764))</f>
        <v/>
      </c>
      <c r="G764" s="37" t="n"/>
    </row>
    <row r="765" ht="16" customHeight="1">
      <c r="A765" s="39" t="n"/>
      <c r="B765" s="37" t="n"/>
      <c r="C765" s="37" t="n"/>
      <c r="D765" s="37" t="n"/>
      <c r="E765" s="58" t="n"/>
      <c r="F765" s="38">
        <f>IF(A765="","",YEAR(A765))</f>
        <v/>
      </c>
      <c r="G765" s="37" t="n"/>
    </row>
    <row r="766" ht="16" customHeight="1">
      <c r="A766" s="39" t="n"/>
      <c r="B766" s="37" t="n"/>
      <c r="C766" s="37" t="n"/>
      <c r="D766" s="37" t="n"/>
      <c r="E766" s="58" t="n"/>
      <c r="F766" s="38">
        <f>IF(A766="","",YEAR(A766))</f>
        <v/>
      </c>
      <c r="G766" s="37" t="n"/>
    </row>
    <row r="767" ht="16" customHeight="1">
      <c r="A767" s="39" t="n"/>
      <c r="B767" s="37" t="n"/>
      <c r="C767" s="37" t="n"/>
      <c r="D767" s="37" t="n"/>
      <c r="E767" s="58" t="n"/>
      <c r="F767" s="38">
        <f>IF(A767="","",YEAR(A767))</f>
        <v/>
      </c>
      <c r="G767" s="37" t="n"/>
    </row>
    <row r="768" ht="16" customHeight="1">
      <c r="A768" s="39" t="n"/>
      <c r="B768" s="37" t="n"/>
      <c r="C768" s="37" t="n"/>
      <c r="D768" s="37" t="n"/>
      <c r="E768" s="58" t="n"/>
      <c r="F768" s="38">
        <f>IF(A768="","",YEAR(A768))</f>
        <v/>
      </c>
      <c r="G768" s="37" t="n"/>
    </row>
    <row r="769" ht="16" customHeight="1">
      <c r="A769" s="39" t="n"/>
      <c r="B769" s="37" t="n"/>
      <c r="C769" s="37" t="n"/>
      <c r="D769" s="37" t="n"/>
      <c r="E769" s="58" t="n"/>
      <c r="F769" s="38">
        <f>IF(A769="","",YEAR(A769))</f>
        <v/>
      </c>
      <c r="G769" s="37" t="n"/>
    </row>
    <row r="770" ht="16" customHeight="1">
      <c r="A770" s="39" t="n"/>
      <c r="B770" s="37" t="n"/>
      <c r="C770" s="37" t="n"/>
      <c r="D770" s="37" t="n"/>
      <c r="E770" s="58" t="n"/>
      <c r="F770" s="38">
        <f>IF(A770="","",YEAR(A770))</f>
        <v/>
      </c>
      <c r="G770" s="37" t="n"/>
    </row>
    <row r="771" ht="16" customHeight="1">
      <c r="A771" s="39" t="n"/>
      <c r="B771" s="37" t="n"/>
      <c r="C771" s="37" t="n"/>
      <c r="D771" s="37" t="n"/>
      <c r="E771" s="58" t="n"/>
      <c r="F771" s="38">
        <f>IF(A771="","",YEAR(A771))</f>
        <v/>
      </c>
      <c r="G771" s="37" t="n"/>
    </row>
    <row r="772" ht="16" customHeight="1">
      <c r="A772" s="39" t="n"/>
      <c r="B772" s="37" t="n"/>
      <c r="C772" s="37" t="n"/>
      <c r="D772" s="37" t="n"/>
      <c r="E772" s="58" t="n"/>
      <c r="F772" s="38">
        <f>IF(A772="","",YEAR(A772))</f>
        <v/>
      </c>
      <c r="G772" s="37" t="n"/>
    </row>
    <row r="773" ht="16" customHeight="1">
      <c r="A773" s="39" t="n"/>
      <c r="B773" s="37" t="n"/>
      <c r="C773" s="37" t="n"/>
      <c r="D773" s="37" t="n"/>
      <c r="E773" s="58" t="n"/>
      <c r="F773" s="38">
        <f>IF(A773="","",YEAR(A773))</f>
        <v/>
      </c>
      <c r="G773" s="37" t="n"/>
    </row>
    <row r="774" ht="16" customHeight="1">
      <c r="A774" s="39" t="n"/>
      <c r="B774" s="37" t="n"/>
      <c r="C774" s="37" t="n"/>
      <c r="D774" s="37" t="n"/>
      <c r="E774" s="58" t="n"/>
      <c r="F774" s="38">
        <f>IF(A774="","",YEAR(A774))</f>
        <v/>
      </c>
      <c r="G774" s="37" t="n"/>
    </row>
    <row r="775" ht="16" customHeight="1">
      <c r="A775" s="39" t="n"/>
      <c r="B775" s="37" t="n"/>
      <c r="C775" s="37" t="n"/>
      <c r="D775" s="37" t="n"/>
      <c r="E775" s="58" t="n"/>
      <c r="F775" s="38">
        <f>IF(A775="","",YEAR(A775))</f>
        <v/>
      </c>
      <c r="G775" s="37" t="n"/>
    </row>
    <row r="776" ht="16" customHeight="1">
      <c r="A776" s="39" t="n"/>
      <c r="B776" s="37" t="n"/>
      <c r="C776" s="37" t="n"/>
      <c r="D776" s="37" t="n"/>
      <c r="E776" s="58" t="n"/>
      <c r="F776" s="38">
        <f>IF(A776="","",YEAR(A776))</f>
        <v/>
      </c>
      <c r="G776" s="37" t="n"/>
    </row>
    <row r="777" ht="16" customHeight="1">
      <c r="A777" s="39" t="n"/>
      <c r="B777" s="37" t="n"/>
      <c r="C777" s="37" t="n"/>
      <c r="D777" s="37" t="n"/>
      <c r="E777" s="58" t="n"/>
      <c r="F777" s="38">
        <f>IF(A777="","",YEAR(A777))</f>
        <v/>
      </c>
      <c r="G777" s="37" t="n"/>
    </row>
    <row r="778" ht="16" customHeight="1">
      <c r="A778" s="39" t="n"/>
      <c r="B778" s="37" t="n"/>
      <c r="C778" s="37" t="n"/>
      <c r="D778" s="37" t="n"/>
      <c r="E778" s="58" t="n"/>
      <c r="F778" s="38">
        <f>IF(A778="","",YEAR(A778))</f>
        <v/>
      </c>
      <c r="G778" s="37" t="n"/>
    </row>
    <row r="779" ht="16" customHeight="1">
      <c r="A779" s="39" t="n"/>
      <c r="B779" s="37" t="n"/>
      <c r="C779" s="37" t="n"/>
      <c r="D779" s="37" t="n"/>
      <c r="E779" s="58" t="n"/>
      <c r="F779" s="38">
        <f>IF(A779="","",YEAR(A779))</f>
        <v/>
      </c>
      <c r="G779" s="37" t="n"/>
    </row>
    <row r="780" ht="16" customHeight="1">
      <c r="A780" s="39" t="n"/>
      <c r="B780" s="37" t="n"/>
      <c r="C780" s="37" t="n"/>
      <c r="D780" s="37" t="n"/>
      <c r="E780" s="58" t="n"/>
      <c r="F780" s="38">
        <f>IF(A780="","",YEAR(A780))</f>
        <v/>
      </c>
      <c r="G780" s="37" t="n"/>
    </row>
    <row r="781" ht="16" customHeight="1">
      <c r="A781" s="39" t="n"/>
      <c r="B781" s="37" t="n"/>
      <c r="C781" s="37" t="n"/>
      <c r="D781" s="37" t="n"/>
      <c r="E781" s="58" t="n"/>
      <c r="F781" s="38">
        <f>IF(A781="","",YEAR(A781))</f>
        <v/>
      </c>
      <c r="G781" s="37" t="n"/>
    </row>
    <row r="782" ht="16" customHeight="1">
      <c r="A782" s="39" t="n"/>
      <c r="B782" s="37" t="n"/>
      <c r="C782" s="37" t="n"/>
      <c r="D782" s="37" t="n"/>
      <c r="E782" s="58" t="n"/>
      <c r="F782" s="38">
        <f>IF(A782="","",YEAR(A782))</f>
        <v/>
      </c>
      <c r="G782" s="37" t="n"/>
    </row>
    <row r="783" ht="16" customHeight="1">
      <c r="A783" s="39" t="n"/>
      <c r="B783" s="37" t="n"/>
      <c r="C783" s="37" t="n"/>
      <c r="D783" s="37" t="n"/>
      <c r="E783" s="58" t="n"/>
      <c r="F783" s="38">
        <f>IF(A783="","",YEAR(A783))</f>
        <v/>
      </c>
      <c r="G783" s="37" t="n"/>
    </row>
    <row r="784" ht="16" customHeight="1">
      <c r="A784" s="39" t="n"/>
      <c r="B784" s="37" t="n"/>
      <c r="C784" s="37" t="n"/>
      <c r="D784" s="37" t="n"/>
      <c r="E784" s="58" t="n"/>
      <c r="F784" s="38">
        <f>IF(A784="","",YEAR(A784))</f>
        <v/>
      </c>
      <c r="G784" s="37" t="n"/>
    </row>
    <row r="785" ht="16" customHeight="1">
      <c r="A785" s="39" t="n"/>
      <c r="B785" s="37" t="n"/>
      <c r="C785" s="37" t="n"/>
      <c r="D785" s="37" t="n"/>
      <c r="E785" s="58" t="n"/>
      <c r="F785" s="38">
        <f>IF(A785="","",YEAR(A785))</f>
        <v/>
      </c>
      <c r="G785" s="37" t="n"/>
    </row>
    <row r="786" ht="16" customHeight="1">
      <c r="A786" s="39" t="n"/>
      <c r="B786" s="37" t="n"/>
      <c r="C786" s="37" t="n"/>
      <c r="D786" s="37" t="n"/>
      <c r="E786" s="58" t="n"/>
      <c r="F786" s="38">
        <f>IF(A786="","",YEAR(A786))</f>
        <v/>
      </c>
      <c r="G786" s="37" t="n"/>
    </row>
    <row r="787" ht="16" customHeight="1">
      <c r="A787" s="39" t="n"/>
      <c r="B787" s="37" t="n"/>
      <c r="C787" s="37" t="n"/>
      <c r="D787" s="37" t="n"/>
      <c r="E787" s="58" t="n"/>
      <c r="F787" s="38">
        <f>IF(A787="","",YEAR(A787))</f>
        <v/>
      </c>
      <c r="G787" s="37" t="n"/>
    </row>
    <row r="788" ht="16" customHeight="1">
      <c r="A788" s="39" t="n"/>
      <c r="B788" s="37" t="n"/>
      <c r="C788" s="37" t="n"/>
      <c r="D788" s="37" t="n"/>
      <c r="E788" s="58" t="n"/>
      <c r="F788" s="38">
        <f>IF(A788="","",YEAR(A788))</f>
        <v/>
      </c>
      <c r="G788" s="37" t="n"/>
    </row>
    <row r="789" ht="16" customHeight="1">
      <c r="A789" s="39" t="n"/>
      <c r="B789" s="37" t="n"/>
      <c r="C789" s="37" t="n"/>
      <c r="D789" s="37" t="n"/>
      <c r="E789" s="58" t="n"/>
      <c r="F789" s="38">
        <f>IF(A789="","",YEAR(A789))</f>
        <v/>
      </c>
      <c r="G789" s="37" t="n"/>
    </row>
    <row r="790" ht="16" customHeight="1">
      <c r="A790" s="39" t="n"/>
      <c r="B790" s="37" t="n"/>
      <c r="C790" s="37" t="n"/>
      <c r="D790" s="37" t="n"/>
      <c r="E790" s="58" t="n"/>
      <c r="F790" s="38">
        <f>IF(A790="","",YEAR(A790))</f>
        <v/>
      </c>
      <c r="G790" s="37" t="n"/>
    </row>
    <row r="791" ht="16" customHeight="1">
      <c r="A791" s="39" t="n"/>
      <c r="B791" s="37" t="n"/>
      <c r="C791" s="37" t="n"/>
      <c r="D791" s="37" t="n"/>
      <c r="E791" s="58" t="n"/>
      <c r="F791" s="38">
        <f>IF(A791="","",YEAR(A791))</f>
        <v/>
      </c>
      <c r="G791" s="37" t="n"/>
    </row>
    <row r="792" ht="16" customHeight="1">
      <c r="A792" s="39" t="n"/>
      <c r="B792" s="37" t="n"/>
      <c r="C792" s="37" t="n"/>
      <c r="D792" s="37" t="n"/>
      <c r="E792" s="58" t="n"/>
      <c r="F792" s="38">
        <f>IF(A792="","",YEAR(A792))</f>
        <v/>
      </c>
      <c r="G792" s="37" t="n"/>
    </row>
    <row r="793" ht="16" customHeight="1">
      <c r="A793" s="39" t="n"/>
      <c r="B793" s="37" t="n"/>
      <c r="C793" s="37" t="n"/>
      <c r="D793" s="37" t="n"/>
      <c r="E793" s="58" t="n"/>
      <c r="F793" s="38">
        <f>IF(A793="","",YEAR(A793))</f>
        <v/>
      </c>
      <c r="G793" s="37" t="n"/>
    </row>
    <row r="794" ht="16" customHeight="1">
      <c r="A794" s="39" t="n"/>
      <c r="B794" s="37" t="n"/>
      <c r="C794" s="37" t="n"/>
      <c r="D794" s="37" t="n"/>
      <c r="E794" s="58" t="n"/>
      <c r="F794" s="38">
        <f>IF(A794="","",YEAR(A794))</f>
        <v/>
      </c>
      <c r="G794" s="37" t="n"/>
    </row>
    <row r="795" ht="16" customHeight="1">
      <c r="A795" s="39" t="n"/>
      <c r="B795" s="37" t="n"/>
      <c r="C795" s="37" t="n"/>
      <c r="D795" s="37" t="n"/>
      <c r="E795" s="58" t="n"/>
      <c r="F795" s="38">
        <f>IF(A795="","",YEAR(A795))</f>
        <v/>
      </c>
      <c r="G795" s="37" t="n"/>
    </row>
    <row r="796" ht="16" customHeight="1">
      <c r="A796" s="39" t="n"/>
      <c r="B796" s="37" t="n"/>
      <c r="C796" s="37" t="n"/>
      <c r="D796" s="37" t="n"/>
      <c r="E796" s="58" t="n"/>
      <c r="F796" s="38">
        <f>IF(A796="","",YEAR(A796))</f>
        <v/>
      </c>
      <c r="G796" s="37" t="n"/>
    </row>
    <row r="797" ht="16" customHeight="1">
      <c r="A797" s="39" t="n"/>
      <c r="B797" s="37" t="n"/>
      <c r="C797" s="37" t="n"/>
      <c r="D797" s="37" t="n"/>
      <c r="E797" s="58" t="n"/>
      <c r="F797" s="38">
        <f>IF(A797="","",YEAR(A797))</f>
        <v/>
      </c>
      <c r="G797" s="37" t="n"/>
    </row>
    <row r="798" ht="16" customHeight="1">
      <c r="A798" s="39" t="n"/>
      <c r="B798" s="37" t="n"/>
      <c r="C798" s="37" t="n"/>
      <c r="D798" s="37" t="n"/>
      <c r="E798" s="58" t="n"/>
      <c r="F798" s="38">
        <f>IF(A798="","",YEAR(A798))</f>
        <v/>
      </c>
      <c r="G798" s="37" t="n"/>
    </row>
    <row r="799" ht="16" customHeight="1">
      <c r="A799" s="39" t="n"/>
      <c r="B799" s="37" t="n"/>
      <c r="C799" s="37" t="n"/>
      <c r="D799" s="37" t="n"/>
      <c r="E799" s="58" t="n"/>
      <c r="F799" s="38">
        <f>IF(A799="","",YEAR(A799))</f>
        <v/>
      </c>
      <c r="G799" s="37" t="n"/>
    </row>
    <row r="800" ht="16" customHeight="1">
      <c r="A800" s="39" t="n"/>
      <c r="B800" s="37" t="n"/>
      <c r="C800" s="37" t="n"/>
      <c r="D800" s="37" t="n"/>
      <c r="E800" s="58" t="n"/>
      <c r="F800" s="38">
        <f>IF(A800="","",YEAR(A800))</f>
        <v/>
      </c>
      <c r="G800" s="37" t="n"/>
    </row>
    <row r="801" ht="16" customHeight="1">
      <c r="A801" s="39" t="n"/>
      <c r="B801" s="37" t="n"/>
      <c r="C801" s="37" t="n"/>
      <c r="D801" s="37" t="n"/>
      <c r="E801" s="58" t="n"/>
      <c r="F801" s="38">
        <f>IF(A801="","",YEAR(A801))</f>
        <v/>
      </c>
      <c r="G801" s="37" t="n"/>
    </row>
    <row r="802" ht="16" customHeight="1">
      <c r="A802" s="39" t="n"/>
      <c r="B802" s="37" t="n"/>
      <c r="C802" s="37" t="n"/>
      <c r="D802" s="37" t="n"/>
      <c r="E802" s="58" t="n"/>
      <c r="F802" s="38">
        <f>IF(A802="","",YEAR(A802))</f>
        <v/>
      </c>
      <c r="G802" s="37" t="n"/>
    </row>
    <row r="803" ht="16" customHeight="1">
      <c r="A803" s="39" t="n"/>
      <c r="B803" s="37" t="n"/>
      <c r="C803" s="37" t="n"/>
      <c r="D803" s="37" t="n"/>
      <c r="E803" s="58" t="n"/>
      <c r="F803" s="38">
        <f>IF(A803="","",YEAR(A803))</f>
        <v/>
      </c>
      <c r="G803" s="37" t="n"/>
    </row>
    <row r="804" ht="16" customHeight="1">
      <c r="A804" s="39" t="n"/>
      <c r="B804" s="37" t="n"/>
      <c r="C804" s="37" t="n"/>
      <c r="D804" s="37" t="n"/>
      <c r="E804" s="58" t="n"/>
      <c r="F804" s="38">
        <f>IF(A804="","",YEAR(A804))</f>
        <v/>
      </c>
      <c r="G804" s="37" t="n"/>
    </row>
    <row r="805" ht="16" customHeight="1">
      <c r="A805" s="39" t="n"/>
      <c r="B805" s="37" t="n"/>
      <c r="C805" s="37" t="n"/>
      <c r="D805" s="37" t="n"/>
      <c r="E805" s="58" t="n"/>
      <c r="F805" s="38">
        <f>IF(A805="","",YEAR(A805))</f>
        <v/>
      </c>
      <c r="G805" s="37" t="n"/>
    </row>
    <row r="806" ht="16" customHeight="1">
      <c r="A806" s="39" t="n"/>
      <c r="B806" s="37" t="n"/>
      <c r="C806" s="37" t="n"/>
      <c r="D806" s="37" t="n"/>
      <c r="E806" s="58" t="n"/>
      <c r="F806" s="38">
        <f>IF(A806="","",YEAR(A806))</f>
        <v/>
      </c>
      <c r="G806" s="37" t="n"/>
    </row>
    <row r="807" ht="16" customHeight="1">
      <c r="A807" s="39" t="n"/>
      <c r="B807" s="37" t="n"/>
      <c r="C807" s="37" t="n"/>
      <c r="D807" s="37" t="n"/>
      <c r="E807" s="58" t="n"/>
      <c r="F807" s="38">
        <f>IF(A807="","",YEAR(A807))</f>
        <v/>
      </c>
      <c r="G807" s="37" t="n"/>
    </row>
    <row r="808" ht="16" customHeight="1">
      <c r="A808" s="39" t="n"/>
      <c r="B808" s="37" t="n"/>
      <c r="C808" s="37" t="n"/>
      <c r="D808" s="37" t="n"/>
      <c r="E808" s="58" t="n"/>
      <c r="F808" s="38">
        <f>IF(A808="","",YEAR(A808))</f>
        <v/>
      </c>
      <c r="G808" s="37" t="n"/>
    </row>
    <row r="809" ht="16" customHeight="1">
      <c r="A809" s="39" t="n"/>
      <c r="B809" s="37" t="n"/>
      <c r="C809" s="37" t="n"/>
      <c r="D809" s="37" t="n"/>
      <c r="E809" s="58" t="n"/>
      <c r="F809" s="38">
        <f>IF(A809="","",YEAR(A809))</f>
        <v/>
      </c>
      <c r="G809" s="37" t="n"/>
    </row>
    <row r="810" ht="16" customHeight="1">
      <c r="A810" s="39" t="n"/>
      <c r="B810" s="37" t="n"/>
      <c r="C810" s="37" t="n"/>
      <c r="D810" s="37" t="n"/>
      <c r="E810" s="58" t="n"/>
      <c r="F810" s="38">
        <f>IF(A810="","",YEAR(A810))</f>
        <v/>
      </c>
      <c r="G810" s="37" t="n"/>
    </row>
    <row r="811" ht="16" customHeight="1">
      <c r="A811" s="39" t="n"/>
      <c r="B811" s="37" t="n"/>
      <c r="C811" s="37" t="n"/>
      <c r="D811" s="37" t="n"/>
      <c r="E811" s="58" t="n"/>
      <c r="F811" s="38">
        <f>IF(A811="","",YEAR(A811))</f>
        <v/>
      </c>
      <c r="G811" s="37" t="n"/>
    </row>
    <row r="812" ht="16" customHeight="1">
      <c r="A812" s="39" t="n"/>
      <c r="B812" s="37" t="n"/>
      <c r="C812" s="37" t="n"/>
      <c r="D812" s="37" t="n"/>
      <c r="E812" s="58" t="n"/>
      <c r="F812" s="38">
        <f>IF(A812="","",YEAR(A812))</f>
        <v/>
      </c>
      <c r="G812" s="37" t="n"/>
    </row>
    <row r="813" ht="16" customHeight="1">
      <c r="A813" s="39" t="n"/>
      <c r="B813" s="37" t="n"/>
      <c r="C813" s="37" t="n"/>
      <c r="D813" s="37" t="n"/>
      <c r="E813" s="58" t="n"/>
      <c r="F813" s="38">
        <f>IF(A813="","",YEAR(A813))</f>
        <v/>
      </c>
      <c r="G813" s="37" t="n"/>
    </row>
    <row r="814" ht="16" customHeight="1">
      <c r="A814" s="39" t="n"/>
      <c r="B814" s="37" t="n"/>
      <c r="C814" s="37" t="n"/>
      <c r="D814" s="37" t="n"/>
      <c r="E814" s="58" t="n"/>
      <c r="F814" s="38">
        <f>IF(A814="","",YEAR(A814))</f>
        <v/>
      </c>
      <c r="G814" s="37" t="n"/>
    </row>
    <row r="815" ht="16" customHeight="1">
      <c r="A815" s="39" t="n"/>
      <c r="B815" s="37" t="n"/>
      <c r="C815" s="37" t="n"/>
      <c r="D815" s="37" t="n"/>
      <c r="E815" s="58" t="n"/>
      <c r="F815" s="38">
        <f>IF(A815="","",YEAR(A815))</f>
        <v/>
      </c>
      <c r="G815" s="37" t="n"/>
    </row>
    <row r="816" ht="16" customHeight="1">
      <c r="A816" s="39" t="n"/>
      <c r="B816" s="37" t="n"/>
      <c r="C816" s="37" t="n"/>
      <c r="D816" s="37" t="n"/>
      <c r="E816" s="58" t="n"/>
      <c r="F816" s="38">
        <f>IF(A816="","",YEAR(A816))</f>
        <v/>
      </c>
      <c r="G816" s="37" t="n"/>
    </row>
    <row r="817" ht="16" customHeight="1">
      <c r="A817" s="39" t="n"/>
      <c r="B817" s="37" t="n"/>
      <c r="C817" s="37" t="n"/>
      <c r="D817" s="37" t="n"/>
      <c r="E817" s="58" t="n"/>
      <c r="F817" s="38">
        <f>IF(A817="","",YEAR(A817))</f>
        <v/>
      </c>
      <c r="G817" s="37" t="n"/>
    </row>
    <row r="818" ht="16" customHeight="1">
      <c r="A818" s="39" t="n"/>
      <c r="B818" s="37" t="n"/>
      <c r="C818" s="37" t="n"/>
      <c r="D818" s="37" t="n"/>
      <c r="E818" s="58" t="n"/>
      <c r="F818" s="38">
        <f>IF(A818="","",YEAR(A818))</f>
        <v/>
      </c>
      <c r="G818" s="37" t="n"/>
    </row>
    <row r="819" ht="16" customHeight="1">
      <c r="A819" s="39" t="n"/>
      <c r="B819" s="37" t="n"/>
      <c r="C819" s="37" t="n"/>
      <c r="D819" s="37" t="n"/>
      <c r="E819" s="58" t="n"/>
      <c r="F819" s="38">
        <f>IF(A819="","",YEAR(A819))</f>
        <v/>
      </c>
      <c r="G819" s="37" t="n"/>
    </row>
    <row r="820" ht="16" customHeight="1">
      <c r="A820" s="39" t="n"/>
      <c r="B820" s="37" t="n"/>
      <c r="C820" s="37" t="n"/>
      <c r="D820" s="37" t="n"/>
      <c r="E820" s="58" t="n"/>
      <c r="F820" s="38">
        <f>IF(A820="","",YEAR(A820))</f>
        <v/>
      </c>
      <c r="G820" s="37" t="n"/>
    </row>
    <row r="821" ht="16" customHeight="1">
      <c r="A821" s="39" t="n"/>
      <c r="B821" s="37" t="n"/>
      <c r="C821" s="37" t="n"/>
      <c r="D821" s="37" t="n"/>
      <c r="E821" s="58" t="n"/>
      <c r="F821" s="38">
        <f>IF(A821="","",YEAR(A821))</f>
        <v/>
      </c>
      <c r="G821" s="37" t="n"/>
    </row>
    <row r="822" ht="16" customHeight="1">
      <c r="A822" s="39" t="n"/>
      <c r="B822" s="37" t="n"/>
      <c r="C822" s="37" t="n"/>
      <c r="D822" s="37" t="n"/>
      <c r="E822" s="58" t="n"/>
      <c r="F822" s="38">
        <f>IF(A822="","",YEAR(A822))</f>
        <v/>
      </c>
      <c r="G822" s="37" t="n"/>
    </row>
    <row r="823" ht="16" customHeight="1">
      <c r="A823" s="39" t="n"/>
      <c r="B823" s="37" t="n"/>
      <c r="C823" s="37" t="n"/>
      <c r="D823" s="37" t="n"/>
      <c r="E823" s="58" t="n"/>
      <c r="F823" s="38">
        <f>IF(A823="","",YEAR(A823))</f>
        <v/>
      </c>
      <c r="G823" s="37" t="n"/>
    </row>
    <row r="824" ht="16" customHeight="1">
      <c r="A824" s="39" t="n"/>
      <c r="B824" s="37" t="n"/>
      <c r="C824" s="37" t="n"/>
      <c r="D824" s="37" t="n"/>
      <c r="E824" s="58" t="n"/>
      <c r="F824" s="38">
        <f>IF(A824="","",YEAR(A824))</f>
        <v/>
      </c>
      <c r="G824" s="37" t="n"/>
    </row>
    <row r="825" ht="16" customHeight="1">
      <c r="A825" s="39" t="n"/>
      <c r="B825" s="37" t="n"/>
      <c r="C825" s="37" t="n"/>
      <c r="D825" s="37" t="n"/>
      <c r="E825" s="58" t="n"/>
      <c r="F825" s="38">
        <f>IF(A825="","",YEAR(A825))</f>
        <v/>
      </c>
      <c r="G825" s="37" t="n"/>
    </row>
    <row r="826" ht="16" customHeight="1">
      <c r="A826" s="39" t="n"/>
      <c r="B826" s="37" t="n"/>
      <c r="C826" s="37" t="n"/>
      <c r="D826" s="37" t="n"/>
      <c r="E826" s="58" t="n"/>
      <c r="F826" s="38">
        <f>IF(A826="","",YEAR(A826))</f>
        <v/>
      </c>
      <c r="G826" s="37" t="n"/>
    </row>
    <row r="827" ht="16" customHeight="1">
      <c r="A827" s="39" t="n"/>
      <c r="B827" s="37" t="n"/>
      <c r="C827" s="37" t="n"/>
      <c r="D827" s="37" t="n"/>
      <c r="E827" s="58" t="n"/>
      <c r="F827" s="38">
        <f>IF(A827="","",YEAR(A827))</f>
        <v/>
      </c>
      <c r="G827" s="37" t="n"/>
    </row>
    <row r="828" ht="16" customHeight="1">
      <c r="A828" s="39" t="n"/>
      <c r="B828" s="37" t="n"/>
      <c r="C828" s="37" t="n"/>
      <c r="D828" s="37" t="n"/>
      <c r="E828" s="58" t="n"/>
      <c r="F828" s="38">
        <f>IF(A828="","",YEAR(A828))</f>
        <v/>
      </c>
      <c r="G828" s="37" t="n"/>
    </row>
    <row r="829" ht="16" customHeight="1">
      <c r="A829" s="39" t="n"/>
      <c r="B829" s="37" t="n"/>
      <c r="C829" s="37" t="n"/>
      <c r="D829" s="37" t="n"/>
      <c r="E829" s="58" t="n"/>
      <c r="F829" s="38">
        <f>IF(A829="","",YEAR(A829))</f>
        <v/>
      </c>
      <c r="G829" s="37" t="n"/>
    </row>
    <row r="830" ht="16" customHeight="1">
      <c r="A830" s="39" t="n"/>
      <c r="B830" s="37" t="n"/>
      <c r="C830" s="37" t="n"/>
      <c r="D830" s="37" t="n"/>
      <c r="E830" s="58" t="n"/>
      <c r="F830" s="38">
        <f>IF(A830="","",YEAR(A830))</f>
        <v/>
      </c>
      <c r="G830" s="37" t="n"/>
    </row>
    <row r="831" ht="16" customHeight="1">
      <c r="A831" s="39" t="n"/>
      <c r="B831" s="37" t="n"/>
      <c r="C831" s="37" t="n"/>
      <c r="D831" s="37" t="n"/>
      <c r="E831" s="58" t="n"/>
      <c r="F831" s="38">
        <f>IF(A831="","",YEAR(A831))</f>
        <v/>
      </c>
      <c r="G831" s="37" t="n"/>
    </row>
    <row r="832" ht="16" customHeight="1">
      <c r="A832" s="39" t="n"/>
      <c r="B832" s="37" t="n"/>
      <c r="C832" s="37" t="n"/>
      <c r="D832" s="37" t="n"/>
      <c r="E832" s="58" t="n"/>
      <c r="F832" s="38">
        <f>IF(A832="","",YEAR(A832))</f>
        <v/>
      </c>
      <c r="G832" s="37" t="n"/>
    </row>
    <row r="833" ht="16" customHeight="1">
      <c r="A833" s="39" t="n"/>
      <c r="B833" s="37" t="n"/>
      <c r="C833" s="37" t="n"/>
      <c r="D833" s="37" t="n"/>
      <c r="E833" s="58" t="n"/>
      <c r="F833" s="38">
        <f>IF(A833="","",YEAR(A833))</f>
        <v/>
      </c>
      <c r="G833" s="37" t="n"/>
    </row>
    <row r="834" ht="16" customHeight="1">
      <c r="A834" s="39" t="n"/>
      <c r="B834" s="37" t="n"/>
      <c r="C834" s="37" t="n"/>
      <c r="D834" s="37" t="n"/>
      <c r="E834" s="58" t="n"/>
      <c r="F834" s="38">
        <f>IF(A834="","",YEAR(A834))</f>
        <v/>
      </c>
      <c r="G834" s="37" t="n"/>
    </row>
    <row r="835" ht="16" customHeight="1">
      <c r="A835" s="39" t="n"/>
      <c r="B835" s="37" t="n"/>
      <c r="C835" s="37" t="n"/>
      <c r="D835" s="37" t="n"/>
      <c r="E835" s="58" t="n"/>
      <c r="F835" s="38">
        <f>IF(A835="","",YEAR(A835))</f>
        <v/>
      </c>
      <c r="G835" s="37" t="n"/>
    </row>
    <row r="836" ht="16" customHeight="1">
      <c r="A836" s="39" t="n"/>
      <c r="B836" s="37" t="n"/>
      <c r="C836" s="37" t="n"/>
      <c r="D836" s="37" t="n"/>
      <c r="E836" s="58" t="n"/>
      <c r="F836" s="38">
        <f>IF(A836="","",YEAR(A836))</f>
        <v/>
      </c>
      <c r="G836" s="37" t="n"/>
    </row>
    <row r="837" ht="16" customHeight="1">
      <c r="A837" s="39" t="n"/>
      <c r="B837" s="37" t="n"/>
      <c r="C837" s="37" t="n"/>
      <c r="D837" s="37" t="n"/>
      <c r="E837" s="58" t="n"/>
      <c r="F837" s="38">
        <f>IF(A837="","",YEAR(A837))</f>
        <v/>
      </c>
      <c r="G837" s="37" t="n"/>
    </row>
    <row r="838" ht="16" customHeight="1">
      <c r="A838" s="39" t="n"/>
      <c r="B838" s="37" t="n"/>
      <c r="C838" s="37" t="n"/>
      <c r="D838" s="37" t="n"/>
      <c r="E838" s="58" t="n"/>
      <c r="F838" s="38">
        <f>IF(A838="","",YEAR(A838))</f>
        <v/>
      </c>
      <c r="G838" s="37" t="n"/>
    </row>
    <row r="839" ht="16" customHeight="1">
      <c r="A839" s="39" t="n"/>
      <c r="B839" s="37" t="n"/>
      <c r="C839" s="37" t="n"/>
      <c r="D839" s="37" t="n"/>
      <c r="E839" s="58" t="n"/>
      <c r="F839" s="38">
        <f>IF(A839="","",YEAR(A839))</f>
        <v/>
      </c>
      <c r="G839" s="37" t="n"/>
    </row>
    <row r="840" ht="16" customHeight="1">
      <c r="A840" s="39" t="n"/>
      <c r="B840" s="37" t="n"/>
      <c r="C840" s="37" t="n"/>
      <c r="D840" s="37" t="n"/>
      <c r="E840" s="58" t="n"/>
      <c r="F840" s="38">
        <f>IF(A840="","",YEAR(A840))</f>
        <v/>
      </c>
      <c r="G840" s="37" t="n"/>
    </row>
    <row r="841" ht="16" customHeight="1">
      <c r="A841" s="39" t="n"/>
      <c r="B841" s="37" t="n"/>
      <c r="C841" s="37" t="n"/>
      <c r="D841" s="37" t="n"/>
      <c r="E841" s="58" t="n"/>
      <c r="F841" s="38">
        <f>IF(A841="","",YEAR(A841))</f>
        <v/>
      </c>
      <c r="G841" s="37" t="n"/>
    </row>
    <row r="842" ht="16" customHeight="1">
      <c r="A842" s="39" t="n"/>
      <c r="B842" s="37" t="n"/>
      <c r="C842" s="37" t="n"/>
      <c r="D842" s="37" t="n"/>
      <c r="E842" s="58" t="n"/>
      <c r="F842" s="38">
        <f>IF(A842="","",YEAR(A842))</f>
        <v/>
      </c>
      <c r="G842" s="37" t="n"/>
    </row>
    <row r="843" ht="16" customHeight="1">
      <c r="A843" s="39" t="n"/>
      <c r="B843" s="37" t="n"/>
      <c r="C843" s="37" t="n"/>
      <c r="D843" s="37" t="n"/>
      <c r="E843" s="58" t="n"/>
      <c r="F843" s="38">
        <f>IF(A843="","",YEAR(A843))</f>
        <v/>
      </c>
      <c r="G843" s="37" t="n"/>
    </row>
    <row r="844" ht="16" customHeight="1">
      <c r="A844" s="39" t="n"/>
      <c r="B844" s="37" t="n"/>
      <c r="C844" s="37" t="n"/>
      <c r="D844" s="37" t="n"/>
      <c r="E844" s="58" t="n"/>
      <c r="F844" s="38">
        <f>IF(A844="","",YEAR(A844))</f>
        <v/>
      </c>
      <c r="G844" s="37" t="n"/>
    </row>
    <row r="845" ht="16" customHeight="1">
      <c r="A845" s="39" t="n"/>
      <c r="B845" s="37" t="n"/>
      <c r="C845" s="37" t="n"/>
      <c r="D845" s="37" t="n"/>
      <c r="E845" s="58" t="n"/>
      <c r="F845" s="38">
        <f>IF(A845="","",YEAR(A845))</f>
        <v/>
      </c>
      <c r="G845" s="37" t="n"/>
    </row>
    <row r="846" ht="16" customHeight="1">
      <c r="A846" s="39" t="n"/>
      <c r="B846" s="37" t="n"/>
      <c r="C846" s="37" t="n"/>
      <c r="D846" s="37" t="n"/>
      <c r="E846" s="58" t="n"/>
      <c r="F846" s="38">
        <f>IF(A846="","",YEAR(A846))</f>
        <v/>
      </c>
      <c r="G846" s="37" t="n"/>
    </row>
    <row r="847" ht="16" customHeight="1">
      <c r="A847" s="39" t="n"/>
      <c r="B847" s="37" t="n"/>
      <c r="C847" s="37" t="n"/>
      <c r="D847" s="37" t="n"/>
      <c r="E847" s="58" t="n"/>
      <c r="F847" s="38">
        <f>IF(A847="","",YEAR(A847))</f>
        <v/>
      </c>
      <c r="G847" s="37" t="n"/>
    </row>
    <row r="848" ht="16" customHeight="1">
      <c r="A848" s="39" t="n"/>
      <c r="B848" s="37" t="n"/>
      <c r="C848" s="37" t="n"/>
      <c r="D848" s="37" t="n"/>
      <c r="E848" s="58" t="n"/>
      <c r="F848" s="38">
        <f>IF(A848="","",YEAR(A848))</f>
        <v/>
      </c>
      <c r="G848" s="37" t="n"/>
    </row>
    <row r="849" ht="16" customHeight="1">
      <c r="A849" s="39" t="n"/>
      <c r="B849" s="37" t="n"/>
      <c r="C849" s="37" t="n"/>
      <c r="D849" s="37" t="n"/>
      <c r="E849" s="58" t="n"/>
      <c r="F849" s="38">
        <f>IF(A849="","",YEAR(A849))</f>
        <v/>
      </c>
      <c r="G849" s="37" t="n"/>
    </row>
    <row r="850" ht="16" customHeight="1">
      <c r="A850" s="39" t="n"/>
      <c r="B850" s="37" t="n"/>
      <c r="C850" s="37" t="n"/>
      <c r="D850" s="37" t="n"/>
      <c r="E850" s="58" t="n"/>
      <c r="F850" s="38">
        <f>IF(A850="","",YEAR(A850))</f>
        <v/>
      </c>
      <c r="G850" s="37" t="n"/>
    </row>
    <row r="851" ht="16" customHeight="1">
      <c r="A851" s="39" t="n"/>
      <c r="B851" s="37" t="n"/>
      <c r="C851" s="37" t="n"/>
      <c r="D851" s="37" t="n"/>
      <c r="E851" s="58" t="n"/>
      <c r="F851" s="38">
        <f>IF(A851="","",YEAR(A851))</f>
        <v/>
      </c>
      <c r="G851" s="37" t="n"/>
    </row>
    <row r="852" ht="16" customHeight="1">
      <c r="A852" s="39" t="n"/>
      <c r="B852" s="37" t="n"/>
      <c r="C852" s="37" t="n"/>
      <c r="D852" s="37" t="n"/>
      <c r="E852" s="58" t="n"/>
      <c r="F852" s="38">
        <f>IF(A852="","",YEAR(A852))</f>
        <v/>
      </c>
      <c r="G852" s="37" t="n"/>
    </row>
    <row r="853" ht="16" customHeight="1">
      <c r="A853" s="39" t="n"/>
      <c r="B853" s="37" t="n"/>
      <c r="C853" s="37" t="n"/>
      <c r="D853" s="37" t="n"/>
      <c r="E853" s="58" t="n"/>
      <c r="F853" s="38">
        <f>IF(A853="","",YEAR(A853))</f>
        <v/>
      </c>
      <c r="G853" s="37" t="n"/>
    </row>
    <row r="854" ht="16" customHeight="1">
      <c r="A854" s="39" t="n"/>
      <c r="B854" s="37" t="n"/>
      <c r="C854" s="37" t="n"/>
      <c r="D854" s="37" t="n"/>
      <c r="E854" s="58" t="n"/>
      <c r="F854" s="38">
        <f>IF(A854="","",YEAR(A854))</f>
        <v/>
      </c>
      <c r="G854" s="37" t="n"/>
    </row>
    <row r="855" ht="16" customHeight="1">
      <c r="A855" s="39" t="n"/>
      <c r="B855" s="37" t="n"/>
      <c r="C855" s="37" t="n"/>
      <c r="D855" s="37" t="n"/>
      <c r="E855" s="58" t="n"/>
      <c r="F855" s="38">
        <f>IF(A855="","",YEAR(A855))</f>
        <v/>
      </c>
      <c r="G855" s="37" t="n"/>
    </row>
    <row r="856" ht="16" customHeight="1">
      <c r="A856" s="39" t="n"/>
      <c r="B856" s="37" t="n"/>
      <c r="C856" s="37" t="n"/>
      <c r="D856" s="37" t="n"/>
      <c r="E856" s="58" t="n"/>
      <c r="F856" s="38">
        <f>IF(A856="","",YEAR(A856))</f>
        <v/>
      </c>
      <c r="G856" s="37" t="n"/>
    </row>
    <row r="857" ht="16" customHeight="1">
      <c r="A857" s="39" t="n"/>
      <c r="B857" s="37" t="n"/>
      <c r="C857" s="37" t="n"/>
      <c r="D857" s="37" t="n"/>
      <c r="E857" s="58" t="n"/>
      <c r="F857" s="38">
        <f>IF(A857="","",YEAR(A857))</f>
        <v/>
      </c>
      <c r="G857" s="37" t="n"/>
    </row>
    <row r="858" ht="16" customHeight="1">
      <c r="A858" s="39" t="n"/>
      <c r="B858" s="37" t="n"/>
      <c r="C858" s="37" t="n"/>
      <c r="D858" s="37" t="n"/>
      <c r="E858" s="58" t="n"/>
      <c r="F858" s="38">
        <f>IF(A858="","",YEAR(A858))</f>
        <v/>
      </c>
      <c r="G858" s="37" t="n"/>
    </row>
    <row r="859" ht="16" customHeight="1">
      <c r="A859" s="39" t="n"/>
      <c r="B859" s="37" t="n"/>
      <c r="C859" s="37" t="n"/>
      <c r="D859" s="37" t="n"/>
      <c r="E859" s="58" t="n"/>
      <c r="F859" s="38">
        <f>IF(A859="","",YEAR(A859))</f>
        <v/>
      </c>
      <c r="G859" s="37" t="n"/>
    </row>
    <row r="860" ht="16" customHeight="1">
      <c r="A860" s="39" t="n"/>
      <c r="B860" s="37" t="n"/>
      <c r="C860" s="37" t="n"/>
      <c r="D860" s="37" t="n"/>
      <c r="E860" s="58" t="n"/>
      <c r="F860" s="38">
        <f>IF(A860="","",YEAR(A860))</f>
        <v/>
      </c>
      <c r="G860" s="37" t="n"/>
    </row>
    <row r="861" ht="16" customHeight="1">
      <c r="A861" s="39" t="n"/>
      <c r="B861" s="37" t="n"/>
      <c r="C861" s="37" t="n"/>
      <c r="D861" s="37" t="n"/>
      <c r="E861" s="58" t="n"/>
      <c r="F861" s="38">
        <f>IF(A861="","",YEAR(A861))</f>
        <v/>
      </c>
      <c r="G861" s="37" t="n"/>
    </row>
    <row r="862" ht="16" customHeight="1">
      <c r="A862" s="39" t="n"/>
      <c r="B862" s="37" t="n"/>
      <c r="C862" s="37" t="n"/>
      <c r="D862" s="37" t="n"/>
      <c r="E862" s="58" t="n"/>
      <c r="F862" s="38">
        <f>IF(A862="","",YEAR(A862))</f>
        <v/>
      </c>
      <c r="G862" s="37" t="n"/>
    </row>
    <row r="863" ht="16" customHeight="1">
      <c r="A863" s="39" t="n"/>
      <c r="B863" s="37" t="n"/>
      <c r="C863" s="37" t="n"/>
      <c r="D863" s="37" t="n"/>
      <c r="E863" s="58" t="n"/>
      <c r="F863" s="38">
        <f>IF(A863="","",YEAR(A863))</f>
        <v/>
      </c>
      <c r="G863" s="37" t="n"/>
    </row>
    <row r="864" ht="16" customHeight="1">
      <c r="A864" s="39" t="n"/>
      <c r="B864" s="37" t="n"/>
      <c r="C864" s="37" t="n"/>
      <c r="D864" s="37" t="n"/>
      <c r="E864" s="58" t="n"/>
      <c r="F864" s="38">
        <f>IF(A864="","",YEAR(A864))</f>
        <v/>
      </c>
      <c r="G864" s="37" t="n"/>
    </row>
    <row r="865" ht="16" customHeight="1">
      <c r="A865" s="39" t="n"/>
      <c r="B865" s="37" t="n"/>
      <c r="C865" s="37" t="n"/>
      <c r="D865" s="37" t="n"/>
      <c r="E865" s="58" t="n"/>
      <c r="F865" s="38">
        <f>IF(A865="","",YEAR(A865))</f>
        <v/>
      </c>
      <c r="G865" s="37" t="n"/>
    </row>
    <row r="866" ht="16" customHeight="1">
      <c r="A866" s="39" t="n"/>
      <c r="B866" s="37" t="n"/>
      <c r="C866" s="37" t="n"/>
      <c r="D866" s="37" t="n"/>
      <c r="E866" s="58" t="n"/>
      <c r="F866" s="38">
        <f>IF(A866="","",YEAR(A866))</f>
        <v/>
      </c>
      <c r="G866" s="37" t="n"/>
    </row>
    <row r="867" ht="16" customHeight="1">
      <c r="A867" s="39" t="n"/>
      <c r="B867" s="37" t="n"/>
      <c r="C867" s="37" t="n"/>
      <c r="D867" s="37" t="n"/>
      <c r="E867" s="58" t="n"/>
      <c r="F867" s="38">
        <f>IF(A867="","",YEAR(A867))</f>
        <v/>
      </c>
      <c r="G867" s="37" t="n"/>
    </row>
    <row r="868" ht="16" customHeight="1">
      <c r="A868" s="39" t="n"/>
      <c r="B868" s="37" t="n"/>
      <c r="C868" s="37" t="n"/>
      <c r="D868" s="37" t="n"/>
      <c r="E868" s="58" t="n"/>
      <c r="F868" s="38">
        <f>IF(A868="","",YEAR(A868))</f>
        <v/>
      </c>
      <c r="G868" s="37" t="n"/>
    </row>
    <row r="869" ht="16" customHeight="1">
      <c r="A869" s="39" t="n"/>
      <c r="B869" s="37" t="n"/>
      <c r="C869" s="37" t="n"/>
      <c r="D869" s="37" t="n"/>
      <c r="E869" s="58" t="n"/>
      <c r="F869" s="38">
        <f>IF(A869="","",YEAR(A869))</f>
        <v/>
      </c>
      <c r="G869" s="37" t="n"/>
    </row>
    <row r="870" ht="16" customHeight="1">
      <c r="A870" s="39" t="n"/>
      <c r="B870" s="37" t="n"/>
      <c r="C870" s="37" t="n"/>
      <c r="D870" s="37" t="n"/>
      <c r="E870" s="58" t="n"/>
      <c r="F870" s="38">
        <f>IF(A870="","",YEAR(A870))</f>
        <v/>
      </c>
      <c r="G870" s="37" t="n"/>
    </row>
    <row r="871" ht="16" customHeight="1">
      <c r="A871" s="39" t="n"/>
      <c r="B871" s="37" t="n"/>
      <c r="C871" s="37" t="n"/>
      <c r="D871" s="37" t="n"/>
      <c r="E871" s="58" t="n"/>
      <c r="F871" s="38">
        <f>IF(A871="","",YEAR(A871))</f>
        <v/>
      </c>
      <c r="G871" s="37" t="n"/>
    </row>
    <row r="872" ht="16" customHeight="1">
      <c r="A872" s="39" t="n"/>
      <c r="B872" s="37" t="n"/>
      <c r="C872" s="37" t="n"/>
      <c r="D872" s="37" t="n"/>
      <c r="E872" s="58" t="n"/>
      <c r="F872" s="38">
        <f>IF(A872="","",YEAR(A872))</f>
        <v/>
      </c>
      <c r="G872" s="37" t="n"/>
    </row>
    <row r="873" ht="16" customHeight="1">
      <c r="A873" s="39" t="n"/>
      <c r="B873" s="37" t="n"/>
      <c r="C873" s="37" t="n"/>
      <c r="D873" s="37" t="n"/>
      <c r="E873" s="58" t="n"/>
      <c r="F873" s="38">
        <f>IF(A873="","",YEAR(A873))</f>
        <v/>
      </c>
      <c r="G873" s="37" t="n"/>
    </row>
    <row r="874" ht="16" customHeight="1">
      <c r="A874" s="39" t="n"/>
      <c r="B874" s="37" t="n"/>
      <c r="C874" s="37" t="n"/>
      <c r="D874" s="37" t="n"/>
      <c r="E874" s="58" t="n"/>
      <c r="F874" s="38">
        <f>IF(A874="","",YEAR(A874))</f>
        <v/>
      </c>
      <c r="G874" s="37" t="n"/>
    </row>
    <row r="875" ht="16" customHeight="1">
      <c r="A875" s="39" t="n"/>
      <c r="B875" s="37" t="n"/>
      <c r="C875" s="37" t="n"/>
      <c r="D875" s="37" t="n"/>
      <c r="E875" s="58" t="n"/>
      <c r="F875" s="38">
        <f>IF(A875="","",YEAR(A875))</f>
        <v/>
      </c>
      <c r="G875" s="37" t="n"/>
    </row>
    <row r="876" ht="16" customHeight="1">
      <c r="A876" s="39" t="n"/>
      <c r="B876" s="37" t="n"/>
      <c r="C876" s="37" t="n"/>
      <c r="D876" s="37" t="n"/>
      <c r="E876" s="58" t="n"/>
      <c r="F876" s="38">
        <f>IF(A876="","",YEAR(A876))</f>
        <v/>
      </c>
      <c r="G876" s="37" t="n"/>
    </row>
    <row r="877" ht="16" customHeight="1">
      <c r="A877" s="39" t="n"/>
      <c r="B877" s="37" t="n"/>
      <c r="C877" s="37" t="n"/>
      <c r="D877" s="37" t="n"/>
      <c r="E877" s="58" t="n"/>
      <c r="F877" s="38">
        <f>IF(A877="","",YEAR(A877))</f>
        <v/>
      </c>
      <c r="G877" s="37" t="n"/>
    </row>
    <row r="878" ht="16" customHeight="1">
      <c r="A878" s="39" t="n"/>
      <c r="B878" s="37" t="n"/>
      <c r="C878" s="37" t="n"/>
      <c r="D878" s="37" t="n"/>
      <c r="E878" s="58" t="n"/>
      <c r="F878" s="38">
        <f>IF(A878="","",YEAR(A878))</f>
        <v/>
      </c>
      <c r="G878" s="37" t="n"/>
    </row>
    <row r="879" ht="16" customHeight="1">
      <c r="A879" s="39" t="n"/>
      <c r="B879" s="37" t="n"/>
      <c r="C879" s="37" t="n"/>
      <c r="D879" s="37" t="n"/>
      <c r="E879" s="58" t="n"/>
      <c r="F879" s="38">
        <f>IF(A879="","",YEAR(A879))</f>
        <v/>
      </c>
      <c r="G879" s="37" t="n"/>
    </row>
    <row r="880" ht="16" customHeight="1">
      <c r="A880" s="39" t="n"/>
      <c r="B880" s="37" t="n"/>
      <c r="C880" s="37" t="n"/>
      <c r="D880" s="37" t="n"/>
      <c r="E880" s="58" t="n"/>
      <c r="F880" s="38">
        <f>IF(A880="","",YEAR(A880))</f>
        <v/>
      </c>
      <c r="G880" s="37" t="n"/>
    </row>
    <row r="881" ht="16" customHeight="1">
      <c r="A881" s="39" t="n"/>
      <c r="B881" s="37" t="n"/>
      <c r="C881" s="37" t="n"/>
      <c r="D881" s="37" t="n"/>
      <c r="E881" s="58" t="n"/>
      <c r="F881" s="38">
        <f>IF(A881="","",YEAR(A881))</f>
        <v/>
      </c>
      <c r="G881" s="37" t="n"/>
    </row>
    <row r="882" ht="16" customHeight="1">
      <c r="A882" s="39" t="n"/>
      <c r="B882" s="37" t="n"/>
      <c r="C882" s="37" t="n"/>
      <c r="D882" s="37" t="n"/>
      <c r="E882" s="58" t="n"/>
      <c r="F882" s="38">
        <f>IF(A882="","",YEAR(A882))</f>
        <v/>
      </c>
      <c r="G882" s="37" t="n"/>
    </row>
    <row r="883" ht="16" customHeight="1">
      <c r="A883" s="39" t="n"/>
      <c r="B883" s="37" t="n"/>
      <c r="C883" s="37" t="n"/>
      <c r="D883" s="37" t="n"/>
      <c r="E883" s="58" t="n"/>
      <c r="F883" s="38">
        <f>IF(A883="","",YEAR(A883))</f>
        <v/>
      </c>
      <c r="G883" s="37" t="n"/>
    </row>
    <row r="884" ht="16" customHeight="1">
      <c r="A884" s="39" t="n"/>
      <c r="B884" s="37" t="n"/>
      <c r="C884" s="37" t="n"/>
      <c r="D884" s="37" t="n"/>
      <c r="E884" s="58" t="n"/>
      <c r="F884" s="38">
        <f>IF(A884="","",YEAR(A884))</f>
        <v/>
      </c>
      <c r="G884" s="37" t="n"/>
    </row>
    <row r="885" ht="16" customHeight="1">
      <c r="A885" s="39" t="n"/>
      <c r="B885" s="37" t="n"/>
      <c r="C885" s="37" t="n"/>
      <c r="D885" s="37" t="n"/>
      <c r="E885" s="58" t="n"/>
      <c r="F885" s="38">
        <f>IF(A885="","",YEAR(A885))</f>
        <v/>
      </c>
      <c r="G885" s="37" t="n"/>
    </row>
    <row r="886" ht="16" customHeight="1">
      <c r="A886" s="39" t="n"/>
      <c r="B886" s="37" t="n"/>
      <c r="C886" s="37" t="n"/>
      <c r="D886" s="37" t="n"/>
      <c r="E886" s="58" t="n"/>
      <c r="F886" s="38">
        <f>IF(A886="","",YEAR(A886))</f>
        <v/>
      </c>
      <c r="G886" s="37" t="n"/>
    </row>
    <row r="887" ht="16" customHeight="1">
      <c r="A887" s="39" t="n"/>
      <c r="B887" s="37" t="n"/>
      <c r="C887" s="37" t="n"/>
      <c r="D887" s="37" t="n"/>
      <c r="E887" s="58" t="n"/>
      <c r="F887" s="38">
        <f>IF(A887="","",YEAR(A887))</f>
        <v/>
      </c>
      <c r="G887" s="37" t="n"/>
    </row>
    <row r="888" ht="16" customHeight="1">
      <c r="A888" s="39" t="n"/>
      <c r="B888" s="37" t="n"/>
      <c r="C888" s="37" t="n"/>
      <c r="D888" s="37" t="n"/>
      <c r="E888" s="58" t="n"/>
      <c r="F888" s="38">
        <f>IF(A888="","",YEAR(A888))</f>
        <v/>
      </c>
      <c r="G888" s="37" t="n"/>
    </row>
    <row r="889" ht="16" customHeight="1">
      <c r="A889" s="39" t="n"/>
      <c r="B889" s="37" t="n"/>
      <c r="C889" s="37" t="n"/>
      <c r="D889" s="37" t="n"/>
      <c r="E889" s="58" t="n"/>
      <c r="F889" s="38">
        <f>IF(A889="","",YEAR(A889))</f>
        <v/>
      </c>
      <c r="G889" s="37" t="n"/>
    </row>
    <row r="890" ht="16" customHeight="1">
      <c r="A890" s="39" t="n"/>
      <c r="B890" s="37" t="n"/>
      <c r="C890" s="37" t="n"/>
      <c r="D890" s="37" t="n"/>
      <c r="E890" s="58" t="n"/>
      <c r="F890" s="38">
        <f>IF(A890="","",YEAR(A890))</f>
        <v/>
      </c>
      <c r="G890" s="37" t="n"/>
    </row>
    <row r="891" ht="16" customHeight="1">
      <c r="A891" s="39" t="n"/>
      <c r="B891" s="37" t="n"/>
      <c r="C891" s="37" t="n"/>
      <c r="D891" s="37" t="n"/>
      <c r="E891" s="58" t="n"/>
      <c r="F891" s="38">
        <f>IF(A891="","",YEAR(A891))</f>
        <v/>
      </c>
      <c r="G891" s="37" t="n"/>
    </row>
    <row r="892" ht="16" customHeight="1">
      <c r="A892" s="39" t="n"/>
      <c r="B892" s="37" t="n"/>
      <c r="C892" s="37" t="n"/>
      <c r="D892" s="37" t="n"/>
      <c r="E892" s="58" t="n"/>
      <c r="F892" s="38">
        <f>IF(A892="","",YEAR(A892))</f>
        <v/>
      </c>
      <c r="G892" s="37" t="n"/>
    </row>
    <row r="893" ht="16" customHeight="1">
      <c r="A893" s="39" t="n"/>
      <c r="B893" s="37" t="n"/>
      <c r="C893" s="37" t="n"/>
      <c r="D893" s="37" t="n"/>
      <c r="E893" s="58" t="n"/>
      <c r="F893" s="38">
        <f>IF(A893="","",YEAR(A893))</f>
        <v/>
      </c>
      <c r="G893" s="37" t="n"/>
    </row>
    <row r="894" ht="16" customHeight="1">
      <c r="A894" s="39" t="n"/>
      <c r="B894" s="37" t="n"/>
      <c r="C894" s="37" t="n"/>
      <c r="D894" s="37" t="n"/>
      <c r="E894" s="58" t="n"/>
      <c r="F894" s="38">
        <f>IF(A894="","",YEAR(A894))</f>
        <v/>
      </c>
      <c r="G894" s="37" t="n"/>
    </row>
    <row r="895" ht="16" customHeight="1">
      <c r="A895" s="39" t="n"/>
      <c r="B895" s="37" t="n"/>
      <c r="C895" s="37" t="n"/>
      <c r="D895" s="37" t="n"/>
      <c r="E895" s="58" t="n"/>
      <c r="F895" s="38">
        <f>IF(A895="","",YEAR(A895))</f>
        <v/>
      </c>
      <c r="G895" s="37" t="n"/>
    </row>
    <row r="896" ht="16" customHeight="1">
      <c r="A896" s="39" t="n"/>
      <c r="B896" s="37" t="n"/>
      <c r="C896" s="37" t="n"/>
      <c r="D896" s="37" t="n"/>
      <c r="E896" s="58" t="n"/>
      <c r="F896" s="38">
        <f>IF(A896="","",YEAR(A896))</f>
        <v/>
      </c>
      <c r="G896" s="37" t="n"/>
    </row>
    <row r="897" ht="16" customHeight="1">
      <c r="A897" s="39" t="n"/>
      <c r="B897" s="37" t="n"/>
      <c r="C897" s="37" t="n"/>
      <c r="D897" s="37" t="n"/>
      <c r="E897" s="58" t="n"/>
      <c r="F897" s="38">
        <f>IF(A897="","",YEAR(A897))</f>
        <v/>
      </c>
      <c r="G897" s="37" t="n"/>
    </row>
    <row r="898" ht="16" customHeight="1">
      <c r="A898" s="39" t="n"/>
      <c r="B898" s="37" t="n"/>
      <c r="C898" s="37" t="n"/>
      <c r="D898" s="37" t="n"/>
      <c r="E898" s="58" t="n"/>
      <c r="F898" s="38">
        <f>IF(A898="","",YEAR(A898))</f>
        <v/>
      </c>
      <c r="G898" s="37" t="n"/>
    </row>
    <row r="899" ht="16" customHeight="1">
      <c r="A899" s="39" t="n"/>
      <c r="B899" s="37" t="n"/>
      <c r="C899" s="37" t="n"/>
      <c r="D899" s="37" t="n"/>
      <c r="E899" s="58" t="n"/>
      <c r="F899" s="38">
        <f>IF(A899="","",YEAR(A899))</f>
        <v/>
      </c>
      <c r="G899" s="37" t="n"/>
    </row>
    <row r="900" ht="16" customHeight="1">
      <c r="A900" s="39" t="n"/>
      <c r="B900" s="37" t="n"/>
      <c r="C900" s="37" t="n"/>
      <c r="D900" s="37" t="n"/>
      <c r="E900" s="58" t="n"/>
      <c r="F900" s="38">
        <f>IF(A900="","",YEAR(A900))</f>
        <v/>
      </c>
      <c r="G900" s="37" t="n"/>
    </row>
    <row r="901" ht="16" customHeight="1">
      <c r="A901" s="39" t="n"/>
      <c r="B901" s="37" t="n"/>
      <c r="C901" s="37" t="n"/>
      <c r="D901" s="37" t="n"/>
      <c r="E901" s="58" t="n"/>
      <c r="F901" s="38">
        <f>IF(A901="","",YEAR(A901))</f>
        <v/>
      </c>
      <c r="G901" s="37" t="n"/>
    </row>
    <row r="902" ht="16" customHeight="1">
      <c r="A902" s="39" t="n"/>
      <c r="B902" s="37" t="n"/>
      <c r="C902" s="37" t="n"/>
      <c r="D902" s="37" t="n"/>
      <c r="E902" s="58" t="n"/>
      <c r="F902" s="38">
        <f>IF(A902="","",YEAR(A902))</f>
        <v/>
      </c>
      <c r="G902" s="37" t="n"/>
    </row>
    <row r="903" ht="16" customHeight="1">
      <c r="A903" s="39" t="n"/>
      <c r="B903" s="37" t="n"/>
      <c r="C903" s="37" t="n"/>
      <c r="D903" s="37" t="n"/>
      <c r="E903" s="58" t="n"/>
      <c r="F903" s="38">
        <f>IF(A903="","",YEAR(A903))</f>
        <v/>
      </c>
      <c r="G903" s="37" t="n"/>
    </row>
    <row r="904" ht="16" customHeight="1">
      <c r="A904" s="39" t="n"/>
      <c r="B904" s="37" t="n"/>
      <c r="C904" s="37" t="n"/>
      <c r="D904" s="37" t="n"/>
      <c r="E904" s="58" t="n"/>
      <c r="F904" s="38">
        <f>IF(A904="","",YEAR(A904))</f>
        <v/>
      </c>
      <c r="G904" s="37" t="n"/>
    </row>
    <row r="905" ht="16" customHeight="1">
      <c r="A905" s="39" t="n"/>
      <c r="B905" s="37" t="n"/>
      <c r="C905" s="37" t="n"/>
      <c r="D905" s="37" t="n"/>
      <c r="E905" s="58" t="n"/>
      <c r="F905" s="38">
        <f>IF(A905="","",YEAR(A905))</f>
        <v/>
      </c>
      <c r="G905" s="37" t="n"/>
    </row>
    <row r="906" ht="16" customHeight="1">
      <c r="A906" s="39" t="n"/>
      <c r="B906" s="37" t="n"/>
      <c r="C906" s="37" t="n"/>
      <c r="D906" s="37" t="n"/>
      <c r="E906" s="58" t="n"/>
      <c r="F906" s="38">
        <f>IF(A906="","",YEAR(A906))</f>
        <v/>
      </c>
      <c r="G906" s="37" t="n"/>
    </row>
    <row r="907" ht="16" customHeight="1">
      <c r="A907" s="39" t="n"/>
      <c r="B907" s="37" t="n"/>
      <c r="C907" s="37" t="n"/>
      <c r="D907" s="37" t="n"/>
      <c r="E907" s="58" t="n"/>
      <c r="F907" s="38">
        <f>IF(A907="","",YEAR(A907))</f>
        <v/>
      </c>
      <c r="G907" s="37" t="n"/>
    </row>
    <row r="908" ht="16" customHeight="1">
      <c r="A908" s="39" t="n"/>
      <c r="B908" s="37" t="n"/>
      <c r="C908" s="37" t="n"/>
      <c r="D908" s="37" t="n"/>
      <c r="E908" s="58" t="n"/>
      <c r="F908" s="38">
        <f>IF(A908="","",YEAR(A908))</f>
        <v/>
      </c>
      <c r="G908" s="37" t="n"/>
    </row>
    <row r="909" ht="16" customHeight="1">
      <c r="A909" s="39" t="n"/>
      <c r="B909" s="37" t="n"/>
      <c r="C909" s="37" t="n"/>
      <c r="D909" s="37" t="n"/>
      <c r="E909" s="58" t="n"/>
      <c r="F909" s="38">
        <f>IF(A909="","",YEAR(A909))</f>
        <v/>
      </c>
      <c r="G909" s="37" t="n"/>
    </row>
    <row r="910" ht="16" customHeight="1">
      <c r="A910" s="39" t="n"/>
      <c r="B910" s="37" t="n"/>
      <c r="C910" s="37" t="n"/>
      <c r="D910" s="37" t="n"/>
      <c r="E910" s="58" t="n"/>
      <c r="F910" s="38">
        <f>IF(A910="","",YEAR(A910))</f>
        <v/>
      </c>
      <c r="G910" s="37" t="n"/>
    </row>
    <row r="911" ht="16" customHeight="1">
      <c r="A911" s="39" t="n"/>
      <c r="B911" s="37" t="n"/>
      <c r="C911" s="37" t="n"/>
      <c r="D911" s="37" t="n"/>
      <c r="E911" s="58" t="n"/>
      <c r="F911" s="38">
        <f>IF(A911="","",YEAR(A911))</f>
        <v/>
      </c>
      <c r="G911" s="37" t="n"/>
    </row>
    <row r="912" ht="16" customHeight="1">
      <c r="A912" s="39" t="n"/>
      <c r="B912" s="37" t="n"/>
      <c r="C912" s="37" t="n"/>
      <c r="D912" s="37" t="n"/>
      <c r="E912" s="58" t="n"/>
      <c r="F912" s="38">
        <f>IF(A912="","",YEAR(A912))</f>
        <v/>
      </c>
      <c r="G912" s="37" t="n"/>
    </row>
    <row r="913" ht="16" customHeight="1">
      <c r="A913" s="39" t="n"/>
      <c r="B913" s="37" t="n"/>
      <c r="C913" s="37" t="n"/>
      <c r="D913" s="37" t="n"/>
      <c r="E913" s="58" t="n"/>
      <c r="F913" s="38">
        <f>IF(A913="","",YEAR(A913))</f>
        <v/>
      </c>
      <c r="G913" s="37" t="n"/>
    </row>
    <row r="914" ht="16" customHeight="1">
      <c r="A914" s="39" t="n"/>
      <c r="B914" s="37" t="n"/>
      <c r="C914" s="37" t="n"/>
      <c r="D914" s="37" t="n"/>
      <c r="E914" s="58" t="n"/>
      <c r="F914" s="38">
        <f>IF(A914="","",YEAR(A914))</f>
        <v/>
      </c>
      <c r="G914" s="37" t="n"/>
    </row>
    <row r="915" ht="16" customHeight="1">
      <c r="A915" s="39" t="n"/>
      <c r="B915" s="37" t="n"/>
      <c r="C915" s="37" t="n"/>
      <c r="D915" s="37" t="n"/>
      <c r="E915" s="58" t="n"/>
      <c r="F915" s="38">
        <f>IF(A915="","",YEAR(A915))</f>
        <v/>
      </c>
      <c r="G915" s="37" t="n"/>
    </row>
    <row r="916" ht="16" customHeight="1">
      <c r="A916" s="39" t="n"/>
      <c r="B916" s="37" t="n"/>
      <c r="C916" s="37" t="n"/>
      <c r="D916" s="37" t="n"/>
      <c r="E916" s="58" t="n"/>
      <c r="F916" s="38">
        <f>IF(A916="","",YEAR(A916))</f>
        <v/>
      </c>
      <c r="G916" s="37" t="n"/>
    </row>
    <row r="917" ht="16" customHeight="1">
      <c r="A917" s="39" t="n"/>
      <c r="B917" s="37" t="n"/>
      <c r="C917" s="37" t="n"/>
      <c r="D917" s="37" t="n"/>
      <c r="E917" s="58" t="n"/>
      <c r="F917" s="38">
        <f>IF(A917="","",YEAR(A917))</f>
        <v/>
      </c>
      <c r="G917" s="37" t="n"/>
    </row>
    <row r="918" ht="16" customHeight="1">
      <c r="A918" s="39" t="n"/>
      <c r="B918" s="37" t="n"/>
      <c r="C918" s="37" t="n"/>
      <c r="D918" s="37" t="n"/>
      <c r="E918" s="58" t="n"/>
      <c r="F918" s="38">
        <f>IF(A918="","",YEAR(A918))</f>
        <v/>
      </c>
      <c r="G918" s="37" t="n"/>
    </row>
    <row r="919" ht="16" customHeight="1">
      <c r="A919" s="39" t="n"/>
      <c r="B919" s="37" t="n"/>
      <c r="C919" s="37" t="n"/>
      <c r="D919" s="37" t="n"/>
      <c r="E919" s="58" t="n"/>
      <c r="F919" s="38">
        <f>IF(A919="","",YEAR(A919))</f>
        <v/>
      </c>
      <c r="G919" s="37" t="n"/>
    </row>
    <row r="920" ht="16" customHeight="1">
      <c r="A920" s="39" t="n"/>
      <c r="B920" s="37" t="n"/>
      <c r="C920" s="37" t="n"/>
      <c r="D920" s="37" t="n"/>
      <c r="E920" s="58" t="n"/>
      <c r="F920" s="38">
        <f>IF(A920="","",YEAR(A920))</f>
        <v/>
      </c>
      <c r="G920" s="37" t="n"/>
    </row>
    <row r="921" ht="16" customHeight="1">
      <c r="A921" s="39" t="n"/>
      <c r="B921" s="37" t="n"/>
      <c r="C921" s="37" t="n"/>
      <c r="D921" s="37" t="n"/>
      <c r="E921" s="58" t="n"/>
      <c r="F921" s="38">
        <f>IF(A921="","",YEAR(A921))</f>
        <v/>
      </c>
      <c r="G921" s="37" t="n"/>
    </row>
    <row r="922" ht="16" customHeight="1">
      <c r="A922" s="39" t="n"/>
      <c r="B922" s="37" t="n"/>
      <c r="C922" s="37" t="n"/>
      <c r="D922" s="37" t="n"/>
      <c r="E922" s="58" t="n"/>
      <c r="F922" s="38">
        <f>IF(A922="","",YEAR(A922))</f>
        <v/>
      </c>
      <c r="G922" s="37" t="n"/>
    </row>
    <row r="923" ht="16" customHeight="1">
      <c r="A923" s="39" t="n"/>
      <c r="B923" s="37" t="n"/>
      <c r="C923" s="37" t="n"/>
      <c r="D923" s="37" t="n"/>
      <c r="E923" s="58" t="n"/>
      <c r="F923" s="38">
        <f>IF(A923="","",YEAR(A923))</f>
        <v/>
      </c>
      <c r="G923" s="37" t="n"/>
    </row>
    <row r="924" ht="16" customHeight="1">
      <c r="A924" s="39" t="n"/>
      <c r="B924" s="37" t="n"/>
      <c r="C924" s="37" t="n"/>
      <c r="D924" s="37" t="n"/>
      <c r="E924" s="58" t="n"/>
      <c r="F924" s="38">
        <f>IF(A924="","",YEAR(A924))</f>
        <v/>
      </c>
      <c r="G924" s="37" t="n"/>
    </row>
    <row r="925" ht="16" customHeight="1">
      <c r="A925" s="39" t="n"/>
      <c r="B925" s="37" t="n"/>
      <c r="C925" s="37" t="n"/>
      <c r="D925" s="37" t="n"/>
      <c r="E925" s="58" t="n"/>
      <c r="F925" s="38">
        <f>IF(A925="","",YEAR(A925))</f>
        <v/>
      </c>
      <c r="G925" s="37" t="n"/>
    </row>
    <row r="926" ht="16" customHeight="1">
      <c r="A926" s="39" t="n"/>
      <c r="B926" s="37" t="n"/>
      <c r="C926" s="37" t="n"/>
      <c r="D926" s="37" t="n"/>
      <c r="E926" s="58" t="n"/>
      <c r="F926" s="38">
        <f>IF(A926="","",YEAR(A926))</f>
        <v/>
      </c>
      <c r="G926" s="37" t="n"/>
    </row>
    <row r="927" ht="16" customHeight="1">
      <c r="A927" s="39" t="n"/>
      <c r="B927" s="37" t="n"/>
      <c r="C927" s="37" t="n"/>
      <c r="D927" s="37" t="n"/>
      <c r="E927" s="58" t="n"/>
      <c r="F927" s="38">
        <f>IF(A927="","",YEAR(A927))</f>
        <v/>
      </c>
      <c r="G927" s="37" t="n"/>
    </row>
    <row r="928" ht="16" customHeight="1">
      <c r="A928" s="39" t="n"/>
      <c r="B928" s="37" t="n"/>
      <c r="C928" s="37" t="n"/>
      <c r="D928" s="37" t="n"/>
      <c r="E928" s="58" t="n"/>
      <c r="F928" s="38">
        <f>IF(A928="","",YEAR(A928))</f>
        <v/>
      </c>
      <c r="G928" s="37" t="n"/>
    </row>
    <row r="929" ht="16" customHeight="1">
      <c r="A929" s="39" t="n"/>
      <c r="B929" s="37" t="n"/>
      <c r="C929" s="37" t="n"/>
      <c r="D929" s="37" t="n"/>
      <c r="E929" s="58" t="n"/>
      <c r="F929" s="38">
        <f>IF(A929="","",YEAR(A929))</f>
        <v/>
      </c>
      <c r="G929" s="37" t="n"/>
    </row>
    <row r="930" ht="16" customHeight="1">
      <c r="A930" s="39" t="n"/>
      <c r="B930" s="37" t="n"/>
      <c r="C930" s="37" t="n"/>
      <c r="D930" s="37" t="n"/>
      <c r="E930" s="58" t="n"/>
      <c r="F930" s="38">
        <f>IF(A930="","",YEAR(A930))</f>
        <v/>
      </c>
      <c r="G930" s="37" t="n"/>
    </row>
    <row r="931" ht="16" customHeight="1">
      <c r="A931" s="39" t="n"/>
      <c r="B931" s="37" t="n"/>
      <c r="C931" s="37" t="n"/>
      <c r="D931" s="37" t="n"/>
      <c r="E931" s="58" t="n"/>
      <c r="F931" s="38">
        <f>IF(A931="","",YEAR(A931))</f>
        <v/>
      </c>
      <c r="G931" s="37" t="n"/>
    </row>
    <row r="932" ht="16" customHeight="1">
      <c r="A932" s="39" t="n"/>
      <c r="B932" s="37" t="n"/>
      <c r="C932" s="37" t="n"/>
      <c r="D932" s="37" t="n"/>
      <c r="E932" s="58" t="n"/>
      <c r="F932" s="38">
        <f>IF(A932="","",YEAR(A932))</f>
        <v/>
      </c>
      <c r="G932" s="37" t="n"/>
    </row>
    <row r="933" ht="16" customHeight="1">
      <c r="A933" s="39" t="n"/>
      <c r="B933" s="37" t="n"/>
      <c r="C933" s="37" t="n"/>
      <c r="D933" s="37" t="n"/>
      <c r="E933" s="58" t="n"/>
      <c r="F933" s="38">
        <f>IF(A933="","",YEAR(A933))</f>
        <v/>
      </c>
      <c r="G933" s="37" t="n"/>
    </row>
    <row r="934" ht="16" customHeight="1">
      <c r="A934" s="39" t="n"/>
      <c r="B934" s="37" t="n"/>
      <c r="C934" s="37" t="n"/>
      <c r="D934" s="37" t="n"/>
      <c r="E934" s="58" t="n"/>
      <c r="F934" s="38">
        <f>IF(A934="","",YEAR(A934))</f>
        <v/>
      </c>
      <c r="G934" s="37" t="n"/>
    </row>
    <row r="935" ht="16" customHeight="1">
      <c r="A935" s="39" t="n"/>
      <c r="B935" s="37" t="n"/>
      <c r="C935" s="37" t="n"/>
      <c r="D935" s="37" t="n"/>
      <c r="E935" s="58" t="n"/>
      <c r="F935" s="38">
        <f>IF(A935="","",YEAR(A935))</f>
        <v/>
      </c>
      <c r="G935" s="37" t="n"/>
    </row>
    <row r="936" ht="16" customHeight="1">
      <c r="A936" s="39" t="n"/>
      <c r="B936" s="37" t="n"/>
      <c r="C936" s="37" t="n"/>
      <c r="D936" s="37" t="n"/>
      <c r="E936" s="58" t="n"/>
      <c r="F936" s="38">
        <f>IF(A936="","",YEAR(A936))</f>
        <v/>
      </c>
      <c r="G936" s="37" t="n"/>
    </row>
    <row r="937" ht="16" customHeight="1">
      <c r="A937" s="39" t="n"/>
      <c r="B937" s="37" t="n"/>
      <c r="C937" s="37" t="n"/>
      <c r="D937" s="37" t="n"/>
      <c r="E937" s="58" t="n"/>
      <c r="F937" s="38">
        <f>IF(A937="","",YEAR(A937))</f>
        <v/>
      </c>
      <c r="G937" s="37" t="n"/>
    </row>
    <row r="938" ht="16" customHeight="1">
      <c r="A938" s="39" t="n"/>
      <c r="B938" s="37" t="n"/>
      <c r="C938" s="37" t="n"/>
      <c r="D938" s="37" t="n"/>
      <c r="E938" s="58" t="n"/>
      <c r="F938" s="38">
        <f>IF(A938="","",YEAR(A938))</f>
        <v/>
      </c>
      <c r="G938" s="37" t="n"/>
    </row>
    <row r="939" ht="16" customHeight="1">
      <c r="A939" s="39" t="n"/>
      <c r="B939" s="37" t="n"/>
      <c r="C939" s="37" t="n"/>
      <c r="D939" s="37" t="n"/>
      <c r="E939" s="58" t="n"/>
      <c r="F939" s="38">
        <f>IF(A939="","",YEAR(A939))</f>
        <v/>
      </c>
      <c r="G939" s="37" t="n"/>
    </row>
    <row r="940" ht="16" customHeight="1">
      <c r="A940" s="39" t="n"/>
      <c r="B940" s="37" t="n"/>
      <c r="C940" s="37" t="n"/>
      <c r="D940" s="37" t="n"/>
      <c r="E940" s="58" t="n"/>
      <c r="F940" s="38">
        <f>IF(A940="","",YEAR(A940))</f>
        <v/>
      </c>
      <c r="G940" s="37" t="n"/>
    </row>
    <row r="941" ht="16" customHeight="1">
      <c r="A941" s="39" t="n"/>
      <c r="B941" s="37" t="n"/>
      <c r="C941" s="37" t="n"/>
      <c r="D941" s="37" t="n"/>
      <c r="E941" s="58" t="n"/>
      <c r="F941" s="38">
        <f>IF(A941="","",YEAR(A941))</f>
        <v/>
      </c>
      <c r="G941" s="37" t="n"/>
    </row>
    <row r="942" ht="16" customHeight="1">
      <c r="A942" s="39" t="n"/>
      <c r="B942" s="37" t="n"/>
      <c r="C942" s="37" t="n"/>
      <c r="D942" s="37" t="n"/>
      <c r="E942" s="58" t="n"/>
      <c r="F942" s="38">
        <f>IF(A942="","",YEAR(A942))</f>
        <v/>
      </c>
      <c r="G942" s="37" t="n"/>
    </row>
    <row r="943" ht="16" customHeight="1">
      <c r="A943" s="39" t="n"/>
      <c r="B943" s="37" t="n"/>
      <c r="C943" s="37" t="n"/>
      <c r="D943" s="37" t="n"/>
      <c r="E943" s="58" t="n"/>
      <c r="F943" s="38">
        <f>IF(A943="","",YEAR(A943))</f>
        <v/>
      </c>
      <c r="G943" s="37" t="n"/>
    </row>
    <row r="944" ht="16" customHeight="1">
      <c r="A944" s="39" t="n"/>
      <c r="B944" s="37" t="n"/>
      <c r="C944" s="37" t="n"/>
      <c r="D944" s="37" t="n"/>
      <c r="E944" s="58" t="n"/>
      <c r="F944" s="38">
        <f>IF(A944="","",YEAR(A944))</f>
        <v/>
      </c>
      <c r="G944" s="37" t="n"/>
    </row>
    <row r="945" ht="16" customHeight="1">
      <c r="A945" s="39" t="n"/>
      <c r="B945" s="37" t="n"/>
      <c r="C945" s="37" t="n"/>
      <c r="D945" s="37" t="n"/>
      <c r="E945" s="58" t="n"/>
      <c r="F945" s="38">
        <f>IF(A945="","",YEAR(A945))</f>
        <v/>
      </c>
      <c r="G945" s="37" t="n"/>
    </row>
    <row r="946" ht="16" customHeight="1">
      <c r="A946" s="39" t="n"/>
      <c r="B946" s="37" t="n"/>
      <c r="C946" s="37" t="n"/>
      <c r="D946" s="37" t="n"/>
      <c r="E946" s="58" t="n"/>
      <c r="F946" s="38">
        <f>IF(A946="","",YEAR(A946))</f>
        <v/>
      </c>
      <c r="G946" s="37" t="n"/>
    </row>
    <row r="947" ht="16" customHeight="1">
      <c r="A947" s="39" t="n"/>
      <c r="B947" s="37" t="n"/>
      <c r="C947" s="37" t="n"/>
      <c r="D947" s="37" t="n"/>
      <c r="E947" s="58" t="n"/>
      <c r="F947" s="38">
        <f>IF(A947="","",YEAR(A947))</f>
        <v/>
      </c>
      <c r="G947" s="37" t="n"/>
    </row>
    <row r="948" ht="16" customHeight="1">
      <c r="A948" s="39" t="n"/>
      <c r="B948" s="37" t="n"/>
      <c r="C948" s="37" t="n"/>
      <c r="D948" s="37" t="n"/>
      <c r="E948" s="58" t="n"/>
      <c r="F948" s="38">
        <f>IF(A948="","",YEAR(A948))</f>
        <v/>
      </c>
      <c r="G948" s="37" t="n"/>
    </row>
    <row r="949" ht="16" customHeight="1">
      <c r="A949" s="39" t="n"/>
      <c r="B949" s="37" t="n"/>
      <c r="C949" s="37" t="n"/>
      <c r="D949" s="37" t="n"/>
      <c r="E949" s="58" t="n"/>
      <c r="F949" s="38">
        <f>IF(A949="","",YEAR(A949))</f>
        <v/>
      </c>
      <c r="G949" s="37" t="n"/>
    </row>
    <row r="950" ht="16" customHeight="1">
      <c r="A950" s="39" t="n"/>
      <c r="B950" s="37" t="n"/>
      <c r="C950" s="37" t="n"/>
      <c r="D950" s="37" t="n"/>
      <c r="E950" s="58" t="n"/>
      <c r="F950" s="38">
        <f>IF(A950="","",YEAR(A950))</f>
        <v/>
      </c>
      <c r="G950" s="37" t="n"/>
    </row>
    <row r="951" ht="16" customHeight="1">
      <c r="A951" s="39" t="n"/>
      <c r="B951" s="37" t="n"/>
      <c r="C951" s="37" t="n"/>
      <c r="D951" s="37" t="n"/>
      <c r="E951" s="58" t="n"/>
      <c r="F951" s="38">
        <f>IF(A951="","",YEAR(A951))</f>
        <v/>
      </c>
      <c r="G951" s="37" t="n"/>
    </row>
    <row r="952" ht="16" customHeight="1">
      <c r="A952" s="39" t="n"/>
      <c r="B952" s="37" t="n"/>
      <c r="C952" s="37" t="n"/>
      <c r="D952" s="37" t="n"/>
      <c r="E952" s="58" t="n"/>
      <c r="F952" s="38">
        <f>IF(A952="","",YEAR(A952))</f>
        <v/>
      </c>
      <c r="G952" s="37" t="n"/>
    </row>
    <row r="953" ht="16" customHeight="1">
      <c r="A953" s="39" t="n"/>
      <c r="B953" s="37" t="n"/>
      <c r="C953" s="37" t="n"/>
      <c r="D953" s="37" t="n"/>
      <c r="E953" s="58" t="n"/>
      <c r="F953" s="38">
        <f>IF(A953="","",YEAR(A953))</f>
        <v/>
      </c>
      <c r="G953" s="37" t="n"/>
    </row>
    <row r="954" ht="16" customHeight="1">
      <c r="A954" s="39" t="n"/>
      <c r="B954" s="37" t="n"/>
      <c r="C954" s="37" t="n"/>
      <c r="D954" s="37" t="n"/>
      <c r="E954" s="58" t="n"/>
      <c r="F954" s="38">
        <f>IF(A954="","",YEAR(A954))</f>
        <v/>
      </c>
      <c r="G954" s="37" t="n"/>
    </row>
    <row r="955" ht="16" customHeight="1">
      <c r="A955" s="39" t="n"/>
      <c r="B955" s="37" t="n"/>
      <c r="C955" s="37" t="n"/>
      <c r="D955" s="37" t="n"/>
      <c r="E955" s="58" t="n"/>
      <c r="F955" s="38">
        <f>IF(A955="","",YEAR(A955))</f>
        <v/>
      </c>
      <c r="G955" s="37" t="n"/>
    </row>
    <row r="956" ht="16" customHeight="1">
      <c r="A956" s="39" t="n"/>
      <c r="B956" s="37" t="n"/>
      <c r="C956" s="37" t="n"/>
      <c r="D956" s="37" t="n"/>
      <c r="E956" s="58" t="n"/>
      <c r="F956" s="38">
        <f>IF(A956="","",YEAR(A956))</f>
        <v/>
      </c>
      <c r="G956" s="37" t="n"/>
    </row>
    <row r="957" ht="16" customHeight="1">
      <c r="A957" s="39" t="n"/>
      <c r="B957" s="37" t="n"/>
      <c r="C957" s="37" t="n"/>
      <c r="D957" s="37" t="n"/>
      <c r="E957" s="58" t="n"/>
      <c r="F957" s="38">
        <f>IF(A957="","",YEAR(A957))</f>
        <v/>
      </c>
      <c r="G957" s="37" t="n"/>
    </row>
    <row r="958" ht="16" customHeight="1">
      <c r="A958" s="39" t="n"/>
      <c r="B958" s="37" t="n"/>
      <c r="C958" s="37" t="n"/>
      <c r="D958" s="37" t="n"/>
      <c r="E958" s="58" t="n"/>
      <c r="F958" s="38">
        <f>IF(A958="","",YEAR(A958))</f>
        <v/>
      </c>
      <c r="G958" s="37" t="n"/>
    </row>
    <row r="959" ht="16" customHeight="1">
      <c r="A959" s="39" t="n"/>
      <c r="B959" s="37" t="n"/>
      <c r="C959" s="37" t="n"/>
      <c r="D959" s="37" t="n"/>
      <c r="E959" s="58" t="n"/>
      <c r="F959" s="38">
        <f>IF(A959="","",YEAR(A959))</f>
        <v/>
      </c>
      <c r="G959" s="37" t="n"/>
    </row>
    <row r="960" ht="16" customHeight="1">
      <c r="A960" s="39" t="n"/>
      <c r="B960" s="37" t="n"/>
      <c r="C960" s="37" t="n"/>
      <c r="D960" s="37" t="n"/>
      <c r="E960" s="58" t="n"/>
      <c r="F960" s="38">
        <f>IF(A960="","",YEAR(A960))</f>
        <v/>
      </c>
      <c r="G960" s="37" t="n"/>
    </row>
    <row r="961" ht="16" customHeight="1">
      <c r="A961" s="39" t="n"/>
      <c r="B961" s="37" t="n"/>
      <c r="C961" s="37" t="n"/>
      <c r="D961" s="37" t="n"/>
      <c r="E961" s="58" t="n"/>
      <c r="F961" s="38">
        <f>IF(A961="","",YEAR(A961))</f>
        <v/>
      </c>
      <c r="G961" s="37" t="n"/>
    </row>
    <row r="962" ht="16" customHeight="1">
      <c r="A962" s="39" t="n"/>
      <c r="B962" s="37" t="n"/>
      <c r="C962" s="37" t="n"/>
      <c r="D962" s="37" t="n"/>
      <c r="E962" s="58" t="n"/>
      <c r="F962" s="38">
        <f>IF(A962="","",YEAR(A962))</f>
        <v/>
      </c>
      <c r="G962" s="37" t="n"/>
    </row>
    <row r="963" ht="16" customHeight="1">
      <c r="A963" s="39" t="n"/>
      <c r="B963" s="37" t="n"/>
      <c r="C963" s="37" t="n"/>
      <c r="D963" s="37" t="n"/>
      <c r="E963" s="58" t="n"/>
      <c r="F963" s="38">
        <f>IF(A963="","",YEAR(A963))</f>
        <v/>
      </c>
      <c r="G963" s="37" t="n"/>
    </row>
    <row r="964" ht="16" customHeight="1">
      <c r="A964" s="39" t="n"/>
      <c r="B964" s="37" t="n"/>
      <c r="C964" s="37" t="n"/>
      <c r="D964" s="37" t="n"/>
      <c r="E964" s="58" t="n"/>
      <c r="F964" s="38">
        <f>IF(A964="","",YEAR(A964))</f>
        <v/>
      </c>
      <c r="G964" s="37" t="n"/>
    </row>
    <row r="965" ht="16" customHeight="1">
      <c r="A965" s="39" t="n"/>
      <c r="B965" s="37" t="n"/>
      <c r="C965" s="37" t="n"/>
      <c r="D965" s="37" t="n"/>
      <c r="E965" s="58" t="n"/>
      <c r="F965" s="38">
        <f>IF(A965="","",YEAR(A965))</f>
        <v/>
      </c>
      <c r="G965" s="37" t="n"/>
    </row>
    <row r="966" ht="16" customHeight="1">
      <c r="A966" s="39" t="n"/>
      <c r="B966" s="37" t="n"/>
      <c r="C966" s="37" t="n"/>
      <c r="D966" s="37" t="n"/>
      <c r="E966" s="58" t="n"/>
      <c r="F966" s="38">
        <f>IF(A966="","",YEAR(A966))</f>
        <v/>
      </c>
      <c r="G966" s="37" t="n"/>
    </row>
    <row r="967" ht="16" customHeight="1">
      <c r="A967" s="39" t="n"/>
      <c r="B967" s="37" t="n"/>
      <c r="C967" s="37" t="n"/>
      <c r="D967" s="37" t="n"/>
      <c r="E967" s="58" t="n"/>
      <c r="F967" s="38">
        <f>IF(A967="","",YEAR(A967))</f>
        <v/>
      </c>
      <c r="G967" s="37" t="n"/>
    </row>
    <row r="968" ht="16" customHeight="1">
      <c r="A968" s="39" t="n"/>
      <c r="B968" s="37" t="n"/>
      <c r="C968" s="37" t="n"/>
      <c r="D968" s="37" t="n"/>
      <c r="E968" s="58" t="n"/>
      <c r="F968" s="38">
        <f>IF(A968="","",YEAR(A968))</f>
        <v/>
      </c>
      <c r="G968" s="37" t="n"/>
    </row>
    <row r="969" ht="16" customHeight="1">
      <c r="A969" s="39" t="n"/>
      <c r="B969" s="37" t="n"/>
      <c r="C969" s="37" t="n"/>
      <c r="D969" s="37" t="n"/>
      <c r="E969" s="58" t="n"/>
      <c r="F969" s="38">
        <f>IF(A969="","",YEAR(A969))</f>
        <v/>
      </c>
      <c r="G969" s="37" t="n"/>
    </row>
    <row r="970" ht="16" customHeight="1">
      <c r="A970" s="39" t="n"/>
      <c r="B970" s="37" t="n"/>
      <c r="C970" s="37" t="n"/>
      <c r="D970" s="37" t="n"/>
      <c r="E970" s="58" t="n"/>
      <c r="F970" s="38">
        <f>IF(A970="","",YEAR(A970))</f>
        <v/>
      </c>
      <c r="G970" s="37" t="n"/>
    </row>
    <row r="971" ht="16" customHeight="1">
      <c r="A971" s="39" t="n"/>
      <c r="B971" s="37" t="n"/>
      <c r="C971" s="37" t="n"/>
      <c r="D971" s="37" t="n"/>
      <c r="E971" s="58" t="n"/>
      <c r="F971" s="38">
        <f>IF(A971="","",YEAR(A971))</f>
        <v/>
      </c>
      <c r="G971" s="37" t="n"/>
    </row>
    <row r="972" ht="16" customHeight="1">
      <c r="A972" s="39" t="n"/>
      <c r="B972" s="37" t="n"/>
      <c r="C972" s="37" t="n"/>
      <c r="D972" s="37" t="n"/>
      <c r="E972" s="58" t="n"/>
      <c r="F972" s="38">
        <f>IF(A972="","",YEAR(A972))</f>
        <v/>
      </c>
      <c r="G972" s="37" t="n"/>
    </row>
    <row r="973" ht="16" customHeight="1">
      <c r="A973" s="39" t="n"/>
      <c r="B973" s="37" t="n"/>
      <c r="C973" s="37" t="n"/>
      <c r="D973" s="37" t="n"/>
      <c r="E973" s="58" t="n"/>
      <c r="F973" s="38">
        <f>IF(A973="","",YEAR(A973))</f>
        <v/>
      </c>
      <c r="G973" s="37" t="n"/>
    </row>
    <row r="974" ht="16" customHeight="1">
      <c r="A974" s="39" t="n"/>
      <c r="B974" s="37" t="n"/>
      <c r="C974" s="37" t="n"/>
      <c r="D974" s="37" t="n"/>
      <c r="E974" s="58" t="n"/>
      <c r="F974" s="38">
        <f>IF(A974="","",YEAR(A974))</f>
        <v/>
      </c>
      <c r="G974" s="37" t="n"/>
    </row>
    <row r="975" ht="16" customHeight="1">
      <c r="A975" s="39" t="n"/>
      <c r="B975" s="37" t="n"/>
      <c r="C975" s="37" t="n"/>
      <c r="D975" s="37" t="n"/>
      <c r="E975" s="58" t="n"/>
      <c r="F975" s="38">
        <f>IF(A975="","",YEAR(A975))</f>
        <v/>
      </c>
      <c r="G975" s="37" t="n"/>
    </row>
    <row r="976" ht="16" customHeight="1">
      <c r="A976" s="39" t="n"/>
      <c r="B976" s="37" t="n"/>
      <c r="C976" s="37" t="n"/>
      <c r="D976" s="37" t="n"/>
      <c r="E976" s="58" t="n"/>
      <c r="F976" s="38">
        <f>IF(A976="","",YEAR(A976))</f>
        <v/>
      </c>
      <c r="G976" s="37" t="n"/>
    </row>
    <row r="977" ht="16" customHeight="1">
      <c r="A977" s="39" t="n"/>
      <c r="B977" s="37" t="n"/>
      <c r="C977" s="37" t="n"/>
      <c r="D977" s="37" t="n"/>
      <c r="E977" s="58" t="n"/>
      <c r="F977" s="38">
        <f>IF(A977="","",YEAR(A977))</f>
        <v/>
      </c>
      <c r="G977" s="37" t="n"/>
    </row>
    <row r="978" ht="16" customHeight="1">
      <c r="A978" s="39" t="n"/>
      <c r="B978" s="37" t="n"/>
      <c r="C978" s="37" t="n"/>
      <c r="D978" s="37" t="n"/>
      <c r="E978" s="58" t="n"/>
      <c r="F978" s="38">
        <f>IF(A978="","",YEAR(A978))</f>
        <v/>
      </c>
      <c r="G978" s="37" t="n"/>
    </row>
    <row r="979" ht="16" customHeight="1">
      <c r="A979" s="39" t="n"/>
      <c r="B979" s="37" t="n"/>
      <c r="C979" s="37" t="n"/>
      <c r="D979" s="37" t="n"/>
      <c r="E979" s="58" t="n"/>
      <c r="F979" s="38">
        <f>IF(A979="","",YEAR(A979))</f>
        <v/>
      </c>
      <c r="G979" s="37" t="n"/>
    </row>
    <row r="980" ht="16" customHeight="1">
      <c r="A980" s="39" t="n"/>
      <c r="B980" s="37" t="n"/>
      <c r="C980" s="37" t="n"/>
      <c r="D980" s="37" t="n"/>
      <c r="E980" s="58" t="n"/>
      <c r="F980" s="38">
        <f>IF(A980="","",YEAR(A980))</f>
        <v/>
      </c>
      <c r="G980" s="37" t="n"/>
    </row>
    <row r="981" ht="16" customHeight="1">
      <c r="A981" s="39" t="n"/>
      <c r="B981" s="37" t="n"/>
      <c r="C981" s="37" t="n"/>
      <c r="D981" s="37" t="n"/>
      <c r="E981" s="58" t="n"/>
      <c r="F981" s="38">
        <f>IF(A981="","",YEAR(A981))</f>
        <v/>
      </c>
      <c r="G981" s="37" t="n"/>
    </row>
    <row r="982" ht="16" customHeight="1">
      <c r="A982" s="39" t="n"/>
      <c r="B982" s="37" t="n"/>
      <c r="C982" s="37" t="n"/>
      <c r="D982" s="37" t="n"/>
      <c r="E982" s="58" t="n"/>
      <c r="F982" s="38">
        <f>IF(A982="","",YEAR(A982))</f>
        <v/>
      </c>
      <c r="G982" s="37" t="n"/>
    </row>
    <row r="983" ht="16" customHeight="1">
      <c r="A983" s="39" t="n"/>
      <c r="B983" s="37" t="n"/>
      <c r="C983" s="37" t="n"/>
      <c r="D983" s="37" t="n"/>
      <c r="E983" s="58" t="n"/>
      <c r="F983" s="38">
        <f>IF(A983="","",YEAR(A983))</f>
        <v/>
      </c>
      <c r="G983" s="37" t="n"/>
    </row>
    <row r="984" ht="16" customHeight="1">
      <c r="A984" s="39" t="n"/>
      <c r="B984" s="37" t="n"/>
      <c r="C984" s="37" t="n"/>
      <c r="D984" s="37" t="n"/>
      <c r="E984" s="58" t="n"/>
      <c r="F984" s="38">
        <f>IF(A984="","",YEAR(A984))</f>
        <v/>
      </c>
      <c r="G984" s="37" t="n"/>
    </row>
    <row r="985" ht="16" customHeight="1">
      <c r="A985" s="39" t="n"/>
      <c r="B985" s="37" t="n"/>
      <c r="C985" s="37" t="n"/>
      <c r="D985" s="37" t="n"/>
      <c r="E985" s="58" t="n"/>
      <c r="F985" s="38">
        <f>IF(A985="","",YEAR(A985))</f>
        <v/>
      </c>
      <c r="G985" s="37" t="n"/>
    </row>
    <row r="986" ht="16" customHeight="1">
      <c r="A986" s="39" t="n"/>
      <c r="B986" s="37" t="n"/>
      <c r="C986" s="37" t="n"/>
      <c r="D986" s="37" t="n"/>
      <c r="E986" s="58" t="n"/>
      <c r="F986" s="38">
        <f>IF(A986="","",YEAR(A986))</f>
        <v/>
      </c>
      <c r="G986" s="37" t="n"/>
    </row>
    <row r="987" ht="16" customHeight="1">
      <c r="A987" s="39" t="n"/>
      <c r="B987" s="37" t="n"/>
      <c r="C987" s="37" t="n"/>
      <c r="D987" s="37" t="n"/>
      <c r="E987" s="58" t="n"/>
      <c r="F987" s="38">
        <f>IF(A987="","",YEAR(A987))</f>
        <v/>
      </c>
      <c r="G987" s="37" t="n"/>
    </row>
    <row r="988" ht="16" customHeight="1">
      <c r="A988" s="39" t="n"/>
      <c r="B988" s="37" t="n"/>
      <c r="C988" s="37" t="n"/>
      <c r="D988" s="37" t="n"/>
      <c r="E988" s="58" t="n"/>
      <c r="F988" s="38">
        <f>IF(A988="","",YEAR(A988))</f>
        <v/>
      </c>
      <c r="G988" s="37" t="n"/>
    </row>
    <row r="989" ht="16" customHeight="1">
      <c r="A989" s="39" t="n"/>
      <c r="B989" s="37" t="n"/>
      <c r="C989" s="37" t="n"/>
      <c r="D989" s="37" t="n"/>
      <c r="E989" s="58" t="n"/>
      <c r="F989" s="38">
        <f>IF(A989="","",YEAR(A989))</f>
        <v/>
      </c>
      <c r="G989" s="37" t="n"/>
    </row>
    <row r="990" ht="16" customHeight="1">
      <c r="A990" s="39" t="n"/>
      <c r="B990" s="37" t="n"/>
      <c r="C990" s="37" t="n"/>
      <c r="D990" s="37" t="n"/>
      <c r="E990" s="58" t="n"/>
      <c r="F990" s="38">
        <f>IF(A990="","",YEAR(A990))</f>
        <v/>
      </c>
      <c r="G990" s="37" t="n"/>
    </row>
    <row r="991" ht="16" customHeight="1">
      <c r="A991" s="39" t="n"/>
      <c r="B991" s="37" t="n"/>
      <c r="C991" s="37" t="n"/>
      <c r="D991" s="37" t="n"/>
      <c r="E991" s="58" t="n"/>
      <c r="F991" s="38">
        <f>IF(A991="","",YEAR(A991))</f>
        <v/>
      </c>
      <c r="G991" s="37" t="n"/>
    </row>
    <row r="992" ht="16" customHeight="1">
      <c r="A992" s="39" t="n"/>
      <c r="B992" s="37" t="n"/>
      <c r="C992" s="37" t="n"/>
      <c r="D992" s="37" t="n"/>
      <c r="E992" s="58" t="n"/>
      <c r="F992" s="38">
        <f>IF(A992="","",YEAR(A992))</f>
        <v/>
      </c>
      <c r="G992" s="37" t="n"/>
    </row>
    <row r="993" ht="16" customHeight="1">
      <c r="A993" s="39" t="n"/>
      <c r="B993" s="37" t="n"/>
      <c r="C993" s="37" t="n"/>
      <c r="D993" s="37" t="n"/>
      <c r="E993" s="58" t="n"/>
      <c r="F993" s="38">
        <f>IF(A993="","",YEAR(A993))</f>
        <v/>
      </c>
      <c r="G993" s="37" t="n"/>
    </row>
    <row r="994" ht="16" customHeight="1">
      <c r="A994" s="39" t="n"/>
      <c r="B994" s="37" t="n"/>
      <c r="C994" s="37" t="n"/>
      <c r="D994" s="37" t="n"/>
      <c r="E994" s="58" t="n"/>
      <c r="F994" s="38">
        <f>IF(A994="","",YEAR(A994))</f>
        <v/>
      </c>
      <c r="G994" s="37" t="n"/>
    </row>
    <row r="995" ht="16" customHeight="1">
      <c r="A995" s="39" t="n"/>
      <c r="B995" s="37" t="n"/>
      <c r="C995" s="37" t="n"/>
      <c r="D995" s="37" t="n"/>
      <c r="E995" s="58" t="n"/>
      <c r="F995" s="38">
        <f>IF(A995="","",YEAR(A995))</f>
        <v/>
      </c>
      <c r="G995" s="37" t="n"/>
    </row>
    <row r="996" ht="16" customHeight="1">
      <c r="A996" s="39" t="n"/>
      <c r="B996" s="37" t="n"/>
      <c r="C996" s="37" t="n"/>
      <c r="D996" s="37" t="n"/>
      <c r="E996" s="58" t="n"/>
      <c r="F996" s="38">
        <f>IF(A996="","",YEAR(A996))</f>
        <v/>
      </c>
      <c r="G996" s="37" t="n"/>
    </row>
    <row r="997" ht="16" customHeight="1">
      <c r="A997" s="39" t="n"/>
      <c r="B997" s="37" t="n"/>
      <c r="C997" s="37" t="n"/>
      <c r="D997" s="37" t="n"/>
      <c r="E997" s="58" t="n"/>
      <c r="F997" s="38">
        <f>IF(A997="","",YEAR(A997))</f>
        <v/>
      </c>
      <c r="G997" s="37" t="n"/>
    </row>
    <row r="998" ht="16" customHeight="1">
      <c r="A998" s="39" t="n"/>
      <c r="B998" s="37" t="n"/>
      <c r="C998" s="37" t="n"/>
      <c r="D998" s="37" t="n"/>
      <c r="E998" s="58" t="n"/>
      <c r="F998" s="38">
        <f>IF(A998="","",YEAR(A998))</f>
        <v/>
      </c>
      <c r="G998" s="37" t="n"/>
    </row>
    <row r="999" ht="16" customHeight="1">
      <c r="A999" s="39" t="n"/>
      <c r="B999" s="37" t="n"/>
      <c r="C999" s="37" t="n"/>
      <c r="D999" s="37" t="n"/>
      <c r="E999" s="58" t="n"/>
      <c r="F999" s="38">
        <f>IF(A999="","",YEAR(A999))</f>
        <v/>
      </c>
      <c r="G999" s="37" t="n"/>
    </row>
    <row r="1000" ht="16" customHeight="1">
      <c r="A1000" s="39" t="n"/>
      <c r="B1000" s="37" t="n"/>
      <c r="C1000" s="37" t="n"/>
      <c r="D1000" s="37" t="n"/>
      <c r="E1000" s="58" t="n"/>
      <c r="F1000" s="38">
        <f>IF(A1000="","",YEAR(A1000))</f>
        <v/>
      </c>
      <c r="G1000" s="37" t="n"/>
    </row>
    <row r="1001" ht="16" customHeight="1">
      <c r="A1001" s="39" t="n"/>
      <c r="B1001" s="37" t="n"/>
      <c r="C1001" s="37" t="n"/>
      <c r="D1001" s="37" t="n"/>
      <c r="E1001" s="58" t="n"/>
      <c r="F1001" s="38">
        <f>IF(A1001="","",YEAR(A1001))</f>
        <v/>
      </c>
      <c r="G1001" s="37" t="n"/>
    </row>
    <row r="1002" ht="16" customHeight="1">
      <c r="A1002" s="39" t="n"/>
      <c r="B1002" s="37" t="n"/>
      <c r="C1002" s="37" t="n"/>
      <c r="D1002" s="37" t="n"/>
      <c r="E1002" s="58" t="n"/>
      <c r="F1002" s="38">
        <f>IF(A1002="","",YEAR(A1002))</f>
        <v/>
      </c>
      <c r="G1002" s="37" t="n"/>
    </row>
    <row r="1003" ht="16" customHeight="1">
      <c r="A1003" s="39" t="n"/>
      <c r="B1003" s="37" t="n"/>
      <c r="C1003" s="37" t="n"/>
      <c r="D1003" s="37" t="n"/>
      <c r="E1003" s="58" t="n"/>
      <c r="F1003" s="38">
        <f>IF(A1003="","",YEAR(A1003))</f>
        <v/>
      </c>
      <c r="G1003" s="37" t="n"/>
    </row>
    <row r="1004" ht="16" customHeight="1">
      <c r="A1004" s="39" t="n"/>
      <c r="B1004" s="37" t="n"/>
      <c r="C1004" s="37" t="n"/>
      <c r="D1004" s="37" t="n"/>
      <c r="E1004" s="58" t="n"/>
      <c r="F1004" s="38">
        <f>IF(A1004="","",YEAR(A1004))</f>
        <v/>
      </c>
      <c r="G1004" s="37" t="n"/>
    </row>
    <row r="1005" ht="16" customHeight="1">
      <c r="A1005" s="39" t="n"/>
      <c r="B1005" s="37" t="n"/>
      <c r="C1005" s="37" t="n"/>
      <c r="D1005" s="37" t="n"/>
      <c r="E1005" s="58" t="n"/>
      <c r="F1005" s="38">
        <f>IF(A1005="","",YEAR(A1005))</f>
        <v/>
      </c>
      <c r="G1005" s="37" t="n"/>
    </row>
  </sheetData>
  <mergeCells count="4">
    <mergeCell ref="J2:L2"/>
    <mergeCell ref="D2:I2"/>
    <mergeCell ref="A2:C2"/>
    <mergeCell ref="A4:L4"/>
  </mergeCells>
  <dataValidations count="3">
    <dataValidation sqref="B6:B1005" showDropDown="0" showInputMessage="0" showErrorMessage="0" allowBlank="1" type="list">
      <formula1>='Settings'!$B$7:$B$21</formula1>
    </dataValidation>
    <dataValidation sqref="C6:C1005" showDropDown="0" showInputMessage="0" showErrorMessage="0" allowBlank="1" type="list">
      <formula1>='Settings'!$C$23:$C$52</formula1>
    </dataValidation>
    <dataValidation sqref="D6:D1005" showDropDown="0" showInputMessage="0" showErrorMessage="0" allowBlank="1" type="list">
      <formula1>"Listing mgmt,Guest comms,Vendor coord,Reporting,Maintenance,Other"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0" customWidth="1" min="5" max="5"/>
    <col width="28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HYPERLINK("#'Time Allocation'!A1", "← BACK")</f>
        <v/>
      </c>
      <c r="B2" s="25" t="n"/>
      <c r="C2" s="25" t="n"/>
      <c r="D2" s="34" t="inlineStr">
        <is>
          <t>OWNER PROFITABILITY</t>
        </is>
      </c>
      <c r="J2" s="26">
        <f>HYPERLINK("#'Settings'!A1",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Per-owner profitability — commission ÷ hours = $/hr. Bottom-3 highlighted red. Consider firing low-margin relationships.</t>
        </is>
      </c>
    </row>
    <row r="5" ht="26" customHeight="1">
      <c r="A5" s="36" t="inlineStr">
        <is>
          <t>Owner</t>
        </is>
      </c>
      <c r="B5" s="36" t="inlineStr">
        <is>
          <t>Commission YTD</t>
        </is>
      </c>
      <c r="C5" s="36" t="inlineStr">
        <is>
          <t>Hours YTD</t>
        </is>
      </c>
      <c r="D5" s="36" t="inlineStr">
        <is>
          <t>$/hr</t>
        </is>
      </c>
      <c r="E5" s="36" t="inlineStr">
        <is>
          <t>Rank</t>
        </is>
      </c>
      <c r="F5" s="36" t="inlineStr">
        <is>
          <t>Verdict</t>
        </is>
      </c>
    </row>
    <row r="6" ht="18" customHeight="1">
      <c r="A6" s="48">
        <f>IFERROR('Owners'!B6,"")</f>
        <v/>
      </c>
      <c r="B6" s="46">
        <f>IFERROR('Owners'!I6,0)</f>
        <v/>
      </c>
      <c r="C6" s="47">
        <f>IF('Owners'!B6="",0,SUMIFS('Time Allocation'!$E$6:$E$1005,'Time Allocation'!$B$6:$B$1005,'Owners'!B6,'Time Allocation'!$F$6:$F$1005,'Settings'!$B$5))</f>
        <v/>
      </c>
      <c r="D6" s="46">
        <f>IFERROR(B6/C6,0)</f>
        <v/>
      </c>
      <c r="E6" s="38">
        <f>IF(A6="","",RANK(D6,$D$6:$D$20,0))</f>
        <v/>
      </c>
      <c r="F6" s="48">
        <f>IF(A6="","",IF(D6&gt;=150,"Keep — strong",IF(D6&gt;=100,"OK — monitor",IF(D6&gt;=50,"Renegotiate","Fire candidate"))))</f>
        <v/>
      </c>
    </row>
    <row r="7" ht="18" customHeight="1">
      <c r="A7" s="48">
        <f>IFERROR('Owners'!B7,"")</f>
        <v/>
      </c>
      <c r="B7" s="46">
        <f>IFERROR('Owners'!I7,0)</f>
        <v/>
      </c>
      <c r="C7" s="47">
        <f>IF('Owners'!B7="",0,SUMIFS('Time Allocation'!$E$6:$E$1005,'Time Allocation'!$B$6:$B$1005,'Owners'!B7,'Time Allocation'!$F$6:$F$1005,'Settings'!$B$5))</f>
        <v/>
      </c>
      <c r="D7" s="46">
        <f>IFERROR(B7/C7,0)</f>
        <v/>
      </c>
      <c r="E7" s="38">
        <f>IF(A7="","",RANK(D7,$D$6:$D$20,0))</f>
        <v/>
      </c>
      <c r="F7" s="48">
        <f>IF(A7="","",IF(D7&gt;=150,"Keep — strong",IF(D7&gt;=100,"OK — monitor",IF(D7&gt;=50,"Renegotiate","Fire candidate"))))</f>
        <v/>
      </c>
    </row>
    <row r="8" ht="18" customHeight="1">
      <c r="A8" s="48">
        <f>IFERROR('Owners'!B8,"")</f>
        <v/>
      </c>
      <c r="B8" s="46">
        <f>IFERROR('Owners'!I8,0)</f>
        <v/>
      </c>
      <c r="C8" s="47">
        <f>IF('Owners'!B8="",0,SUMIFS('Time Allocation'!$E$6:$E$1005,'Time Allocation'!$B$6:$B$1005,'Owners'!B8,'Time Allocation'!$F$6:$F$1005,'Settings'!$B$5))</f>
        <v/>
      </c>
      <c r="D8" s="46">
        <f>IFERROR(B8/C8,0)</f>
        <v/>
      </c>
      <c r="E8" s="38">
        <f>IF(A8="","",RANK(D8,$D$6:$D$20,0))</f>
        <v/>
      </c>
      <c r="F8" s="48">
        <f>IF(A8="","",IF(D8&gt;=150,"Keep — strong",IF(D8&gt;=100,"OK — monitor",IF(D8&gt;=50,"Renegotiate","Fire candidate"))))</f>
        <v/>
      </c>
    </row>
    <row r="9" ht="18" customHeight="1">
      <c r="A9" s="48">
        <f>IFERROR('Owners'!B9,"")</f>
        <v/>
      </c>
      <c r="B9" s="46">
        <f>IFERROR('Owners'!I9,0)</f>
        <v/>
      </c>
      <c r="C9" s="47">
        <f>IF('Owners'!B9="",0,SUMIFS('Time Allocation'!$E$6:$E$1005,'Time Allocation'!$B$6:$B$1005,'Owners'!B9,'Time Allocation'!$F$6:$F$1005,'Settings'!$B$5))</f>
        <v/>
      </c>
      <c r="D9" s="46">
        <f>IFERROR(B9/C9,0)</f>
        <v/>
      </c>
      <c r="E9" s="38">
        <f>IF(A9="","",RANK(D9,$D$6:$D$20,0))</f>
        <v/>
      </c>
      <c r="F9" s="48">
        <f>IF(A9="","",IF(D9&gt;=150,"Keep — strong",IF(D9&gt;=100,"OK — monitor",IF(D9&gt;=50,"Renegotiate","Fire candidate"))))</f>
        <v/>
      </c>
    </row>
    <row r="10" ht="18" customHeight="1">
      <c r="A10" s="48">
        <f>IFERROR('Owners'!B10,"")</f>
        <v/>
      </c>
      <c r="B10" s="46">
        <f>IFERROR('Owners'!I10,0)</f>
        <v/>
      </c>
      <c r="C10" s="47">
        <f>IF('Owners'!B10="",0,SUMIFS('Time Allocation'!$E$6:$E$1005,'Time Allocation'!$B$6:$B$1005,'Owners'!B10,'Time Allocation'!$F$6:$F$1005,'Settings'!$B$5))</f>
        <v/>
      </c>
      <c r="D10" s="46">
        <f>IFERROR(B10/C10,0)</f>
        <v/>
      </c>
      <c r="E10" s="38">
        <f>IF(A10="","",RANK(D10,$D$6:$D$20,0))</f>
        <v/>
      </c>
      <c r="F10" s="48">
        <f>IF(A10="","",IF(D10&gt;=150,"Keep — strong",IF(D10&gt;=100,"OK — monitor",IF(D10&gt;=50,"Renegotiate","Fire candidate"))))</f>
        <v/>
      </c>
    </row>
    <row r="11" ht="18" customHeight="1">
      <c r="A11" s="48">
        <f>IFERROR('Owners'!B11,"")</f>
        <v/>
      </c>
      <c r="B11" s="46">
        <f>IFERROR('Owners'!I11,0)</f>
        <v/>
      </c>
      <c r="C11" s="47">
        <f>IF('Owners'!B11="",0,SUMIFS('Time Allocation'!$E$6:$E$1005,'Time Allocation'!$B$6:$B$1005,'Owners'!B11,'Time Allocation'!$F$6:$F$1005,'Settings'!$B$5))</f>
        <v/>
      </c>
      <c r="D11" s="46">
        <f>IFERROR(B11/C11,0)</f>
        <v/>
      </c>
      <c r="E11" s="38">
        <f>IF(A11="","",RANK(D11,$D$6:$D$20,0))</f>
        <v/>
      </c>
      <c r="F11" s="48">
        <f>IF(A11="","",IF(D11&gt;=150,"Keep — strong",IF(D11&gt;=100,"OK — monitor",IF(D11&gt;=50,"Renegotiate","Fire candidate"))))</f>
        <v/>
      </c>
    </row>
    <row r="12" ht="18" customHeight="1">
      <c r="A12" s="48">
        <f>IFERROR('Owners'!B12,"")</f>
        <v/>
      </c>
      <c r="B12" s="46">
        <f>IFERROR('Owners'!I12,0)</f>
        <v/>
      </c>
      <c r="C12" s="47">
        <f>IF('Owners'!B12="",0,SUMIFS('Time Allocation'!$E$6:$E$1005,'Time Allocation'!$B$6:$B$1005,'Owners'!B12,'Time Allocation'!$F$6:$F$1005,'Settings'!$B$5))</f>
        <v/>
      </c>
      <c r="D12" s="46">
        <f>IFERROR(B12/C12,0)</f>
        <v/>
      </c>
      <c r="E12" s="38">
        <f>IF(A12="","",RANK(D12,$D$6:$D$20,0))</f>
        <v/>
      </c>
      <c r="F12" s="48">
        <f>IF(A12="","",IF(D12&gt;=150,"Keep — strong",IF(D12&gt;=100,"OK — monitor",IF(D12&gt;=50,"Renegotiate","Fire candidate"))))</f>
        <v/>
      </c>
    </row>
    <row r="13" ht="18" customHeight="1">
      <c r="A13" s="48">
        <f>IFERROR('Owners'!B13,"")</f>
        <v/>
      </c>
      <c r="B13" s="46">
        <f>IFERROR('Owners'!I13,0)</f>
        <v/>
      </c>
      <c r="C13" s="47">
        <f>IF('Owners'!B13="",0,SUMIFS('Time Allocation'!$E$6:$E$1005,'Time Allocation'!$B$6:$B$1005,'Owners'!B13,'Time Allocation'!$F$6:$F$1005,'Settings'!$B$5))</f>
        <v/>
      </c>
      <c r="D13" s="46">
        <f>IFERROR(B13/C13,0)</f>
        <v/>
      </c>
      <c r="E13" s="38">
        <f>IF(A13="","",RANK(D13,$D$6:$D$20,0))</f>
        <v/>
      </c>
      <c r="F13" s="48">
        <f>IF(A13="","",IF(D13&gt;=150,"Keep — strong",IF(D13&gt;=100,"OK — monitor",IF(D13&gt;=50,"Renegotiate","Fire candidate"))))</f>
        <v/>
      </c>
    </row>
    <row r="14" ht="18" customHeight="1">
      <c r="A14" s="48">
        <f>IFERROR('Owners'!B14,"")</f>
        <v/>
      </c>
      <c r="B14" s="46">
        <f>IFERROR('Owners'!I14,0)</f>
        <v/>
      </c>
      <c r="C14" s="47">
        <f>IF('Owners'!B14="",0,SUMIFS('Time Allocation'!$E$6:$E$1005,'Time Allocation'!$B$6:$B$1005,'Owners'!B14,'Time Allocation'!$F$6:$F$1005,'Settings'!$B$5))</f>
        <v/>
      </c>
      <c r="D14" s="46">
        <f>IFERROR(B14/C14,0)</f>
        <v/>
      </c>
      <c r="E14" s="38">
        <f>IF(A14="","",RANK(D14,$D$6:$D$20,0))</f>
        <v/>
      </c>
      <c r="F14" s="48">
        <f>IF(A14="","",IF(D14&gt;=150,"Keep — strong",IF(D14&gt;=100,"OK — monitor",IF(D14&gt;=50,"Renegotiate","Fire candidate"))))</f>
        <v/>
      </c>
    </row>
    <row r="15" ht="18" customHeight="1">
      <c r="A15" s="48">
        <f>IFERROR('Owners'!B15,"")</f>
        <v/>
      </c>
      <c r="B15" s="46">
        <f>IFERROR('Owners'!I15,0)</f>
        <v/>
      </c>
      <c r="C15" s="47">
        <f>IF('Owners'!B15="",0,SUMIFS('Time Allocation'!$E$6:$E$1005,'Time Allocation'!$B$6:$B$1005,'Owners'!B15,'Time Allocation'!$F$6:$F$1005,'Settings'!$B$5))</f>
        <v/>
      </c>
      <c r="D15" s="46">
        <f>IFERROR(B15/C15,0)</f>
        <v/>
      </c>
      <c r="E15" s="38">
        <f>IF(A15="","",RANK(D15,$D$6:$D$20,0))</f>
        <v/>
      </c>
      <c r="F15" s="48">
        <f>IF(A15="","",IF(D15&gt;=150,"Keep — strong",IF(D15&gt;=100,"OK — monitor",IF(D15&gt;=50,"Renegotiate","Fire candidate"))))</f>
        <v/>
      </c>
    </row>
    <row r="16" ht="18" customHeight="1">
      <c r="A16" s="48">
        <f>IFERROR('Owners'!B16,"")</f>
        <v/>
      </c>
      <c r="B16" s="46">
        <f>IFERROR('Owners'!I16,0)</f>
        <v/>
      </c>
      <c r="C16" s="47">
        <f>IF('Owners'!B16="",0,SUMIFS('Time Allocation'!$E$6:$E$1005,'Time Allocation'!$B$6:$B$1005,'Owners'!B16,'Time Allocation'!$F$6:$F$1005,'Settings'!$B$5))</f>
        <v/>
      </c>
      <c r="D16" s="46">
        <f>IFERROR(B16/C16,0)</f>
        <v/>
      </c>
      <c r="E16" s="38">
        <f>IF(A16="","",RANK(D16,$D$6:$D$20,0))</f>
        <v/>
      </c>
      <c r="F16" s="48">
        <f>IF(A16="","",IF(D16&gt;=150,"Keep — strong",IF(D16&gt;=100,"OK — monitor",IF(D16&gt;=50,"Renegotiate","Fire candidate"))))</f>
        <v/>
      </c>
    </row>
    <row r="17" ht="18" customHeight="1">
      <c r="A17" s="48">
        <f>IFERROR('Owners'!B17,"")</f>
        <v/>
      </c>
      <c r="B17" s="46">
        <f>IFERROR('Owners'!I17,0)</f>
        <v/>
      </c>
      <c r="C17" s="47">
        <f>IF('Owners'!B17="",0,SUMIFS('Time Allocation'!$E$6:$E$1005,'Time Allocation'!$B$6:$B$1005,'Owners'!B17,'Time Allocation'!$F$6:$F$1005,'Settings'!$B$5))</f>
        <v/>
      </c>
      <c r="D17" s="46">
        <f>IFERROR(B17/C17,0)</f>
        <v/>
      </c>
      <c r="E17" s="38">
        <f>IF(A17="","",RANK(D17,$D$6:$D$20,0))</f>
        <v/>
      </c>
      <c r="F17" s="48">
        <f>IF(A17="","",IF(D17&gt;=150,"Keep — strong",IF(D17&gt;=100,"OK — monitor",IF(D17&gt;=50,"Renegotiate","Fire candidate"))))</f>
        <v/>
      </c>
    </row>
    <row r="18" ht="18" customHeight="1">
      <c r="A18" s="48">
        <f>IFERROR('Owners'!B18,"")</f>
        <v/>
      </c>
      <c r="B18" s="46">
        <f>IFERROR('Owners'!I18,0)</f>
        <v/>
      </c>
      <c r="C18" s="47">
        <f>IF('Owners'!B18="",0,SUMIFS('Time Allocation'!$E$6:$E$1005,'Time Allocation'!$B$6:$B$1005,'Owners'!B18,'Time Allocation'!$F$6:$F$1005,'Settings'!$B$5))</f>
        <v/>
      </c>
      <c r="D18" s="46">
        <f>IFERROR(B18/C18,0)</f>
        <v/>
      </c>
      <c r="E18" s="38">
        <f>IF(A18="","",RANK(D18,$D$6:$D$20,0))</f>
        <v/>
      </c>
      <c r="F18" s="48">
        <f>IF(A18="","",IF(D18&gt;=150,"Keep — strong",IF(D18&gt;=100,"OK — monitor",IF(D18&gt;=50,"Renegotiate","Fire candidate"))))</f>
        <v/>
      </c>
    </row>
    <row r="19" ht="18" customHeight="1">
      <c r="A19" s="48">
        <f>IFERROR('Owners'!B19,"")</f>
        <v/>
      </c>
      <c r="B19" s="46">
        <f>IFERROR('Owners'!I19,0)</f>
        <v/>
      </c>
      <c r="C19" s="47">
        <f>IF('Owners'!B19="",0,SUMIFS('Time Allocation'!$E$6:$E$1005,'Time Allocation'!$B$6:$B$1005,'Owners'!B19,'Time Allocation'!$F$6:$F$1005,'Settings'!$B$5))</f>
        <v/>
      </c>
      <c r="D19" s="46">
        <f>IFERROR(B19/C19,0)</f>
        <v/>
      </c>
      <c r="E19" s="38">
        <f>IF(A19="","",RANK(D19,$D$6:$D$20,0))</f>
        <v/>
      </c>
      <c r="F19" s="48">
        <f>IF(A19="","",IF(D19&gt;=150,"Keep — strong",IF(D19&gt;=100,"OK — monitor",IF(D19&gt;=50,"Renegotiate","Fire candidate"))))</f>
        <v/>
      </c>
    </row>
    <row r="20" ht="18" customHeight="1">
      <c r="A20" s="48">
        <f>IFERROR('Owners'!B20,"")</f>
        <v/>
      </c>
      <c r="B20" s="46">
        <f>IFERROR('Owners'!I20,0)</f>
        <v/>
      </c>
      <c r="C20" s="47">
        <f>IF('Owners'!B20="",0,SUMIFS('Time Allocation'!$E$6:$E$1005,'Time Allocation'!$B$6:$B$1005,'Owners'!B20,'Time Allocation'!$F$6:$F$1005,'Settings'!$B$5))</f>
        <v/>
      </c>
      <c r="D20" s="46">
        <f>IFERROR(B20/C20,0)</f>
        <v/>
      </c>
      <c r="E20" s="38">
        <f>IF(A20="","",RANK(D20,$D$6:$D$20,0))</f>
        <v/>
      </c>
      <c r="F20" s="48">
        <f>IF(A20="","",IF(D20&gt;=150,"Keep — strong",IF(D20&gt;=100,"OK — monitor",IF(D20&gt;=50,"Renegotiate","Fire candidate"))))</f>
        <v/>
      </c>
    </row>
    <row r="22" ht="22" customHeight="1">
      <c r="A22" s="59" t="inlineStr">
        <is>
          <t>Tip: select rows 6-20 → Data → Sort → by $/hr descending to see best-to-worst order. Red rows = bottom-3 — your fire candidates.</t>
        </is>
      </c>
    </row>
  </sheetData>
  <mergeCells count="5">
    <mergeCell ref="J2:L2"/>
    <mergeCell ref="D2:I2"/>
    <mergeCell ref="A22:F22"/>
    <mergeCell ref="A2:C2"/>
    <mergeCell ref="A4:L4"/>
  </mergeCells>
  <conditionalFormatting sqref="A6:F20">
    <cfRule type="expression" priority="1" dxfId="0">
      <formula>AND($A6&lt;&gt;"",COUNTIFS($A$6:$A$20,"&lt;&gt;")-RANK($D6,$D$6:$D$20,1)+1&lt;=3)</formula>
    </cfRule>
  </conditionalFormatting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6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 Profitability'!A1", "← BACK")</f>
        <v/>
      </c>
      <c r="B2" s="25" t="n"/>
      <c r="C2" s="25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Active year drives every YTD figure. Owner + property lists feed dropdowns.</t>
        </is>
      </c>
    </row>
    <row r="5" ht="24" customHeight="1">
      <c r="A5" s="60" t="inlineStr">
        <is>
          <t>Active year:</t>
        </is>
      </c>
      <c r="B5" s="61" t="n">
        <v>2026</v>
      </c>
    </row>
    <row r="6" ht="24" customHeight="1">
      <c r="A6" s="53" t="inlineStr">
        <is>
          <t>OWNER LIST (B7:B21 — capacity 15)</t>
        </is>
      </c>
    </row>
    <row r="7" ht="18" customHeight="1">
      <c r="A7" s="62" t="inlineStr">
        <is>
          <t>Owner #1</t>
        </is>
      </c>
      <c r="B7" s="37" t="inlineStr">
        <is>
          <t>Lakeside Holdings LLC</t>
        </is>
      </c>
    </row>
    <row r="8" ht="18" customHeight="1">
      <c r="A8" s="62" t="inlineStr">
        <is>
          <t>Owner #2</t>
        </is>
      </c>
      <c r="B8" s="37" t="inlineStr">
        <is>
          <t>Maddox Trust</t>
        </is>
      </c>
    </row>
    <row r="9" ht="18" customHeight="1">
      <c r="A9" s="62" t="inlineStr">
        <is>
          <t>Owner #3</t>
        </is>
      </c>
      <c r="B9" s="37" t="inlineStr">
        <is>
          <t>Highland Properties LLC</t>
        </is>
      </c>
    </row>
    <row r="10" ht="18" customHeight="1">
      <c r="A10" s="62" t="inlineStr">
        <is>
          <t>Owner #4</t>
        </is>
      </c>
      <c r="B10" s="37" t="inlineStr">
        <is>
          <t>Brookline Estates</t>
        </is>
      </c>
    </row>
    <row r="11" ht="18" customHeight="1">
      <c r="A11" s="62" t="inlineStr">
        <is>
          <t>Owner #5</t>
        </is>
      </c>
      <c r="B11" s="37" t="n"/>
    </row>
    <row r="12" ht="18" customHeight="1">
      <c r="A12" s="62" t="inlineStr">
        <is>
          <t>Owner #6</t>
        </is>
      </c>
      <c r="B12" s="37" t="n"/>
    </row>
    <row r="13" ht="18" customHeight="1">
      <c r="A13" s="62" t="inlineStr">
        <is>
          <t>Owner #7</t>
        </is>
      </c>
      <c r="B13" s="37" t="n"/>
    </row>
    <row r="14" ht="18" customHeight="1">
      <c r="A14" s="62" t="inlineStr">
        <is>
          <t>Owner #8</t>
        </is>
      </c>
      <c r="B14" s="37" t="n"/>
    </row>
    <row r="15" ht="18" customHeight="1">
      <c r="A15" s="62" t="inlineStr">
        <is>
          <t>Owner #9</t>
        </is>
      </c>
      <c r="B15" s="37" t="n"/>
    </row>
    <row r="16" ht="18" customHeight="1">
      <c r="A16" s="62" t="inlineStr">
        <is>
          <t>Owner #10</t>
        </is>
      </c>
      <c r="B16" s="37" t="n"/>
    </row>
    <row r="17" ht="18" customHeight="1">
      <c r="A17" s="62" t="inlineStr">
        <is>
          <t>Owner #11</t>
        </is>
      </c>
      <c r="B17" s="37" t="n"/>
    </row>
    <row r="18" ht="18" customHeight="1">
      <c r="A18" s="62" t="inlineStr">
        <is>
          <t>Owner #12</t>
        </is>
      </c>
      <c r="B18" s="37" t="n"/>
    </row>
    <row r="19" ht="18" customHeight="1">
      <c r="A19" s="62" t="inlineStr">
        <is>
          <t>Owner #13</t>
        </is>
      </c>
      <c r="B19" s="37" t="n"/>
    </row>
    <row r="20" ht="18" customHeight="1">
      <c r="A20" s="62" t="inlineStr">
        <is>
          <t>Owner #14</t>
        </is>
      </c>
      <c r="B20" s="37" t="n"/>
    </row>
    <row r="21" ht="18" customHeight="1">
      <c r="A21" s="62" t="inlineStr">
        <is>
          <t>Owner #15</t>
        </is>
      </c>
      <c r="B21" s="37" t="n"/>
    </row>
    <row r="22" ht="24" customHeight="1">
      <c r="A22" s="53" t="inlineStr">
        <is>
          <t>PROPERTY LIST (B23:C52 — capacity 30)</t>
        </is>
      </c>
    </row>
    <row r="23" ht="18" customHeight="1">
      <c r="A23" s="62" t="inlineStr">
        <is>
          <t>Property #1</t>
        </is>
      </c>
      <c r="B23" s="37" t="inlineStr">
        <is>
          <t>Smokies Ridge Cabin</t>
        </is>
      </c>
      <c r="C23" s="37" t="inlineStr">
        <is>
          <t>Lakeside Holdings LLC</t>
        </is>
      </c>
    </row>
    <row r="24" ht="18" customHeight="1">
      <c r="A24" s="62" t="inlineStr">
        <is>
          <t>Property #2</t>
        </is>
      </c>
      <c r="B24" s="37" t="inlineStr">
        <is>
          <t>Creek Side</t>
        </is>
      </c>
      <c r="C24" s="37" t="inlineStr">
        <is>
          <t>Lakeside Holdings LLC</t>
        </is>
      </c>
    </row>
    <row r="25" ht="18" customHeight="1">
      <c r="A25" s="62" t="inlineStr">
        <is>
          <t>Property #3</t>
        </is>
      </c>
      <c r="B25" s="37" t="inlineStr">
        <is>
          <t>Lakehouse A</t>
        </is>
      </c>
      <c r="C25" s="37" t="inlineStr">
        <is>
          <t>Lakeside Holdings LLC</t>
        </is>
      </c>
    </row>
    <row r="26" ht="18" customHeight="1">
      <c r="A26" s="62" t="inlineStr">
        <is>
          <t>Property #4</t>
        </is>
      </c>
      <c r="B26" s="37" t="inlineStr">
        <is>
          <t>Pine Vale Retreat</t>
        </is>
      </c>
      <c r="C26" s="37" t="inlineStr">
        <is>
          <t>Lakeside Holdings LLC</t>
        </is>
      </c>
    </row>
    <row r="27" ht="18" customHeight="1">
      <c r="A27" s="62" t="inlineStr">
        <is>
          <t>Property #5</t>
        </is>
      </c>
      <c r="B27" s="37" t="inlineStr">
        <is>
          <t>Cedar Lakehouse</t>
        </is>
      </c>
      <c r="C27" s="37" t="inlineStr">
        <is>
          <t>Lakeside Holdings LLC</t>
        </is>
      </c>
    </row>
    <row r="28" ht="18" customHeight="1">
      <c r="A28" s="62" t="inlineStr">
        <is>
          <t>Property #6</t>
        </is>
      </c>
      <c r="B28" s="37" t="inlineStr">
        <is>
          <t>Mountain Loft</t>
        </is>
      </c>
      <c r="C28" s="37" t="inlineStr">
        <is>
          <t>Maddox Trust</t>
        </is>
      </c>
    </row>
    <row r="29" ht="18" customHeight="1">
      <c r="A29" s="62" t="inlineStr">
        <is>
          <t>Property #7</t>
        </is>
      </c>
      <c r="B29" s="37" t="inlineStr">
        <is>
          <t>Forest Cabin</t>
        </is>
      </c>
      <c r="C29" s="37" t="inlineStr">
        <is>
          <t>Maddox Trust</t>
        </is>
      </c>
    </row>
    <row r="30" ht="18" customHeight="1">
      <c r="A30" s="62" t="inlineStr">
        <is>
          <t>Property #8</t>
        </is>
      </c>
      <c r="B30" s="37" t="inlineStr">
        <is>
          <t>Riverbend Cottage</t>
        </is>
      </c>
      <c r="C30" s="37" t="inlineStr">
        <is>
          <t>Maddox Trust</t>
        </is>
      </c>
    </row>
    <row r="31" ht="18" customHeight="1">
      <c r="A31" s="62" t="inlineStr">
        <is>
          <t>Property #9</t>
        </is>
      </c>
      <c r="B31" s="37" t="inlineStr">
        <is>
          <t>Highland Hideaway</t>
        </is>
      </c>
      <c r="C31" s="37" t="inlineStr">
        <is>
          <t>Highland Properties LLC</t>
        </is>
      </c>
    </row>
    <row r="32" ht="18" customHeight="1">
      <c r="A32" s="62" t="inlineStr">
        <is>
          <t>Property #10</t>
        </is>
      </c>
      <c r="B32" s="37" t="inlineStr">
        <is>
          <t>Smoky View Lodge</t>
        </is>
      </c>
      <c r="C32" s="37" t="inlineStr">
        <is>
          <t>Highland Properties LLC</t>
        </is>
      </c>
    </row>
    <row r="33" ht="18" customHeight="1">
      <c r="A33" s="62" t="inlineStr">
        <is>
          <t>Property #11</t>
        </is>
      </c>
      <c r="B33" s="37" t="inlineStr">
        <is>
          <t>Brookline Bungalow</t>
        </is>
      </c>
      <c r="C33" s="37" t="inlineStr">
        <is>
          <t>Brookline Estates</t>
        </is>
      </c>
    </row>
    <row r="34" ht="18" customHeight="1">
      <c r="A34" s="62" t="inlineStr">
        <is>
          <t>Property #12</t>
        </is>
      </c>
      <c r="B34" s="37" t="inlineStr">
        <is>
          <t>Birch Hollow</t>
        </is>
      </c>
      <c r="C34" s="37" t="inlineStr">
        <is>
          <t>Brookline Estates</t>
        </is>
      </c>
    </row>
    <row r="35" ht="18" customHeight="1">
      <c r="A35" s="62" t="inlineStr">
        <is>
          <t>Property #13</t>
        </is>
      </c>
      <c r="B35" s="37" t="n"/>
      <c r="C35" s="37" t="n"/>
    </row>
    <row r="36" ht="18" customHeight="1">
      <c r="A36" s="62" t="inlineStr">
        <is>
          <t>Property #14</t>
        </is>
      </c>
      <c r="B36" s="37" t="n"/>
      <c r="C36" s="37" t="n"/>
    </row>
    <row r="37" ht="18" customHeight="1">
      <c r="A37" s="62" t="inlineStr">
        <is>
          <t>Property #15</t>
        </is>
      </c>
      <c r="B37" s="37" t="n"/>
      <c r="C37" s="37" t="n"/>
    </row>
    <row r="38" ht="18" customHeight="1">
      <c r="A38" s="62" t="inlineStr">
        <is>
          <t>Property #16</t>
        </is>
      </c>
      <c r="B38" s="37" t="n"/>
      <c r="C38" s="37" t="n"/>
    </row>
    <row r="39" ht="18" customHeight="1">
      <c r="A39" s="62" t="inlineStr">
        <is>
          <t>Property #17</t>
        </is>
      </c>
      <c r="B39" s="37" t="n"/>
      <c r="C39" s="37" t="n"/>
    </row>
    <row r="40" ht="18" customHeight="1">
      <c r="A40" s="62" t="inlineStr">
        <is>
          <t>Property #18</t>
        </is>
      </c>
      <c r="B40" s="37" t="n"/>
      <c r="C40" s="37" t="n"/>
    </row>
    <row r="41" ht="18" customHeight="1">
      <c r="A41" s="62" t="inlineStr">
        <is>
          <t>Property #19</t>
        </is>
      </c>
      <c r="B41" s="37" t="n"/>
      <c r="C41" s="37" t="n"/>
    </row>
    <row r="42" ht="18" customHeight="1">
      <c r="A42" s="62" t="inlineStr">
        <is>
          <t>Property #20</t>
        </is>
      </c>
      <c r="B42" s="37" t="n"/>
      <c r="C42" s="37" t="n"/>
    </row>
    <row r="43" ht="18" customHeight="1">
      <c r="A43" s="62" t="inlineStr">
        <is>
          <t>Property #21</t>
        </is>
      </c>
      <c r="B43" s="37" t="n"/>
      <c r="C43" s="37" t="n"/>
    </row>
    <row r="44" ht="18" customHeight="1">
      <c r="A44" s="62" t="inlineStr">
        <is>
          <t>Property #22</t>
        </is>
      </c>
      <c r="B44" s="37" t="n"/>
      <c r="C44" s="37" t="n"/>
    </row>
    <row r="45" ht="18" customHeight="1">
      <c r="A45" s="62" t="inlineStr">
        <is>
          <t>Property #23</t>
        </is>
      </c>
      <c r="B45" s="37" t="n"/>
      <c r="C45" s="37" t="n"/>
    </row>
    <row r="46" ht="18" customHeight="1">
      <c r="A46" s="62" t="inlineStr">
        <is>
          <t>Property #24</t>
        </is>
      </c>
      <c r="B46" s="37" t="n"/>
      <c r="C46" s="37" t="n"/>
    </row>
    <row r="47" ht="18" customHeight="1">
      <c r="A47" s="62" t="inlineStr">
        <is>
          <t>Property #25</t>
        </is>
      </c>
      <c r="B47" s="37" t="n"/>
      <c r="C47" s="37" t="n"/>
    </row>
    <row r="48" ht="18" customHeight="1">
      <c r="A48" s="62" t="inlineStr">
        <is>
          <t>Property #26</t>
        </is>
      </c>
      <c r="B48" s="37" t="n"/>
      <c r="C48" s="37" t="n"/>
    </row>
    <row r="49" ht="18" customHeight="1">
      <c r="A49" s="62" t="inlineStr">
        <is>
          <t>Property #27</t>
        </is>
      </c>
      <c r="B49" s="37" t="n"/>
      <c r="C49" s="37" t="n"/>
    </row>
    <row r="50" ht="18" customHeight="1">
      <c r="A50" s="62" t="inlineStr">
        <is>
          <t>Property #28</t>
        </is>
      </c>
      <c r="B50" s="37" t="n"/>
      <c r="C50" s="37" t="n"/>
    </row>
    <row r="51" ht="18" customHeight="1">
      <c r="A51" s="62" t="inlineStr">
        <is>
          <t>Property #29</t>
        </is>
      </c>
      <c r="B51" s="37" t="n"/>
      <c r="C51" s="37" t="n"/>
    </row>
    <row r="52" ht="18" customHeight="1">
      <c r="A52" s="62" t="inlineStr">
        <is>
          <t>Property #30</t>
        </is>
      </c>
      <c r="B52" s="37" t="n"/>
      <c r="C52" s="37" t="n"/>
    </row>
    <row r="54" ht="18" customHeight="1">
      <c r="A54" s="63" t="inlineStr">
        <is>
          <t>Tip: keep property names exactly consistent across Time Allocation and Owners — formulas use exact-match SUMIFS.</t>
        </is>
      </c>
    </row>
    <row r="55" ht="18" customHeight="1"/>
    <row r="56" ht="18" customHeight="1"/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</row>
    <row r="59" ht="18" customHeight="1">
      <c r="A59" s="32" t="inlineStr">
        <is>
          <t>Questions? hello@thestrledger.com</t>
        </is>
      </c>
    </row>
    <row r="60" ht="18" customHeight="1">
      <c r="A60" s="33" t="inlineStr">
        <is>
          <t>PAM-004 · v1.0 · DEMO · Free updates forever</t>
        </is>
      </c>
    </row>
  </sheetData>
  <mergeCells count="8">
    <mergeCell ref="D2:L2"/>
    <mergeCell ref="A54:C56"/>
    <mergeCell ref="A59:L59"/>
    <mergeCell ref="A60:L60"/>
    <mergeCell ref="A6:L6"/>
    <mergeCell ref="A22:L22"/>
    <mergeCell ref="A2:C2"/>
    <mergeCell ref="A4:L4"/>
  </mergeCells>
  <dataValidations count="1">
    <dataValidation sqref="C23:C52" showDropDown="0" showInputMessage="0" showErrorMessage="0" allowBlank="1" type="list">
      <formula1>='Settings'!$B$7:$B$21</formula1>
    </dataValidation>
  </dataValidations>
  <pageMargins left="0.5" right="0.5" top="0.5" bottom="0.5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Multi-Owner Consolidated Reporting — The STR Ledger</dc:title>
  <dc:description xmlns:dc="http://purl.org/dc/elements/1.1/">Pro Pam multi-owner P&amp;L + profitability ranking + time allocation.</dc:description>
  <dcterms:created xmlns:dcterms="http://purl.org/dc/terms/" xmlns:xsi="http://www.w3.org/2001/XMLSchema-instance" xsi:type="dcterms:W3CDTF">2026-05-03T19:05:01Z</dcterms:created>
  <dcterms:modified xmlns:dcterms="http://purl.org/dc/terms/" xmlns:xsi="http://www.w3.org/2001/XMLSchema-instance" xsi:type="dcterms:W3CDTF">2026-05-03T19:05:02Z</dcterms:modified>
</cp:coreProperties>
</file>