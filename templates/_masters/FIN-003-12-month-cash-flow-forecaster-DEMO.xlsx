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Bookings + Revenue" sheetId="2" state="visible" r:id="rId2"/>
    <sheet xmlns:r="http://schemas.openxmlformats.org/officeDocument/2006/relationships" name="Recurring Expenses" sheetId="3" state="visible" r:id="rId3"/>
    <sheet xmlns:r="http://schemas.openxmlformats.org/officeDocument/2006/relationships" name="One-Off Expenses" sheetId="4" state="visible" r:id="rId4"/>
    <sheet xmlns:r="http://schemas.openxmlformats.org/officeDocument/2006/relationships" name="Cash Flow Forecast" sheetId="5" state="visible" r:id="rId5"/>
    <sheet xmlns:r="http://schemas.openxmlformats.org/officeDocument/2006/relationships" name="Settings" sheetId="6" state="visible" r:id="rId6"/>
  </sheets>
  <definedNames>
    <definedName name="_xlnm.Print_Area" localSheetId="0">'Start'!$A$1:$L$48</definedName>
    <definedName name="_xlnm.Print_Titles" localSheetId="1">'Bookings + Revenue'!$1:$5</definedName>
    <definedName name="_xlnm.Print_Area" localSheetId="1">'Bookings + Revenue'!$A$1:$N$31</definedName>
    <definedName name="_xlnm.Print_Titles" localSheetId="2">'Recurring Expenses'!$1:$5</definedName>
    <definedName name="_xlnm.Print_Area" localSheetId="2">'Recurring Expenses'!$A$1:$N$25</definedName>
    <definedName name="_xlnm.Print_Titles" localSheetId="3">'One-Off Expenses'!$1:$5</definedName>
    <definedName name="_xlnm.Print_Area" localSheetId="3">'One-Off Expenses'!$A$1:$E$50</definedName>
    <definedName name="_xlnm.Print_Titles" localSheetId="4">'Cash Flow Forecast'!$1:$5</definedName>
    <definedName name="_xlnm.Print_Area" localSheetId="4">'Cash Flow Forecast'!$A$1:$N$13</definedName>
    <definedName name="_xlnm.Print_Area" localSheetId="5">'Settings'!$A$1:$D$42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"/>
    <numFmt numFmtId="166" formatCode="yyyy-mm-dd"/>
  </numFmts>
  <fonts count="33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4"/>
    </font>
    <font>
      <name val="Georgia"/>
      <i val="1"/>
      <color rgb="00C9A24B"/>
      <sz val="14"/>
    </font>
    <font>
      <name val="Georgia"/>
      <b val="1"/>
      <color rgb="00C9A24B"/>
      <sz val="15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22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22"/>
    </font>
    <font>
      <name val="Consolas"/>
      <b val="1"/>
      <color rgb="00C9A24B"/>
      <sz val="9"/>
    </font>
    <font>
      <name val="Georgia"/>
      <b val="1"/>
      <color rgb="00C9A24B"/>
      <sz val="22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2B2B2B"/>
      <sz val="11"/>
    </font>
    <font>
      <name val="Calibri"/>
      <i val="1"/>
      <color rgb="002B2B2B"/>
      <sz val="11"/>
    </font>
    <font>
      <name val="Calibri"/>
      <i val="1"/>
      <color rgb="006B7280"/>
      <sz val="10"/>
    </font>
    <font>
      <name val="Calibri"/>
      <b val="1"/>
      <color rgb="0012304E"/>
      <sz val="11"/>
    </font>
    <font>
      <name val="Calibri"/>
      <b val="1"/>
      <i val="1"/>
      <color rgb="0012304E"/>
      <sz val="11"/>
    </font>
    <font>
      <name val="Calibri"/>
      <b val="1"/>
      <color rgb="0012304E"/>
      <sz val="12"/>
    </font>
    <font>
      <name val="Georgia"/>
      <b val="1"/>
      <color rgb="00B91C1C"/>
      <sz val="12"/>
    </font>
    <font>
      <name val="Calibri"/>
      <b val="1"/>
      <i val="1"/>
      <color rgb="00B91C1C"/>
      <sz val="11"/>
    </font>
    <font>
      <name val="Calibri"/>
      <color rgb="00B91C1C"/>
      <sz val="11"/>
    </font>
    <font>
      <name val="Georgia"/>
      <b val="1"/>
      <color rgb="0012304E"/>
      <sz val="12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2"/>
    </xf>
    <xf numFmtId="0" fontId="7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7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2" fillId="3" borderId="2" applyAlignment="1" pivotButton="0" quotePrefix="0" xfId="0">
      <alignment horizontal="center"/>
    </xf>
    <xf numFmtId="0" fontId="14" fillId="3" borderId="2" applyAlignment="1" pivotButton="0" quotePrefix="0" xfId="0">
      <alignment horizontal="center"/>
    </xf>
    <xf numFmtId="164" fontId="10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3" fillId="3" borderId="5" applyAlignment="1" pivotButton="0" quotePrefix="0" xfId="0">
      <alignment horizontal="center" vertical="center"/>
    </xf>
    <xf numFmtId="165" fontId="10" fillId="3" borderId="5" applyAlignment="1" pivotButton="0" quotePrefix="0" xfId="0">
      <alignment horizontal="center" vertical="center"/>
    </xf>
    <xf numFmtId="1" fontId="15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1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6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4" borderId="0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right" vertical="center" indent="2"/>
    </xf>
    <xf numFmtId="0" fontId="16" fillId="6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22" fillId="3" borderId="0" applyAlignment="1" pivotButton="0" quotePrefix="0" xfId="0">
      <alignment horizontal="left" vertical="center" indent="1"/>
    </xf>
    <xf numFmtId="0" fontId="18" fillId="2" borderId="14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  <xf numFmtId="164" fontId="7" fillId="7" borderId="0" applyAlignment="1" pivotButton="0" quotePrefix="0" xfId="0">
      <alignment horizontal="left" vertical="center"/>
    </xf>
    <xf numFmtId="164" fontId="24" fillId="8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9" fontId="7" fillId="7" borderId="0" applyAlignment="1" pivotButton="0" quotePrefix="0" xfId="0">
      <alignment horizontal="left" vertical="center"/>
    </xf>
    <xf numFmtId="9" fontId="24" fillId="8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left" vertical="center" indent="1"/>
    </xf>
    <xf numFmtId="164" fontId="27" fillId="8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indent="1"/>
    </xf>
    <xf numFmtId="164" fontId="26" fillId="8" borderId="0" applyAlignment="1" pivotButton="0" quotePrefix="0" xfId="0">
      <alignment horizontal="right" vertical="center"/>
    </xf>
    <xf numFmtId="164" fontId="28" fillId="8" borderId="0" applyAlignment="1" pivotButton="0" quotePrefix="0" xfId="0">
      <alignment horizontal="right" vertical="center"/>
    </xf>
    <xf numFmtId="0" fontId="29" fillId="0" borderId="0" applyAlignment="1" pivotButton="0" quotePrefix="0" xfId="0">
      <alignment horizontal="left" vertical="center" indent="1"/>
    </xf>
    <xf numFmtId="164" fontId="30" fillId="8" borderId="0" applyAlignment="1" pivotButton="0" quotePrefix="0" xfId="0">
      <alignment horizontal="right" vertical="center"/>
    </xf>
    <xf numFmtId="166" fontId="7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 indent="1"/>
    </xf>
    <xf numFmtId="0" fontId="32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right" vertical="center"/>
    </xf>
    <xf numFmtId="1" fontId="7" fillId="7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2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'Cash Flow Forecast'!A7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'Cash Flow Forecast'!$B$5:$M$5</f>
            </numRef>
          </cat>
          <val>
            <numRef>
              <f>'Cash Flow Forecast'!$B$7:$M$7</f>
            </numRef>
          </val>
        </ser>
        <ser>
          <idx val="1"/>
          <order val="1"/>
          <tx>
            <strRef>
              <f>'Cash Flow Forecast'!A8</f>
            </strRef>
          </tx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'Cash Flow Forecast'!$B$5:$M$5</f>
            </numRef>
          </cat>
          <val>
            <numRef>
              <f>'Cash Flow Forecast'!$B$8:$M$8</f>
            </numRef>
          </val>
        </ser>
        <ser>
          <idx val="2"/>
          <order val="2"/>
          <tx>
            <strRef>
              <f>'Cash Flow Forecast'!A9</f>
            </strRef>
          </tx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'Cash Flow Forecast'!$B$5:$M$5</f>
            </numRef>
          </cat>
          <val>
            <numRef>
              <f>'Cash Flow Forecast'!$B$9:$M$9</f>
            </numRef>
          </val>
        </ser>
        <gapWidth val="150"/>
        <axId val="10"/>
        <axId val="100"/>
      </barChart>
      <lineChart>
        <grouping val="standard"/>
        <ser>
          <idx val="3"/>
          <order val="3"/>
          <tx>
            <strRef>
              <f>'Cash Flow Forecast'!A11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 Forecast'!$B$11:$M$11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4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6" customHeight="1">
      <c r="A4" s="3" t="inlineStr">
        <is>
          <t>12-Month Cash Flow Forecast</t>
        </is>
      </c>
    </row>
    <row r="5" ht="22" customHeight="1">
      <c r="A5" s="4" t="inlineStr">
        <is>
          <t>See your low month before it sees you.</t>
        </is>
      </c>
    </row>
    <row r="6" ht="30" customHeight="1">
      <c r="A6" s="5">
        <f>IF(MIN('Cash Flow Forecast'!B11:M11)&lt;0,"⚠  Projected cash dips to "&amp;TEXT(MIN('Cash Flow Forecast'!B11:M11),"$#,##0")&amp;" in "&amp;INDEX({"Jan","Feb","Mar","Apr","May","Jun","Jul","Aug","Sep","Oct","Nov","Dec"},MATCH(MIN('Cash Flow Forecast'!B11:M11),'Cash Flow Forecast'!B11:M11,0))&amp;"  —  raise reserve or move expenses.","✅  Cash stays positive every month  —  lowest = "&amp;TEXT(MIN('Cash Flow Forecast'!B11:M11),"$#,##0")&amp;".")</f>
        <v/>
      </c>
    </row>
    <row r="7" ht="22" customHeight="1">
      <c r="A7" s="6" t="inlineStr">
        <is>
          <t>FIN-003 · v2.2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7" t="inlineStr">
        <is>
          <t>WHAT THIS DOES</t>
        </is>
      </c>
    </row>
    <row r="11">
      <c r="A11" s="8" t="inlineStr">
        <is>
          <t>Combines confirmed bookings, projected revenue (occ × ADR × 30), recurring monthly expenses, and one-off planned costs (renovations, estimated taxes) into a single 12-month forecast. Cumulative cash starts from your Jan 1 balance and runs forward — the lowest month is the only one that matters.</t>
        </is>
      </c>
    </row>
    <row r="12"/>
    <row r="13"/>
    <row r="14"/>
    <row r="15"/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8" ht="20" customHeight="1">
      <c r="A18" s="7" t="inlineStr">
        <is>
          <t>HOW TO USE</t>
        </is>
      </c>
    </row>
    <row r="19" ht="20" customHeight="1">
      <c r="A19" s="10" t="inlineStr">
        <is>
          <t>① Settings: enter your starting cash balance (Jan 1) and active year.</t>
        </is>
      </c>
    </row>
    <row r="20" ht="20" customHeight="1">
      <c r="A20" s="10" t="inlineStr">
        <is>
          <t>② Bookings + Revenue: paste confirmed $ from your PMS, set occ % + ADR per month per property.</t>
        </is>
      </c>
    </row>
    <row r="21" ht="20" customHeight="1">
      <c r="A21" s="10" t="inlineStr">
        <is>
          <t>③ Recurring Expenses: enter monthly amounts for mortgage, insurance, utilities, etc.</t>
        </is>
      </c>
    </row>
    <row r="22" ht="20" customHeight="1">
      <c r="A22" s="10" t="inlineStr">
        <is>
          <t>④ One-Off Expenses: log planned 1-time costs (renovations, estimated taxes) by date.</t>
        </is>
      </c>
    </row>
    <row r="23" ht="20" customHeight="1">
      <c r="A23" s="10" t="inlineStr">
        <is>
          <t>⑤ Cash Flow Forecast: read the chart. Red bars = months your cumulative cash goes negative.</t>
        </is>
      </c>
    </row>
    <row r="24" ht="20" customHeight="1">
      <c r="A24" s="10" t="inlineStr">
        <is>
          <t>⑥ Re-run monthly — drag confirmed bookings up as guests book; the low month moves with you.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7" ht="22" customHeight="1">
      <c r="A27" s="12">
        <f>HYPERLINK("#'Cash Flow Forecast'!A1", "→  OPEN CASH FLOW FORECAST")</f>
        <v/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 ht="22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22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0" ht="22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2">
      <c r="A32" s="14" t="inlineStr">
        <is>
          <t>AVG MONTHLY NET</t>
        </is>
      </c>
      <c r="B32" s="15" t="n"/>
      <c r="C32" s="16" t="n"/>
      <c r="D32" s="17" t="inlineStr">
        <is>
          <t>LOWEST MONTH</t>
        </is>
      </c>
      <c r="E32" s="15" t="n"/>
      <c r="F32" s="16" t="n"/>
      <c r="G32" s="14" t="inlineStr">
        <is>
          <t>RUNWAY (MONTHS)</t>
        </is>
      </c>
      <c r="H32" s="15" t="n"/>
      <c r="I32" s="16" t="n"/>
      <c r="J32" s="18" t="inlineStr">
        <is>
          <t>DAYS-CASH-ON-HAND</t>
        </is>
      </c>
      <c r="K32" s="15" t="n"/>
      <c r="L32" s="16" t="n"/>
    </row>
    <row r="33">
      <c r="A33" s="19">
        <f>AVERAGE('Cash Flow Forecast'!B10:M10)</f>
        <v/>
      </c>
      <c r="B33" s="20" t="n"/>
      <c r="C33" s="21" t="n"/>
      <c r="D33" s="22">
        <f>MIN('Cash Flow Forecast'!B11:M11)</f>
        <v/>
      </c>
      <c r="E33" s="20" t="n"/>
      <c r="F33" s="21" t="n"/>
      <c r="G33" s="23">
        <f>IFERROR(IF(AVERAGE('Cash Flow Forecast'!B10:M10)&gt;=0,"∞",Settings!$B$7/(-1*AVERAGE('Cash Flow Forecast'!B10:M10))),"—")</f>
        <v/>
      </c>
      <c r="H33" s="20" t="n"/>
      <c r="I33" s="21" t="n"/>
      <c r="J33" s="24">
        <f>IFERROR(Settings!$B$7/((SUM('Recurring Expenses'!B7:M21)+SUMPRODUCT(--ISNUMBER('One-Off Expenses'!D6:D105),'One-Off Expenses'!D6:D105))/365),0)</f>
        <v/>
      </c>
      <c r="K33" s="20" t="n"/>
      <c r="L33" s="21" t="n"/>
    </row>
    <row r="34">
      <c r="A34" s="25" t="n"/>
      <c r="B34" s="20" t="n"/>
      <c r="C34" s="21" t="n"/>
      <c r="D34" s="25" t="n"/>
      <c r="E34" s="20" t="n"/>
      <c r="F34" s="21" t="n"/>
      <c r="G34" s="25" t="n"/>
      <c r="H34" s="20" t="n"/>
      <c r="I34" s="21" t="n"/>
      <c r="J34" s="25" t="n"/>
      <c r="K34" s="20" t="n"/>
      <c r="L34" s="21" t="n"/>
    </row>
    <row r="35">
      <c r="A35" s="26" t="inlineStr">
        <is>
          <t>revenue − all expenses</t>
        </is>
      </c>
      <c r="B35" s="27" t="n"/>
      <c r="C35" s="28" t="n"/>
      <c r="D35" s="26" t="inlineStr">
        <is>
          <t>cumulative cash floor</t>
        </is>
      </c>
      <c r="E35" s="27" t="n"/>
      <c r="F35" s="28" t="n"/>
      <c r="G35" s="26" t="inlineStr">
        <is>
          <t>if avg net is negative</t>
        </is>
      </c>
      <c r="H35" s="27" t="n"/>
      <c r="I35" s="28" t="n"/>
      <c r="J35" s="26" t="inlineStr">
        <is>
          <t>starting cash ÷ daily burn</t>
        </is>
      </c>
      <c r="K35" s="27" t="n"/>
      <c r="L35" s="28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9" ht="22" customHeight="1">
      <c r="A39" s="29">
        <f>HYPERLINK("#'Bookings + Revenue'!A1", "Bookings + Revenue")</f>
        <v/>
      </c>
      <c r="B39" s="30" t="n"/>
      <c r="C39" s="30" t="n"/>
      <c r="D39" s="29">
        <f>HYPERLINK("#'Recurring Expenses'!A1", "Recurring Expenses")</f>
        <v/>
      </c>
      <c r="E39" s="30" t="n"/>
      <c r="F39" s="30" t="n"/>
      <c r="G39" s="29">
        <f>HYPERLINK("#'One-Off Expenses'!A1", "One-Off Expenses")</f>
        <v/>
      </c>
      <c r="H39" s="30" t="n"/>
      <c r="I39" s="30" t="n"/>
      <c r="J39" s="29">
        <f>HYPERLINK("#'Settings'!A1", "Settings")</f>
        <v/>
      </c>
      <c r="K39" s="30" t="n"/>
      <c r="L39" s="30" t="n"/>
    </row>
    <row r="40" ht="22" customHeight="1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</row>
    <row r="42" ht="30" customHeight="1">
      <c r="A42" s="31" t="inlineStr">
        <is>
          <t>📅 RE-FORECAST MONTHLY: replace projected booking $ with confirmed $ as guests book. The low month always shifts — don't trust a stale forecast.</t>
        </is>
      </c>
    </row>
    <row r="44" ht="30" customHeight="1">
      <c r="A44" s="32" t="inlineStr">
        <is>
          <t>💡 Upgrade to the Full version at thestrledger.com/upgrade — multi-property, depreciation, multi-LLC support.</t>
        </is>
      </c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</row>
    <row r="47" ht="18" customHeight="1">
      <c r="A47" s="34" t="inlineStr">
        <is>
          <t>Questions? hello@thestrledger.com</t>
        </is>
      </c>
    </row>
    <row r="48" ht="18" customHeight="1">
      <c r="A48" s="35" t="inlineStr">
        <is>
          <t>FIN-003 · v2.2 · Free updates forever</t>
        </is>
      </c>
    </row>
  </sheetData>
  <mergeCells count="34">
    <mergeCell ref="A7:L7"/>
    <mergeCell ref="A11:L15"/>
    <mergeCell ref="D32:F32"/>
    <mergeCell ref="D39:F40"/>
    <mergeCell ref="J35:L35"/>
    <mergeCell ref="A18:L18"/>
    <mergeCell ref="A39:C40"/>
    <mergeCell ref="A21:L21"/>
    <mergeCell ref="J33:L34"/>
    <mergeCell ref="A2:F2"/>
    <mergeCell ref="J32:L32"/>
    <mergeCell ref="J39:L40"/>
    <mergeCell ref="A42:L42"/>
    <mergeCell ref="A32:C32"/>
    <mergeCell ref="A47:L47"/>
    <mergeCell ref="A5:L5"/>
    <mergeCell ref="A23:L23"/>
    <mergeCell ref="G35:I35"/>
    <mergeCell ref="A22:L22"/>
    <mergeCell ref="A35:C35"/>
    <mergeCell ref="A4:L4"/>
    <mergeCell ref="A20:L20"/>
    <mergeCell ref="G32:I32"/>
    <mergeCell ref="A10:L10"/>
    <mergeCell ref="G39:I40"/>
    <mergeCell ref="A19:L19"/>
    <mergeCell ref="D35:F35"/>
    <mergeCell ref="A48:L48"/>
    <mergeCell ref="A24:L24"/>
    <mergeCell ref="D33:F34"/>
    <mergeCell ref="A27:L30"/>
    <mergeCell ref="A6:L6"/>
    <mergeCell ref="A33:C34"/>
    <mergeCell ref="G33:I34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P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  <col hidden="1" width="13" customWidth="1" min="16" max="1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P1" t="n">
        <v>29</v>
      </c>
    </row>
    <row r="2" ht="28" customHeight="1">
      <c r="A2" s="12">
        <f>HYPERLINK("#'Start'!A1", "← BACK")</f>
        <v/>
      </c>
      <c r="B2" s="13" t="n"/>
      <c r="C2" s="13" t="n"/>
      <c r="D2" s="36" t="inlineStr">
        <is>
          <t>BOOKINGS + REVENUE</t>
        </is>
      </c>
      <c r="J2" s="37">
        <f>HYPERLINK("#'Recurring Expenses'!A1", "NEXT →")</f>
        <v/>
      </c>
      <c r="K2" s="38" t="n"/>
      <c r="L2" s="3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9" t="inlineStr">
        <is>
          <t>Per property: confirmed $ + projected (occ % × ADR × 30 days). Update confirmed monthly as guests book.</t>
        </is>
      </c>
    </row>
    <row r="5" ht="20" customHeight="1">
      <c r="A5" s="40" t="inlineStr">
        <is>
          <t>Line</t>
        </is>
      </c>
      <c r="B5" s="40" t="inlineStr">
        <is>
          <t>Jan</t>
        </is>
      </c>
      <c r="C5" s="40" t="inlineStr">
        <is>
          <t>Feb</t>
        </is>
      </c>
      <c r="D5" s="40" t="inlineStr">
        <is>
          <t>Mar</t>
        </is>
      </c>
      <c r="E5" s="40" t="inlineStr">
        <is>
          <t>Apr</t>
        </is>
      </c>
      <c r="F5" s="40" t="inlineStr">
        <is>
          <t>May</t>
        </is>
      </c>
      <c r="G5" s="40" t="inlineStr">
        <is>
          <t>Jun</t>
        </is>
      </c>
      <c r="H5" s="40" t="inlineStr">
        <is>
          <t>Jul</t>
        </is>
      </c>
      <c r="I5" s="40" t="inlineStr">
        <is>
          <t>Aug</t>
        </is>
      </c>
      <c r="J5" s="40" t="inlineStr">
        <is>
          <t>Sep</t>
        </is>
      </c>
      <c r="K5" s="40" t="inlineStr">
        <is>
          <t>Oct</t>
        </is>
      </c>
      <c r="L5" s="40" t="inlineStr">
        <is>
          <t>Nov</t>
        </is>
      </c>
      <c r="M5" s="40" t="inlineStr">
        <is>
          <t>Dec</t>
        </is>
      </c>
      <c r="N5" s="40" t="inlineStr">
        <is>
          <t>Total</t>
        </is>
      </c>
    </row>
    <row r="7" ht="20" customHeight="1">
      <c r="A7" s="41" t="inlineStr">
        <is>
          <t xml:space="preserve">  SMOKIES RIDGE CABIN</t>
        </is>
      </c>
    </row>
    <row r="8" ht="18" customHeight="1">
      <c r="A8" s="42" t="inlineStr">
        <is>
          <t>Confirmed bookings ($)</t>
        </is>
      </c>
      <c r="B8" s="43" t="n">
        <v>3800</v>
      </c>
      <c r="C8" s="43" t="n">
        <v>3200</v>
      </c>
      <c r="D8" s="43" t="n">
        <v>2800</v>
      </c>
      <c r="E8" s="43" t="n">
        <v>2400</v>
      </c>
      <c r="F8" s="43" t="n">
        <v>1800</v>
      </c>
      <c r="G8" s="43" t="n">
        <v>2400</v>
      </c>
      <c r="H8" s="43" t="n">
        <v>1800</v>
      </c>
      <c r="I8" s="43" t="n">
        <v>1200</v>
      </c>
      <c r="J8" s="43" t="n">
        <v>900</v>
      </c>
      <c r="K8" s="43" t="n">
        <v>600</v>
      </c>
      <c r="L8" s="43" t="n">
        <v>300</v>
      </c>
      <c r="M8" s="43" t="n">
        <v>900</v>
      </c>
      <c r="N8" s="44">
        <f>SUM(B8:M8)</f>
        <v/>
      </c>
    </row>
    <row r="9" ht="16" customHeight="1">
      <c r="A9" s="45" t="inlineStr">
        <is>
          <t>Projected occupancy %</t>
        </is>
      </c>
      <c r="B9" s="46" t="n">
        <v>0.45</v>
      </c>
      <c r="C9" s="46" t="n">
        <v>0.4</v>
      </c>
      <c r="D9" s="46" t="n">
        <v>0.55</v>
      </c>
      <c r="E9" s="46" t="n">
        <v>0.65</v>
      </c>
      <c r="F9" s="46" t="n">
        <v>0.75</v>
      </c>
      <c r="G9" s="46" t="n">
        <v>0.88</v>
      </c>
      <c r="H9" s="46" t="n">
        <v>0.92</v>
      </c>
      <c r="I9" s="46" t="n">
        <v>0.9</v>
      </c>
      <c r="J9" s="46" t="n">
        <v>0.78</v>
      </c>
      <c r="K9" s="46" t="n">
        <v>0.7</v>
      </c>
      <c r="L9" s="46" t="n">
        <v>0.6</v>
      </c>
      <c r="M9" s="46" t="n">
        <v>0.65</v>
      </c>
      <c r="N9" s="47">
        <f>AVERAGE(B9:M9)</f>
        <v/>
      </c>
    </row>
    <row r="10" ht="16" customHeight="1">
      <c r="A10" s="45" t="inlineStr">
        <is>
          <t>Projected ADR ($)</t>
        </is>
      </c>
      <c r="B10" s="43" t="n">
        <v>280</v>
      </c>
      <c r="C10" s="43" t="n">
        <v>280</v>
      </c>
      <c r="D10" s="43" t="n">
        <v>290</v>
      </c>
      <c r="E10" s="43" t="n">
        <v>300</v>
      </c>
      <c r="F10" s="43" t="n">
        <v>320</v>
      </c>
      <c r="G10" s="43" t="n">
        <v>360</v>
      </c>
      <c r="H10" s="43" t="n">
        <v>380</v>
      </c>
      <c r="I10" s="43" t="n">
        <v>380</v>
      </c>
      <c r="J10" s="43" t="n">
        <v>340</v>
      </c>
      <c r="K10" s="43" t="n">
        <v>320</v>
      </c>
      <c r="L10" s="43" t="n">
        <v>300</v>
      </c>
      <c r="M10" s="43" t="n">
        <v>340</v>
      </c>
      <c r="N10" s="44">
        <f>AVERAGE(B10:M10)</f>
        <v/>
      </c>
    </row>
    <row r="11" ht="16" customHeight="1">
      <c r="A11" s="48" t="inlineStr">
        <is>
          <t>Projected revenue (occ × ADR × 30)</t>
        </is>
      </c>
      <c r="B11" s="44">
        <f>B9*B10*30</f>
        <v/>
      </c>
      <c r="C11" s="44">
        <f>C9*C10*30</f>
        <v/>
      </c>
      <c r="D11" s="44">
        <f>D9*D10*30</f>
        <v/>
      </c>
      <c r="E11" s="44">
        <f>E9*E10*30</f>
        <v/>
      </c>
      <c r="F11" s="44">
        <f>F9*F10*30</f>
        <v/>
      </c>
      <c r="G11" s="44">
        <f>G9*G10*30</f>
        <v/>
      </c>
      <c r="H11" s="44">
        <f>H9*H10*30</f>
        <v/>
      </c>
      <c r="I11" s="44">
        <f>I9*I10*30</f>
        <v/>
      </c>
      <c r="J11" s="44">
        <f>J9*J10*30</f>
        <v/>
      </c>
      <c r="K11" s="44">
        <f>K9*K10*30</f>
        <v/>
      </c>
      <c r="L11" s="44">
        <f>L9*L10*30</f>
        <v/>
      </c>
      <c r="M11" s="44">
        <f>M9*M10*30</f>
        <v/>
      </c>
      <c r="N11" s="44">
        <f>SUM(B11:M11)</f>
        <v/>
      </c>
    </row>
    <row r="12" ht="20" customHeight="1">
      <c r="A12" s="49" t="inlineStr">
        <is>
          <t>TOTAL — property monthly revenue</t>
        </is>
      </c>
      <c r="B12" s="50">
        <f>B8+B11</f>
        <v/>
      </c>
      <c r="C12" s="50">
        <f>C8+C11</f>
        <v/>
      </c>
      <c r="D12" s="50">
        <f>D8+D11</f>
        <v/>
      </c>
      <c r="E12" s="50">
        <f>E8+E11</f>
        <v/>
      </c>
      <c r="F12" s="50">
        <f>F8+F11</f>
        <v/>
      </c>
      <c r="G12" s="50">
        <f>G8+G11</f>
        <v/>
      </c>
      <c r="H12" s="50">
        <f>H8+H11</f>
        <v/>
      </c>
      <c r="I12" s="50">
        <f>I8+I11</f>
        <v/>
      </c>
      <c r="J12" s="50">
        <f>J8+J11</f>
        <v/>
      </c>
      <c r="K12" s="50">
        <f>K8+K11</f>
        <v/>
      </c>
      <c r="L12" s="50">
        <f>L8+L11</f>
        <v/>
      </c>
      <c r="M12" s="50">
        <f>M8+M11</f>
        <v/>
      </c>
      <c r="N12" s="50">
        <f>SUM(B12:M12)</f>
        <v/>
      </c>
    </row>
    <row r="14" ht="20" customHeight="1">
      <c r="A14" s="41" t="inlineStr">
        <is>
          <t xml:space="preserve">  LAKESIDE LOFT</t>
        </is>
      </c>
    </row>
    <row r="15" ht="18" customHeight="1">
      <c r="A15" s="42" t="inlineStr">
        <is>
          <t>Confirmed bookings ($)</t>
        </is>
      </c>
      <c r="B15" s="43" t="n">
        <v>2000</v>
      </c>
      <c r="C15" s="43" t="n">
        <v>1800</v>
      </c>
      <c r="D15" s="43" t="n">
        <v>1600</v>
      </c>
      <c r="E15" s="43" t="n">
        <v>1400</v>
      </c>
      <c r="F15" s="43" t="n">
        <v>1200</v>
      </c>
      <c r="G15" s="43" t="n">
        <v>1500</v>
      </c>
      <c r="H15" s="43" t="n">
        <v>1100</v>
      </c>
      <c r="I15" s="43" t="n">
        <v>800</v>
      </c>
      <c r="J15" s="43" t="n">
        <v>600</v>
      </c>
      <c r="K15" s="43" t="n">
        <v>400</v>
      </c>
      <c r="L15" s="43" t="n">
        <v>200</v>
      </c>
      <c r="M15" s="43" t="n">
        <v>600</v>
      </c>
      <c r="N15" s="44">
        <f>SUM(B15:M15)</f>
        <v/>
      </c>
    </row>
    <row r="16" ht="16" customHeight="1">
      <c r="A16" s="45" t="inlineStr">
        <is>
          <t>Projected occupancy %</t>
        </is>
      </c>
      <c r="B16" s="46" t="n">
        <v>0.38</v>
      </c>
      <c r="C16" s="46" t="n">
        <v>0.35</v>
      </c>
      <c r="D16" s="46" t="n">
        <v>0.48</v>
      </c>
      <c r="E16" s="46" t="n">
        <v>0.6</v>
      </c>
      <c r="F16" s="46" t="n">
        <v>0.72</v>
      </c>
      <c r="G16" s="46" t="n">
        <v>0.85</v>
      </c>
      <c r="H16" s="46" t="n">
        <v>0.9</v>
      </c>
      <c r="I16" s="46" t="n">
        <v>0.88</v>
      </c>
      <c r="J16" s="46" t="n">
        <v>0.72</v>
      </c>
      <c r="K16" s="46" t="n">
        <v>0.62</v>
      </c>
      <c r="L16" s="46" t="n">
        <v>0.5</v>
      </c>
      <c r="M16" s="46" t="n">
        <v>0.55</v>
      </c>
      <c r="N16" s="47">
        <f>AVERAGE(B16:M16)</f>
        <v/>
      </c>
    </row>
    <row r="17" ht="16" customHeight="1">
      <c r="A17" s="45" t="inlineStr">
        <is>
          <t>Projected ADR ($)</t>
        </is>
      </c>
      <c r="B17" s="43" t="n">
        <v>180</v>
      </c>
      <c r="C17" s="43" t="n">
        <v>180</v>
      </c>
      <c r="D17" s="43" t="n">
        <v>190</v>
      </c>
      <c r="E17" s="43" t="n">
        <v>200</v>
      </c>
      <c r="F17" s="43" t="n">
        <v>210</v>
      </c>
      <c r="G17" s="43" t="n">
        <v>240</v>
      </c>
      <c r="H17" s="43" t="n">
        <v>260</v>
      </c>
      <c r="I17" s="43" t="n">
        <v>260</v>
      </c>
      <c r="J17" s="43" t="n">
        <v>220</v>
      </c>
      <c r="K17" s="43" t="n">
        <v>210</v>
      </c>
      <c r="L17" s="43" t="n">
        <v>200</v>
      </c>
      <c r="M17" s="43" t="n">
        <v>220</v>
      </c>
      <c r="N17" s="44">
        <f>AVERAGE(B17:M17)</f>
        <v/>
      </c>
    </row>
    <row r="18" ht="16" customHeight="1">
      <c r="A18" s="48" t="inlineStr">
        <is>
          <t>Projected revenue (occ × ADR × 30)</t>
        </is>
      </c>
      <c r="B18" s="44">
        <f>B16*B17*30</f>
        <v/>
      </c>
      <c r="C18" s="44">
        <f>C16*C17*30</f>
        <v/>
      </c>
      <c r="D18" s="44">
        <f>D16*D17*30</f>
        <v/>
      </c>
      <c r="E18" s="44">
        <f>E16*E17*30</f>
        <v/>
      </c>
      <c r="F18" s="44">
        <f>F16*F17*30</f>
        <v/>
      </c>
      <c r="G18" s="44">
        <f>G16*G17*30</f>
        <v/>
      </c>
      <c r="H18" s="44">
        <f>H16*H17*30</f>
        <v/>
      </c>
      <c r="I18" s="44">
        <f>I16*I17*30</f>
        <v/>
      </c>
      <c r="J18" s="44">
        <f>J16*J17*30</f>
        <v/>
      </c>
      <c r="K18" s="44">
        <f>K16*K17*30</f>
        <v/>
      </c>
      <c r="L18" s="44">
        <f>L16*L17*30</f>
        <v/>
      </c>
      <c r="M18" s="44">
        <f>M16*M17*30</f>
        <v/>
      </c>
      <c r="N18" s="44">
        <f>SUM(B18:M18)</f>
        <v/>
      </c>
    </row>
    <row r="19" ht="20" customHeight="1">
      <c r="A19" s="49" t="inlineStr">
        <is>
          <t>TOTAL — property monthly revenue</t>
        </is>
      </c>
      <c r="B19" s="50">
        <f>B15+B18</f>
        <v/>
      </c>
      <c r="C19" s="50">
        <f>C15+C18</f>
        <v/>
      </c>
      <c r="D19" s="50">
        <f>D15+D18</f>
        <v/>
      </c>
      <c r="E19" s="50">
        <f>E15+E18</f>
        <v/>
      </c>
      <c r="F19" s="50">
        <f>F15+F18</f>
        <v/>
      </c>
      <c r="G19" s="50">
        <f>G15+G18</f>
        <v/>
      </c>
      <c r="H19" s="50">
        <f>H15+H18</f>
        <v/>
      </c>
      <c r="I19" s="50">
        <f>I15+I18</f>
        <v/>
      </c>
      <c r="J19" s="50">
        <f>J15+J18</f>
        <v/>
      </c>
      <c r="K19" s="50">
        <f>K15+K18</f>
        <v/>
      </c>
      <c r="L19" s="50">
        <f>L15+L18</f>
        <v/>
      </c>
      <c r="M19" s="50">
        <f>M15+M18</f>
        <v/>
      </c>
      <c r="N19" s="50">
        <f>SUM(B19:M19)</f>
        <v/>
      </c>
    </row>
    <row r="21" ht="20" customHeight="1">
      <c r="A21" s="41" t="inlineStr">
        <is>
          <t xml:space="preserve">  DOWNTOWN STUDIO</t>
        </is>
      </c>
    </row>
    <row r="22" ht="18" customHeight="1">
      <c r="A22" s="42" t="inlineStr">
        <is>
          <t>Confirmed bookings ($)</t>
        </is>
      </c>
      <c r="B22" s="43" t="n">
        <v>2200</v>
      </c>
      <c r="C22" s="43" t="n">
        <v>2300</v>
      </c>
      <c r="D22" s="43" t="n">
        <v>1800</v>
      </c>
      <c r="E22" s="43" t="n">
        <v>1600</v>
      </c>
      <c r="F22" s="43" t="n">
        <v>1300</v>
      </c>
      <c r="G22" s="43" t="n">
        <v>1100</v>
      </c>
      <c r="H22" s="43" t="n">
        <v>900</v>
      </c>
      <c r="I22" s="43" t="n">
        <v>700</v>
      </c>
      <c r="J22" s="43" t="n">
        <v>500</v>
      </c>
      <c r="K22" s="43" t="n">
        <v>400</v>
      </c>
      <c r="L22" s="43" t="n">
        <v>300</v>
      </c>
      <c r="M22" s="43" t="n">
        <v>500</v>
      </c>
      <c r="N22" s="44">
        <f>SUM(B22:M22)</f>
        <v/>
      </c>
    </row>
    <row r="23" ht="16" customHeight="1">
      <c r="A23" s="45" t="inlineStr">
        <is>
          <t>Projected occupancy %</t>
        </is>
      </c>
      <c r="B23" s="46" t="n">
        <v>0.55</v>
      </c>
      <c r="C23" s="46" t="n">
        <v>0.58</v>
      </c>
      <c r="D23" s="46" t="n">
        <v>0.62</v>
      </c>
      <c r="E23" s="46" t="n">
        <v>0.68</v>
      </c>
      <c r="F23" s="46" t="n">
        <v>0.7</v>
      </c>
      <c r="G23" s="46" t="n">
        <v>0.72</v>
      </c>
      <c r="H23" s="46" t="n">
        <v>0.74</v>
      </c>
      <c r="I23" s="46" t="n">
        <v>0.72</v>
      </c>
      <c r="J23" s="46" t="n">
        <v>0.7</v>
      </c>
      <c r="K23" s="46" t="n">
        <v>0.68</v>
      </c>
      <c r="L23" s="46" t="n">
        <v>0.62</v>
      </c>
      <c r="M23" s="46" t="n">
        <v>0.65</v>
      </c>
      <c r="N23" s="47">
        <f>AVERAGE(B23:M23)</f>
        <v/>
      </c>
    </row>
    <row r="24" ht="16" customHeight="1">
      <c r="A24" s="45" t="inlineStr">
        <is>
          <t>Projected ADR ($)</t>
        </is>
      </c>
      <c r="B24" s="43" t="n">
        <v>130</v>
      </c>
      <c r="C24" s="43" t="n">
        <v>130</v>
      </c>
      <c r="D24" s="43" t="n">
        <v>140</v>
      </c>
      <c r="E24" s="43" t="n">
        <v>145</v>
      </c>
      <c r="F24" s="43" t="n">
        <v>150</v>
      </c>
      <c r="G24" s="43" t="n">
        <v>160</v>
      </c>
      <c r="H24" s="43" t="n">
        <v>165</v>
      </c>
      <c r="I24" s="43" t="n">
        <v>165</v>
      </c>
      <c r="J24" s="43" t="n">
        <v>155</v>
      </c>
      <c r="K24" s="43" t="n">
        <v>150</v>
      </c>
      <c r="L24" s="43" t="n">
        <v>145</v>
      </c>
      <c r="M24" s="43" t="n">
        <v>150</v>
      </c>
      <c r="N24" s="44">
        <f>AVERAGE(B24:M24)</f>
        <v/>
      </c>
    </row>
    <row r="25" ht="16" customHeight="1">
      <c r="A25" s="48" t="inlineStr">
        <is>
          <t>Projected revenue (occ × ADR × 30)</t>
        </is>
      </c>
      <c r="B25" s="44">
        <f>B23*B24*30</f>
        <v/>
      </c>
      <c r="C25" s="44">
        <f>C23*C24*30</f>
        <v/>
      </c>
      <c r="D25" s="44">
        <f>D23*D24*30</f>
        <v/>
      </c>
      <c r="E25" s="44">
        <f>E23*E24*30</f>
        <v/>
      </c>
      <c r="F25" s="44">
        <f>F23*F24*30</f>
        <v/>
      </c>
      <c r="G25" s="44">
        <f>G23*G24*30</f>
        <v/>
      </c>
      <c r="H25" s="44">
        <f>H23*H24*30</f>
        <v/>
      </c>
      <c r="I25" s="44">
        <f>I23*I24*30</f>
        <v/>
      </c>
      <c r="J25" s="44">
        <f>J23*J24*30</f>
        <v/>
      </c>
      <c r="K25" s="44">
        <f>K23*K24*30</f>
        <v/>
      </c>
      <c r="L25" s="44">
        <f>L23*L24*30</f>
        <v/>
      </c>
      <c r="M25" s="44">
        <f>M23*M24*30</f>
        <v/>
      </c>
      <c r="N25" s="44">
        <f>SUM(B25:M25)</f>
        <v/>
      </c>
    </row>
    <row r="26" ht="20" customHeight="1">
      <c r="A26" s="49" t="inlineStr">
        <is>
          <t>TOTAL — property monthly revenue</t>
        </is>
      </c>
      <c r="B26" s="50">
        <f>B22+B25</f>
        <v/>
      </c>
      <c r="C26" s="50">
        <f>C22+C25</f>
        <v/>
      </c>
      <c r="D26" s="50">
        <f>D22+D25</f>
        <v/>
      </c>
      <c r="E26" s="50">
        <f>E22+E25</f>
        <v/>
      </c>
      <c r="F26" s="50">
        <f>F22+F25</f>
        <v/>
      </c>
      <c r="G26" s="50">
        <f>G22+G25</f>
        <v/>
      </c>
      <c r="H26" s="50">
        <f>H22+H25</f>
        <v/>
      </c>
      <c r="I26" s="50">
        <f>I22+I25</f>
        <v/>
      </c>
      <c r="J26" s="50">
        <f>J22+J25</f>
        <v/>
      </c>
      <c r="K26" s="50">
        <f>K22+K25</f>
        <v/>
      </c>
      <c r="L26" s="50">
        <f>L22+L25</f>
        <v/>
      </c>
      <c r="M26" s="50">
        <f>M22+M25</f>
        <v/>
      </c>
      <c r="N26" s="50">
        <f>SUM(B26:M26)</f>
        <v/>
      </c>
    </row>
    <row r="29" ht="24" customHeight="1">
      <c r="A29" s="51" t="inlineStr">
        <is>
          <t>PORTFOLIO TOTAL REVENUE</t>
        </is>
      </c>
      <c r="B29" s="52">
        <f>B12+B19+B26</f>
        <v/>
      </c>
      <c r="C29" s="52">
        <f>C12+C19+C26</f>
        <v/>
      </c>
      <c r="D29" s="52">
        <f>D12+D19+D26</f>
        <v/>
      </c>
      <c r="E29" s="52">
        <f>E12+E19+E26</f>
        <v/>
      </c>
      <c r="F29" s="52">
        <f>F12+F19+F26</f>
        <v/>
      </c>
      <c r="G29" s="52">
        <f>G12+G19+G26</f>
        <v/>
      </c>
      <c r="H29" s="52">
        <f>H12+H19+H26</f>
        <v/>
      </c>
      <c r="I29" s="52">
        <f>I12+I19+I26</f>
        <v/>
      </c>
      <c r="J29" s="52">
        <f>J12+J19+J26</f>
        <v/>
      </c>
      <c r="K29" s="52">
        <f>K12+K19+K26</f>
        <v/>
      </c>
      <c r="L29" s="52">
        <f>L12+L19+L26</f>
        <v/>
      </c>
      <c r="M29" s="52">
        <f>M12+M19+M26</f>
        <v/>
      </c>
      <c r="N29" s="53">
        <f>SUM(B29:M29)</f>
        <v/>
      </c>
    </row>
  </sheetData>
  <mergeCells count="7">
    <mergeCell ref="J2:L2"/>
    <mergeCell ref="D2:I2"/>
    <mergeCell ref="A4:N4"/>
    <mergeCell ref="A21:N21"/>
    <mergeCell ref="A7:N7"/>
    <mergeCell ref="A14:N14"/>
    <mergeCell ref="A2:C2"/>
  </mergeCell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N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HYPERLINK("#'Bookings + Revenue'!A1", "← BACK")</f>
        <v/>
      </c>
      <c r="B2" s="13" t="n"/>
      <c r="C2" s="13" t="n"/>
      <c r="D2" s="36" t="inlineStr">
        <is>
          <t>RECURRING EXPENSES</t>
        </is>
      </c>
      <c r="J2" s="37">
        <f>HYPERLINK("#'One-Off Expenses'!A1", "NEXT →")</f>
        <v/>
      </c>
      <c r="K2" s="38" t="n"/>
      <c r="L2" s="3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9" t="inlineStr">
        <is>
          <t>One row per category. Same amount every month? Type once, copy across. Override any month that's different.</t>
        </is>
      </c>
    </row>
    <row r="5" ht="20" customHeight="1">
      <c r="A5" s="40" t="inlineStr">
        <is>
          <t>Category</t>
        </is>
      </c>
      <c r="B5" s="40" t="inlineStr">
        <is>
          <t>Jan</t>
        </is>
      </c>
      <c r="C5" s="40" t="inlineStr">
        <is>
          <t>Feb</t>
        </is>
      </c>
      <c r="D5" s="40" t="inlineStr">
        <is>
          <t>Mar</t>
        </is>
      </c>
      <c r="E5" s="40" t="inlineStr">
        <is>
          <t>Apr</t>
        </is>
      </c>
      <c r="F5" s="40" t="inlineStr">
        <is>
          <t>May</t>
        </is>
      </c>
      <c r="G5" s="40" t="inlineStr">
        <is>
          <t>Jun</t>
        </is>
      </c>
      <c r="H5" s="40" t="inlineStr">
        <is>
          <t>Jul</t>
        </is>
      </c>
      <c r="I5" s="40" t="inlineStr">
        <is>
          <t>Aug</t>
        </is>
      </c>
      <c r="J5" s="40" t="inlineStr">
        <is>
          <t>Sep</t>
        </is>
      </c>
      <c r="K5" s="40" t="inlineStr">
        <is>
          <t>Oct</t>
        </is>
      </c>
      <c r="L5" s="40" t="inlineStr">
        <is>
          <t>Nov</t>
        </is>
      </c>
      <c r="M5" s="40" t="inlineStr">
        <is>
          <t>Dec</t>
        </is>
      </c>
      <c r="N5" s="40" t="inlineStr">
        <is>
          <t>Total</t>
        </is>
      </c>
    </row>
    <row r="6" ht="6" customHeight="1"/>
    <row r="7" ht="18" customHeight="1">
      <c r="A7" s="45" t="inlineStr">
        <is>
          <t>Mortgage (P&amp;I)</t>
        </is>
      </c>
      <c r="B7" s="43" t="n">
        <v>4200</v>
      </c>
      <c r="C7" s="43" t="n">
        <v>4200</v>
      </c>
      <c r="D7" s="43" t="n">
        <v>4200</v>
      </c>
      <c r="E7" s="43" t="n">
        <v>4200</v>
      </c>
      <c r="F7" s="43" t="n">
        <v>4200</v>
      </c>
      <c r="G7" s="43" t="n">
        <v>4200</v>
      </c>
      <c r="H7" s="43" t="n">
        <v>4200</v>
      </c>
      <c r="I7" s="43" t="n">
        <v>4200</v>
      </c>
      <c r="J7" s="43" t="n">
        <v>4200</v>
      </c>
      <c r="K7" s="43" t="n">
        <v>4200</v>
      </c>
      <c r="L7" s="43" t="n">
        <v>4200</v>
      </c>
      <c r="M7" s="43" t="n">
        <v>4200</v>
      </c>
      <c r="N7" s="44">
        <f>SUM(B7:M7)</f>
        <v/>
      </c>
    </row>
    <row r="8" ht="18" customHeight="1">
      <c r="A8" s="45" t="inlineStr">
        <is>
          <t>Property tax (escrow)</t>
        </is>
      </c>
      <c r="B8" s="43" t="n">
        <v>850</v>
      </c>
      <c r="C8" s="43" t="n">
        <v>850</v>
      </c>
      <c r="D8" s="43" t="n">
        <v>850</v>
      </c>
      <c r="E8" s="43" t="n">
        <v>850</v>
      </c>
      <c r="F8" s="43" t="n">
        <v>850</v>
      </c>
      <c r="G8" s="43" t="n">
        <v>850</v>
      </c>
      <c r="H8" s="43" t="n">
        <v>850</v>
      </c>
      <c r="I8" s="43" t="n">
        <v>850</v>
      </c>
      <c r="J8" s="43" t="n">
        <v>850</v>
      </c>
      <c r="K8" s="43" t="n">
        <v>850</v>
      </c>
      <c r="L8" s="43" t="n">
        <v>850</v>
      </c>
      <c r="M8" s="43" t="n">
        <v>850</v>
      </c>
      <c r="N8" s="44">
        <f>SUM(B8:M8)</f>
        <v/>
      </c>
    </row>
    <row r="9" ht="18" customHeight="1">
      <c r="A9" s="45" t="inlineStr">
        <is>
          <t>Insurance</t>
        </is>
      </c>
      <c r="B9" s="43" t="n">
        <v>420</v>
      </c>
      <c r="C9" s="43" t="n">
        <v>420</v>
      </c>
      <c r="D9" s="43" t="n">
        <v>420</v>
      </c>
      <c r="E9" s="43" t="n">
        <v>420</v>
      </c>
      <c r="F9" s="43" t="n">
        <v>420</v>
      </c>
      <c r="G9" s="43" t="n">
        <v>420</v>
      </c>
      <c r="H9" s="43" t="n">
        <v>420</v>
      </c>
      <c r="I9" s="43" t="n">
        <v>420</v>
      </c>
      <c r="J9" s="43" t="n">
        <v>420</v>
      </c>
      <c r="K9" s="43" t="n">
        <v>420</v>
      </c>
      <c r="L9" s="43" t="n">
        <v>420</v>
      </c>
      <c r="M9" s="43" t="n">
        <v>420</v>
      </c>
      <c r="N9" s="44">
        <f>SUM(B9:M9)</f>
        <v/>
      </c>
    </row>
    <row r="10" ht="18" customHeight="1">
      <c r="A10" s="45" t="inlineStr">
        <is>
          <t>HOA / community fees</t>
        </is>
      </c>
      <c r="B10" s="43" t="n">
        <v>180</v>
      </c>
      <c r="C10" s="43" t="n">
        <v>180</v>
      </c>
      <c r="D10" s="43" t="n">
        <v>180</v>
      </c>
      <c r="E10" s="43" t="n">
        <v>180</v>
      </c>
      <c r="F10" s="43" t="n">
        <v>180</v>
      </c>
      <c r="G10" s="43" t="n">
        <v>180</v>
      </c>
      <c r="H10" s="43" t="n">
        <v>180</v>
      </c>
      <c r="I10" s="43" t="n">
        <v>180</v>
      </c>
      <c r="J10" s="43" t="n">
        <v>180</v>
      </c>
      <c r="K10" s="43" t="n">
        <v>180</v>
      </c>
      <c r="L10" s="43" t="n">
        <v>180</v>
      </c>
      <c r="M10" s="43" t="n">
        <v>180</v>
      </c>
      <c r="N10" s="44">
        <f>SUM(B10:M10)</f>
        <v/>
      </c>
    </row>
    <row r="11" ht="18" customHeight="1">
      <c r="A11" s="45" t="inlineStr">
        <is>
          <t>Internet</t>
        </is>
      </c>
      <c r="B11" s="43" t="n">
        <v>270</v>
      </c>
      <c r="C11" s="43" t="n">
        <v>270</v>
      </c>
      <c r="D11" s="43" t="n">
        <v>270</v>
      </c>
      <c r="E11" s="43" t="n">
        <v>270</v>
      </c>
      <c r="F11" s="43" t="n">
        <v>270</v>
      </c>
      <c r="G11" s="43" t="n">
        <v>270</v>
      </c>
      <c r="H11" s="43" t="n">
        <v>270</v>
      </c>
      <c r="I11" s="43" t="n">
        <v>270</v>
      </c>
      <c r="J11" s="43" t="n">
        <v>270</v>
      </c>
      <c r="K11" s="43" t="n">
        <v>270</v>
      </c>
      <c r="L11" s="43" t="n">
        <v>270</v>
      </c>
      <c r="M11" s="43" t="n">
        <v>270</v>
      </c>
      <c r="N11" s="44">
        <f>SUM(B11:M11)</f>
        <v/>
      </c>
    </row>
    <row r="12" ht="18" customHeight="1">
      <c r="A12" s="45" t="inlineStr">
        <is>
          <t>Electric</t>
        </is>
      </c>
      <c r="B12" s="43" t="n">
        <v>380</v>
      </c>
      <c r="C12" s="43" t="n">
        <v>380</v>
      </c>
      <c r="D12" s="43" t="n">
        <v>320</v>
      </c>
      <c r="E12" s="43" t="n">
        <v>280</v>
      </c>
      <c r="F12" s="43" t="n">
        <v>260</v>
      </c>
      <c r="G12" s="43" t="n">
        <v>320</v>
      </c>
      <c r="H12" s="43" t="n">
        <v>420</v>
      </c>
      <c r="I12" s="43" t="n">
        <v>440</v>
      </c>
      <c r="J12" s="43" t="n">
        <v>360</v>
      </c>
      <c r="K12" s="43" t="n">
        <v>290</v>
      </c>
      <c r="L12" s="43" t="n">
        <v>280</v>
      </c>
      <c r="M12" s="43" t="n">
        <v>360</v>
      </c>
      <c r="N12" s="44">
        <f>SUM(B12:M12)</f>
        <v/>
      </c>
    </row>
    <row r="13" ht="18" customHeight="1">
      <c r="A13" s="45" t="inlineStr">
        <is>
          <t>Gas</t>
        </is>
      </c>
      <c r="B13" s="43" t="n">
        <v>240</v>
      </c>
      <c r="C13" s="43" t="n">
        <v>240</v>
      </c>
      <c r="D13" s="43" t="n">
        <v>200</v>
      </c>
      <c r="E13" s="43" t="n">
        <v>140</v>
      </c>
      <c r="F13" s="43" t="n">
        <v>100</v>
      </c>
      <c r="G13" s="43" t="n">
        <v>80</v>
      </c>
      <c r="H13" s="43" t="n">
        <v>60</v>
      </c>
      <c r="I13" s="43" t="n">
        <v>60</v>
      </c>
      <c r="J13" s="43" t="n">
        <v>90</v>
      </c>
      <c r="K13" s="43" t="n">
        <v>140</v>
      </c>
      <c r="L13" s="43" t="n">
        <v>200</v>
      </c>
      <c r="M13" s="43" t="n">
        <v>240</v>
      </c>
      <c r="N13" s="44">
        <f>SUM(B13:M13)</f>
        <v/>
      </c>
    </row>
    <row r="14" ht="18" customHeight="1">
      <c r="A14" s="45" t="inlineStr">
        <is>
          <t>Water / sewer</t>
        </is>
      </c>
      <c r="B14" s="43" t="n">
        <v>180</v>
      </c>
      <c r="C14" s="43" t="n">
        <v>180</v>
      </c>
      <c r="D14" s="43" t="n">
        <v>180</v>
      </c>
      <c r="E14" s="43" t="n">
        <v>180</v>
      </c>
      <c r="F14" s="43" t="n">
        <v>180</v>
      </c>
      <c r="G14" s="43" t="n">
        <v>180</v>
      </c>
      <c r="H14" s="43" t="n">
        <v>180</v>
      </c>
      <c r="I14" s="43" t="n">
        <v>180</v>
      </c>
      <c r="J14" s="43" t="n">
        <v>180</v>
      </c>
      <c r="K14" s="43" t="n">
        <v>180</v>
      </c>
      <c r="L14" s="43" t="n">
        <v>180</v>
      </c>
      <c r="M14" s="43" t="n">
        <v>180</v>
      </c>
      <c r="N14" s="44">
        <f>SUM(B14:M14)</f>
        <v/>
      </c>
    </row>
    <row r="15" ht="18" customHeight="1">
      <c r="A15" s="45" t="inlineStr">
        <is>
          <t>Trash / recycling</t>
        </is>
      </c>
      <c r="B15" s="43" t="n">
        <v>90</v>
      </c>
      <c r="C15" s="43" t="n">
        <v>90</v>
      </c>
      <c r="D15" s="43" t="n">
        <v>90</v>
      </c>
      <c r="E15" s="43" t="n">
        <v>90</v>
      </c>
      <c r="F15" s="43" t="n">
        <v>90</v>
      </c>
      <c r="G15" s="43" t="n">
        <v>90</v>
      </c>
      <c r="H15" s="43" t="n">
        <v>90</v>
      </c>
      <c r="I15" s="43" t="n">
        <v>90</v>
      </c>
      <c r="J15" s="43" t="n">
        <v>90</v>
      </c>
      <c r="K15" s="43" t="n">
        <v>90</v>
      </c>
      <c r="L15" s="43" t="n">
        <v>90</v>
      </c>
      <c r="M15" s="43" t="n">
        <v>90</v>
      </c>
      <c r="N15" s="44">
        <f>SUM(B15:M15)</f>
        <v/>
      </c>
    </row>
    <row r="16" ht="18" customHeight="1">
      <c r="A16" s="45" t="inlineStr">
        <is>
          <t>Software (PMS, accounting)</t>
        </is>
      </c>
      <c r="B16" s="43" t="n">
        <v>240</v>
      </c>
      <c r="C16" s="43" t="n">
        <v>240</v>
      </c>
      <c r="D16" s="43" t="n">
        <v>240</v>
      </c>
      <c r="E16" s="43" t="n">
        <v>240</v>
      </c>
      <c r="F16" s="43" t="n">
        <v>240</v>
      </c>
      <c r="G16" s="43" t="n">
        <v>240</v>
      </c>
      <c r="H16" s="43" t="n">
        <v>240</v>
      </c>
      <c r="I16" s="43" t="n">
        <v>240</v>
      </c>
      <c r="J16" s="43" t="n">
        <v>240</v>
      </c>
      <c r="K16" s="43" t="n">
        <v>240</v>
      </c>
      <c r="L16" s="43" t="n">
        <v>240</v>
      </c>
      <c r="M16" s="43" t="n">
        <v>240</v>
      </c>
      <c r="N16" s="44">
        <f>SUM(B16:M16)</f>
        <v/>
      </c>
    </row>
    <row r="17" ht="18" customHeight="1">
      <c r="A17" s="45" t="inlineStr">
        <is>
          <t>Cleaning (recurring contract)</t>
        </is>
      </c>
      <c r="B17" s="43" t="n">
        <v>2400</v>
      </c>
      <c r="C17" s="43" t="n">
        <v>2200</v>
      </c>
      <c r="D17" s="43" t="n">
        <v>2400</v>
      </c>
      <c r="E17" s="43" t="n">
        <v>2600</v>
      </c>
      <c r="F17" s="43" t="n">
        <v>2800</v>
      </c>
      <c r="G17" s="43" t="n">
        <v>3000</v>
      </c>
      <c r="H17" s="43" t="n">
        <v>3200</v>
      </c>
      <c r="I17" s="43" t="n">
        <v>3200</v>
      </c>
      <c r="J17" s="43" t="n">
        <v>2800</v>
      </c>
      <c r="K17" s="43" t="n">
        <v>2600</v>
      </c>
      <c r="L17" s="43" t="n">
        <v>2400</v>
      </c>
      <c r="M17" s="43" t="n">
        <v>2600</v>
      </c>
      <c r="N17" s="44">
        <f>SUM(B17:M17)</f>
        <v/>
      </c>
    </row>
    <row r="18" ht="18" customHeight="1">
      <c r="A18" s="45" t="inlineStr">
        <is>
          <t>Supplies restock</t>
        </is>
      </c>
      <c r="B18" s="43" t="n">
        <v>180</v>
      </c>
      <c r="C18" s="43" t="n">
        <v>160</v>
      </c>
      <c r="D18" s="43" t="n">
        <v>200</v>
      </c>
      <c r="E18" s="43" t="n">
        <v>220</v>
      </c>
      <c r="F18" s="43" t="n">
        <v>240</v>
      </c>
      <c r="G18" s="43" t="n">
        <v>260</v>
      </c>
      <c r="H18" s="43" t="n">
        <v>280</v>
      </c>
      <c r="I18" s="43" t="n">
        <v>280</v>
      </c>
      <c r="J18" s="43" t="n">
        <v>240</v>
      </c>
      <c r="K18" s="43" t="n">
        <v>220</v>
      </c>
      <c r="L18" s="43" t="n">
        <v>200</v>
      </c>
      <c r="M18" s="43" t="n">
        <v>220</v>
      </c>
      <c r="N18" s="44">
        <f>SUM(B18:M18)</f>
        <v/>
      </c>
    </row>
    <row r="19" ht="18" customHeight="1">
      <c r="A19" s="45" t="inlineStr">
        <is>
          <t>Professional fees (CPA, legal)</t>
        </is>
      </c>
      <c r="B19" s="43" t="n">
        <v>800</v>
      </c>
      <c r="C19" s="43" t="n">
        <v>200</v>
      </c>
      <c r="D19" s="43" t="n">
        <v>200</v>
      </c>
      <c r="E19" s="43" t="n">
        <v>200</v>
      </c>
      <c r="F19" s="43" t="n">
        <v>200</v>
      </c>
      <c r="G19" s="43" t="n">
        <v>200</v>
      </c>
      <c r="H19" s="43" t="n">
        <v>200</v>
      </c>
      <c r="I19" s="43" t="n">
        <v>200</v>
      </c>
      <c r="J19" s="43" t="n">
        <v>200</v>
      </c>
      <c r="K19" s="43" t="n">
        <v>200</v>
      </c>
      <c r="L19" s="43" t="n">
        <v>200</v>
      </c>
      <c r="M19" s="43" t="n">
        <v>200</v>
      </c>
      <c r="N19" s="44">
        <f>SUM(B19:M19)</f>
        <v/>
      </c>
    </row>
    <row r="20" ht="18" customHeight="1">
      <c r="A20" s="45" t="inlineStr">
        <is>
          <t>Marketing / listing boost</t>
        </is>
      </c>
      <c r="B20" s="43" t="n">
        <v>150</v>
      </c>
      <c r="C20" s="43" t="n">
        <v>150</v>
      </c>
      <c r="D20" s="43" t="n">
        <v>200</v>
      </c>
      <c r="E20" s="43" t="n">
        <v>200</v>
      </c>
      <c r="F20" s="43" t="n">
        <v>150</v>
      </c>
      <c r="G20" s="43" t="n">
        <v>100</v>
      </c>
      <c r="H20" s="43" t="n">
        <v>100</v>
      </c>
      <c r="I20" s="43" t="n">
        <v>100</v>
      </c>
      <c r="J20" s="43" t="n">
        <v>150</v>
      </c>
      <c r="K20" s="43" t="n">
        <v>200</v>
      </c>
      <c r="L20" s="43" t="n">
        <v>200</v>
      </c>
      <c r="M20" s="43" t="n">
        <v>200</v>
      </c>
      <c r="N20" s="44">
        <f>SUM(B20:M20)</f>
        <v/>
      </c>
    </row>
    <row r="21" ht="18" customHeight="1">
      <c r="A21" s="45" t="inlineStr">
        <is>
          <t>Misc / contingency</t>
        </is>
      </c>
      <c r="B21" s="43" t="n">
        <v>200</v>
      </c>
      <c r="C21" s="43" t="n">
        <v>200</v>
      </c>
      <c r="D21" s="43" t="n">
        <v>200</v>
      </c>
      <c r="E21" s="43" t="n">
        <v>200</v>
      </c>
      <c r="F21" s="43" t="n">
        <v>200</v>
      </c>
      <c r="G21" s="43" t="n">
        <v>200</v>
      </c>
      <c r="H21" s="43" t="n">
        <v>200</v>
      </c>
      <c r="I21" s="43" t="n">
        <v>200</v>
      </c>
      <c r="J21" s="43" t="n">
        <v>200</v>
      </c>
      <c r="K21" s="43" t="n">
        <v>200</v>
      </c>
      <c r="L21" s="43" t="n">
        <v>200</v>
      </c>
      <c r="M21" s="43" t="n">
        <v>200</v>
      </c>
      <c r="N21" s="44">
        <f>SUM(B21:M21)</f>
        <v/>
      </c>
    </row>
    <row r="22" ht="8" customHeight="1"/>
    <row r="23" ht="22" customHeight="1">
      <c r="A23" s="54" t="inlineStr">
        <is>
          <t>TOTAL RECURRING EXPENSES</t>
        </is>
      </c>
      <c r="B23" s="55">
        <f>SUM(B7:B21)</f>
        <v/>
      </c>
      <c r="C23" s="55">
        <f>SUM(C7:C21)</f>
        <v/>
      </c>
      <c r="D23" s="55">
        <f>SUM(D7:D21)</f>
        <v/>
      </c>
      <c r="E23" s="55">
        <f>SUM(E7:E21)</f>
        <v/>
      </c>
      <c r="F23" s="55">
        <f>SUM(F7:F21)</f>
        <v/>
      </c>
      <c r="G23" s="55">
        <f>SUM(G7:G21)</f>
        <v/>
      </c>
      <c r="H23" s="55">
        <f>SUM(H7:H21)</f>
        <v/>
      </c>
      <c r="I23" s="55">
        <f>SUM(I7:I21)</f>
        <v/>
      </c>
      <c r="J23" s="55">
        <f>SUM(J7:J21)</f>
        <v/>
      </c>
      <c r="K23" s="55">
        <f>SUM(K7:K21)</f>
        <v/>
      </c>
      <c r="L23" s="55">
        <f>SUM(L7:L21)</f>
        <v/>
      </c>
      <c r="M23" s="55">
        <f>SUM(M7:M21)</f>
        <v/>
      </c>
      <c r="N23" s="55">
        <f>SUM(N7:N21)</f>
        <v/>
      </c>
    </row>
  </sheetData>
  <mergeCells count="4">
    <mergeCell ref="A4:N4"/>
    <mergeCell ref="J2:L2"/>
    <mergeCell ref="D2:I2"/>
    <mergeCell ref="A2:C2"/>
  </mergeCells>
  <pageMargins left="0.4" right="0.4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2" customWidth="1" min="4" max="4"/>
    <col width="32" customWidth="1" min="5" max="5"/>
    <col width="8" customWidth="1" min="6" max="6"/>
    <col width="8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HYPERLINK("#'Recurring Expenses'!A1", "← BACK")</f>
        <v/>
      </c>
      <c r="B2" s="13" t="n"/>
      <c r="C2" s="13" t="n"/>
      <c r="D2" s="36" t="inlineStr">
        <is>
          <t>ONE-OFF EXPENSES</t>
        </is>
      </c>
      <c r="J2" s="37">
        <f>HYPERLINK("#'Cash Flow Forecast'!A1", "NEXT →")</f>
        <v/>
      </c>
      <c r="K2" s="38" t="n"/>
      <c r="L2" s="3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9" t="inlineStr">
        <is>
          <t>Planned 1-time expenses — renovations, appliance replacement, estimated tax payments, legal fees. Posted to Cash Flow Forecast by month.</t>
        </is>
      </c>
      <c r="H4" s="9" t="n"/>
      <c r="I4" s="9" t="n"/>
      <c r="J4" s="9" t="n"/>
      <c r="K4" s="9" t="n"/>
      <c r="L4" s="9" t="n"/>
    </row>
    <row r="5" ht="20" customHeight="1">
      <c r="A5" s="40" t="inlineStr">
        <is>
          <t>Date</t>
        </is>
      </c>
      <c r="B5" s="40" t="inlineStr">
        <is>
          <t>Property</t>
        </is>
      </c>
      <c r="C5" s="40" t="inlineStr">
        <is>
          <t>Category</t>
        </is>
      </c>
      <c r="D5" s="40" t="inlineStr">
        <is>
          <t>Amount</t>
        </is>
      </c>
      <c r="E5" s="40" t="inlineStr">
        <is>
          <t>Notes</t>
        </is>
      </c>
    </row>
    <row r="6" ht="16" customHeight="1">
      <c r="A6" s="56" t="n">
        <v>46037</v>
      </c>
      <c r="B6" s="57" t="inlineStr">
        <is>
          <t>Smokies Ridge Cabin</t>
        </is>
      </c>
      <c r="C6" s="57" t="inlineStr">
        <is>
          <t>Estimated tax (Q1)</t>
        </is>
      </c>
      <c r="D6" s="43" t="n">
        <v>1500</v>
      </c>
      <c r="E6" s="57" t="inlineStr">
        <is>
          <t>Federal Q1</t>
        </is>
      </c>
    </row>
    <row r="7" ht="16" customHeight="1">
      <c r="A7" s="56" t="n">
        <v>46037</v>
      </c>
      <c r="B7" s="57" t="inlineStr">
        <is>
          <t>Lakeside Loft</t>
        </is>
      </c>
      <c r="C7" s="57" t="inlineStr">
        <is>
          <t>Estimated tax (Q1)</t>
        </is>
      </c>
      <c r="D7" s="43" t="n">
        <v>1500</v>
      </c>
      <c r="E7" s="57" t="inlineStr">
        <is>
          <t>Federal Q1</t>
        </is>
      </c>
    </row>
    <row r="8" ht="16" customHeight="1">
      <c r="A8" s="56" t="n">
        <v>46037</v>
      </c>
      <c r="B8" s="57" t="inlineStr">
        <is>
          <t>Downtown Studio</t>
        </is>
      </c>
      <c r="C8" s="57" t="inlineStr">
        <is>
          <t>Estimated tax (Q1)</t>
        </is>
      </c>
      <c r="D8" s="43" t="n">
        <v>1500</v>
      </c>
      <c r="E8" s="57" t="inlineStr">
        <is>
          <t>Federal Q1</t>
        </is>
      </c>
    </row>
    <row r="9" ht="16" customHeight="1">
      <c r="A9" s="56" t="n">
        <v>46127</v>
      </c>
      <c r="B9" s="57" t="inlineStr">
        <is>
          <t>Smokies Ridge Cabin</t>
        </is>
      </c>
      <c r="C9" s="57" t="inlineStr">
        <is>
          <t>Estimated tax (Q2)</t>
        </is>
      </c>
      <c r="D9" s="43" t="n">
        <v>1200</v>
      </c>
      <c r="E9" s="57" t="inlineStr">
        <is>
          <t>Federal Q2</t>
        </is>
      </c>
    </row>
    <row r="10" ht="16" customHeight="1">
      <c r="A10" s="56" t="n">
        <v>46127</v>
      </c>
      <c r="B10" s="57" t="inlineStr">
        <is>
          <t>Lakeside Loft</t>
        </is>
      </c>
      <c r="C10" s="57" t="inlineStr">
        <is>
          <t>Estimated tax (Q2)</t>
        </is>
      </c>
      <c r="D10" s="43" t="n">
        <v>1200</v>
      </c>
      <c r="E10" s="57" t="inlineStr">
        <is>
          <t>Federal Q2</t>
        </is>
      </c>
    </row>
    <row r="11" ht="16" customHeight="1">
      <c r="A11" s="56" t="n">
        <v>46127</v>
      </c>
      <c r="B11" s="57" t="inlineStr">
        <is>
          <t>Downtown Studio</t>
        </is>
      </c>
      <c r="C11" s="57" t="inlineStr">
        <is>
          <t>Estimated tax (Q2)</t>
        </is>
      </c>
      <c r="D11" s="43" t="n">
        <v>1200</v>
      </c>
      <c r="E11" s="57" t="inlineStr">
        <is>
          <t>Federal Q2</t>
        </is>
      </c>
    </row>
    <row r="12" ht="16" customHeight="1">
      <c r="A12" s="56" t="n">
        <v>46188</v>
      </c>
      <c r="B12" s="57" t="inlineStr">
        <is>
          <t>Smokies Ridge Cabin</t>
        </is>
      </c>
      <c r="C12" s="57" t="inlineStr">
        <is>
          <t>Estimated tax (Q3)</t>
        </is>
      </c>
      <c r="D12" s="43" t="n">
        <v>1200</v>
      </c>
      <c r="E12" s="57" t="inlineStr">
        <is>
          <t>Federal Q3</t>
        </is>
      </c>
    </row>
    <row r="13" ht="16" customHeight="1">
      <c r="A13" s="56" t="n">
        <v>46188</v>
      </c>
      <c r="B13" s="57" t="inlineStr">
        <is>
          <t>Lakeside Loft</t>
        </is>
      </c>
      <c r="C13" s="57" t="inlineStr">
        <is>
          <t>Estimated tax (Q3)</t>
        </is>
      </c>
      <c r="D13" s="43" t="n">
        <v>1200</v>
      </c>
      <c r="E13" s="57" t="inlineStr">
        <is>
          <t>Federal Q3</t>
        </is>
      </c>
    </row>
    <row r="14" ht="16" customHeight="1">
      <c r="A14" s="56" t="n">
        <v>46188</v>
      </c>
      <c r="B14" s="57" t="inlineStr">
        <is>
          <t>Downtown Studio</t>
        </is>
      </c>
      <c r="C14" s="57" t="inlineStr">
        <is>
          <t>Estimated tax (Q3)</t>
        </is>
      </c>
      <c r="D14" s="43" t="n">
        <v>1200</v>
      </c>
      <c r="E14" s="57" t="inlineStr">
        <is>
          <t>Federal Q3</t>
        </is>
      </c>
    </row>
    <row r="15" ht="16" customHeight="1">
      <c r="A15" s="56" t="n">
        <v>46280</v>
      </c>
      <c r="B15" s="57" t="inlineStr">
        <is>
          <t>Smokies Ridge Cabin</t>
        </is>
      </c>
      <c r="C15" s="57" t="inlineStr">
        <is>
          <t>Estimated tax (Q4)</t>
        </is>
      </c>
      <c r="D15" s="43" t="n">
        <v>1500</v>
      </c>
      <c r="E15" s="57" t="inlineStr">
        <is>
          <t>Federal Q4</t>
        </is>
      </c>
    </row>
    <row r="16" ht="16" customHeight="1">
      <c r="A16" s="56" t="n">
        <v>46280</v>
      </c>
      <c r="B16" s="57" t="inlineStr">
        <is>
          <t>Lakeside Loft</t>
        </is>
      </c>
      <c r="C16" s="57" t="inlineStr">
        <is>
          <t>Estimated tax (Q4)</t>
        </is>
      </c>
      <c r="D16" s="43" t="n">
        <v>1500</v>
      </c>
      <c r="E16" s="57" t="inlineStr">
        <is>
          <t>Federal Q4</t>
        </is>
      </c>
    </row>
    <row r="17" ht="16" customHeight="1">
      <c r="A17" s="56" t="n">
        <v>46280</v>
      </c>
      <c r="B17" s="57" t="inlineStr">
        <is>
          <t>Downtown Studio</t>
        </is>
      </c>
      <c r="C17" s="57" t="inlineStr">
        <is>
          <t>Estimated tax (Q4)</t>
        </is>
      </c>
      <c r="D17" s="43" t="n">
        <v>1500</v>
      </c>
      <c r="E17" s="57" t="inlineStr">
        <is>
          <t>Federal Q4</t>
        </is>
      </c>
    </row>
    <row r="18" ht="16" customHeight="1">
      <c r="A18" s="56" t="n">
        <v>46307</v>
      </c>
      <c r="B18" s="57" t="inlineStr">
        <is>
          <t>Smokies Ridge Cabin</t>
        </is>
      </c>
      <c r="C18" s="57" t="inlineStr">
        <is>
          <t>HVAC replacement</t>
        </is>
      </c>
      <c r="D18" s="43" t="n">
        <v>7500</v>
      </c>
      <c r="E18" s="57" t="inlineStr">
        <is>
          <t>End-of-life HVAC unit</t>
        </is>
      </c>
    </row>
    <row r="19" ht="16" customHeight="1">
      <c r="A19" s="56" t="n">
        <v>46103</v>
      </c>
      <c r="B19" s="57" t="inlineStr">
        <is>
          <t>Lakeside Loft</t>
        </is>
      </c>
      <c r="C19" s="57" t="inlineStr">
        <is>
          <t>Appliance — fridge</t>
        </is>
      </c>
      <c r="D19" s="43" t="n">
        <v>900</v>
      </c>
      <c r="E19" s="57" t="inlineStr">
        <is>
          <t>Replaced after warranty</t>
        </is>
      </c>
    </row>
    <row r="20" ht="16" customHeight="1">
      <c r="A20" s="56" t="n">
        <v>46150</v>
      </c>
      <c r="B20" s="57" t="inlineStr">
        <is>
          <t>Downtown Studio</t>
        </is>
      </c>
      <c r="C20" s="57" t="inlineStr">
        <is>
          <t>Lawyer — lease review</t>
        </is>
      </c>
      <c r="D20" s="43" t="n">
        <v>450</v>
      </c>
      <c r="E20" s="57" t="inlineStr">
        <is>
          <t>Property mgmt contract</t>
        </is>
      </c>
    </row>
    <row r="21" ht="16" customHeight="1">
      <c r="A21" s="56" t="n">
        <v>46254</v>
      </c>
      <c r="B21" s="57" t="inlineStr">
        <is>
          <t>Smokies Ridge Cabin</t>
        </is>
      </c>
      <c r="C21" s="57" t="inlineStr">
        <is>
          <t>Deck restain</t>
        </is>
      </c>
      <c r="D21" s="43" t="n">
        <v>1100</v>
      </c>
      <c r="E21" s="57" t="inlineStr">
        <is>
          <t>Annual maintenance</t>
        </is>
      </c>
    </row>
    <row r="22">
      <c r="A22" s="56" t="n"/>
      <c r="B22" s="57" t="n"/>
      <c r="C22" s="57" t="n"/>
      <c r="D22" s="43" t="n"/>
      <c r="E22" s="57" t="n"/>
    </row>
    <row r="23">
      <c r="A23" s="56" t="n"/>
      <c r="B23" s="57" t="n"/>
      <c r="C23" s="57" t="n"/>
      <c r="D23" s="43" t="n"/>
      <c r="E23" s="57" t="n"/>
    </row>
    <row r="24">
      <c r="A24" s="56" t="n"/>
      <c r="B24" s="57" t="n"/>
      <c r="C24" s="57" t="n"/>
      <c r="D24" s="43" t="n"/>
      <c r="E24" s="57" t="n"/>
    </row>
    <row r="25">
      <c r="A25" s="56" t="n"/>
      <c r="B25" s="57" t="n"/>
      <c r="C25" s="57" t="n"/>
      <c r="D25" s="43" t="n"/>
      <c r="E25" s="57" t="n"/>
    </row>
    <row r="26">
      <c r="A26" s="56" t="n"/>
      <c r="B26" s="57" t="n"/>
      <c r="C26" s="57" t="n"/>
      <c r="D26" s="43" t="n"/>
      <c r="E26" s="57" t="n"/>
    </row>
    <row r="27">
      <c r="A27" s="56" t="n"/>
      <c r="B27" s="57" t="n"/>
      <c r="C27" s="57" t="n"/>
      <c r="D27" s="43" t="n"/>
      <c r="E27" s="57" t="n"/>
    </row>
    <row r="28">
      <c r="A28" s="56" t="n"/>
      <c r="B28" s="57" t="n"/>
      <c r="C28" s="57" t="n"/>
      <c r="D28" s="43" t="n"/>
      <c r="E28" s="57" t="n"/>
    </row>
    <row r="29">
      <c r="A29" s="56" t="n"/>
      <c r="B29" s="57" t="n"/>
      <c r="C29" s="57" t="n"/>
      <c r="D29" s="43" t="n"/>
      <c r="E29" s="57" t="n"/>
    </row>
    <row r="30">
      <c r="A30" s="56" t="n"/>
      <c r="B30" s="57" t="n"/>
      <c r="C30" s="57" t="n"/>
      <c r="D30" s="43" t="n"/>
      <c r="E30" s="57" t="n"/>
    </row>
    <row r="31">
      <c r="A31" s="56" t="n"/>
      <c r="B31" s="57" t="n"/>
      <c r="C31" s="57" t="n"/>
      <c r="D31" s="43" t="n"/>
      <c r="E31" s="57" t="n"/>
    </row>
    <row r="32">
      <c r="A32" s="56" t="n"/>
      <c r="B32" s="57" t="n"/>
      <c r="C32" s="57" t="n"/>
      <c r="D32" s="43" t="n"/>
      <c r="E32" s="57" t="n"/>
    </row>
    <row r="33">
      <c r="A33" s="56" t="n"/>
      <c r="B33" s="57" t="n"/>
      <c r="C33" s="57" t="n"/>
      <c r="D33" s="43" t="n"/>
      <c r="E33" s="57" t="n"/>
    </row>
    <row r="34">
      <c r="A34" s="56" t="n"/>
      <c r="B34" s="57" t="n"/>
      <c r="C34" s="57" t="n"/>
      <c r="D34" s="43" t="n"/>
      <c r="E34" s="57" t="n"/>
    </row>
    <row r="35">
      <c r="A35" s="56" t="n"/>
      <c r="B35" s="57" t="n"/>
      <c r="C35" s="57" t="n"/>
      <c r="D35" s="43" t="n"/>
      <c r="E35" s="57" t="n"/>
    </row>
    <row r="36">
      <c r="A36" s="56" t="n"/>
      <c r="B36" s="57" t="n"/>
      <c r="C36" s="57" t="n"/>
      <c r="D36" s="43" t="n"/>
      <c r="E36" s="57" t="n"/>
    </row>
    <row r="37">
      <c r="A37" s="56" t="n"/>
      <c r="B37" s="57" t="n"/>
      <c r="C37" s="57" t="n"/>
      <c r="D37" s="43" t="n"/>
      <c r="E37" s="57" t="n"/>
    </row>
    <row r="38">
      <c r="A38" s="56" t="n"/>
      <c r="B38" s="57" t="n"/>
      <c r="C38" s="57" t="n"/>
      <c r="D38" s="43" t="n"/>
      <c r="E38" s="57" t="n"/>
    </row>
    <row r="39">
      <c r="A39" s="56" t="n"/>
      <c r="B39" s="57" t="n"/>
      <c r="C39" s="57" t="n"/>
      <c r="D39" s="43" t="n"/>
      <c r="E39" s="57" t="n"/>
    </row>
    <row r="40">
      <c r="A40" s="56" t="n"/>
      <c r="B40" s="57" t="n"/>
      <c r="C40" s="57" t="n"/>
      <c r="D40" s="43" t="n"/>
      <c r="E40" s="57" t="n"/>
    </row>
    <row r="41">
      <c r="A41" s="56" t="n"/>
      <c r="B41" s="57" t="n"/>
      <c r="C41" s="57" t="n"/>
      <c r="D41" s="43" t="n"/>
      <c r="E41" s="57" t="n"/>
    </row>
    <row r="42">
      <c r="A42" s="56" t="n"/>
      <c r="B42" s="57" t="n"/>
      <c r="C42" s="57" t="n"/>
      <c r="D42" s="43" t="n"/>
      <c r="E42" s="57" t="n"/>
    </row>
    <row r="43">
      <c r="A43" s="56" t="n"/>
      <c r="B43" s="57" t="n"/>
      <c r="C43" s="57" t="n"/>
      <c r="D43" s="43" t="n"/>
      <c r="E43" s="57" t="n"/>
    </row>
    <row r="44">
      <c r="A44" s="56" t="n"/>
      <c r="B44" s="57" t="n"/>
      <c r="C44" s="57" t="n"/>
      <c r="D44" s="43" t="n"/>
      <c r="E44" s="57" t="n"/>
    </row>
    <row r="45">
      <c r="A45" s="56" t="n"/>
      <c r="B45" s="57" t="n"/>
      <c r="C45" s="57" t="n"/>
      <c r="D45" s="43" t="n"/>
      <c r="E45" s="57" t="n"/>
    </row>
    <row r="46">
      <c r="A46" s="56" t="n"/>
      <c r="B46" s="57" t="n"/>
      <c r="C46" s="57" t="n"/>
      <c r="D46" s="43" t="n"/>
      <c r="E46" s="57" t="n"/>
    </row>
    <row r="47">
      <c r="A47" s="56" t="n"/>
      <c r="B47" s="57" t="n"/>
      <c r="C47" s="57" t="n"/>
      <c r="D47" s="43" t="n"/>
      <c r="E47" s="57" t="n"/>
    </row>
    <row r="48">
      <c r="A48" s="56" t="n"/>
      <c r="B48" s="57" t="n"/>
      <c r="C48" s="57" t="n"/>
      <c r="D48" s="43" t="n"/>
      <c r="E48" s="57" t="n"/>
    </row>
    <row r="49">
      <c r="A49" s="56" t="n"/>
      <c r="B49" s="57" t="n"/>
      <c r="C49" s="57" t="n"/>
      <c r="D49" s="43" t="n"/>
      <c r="E49" s="57" t="n"/>
    </row>
    <row r="50">
      <c r="A50" s="56" t="n"/>
      <c r="B50" s="57" t="n"/>
      <c r="C50" s="57" t="n"/>
      <c r="D50" s="43" t="n"/>
      <c r="E50" s="57" t="n"/>
    </row>
    <row r="51">
      <c r="A51" s="56" t="n"/>
      <c r="B51" s="57" t="n"/>
      <c r="C51" s="57" t="n"/>
      <c r="D51" s="43" t="n"/>
      <c r="E51" s="57" t="n"/>
    </row>
    <row r="52">
      <c r="A52" s="56" t="n"/>
      <c r="B52" s="57" t="n"/>
      <c r="C52" s="57" t="n"/>
      <c r="D52" s="43" t="n"/>
      <c r="E52" s="57" t="n"/>
    </row>
    <row r="53">
      <c r="A53" s="56" t="n"/>
      <c r="B53" s="57" t="n"/>
      <c r="C53" s="57" t="n"/>
      <c r="D53" s="43" t="n"/>
      <c r="E53" s="57" t="n"/>
    </row>
    <row r="54">
      <c r="A54" s="56" t="n"/>
      <c r="B54" s="57" t="n"/>
      <c r="C54" s="57" t="n"/>
      <c r="D54" s="43" t="n"/>
      <c r="E54" s="57" t="n"/>
    </row>
    <row r="55">
      <c r="A55" s="56" t="n"/>
      <c r="B55" s="57" t="n"/>
      <c r="C55" s="57" t="n"/>
      <c r="D55" s="43" t="n"/>
      <c r="E55" s="57" t="n"/>
    </row>
    <row r="56">
      <c r="A56" s="56" t="n"/>
      <c r="B56" s="57" t="n"/>
      <c r="C56" s="57" t="n"/>
      <c r="D56" s="43" t="n"/>
      <c r="E56" s="57" t="n"/>
    </row>
    <row r="57">
      <c r="A57" s="56" t="n"/>
      <c r="B57" s="57" t="n"/>
      <c r="C57" s="57" t="n"/>
      <c r="D57" s="43" t="n"/>
      <c r="E57" s="57" t="n"/>
    </row>
    <row r="58">
      <c r="A58" s="56" t="n"/>
      <c r="B58" s="57" t="n"/>
      <c r="C58" s="57" t="n"/>
      <c r="D58" s="43" t="n"/>
      <c r="E58" s="57" t="n"/>
    </row>
    <row r="59">
      <c r="A59" s="56" t="n"/>
      <c r="B59" s="57" t="n"/>
      <c r="C59" s="57" t="n"/>
      <c r="D59" s="43" t="n"/>
      <c r="E59" s="57" t="n"/>
    </row>
    <row r="60">
      <c r="A60" s="56" t="n"/>
      <c r="B60" s="57" t="n"/>
      <c r="C60" s="57" t="n"/>
      <c r="D60" s="43" t="n"/>
      <c r="E60" s="57" t="n"/>
    </row>
    <row r="61">
      <c r="A61" s="56" t="n"/>
      <c r="B61" s="57" t="n"/>
      <c r="C61" s="57" t="n"/>
      <c r="D61" s="43" t="n"/>
      <c r="E61" s="57" t="n"/>
    </row>
    <row r="62">
      <c r="A62" s="56" t="n"/>
      <c r="B62" s="57" t="n"/>
      <c r="C62" s="57" t="n"/>
      <c r="D62" s="43" t="n"/>
      <c r="E62" s="57" t="n"/>
    </row>
    <row r="63">
      <c r="A63" s="56" t="n"/>
      <c r="B63" s="57" t="n"/>
      <c r="C63" s="57" t="n"/>
      <c r="D63" s="43" t="n"/>
      <c r="E63" s="57" t="n"/>
    </row>
    <row r="64">
      <c r="A64" s="56" t="n"/>
      <c r="B64" s="57" t="n"/>
      <c r="C64" s="57" t="n"/>
      <c r="D64" s="43" t="n"/>
      <c r="E64" s="57" t="n"/>
    </row>
    <row r="65">
      <c r="A65" s="56" t="n"/>
      <c r="B65" s="57" t="n"/>
      <c r="C65" s="57" t="n"/>
      <c r="D65" s="43" t="n"/>
      <c r="E65" s="57" t="n"/>
    </row>
    <row r="66">
      <c r="A66" s="56" t="n"/>
      <c r="B66" s="57" t="n"/>
      <c r="C66" s="57" t="n"/>
      <c r="D66" s="43" t="n"/>
      <c r="E66" s="57" t="n"/>
    </row>
    <row r="67">
      <c r="A67" s="56" t="n"/>
      <c r="B67" s="57" t="n"/>
      <c r="C67" s="57" t="n"/>
      <c r="D67" s="43" t="n"/>
      <c r="E67" s="57" t="n"/>
    </row>
    <row r="68">
      <c r="A68" s="56" t="n"/>
      <c r="B68" s="57" t="n"/>
      <c r="C68" s="57" t="n"/>
      <c r="D68" s="43" t="n"/>
      <c r="E68" s="57" t="n"/>
    </row>
    <row r="69">
      <c r="A69" s="56" t="n"/>
      <c r="B69" s="57" t="n"/>
      <c r="C69" s="57" t="n"/>
      <c r="D69" s="43" t="n"/>
      <c r="E69" s="57" t="n"/>
    </row>
    <row r="70">
      <c r="A70" s="56" t="n"/>
      <c r="B70" s="57" t="n"/>
      <c r="C70" s="57" t="n"/>
      <c r="D70" s="43" t="n"/>
      <c r="E70" s="57" t="n"/>
    </row>
    <row r="71">
      <c r="A71" s="56" t="n"/>
      <c r="B71" s="57" t="n"/>
      <c r="C71" s="57" t="n"/>
      <c r="D71" s="43" t="n"/>
      <c r="E71" s="57" t="n"/>
    </row>
    <row r="72">
      <c r="A72" s="56" t="n"/>
      <c r="B72" s="57" t="n"/>
      <c r="C72" s="57" t="n"/>
      <c r="D72" s="43" t="n"/>
      <c r="E72" s="57" t="n"/>
    </row>
    <row r="73">
      <c r="A73" s="56" t="n"/>
      <c r="B73" s="57" t="n"/>
      <c r="C73" s="57" t="n"/>
      <c r="D73" s="43" t="n"/>
      <c r="E73" s="57" t="n"/>
    </row>
    <row r="74">
      <c r="A74" s="56" t="n"/>
      <c r="B74" s="57" t="n"/>
      <c r="C74" s="57" t="n"/>
      <c r="D74" s="43" t="n"/>
      <c r="E74" s="57" t="n"/>
    </row>
    <row r="75">
      <c r="A75" s="56" t="n"/>
      <c r="B75" s="57" t="n"/>
      <c r="C75" s="57" t="n"/>
      <c r="D75" s="43" t="n"/>
      <c r="E75" s="57" t="n"/>
    </row>
    <row r="76">
      <c r="A76" s="56" t="n"/>
      <c r="B76" s="57" t="n"/>
      <c r="C76" s="57" t="n"/>
      <c r="D76" s="43" t="n"/>
      <c r="E76" s="57" t="n"/>
    </row>
    <row r="77">
      <c r="A77" s="56" t="n"/>
      <c r="B77" s="57" t="n"/>
      <c r="C77" s="57" t="n"/>
      <c r="D77" s="43" t="n"/>
      <c r="E77" s="57" t="n"/>
    </row>
    <row r="78">
      <c r="A78" s="56" t="n"/>
      <c r="B78" s="57" t="n"/>
      <c r="C78" s="57" t="n"/>
      <c r="D78" s="43" t="n"/>
      <c r="E78" s="57" t="n"/>
    </row>
    <row r="79">
      <c r="A79" s="56" t="n"/>
      <c r="B79" s="57" t="n"/>
      <c r="C79" s="57" t="n"/>
      <c r="D79" s="43" t="n"/>
      <c r="E79" s="57" t="n"/>
    </row>
    <row r="80">
      <c r="A80" s="56" t="n"/>
      <c r="B80" s="57" t="n"/>
      <c r="C80" s="57" t="n"/>
      <c r="D80" s="43" t="n"/>
      <c r="E80" s="57" t="n"/>
    </row>
    <row r="81">
      <c r="A81" s="56" t="n"/>
      <c r="B81" s="57" t="n"/>
      <c r="C81" s="57" t="n"/>
      <c r="D81" s="43" t="n"/>
      <c r="E81" s="57" t="n"/>
    </row>
    <row r="82">
      <c r="A82" s="56" t="n"/>
      <c r="B82" s="57" t="n"/>
      <c r="C82" s="57" t="n"/>
      <c r="D82" s="43" t="n"/>
      <c r="E82" s="57" t="n"/>
    </row>
    <row r="83">
      <c r="A83" s="56" t="n"/>
      <c r="B83" s="57" t="n"/>
      <c r="C83" s="57" t="n"/>
      <c r="D83" s="43" t="n"/>
      <c r="E83" s="57" t="n"/>
    </row>
    <row r="84">
      <c r="A84" s="56" t="n"/>
      <c r="B84" s="57" t="n"/>
      <c r="C84" s="57" t="n"/>
      <c r="D84" s="43" t="n"/>
      <c r="E84" s="57" t="n"/>
    </row>
    <row r="85">
      <c r="A85" s="56" t="n"/>
      <c r="B85" s="57" t="n"/>
      <c r="C85" s="57" t="n"/>
      <c r="D85" s="43" t="n"/>
      <c r="E85" s="57" t="n"/>
    </row>
    <row r="86">
      <c r="A86" s="56" t="n"/>
      <c r="B86" s="57" t="n"/>
      <c r="C86" s="57" t="n"/>
      <c r="D86" s="43" t="n"/>
      <c r="E86" s="57" t="n"/>
    </row>
    <row r="87">
      <c r="A87" s="56" t="n"/>
      <c r="B87" s="57" t="n"/>
      <c r="C87" s="57" t="n"/>
      <c r="D87" s="43" t="n"/>
      <c r="E87" s="57" t="n"/>
    </row>
    <row r="88">
      <c r="A88" s="56" t="n"/>
      <c r="B88" s="57" t="n"/>
      <c r="C88" s="57" t="n"/>
      <c r="D88" s="43" t="n"/>
      <c r="E88" s="57" t="n"/>
    </row>
    <row r="89">
      <c r="A89" s="56" t="n"/>
      <c r="B89" s="57" t="n"/>
      <c r="C89" s="57" t="n"/>
      <c r="D89" s="43" t="n"/>
      <c r="E89" s="57" t="n"/>
    </row>
    <row r="90">
      <c r="A90" s="56" t="n"/>
      <c r="B90" s="57" t="n"/>
      <c r="C90" s="57" t="n"/>
      <c r="D90" s="43" t="n"/>
      <c r="E90" s="57" t="n"/>
    </row>
    <row r="91">
      <c r="A91" s="56" t="n"/>
      <c r="B91" s="57" t="n"/>
      <c r="C91" s="57" t="n"/>
      <c r="D91" s="43" t="n"/>
      <c r="E91" s="57" t="n"/>
    </row>
    <row r="92">
      <c r="A92" s="56" t="n"/>
      <c r="B92" s="57" t="n"/>
      <c r="C92" s="57" t="n"/>
      <c r="D92" s="43" t="n"/>
      <c r="E92" s="57" t="n"/>
    </row>
    <row r="93">
      <c r="A93" s="56" t="n"/>
      <c r="B93" s="57" t="n"/>
      <c r="C93" s="57" t="n"/>
      <c r="D93" s="43" t="n"/>
      <c r="E93" s="57" t="n"/>
    </row>
    <row r="94">
      <c r="A94" s="56" t="n"/>
      <c r="B94" s="57" t="n"/>
      <c r="C94" s="57" t="n"/>
      <c r="D94" s="43" t="n"/>
      <c r="E94" s="57" t="n"/>
    </row>
    <row r="95">
      <c r="A95" s="56" t="n"/>
      <c r="B95" s="57" t="n"/>
      <c r="C95" s="57" t="n"/>
      <c r="D95" s="43" t="n"/>
      <c r="E95" s="57" t="n"/>
    </row>
    <row r="96">
      <c r="A96" s="56" t="n"/>
      <c r="B96" s="57" t="n"/>
      <c r="C96" s="57" t="n"/>
      <c r="D96" s="43" t="n"/>
      <c r="E96" s="57" t="n"/>
    </row>
    <row r="97">
      <c r="A97" s="56" t="n"/>
      <c r="B97" s="57" t="n"/>
      <c r="C97" s="57" t="n"/>
      <c r="D97" s="43" t="n"/>
      <c r="E97" s="57" t="n"/>
    </row>
    <row r="98">
      <c r="A98" s="56" t="n"/>
      <c r="B98" s="57" t="n"/>
      <c r="C98" s="57" t="n"/>
      <c r="D98" s="43" t="n"/>
      <c r="E98" s="57" t="n"/>
    </row>
    <row r="99">
      <c r="A99" s="56" t="n"/>
      <c r="B99" s="57" t="n"/>
      <c r="C99" s="57" t="n"/>
      <c r="D99" s="43" t="n"/>
      <c r="E99" s="57" t="n"/>
    </row>
    <row r="100">
      <c r="A100" s="56" t="n"/>
      <c r="B100" s="57" t="n"/>
      <c r="C100" s="57" t="n"/>
      <c r="D100" s="43" t="n"/>
      <c r="E100" s="57" t="n"/>
    </row>
    <row r="101">
      <c r="A101" s="56" t="n"/>
      <c r="B101" s="57" t="n"/>
      <c r="C101" s="57" t="n"/>
      <c r="D101" s="43" t="n"/>
      <c r="E101" s="57" t="n"/>
    </row>
    <row r="102">
      <c r="A102" s="56" t="n"/>
      <c r="B102" s="57" t="n"/>
      <c r="C102" s="57" t="n"/>
      <c r="D102" s="43" t="n"/>
      <c r="E102" s="57" t="n"/>
    </row>
    <row r="103">
      <c r="A103" s="56" t="n"/>
      <c r="B103" s="57" t="n"/>
      <c r="C103" s="57" t="n"/>
      <c r="D103" s="43" t="n"/>
      <c r="E103" s="57" t="n"/>
    </row>
    <row r="104">
      <c r="A104" s="56" t="n"/>
      <c r="B104" s="57" t="n"/>
      <c r="C104" s="57" t="n"/>
      <c r="D104" s="43" t="n"/>
      <c r="E104" s="57" t="n"/>
    </row>
    <row r="105">
      <c r="A105" s="56" t="n"/>
      <c r="B105" s="57" t="n"/>
      <c r="C105" s="57" t="n"/>
      <c r="D105" s="43" t="n"/>
      <c r="E105" s="57" t="n"/>
    </row>
  </sheetData>
  <mergeCells count="4">
    <mergeCell ref="J2:L2"/>
    <mergeCell ref="D2:I2"/>
    <mergeCell ref="A2:C2"/>
    <mergeCell ref="A4:G4"/>
  </mergeCells>
  <dataValidations count="1">
    <dataValidation sqref="B6:B105" showDropDown="0" showInputMessage="0" showErrorMessage="0" allowBlank="1" type="list">
      <formula1>=Settings!$B$10:$B$19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N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HYPERLINK("#'One-Off Expenses'!A1", "← BACK")</f>
        <v/>
      </c>
      <c r="B2" s="13" t="n"/>
      <c r="C2" s="13" t="n"/>
      <c r="D2" s="36" t="inlineStr">
        <is>
          <t>CASH FLOW FORECAST</t>
        </is>
      </c>
      <c r="J2" s="37">
        <f>HYPERLINK("#'Settings'!A1", "NEXT →")</f>
        <v/>
      </c>
      <c r="K2" s="38" t="n"/>
      <c r="L2" s="3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9" t="inlineStr">
        <is>
          <t>Combined 12-month forecast. Red bars = months where cumulative cash is negative. The chart on the right is your decision-support view.</t>
        </is>
      </c>
    </row>
    <row r="5" ht="20" customHeight="1">
      <c r="A5" s="40" t="inlineStr">
        <is>
          <t>Line</t>
        </is>
      </c>
      <c r="B5" s="40" t="inlineStr">
        <is>
          <t>Jan</t>
        </is>
      </c>
      <c r="C5" s="40" t="inlineStr">
        <is>
          <t>Feb</t>
        </is>
      </c>
      <c r="D5" s="40" t="inlineStr">
        <is>
          <t>Mar</t>
        </is>
      </c>
      <c r="E5" s="40" t="inlineStr">
        <is>
          <t>Apr</t>
        </is>
      </c>
      <c r="F5" s="40" t="inlineStr">
        <is>
          <t>May</t>
        </is>
      </c>
      <c r="G5" s="40" t="inlineStr">
        <is>
          <t>Jun</t>
        </is>
      </c>
      <c r="H5" s="40" t="inlineStr">
        <is>
          <t>Jul</t>
        </is>
      </c>
      <c r="I5" s="40" t="inlineStr">
        <is>
          <t>Aug</t>
        </is>
      </c>
      <c r="J5" s="40" t="inlineStr">
        <is>
          <t>Sep</t>
        </is>
      </c>
      <c r="K5" s="40" t="inlineStr">
        <is>
          <t>Oct</t>
        </is>
      </c>
      <c r="L5" s="40" t="inlineStr">
        <is>
          <t>Nov</t>
        </is>
      </c>
      <c r="M5" s="40" t="inlineStr">
        <is>
          <t>Dec</t>
        </is>
      </c>
      <c r="N5" s="40" t="inlineStr">
        <is>
          <t>Total</t>
        </is>
      </c>
    </row>
    <row r="6" ht="6" customHeight="1"/>
    <row r="7" ht="20" customHeight="1">
      <c r="A7" s="49" t="inlineStr">
        <is>
          <t>Revenue (portfolio total)</t>
        </is>
      </c>
      <c r="B7" s="44">
        <f>'Bookings + Revenue'!B29</f>
        <v/>
      </c>
      <c r="C7" s="44">
        <f>'Bookings + Revenue'!C29</f>
        <v/>
      </c>
      <c r="D7" s="44">
        <f>'Bookings + Revenue'!D29</f>
        <v/>
      </c>
      <c r="E7" s="44">
        <f>'Bookings + Revenue'!E29</f>
        <v/>
      </c>
      <c r="F7" s="44">
        <f>'Bookings + Revenue'!F29</f>
        <v/>
      </c>
      <c r="G7" s="44">
        <f>'Bookings + Revenue'!G29</f>
        <v/>
      </c>
      <c r="H7" s="44">
        <f>'Bookings + Revenue'!H29</f>
        <v/>
      </c>
      <c r="I7" s="44">
        <f>'Bookings + Revenue'!I29</f>
        <v/>
      </c>
      <c r="J7" s="44">
        <f>'Bookings + Revenue'!J29</f>
        <v/>
      </c>
      <c r="K7" s="44">
        <f>'Bookings + Revenue'!K29</f>
        <v/>
      </c>
      <c r="L7" s="44">
        <f>'Bookings + Revenue'!L29</f>
        <v/>
      </c>
      <c r="M7" s="44">
        <f>'Bookings + Revenue'!M29</f>
        <v/>
      </c>
      <c r="N7" s="52">
        <f>SUM(B7:M7)</f>
        <v/>
      </c>
    </row>
    <row r="8" ht="20" customHeight="1">
      <c r="A8" s="58" t="inlineStr">
        <is>
          <t>Recurring expenses</t>
        </is>
      </c>
      <c r="B8" s="44">
        <f>'Recurring Expenses'!B23</f>
        <v/>
      </c>
      <c r="C8" s="44">
        <f>'Recurring Expenses'!C23</f>
        <v/>
      </c>
      <c r="D8" s="44">
        <f>'Recurring Expenses'!D23</f>
        <v/>
      </c>
      <c r="E8" s="44">
        <f>'Recurring Expenses'!E23</f>
        <v/>
      </c>
      <c r="F8" s="44">
        <f>'Recurring Expenses'!F23</f>
        <v/>
      </c>
      <c r="G8" s="44">
        <f>'Recurring Expenses'!G23</f>
        <v/>
      </c>
      <c r="H8" s="44">
        <f>'Recurring Expenses'!H23</f>
        <v/>
      </c>
      <c r="I8" s="44">
        <f>'Recurring Expenses'!I23</f>
        <v/>
      </c>
      <c r="J8" s="44">
        <f>'Recurring Expenses'!J23</f>
        <v/>
      </c>
      <c r="K8" s="44">
        <f>'Recurring Expenses'!K23</f>
        <v/>
      </c>
      <c r="L8" s="44">
        <f>'Recurring Expenses'!L23</f>
        <v/>
      </c>
      <c r="M8" s="44">
        <f>'Recurring Expenses'!M23</f>
        <v/>
      </c>
      <c r="N8" s="44">
        <f>SUM(B8:M8)</f>
        <v/>
      </c>
    </row>
    <row r="9" ht="20" customHeight="1">
      <c r="A9" s="58" t="inlineStr">
        <is>
          <t>One-off expenses</t>
        </is>
      </c>
      <c r="B9" s="44">
        <f>SUMPRODUCT((MONTH('One-Off Expenses'!$A$6:$A$105)=1)*(YEAR('One-Off Expenses'!$A$6:$A$105)=Settings!$B$5)*IFERROR('One-Off Expenses'!$D$6:$D$105,0))</f>
        <v/>
      </c>
      <c r="C9" s="44">
        <f>SUMPRODUCT((MONTH('One-Off Expenses'!$A$6:$A$105)=2)*(YEAR('One-Off Expenses'!$A$6:$A$105)=Settings!$B$5)*IFERROR('One-Off Expenses'!$D$6:$D$105,0))</f>
        <v/>
      </c>
      <c r="D9" s="44">
        <f>SUMPRODUCT((MONTH('One-Off Expenses'!$A$6:$A$105)=3)*(YEAR('One-Off Expenses'!$A$6:$A$105)=Settings!$B$5)*IFERROR('One-Off Expenses'!$D$6:$D$105,0))</f>
        <v/>
      </c>
      <c r="E9" s="44">
        <f>SUMPRODUCT((MONTH('One-Off Expenses'!$A$6:$A$105)=4)*(YEAR('One-Off Expenses'!$A$6:$A$105)=Settings!$B$5)*IFERROR('One-Off Expenses'!$D$6:$D$105,0))</f>
        <v/>
      </c>
      <c r="F9" s="44">
        <f>SUMPRODUCT((MONTH('One-Off Expenses'!$A$6:$A$105)=5)*(YEAR('One-Off Expenses'!$A$6:$A$105)=Settings!$B$5)*IFERROR('One-Off Expenses'!$D$6:$D$105,0))</f>
        <v/>
      </c>
      <c r="G9" s="44">
        <f>SUMPRODUCT((MONTH('One-Off Expenses'!$A$6:$A$105)=6)*(YEAR('One-Off Expenses'!$A$6:$A$105)=Settings!$B$5)*IFERROR('One-Off Expenses'!$D$6:$D$105,0))</f>
        <v/>
      </c>
      <c r="H9" s="44">
        <f>SUMPRODUCT((MONTH('One-Off Expenses'!$A$6:$A$105)=7)*(YEAR('One-Off Expenses'!$A$6:$A$105)=Settings!$B$5)*IFERROR('One-Off Expenses'!$D$6:$D$105,0))</f>
        <v/>
      </c>
      <c r="I9" s="44">
        <f>SUMPRODUCT((MONTH('One-Off Expenses'!$A$6:$A$105)=8)*(YEAR('One-Off Expenses'!$A$6:$A$105)=Settings!$B$5)*IFERROR('One-Off Expenses'!$D$6:$D$105,0))</f>
        <v/>
      </c>
      <c r="J9" s="44">
        <f>SUMPRODUCT((MONTH('One-Off Expenses'!$A$6:$A$105)=9)*(YEAR('One-Off Expenses'!$A$6:$A$105)=Settings!$B$5)*IFERROR('One-Off Expenses'!$D$6:$D$105,0))</f>
        <v/>
      </c>
      <c r="K9" s="44">
        <f>SUMPRODUCT((MONTH('One-Off Expenses'!$A$6:$A$105)=10)*(YEAR('One-Off Expenses'!$A$6:$A$105)=Settings!$B$5)*IFERROR('One-Off Expenses'!$D$6:$D$105,0))</f>
        <v/>
      </c>
      <c r="L9" s="44">
        <f>SUMPRODUCT((MONTH('One-Off Expenses'!$A$6:$A$105)=11)*(YEAR('One-Off Expenses'!$A$6:$A$105)=Settings!$B$5)*IFERROR('One-Off Expenses'!$D$6:$D$105,0))</f>
        <v/>
      </c>
      <c r="M9" s="44">
        <f>SUMPRODUCT((MONTH('One-Off Expenses'!$A$6:$A$105)=12)*(YEAR('One-Off Expenses'!$A$6:$A$105)=Settings!$B$5)*IFERROR('One-Off Expenses'!$D$6:$D$105,0))</f>
        <v/>
      </c>
      <c r="N9" s="44">
        <f>SUM(B9:M9)</f>
        <v/>
      </c>
    </row>
    <row r="10" ht="22" customHeight="1">
      <c r="A10" s="59" t="inlineStr">
        <is>
          <t>NET monthly cash flow</t>
        </is>
      </c>
      <c r="B10" s="50">
        <f>B7-B8-B9</f>
        <v/>
      </c>
      <c r="C10" s="50">
        <f>C7-C8-C9</f>
        <v/>
      </c>
      <c r="D10" s="50">
        <f>D7-D8-D9</f>
        <v/>
      </c>
      <c r="E10" s="50">
        <f>E7-E8-E9</f>
        <v/>
      </c>
      <c r="F10" s="50">
        <f>F7-F8-F9</f>
        <v/>
      </c>
      <c r="G10" s="50">
        <f>G7-G8-G9</f>
        <v/>
      </c>
      <c r="H10" s="50">
        <f>H7-H8-H9</f>
        <v/>
      </c>
      <c r="I10" s="50">
        <f>I7-I8-I9</f>
        <v/>
      </c>
      <c r="J10" s="50">
        <f>J7-J8-J9</f>
        <v/>
      </c>
      <c r="K10" s="50">
        <f>K7-K8-K9</f>
        <v/>
      </c>
      <c r="L10" s="50">
        <f>L7-L8-L9</f>
        <v/>
      </c>
      <c r="M10" s="50">
        <f>M7-M8-M9</f>
        <v/>
      </c>
      <c r="N10" s="53">
        <f>SUM(B10:M10)</f>
        <v/>
      </c>
    </row>
    <row r="11" ht="26" customHeight="1">
      <c r="A11" s="51" t="inlineStr">
        <is>
          <t>CUMULATIVE CASH ON HAND</t>
        </is>
      </c>
      <c r="B11" s="50">
        <f>Settings!$B$7+B10</f>
        <v/>
      </c>
      <c r="C11" s="50">
        <f>B11+C10</f>
        <v/>
      </c>
      <c r="D11" s="50">
        <f>C11+D10</f>
        <v/>
      </c>
      <c r="E11" s="50">
        <f>D11+E10</f>
        <v/>
      </c>
      <c r="F11" s="50">
        <f>E11+F10</f>
        <v/>
      </c>
      <c r="G11" s="50">
        <f>F11+G10</f>
        <v/>
      </c>
      <c r="H11" s="50">
        <f>G11+H10</f>
        <v/>
      </c>
      <c r="I11" s="50">
        <f>H11+I10</f>
        <v/>
      </c>
      <c r="J11" s="50">
        <f>I11+J10</f>
        <v/>
      </c>
      <c r="K11" s="50">
        <f>J11+K10</f>
        <v/>
      </c>
      <c r="L11" s="50">
        <f>K11+L10</f>
        <v/>
      </c>
      <c r="M11" s="50">
        <f>L11+M10</f>
        <v/>
      </c>
      <c r="N11" s="53">
        <f>M11</f>
        <v/>
      </c>
    </row>
  </sheetData>
  <mergeCells count="4">
    <mergeCell ref="A4:N4"/>
    <mergeCell ref="J2:L2"/>
    <mergeCell ref="D2:I2"/>
    <mergeCell ref="A2:C2"/>
  </mergeCells>
  <conditionalFormatting sqref="B11:M11">
    <cfRule type="cellIs" priority="1" operator="lessThan" dxfId="0">
      <formula>0</formula>
    </cfRule>
  </conditionalFormatting>
  <conditionalFormatting sqref="B10:M10">
    <cfRule type="cellIs" priority="2" operator="lessThan" dxfId="0">
      <formula>0</formula>
    </cfRule>
    <cfRule type="cellIs" priority="3" operator="greaterThan" dxfId="1">
      <formula>0</formula>
    </cfRule>
  </conditionalFormatting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42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4" customWidth="1" min="3" max="3"/>
    <col width="28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HYPERLINK("#'Cash Flow Forecast'!A1", "← BACK")</f>
        <v/>
      </c>
      <c r="B2" s="13" t="n"/>
      <c r="C2" s="13" t="n"/>
      <c r="D2" s="3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9" t="inlineStr">
        <is>
          <t>Active year · starting cash balance · property list · category list</t>
        </is>
      </c>
      <c r="E4" s="9" t="n"/>
      <c r="F4" s="9" t="n"/>
      <c r="G4" s="9" t="n"/>
      <c r="H4" s="9" t="n"/>
      <c r="I4" s="9" t="n"/>
      <c r="J4" s="9" t="n"/>
      <c r="K4" s="9" t="n"/>
      <c r="L4" s="9" t="n"/>
    </row>
    <row r="5" ht="18" customHeight="1">
      <c r="A5" s="60" t="inlineStr">
        <is>
          <t>Active year:</t>
        </is>
      </c>
      <c r="B5" s="61" t="n">
        <v>2026</v>
      </c>
    </row>
    <row r="6" ht="24" customHeight="1">
      <c r="A6" s="62" t="inlineStr">
        <is>
          <t>Drives the SUMPRODUCT date filter on the One-Off Expenses roll-up. Bump each January.</t>
        </is>
      </c>
    </row>
    <row r="7" ht="18" customHeight="1">
      <c r="A7" s="60" t="inlineStr">
        <is>
          <t>Starting cash balance (Jan 1):</t>
        </is>
      </c>
      <c r="B7" s="43" t="n">
        <v>48000</v>
      </c>
    </row>
    <row r="8" ht="28" customHeight="1">
      <c r="A8" s="62" t="inlineStr">
        <is>
          <t>Operating cash on hand at the start of the year (checking + savings earmarked for the rentals). The cumulative-cash row builds from here.</t>
        </is>
      </c>
    </row>
    <row r="9" ht="22" customHeight="1">
      <c r="A9" s="63" t="inlineStr">
        <is>
          <t>Property list (drives One-Off dropdown)</t>
        </is>
      </c>
    </row>
    <row r="10" ht="16" customHeight="1">
      <c r="B10" s="57" t="inlineStr">
        <is>
          <t>Smokies Ridge Cabin</t>
        </is>
      </c>
    </row>
    <row r="11" ht="16" customHeight="1">
      <c r="B11" s="57" t="inlineStr">
        <is>
          <t>Lakeside Loft</t>
        </is>
      </c>
    </row>
    <row r="12" ht="16" customHeight="1">
      <c r="B12" s="57" t="inlineStr">
        <is>
          <t>Downtown Studio</t>
        </is>
      </c>
    </row>
    <row r="13" ht="16" customHeight="1">
      <c r="B13" s="57" t="n"/>
    </row>
    <row r="14" ht="16" customHeight="1">
      <c r="B14" s="57" t="n"/>
    </row>
    <row r="15" ht="16" customHeight="1">
      <c r="B15" s="57" t="n"/>
    </row>
    <row r="16" ht="16" customHeight="1">
      <c r="B16" s="57" t="n"/>
    </row>
    <row r="17" ht="16" customHeight="1">
      <c r="B17" s="57" t="n"/>
    </row>
    <row r="18" ht="16" customHeight="1">
      <c r="B18" s="57" t="n"/>
    </row>
    <row r="19" ht="16" customHeight="1">
      <c r="B19" s="57" t="n"/>
    </row>
    <row r="20" ht="6" customHeight="1"/>
    <row r="21" ht="22" customHeight="1">
      <c r="A21" s="63" t="inlineStr">
        <is>
          <t>Recurring expense categories</t>
        </is>
      </c>
    </row>
    <row r="22" ht="16" customHeight="1">
      <c r="A22" s="64" t="inlineStr">
        <is>
          <t>(Reference list — Recurring Expenses tab carries these)</t>
        </is>
      </c>
    </row>
    <row r="23" ht="16" customHeight="1">
      <c r="A23" s="45" t="inlineStr">
        <is>
          <t>Mortgage (P&amp;I)</t>
        </is>
      </c>
    </row>
    <row r="24" ht="16" customHeight="1">
      <c r="A24" s="45" t="inlineStr">
        <is>
          <t>Property tax (escrow)</t>
        </is>
      </c>
    </row>
    <row r="25" ht="16" customHeight="1">
      <c r="A25" s="45" t="inlineStr">
        <is>
          <t>Insurance</t>
        </is>
      </c>
    </row>
    <row r="26" ht="16" customHeight="1">
      <c r="A26" s="45" t="inlineStr">
        <is>
          <t>HOA / community fees</t>
        </is>
      </c>
    </row>
    <row r="27" ht="16" customHeight="1">
      <c r="A27" s="45" t="inlineStr">
        <is>
          <t>Internet</t>
        </is>
      </c>
    </row>
    <row r="28" ht="16" customHeight="1">
      <c r="A28" s="45" t="inlineStr">
        <is>
          <t>Electric</t>
        </is>
      </c>
    </row>
    <row r="29" ht="16" customHeight="1">
      <c r="A29" s="45" t="inlineStr">
        <is>
          <t>Gas</t>
        </is>
      </c>
    </row>
    <row r="30" ht="16" customHeight="1">
      <c r="A30" s="45" t="inlineStr">
        <is>
          <t>Water / sewer</t>
        </is>
      </c>
    </row>
    <row r="31" ht="16" customHeight="1">
      <c r="A31" s="45" t="inlineStr">
        <is>
          <t>Trash / recycling</t>
        </is>
      </c>
    </row>
    <row r="32" ht="16" customHeight="1">
      <c r="A32" s="45" t="inlineStr">
        <is>
          <t>Software (PMS, accounting)</t>
        </is>
      </c>
    </row>
    <row r="33" ht="16" customHeight="1">
      <c r="A33" s="45" t="inlineStr">
        <is>
          <t>Cleaning (recurring contract)</t>
        </is>
      </c>
    </row>
    <row r="34" ht="16" customHeight="1">
      <c r="A34" s="45" t="inlineStr">
        <is>
          <t>Supplies restock</t>
        </is>
      </c>
    </row>
    <row r="35" ht="16" customHeight="1">
      <c r="A35" s="45" t="inlineStr">
        <is>
          <t>Professional fees (CPA, legal)</t>
        </is>
      </c>
    </row>
    <row r="36" ht="16" customHeight="1">
      <c r="A36" s="45" t="inlineStr">
        <is>
          <t>Marketing / listing boost</t>
        </is>
      </c>
    </row>
    <row r="37" ht="16" customHeight="1">
      <c r="A37" s="45" t="inlineStr">
        <is>
          <t>Misc / contingency</t>
        </is>
      </c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 ht="18" customHeight="1">
      <c r="A41" s="34" t="inlineStr">
        <is>
          <t>Questions? hello@thestrledger.com</t>
        </is>
      </c>
    </row>
    <row r="42" ht="18" customHeight="1">
      <c r="A42" s="35" t="inlineStr">
        <is>
          <t>FIN-003 · v2.2 · Free updates forever</t>
        </is>
      </c>
    </row>
  </sheetData>
  <mergeCells count="7">
    <mergeCell ref="D2:L2"/>
    <mergeCell ref="A8:D8"/>
    <mergeCell ref="A42:L42"/>
    <mergeCell ref="A6:D6"/>
    <mergeCell ref="A41:L41"/>
    <mergeCell ref="A4:D4"/>
    <mergeCell ref="A2:C2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12-Month Cash Flow Forecaster (DEMO) — The STR Ledger</dc:title>
  <dc:description xmlns:dc="http://purl.org/dc/elements/1.1/">12-month rolling cash flow forecast with confirmed + projected revenue, recurring + one-off expenses, and cumulative cash runway (v2.2).</dc:description>
  <dcterms:created xmlns:dcterms="http://purl.org/dc/terms/" xmlns:xsi="http://www.w3.org/2001/XMLSchema-instance" xsi:type="dcterms:W3CDTF">2026-05-03T12:26:37Z</dcterms:created>
  <dcterms:modified xmlns:dcterms="http://purl.org/dc/terms/" xmlns:xsi="http://www.w3.org/2001/XMLSchema-instance" xsi:type="dcterms:W3CDTF">2026-05-03T12:26:37Z</dcterms:modified>
</cp:coreProperties>
</file>