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Asset List" sheetId="3" state="visible" r:id="rId3"/>
    <sheet xmlns:r="http://schemas.openxmlformats.org/officeDocument/2006/relationships" name="Election Per Asset" sheetId="4" state="visible" r:id="rId4"/>
    <sheet xmlns:r="http://schemas.openxmlformats.org/officeDocument/2006/relationships" name="Income Limitation" sheetId="5" state="visible" r:id="rId5"/>
    <sheet xmlns:r="http://schemas.openxmlformats.org/officeDocument/2006/relationships" name="Form 4562 Map" sheetId="6" state="visible" r:id="rId6"/>
    <sheet xmlns:r="http://schemas.openxmlformats.org/officeDocument/2006/relationships" name="Launch" sheetId="7" state="visible" r:id="rId7"/>
    <sheet xmlns:r="http://schemas.openxmlformats.org/officeDocument/2006/relationships" name="Settings" sheetId="8" state="visible" r:id="rId8"/>
  </sheets>
  <definedNames>
    <definedName name="_xlnm.Print_Area" localSheetId="0">'Start'!$A$1:$L$47</definedName>
    <definedName name="_xlnm.Print_Titles" localSheetId="5">'Form 4562 Map'!$1:$5</definedName>
    <definedName name="_xlnm.Print_Area" localSheetId="5">'Form 4562 Map'!$A$1:$C$22</definedName>
    <definedName name="_xlnm.Print_Area" localSheetId="6">'Launch'!$A$1:$L$27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0.0%"/>
  </numFmts>
  <fonts count="3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alibri"/>
      <i val="1"/>
      <color rgb="002B2B2B"/>
      <sz val="11"/>
    </font>
    <font>
      <name val="Calibri"/>
      <i val="1"/>
      <color rgb="0012304E"/>
      <sz val="10"/>
    </font>
    <font>
      <name val="Calibri"/>
      <b val="1"/>
      <color rgb="00FFFFFF"/>
      <sz val="11"/>
    </font>
    <font>
      <name val="Consolas"/>
      <b val="1"/>
      <color rgb="00C9A24B"/>
      <sz val="10"/>
    </font>
    <font>
      <name val="Calibri"/>
      <b val="1"/>
      <color rgb="0012304E"/>
      <sz val="11"/>
    </font>
    <font>
      <name val="Georgia"/>
      <b val="1"/>
      <color rgb="00F6EFE2"/>
      <sz val="12"/>
    </font>
    <font>
      <name val="Georgia"/>
      <b val="1"/>
      <color rgb="00F6EFE2"/>
      <sz val="14"/>
    </font>
    <font>
      <name val="Georgia"/>
      <b val="1"/>
      <color rgb="00F6EFE2"/>
      <sz val="32"/>
    </font>
    <font>
      <name val="Georgia"/>
      <b val="1"/>
      <color rgb="00C9A24B"/>
      <sz val="28"/>
    </font>
    <font>
      <name val="Calibri"/>
      <color rgb="006B7280"/>
      <sz val="9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Georgia"/>
      <b val="1"/>
      <color rgb="0012304E"/>
      <sz val="22"/>
    </font>
    <font>
      <name val="Calibri"/>
      <i val="1"/>
      <color rgb="006B7280"/>
      <sz val="10"/>
    </font>
    <font>
      <name val="Calibri"/>
      <color rgb="006B7280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22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9A24B"/>
      </left>
      <right/>
      <top style="thin">
        <color rgb="00C9A24B"/>
      </top>
      <bottom style="thin">
        <color rgb="00C9A24B"/>
      </bottom>
    </border>
    <border>
      <left/>
      <right/>
      <top style="thin">
        <color rgb="00C9A24B"/>
      </top>
      <bottom style="thin">
        <color rgb="00C9A24B"/>
      </bottom>
    </border>
    <border>
      <left/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/>
      <right/>
      <top/>
      <bottom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9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left" vertical="center" indent="1"/>
    </xf>
    <xf numFmtId="0" fontId="21" fillId="3" borderId="5" applyAlignment="1" pivotButton="0" quotePrefix="0" xfId="0">
      <alignment horizontal="right" vertical="center" indent="1"/>
    </xf>
    <xf numFmtId="0" fontId="8" fillId="7" borderId="6" applyAlignment="1" pivotButton="0" quotePrefix="0" xfId="0">
      <alignment horizontal="left" vertical="center" indent="1"/>
    </xf>
    <xf numFmtId="0" fontId="0" fillId="3" borderId="6" pivotButton="0" quotePrefix="0" xfId="0"/>
    <xf numFmtId="0" fontId="0" fillId="3" borderId="7" pivotButton="0" quotePrefix="0" xfId="0"/>
    <xf numFmtId="0" fontId="21" fillId="3" borderId="11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indent="1"/>
    </xf>
    <xf numFmtId="0" fontId="0" fillId="3" borderId="12" pivotButton="0" quotePrefix="0" xfId="0"/>
    <xf numFmtId="0" fontId="21" fillId="3" borderId="8" applyAlignment="1" pivotButton="0" quotePrefix="0" xfId="0">
      <alignment horizontal="right" vertical="center" indent="1"/>
    </xf>
    <xf numFmtId="0" fontId="8" fillId="7" borderId="9" applyAlignment="1" pivotButton="0" quotePrefix="0" xfId="0">
      <alignment horizontal="left" vertical="center" indent="1"/>
    </xf>
    <xf numFmtId="0" fontId="0" fillId="3" borderId="9" pivotButton="0" quotePrefix="0" xfId="0"/>
    <xf numFmtId="0" fontId="0" fillId="3" borderId="10" pivotButton="0" quotePrefix="0" xfId="0"/>
    <xf numFmtId="0" fontId="10" fillId="6" borderId="0" applyAlignment="1" pivotButton="0" quotePrefix="0" xfId="0">
      <alignment horizontal="right" vertical="center" indent="1"/>
    </xf>
    <xf numFmtId="0" fontId="10" fillId="6" borderId="0" applyAlignment="1" pivotButton="0" quotePrefix="0" xfId="0">
      <alignment horizontal="left" vertical="center" wrapText="1" indent="2"/>
    </xf>
    <xf numFmtId="0" fontId="23" fillId="6" borderId="0" applyAlignment="1" pivotButton="0" quotePrefix="0" xfId="0">
      <alignment horizontal="left" vertical="center" wrapText="1" indent="2"/>
    </xf>
    <xf numFmtId="0" fontId="16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24" fillId="2" borderId="14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left" vertical="center"/>
    </xf>
    <xf numFmtId="165" fontId="8" fillId="7" borderId="0" applyAlignment="1" pivotButton="0" quotePrefix="0" xfId="0">
      <alignment horizontal="left" vertical="center"/>
    </xf>
    <xf numFmtId="10" fontId="8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164" fontId="11" fillId="6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left" vertical="center" indent="2"/>
    </xf>
    <xf numFmtId="0" fontId="22" fillId="8" borderId="0" applyAlignment="1" pivotButton="0" quotePrefix="0" xfId="0">
      <alignment horizontal="left" vertical="center" indent="1"/>
    </xf>
    <xf numFmtId="164" fontId="22" fillId="8" borderId="0" applyAlignment="1" pivotButton="0" quotePrefix="0" xfId="0">
      <alignment horizontal="right" vertical="center"/>
    </xf>
    <xf numFmtId="164" fontId="26" fillId="8" borderId="0" applyAlignment="1" pivotButton="0" quotePrefix="0" xfId="0">
      <alignment horizontal="right" vertical="center"/>
    </xf>
    <xf numFmtId="164" fontId="26" fillId="6" borderId="0" applyAlignment="1" pivotButton="0" quotePrefix="0" xfId="0">
      <alignment horizontal="right" vertical="center" indent="1"/>
    </xf>
    <xf numFmtId="0" fontId="21" fillId="3" borderId="15" applyAlignment="1" pivotButton="0" quotePrefix="0" xfId="0">
      <alignment horizontal="right" vertical="center" indent="1"/>
    </xf>
    <xf numFmtId="164" fontId="8" fillId="7" borderId="16" applyAlignment="1" pivotButton="0" quotePrefix="0" xfId="0">
      <alignment horizontal="left" vertical="center"/>
    </xf>
    <xf numFmtId="0" fontId="0" fillId="3" borderId="16" pivotButton="0" quotePrefix="0" xfId="0"/>
    <xf numFmtId="0" fontId="0" fillId="3" borderId="17" pivotButton="0" quotePrefix="0" xfId="0"/>
    <xf numFmtId="0" fontId="21" fillId="0" borderId="0" applyAlignment="1" pivotButton="0" quotePrefix="0" xfId="0">
      <alignment horizontal="right" vertical="center" indent="1"/>
    </xf>
    <xf numFmtId="0" fontId="25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164" fontId="10" fillId="6" borderId="0" applyAlignment="1" pivotButton="0" quotePrefix="0" xfId="0">
      <alignment horizontal="right" vertical="center"/>
    </xf>
    <xf numFmtId="0" fontId="28" fillId="2" borderId="0" applyAlignment="1" pivotButton="0" quotePrefix="0" xfId="0">
      <alignment horizontal="left" vertical="center" indent="1"/>
    </xf>
    <xf numFmtId="164" fontId="28" fillId="2" borderId="0" applyAlignment="1" pivotButton="0" quotePrefix="0" xfId="0">
      <alignment horizontal="right" vertical="center"/>
    </xf>
    <xf numFmtId="0" fontId="29" fillId="2" borderId="0" applyAlignment="1" pivotButton="0" quotePrefix="0" xfId="0">
      <alignment horizontal="center" vertical="center"/>
    </xf>
    <xf numFmtId="0" fontId="15" fillId="3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32" fillId="3" borderId="18" applyAlignment="1" pivotButton="0" quotePrefix="0" xfId="0">
      <alignment horizontal="center"/>
    </xf>
    <xf numFmtId="164" fontId="30" fillId="3" borderId="1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2" pivotButton="0" quotePrefix="0" xfId="0"/>
    <xf numFmtId="164" fontId="33" fillId="3" borderId="11" applyAlignment="1" pivotButton="0" quotePrefix="0" xfId="0">
      <alignment horizontal="center" vertical="center"/>
    </xf>
    <xf numFmtId="164" fontId="34" fillId="3" borderId="11" applyAlignment="1" pivotButton="0" quotePrefix="0" xfId="0">
      <alignment horizontal="center" vertical="center"/>
    </xf>
    <xf numFmtId="0" fontId="0" fillId="0" borderId="11" pivotButton="0" quotePrefix="0" xfId="0"/>
    <xf numFmtId="0" fontId="3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24" fillId="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right" vertical="center"/>
    </xf>
    <xf numFmtId="1" fontId="8" fillId="7" borderId="0" applyAlignment="1" pivotButton="0" quotePrefix="0" xfId="0">
      <alignment horizontal="left" vertical="center"/>
    </xf>
    <xf numFmtId="166" fontId="8" fillId="7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 wrapText="1" indent="1"/>
    </xf>
    <xf numFmtId="0" fontId="35" fillId="0" borderId="0" pivotButton="0" quotePrefix="0" xfId="0"/>
    <xf numFmtId="0" fontId="8" fillId="0" borderId="0" pivotButton="0" quotePrefix="0" xfId="0"/>
    <xf numFmtId="9" fontId="36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Section 179 Planner</t>
        </is>
      </c>
    </row>
    <row r="5" ht="22" customHeight="1">
      <c r="A5" s="4" t="inlineStr">
        <is>
          <t>Front-load this year's depreciation. Legally.</t>
        </is>
      </c>
    </row>
    <row r="6" ht="32" customHeight="1">
      <c r="A6" s="5">
        <f>IF(IFERROR('Income Limitation'!B17,0)&gt;0,"✅  Year-1 deduction = "&amp;TEXT('Income Limitation'!B17,"$#,##0")&amp;"  ·  §179 used = "&amp;TEXT('Income Limitation'!B14,"$#,##0"),"📊  Add an asset on Asset List to see your deduction.")</f>
        <v/>
      </c>
    </row>
    <row r="7" ht="22" customHeight="1">
      <c r="A7" s="6" t="inlineStr">
        <is>
          <t>TAX-009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8" customHeight="1">
      <c r="A11" s="8" t="inlineStr">
        <is>
          <t>What you'll get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2" customHeight="1">
      <c r="A13" s="9" t="inlineStr">
        <is>
          <t>⚡ §179 ELECTION</t>
        </is>
      </c>
      <c r="E13" s="9" t="inlineStr">
        <is>
          <t>📅 BONUS DEPR</t>
        </is>
      </c>
      <c r="I13" s="9" t="inlineStr">
        <is>
          <t>📄 FORM 4562</t>
        </is>
      </c>
    </row>
    <row r="14" ht="22" customHeight="1">
      <c r="A14" s="10" t="inlineStr">
        <is>
          <t>Up to $1,250,000 expensed this year (2026 cap), per-asset choice.</t>
        </is>
      </c>
      <c r="E14" s="10" t="inlineStr">
        <is>
          <t>40% bonus depreciation in 2026 — phasing down to 0% by 2028.</t>
        </is>
      </c>
      <c r="I14" s="10" t="inlineStr">
        <is>
          <t>Print-ready Form 4562 Part I (§179) + Part II (bonus) mirror.</t>
        </is>
      </c>
    </row>
    <row r="15" ht="22" customHeight="1"/>
    <row r="16" ht="22" customHeight="1"/>
    <row r="17" ht="22" customHeight="1"/>
    <row r="18" ht="22" customHeight="1"/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 ht="24" customHeight="1">
      <c r="A23" s="12" t="inlineStr">
        <is>
          <t>Quick Start — be done in 15 minutes</t>
        </is>
      </c>
    </row>
    <row r="24">
      <c r="A24" s="11" t="n"/>
      <c r="B24" s="13" t="inlineStr">
        <is>
          <t>① Eligibility: active biz, schedule, listed-property check</t>
        </is>
      </c>
      <c r="G24" s="11" t="n"/>
      <c r="H24" s="13" t="inlineStr">
        <is>
          <t>④ Income limit: net biz income for §179 cap</t>
        </is>
      </c>
    </row>
    <row r="25">
      <c r="A25" s="11" t="n"/>
      <c r="B25" s="13" t="inlineStr">
        <is>
          <t>② Asset List: cost, MACRS class, date, business %</t>
        </is>
      </c>
      <c r="G25" s="11" t="n"/>
      <c r="H25" s="13" t="inlineStr">
        <is>
          <t>⑤ Print Form 4562 Map for your CPA</t>
        </is>
      </c>
    </row>
    <row r="26">
      <c r="A26" s="11" t="n"/>
      <c r="B26" s="13" t="inlineStr">
        <is>
          <t>③ Per-asset method: §179 / Bonus / MACRS</t>
        </is>
      </c>
      <c r="G26" s="11" t="n"/>
      <c r="H26" s="11" t="n"/>
      <c r="I26" s="11" t="n"/>
      <c r="J26" s="11" t="n"/>
      <c r="K26" s="11" t="n"/>
      <c r="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30" ht="22" customHeight="1">
      <c r="A30" s="14">
        <f>HYPERLINK("#'Eligibility'!A5", "GET STARTED — CHECK ELIGIBILITY  →")</f>
        <v/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2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6">
      <c r="A36" s="16" t="inlineStr">
        <is>
          <t>Progress:</t>
        </is>
      </c>
      <c r="G36" s="17">
        <f>TEXT((COUNTA('Eligibility'!B8:B10) + COUNTA('Asset List'!B8:F22) + COUNTA('Election Per Asset'!B8:B22) + COUNTA('Income Limitation'!B8))/54,"0%") &amp; " complete"</f>
        <v/>
      </c>
    </row>
    <row r="38" ht="18" customHeight="1">
      <c r="A38" s="18" t="inlineStr">
        <is>
          <t>① Eligibility</t>
        </is>
      </c>
      <c r="G38" s="19">
        <f>IF(COUNTA('Eligibility'!B8:B10)&gt;=3,"✅ Done",IF(COUNTA('Eligibility'!B8:B10)=0,"⏳ Empty","⏳ "&amp;COUNTA('Eligibility'!B8:B10)&amp;" of 3"))</f>
        <v/>
      </c>
      <c r="K38" s="20">
        <f>HYPERLINK("#'Eligibility'!A5","→ go")</f>
        <v/>
      </c>
    </row>
    <row r="39" ht="18" customHeight="1">
      <c r="A39" s="18" t="inlineStr">
        <is>
          <t>② Asset List</t>
        </is>
      </c>
      <c r="G39" s="19">
        <f>IF(COUNTA('Asset List'!B8:F22)&gt;=45,"✅ Done",IF(COUNTA('Asset List'!B8:F22)=0,"⏳ Empty","⏳ "&amp;COUNTA('Asset List'!B8:F22)&amp;" of 45"))</f>
        <v/>
      </c>
      <c r="K39" s="20">
        <f>HYPERLINK("#'Asset List'!A5","→ go")</f>
        <v/>
      </c>
    </row>
    <row r="40" ht="18" customHeight="1">
      <c r="A40" s="18" t="inlineStr">
        <is>
          <t>③ Election Per Asset</t>
        </is>
      </c>
      <c r="G40" s="19">
        <f>IF(COUNTA('Election Per Asset'!B8:B22)&gt;=5,"✅ Done",IF(COUNTA('Election Per Asset'!B8:B22)=0,"⏳ Empty","⏳ "&amp;COUNTA('Election Per Asset'!B8:B22)&amp;" of 5"))</f>
        <v/>
      </c>
      <c r="K40" s="20">
        <f>HYPERLINK("#'Election Per Asset'!A5","→ go")</f>
        <v/>
      </c>
    </row>
    <row r="41" ht="18" customHeight="1">
      <c r="A41" s="18" t="inlineStr">
        <is>
          <t>④ Income Limitation</t>
        </is>
      </c>
      <c r="G41" s="19">
        <f>IF(COUNTA('Income Limitation'!B8)&gt;=1,"✅ Done",IF(COUNTA('Income Limitation'!B8)=0,"⏳ Empty","⏳ "&amp;COUNTA('Income Limitation'!B8)&amp;" of 1"))</f>
        <v/>
      </c>
      <c r="K41" s="20">
        <f>HYPERLINK("#'Income Limitation'!A5","→ go")</f>
        <v/>
      </c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</row>
    <row r="46" ht="18" customHeight="1">
      <c r="A46" s="22" t="inlineStr">
        <is>
          <t>Questions? hello@thestrledger.com</t>
        </is>
      </c>
    </row>
    <row r="47" ht="18" customHeight="1">
      <c r="A47" s="23" t="inlineStr">
        <is>
          <t>TAX-009 · v2.2 · Free updates forever</t>
        </is>
      </c>
    </row>
  </sheetData>
  <mergeCells count="35">
    <mergeCell ref="A41:F41"/>
    <mergeCell ref="A7:L7"/>
    <mergeCell ref="B25:F25"/>
    <mergeCell ref="A46:L46"/>
    <mergeCell ref="A14:D18"/>
    <mergeCell ref="G41:J41"/>
    <mergeCell ref="A13:D13"/>
    <mergeCell ref="I14:L18"/>
    <mergeCell ref="A2:F2"/>
    <mergeCell ref="I13:L13"/>
    <mergeCell ref="G40:J40"/>
    <mergeCell ref="H25:L25"/>
    <mergeCell ref="A47:L47"/>
    <mergeCell ref="A5:L5"/>
    <mergeCell ref="A23:L23"/>
    <mergeCell ref="K41:L41"/>
    <mergeCell ref="K40:L40"/>
    <mergeCell ref="A4:L4"/>
    <mergeCell ref="A38:F38"/>
    <mergeCell ref="G39:J39"/>
    <mergeCell ref="A30:L33"/>
    <mergeCell ref="G38:J38"/>
    <mergeCell ref="A40:F40"/>
    <mergeCell ref="K39:L39"/>
    <mergeCell ref="A39:F39"/>
    <mergeCell ref="E14:H18"/>
    <mergeCell ref="E13:H13"/>
    <mergeCell ref="B24:F24"/>
    <mergeCell ref="A36:F36"/>
    <mergeCell ref="G36:L36"/>
    <mergeCell ref="A11:L11"/>
    <mergeCell ref="K38:L38"/>
    <mergeCell ref="H24:L24"/>
    <mergeCell ref="A6:L6"/>
    <mergeCell ref="B26:F2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START")</f>
        <v/>
      </c>
      <c r="B2" s="15" t="n"/>
      <c r="C2" s="15" t="n"/>
      <c r="D2" s="24" t="inlineStr">
        <is>
          <t>SECTION 1 OF 4</t>
        </is>
      </c>
      <c r="J2" s="25">
        <f>HYPERLINK("#'Asset List'!A5",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Eligibility</t>
        </is>
      </c>
    </row>
    <row r="5" ht="18" customHeight="1">
      <c r="A5" s="28" t="inlineStr">
        <is>
          <t>Active business test, classification, listed-property check.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ELIGIBILITY</t>
        </is>
      </c>
    </row>
    <row r="8" ht="22" customHeight="1">
      <c r="A8" s="31" t="inlineStr">
        <is>
          <t>Active trade/business? (Y/N)</t>
        </is>
      </c>
      <c r="B8" s="32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4" t="n"/>
    </row>
    <row r="9" ht="22" customHeight="1">
      <c r="A9" s="35" t="inlineStr">
        <is>
          <t>Schedule classification:</t>
        </is>
      </c>
      <c r="B9" s="36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37" t="n"/>
    </row>
    <row r="10" ht="22" customHeight="1">
      <c r="A10" s="38" t="inlineStr">
        <is>
          <t>Listed property used &gt; 50% for business? (vehicles/computers)</t>
        </is>
      </c>
      <c r="B10" s="39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1" t="n"/>
    </row>
    <row r="12" ht="32" customHeight="1">
      <c r="A12" s="42" t="inlineStr">
        <is>
          <t>Verdict:</t>
        </is>
      </c>
      <c r="B12" s="43">
        <f>IF(B8="N","NOT ELIGIBLE — §179 requires an active trade/business.",IF(B9="Schedule E (passive)","PARTIAL — Schedule E real estate is NOT eligible, but personal-property assets used in the rental are.","ELIGIBLE — proceed to Asset List."))</f>
        <v/>
      </c>
    </row>
    <row r="14" ht="36" customHeight="1">
      <c r="A14" s="44" t="inlineStr">
        <is>
          <t>ⓘ §179 is NOT allowed for residential rental REAL ESTATE itself, but IS allowed for personal-property assets used in an active rental business (appliances, furniture, hot tubs, vehicles). Listed property (vehicles, historically computers) requires &gt; 50% business use to qualify for §179.</t>
        </is>
      </c>
    </row>
    <row r="16" ht="22" customHeight="1">
      <c r="A16" s="45">
        <f>HYPERLINK("#'Start'!A1", "← Back: Start")</f>
        <v/>
      </c>
      <c r="B16" s="46" t="n"/>
      <c r="C16" s="46" t="n"/>
      <c r="D16" s="46" t="n"/>
      <c r="E16" s="46" t="n"/>
      <c r="F16" s="46" t="n"/>
      <c r="G16" s="45">
        <f>HYPERLINK("#'Asset List'!A5", "Next: Asset List →")</f>
        <v/>
      </c>
      <c r="H16" s="46" t="n"/>
      <c r="I16" s="46" t="n"/>
      <c r="J16" s="46" t="n"/>
      <c r="K16" s="46" t="n"/>
      <c r="L16" s="46" t="n"/>
    </row>
    <row r="17" ht="22" customHeight="1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</row>
  </sheetData>
  <mergeCells count="11">
    <mergeCell ref="G16:L17"/>
    <mergeCell ref="J2:L2"/>
    <mergeCell ref="D2:I2"/>
    <mergeCell ref="A7:L7"/>
    <mergeCell ref="B12:L12"/>
    <mergeCell ref="A16:F17"/>
    <mergeCell ref="A5:L5"/>
    <mergeCell ref="A14:L14"/>
    <mergeCell ref="A6:L6"/>
    <mergeCell ref="A2:C2"/>
    <mergeCell ref="A4:L4"/>
  </mergeCells>
  <dataValidations count="3">
    <dataValidation sqref="B8" showDropDown="0" showInputMessage="0" showErrorMessage="0" allowBlank="1" type="list">
      <formula1>"Y,N"</formula1>
    </dataValidation>
    <dataValidation sqref="B9" showDropDown="0" showInputMessage="0" showErrorMessage="0" allowBlank="1" type="list">
      <formula1>"Schedule E (passive),Schedule C (active),Ask my CPA"</formula1>
    </dataValidation>
    <dataValidation sqref="B10" showDropDown="0" showInputMessage="0" showErrorMessage="0" allowBlank="1" type="list">
      <formula1>"Y,N,N/A"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4" customWidth="1" min="4" max="4"/>
    <col width="14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HYPERLINK("#'Eligibility'!A5", "← BACK")</f>
        <v/>
      </c>
      <c r="B2" s="15" t="n"/>
      <c r="C2" s="15" t="n"/>
      <c r="D2" s="24" t="inlineStr">
        <is>
          <t>SECTION 2 OF 4</t>
        </is>
      </c>
      <c r="J2" s="25">
        <f>HYPERLINK("#'Election Per Asset'!A5",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Asset List</t>
        </is>
      </c>
    </row>
    <row r="5" ht="18" customHeight="1">
      <c r="A5" s="28" t="inlineStr">
        <is>
          <t>Up to 15 assets. Cost, class, date, business %.</t>
        </is>
      </c>
    </row>
    <row r="6" ht="22" customHeight="1">
      <c r="A6" s="29" t="inlineStr">
        <is>
          <t>MACRS classes: 5-yr (computers, vehicles), 7-yr (furniture/equipment), 15-yr (land improvements).</t>
        </is>
      </c>
    </row>
    <row r="7" ht="20" customHeight="1">
      <c r="A7" s="47" t="inlineStr">
        <is>
          <t>#</t>
        </is>
      </c>
      <c r="B7" s="47" t="inlineStr">
        <is>
          <t>Asset description</t>
        </is>
      </c>
      <c r="C7" s="47" t="inlineStr">
        <is>
          <t>MACRS yr</t>
        </is>
      </c>
      <c r="D7" s="47" t="inlineStr">
        <is>
          <t>Cost ($)</t>
        </is>
      </c>
      <c r="E7" s="47" t="inlineStr">
        <is>
          <t>Date placed in service</t>
        </is>
      </c>
      <c r="F7" s="47" t="inlineStr">
        <is>
          <t>Biz %</t>
        </is>
      </c>
      <c r="G7" s="47" t="inlineStr">
        <is>
          <t>Vehicle?</t>
        </is>
      </c>
    </row>
    <row r="8" ht="18" customHeight="1">
      <c r="A8" s="48" t="n">
        <v>1</v>
      </c>
      <c r="B8" s="49" t="n"/>
      <c r="C8" s="49" t="n"/>
      <c r="D8" s="50" t="n"/>
      <c r="E8" s="51" t="n"/>
      <c r="F8" s="52" t="n"/>
      <c r="G8" s="53" t="n"/>
    </row>
    <row r="9" ht="18" customHeight="1">
      <c r="A9" s="48" t="n">
        <v>2</v>
      </c>
      <c r="B9" s="49" t="n"/>
      <c r="C9" s="49" t="n"/>
      <c r="D9" s="50" t="n"/>
      <c r="E9" s="51" t="n"/>
      <c r="F9" s="52" t="n"/>
      <c r="G9" s="53" t="n"/>
    </row>
    <row r="10" ht="18" customHeight="1">
      <c r="A10" s="48" t="n">
        <v>3</v>
      </c>
      <c r="B10" s="49" t="n"/>
      <c r="C10" s="49" t="n"/>
      <c r="D10" s="50" t="n"/>
      <c r="E10" s="51" t="n"/>
      <c r="F10" s="52" t="n"/>
      <c r="G10" s="53" t="n"/>
    </row>
    <row r="11" ht="18" customHeight="1">
      <c r="A11" s="48" t="n">
        <v>4</v>
      </c>
      <c r="B11" s="49" t="n"/>
      <c r="C11" s="49" t="n"/>
      <c r="D11" s="50" t="n"/>
      <c r="E11" s="51" t="n"/>
      <c r="F11" s="52" t="n"/>
      <c r="G11" s="53" t="n"/>
    </row>
    <row r="12" ht="18" customHeight="1">
      <c r="A12" s="48" t="n">
        <v>5</v>
      </c>
      <c r="B12" s="49" t="n"/>
      <c r="C12" s="49" t="n"/>
      <c r="D12" s="50" t="n"/>
      <c r="E12" s="51" t="n"/>
      <c r="F12" s="52" t="n"/>
      <c r="G12" s="53" t="n"/>
    </row>
    <row r="13" ht="18" customHeight="1">
      <c r="A13" s="48" t="n">
        <v>6</v>
      </c>
      <c r="B13" s="49" t="n"/>
      <c r="C13" s="49" t="n"/>
      <c r="D13" s="50" t="n"/>
      <c r="E13" s="51" t="n"/>
      <c r="F13" s="52" t="n"/>
      <c r="G13" s="53" t="n"/>
    </row>
    <row r="14" ht="18" customHeight="1">
      <c r="A14" s="48" t="n">
        <v>7</v>
      </c>
      <c r="B14" s="49" t="n"/>
      <c r="C14" s="49" t="n"/>
      <c r="D14" s="50" t="n"/>
      <c r="E14" s="51" t="n"/>
      <c r="F14" s="52" t="n"/>
      <c r="G14" s="53" t="n"/>
    </row>
    <row r="15" ht="18" customHeight="1">
      <c r="A15" s="48" t="n">
        <v>8</v>
      </c>
      <c r="B15" s="49" t="n"/>
      <c r="C15" s="49" t="n"/>
      <c r="D15" s="50" t="n"/>
      <c r="E15" s="51" t="n"/>
      <c r="F15" s="52" t="n"/>
      <c r="G15" s="53" t="n"/>
    </row>
    <row r="16" ht="18" customHeight="1">
      <c r="A16" s="48" t="n">
        <v>9</v>
      </c>
      <c r="B16" s="49" t="n"/>
      <c r="C16" s="49" t="n"/>
      <c r="D16" s="50" t="n"/>
      <c r="E16" s="51" t="n"/>
      <c r="F16" s="52" t="n"/>
      <c r="G16" s="53" t="n"/>
    </row>
    <row r="17" ht="18" customHeight="1">
      <c r="A17" s="48" t="n">
        <v>10</v>
      </c>
      <c r="B17" s="49" t="n"/>
      <c r="C17" s="49" t="n"/>
      <c r="D17" s="50" t="n"/>
      <c r="E17" s="51" t="n"/>
      <c r="F17" s="52" t="n"/>
      <c r="G17" s="53" t="n"/>
    </row>
    <row r="18" ht="18" customHeight="1">
      <c r="A18" s="48" t="n">
        <v>11</v>
      </c>
      <c r="B18" s="49" t="n"/>
      <c r="C18" s="49" t="n"/>
      <c r="D18" s="50" t="n"/>
      <c r="E18" s="51" t="n"/>
      <c r="F18" s="52" t="n"/>
      <c r="G18" s="53" t="n"/>
    </row>
    <row r="19" ht="18" customHeight="1">
      <c r="A19" s="48" t="n">
        <v>12</v>
      </c>
      <c r="B19" s="49" t="n"/>
      <c r="C19" s="49" t="n"/>
      <c r="D19" s="50" t="n"/>
      <c r="E19" s="51" t="n"/>
      <c r="F19" s="52" t="n"/>
      <c r="G19" s="53" t="n"/>
    </row>
    <row r="20" ht="18" customHeight="1">
      <c r="A20" s="48" t="n">
        <v>13</v>
      </c>
      <c r="B20" s="49" t="n"/>
      <c r="C20" s="49" t="n"/>
      <c r="D20" s="50" t="n"/>
      <c r="E20" s="51" t="n"/>
      <c r="F20" s="52" t="n"/>
      <c r="G20" s="53" t="n"/>
    </row>
    <row r="21" ht="18" customHeight="1">
      <c r="A21" s="48" t="n">
        <v>14</v>
      </c>
      <c r="B21" s="49" t="n"/>
      <c r="C21" s="49" t="n"/>
      <c r="D21" s="50" t="n"/>
      <c r="E21" s="51" t="n"/>
      <c r="F21" s="52" t="n"/>
      <c r="G21" s="53" t="n"/>
    </row>
    <row r="22" ht="18" customHeight="1">
      <c r="A22" s="48" t="n">
        <v>15</v>
      </c>
      <c r="B22" s="49" t="n"/>
      <c r="C22" s="49" t="n"/>
      <c r="D22" s="50" t="n"/>
      <c r="E22" s="51" t="n"/>
      <c r="F22" s="52" t="n"/>
      <c r="G22" s="53" t="n"/>
    </row>
    <row r="23" ht="24" customHeight="1">
      <c r="B23" s="42" t="inlineStr">
        <is>
          <t>Total cost:</t>
        </is>
      </c>
      <c r="D23" s="54">
        <f>SUM(D8:D22)</f>
        <v/>
      </c>
    </row>
    <row r="24" ht="22" customHeight="1">
      <c r="B24" s="55">
        <f>IF(D23&gt;3130000,"⚠ Phase-out applies — §179 cap reduced $-for-$ over $3,130,000.","OK — under §179 phase-out threshold ($3,130,000).")</f>
        <v/>
      </c>
    </row>
    <row r="26" ht="36" customHeight="1">
      <c r="A26" s="44" t="inlineStr">
        <is>
          <t>ⓘ MACRS recovery period drives the per-year deduction floor. STR personal property is most often 5-yr (carpets, appliances, technology) or 7-yr (furniture, kitchen equipment). Land improvements (fences, sidewalks) = 15-yr. Buildings themselves = 27.5/39-yr (use the Schedule E Workbook + Home Office Allocator for those).</t>
        </is>
      </c>
    </row>
    <row r="28" ht="22" customHeight="1">
      <c r="A28" s="45">
        <f>HYPERLINK("#'Eligibility'!A5", "← Back: Eligibility")</f>
        <v/>
      </c>
      <c r="B28" s="46" t="n"/>
      <c r="C28" s="46" t="n"/>
      <c r="D28" s="46" t="n"/>
      <c r="E28" s="46" t="n"/>
      <c r="F28" s="46" t="n"/>
      <c r="G28" s="45">
        <f>HYPERLINK("#'Election Per Asset'!A5", "Next: Election Per Asset →")</f>
        <v/>
      </c>
      <c r="H28" s="46" t="n"/>
      <c r="I28" s="46" t="n"/>
      <c r="J28" s="46" t="n"/>
      <c r="K28" s="46" t="n"/>
      <c r="L28" s="46" t="n"/>
    </row>
    <row r="29" ht="22" customHeight="1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</sheetData>
  <mergeCells count="10">
    <mergeCell ref="B24:G24"/>
    <mergeCell ref="A26:L26"/>
    <mergeCell ref="J2:L2"/>
    <mergeCell ref="D2:I2"/>
    <mergeCell ref="A5:L5"/>
    <mergeCell ref="G28:L29"/>
    <mergeCell ref="A6:L6"/>
    <mergeCell ref="A28:F29"/>
    <mergeCell ref="A2:C2"/>
    <mergeCell ref="A4:L4"/>
  </mergeCells>
  <dataValidations count="2">
    <dataValidation sqref="C8:C22" showDropDown="0" showInputMessage="0" showErrorMessage="0" allowBlank="1" type="list">
      <formula1>"5,7,15,27.5,39"</formula1>
    </dataValidation>
    <dataValidation sqref="G8:G2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HYPERLINK("#'Asset List'!A5", "← BACK")</f>
        <v/>
      </c>
      <c r="B2" s="15" t="n"/>
      <c r="C2" s="15" t="n"/>
      <c r="D2" s="24" t="inlineStr">
        <is>
          <t>SECTION 3 OF 4</t>
        </is>
      </c>
      <c r="J2" s="25">
        <f>HYPERLINK("#'Income Limitation'!A5",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Election Per Asset</t>
        </is>
      </c>
    </row>
    <row r="5" ht="18" customHeight="1">
      <c r="A5" s="28" t="inlineStr">
        <is>
          <t>Choose §179 / Bonus / MACRS for each asset.</t>
        </is>
      </c>
    </row>
    <row r="6" ht="22" customHeight="1">
      <c r="A6" s="29" t="inlineStr">
        <is>
          <t>§179 (full this year) / Bonus (40% this year) / MACRS (over recovery period).</t>
        </is>
      </c>
    </row>
    <row r="7" ht="20" customHeight="1">
      <c r="A7" s="47" t="inlineStr">
        <is>
          <t>#</t>
        </is>
      </c>
      <c r="B7" s="47" t="inlineStr">
        <is>
          <t>Asset (from Asset List)</t>
        </is>
      </c>
      <c r="C7" s="47" t="inlineStr">
        <is>
          <t>Method</t>
        </is>
      </c>
      <c r="D7" s="47" t="inlineStr">
        <is>
          <t>§179 deduction</t>
        </is>
      </c>
      <c r="E7" s="47" t="inlineStr">
        <is>
          <t>Bonus deduction</t>
        </is>
      </c>
      <c r="F7" s="47" t="inlineStr">
        <is>
          <t>Y1 MACRS deduction</t>
        </is>
      </c>
      <c r="G7" s="47" t="inlineStr">
        <is>
          <t>Total Y1</t>
        </is>
      </c>
    </row>
    <row r="8" ht="18" customHeight="1">
      <c r="A8" s="48">
        <f>'Asset List'!A8</f>
        <v/>
      </c>
      <c r="B8" s="56">
        <f>'Asset List'!B8</f>
        <v/>
      </c>
      <c r="C8" s="53" t="n"/>
      <c r="D8" s="57">
        <f>IF(C8="§179",IF('Asset List'!G8="Y",MIN('Asset List'!D8*'Asset List'!F8,30500*'Asset List'!F8),'Asset List'!D8*'Asset List'!F8),0)</f>
        <v/>
      </c>
      <c r="E8" s="57">
        <f>IF(C8="Bonus",'Asset List'!D8*'Asset List'!F8*0.4,0)</f>
        <v/>
      </c>
      <c r="F8" s="57">
        <f>IF(C8="MACRS",IFERROR(('Asset List'!D8*'Asset List'!F8)/'Asset List'!C8*0.5,0),0)</f>
        <v/>
      </c>
      <c r="G8" s="58">
        <f>D8+E8+F8</f>
        <v/>
      </c>
    </row>
    <row r="9" ht="18" customHeight="1">
      <c r="A9" s="48">
        <f>'Asset List'!A9</f>
        <v/>
      </c>
      <c r="B9" s="56">
        <f>'Asset List'!B9</f>
        <v/>
      </c>
      <c r="C9" s="53" t="n"/>
      <c r="D9" s="57">
        <f>IF(C9="§179",IF('Asset List'!G9="Y",MIN('Asset List'!D9*'Asset List'!F9,30500*'Asset List'!F9),'Asset List'!D9*'Asset List'!F9),0)</f>
        <v/>
      </c>
      <c r="E9" s="57">
        <f>IF(C9="Bonus",'Asset List'!D9*'Asset List'!F9*0.4,0)</f>
        <v/>
      </c>
      <c r="F9" s="57">
        <f>IF(C9="MACRS",IFERROR(('Asset List'!D9*'Asset List'!F9)/'Asset List'!C9*0.5,0),0)</f>
        <v/>
      </c>
      <c r="G9" s="58">
        <f>D9+E9+F9</f>
        <v/>
      </c>
    </row>
    <row r="10" ht="18" customHeight="1">
      <c r="A10" s="48">
        <f>'Asset List'!A10</f>
        <v/>
      </c>
      <c r="B10" s="56">
        <f>'Asset List'!B10</f>
        <v/>
      </c>
      <c r="C10" s="53" t="n"/>
      <c r="D10" s="57">
        <f>IF(C10="§179",IF('Asset List'!G10="Y",MIN('Asset List'!D10*'Asset List'!F10,30500*'Asset List'!F10),'Asset List'!D10*'Asset List'!F10),0)</f>
        <v/>
      </c>
      <c r="E10" s="57">
        <f>IF(C10="Bonus",'Asset List'!D10*'Asset List'!F10*0.4,0)</f>
        <v/>
      </c>
      <c r="F10" s="57">
        <f>IF(C10="MACRS",IFERROR(('Asset List'!D10*'Asset List'!F10)/'Asset List'!C10*0.5,0),0)</f>
        <v/>
      </c>
      <c r="G10" s="58">
        <f>D10+E10+F10</f>
        <v/>
      </c>
    </row>
    <row r="11" ht="18" customHeight="1">
      <c r="A11" s="48">
        <f>'Asset List'!A11</f>
        <v/>
      </c>
      <c r="B11" s="56">
        <f>'Asset List'!B11</f>
        <v/>
      </c>
      <c r="C11" s="53" t="n"/>
      <c r="D11" s="57">
        <f>IF(C11="§179",IF('Asset List'!G11="Y",MIN('Asset List'!D11*'Asset List'!F11,30500*'Asset List'!F11),'Asset List'!D11*'Asset List'!F11),0)</f>
        <v/>
      </c>
      <c r="E11" s="57">
        <f>IF(C11="Bonus",'Asset List'!D11*'Asset List'!F11*0.4,0)</f>
        <v/>
      </c>
      <c r="F11" s="57">
        <f>IF(C11="MACRS",IFERROR(('Asset List'!D11*'Asset List'!F11)/'Asset List'!C11*0.5,0),0)</f>
        <v/>
      </c>
      <c r="G11" s="58">
        <f>D11+E11+F11</f>
        <v/>
      </c>
    </row>
    <row r="12" ht="18" customHeight="1">
      <c r="A12" s="48">
        <f>'Asset List'!A12</f>
        <v/>
      </c>
      <c r="B12" s="56">
        <f>'Asset List'!B12</f>
        <v/>
      </c>
      <c r="C12" s="53" t="n"/>
      <c r="D12" s="57">
        <f>IF(C12="§179",IF('Asset List'!G12="Y",MIN('Asset List'!D12*'Asset List'!F12,30500*'Asset List'!F12),'Asset List'!D12*'Asset List'!F12),0)</f>
        <v/>
      </c>
      <c r="E12" s="57">
        <f>IF(C12="Bonus",'Asset List'!D12*'Asset List'!F12*0.4,0)</f>
        <v/>
      </c>
      <c r="F12" s="57">
        <f>IF(C12="MACRS",IFERROR(('Asset List'!D12*'Asset List'!F12)/'Asset List'!C12*0.5,0),0)</f>
        <v/>
      </c>
      <c r="G12" s="58">
        <f>D12+E12+F12</f>
        <v/>
      </c>
    </row>
    <row r="13" ht="18" customHeight="1">
      <c r="A13" s="48">
        <f>'Asset List'!A13</f>
        <v/>
      </c>
      <c r="B13" s="56">
        <f>'Asset List'!B13</f>
        <v/>
      </c>
      <c r="C13" s="53" t="n"/>
      <c r="D13" s="57">
        <f>IF(C13="§179",IF('Asset List'!G13="Y",MIN('Asset List'!D13*'Asset List'!F13,30500*'Asset List'!F13),'Asset List'!D13*'Asset List'!F13),0)</f>
        <v/>
      </c>
      <c r="E13" s="57">
        <f>IF(C13="Bonus",'Asset List'!D13*'Asset List'!F13*0.4,0)</f>
        <v/>
      </c>
      <c r="F13" s="57">
        <f>IF(C13="MACRS",IFERROR(('Asset List'!D13*'Asset List'!F13)/'Asset List'!C13*0.5,0),0)</f>
        <v/>
      </c>
      <c r="G13" s="58">
        <f>D13+E13+F13</f>
        <v/>
      </c>
    </row>
    <row r="14" ht="18" customHeight="1">
      <c r="A14" s="48">
        <f>'Asset List'!A14</f>
        <v/>
      </c>
      <c r="B14" s="56">
        <f>'Asset List'!B14</f>
        <v/>
      </c>
      <c r="C14" s="53" t="n"/>
      <c r="D14" s="57">
        <f>IF(C14="§179",IF('Asset List'!G14="Y",MIN('Asset List'!D14*'Asset List'!F14,30500*'Asset List'!F14),'Asset List'!D14*'Asset List'!F14),0)</f>
        <v/>
      </c>
      <c r="E14" s="57">
        <f>IF(C14="Bonus",'Asset List'!D14*'Asset List'!F14*0.4,0)</f>
        <v/>
      </c>
      <c r="F14" s="57">
        <f>IF(C14="MACRS",IFERROR(('Asset List'!D14*'Asset List'!F14)/'Asset List'!C14*0.5,0),0)</f>
        <v/>
      </c>
      <c r="G14" s="58">
        <f>D14+E14+F14</f>
        <v/>
      </c>
    </row>
    <row r="15" ht="18" customHeight="1">
      <c r="A15" s="48">
        <f>'Asset List'!A15</f>
        <v/>
      </c>
      <c r="B15" s="56">
        <f>'Asset List'!B15</f>
        <v/>
      </c>
      <c r="C15" s="53" t="n"/>
      <c r="D15" s="57">
        <f>IF(C15="§179",IF('Asset List'!G15="Y",MIN('Asset List'!D15*'Asset List'!F15,30500*'Asset List'!F15),'Asset List'!D15*'Asset List'!F15),0)</f>
        <v/>
      </c>
      <c r="E15" s="57">
        <f>IF(C15="Bonus",'Asset List'!D15*'Asset List'!F15*0.4,0)</f>
        <v/>
      </c>
      <c r="F15" s="57">
        <f>IF(C15="MACRS",IFERROR(('Asset List'!D15*'Asset List'!F15)/'Asset List'!C15*0.5,0),0)</f>
        <v/>
      </c>
      <c r="G15" s="58">
        <f>D15+E15+F15</f>
        <v/>
      </c>
    </row>
    <row r="16" ht="18" customHeight="1">
      <c r="A16" s="48">
        <f>'Asset List'!A16</f>
        <v/>
      </c>
      <c r="B16" s="56">
        <f>'Asset List'!B16</f>
        <v/>
      </c>
      <c r="C16" s="53" t="n"/>
      <c r="D16" s="57">
        <f>IF(C16="§179",IF('Asset List'!G16="Y",MIN('Asset List'!D16*'Asset List'!F16,30500*'Asset List'!F16),'Asset List'!D16*'Asset List'!F16),0)</f>
        <v/>
      </c>
      <c r="E16" s="57">
        <f>IF(C16="Bonus",'Asset List'!D16*'Asset List'!F16*0.4,0)</f>
        <v/>
      </c>
      <c r="F16" s="57">
        <f>IF(C16="MACRS",IFERROR(('Asset List'!D16*'Asset List'!F16)/'Asset List'!C16*0.5,0),0)</f>
        <v/>
      </c>
      <c r="G16" s="58">
        <f>D16+E16+F16</f>
        <v/>
      </c>
    </row>
    <row r="17" ht="18" customHeight="1">
      <c r="A17" s="48">
        <f>'Asset List'!A17</f>
        <v/>
      </c>
      <c r="B17" s="56">
        <f>'Asset List'!B17</f>
        <v/>
      </c>
      <c r="C17" s="53" t="n"/>
      <c r="D17" s="57">
        <f>IF(C17="§179",IF('Asset List'!G17="Y",MIN('Asset List'!D17*'Asset List'!F17,30500*'Asset List'!F17),'Asset List'!D17*'Asset List'!F17),0)</f>
        <v/>
      </c>
      <c r="E17" s="57">
        <f>IF(C17="Bonus",'Asset List'!D17*'Asset List'!F17*0.4,0)</f>
        <v/>
      </c>
      <c r="F17" s="57">
        <f>IF(C17="MACRS",IFERROR(('Asset List'!D17*'Asset List'!F17)/'Asset List'!C17*0.5,0),0)</f>
        <v/>
      </c>
      <c r="G17" s="58">
        <f>D17+E17+F17</f>
        <v/>
      </c>
    </row>
    <row r="18" ht="18" customHeight="1">
      <c r="A18" s="48">
        <f>'Asset List'!A18</f>
        <v/>
      </c>
      <c r="B18" s="56">
        <f>'Asset List'!B18</f>
        <v/>
      </c>
      <c r="C18" s="53" t="n"/>
      <c r="D18" s="57">
        <f>IF(C18="§179",IF('Asset List'!G18="Y",MIN('Asset List'!D18*'Asset List'!F18,30500*'Asset List'!F18),'Asset List'!D18*'Asset List'!F18),0)</f>
        <v/>
      </c>
      <c r="E18" s="57">
        <f>IF(C18="Bonus",'Asset List'!D18*'Asset List'!F18*0.4,0)</f>
        <v/>
      </c>
      <c r="F18" s="57">
        <f>IF(C18="MACRS",IFERROR(('Asset List'!D18*'Asset List'!F18)/'Asset List'!C18*0.5,0),0)</f>
        <v/>
      </c>
      <c r="G18" s="58">
        <f>D18+E18+F18</f>
        <v/>
      </c>
    </row>
    <row r="19" ht="18" customHeight="1">
      <c r="A19" s="48">
        <f>'Asset List'!A19</f>
        <v/>
      </c>
      <c r="B19" s="56">
        <f>'Asset List'!B19</f>
        <v/>
      </c>
      <c r="C19" s="53" t="n"/>
      <c r="D19" s="57">
        <f>IF(C19="§179",IF('Asset List'!G19="Y",MIN('Asset List'!D19*'Asset List'!F19,30500*'Asset List'!F19),'Asset List'!D19*'Asset List'!F19),0)</f>
        <v/>
      </c>
      <c r="E19" s="57">
        <f>IF(C19="Bonus",'Asset List'!D19*'Asset List'!F19*0.4,0)</f>
        <v/>
      </c>
      <c r="F19" s="57">
        <f>IF(C19="MACRS",IFERROR(('Asset List'!D19*'Asset List'!F19)/'Asset List'!C19*0.5,0),0)</f>
        <v/>
      </c>
      <c r="G19" s="58">
        <f>D19+E19+F19</f>
        <v/>
      </c>
    </row>
    <row r="20" ht="18" customHeight="1">
      <c r="A20" s="48">
        <f>'Asset List'!A20</f>
        <v/>
      </c>
      <c r="B20" s="56">
        <f>'Asset List'!B20</f>
        <v/>
      </c>
      <c r="C20" s="53" t="n"/>
      <c r="D20" s="57">
        <f>IF(C20="§179",IF('Asset List'!G20="Y",MIN('Asset List'!D20*'Asset List'!F20,30500*'Asset List'!F20),'Asset List'!D20*'Asset List'!F20),0)</f>
        <v/>
      </c>
      <c r="E20" s="57">
        <f>IF(C20="Bonus",'Asset List'!D20*'Asset List'!F20*0.4,0)</f>
        <v/>
      </c>
      <c r="F20" s="57">
        <f>IF(C20="MACRS",IFERROR(('Asset List'!D20*'Asset List'!F20)/'Asset List'!C20*0.5,0),0)</f>
        <v/>
      </c>
      <c r="G20" s="58">
        <f>D20+E20+F20</f>
        <v/>
      </c>
    </row>
    <row r="21" ht="18" customHeight="1">
      <c r="A21" s="48">
        <f>'Asset List'!A21</f>
        <v/>
      </c>
      <c r="B21" s="56">
        <f>'Asset List'!B21</f>
        <v/>
      </c>
      <c r="C21" s="53" t="n"/>
      <c r="D21" s="57">
        <f>IF(C21="§179",IF('Asset List'!G21="Y",MIN('Asset List'!D21*'Asset List'!F21,30500*'Asset List'!F21),'Asset List'!D21*'Asset List'!F21),0)</f>
        <v/>
      </c>
      <c r="E21" s="57">
        <f>IF(C21="Bonus",'Asset List'!D21*'Asset List'!F21*0.4,0)</f>
        <v/>
      </c>
      <c r="F21" s="57">
        <f>IF(C21="MACRS",IFERROR(('Asset List'!D21*'Asset List'!F21)/'Asset List'!C21*0.5,0),0)</f>
        <v/>
      </c>
      <c r="G21" s="58">
        <f>D21+E21+F21</f>
        <v/>
      </c>
    </row>
    <row r="22" ht="18" customHeight="1">
      <c r="A22" s="48">
        <f>'Asset List'!A22</f>
        <v/>
      </c>
      <c r="B22" s="56">
        <f>'Asset List'!B22</f>
        <v/>
      </c>
      <c r="C22" s="53" t="n"/>
      <c r="D22" s="57">
        <f>IF(C22="§179",IF('Asset List'!G22="Y",MIN('Asset List'!D22*'Asset List'!F22,30500*'Asset List'!F22),'Asset List'!D22*'Asset List'!F22),0)</f>
        <v/>
      </c>
      <c r="E22" s="57">
        <f>IF(C22="Bonus",'Asset List'!D22*'Asset List'!F22*0.4,0)</f>
        <v/>
      </c>
      <c r="F22" s="57">
        <f>IF(C22="MACRS",IFERROR(('Asset List'!D22*'Asset List'!F22)/'Asset List'!C22*0.5,0),0)</f>
        <v/>
      </c>
      <c r="G22" s="58">
        <f>D22+E22+F22</f>
        <v/>
      </c>
    </row>
    <row r="23" ht="24" customHeight="1">
      <c r="B23" s="42" t="inlineStr">
        <is>
          <t>Totals:</t>
        </is>
      </c>
      <c r="D23" s="59">
        <f>SUM(D8:D22)</f>
        <v/>
      </c>
      <c r="E23" s="59">
        <f>SUM(E8:E22)</f>
        <v/>
      </c>
      <c r="F23" s="59">
        <f>SUM(F8:F22)</f>
        <v/>
      </c>
      <c r="G23" s="59">
        <f>SUM(G8:G22)</f>
        <v/>
      </c>
    </row>
    <row r="25" ht="36" customHeight="1">
      <c r="A25" s="44" t="inlineStr">
        <is>
          <t>ⓘ §179 capped per-year (currently $1.25M for 2026) AND limited by your business income (next tab). Bonus depreciation has NO income limit but the rate is phasing down (40% → 20% → 0% by 2028). MACRS spreads the deduction over the recovery period — slowest, but no Y1 limitation.</t>
        </is>
      </c>
    </row>
    <row r="27" ht="22" customHeight="1">
      <c r="A27" s="45">
        <f>HYPERLINK("#'Asset List'!A5", "← Back: Asset List")</f>
        <v/>
      </c>
      <c r="B27" s="46" t="n"/>
      <c r="C27" s="46" t="n"/>
      <c r="D27" s="46" t="n"/>
      <c r="E27" s="46" t="n"/>
      <c r="F27" s="46" t="n"/>
      <c r="G27" s="45">
        <f>HYPERLINK("#'Income Limitation'!A5", "Next: Income Limitation →")</f>
        <v/>
      </c>
      <c r="H27" s="46" t="n"/>
      <c r="I27" s="46" t="n"/>
      <c r="J27" s="46" t="n"/>
      <c r="K27" s="46" t="n"/>
      <c r="L27" s="46" t="n"/>
    </row>
    <row r="28" ht="22" customHeight="1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</row>
  </sheetData>
  <mergeCells count="9">
    <mergeCell ref="J2:L2"/>
    <mergeCell ref="D2:I2"/>
    <mergeCell ref="A25:L25"/>
    <mergeCell ref="A5:L5"/>
    <mergeCell ref="A27:F28"/>
    <mergeCell ref="A6:L6"/>
    <mergeCell ref="G27:L28"/>
    <mergeCell ref="A2:C2"/>
    <mergeCell ref="A4:L4"/>
  </mergeCells>
  <dataValidations count="1">
    <dataValidation sqref="C8:C22" showDropDown="0" showInputMessage="0" showErrorMessage="0" allowBlank="1" type="list">
      <formula1>"§179,Bonus,MACRS"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HYPERLINK("#'Election Per Asset'!A5", "← BACK")</f>
        <v/>
      </c>
      <c r="B2" s="15" t="n"/>
      <c r="C2" s="15" t="n"/>
      <c r="D2" s="24" t="inlineStr">
        <is>
          <t>SECTION 4 OF 4</t>
        </is>
      </c>
      <c r="J2" s="25">
        <f>HYPERLINK("#'Form 4562 Map'!A5",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Income Limitation</t>
        </is>
      </c>
    </row>
    <row r="5" ht="18" customHeight="1">
      <c r="A5" s="28" t="inlineStr">
        <is>
          <t>§179 deduction ≤ aggregate net business income.</t>
        </is>
      </c>
    </row>
    <row r="6" ht="22" customHeight="1">
      <c r="A6" s="29" t="inlineStr">
        <is>
          <t>§179 cannot exceed aggregate net biz income — excess carries forward.</t>
        </is>
      </c>
    </row>
    <row r="7" ht="20" customHeight="1">
      <c r="A7" s="30" t="inlineStr">
        <is>
          <t>INCOME LIMITATION</t>
        </is>
      </c>
    </row>
    <row r="8" ht="22" customHeight="1">
      <c r="A8" s="60" t="inlineStr">
        <is>
          <t>Aggregate net business income (before §179):</t>
        </is>
      </c>
      <c r="B8" s="61" t="n"/>
      <c r="C8" s="62" t="n"/>
      <c r="D8" s="62" t="n"/>
      <c r="E8" s="62" t="n"/>
      <c r="F8" s="62" t="n"/>
      <c r="G8" s="62" t="n"/>
      <c r="H8" s="62" t="n"/>
      <c r="I8" s="62" t="n"/>
      <c r="J8" s="62" t="n"/>
      <c r="K8" s="62" t="n"/>
      <c r="L8" s="63" t="n"/>
    </row>
    <row r="10" ht="18" customHeight="1">
      <c r="A10" s="64" t="inlineStr">
        <is>
          <t>§179 elected (from Election Per Asset):</t>
        </is>
      </c>
      <c r="B10" s="57">
        <f>'Election Per Asset'!D23</f>
        <v/>
      </c>
    </row>
    <row r="11" ht="18" customHeight="1">
      <c r="A11" s="64" t="inlineStr">
        <is>
          <t>§179 cap (Settings):</t>
        </is>
      </c>
      <c r="B11" s="57">
        <f>Settings!B6</f>
        <v/>
      </c>
    </row>
    <row r="12" ht="18" customHeight="1">
      <c r="A12" s="64" t="inlineStr">
        <is>
          <t>Phase-out reduction (cost over threshold):</t>
        </is>
      </c>
      <c r="B12" s="57">
        <f>MAX('Asset List'!D23-Settings!B7,0)</f>
        <v/>
      </c>
    </row>
    <row r="13" ht="18" customHeight="1">
      <c r="A13" s="64" t="inlineStr">
        <is>
          <t>Adjusted §179 cap (after phase-out):</t>
        </is>
      </c>
      <c r="B13" s="57">
        <f>MAX(B11-B12,0)</f>
        <v/>
      </c>
    </row>
    <row r="14" ht="18" customHeight="1">
      <c r="A14" s="64" t="inlineStr">
        <is>
          <t>Allowed §179 (≤ adjusted cap AND ≤ biz income):</t>
        </is>
      </c>
      <c r="B14" s="57">
        <f>MIN(B10,B13,B8)</f>
        <v/>
      </c>
    </row>
    <row r="15" ht="18" customHeight="1">
      <c r="A15" s="64" t="inlineStr">
        <is>
          <t>Bonus depreciation (no income limit):</t>
        </is>
      </c>
      <c r="B15" s="57">
        <f>'Election Per Asset'!E23</f>
        <v/>
      </c>
    </row>
    <row r="16" ht="18" customHeight="1">
      <c r="A16" s="64" t="inlineStr">
        <is>
          <t>Y1 MACRS:</t>
        </is>
      </c>
      <c r="B16" s="57">
        <f>'Election Per Asset'!F23</f>
        <v/>
      </c>
    </row>
    <row r="17" ht="18" customHeight="1">
      <c r="A17" s="42" t="inlineStr">
        <is>
          <t>TOTAL Y1 DEDUCTION:</t>
        </is>
      </c>
      <c r="B17" s="54">
        <f>B14+B15+B16</f>
        <v/>
      </c>
    </row>
    <row r="18" ht="18" customHeight="1">
      <c r="A18" s="64" t="inlineStr">
        <is>
          <t>§179 carryover (excess deferred to next year):</t>
        </is>
      </c>
      <c r="B18" s="57">
        <f>MAX(B10-B14,0)</f>
        <v/>
      </c>
    </row>
    <row r="20" ht="36" customHeight="1">
      <c r="A20" s="44" t="inlineStr">
        <is>
          <t>ⓘ §179 carryover has no expiration — it stays on the books indefinitely until offset by future business income. Bonus depreciation does NOT carry over (it's used in full in Y1 regardless of business income). For STR hosts: aggregate biz income includes Schedule C net profit + W-2 wages from any active employment + spouse W-2 (MFJ filers).</t>
        </is>
      </c>
    </row>
    <row r="22" ht="22" customHeight="1">
      <c r="A22" s="45">
        <f>HYPERLINK("#'Election Per Asset'!A5", "← Back: Election Per Asset")</f>
        <v/>
      </c>
      <c r="B22" s="46" t="n"/>
      <c r="C22" s="46" t="n"/>
      <c r="D22" s="46" t="n"/>
      <c r="E22" s="46" t="n"/>
      <c r="F22" s="46" t="n"/>
      <c r="G22" s="45">
        <f>HYPERLINK("#'Form 4562 Map'!A5", "Next: Form 4562 Map →")</f>
        <v/>
      </c>
      <c r="H22" s="46" t="n"/>
      <c r="I22" s="46" t="n"/>
      <c r="J22" s="46" t="n"/>
      <c r="K22" s="46" t="n"/>
      <c r="L22" s="46" t="n"/>
    </row>
    <row r="23" ht="22" customHeight="1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</row>
  </sheetData>
  <mergeCells count="10">
    <mergeCell ref="A20:L20"/>
    <mergeCell ref="J2:L2"/>
    <mergeCell ref="D2:I2"/>
    <mergeCell ref="A7:L7"/>
    <mergeCell ref="A5:L5"/>
    <mergeCell ref="G22:L23"/>
    <mergeCell ref="A6:L6"/>
    <mergeCell ref="A22:F23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HYPERLINK("#'Income Limitation'!A1", "← BACK")</f>
        <v/>
      </c>
      <c r="B2" s="15" t="n"/>
      <c r="C2" s="15" t="n"/>
      <c r="D2" s="65" t="inlineStr">
        <is>
          <t>FORM 4562 MAP</t>
        </is>
      </c>
      <c r="J2" s="25">
        <f>HYPERLINK("#'Launch'!A1",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66" t="inlineStr">
        <is>
          <t>IRS Form 4562 — Part I (§179) and Part II (Bonus) mirror.</t>
        </is>
      </c>
    </row>
    <row r="5" ht="20" customHeight="1">
      <c r="A5" s="47" t="inlineStr">
        <is>
          <t>Line</t>
        </is>
      </c>
      <c r="B5" s="47" t="inlineStr">
        <is>
          <t>Description</t>
        </is>
      </c>
      <c r="C5" s="47" t="inlineStr">
        <is>
          <t>Amount</t>
        </is>
      </c>
    </row>
    <row r="6" ht="22" customHeight="1">
      <c r="A6" s="67" t="inlineStr">
        <is>
          <t xml:space="preserve">  Part I — PART I — §179 ELECTION TO EXPENSE</t>
        </is>
      </c>
    </row>
    <row r="7" ht="18" customHeight="1">
      <c r="A7" s="48" t="inlineStr">
        <is>
          <t>1</t>
        </is>
      </c>
      <c r="B7" s="68" t="inlineStr">
        <is>
          <t>Maximum amount (Settings cap):</t>
        </is>
      </c>
      <c r="C7" s="57">
        <f>Settings!B6</f>
        <v/>
      </c>
    </row>
    <row r="8" ht="18" customHeight="1">
      <c r="A8" s="48" t="inlineStr">
        <is>
          <t>2</t>
        </is>
      </c>
      <c r="B8" s="68" t="inlineStr">
        <is>
          <t>Total cost of §179 property placed in service this year:</t>
        </is>
      </c>
      <c r="C8" s="57">
        <f>'Asset List'!D23</f>
        <v/>
      </c>
    </row>
    <row r="9" ht="18" customHeight="1">
      <c r="A9" s="48" t="inlineStr">
        <is>
          <t>3</t>
        </is>
      </c>
      <c r="B9" s="68" t="inlineStr">
        <is>
          <t>Threshold cost ($-for-$ phase-out start):</t>
        </is>
      </c>
      <c r="C9" s="57">
        <f>Settings!B7</f>
        <v/>
      </c>
    </row>
    <row r="10" ht="18" customHeight="1">
      <c r="A10" s="48" t="inlineStr">
        <is>
          <t>4</t>
        </is>
      </c>
      <c r="B10" s="68" t="inlineStr">
        <is>
          <t>Reduction in cap (Line 2 − Line 3, if positive):</t>
        </is>
      </c>
      <c r="C10" s="57">
        <f>MAX(C8-C9,0)</f>
        <v/>
      </c>
    </row>
    <row r="11" ht="18" customHeight="1">
      <c r="A11" s="48" t="inlineStr">
        <is>
          <t>5</t>
        </is>
      </c>
      <c r="B11" s="68" t="inlineStr">
        <is>
          <t>Adjusted cap (Line 1 − Line 4):</t>
        </is>
      </c>
      <c r="C11" s="57">
        <f>MAX(C7-C10,0)</f>
        <v/>
      </c>
    </row>
    <row r="12" ht="18" customHeight="1">
      <c r="A12" s="48" t="inlineStr">
        <is>
          <t>8</t>
        </is>
      </c>
      <c r="B12" s="68" t="inlineStr">
        <is>
          <t>Total §179 elected (sum of asset elections):</t>
        </is>
      </c>
      <c r="C12" s="57">
        <f>'Election Per Asset'!D23</f>
        <v/>
      </c>
    </row>
    <row r="13" ht="18" customHeight="1">
      <c r="A13" s="48" t="inlineStr">
        <is>
          <t>9</t>
        </is>
      </c>
      <c r="B13" s="68" t="inlineStr">
        <is>
          <t>Tentative deduction (smaller of Line 5 or Line 8):</t>
        </is>
      </c>
      <c r="C13" s="57">
        <f>MIN(C11,C13)</f>
        <v/>
      </c>
    </row>
    <row r="14" ht="18" customHeight="1">
      <c r="A14" s="48" t="inlineStr">
        <is>
          <t>11</t>
        </is>
      </c>
      <c r="B14" s="68" t="inlineStr">
        <is>
          <t>Business income limitation:</t>
        </is>
      </c>
      <c r="C14" s="57">
        <f>'Income Limitation'!B8</f>
        <v/>
      </c>
    </row>
    <row r="15" ht="18" customHeight="1">
      <c r="A15" s="48" t="inlineStr">
        <is>
          <t>12</t>
        </is>
      </c>
      <c r="B15" s="69" t="inlineStr">
        <is>
          <t>§179 deduction allowed (smallest of 9, 11):</t>
        </is>
      </c>
      <c r="C15" s="70">
        <f>MIN(C14,C15)</f>
        <v/>
      </c>
    </row>
    <row r="16" ht="18" customHeight="1">
      <c r="A16" s="48" t="inlineStr">
        <is>
          <t>13</t>
        </is>
      </c>
      <c r="B16" s="68" t="inlineStr">
        <is>
          <t>Carryover to 2027 (Line 8 − Line 12):</t>
        </is>
      </c>
      <c r="C16" s="57">
        <f>MAX(C13-C16,0)</f>
        <v/>
      </c>
    </row>
    <row r="17" ht="22" customHeight="1">
      <c r="A17" s="67" t="inlineStr">
        <is>
          <t xml:space="preserve">  Part II — PART II — SPECIAL DEPRECIATION (BONUS)</t>
        </is>
      </c>
    </row>
    <row r="18" ht="18" customHeight="1">
      <c r="A18" s="48" t="inlineStr">
        <is>
          <t>14</t>
        </is>
      </c>
      <c r="B18" s="69" t="inlineStr">
        <is>
          <t>Bonus depreciation (40% × cost × biz %):</t>
        </is>
      </c>
      <c r="C18" s="70">
        <f>'Election Per Asset'!E23</f>
        <v/>
      </c>
    </row>
    <row r="19" ht="22" customHeight="1">
      <c r="A19" s="67" t="inlineStr">
        <is>
          <t xml:space="preserve">  Part III — PART III — MACRS (regular depreciation)</t>
        </is>
      </c>
    </row>
    <row r="20" ht="18" customHeight="1">
      <c r="A20" s="48" t="inlineStr">
        <is>
          <t>19a-i</t>
        </is>
      </c>
      <c r="B20" s="69" t="inlineStr">
        <is>
          <t>Y1 MACRS deduction (varies by class life):</t>
        </is>
      </c>
      <c r="C20" s="70">
        <f>'Election Per Asset'!F23</f>
        <v/>
      </c>
    </row>
    <row r="21" ht="18" customHeight="1">
      <c r="A21" s="48" t="inlineStr">
        <is>
          <t>Total</t>
        </is>
      </c>
      <c r="B21" s="71" t="inlineStr">
        <is>
          <t>GRAND TOTAL Y1 DEDUCTION:</t>
        </is>
      </c>
      <c r="C21" s="72">
        <f>C16+C19+C21</f>
        <v/>
      </c>
    </row>
  </sheetData>
  <mergeCells count="7">
    <mergeCell ref="J2:L2"/>
    <mergeCell ref="D2:I2"/>
    <mergeCell ref="A19:C19"/>
    <mergeCell ref="A6:C6"/>
    <mergeCell ref="A17:C17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HYPERLINK("#'Form 4562 Map'!A1", "← BACK")</f>
        <v/>
      </c>
      <c r="B2" s="15" t="n"/>
      <c r="C2" s="15" t="n"/>
      <c r="D2" s="65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73" t="inlineStr">
        <is>
          <t>Your Section 179 deduction</t>
        </is>
      </c>
    </row>
    <row r="5" ht="20" customHeight="1">
      <c r="A5" s="28" t="inlineStr">
        <is>
          <t>Print Form 4562 Map and attach to Schedule C / E.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4" t="inlineStr">
        <is>
          <t>TOTAL Y1 DEDUCTION</t>
        </is>
      </c>
      <c r="B9" s="75" t="n"/>
      <c r="C9" s="75" t="n"/>
      <c r="D9" s="76" t="n"/>
      <c r="E9" s="77" t="inlineStr">
        <is>
          <t>§179 ALLOWED</t>
        </is>
      </c>
      <c r="F9" s="75" t="n"/>
      <c r="G9" s="75" t="n"/>
      <c r="H9" s="76" t="n"/>
      <c r="I9" s="77" t="inlineStr">
        <is>
          <t>CARRYOVER</t>
        </is>
      </c>
      <c r="J9" s="75" t="n"/>
      <c r="K9" s="75" t="n"/>
      <c r="L9" s="76" t="n"/>
    </row>
    <row r="10">
      <c r="A10" s="78">
        <f>'Income Limitation'!B17</f>
        <v/>
      </c>
      <c r="B10" s="79" t="n"/>
      <c r="C10" s="79" t="n"/>
      <c r="D10" s="80" t="n"/>
      <c r="E10" s="81">
        <f>'Income Limitation'!B14</f>
        <v/>
      </c>
      <c r="F10" s="79" t="n"/>
      <c r="G10" s="79" t="n"/>
      <c r="H10" s="80" t="n"/>
      <c r="I10" s="82">
        <f>'Income Limitation'!B18</f>
        <v/>
      </c>
      <c r="J10" s="79" t="n"/>
      <c r="K10" s="79" t="n"/>
      <c r="L10" s="80" t="n"/>
    </row>
    <row r="11">
      <c r="A11" s="83" t="n"/>
      <c r="B11" s="79" t="n"/>
      <c r="C11" s="79" t="n"/>
      <c r="D11" s="80" t="n"/>
      <c r="E11" s="83" t="n"/>
      <c r="F11" s="79" t="n"/>
      <c r="G11" s="79" t="n"/>
      <c r="H11" s="80" t="n"/>
      <c r="I11" s="83" t="n"/>
      <c r="J11" s="79" t="n"/>
      <c r="K11" s="79" t="n"/>
      <c r="L11" s="80" t="n"/>
    </row>
    <row r="12">
      <c r="A12" s="84" t="inlineStr">
        <is>
          <t>§179 + Bonus + Y1 MACRS</t>
        </is>
      </c>
      <c r="B12" s="85" t="n"/>
      <c r="C12" s="85" t="n"/>
      <c r="D12" s="86" t="n"/>
      <c r="E12" s="84" t="inlineStr">
        <is>
          <t>after income + cap limits</t>
        </is>
      </c>
      <c r="F12" s="85" t="n"/>
      <c r="G12" s="85" t="n"/>
      <c r="H12" s="86" t="n"/>
      <c r="I12" s="84" t="inlineStr">
        <is>
          <t>deferred to next year</t>
        </is>
      </c>
      <c r="J12" s="85" t="n"/>
      <c r="K12" s="85" t="n"/>
      <c r="L12" s="8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6" ht="24" customHeight="1">
      <c r="A16" s="14">
        <f>HYPERLINK("#'Form 4562 Map'!A1", "📄  PRINT FORM 4562 MAP  →")</f>
        <v/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24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 ht="24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4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24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3" ht="36" customHeight="1">
      <c r="A23" s="87" t="inlineStr">
        <is>
          <t>💡 Upgrade to the Tax Season Bundle ($147).</t>
        </is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18" customHeight="1">
      <c r="A26" s="22" t="inlineStr">
        <is>
          <t>Questions? hello@thestrledger.com</t>
        </is>
      </c>
    </row>
    <row r="27" ht="18" customHeight="1">
      <c r="A27" s="23" t="inlineStr">
        <is>
          <t>TAX-009 · v2.2 · Free updates forever</t>
        </is>
      </c>
    </row>
  </sheetData>
  <mergeCells count="17">
    <mergeCell ref="A26:L26"/>
    <mergeCell ref="D2:L2"/>
    <mergeCell ref="A9:D9"/>
    <mergeCell ref="E9:H9"/>
    <mergeCell ref="I9:L9"/>
    <mergeCell ref="A12:D12"/>
    <mergeCell ref="A16:L20"/>
    <mergeCell ref="E12:H12"/>
    <mergeCell ref="A5:L5"/>
    <mergeCell ref="I12:L12"/>
    <mergeCell ref="A23:L23"/>
    <mergeCell ref="E10:H11"/>
    <mergeCell ref="A27:L27"/>
    <mergeCell ref="I10:L11"/>
    <mergeCell ref="A10:D1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8.xml><?xml version="1.0" encoding="utf-8"?>
<worksheet xmlns="http://schemas.openxmlformats.org/spreadsheetml/2006/main">
  <sheetPr>
    <tabColor rgb="00F6EFE2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HYPERLINK("#'Launch'!A1", "← BACK")</f>
        <v/>
      </c>
      <c r="B2" s="15" t="n"/>
      <c r="C2" s="15" t="n"/>
      <c r="D2" s="6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66" t="inlineStr">
        <is>
          <t>Active tax year · §179 cap · phase-out · bonus % · vehicle cap.</t>
        </is>
      </c>
    </row>
    <row r="5" ht="18" customHeight="1">
      <c r="A5" s="88" t="inlineStr">
        <is>
          <t>Active tax year:</t>
        </is>
      </c>
      <c r="B5" s="89" t="n">
        <v>2026</v>
      </c>
    </row>
    <row r="6" ht="18" customHeight="1">
      <c r="A6" s="88" t="inlineStr">
        <is>
          <t>§179 maximum deduction (cap):</t>
        </is>
      </c>
      <c r="B6" s="50" t="n">
        <v>1250000</v>
      </c>
    </row>
    <row r="7" ht="18" customHeight="1">
      <c r="A7" s="88" t="inlineStr">
        <is>
          <t>§179 phase-out threshold:</t>
        </is>
      </c>
      <c r="B7" s="50" t="n">
        <v>3130000</v>
      </c>
    </row>
    <row r="8" ht="18" customHeight="1">
      <c r="A8" s="88" t="inlineStr">
        <is>
          <t>Bonus depreciation % (placed in service Y1):</t>
        </is>
      </c>
      <c r="B8" s="90" t="n">
        <v>0.4</v>
      </c>
    </row>
    <row r="9" ht="18" customHeight="1">
      <c r="A9" s="88" t="inlineStr">
        <is>
          <t>Heavy SUV/truck §179 cap (&gt;6,000 lb GVWR):</t>
        </is>
      </c>
      <c r="B9" s="50" t="n">
        <v>30500</v>
      </c>
    </row>
    <row r="10" ht="28" customHeight="1">
      <c r="A10" s="91" t="inlineStr">
        <is>
          <t>📅 §179 cap, phase-out + bonus % as of 2026-01-01 — IRS adjusts the cap each Nov; bonus is statutory and phases to 0% by 2028.</t>
        </is>
      </c>
    </row>
    <row r="11">
      <c r="A11" s="92" t="inlineStr">
        <is>
          <t>Historical reference (bonus depr %):</t>
        </is>
      </c>
    </row>
    <row r="12">
      <c r="A12" s="93" t="inlineStr">
        <is>
          <t>2023:</t>
        </is>
      </c>
      <c r="B12" s="94" t="n">
        <v>0.8</v>
      </c>
    </row>
    <row r="13">
      <c r="A13" s="93" t="inlineStr">
        <is>
          <t>2024:</t>
        </is>
      </c>
      <c r="B13" s="94" t="n">
        <v>0.6</v>
      </c>
    </row>
    <row r="14">
      <c r="A14" s="93" t="inlineStr">
        <is>
          <t>2025:</t>
        </is>
      </c>
      <c r="B14" s="94" t="n">
        <v>0.5</v>
      </c>
    </row>
    <row r="15">
      <c r="A15" s="93" t="inlineStr">
        <is>
          <t>2026:</t>
        </is>
      </c>
      <c r="B15" s="94" t="n">
        <v>0.4</v>
      </c>
    </row>
    <row r="16">
      <c r="A16" s="93" t="inlineStr">
        <is>
          <t>2027:</t>
        </is>
      </c>
      <c r="B16" s="94" t="n">
        <v>0.2</v>
      </c>
    </row>
    <row r="17">
      <c r="A17" s="93" t="inlineStr">
        <is>
          <t>2028:</t>
        </is>
      </c>
      <c r="B17" s="94" t="n">
        <v>0</v>
      </c>
    </row>
    <row r="18" ht="8" customHeight="1"/>
    <row r="19" ht="22" customHeight="1">
      <c r="A19" s="95" t="inlineStr">
        <is>
          <t>Year-end Archive</t>
        </is>
      </c>
    </row>
    <row r="20" ht="18" customHeight="1">
      <c r="A20" s="47" t="inlineStr">
        <is>
          <t>Year</t>
        </is>
      </c>
      <c r="B20" s="47" t="inlineStr">
        <is>
          <t>§179 elected</t>
        </is>
      </c>
      <c r="C20" s="47" t="inlineStr">
        <is>
          <t>§179 allowed</t>
        </is>
      </c>
      <c r="D20" s="47" t="inlineStr">
        <is>
          <t>Bonus</t>
        </is>
      </c>
      <c r="E20" s="47" t="inlineStr">
        <is>
          <t>Y1 MACRS</t>
        </is>
      </c>
      <c r="F20" s="47" t="inlineStr">
        <is>
          <t>Carryover</t>
        </is>
      </c>
    </row>
    <row r="21" ht="16" customHeight="1">
      <c r="A21" s="93" t="n">
        <v>2024</v>
      </c>
      <c r="B21" s="50" t="n"/>
      <c r="C21" s="50" t="n"/>
      <c r="D21" s="50" t="n"/>
      <c r="E21" s="50" t="n"/>
      <c r="F21" s="50" t="n"/>
    </row>
    <row r="22" ht="16" customHeight="1">
      <c r="A22" s="93" t="n">
        <v>2025</v>
      </c>
      <c r="B22" s="50" t="n"/>
      <c r="C22" s="50" t="n"/>
      <c r="D22" s="50" t="n"/>
      <c r="E22" s="50" t="n"/>
      <c r="F22" s="50" t="n"/>
    </row>
    <row r="23" ht="16" customHeight="1">
      <c r="A23" s="93" t="n">
        <v>2026</v>
      </c>
      <c r="B23" s="50" t="n"/>
      <c r="C23" s="50" t="n"/>
      <c r="D23" s="50" t="n"/>
      <c r="E23" s="50" t="n"/>
      <c r="F23" s="50" t="n"/>
    </row>
    <row r="24" ht="16" customHeight="1">
      <c r="A24" s="93" t="n">
        <v>2027</v>
      </c>
      <c r="B24" s="50" t="n"/>
      <c r="C24" s="50" t="n"/>
      <c r="D24" s="50" t="n"/>
      <c r="E24" s="50" t="n"/>
      <c r="F24" s="50" t="n"/>
    </row>
    <row r="25" ht="16" customHeight="1">
      <c r="A25" s="93" t="n">
        <v>2028</v>
      </c>
      <c r="B25" s="50" t="n"/>
      <c r="C25" s="50" t="n"/>
      <c r="D25" s="50" t="n"/>
      <c r="E25" s="50" t="n"/>
      <c r="F25" s="50" t="n"/>
    </row>
    <row r="26" ht="16" customHeight="1">
      <c r="A26" s="93" t="n">
        <v>2029</v>
      </c>
      <c r="B26" s="50" t="n"/>
      <c r="C26" s="50" t="n"/>
      <c r="D26" s="50" t="n"/>
      <c r="E26" s="50" t="n"/>
      <c r="F26" s="50" t="n"/>
    </row>
    <row r="27" ht="16" customHeight="1">
      <c r="A27" s="93" t="n">
        <v>2030</v>
      </c>
      <c r="B27" s="50" t="n"/>
      <c r="C27" s="50" t="n"/>
      <c r="D27" s="50" t="n"/>
      <c r="E27" s="50" t="n"/>
      <c r="F27" s="50" t="n"/>
    </row>
  </sheetData>
  <mergeCells count="4">
    <mergeCell ref="D2:L2"/>
    <mergeCell ref="A10:F10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Section 179 Planner — The STR Ledger</dc:title>
  <dc:description xmlns:dc="http://purl.org/dc/elements/1.1/">IRS §179 / Bonus depreciation planner (Form 4562) for STR hosts.</dc:description>
  <dcterms:created xmlns:dcterms="http://purl.org/dc/terms/" xmlns:xsi="http://www.w3.org/2001/XMLSchema-instance" xsi:type="dcterms:W3CDTF">2026-05-03T19:06:20Z</dcterms:created>
  <dcterms:modified xmlns:dcterms="http://purl.org/dc/terms/" xmlns:xsi="http://www.w3.org/2001/XMLSchema-instance" xsi:type="dcterms:W3CDTF">2026-05-03T19:06:21Z</dcterms:modified>
</cp:coreProperties>
</file>