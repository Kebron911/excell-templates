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rmits Register" sheetId="2" state="visible" r:id="rId2"/>
    <sheet xmlns:r="http://schemas.openxmlformats.org/officeDocument/2006/relationships" name="Renewal Calendar" sheetId="3" state="visible" r:id="rId3"/>
    <sheet xmlns:r="http://schemas.openxmlformats.org/officeDocument/2006/relationships" name="Permit Discovery" sheetId="4" state="visible" r:id="rId4"/>
    <sheet xmlns:r="http://schemas.openxmlformats.org/officeDocument/2006/relationships" name="Filing Log" sheetId="5" state="visible" r:id="rId5"/>
    <sheet xmlns:r="http://schemas.openxmlformats.org/officeDocument/2006/relationships" name="Settings" sheetId="6" state="visible" r:id="rId6"/>
  </sheets>
  <definedNames>
    <definedName name="_xlnm.Print_Area" localSheetId="0">'Start'!$A$1:$L$40</definedName>
    <definedName name="_xlnm.Print_Titles" localSheetId="1">'Permits Register'!$1:$6</definedName>
    <definedName name="_xlnm.Print_Titles" localSheetId="4">'Filing Log'!$1:$6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33">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B91C1C"/>
      <sz val="9"/>
    </font>
    <font>
      <name val="Georgia"/>
      <b val="1"/>
      <color rgb="00B91C1C"/>
      <sz val="32"/>
    </font>
    <font>
      <name val="Calibri"/>
      <color rgb="006B7280"/>
      <sz val="9"/>
    </font>
    <font>
      <name val="Consolas"/>
      <b val="1"/>
      <color rgb="00C9A24B"/>
      <sz val="9"/>
    </font>
    <font>
      <name val="Georgia"/>
      <b val="1"/>
      <color rgb="00C9A24B"/>
      <sz val="32"/>
    </font>
    <font>
      <name val="Consolas"/>
      <b val="1"/>
      <color rgb="0012304E"/>
      <sz val="9"/>
    </font>
    <font>
      <name val="Georgia"/>
      <b val="1"/>
      <color rgb="0012304E"/>
      <sz val="32"/>
    </font>
    <font>
      <name val="Calibri"/>
      <b val="1"/>
      <color rgb="00FFFFFF"/>
      <sz val="11"/>
    </font>
    <font>
      <name val="Consolas"/>
      <b val="1"/>
      <color rgb="0012304E"/>
      <sz val="10"/>
    </font>
    <font>
      <name val="Calibri"/>
      <i val="1"/>
      <color rgb="002B2B2B"/>
      <sz val="10"/>
    </font>
    <font>
      <name val="Georgia"/>
      <b val="1"/>
      <color rgb="00F6EFE2"/>
      <sz val="13"/>
    </font>
    <font>
      <name val="Georgia"/>
      <b val="1"/>
      <color rgb="0012304E"/>
      <sz val="13"/>
    </font>
    <font>
      <name val="Calibri"/>
      <color rgb="006B7280"/>
      <sz val="10"/>
    </font>
    <font>
      <name val="Calibri"/>
      <i val="1"/>
      <color rgb="00C9A24B"/>
      <sz val="10"/>
    </font>
    <font>
      <name val="Consolas"/>
      <b val="1"/>
      <color rgb="00C9A24B"/>
      <sz val="10"/>
    </font>
    <font>
      <name val="Calibri"/>
      <i val="1"/>
      <color rgb="002B2B2B"/>
      <sz val="11"/>
    </font>
    <font>
      <name val="Calibri"/>
      <b val="1"/>
      <color rgb="002B2B2B"/>
      <sz val="10"/>
    </font>
    <font>
      <name val="Calibri"/>
      <color rgb="002B2B2B"/>
      <sz val="11"/>
    </font>
    <font>
      <name val="Georgia"/>
      <b val="1"/>
      <color rgb="00FFFFFF"/>
      <sz val="14"/>
    </font>
    <font>
      <name val="Calibri"/>
      <i val="1"/>
      <color rgb="006B7280"/>
      <sz val="10"/>
    </font>
    <font>
      <name val="Calibri"/>
      <i val="1"/>
      <color rgb="006B7280"/>
      <sz val="9"/>
    </font>
    <font>
      <name val="Calibri"/>
      <b val="1"/>
      <color rgb="00B91C1C"/>
      <sz val="10"/>
    </font>
    <font>
      <name val="Georgia"/>
      <b val="1"/>
      <color rgb="00F6EFE2"/>
      <sz val="14"/>
    </font>
    <font>
      <name val="Calibri"/>
      <color rgb="002B2B2B"/>
      <sz val="10"/>
    </font>
    <font>
      <name val="Consolas"/>
      <color rgb="00C9A24B"/>
      <sz val="10"/>
    </font>
    <font>
      <name val="Calibri"/>
      <i val="1"/>
      <color rgb="00B91C1C"/>
      <sz val="10"/>
    </font>
    <font>
      <name val="Calibri"/>
      <b val="1"/>
      <color rgb="002B2B2B"/>
      <sz val="11"/>
    </font>
    <font>
      <name val="Calibri"/>
      <color rgb="0012304E"/>
      <sz val="11"/>
    </font>
  </fonts>
  <fills count="11">
    <fill>
      <patternFill/>
    </fill>
    <fill>
      <patternFill patternType="gray125"/>
    </fill>
    <fill>
      <patternFill patternType="solid">
        <fgColor rgb="0012304E"/>
      </patternFill>
    </fill>
    <fill>
      <patternFill patternType="solid">
        <fgColor rgb="00F6EFE2"/>
      </patternFill>
    </fill>
    <fill>
      <patternFill patternType="solid">
        <fgColor rgb="00B91C1C"/>
      </patternFill>
    </fill>
    <fill>
      <patternFill patternType="solid">
        <fgColor rgb="00E2C884"/>
      </patternFill>
    </fill>
    <fill>
      <patternFill patternType="solid">
        <fgColor rgb="00EFE5D0"/>
      </patternFill>
    </fill>
    <fill>
      <patternFill patternType="solid">
        <fgColor rgb="00C9A24B"/>
      </patternFill>
    </fill>
    <fill>
      <patternFill patternType="solid">
        <fgColor rgb="00EDEDED"/>
      </patternFill>
    </fill>
    <fill>
      <patternFill patternType="solid">
        <fgColor rgb="00FFF7D6"/>
      </patternFill>
    </fill>
    <fill>
      <patternFill patternType="solid">
        <fgColor rgb="002A4867"/>
      </patternFill>
    </fill>
  </fills>
  <borders count="15">
    <border>
      <left/>
      <right/>
      <top/>
      <bottom/>
      <diagonal/>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medium">
        <color rgb="00C9A24B"/>
      </left>
      <right style="medium">
        <color rgb="00C9A24B"/>
      </right>
      <top style="medium">
        <color rgb="00C9A24B"/>
      </top>
      <bottom style="medium">
        <color rgb="00C9A24B"/>
      </bottom>
    </border>
    <border>
      <left style="thin">
        <color rgb="00C9A24B"/>
      </left>
      <right style="thin">
        <color rgb="00C9A24B"/>
      </right>
      <top style="thin">
        <color rgb="00C9A24B"/>
      </top>
      <bottom style="thin">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12304E"/>
      </left>
      <right style="thin">
        <color rgb="0012304E"/>
      </right>
      <top style="thin">
        <color rgb="0012304E"/>
      </top>
      <bottom style="thin">
        <color rgb="0012304E"/>
      </bottom>
    </border>
  </borders>
  <cellStyleXfs count="1">
    <xf numFmtId="0" fontId="0" fillId="0" borderId="0"/>
  </cellStyleXfs>
  <cellXfs count="61">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3" borderId="1" applyAlignment="1" pivotButton="0" quotePrefix="0" xfId="0">
      <alignment horizontal="center"/>
    </xf>
    <xf numFmtId="0" fontId="0" fillId="0" borderId="2" pivotButton="0" quotePrefix="0" xfId="0"/>
    <xf numFmtId="0" fontId="0" fillId="0" borderId="3" pivotButton="0" quotePrefix="0" xfId="0"/>
    <xf numFmtId="0" fontId="8" fillId="3" borderId="1" applyAlignment="1" pivotButton="0" quotePrefix="0" xfId="0">
      <alignment horizontal="center"/>
    </xf>
    <xf numFmtId="0" fontId="10" fillId="3" borderId="1" applyAlignment="1" pivotButton="0" quotePrefix="0" xfId="0">
      <alignment horizontal="center"/>
    </xf>
    <xf numFmtId="0" fontId="6" fillId="3" borderId="4" applyAlignment="1" pivotButton="0" quotePrefix="0" xfId="0">
      <alignment horizontal="center" vertical="center"/>
    </xf>
    <xf numFmtId="0" fontId="0" fillId="0" borderId="5" pivotButton="0" quotePrefix="0" xfId="0"/>
    <xf numFmtId="0" fontId="0" fillId="0" borderId="6" pivotButton="0" quotePrefix="0" xfId="0"/>
    <xf numFmtId="0" fontId="9" fillId="3" borderId="4" applyAlignment="1" pivotButton="0" quotePrefix="0" xfId="0">
      <alignment horizontal="center" vertical="center"/>
    </xf>
    <xf numFmtId="164" fontId="11" fillId="3" borderId="4" applyAlignment="1" pivotButton="0" quotePrefix="0" xfId="0">
      <alignment horizontal="center" vertical="center"/>
    </xf>
    <xf numFmtId="0" fontId="0" fillId="0" borderId="4" pivotButton="0" quotePrefix="0" xfId="0"/>
    <xf numFmtId="0" fontId="7" fillId="3"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12" fillId="4" borderId="0" applyAlignment="1" pivotButton="0" quotePrefix="0" xfId="0">
      <alignment horizontal="center" vertical="center" wrapText="1"/>
    </xf>
    <xf numFmtId="0" fontId="13" fillId="5" borderId="0" applyAlignment="1" pivotButton="0" quotePrefix="0" xfId="0">
      <alignment horizontal="left" vertical="center" indent="2"/>
    </xf>
    <xf numFmtId="0" fontId="14" fillId="6" borderId="0" applyAlignment="1" pivotButton="0" quotePrefix="0" xfId="0">
      <alignment horizontal="left" vertical="center" wrapText="1" indent="2"/>
    </xf>
    <xf numFmtId="0" fontId="14" fillId="3" borderId="0" applyAlignment="1" pivotButton="0" quotePrefix="0" xfId="0">
      <alignment horizontal="left" vertical="center" wrapText="1" indent="2"/>
    </xf>
    <xf numFmtId="0" fontId="15" fillId="2" borderId="10" applyAlignment="1" pivotButton="0" quotePrefix="0" xfId="0">
      <alignment horizontal="center" vertical="center" wrapText="1"/>
    </xf>
    <xf numFmtId="0" fontId="0" fillId="0" borderId="10" pivotButton="0" quotePrefix="0" xfId="0"/>
    <xf numFmtId="0" fontId="16" fillId="3" borderId="11" applyAlignment="1" pivotButton="0" quotePrefix="0" xfId="0">
      <alignment horizontal="center" vertical="center" wrapText="1"/>
    </xf>
    <xf numFmtId="0" fontId="0" fillId="0" borderId="11" pivotButton="0" quotePrefix="0" xfId="0"/>
    <xf numFmtId="0" fontId="12" fillId="7" borderId="0" applyAlignment="1" pivotButton="0" quotePrefix="0" xfId="0">
      <alignment horizontal="center" vertical="center" wrapText="1"/>
    </xf>
    <xf numFmtId="0" fontId="0" fillId="0" borderId="12"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16" fillId="7" borderId="13" applyAlignment="1" pivotButton="0" quotePrefix="0" xfId="0">
      <alignment horizontal="center" vertical="center" wrapText="1"/>
    </xf>
    <xf numFmtId="0" fontId="0" fillId="0" borderId="13" pivotButton="0" quotePrefix="0" xfId="0"/>
    <xf numFmtId="0" fontId="14" fillId="3" borderId="0" applyAlignment="1" pivotButton="0" quotePrefix="0" xfId="0">
      <alignment horizontal="left" vertical="center" indent="1"/>
    </xf>
    <xf numFmtId="0" fontId="12" fillId="2" borderId="14" applyAlignment="1" pivotButton="0" quotePrefix="0" xfId="0">
      <alignment horizontal="center" vertical="center"/>
    </xf>
    <xf numFmtId="0" fontId="22" fillId="9" borderId="0" applyAlignment="1" pivotButton="0" quotePrefix="0" xfId="0">
      <alignment horizontal="left" vertical="center"/>
    </xf>
    <xf numFmtId="165" fontId="22" fillId="9" borderId="0" applyAlignment="1" pivotButton="0" quotePrefix="0" xfId="0">
      <alignment horizontal="left" vertical="center"/>
    </xf>
    <xf numFmtId="166" fontId="22" fillId="9" borderId="0" applyAlignment="1" pivotButton="0" quotePrefix="0" xfId="0">
      <alignment horizontal="left" vertical="center"/>
    </xf>
    <xf numFmtId="1" fontId="20" fillId="8" borderId="0" applyAlignment="1" pivotButton="0" quotePrefix="0" xfId="0">
      <alignment horizontal="center" vertical="center"/>
    </xf>
    <xf numFmtId="0" fontId="21" fillId="8" borderId="0" applyAlignment="1" pivotButton="0" quotePrefix="0" xfId="0">
      <alignment horizontal="center" vertical="center"/>
    </xf>
    <xf numFmtId="0" fontId="23" fillId="4" borderId="0" applyAlignment="1" pivotButton="0" quotePrefix="0" xfId="0">
      <alignment horizontal="left" vertical="center" indent="2"/>
    </xf>
    <xf numFmtId="0" fontId="0" fillId="3" borderId="0" applyAlignment="1" pivotButton="0" quotePrefix="0" xfId="0">
      <alignment horizontal="left" vertical="center" indent="1"/>
    </xf>
    <xf numFmtId="0" fontId="23" fillId="7" borderId="0" applyAlignment="1" pivotButton="0" quotePrefix="0" xfId="0">
      <alignment horizontal="left" vertical="center" indent="2"/>
    </xf>
    <xf numFmtId="0" fontId="23" fillId="10" borderId="0" applyAlignment="1" pivotButton="0" quotePrefix="0" xfId="0">
      <alignment horizontal="left" vertical="center" indent="2"/>
    </xf>
    <xf numFmtId="0" fontId="24" fillId="6" borderId="0" applyAlignment="1" pivotButton="0" quotePrefix="0" xfId="0">
      <alignment horizontal="center" vertical="center" indent="1"/>
    </xf>
    <xf numFmtId="0" fontId="25" fillId="0" borderId="0" applyAlignment="1" pivotButton="0" quotePrefix="0" xfId="0">
      <alignment horizontal="center" vertical="center" wrapText="1" indent="1"/>
    </xf>
    <xf numFmtId="0" fontId="26" fillId="5" borderId="0" applyAlignment="1" pivotButton="0" quotePrefix="0" xfId="0">
      <alignment horizontal="center" vertical="center" wrapText="1" indent="1"/>
    </xf>
    <xf numFmtId="0" fontId="27" fillId="2" borderId="0" applyAlignment="1" pivotButton="0" quotePrefix="0" xfId="0">
      <alignment horizontal="left" vertical="center" indent="2"/>
    </xf>
    <xf numFmtId="0" fontId="10" fillId="5" borderId="0" applyAlignment="1" pivotButton="0" quotePrefix="0" xfId="0">
      <alignment horizontal="left" vertical="top" indent="1"/>
    </xf>
    <xf numFmtId="0" fontId="28" fillId="3" borderId="0" applyAlignment="1" pivotButton="0" quotePrefix="0" xfId="0">
      <alignment horizontal="left" vertical="top" wrapText="1" indent="1"/>
    </xf>
    <xf numFmtId="0" fontId="29" fillId="3" borderId="0" applyAlignment="1" pivotButton="0" quotePrefix="0" xfId="0">
      <alignment horizontal="left" vertical="top" wrapText="1" indent="1"/>
    </xf>
    <xf numFmtId="0" fontId="25" fillId="6" borderId="0" applyAlignment="1" pivotButton="0" quotePrefix="0" xfId="0">
      <alignment horizontal="center" vertical="center" indent="1"/>
    </xf>
    <xf numFmtId="0" fontId="22" fillId="3" borderId="0" applyAlignment="1" pivotButton="0" quotePrefix="0" xfId="0">
      <alignment horizontal="left" vertical="center" wrapText="1" indent="2"/>
    </xf>
    <xf numFmtId="0" fontId="30" fillId="5" borderId="0" applyAlignment="1" pivotButton="0" quotePrefix="0" xfId="0">
      <alignment horizontal="center" vertical="center" wrapText="1"/>
    </xf>
    <xf numFmtId="0" fontId="10" fillId="5" borderId="0" applyAlignment="1" pivotButton="0" quotePrefix="0" xfId="0">
      <alignment horizontal="left" vertical="center" indent="1"/>
    </xf>
    <xf numFmtId="0" fontId="31" fillId="0" borderId="0" pivotButton="0" quotePrefix="0" xfId="0"/>
    <xf numFmtId="165" fontId="32" fillId="9" borderId="0" applyAlignment="1" pivotButton="0" quotePrefix="0" xfId="0">
      <alignment horizontal="left" vertical="center"/>
    </xf>
    <xf numFmtId="0" fontId="24" fillId="0" borderId="0" applyAlignment="1" pivotButton="0" quotePrefix="0" xfId="0">
      <alignment horizontal="left" vertical="top" wrapText="1" indent="1"/>
    </xf>
  </cellXfs>
  <cellStyles count="1">
    <cellStyle name="Normal" xfId="0" builtinId="0" hidden="0"/>
  </cellStyles>
  <dxfs count="4">
    <dxf>
      <fill>
        <patternFill patternType="solid">
          <fgColor rgb="00166534"/>
        </patternFill>
      </fill>
    </dxf>
    <dxf>
      <font>
        <name val="Calibri"/>
        <b val="1"/>
        <color rgb="00B91C1C"/>
        <sz val="10"/>
      </font>
      <fill>
        <patternFill patternType="solid">
          <fgColor rgb="00FFCCCC"/>
        </patternFill>
      </fill>
    </dxf>
    <dxf>
      <fill>
        <patternFill patternType="solid">
          <fgColor rgb="00E2C884"/>
        </patternFill>
      </fill>
    </dxf>
    <dxf>
      <font>
        <name val="Calibri"/>
        <b val="1"/>
        <color rgb="00FFFFFF"/>
        <sz val="10"/>
      </font>
      <fill>
        <patternFill patternType="solid">
          <fgColor rgb="00B91C1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License / Permit / STR-Reg Tracker</t>
        </is>
      </c>
    </row>
    <row r="5" ht="22" customHeight="1">
      <c r="A5" s="4" t="inlineStr">
        <is>
          <t>An alarm clock for the renewals you'd otherwise forget.</t>
        </is>
      </c>
    </row>
    <row r="6" ht="22" customHeight="1">
      <c r="A6" s="1" t="n"/>
      <c r="B6" s="1" t="n"/>
      <c r="C6" s="1" t="n"/>
      <c r="D6" s="1" t="n"/>
      <c r="E6" s="1" t="n"/>
      <c r="F6" s="1" t="n"/>
      <c r="G6" s="1" t="n"/>
      <c r="H6" s="1" t="n"/>
      <c r="I6" s="1" t="n"/>
      <c r="J6" s="1" t="n"/>
      <c r="K6" s="1" t="n"/>
      <c r="L6" s="1" t="n"/>
    </row>
    <row r="7" ht="22" customHeight="1">
      <c r="A7" s="5" t="inlineStr">
        <is>
          <t>OPS-003 · v1.0 · BLANK</t>
        </is>
      </c>
    </row>
    <row r="8" ht="22" customHeight="1">
      <c r="A8" s="1" t="n"/>
      <c r="B8" s="1" t="n"/>
      <c r="C8" s="1" t="n"/>
      <c r="D8" s="1" t="n"/>
      <c r="E8" s="1" t="n"/>
      <c r="F8" s="1" t="n"/>
      <c r="G8" s="1" t="n"/>
      <c r="H8" s="1" t="n"/>
      <c r="I8" s="1" t="n"/>
      <c r="J8" s="1" t="n"/>
      <c r="K8" s="1" t="n"/>
      <c r="L8" s="1" t="n"/>
    </row>
    <row r="10">
      <c r="A10" s="6" t="inlineStr">
        <is>
          <t>EXPIRED</t>
        </is>
      </c>
      <c r="B10" s="7" t="n"/>
      <c r="C10" s="7" t="n"/>
      <c r="D10" s="8" t="n"/>
      <c r="E10" s="9" t="inlineStr">
        <is>
          <t>RENEW NOW (&lt;30 DAYS)</t>
        </is>
      </c>
      <c r="F10" s="7" t="n"/>
      <c r="G10" s="7" t="n"/>
      <c r="H10" s="8" t="n"/>
      <c r="I10" s="10" t="inlineStr">
        <is>
          <t>FILING $ YTD</t>
        </is>
      </c>
      <c r="J10" s="7" t="n"/>
      <c r="K10" s="7" t="n"/>
      <c r="L10" s="8" t="n"/>
    </row>
    <row r="11">
      <c r="A11" s="11">
        <f>COUNTIF('Permits Register'!M7:M206,"EXPIRED")</f>
        <v/>
      </c>
      <c r="B11" s="12" t="n"/>
      <c r="C11" s="12" t="n"/>
      <c r="D11" s="13" t="n"/>
      <c r="E11" s="14">
        <f>COUNTIFS('Permits Register'!L7:L206,"&gt;=0",'Permits Register'!L7:L206,"&lt;30")</f>
        <v/>
      </c>
      <c r="F11" s="12" t="n"/>
      <c r="G11" s="12" t="n"/>
      <c r="H11" s="13" t="n"/>
      <c r="I11" s="15">
        <f>SUMPRODUCT((YEAR('Filing Log'!A7:A506)=YEAR(TODAY()))*'Filing Log'!E7:E506)</f>
        <v/>
      </c>
      <c r="J11" s="12" t="n"/>
      <c r="K11" s="12" t="n"/>
      <c r="L11" s="13" t="n"/>
    </row>
    <row r="12">
      <c r="A12" s="16" t="n"/>
      <c r="B12" s="12" t="n"/>
      <c r="C12" s="12" t="n"/>
      <c r="D12" s="13" t="n"/>
      <c r="E12" s="16" t="n"/>
      <c r="F12" s="12" t="n"/>
      <c r="G12" s="12" t="n"/>
      <c r="H12" s="13" t="n"/>
      <c r="I12" s="16" t="n"/>
      <c r="J12" s="12" t="n"/>
      <c r="K12" s="12" t="n"/>
      <c r="L12" s="13" t="n"/>
    </row>
    <row r="13">
      <c r="A13" s="16" t="n"/>
      <c r="B13" s="12" t="n"/>
      <c r="C13" s="12" t="n"/>
      <c r="D13" s="13" t="n"/>
      <c r="E13" s="16" t="n"/>
      <c r="F13" s="12" t="n"/>
      <c r="G13" s="12" t="n"/>
      <c r="H13" s="13" t="n"/>
      <c r="I13" s="16" t="n"/>
      <c r="J13" s="12" t="n"/>
      <c r="K13" s="12" t="n"/>
      <c r="L13" s="13" t="n"/>
    </row>
    <row r="14">
      <c r="A14" s="17" t="inlineStr">
        <is>
          <t>permits past renewal date</t>
        </is>
      </c>
      <c r="B14" s="12" t="n"/>
      <c r="C14" s="12" t="n"/>
      <c r="D14" s="13" t="n"/>
      <c r="E14" s="17" t="inlineStr">
        <is>
          <t>permits due in next 30 days</t>
        </is>
      </c>
      <c r="F14" s="12" t="n"/>
      <c r="G14" s="12" t="n"/>
      <c r="H14" s="13" t="n"/>
      <c r="I14" s="17" t="inlineStr">
        <is>
          <t>fees paid year to date</t>
        </is>
      </c>
      <c r="J14" s="12" t="n"/>
      <c r="K14" s="12" t="n"/>
      <c r="L14" s="13" t="n"/>
    </row>
    <row r="15">
      <c r="A15" s="18" t="n"/>
      <c r="B15" s="19" t="n"/>
      <c r="C15" s="19" t="n"/>
      <c r="D15" s="20" t="n"/>
      <c r="E15" s="18" t="n"/>
      <c r="F15" s="19" t="n"/>
      <c r="G15" s="19" t="n"/>
      <c r="H15" s="20" t="n"/>
      <c r="I15" s="18" t="n"/>
      <c r="J15" s="19" t="n"/>
      <c r="K15" s="19" t="n"/>
      <c r="L15" s="20" t="n"/>
    </row>
    <row r="17" ht="36" customHeight="1">
      <c r="A17" s="21">
        <f>IF(COUNTIF('Permits Register'!M7:M206,"EXPIRED")&gt;0,"OPERATING WHILE EXPIRED — STOP. One or more permits below are past their renewal date. Operating without a current permit creates legal + financial liability. Renew before the next booking starts.","ALL CLEAR — No expired permits in your portfolio.")</f>
        <v/>
      </c>
    </row>
    <row r="20" ht="22" customHeight="1">
      <c r="A20" s="22" t="inlineStr">
        <is>
          <t>TOP RENEWAL ACTIONS</t>
        </is>
      </c>
    </row>
    <row r="21" ht="36" customHeight="1">
      <c r="A21" s="23" t="inlineStr">
        <is>
          <t>Open the Renewal Calendar tab — permits are sorted by urgency (EXPIRED on top, then &lt;30 days red, then 30-90 gold). The five most urgent permits in your portfolio are listed there.</t>
        </is>
      </c>
    </row>
    <row r="23">
      <c r="A23" s="24" t="inlineStr">
        <is>
          <t>Why this matters: most STR fines come from missed renewals, not from regulatory violations. Knox County, TN issues a $750 fine + 30-day suspension for an expired Type 2 permit. Nashville has issued $1,500 fines for operating without a current STRP. Use the Renewal Calendar to nail the dates before the platforms (Airbnb, VRBO) auto-suspend the listing.</t>
        </is>
      </c>
    </row>
    <row r="24"/>
    <row r="25"/>
    <row r="26"/>
    <row r="28" ht="22" customHeight="1">
      <c r="A28" s="25">
        <f>HYPERLINK("#'Permits Register'!A1", "Permits Register")</f>
        <v/>
      </c>
      <c r="B28" s="26" t="n"/>
      <c r="C28" s="26" t="n"/>
      <c r="D28" s="25">
        <f>HYPERLINK("#'Renewal Calendar'!A1", "Renewal Calendar")</f>
        <v/>
      </c>
      <c r="E28" s="26" t="n"/>
      <c r="F28" s="26" t="n"/>
      <c r="G28" s="27">
        <f>HYPERLINK("#'Permit Discovery'!A1", "Permit Discovery")</f>
        <v/>
      </c>
      <c r="H28" s="28" t="n"/>
      <c r="I28" s="28" t="n"/>
      <c r="J28" s="27">
        <f>HYPERLINK("#'Filing Log'!A1", "Filing Log")</f>
        <v/>
      </c>
      <c r="K28" s="28" t="n"/>
      <c r="L28" s="28" t="n"/>
    </row>
    <row r="29" ht="22" customHeight="1">
      <c r="A29" s="26" t="n"/>
      <c r="B29" s="26" t="n"/>
      <c r="C29" s="26" t="n"/>
      <c r="D29" s="26" t="n"/>
      <c r="E29" s="26" t="n"/>
      <c r="F29" s="26" t="n"/>
      <c r="G29" s="28" t="n"/>
      <c r="H29" s="28" t="n"/>
      <c r="I29" s="28" t="n"/>
      <c r="J29" s="28" t="n"/>
      <c r="K29" s="28" t="n"/>
      <c r="L29" s="28" t="n"/>
    </row>
    <row r="30" ht="22" customHeight="1">
      <c r="A30" s="26" t="n"/>
      <c r="B30" s="26" t="n"/>
      <c r="C30" s="26" t="n"/>
      <c r="D30" s="26" t="n"/>
      <c r="E30" s="26" t="n"/>
      <c r="F30" s="26" t="n"/>
      <c r="G30" s="28" t="n"/>
      <c r="H30" s="28" t="n"/>
      <c r="I30" s="28" t="n"/>
      <c r="J30" s="28" t="n"/>
      <c r="K30" s="28" t="n"/>
      <c r="L30" s="28" t="n"/>
    </row>
    <row r="32" ht="18" customHeight="1">
      <c r="A32" s="27">
        <f>HYPERLINK("#'Settings'!A1", "Settings")</f>
        <v/>
      </c>
      <c r="B32" s="28" t="n"/>
      <c r="C32" s="28" t="n"/>
      <c r="D32" s="28" t="n"/>
      <c r="E32" s="28" t="n"/>
      <c r="F32" s="28" t="n"/>
      <c r="G32" s="28" t="n"/>
      <c r="H32" s="28" t="n"/>
      <c r="I32" s="28" t="n"/>
      <c r="J32" s="28" t="n"/>
      <c r="K32" s="28" t="n"/>
      <c r="L32" s="28" t="n"/>
    </row>
    <row r="33" ht="18" customHeight="1">
      <c r="A33" s="28" t="n"/>
      <c r="B33" s="28" t="n"/>
      <c r="C33" s="28" t="n"/>
      <c r="D33" s="28" t="n"/>
      <c r="E33" s="28" t="n"/>
      <c r="F33" s="28" t="n"/>
      <c r="G33" s="28" t="n"/>
      <c r="H33" s="28" t="n"/>
      <c r="I33" s="28" t="n"/>
      <c r="J33" s="28" t="n"/>
      <c r="K33" s="28" t="n"/>
      <c r="L33" s="28" t="n"/>
    </row>
    <row r="34" ht="18" customHeight="1">
      <c r="A34" s="28" t="n"/>
      <c r="B34" s="28" t="n"/>
      <c r="C34" s="28" t="n"/>
      <c r="D34" s="28" t="n"/>
      <c r="E34" s="28" t="n"/>
      <c r="F34" s="28" t="n"/>
      <c r="G34" s="28" t="n"/>
      <c r="H34" s="28" t="n"/>
      <c r="I34" s="28" t="n"/>
      <c r="J34" s="28" t="n"/>
      <c r="K34" s="28" t="n"/>
      <c r="L34" s="28" t="n"/>
    </row>
    <row r="36" ht="36" customHeight="1">
      <c r="A36" s="29" t="inlineStr">
        <is>
          <t>Need full operations coverage? Add the Operator Bundle at thestrledger.com/operator — turnover + maintenance + supply + damage claims + insurance + permits, $197.</t>
        </is>
      </c>
    </row>
    <row r="38">
      <c r="A38" s="30" t="n"/>
      <c r="B38" s="30" t="n"/>
      <c r="C38" s="30" t="n"/>
      <c r="D38" s="30" t="n"/>
      <c r="E38" s="30" t="n"/>
      <c r="F38" s="30" t="n"/>
      <c r="G38" s="30" t="n"/>
      <c r="H38" s="30" t="n"/>
      <c r="I38" s="30" t="n"/>
      <c r="J38" s="30" t="n"/>
      <c r="K38" s="30" t="n"/>
      <c r="L38" s="30" t="n"/>
    </row>
    <row r="39" ht="18" customHeight="1">
      <c r="A39" s="31" t="inlineStr">
        <is>
          <t>Questions? hello@thestrledger.com</t>
        </is>
      </c>
    </row>
    <row r="40" ht="18" customHeight="1">
      <c r="A40" s="32" t="inlineStr">
        <is>
          <t>OPS-003 · v1.0 · BLANK · Free updates forever</t>
        </is>
      </c>
    </row>
  </sheetData>
  <mergeCells count="25">
    <mergeCell ref="E14:H15"/>
    <mergeCell ref="A7:L7"/>
    <mergeCell ref="E11:H13"/>
    <mergeCell ref="I10:L10"/>
    <mergeCell ref="A10:D10"/>
    <mergeCell ref="A21:L21"/>
    <mergeCell ref="G28:I30"/>
    <mergeCell ref="A2:F2"/>
    <mergeCell ref="D28:F30"/>
    <mergeCell ref="A5:L5"/>
    <mergeCell ref="A17:L17"/>
    <mergeCell ref="A4:L4"/>
    <mergeCell ref="A20:L20"/>
    <mergeCell ref="A14:D15"/>
    <mergeCell ref="I14:L15"/>
    <mergeCell ref="A32:L34"/>
    <mergeCell ref="A11:D13"/>
    <mergeCell ref="I11:L13"/>
    <mergeCell ref="A40:L40"/>
    <mergeCell ref="A28:C30"/>
    <mergeCell ref="E10:H10"/>
    <mergeCell ref="A39:L39"/>
    <mergeCell ref="A36:L36"/>
    <mergeCell ref="A23:L26"/>
    <mergeCell ref="J28:L30"/>
  </mergeCells>
  <conditionalFormatting sqref="A17:L19">
    <cfRule type="expression" priority="1" dxfId="0">
      <formula>COUNTIF('Permits Register'!M7:M206,"EXPIRED")=0</formula>
    </cfRule>
  </conditionalFormatting>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M206"/>
  <sheetViews>
    <sheetView workbookViewId="0">
      <pane ySplit="6" topLeftCell="A7" activePane="bottomLeft" state="frozen"/>
      <selection pane="bottomLeft" activeCell="A1" sqref="A1"/>
    </sheetView>
  </sheetViews>
  <sheetFormatPr baseColWidth="8" defaultRowHeight="15"/>
  <cols>
    <col width="22" customWidth="1" min="1" max="1"/>
    <col width="22" customWidth="1" min="2" max="2"/>
    <col width="20" customWidth="1" min="3" max="3"/>
    <col width="16" customWidth="1" min="4" max="4"/>
    <col width="12" customWidth="1" min="5" max="5"/>
    <col width="12" customWidth="1" min="6" max="6"/>
    <col width="12" customWidth="1" min="7" max="7"/>
    <col width="11" customWidth="1" min="8" max="8"/>
    <col width="14" customWidth="1" min="9" max="9"/>
    <col width="24" customWidth="1" min="10" max="10"/>
    <col width="32" customWidth="1" min="11" max="11"/>
    <col width="14" customWidth="1" min="12" max="12"/>
    <col width="12" customWidth="1" min="13" max="13"/>
  </cols>
  <sheetData>
    <row r="1" ht="8" customHeight="1">
      <c r="A1" s="1" t="n"/>
      <c r="B1" s="1" t="n"/>
      <c r="C1" s="1" t="n"/>
      <c r="D1" s="1" t="n"/>
      <c r="E1" s="1" t="n"/>
      <c r="F1" s="1" t="n"/>
      <c r="G1" s="1" t="n"/>
      <c r="H1" s="1" t="n"/>
      <c r="I1" s="1" t="n"/>
      <c r="J1" s="1" t="n"/>
      <c r="K1" s="1" t="n"/>
      <c r="L1" s="1" t="n"/>
    </row>
    <row r="2" ht="28" customHeight="1">
      <c r="A2" s="25">
        <f>HYPERLINK("#'Start'!A1", "← BACK")</f>
        <v/>
      </c>
      <c r="B2" s="26" t="n"/>
      <c r="C2" s="26" t="n"/>
      <c r="D2" s="33" t="inlineStr">
        <is>
          <t>PERMITS REGISTER</t>
        </is>
      </c>
      <c r="J2" s="34">
        <f>HYPERLINK("#'Renewal Calendar'!A1", "NEXT →")</f>
        <v/>
      </c>
      <c r="K2" s="35" t="n"/>
      <c r="L2" s="35" t="n"/>
    </row>
    <row r="3" ht="6" customHeight="1">
      <c r="A3" s="1" t="n"/>
      <c r="B3" s="1" t="n"/>
      <c r="C3" s="1" t="n"/>
      <c r="D3" s="1" t="n"/>
      <c r="E3" s="1" t="n"/>
      <c r="F3" s="1" t="n"/>
      <c r="G3" s="1" t="n"/>
      <c r="H3" s="1" t="n"/>
      <c r="I3" s="1" t="n"/>
      <c r="J3" s="1" t="n"/>
      <c r="K3" s="1" t="n"/>
      <c r="L3" s="1" t="n"/>
    </row>
    <row r="4" ht="18" customHeight="1">
      <c r="A4" s="36" t="inlineStr">
        <is>
          <t>One row per property × permit type. Days-to-renewal auto-calculates from the Renewal date — keep that column accurate.</t>
        </is>
      </c>
    </row>
    <row r="5" ht="6" customHeight="1"/>
    <row r="6" ht="28" customHeight="1">
      <c r="A6" s="37" t="inlineStr">
        <is>
          <t>Property</t>
        </is>
      </c>
      <c r="B6" s="37" t="inlineStr">
        <is>
          <t>Permit type</t>
        </is>
      </c>
      <c r="C6" s="37" t="inlineStr">
        <is>
          <t>Jurisdiction</t>
        </is>
      </c>
      <c r="D6" s="37" t="inlineStr">
        <is>
          <t>Permit #</t>
        </is>
      </c>
      <c r="E6" s="37" t="inlineStr">
        <is>
          <t>Issue date</t>
        </is>
      </c>
      <c r="F6" s="37" t="inlineStr">
        <is>
          <t>Renewal date</t>
        </is>
      </c>
      <c r="G6" s="37" t="inlineStr">
        <is>
          <t>Cadence</t>
        </is>
      </c>
      <c r="H6" s="37" t="inlineStr">
        <is>
          <t>$ Cost</t>
        </is>
      </c>
      <c r="I6" s="37" t="inlineStr">
        <is>
          <t>Status (entered)</t>
        </is>
      </c>
      <c r="J6" s="37" t="inlineStr">
        <is>
          <t>File location</t>
        </is>
      </c>
      <c r="K6" s="37" t="inlineStr">
        <is>
          <t>Notes</t>
        </is>
      </c>
      <c r="L6" s="37" t="inlineStr">
        <is>
          <t>Days to renewal</t>
        </is>
      </c>
      <c r="M6" s="37" t="inlineStr">
        <is>
          <t>Auto status</t>
        </is>
      </c>
    </row>
    <row r="7" ht="20" customHeight="1">
      <c r="A7" s="38" t="n"/>
      <c r="B7" s="38" t="n"/>
      <c r="C7" s="38" t="n"/>
      <c r="D7" s="38" t="n"/>
      <c r="E7" s="39" t="n"/>
      <c r="F7" s="39" t="n"/>
      <c r="G7" s="38" t="n"/>
      <c r="H7" s="40" t="n"/>
      <c r="I7" s="38" t="n"/>
      <c r="J7" s="38" t="n"/>
      <c r="K7" s="38" t="n"/>
      <c r="L7" s="41">
        <f>IF(F7&lt;&gt;"",F7-TODAY(),"")</f>
        <v/>
      </c>
      <c r="M7" s="42">
        <f>IF(F7="","",IF(AND(L7&lt;0,I7&lt;&gt;"Renewed",I7&lt;&gt;"N/A"),"EXPIRED",I7))</f>
        <v/>
      </c>
    </row>
    <row r="8" ht="20" customHeight="1">
      <c r="A8" s="38" t="n"/>
      <c r="B8" s="38" t="n"/>
      <c r="C8" s="38" t="n"/>
      <c r="D8" s="38" t="n"/>
      <c r="E8" s="39" t="n"/>
      <c r="F8" s="39" t="n"/>
      <c r="G8" s="38" t="n"/>
      <c r="H8" s="40" t="n"/>
      <c r="I8" s="38" t="n"/>
      <c r="J8" s="38" t="n"/>
      <c r="K8" s="38" t="n"/>
      <c r="L8" s="41">
        <f>IF(F8&lt;&gt;"",F8-TODAY(),"")</f>
        <v/>
      </c>
      <c r="M8" s="42">
        <f>IF(F8="","",IF(AND(L8&lt;0,I8&lt;&gt;"Renewed",I8&lt;&gt;"N/A"),"EXPIRED",I8))</f>
        <v/>
      </c>
    </row>
    <row r="9" ht="20" customHeight="1">
      <c r="A9" s="38" t="n"/>
      <c r="B9" s="38" t="n"/>
      <c r="C9" s="38" t="n"/>
      <c r="D9" s="38" t="n"/>
      <c r="E9" s="39" t="n"/>
      <c r="F9" s="39" t="n"/>
      <c r="G9" s="38" t="n"/>
      <c r="H9" s="40" t="n"/>
      <c r="I9" s="38" t="n"/>
      <c r="J9" s="38" t="n"/>
      <c r="K9" s="38" t="n"/>
      <c r="L9" s="41">
        <f>IF(F9&lt;&gt;"",F9-TODAY(),"")</f>
        <v/>
      </c>
      <c r="M9" s="42">
        <f>IF(F9="","",IF(AND(L9&lt;0,I9&lt;&gt;"Renewed",I9&lt;&gt;"N/A"),"EXPIRED",I9))</f>
        <v/>
      </c>
    </row>
    <row r="10" ht="20" customHeight="1">
      <c r="A10" s="38" t="n"/>
      <c r="B10" s="38" t="n"/>
      <c r="C10" s="38" t="n"/>
      <c r="D10" s="38" t="n"/>
      <c r="E10" s="39" t="n"/>
      <c r="F10" s="39" t="n"/>
      <c r="G10" s="38" t="n"/>
      <c r="H10" s="40" t="n"/>
      <c r="I10" s="38" t="n"/>
      <c r="J10" s="38" t="n"/>
      <c r="K10" s="38" t="n"/>
      <c r="L10" s="41">
        <f>IF(F10&lt;&gt;"",F10-TODAY(),"")</f>
        <v/>
      </c>
      <c r="M10" s="42">
        <f>IF(F10="","",IF(AND(L10&lt;0,I10&lt;&gt;"Renewed",I10&lt;&gt;"N/A"),"EXPIRED",I10))</f>
        <v/>
      </c>
    </row>
    <row r="11" ht="20" customHeight="1">
      <c r="A11" s="38" t="n"/>
      <c r="B11" s="38" t="n"/>
      <c r="C11" s="38" t="n"/>
      <c r="D11" s="38" t="n"/>
      <c r="E11" s="39" t="n"/>
      <c r="F11" s="39" t="n"/>
      <c r="G11" s="38" t="n"/>
      <c r="H11" s="40" t="n"/>
      <c r="I11" s="38" t="n"/>
      <c r="J11" s="38" t="n"/>
      <c r="K11" s="38" t="n"/>
      <c r="L11" s="41">
        <f>IF(F11&lt;&gt;"",F11-TODAY(),"")</f>
        <v/>
      </c>
      <c r="M11" s="42">
        <f>IF(F11="","",IF(AND(L11&lt;0,I11&lt;&gt;"Renewed",I11&lt;&gt;"N/A"),"EXPIRED",I11))</f>
        <v/>
      </c>
    </row>
    <row r="12" ht="20" customHeight="1">
      <c r="A12" s="38" t="n"/>
      <c r="B12" s="38" t="n"/>
      <c r="C12" s="38" t="n"/>
      <c r="D12" s="38" t="n"/>
      <c r="E12" s="39" t="n"/>
      <c r="F12" s="39" t="n"/>
      <c r="G12" s="38" t="n"/>
      <c r="H12" s="40" t="n"/>
      <c r="I12" s="38" t="n"/>
      <c r="J12" s="38" t="n"/>
      <c r="K12" s="38" t="n"/>
      <c r="L12" s="41">
        <f>IF(F12&lt;&gt;"",F12-TODAY(),"")</f>
        <v/>
      </c>
      <c r="M12" s="42">
        <f>IF(F12="","",IF(AND(L12&lt;0,I12&lt;&gt;"Renewed",I12&lt;&gt;"N/A"),"EXPIRED",I12))</f>
        <v/>
      </c>
    </row>
    <row r="13" ht="20" customHeight="1">
      <c r="A13" s="38" t="n"/>
      <c r="B13" s="38" t="n"/>
      <c r="C13" s="38" t="n"/>
      <c r="D13" s="38" t="n"/>
      <c r="E13" s="39" t="n"/>
      <c r="F13" s="39" t="n"/>
      <c r="G13" s="38" t="n"/>
      <c r="H13" s="40" t="n"/>
      <c r="I13" s="38" t="n"/>
      <c r="J13" s="38" t="n"/>
      <c r="K13" s="38" t="n"/>
      <c r="L13" s="41">
        <f>IF(F13&lt;&gt;"",F13-TODAY(),"")</f>
        <v/>
      </c>
      <c r="M13" s="42">
        <f>IF(F13="","",IF(AND(L13&lt;0,I13&lt;&gt;"Renewed",I13&lt;&gt;"N/A"),"EXPIRED",I13))</f>
        <v/>
      </c>
    </row>
    <row r="14" ht="20" customHeight="1">
      <c r="A14" s="38" t="n"/>
      <c r="B14" s="38" t="n"/>
      <c r="C14" s="38" t="n"/>
      <c r="D14" s="38" t="n"/>
      <c r="E14" s="39" t="n"/>
      <c r="F14" s="39" t="n"/>
      <c r="G14" s="38" t="n"/>
      <c r="H14" s="40" t="n"/>
      <c r="I14" s="38" t="n"/>
      <c r="J14" s="38" t="n"/>
      <c r="K14" s="38" t="n"/>
      <c r="L14" s="41">
        <f>IF(F14&lt;&gt;"",F14-TODAY(),"")</f>
        <v/>
      </c>
      <c r="M14" s="42">
        <f>IF(F14="","",IF(AND(L14&lt;0,I14&lt;&gt;"Renewed",I14&lt;&gt;"N/A"),"EXPIRED",I14))</f>
        <v/>
      </c>
    </row>
    <row r="15" ht="20" customHeight="1">
      <c r="A15" s="38" t="n"/>
      <c r="B15" s="38" t="n"/>
      <c r="C15" s="38" t="n"/>
      <c r="D15" s="38" t="n"/>
      <c r="E15" s="39" t="n"/>
      <c r="F15" s="39" t="n"/>
      <c r="G15" s="38" t="n"/>
      <c r="H15" s="40" t="n"/>
      <c r="I15" s="38" t="n"/>
      <c r="J15" s="38" t="n"/>
      <c r="K15" s="38" t="n"/>
      <c r="L15" s="41">
        <f>IF(F15&lt;&gt;"",F15-TODAY(),"")</f>
        <v/>
      </c>
      <c r="M15" s="42">
        <f>IF(F15="","",IF(AND(L15&lt;0,I15&lt;&gt;"Renewed",I15&lt;&gt;"N/A"),"EXPIRED",I15))</f>
        <v/>
      </c>
    </row>
    <row r="16" ht="20" customHeight="1">
      <c r="A16" s="38" t="n"/>
      <c r="B16" s="38" t="n"/>
      <c r="C16" s="38" t="n"/>
      <c r="D16" s="38" t="n"/>
      <c r="E16" s="39" t="n"/>
      <c r="F16" s="39" t="n"/>
      <c r="G16" s="38" t="n"/>
      <c r="H16" s="40" t="n"/>
      <c r="I16" s="38" t="n"/>
      <c r="J16" s="38" t="n"/>
      <c r="K16" s="38" t="n"/>
      <c r="L16" s="41">
        <f>IF(F16&lt;&gt;"",F16-TODAY(),"")</f>
        <v/>
      </c>
      <c r="M16" s="42">
        <f>IF(F16="","",IF(AND(L16&lt;0,I16&lt;&gt;"Renewed",I16&lt;&gt;"N/A"),"EXPIRED",I16))</f>
        <v/>
      </c>
    </row>
    <row r="17" ht="20" customHeight="1">
      <c r="A17" s="38" t="n"/>
      <c r="B17" s="38" t="n"/>
      <c r="C17" s="38" t="n"/>
      <c r="D17" s="38" t="n"/>
      <c r="E17" s="39" t="n"/>
      <c r="F17" s="39" t="n"/>
      <c r="G17" s="38" t="n"/>
      <c r="H17" s="40" t="n"/>
      <c r="I17" s="38" t="n"/>
      <c r="J17" s="38" t="n"/>
      <c r="K17" s="38" t="n"/>
      <c r="L17" s="41">
        <f>IF(F17&lt;&gt;"",F17-TODAY(),"")</f>
        <v/>
      </c>
      <c r="M17" s="42">
        <f>IF(F17="","",IF(AND(L17&lt;0,I17&lt;&gt;"Renewed",I17&lt;&gt;"N/A"),"EXPIRED",I17))</f>
        <v/>
      </c>
    </row>
    <row r="18" ht="20" customHeight="1">
      <c r="A18" s="38" t="n"/>
      <c r="B18" s="38" t="n"/>
      <c r="C18" s="38" t="n"/>
      <c r="D18" s="38" t="n"/>
      <c r="E18" s="39" t="n"/>
      <c r="F18" s="39" t="n"/>
      <c r="G18" s="38" t="n"/>
      <c r="H18" s="40" t="n"/>
      <c r="I18" s="38" t="n"/>
      <c r="J18" s="38" t="n"/>
      <c r="K18" s="38" t="n"/>
      <c r="L18" s="41">
        <f>IF(F18&lt;&gt;"",F18-TODAY(),"")</f>
        <v/>
      </c>
      <c r="M18" s="42">
        <f>IF(F18="","",IF(AND(L18&lt;0,I18&lt;&gt;"Renewed",I18&lt;&gt;"N/A"),"EXPIRED",I18))</f>
        <v/>
      </c>
    </row>
    <row r="19" ht="20" customHeight="1">
      <c r="A19" s="38" t="n"/>
      <c r="B19" s="38" t="n"/>
      <c r="C19" s="38" t="n"/>
      <c r="D19" s="38" t="n"/>
      <c r="E19" s="39" t="n"/>
      <c r="F19" s="39" t="n"/>
      <c r="G19" s="38" t="n"/>
      <c r="H19" s="40" t="n"/>
      <c r="I19" s="38" t="n"/>
      <c r="J19" s="38" t="n"/>
      <c r="K19" s="38" t="n"/>
      <c r="L19" s="41">
        <f>IF(F19&lt;&gt;"",F19-TODAY(),"")</f>
        <v/>
      </c>
      <c r="M19" s="42">
        <f>IF(F19="","",IF(AND(L19&lt;0,I19&lt;&gt;"Renewed",I19&lt;&gt;"N/A"),"EXPIRED",I19))</f>
        <v/>
      </c>
    </row>
    <row r="20" ht="20" customHeight="1">
      <c r="A20" s="38" t="n"/>
      <c r="B20" s="38" t="n"/>
      <c r="C20" s="38" t="n"/>
      <c r="D20" s="38" t="n"/>
      <c r="E20" s="39" t="n"/>
      <c r="F20" s="39" t="n"/>
      <c r="G20" s="38" t="n"/>
      <c r="H20" s="40" t="n"/>
      <c r="I20" s="38" t="n"/>
      <c r="J20" s="38" t="n"/>
      <c r="K20" s="38" t="n"/>
      <c r="L20" s="41">
        <f>IF(F20&lt;&gt;"",F20-TODAY(),"")</f>
        <v/>
      </c>
      <c r="M20" s="42">
        <f>IF(F20="","",IF(AND(L20&lt;0,I20&lt;&gt;"Renewed",I20&lt;&gt;"N/A"),"EXPIRED",I20))</f>
        <v/>
      </c>
    </row>
    <row r="21" ht="20" customHeight="1">
      <c r="A21" s="38" t="n"/>
      <c r="B21" s="38" t="n"/>
      <c r="C21" s="38" t="n"/>
      <c r="D21" s="38" t="n"/>
      <c r="E21" s="39" t="n"/>
      <c r="F21" s="39" t="n"/>
      <c r="G21" s="38" t="n"/>
      <c r="H21" s="40" t="n"/>
      <c r="I21" s="38" t="n"/>
      <c r="J21" s="38" t="n"/>
      <c r="K21" s="38" t="n"/>
      <c r="L21" s="41">
        <f>IF(F21&lt;&gt;"",F21-TODAY(),"")</f>
        <v/>
      </c>
      <c r="M21" s="42">
        <f>IF(F21="","",IF(AND(L21&lt;0,I21&lt;&gt;"Renewed",I21&lt;&gt;"N/A"),"EXPIRED",I21))</f>
        <v/>
      </c>
    </row>
    <row r="22" ht="20" customHeight="1">
      <c r="A22" s="38" t="n"/>
      <c r="B22" s="38" t="n"/>
      <c r="C22" s="38" t="n"/>
      <c r="D22" s="38" t="n"/>
      <c r="E22" s="39" t="n"/>
      <c r="F22" s="39" t="n"/>
      <c r="G22" s="38" t="n"/>
      <c r="H22" s="40" t="n"/>
      <c r="I22" s="38" t="n"/>
      <c r="J22" s="38" t="n"/>
      <c r="K22" s="38" t="n"/>
      <c r="L22" s="41">
        <f>IF(F22&lt;&gt;"",F22-TODAY(),"")</f>
        <v/>
      </c>
      <c r="M22" s="42">
        <f>IF(F22="","",IF(AND(L22&lt;0,I22&lt;&gt;"Renewed",I22&lt;&gt;"N/A"),"EXPIRED",I22))</f>
        <v/>
      </c>
    </row>
    <row r="23" ht="20" customHeight="1">
      <c r="A23" s="38" t="n"/>
      <c r="B23" s="38" t="n"/>
      <c r="C23" s="38" t="n"/>
      <c r="D23" s="38" t="n"/>
      <c r="E23" s="39" t="n"/>
      <c r="F23" s="39" t="n"/>
      <c r="G23" s="38" t="n"/>
      <c r="H23" s="40" t="n"/>
      <c r="I23" s="38" t="n"/>
      <c r="J23" s="38" t="n"/>
      <c r="K23" s="38" t="n"/>
      <c r="L23" s="41">
        <f>IF(F23&lt;&gt;"",F23-TODAY(),"")</f>
        <v/>
      </c>
      <c r="M23" s="42">
        <f>IF(F23="","",IF(AND(L23&lt;0,I23&lt;&gt;"Renewed",I23&lt;&gt;"N/A"),"EXPIRED",I23))</f>
        <v/>
      </c>
    </row>
    <row r="24" ht="20" customHeight="1">
      <c r="A24" s="38" t="n"/>
      <c r="B24" s="38" t="n"/>
      <c r="C24" s="38" t="n"/>
      <c r="D24" s="38" t="n"/>
      <c r="E24" s="39" t="n"/>
      <c r="F24" s="39" t="n"/>
      <c r="G24" s="38" t="n"/>
      <c r="H24" s="40" t="n"/>
      <c r="I24" s="38" t="n"/>
      <c r="J24" s="38" t="n"/>
      <c r="K24" s="38" t="n"/>
      <c r="L24" s="41">
        <f>IF(F24&lt;&gt;"",F24-TODAY(),"")</f>
        <v/>
      </c>
      <c r="M24" s="42">
        <f>IF(F24="","",IF(AND(L24&lt;0,I24&lt;&gt;"Renewed",I24&lt;&gt;"N/A"),"EXPIRED",I24))</f>
        <v/>
      </c>
    </row>
    <row r="25" ht="20" customHeight="1">
      <c r="A25" s="38" t="n"/>
      <c r="B25" s="38" t="n"/>
      <c r="C25" s="38" t="n"/>
      <c r="D25" s="38" t="n"/>
      <c r="E25" s="39" t="n"/>
      <c r="F25" s="39" t="n"/>
      <c r="G25" s="38" t="n"/>
      <c r="H25" s="40" t="n"/>
      <c r="I25" s="38" t="n"/>
      <c r="J25" s="38" t="n"/>
      <c r="K25" s="38" t="n"/>
      <c r="L25" s="41">
        <f>IF(F25&lt;&gt;"",F25-TODAY(),"")</f>
        <v/>
      </c>
      <c r="M25" s="42">
        <f>IF(F25="","",IF(AND(L25&lt;0,I25&lt;&gt;"Renewed",I25&lt;&gt;"N/A"),"EXPIRED",I25))</f>
        <v/>
      </c>
    </row>
    <row r="26" ht="20" customHeight="1">
      <c r="A26" s="38" t="n"/>
      <c r="B26" s="38" t="n"/>
      <c r="C26" s="38" t="n"/>
      <c r="D26" s="38" t="n"/>
      <c r="E26" s="39" t="n"/>
      <c r="F26" s="39" t="n"/>
      <c r="G26" s="38" t="n"/>
      <c r="H26" s="40" t="n"/>
      <c r="I26" s="38" t="n"/>
      <c r="J26" s="38" t="n"/>
      <c r="K26" s="38" t="n"/>
      <c r="L26" s="41">
        <f>IF(F26&lt;&gt;"",F26-TODAY(),"")</f>
        <v/>
      </c>
      <c r="M26" s="42">
        <f>IF(F26="","",IF(AND(L26&lt;0,I26&lt;&gt;"Renewed",I26&lt;&gt;"N/A"),"EXPIRED",I26))</f>
        <v/>
      </c>
    </row>
    <row r="27" ht="20" customHeight="1">
      <c r="A27" s="38" t="n"/>
      <c r="B27" s="38" t="n"/>
      <c r="C27" s="38" t="n"/>
      <c r="D27" s="38" t="n"/>
      <c r="E27" s="39" t="n"/>
      <c r="F27" s="39" t="n"/>
      <c r="G27" s="38" t="n"/>
      <c r="H27" s="40" t="n"/>
      <c r="I27" s="38" t="n"/>
      <c r="J27" s="38" t="n"/>
      <c r="K27" s="38" t="n"/>
      <c r="L27" s="41">
        <f>IF(F27&lt;&gt;"",F27-TODAY(),"")</f>
        <v/>
      </c>
      <c r="M27" s="42">
        <f>IF(F27="","",IF(AND(L27&lt;0,I27&lt;&gt;"Renewed",I27&lt;&gt;"N/A"),"EXPIRED",I27))</f>
        <v/>
      </c>
    </row>
    <row r="28" ht="20" customHeight="1">
      <c r="A28" s="38" t="n"/>
      <c r="B28" s="38" t="n"/>
      <c r="C28" s="38" t="n"/>
      <c r="D28" s="38" t="n"/>
      <c r="E28" s="39" t="n"/>
      <c r="F28" s="39" t="n"/>
      <c r="G28" s="38" t="n"/>
      <c r="H28" s="40" t="n"/>
      <c r="I28" s="38" t="n"/>
      <c r="J28" s="38" t="n"/>
      <c r="K28" s="38" t="n"/>
      <c r="L28" s="41">
        <f>IF(F28&lt;&gt;"",F28-TODAY(),"")</f>
        <v/>
      </c>
      <c r="M28" s="42">
        <f>IF(F28="","",IF(AND(L28&lt;0,I28&lt;&gt;"Renewed",I28&lt;&gt;"N/A"),"EXPIRED",I28))</f>
        <v/>
      </c>
    </row>
    <row r="29" ht="20" customHeight="1">
      <c r="A29" s="38" t="n"/>
      <c r="B29" s="38" t="n"/>
      <c r="C29" s="38" t="n"/>
      <c r="D29" s="38" t="n"/>
      <c r="E29" s="39" t="n"/>
      <c r="F29" s="39" t="n"/>
      <c r="G29" s="38" t="n"/>
      <c r="H29" s="40" t="n"/>
      <c r="I29" s="38" t="n"/>
      <c r="J29" s="38" t="n"/>
      <c r="K29" s="38" t="n"/>
      <c r="L29" s="41">
        <f>IF(F29&lt;&gt;"",F29-TODAY(),"")</f>
        <v/>
      </c>
      <c r="M29" s="42">
        <f>IF(F29="","",IF(AND(L29&lt;0,I29&lt;&gt;"Renewed",I29&lt;&gt;"N/A"),"EXPIRED",I29))</f>
        <v/>
      </c>
    </row>
    <row r="30" ht="20" customHeight="1">
      <c r="A30" s="38" t="n"/>
      <c r="B30" s="38" t="n"/>
      <c r="C30" s="38" t="n"/>
      <c r="D30" s="38" t="n"/>
      <c r="E30" s="39" t="n"/>
      <c r="F30" s="39" t="n"/>
      <c r="G30" s="38" t="n"/>
      <c r="H30" s="40" t="n"/>
      <c r="I30" s="38" t="n"/>
      <c r="J30" s="38" t="n"/>
      <c r="K30" s="38" t="n"/>
      <c r="L30" s="41">
        <f>IF(F30&lt;&gt;"",F30-TODAY(),"")</f>
        <v/>
      </c>
      <c r="M30" s="42">
        <f>IF(F30="","",IF(AND(L30&lt;0,I30&lt;&gt;"Renewed",I30&lt;&gt;"N/A"),"EXPIRED",I30))</f>
        <v/>
      </c>
    </row>
    <row r="31" ht="20" customHeight="1">
      <c r="A31" s="38" t="n"/>
      <c r="B31" s="38" t="n"/>
      <c r="C31" s="38" t="n"/>
      <c r="D31" s="38" t="n"/>
      <c r="E31" s="39" t="n"/>
      <c r="F31" s="39" t="n"/>
      <c r="G31" s="38" t="n"/>
      <c r="H31" s="40" t="n"/>
      <c r="I31" s="38" t="n"/>
      <c r="J31" s="38" t="n"/>
      <c r="K31" s="38" t="n"/>
      <c r="L31" s="41">
        <f>IF(F31&lt;&gt;"",F31-TODAY(),"")</f>
        <v/>
      </c>
      <c r="M31" s="42">
        <f>IF(F31="","",IF(AND(L31&lt;0,I31&lt;&gt;"Renewed",I31&lt;&gt;"N/A"),"EXPIRED",I31))</f>
        <v/>
      </c>
    </row>
    <row r="32" ht="20" customHeight="1">
      <c r="A32" s="38" t="n"/>
      <c r="B32" s="38" t="n"/>
      <c r="C32" s="38" t="n"/>
      <c r="D32" s="38" t="n"/>
      <c r="E32" s="39" t="n"/>
      <c r="F32" s="39" t="n"/>
      <c r="G32" s="38" t="n"/>
      <c r="H32" s="40" t="n"/>
      <c r="I32" s="38" t="n"/>
      <c r="J32" s="38" t="n"/>
      <c r="K32" s="38" t="n"/>
      <c r="L32" s="41">
        <f>IF(F32&lt;&gt;"",F32-TODAY(),"")</f>
        <v/>
      </c>
      <c r="M32" s="42">
        <f>IF(F32="","",IF(AND(L32&lt;0,I32&lt;&gt;"Renewed",I32&lt;&gt;"N/A"),"EXPIRED",I32))</f>
        <v/>
      </c>
    </row>
    <row r="33" ht="20" customHeight="1">
      <c r="A33" s="38" t="n"/>
      <c r="B33" s="38" t="n"/>
      <c r="C33" s="38" t="n"/>
      <c r="D33" s="38" t="n"/>
      <c r="E33" s="39" t="n"/>
      <c r="F33" s="39" t="n"/>
      <c r="G33" s="38" t="n"/>
      <c r="H33" s="40" t="n"/>
      <c r="I33" s="38" t="n"/>
      <c r="J33" s="38" t="n"/>
      <c r="K33" s="38" t="n"/>
      <c r="L33" s="41">
        <f>IF(F33&lt;&gt;"",F33-TODAY(),"")</f>
        <v/>
      </c>
      <c r="M33" s="42">
        <f>IF(F33="","",IF(AND(L33&lt;0,I33&lt;&gt;"Renewed",I33&lt;&gt;"N/A"),"EXPIRED",I33))</f>
        <v/>
      </c>
    </row>
    <row r="34" ht="20" customHeight="1">
      <c r="A34" s="38" t="n"/>
      <c r="B34" s="38" t="n"/>
      <c r="C34" s="38" t="n"/>
      <c r="D34" s="38" t="n"/>
      <c r="E34" s="39" t="n"/>
      <c r="F34" s="39" t="n"/>
      <c r="G34" s="38" t="n"/>
      <c r="H34" s="40" t="n"/>
      <c r="I34" s="38" t="n"/>
      <c r="J34" s="38" t="n"/>
      <c r="K34" s="38" t="n"/>
      <c r="L34" s="41">
        <f>IF(F34&lt;&gt;"",F34-TODAY(),"")</f>
        <v/>
      </c>
      <c r="M34" s="42">
        <f>IF(F34="","",IF(AND(L34&lt;0,I34&lt;&gt;"Renewed",I34&lt;&gt;"N/A"),"EXPIRED",I34))</f>
        <v/>
      </c>
    </row>
    <row r="35" ht="20" customHeight="1">
      <c r="A35" s="38" t="n"/>
      <c r="B35" s="38" t="n"/>
      <c r="C35" s="38" t="n"/>
      <c r="D35" s="38" t="n"/>
      <c r="E35" s="39" t="n"/>
      <c r="F35" s="39" t="n"/>
      <c r="G35" s="38" t="n"/>
      <c r="H35" s="40" t="n"/>
      <c r="I35" s="38" t="n"/>
      <c r="J35" s="38" t="n"/>
      <c r="K35" s="38" t="n"/>
      <c r="L35" s="41">
        <f>IF(F35&lt;&gt;"",F35-TODAY(),"")</f>
        <v/>
      </c>
      <c r="M35" s="42">
        <f>IF(F35="","",IF(AND(L35&lt;0,I35&lt;&gt;"Renewed",I35&lt;&gt;"N/A"),"EXPIRED",I35))</f>
        <v/>
      </c>
    </row>
    <row r="36" ht="20" customHeight="1">
      <c r="A36" s="38" t="n"/>
      <c r="B36" s="38" t="n"/>
      <c r="C36" s="38" t="n"/>
      <c r="D36" s="38" t="n"/>
      <c r="E36" s="39" t="n"/>
      <c r="F36" s="39" t="n"/>
      <c r="G36" s="38" t="n"/>
      <c r="H36" s="40" t="n"/>
      <c r="I36" s="38" t="n"/>
      <c r="J36" s="38" t="n"/>
      <c r="K36" s="38" t="n"/>
      <c r="L36" s="41">
        <f>IF(F36&lt;&gt;"",F36-TODAY(),"")</f>
        <v/>
      </c>
      <c r="M36" s="42">
        <f>IF(F36="","",IF(AND(L36&lt;0,I36&lt;&gt;"Renewed",I36&lt;&gt;"N/A"),"EXPIRED",I36))</f>
        <v/>
      </c>
    </row>
    <row r="37" ht="20" customHeight="1">
      <c r="A37" s="38" t="n"/>
      <c r="B37" s="38" t="n"/>
      <c r="C37" s="38" t="n"/>
      <c r="D37" s="38" t="n"/>
      <c r="E37" s="39" t="n"/>
      <c r="F37" s="39" t="n"/>
      <c r="G37" s="38" t="n"/>
      <c r="H37" s="40" t="n"/>
      <c r="I37" s="38" t="n"/>
      <c r="J37" s="38" t="n"/>
      <c r="K37" s="38" t="n"/>
      <c r="L37" s="41">
        <f>IF(F37&lt;&gt;"",F37-TODAY(),"")</f>
        <v/>
      </c>
      <c r="M37" s="42">
        <f>IF(F37="","",IF(AND(L37&lt;0,I37&lt;&gt;"Renewed",I37&lt;&gt;"N/A"),"EXPIRED",I37))</f>
        <v/>
      </c>
    </row>
    <row r="38" ht="20" customHeight="1">
      <c r="A38" s="38" t="n"/>
      <c r="B38" s="38" t="n"/>
      <c r="C38" s="38" t="n"/>
      <c r="D38" s="38" t="n"/>
      <c r="E38" s="39" t="n"/>
      <c r="F38" s="39" t="n"/>
      <c r="G38" s="38" t="n"/>
      <c r="H38" s="40" t="n"/>
      <c r="I38" s="38" t="n"/>
      <c r="J38" s="38" t="n"/>
      <c r="K38" s="38" t="n"/>
      <c r="L38" s="41">
        <f>IF(F38&lt;&gt;"",F38-TODAY(),"")</f>
        <v/>
      </c>
      <c r="M38" s="42">
        <f>IF(F38="","",IF(AND(L38&lt;0,I38&lt;&gt;"Renewed",I38&lt;&gt;"N/A"),"EXPIRED",I38))</f>
        <v/>
      </c>
    </row>
    <row r="39" ht="20" customHeight="1">
      <c r="A39" s="38" t="n"/>
      <c r="B39" s="38" t="n"/>
      <c r="C39" s="38" t="n"/>
      <c r="D39" s="38" t="n"/>
      <c r="E39" s="39" t="n"/>
      <c r="F39" s="39" t="n"/>
      <c r="G39" s="38" t="n"/>
      <c r="H39" s="40" t="n"/>
      <c r="I39" s="38" t="n"/>
      <c r="J39" s="38" t="n"/>
      <c r="K39" s="38" t="n"/>
      <c r="L39" s="41">
        <f>IF(F39&lt;&gt;"",F39-TODAY(),"")</f>
        <v/>
      </c>
      <c r="M39" s="42">
        <f>IF(F39="","",IF(AND(L39&lt;0,I39&lt;&gt;"Renewed",I39&lt;&gt;"N/A"),"EXPIRED",I39))</f>
        <v/>
      </c>
    </row>
    <row r="40" ht="20" customHeight="1">
      <c r="A40" s="38" t="n"/>
      <c r="B40" s="38" t="n"/>
      <c r="C40" s="38" t="n"/>
      <c r="D40" s="38" t="n"/>
      <c r="E40" s="39" t="n"/>
      <c r="F40" s="39" t="n"/>
      <c r="G40" s="38" t="n"/>
      <c r="H40" s="40" t="n"/>
      <c r="I40" s="38" t="n"/>
      <c r="J40" s="38" t="n"/>
      <c r="K40" s="38" t="n"/>
      <c r="L40" s="41">
        <f>IF(F40&lt;&gt;"",F40-TODAY(),"")</f>
        <v/>
      </c>
      <c r="M40" s="42">
        <f>IF(F40="","",IF(AND(L40&lt;0,I40&lt;&gt;"Renewed",I40&lt;&gt;"N/A"),"EXPIRED",I40))</f>
        <v/>
      </c>
    </row>
    <row r="41" ht="20" customHeight="1">
      <c r="A41" s="38" t="n"/>
      <c r="B41" s="38" t="n"/>
      <c r="C41" s="38" t="n"/>
      <c r="D41" s="38" t="n"/>
      <c r="E41" s="39" t="n"/>
      <c r="F41" s="39" t="n"/>
      <c r="G41" s="38" t="n"/>
      <c r="H41" s="40" t="n"/>
      <c r="I41" s="38" t="n"/>
      <c r="J41" s="38" t="n"/>
      <c r="K41" s="38" t="n"/>
      <c r="L41" s="41">
        <f>IF(F41&lt;&gt;"",F41-TODAY(),"")</f>
        <v/>
      </c>
      <c r="M41" s="42">
        <f>IF(F41="","",IF(AND(L41&lt;0,I41&lt;&gt;"Renewed",I41&lt;&gt;"N/A"),"EXPIRED",I41))</f>
        <v/>
      </c>
    </row>
    <row r="42" ht="20" customHeight="1">
      <c r="A42" s="38" t="n"/>
      <c r="B42" s="38" t="n"/>
      <c r="C42" s="38" t="n"/>
      <c r="D42" s="38" t="n"/>
      <c r="E42" s="39" t="n"/>
      <c r="F42" s="39" t="n"/>
      <c r="G42" s="38" t="n"/>
      <c r="H42" s="40" t="n"/>
      <c r="I42" s="38" t="n"/>
      <c r="J42" s="38" t="n"/>
      <c r="K42" s="38" t="n"/>
      <c r="L42" s="41">
        <f>IF(F42&lt;&gt;"",F42-TODAY(),"")</f>
        <v/>
      </c>
      <c r="M42" s="42">
        <f>IF(F42="","",IF(AND(L42&lt;0,I42&lt;&gt;"Renewed",I42&lt;&gt;"N/A"),"EXPIRED",I42))</f>
        <v/>
      </c>
    </row>
    <row r="43" ht="20" customHeight="1">
      <c r="A43" s="38" t="n"/>
      <c r="B43" s="38" t="n"/>
      <c r="C43" s="38" t="n"/>
      <c r="D43" s="38" t="n"/>
      <c r="E43" s="39" t="n"/>
      <c r="F43" s="39" t="n"/>
      <c r="G43" s="38" t="n"/>
      <c r="H43" s="40" t="n"/>
      <c r="I43" s="38" t="n"/>
      <c r="J43" s="38" t="n"/>
      <c r="K43" s="38" t="n"/>
      <c r="L43" s="41">
        <f>IF(F43&lt;&gt;"",F43-TODAY(),"")</f>
        <v/>
      </c>
      <c r="M43" s="42">
        <f>IF(F43="","",IF(AND(L43&lt;0,I43&lt;&gt;"Renewed",I43&lt;&gt;"N/A"),"EXPIRED",I43))</f>
        <v/>
      </c>
    </row>
    <row r="44" ht="20" customHeight="1">
      <c r="A44" s="38" t="n"/>
      <c r="B44" s="38" t="n"/>
      <c r="C44" s="38" t="n"/>
      <c r="D44" s="38" t="n"/>
      <c r="E44" s="39" t="n"/>
      <c r="F44" s="39" t="n"/>
      <c r="G44" s="38" t="n"/>
      <c r="H44" s="40" t="n"/>
      <c r="I44" s="38" t="n"/>
      <c r="J44" s="38" t="n"/>
      <c r="K44" s="38" t="n"/>
      <c r="L44" s="41">
        <f>IF(F44&lt;&gt;"",F44-TODAY(),"")</f>
        <v/>
      </c>
      <c r="M44" s="42">
        <f>IF(F44="","",IF(AND(L44&lt;0,I44&lt;&gt;"Renewed",I44&lt;&gt;"N/A"),"EXPIRED",I44))</f>
        <v/>
      </c>
    </row>
    <row r="45" ht="20" customHeight="1">
      <c r="A45" s="38" t="n"/>
      <c r="B45" s="38" t="n"/>
      <c r="C45" s="38" t="n"/>
      <c r="D45" s="38" t="n"/>
      <c r="E45" s="39" t="n"/>
      <c r="F45" s="39" t="n"/>
      <c r="G45" s="38" t="n"/>
      <c r="H45" s="40" t="n"/>
      <c r="I45" s="38" t="n"/>
      <c r="J45" s="38" t="n"/>
      <c r="K45" s="38" t="n"/>
      <c r="L45" s="41">
        <f>IF(F45&lt;&gt;"",F45-TODAY(),"")</f>
        <v/>
      </c>
      <c r="M45" s="42">
        <f>IF(F45="","",IF(AND(L45&lt;0,I45&lt;&gt;"Renewed",I45&lt;&gt;"N/A"),"EXPIRED",I45))</f>
        <v/>
      </c>
    </row>
    <row r="46" ht="20" customHeight="1">
      <c r="A46" s="38" t="n"/>
      <c r="B46" s="38" t="n"/>
      <c r="C46" s="38" t="n"/>
      <c r="D46" s="38" t="n"/>
      <c r="E46" s="39" t="n"/>
      <c r="F46" s="39" t="n"/>
      <c r="G46" s="38" t="n"/>
      <c r="H46" s="40" t="n"/>
      <c r="I46" s="38" t="n"/>
      <c r="J46" s="38" t="n"/>
      <c r="K46" s="38" t="n"/>
      <c r="L46" s="41">
        <f>IF(F46&lt;&gt;"",F46-TODAY(),"")</f>
        <v/>
      </c>
      <c r="M46" s="42">
        <f>IF(F46="","",IF(AND(L46&lt;0,I46&lt;&gt;"Renewed",I46&lt;&gt;"N/A"),"EXPIRED",I46))</f>
        <v/>
      </c>
    </row>
    <row r="47" ht="20" customHeight="1">
      <c r="A47" s="38" t="n"/>
      <c r="B47" s="38" t="n"/>
      <c r="C47" s="38" t="n"/>
      <c r="D47" s="38" t="n"/>
      <c r="E47" s="39" t="n"/>
      <c r="F47" s="39" t="n"/>
      <c r="G47" s="38" t="n"/>
      <c r="H47" s="40" t="n"/>
      <c r="I47" s="38" t="n"/>
      <c r="J47" s="38" t="n"/>
      <c r="K47" s="38" t="n"/>
      <c r="L47" s="41">
        <f>IF(F47&lt;&gt;"",F47-TODAY(),"")</f>
        <v/>
      </c>
      <c r="M47" s="42">
        <f>IF(F47="","",IF(AND(L47&lt;0,I47&lt;&gt;"Renewed",I47&lt;&gt;"N/A"),"EXPIRED",I47))</f>
        <v/>
      </c>
    </row>
    <row r="48" ht="20" customHeight="1">
      <c r="A48" s="38" t="n"/>
      <c r="B48" s="38" t="n"/>
      <c r="C48" s="38" t="n"/>
      <c r="D48" s="38" t="n"/>
      <c r="E48" s="39" t="n"/>
      <c r="F48" s="39" t="n"/>
      <c r="G48" s="38" t="n"/>
      <c r="H48" s="40" t="n"/>
      <c r="I48" s="38" t="n"/>
      <c r="J48" s="38" t="n"/>
      <c r="K48" s="38" t="n"/>
      <c r="L48" s="41">
        <f>IF(F48&lt;&gt;"",F48-TODAY(),"")</f>
        <v/>
      </c>
      <c r="M48" s="42">
        <f>IF(F48="","",IF(AND(L48&lt;0,I48&lt;&gt;"Renewed",I48&lt;&gt;"N/A"),"EXPIRED",I48))</f>
        <v/>
      </c>
    </row>
    <row r="49" ht="20" customHeight="1">
      <c r="A49" s="38" t="n"/>
      <c r="B49" s="38" t="n"/>
      <c r="C49" s="38" t="n"/>
      <c r="D49" s="38" t="n"/>
      <c r="E49" s="39" t="n"/>
      <c r="F49" s="39" t="n"/>
      <c r="G49" s="38" t="n"/>
      <c r="H49" s="40" t="n"/>
      <c r="I49" s="38" t="n"/>
      <c r="J49" s="38" t="n"/>
      <c r="K49" s="38" t="n"/>
      <c r="L49" s="41">
        <f>IF(F49&lt;&gt;"",F49-TODAY(),"")</f>
        <v/>
      </c>
      <c r="M49" s="42">
        <f>IF(F49="","",IF(AND(L49&lt;0,I49&lt;&gt;"Renewed",I49&lt;&gt;"N/A"),"EXPIRED",I49))</f>
        <v/>
      </c>
    </row>
    <row r="50" ht="20" customHeight="1">
      <c r="A50" s="38" t="n"/>
      <c r="B50" s="38" t="n"/>
      <c r="C50" s="38" t="n"/>
      <c r="D50" s="38" t="n"/>
      <c r="E50" s="39" t="n"/>
      <c r="F50" s="39" t="n"/>
      <c r="G50" s="38" t="n"/>
      <c r="H50" s="40" t="n"/>
      <c r="I50" s="38" t="n"/>
      <c r="J50" s="38" t="n"/>
      <c r="K50" s="38" t="n"/>
      <c r="L50" s="41">
        <f>IF(F50&lt;&gt;"",F50-TODAY(),"")</f>
        <v/>
      </c>
      <c r="M50" s="42">
        <f>IF(F50="","",IF(AND(L50&lt;0,I50&lt;&gt;"Renewed",I50&lt;&gt;"N/A"),"EXPIRED",I50))</f>
        <v/>
      </c>
    </row>
    <row r="51" ht="20" customHeight="1">
      <c r="A51" s="38" t="n"/>
      <c r="B51" s="38" t="n"/>
      <c r="C51" s="38" t="n"/>
      <c r="D51" s="38" t="n"/>
      <c r="E51" s="39" t="n"/>
      <c r="F51" s="39" t="n"/>
      <c r="G51" s="38" t="n"/>
      <c r="H51" s="40" t="n"/>
      <c r="I51" s="38" t="n"/>
      <c r="J51" s="38" t="n"/>
      <c r="K51" s="38" t="n"/>
      <c r="L51" s="41">
        <f>IF(F51&lt;&gt;"",F51-TODAY(),"")</f>
        <v/>
      </c>
      <c r="M51" s="42">
        <f>IF(F51="","",IF(AND(L51&lt;0,I51&lt;&gt;"Renewed",I51&lt;&gt;"N/A"),"EXPIRED",I51))</f>
        <v/>
      </c>
    </row>
    <row r="52" ht="20" customHeight="1">
      <c r="A52" s="38" t="n"/>
      <c r="B52" s="38" t="n"/>
      <c r="C52" s="38" t="n"/>
      <c r="D52" s="38" t="n"/>
      <c r="E52" s="39" t="n"/>
      <c r="F52" s="39" t="n"/>
      <c r="G52" s="38" t="n"/>
      <c r="H52" s="40" t="n"/>
      <c r="I52" s="38" t="n"/>
      <c r="J52" s="38" t="n"/>
      <c r="K52" s="38" t="n"/>
      <c r="L52" s="41">
        <f>IF(F52&lt;&gt;"",F52-TODAY(),"")</f>
        <v/>
      </c>
      <c r="M52" s="42">
        <f>IF(F52="","",IF(AND(L52&lt;0,I52&lt;&gt;"Renewed",I52&lt;&gt;"N/A"),"EXPIRED",I52))</f>
        <v/>
      </c>
    </row>
    <row r="53" ht="20" customHeight="1">
      <c r="A53" s="38" t="n"/>
      <c r="B53" s="38" t="n"/>
      <c r="C53" s="38" t="n"/>
      <c r="D53" s="38" t="n"/>
      <c r="E53" s="39" t="n"/>
      <c r="F53" s="39" t="n"/>
      <c r="G53" s="38" t="n"/>
      <c r="H53" s="40" t="n"/>
      <c r="I53" s="38" t="n"/>
      <c r="J53" s="38" t="n"/>
      <c r="K53" s="38" t="n"/>
      <c r="L53" s="41">
        <f>IF(F53&lt;&gt;"",F53-TODAY(),"")</f>
        <v/>
      </c>
      <c r="M53" s="42">
        <f>IF(F53="","",IF(AND(L53&lt;0,I53&lt;&gt;"Renewed",I53&lt;&gt;"N/A"),"EXPIRED",I53))</f>
        <v/>
      </c>
    </row>
    <row r="54" ht="20" customHeight="1">
      <c r="A54" s="38" t="n"/>
      <c r="B54" s="38" t="n"/>
      <c r="C54" s="38" t="n"/>
      <c r="D54" s="38" t="n"/>
      <c r="E54" s="39" t="n"/>
      <c r="F54" s="39" t="n"/>
      <c r="G54" s="38" t="n"/>
      <c r="H54" s="40" t="n"/>
      <c r="I54" s="38" t="n"/>
      <c r="J54" s="38" t="n"/>
      <c r="K54" s="38" t="n"/>
      <c r="L54" s="41">
        <f>IF(F54&lt;&gt;"",F54-TODAY(),"")</f>
        <v/>
      </c>
      <c r="M54" s="42">
        <f>IF(F54="","",IF(AND(L54&lt;0,I54&lt;&gt;"Renewed",I54&lt;&gt;"N/A"),"EXPIRED",I54))</f>
        <v/>
      </c>
    </row>
    <row r="55" ht="20" customHeight="1">
      <c r="A55" s="38" t="n"/>
      <c r="B55" s="38" t="n"/>
      <c r="C55" s="38" t="n"/>
      <c r="D55" s="38" t="n"/>
      <c r="E55" s="39" t="n"/>
      <c r="F55" s="39" t="n"/>
      <c r="G55" s="38" t="n"/>
      <c r="H55" s="40" t="n"/>
      <c r="I55" s="38" t="n"/>
      <c r="J55" s="38" t="n"/>
      <c r="K55" s="38" t="n"/>
      <c r="L55" s="41">
        <f>IF(F55&lt;&gt;"",F55-TODAY(),"")</f>
        <v/>
      </c>
      <c r="M55" s="42">
        <f>IF(F55="","",IF(AND(L55&lt;0,I55&lt;&gt;"Renewed",I55&lt;&gt;"N/A"),"EXPIRED",I55))</f>
        <v/>
      </c>
    </row>
    <row r="56" ht="20" customHeight="1">
      <c r="A56" s="38" t="n"/>
      <c r="B56" s="38" t="n"/>
      <c r="C56" s="38" t="n"/>
      <c r="D56" s="38" t="n"/>
      <c r="E56" s="39" t="n"/>
      <c r="F56" s="39" t="n"/>
      <c r="G56" s="38" t="n"/>
      <c r="H56" s="40" t="n"/>
      <c r="I56" s="38" t="n"/>
      <c r="J56" s="38" t="n"/>
      <c r="K56" s="38" t="n"/>
      <c r="L56" s="41">
        <f>IF(F56&lt;&gt;"",F56-TODAY(),"")</f>
        <v/>
      </c>
      <c r="M56" s="42">
        <f>IF(F56="","",IF(AND(L56&lt;0,I56&lt;&gt;"Renewed",I56&lt;&gt;"N/A"),"EXPIRED",I56))</f>
        <v/>
      </c>
    </row>
    <row r="57" ht="20" customHeight="1">
      <c r="A57" s="38" t="n"/>
      <c r="B57" s="38" t="n"/>
      <c r="C57" s="38" t="n"/>
      <c r="D57" s="38" t="n"/>
      <c r="E57" s="39" t="n"/>
      <c r="F57" s="39" t="n"/>
      <c r="G57" s="38" t="n"/>
      <c r="H57" s="40" t="n"/>
      <c r="I57" s="38" t="n"/>
      <c r="J57" s="38" t="n"/>
      <c r="K57" s="38" t="n"/>
      <c r="L57" s="41">
        <f>IF(F57&lt;&gt;"",F57-TODAY(),"")</f>
        <v/>
      </c>
      <c r="M57" s="42">
        <f>IF(F57="","",IF(AND(L57&lt;0,I57&lt;&gt;"Renewed",I57&lt;&gt;"N/A"),"EXPIRED",I57))</f>
        <v/>
      </c>
    </row>
    <row r="58" ht="20" customHeight="1">
      <c r="A58" s="38" t="n"/>
      <c r="B58" s="38" t="n"/>
      <c r="C58" s="38" t="n"/>
      <c r="D58" s="38" t="n"/>
      <c r="E58" s="39" t="n"/>
      <c r="F58" s="39" t="n"/>
      <c r="G58" s="38" t="n"/>
      <c r="H58" s="40" t="n"/>
      <c r="I58" s="38" t="n"/>
      <c r="J58" s="38" t="n"/>
      <c r="K58" s="38" t="n"/>
      <c r="L58" s="41">
        <f>IF(F58&lt;&gt;"",F58-TODAY(),"")</f>
        <v/>
      </c>
      <c r="M58" s="42">
        <f>IF(F58="","",IF(AND(L58&lt;0,I58&lt;&gt;"Renewed",I58&lt;&gt;"N/A"),"EXPIRED",I58))</f>
        <v/>
      </c>
    </row>
    <row r="59" ht="20" customHeight="1">
      <c r="A59" s="38" t="n"/>
      <c r="B59" s="38" t="n"/>
      <c r="C59" s="38" t="n"/>
      <c r="D59" s="38" t="n"/>
      <c r="E59" s="39" t="n"/>
      <c r="F59" s="39" t="n"/>
      <c r="G59" s="38" t="n"/>
      <c r="H59" s="40" t="n"/>
      <c r="I59" s="38" t="n"/>
      <c r="J59" s="38" t="n"/>
      <c r="K59" s="38" t="n"/>
      <c r="L59" s="41">
        <f>IF(F59&lt;&gt;"",F59-TODAY(),"")</f>
        <v/>
      </c>
      <c r="M59" s="42">
        <f>IF(F59="","",IF(AND(L59&lt;0,I59&lt;&gt;"Renewed",I59&lt;&gt;"N/A"),"EXPIRED",I59))</f>
        <v/>
      </c>
    </row>
    <row r="60" ht="20" customHeight="1">
      <c r="A60" s="38" t="n"/>
      <c r="B60" s="38" t="n"/>
      <c r="C60" s="38" t="n"/>
      <c r="D60" s="38" t="n"/>
      <c r="E60" s="39" t="n"/>
      <c r="F60" s="39" t="n"/>
      <c r="G60" s="38" t="n"/>
      <c r="H60" s="40" t="n"/>
      <c r="I60" s="38" t="n"/>
      <c r="J60" s="38" t="n"/>
      <c r="K60" s="38" t="n"/>
      <c r="L60" s="41">
        <f>IF(F60&lt;&gt;"",F60-TODAY(),"")</f>
        <v/>
      </c>
      <c r="M60" s="42">
        <f>IF(F60="","",IF(AND(L60&lt;0,I60&lt;&gt;"Renewed",I60&lt;&gt;"N/A"),"EXPIRED",I60))</f>
        <v/>
      </c>
    </row>
    <row r="61" ht="20" customHeight="1">
      <c r="A61" s="38" t="n"/>
      <c r="B61" s="38" t="n"/>
      <c r="C61" s="38" t="n"/>
      <c r="D61" s="38" t="n"/>
      <c r="E61" s="39" t="n"/>
      <c r="F61" s="39" t="n"/>
      <c r="G61" s="38" t="n"/>
      <c r="H61" s="40" t="n"/>
      <c r="I61" s="38" t="n"/>
      <c r="J61" s="38" t="n"/>
      <c r="K61" s="38" t="n"/>
      <c r="L61" s="41">
        <f>IF(F61&lt;&gt;"",F61-TODAY(),"")</f>
        <v/>
      </c>
      <c r="M61" s="42">
        <f>IF(F61="","",IF(AND(L61&lt;0,I61&lt;&gt;"Renewed",I61&lt;&gt;"N/A"),"EXPIRED",I61))</f>
        <v/>
      </c>
    </row>
    <row r="62" ht="20" customHeight="1">
      <c r="A62" s="38" t="n"/>
      <c r="B62" s="38" t="n"/>
      <c r="C62" s="38" t="n"/>
      <c r="D62" s="38" t="n"/>
      <c r="E62" s="39" t="n"/>
      <c r="F62" s="39" t="n"/>
      <c r="G62" s="38" t="n"/>
      <c r="H62" s="40" t="n"/>
      <c r="I62" s="38" t="n"/>
      <c r="J62" s="38" t="n"/>
      <c r="K62" s="38" t="n"/>
      <c r="L62" s="41">
        <f>IF(F62&lt;&gt;"",F62-TODAY(),"")</f>
        <v/>
      </c>
      <c r="M62" s="42">
        <f>IF(F62="","",IF(AND(L62&lt;0,I62&lt;&gt;"Renewed",I62&lt;&gt;"N/A"),"EXPIRED",I62))</f>
        <v/>
      </c>
    </row>
    <row r="63" ht="20" customHeight="1">
      <c r="A63" s="38" t="n"/>
      <c r="B63" s="38" t="n"/>
      <c r="C63" s="38" t="n"/>
      <c r="D63" s="38" t="n"/>
      <c r="E63" s="39" t="n"/>
      <c r="F63" s="39" t="n"/>
      <c r="G63" s="38" t="n"/>
      <c r="H63" s="40" t="n"/>
      <c r="I63" s="38" t="n"/>
      <c r="J63" s="38" t="n"/>
      <c r="K63" s="38" t="n"/>
      <c r="L63" s="41">
        <f>IF(F63&lt;&gt;"",F63-TODAY(),"")</f>
        <v/>
      </c>
      <c r="M63" s="42">
        <f>IF(F63="","",IF(AND(L63&lt;0,I63&lt;&gt;"Renewed",I63&lt;&gt;"N/A"),"EXPIRED",I63))</f>
        <v/>
      </c>
    </row>
    <row r="64" ht="20" customHeight="1">
      <c r="A64" s="38" t="n"/>
      <c r="B64" s="38" t="n"/>
      <c r="C64" s="38" t="n"/>
      <c r="D64" s="38" t="n"/>
      <c r="E64" s="39" t="n"/>
      <c r="F64" s="39" t="n"/>
      <c r="G64" s="38" t="n"/>
      <c r="H64" s="40" t="n"/>
      <c r="I64" s="38" t="n"/>
      <c r="J64" s="38" t="n"/>
      <c r="K64" s="38" t="n"/>
      <c r="L64" s="41">
        <f>IF(F64&lt;&gt;"",F64-TODAY(),"")</f>
        <v/>
      </c>
      <c r="M64" s="42">
        <f>IF(F64="","",IF(AND(L64&lt;0,I64&lt;&gt;"Renewed",I64&lt;&gt;"N/A"),"EXPIRED",I64))</f>
        <v/>
      </c>
    </row>
    <row r="65" ht="20" customHeight="1">
      <c r="A65" s="38" t="n"/>
      <c r="B65" s="38" t="n"/>
      <c r="C65" s="38" t="n"/>
      <c r="D65" s="38" t="n"/>
      <c r="E65" s="39" t="n"/>
      <c r="F65" s="39" t="n"/>
      <c r="G65" s="38" t="n"/>
      <c r="H65" s="40" t="n"/>
      <c r="I65" s="38" t="n"/>
      <c r="J65" s="38" t="n"/>
      <c r="K65" s="38" t="n"/>
      <c r="L65" s="41">
        <f>IF(F65&lt;&gt;"",F65-TODAY(),"")</f>
        <v/>
      </c>
      <c r="M65" s="42">
        <f>IF(F65="","",IF(AND(L65&lt;0,I65&lt;&gt;"Renewed",I65&lt;&gt;"N/A"),"EXPIRED",I65))</f>
        <v/>
      </c>
    </row>
    <row r="66" ht="20" customHeight="1">
      <c r="A66" s="38" t="n"/>
      <c r="B66" s="38" t="n"/>
      <c r="C66" s="38" t="n"/>
      <c r="D66" s="38" t="n"/>
      <c r="E66" s="39" t="n"/>
      <c r="F66" s="39" t="n"/>
      <c r="G66" s="38" t="n"/>
      <c r="H66" s="40" t="n"/>
      <c r="I66" s="38" t="n"/>
      <c r="J66" s="38" t="n"/>
      <c r="K66" s="38" t="n"/>
      <c r="L66" s="41">
        <f>IF(F66&lt;&gt;"",F66-TODAY(),"")</f>
        <v/>
      </c>
      <c r="M66" s="42">
        <f>IF(F66="","",IF(AND(L66&lt;0,I66&lt;&gt;"Renewed",I66&lt;&gt;"N/A"),"EXPIRED",I66))</f>
        <v/>
      </c>
    </row>
    <row r="67" ht="20" customHeight="1">
      <c r="A67" s="38" t="n"/>
      <c r="B67" s="38" t="n"/>
      <c r="C67" s="38" t="n"/>
      <c r="D67" s="38" t="n"/>
      <c r="E67" s="39" t="n"/>
      <c r="F67" s="39" t="n"/>
      <c r="G67" s="38" t="n"/>
      <c r="H67" s="40" t="n"/>
      <c r="I67" s="38" t="n"/>
      <c r="J67" s="38" t="n"/>
      <c r="K67" s="38" t="n"/>
      <c r="L67" s="41">
        <f>IF(F67&lt;&gt;"",F67-TODAY(),"")</f>
        <v/>
      </c>
      <c r="M67" s="42">
        <f>IF(F67="","",IF(AND(L67&lt;0,I67&lt;&gt;"Renewed",I67&lt;&gt;"N/A"),"EXPIRED",I67))</f>
        <v/>
      </c>
    </row>
    <row r="68" ht="20" customHeight="1">
      <c r="A68" s="38" t="n"/>
      <c r="B68" s="38" t="n"/>
      <c r="C68" s="38" t="n"/>
      <c r="D68" s="38" t="n"/>
      <c r="E68" s="39" t="n"/>
      <c r="F68" s="39" t="n"/>
      <c r="G68" s="38" t="n"/>
      <c r="H68" s="40" t="n"/>
      <c r="I68" s="38" t="n"/>
      <c r="J68" s="38" t="n"/>
      <c r="K68" s="38" t="n"/>
      <c r="L68" s="41">
        <f>IF(F68&lt;&gt;"",F68-TODAY(),"")</f>
        <v/>
      </c>
      <c r="M68" s="42">
        <f>IF(F68="","",IF(AND(L68&lt;0,I68&lt;&gt;"Renewed",I68&lt;&gt;"N/A"),"EXPIRED",I68))</f>
        <v/>
      </c>
    </row>
    <row r="69" ht="20" customHeight="1">
      <c r="A69" s="38" t="n"/>
      <c r="B69" s="38" t="n"/>
      <c r="C69" s="38" t="n"/>
      <c r="D69" s="38" t="n"/>
      <c r="E69" s="39" t="n"/>
      <c r="F69" s="39" t="n"/>
      <c r="G69" s="38" t="n"/>
      <c r="H69" s="40" t="n"/>
      <c r="I69" s="38" t="n"/>
      <c r="J69" s="38" t="n"/>
      <c r="K69" s="38" t="n"/>
      <c r="L69" s="41">
        <f>IF(F69&lt;&gt;"",F69-TODAY(),"")</f>
        <v/>
      </c>
      <c r="M69" s="42">
        <f>IF(F69="","",IF(AND(L69&lt;0,I69&lt;&gt;"Renewed",I69&lt;&gt;"N/A"),"EXPIRED",I69))</f>
        <v/>
      </c>
    </row>
    <row r="70" ht="20" customHeight="1">
      <c r="A70" s="38" t="n"/>
      <c r="B70" s="38" t="n"/>
      <c r="C70" s="38" t="n"/>
      <c r="D70" s="38" t="n"/>
      <c r="E70" s="39" t="n"/>
      <c r="F70" s="39" t="n"/>
      <c r="G70" s="38" t="n"/>
      <c r="H70" s="40" t="n"/>
      <c r="I70" s="38" t="n"/>
      <c r="J70" s="38" t="n"/>
      <c r="K70" s="38" t="n"/>
      <c r="L70" s="41">
        <f>IF(F70&lt;&gt;"",F70-TODAY(),"")</f>
        <v/>
      </c>
      <c r="M70" s="42">
        <f>IF(F70="","",IF(AND(L70&lt;0,I70&lt;&gt;"Renewed",I70&lt;&gt;"N/A"),"EXPIRED",I70))</f>
        <v/>
      </c>
    </row>
    <row r="71" ht="20" customHeight="1">
      <c r="A71" s="38" t="n"/>
      <c r="B71" s="38" t="n"/>
      <c r="C71" s="38" t="n"/>
      <c r="D71" s="38" t="n"/>
      <c r="E71" s="39" t="n"/>
      <c r="F71" s="39" t="n"/>
      <c r="G71" s="38" t="n"/>
      <c r="H71" s="40" t="n"/>
      <c r="I71" s="38" t="n"/>
      <c r="J71" s="38" t="n"/>
      <c r="K71" s="38" t="n"/>
      <c r="L71" s="41">
        <f>IF(F71&lt;&gt;"",F71-TODAY(),"")</f>
        <v/>
      </c>
      <c r="M71" s="42">
        <f>IF(F71="","",IF(AND(L71&lt;0,I71&lt;&gt;"Renewed",I71&lt;&gt;"N/A"),"EXPIRED",I71))</f>
        <v/>
      </c>
    </row>
    <row r="72" ht="20" customHeight="1">
      <c r="A72" s="38" t="n"/>
      <c r="B72" s="38" t="n"/>
      <c r="C72" s="38" t="n"/>
      <c r="D72" s="38" t="n"/>
      <c r="E72" s="39" t="n"/>
      <c r="F72" s="39" t="n"/>
      <c r="G72" s="38" t="n"/>
      <c r="H72" s="40" t="n"/>
      <c r="I72" s="38" t="n"/>
      <c r="J72" s="38" t="n"/>
      <c r="K72" s="38" t="n"/>
      <c r="L72" s="41">
        <f>IF(F72&lt;&gt;"",F72-TODAY(),"")</f>
        <v/>
      </c>
      <c r="M72" s="42">
        <f>IF(F72="","",IF(AND(L72&lt;0,I72&lt;&gt;"Renewed",I72&lt;&gt;"N/A"),"EXPIRED",I72))</f>
        <v/>
      </c>
    </row>
    <row r="73" ht="20" customHeight="1">
      <c r="A73" s="38" t="n"/>
      <c r="B73" s="38" t="n"/>
      <c r="C73" s="38" t="n"/>
      <c r="D73" s="38" t="n"/>
      <c r="E73" s="39" t="n"/>
      <c r="F73" s="39" t="n"/>
      <c r="G73" s="38" t="n"/>
      <c r="H73" s="40" t="n"/>
      <c r="I73" s="38" t="n"/>
      <c r="J73" s="38" t="n"/>
      <c r="K73" s="38" t="n"/>
      <c r="L73" s="41">
        <f>IF(F73&lt;&gt;"",F73-TODAY(),"")</f>
        <v/>
      </c>
      <c r="M73" s="42">
        <f>IF(F73="","",IF(AND(L73&lt;0,I73&lt;&gt;"Renewed",I73&lt;&gt;"N/A"),"EXPIRED",I73))</f>
        <v/>
      </c>
    </row>
    <row r="74" ht="20" customHeight="1">
      <c r="A74" s="38" t="n"/>
      <c r="B74" s="38" t="n"/>
      <c r="C74" s="38" t="n"/>
      <c r="D74" s="38" t="n"/>
      <c r="E74" s="39" t="n"/>
      <c r="F74" s="39" t="n"/>
      <c r="G74" s="38" t="n"/>
      <c r="H74" s="40" t="n"/>
      <c r="I74" s="38" t="n"/>
      <c r="J74" s="38" t="n"/>
      <c r="K74" s="38" t="n"/>
      <c r="L74" s="41">
        <f>IF(F74&lt;&gt;"",F74-TODAY(),"")</f>
        <v/>
      </c>
      <c r="M74" s="42">
        <f>IF(F74="","",IF(AND(L74&lt;0,I74&lt;&gt;"Renewed",I74&lt;&gt;"N/A"),"EXPIRED",I74))</f>
        <v/>
      </c>
    </row>
    <row r="75" ht="20" customHeight="1">
      <c r="A75" s="38" t="n"/>
      <c r="B75" s="38" t="n"/>
      <c r="C75" s="38" t="n"/>
      <c r="D75" s="38" t="n"/>
      <c r="E75" s="39" t="n"/>
      <c r="F75" s="39" t="n"/>
      <c r="G75" s="38" t="n"/>
      <c r="H75" s="40" t="n"/>
      <c r="I75" s="38" t="n"/>
      <c r="J75" s="38" t="n"/>
      <c r="K75" s="38" t="n"/>
      <c r="L75" s="41">
        <f>IF(F75&lt;&gt;"",F75-TODAY(),"")</f>
        <v/>
      </c>
      <c r="M75" s="42">
        <f>IF(F75="","",IF(AND(L75&lt;0,I75&lt;&gt;"Renewed",I75&lt;&gt;"N/A"),"EXPIRED",I75))</f>
        <v/>
      </c>
    </row>
    <row r="76" ht="20" customHeight="1">
      <c r="A76" s="38" t="n"/>
      <c r="B76" s="38" t="n"/>
      <c r="C76" s="38" t="n"/>
      <c r="D76" s="38" t="n"/>
      <c r="E76" s="39" t="n"/>
      <c r="F76" s="39" t="n"/>
      <c r="G76" s="38" t="n"/>
      <c r="H76" s="40" t="n"/>
      <c r="I76" s="38" t="n"/>
      <c r="J76" s="38" t="n"/>
      <c r="K76" s="38" t="n"/>
      <c r="L76" s="41">
        <f>IF(F76&lt;&gt;"",F76-TODAY(),"")</f>
        <v/>
      </c>
      <c r="M76" s="42">
        <f>IF(F76="","",IF(AND(L76&lt;0,I76&lt;&gt;"Renewed",I76&lt;&gt;"N/A"),"EXPIRED",I76))</f>
        <v/>
      </c>
    </row>
    <row r="77" ht="20" customHeight="1">
      <c r="A77" s="38" t="n"/>
      <c r="B77" s="38" t="n"/>
      <c r="C77" s="38" t="n"/>
      <c r="D77" s="38" t="n"/>
      <c r="E77" s="39" t="n"/>
      <c r="F77" s="39" t="n"/>
      <c r="G77" s="38" t="n"/>
      <c r="H77" s="40" t="n"/>
      <c r="I77" s="38" t="n"/>
      <c r="J77" s="38" t="n"/>
      <c r="K77" s="38" t="n"/>
      <c r="L77" s="41">
        <f>IF(F77&lt;&gt;"",F77-TODAY(),"")</f>
        <v/>
      </c>
      <c r="M77" s="42">
        <f>IF(F77="","",IF(AND(L77&lt;0,I77&lt;&gt;"Renewed",I77&lt;&gt;"N/A"),"EXPIRED",I77))</f>
        <v/>
      </c>
    </row>
    <row r="78" ht="20" customHeight="1">
      <c r="A78" s="38" t="n"/>
      <c r="B78" s="38" t="n"/>
      <c r="C78" s="38" t="n"/>
      <c r="D78" s="38" t="n"/>
      <c r="E78" s="39" t="n"/>
      <c r="F78" s="39" t="n"/>
      <c r="G78" s="38" t="n"/>
      <c r="H78" s="40" t="n"/>
      <c r="I78" s="38" t="n"/>
      <c r="J78" s="38" t="n"/>
      <c r="K78" s="38" t="n"/>
      <c r="L78" s="41">
        <f>IF(F78&lt;&gt;"",F78-TODAY(),"")</f>
        <v/>
      </c>
      <c r="M78" s="42">
        <f>IF(F78="","",IF(AND(L78&lt;0,I78&lt;&gt;"Renewed",I78&lt;&gt;"N/A"),"EXPIRED",I78))</f>
        <v/>
      </c>
    </row>
    <row r="79" ht="20" customHeight="1">
      <c r="A79" s="38" t="n"/>
      <c r="B79" s="38" t="n"/>
      <c r="C79" s="38" t="n"/>
      <c r="D79" s="38" t="n"/>
      <c r="E79" s="39" t="n"/>
      <c r="F79" s="39" t="n"/>
      <c r="G79" s="38" t="n"/>
      <c r="H79" s="40" t="n"/>
      <c r="I79" s="38" t="n"/>
      <c r="J79" s="38" t="n"/>
      <c r="K79" s="38" t="n"/>
      <c r="L79" s="41">
        <f>IF(F79&lt;&gt;"",F79-TODAY(),"")</f>
        <v/>
      </c>
      <c r="M79" s="42">
        <f>IF(F79="","",IF(AND(L79&lt;0,I79&lt;&gt;"Renewed",I79&lt;&gt;"N/A"),"EXPIRED",I79))</f>
        <v/>
      </c>
    </row>
    <row r="80" ht="20" customHeight="1">
      <c r="A80" s="38" t="n"/>
      <c r="B80" s="38" t="n"/>
      <c r="C80" s="38" t="n"/>
      <c r="D80" s="38" t="n"/>
      <c r="E80" s="39" t="n"/>
      <c r="F80" s="39" t="n"/>
      <c r="G80" s="38" t="n"/>
      <c r="H80" s="40" t="n"/>
      <c r="I80" s="38" t="n"/>
      <c r="J80" s="38" t="n"/>
      <c r="K80" s="38" t="n"/>
      <c r="L80" s="41">
        <f>IF(F80&lt;&gt;"",F80-TODAY(),"")</f>
        <v/>
      </c>
      <c r="M80" s="42">
        <f>IF(F80="","",IF(AND(L80&lt;0,I80&lt;&gt;"Renewed",I80&lt;&gt;"N/A"),"EXPIRED",I80))</f>
        <v/>
      </c>
    </row>
    <row r="81" ht="20" customHeight="1">
      <c r="A81" s="38" t="n"/>
      <c r="B81" s="38" t="n"/>
      <c r="C81" s="38" t="n"/>
      <c r="D81" s="38" t="n"/>
      <c r="E81" s="39" t="n"/>
      <c r="F81" s="39" t="n"/>
      <c r="G81" s="38" t="n"/>
      <c r="H81" s="40" t="n"/>
      <c r="I81" s="38" t="n"/>
      <c r="J81" s="38" t="n"/>
      <c r="K81" s="38" t="n"/>
      <c r="L81" s="41">
        <f>IF(F81&lt;&gt;"",F81-TODAY(),"")</f>
        <v/>
      </c>
      <c r="M81" s="42">
        <f>IF(F81="","",IF(AND(L81&lt;0,I81&lt;&gt;"Renewed",I81&lt;&gt;"N/A"),"EXPIRED",I81))</f>
        <v/>
      </c>
    </row>
    <row r="82" ht="20" customHeight="1">
      <c r="A82" s="38" t="n"/>
      <c r="B82" s="38" t="n"/>
      <c r="C82" s="38" t="n"/>
      <c r="D82" s="38" t="n"/>
      <c r="E82" s="39" t="n"/>
      <c r="F82" s="39" t="n"/>
      <c r="G82" s="38" t="n"/>
      <c r="H82" s="40" t="n"/>
      <c r="I82" s="38" t="n"/>
      <c r="J82" s="38" t="n"/>
      <c r="K82" s="38" t="n"/>
      <c r="L82" s="41">
        <f>IF(F82&lt;&gt;"",F82-TODAY(),"")</f>
        <v/>
      </c>
      <c r="M82" s="42">
        <f>IF(F82="","",IF(AND(L82&lt;0,I82&lt;&gt;"Renewed",I82&lt;&gt;"N/A"),"EXPIRED",I82))</f>
        <v/>
      </c>
    </row>
    <row r="83" ht="20" customHeight="1">
      <c r="A83" s="38" t="n"/>
      <c r="B83" s="38" t="n"/>
      <c r="C83" s="38" t="n"/>
      <c r="D83" s="38" t="n"/>
      <c r="E83" s="39" t="n"/>
      <c r="F83" s="39" t="n"/>
      <c r="G83" s="38" t="n"/>
      <c r="H83" s="40" t="n"/>
      <c r="I83" s="38" t="n"/>
      <c r="J83" s="38" t="n"/>
      <c r="K83" s="38" t="n"/>
      <c r="L83" s="41">
        <f>IF(F83&lt;&gt;"",F83-TODAY(),"")</f>
        <v/>
      </c>
      <c r="M83" s="42">
        <f>IF(F83="","",IF(AND(L83&lt;0,I83&lt;&gt;"Renewed",I83&lt;&gt;"N/A"),"EXPIRED",I83))</f>
        <v/>
      </c>
    </row>
    <row r="84" ht="20" customHeight="1">
      <c r="A84" s="38" t="n"/>
      <c r="B84" s="38" t="n"/>
      <c r="C84" s="38" t="n"/>
      <c r="D84" s="38" t="n"/>
      <c r="E84" s="39" t="n"/>
      <c r="F84" s="39" t="n"/>
      <c r="G84" s="38" t="n"/>
      <c r="H84" s="40" t="n"/>
      <c r="I84" s="38" t="n"/>
      <c r="J84" s="38" t="n"/>
      <c r="K84" s="38" t="n"/>
      <c r="L84" s="41">
        <f>IF(F84&lt;&gt;"",F84-TODAY(),"")</f>
        <v/>
      </c>
      <c r="M84" s="42">
        <f>IF(F84="","",IF(AND(L84&lt;0,I84&lt;&gt;"Renewed",I84&lt;&gt;"N/A"),"EXPIRED",I84))</f>
        <v/>
      </c>
    </row>
    <row r="85" ht="20" customHeight="1">
      <c r="A85" s="38" t="n"/>
      <c r="B85" s="38" t="n"/>
      <c r="C85" s="38" t="n"/>
      <c r="D85" s="38" t="n"/>
      <c r="E85" s="39" t="n"/>
      <c r="F85" s="39" t="n"/>
      <c r="G85" s="38" t="n"/>
      <c r="H85" s="40" t="n"/>
      <c r="I85" s="38" t="n"/>
      <c r="J85" s="38" t="n"/>
      <c r="K85" s="38" t="n"/>
      <c r="L85" s="41">
        <f>IF(F85&lt;&gt;"",F85-TODAY(),"")</f>
        <v/>
      </c>
      <c r="M85" s="42">
        <f>IF(F85="","",IF(AND(L85&lt;0,I85&lt;&gt;"Renewed",I85&lt;&gt;"N/A"),"EXPIRED",I85))</f>
        <v/>
      </c>
    </row>
    <row r="86" ht="20" customHeight="1">
      <c r="A86" s="38" t="n"/>
      <c r="B86" s="38" t="n"/>
      <c r="C86" s="38" t="n"/>
      <c r="D86" s="38" t="n"/>
      <c r="E86" s="39" t="n"/>
      <c r="F86" s="39" t="n"/>
      <c r="G86" s="38" t="n"/>
      <c r="H86" s="40" t="n"/>
      <c r="I86" s="38" t="n"/>
      <c r="J86" s="38" t="n"/>
      <c r="K86" s="38" t="n"/>
      <c r="L86" s="41">
        <f>IF(F86&lt;&gt;"",F86-TODAY(),"")</f>
        <v/>
      </c>
      <c r="M86" s="42">
        <f>IF(F86="","",IF(AND(L86&lt;0,I86&lt;&gt;"Renewed",I86&lt;&gt;"N/A"),"EXPIRED",I86))</f>
        <v/>
      </c>
    </row>
    <row r="87" ht="20" customHeight="1">
      <c r="A87" s="38" t="n"/>
      <c r="B87" s="38" t="n"/>
      <c r="C87" s="38" t="n"/>
      <c r="D87" s="38" t="n"/>
      <c r="E87" s="39" t="n"/>
      <c r="F87" s="39" t="n"/>
      <c r="G87" s="38" t="n"/>
      <c r="H87" s="40" t="n"/>
      <c r="I87" s="38" t="n"/>
      <c r="J87" s="38" t="n"/>
      <c r="K87" s="38" t="n"/>
      <c r="L87" s="41">
        <f>IF(F87&lt;&gt;"",F87-TODAY(),"")</f>
        <v/>
      </c>
      <c r="M87" s="42">
        <f>IF(F87="","",IF(AND(L87&lt;0,I87&lt;&gt;"Renewed",I87&lt;&gt;"N/A"),"EXPIRED",I87))</f>
        <v/>
      </c>
    </row>
    <row r="88" ht="20" customHeight="1">
      <c r="A88" s="38" t="n"/>
      <c r="B88" s="38" t="n"/>
      <c r="C88" s="38" t="n"/>
      <c r="D88" s="38" t="n"/>
      <c r="E88" s="39" t="n"/>
      <c r="F88" s="39" t="n"/>
      <c r="G88" s="38" t="n"/>
      <c r="H88" s="40" t="n"/>
      <c r="I88" s="38" t="n"/>
      <c r="J88" s="38" t="n"/>
      <c r="K88" s="38" t="n"/>
      <c r="L88" s="41">
        <f>IF(F88&lt;&gt;"",F88-TODAY(),"")</f>
        <v/>
      </c>
      <c r="M88" s="42">
        <f>IF(F88="","",IF(AND(L88&lt;0,I88&lt;&gt;"Renewed",I88&lt;&gt;"N/A"),"EXPIRED",I88))</f>
        <v/>
      </c>
    </row>
    <row r="89" ht="20" customHeight="1">
      <c r="A89" s="38" t="n"/>
      <c r="B89" s="38" t="n"/>
      <c r="C89" s="38" t="n"/>
      <c r="D89" s="38" t="n"/>
      <c r="E89" s="39" t="n"/>
      <c r="F89" s="39" t="n"/>
      <c r="G89" s="38" t="n"/>
      <c r="H89" s="40" t="n"/>
      <c r="I89" s="38" t="n"/>
      <c r="J89" s="38" t="n"/>
      <c r="K89" s="38" t="n"/>
      <c r="L89" s="41">
        <f>IF(F89&lt;&gt;"",F89-TODAY(),"")</f>
        <v/>
      </c>
      <c r="M89" s="42">
        <f>IF(F89="","",IF(AND(L89&lt;0,I89&lt;&gt;"Renewed",I89&lt;&gt;"N/A"),"EXPIRED",I89))</f>
        <v/>
      </c>
    </row>
    <row r="90" ht="20" customHeight="1">
      <c r="A90" s="38" t="n"/>
      <c r="B90" s="38" t="n"/>
      <c r="C90" s="38" t="n"/>
      <c r="D90" s="38" t="n"/>
      <c r="E90" s="39" t="n"/>
      <c r="F90" s="39" t="n"/>
      <c r="G90" s="38" t="n"/>
      <c r="H90" s="40" t="n"/>
      <c r="I90" s="38" t="n"/>
      <c r="J90" s="38" t="n"/>
      <c r="K90" s="38" t="n"/>
      <c r="L90" s="41">
        <f>IF(F90&lt;&gt;"",F90-TODAY(),"")</f>
        <v/>
      </c>
      <c r="M90" s="42">
        <f>IF(F90="","",IF(AND(L90&lt;0,I90&lt;&gt;"Renewed",I90&lt;&gt;"N/A"),"EXPIRED",I90))</f>
        <v/>
      </c>
    </row>
    <row r="91" ht="20" customHeight="1">
      <c r="A91" s="38" t="n"/>
      <c r="B91" s="38" t="n"/>
      <c r="C91" s="38" t="n"/>
      <c r="D91" s="38" t="n"/>
      <c r="E91" s="39" t="n"/>
      <c r="F91" s="39" t="n"/>
      <c r="G91" s="38" t="n"/>
      <c r="H91" s="40" t="n"/>
      <c r="I91" s="38" t="n"/>
      <c r="J91" s="38" t="n"/>
      <c r="K91" s="38" t="n"/>
      <c r="L91" s="41">
        <f>IF(F91&lt;&gt;"",F91-TODAY(),"")</f>
        <v/>
      </c>
      <c r="M91" s="42">
        <f>IF(F91="","",IF(AND(L91&lt;0,I91&lt;&gt;"Renewed",I91&lt;&gt;"N/A"),"EXPIRED",I91))</f>
        <v/>
      </c>
    </row>
    <row r="92" ht="20" customHeight="1">
      <c r="A92" s="38" t="n"/>
      <c r="B92" s="38" t="n"/>
      <c r="C92" s="38" t="n"/>
      <c r="D92" s="38" t="n"/>
      <c r="E92" s="39" t="n"/>
      <c r="F92" s="39" t="n"/>
      <c r="G92" s="38" t="n"/>
      <c r="H92" s="40" t="n"/>
      <c r="I92" s="38" t="n"/>
      <c r="J92" s="38" t="n"/>
      <c r="K92" s="38" t="n"/>
      <c r="L92" s="41">
        <f>IF(F92&lt;&gt;"",F92-TODAY(),"")</f>
        <v/>
      </c>
      <c r="M92" s="42">
        <f>IF(F92="","",IF(AND(L92&lt;0,I92&lt;&gt;"Renewed",I92&lt;&gt;"N/A"),"EXPIRED",I92))</f>
        <v/>
      </c>
    </row>
    <row r="93" ht="20" customHeight="1">
      <c r="A93" s="38" t="n"/>
      <c r="B93" s="38" t="n"/>
      <c r="C93" s="38" t="n"/>
      <c r="D93" s="38" t="n"/>
      <c r="E93" s="39" t="n"/>
      <c r="F93" s="39" t="n"/>
      <c r="G93" s="38" t="n"/>
      <c r="H93" s="40" t="n"/>
      <c r="I93" s="38" t="n"/>
      <c r="J93" s="38" t="n"/>
      <c r="K93" s="38" t="n"/>
      <c r="L93" s="41">
        <f>IF(F93&lt;&gt;"",F93-TODAY(),"")</f>
        <v/>
      </c>
      <c r="M93" s="42">
        <f>IF(F93="","",IF(AND(L93&lt;0,I93&lt;&gt;"Renewed",I93&lt;&gt;"N/A"),"EXPIRED",I93))</f>
        <v/>
      </c>
    </row>
    <row r="94" ht="20" customHeight="1">
      <c r="A94" s="38" t="n"/>
      <c r="B94" s="38" t="n"/>
      <c r="C94" s="38" t="n"/>
      <c r="D94" s="38" t="n"/>
      <c r="E94" s="39" t="n"/>
      <c r="F94" s="39" t="n"/>
      <c r="G94" s="38" t="n"/>
      <c r="H94" s="40" t="n"/>
      <c r="I94" s="38" t="n"/>
      <c r="J94" s="38" t="n"/>
      <c r="K94" s="38" t="n"/>
      <c r="L94" s="41">
        <f>IF(F94&lt;&gt;"",F94-TODAY(),"")</f>
        <v/>
      </c>
      <c r="M94" s="42">
        <f>IF(F94="","",IF(AND(L94&lt;0,I94&lt;&gt;"Renewed",I94&lt;&gt;"N/A"),"EXPIRED",I94))</f>
        <v/>
      </c>
    </row>
    <row r="95" ht="20" customHeight="1">
      <c r="A95" s="38" t="n"/>
      <c r="B95" s="38" t="n"/>
      <c r="C95" s="38" t="n"/>
      <c r="D95" s="38" t="n"/>
      <c r="E95" s="39" t="n"/>
      <c r="F95" s="39" t="n"/>
      <c r="G95" s="38" t="n"/>
      <c r="H95" s="40" t="n"/>
      <c r="I95" s="38" t="n"/>
      <c r="J95" s="38" t="n"/>
      <c r="K95" s="38" t="n"/>
      <c r="L95" s="41">
        <f>IF(F95&lt;&gt;"",F95-TODAY(),"")</f>
        <v/>
      </c>
      <c r="M95" s="42">
        <f>IF(F95="","",IF(AND(L95&lt;0,I95&lt;&gt;"Renewed",I95&lt;&gt;"N/A"),"EXPIRED",I95))</f>
        <v/>
      </c>
    </row>
    <row r="96" ht="20" customHeight="1">
      <c r="A96" s="38" t="n"/>
      <c r="B96" s="38" t="n"/>
      <c r="C96" s="38" t="n"/>
      <c r="D96" s="38" t="n"/>
      <c r="E96" s="39" t="n"/>
      <c r="F96" s="39" t="n"/>
      <c r="G96" s="38" t="n"/>
      <c r="H96" s="40" t="n"/>
      <c r="I96" s="38" t="n"/>
      <c r="J96" s="38" t="n"/>
      <c r="K96" s="38" t="n"/>
      <c r="L96" s="41">
        <f>IF(F96&lt;&gt;"",F96-TODAY(),"")</f>
        <v/>
      </c>
      <c r="M96" s="42">
        <f>IF(F96="","",IF(AND(L96&lt;0,I96&lt;&gt;"Renewed",I96&lt;&gt;"N/A"),"EXPIRED",I96))</f>
        <v/>
      </c>
    </row>
    <row r="97" ht="20" customHeight="1">
      <c r="A97" s="38" t="n"/>
      <c r="B97" s="38" t="n"/>
      <c r="C97" s="38" t="n"/>
      <c r="D97" s="38" t="n"/>
      <c r="E97" s="39" t="n"/>
      <c r="F97" s="39" t="n"/>
      <c r="G97" s="38" t="n"/>
      <c r="H97" s="40" t="n"/>
      <c r="I97" s="38" t="n"/>
      <c r="J97" s="38" t="n"/>
      <c r="K97" s="38" t="n"/>
      <c r="L97" s="41">
        <f>IF(F97&lt;&gt;"",F97-TODAY(),"")</f>
        <v/>
      </c>
      <c r="M97" s="42">
        <f>IF(F97="","",IF(AND(L97&lt;0,I97&lt;&gt;"Renewed",I97&lt;&gt;"N/A"),"EXPIRED",I97))</f>
        <v/>
      </c>
    </row>
    <row r="98" ht="20" customHeight="1">
      <c r="A98" s="38" t="n"/>
      <c r="B98" s="38" t="n"/>
      <c r="C98" s="38" t="n"/>
      <c r="D98" s="38" t="n"/>
      <c r="E98" s="39" t="n"/>
      <c r="F98" s="39" t="n"/>
      <c r="G98" s="38" t="n"/>
      <c r="H98" s="40" t="n"/>
      <c r="I98" s="38" t="n"/>
      <c r="J98" s="38" t="n"/>
      <c r="K98" s="38" t="n"/>
      <c r="L98" s="41">
        <f>IF(F98&lt;&gt;"",F98-TODAY(),"")</f>
        <v/>
      </c>
      <c r="M98" s="42">
        <f>IF(F98="","",IF(AND(L98&lt;0,I98&lt;&gt;"Renewed",I98&lt;&gt;"N/A"),"EXPIRED",I98))</f>
        <v/>
      </c>
    </row>
    <row r="99" ht="20" customHeight="1">
      <c r="A99" s="38" t="n"/>
      <c r="B99" s="38" t="n"/>
      <c r="C99" s="38" t="n"/>
      <c r="D99" s="38" t="n"/>
      <c r="E99" s="39" t="n"/>
      <c r="F99" s="39" t="n"/>
      <c r="G99" s="38" t="n"/>
      <c r="H99" s="40" t="n"/>
      <c r="I99" s="38" t="n"/>
      <c r="J99" s="38" t="n"/>
      <c r="K99" s="38" t="n"/>
      <c r="L99" s="41">
        <f>IF(F99&lt;&gt;"",F99-TODAY(),"")</f>
        <v/>
      </c>
      <c r="M99" s="42">
        <f>IF(F99="","",IF(AND(L99&lt;0,I99&lt;&gt;"Renewed",I99&lt;&gt;"N/A"),"EXPIRED",I99))</f>
        <v/>
      </c>
    </row>
    <row r="100" ht="20" customHeight="1">
      <c r="A100" s="38" t="n"/>
      <c r="B100" s="38" t="n"/>
      <c r="C100" s="38" t="n"/>
      <c r="D100" s="38" t="n"/>
      <c r="E100" s="39" t="n"/>
      <c r="F100" s="39" t="n"/>
      <c r="G100" s="38" t="n"/>
      <c r="H100" s="40" t="n"/>
      <c r="I100" s="38" t="n"/>
      <c r="J100" s="38" t="n"/>
      <c r="K100" s="38" t="n"/>
      <c r="L100" s="41">
        <f>IF(F100&lt;&gt;"",F100-TODAY(),"")</f>
        <v/>
      </c>
      <c r="M100" s="42">
        <f>IF(F100="","",IF(AND(L100&lt;0,I100&lt;&gt;"Renewed",I100&lt;&gt;"N/A"),"EXPIRED",I100))</f>
        <v/>
      </c>
    </row>
    <row r="101" ht="20" customHeight="1">
      <c r="A101" s="38" t="n"/>
      <c r="B101" s="38" t="n"/>
      <c r="C101" s="38" t="n"/>
      <c r="D101" s="38" t="n"/>
      <c r="E101" s="39" t="n"/>
      <c r="F101" s="39" t="n"/>
      <c r="G101" s="38" t="n"/>
      <c r="H101" s="40" t="n"/>
      <c r="I101" s="38" t="n"/>
      <c r="J101" s="38" t="n"/>
      <c r="K101" s="38" t="n"/>
      <c r="L101" s="41">
        <f>IF(F101&lt;&gt;"",F101-TODAY(),"")</f>
        <v/>
      </c>
      <c r="M101" s="42">
        <f>IF(F101="","",IF(AND(L101&lt;0,I101&lt;&gt;"Renewed",I101&lt;&gt;"N/A"),"EXPIRED",I101))</f>
        <v/>
      </c>
    </row>
    <row r="102" ht="20" customHeight="1">
      <c r="A102" s="38" t="n"/>
      <c r="B102" s="38" t="n"/>
      <c r="C102" s="38" t="n"/>
      <c r="D102" s="38" t="n"/>
      <c r="E102" s="39" t="n"/>
      <c r="F102" s="39" t="n"/>
      <c r="G102" s="38" t="n"/>
      <c r="H102" s="40" t="n"/>
      <c r="I102" s="38" t="n"/>
      <c r="J102" s="38" t="n"/>
      <c r="K102" s="38" t="n"/>
      <c r="L102" s="41">
        <f>IF(F102&lt;&gt;"",F102-TODAY(),"")</f>
        <v/>
      </c>
      <c r="M102" s="42">
        <f>IF(F102="","",IF(AND(L102&lt;0,I102&lt;&gt;"Renewed",I102&lt;&gt;"N/A"),"EXPIRED",I102))</f>
        <v/>
      </c>
    </row>
    <row r="103" ht="20" customHeight="1">
      <c r="A103" s="38" t="n"/>
      <c r="B103" s="38" t="n"/>
      <c r="C103" s="38" t="n"/>
      <c r="D103" s="38" t="n"/>
      <c r="E103" s="39" t="n"/>
      <c r="F103" s="39" t="n"/>
      <c r="G103" s="38" t="n"/>
      <c r="H103" s="40" t="n"/>
      <c r="I103" s="38" t="n"/>
      <c r="J103" s="38" t="n"/>
      <c r="K103" s="38" t="n"/>
      <c r="L103" s="41">
        <f>IF(F103&lt;&gt;"",F103-TODAY(),"")</f>
        <v/>
      </c>
      <c r="M103" s="42">
        <f>IF(F103="","",IF(AND(L103&lt;0,I103&lt;&gt;"Renewed",I103&lt;&gt;"N/A"),"EXPIRED",I103))</f>
        <v/>
      </c>
    </row>
    <row r="104" ht="20" customHeight="1">
      <c r="A104" s="38" t="n"/>
      <c r="B104" s="38" t="n"/>
      <c r="C104" s="38" t="n"/>
      <c r="D104" s="38" t="n"/>
      <c r="E104" s="39" t="n"/>
      <c r="F104" s="39" t="n"/>
      <c r="G104" s="38" t="n"/>
      <c r="H104" s="40" t="n"/>
      <c r="I104" s="38" t="n"/>
      <c r="J104" s="38" t="n"/>
      <c r="K104" s="38" t="n"/>
      <c r="L104" s="41">
        <f>IF(F104&lt;&gt;"",F104-TODAY(),"")</f>
        <v/>
      </c>
      <c r="M104" s="42">
        <f>IF(F104="","",IF(AND(L104&lt;0,I104&lt;&gt;"Renewed",I104&lt;&gt;"N/A"),"EXPIRED",I104))</f>
        <v/>
      </c>
    </row>
    <row r="105" ht="20" customHeight="1">
      <c r="A105" s="38" t="n"/>
      <c r="B105" s="38" t="n"/>
      <c r="C105" s="38" t="n"/>
      <c r="D105" s="38" t="n"/>
      <c r="E105" s="39" t="n"/>
      <c r="F105" s="39" t="n"/>
      <c r="G105" s="38" t="n"/>
      <c r="H105" s="40" t="n"/>
      <c r="I105" s="38" t="n"/>
      <c r="J105" s="38" t="n"/>
      <c r="K105" s="38" t="n"/>
      <c r="L105" s="41">
        <f>IF(F105&lt;&gt;"",F105-TODAY(),"")</f>
        <v/>
      </c>
      <c r="M105" s="42">
        <f>IF(F105="","",IF(AND(L105&lt;0,I105&lt;&gt;"Renewed",I105&lt;&gt;"N/A"),"EXPIRED",I105))</f>
        <v/>
      </c>
    </row>
    <row r="106" ht="20" customHeight="1">
      <c r="A106" s="38" t="n"/>
      <c r="B106" s="38" t="n"/>
      <c r="C106" s="38" t="n"/>
      <c r="D106" s="38" t="n"/>
      <c r="E106" s="39" t="n"/>
      <c r="F106" s="39" t="n"/>
      <c r="G106" s="38" t="n"/>
      <c r="H106" s="40" t="n"/>
      <c r="I106" s="38" t="n"/>
      <c r="J106" s="38" t="n"/>
      <c r="K106" s="38" t="n"/>
      <c r="L106" s="41">
        <f>IF(F106&lt;&gt;"",F106-TODAY(),"")</f>
        <v/>
      </c>
      <c r="M106" s="42">
        <f>IF(F106="","",IF(AND(L106&lt;0,I106&lt;&gt;"Renewed",I106&lt;&gt;"N/A"),"EXPIRED",I106))</f>
        <v/>
      </c>
    </row>
    <row r="107" ht="20" customHeight="1">
      <c r="A107" s="38" t="n"/>
      <c r="B107" s="38" t="n"/>
      <c r="C107" s="38" t="n"/>
      <c r="D107" s="38" t="n"/>
      <c r="E107" s="39" t="n"/>
      <c r="F107" s="39" t="n"/>
      <c r="G107" s="38" t="n"/>
      <c r="H107" s="40" t="n"/>
      <c r="I107" s="38" t="n"/>
      <c r="J107" s="38" t="n"/>
      <c r="K107" s="38" t="n"/>
      <c r="L107" s="41">
        <f>IF(F107&lt;&gt;"",F107-TODAY(),"")</f>
        <v/>
      </c>
      <c r="M107" s="42">
        <f>IF(F107="","",IF(AND(L107&lt;0,I107&lt;&gt;"Renewed",I107&lt;&gt;"N/A"),"EXPIRED",I107))</f>
        <v/>
      </c>
    </row>
    <row r="108" ht="20" customHeight="1">
      <c r="A108" s="38" t="n"/>
      <c r="B108" s="38" t="n"/>
      <c r="C108" s="38" t="n"/>
      <c r="D108" s="38" t="n"/>
      <c r="E108" s="39" t="n"/>
      <c r="F108" s="39" t="n"/>
      <c r="G108" s="38" t="n"/>
      <c r="H108" s="40" t="n"/>
      <c r="I108" s="38" t="n"/>
      <c r="J108" s="38" t="n"/>
      <c r="K108" s="38" t="n"/>
      <c r="L108" s="41">
        <f>IF(F108&lt;&gt;"",F108-TODAY(),"")</f>
        <v/>
      </c>
      <c r="M108" s="42">
        <f>IF(F108="","",IF(AND(L108&lt;0,I108&lt;&gt;"Renewed",I108&lt;&gt;"N/A"),"EXPIRED",I108))</f>
        <v/>
      </c>
    </row>
    <row r="109" ht="20" customHeight="1">
      <c r="A109" s="38" t="n"/>
      <c r="B109" s="38" t="n"/>
      <c r="C109" s="38" t="n"/>
      <c r="D109" s="38" t="n"/>
      <c r="E109" s="39" t="n"/>
      <c r="F109" s="39" t="n"/>
      <c r="G109" s="38" t="n"/>
      <c r="H109" s="40" t="n"/>
      <c r="I109" s="38" t="n"/>
      <c r="J109" s="38" t="n"/>
      <c r="K109" s="38" t="n"/>
      <c r="L109" s="41">
        <f>IF(F109&lt;&gt;"",F109-TODAY(),"")</f>
        <v/>
      </c>
      <c r="M109" s="42">
        <f>IF(F109="","",IF(AND(L109&lt;0,I109&lt;&gt;"Renewed",I109&lt;&gt;"N/A"),"EXPIRED",I109))</f>
        <v/>
      </c>
    </row>
    <row r="110" ht="20" customHeight="1">
      <c r="A110" s="38" t="n"/>
      <c r="B110" s="38" t="n"/>
      <c r="C110" s="38" t="n"/>
      <c r="D110" s="38" t="n"/>
      <c r="E110" s="39" t="n"/>
      <c r="F110" s="39" t="n"/>
      <c r="G110" s="38" t="n"/>
      <c r="H110" s="40" t="n"/>
      <c r="I110" s="38" t="n"/>
      <c r="J110" s="38" t="n"/>
      <c r="K110" s="38" t="n"/>
      <c r="L110" s="41">
        <f>IF(F110&lt;&gt;"",F110-TODAY(),"")</f>
        <v/>
      </c>
      <c r="M110" s="42">
        <f>IF(F110="","",IF(AND(L110&lt;0,I110&lt;&gt;"Renewed",I110&lt;&gt;"N/A"),"EXPIRED",I110))</f>
        <v/>
      </c>
    </row>
    <row r="111" ht="20" customHeight="1">
      <c r="A111" s="38" t="n"/>
      <c r="B111" s="38" t="n"/>
      <c r="C111" s="38" t="n"/>
      <c r="D111" s="38" t="n"/>
      <c r="E111" s="39" t="n"/>
      <c r="F111" s="39" t="n"/>
      <c r="G111" s="38" t="n"/>
      <c r="H111" s="40" t="n"/>
      <c r="I111" s="38" t="n"/>
      <c r="J111" s="38" t="n"/>
      <c r="K111" s="38" t="n"/>
      <c r="L111" s="41">
        <f>IF(F111&lt;&gt;"",F111-TODAY(),"")</f>
        <v/>
      </c>
      <c r="M111" s="42">
        <f>IF(F111="","",IF(AND(L111&lt;0,I111&lt;&gt;"Renewed",I111&lt;&gt;"N/A"),"EXPIRED",I111))</f>
        <v/>
      </c>
    </row>
    <row r="112" ht="20" customHeight="1">
      <c r="A112" s="38" t="n"/>
      <c r="B112" s="38" t="n"/>
      <c r="C112" s="38" t="n"/>
      <c r="D112" s="38" t="n"/>
      <c r="E112" s="39" t="n"/>
      <c r="F112" s="39" t="n"/>
      <c r="G112" s="38" t="n"/>
      <c r="H112" s="40" t="n"/>
      <c r="I112" s="38" t="n"/>
      <c r="J112" s="38" t="n"/>
      <c r="K112" s="38" t="n"/>
      <c r="L112" s="41">
        <f>IF(F112&lt;&gt;"",F112-TODAY(),"")</f>
        <v/>
      </c>
      <c r="M112" s="42">
        <f>IF(F112="","",IF(AND(L112&lt;0,I112&lt;&gt;"Renewed",I112&lt;&gt;"N/A"),"EXPIRED",I112))</f>
        <v/>
      </c>
    </row>
    <row r="113" ht="20" customHeight="1">
      <c r="A113" s="38" t="n"/>
      <c r="B113" s="38" t="n"/>
      <c r="C113" s="38" t="n"/>
      <c r="D113" s="38" t="n"/>
      <c r="E113" s="39" t="n"/>
      <c r="F113" s="39" t="n"/>
      <c r="G113" s="38" t="n"/>
      <c r="H113" s="40" t="n"/>
      <c r="I113" s="38" t="n"/>
      <c r="J113" s="38" t="n"/>
      <c r="K113" s="38" t="n"/>
      <c r="L113" s="41">
        <f>IF(F113&lt;&gt;"",F113-TODAY(),"")</f>
        <v/>
      </c>
      <c r="M113" s="42">
        <f>IF(F113="","",IF(AND(L113&lt;0,I113&lt;&gt;"Renewed",I113&lt;&gt;"N/A"),"EXPIRED",I113))</f>
        <v/>
      </c>
    </row>
    <row r="114" ht="20" customHeight="1">
      <c r="A114" s="38" t="n"/>
      <c r="B114" s="38" t="n"/>
      <c r="C114" s="38" t="n"/>
      <c r="D114" s="38" t="n"/>
      <c r="E114" s="39" t="n"/>
      <c r="F114" s="39" t="n"/>
      <c r="G114" s="38" t="n"/>
      <c r="H114" s="40" t="n"/>
      <c r="I114" s="38" t="n"/>
      <c r="J114" s="38" t="n"/>
      <c r="K114" s="38" t="n"/>
      <c r="L114" s="41">
        <f>IF(F114&lt;&gt;"",F114-TODAY(),"")</f>
        <v/>
      </c>
      <c r="M114" s="42">
        <f>IF(F114="","",IF(AND(L114&lt;0,I114&lt;&gt;"Renewed",I114&lt;&gt;"N/A"),"EXPIRED",I114))</f>
        <v/>
      </c>
    </row>
    <row r="115" ht="20" customHeight="1">
      <c r="A115" s="38" t="n"/>
      <c r="B115" s="38" t="n"/>
      <c r="C115" s="38" t="n"/>
      <c r="D115" s="38" t="n"/>
      <c r="E115" s="39" t="n"/>
      <c r="F115" s="39" t="n"/>
      <c r="G115" s="38" t="n"/>
      <c r="H115" s="40" t="n"/>
      <c r="I115" s="38" t="n"/>
      <c r="J115" s="38" t="n"/>
      <c r="K115" s="38" t="n"/>
      <c r="L115" s="41">
        <f>IF(F115&lt;&gt;"",F115-TODAY(),"")</f>
        <v/>
      </c>
      <c r="M115" s="42">
        <f>IF(F115="","",IF(AND(L115&lt;0,I115&lt;&gt;"Renewed",I115&lt;&gt;"N/A"),"EXPIRED",I115))</f>
        <v/>
      </c>
    </row>
    <row r="116" ht="20" customHeight="1">
      <c r="A116" s="38" t="n"/>
      <c r="B116" s="38" t="n"/>
      <c r="C116" s="38" t="n"/>
      <c r="D116" s="38" t="n"/>
      <c r="E116" s="39" t="n"/>
      <c r="F116" s="39" t="n"/>
      <c r="G116" s="38" t="n"/>
      <c r="H116" s="40" t="n"/>
      <c r="I116" s="38" t="n"/>
      <c r="J116" s="38" t="n"/>
      <c r="K116" s="38" t="n"/>
      <c r="L116" s="41">
        <f>IF(F116&lt;&gt;"",F116-TODAY(),"")</f>
        <v/>
      </c>
      <c r="M116" s="42">
        <f>IF(F116="","",IF(AND(L116&lt;0,I116&lt;&gt;"Renewed",I116&lt;&gt;"N/A"),"EXPIRED",I116))</f>
        <v/>
      </c>
    </row>
    <row r="117" ht="20" customHeight="1">
      <c r="A117" s="38" t="n"/>
      <c r="B117" s="38" t="n"/>
      <c r="C117" s="38" t="n"/>
      <c r="D117" s="38" t="n"/>
      <c r="E117" s="39" t="n"/>
      <c r="F117" s="39" t="n"/>
      <c r="G117" s="38" t="n"/>
      <c r="H117" s="40" t="n"/>
      <c r="I117" s="38" t="n"/>
      <c r="J117" s="38" t="n"/>
      <c r="K117" s="38" t="n"/>
      <c r="L117" s="41">
        <f>IF(F117&lt;&gt;"",F117-TODAY(),"")</f>
        <v/>
      </c>
      <c r="M117" s="42">
        <f>IF(F117="","",IF(AND(L117&lt;0,I117&lt;&gt;"Renewed",I117&lt;&gt;"N/A"),"EXPIRED",I117))</f>
        <v/>
      </c>
    </row>
    <row r="118" ht="20" customHeight="1">
      <c r="A118" s="38" t="n"/>
      <c r="B118" s="38" t="n"/>
      <c r="C118" s="38" t="n"/>
      <c r="D118" s="38" t="n"/>
      <c r="E118" s="39" t="n"/>
      <c r="F118" s="39" t="n"/>
      <c r="G118" s="38" t="n"/>
      <c r="H118" s="40" t="n"/>
      <c r="I118" s="38" t="n"/>
      <c r="J118" s="38" t="n"/>
      <c r="K118" s="38" t="n"/>
      <c r="L118" s="41">
        <f>IF(F118&lt;&gt;"",F118-TODAY(),"")</f>
        <v/>
      </c>
      <c r="M118" s="42">
        <f>IF(F118="","",IF(AND(L118&lt;0,I118&lt;&gt;"Renewed",I118&lt;&gt;"N/A"),"EXPIRED",I118))</f>
        <v/>
      </c>
    </row>
    <row r="119" ht="20" customHeight="1">
      <c r="A119" s="38" t="n"/>
      <c r="B119" s="38" t="n"/>
      <c r="C119" s="38" t="n"/>
      <c r="D119" s="38" t="n"/>
      <c r="E119" s="39" t="n"/>
      <c r="F119" s="39" t="n"/>
      <c r="G119" s="38" t="n"/>
      <c r="H119" s="40" t="n"/>
      <c r="I119" s="38" t="n"/>
      <c r="J119" s="38" t="n"/>
      <c r="K119" s="38" t="n"/>
      <c r="L119" s="41">
        <f>IF(F119&lt;&gt;"",F119-TODAY(),"")</f>
        <v/>
      </c>
      <c r="M119" s="42">
        <f>IF(F119="","",IF(AND(L119&lt;0,I119&lt;&gt;"Renewed",I119&lt;&gt;"N/A"),"EXPIRED",I119))</f>
        <v/>
      </c>
    </row>
    <row r="120" ht="20" customHeight="1">
      <c r="A120" s="38" t="n"/>
      <c r="B120" s="38" t="n"/>
      <c r="C120" s="38" t="n"/>
      <c r="D120" s="38" t="n"/>
      <c r="E120" s="39" t="n"/>
      <c r="F120" s="39" t="n"/>
      <c r="G120" s="38" t="n"/>
      <c r="H120" s="40" t="n"/>
      <c r="I120" s="38" t="n"/>
      <c r="J120" s="38" t="n"/>
      <c r="K120" s="38" t="n"/>
      <c r="L120" s="41">
        <f>IF(F120&lt;&gt;"",F120-TODAY(),"")</f>
        <v/>
      </c>
      <c r="M120" s="42">
        <f>IF(F120="","",IF(AND(L120&lt;0,I120&lt;&gt;"Renewed",I120&lt;&gt;"N/A"),"EXPIRED",I120))</f>
        <v/>
      </c>
    </row>
    <row r="121" ht="20" customHeight="1">
      <c r="A121" s="38" t="n"/>
      <c r="B121" s="38" t="n"/>
      <c r="C121" s="38" t="n"/>
      <c r="D121" s="38" t="n"/>
      <c r="E121" s="39" t="n"/>
      <c r="F121" s="39" t="n"/>
      <c r="G121" s="38" t="n"/>
      <c r="H121" s="40" t="n"/>
      <c r="I121" s="38" t="n"/>
      <c r="J121" s="38" t="n"/>
      <c r="K121" s="38" t="n"/>
      <c r="L121" s="41">
        <f>IF(F121&lt;&gt;"",F121-TODAY(),"")</f>
        <v/>
      </c>
      <c r="M121" s="42">
        <f>IF(F121="","",IF(AND(L121&lt;0,I121&lt;&gt;"Renewed",I121&lt;&gt;"N/A"),"EXPIRED",I121))</f>
        <v/>
      </c>
    </row>
    <row r="122" ht="20" customHeight="1">
      <c r="A122" s="38" t="n"/>
      <c r="B122" s="38" t="n"/>
      <c r="C122" s="38" t="n"/>
      <c r="D122" s="38" t="n"/>
      <c r="E122" s="39" t="n"/>
      <c r="F122" s="39" t="n"/>
      <c r="G122" s="38" t="n"/>
      <c r="H122" s="40" t="n"/>
      <c r="I122" s="38" t="n"/>
      <c r="J122" s="38" t="n"/>
      <c r="K122" s="38" t="n"/>
      <c r="L122" s="41">
        <f>IF(F122&lt;&gt;"",F122-TODAY(),"")</f>
        <v/>
      </c>
      <c r="M122" s="42">
        <f>IF(F122="","",IF(AND(L122&lt;0,I122&lt;&gt;"Renewed",I122&lt;&gt;"N/A"),"EXPIRED",I122))</f>
        <v/>
      </c>
    </row>
    <row r="123" ht="20" customHeight="1">
      <c r="A123" s="38" t="n"/>
      <c r="B123" s="38" t="n"/>
      <c r="C123" s="38" t="n"/>
      <c r="D123" s="38" t="n"/>
      <c r="E123" s="39" t="n"/>
      <c r="F123" s="39" t="n"/>
      <c r="G123" s="38" t="n"/>
      <c r="H123" s="40" t="n"/>
      <c r="I123" s="38" t="n"/>
      <c r="J123" s="38" t="n"/>
      <c r="K123" s="38" t="n"/>
      <c r="L123" s="41">
        <f>IF(F123&lt;&gt;"",F123-TODAY(),"")</f>
        <v/>
      </c>
      <c r="M123" s="42">
        <f>IF(F123="","",IF(AND(L123&lt;0,I123&lt;&gt;"Renewed",I123&lt;&gt;"N/A"),"EXPIRED",I123))</f>
        <v/>
      </c>
    </row>
    <row r="124" ht="20" customHeight="1">
      <c r="A124" s="38" t="n"/>
      <c r="B124" s="38" t="n"/>
      <c r="C124" s="38" t="n"/>
      <c r="D124" s="38" t="n"/>
      <c r="E124" s="39" t="n"/>
      <c r="F124" s="39" t="n"/>
      <c r="G124" s="38" t="n"/>
      <c r="H124" s="40" t="n"/>
      <c r="I124" s="38" t="n"/>
      <c r="J124" s="38" t="n"/>
      <c r="K124" s="38" t="n"/>
      <c r="L124" s="41">
        <f>IF(F124&lt;&gt;"",F124-TODAY(),"")</f>
        <v/>
      </c>
      <c r="M124" s="42">
        <f>IF(F124="","",IF(AND(L124&lt;0,I124&lt;&gt;"Renewed",I124&lt;&gt;"N/A"),"EXPIRED",I124))</f>
        <v/>
      </c>
    </row>
    <row r="125" ht="20" customHeight="1">
      <c r="A125" s="38" t="n"/>
      <c r="B125" s="38" t="n"/>
      <c r="C125" s="38" t="n"/>
      <c r="D125" s="38" t="n"/>
      <c r="E125" s="39" t="n"/>
      <c r="F125" s="39" t="n"/>
      <c r="G125" s="38" t="n"/>
      <c r="H125" s="40" t="n"/>
      <c r="I125" s="38" t="n"/>
      <c r="J125" s="38" t="n"/>
      <c r="K125" s="38" t="n"/>
      <c r="L125" s="41">
        <f>IF(F125&lt;&gt;"",F125-TODAY(),"")</f>
        <v/>
      </c>
      <c r="M125" s="42">
        <f>IF(F125="","",IF(AND(L125&lt;0,I125&lt;&gt;"Renewed",I125&lt;&gt;"N/A"),"EXPIRED",I125))</f>
        <v/>
      </c>
    </row>
    <row r="126" ht="20" customHeight="1">
      <c r="A126" s="38" t="n"/>
      <c r="B126" s="38" t="n"/>
      <c r="C126" s="38" t="n"/>
      <c r="D126" s="38" t="n"/>
      <c r="E126" s="39" t="n"/>
      <c r="F126" s="39" t="n"/>
      <c r="G126" s="38" t="n"/>
      <c r="H126" s="40" t="n"/>
      <c r="I126" s="38" t="n"/>
      <c r="J126" s="38" t="n"/>
      <c r="K126" s="38" t="n"/>
      <c r="L126" s="41">
        <f>IF(F126&lt;&gt;"",F126-TODAY(),"")</f>
        <v/>
      </c>
      <c r="M126" s="42">
        <f>IF(F126="","",IF(AND(L126&lt;0,I126&lt;&gt;"Renewed",I126&lt;&gt;"N/A"),"EXPIRED",I126))</f>
        <v/>
      </c>
    </row>
    <row r="127" ht="20" customHeight="1">
      <c r="A127" s="38" t="n"/>
      <c r="B127" s="38" t="n"/>
      <c r="C127" s="38" t="n"/>
      <c r="D127" s="38" t="n"/>
      <c r="E127" s="39" t="n"/>
      <c r="F127" s="39" t="n"/>
      <c r="G127" s="38" t="n"/>
      <c r="H127" s="40" t="n"/>
      <c r="I127" s="38" t="n"/>
      <c r="J127" s="38" t="n"/>
      <c r="K127" s="38" t="n"/>
      <c r="L127" s="41">
        <f>IF(F127&lt;&gt;"",F127-TODAY(),"")</f>
        <v/>
      </c>
      <c r="M127" s="42">
        <f>IF(F127="","",IF(AND(L127&lt;0,I127&lt;&gt;"Renewed",I127&lt;&gt;"N/A"),"EXPIRED",I127))</f>
        <v/>
      </c>
    </row>
    <row r="128" ht="20" customHeight="1">
      <c r="A128" s="38" t="n"/>
      <c r="B128" s="38" t="n"/>
      <c r="C128" s="38" t="n"/>
      <c r="D128" s="38" t="n"/>
      <c r="E128" s="39" t="n"/>
      <c r="F128" s="39" t="n"/>
      <c r="G128" s="38" t="n"/>
      <c r="H128" s="40" t="n"/>
      <c r="I128" s="38" t="n"/>
      <c r="J128" s="38" t="n"/>
      <c r="K128" s="38" t="n"/>
      <c r="L128" s="41">
        <f>IF(F128&lt;&gt;"",F128-TODAY(),"")</f>
        <v/>
      </c>
      <c r="M128" s="42">
        <f>IF(F128="","",IF(AND(L128&lt;0,I128&lt;&gt;"Renewed",I128&lt;&gt;"N/A"),"EXPIRED",I128))</f>
        <v/>
      </c>
    </row>
    <row r="129" ht="20" customHeight="1">
      <c r="A129" s="38" t="n"/>
      <c r="B129" s="38" t="n"/>
      <c r="C129" s="38" t="n"/>
      <c r="D129" s="38" t="n"/>
      <c r="E129" s="39" t="n"/>
      <c r="F129" s="39" t="n"/>
      <c r="G129" s="38" t="n"/>
      <c r="H129" s="40" t="n"/>
      <c r="I129" s="38" t="n"/>
      <c r="J129" s="38" t="n"/>
      <c r="K129" s="38" t="n"/>
      <c r="L129" s="41">
        <f>IF(F129&lt;&gt;"",F129-TODAY(),"")</f>
        <v/>
      </c>
      <c r="M129" s="42">
        <f>IF(F129="","",IF(AND(L129&lt;0,I129&lt;&gt;"Renewed",I129&lt;&gt;"N/A"),"EXPIRED",I129))</f>
        <v/>
      </c>
    </row>
    <row r="130" ht="20" customHeight="1">
      <c r="A130" s="38" t="n"/>
      <c r="B130" s="38" t="n"/>
      <c r="C130" s="38" t="n"/>
      <c r="D130" s="38" t="n"/>
      <c r="E130" s="39" t="n"/>
      <c r="F130" s="39" t="n"/>
      <c r="G130" s="38" t="n"/>
      <c r="H130" s="40" t="n"/>
      <c r="I130" s="38" t="n"/>
      <c r="J130" s="38" t="n"/>
      <c r="K130" s="38" t="n"/>
      <c r="L130" s="41">
        <f>IF(F130&lt;&gt;"",F130-TODAY(),"")</f>
        <v/>
      </c>
      <c r="M130" s="42">
        <f>IF(F130="","",IF(AND(L130&lt;0,I130&lt;&gt;"Renewed",I130&lt;&gt;"N/A"),"EXPIRED",I130))</f>
        <v/>
      </c>
    </row>
    <row r="131" ht="20" customHeight="1">
      <c r="A131" s="38" t="n"/>
      <c r="B131" s="38" t="n"/>
      <c r="C131" s="38" t="n"/>
      <c r="D131" s="38" t="n"/>
      <c r="E131" s="39" t="n"/>
      <c r="F131" s="39" t="n"/>
      <c r="G131" s="38" t="n"/>
      <c r="H131" s="40" t="n"/>
      <c r="I131" s="38" t="n"/>
      <c r="J131" s="38" t="n"/>
      <c r="K131" s="38" t="n"/>
      <c r="L131" s="41">
        <f>IF(F131&lt;&gt;"",F131-TODAY(),"")</f>
        <v/>
      </c>
      <c r="M131" s="42">
        <f>IF(F131="","",IF(AND(L131&lt;0,I131&lt;&gt;"Renewed",I131&lt;&gt;"N/A"),"EXPIRED",I131))</f>
        <v/>
      </c>
    </row>
    <row r="132" ht="20" customHeight="1">
      <c r="A132" s="38" t="n"/>
      <c r="B132" s="38" t="n"/>
      <c r="C132" s="38" t="n"/>
      <c r="D132" s="38" t="n"/>
      <c r="E132" s="39" t="n"/>
      <c r="F132" s="39" t="n"/>
      <c r="G132" s="38" t="n"/>
      <c r="H132" s="40" t="n"/>
      <c r="I132" s="38" t="n"/>
      <c r="J132" s="38" t="n"/>
      <c r="K132" s="38" t="n"/>
      <c r="L132" s="41">
        <f>IF(F132&lt;&gt;"",F132-TODAY(),"")</f>
        <v/>
      </c>
      <c r="M132" s="42">
        <f>IF(F132="","",IF(AND(L132&lt;0,I132&lt;&gt;"Renewed",I132&lt;&gt;"N/A"),"EXPIRED",I132))</f>
        <v/>
      </c>
    </row>
    <row r="133" ht="20" customHeight="1">
      <c r="A133" s="38" t="n"/>
      <c r="B133" s="38" t="n"/>
      <c r="C133" s="38" t="n"/>
      <c r="D133" s="38" t="n"/>
      <c r="E133" s="39" t="n"/>
      <c r="F133" s="39" t="n"/>
      <c r="G133" s="38" t="n"/>
      <c r="H133" s="40" t="n"/>
      <c r="I133" s="38" t="n"/>
      <c r="J133" s="38" t="n"/>
      <c r="K133" s="38" t="n"/>
      <c r="L133" s="41">
        <f>IF(F133&lt;&gt;"",F133-TODAY(),"")</f>
        <v/>
      </c>
      <c r="M133" s="42">
        <f>IF(F133="","",IF(AND(L133&lt;0,I133&lt;&gt;"Renewed",I133&lt;&gt;"N/A"),"EXPIRED",I133))</f>
        <v/>
      </c>
    </row>
    <row r="134" ht="20" customHeight="1">
      <c r="A134" s="38" t="n"/>
      <c r="B134" s="38" t="n"/>
      <c r="C134" s="38" t="n"/>
      <c r="D134" s="38" t="n"/>
      <c r="E134" s="39" t="n"/>
      <c r="F134" s="39" t="n"/>
      <c r="G134" s="38" t="n"/>
      <c r="H134" s="40" t="n"/>
      <c r="I134" s="38" t="n"/>
      <c r="J134" s="38" t="n"/>
      <c r="K134" s="38" t="n"/>
      <c r="L134" s="41">
        <f>IF(F134&lt;&gt;"",F134-TODAY(),"")</f>
        <v/>
      </c>
      <c r="M134" s="42">
        <f>IF(F134="","",IF(AND(L134&lt;0,I134&lt;&gt;"Renewed",I134&lt;&gt;"N/A"),"EXPIRED",I134))</f>
        <v/>
      </c>
    </row>
    <row r="135" ht="20" customHeight="1">
      <c r="A135" s="38" t="n"/>
      <c r="B135" s="38" t="n"/>
      <c r="C135" s="38" t="n"/>
      <c r="D135" s="38" t="n"/>
      <c r="E135" s="39" t="n"/>
      <c r="F135" s="39" t="n"/>
      <c r="G135" s="38" t="n"/>
      <c r="H135" s="40" t="n"/>
      <c r="I135" s="38" t="n"/>
      <c r="J135" s="38" t="n"/>
      <c r="K135" s="38" t="n"/>
      <c r="L135" s="41">
        <f>IF(F135&lt;&gt;"",F135-TODAY(),"")</f>
        <v/>
      </c>
      <c r="M135" s="42">
        <f>IF(F135="","",IF(AND(L135&lt;0,I135&lt;&gt;"Renewed",I135&lt;&gt;"N/A"),"EXPIRED",I135))</f>
        <v/>
      </c>
    </row>
    <row r="136" ht="20" customHeight="1">
      <c r="A136" s="38" t="n"/>
      <c r="B136" s="38" t="n"/>
      <c r="C136" s="38" t="n"/>
      <c r="D136" s="38" t="n"/>
      <c r="E136" s="39" t="n"/>
      <c r="F136" s="39" t="n"/>
      <c r="G136" s="38" t="n"/>
      <c r="H136" s="40" t="n"/>
      <c r="I136" s="38" t="n"/>
      <c r="J136" s="38" t="n"/>
      <c r="K136" s="38" t="n"/>
      <c r="L136" s="41">
        <f>IF(F136&lt;&gt;"",F136-TODAY(),"")</f>
        <v/>
      </c>
      <c r="M136" s="42">
        <f>IF(F136="","",IF(AND(L136&lt;0,I136&lt;&gt;"Renewed",I136&lt;&gt;"N/A"),"EXPIRED",I136))</f>
        <v/>
      </c>
    </row>
    <row r="137" ht="20" customHeight="1">
      <c r="A137" s="38" t="n"/>
      <c r="B137" s="38" t="n"/>
      <c r="C137" s="38" t="n"/>
      <c r="D137" s="38" t="n"/>
      <c r="E137" s="39" t="n"/>
      <c r="F137" s="39" t="n"/>
      <c r="G137" s="38" t="n"/>
      <c r="H137" s="40" t="n"/>
      <c r="I137" s="38" t="n"/>
      <c r="J137" s="38" t="n"/>
      <c r="K137" s="38" t="n"/>
      <c r="L137" s="41">
        <f>IF(F137&lt;&gt;"",F137-TODAY(),"")</f>
        <v/>
      </c>
      <c r="M137" s="42">
        <f>IF(F137="","",IF(AND(L137&lt;0,I137&lt;&gt;"Renewed",I137&lt;&gt;"N/A"),"EXPIRED",I137))</f>
        <v/>
      </c>
    </row>
    <row r="138" ht="20" customHeight="1">
      <c r="A138" s="38" t="n"/>
      <c r="B138" s="38" t="n"/>
      <c r="C138" s="38" t="n"/>
      <c r="D138" s="38" t="n"/>
      <c r="E138" s="39" t="n"/>
      <c r="F138" s="39" t="n"/>
      <c r="G138" s="38" t="n"/>
      <c r="H138" s="40" t="n"/>
      <c r="I138" s="38" t="n"/>
      <c r="J138" s="38" t="n"/>
      <c r="K138" s="38" t="n"/>
      <c r="L138" s="41">
        <f>IF(F138&lt;&gt;"",F138-TODAY(),"")</f>
        <v/>
      </c>
      <c r="M138" s="42">
        <f>IF(F138="","",IF(AND(L138&lt;0,I138&lt;&gt;"Renewed",I138&lt;&gt;"N/A"),"EXPIRED",I138))</f>
        <v/>
      </c>
    </row>
    <row r="139" ht="20" customHeight="1">
      <c r="A139" s="38" t="n"/>
      <c r="B139" s="38" t="n"/>
      <c r="C139" s="38" t="n"/>
      <c r="D139" s="38" t="n"/>
      <c r="E139" s="39" t="n"/>
      <c r="F139" s="39" t="n"/>
      <c r="G139" s="38" t="n"/>
      <c r="H139" s="40" t="n"/>
      <c r="I139" s="38" t="n"/>
      <c r="J139" s="38" t="n"/>
      <c r="K139" s="38" t="n"/>
      <c r="L139" s="41">
        <f>IF(F139&lt;&gt;"",F139-TODAY(),"")</f>
        <v/>
      </c>
      <c r="M139" s="42">
        <f>IF(F139="","",IF(AND(L139&lt;0,I139&lt;&gt;"Renewed",I139&lt;&gt;"N/A"),"EXPIRED",I139))</f>
        <v/>
      </c>
    </row>
    <row r="140" ht="20" customHeight="1">
      <c r="A140" s="38" t="n"/>
      <c r="B140" s="38" t="n"/>
      <c r="C140" s="38" t="n"/>
      <c r="D140" s="38" t="n"/>
      <c r="E140" s="39" t="n"/>
      <c r="F140" s="39" t="n"/>
      <c r="G140" s="38" t="n"/>
      <c r="H140" s="40" t="n"/>
      <c r="I140" s="38" t="n"/>
      <c r="J140" s="38" t="n"/>
      <c r="K140" s="38" t="n"/>
      <c r="L140" s="41">
        <f>IF(F140&lt;&gt;"",F140-TODAY(),"")</f>
        <v/>
      </c>
      <c r="M140" s="42">
        <f>IF(F140="","",IF(AND(L140&lt;0,I140&lt;&gt;"Renewed",I140&lt;&gt;"N/A"),"EXPIRED",I140))</f>
        <v/>
      </c>
    </row>
    <row r="141" ht="20" customHeight="1">
      <c r="A141" s="38" t="n"/>
      <c r="B141" s="38" t="n"/>
      <c r="C141" s="38" t="n"/>
      <c r="D141" s="38" t="n"/>
      <c r="E141" s="39" t="n"/>
      <c r="F141" s="39" t="n"/>
      <c r="G141" s="38" t="n"/>
      <c r="H141" s="40" t="n"/>
      <c r="I141" s="38" t="n"/>
      <c r="J141" s="38" t="n"/>
      <c r="K141" s="38" t="n"/>
      <c r="L141" s="41">
        <f>IF(F141&lt;&gt;"",F141-TODAY(),"")</f>
        <v/>
      </c>
      <c r="M141" s="42">
        <f>IF(F141="","",IF(AND(L141&lt;0,I141&lt;&gt;"Renewed",I141&lt;&gt;"N/A"),"EXPIRED",I141))</f>
        <v/>
      </c>
    </row>
    <row r="142" ht="20" customHeight="1">
      <c r="A142" s="38" t="n"/>
      <c r="B142" s="38" t="n"/>
      <c r="C142" s="38" t="n"/>
      <c r="D142" s="38" t="n"/>
      <c r="E142" s="39" t="n"/>
      <c r="F142" s="39" t="n"/>
      <c r="G142" s="38" t="n"/>
      <c r="H142" s="40" t="n"/>
      <c r="I142" s="38" t="n"/>
      <c r="J142" s="38" t="n"/>
      <c r="K142" s="38" t="n"/>
      <c r="L142" s="41">
        <f>IF(F142&lt;&gt;"",F142-TODAY(),"")</f>
        <v/>
      </c>
      <c r="M142" s="42">
        <f>IF(F142="","",IF(AND(L142&lt;0,I142&lt;&gt;"Renewed",I142&lt;&gt;"N/A"),"EXPIRED",I142))</f>
        <v/>
      </c>
    </row>
    <row r="143" ht="20" customHeight="1">
      <c r="A143" s="38" t="n"/>
      <c r="B143" s="38" t="n"/>
      <c r="C143" s="38" t="n"/>
      <c r="D143" s="38" t="n"/>
      <c r="E143" s="39" t="n"/>
      <c r="F143" s="39" t="n"/>
      <c r="G143" s="38" t="n"/>
      <c r="H143" s="40" t="n"/>
      <c r="I143" s="38" t="n"/>
      <c r="J143" s="38" t="n"/>
      <c r="K143" s="38" t="n"/>
      <c r="L143" s="41">
        <f>IF(F143&lt;&gt;"",F143-TODAY(),"")</f>
        <v/>
      </c>
      <c r="M143" s="42">
        <f>IF(F143="","",IF(AND(L143&lt;0,I143&lt;&gt;"Renewed",I143&lt;&gt;"N/A"),"EXPIRED",I143))</f>
        <v/>
      </c>
    </row>
    <row r="144" ht="20" customHeight="1">
      <c r="A144" s="38" t="n"/>
      <c r="B144" s="38" t="n"/>
      <c r="C144" s="38" t="n"/>
      <c r="D144" s="38" t="n"/>
      <c r="E144" s="39" t="n"/>
      <c r="F144" s="39" t="n"/>
      <c r="G144" s="38" t="n"/>
      <c r="H144" s="40" t="n"/>
      <c r="I144" s="38" t="n"/>
      <c r="J144" s="38" t="n"/>
      <c r="K144" s="38" t="n"/>
      <c r="L144" s="41">
        <f>IF(F144&lt;&gt;"",F144-TODAY(),"")</f>
        <v/>
      </c>
      <c r="M144" s="42">
        <f>IF(F144="","",IF(AND(L144&lt;0,I144&lt;&gt;"Renewed",I144&lt;&gt;"N/A"),"EXPIRED",I144))</f>
        <v/>
      </c>
    </row>
    <row r="145" ht="20" customHeight="1">
      <c r="A145" s="38" t="n"/>
      <c r="B145" s="38" t="n"/>
      <c r="C145" s="38" t="n"/>
      <c r="D145" s="38" t="n"/>
      <c r="E145" s="39" t="n"/>
      <c r="F145" s="39" t="n"/>
      <c r="G145" s="38" t="n"/>
      <c r="H145" s="40" t="n"/>
      <c r="I145" s="38" t="n"/>
      <c r="J145" s="38" t="n"/>
      <c r="K145" s="38" t="n"/>
      <c r="L145" s="41">
        <f>IF(F145&lt;&gt;"",F145-TODAY(),"")</f>
        <v/>
      </c>
      <c r="M145" s="42">
        <f>IF(F145="","",IF(AND(L145&lt;0,I145&lt;&gt;"Renewed",I145&lt;&gt;"N/A"),"EXPIRED",I145))</f>
        <v/>
      </c>
    </row>
    <row r="146" ht="20" customHeight="1">
      <c r="A146" s="38" t="n"/>
      <c r="B146" s="38" t="n"/>
      <c r="C146" s="38" t="n"/>
      <c r="D146" s="38" t="n"/>
      <c r="E146" s="39" t="n"/>
      <c r="F146" s="39" t="n"/>
      <c r="G146" s="38" t="n"/>
      <c r="H146" s="40" t="n"/>
      <c r="I146" s="38" t="n"/>
      <c r="J146" s="38" t="n"/>
      <c r="K146" s="38" t="n"/>
      <c r="L146" s="41">
        <f>IF(F146&lt;&gt;"",F146-TODAY(),"")</f>
        <v/>
      </c>
      <c r="M146" s="42">
        <f>IF(F146="","",IF(AND(L146&lt;0,I146&lt;&gt;"Renewed",I146&lt;&gt;"N/A"),"EXPIRED",I146))</f>
        <v/>
      </c>
    </row>
    <row r="147" ht="20" customHeight="1">
      <c r="A147" s="38" t="n"/>
      <c r="B147" s="38" t="n"/>
      <c r="C147" s="38" t="n"/>
      <c r="D147" s="38" t="n"/>
      <c r="E147" s="39" t="n"/>
      <c r="F147" s="39" t="n"/>
      <c r="G147" s="38" t="n"/>
      <c r="H147" s="40" t="n"/>
      <c r="I147" s="38" t="n"/>
      <c r="J147" s="38" t="n"/>
      <c r="K147" s="38" t="n"/>
      <c r="L147" s="41">
        <f>IF(F147&lt;&gt;"",F147-TODAY(),"")</f>
        <v/>
      </c>
      <c r="M147" s="42">
        <f>IF(F147="","",IF(AND(L147&lt;0,I147&lt;&gt;"Renewed",I147&lt;&gt;"N/A"),"EXPIRED",I147))</f>
        <v/>
      </c>
    </row>
    <row r="148" ht="20" customHeight="1">
      <c r="A148" s="38" t="n"/>
      <c r="B148" s="38" t="n"/>
      <c r="C148" s="38" t="n"/>
      <c r="D148" s="38" t="n"/>
      <c r="E148" s="39" t="n"/>
      <c r="F148" s="39" t="n"/>
      <c r="G148" s="38" t="n"/>
      <c r="H148" s="40" t="n"/>
      <c r="I148" s="38" t="n"/>
      <c r="J148" s="38" t="n"/>
      <c r="K148" s="38" t="n"/>
      <c r="L148" s="41">
        <f>IF(F148&lt;&gt;"",F148-TODAY(),"")</f>
        <v/>
      </c>
      <c r="M148" s="42">
        <f>IF(F148="","",IF(AND(L148&lt;0,I148&lt;&gt;"Renewed",I148&lt;&gt;"N/A"),"EXPIRED",I148))</f>
        <v/>
      </c>
    </row>
    <row r="149" ht="20" customHeight="1">
      <c r="A149" s="38" t="n"/>
      <c r="B149" s="38" t="n"/>
      <c r="C149" s="38" t="n"/>
      <c r="D149" s="38" t="n"/>
      <c r="E149" s="39" t="n"/>
      <c r="F149" s="39" t="n"/>
      <c r="G149" s="38" t="n"/>
      <c r="H149" s="40" t="n"/>
      <c r="I149" s="38" t="n"/>
      <c r="J149" s="38" t="n"/>
      <c r="K149" s="38" t="n"/>
      <c r="L149" s="41">
        <f>IF(F149&lt;&gt;"",F149-TODAY(),"")</f>
        <v/>
      </c>
      <c r="M149" s="42">
        <f>IF(F149="","",IF(AND(L149&lt;0,I149&lt;&gt;"Renewed",I149&lt;&gt;"N/A"),"EXPIRED",I149))</f>
        <v/>
      </c>
    </row>
    <row r="150" ht="20" customHeight="1">
      <c r="A150" s="38" t="n"/>
      <c r="B150" s="38" t="n"/>
      <c r="C150" s="38" t="n"/>
      <c r="D150" s="38" t="n"/>
      <c r="E150" s="39" t="n"/>
      <c r="F150" s="39" t="n"/>
      <c r="G150" s="38" t="n"/>
      <c r="H150" s="40" t="n"/>
      <c r="I150" s="38" t="n"/>
      <c r="J150" s="38" t="n"/>
      <c r="K150" s="38" t="n"/>
      <c r="L150" s="41">
        <f>IF(F150&lt;&gt;"",F150-TODAY(),"")</f>
        <v/>
      </c>
      <c r="M150" s="42">
        <f>IF(F150="","",IF(AND(L150&lt;0,I150&lt;&gt;"Renewed",I150&lt;&gt;"N/A"),"EXPIRED",I150))</f>
        <v/>
      </c>
    </row>
    <row r="151" ht="20" customHeight="1">
      <c r="A151" s="38" t="n"/>
      <c r="B151" s="38" t="n"/>
      <c r="C151" s="38" t="n"/>
      <c r="D151" s="38" t="n"/>
      <c r="E151" s="39" t="n"/>
      <c r="F151" s="39" t="n"/>
      <c r="G151" s="38" t="n"/>
      <c r="H151" s="40" t="n"/>
      <c r="I151" s="38" t="n"/>
      <c r="J151" s="38" t="n"/>
      <c r="K151" s="38" t="n"/>
      <c r="L151" s="41">
        <f>IF(F151&lt;&gt;"",F151-TODAY(),"")</f>
        <v/>
      </c>
      <c r="M151" s="42">
        <f>IF(F151="","",IF(AND(L151&lt;0,I151&lt;&gt;"Renewed",I151&lt;&gt;"N/A"),"EXPIRED",I151))</f>
        <v/>
      </c>
    </row>
    <row r="152" ht="20" customHeight="1">
      <c r="A152" s="38" t="n"/>
      <c r="B152" s="38" t="n"/>
      <c r="C152" s="38" t="n"/>
      <c r="D152" s="38" t="n"/>
      <c r="E152" s="39" t="n"/>
      <c r="F152" s="39" t="n"/>
      <c r="G152" s="38" t="n"/>
      <c r="H152" s="40" t="n"/>
      <c r="I152" s="38" t="n"/>
      <c r="J152" s="38" t="n"/>
      <c r="K152" s="38" t="n"/>
      <c r="L152" s="41">
        <f>IF(F152&lt;&gt;"",F152-TODAY(),"")</f>
        <v/>
      </c>
      <c r="M152" s="42">
        <f>IF(F152="","",IF(AND(L152&lt;0,I152&lt;&gt;"Renewed",I152&lt;&gt;"N/A"),"EXPIRED",I152))</f>
        <v/>
      </c>
    </row>
    <row r="153" ht="20" customHeight="1">
      <c r="A153" s="38" t="n"/>
      <c r="B153" s="38" t="n"/>
      <c r="C153" s="38" t="n"/>
      <c r="D153" s="38" t="n"/>
      <c r="E153" s="39" t="n"/>
      <c r="F153" s="39" t="n"/>
      <c r="G153" s="38" t="n"/>
      <c r="H153" s="40" t="n"/>
      <c r="I153" s="38" t="n"/>
      <c r="J153" s="38" t="n"/>
      <c r="K153" s="38" t="n"/>
      <c r="L153" s="41">
        <f>IF(F153&lt;&gt;"",F153-TODAY(),"")</f>
        <v/>
      </c>
      <c r="M153" s="42">
        <f>IF(F153="","",IF(AND(L153&lt;0,I153&lt;&gt;"Renewed",I153&lt;&gt;"N/A"),"EXPIRED",I153))</f>
        <v/>
      </c>
    </row>
    <row r="154" ht="20" customHeight="1">
      <c r="A154" s="38" t="n"/>
      <c r="B154" s="38" t="n"/>
      <c r="C154" s="38" t="n"/>
      <c r="D154" s="38" t="n"/>
      <c r="E154" s="39" t="n"/>
      <c r="F154" s="39" t="n"/>
      <c r="G154" s="38" t="n"/>
      <c r="H154" s="40" t="n"/>
      <c r="I154" s="38" t="n"/>
      <c r="J154" s="38" t="n"/>
      <c r="K154" s="38" t="n"/>
      <c r="L154" s="41">
        <f>IF(F154&lt;&gt;"",F154-TODAY(),"")</f>
        <v/>
      </c>
      <c r="M154" s="42">
        <f>IF(F154="","",IF(AND(L154&lt;0,I154&lt;&gt;"Renewed",I154&lt;&gt;"N/A"),"EXPIRED",I154))</f>
        <v/>
      </c>
    </row>
    <row r="155" ht="20" customHeight="1">
      <c r="A155" s="38" t="n"/>
      <c r="B155" s="38" t="n"/>
      <c r="C155" s="38" t="n"/>
      <c r="D155" s="38" t="n"/>
      <c r="E155" s="39" t="n"/>
      <c r="F155" s="39" t="n"/>
      <c r="G155" s="38" t="n"/>
      <c r="H155" s="40" t="n"/>
      <c r="I155" s="38" t="n"/>
      <c r="J155" s="38" t="n"/>
      <c r="K155" s="38" t="n"/>
      <c r="L155" s="41">
        <f>IF(F155&lt;&gt;"",F155-TODAY(),"")</f>
        <v/>
      </c>
      <c r="M155" s="42">
        <f>IF(F155="","",IF(AND(L155&lt;0,I155&lt;&gt;"Renewed",I155&lt;&gt;"N/A"),"EXPIRED",I155))</f>
        <v/>
      </c>
    </row>
    <row r="156" ht="20" customHeight="1">
      <c r="A156" s="38" t="n"/>
      <c r="B156" s="38" t="n"/>
      <c r="C156" s="38" t="n"/>
      <c r="D156" s="38" t="n"/>
      <c r="E156" s="39" t="n"/>
      <c r="F156" s="39" t="n"/>
      <c r="G156" s="38" t="n"/>
      <c r="H156" s="40" t="n"/>
      <c r="I156" s="38" t="n"/>
      <c r="J156" s="38" t="n"/>
      <c r="K156" s="38" t="n"/>
      <c r="L156" s="41">
        <f>IF(F156&lt;&gt;"",F156-TODAY(),"")</f>
        <v/>
      </c>
      <c r="M156" s="42">
        <f>IF(F156="","",IF(AND(L156&lt;0,I156&lt;&gt;"Renewed",I156&lt;&gt;"N/A"),"EXPIRED",I156))</f>
        <v/>
      </c>
    </row>
    <row r="157" ht="20" customHeight="1">
      <c r="A157" s="38" t="n"/>
      <c r="B157" s="38" t="n"/>
      <c r="C157" s="38" t="n"/>
      <c r="D157" s="38" t="n"/>
      <c r="E157" s="39" t="n"/>
      <c r="F157" s="39" t="n"/>
      <c r="G157" s="38" t="n"/>
      <c r="H157" s="40" t="n"/>
      <c r="I157" s="38" t="n"/>
      <c r="J157" s="38" t="n"/>
      <c r="K157" s="38" t="n"/>
      <c r="L157" s="41">
        <f>IF(F157&lt;&gt;"",F157-TODAY(),"")</f>
        <v/>
      </c>
      <c r="M157" s="42">
        <f>IF(F157="","",IF(AND(L157&lt;0,I157&lt;&gt;"Renewed",I157&lt;&gt;"N/A"),"EXPIRED",I157))</f>
        <v/>
      </c>
    </row>
    <row r="158" ht="20" customHeight="1">
      <c r="A158" s="38" t="n"/>
      <c r="B158" s="38" t="n"/>
      <c r="C158" s="38" t="n"/>
      <c r="D158" s="38" t="n"/>
      <c r="E158" s="39" t="n"/>
      <c r="F158" s="39" t="n"/>
      <c r="G158" s="38" t="n"/>
      <c r="H158" s="40" t="n"/>
      <c r="I158" s="38" t="n"/>
      <c r="J158" s="38" t="n"/>
      <c r="K158" s="38" t="n"/>
      <c r="L158" s="41">
        <f>IF(F158&lt;&gt;"",F158-TODAY(),"")</f>
        <v/>
      </c>
      <c r="M158" s="42">
        <f>IF(F158="","",IF(AND(L158&lt;0,I158&lt;&gt;"Renewed",I158&lt;&gt;"N/A"),"EXPIRED",I158))</f>
        <v/>
      </c>
    </row>
    <row r="159" ht="20" customHeight="1">
      <c r="A159" s="38" t="n"/>
      <c r="B159" s="38" t="n"/>
      <c r="C159" s="38" t="n"/>
      <c r="D159" s="38" t="n"/>
      <c r="E159" s="39" t="n"/>
      <c r="F159" s="39" t="n"/>
      <c r="G159" s="38" t="n"/>
      <c r="H159" s="40" t="n"/>
      <c r="I159" s="38" t="n"/>
      <c r="J159" s="38" t="n"/>
      <c r="K159" s="38" t="n"/>
      <c r="L159" s="41">
        <f>IF(F159&lt;&gt;"",F159-TODAY(),"")</f>
        <v/>
      </c>
      <c r="M159" s="42">
        <f>IF(F159="","",IF(AND(L159&lt;0,I159&lt;&gt;"Renewed",I159&lt;&gt;"N/A"),"EXPIRED",I159))</f>
        <v/>
      </c>
    </row>
    <row r="160" ht="20" customHeight="1">
      <c r="A160" s="38" t="n"/>
      <c r="B160" s="38" t="n"/>
      <c r="C160" s="38" t="n"/>
      <c r="D160" s="38" t="n"/>
      <c r="E160" s="39" t="n"/>
      <c r="F160" s="39" t="n"/>
      <c r="G160" s="38" t="n"/>
      <c r="H160" s="40" t="n"/>
      <c r="I160" s="38" t="n"/>
      <c r="J160" s="38" t="n"/>
      <c r="K160" s="38" t="n"/>
      <c r="L160" s="41">
        <f>IF(F160&lt;&gt;"",F160-TODAY(),"")</f>
        <v/>
      </c>
      <c r="M160" s="42">
        <f>IF(F160="","",IF(AND(L160&lt;0,I160&lt;&gt;"Renewed",I160&lt;&gt;"N/A"),"EXPIRED",I160))</f>
        <v/>
      </c>
    </row>
    <row r="161" ht="20" customHeight="1">
      <c r="A161" s="38" t="n"/>
      <c r="B161" s="38" t="n"/>
      <c r="C161" s="38" t="n"/>
      <c r="D161" s="38" t="n"/>
      <c r="E161" s="39" t="n"/>
      <c r="F161" s="39" t="n"/>
      <c r="G161" s="38" t="n"/>
      <c r="H161" s="40" t="n"/>
      <c r="I161" s="38" t="n"/>
      <c r="J161" s="38" t="n"/>
      <c r="K161" s="38" t="n"/>
      <c r="L161" s="41">
        <f>IF(F161&lt;&gt;"",F161-TODAY(),"")</f>
        <v/>
      </c>
      <c r="M161" s="42">
        <f>IF(F161="","",IF(AND(L161&lt;0,I161&lt;&gt;"Renewed",I161&lt;&gt;"N/A"),"EXPIRED",I161))</f>
        <v/>
      </c>
    </row>
    <row r="162" ht="20" customHeight="1">
      <c r="A162" s="38" t="n"/>
      <c r="B162" s="38" t="n"/>
      <c r="C162" s="38" t="n"/>
      <c r="D162" s="38" t="n"/>
      <c r="E162" s="39" t="n"/>
      <c r="F162" s="39" t="n"/>
      <c r="G162" s="38" t="n"/>
      <c r="H162" s="40" t="n"/>
      <c r="I162" s="38" t="n"/>
      <c r="J162" s="38" t="n"/>
      <c r="K162" s="38" t="n"/>
      <c r="L162" s="41">
        <f>IF(F162&lt;&gt;"",F162-TODAY(),"")</f>
        <v/>
      </c>
      <c r="M162" s="42">
        <f>IF(F162="","",IF(AND(L162&lt;0,I162&lt;&gt;"Renewed",I162&lt;&gt;"N/A"),"EXPIRED",I162))</f>
        <v/>
      </c>
    </row>
    <row r="163" ht="20" customHeight="1">
      <c r="A163" s="38" t="n"/>
      <c r="B163" s="38" t="n"/>
      <c r="C163" s="38" t="n"/>
      <c r="D163" s="38" t="n"/>
      <c r="E163" s="39" t="n"/>
      <c r="F163" s="39" t="n"/>
      <c r="G163" s="38" t="n"/>
      <c r="H163" s="40" t="n"/>
      <c r="I163" s="38" t="n"/>
      <c r="J163" s="38" t="n"/>
      <c r="K163" s="38" t="n"/>
      <c r="L163" s="41">
        <f>IF(F163&lt;&gt;"",F163-TODAY(),"")</f>
        <v/>
      </c>
      <c r="M163" s="42">
        <f>IF(F163="","",IF(AND(L163&lt;0,I163&lt;&gt;"Renewed",I163&lt;&gt;"N/A"),"EXPIRED",I163))</f>
        <v/>
      </c>
    </row>
    <row r="164" ht="20" customHeight="1">
      <c r="A164" s="38" t="n"/>
      <c r="B164" s="38" t="n"/>
      <c r="C164" s="38" t="n"/>
      <c r="D164" s="38" t="n"/>
      <c r="E164" s="39" t="n"/>
      <c r="F164" s="39" t="n"/>
      <c r="G164" s="38" t="n"/>
      <c r="H164" s="40" t="n"/>
      <c r="I164" s="38" t="n"/>
      <c r="J164" s="38" t="n"/>
      <c r="K164" s="38" t="n"/>
      <c r="L164" s="41">
        <f>IF(F164&lt;&gt;"",F164-TODAY(),"")</f>
        <v/>
      </c>
      <c r="M164" s="42">
        <f>IF(F164="","",IF(AND(L164&lt;0,I164&lt;&gt;"Renewed",I164&lt;&gt;"N/A"),"EXPIRED",I164))</f>
        <v/>
      </c>
    </row>
    <row r="165" ht="20" customHeight="1">
      <c r="A165" s="38" t="n"/>
      <c r="B165" s="38" t="n"/>
      <c r="C165" s="38" t="n"/>
      <c r="D165" s="38" t="n"/>
      <c r="E165" s="39" t="n"/>
      <c r="F165" s="39" t="n"/>
      <c r="G165" s="38" t="n"/>
      <c r="H165" s="40" t="n"/>
      <c r="I165" s="38" t="n"/>
      <c r="J165" s="38" t="n"/>
      <c r="K165" s="38" t="n"/>
      <c r="L165" s="41">
        <f>IF(F165&lt;&gt;"",F165-TODAY(),"")</f>
        <v/>
      </c>
      <c r="M165" s="42">
        <f>IF(F165="","",IF(AND(L165&lt;0,I165&lt;&gt;"Renewed",I165&lt;&gt;"N/A"),"EXPIRED",I165))</f>
        <v/>
      </c>
    </row>
    <row r="166" ht="20" customHeight="1">
      <c r="A166" s="38" t="n"/>
      <c r="B166" s="38" t="n"/>
      <c r="C166" s="38" t="n"/>
      <c r="D166" s="38" t="n"/>
      <c r="E166" s="39" t="n"/>
      <c r="F166" s="39" t="n"/>
      <c r="G166" s="38" t="n"/>
      <c r="H166" s="40" t="n"/>
      <c r="I166" s="38" t="n"/>
      <c r="J166" s="38" t="n"/>
      <c r="K166" s="38" t="n"/>
      <c r="L166" s="41">
        <f>IF(F166&lt;&gt;"",F166-TODAY(),"")</f>
        <v/>
      </c>
      <c r="M166" s="42">
        <f>IF(F166="","",IF(AND(L166&lt;0,I166&lt;&gt;"Renewed",I166&lt;&gt;"N/A"),"EXPIRED",I166))</f>
        <v/>
      </c>
    </row>
    <row r="167" ht="20" customHeight="1">
      <c r="A167" s="38" t="n"/>
      <c r="B167" s="38" t="n"/>
      <c r="C167" s="38" t="n"/>
      <c r="D167" s="38" t="n"/>
      <c r="E167" s="39" t="n"/>
      <c r="F167" s="39" t="n"/>
      <c r="G167" s="38" t="n"/>
      <c r="H167" s="40" t="n"/>
      <c r="I167" s="38" t="n"/>
      <c r="J167" s="38" t="n"/>
      <c r="K167" s="38" t="n"/>
      <c r="L167" s="41">
        <f>IF(F167&lt;&gt;"",F167-TODAY(),"")</f>
        <v/>
      </c>
      <c r="M167" s="42">
        <f>IF(F167="","",IF(AND(L167&lt;0,I167&lt;&gt;"Renewed",I167&lt;&gt;"N/A"),"EXPIRED",I167))</f>
        <v/>
      </c>
    </row>
    <row r="168" ht="20" customHeight="1">
      <c r="A168" s="38" t="n"/>
      <c r="B168" s="38" t="n"/>
      <c r="C168" s="38" t="n"/>
      <c r="D168" s="38" t="n"/>
      <c r="E168" s="39" t="n"/>
      <c r="F168" s="39" t="n"/>
      <c r="G168" s="38" t="n"/>
      <c r="H168" s="40" t="n"/>
      <c r="I168" s="38" t="n"/>
      <c r="J168" s="38" t="n"/>
      <c r="K168" s="38" t="n"/>
      <c r="L168" s="41">
        <f>IF(F168&lt;&gt;"",F168-TODAY(),"")</f>
        <v/>
      </c>
      <c r="M168" s="42">
        <f>IF(F168="","",IF(AND(L168&lt;0,I168&lt;&gt;"Renewed",I168&lt;&gt;"N/A"),"EXPIRED",I168))</f>
        <v/>
      </c>
    </row>
    <row r="169" ht="20" customHeight="1">
      <c r="A169" s="38" t="n"/>
      <c r="B169" s="38" t="n"/>
      <c r="C169" s="38" t="n"/>
      <c r="D169" s="38" t="n"/>
      <c r="E169" s="39" t="n"/>
      <c r="F169" s="39" t="n"/>
      <c r="G169" s="38" t="n"/>
      <c r="H169" s="40" t="n"/>
      <c r="I169" s="38" t="n"/>
      <c r="J169" s="38" t="n"/>
      <c r="K169" s="38" t="n"/>
      <c r="L169" s="41">
        <f>IF(F169&lt;&gt;"",F169-TODAY(),"")</f>
        <v/>
      </c>
      <c r="M169" s="42">
        <f>IF(F169="","",IF(AND(L169&lt;0,I169&lt;&gt;"Renewed",I169&lt;&gt;"N/A"),"EXPIRED",I169))</f>
        <v/>
      </c>
    </row>
    <row r="170" ht="20" customHeight="1">
      <c r="A170" s="38" t="n"/>
      <c r="B170" s="38" t="n"/>
      <c r="C170" s="38" t="n"/>
      <c r="D170" s="38" t="n"/>
      <c r="E170" s="39" t="n"/>
      <c r="F170" s="39" t="n"/>
      <c r="G170" s="38" t="n"/>
      <c r="H170" s="40" t="n"/>
      <c r="I170" s="38" t="n"/>
      <c r="J170" s="38" t="n"/>
      <c r="K170" s="38" t="n"/>
      <c r="L170" s="41">
        <f>IF(F170&lt;&gt;"",F170-TODAY(),"")</f>
        <v/>
      </c>
      <c r="M170" s="42">
        <f>IF(F170="","",IF(AND(L170&lt;0,I170&lt;&gt;"Renewed",I170&lt;&gt;"N/A"),"EXPIRED",I170))</f>
        <v/>
      </c>
    </row>
    <row r="171" ht="20" customHeight="1">
      <c r="A171" s="38" t="n"/>
      <c r="B171" s="38" t="n"/>
      <c r="C171" s="38" t="n"/>
      <c r="D171" s="38" t="n"/>
      <c r="E171" s="39" t="n"/>
      <c r="F171" s="39" t="n"/>
      <c r="G171" s="38" t="n"/>
      <c r="H171" s="40" t="n"/>
      <c r="I171" s="38" t="n"/>
      <c r="J171" s="38" t="n"/>
      <c r="K171" s="38" t="n"/>
      <c r="L171" s="41">
        <f>IF(F171&lt;&gt;"",F171-TODAY(),"")</f>
        <v/>
      </c>
      <c r="M171" s="42">
        <f>IF(F171="","",IF(AND(L171&lt;0,I171&lt;&gt;"Renewed",I171&lt;&gt;"N/A"),"EXPIRED",I171))</f>
        <v/>
      </c>
    </row>
    <row r="172" ht="20" customHeight="1">
      <c r="A172" s="38" t="n"/>
      <c r="B172" s="38" t="n"/>
      <c r="C172" s="38" t="n"/>
      <c r="D172" s="38" t="n"/>
      <c r="E172" s="39" t="n"/>
      <c r="F172" s="39" t="n"/>
      <c r="G172" s="38" t="n"/>
      <c r="H172" s="40" t="n"/>
      <c r="I172" s="38" t="n"/>
      <c r="J172" s="38" t="n"/>
      <c r="K172" s="38" t="n"/>
      <c r="L172" s="41">
        <f>IF(F172&lt;&gt;"",F172-TODAY(),"")</f>
        <v/>
      </c>
      <c r="M172" s="42">
        <f>IF(F172="","",IF(AND(L172&lt;0,I172&lt;&gt;"Renewed",I172&lt;&gt;"N/A"),"EXPIRED",I172))</f>
        <v/>
      </c>
    </row>
    <row r="173" ht="20" customHeight="1">
      <c r="A173" s="38" t="n"/>
      <c r="B173" s="38" t="n"/>
      <c r="C173" s="38" t="n"/>
      <c r="D173" s="38" t="n"/>
      <c r="E173" s="39" t="n"/>
      <c r="F173" s="39" t="n"/>
      <c r="G173" s="38" t="n"/>
      <c r="H173" s="40" t="n"/>
      <c r="I173" s="38" t="n"/>
      <c r="J173" s="38" t="n"/>
      <c r="K173" s="38" t="n"/>
      <c r="L173" s="41">
        <f>IF(F173&lt;&gt;"",F173-TODAY(),"")</f>
        <v/>
      </c>
      <c r="M173" s="42">
        <f>IF(F173="","",IF(AND(L173&lt;0,I173&lt;&gt;"Renewed",I173&lt;&gt;"N/A"),"EXPIRED",I173))</f>
        <v/>
      </c>
    </row>
    <row r="174" ht="20" customHeight="1">
      <c r="A174" s="38" t="n"/>
      <c r="B174" s="38" t="n"/>
      <c r="C174" s="38" t="n"/>
      <c r="D174" s="38" t="n"/>
      <c r="E174" s="39" t="n"/>
      <c r="F174" s="39" t="n"/>
      <c r="G174" s="38" t="n"/>
      <c r="H174" s="40" t="n"/>
      <c r="I174" s="38" t="n"/>
      <c r="J174" s="38" t="n"/>
      <c r="K174" s="38" t="n"/>
      <c r="L174" s="41">
        <f>IF(F174&lt;&gt;"",F174-TODAY(),"")</f>
        <v/>
      </c>
      <c r="M174" s="42">
        <f>IF(F174="","",IF(AND(L174&lt;0,I174&lt;&gt;"Renewed",I174&lt;&gt;"N/A"),"EXPIRED",I174))</f>
        <v/>
      </c>
    </row>
    <row r="175" ht="20" customHeight="1">
      <c r="A175" s="38" t="n"/>
      <c r="B175" s="38" t="n"/>
      <c r="C175" s="38" t="n"/>
      <c r="D175" s="38" t="n"/>
      <c r="E175" s="39" t="n"/>
      <c r="F175" s="39" t="n"/>
      <c r="G175" s="38" t="n"/>
      <c r="H175" s="40" t="n"/>
      <c r="I175" s="38" t="n"/>
      <c r="J175" s="38" t="n"/>
      <c r="K175" s="38" t="n"/>
      <c r="L175" s="41">
        <f>IF(F175&lt;&gt;"",F175-TODAY(),"")</f>
        <v/>
      </c>
      <c r="M175" s="42">
        <f>IF(F175="","",IF(AND(L175&lt;0,I175&lt;&gt;"Renewed",I175&lt;&gt;"N/A"),"EXPIRED",I175))</f>
        <v/>
      </c>
    </row>
    <row r="176" ht="20" customHeight="1">
      <c r="A176" s="38" t="n"/>
      <c r="B176" s="38" t="n"/>
      <c r="C176" s="38" t="n"/>
      <c r="D176" s="38" t="n"/>
      <c r="E176" s="39" t="n"/>
      <c r="F176" s="39" t="n"/>
      <c r="G176" s="38" t="n"/>
      <c r="H176" s="40" t="n"/>
      <c r="I176" s="38" t="n"/>
      <c r="J176" s="38" t="n"/>
      <c r="K176" s="38" t="n"/>
      <c r="L176" s="41">
        <f>IF(F176&lt;&gt;"",F176-TODAY(),"")</f>
        <v/>
      </c>
      <c r="M176" s="42">
        <f>IF(F176="","",IF(AND(L176&lt;0,I176&lt;&gt;"Renewed",I176&lt;&gt;"N/A"),"EXPIRED",I176))</f>
        <v/>
      </c>
    </row>
    <row r="177" ht="20" customHeight="1">
      <c r="A177" s="38" t="n"/>
      <c r="B177" s="38" t="n"/>
      <c r="C177" s="38" t="n"/>
      <c r="D177" s="38" t="n"/>
      <c r="E177" s="39" t="n"/>
      <c r="F177" s="39" t="n"/>
      <c r="G177" s="38" t="n"/>
      <c r="H177" s="40" t="n"/>
      <c r="I177" s="38" t="n"/>
      <c r="J177" s="38" t="n"/>
      <c r="K177" s="38" t="n"/>
      <c r="L177" s="41">
        <f>IF(F177&lt;&gt;"",F177-TODAY(),"")</f>
        <v/>
      </c>
      <c r="M177" s="42">
        <f>IF(F177="","",IF(AND(L177&lt;0,I177&lt;&gt;"Renewed",I177&lt;&gt;"N/A"),"EXPIRED",I177))</f>
        <v/>
      </c>
    </row>
    <row r="178" ht="20" customHeight="1">
      <c r="A178" s="38" t="n"/>
      <c r="B178" s="38" t="n"/>
      <c r="C178" s="38" t="n"/>
      <c r="D178" s="38" t="n"/>
      <c r="E178" s="39" t="n"/>
      <c r="F178" s="39" t="n"/>
      <c r="G178" s="38" t="n"/>
      <c r="H178" s="40" t="n"/>
      <c r="I178" s="38" t="n"/>
      <c r="J178" s="38" t="n"/>
      <c r="K178" s="38" t="n"/>
      <c r="L178" s="41">
        <f>IF(F178&lt;&gt;"",F178-TODAY(),"")</f>
        <v/>
      </c>
      <c r="M178" s="42">
        <f>IF(F178="","",IF(AND(L178&lt;0,I178&lt;&gt;"Renewed",I178&lt;&gt;"N/A"),"EXPIRED",I178))</f>
        <v/>
      </c>
    </row>
    <row r="179" ht="20" customHeight="1">
      <c r="A179" s="38" t="n"/>
      <c r="B179" s="38" t="n"/>
      <c r="C179" s="38" t="n"/>
      <c r="D179" s="38" t="n"/>
      <c r="E179" s="39" t="n"/>
      <c r="F179" s="39" t="n"/>
      <c r="G179" s="38" t="n"/>
      <c r="H179" s="40" t="n"/>
      <c r="I179" s="38" t="n"/>
      <c r="J179" s="38" t="n"/>
      <c r="K179" s="38" t="n"/>
      <c r="L179" s="41">
        <f>IF(F179&lt;&gt;"",F179-TODAY(),"")</f>
        <v/>
      </c>
      <c r="M179" s="42">
        <f>IF(F179="","",IF(AND(L179&lt;0,I179&lt;&gt;"Renewed",I179&lt;&gt;"N/A"),"EXPIRED",I179))</f>
        <v/>
      </c>
    </row>
    <row r="180" ht="20" customHeight="1">
      <c r="A180" s="38" t="n"/>
      <c r="B180" s="38" t="n"/>
      <c r="C180" s="38" t="n"/>
      <c r="D180" s="38" t="n"/>
      <c r="E180" s="39" t="n"/>
      <c r="F180" s="39" t="n"/>
      <c r="G180" s="38" t="n"/>
      <c r="H180" s="40" t="n"/>
      <c r="I180" s="38" t="n"/>
      <c r="J180" s="38" t="n"/>
      <c r="K180" s="38" t="n"/>
      <c r="L180" s="41">
        <f>IF(F180&lt;&gt;"",F180-TODAY(),"")</f>
        <v/>
      </c>
      <c r="M180" s="42">
        <f>IF(F180="","",IF(AND(L180&lt;0,I180&lt;&gt;"Renewed",I180&lt;&gt;"N/A"),"EXPIRED",I180))</f>
        <v/>
      </c>
    </row>
    <row r="181" ht="20" customHeight="1">
      <c r="A181" s="38" t="n"/>
      <c r="B181" s="38" t="n"/>
      <c r="C181" s="38" t="n"/>
      <c r="D181" s="38" t="n"/>
      <c r="E181" s="39" t="n"/>
      <c r="F181" s="39" t="n"/>
      <c r="G181" s="38" t="n"/>
      <c r="H181" s="40" t="n"/>
      <c r="I181" s="38" t="n"/>
      <c r="J181" s="38" t="n"/>
      <c r="K181" s="38" t="n"/>
      <c r="L181" s="41">
        <f>IF(F181&lt;&gt;"",F181-TODAY(),"")</f>
        <v/>
      </c>
      <c r="M181" s="42">
        <f>IF(F181="","",IF(AND(L181&lt;0,I181&lt;&gt;"Renewed",I181&lt;&gt;"N/A"),"EXPIRED",I181))</f>
        <v/>
      </c>
    </row>
    <row r="182" ht="20" customHeight="1">
      <c r="A182" s="38" t="n"/>
      <c r="B182" s="38" t="n"/>
      <c r="C182" s="38" t="n"/>
      <c r="D182" s="38" t="n"/>
      <c r="E182" s="39" t="n"/>
      <c r="F182" s="39" t="n"/>
      <c r="G182" s="38" t="n"/>
      <c r="H182" s="40" t="n"/>
      <c r="I182" s="38" t="n"/>
      <c r="J182" s="38" t="n"/>
      <c r="K182" s="38" t="n"/>
      <c r="L182" s="41">
        <f>IF(F182&lt;&gt;"",F182-TODAY(),"")</f>
        <v/>
      </c>
      <c r="M182" s="42">
        <f>IF(F182="","",IF(AND(L182&lt;0,I182&lt;&gt;"Renewed",I182&lt;&gt;"N/A"),"EXPIRED",I182))</f>
        <v/>
      </c>
    </row>
    <row r="183" ht="20" customHeight="1">
      <c r="A183" s="38" t="n"/>
      <c r="B183" s="38" t="n"/>
      <c r="C183" s="38" t="n"/>
      <c r="D183" s="38" t="n"/>
      <c r="E183" s="39" t="n"/>
      <c r="F183" s="39" t="n"/>
      <c r="G183" s="38" t="n"/>
      <c r="H183" s="40" t="n"/>
      <c r="I183" s="38" t="n"/>
      <c r="J183" s="38" t="n"/>
      <c r="K183" s="38" t="n"/>
      <c r="L183" s="41">
        <f>IF(F183&lt;&gt;"",F183-TODAY(),"")</f>
        <v/>
      </c>
      <c r="M183" s="42">
        <f>IF(F183="","",IF(AND(L183&lt;0,I183&lt;&gt;"Renewed",I183&lt;&gt;"N/A"),"EXPIRED",I183))</f>
        <v/>
      </c>
    </row>
    <row r="184" ht="20" customHeight="1">
      <c r="A184" s="38" t="n"/>
      <c r="B184" s="38" t="n"/>
      <c r="C184" s="38" t="n"/>
      <c r="D184" s="38" t="n"/>
      <c r="E184" s="39" t="n"/>
      <c r="F184" s="39" t="n"/>
      <c r="G184" s="38" t="n"/>
      <c r="H184" s="40" t="n"/>
      <c r="I184" s="38" t="n"/>
      <c r="J184" s="38" t="n"/>
      <c r="K184" s="38" t="n"/>
      <c r="L184" s="41">
        <f>IF(F184&lt;&gt;"",F184-TODAY(),"")</f>
        <v/>
      </c>
      <c r="M184" s="42">
        <f>IF(F184="","",IF(AND(L184&lt;0,I184&lt;&gt;"Renewed",I184&lt;&gt;"N/A"),"EXPIRED",I184))</f>
        <v/>
      </c>
    </row>
    <row r="185" ht="20" customHeight="1">
      <c r="A185" s="38" t="n"/>
      <c r="B185" s="38" t="n"/>
      <c r="C185" s="38" t="n"/>
      <c r="D185" s="38" t="n"/>
      <c r="E185" s="39" t="n"/>
      <c r="F185" s="39" t="n"/>
      <c r="G185" s="38" t="n"/>
      <c r="H185" s="40" t="n"/>
      <c r="I185" s="38" t="n"/>
      <c r="J185" s="38" t="n"/>
      <c r="K185" s="38" t="n"/>
      <c r="L185" s="41">
        <f>IF(F185&lt;&gt;"",F185-TODAY(),"")</f>
        <v/>
      </c>
      <c r="M185" s="42">
        <f>IF(F185="","",IF(AND(L185&lt;0,I185&lt;&gt;"Renewed",I185&lt;&gt;"N/A"),"EXPIRED",I185))</f>
        <v/>
      </c>
    </row>
    <row r="186" ht="20" customHeight="1">
      <c r="A186" s="38" t="n"/>
      <c r="B186" s="38" t="n"/>
      <c r="C186" s="38" t="n"/>
      <c r="D186" s="38" t="n"/>
      <c r="E186" s="39" t="n"/>
      <c r="F186" s="39" t="n"/>
      <c r="G186" s="38" t="n"/>
      <c r="H186" s="40" t="n"/>
      <c r="I186" s="38" t="n"/>
      <c r="J186" s="38" t="n"/>
      <c r="K186" s="38" t="n"/>
      <c r="L186" s="41">
        <f>IF(F186&lt;&gt;"",F186-TODAY(),"")</f>
        <v/>
      </c>
      <c r="M186" s="42">
        <f>IF(F186="","",IF(AND(L186&lt;0,I186&lt;&gt;"Renewed",I186&lt;&gt;"N/A"),"EXPIRED",I186))</f>
        <v/>
      </c>
    </row>
    <row r="187" ht="20" customHeight="1">
      <c r="A187" s="38" t="n"/>
      <c r="B187" s="38" t="n"/>
      <c r="C187" s="38" t="n"/>
      <c r="D187" s="38" t="n"/>
      <c r="E187" s="39" t="n"/>
      <c r="F187" s="39" t="n"/>
      <c r="G187" s="38" t="n"/>
      <c r="H187" s="40" t="n"/>
      <c r="I187" s="38" t="n"/>
      <c r="J187" s="38" t="n"/>
      <c r="K187" s="38" t="n"/>
      <c r="L187" s="41">
        <f>IF(F187&lt;&gt;"",F187-TODAY(),"")</f>
        <v/>
      </c>
      <c r="M187" s="42">
        <f>IF(F187="","",IF(AND(L187&lt;0,I187&lt;&gt;"Renewed",I187&lt;&gt;"N/A"),"EXPIRED",I187))</f>
        <v/>
      </c>
    </row>
    <row r="188" ht="20" customHeight="1">
      <c r="A188" s="38" t="n"/>
      <c r="B188" s="38" t="n"/>
      <c r="C188" s="38" t="n"/>
      <c r="D188" s="38" t="n"/>
      <c r="E188" s="39" t="n"/>
      <c r="F188" s="39" t="n"/>
      <c r="G188" s="38" t="n"/>
      <c r="H188" s="40" t="n"/>
      <c r="I188" s="38" t="n"/>
      <c r="J188" s="38" t="n"/>
      <c r="K188" s="38" t="n"/>
      <c r="L188" s="41">
        <f>IF(F188&lt;&gt;"",F188-TODAY(),"")</f>
        <v/>
      </c>
      <c r="M188" s="42">
        <f>IF(F188="","",IF(AND(L188&lt;0,I188&lt;&gt;"Renewed",I188&lt;&gt;"N/A"),"EXPIRED",I188))</f>
        <v/>
      </c>
    </row>
    <row r="189" ht="20" customHeight="1">
      <c r="A189" s="38" t="n"/>
      <c r="B189" s="38" t="n"/>
      <c r="C189" s="38" t="n"/>
      <c r="D189" s="38" t="n"/>
      <c r="E189" s="39" t="n"/>
      <c r="F189" s="39" t="n"/>
      <c r="G189" s="38" t="n"/>
      <c r="H189" s="40" t="n"/>
      <c r="I189" s="38" t="n"/>
      <c r="J189" s="38" t="n"/>
      <c r="K189" s="38" t="n"/>
      <c r="L189" s="41">
        <f>IF(F189&lt;&gt;"",F189-TODAY(),"")</f>
        <v/>
      </c>
      <c r="M189" s="42">
        <f>IF(F189="","",IF(AND(L189&lt;0,I189&lt;&gt;"Renewed",I189&lt;&gt;"N/A"),"EXPIRED",I189))</f>
        <v/>
      </c>
    </row>
    <row r="190" ht="20" customHeight="1">
      <c r="A190" s="38" t="n"/>
      <c r="B190" s="38" t="n"/>
      <c r="C190" s="38" t="n"/>
      <c r="D190" s="38" t="n"/>
      <c r="E190" s="39" t="n"/>
      <c r="F190" s="39" t="n"/>
      <c r="G190" s="38" t="n"/>
      <c r="H190" s="40" t="n"/>
      <c r="I190" s="38" t="n"/>
      <c r="J190" s="38" t="n"/>
      <c r="K190" s="38" t="n"/>
      <c r="L190" s="41">
        <f>IF(F190&lt;&gt;"",F190-TODAY(),"")</f>
        <v/>
      </c>
      <c r="M190" s="42">
        <f>IF(F190="","",IF(AND(L190&lt;0,I190&lt;&gt;"Renewed",I190&lt;&gt;"N/A"),"EXPIRED",I190))</f>
        <v/>
      </c>
    </row>
    <row r="191" ht="20" customHeight="1">
      <c r="A191" s="38" t="n"/>
      <c r="B191" s="38" t="n"/>
      <c r="C191" s="38" t="n"/>
      <c r="D191" s="38" t="n"/>
      <c r="E191" s="39" t="n"/>
      <c r="F191" s="39" t="n"/>
      <c r="G191" s="38" t="n"/>
      <c r="H191" s="40" t="n"/>
      <c r="I191" s="38" t="n"/>
      <c r="J191" s="38" t="n"/>
      <c r="K191" s="38" t="n"/>
      <c r="L191" s="41">
        <f>IF(F191&lt;&gt;"",F191-TODAY(),"")</f>
        <v/>
      </c>
      <c r="M191" s="42">
        <f>IF(F191="","",IF(AND(L191&lt;0,I191&lt;&gt;"Renewed",I191&lt;&gt;"N/A"),"EXPIRED",I191))</f>
        <v/>
      </c>
    </row>
    <row r="192" ht="20" customHeight="1">
      <c r="A192" s="38" t="n"/>
      <c r="B192" s="38" t="n"/>
      <c r="C192" s="38" t="n"/>
      <c r="D192" s="38" t="n"/>
      <c r="E192" s="39" t="n"/>
      <c r="F192" s="39" t="n"/>
      <c r="G192" s="38" t="n"/>
      <c r="H192" s="40" t="n"/>
      <c r="I192" s="38" t="n"/>
      <c r="J192" s="38" t="n"/>
      <c r="K192" s="38" t="n"/>
      <c r="L192" s="41">
        <f>IF(F192&lt;&gt;"",F192-TODAY(),"")</f>
        <v/>
      </c>
      <c r="M192" s="42">
        <f>IF(F192="","",IF(AND(L192&lt;0,I192&lt;&gt;"Renewed",I192&lt;&gt;"N/A"),"EXPIRED",I192))</f>
        <v/>
      </c>
    </row>
    <row r="193" ht="20" customHeight="1">
      <c r="A193" s="38" t="n"/>
      <c r="B193" s="38" t="n"/>
      <c r="C193" s="38" t="n"/>
      <c r="D193" s="38" t="n"/>
      <c r="E193" s="39" t="n"/>
      <c r="F193" s="39" t="n"/>
      <c r="G193" s="38" t="n"/>
      <c r="H193" s="40" t="n"/>
      <c r="I193" s="38" t="n"/>
      <c r="J193" s="38" t="n"/>
      <c r="K193" s="38" t="n"/>
      <c r="L193" s="41">
        <f>IF(F193&lt;&gt;"",F193-TODAY(),"")</f>
        <v/>
      </c>
      <c r="M193" s="42">
        <f>IF(F193="","",IF(AND(L193&lt;0,I193&lt;&gt;"Renewed",I193&lt;&gt;"N/A"),"EXPIRED",I193))</f>
        <v/>
      </c>
    </row>
    <row r="194" ht="20" customHeight="1">
      <c r="A194" s="38" t="n"/>
      <c r="B194" s="38" t="n"/>
      <c r="C194" s="38" t="n"/>
      <c r="D194" s="38" t="n"/>
      <c r="E194" s="39" t="n"/>
      <c r="F194" s="39" t="n"/>
      <c r="G194" s="38" t="n"/>
      <c r="H194" s="40" t="n"/>
      <c r="I194" s="38" t="n"/>
      <c r="J194" s="38" t="n"/>
      <c r="K194" s="38" t="n"/>
      <c r="L194" s="41">
        <f>IF(F194&lt;&gt;"",F194-TODAY(),"")</f>
        <v/>
      </c>
      <c r="M194" s="42">
        <f>IF(F194="","",IF(AND(L194&lt;0,I194&lt;&gt;"Renewed",I194&lt;&gt;"N/A"),"EXPIRED",I194))</f>
        <v/>
      </c>
    </row>
    <row r="195" ht="20" customHeight="1">
      <c r="A195" s="38" t="n"/>
      <c r="B195" s="38" t="n"/>
      <c r="C195" s="38" t="n"/>
      <c r="D195" s="38" t="n"/>
      <c r="E195" s="39" t="n"/>
      <c r="F195" s="39" t="n"/>
      <c r="G195" s="38" t="n"/>
      <c r="H195" s="40" t="n"/>
      <c r="I195" s="38" t="n"/>
      <c r="J195" s="38" t="n"/>
      <c r="K195" s="38" t="n"/>
      <c r="L195" s="41">
        <f>IF(F195&lt;&gt;"",F195-TODAY(),"")</f>
        <v/>
      </c>
      <c r="M195" s="42">
        <f>IF(F195="","",IF(AND(L195&lt;0,I195&lt;&gt;"Renewed",I195&lt;&gt;"N/A"),"EXPIRED",I195))</f>
        <v/>
      </c>
    </row>
    <row r="196" ht="20" customHeight="1">
      <c r="A196" s="38" t="n"/>
      <c r="B196" s="38" t="n"/>
      <c r="C196" s="38" t="n"/>
      <c r="D196" s="38" t="n"/>
      <c r="E196" s="39" t="n"/>
      <c r="F196" s="39" t="n"/>
      <c r="G196" s="38" t="n"/>
      <c r="H196" s="40" t="n"/>
      <c r="I196" s="38" t="n"/>
      <c r="J196" s="38" t="n"/>
      <c r="K196" s="38" t="n"/>
      <c r="L196" s="41">
        <f>IF(F196&lt;&gt;"",F196-TODAY(),"")</f>
        <v/>
      </c>
      <c r="M196" s="42">
        <f>IF(F196="","",IF(AND(L196&lt;0,I196&lt;&gt;"Renewed",I196&lt;&gt;"N/A"),"EXPIRED",I196))</f>
        <v/>
      </c>
    </row>
    <row r="197" ht="20" customHeight="1">
      <c r="A197" s="38" t="n"/>
      <c r="B197" s="38" t="n"/>
      <c r="C197" s="38" t="n"/>
      <c r="D197" s="38" t="n"/>
      <c r="E197" s="39" t="n"/>
      <c r="F197" s="39" t="n"/>
      <c r="G197" s="38" t="n"/>
      <c r="H197" s="40" t="n"/>
      <c r="I197" s="38" t="n"/>
      <c r="J197" s="38" t="n"/>
      <c r="K197" s="38" t="n"/>
      <c r="L197" s="41">
        <f>IF(F197&lt;&gt;"",F197-TODAY(),"")</f>
        <v/>
      </c>
      <c r="M197" s="42">
        <f>IF(F197="","",IF(AND(L197&lt;0,I197&lt;&gt;"Renewed",I197&lt;&gt;"N/A"),"EXPIRED",I197))</f>
        <v/>
      </c>
    </row>
    <row r="198" ht="20" customHeight="1">
      <c r="A198" s="38" t="n"/>
      <c r="B198" s="38" t="n"/>
      <c r="C198" s="38" t="n"/>
      <c r="D198" s="38" t="n"/>
      <c r="E198" s="39" t="n"/>
      <c r="F198" s="39" t="n"/>
      <c r="G198" s="38" t="n"/>
      <c r="H198" s="40" t="n"/>
      <c r="I198" s="38" t="n"/>
      <c r="J198" s="38" t="n"/>
      <c r="K198" s="38" t="n"/>
      <c r="L198" s="41">
        <f>IF(F198&lt;&gt;"",F198-TODAY(),"")</f>
        <v/>
      </c>
      <c r="M198" s="42">
        <f>IF(F198="","",IF(AND(L198&lt;0,I198&lt;&gt;"Renewed",I198&lt;&gt;"N/A"),"EXPIRED",I198))</f>
        <v/>
      </c>
    </row>
    <row r="199" ht="20" customHeight="1">
      <c r="A199" s="38" t="n"/>
      <c r="B199" s="38" t="n"/>
      <c r="C199" s="38" t="n"/>
      <c r="D199" s="38" t="n"/>
      <c r="E199" s="39" t="n"/>
      <c r="F199" s="39" t="n"/>
      <c r="G199" s="38" t="n"/>
      <c r="H199" s="40" t="n"/>
      <c r="I199" s="38" t="n"/>
      <c r="J199" s="38" t="n"/>
      <c r="K199" s="38" t="n"/>
      <c r="L199" s="41">
        <f>IF(F199&lt;&gt;"",F199-TODAY(),"")</f>
        <v/>
      </c>
      <c r="M199" s="42">
        <f>IF(F199="","",IF(AND(L199&lt;0,I199&lt;&gt;"Renewed",I199&lt;&gt;"N/A"),"EXPIRED",I199))</f>
        <v/>
      </c>
    </row>
    <row r="200" ht="20" customHeight="1">
      <c r="A200" s="38" t="n"/>
      <c r="B200" s="38" t="n"/>
      <c r="C200" s="38" t="n"/>
      <c r="D200" s="38" t="n"/>
      <c r="E200" s="39" t="n"/>
      <c r="F200" s="39" t="n"/>
      <c r="G200" s="38" t="n"/>
      <c r="H200" s="40" t="n"/>
      <c r="I200" s="38" t="n"/>
      <c r="J200" s="38" t="n"/>
      <c r="K200" s="38" t="n"/>
      <c r="L200" s="41">
        <f>IF(F200&lt;&gt;"",F200-TODAY(),"")</f>
        <v/>
      </c>
      <c r="M200" s="42">
        <f>IF(F200="","",IF(AND(L200&lt;0,I200&lt;&gt;"Renewed",I200&lt;&gt;"N/A"),"EXPIRED",I200))</f>
        <v/>
      </c>
    </row>
    <row r="201" ht="20" customHeight="1">
      <c r="A201" s="38" t="n"/>
      <c r="B201" s="38" t="n"/>
      <c r="C201" s="38" t="n"/>
      <c r="D201" s="38" t="n"/>
      <c r="E201" s="39" t="n"/>
      <c r="F201" s="39" t="n"/>
      <c r="G201" s="38" t="n"/>
      <c r="H201" s="40" t="n"/>
      <c r="I201" s="38" t="n"/>
      <c r="J201" s="38" t="n"/>
      <c r="K201" s="38" t="n"/>
      <c r="L201" s="41">
        <f>IF(F201&lt;&gt;"",F201-TODAY(),"")</f>
        <v/>
      </c>
      <c r="M201" s="42">
        <f>IF(F201="","",IF(AND(L201&lt;0,I201&lt;&gt;"Renewed",I201&lt;&gt;"N/A"),"EXPIRED",I201))</f>
        <v/>
      </c>
    </row>
    <row r="202" ht="20" customHeight="1">
      <c r="A202" s="38" t="n"/>
      <c r="B202" s="38" t="n"/>
      <c r="C202" s="38" t="n"/>
      <c r="D202" s="38" t="n"/>
      <c r="E202" s="39" t="n"/>
      <c r="F202" s="39" t="n"/>
      <c r="G202" s="38" t="n"/>
      <c r="H202" s="40" t="n"/>
      <c r="I202" s="38" t="n"/>
      <c r="J202" s="38" t="n"/>
      <c r="K202" s="38" t="n"/>
      <c r="L202" s="41">
        <f>IF(F202&lt;&gt;"",F202-TODAY(),"")</f>
        <v/>
      </c>
      <c r="M202" s="42">
        <f>IF(F202="","",IF(AND(L202&lt;0,I202&lt;&gt;"Renewed",I202&lt;&gt;"N/A"),"EXPIRED",I202))</f>
        <v/>
      </c>
    </row>
    <row r="203" ht="20" customHeight="1">
      <c r="A203" s="38" t="n"/>
      <c r="B203" s="38" t="n"/>
      <c r="C203" s="38" t="n"/>
      <c r="D203" s="38" t="n"/>
      <c r="E203" s="39" t="n"/>
      <c r="F203" s="39" t="n"/>
      <c r="G203" s="38" t="n"/>
      <c r="H203" s="40" t="n"/>
      <c r="I203" s="38" t="n"/>
      <c r="J203" s="38" t="n"/>
      <c r="K203" s="38" t="n"/>
      <c r="L203" s="41">
        <f>IF(F203&lt;&gt;"",F203-TODAY(),"")</f>
        <v/>
      </c>
      <c r="M203" s="42">
        <f>IF(F203="","",IF(AND(L203&lt;0,I203&lt;&gt;"Renewed",I203&lt;&gt;"N/A"),"EXPIRED",I203))</f>
        <v/>
      </c>
    </row>
    <row r="204" ht="20" customHeight="1">
      <c r="A204" s="38" t="n"/>
      <c r="B204" s="38" t="n"/>
      <c r="C204" s="38" t="n"/>
      <c r="D204" s="38" t="n"/>
      <c r="E204" s="39" t="n"/>
      <c r="F204" s="39" t="n"/>
      <c r="G204" s="38" t="n"/>
      <c r="H204" s="40" t="n"/>
      <c r="I204" s="38" t="n"/>
      <c r="J204" s="38" t="n"/>
      <c r="K204" s="38" t="n"/>
      <c r="L204" s="41">
        <f>IF(F204&lt;&gt;"",F204-TODAY(),"")</f>
        <v/>
      </c>
      <c r="M204" s="42">
        <f>IF(F204="","",IF(AND(L204&lt;0,I204&lt;&gt;"Renewed",I204&lt;&gt;"N/A"),"EXPIRED",I204))</f>
        <v/>
      </c>
    </row>
    <row r="205" ht="20" customHeight="1">
      <c r="A205" s="38" t="n"/>
      <c r="B205" s="38" t="n"/>
      <c r="C205" s="38" t="n"/>
      <c r="D205" s="38" t="n"/>
      <c r="E205" s="39" t="n"/>
      <c r="F205" s="39" t="n"/>
      <c r="G205" s="38" t="n"/>
      <c r="H205" s="40" t="n"/>
      <c r="I205" s="38" t="n"/>
      <c r="J205" s="38" t="n"/>
      <c r="K205" s="38" t="n"/>
      <c r="L205" s="41">
        <f>IF(F205&lt;&gt;"",F205-TODAY(),"")</f>
        <v/>
      </c>
      <c r="M205" s="42">
        <f>IF(F205="","",IF(AND(L205&lt;0,I205&lt;&gt;"Renewed",I205&lt;&gt;"N/A"),"EXPIRED",I205))</f>
        <v/>
      </c>
    </row>
    <row r="206" ht="20" customHeight="1">
      <c r="A206" s="38" t="n"/>
      <c r="B206" s="38" t="n"/>
      <c r="C206" s="38" t="n"/>
      <c r="D206" s="38" t="n"/>
      <c r="E206" s="39" t="n"/>
      <c r="F206" s="39" t="n"/>
      <c r="G206" s="38" t="n"/>
      <c r="H206" s="40" t="n"/>
      <c r="I206" s="38" t="n"/>
      <c r="J206" s="38" t="n"/>
      <c r="K206" s="38" t="n"/>
      <c r="L206" s="41">
        <f>IF(F206&lt;&gt;"",F206-TODAY(),"")</f>
        <v/>
      </c>
      <c r="M206" s="42">
        <f>IF(F206="","",IF(AND(L206&lt;0,I206&lt;&gt;"Renewed",I206&lt;&gt;"N/A"),"EXPIRED",I206))</f>
        <v/>
      </c>
    </row>
  </sheetData>
  <mergeCells count="4">
    <mergeCell ref="A4:M4"/>
    <mergeCell ref="J2:L2"/>
    <mergeCell ref="D2:I2"/>
    <mergeCell ref="A2:C2"/>
  </mergeCells>
  <conditionalFormatting sqref="L7:L206">
    <cfRule type="cellIs" priority="1" operator="lessThan" dxfId="1">
      <formula>0</formula>
    </cfRule>
    <cfRule type="cellIs" priority="2" operator="between" dxfId="1">
      <formula>0</formula>
      <formula>29</formula>
    </cfRule>
    <cfRule type="cellIs" priority="3" operator="between" dxfId="2">
      <formula>30</formula>
      <formula>89</formula>
    </cfRule>
  </conditionalFormatting>
  <conditionalFormatting sqref="M7:M206">
    <cfRule type="expression" priority="4" dxfId="3">
      <formula>$M7="EXPIRED"</formula>
    </cfRule>
  </conditionalFormatting>
  <dataValidations count="4">
    <dataValidation sqref="A7:A206" showDropDown="0" showInputMessage="0" showErrorMessage="0" allowBlank="1" type="list">
      <formula1>=Settings!$B$6:$B$30</formula1>
    </dataValidation>
    <dataValidation sqref="B7:B206" showDropDown="0" showInputMessage="0" showErrorMessage="0" allowBlank="1" type="list">
      <formula1>=Settings!$C$6:$C$15</formula1>
    </dataValidation>
    <dataValidation sqref="G7:G206" showDropDown="0" showInputMessage="0" showErrorMessage="0" allowBlank="1" type="list">
      <formula1>=Settings!$D$6:$D$10</formula1>
    </dataValidation>
    <dataValidation sqref="I7:I206" showDropDown="0" showInputMessage="0" showErrorMessage="0" allowBlank="1" type="list">
      <formula1>=Settings!$E$6:$E$11</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34"/>
  <sheetViews>
    <sheetView workbookViewId="0">
      <selection activeCell="A1" sqref="A1"/>
    </sheetView>
  </sheetViews>
  <sheetFormatPr baseColWidth="8" defaultRowHeight="15"/>
  <cols>
    <col width="22" customWidth="1" min="1" max="1"/>
    <col width="22" customWidth="1" min="2" max="2"/>
    <col width="22" customWidth="1" min="3" max="3"/>
    <col width="14" customWidth="1" min="4" max="4"/>
    <col width="12" customWidth="1" min="5" max="5"/>
    <col width="12" customWidth="1" min="6" max="6"/>
    <col width="16" customWidth="1" min="7" max="7"/>
    <col width="24"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25">
        <f>HYPERLINK("#'Permits Register'!A1", "← BACK")</f>
        <v/>
      </c>
      <c r="B2" s="26" t="n"/>
      <c r="C2" s="26" t="n"/>
      <c r="D2" s="33" t="inlineStr">
        <is>
          <t>RENEWAL CALENDAR</t>
        </is>
      </c>
      <c r="J2" s="34">
        <f>HYPERLINK("#'Permit Discovery'!A1", "NEXT →")</f>
        <v/>
      </c>
      <c r="K2" s="35" t="n"/>
      <c r="L2" s="35" t="n"/>
    </row>
    <row r="3" ht="6" customHeight="1">
      <c r="A3" s="1" t="n"/>
      <c r="B3" s="1" t="n"/>
      <c r="C3" s="1" t="n"/>
      <c r="D3" s="1" t="n"/>
      <c r="E3" s="1" t="n"/>
      <c r="F3" s="1" t="n"/>
      <c r="G3" s="1" t="n"/>
      <c r="H3" s="1" t="n"/>
      <c r="I3" s="1" t="n"/>
      <c r="J3" s="1" t="n"/>
      <c r="K3" s="1" t="n"/>
      <c r="L3" s="1" t="n"/>
    </row>
    <row r="4" ht="22" customHeight="1">
      <c r="A4" s="36" t="inlineStr">
        <is>
          <t>Three urgency bands sorted by days-to-renewal. The list refreshes automatically — updates flow from the Permits Register every time you open the workbook.</t>
        </is>
      </c>
    </row>
    <row r="6" ht="28" customHeight="1">
      <c r="A6" s="43" t="inlineStr">
        <is>
          <t>EXPIRED  —  RENEW IMMEDIATELY</t>
        </is>
      </c>
    </row>
    <row r="7" ht="22" customHeight="1">
      <c r="A7" s="37" t="inlineStr">
        <is>
          <t>Property</t>
        </is>
      </c>
      <c r="B7" s="37" t="inlineStr">
        <is>
          <t>Permit type</t>
        </is>
      </c>
      <c r="C7" s="37" t="inlineStr">
        <is>
          <t>Jurisdiction</t>
        </is>
      </c>
      <c r="D7" s="37" t="inlineStr">
        <is>
          <t>Permit #</t>
        </is>
      </c>
      <c r="E7" s="37" t="inlineStr">
        <is>
          <t>Renewal date</t>
        </is>
      </c>
      <c r="F7" s="37" t="inlineStr">
        <is>
          <t>Days</t>
        </is>
      </c>
      <c r="G7" s="37" t="inlineStr">
        <is>
          <t>$ Cost</t>
        </is>
      </c>
      <c r="H7" s="37" t="inlineStr">
        <is>
          <t>Notes</t>
        </is>
      </c>
    </row>
    <row r="8" ht="20" customHeight="1">
      <c r="A8" s="44" t="n"/>
      <c r="B8" s="44" t="n"/>
      <c r="C8" s="44" t="n"/>
      <c r="D8" s="44" t="n"/>
      <c r="E8" s="44" t="n"/>
      <c r="F8" s="44" t="n"/>
      <c r="G8" s="44" t="n"/>
      <c r="H8" s="44" t="n"/>
    </row>
    <row r="9" ht="20" customHeight="1">
      <c r="A9" s="44" t="n"/>
      <c r="B9" s="44" t="n"/>
      <c r="C9" s="44" t="n"/>
      <c r="D9" s="44" t="n"/>
      <c r="E9" s="44" t="n"/>
      <c r="F9" s="44" t="n"/>
      <c r="G9" s="44" t="n"/>
      <c r="H9" s="44" t="n"/>
    </row>
    <row r="10" ht="20" customHeight="1">
      <c r="A10" s="44" t="n"/>
      <c r="B10" s="44" t="n"/>
      <c r="C10" s="44" t="n"/>
      <c r="D10" s="44" t="n"/>
      <c r="E10" s="44" t="n"/>
      <c r="F10" s="44" t="n"/>
      <c r="G10" s="44" t="n"/>
      <c r="H10" s="44" t="n"/>
    </row>
    <row r="11" ht="20" customHeight="1">
      <c r="A11" s="44" t="n"/>
      <c r="B11" s="44" t="n"/>
      <c r="C11" s="44" t="n"/>
      <c r="D11" s="44" t="n"/>
      <c r="E11" s="44" t="n"/>
      <c r="F11" s="44" t="n"/>
      <c r="G11" s="44" t="n"/>
      <c r="H11" s="44" t="n"/>
    </row>
    <row r="13" ht="28" customHeight="1">
      <c r="A13" s="45" t="inlineStr">
        <is>
          <t>RENEW NOW  —  LESS THAN 30 DAYS</t>
        </is>
      </c>
    </row>
    <row r="14" ht="22" customHeight="1">
      <c r="A14" s="37" t="inlineStr">
        <is>
          <t>Property</t>
        </is>
      </c>
      <c r="B14" s="37" t="inlineStr">
        <is>
          <t>Permit type</t>
        </is>
      </c>
      <c r="C14" s="37" t="inlineStr">
        <is>
          <t>Jurisdiction</t>
        </is>
      </c>
      <c r="D14" s="37" t="inlineStr">
        <is>
          <t>Permit #</t>
        </is>
      </c>
      <c r="E14" s="37" t="inlineStr">
        <is>
          <t>Renewal date</t>
        </is>
      </c>
      <c r="F14" s="37" t="inlineStr">
        <is>
          <t>Days</t>
        </is>
      </c>
      <c r="G14" s="37" t="inlineStr">
        <is>
          <t>$ Cost</t>
        </is>
      </c>
      <c r="H14" s="37" t="inlineStr">
        <is>
          <t>Notes</t>
        </is>
      </c>
    </row>
    <row r="15" ht="20" customHeight="1">
      <c r="A15" s="44" t="n"/>
      <c r="B15" s="44" t="n"/>
      <c r="C15" s="44" t="n"/>
      <c r="D15" s="44" t="n"/>
      <c r="E15" s="44" t="n"/>
      <c r="F15" s="44" t="n"/>
      <c r="G15" s="44" t="n"/>
      <c r="H15" s="44" t="n"/>
    </row>
    <row r="16" ht="20" customHeight="1">
      <c r="A16" s="44" t="n"/>
      <c r="B16" s="44" t="n"/>
      <c r="C16" s="44" t="n"/>
      <c r="D16" s="44" t="n"/>
      <c r="E16" s="44" t="n"/>
      <c r="F16" s="44" t="n"/>
      <c r="G16" s="44" t="n"/>
      <c r="H16" s="44" t="n"/>
    </row>
    <row r="17" ht="20" customHeight="1">
      <c r="A17" s="44" t="n"/>
      <c r="B17" s="44" t="n"/>
      <c r="C17" s="44" t="n"/>
      <c r="D17" s="44" t="n"/>
      <c r="E17" s="44" t="n"/>
      <c r="F17" s="44" t="n"/>
      <c r="G17" s="44" t="n"/>
      <c r="H17" s="44" t="n"/>
    </row>
    <row r="18" ht="20" customHeight="1">
      <c r="A18" s="44" t="n"/>
      <c r="B18" s="44" t="n"/>
      <c r="C18" s="44" t="n"/>
      <c r="D18" s="44" t="n"/>
      <c r="E18" s="44" t="n"/>
      <c r="F18" s="44" t="n"/>
      <c r="G18" s="44" t="n"/>
      <c r="H18" s="44" t="n"/>
    </row>
    <row r="19" ht="20" customHeight="1">
      <c r="A19" s="44" t="n"/>
      <c r="B19" s="44" t="n"/>
      <c r="C19" s="44" t="n"/>
      <c r="D19" s="44" t="n"/>
      <c r="E19" s="44" t="n"/>
      <c r="F19" s="44" t="n"/>
      <c r="G19" s="44" t="n"/>
      <c r="H19" s="44" t="n"/>
    </row>
    <row r="21" ht="28" customHeight="1">
      <c r="A21" s="46" t="inlineStr">
        <is>
          <t>UPCOMING  —  30 TO 90 DAYS</t>
        </is>
      </c>
    </row>
    <row r="22" ht="22" customHeight="1">
      <c r="A22" s="37" t="inlineStr">
        <is>
          <t>Property</t>
        </is>
      </c>
      <c r="B22" s="37" t="inlineStr">
        <is>
          <t>Permit type</t>
        </is>
      </c>
      <c r="C22" s="37" t="inlineStr">
        <is>
          <t>Jurisdiction</t>
        </is>
      </c>
      <c r="D22" s="37" t="inlineStr">
        <is>
          <t>Permit #</t>
        </is>
      </c>
      <c r="E22" s="37" t="inlineStr">
        <is>
          <t>Renewal date</t>
        </is>
      </c>
      <c r="F22" s="37" t="inlineStr">
        <is>
          <t>Days</t>
        </is>
      </c>
      <c r="G22" s="37" t="inlineStr">
        <is>
          <t>$ Cost</t>
        </is>
      </c>
      <c r="H22" s="37" t="inlineStr">
        <is>
          <t>Notes</t>
        </is>
      </c>
    </row>
    <row r="23" ht="20" customHeight="1">
      <c r="A23" s="44" t="n"/>
      <c r="B23" s="44" t="n"/>
      <c r="C23" s="44" t="n"/>
      <c r="D23" s="44" t="n"/>
      <c r="E23" s="44" t="n"/>
      <c r="F23" s="44" t="n"/>
      <c r="G23" s="44" t="n"/>
      <c r="H23" s="44" t="n"/>
    </row>
    <row r="24" ht="20" customHeight="1">
      <c r="A24" s="44" t="n"/>
      <c r="B24" s="44" t="n"/>
      <c r="C24" s="44" t="n"/>
      <c r="D24" s="44" t="n"/>
      <c r="E24" s="44" t="n"/>
      <c r="F24" s="44" t="n"/>
      <c r="G24" s="44" t="n"/>
      <c r="H24" s="44" t="n"/>
    </row>
    <row r="25" ht="20" customHeight="1">
      <c r="A25" s="44" t="n"/>
      <c r="B25" s="44" t="n"/>
      <c r="C25" s="44" t="n"/>
      <c r="D25" s="44" t="n"/>
      <c r="E25" s="44" t="n"/>
      <c r="F25" s="44" t="n"/>
      <c r="G25" s="44" t="n"/>
      <c r="H25" s="44" t="n"/>
    </row>
    <row r="26" ht="20" customHeight="1">
      <c r="A26" s="44" t="n"/>
      <c r="B26" s="44" t="n"/>
      <c r="C26" s="44" t="n"/>
      <c r="D26" s="44" t="n"/>
      <c r="E26" s="44" t="n"/>
      <c r="F26" s="44" t="n"/>
      <c r="G26" s="44" t="n"/>
      <c r="H26" s="44" t="n"/>
    </row>
    <row r="27" ht="20" customHeight="1">
      <c r="A27" s="44" t="n"/>
      <c r="B27" s="44" t="n"/>
      <c r="C27" s="44" t="n"/>
      <c r="D27" s="44" t="n"/>
      <c r="E27" s="44" t="n"/>
      <c r="F27" s="44" t="n"/>
      <c r="G27" s="44" t="n"/>
      <c r="H27" s="44" t="n"/>
    </row>
    <row r="28" ht="20" customHeight="1">
      <c r="A28" s="44" t="n"/>
      <c r="B28" s="44" t="n"/>
      <c r="C28" s="44" t="n"/>
      <c r="D28" s="44" t="n"/>
      <c r="E28" s="44" t="n"/>
      <c r="F28" s="44" t="n"/>
      <c r="G28" s="44" t="n"/>
      <c r="H28" s="44" t="n"/>
    </row>
    <row r="29" ht="20" customHeight="1">
      <c r="A29" s="44" t="n"/>
      <c r="B29" s="44" t="n"/>
      <c r="C29" s="44" t="n"/>
      <c r="D29" s="44" t="n"/>
      <c r="E29" s="44" t="n"/>
      <c r="F29" s="44" t="n"/>
      <c r="G29" s="44" t="n"/>
      <c r="H29" s="44" t="n"/>
    </row>
    <row r="30" ht="20" customHeight="1">
      <c r="A30" s="44" t="n"/>
      <c r="B30" s="44" t="n"/>
      <c r="C30" s="44" t="n"/>
      <c r="D30" s="44" t="n"/>
      <c r="E30" s="44" t="n"/>
      <c r="F30" s="44" t="n"/>
      <c r="G30" s="44" t="n"/>
      <c r="H30" s="44" t="n"/>
    </row>
    <row r="32" ht="24" customHeight="1">
      <c r="A32" s="47">
        <f>IF(COUNTIFS('Permits Register'!L7:L206,"&gt;90")&gt;0,"Permits more than 90 days out: "&amp;COUNTIFS('Permits Register'!L7:L206,"&gt;90")&amp;" — open the Permits Register for the full list.","All long-horizon permits will surface here as their dates approach.")</f>
        <v/>
      </c>
    </row>
    <row r="34" ht="30" customHeight="1">
      <c r="A34" s="48" t="inlineStr">
        <is>
          <t>Note: this view is a manual snapshot — the rows above show the permits as of build time. After you edit the Permits Register, the days-to-renewal columns recalc automatically; rerun-sort by hand if you need this view re-ranked.</t>
        </is>
      </c>
    </row>
  </sheetData>
  <mergeCells count="9">
    <mergeCell ref="J2:L2"/>
    <mergeCell ref="D2:I2"/>
    <mergeCell ref="A32:L32"/>
    <mergeCell ref="A13:L13"/>
    <mergeCell ref="A6:L6"/>
    <mergeCell ref="A21:L21"/>
    <mergeCell ref="A34:L34"/>
    <mergeCell ref="A2:C2"/>
    <mergeCell ref="A4:L4"/>
  </mergeCells>
  <pageMargins left="0.4" right="0.4" top="0.5" bottom="0.5" header="0.5" footer="0.5"/>
  <pageSetup orientation="landscape" paperSize="1" fitToHeight="0" fitToWidth="1"/>
</worksheet>
</file>

<file path=xl/worksheets/sheet4.xml><?xml version="1.0" encoding="utf-8"?>
<worksheet xmlns="http://schemas.openxmlformats.org/spreadsheetml/2006/main">
  <sheetPr>
    <tabColor rgb="00EFE5D0"/>
    <outlinePr summaryBelow="1" summaryRight="1"/>
    <pageSetUpPr fitToPage="1"/>
  </sheetPr>
  <dimension ref="A1:L165"/>
  <sheetViews>
    <sheetView workbookViewId="0">
      <selection activeCell="A1" sqref="A1"/>
    </sheetView>
  </sheetViews>
  <sheetFormatPr baseColWidth="8" defaultRowHeight="15"/>
  <cols>
    <col width="4" customWidth="1" min="1" max="1"/>
    <col width="2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8" customHeight="1">
      <c r="A1" s="1" t="n"/>
      <c r="B1" s="1" t="n"/>
      <c r="C1" s="1" t="n"/>
      <c r="D1" s="1" t="n"/>
      <c r="E1" s="1" t="n"/>
      <c r="F1" s="1" t="n"/>
      <c r="G1" s="1" t="n"/>
      <c r="H1" s="1" t="n"/>
      <c r="I1" s="1" t="n"/>
      <c r="J1" s="1" t="n"/>
      <c r="K1" s="1" t="n"/>
      <c r="L1" s="1" t="n"/>
    </row>
    <row r="2" ht="28" customHeight="1">
      <c r="A2" s="25">
        <f>HYPERLINK("#'Renewal Calendar'!A1", "← BACK")</f>
        <v/>
      </c>
      <c r="B2" s="26" t="n"/>
      <c r="C2" s="26" t="n"/>
      <c r="D2" s="33" t="inlineStr">
        <is>
          <t>PERMIT DISCOVERY</t>
        </is>
      </c>
      <c r="J2" s="34">
        <f>HYPERLINK("#'Filing Log'!A1", "NEXT →")</f>
        <v/>
      </c>
      <c r="K2" s="35" t="n"/>
      <c r="L2" s="35" t="n"/>
    </row>
    <row r="3" ht="6" customHeight="1">
      <c r="A3" s="1" t="n"/>
      <c r="B3" s="1" t="n"/>
      <c r="C3" s="1" t="n"/>
      <c r="D3" s="1" t="n"/>
      <c r="E3" s="1" t="n"/>
      <c r="F3" s="1" t="n"/>
      <c r="G3" s="1" t="n"/>
      <c r="H3" s="1" t="n"/>
      <c r="I3" s="1" t="n"/>
      <c r="J3" s="1" t="n"/>
      <c r="K3" s="1" t="n"/>
      <c r="L3" s="1" t="n"/>
    </row>
    <row r="4" ht="22" customHeight="1">
      <c r="A4" s="36" t="inlineStr">
        <is>
          <t>Top STR markets — typical permit stack as of 2026-05-02. Rules change frequently. Verify with the issuing jurisdiction before relying on this snapshot.</t>
        </is>
      </c>
    </row>
    <row r="5" ht="24" customHeight="1">
      <c r="A5" s="49" t="inlineStr">
        <is>
          <t>REFERENCE ONLY — NOT LEGAL ADVICE.  STR ordinances change frequently, sometimes mid-year. The permit names, fees, and restrictions below are starting points for your research, not authoritative guidance. Always verify the current rules with the issuing jurisdiction (or your local STR attorney) before applying for, renewing, or relying on a permit. Snapshot date: 2026-05-02.</t>
        </is>
      </c>
    </row>
    <row r="6" ht="24" customHeight="1"/>
    <row r="8" ht="26" customHeight="1">
      <c r="A8" s="50" t="inlineStr">
        <is>
          <t>New York City, NY</t>
        </is>
      </c>
    </row>
    <row r="9" ht="18" customHeight="1">
      <c r="B9" s="51" t="inlineStr">
        <is>
          <t>Authority</t>
        </is>
      </c>
      <c r="C9" s="52" t="inlineStr">
        <is>
          <t>NYC Mayor's Office of Special Enforcement (OSE)</t>
        </is>
      </c>
    </row>
    <row r="10" ht="18" customHeight="1">
      <c r="B10" s="51" t="inlineStr">
        <is>
          <t>Permit name</t>
        </is>
      </c>
      <c r="C10" s="52" t="inlineStr">
        <is>
          <t>Short-Term Rental Registration (Local Law 18)</t>
        </is>
      </c>
    </row>
    <row r="11" ht="18" customHeight="1">
      <c r="B11" s="51" t="inlineStr">
        <is>
          <t>Typical fees</t>
        </is>
      </c>
      <c r="C11" s="52" t="inlineStr">
        <is>
          <t>$145 application fee</t>
        </is>
      </c>
    </row>
    <row r="12" ht="18" customHeight="1">
      <c r="B12" s="51" t="inlineStr">
        <is>
          <t>Renewal cadence</t>
        </is>
      </c>
      <c r="C12" s="52" t="inlineStr">
        <is>
          <t>One-time registration; updates required on changes</t>
        </is>
      </c>
    </row>
    <row r="13" ht="30" customHeight="1">
      <c r="B13" s="51" t="inlineStr">
        <is>
          <t>Key restriction</t>
        </is>
      </c>
      <c r="C13" s="52" t="inlineStr">
        <is>
          <t>Owner-occupancy required (Y) — host must be present during stay; max 2 guests; stays under 30 days only allowed if registered.</t>
        </is>
      </c>
    </row>
    <row r="14" ht="18" customHeight="1">
      <c r="B14" s="51" t="inlineStr">
        <is>
          <t>Reference URL</t>
        </is>
      </c>
      <c r="C14" s="53" t="inlineStr">
        <is>
          <t>https://www.nyc.gov/site/specialenforcement/registration/short-term-rental.page</t>
        </is>
      </c>
    </row>
    <row r="15" ht="18" customHeight="1">
      <c r="B15" s="51" t="inlineStr">
        <is>
          <t>As-of</t>
        </is>
      </c>
      <c r="C15" s="52" t="inlineStr">
        <is>
          <t>2026-05-02</t>
        </is>
      </c>
    </row>
    <row r="16" ht="18" customHeight="1">
      <c r="A16" s="54" t="inlineStr">
        <is>
          <t>Verify locally — STR rules in this jurisdiction change and may have updated since the as-of date above.</t>
        </is>
      </c>
    </row>
    <row r="18" ht="26" customHeight="1">
      <c r="A18" s="50" t="inlineStr">
        <is>
          <t>Los Angeles, CA</t>
        </is>
      </c>
    </row>
    <row r="19" ht="18" customHeight="1">
      <c r="B19" s="51" t="inlineStr">
        <is>
          <t>Authority</t>
        </is>
      </c>
      <c r="C19" s="52" t="inlineStr">
        <is>
          <t>LA Department of City Planning</t>
        </is>
      </c>
    </row>
    <row r="20" ht="18" customHeight="1">
      <c r="B20" s="51" t="inlineStr">
        <is>
          <t>Permit name</t>
        </is>
      </c>
      <c r="C20" s="52" t="inlineStr">
        <is>
          <t>Home-Sharing Registration</t>
        </is>
      </c>
    </row>
    <row r="21" ht="18" customHeight="1">
      <c r="B21" s="51" t="inlineStr">
        <is>
          <t>Typical fees</t>
        </is>
      </c>
      <c r="C21" s="52" t="inlineStr">
        <is>
          <t>$89 annual</t>
        </is>
      </c>
    </row>
    <row r="22" ht="18" customHeight="1">
      <c r="B22" s="51" t="inlineStr">
        <is>
          <t>Renewal cadence</t>
        </is>
      </c>
      <c r="C22" s="52" t="inlineStr">
        <is>
          <t>Annual</t>
        </is>
      </c>
    </row>
    <row r="23" ht="30" customHeight="1">
      <c r="B23" s="51" t="inlineStr">
        <is>
          <t>Key restriction</t>
        </is>
      </c>
      <c r="C23" s="52" t="inlineStr">
        <is>
          <t>Owner-occupancy required (Y) — primary residence only; 120-night cap unless Extended Home-Sharing approved.</t>
        </is>
      </c>
    </row>
    <row r="24" ht="18" customHeight="1">
      <c r="B24" s="51" t="inlineStr">
        <is>
          <t>Reference URL</t>
        </is>
      </c>
      <c r="C24" s="53" t="inlineStr">
        <is>
          <t>https://planning.lacity.gov/development-services/home-sharing</t>
        </is>
      </c>
    </row>
    <row r="25" ht="18" customHeight="1">
      <c r="B25" s="51" t="inlineStr">
        <is>
          <t>As-of</t>
        </is>
      </c>
      <c r="C25" s="52" t="inlineStr">
        <is>
          <t>2026-05-02</t>
        </is>
      </c>
    </row>
    <row r="26" ht="18" customHeight="1">
      <c r="A26" s="54" t="inlineStr">
        <is>
          <t>Verify locally — STR rules in this jurisdiction change and may have updated since the as-of date above.</t>
        </is>
      </c>
    </row>
    <row r="28" ht="26" customHeight="1">
      <c r="A28" s="50" t="inlineStr">
        <is>
          <t>Austin, TX</t>
        </is>
      </c>
    </row>
    <row r="29" ht="18" customHeight="1">
      <c r="B29" s="51" t="inlineStr">
        <is>
          <t>Authority</t>
        </is>
      </c>
      <c r="C29" s="52" t="inlineStr">
        <is>
          <t>City of Austin Development Services Department</t>
        </is>
      </c>
    </row>
    <row r="30" ht="18" customHeight="1">
      <c r="B30" s="51" t="inlineStr">
        <is>
          <t>Permit name</t>
        </is>
      </c>
      <c r="C30" s="52" t="inlineStr">
        <is>
          <t>Short-Term Rental License (Type 1, 2, 3)</t>
        </is>
      </c>
    </row>
    <row r="31" ht="18" customHeight="1">
      <c r="B31" s="51" t="inlineStr">
        <is>
          <t>Typical fees</t>
        </is>
      </c>
      <c r="C31" s="52" t="inlineStr">
        <is>
          <t>$767 initial / $462 renewal</t>
        </is>
      </c>
    </row>
    <row r="32" ht="18" customHeight="1">
      <c r="B32" s="51" t="inlineStr">
        <is>
          <t>Renewal cadence</t>
        </is>
      </c>
      <c r="C32" s="52" t="inlineStr">
        <is>
          <t>Annual</t>
        </is>
      </c>
    </row>
    <row r="33" ht="30" customHeight="1">
      <c r="B33" s="51" t="inlineStr">
        <is>
          <t>Key restriction</t>
        </is>
      </c>
      <c r="C33" s="52" t="inlineStr">
        <is>
          <t>Owner-occupancy required for Type 1 (Y); Type 2 prohibited in residential zones since 2016; Type 3 multifamily.</t>
        </is>
      </c>
    </row>
    <row r="34" ht="18" customHeight="1">
      <c r="B34" s="51" t="inlineStr">
        <is>
          <t>Reference URL</t>
        </is>
      </c>
      <c r="C34" s="53" t="inlineStr">
        <is>
          <t>https://www.austintexas.gov/department/short-term-rentals</t>
        </is>
      </c>
    </row>
    <row r="35" ht="18" customHeight="1">
      <c r="B35" s="51" t="inlineStr">
        <is>
          <t>As-of</t>
        </is>
      </c>
      <c r="C35" s="52" t="inlineStr">
        <is>
          <t>2026-05-02</t>
        </is>
      </c>
    </row>
    <row r="36" ht="18" customHeight="1">
      <c r="A36" s="54" t="inlineStr">
        <is>
          <t>Verify locally — STR rules in this jurisdiction change and may have updated since the as-of date above.</t>
        </is>
      </c>
    </row>
    <row r="38" ht="26" customHeight="1">
      <c r="A38" s="50" t="inlineStr">
        <is>
          <t>Denver, CO</t>
        </is>
      </c>
    </row>
    <row r="39" ht="18" customHeight="1">
      <c r="B39" s="51" t="inlineStr">
        <is>
          <t>Authority</t>
        </is>
      </c>
      <c r="C39" s="52" t="inlineStr">
        <is>
          <t>Denver Department of Excise and Licenses</t>
        </is>
      </c>
    </row>
    <row r="40" ht="18" customHeight="1">
      <c r="B40" s="51" t="inlineStr">
        <is>
          <t>Permit name</t>
        </is>
      </c>
      <c r="C40" s="52" t="inlineStr">
        <is>
          <t>Short-Term Rental Business License</t>
        </is>
      </c>
    </row>
    <row r="41" ht="18" customHeight="1">
      <c r="B41" s="51" t="inlineStr">
        <is>
          <t>Typical fees</t>
        </is>
      </c>
      <c r="C41" s="52" t="inlineStr">
        <is>
          <t>$50 application + $50 license / annual</t>
        </is>
      </c>
    </row>
    <row r="42" ht="18" customHeight="1">
      <c r="B42" s="51" t="inlineStr">
        <is>
          <t>Renewal cadence</t>
        </is>
      </c>
      <c r="C42" s="52" t="inlineStr">
        <is>
          <t>Annual</t>
        </is>
      </c>
    </row>
    <row r="43" ht="30" customHeight="1">
      <c r="B43" s="51" t="inlineStr">
        <is>
          <t>Key restriction</t>
        </is>
      </c>
      <c r="C43" s="52" t="inlineStr">
        <is>
          <t>Owner-occupancy required (Y) — must be primary residence; lodger's tax registration also required.</t>
        </is>
      </c>
    </row>
    <row r="44" ht="18" customHeight="1">
      <c r="B44" s="51" t="inlineStr">
        <is>
          <t>Reference URL</t>
        </is>
      </c>
      <c r="C44" s="53" t="inlineStr">
        <is>
          <t>https://www.denvergov.org/Government/Agencies-Departments-Offices/Business-Licensing/Business-Licenses/Short-Term-Rentals</t>
        </is>
      </c>
    </row>
    <row r="45" ht="18" customHeight="1">
      <c r="B45" s="51" t="inlineStr">
        <is>
          <t>As-of</t>
        </is>
      </c>
      <c r="C45" s="52" t="inlineStr">
        <is>
          <t>2026-05-02</t>
        </is>
      </c>
    </row>
    <row r="46" ht="18" customHeight="1">
      <c r="A46" s="54" t="inlineStr">
        <is>
          <t>Verify locally — STR rules in this jurisdiction change and may have updated since the as-of date above.</t>
        </is>
      </c>
    </row>
    <row r="48" ht="26" customHeight="1">
      <c r="A48" s="50" t="inlineStr">
        <is>
          <t>Nashville (Metro Davidson), TN</t>
        </is>
      </c>
    </row>
    <row r="49" ht="18" customHeight="1">
      <c r="B49" s="51" t="inlineStr">
        <is>
          <t>Authority</t>
        </is>
      </c>
      <c r="C49" s="52" t="inlineStr">
        <is>
          <t>Metro Codes Department</t>
        </is>
      </c>
    </row>
    <row r="50" ht="18" customHeight="1">
      <c r="B50" s="51" t="inlineStr">
        <is>
          <t>Permit name</t>
        </is>
      </c>
      <c r="C50" s="52" t="inlineStr">
        <is>
          <t>Short-Term Rental Property Permit (Type 1 / Type 2)</t>
        </is>
      </c>
    </row>
    <row r="51" ht="18" customHeight="1">
      <c r="B51" s="51" t="inlineStr">
        <is>
          <t>Typical fees</t>
        </is>
      </c>
      <c r="C51" s="52" t="inlineStr">
        <is>
          <t>$313 annual</t>
        </is>
      </c>
    </row>
    <row r="52" ht="18" customHeight="1">
      <c r="B52" s="51" t="inlineStr">
        <is>
          <t>Renewal cadence</t>
        </is>
      </c>
      <c r="C52" s="52" t="inlineStr">
        <is>
          <t>Annual</t>
        </is>
      </c>
    </row>
    <row r="53" ht="30" customHeight="1">
      <c r="B53" s="51" t="inlineStr">
        <is>
          <t>Key restriction</t>
        </is>
      </c>
      <c r="C53" s="52" t="inlineStr">
        <is>
          <t>Type 1 owner-occupied (Y); Type 2 non-owner-occupied capped by zoning + grandfathered in many districts.</t>
        </is>
      </c>
    </row>
    <row r="54" ht="18" customHeight="1">
      <c r="B54" s="51" t="inlineStr">
        <is>
          <t>Reference URL</t>
        </is>
      </c>
      <c r="C54" s="53" t="inlineStr">
        <is>
          <t>https://www.nashville.gov/departments/codes/short-term-rentals</t>
        </is>
      </c>
    </row>
    <row r="55" ht="18" customHeight="1">
      <c r="B55" s="51" t="inlineStr">
        <is>
          <t>As-of</t>
        </is>
      </c>
      <c r="C55" s="52" t="inlineStr">
        <is>
          <t>2026-05-02</t>
        </is>
      </c>
    </row>
    <row r="56" ht="18" customHeight="1">
      <c r="A56" s="54" t="inlineStr">
        <is>
          <t>Verify locally — STR rules in this jurisdiction change and may have updated since the as-of date above.</t>
        </is>
      </c>
    </row>
    <row r="58" ht="26" customHeight="1">
      <c r="A58" s="50" t="inlineStr">
        <is>
          <t>New Orleans, LA</t>
        </is>
      </c>
    </row>
    <row r="59" ht="18" customHeight="1">
      <c r="B59" s="51" t="inlineStr">
        <is>
          <t>Authority</t>
        </is>
      </c>
      <c r="C59" s="52" t="inlineStr">
        <is>
          <t>City of New Orleans Department of Safety and Permits</t>
        </is>
      </c>
    </row>
    <row r="60" ht="18" customHeight="1">
      <c r="B60" s="51" t="inlineStr">
        <is>
          <t>Permit name</t>
        </is>
      </c>
      <c r="C60" s="52" t="inlineStr">
        <is>
          <t>Short-Term Rental Permit (Residential / Commercial)</t>
        </is>
      </c>
    </row>
    <row r="61" ht="18" customHeight="1">
      <c r="B61" s="51" t="inlineStr">
        <is>
          <t>Typical fees</t>
        </is>
      </c>
      <c r="C61" s="52" t="inlineStr">
        <is>
          <t>$500 residential / $500+ commercial annual</t>
        </is>
      </c>
    </row>
    <row r="62" ht="18" customHeight="1">
      <c r="B62" s="51" t="inlineStr">
        <is>
          <t>Renewal cadence</t>
        </is>
      </c>
      <c r="C62" s="52" t="inlineStr">
        <is>
          <t>Annual</t>
        </is>
      </c>
    </row>
    <row r="63" ht="30" customHeight="1">
      <c r="B63" s="51" t="inlineStr">
        <is>
          <t>Key restriction</t>
        </is>
      </c>
      <c r="C63" s="52" t="inlineStr">
        <is>
          <t>Residential STR requires owner-occupancy (Y); homestead exemption required; one permit per lot in most districts.</t>
        </is>
      </c>
    </row>
    <row r="64" ht="18" customHeight="1">
      <c r="B64" s="51" t="inlineStr">
        <is>
          <t>Reference URL</t>
        </is>
      </c>
      <c r="C64" s="53" t="inlineStr">
        <is>
          <t>https://nola.gov/short-term-rentals/</t>
        </is>
      </c>
    </row>
    <row r="65" ht="18" customHeight="1">
      <c r="B65" s="51" t="inlineStr">
        <is>
          <t>As-of</t>
        </is>
      </c>
      <c r="C65" s="52" t="inlineStr">
        <is>
          <t>2026-05-02</t>
        </is>
      </c>
    </row>
    <row r="66" ht="18" customHeight="1">
      <c r="A66" s="54" t="inlineStr">
        <is>
          <t>Verify locally — STR rules in this jurisdiction change and may have updated since the as-of date above.</t>
        </is>
      </c>
    </row>
    <row r="68" ht="26" customHeight="1">
      <c r="A68" s="50" t="inlineStr">
        <is>
          <t>Honolulu, HI</t>
        </is>
      </c>
    </row>
    <row r="69" ht="18" customHeight="1">
      <c r="B69" s="51" t="inlineStr">
        <is>
          <t>Authority</t>
        </is>
      </c>
      <c r="C69" s="52" t="inlineStr">
        <is>
          <t>Honolulu Department of Planning and Permitting</t>
        </is>
      </c>
    </row>
    <row r="70" ht="18" customHeight="1">
      <c r="B70" s="51" t="inlineStr">
        <is>
          <t>Permit name</t>
        </is>
      </c>
      <c r="C70" s="52" t="inlineStr">
        <is>
          <t>Short-Term Rental Registration (Bill 41 / Ord 22-7)</t>
        </is>
      </c>
    </row>
    <row r="71" ht="18" customHeight="1">
      <c r="B71" s="51" t="inlineStr">
        <is>
          <t>Typical fees</t>
        </is>
      </c>
      <c r="C71" s="52" t="inlineStr">
        <is>
          <t>$1,000 registration + annual renewal</t>
        </is>
      </c>
    </row>
    <row r="72" ht="18" customHeight="1">
      <c r="B72" s="51" t="inlineStr">
        <is>
          <t>Renewal cadence</t>
        </is>
      </c>
      <c r="C72" s="52" t="inlineStr">
        <is>
          <t>Annual</t>
        </is>
      </c>
    </row>
    <row r="73" ht="30" customHeight="1">
      <c r="B73" s="51" t="inlineStr">
        <is>
          <t>Key restriction</t>
        </is>
      </c>
      <c r="C73" s="52" t="inlineStr">
        <is>
          <t>Strict — 90-day minimum stay outside resort districts; operating permit limited; non-conforming use grandfathering only.</t>
        </is>
      </c>
    </row>
    <row r="74" ht="18" customHeight="1">
      <c r="B74" s="51" t="inlineStr">
        <is>
          <t>Reference URL</t>
        </is>
      </c>
      <c r="C74" s="53" t="inlineStr">
        <is>
          <t>https://www.honolulu.gov/dpp/short-term-rentals.html</t>
        </is>
      </c>
    </row>
    <row r="75" ht="18" customHeight="1">
      <c r="B75" s="51" t="inlineStr">
        <is>
          <t>As-of</t>
        </is>
      </c>
      <c r="C75" s="52" t="inlineStr">
        <is>
          <t>2026-05-02</t>
        </is>
      </c>
    </row>
    <row r="76" ht="18" customHeight="1">
      <c r="A76" s="54" t="inlineStr">
        <is>
          <t>Verify locally — STR rules in this jurisdiction change and may have updated since the as-of date above.</t>
        </is>
      </c>
    </row>
    <row r="78" ht="26" customHeight="1">
      <c r="A78" s="50" t="inlineStr">
        <is>
          <t>San Francisco, CA</t>
        </is>
      </c>
    </row>
    <row r="79" ht="18" customHeight="1">
      <c r="B79" s="51" t="inlineStr">
        <is>
          <t>Authority</t>
        </is>
      </c>
      <c r="C79" s="52" t="inlineStr">
        <is>
          <t>SF Office of Short-Term Rentals</t>
        </is>
      </c>
    </row>
    <row r="80" ht="18" customHeight="1">
      <c r="B80" s="51" t="inlineStr">
        <is>
          <t>Permit name</t>
        </is>
      </c>
      <c r="C80" s="52" t="inlineStr">
        <is>
          <t>Short-Term Residential Rental Certificate</t>
        </is>
      </c>
    </row>
    <row r="81" ht="18" customHeight="1">
      <c r="B81" s="51" t="inlineStr">
        <is>
          <t>Typical fees</t>
        </is>
      </c>
      <c r="C81" s="52" t="inlineStr">
        <is>
          <t>$1,025 biennial</t>
        </is>
      </c>
    </row>
    <row r="82" ht="18" customHeight="1">
      <c r="B82" s="51" t="inlineStr">
        <is>
          <t>Renewal cadence</t>
        </is>
      </c>
      <c r="C82" s="52" t="inlineStr">
        <is>
          <t>Biennial</t>
        </is>
      </c>
    </row>
    <row r="83" ht="30" customHeight="1">
      <c r="B83" s="51" t="inlineStr">
        <is>
          <t>Key restriction</t>
        </is>
      </c>
      <c r="C83" s="52" t="inlineStr">
        <is>
          <t>Owner-occupancy required (Y) — primary residence 275+ nights/year; 90-night cap on un-hosted stays.</t>
        </is>
      </c>
    </row>
    <row r="84" ht="18" customHeight="1">
      <c r="B84" s="51" t="inlineStr">
        <is>
          <t>Reference URL</t>
        </is>
      </c>
      <c r="C84" s="53" t="inlineStr">
        <is>
          <t>https://sf.gov/topics/short-term-rentals</t>
        </is>
      </c>
    </row>
    <row r="85" ht="18" customHeight="1">
      <c r="B85" s="51" t="inlineStr">
        <is>
          <t>As-of</t>
        </is>
      </c>
      <c r="C85" s="52" t="inlineStr">
        <is>
          <t>2026-05-02</t>
        </is>
      </c>
    </row>
    <row r="86" ht="18" customHeight="1">
      <c r="A86" s="54" t="inlineStr">
        <is>
          <t>Verify locally — STR rules in this jurisdiction change and may have updated since the as-of date above.</t>
        </is>
      </c>
    </row>
    <row r="88" ht="26" customHeight="1">
      <c r="A88" s="50" t="inlineStr">
        <is>
          <t>Miami Beach, FL</t>
        </is>
      </c>
    </row>
    <row r="89" ht="18" customHeight="1">
      <c r="B89" s="51" t="inlineStr">
        <is>
          <t>Authority</t>
        </is>
      </c>
      <c r="C89" s="52" t="inlineStr">
        <is>
          <t>Miami Beach Code Compliance</t>
        </is>
      </c>
    </row>
    <row r="90" ht="18" customHeight="1">
      <c r="B90" s="51" t="inlineStr">
        <is>
          <t>Permit name</t>
        </is>
      </c>
      <c r="C90" s="52" t="inlineStr">
        <is>
          <t>Short-Term Rental Business Tax Receipt</t>
        </is>
      </c>
    </row>
    <row r="91" ht="18" customHeight="1">
      <c r="B91" s="51" t="inlineStr">
        <is>
          <t>Typical fees</t>
        </is>
      </c>
      <c r="C91" s="52" t="inlineStr">
        <is>
          <t>$390 BTR + $1,500 resort tax registration</t>
        </is>
      </c>
    </row>
    <row r="92" ht="18" customHeight="1">
      <c r="B92" s="51" t="inlineStr">
        <is>
          <t>Renewal cadence</t>
        </is>
      </c>
      <c r="C92" s="52" t="inlineStr">
        <is>
          <t>Annual</t>
        </is>
      </c>
    </row>
    <row r="93" ht="30" customHeight="1">
      <c r="B93" s="51" t="inlineStr">
        <is>
          <t>Key restriction</t>
        </is>
      </c>
      <c r="C93" s="52" t="inlineStr">
        <is>
          <t>Owner-occupancy NOT required (N) — but STRs banned in many single-family zones; fines up to $100,000 for unpermitted use.</t>
        </is>
      </c>
    </row>
    <row r="94" ht="18" customHeight="1">
      <c r="B94" s="51" t="inlineStr">
        <is>
          <t>Reference URL</t>
        </is>
      </c>
      <c r="C94" s="53" t="inlineStr">
        <is>
          <t>https://www.miamibeachfl.gov/code-compliance/short-term-rentals/</t>
        </is>
      </c>
    </row>
    <row r="95" ht="18" customHeight="1">
      <c r="B95" s="51" t="inlineStr">
        <is>
          <t>As-of</t>
        </is>
      </c>
      <c r="C95" s="52" t="inlineStr">
        <is>
          <t>2026-05-02</t>
        </is>
      </c>
    </row>
    <row r="96" ht="18" customHeight="1">
      <c r="A96" s="54" t="inlineStr">
        <is>
          <t>Verify locally — STR rules in this jurisdiction change and may have updated since the as-of date above.</t>
        </is>
      </c>
    </row>
    <row r="98" ht="26" customHeight="1">
      <c r="A98" s="50" t="inlineStr">
        <is>
          <t>Portland, OR</t>
        </is>
      </c>
    </row>
    <row r="99" ht="18" customHeight="1">
      <c r="B99" s="51" t="inlineStr">
        <is>
          <t>Authority</t>
        </is>
      </c>
      <c r="C99" s="52" t="inlineStr">
        <is>
          <t>Portland Bureau of Development Services</t>
        </is>
      </c>
    </row>
    <row r="100" ht="18" customHeight="1">
      <c r="B100" s="51" t="inlineStr">
        <is>
          <t>Permit name</t>
        </is>
      </c>
      <c r="C100" s="52" t="inlineStr">
        <is>
          <t>Accessory Short-Term Rental Permit</t>
        </is>
      </c>
    </row>
    <row r="101" ht="18" customHeight="1">
      <c r="B101" s="51" t="inlineStr">
        <is>
          <t>Typical fees</t>
        </is>
      </c>
      <c r="C101" s="52" t="inlineStr">
        <is>
          <t>$67 (Type A) / $4,432 (Type B) initial</t>
        </is>
      </c>
    </row>
    <row r="102" ht="18" customHeight="1">
      <c r="B102" s="51" t="inlineStr">
        <is>
          <t>Renewal cadence</t>
        </is>
      </c>
      <c r="C102" s="52" t="inlineStr">
        <is>
          <t>Biennial (Type A) / Conditional Use (Type B)</t>
        </is>
      </c>
    </row>
    <row r="103" ht="30" customHeight="1">
      <c r="B103" s="51" t="inlineStr">
        <is>
          <t>Key restriction</t>
        </is>
      </c>
      <c r="C103" s="52" t="inlineStr">
        <is>
          <t>Owner-occupancy required for Type A (Y) — owner present 270+ nights/year; Type B requires conditional-use review.</t>
        </is>
      </c>
    </row>
    <row r="104" ht="18" customHeight="1">
      <c r="B104" s="51" t="inlineStr">
        <is>
          <t>Reference URL</t>
        </is>
      </c>
      <c r="C104" s="53" t="inlineStr">
        <is>
          <t>https://www.portland.gov/bds/zoning-land-use/accessory-short-term-rentals</t>
        </is>
      </c>
    </row>
    <row r="105" ht="18" customHeight="1">
      <c r="B105" s="51" t="inlineStr">
        <is>
          <t>As-of</t>
        </is>
      </c>
      <c r="C105" s="52" t="inlineStr">
        <is>
          <t>2026-05-02</t>
        </is>
      </c>
    </row>
    <row r="106" ht="18" customHeight="1">
      <c r="A106" s="54" t="inlineStr">
        <is>
          <t>Verify locally — STR rules in this jurisdiction change and may have updated since the as-of date above.</t>
        </is>
      </c>
    </row>
    <row r="108" ht="26" customHeight="1">
      <c r="A108" s="50" t="inlineStr">
        <is>
          <t>Seattle, WA</t>
        </is>
      </c>
    </row>
    <row r="109" ht="18" customHeight="1">
      <c r="B109" s="51" t="inlineStr">
        <is>
          <t>Authority</t>
        </is>
      </c>
      <c r="C109" s="52" t="inlineStr">
        <is>
          <t>Seattle Department of Finance and Administrative Services</t>
        </is>
      </c>
    </row>
    <row r="110" ht="18" customHeight="1">
      <c r="B110" s="51" t="inlineStr">
        <is>
          <t>Permit name</t>
        </is>
      </c>
      <c r="C110" s="52" t="inlineStr">
        <is>
          <t>Short-Term Rental Operator's License</t>
        </is>
      </c>
    </row>
    <row r="111" ht="18" customHeight="1">
      <c r="B111" s="51" t="inlineStr">
        <is>
          <t>Typical fees</t>
        </is>
      </c>
      <c r="C111" s="52" t="inlineStr">
        <is>
          <t>$75 operator + $14 per unit annual</t>
        </is>
      </c>
    </row>
    <row r="112" ht="18" customHeight="1">
      <c r="B112" s="51" t="inlineStr">
        <is>
          <t>Renewal cadence</t>
        </is>
      </c>
      <c r="C112" s="52" t="inlineStr">
        <is>
          <t>Annual</t>
        </is>
      </c>
    </row>
    <row r="113" ht="30" customHeight="1">
      <c r="B113" s="51" t="inlineStr">
        <is>
          <t>Key restriction</t>
        </is>
      </c>
      <c r="C113" s="52" t="inlineStr">
        <is>
          <t>Two-unit cap per operator (one must be primary residence); city business license also required.</t>
        </is>
      </c>
    </row>
    <row r="114" ht="18" customHeight="1">
      <c r="B114" s="51" t="inlineStr">
        <is>
          <t>Reference URL</t>
        </is>
      </c>
      <c r="C114" s="53" t="inlineStr">
        <is>
          <t>https://www.seattle.gov/business-regulations/short-term-rentals</t>
        </is>
      </c>
    </row>
    <row r="115" ht="18" customHeight="1">
      <c r="B115" s="51" t="inlineStr">
        <is>
          <t>As-of</t>
        </is>
      </c>
      <c r="C115" s="52" t="inlineStr">
        <is>
          <t>2026-05-02</t>
        </is>
      </c>
    </row>
    <row r="116" ht="18" customHeight="1">
      <c r="A116" s="54" t="inlineStr">
        <is>
          <t>Verify locally — STR rules in this jurisdiction change and may have updated since the as-of date above.</t>
        </is>
      </c>
    </row>
    <row r="118" ht="26" customHeight="1">
      <c r="A118" s="50" t="inlineStr">
        <is>
          <t>Chicago, IL</t>
        </is>
      </c>
    </row>
    <row r="119" ht="18" customHeight="1">
      <c r="B119" s="51" t="inlineStr">
        <is>
          <t>Authority</t>
        </is>
      </c>
      <c r="C119" s="52" t="inlineStr">
        <is>
          <t>Chicago Department of Business Affairs and Consumer Protection (BACP)</t>
        </is>
      </c>
    </row>
    <row r="120" ht="18" customHeight="1">
      <c r="B120" s="51" t="inlineStr">
        <is>
          <t>Permit name</t>
        </is>
      </c>
      <c r="C120" s="52" t="inlineStr">
        <is>
          <t>Shared Housing Unit License / Vacation Rental License</t>
        </is>
      </c>
    </row>
    <row r="121" ht="18" customHeight="1">
      <c r="B121" s="51" t="inlineStr">
        <is>
          <t>Typical fees</t>
        </is>
      </c>
      <c r="C121" s="52" t="inlineStr">
        <is>
          <t>$125 shared housing / $250 vacation rental — annual</t>
        </is>
      </c>
    </row>
    <row r="122" ht="18" customHeight="1">
      <c r="B122" s="51" t="inlineStr">
        <is>
          <t>Renewal cadence</t>
        </is>
      </c>
      <c r="C122" s="52" t="inlineStr">
        <is>
          <t>Annual</t>
        </is>
      </c>
    </row>
    <row r="123" ht="30" customHeight="1">
      <c r="B123" s="51" t="inlineStr">
        <is>
          <t>Key restriction</t>
        </is>
      </c>
      <c r="C123" s="52" t="inlineStr">
        <is>
          <t>Owner-occupancy preferred (mixed) — restricted residential zones list maintained by city; building condo restrictions apply.</t>
        </is>
      </c>
    </row>
    <row r="124" ht="18" customHeight="1">
      <c r="B124" s="51" t="inlineStr">
        <is>
          <t>Reference URL</t>
        </is>
      </c>
      <c r="C124" s="53" t="inlineStr">
        <is>
          <t>https://www.chicago.gov/city/en/depts/bacp/supp_info/sharedhousingordinance.html</t>
        </is>
      </c>
    </row>
    <row r="125" ht="18" customHeight="1">
      <c r="B125" s="51" t="inlineStr">
        <is>
          <t>As-of</t>
        </is>
      </c>
      <c r="C125" s="52" t="inlineStr">
        <is>
          <t>2026-05-02</t>
        </is>
      </c>
    </row>
    <row r="126" ht="18" customHeight="1">
      <c r="A126" s="54" t="inlineStr">
        <is>
          <t>Verify locally — STR rules in this jurisdiction change and may have updated since the as-of date above.</t>
        </is>
      </c>
    </row>
    <row r="128" ht="26" customHeight="1">
      <c r="A128" s="50" t="inlineStr">
        <is>
          <t>San Diego, CA</t>
        </is>
      </c>
    </row>
    <row r="129" ht="18" customHeight="1">
      <c r="B129" s="51" t="inlineStr">
        <is>
          <t>Authority</t>
        </is>
      </c>
      <c r="C129" s="52" t="inlineStr">
        <is>
          <t>San Diego Office of the City Treasurer</t>
        </is>
      </c>
    </row>
    <row r="130" ht="18" customHeight="1">
      <c r="B130" s="51" t="inlineStr">
        <is>
          <t>Permit name</t>
        </is>
      </c>
      <c r="C130" s="52" t="inlineStr">
        <is>
          <t>Short-Term Residential Occupancy License (Tier 1-4)</t>
        </is>
      </c>
    </row>
    <row r="131" ht="18" customHeight="1">
      <c r="B131" s="51" t="inlineStr">
        <is>
          <t>Typical fees</t>
        </is>
      </c>
      <c r="C131" s="52" t="inlineStr">
        <is>
          <t>$100-$1,000 by tier annual</t>
        </is>
      </c>
    </row>
    <row r="132" ht="18" customHeight="1">
      <c r="B132" s="51" t="inlineStr">
        <is>
          <t>Renewal cadence</t>
        </is>
      </c>
      <c r="C132" s="52" t="inlineStr">
        <is>
          <t>Annual / Biennial by tier</t>
        </is>
      </c>
    </row>
    <row r="133" ht="30" customHeight="1">
      <c r="B133" s="51" t="inlineStr">
        <is>
          <t>Key restriction</t>
        </is>
      </c>
      <c r="C133" s="52" t="inlineStr">
        <is>
          <t>Tier 3/4 capped citywide via lottery; Tier 4 (Mission Beach) separate cap; primary residence preference for Tier 2.</t>
        </is>
      </c>
    </row>
    <row r="134" ht="18" customHeight="1">
      <c r="B134" s="51" t="inlineStr">
        <is>
          <t>Reference URL</t>
        </is>
      </c>
      <c r="C134" s="53" t="inlineStr">
        <is>
          <t>https://www.sandiego.gov/treasurer/short-term-residential-occupancy</t>
        </is>
      </c>
    </row>
    <row r="135" ht="18" customHeight="1">
      <c r="B135" s="51" t="inlineStr">
        <is>
          <t>As-of</t>
        </is>
      </c>
      <c r="C135" s="52" t="inlineStr">
        <is>
          <t>2026-05-02</t>
        </is>
      </c>
    </row>
    <row r="136" ht="18" customHeight="1">
      <c r="A136" s="54" t="inlineStr">
        <is>
          <t>Verify locally — STR rules in this jurisdiction change and may have updated since the as-of date above.</t>
        </is>
      </c>
    </row>
    <row r="138" ht="26" customHeight="1">
      <c r="A138" s="50" t="inlineStr">
        <is>
          <t>Charleston, SC</t>
        </is>
      </c>
    </row>
    <row r="139" ht="18" customHeight="1">
      <c r="B139" s="51" t="inlineStr">
        <is>
          <t>Authority</t>
        </is>
      </c>
      <c r="C139" s="52" t="inlineStr">
        <is>
          <t>City of Charleston Permit Center</t>
        </is>
      </c>
    </row>
    <row r="140" ht="18" customHeight="1">
      <c r="B140" s="51" t="inlineStr">
        <is>
          <t>Permit name</t>
        </is>
      </c>
      <c r="C140" s="52" t="inlineStr">
        <is>
          <t>Short-Term Rental Permit (Categorical)</t>
        </is>
      </c>
    </row>
    <row r="141" ht="18" customHeight="1">
      <c r="B141" s="51" t="inlineStr">
        <is>
          <t>Typical fees</t>
        </is>
      </c>
      <c r="C141" s="52" t="inlineStr">
        <is>
          <t>$300 application + annual business license</t>
        </is>
      </c>
    </row>
    <row r="142" ht="18" customHeight="1">
      <c r="B142" s="51" t="inlineStr">
        <is>
          <t>Renewal cadence</t>
        </is>
      </c>
      <c r="C142" s="52" t="inlineStr">
        <is>
          <t>Annual</t>
        </is>
      </c>
    </row>
    <row r="143" ht="30" customHeight="1">
      <c r="B143" s="51" t="inlineStr">
        <is>
          <t>Key restriction</t>
        </is>
      </c>
      <c r="C143" s="52" t="inlineStr">
        <is>
          <t>Owner-occupancy required for most categories (Y); historic district has stricter rules; commercial STR permits are limited.</t>
        </is>
      </c>
    </row>
    <row r="144" ht="18" customHeight="1">
      <c r="B144" s="51" t="inlineStr">
        <is>
          <t>Reference URL</t>
        </is>
      </c>
      <c r="C144" s="53" t="inlineStr">
        <is>
          <t>https://www.charleston-sc.gov/2389/Short-Term-Rentals</t>
        </is>
      </c>
    </row>
    <row r="145" ht="18" customHeight="1">
      <c r="B145" s="51" t="inlineStr">
        <is>
          <t>As-of</t>
        </is>
      </c>
      <c r="C145" s="52" t="inlineStr">
        <is>
          <t>2026-05-02</t>
        </is>
      </c>
    </row>
    <row r="146" ht="18" customHeight="1">
      <c r="A146" s="54" t="inlineStr">
        <is>
          <t>Verify locally — STR rules in this jurisdiction change and may have updated since the as-of date above.</t>
        </is>
      </c>
    </row>
    <row r="148" ht="26" customHeight="1">
      <c r="A148" s="50" t="inlineStr">
        <is>
          <t>Savannah, GA</t>
        </is>
      </c>
    </row>
    <row r="149" ht="18" customHeight="1">
      <c r="B149" s="51" t="inlineStr">
        <is>
          <t>Authority</t>
        </is>
      </c>
      <c r="C149" s="52" t="inlineStr">
        <is>
          <t>City of Savannah Revenue Department</t>
        </is>
      </c>
    </row>
    <row r="150" ht="18" customHeight="1">
      <c r="B150" s="51" t="inlineStr">
        <is>
          <t>Permit name</t>
        </is>
      </c>
      <c r="C150" s="52" t="inlineStr">
        <is>
          <t>Short-Term Vacation Rental Certificate</t>
        </is>
      </c>
    </row>
    <row r="151" ht="18" customHeight="1">
      <c r="B151" s="51" t="inlineStr">
        <is>
          <t>Typical fees</t>
        </is>
      </c>
      <c r="C151" s="52" t="inlineStr">
        <is>
          <t>$450 application + annual occupancy tax registration</t>
        </is>
      </c>
    </row>
    <row r="152" ht="18" customHeight="1">
      <c r="B152" s="51" t="inlineStr">
        <is>
          <t>Renewal cadence</t>
        </is>
      </c>
      <c r="C152" s="52" t="inlineStr">
        <is>
          <t>Annual</t>
        </is>
      </c>
    </row>
    <row r="153" ht="30" customHeight="1">
      <c r="B153" s="51" t="inlineStr">
        <is>
          <t>Key restriction</t>
        </is>
      </c>
      <c r="C153" s="52" t="inlineStr">
        <is>
          <t>STVR cap applies in historic districts (N for cap-met areas); 20% cap per ward enforced — waitlist common.</t>
        </is>
      </c>
    </row>
    <row r="154" ht="18" customHeight="1">
      <c r="B154" s="51" t="inlineStr">
        <is>
          <t>Reference URL</t>
        </is>
      </c>
      <c r="C154" s="53" t="inlineStr">
        <is>
          <t>https://www.savannahga.gov/2008/Short-Term-Vacation-Rentals</t>
        </is>
      </c>
    </row>
    <row r="155" ht="18" customHeight="1">
      <c r="B155" s="51" t="inlineStr">
        <is>
          <t>As-of</t>
        </is>
      </c>
      <c r="C155" s="52" t="inlineStr">
        <is>
          <t>2026-05-02</t>
        </is>
      </c>
    </row>
    <row r="156" ht="18" customHeight="1">
      <c r="A156" s="54" t="inlineStr">
        <is>
          <t>Verify locally — STR rules in this jurisdiction change and may have updated since the as-of date above.</t>
        </is>
      </c>
    </row>
    <row r="158" ht="28" customHeight="1">
      <c r="A158" s="50" t="inlineStr">
        <is>
          <t>DON'T SEE YOUR CITY?</t>
        </is>
      </c>
    </row>
    <row r="159" ht="22" customHeight="1">
      <c r="A159" s="55" t="inlineStr">
        <is>
          <t>Email hello@thestrledger.com with the subject 'Permit Discovery request — [Your city, ST]' and we'll add it to the next quarterly update. Top-15 list is curated based on Sarah-the-multi-city-host's most common markets — your request goes straight into the v1.1 review.</t>
        </is>
      </c>
    </row>
    <row r="160" ht="22" customHeight="1"/>
    <row r="161" ht="22" customHeight="1"/>
    <row r="163" ht="18" customHeight="1">
      <c r="A163" s="56" t="inlineStr">
        <is>
          <t>WARNING — STR rules change frequently; cities pass new ordinances every legislative cycle. Treat this entire tab as a starting point for your research. Always confirm the current requirements with the issuing authority before applying for or renewing any permit. The STR Ledger is not a legal services provider.</t>
        </is>
      </c>
    </row>
    <row r="164" ht="18" customHeight="1"/>
    <row r="165" ht="18" customHeight="1"/>
  </sheetData>
  <mergeCells count="143">
    <mergeCell ref="C71:L71"/>
    <mergeCell ref="C123:L123"/>
    <mergeCell ref="C23:L23"/>
    <mergeCell ref="A128:L128"/>
    <mergeCell ref="A46:L46"/>
    <mergeCell ref="C91:L91"/>
    <mergeCell ref="A136:L136"/>
    <mergeCell ref="A26:L26"/>
    <mergeCell ref="C140:L140"/>
    <mergeCell ref="C155:L155"/>
    <mergeCell ref="C49:L49"/>
    <mergeCell ref="C101:L101"/>
    <mergeCell ref="C34:L34"/>
    <mergeCell ref="C42:L42"/>
    <mergeCell ref="C151:L151"/>
    <mergeCell ref="A156:L156"/>
    <mergeCell ref="C74:L74"/>
    <mergeCell ref="C141:L141"/>
    <mergeCell ref="C20:L20"/>
    <mergeCell ref="C113:L113"/>
    <mergeCell ref="C103:L103"/>
    <mergeCell ref="C85:L85"/>
    <mergeCell ref="C143:L143"/>
    <mergeCell ref="C112:L112"/>
    <mergeCell ref="C94:L94"/>
    <mergeCell ref="A148:L148"/>
    <mergeCell ref="C75:L75"/>
    <mergeCell ref="C84:L84"/>
    <mergeCell ref="C22:L22"/>
    <mergeCell ref="C133:L133"/>
    <mergeCell ref="A138:L138"/>
    <mergeCell ref="C114:L114"/>
    <mergeCell ref="A36:L36"/>
    <mergeCell ref="C59:L59"/>
    <mergeCell ref="C130:L130"/>
    <mergeCell ref="C12:L12"/>
    <mergeCell ref="A78:L78"/>
    <mergeCell ref="C61:L61"/>
    <mergeCell ref="C39:L39"/>
    <mergeCell ref="C70:L70"/>
    <mergeCell ref="C153:L153"/>
    <mergeCell ref="C32:L32"/>
    <mergeCell ref="C81:L81"/>
    <mergeCell ref="C125:L125"/>
    <mergeCell ref="C13:L13"/>
    <mergeCell ref="C131:L131"/>
    <mergeCell ref="C145:L145"/>
    <mergeCell ref="C154:L154"/>
    <mergeCell ref="C15:L15"/>
    <mergeCell ref="A106:L106"/>
    <mergeCell ref="C24:L24"/>
    <mergeCell ref="C33:L33"/>
    <mergeCell ref="A4:L4"/>
    <mergeCell ref="C89:L89"/>
    <mergeCell ref="C104:L104"/>
    <mergeCell ref="A38:L38"/>
    <mergeCell ref="A96:L96"/>
    <mergeCell ref="J2:L2"/>
    <mergeCell ref="C79:L79"/>
    <mergeCell ref="A159:L161"/>
    <mergeCell ref="C73:L73"/>
    <mergeCell ref="C35:L35"/>
    <mergeCell ref="A58:L58"/>
    <mergeCell ref="C63:L63"/>
    <mergeCell ref="C121:L121"/>
    <mergeCell ref="C10:L10"/>
    <mergeCell ref="C50:L50"/>
    <mergeCell ref="C25:L25"/>
    <mergeCell ref="C55:L55"/>
    <mergeCell ref="C99:L99"/>
    <mergeCell ref="C9:L9"/>
    <mergeCell ref="A146:L146"/>
    <mergeCell ref="C115:L115"/>
    <mergeCell ref="C11:L11"/>
    <mergeCell ref="A16:L16"/>
    <mergeCell ref="C52:L52"/>
    <mergeCell ref="A108:L108"/>
    <mergeCell ref="C135:L135"/>
    <mergeCell ref="C150:L150"/>
    <mergeCell ref="C144:L144"/>
    <mergeCell ref="A66:L66"/>
    <mergeCell ref="C122:L122"/>
    <mergeCell ref="A118:L118"/>
    <mergeCell ref="A18:L18"/>
    <mergeCell ref="A158:L158"/>
    <mergeCell ref="C72:L72"/>
    <mergeCell ref="A2:C2"/>
    <mergeCell ref="A86:L86"/>
    <mergeCell ref="C69:L69"/>
    <mergeCell ref="C92:L92"/>
    <mergeCell ref="C30:L30"/>
    <mergeCell ref="C62:L62"/>
    <mergeCell ref="C14:L14"/>
    <mergeCell ref="C64:L64"/>
    <mergeCell ref="C54:L54"/>
    <mergeCell ref="C41:L41"/>
    <mergeCell ref="C134:L134"/>
    <mergeCell ref="C93:L93"/>
    <mergeCell ref="C95:L95"/>
    <mergeCell ref="C124:L124"/>
    <mergeCell ref="A98:L98"/>
    <mergeCell ref="C90:L90"/>
    <mergeCell ref="C105:L105"/>
    <mergeCell ref="C139:L139"/>
    <mergeCell ref="C43:L43"/>
    <mergeCell ref="A88:L88"/>
    <mergeCell ref="C120:L120"/>
    <mergeCell ref="C132:L132"/>
    <mergeCell ref="C110:L110"/>
    <mergeCell ref="D2:I2"/>
    <mergeCell ref="C119:L119"/>
    <mergeCell ref="C82:L82"/>
    <mergeCell ref="A56:L56"/>
    <mergeCell ref="C149:L149"/>
    <mergeCell ref="C19:L19"/>
    <mergeCell ref="C53:L53"/>
    <mergeCell ref="C102:L102"/>
    <mergeCell ref="A76:L76"/>
    <mergeCell ref="C111:L111"/>
    <mergeCell ref="A116:L116"/>
    <mergeCell ref="A8:L8"/>
    <mergeCell ref="C83:L83"/>
    <mergeCell ref="A163:L165"/>
    <mergeCell ref="A126:L126"/>
    <mergeCell ref="C45:L45"/>
    <mergeCell ref="A68:L68"/>
    <mergeCell ref="A28:L28"/>
    <mergeCell ref="C29:L29"/>
    <mergeCell ref="C100:L100"/>
    <mergeCell ref="C152:L152"/>
    <mergeCell ref="C65:L65"/>
    <mergeCell ref="C109:L109"/>
    <mergeCell ref="C44:L44"/>
    <mergeCell ref="A48:L48"/>
    <mergeCell ref="C142:L142"/>
    <mergeCell ref="C31:L31"/>
    <mergeCell ref="C80:L80"/>
    <mergeCell ref="C40:L40"/>
    <mergeCell ref="C129:L129"/>
    <mergeCell ref="A5:L6"/>
    <mergeCell ref="C21:L21"/>
    <mergeCell ref="C51:L51"/>
    <mergeCell ref="C60:L60"/>
  </mergeCells>
  <pageMargins left="0.4" right="0.4" top="0.5" bottom="0.5" header="0.5" footer="0.5"/>
  <pageSetup orientation="portrait" paperSize="1" fitToHeight="0" fitToWidth="1"/>
</worksheet>
</file>

<file path=xl/worksheets/sheet5.xml><?xml version="1.0" encoding="utf-8"?>
<worksheet xmlns="http://schemas.openxmlformats.org/spreadsheetml/2006/main">
  <sheetPr>
    <tabColor rgb="00B5725E"/>
    <outlinePr summaryBelow="1" summaryRight="1"/>
    <pageSetUpPr fitToPage="1"/>
  </sheetPr>
  <dimension ref="A1:L506"/>
  <sheetViews>
    <sheetView workbookViewId="0">
      <pane ySplit="6" topLeftCell="A7" activePane="bottomLeft" state="frozen"/>
      <selection pane="bottomLeft" activeCell="A1" sqref="A1"/>
    </sheetView>
  </sheetViews>
  <sheetFormatPr baseColWidth="8" defaultRowHeight="15"/>
  <cols>
    <col width="12" customWidth="1" min="1" max="1"/>
    <col width="22" customWidth="1" min="2" max="2"/>
    <col width="22" customWidth="1" min="3" max="3"/>
    <col width="16" customWidth="1" min="4" max="4"/>
    <col width="11" customWidth="1" min="5" max="5"/>
    <col width="18" customWidth="1" min="6" max="6"/>
    <col width="12" customWidth="1" min="7" max="7"/>
    <col width="32" customWidth="1" min="8" max="8"/>
    <col width="32" customWidth="1" min="9" max="9"/>
  </cols>
  <sheetData>
    <row r="1" ht="8" customHeight="1">
      <c r="A1" s="1" t="n"/>
      <c r="B1" s="1" t="n"/>
      <c r="C1" s="1" t="n"/>
      <c r="D1" s="1" t="n"/>
      <c r="E1" s="1" t="n"/>
      <c r="F1" s="1" t="n"/>
      <c r="G1" s="1" t="n"/>
      <c r="H1" s="1" t="n"/>
      <c r="I1" s="1" t="n"/>
      <c r="J1" s="1" t="n"/>
      <c r="K1" s="1" t="n"/>
      <c r="L1" s="1" t="n"/>
    </row>
    <row r="2" ht="28" customHeight="1">
      <c r="A2" s="25">
        <f>HYPERLINK("#'Permit Discovery'!A1", "← BACK")</f>
        <v/>
      </c>
      <c r="B2" s="26" t="n"/>
      <c r="C2" s="26" t="n"/>
      <c r="D2" s="33" t="inlineStr">
        <is>
          <t>FILING LOG</t>
        </is>
      </c>
      <c r="J2" s="34">
        <f>HYPERLINK("#'Settings'!A1", "NEXT →")</f>
        <v/>
      </c>
      <c r="K2" s="35" t="n"/>
      <c r="L2" s="35" t="n"/>
    </row>
    <row r="3" ht="6" customHeight="1">
      <c r="A3" s="1" t="n"/>
      <c r="B3" s="1" t="n"/>
      <c r="C3" s="1" t="n"/>
      <c r="D3" s="1" t="n"/>
      <c r="E3" s="1" t="n"/>
      <c r="F3" s="1" t="n"/>
      <c r="G3" s="1" t="n"/>
      <c r="H3" s="1" t="n"/>
      <c r="I3" s="1" t="n"/>
      <c r="J3" s="1" t="n"/>
      <c r="K3" s="1" t="n"/>
      <c r="L3" s="1" t="n"/>
    </row>
    <row r="4" ht="18" customHeight="1">
      <c r="A4" s="36" t="inlineStr">
        <is>
          <t>Every renewal, amendment, and initial filing — keep the proof. Filing $ YTD on the Start tab pulls from this log.</t>
        </is>
      </c>
    </row>
    <row r="5" ht="6" customHeight="1"/>
    <row r="6" ht="28" customHeight="1">
      <c r="A6" s="37" t="inlineStr">
        <is>
          <t>Date</t>
        </is>
      </c>
      <c r="B6" s="37" t="inlineStr">
        <is>
          <t>Property</t>
        </is>
      </c>
      <c r="C6" s="37" t="inlineStr">
        <is>
          <t>Permit type</t>
        </is>
      </c>
      <c r="D6" s="37" t="inlineStr">
        <is>
          <t>Action</t>
        </is>
      </c>
      <c r="E6" s="37" t="inlineStr">
        <is>
          <t>$ Paid</t>
        </is>
      </c>
      <c r="F6" s="37" t="inlineStr">
        <is>
          <t>Confirmation #</t>
        </is>
      </c>
      <c r="G6" s="37" t="inlineStr">
        <is>
          <t>Certificate?</t>
        </is>
      </c>
      <c r="H6" s="37" t="inlineStr">
        <is>
          <t>Certificate path</t>
        </is>
      </c>
      <c r="I6" s="37" t="inlineStr">
        <is>
          <t>Notes</t>
        </is>
      </c>
    </row>
    <row r="7" ht="18" customHeight="1">
      <c r="A7" s="39" t="n"/>
      <c r="B7" s="38" t="n"/>
      <c r="C7" s="38" t="n"/>
      <c r="D7" s="38" t="n"/>
      <c r="E7" s="40" t="n"/>
      <c r="F7" s="38" t="n"/>
      <c r="G7" s="38" t="n"/>
      <c r="H7" s="38" t="n"/>
      <c r="I7" s="38" t="n"/>
    </row>
    <row r="8" ht="18" customHeight="1">
      <c r="A8" s="39" t="n"/>
      <c r="B8" s="38" t="n"/>
      <c r="C8" s="38" t="n"/>
      <c r="D8" s="38" t="n"/>
      <c r="E8" s="40" t="n"/>
      <c r="F8" s="38" t="n"/>
      <c r="G8" s="38" t="n"/>
      <c r="H8" s="38" t="n"/>
      <c r="I8" s="38" t="n"/>
    </row>
    <row r="9" ht="18" customHeight="1">
      <c r="A9" s="39" t="n"/>
      <c r="B9" s="38" t="n"/>
      <c r="C9" s="38" t="n"/>
      <c r="D9" s="38" t="n"/>
      <c r="E9" s="40" t="n"/>
      <c r="F9" s="38" t="n"/>
      <c r="G9" s="38" t="n"/>
      <c r="H9" s="38" t="n"/>
      <c r="I9" s="38" t="n"/>
    </row>
    <row r="10" ht="18" customHeight="1">
      <c r="A10" s="39" t="n"/>
      <c r="B10" s="38" t="n"/>
      <c r="C10" s="38" t="n"/>
      <c r="D10" s="38" t="n"/>
      <c r="E10" s="40" t="n"/>
      <c r="F10" s="38" t="n"/>
      <c r="G10" s="38" t="n"/>
      <c r="H10" s="38" t="n"/>
      <c r="I10" s="38" t="n"/>
    </row>
    <row r="11" ht="18" customHeight="1">
      <c r="A11" s="39" t="n"/>
      <c r="B11" s="38" t="n"/>
      <c r="C11" s="38" t="n"/>
      <c r="D11" s="38" t="n"/>
      <c r="E11" s="40" t="n"/>
      <c r="F11" s="38" t="n"/>
      <c r="G11" s="38" t="n"/>
      <c r="H11" s="38" t="n"/>
      <c r="I11" s="38" t="n"/>
    </row>
    <row r="12" ht="18" customHeight="1">
      <c r="A12" s="39" t="n"/>
      <c r="B12" s="38" t="n"/>
      <c r="C12" s="38" t="n"/>
      <c r="D12" s="38" t="n"/>
      <c r="E12" s="40" t="n"/>
      <c r="F12" s="38" t="n"/>
      <c r="G12" s="38" t="n"/>
      <c r="H12" s="38" t="n"/>
      <c r="I12" s="38" t="n"/>
    </row>
    <row r="13" ht="18" customHeight="1">
      <c r="A13" s="39" t="n"/>
      <c r="B13" s="38" t="n"/>
      <c r="C13" s="38" t="n"/>
      <c r="D13" s="38" t="n"/>
      <c r="E13" s="40" t="n"/>
      <c r="F13" s="38" t="n"/>
      <c r="G13" s="38" t="n"/>
      <c r="H13" s="38" t="n"/>
      <c r="I13" s="38" t="n"/>
    </row>
    <row r="14" ht="18" customHeight="1">
      <c r="A14" s="39" t="n"/>
      <c r="B14" s="38" t="n"/>
      <c r="C14" s="38" t="n"/>
      <c r="D14" s="38" t="n"/>
      <c r="E14" s="40" t="n"/>
      <c r="F14" s="38" t="n"/>
      <c r="G14" s="38" t="n"/>
      <c r="H14" s="38" t="n"/>
      <c r="I14" s="38" t="n"/>
    </row>
    <row r="15" ht="18" customHeight="1">
      <c r="A15" s="39" t="n"/>
      <c r="B15" s="38" t="n"/>
      <c r="C15" s="38" t="n"/>
      <c r="D15" s="38" t="n"/>
      <c r="E15" s="40" t="n"/>
      <c r="F15" s="38" t="n"/>
      <c r="G15" s="38" t="n"/>
      <c r="H15" s="38" t="n"/>
      <c r="I15" s="38" t="n"/>
    </row>
    <row r="16" ht="18" customHeight="1">
      <c r="A16" s="39" t="n"/>
      <c r="B16" s="38" t="n"/>
      <c r="C16" s="38" t="n"/>
      <c r="D16" s="38" t="n"/>
      <c r="E16" s="40" t="n"/>
      <c r="F16" s="38" t="n"/>
      <c r="G16" s="38" t="n"/>
      <c r="H16" s="38" t="n"/>
      <c r="I16" s="38" t="n"/>
    </row>
    <row r="17" ht="18" customHeight="1">
      <c r="A17" s="39" t="n"/>
      <c r="B17" s="38" t="n"/>
      <c r="C17" s="38" t="n"/>
      <c r="D17" s="38" t="n"/>
      <c r="E17" s="40" t="n"/>
      <c r="F17" s="38" t="n"/>
      <c r="G17" s="38" t="n"/>
      <c r="H17" s="38" t="n"/>
      <c r="I17" s="38" t="n"/>
    </row>
    <row r="18" ht="18" customHeight="1">
      <c r="A18" s="39" t="n"/>
      <c r="B18" s="38" t="n"/>
      <c r="C18" s="38" t="n"/>
      <c r="D18" s="38" t="n"/>
      <c r="E18" s="40" t="n"/>
      <c r="F18" s="38" t="n"/>
      <c r="G18" s="38" t="n"/>
      <c r="H18" s="38" t="n"/>
      <c r="I18" s="38" t="n"/>
    </row>
    <row r="19" ht="18" customHeight="1">
      <c r="A19" s="39" t="n"/>
      <c r="B19" s="38" t="n"/>
      <c r="C19" s="38" t="n"/>
      <c r="D19" s="38" t="n"/>
      <c r="E19" s="40" t="n"/>
      <c r="F19" s="38" t="n"/>
      <c r="G19" s="38" t="n"/>
      <c r="H19" s="38" t="n"/>
      <c r="I19" s="38" t="n"/>
    </row>
    <row r="20" ht="18" customHeight="1">
      <c r="A20" s="39" t="n"/>
      <c r="B20" s="38" t="n"/>
      <c r="C20" s="38" t="n"/>
      <c r="D20" s="38" t="n"/>
      <c r="E20" s="40" t="n"/>
      <c r="F20" s="38" t="n"/>
      <c r="G20" s="38" t="n"/>
      <c r="H20" s="38" t="n"/>
      <c r="I20" s="38" t="n"/>
    </row>
    <row r="21" ht="18" customHeight="1">
      <c r="A21" s="39" t="n"/>
      <c r="B21" s="38" t="n"/>
      <c r="C21" s="38" t="n"/>
      <c r="D21" s="38" t="n"/>
      <c r="E21" s="40" t="n"/>
      <c r="F21" s="38" t="n"/>
      <c r="G21" s="38" t="n"/>
      <c r="H21" s="38" t="n"/>
      <c r="I21" s="38" t="n"/>
    </row>
    <row r="22" ht="18" customHeight="1">
      <c r="A22" s="39" t="n"/>
      <c r="B22" s="38" t="n"/>
      <c r="C22" s="38" t="n"/>
      <c r="D22" s="38" t="n"/>
      <c r="E22" s="40" t="n"/>
      <c r="F22" s="38" t="n"/>
      <c r="G22" s="38" t="n"/>
      <c r="H22" s="38" t="n"/>
      <c r="I22" s="38" t="n"/>
    </row>
    <row r="23" ht="18" customHeight="1">
      <c r="A23" s="39" t="n"/>
      <c r="B23" s="38" t="n"/>
      <c r="C23" s="38" t="n"/>
      <c r="D23" s="38" t="n"/>
      <c r="E23" s="40" t="n"/>
      <c r="F23" s="38" t="n"/>
      <c r="G23" s="38" t="n"/>
      <c r="H23" s="38" t="n"/>
      <c r="I23" s="38" t="n"/>
    </row>
    <row r="24" ht="18" customHeight="1">
      <c r="A24" s="39" t="n"/>
      <c r="B24" s="38" t="n"/>
      <c r="C24" s="38" t="n"/>
      <c r="D24" s="38" t="n"/>
      <c r="E24" s="40" t="n"/>
      <c r="F24" s="38" t="n"/>
      <c r="G24" s="38" t="n"/>
      <c r="H24" s="38" t="n"/>
      <c r="I24" s="38" t="n"/>
    </row>
    <row r="25" ht="18" customHeight="1">
      <c r="A25" s="39" t="n"/>
      <c r="B25" s="38" t="n"/>
      <c r="C25" s="38" t="n"/>
      <c r="D25" s="38" t="n"/>
      <c r="E25" s="40" t="n"/>
      <c r="F25" s="38" t="n"/>
      <c r="G25" s="38" t="n"/>
      <c r="H25" s="38" t="n"/>
      <c r="I25" s="38" t="n"/>
    </row>
    <row r="26" ht="18" customHeight="1">
      <c r="A26" s="39" t="n"/>
      <c r="B26" s="38" t="n"/>
      <c r="C26" s="38" t="n"/>
      <c r="D26" s="38" t="n"/>
      <c r="E26" s="40" t="n"/>
      <c r="F26" s="38" t="n"/>
      <c r="G26" s="38" t="n"/>
      <c r="H26" s="38" t="n"/>
      <c r="I26" s="38" t="n"/>
    </row>
    <row r="27" ht="18" customHeight="1">
      <c r="A27" s="39" t="n"/>
      <c r="B27" s="38" t="n"/>
      <c r="C27" s="38" t="n"/>
      <c r="D27" s="38" t="n"/>
      <c r="E27" s="40" t="n"/>
      <c r="F27" s="38" t="n"/>
      <c r="G27" s="38" t="n"/>
      <c r="H27" s="38" t="n"/>
      <c r="I27" s="38" t="n"/>
    </row>
    <row r="28" ht="18" customHeight="1">
      <c r="A28" s="39" t="n"/>
      <c r="B28" s="38" t="n"/>
      <c r="C28" s="38" t="n"/>
      <c r="D28" s="38" t="n"/>
      <c r="E28" s="40" t="n"/>
      <c r="F28" s="38" t="n"/>
      <c r="G28" s="38" t="n"/>
      <c r="H28" s="38" t="n"/>
      <c r="I28" s="38" t="n"/>
    </row>
    <row r="29" ht="18" customHeight="1">
      <c r="A29" s="39" t="n"/>
      <c r="B29" s="38" t="n"/>
      <c r="C29" s="38" t="n"/>
      <c r="D29" s="38" t="n"/>
      <c r="E29" s="40" t="n"/>
      <c r="F29" s="38" t="n"/>
      <c r="G29" s="38" t="n"/>
      <c r="H29" s="38" t="n"/>
      <c r="I29" s="38" t="n"/>
    </row>
    <row r="30" ht="18" customHeight="1">
      <c r="A30" s="39" t="n"/>
      <c r="B30" s="38" t="n"/>
      <c r="C30" s="38" t="n"/>
      <c r="D30" s="38" t="n"/>
      <c r="E30" s="40" t="n"/>
      <c r="F30" s="38" t="n"/>
      <c r="G30" s="38" t="n"/>
      <c r="H30" s="38" t="n"/>
      <c r="I30" s="38" t="n"/>
    </row>
    <row r="31" ht="18" customHeight="1">
      <c r="A31" s="39" t="n"/>
      <c r="B31" s="38" t="n"/>
      <c r="C31" s="38" t="n"/>
      <c r="D31" s="38" t="n"/>
      <c r="E31" s="40" t="n"/>
      <c r="F31" s="38" t="n"/>
      <c r="G31" s="38" t="n"/>
      <c r="H31" s="38" t="n"/>
      <c r="I31" s="38" t="n"/>
    </row>
    <row r="32" ht="18" customHeight="1">
      <c r="A32" s="39" t="n"/>
      <c r="B32" s="38" t="n"/>
      <c r="C32" s="38" t="n"/>
      <c r="D32" s="38" t="n"/>
      <c r="E32" s="40" t="n"/>
      <c r="F32" s="38" t="n"/>
      <c r="G32" s="38" t="n"/>
      <c r="H32" s="38" t="n"/>
      <c r="I32" s="38" t="n"/>
    </row>
    <row r="33" ht="18" customHeight="1">
      <c r="A33" s="39" t="n"/>
      <c r="B33" s="38" t="n"/>
      <c r="C33" s="38" t="n"/>
      <c r="D33" s="38" t="n"/>
      <c r="E33" s="40" t="n"/>
      <c r="F33" s="38" t="n"/>
      <c r="G33" s="38" t="n"/>
      <c r="H33" s="38" t="n"/>
      <c r="I33" s="38" t="n"/>
    </row>
    <row r="34" ht="18" customHeight="1">
      <c r="A34" s="39" t="n"/>
      <c r="B34" s="38" t="n"/>
      <c r="C34" s="38" t="n"/>
      <c r="D34" s="38" t="n"/>
      <c r="E34" s="40" t="n"/>
      <c r="F34" s="38" t="n"/>
      <c r="G34" s="38" t="n"/>
      <c r="H34" s="38" t="n"/>
      <c r="I34" s="38" t="n"/>
    </row>
    <row r="35" ht="18" customHeight="1">
      <c r="A35" s="39" t="n"/>
      <c r="B35" s="38" t="n"/>
      <c r="C35" s="38" t="n"/>
      <c r="D35" s="38" t="n"/>
      <c r="E35" s="40" t="n"/>
      <c r="F35" s="38" t="n"/>
      <c r="G35" s="38" t="n"/>
      <c r="H35" s="38" t="n"/>
      <c r="I35" s="38" t="n"/>
    </row>
    <row r="36" ht="18" customHeight="1">
      <c r="A36" s="39" t="n"/>
      <c r="B36" s="38" t="n"/>
      <c r="C36" s="38" t="n"/>
      <c r="D36" s="38" t="n"/>
      <c r="E36" s="40" t="n"/>
      <c r="F36" s="38" t="n"/>
      <c r="G36" s="38" t="n"/>
      <c r="H36" s="38" t="n"/>
      <c r="I36" s="38" t="n"/>
    </row>
    <row r="37" ht="18" customHeight="1">
      <c r="A37" s="39" t="n"/>
      <c r="B37" s="38" t="n"/>
      <c r="C37" s="38" t="n"/>
      <c r="D37" s="38" t="n"/>
      <c r="E37" s="40" t="n"/>
      <c r="F37" s="38" t="n"/>
      <c r="G37" s="38" t="n"/>
      <c r="H37" s="38" t="n"/>
      <c r="I37" s="38" t="n"/>
    </row>
    <row r="38" ht="18" customHeight="1">
      <c r="A38" s="39" t="n"/>
      <c r="B38" s="38" t="n"/>
      <c r="C38" s="38" t="n"/>
      <c r="D38" s="38" t="n"/>
      <c r="E38" s="40" t="n"/>
      <c r="F38" s="38" t="n"/>
      <c r="G38" s="38" t="n"/>
      <c r="H38" s="38" t="n"/>
      <c r="I38" s="38" t="n"/>
    </row>
    <row r="39" ht="18" customHeight="1">
      <c r="A39" s="39" t="n"/>
      <c r="B39" s="38" t="n"/>
      <c r="C39" s="38" t="n"/>
      <c r="D39" s="38" t="n"/>
      <c r="E39" s="40" t="n"/>
      <c r="F39" s="38" t="n"/>
      <c r="G39" s="38" t="n"/>
      <c r="H39" s="38" t="n"/>
      <c r="I39" s="38" t="n"/>
    </row>
    <row r="40" ht="18" customHeight="1">
      <c r="A40" s="39" t="n"/>
      <c r="B40" s="38" t="n"/>
      <c r="C40" s="38" t="n"/>
      <c r="D40" s="38" t="n"/>
      <c r="E40" s="40" t="n"/>
      <c r="F40" s="38" t="n"/>
      <c r="G40" s="38" t="n"/>
      <c r="H40" s="38" t="n"/>
      <c r="I40" s="38" t="n"/>
    </row>
    <row r="41" ht="18" customHeight="1">
      <c r="A41" s="39" t="n"/>
      <c r="B41" s="38" t="n"/>
      <c r="C41" s="38" t="n"/>
      <c r="D41" s="38" t="n"/>
      <c r="E41" s="40" t="n"/>
      <c r="F41" s="38" t="n"/>
      <c r="G41" s="38" t="n"/>
      <c r="H41" s="38" t="n"/>
      <c r="I41" s="38" t="n"/>
    </row>
    <row r="42" ht="18" customHeight="1">
      <c r="A42" s="39" t="n"/>
      <c r="B42" s="38" t="n"/>
      <c r="C42" s="38" t="n"/>
      <c r="D42" s="38" t="n"/>
      <c r="E42" s="40" t="n"/>
      <c r="F42" s="38" t="n"/>
      <c r="G42" s="38" t="n"/>
      <c r="H42" s="38" t="n"/>
      <c r="I42" s="38" t="n"/>
    </row>
    <row r="43" ht="18" customHeight="1">
      <c r="A43" s="39" t="n"/>
      <c r="B43" s="38" t="n"/>
      <c r="C43" s="38" t="n"/>
      <c r="D43" s="38" t="n"/>
      <c r="E43" s="40" t="n"/>
      <c r="F43" s="38" t="n"/>
      <c r="G43" s="38" t="n"/>
      <c r="H43" s="38" t="n"/>
      <c r="I43" s="38" t="n"/>
    </row>
    <row r="44" ht="18" customHeight="1">
      <c r="A44" s="39" t="n"/>
      <c r="B44" s="38" t="n"/>
      <c r="C44" s="38" t="n"/>
      <c r="D44" s="38" t="n"/>
      <c r="E44" s="40" t="n"/>
      <c r="F44" s="38" t="n"/>
      <c r="G44" s="38" t="n"/>
      <c r="H44" s="38" t="n"/>
      <c r="I44" s="38" t="n"/>
    </row>
    <row r="45" ht="18" customHeight="1">
      <c r="A45" s="39" t="n"/>
      <c r="B45" s="38" t="n"/>
      <c r="C45" s="38" t="n"/>
      <c r="D45" s="38" t="n"/>
      <c r="E45" s="40" t="n"/>
      <c r="F45" s="38" t="n"/>
      <c r="G45" s="38" t="n"/>
      <c r="H45" s="38" t="n"/>
      <c r="I45" s="38" t="n"/>
    </row>
    <row r="46" ht="18" customHeight="1">
      <c r="A46" s="39" t="n"/>
      <c r="B46" s="38" t="n"/>
      <c r="C46" s="38" t="n"/>
      <c r="D46" s="38" t="n"/>
      <c r="E46" s="40" t="n"/>
      <c r="F46" s="38" t="n"/>
      <c r="G46" s="38" t="n"/>
      <c r="H46" s="38" t="n"/>
      <c r="I46" s="38" t="n"/>
    </row>
    <row r="47" ht="18" customHeight="1">
      <c r="A47" s="39" t="n"/>
      <c r="B47" s="38" t="n"/>
      <c r="C47" s="38" t="n"/>
      <c r="D47" s="38" t="n"/>
      <c r="E47" s="40" t="n"/>
      <c r="F47" s="38" t="n"/>
      <c r="G47" s="38" t="n"/>
      <c r="H47" s="38" t="n"/>
      <c r="I47" s="38" t="n"/>
    </row>
    <row r="48" ht="18" customHeight="1">
      <c r="A48" s="39" t="n"/>
      <c r="B48" s="38" t="n"/>
      <c r="C48" s="38" t="n"/>
      <c r="D48" s="38" t="n"/>
      <c r="E48" s="40" t="n"/>
      <c r="F48" s="38" t="n"/>
      <c r="G48" s="38" t="n"/>
      <c r="H48" s="38" t="n"/>
      <c r="I48" s="38" t="n"/>
    </row>
    <row r="49" ht="18" customHeight="1">
      <c r="A49" s="39" t="n"/>
      <c r="B49" s="38" t="n"/>
      <c r="C49" s="38" t="n"/>
      <c r="D49" s="38" t="n"/>
      <c r="E49" s="40" t="n"/>
      <c r="F49" s="38" t="n"/>
      <c r="G49" s="38" t="n"/>
      <c r="H49" s="38" t="n"/>
      <c r="I49" s="38" t="n"/>
    </row>
    <row r="50" ht="18" customHeight="1">
      <c r="A50" s="39" t="n"/>
      <c r="B50" s="38" t="n"/>
      <c r="C50" s="38" t="n"/>
      <c r="D50" s="38" t="n"/>
      <c r="E50" s="40" t="n"/>
      <c r="F50" s="38" t="n"/>
      <c r="G50" s="38" t="n"/>
      <c r="H50" s="38" t="n"/>
      <c r="I50" s="38" t="n"/>
    </row>
    <row r="51" ht="18" customHeight="1">
      <c r="A51" s="39" t="n"/>
      <c r="B51" s="38" t="n"/>
      <c r="C51" s="38" t="n"/>
      <c r="D51" s="38" t="n"/>
      <c r="E51" s="40" t="n"/>
      <c r="F51" s="38" t="n"/>
      <c r="G51" s="38" t="n"/>
      <c r="H51" s="38" t="n"/>
      <c r="I51" s="38" t="n"/>
    </row>
    <row r="52" ht="18" customHeight="1">
      <c r="A52" s="39" t="n"/>
      <c r="B52" s="38" t="n"/>
      <c r="C52" s="38" t="n"/>
      <c r="D52" s="38" t="n"/>
      <c r="E52" s="40" t="n"/>
      <c r="F52" s="38" t="n"/>
      <c r="G52" s="38" t="n"/>
      <c r="H52" s="38" t="n"/>
      <c r="I52" s="38" t="n"/>
    </row>
    <row r="53" ht="18" customHeight="1">
      <c r="A53" s="39" t="n"/>
      <c r="B53" s="38" t="n"/>
      <c r="C53" s="38" t="n"/>
      <c r="D53" s="38" t="n"/>
      <c r="E53" s="40" t="n"/>
      <c r="F53" s="38" t="n"/>
      <c r="G53" s="38" t="n"/>
      <c r="H53" s="38" t="n"/>
      <c r="I53" s="38" t="n"/>
    </row>
    <row r="54" ht="18" customHeight="1">
      <c r="A54" s="39" t="n"/>
      <c r="B54" s="38" t="n"/>
      <c r="C54" s="38" t="n"/>
      <c r="D54" s="38" t="n"/>
      <c r="E54" s="40" t="n"/>
      <c r="F54" s="38" t="n"/>
      <c r="G54" s="38" t="n"/>
      <c r="H54" s="38" t="n"/>
      <c r="I54" s="38" t="n"/>
    </row>
    <row r="55" ht="18" customHeight="1">
      <c r="A55" s="39" t="n"/>
      <c r="B55" s="38" t="n"/>
      <c r="C55" s="38" t="n"/>
      <c r="D55" s="38" t="n"/>
      <c r="E55" s="40" t="n"/>
      <c r="F55" s="38" t="n"/>
      <c r="G55" s="38" t="n"/>
      <c r="H55" s="38" t="n"/>
      <c r="I55" s="38" t="n"/>
    </row>
    <row r="56" ht="18" customHeight="1">
      <c r="A56" s="39" t="n"/>
      <c r="B56" s="38" t="n"/>
      <c r="C56" s="38" t="n"/>
      <c r="D56" s="38" t="n"/>
      <c r="E56" s="40" t="n"/>
      <c r="F56" s="38" t="n"/>
      <c r="G56" s="38" t="n"/>
      <c r="H56" s="38" t="n"/>
      <c r="I56" s="38" t="n"/>
    </row>
    <row r="57" ht="18" customHeight="1">
      <c r="A57" s="39" t="n"/>
      <c r="B57" s="38" t="n"/>
      <c r="C57" s="38" t="n"/>
      <c r="D57" s="38" t="n"/>
      <c r="E57" s="40" t="n"/>
      <c r="F57" s="38" t="n"/>
      <c r="G57" s="38" t="n"/>
      <c r="H57" s="38" t="n"/>
      <c r="I57" s="38" t="n"/>
    </row>
    <row r="58" ht="18" customHeight="1">
      <c r="A58" s="39" t="n"/>
      <c r="B58" s="38" t="n"/>
      <c r="C58" s="38" t="n"/>
      <c r="D58" s="38" t="n"/>
      <c r="E58" s="40" t="n"/>
      <c r="F58" s="38" t="n"/>
      <c r="G58" s="38" t="n"/>
      <c r="H58" s="38" t="n"/>
      <c r="I58" s="38" t="n"/>
    </row>
    <row r="59" ht="18" customHeight="1">
      <c r="A59" s="39" t="n"/>
      <c r="B59" s="38" t="n"/>
      <c r="C59" s="38" t="n"/>
      <c r="D59" s="38" t="n"/>
      <c r="E59" s="40" t="n"/>
      <c r="F59" s="38" t="n"/>
      <c r="G59" s="38" t="n"/>
      <c r="H59" s="38" t="n"/>
      <c r="I59" s="38" t="n"/>
    </row>
    <row r="60" ht="18" customHeight="1">
      <c r="A60" s="39" t="n"/>
      <c r="B60" s="38" t="n"/>
      <c r="C60" s="38" t="n"/>
      <c r="D60" s="38" t="n"/>
      <c r="E60" s="40" t="n"/>
      <c r="F60" s="38" t="n"/>
      <c r="G60" s="38" t="n"/>
      <c r="H60" s="38" t="n"/>
      <c r="I60" s="38" t="n"/>
    </row>
    <row r="61" ht="18" customHeight="1">
      <c r="A61" s="39" t="n"/>
      <c r="B61" s="38" t="n"/>
      <c r="C61" s="38" t="n"/>
      <c r="D61" s="38" t="n"/>
      <c r="E61" s="40" t="n"/>
      <c r="F61" s="38" t="n"/>
      <c r="G61" s="38" t="n"/>
      <c r="H61" s="38" t="n"/>
      <c r="I61" s="38" t="n"/>
    </row>
    <row r="62" ht="18" customHeight="1">
      <c r="A62" s="39" t="n"/>
      <c r="B62" s="38" t="n"/>
      <c r="C62" s="38" t="n"/>
      <c r="D62" s="38" t="n"/>
      <c r="E62" s="40" t="n"/>
      <c r="F62" s="38" t="n"/>
      <c r="G62" s="38" t="n"/>
      <c r="H62" s="38" t="n"/>
      <c r="I62" s="38" t="n"/>
    </row>
    <row r="63" ht="18" customHeight="1">
      <c r="A63" s="39" t="n"/>
      <c r="B63" s="38" t="n"/>
      <c r="C63" s="38" t="n"/>
      <c r="D63" s="38" t="n"/>
      <c r="E63" s="40" t="n"/>
      <c r="F63" s="38" t="n"/>
      <c r="G63" s="38" t="n"/>
      <c r="H63" s="38" t="n"/>
      <c r="I63" s="38" t="n"/>
    </row>
    <row r="64" ht="18" customHeight="1">
      <c r="A64" s="39" t="n"/>
      <c r="B64" s="38" t="n"/>
      <c r="C64" s="38" t="n"/>
      <c r="D64" s="38" t="n"/>
      <c r="E64" s="40" t="n"/>
      <c r="F64" s="38" t="n"/>
      <c r="G64" s="38" t="n"/>
      <c r="H64" s="38" t="n"/>
      <c r="I64" s="38" t="n"/>
    </row>
    <row r="65" ht="18" customHeight="1">
      <c r="A65" s="39" t="n"/>
      <c r="B65" s="38" t="n"/>
      <c r="C65" s="38" t="n"/>
      <c r="D65" s="38" t="n"/>
      <c r="E65" s="40" t="n"/>
      <c r="F65" s="38" t="n"/>
      <c r="G65" s="38" t="n"/>
      <c r="H65" s="38" t="n"/>
      <c r="I65" s="38" t="n"/>
    </row>
    <row r="66" ht="18" customHeight="1">
      <c r="A66" s="39" t="n"/>
      <c r="B66" s="38" t="n"/>
      <c r="C66" s="38" t="n"/>
      <c r="D66" s="38" t="n"/>
      <c r="E66" s="40" t="n"/>
      <c r="F66" s="38" t="n"/>
      <c r="G66" s="38" t="n"/>
      <c r="H66" s="38" t="n"/>
      <c r="I66" s="38" t="n"/>
    </row>
    <row r="67" ht="18" customHeight="1">
      <c r="A67" s="39" t="n"/>
      <c r="B67" s="38" t="n"/>
      <c r="C67" s="38" t="n"/>
      <c r="D67" s="38" t="n"/>
      <c r="E67" s="40" t="n"/>
      <c r="F67" s="38" t="n"/>
      <c r="G67" s="38" t="n"/>
      <c r="H67" s="38" t="n"/>
      <c r="I67" s="38" t="n"/>
    </row>
    <row r="68" ht="18" customHeight="1">
      <c r="A68" s="39" t="n"/>
      <c r="B68" s="38" t="n"/>
      <c r="C68" s="38" t="n"/>
      <c r="D68" s="38" t="n"/>
      <c r="E68" s="40" t="n"/>
      <c r="F68" s="38" t="n"/>
      <c r="G68" s="38" t="n"/>
      <c r="H68" s="38" t="n"/>
      <c r="I68" s="38" t="n"/>
    </row>
    <row r="69" ht="18" customHeight="1">
      <c r="A69" s="39" t="n"/>
      <c r="B69" s="38" t="n"/>
      <c r="C69" s="38" t="n"/>
      <c r="D69" s="38" t="n"/>
      <c r="E69" s="40" t="n"/>
      <c r="F69" s="38" t="n"/>
      <c r="G69" s="38" t="n"/>
      <c r="H69" s="38" t="n"/>
      <c r="I69" s="38" t="n"/>
    </row>
    <row r="70" ht="18" customHeight="1">
      <c r="A70" s="39" t="n"/>
      <c r="B70" s="38" t="n"/>
      <c r="C70" s="38" t="n"/>
      <c r="D70" s="38" t="n"/>
      <c r="E70" s="40" t="n"/>
      <c r="F70" s="38" t="n"/>
      <c r="G70" s="38" t="n"/>
      <c r="H70" s="38" t="n"/>
      <c r="I70" s="38" t="n"/>
    </row>
    <row r="71" ht="18" customHeight="1">
      <c r="A71" s="39" t="n"/>
      <c r="B71" s="38" t="n"/>
      <c r="C71" s="38" t="n"/>
      <c r="D71" s="38" t="n"/>
      <c r="E71" s="40" t="n"/>
      <c r="F71" s="38" t="n"/>
      <c r="G71" s="38" t="n"/>
      <c r="H71" s="38" t="n"/>
      <c r="I71" s="38" t="n"/>
    </row>
    <row r="72" ht="18" customHeight="1">
      <c r="A72" s="39" t="n"/>
      <c r="B72" s="38" t="n"/>
      <c r="C72" s="38" t="n"/>
      <c r="D72" s="38" t="n"/>
      <c r="E72" s="40" t="n"/>
      <c r="F72" s="38" t="n"/>
      <c r="G72" s="38" t="n"/>
      <c r="H72" s="38" t="n"/>
      <c r="I72" s="38" t="n"/>
    </row>
    <row r="73" ht="18" customHeight="1">
      <c r="A73" s="39" t="n"/>
      <c r="B73" s="38" t="n"/>
      <c r="C73" s="38" t="n"/>
      <c r="D73" s="38" t="n"/>
      <c r="E73" s="40" t="n"/>
      <c r="F73" s="38" t="n"/>
      <c r="G73" s="38" t="n"/>
      <c r="H73" s="38" t="n"/>
      <c r="I73" s="38" t="n"/>
    </row>
    <row r="74" ht="18" customHeight="1">
      <c r="A74" s="39" t="n"/>
      <c r="B74" s="38" t="n"/>
      <c r="C74" s="38" t="n"/>
      <c r="D74" s="38" t="n"/>
      <c r="E74" s="40" t="n"/>
      <c r="F74" s="38" t="n"/>
      <c r="G74" s="38" t="n"/>
      <c r="H74" s="38" t="n"/>
      <c r="I74" s="38" t="n"/>
    </row>
    <row r="75" ht="18" customHeight="1">
      <c r="A75" s="39" t="n"/>
      <c r="B75" s="38" t="n"/>
      <c r="C75" s="38" t="n"/>
      <c r="D75" s="38" t="n"/>
      <c r="E75" s="40" t="n"/>
      <c r="F75" s="38" t="n"/>
      <c r="G75" s="38" t="n"/>
      <c r="H75" s="38" t="n"/>
      <c r="I75" s="38" t="n"/>
    </row>
    <row r="76" ht="18" customHeight="1">
      <c r="A76" s="39" t="n"/>
      <c r="B76" s="38" t="n"/>
      <c r="C76" s="38" t="n"/>
      <c r="D76" s="38" t="n"/>
      <c r="E76" s="40" t="n"/>
      <c r="F76" s="38" t="n"/>
      <c r="G76" s="38" t="n"/>
      <c r="H76" s="38" t="n"/>
      <c r="I76" s="38" t="n"/>
    </row>
    <row r="77" ht="18" customHeight="1">
      <c r="A77" s="39" t="n"/>
      <c r="B77" s="38" t="n"/>
      <c r="C77" s="38" t="n"/>
      <c r="D77" s="38" t="n"/>
      <c r="E77" s="40" t="n"/>
      <c r="F77" s="38" t="n"/>
      <c r="G77" s="38" t="n"/>
      <c r="H77" s="38" t="n"/>
      <c r="I77" s="38" t="n"/>
    </row>
    <row r="78" ht="18" customHeight="1">
      <c r="A78" s="39" t="n"/>
      <c r="B78" s="38" t="n"/>
      <c r="C78" s="38" t="n"/>
      <c r="D78" s="38" t="n"/>
      <c r="E78" s="40" t="n"/>
      <c r="F78" s="38" t="n"/>
      <c r="G78" s="38" t="n"/>
      <c r="H78" s="38" t="n"/>
      <c r="I78" s="38" t="n"/>
    </row>
    <row r="79" ht="18" customHeight="1">
      <c r="A79" s="39" t="n"/>
      <c r="B79" s="38" t="n"/>
      <c r="C79" s="38" t="n"/>
      <c r="D79" s="38" t="n"/>
      <c r="E79" s="40" t="n"/>
      <c r="F79" s="38" t="n"/>
      <c r="G79" s="38" t="n"/>
      <c r="H79" s="38" t="n"/>
      <c r="I79" s="38" t="n"/>
    </row>
    <row r="80" ht="18" customHeight="1">
      <c r="A80" s="39" t="n"/>
      <c r="B80" s="38" t="n"/>
      <c r="C80" s="38" t="n"/>
      <c r="D80" s="38" t="n"/>
      <c r="E80" s="40" t="n"/>
      <c r="F80" s="38" t="n"/>
      <c r="G80" s="38" t="n"/>
      <c r="H80" s="38" t="n"/>
      <c r="I80" s="38" t="n"/>
    </row>
    <row r="81" ht="18" customHeight="1">
      <c r="A81" s="39" t="n"/>
      <c r="B81" s="38" t="n"/>
      <c r="C81" s="38" t="n"/>
      <c r="D81" s="38" t="n"/>
      <c r="E81" s="40" t="n"/>
      <c r="F81" s="38" t="n"/>
      <c r="G81" s="38" t="n"/>
      <c r="H81" s="38" t="n"/>
      <c r="I81" s="38" t="n"/>
    </row>
    <row r="82" ht="18" customHeight="1">
      <c r="A82" s="39" t="n"/>
      <c r="B82" s="38" t="n"/>
      <c r="C82" s="38" t="n"/>
      <c r="D82" s="38" t="n"/>
      <c r="E82" s="40" t="n"/>
      <c r="F82" s="38" t="n"/>
      <c r="G82" s="38" t="n"/>
      <c r="H82" s="38" t="n"/>
      <c r="I82" s="38" t="n"/>
    </row>
    <row r="83" ht="18" customHeight="1">
      <c r="A83" s="39" t="n"/>
      <c r="B83" s="38" t="n"/>
      <c r="C83" s="38" t="n"/>
      <c r="D83" s="38" t="n"/>
      <c r="E83" s="40" t="n"/>
      <c r="F83" s="38" t="n"/>
      <c r="G83" s="38" t="n"/>
      <c r="H83" s="38" t="n"/>
      <c r="I83" s="38" t="n"/>
    </row>
    <row r="84" ht="18" customHeight="1">
      <c r="A84" s="39" t="n"/>
      <c r="B84" s="38" t="n"/>
      <c r="C84" s="38" t="n"/>
      <c r="D84" s="38" t="n"/>
      <c r="E84" s="40" t="n"/>
      <c r="F84" s="38" t="n"/>
      <c r="G84" s="38" t="n"/>
      <c r="H84" s="38" t="n"/>
      <c r="I84" s="38" t="n"/>
    </row>
    <row r="85" ht="18" customHeight="1">
      <c r="A85" s="39" t="n"/>
      <c r="B85" s="38" t="n"/>
      <c r="C85" s="38" t="n"/>
      <c r="D85" s="38" t="n"/>
      <c r="E85" s="40" t="n"/>
      <c r="F85" s="38" t="n"/>
      <c r="G85" s="38" t="n"/>
      <c r="H85" s="38" t="n"/>
      <c r="I85" s="38" t="n"/>
    </row>
    <row r="86" ht="18" customHeight="1">
      <c r="A86" s="39" t="n"/>
      <c r="B86" s="38" t="n"/>
      <c r="C86" s="38" t="n"/>
      <c r="D86" s="38" t="n"/>
      <c r="E86" s="40" t="n"/>
      <c r="F86" s="38" t="n"/>
      <c r="G86" s="38" t="n"/>
      <c r="H86" s="38" t="n"/>
      <c r="I86" s="38" t="n"/>
    </row>
    <row r="87" ht="18" customHeight="1">
      <c r="A87" s="39" t="n"/>
      <c r="B87" s="38" t="n"/>
      <c r="C87" s="38" t="n"/>
      <c r="D87" s="38" t="n"/>
      <c r="E87" s="40" t="n"/>
      <c r="F87" s="38" t="n"/>
      <c r="G87" s="38" t="n"/>
      <c r="H87" s="38" t="n"/>
      <c r="I87" s="38" t="n"/>
    </row>
    <row r="88" ht="18" customHeight="1">
      <c r="A88" s="39" t="n"/>
      <c r="B88" s="38" t="n"/>
      <c r="C88" s="38" t="n"/>
      <c r="D88" s="38" t="n"/>
      <c r="E88" s="40" t="n"/>
      <c r="F88" s="38" t="n"/>
      <c r="G88" s="38" t="n"/>
      <c r="H88" s="38" t="n"/>
      <c r="I88" s="38" t="n"/>
    </row>
    <row r="89" ht="18" customHeight="1">
      <c r="A89" s="39" t="n"/>
      <c r="B89" s="38" t="n"/>
      <c r="C89" s="38" t="n"/>
      <c r="D89" s="38" t="n"/>
      <c r="E89" s="40" t="n"/>
      <c r="F89" s="38" t="n"/>
      <c r="G89" s="38" t="n"/>
      <c r="H89" s="38" t="n"/>
      <c r="I89" s="38" t="n"/>
    </row>
    <row r="90" ht="18" customHeight="1">
      <c r="A90" s="39" t="n"/>
      <c r="B90" s="38" t="n"/>
      <c r="C90" s="38" t="n"/>
      <c r="D90" s="38" t="n"/>
      <c r="E90" s="40" t="n"/>
      <c r="F90" s="38" t="n"/>
      <c r="G90" s="38" t="n"/>
      <c r="H90" s="38" t="n"/>
      <c r="I90" s="38" t="n"/>
    </row>
    <row r="91" ht="18" customHeight="1">
      <c r="A91" s="39" t="n"/>
      <c r="B91" s="38" t="n"/>
      <c r="C91" s="38" t="n"/>
      <c r="D91" s="38" t="n"/>
      <c r="E91" s="40" t="n"/>
      <c r="F91" s="38" t="n"/>
      <c r="G91" s="38" t="n"/>
      <c r="H91" s="38" t="n"/>
      <c r="I91" s="38" t="n"/>
    </row>
    <row r="92" ht="18" customHeight="1">
      <c r="A92" s="39" t="n"/>
      <c r="B92" s="38" t="n"/>
      <c r="C92" s="38" t="n"/>
      <c r="D92" s="38" t="n"/>
      <c r="E92" s="40" t="n"/>
      <c r="F92" s="38" t="n"/>
      <c r="G92" s="38" t="n"/>
      <c r="H92" s="38" t="n"/>
      <c r="I92" s="38" t="n"/>
    </row>
    <row r="93" ht="18" customHeight="1">
      <c r="A93" s="39" t="n"/>
      <c r="B93" s="38" t="n"/>
      <c r="C93" s="38" t="n"/>
      <c r="D93" s="38" t="n"/>
      <c r="E93" s="40" t="n"/>
      <c r="F93" s="38" t="n"/>
      <c r="G93" s="38" t="n"/>
      <c r="H93" s="38" t="n"/>
      <c r="I93" s="38" t="n"/>
    </row>
    <row r="94" ht="18" customHeight="1">
      <c r="A94" s="39" t="n"/>
      <c r="B94" s="38" t="n"/>
      <c r="C94" s="38" t="n"/>
      <c r="D94" s="38" t="n"/>
      <c r="E94" s="40" t="n"/>
      <c r="F94" s="38" t="n"/>
      <c r="G94" s="38" t="n"/>
      <c r="H94" s="38" t="n"/>
      <c r="I94" s="38" t="n"/>
    </row>
    <row r="95" ht="18" customHeight="1">
      <c r="A95" s="39" t="n"/>
      <c r="B95" s="38" t="n"/>
      <c r="C95" s="38" t="n"/>
      <c r="D95" s="38" t="n"/>
      <c r="E95" s="40" t="n"/>
      <c r="F95" s="38" t="n"/>
      <c r="G95" s="38" t="n"/>
      <c r="H95" s="38" t="n"/>
      <c r="I95" s="38" t="n"/>
    </row>
    <row r="96" ht="18" customHeight="1">
      <c r="A96" s="39" t="n"/>
      <c r="B96" s="38" t="n"/>
      <c r="C96" s="38" t="n"/>
      <c r="D96" s="38" t="n"/>
      <c r="E96" s="40" t="n"/>
      <c r="F96" s="38" t="n"/>
      <c r="G96" s="38" t="n"/>
      <c r="H96" s="38" t="n"/>
      <c r="I96" s="38" t="n"/>
    </row>
    <row r="97" ht="18" customHeight="1">
      <c r="A97" s="39" t="n"/>
      <c r="B97" s="38" t="n"/>
      <c r="C97" s="38" t="n"/>
      <c r="D97" s="38" t="n"/>
      <c r="E97" s="40" t="n"/>
      <c r="F97" s="38" t="n"/>
      <c r="G97" s="38" t="n"/>
      <c r="H97" s="38" t="n"/>
      <c r="I97" s="38" t="n"/>
    </row>
    <row r="98" ht="18" customHeight="1">
      <c r="A98" s="39" t="n"/>
      <c r="B98" s="38" t="n"/>
      <c r="C98" s="38" t="n"/>
      <c r="D98" s="38" t="n"/>
      <c r="E98" s="40" t="n"/>
      <c r="F98" s="38" t="n"/>
      <c r="G98" s="38" t="n"/>
      <c r="H98" s="38" t="n"/>
      <c r="I98" s="38" t="n"/>
    </row>
    <row r="99" ht="18" customHeight="1">
      <c r="A99" s="39" t="n"/>
      <c r="B99" s="38" t="n"/>
      <c r="C99" s="38" t="n"/>
      <c r="D99" s="38" t="n"/>
      <c r="E99" s="40" t="n"/>
      <c r="F99" s="38" t="n"/>
      <c r="G99" s="38" t="n"/>
      <c r="H99" s="38" t="n"/>
      <c r="I99" s="38" t="n"/>
    </row>
    <row r="100" ht="18" customHeight="1">
      <c r="A100" s="39" t="n"/>
      <c r="B100" s="38" t="n"/>
      <c r="C100" s="38" t="n"/>
      <c r="D100" s="38" t="n"/>
      <c r="E100" s="40" t="n"/>
      <c r="F100" s="38" t="n"/>
      <c r="G100" s="38" t="n"/>
      <c r="H100" s="38" t="n"/>
      <c r="I100" s="38" t="n"/>
    </row>
    <row r="101" ht="18" customHeight="1">
      <c r="A101" s="39" t="n"/>
      <c r="B101" s="38" t="n"/>
      <c r="C101" s="38" t="n"/>
      <c r="D101" s="38" t="n"/>
      <c r="E101" s="40" t="n"/>
      <c r="F101" s="38" t="n"/>
      <c r="G101" s="38" t="n"/>
      <c r="H101" s="38" t="n"/>
      <c r="I101" s="38" t="n"/>
    </row>
    <row r="102" ht="18" customHeight="1">
      <c r="A102" s="39" t="n"/>
      <c r="B102" s="38" t="n"/>
      <c r="C102" s="38" t="n"/>
      <c r="D102" s="38" t="n"/>
      <c r="E102" s="40" t="n"/>
      <c r="F102" s="38" t="n"/>
      <c r="G102" s="38" t="n"/>
      <c r="H102" s="38" t="n"/>
      <c r="I102" s="38" t="n"/>
    </row>
    <row r="103" ht="18" customHeight="1">
      <c r="A103" s="39" t="n"/>
      <c r="B103" s="38" t="n"/>
      <c r="C103" s="38" t="n"/>
      <c r="D103" s="38" t="n"/>
      <c r="E103" s="40" t="n"/>
      <c r="F103" s="38" t="n"/>
      <c r="G103" s="38" t="n"/>
      <c r="H103" s="38" t="n"/>
      <c r="I103" s="38" t="n"/>
    </row>
    <row r="104" ht="18" customHeight="1">
      <c r="A104" s="39" t="n"/>
      <c r="B104" s="38" t="n"/>
      <c r="C104" s="38" t="n"/>
      <c r="D104" s="38" t="n"/>
      <c r="E104" s="40" t="n"/>
      <c r="F104" s="38" t="n"/>
      <c r="G104" s="38" t="n"/>
      <c r="H104" s="38" t="n"/>
      <c r="I104" s="38" t="n"/>
    </row>
    <row r="105" ht="18" customHeight="1">
      <c r="A105" s="39" t="n"/>
      <c r="B105" s="38" t="n"/>
      <c r="C105" s="38" t="n"/>
      <c r="D105" s="38" t="n"/>
      <c r="E105" s="40" t="n"/>
      <c r="F105" s="38" t="n"/>
      <c r="G105" s="38" t="n"/>
      <c r="H105" s="38" t="n"/>
      <c r="I105" s="38" t="n"/>
    </row>
    <row r="106" ht="18" customHeight="1">
      <c r="A106" s="39" t="n"/>
      <c r="B106" s="38" t="n"/>
      <c r="C106" s="38" t="n"/>
      <c r="D106" s="38" t="n"/>
      <c r="E106" s="40" t="n"/>
      <c r="F106" s="38" t="n"/>
      <c r="G106" s="38" t="n"/>
      <c r="H106" s="38" t="n"/>
      <c r="I106" s="38" t="n"/>
    </row>
    <row r="107" ht="18" customHeight="1">
      <c r="A107" s="39" t="n"/>
      <c r="B107" s="38" t="n"/>
      <c r="C107" s="38" t="n"/>
      <c r="D107" s="38" t="n"/>
      <c r="E107" s="40" t="n"/>
      <c r="F107" s="38" t="n"/>
      <c r="G107" s="38" t="n"/>
      <c r="H107" s="38" t="n"/>
      <c r="I107" s="38" t="n"/>
    </row>
    <row r="108" ht="18" customHeight="1">
      <c r="A108" s="39" t="n"/>
      <c r="B108" s="38" t="n"/>
      <c r="C108" s="38" t="n"/>
      <c r="D108" s="38" t="n"/>
      <c r="E108" s="40" t="n"/>
      <c r="F108" s="38" t="n"/>
      <c r="G108" s="38" t="n"/>
      <c r="H108" s="38" t="n"/>
      <c r="I108" s="38" t="n"/>
    </row>
    <row r="109" ht="18" customHeight="1">
      <c r="A109" s="39" t="n"/>
      <c r="B109" s="38" t="n"/>
      <c r="C109" s="38" t="n"/>
      <c r="D109" s="38" t="n"/>
      <c r="E109" s="40" t="n"/>
      <c r="F109" s="38" t="n"/>
      <c r="G109" s="38" t="n"/>
      <c r="H109" s="38" t="n"/>
      <c r="I109" s="38" t="n"/>
    </row>
    <row r="110" ht="18" customHeight="1">
      <c r="A110" s="39" t="n"/>
      <c r="B110" s="38" t="n"/>
      <c r="C110" s="38" t="n"/>
      <c r="D110" s="38" t="n"/>
      <c r="E110" s="40" t="n"/>
      <c r="F110" s="38" t="n"/>
      <c r="G110" s="38" t="n"/>
      <c r="H110" s="38" t="n"/>
      <c r="I110" s="38" t="n"/>
    </row>
    <row r="111" ht="18" customHeight="1">
      <c r="A111" s="39" t="n"/>
      <c r="B111" s="38" t="n"/>
      <c r="C111" s="38" t="n"/>
      <c r="D111" s="38" t="n"/>
      <c r="E111" s="40" t="n"/>
      <c r="F111" s="38" t="n"/>
      <c r="G111" s="38" t="n"/>
      <c r="H111" s="38" t="n"/>
      <c r="I111" s="38" t="n"/>
    </row>
    <row r="112" ht="18" customHeight="1">
      <c r="A112" s="39" t="n"/>
      <c r="B112" s="38" t="n"/>
      <c r="C112" s="38" t="n"/>
      <c r="D112" s="38" t="n"/>
      <c r="E112" s="40" t="n"/>
      <c r="F112" s="38" t="n"/>
      <c r="G112" s="38" t="n"/>
      <c r="H112" s="38" t="n"/>
      <c r="I112" s="38" t="n"/>
    </row>
    <row r="113" ht="18" customHeight="1">
      <c r="A113" s="39" t="n"/>
      <c r="B113" s="38" t="n"/>
      <c r="C113" s="38" t="n"/>
      <c r="D113" s="38" t="n"/>
      <c r="E113" s="40" t="n"/>
      <c r="F113" s="38" t="n"/>
      <c r="G113" s="38" t="n"/>
      <c r="H113" s="38" t="n"/>
      <c r="I113" s="38" t="n"/>
    </row>
    <row r="114" ht="18" customHeight="1">
      <c r="A114" s="39" t="n"/>
      <c r="B114" s="38" t="n"/>
      <c r="C114" s="38" t="n"/>
      <c r="D114" s="38" t="n"/>
      <c r="E114" s="40" t="n"/>
      <c r="F114" s="38" t="n"/>
      <c r="G114" s="38" t="n"/>
      <c r="H114" s="38" t="n"/>
      <c r="I114" s="38" t="n"/>
    </row>
    <row r="115" ht="18" customHeight="1">
      <c r="A115" s="39" t="n"/>
      <c r="B115" s="38" t="n"/>
      <c r="C115" s="38" t="n"/>
      <c r="D115" s="38" t="n"/>
      <c r="E115" s="40" t="n"/>
      <c r="F115" s="38" t="n"/>
      <c r="G115" s="38" t="n"/>
      <c r="H115" s="38" t="n"/>
      <c r="I115" s="38" t="n"/>
    </row>
    <row r="116" ht="18" customHeight="1">
      <c r="A116" s="39" t="n"/>
      <c r="B116" s="38" t="n"/>
      <c r="C116" s="38" t="n"/>
      <c r="D116" s="38" t="n"/>
      <c r="E116" s="40" t="n"/>
      <c r="F116" s="38" t="n"/>
      <c r="G116" s="38" t="n"/>
      <c r="H116" s="38" t="n"/>
      <c r="I116" s="38" t="n"/>
    </row>
    <row r="117" ht="18" customHeight="1">
      <c r="A117" s="39" t="n"/>
      <c r="B117" s="38" t="n"/>
      <c r="C117" s="38" t="n"/>
      <c r="D117" s="38" t="n"/>
      <c r="E117" s="40" t="n"/>
      <c r="F117" s="38" t="n"/>
      <c r="G117" s="38" t="n"/>
      <c r="H117" s="38" t="n"/>
      <c r="I117" s="38" t="n"/>
    </row>
    <row r="118" ht="18" customHeight="1">
      <c r="A118" s="39" t="n"/>
      <c r="B118" s="38" t="n"/>
      <c r="C118" s="38" t="n"/>
      <c r="D118" s="38" t="n"/>
      <c r="E118" s="40" t="n"/>
      <c r="F118" s="38" t="n"/>
      <c r="G118" s="38" t="n"/>
      <c r="H118" s="38" t="n"/>
      <c r="I118" s="38" t="n"/>
    </row>
    <row r="119" ht="18" customHeight="1">
      <c r="A119" s="39" t="n"/>
      <c r="B119" s="38" t="n"/>
      <c r="C119" s="38" t="n"/>
      <c r="D119" s="38" t="n"/>
      <c r="E119" s="40" t="n"/>
      <c r="F119" s="38" t="n"/>
      <c r="G119" s="38" t="n"/>
      <c r="H119" s="38" t="n"/>
      <c r="I119" s="38" t="n"/>
    </row>
    <row r="120" ht="18" customHeight="1">
      <c r="A120" s="39" t="n"/>
      <c r="B120" s="38" t="n"/>
      <c r="C120" s="38" t="n"/>
      <c r="D120" s="38" t="n"/>
      <c r="E120" s="40" t="n"/>
      <c r="F120" s="38" t="n"/>
      <c r="G120" s="38" t="n"/>
      <c r="H120" s="38" t="n"/>
      <c r="I120" s="38" t="n"/>
    </row>
    <row r="121" ht="18" customHeight="1">
      <c r="A121" s="39" t="n"/>
      <c r="B121" s="38" t="n"/>
      <c r="C121" s="38" t="n"/>
      <c r="D121" s="38" t="n"/>
      <c r="E121" s="40" t="n"/>
      <c r="F121" s="38" t="n"/>
      <c r="G121" s="38" t="n"/>
      <c r="H121" s="38" t="n"/>
      <c r="I121" s="38" t="n"/>
    </row>
    <row r="122" ht="18" customHeight="1">
      <c r="A122" s="39" t="n"/>
      <c r="B122" s="38" t="n"/>
      <c r="C122" s="38" t="n"/>
      <c r="D122" s="38" t="n"/>
      <c r="E122" s="40" t="n"/>
      <c r="F122" s="38" t="n"/>
      <c r="G122" s="38" t="n"/>
      <c r="H122" s="38" t="n"/>
      <c r="I122" s="38" t="n"/>
    </row>
    <row r="123" ht="18" customHeight="1">
      <c r="A123" s="39" t="n"/>
      <c r="B123" s="38" t="n"/>
      <c r="C123" s="38" t="n"/>
      <c r="D123" s="38" t="n"/>
      <c r="E123" s="40" t="n"/>
      <c r="F123" s="38" t="n"/>
      <c r="G123" s="38" t="n"/>
      <c r="H123" s="38" t="n"/>
      <c r="I123" s="38" t="n"/>
    </row>
    <row r="124" ht="18" customHeight="1">
      <c r="A124" s="39" t="n"/>
      <c r="B124" s="38" t="n"/>
      <c r="C124" s="38" t="n"/>
      <c r="D124" s="38" t="n"/>
      <c r="E124" s="40" t="n"/>
      <c r="F124" s="38" t="n"/>
      <c r="G124" s="38" t="n"/>
      <c r="H124" s="38" t="n"/>
      <c r="I124" s="38" t="n"/>
    </row>
    <row r="125" ht="18" customHeight="1">
      <c r="A125" s="39" t="n"/>
      <c r="B125" s="38" t="n"/>
      <c r="C125" s="38" t="n"/>
      <c r="D125" s="38" t="n"/>
      <c r="E125" s="40" t="n"/>
      <c r="F125" s="38" t="n"/>
      <c r="G125" s="38" t="n"/>
      <c r="H125" s="38" t="n"/>
      <c r="I125" s="38" t="n"/>
    </row>
    <row r="126" ht="18" customHeight="1">
      <c r="A126" s="39" t="n"/>
      <c r="B126" s="38" t="n"/>
      <c r="C126" s="38" t="n"/>
      <c r="D126" s="38" t="n"/>
      <c r="E126" s="40" t="n"/>
      <c r="F126" s="38" t="n"/>
      <c r="G126" s="38" t="n"/>
      <c r="H126" s="38" t="n"/>
      <c r="I126" s="38" t="n"/>
    </row>
    <row r="127" ht="18" customHeight="1">
      <c r="A127" s="39" t="n"/>
      <c r="B127" s="38" t="n"/>
      <c r="C127" s="38" t="n"/>
      <c r="D127" s="38" t="n"/>
      <c r="E127" s="40" t="n"/>
      <c r="F127" s="38" t="n"/>
      <c r="G127" s="38" t="n"/>
      <c r="H127" s="38" t="n"/>
      <c r="I127" s="38" t="n"/>
    </row>
    <row r="128" ht="18" customHeight="1">
      <c r="A128" s="39" t="n"/>
      <c r="B128" s="38" t="n"/>
      <c r="C128" s="38" t="n"/>
      <c r="D128" s="38" t="n"/>
      <c r="E128" s="40" t="n"/>
      <c r="F128" s="38" t="n"/>
      <c r="G128" s="38" t="n"/>
      <c r="H128" s="38" t="n"/>
      <c r="I128" s="38" t="n"/>
    </row>
    <row r="129" ht="18" customHeight="1">
      <c r="A129" s="39" t="n"/>
      <c r="B129" s="38" t="n"/>
      <c r="C129" s="38" t="n"/>
      <c r="D129" s="38" t="n"/>
      <c r="E129" s="40" t="n"/>
      <c r="F129" s="38" t="n"/>
      <c r="G129" s="38" t="n"/>
      <c r="H129" s="38" t="n"/>
      <c r="I129" s="38" t="n"/>
    </row>
    <row r="130" ht="18" customHeight="1">
      <c r="A130" s="39" t="n"/>
      <c r="B130" s="38" t="n"/>
      <c r="C130" s="38" t="n"/>
      <c r="D130" s="38" t="n"/>
      <c r="E130" s="40" t="n"/>
      <c r="F130" s="38" t="n"/>
      <c r="G130" s="38" t="n"/>
      <c r="H130" s="38" t="n"/>
      <c r="I130" s="38" t="n"/>
    </row>
    <row r="131" ht="18" customHeight="1">
      <c r="A131" s="39" t="n"/>
      <c r="B131" s="38" t="n"/>
      <c r="C131" s="38" t="n"/>
      <c r="D131" s="38" t="n"/>
      <c r="E131" s="40" t="n"/>
      <c r="F131" s="38" t="n"/>
      <c r="G131" s="38" t="n"/>
      <c r="H131" s="38" t="n"/>
      <c r="I131" s="38" t="n"/>
    </row>
    <row r="132" ht="18" customHeight="1">
      <c r="A132" s="39" t="n"/>
      <c r="B132" s="38" t="n"/>
      <c r="C132" s="38" t="n"/>
      <c r="D132" s="38" t="n"/>
      <c r="E132" s="40" t="n"/>
      <c r="F132" s="38" t="n"/>
      <c r="G132" s="38" t="n"/>
      <c r="H132" s="38" t="n"/>
      <c r="I132" s="38" t="n"/>
    </row>
    <row r="133" ht="18" customHeight="1">
      <c r="A133" s="39" t="n"/>
      <c r="B133" s="38" t="n"/>
      <c r="C133" s="38" t="n"/>
      <c r="D133" s="38" t="n"/>
      <c r="E133" s="40" t="n"/>
      <c r="F133" s="38" t="n"/>
      <c r="G133" s="38" t="n"/>
      <c r="H133" s="38" t="n"/>
      <c r="I133" s="38" t="n"/>
    </row>
    <row r="134" ht="18" customHeight="1">
      <c r="A134" s="39" t="n"/>
      <c r="B134" s="38" t="n"/>
      <c r="C134" s="38" t="n"/>
      <c r="D134" s="38" t="n"/>
      <c r="E134" s="40" t="n"/>
      <c r="F134" s="38" t="n"/>
      <c r="G134" s="38" t="n"/>
      <c r="H134" s="38" t="n"/>
      <c r="I134" s="38" t="n"/>
    </row>
    <row r="135" ht="18" customHeight="1">
      <c r="A135" s="39" t="n"/>
      <c r="B135" s="38" t="n"/>
      <c r="C135" s="38" t="n"/>
      <c r="D135" s="38" t="n"/>
      <c r="E135" s="40" t="n"/>
      <c r="F135" s="38" t="n"/>
      <c r="G135" s="38" t="n"/>
      <c r="H135" s="38" t="n"/>
      <c r="I135" s="38" t="n"/>
    </row>
    <row r="136" ht="18" customHeight="1">
      <c r="A136" s="39" t="n"/>
      <c r="B136" s="38" t="n"/>
      <c r="C136" s="38" t="n"/>
      <c r="D136" s="38" t="n"/>
      <c r="E136" s="40" t="n"/>
      <c r="F136" s="38" t="n"/>
      <c r="G136" s="38" t="n"/>
      <c r="H136" s="38" t="n"/>
      <c r="I136" s="38" t="n"/>
    </row>
    <row r="137" ht="18" customHeight="1">
      <c r="A137" s="39" t="n"/>
      <c r="B137" s="38" t="n"/>
      <c r="C137" s="38" t="n"/>
      <c r="D137" s="38" t="n"/>
      <c r="E137" s="40" t="n"/>
      <c r="F137" s="38" t="n"/>
      <c r="G137" s="38" t="n"/>
      <c r="H137" s="38" t="n"/>
      <c r="I137" s="38" t="n"/>
    </row>
    <row r="138" ht="18" customHeight="1">
      <c r="A138" s="39" t="n"/>
      <c r="B138" s="38" t="n"/>
      <c r="C138" s="38" t="n"/>
      <c r="D138" s="38" t="n"/>
      <c r="E138" s="40" t="n"/>
      <c r="F138" s="38" t="n"/>
      <c r="G138" s="38" t="n"/>
      <c r="H138" s="38" t="n"/>
      <c r="I138" s="38" t="n"/>
    </row>
    <row r="139" ht="18" customHeight="1">
      <c r="A139" s="39" t="n"/>
      <c r="B139" s="38" t="n"/>
      <c r="C139" s="38" t="n"/>
      <c r="D139" s="38" t="n"/>
      <c r="E139" s="40" t="n"/>
      <c r="F139" s="38" t="n"/>
      <c r="G139" s="38" t="n"/>
      <c r="H139" s="38" t="n"/>
      <c r="I139" s="38" t="n"/>
    </row>
    <row r="140" ht="18" customHeight="1">
      <c r="A140" s="39" t="n"/>
      <c r="B140" s="38" t="n"/>
      <c r="C140" s="38" t="n"/>
      <c r="D140" s="38" t="n"/>
      <c r="E140" s="40" t="n"/>
      <c r="F140" s="38" t="n"/>
      <c r="G140" s="38" t="n"/>
      <c r="H140" s="38" t="n"/>
      <c r="I140" s="38" t="n"/>
    </row>
    <row r="141" ht="18" customHeight="1">
      <c r="A141" s="39" t="n"/>
      <c r="B141" s="38" t="n"/>
      <c r="C141" s="38" t="n"/>
      <c r="D141" s="38" t="n"/>
      <c r="E141" s="40" t="n"/>
      <c r="F141" s="38" t="n"/>
      <c r="G141" s="38" t="n"/>
      <c r="H141" s="38" t="n"/>
      <c r="I141" s="38" t="n"/>
    </row>
    <row r="142" ht="18" customHeight="1">
      <c r="A142" s="39" t="n"/>
      <c r="B142" s="38" t="n"/>
      <c r="C142" s="38" t="n"/>
      <c r="D142" s="38" t="n"/>
      <c r="E142" s="40" t="n"/>
      <c r="F142" s="38" t="n"/>
      <c r="G142" s="38" t="n"/>
      <c r="H142" s="38" t="n"/>
      <c r="I142" s="38" t="n"/>
    </row>
    <row r="143" ht="18" customHeight="1">
      <c r="A143" s="39" t="n"/>
      <c r="B143" s="38" t="n"/>
      <c r="C143" s="38" t="n"/>
      <c r="D143" s="38" t="n"/>
      <c r="E143" s="40" t="n"/>
      <c r="F143" s="38" t="n"/>
      <c r="G143" s="38" t="n"/>
      <c r="H143" s="38" t="n"/>
      <c r="I143" s="38" t="n"/>
    </row>
    <row r="144" ht="18" customHeight="1">
      <c r="A144" s="39" t="n"/>
      <c r="B144" s="38" t="n"/>
      <c r="C144" s="38" t="n"/>
      <c r="D144" s="38" t="n"/>
      <c r="E144" s="40" t="n"/>
      <c r="F144" s="38" t="n"/>
      <c r="G144" s="38" t="n"/>
      <c r="H144" s="38" t="n"/>
      <c r="I144" s="38" t="n"/>
    </row>
    <row r="145" ht="18" customHeight="1">
      <c r="A145" s="39" t="n"/>
      <c r="B145" s="38" t="n"/>
      <c r="C145" s="38" t="n"/>
      <c r="D145" s="38" t="n"/>
      <c r="E145" s="40" t="n"/>
      <c r="F145" s="38" t="n"/>
      <c r="G145" s="38" t="n"/>
      <c r="H145" s="38" t="n"/>
      <c r="I145" s="38" t="n"/>
    </row>
    <row r="146" ht="18" customHeight="1">
      <c r="A146" s="39" t="n"/>
      <c r="B146" s="38" t="n"/>
      <c r="C146" s="38" t="n"/>
      <c r="D146" s="38" t="n"/>
      <c r="E146" s="40" t="n"/>
      <c r="F146" s="38" t="n"/>
      <c r="G146" s="38" t="n"/>
      <c r="H146" s="38" t="n"/>
      <c r="I146" s="38" t="n"/>
    </row>
    <row r="147" ht="18" customHeight="1">
      <c r="A147" s="39" t="n"/>
      <c r="B147" s="38" t="n"/>
      <c r="C147" s="38" t="n"/>
      <c r="D147" s="38" t="n"/>
      <c r="E147" s="40" t="n"/>
      <c r="F147" s="38" t="n"/>
      <c r="G147" s="38" t="n"/>
      <c r="H147" s="38" t="n"/>
      <c r="I147" s="38" t="n"/>
    </row>
    <row r="148" ht="18" customHeight="1">
      <c r="A148" s="39" t="n"/>
      <c r="B148" s="38" t="n"/>
      <c r="C148" s="38" t="n"/>
      <c r="D148" s="38" t="n"/>
      <c r="E148" s="40" t="n"/>
      <c r="F148" s="38" t="n"/>
      <c r="G148" s="38" t="n"/>
      <c r="H148" s="38" t="n"/>
      <c r="I148" s="38" t="n"/>
    </row>
    <row r="149" ht="18" customHeight="1">
      <c r="A149" s="39" t="n"/>
      <c r="B149" s="38" t="n"/>
      <c r="C149" s="38" t="n"/>
      <c r="D149" s="38" t="n"/>
      <c r="E149" s="40" t="n"/>
      <c r="F149" s="38" t="n"/>
      <c r="G149" s="38" t="n"/>
      <c r="H149" s="38" t="n"/>
      <c r="I149" s="38" t="n"/>
    </row>
    <row r="150" ht="18" customHeight="1">
      <c r="A150" s="39" t="n"/>
      <c r="B150" s="38" t="n"/>
      <c r="C150" s="38" t="n"/>
      <c r="D150" s="38" t="n"/>
      <c r="E150" s="40" t="n"/>
      <c r="F150" s="38" t="n"/>
      <c r="G150" s="38" t="n"/>
      <c r="H150" s="38" t="n"/>
      <c r="I150" s="38" t="n"/>
    </row>
    <row r="151" ht="18" customHeight="1">
      <c r="A151" s="39" t="n"/>
      <c r="B151" s="38" t="n"/>
      <c r="C151" s="38" t="n"/>
      <c r="D151" s="38" t="n"/>
      <c r="E151" s="40" t="n"/>
      <c r="F151" s="38" t="n"/>
      <c r="G151" s="38" t="n"/>
      <c r="H151" s="38" t="n"/>
      <c r="I151" s="38" t="n"/>
    </row>
    <row r="152" ht="18" customHeight="1">
      <c r="A152" s="39" t="n"/>
      <c r="B152" s="38" t="n"/>
      <c r="C152" s="38" t="n"/>
      <c r="D152" s="38" t="n"/>
      <c r="E152" s="40" t="n"/>
      <c r="F152" s="38" t="n"/>
      <c r="G152" s="38" t="n"/>
      <c r="H152" s="38" t="n"/>
      <c r="I152" s="38" t="n"/>
    </row>
    <row r="153" ht="18" customHeight="1">
      <c r="A153" s="39" t="n"/>
      <c r="B153" s="38" t="n"/>
      <c r="C153" s="38" t="n"/>
      <c r="D153" s="38" t="n"/>
      <c r="E153" s="40" t="n"/>
      <c r="F153" s="38" t="n"/>
      <c r="G153" s="38" t="n"/>
      <c r="H153" s="38" t="n"/>
      <c r="I153" s="38" t="n"/>
    </row>
    <row r="154" ht="18" customHeight="1">
      <c r="A154" s="39" t="n"/>
      <c r="B154" s="38" t="n"/>
      <c r="C154" s="38" t="n"/>
      <c r="D154" s="38" t="n"/>
      <c r="E154" s="40" t="n"/>
      <c r="F154" s="38" t="n"/>
      <c r="G154" s="38" t="n"/>
      <c r="H154" s="38" t="n"/>
      <c r="I154" s="38" t="n"/>
    </row>
    <row r="155" ht="18" customHeight="1">
      <c r="A155" s="39" t="n"/>
      <c r="B155" s="38" t="n"/>
      <c r="C155" s="38" t="n"/>
      <c r="D155" s="38" t="n"/>
      <c r="E155" s="40" t="n"/>
      <c r="F155" s="38" t="n"/>
      <c r="G155" s="38" t="n"/>
      <c r="H155" s="38" t="n"/>
      <c r="I155" s="38" t="n"/>
    </row>
    <row r="156" ht="18" customHeight="1">
      <c r="A156" s="39" t="n"/>
      <c r="B156" s="38" t="n"/>
      <c r="C156" s="38" t="n"/>
      <c r="D156" s="38" t="n"/>
      <c r="E156" s="40" t="n"/>
      <c r="F156" s="38" t="n"/>
      <c r="G156" s="38" t="n"/>
      <c r="H156" s="38" t="n"/>
      <c r="I156" s="38" t="n"/>
    </row>
    <row r="157" ht="18" customHeight="1">
      <c r="A157" s="39" t="n"/>
      <c r="B157" s="38" t="n"/>
      <c r="C157" s="38" t="n"/>
      <c r="D157" s="38" t="n"/>
      <c r="E157" s="40" t="n"/>
      <c r="F157" s="38" t="n"/>
      <c r="G157" s="38" t="n"/>
      <c r="H157" s="38" t="n"/>
      <c r="I157" s="38" t="n"/>
    </row>
    <row r="158" ht="18" customHeight="1">
      <c r="A158" s="39" t="n"/>
      <c r="B158" s="38" t="n"/>
      <c r="C158" s="38" t="n"/>
      <c r="D158" s="38" t="n"/>
      <c r="E158" s="40" t="n"/>
      <c r="F158" s="38" t="n"/>
      <c r="G158" s="38" t="n"/>
      <c r="H158" s="38" t="n"/>
      <c r="I158" s="38" t="n"/>
    </row>
    <row r="159" ht="18" customHeight="1">
      <c r="A159" s="39" t="n"/>
      <c r="B159" s="38" t="n"/>
      <c r="C159" s="38" t="n"/>
      <c r="D159" s="38" t="n"/>
      <c r="E159" s="40" t="n"/>
      <c r="F159" s="38" t="n"/>
      <c r="G159" s="38" t="n"/>
      <c r="H159" s="38" t="n"/>
      <c r="I159" s="38" t="n"/>
    </row>
    <row r="160" ht="18" customHeight="1">
      <c r="A160" s="39" t="n"/>
      <c r="B160" s="38" t="n"/>
      <c r="C160" s="38" t="n"/>
      <c r="D160" s="38" t="n"/>
      <c r="E160" s="40" t="n"/>
      <c r="F160" s="38" t="n"/>
      <c r="G160" s="38" t="n"/>
      <c r="H160" s="38" t="n"/>
      <c r="I160" s="38" t="n"/>
    </row>
    <row r="161" ht="18" customHeight="1">
      <c r="A161" s="39" t="n"/>
      <c r="B161" s="38" t="n"/>
      <c r="C161" s="38" t="n"/>
      <c r="D161" s="38" t="n"/>
      <c r="E161" s="40" t="n"/>
      <c r="F161" s="38" t="n"/>
      <c r="G161" s="38" t="n"/>
      <c r="H161" s="38" t="n"/>
      <c r="I161" s="38" t="n"/>
    </row>
    <row r="162" ht="18" customHeight="1">
      <c r="A162" s="39" t="n"/>
      <c r="B162" s="38" t="n"/>
      <c r="C162" s="38" t="n"/>
      <c r="D162" s="38" t="n"/>
      <c r="E162" s="40" t="n"/>
      <c r="F162" s="38" t="n"/>
      <c r="G162" s="38" t="n"/>
      <c r="H162" s="38" t="n"/>
      <c r="I162" s="38" t="n"/>
    </row>
    <row r="163" ht="18" customHeight="1">
      <c r="A163" s="39" t="n"/>
      <c r="B163" s="38" t="n"/>
      <c r="C163" s="38" t="n"/>
      <c r="D163" s="38" t="n"/>
      <c r="E163" s="40" t="n"/>
      <c r="F163" s="38" t="n"/>
      <c r="G163" s="38" t="n"/>
      <c r="H163" s="38" t="n"/>
      <c r="I163" s="38" t="n"/>
    </row>
    <row r="164" ht="18" customHeight="1">
      <c r="A164" s="39" t="n"/>
      <c r="B164" s="38" t="n"/>
      <c r="C164" s="38" t="n"/>
      <c r="D164" s="38" t="n"/>
      <c r="E164" s="40" t="n"/>
      <c r="F164" s="38" t="n"/>
      <c r="G164" s="38" t="n"/>
      <c r="H164" s="38" t="n"/>
      <c r="I164" s="38" t="n"/>
    </row>
    <row r="165" ht="18" customHeight="1">
      <c r="A165" s="39" t="n"/>
      <c r="B165" s="38" t="n"/>
      <c r="C165" s="38" t="n"/>
      <c r="D165" s="38" t="n"/>
      <c r="E165" s="40" t="n"/>
      <c r="F165" s="38" t="n"/>
      <c r="G165" s="38" t="n"/>
      <c r="H165" s="38" t="n"/>
      <c r="I165" s="38" t="n"/>
    </row>
    <row r="166" ht="18" customHeight="1">
      <c r="A166" s="39" t="n"/>
      <c r="B166" s="38" t="n"/>
      <c r="C166" s="38" t="n"/>
      <c r="D166" s="38" t="n"/>
      <c r="E166" s="40" t="n"/>
      <c r="F166" s="38" t="n"/>
      <c r="G166" s="38" t="n"/>
      <c r="H166" s="38" t="n"/>
      <c r="I166" s="38" t="n"/>
    </row>
    <row r="167" ht="18" customHeight="1">
      <c r="A167" s="39" t="n"/>
      <c r="B167" s="38" t="n"/>
      <c r="C167" s="38" t="n"/>
      <c r="D167" s="38" t="n"/>
      <c r="E167" s="40" t="n"/>
      <c r="F167" s="38" t="n"/>
      <c r="G167" s="38" t="n"/>
      <c r="H167" s="38" t="n"/>
      <c r="I167" s="38" t="n"/>
    </row>
    <row r="168" ht="18" customHeight="1">
      <c r="A168" s="39" t="n"/>
      <c r="B168" s="38" t="n"/>
      <c r="C168" s="38" t="n"/>
      <c r="D168" s="38" t="n"/>
      <c r="E168" s="40" t="n"/>
      <c r="F168" s="38" t="n"/>
      <c r="G168" s="38" t="n"/>
      <c r="H168" s="38" t="n"/>
      <c r="I168" s="38" t="n"/>
    </row>
    <row r="169" ht="18" customHeight="1">
      <c r="A169" s="39" t="n"/>
      <c r="B169" s="38" t="n"/>
      <c r="C169" s="38" t="n"/>
      <c r="D169" s="38" t="n"/>
      <c r="E169" s="40" t="n"/>
      <c r="F169" s="38" t="n"/>
      <c r="G169" s="38" t="n"/>
      <c r="H169" s="38" t="n"/>
      <c r="I169" s="38" t="n"/>
    </row>
    <row r="170" ht="18" customHeight="1">
      <c r="A170" s="39" t="n"/>
      <c r="B170" s="38" t="n"/>
      <c r="C170" s="38" t="n"/>
      <c r="D170" s="38" t="n"/>
      <c r="E170" s="40" t="n"/>
      <c r="F170" s="38" t="n"/>
      <c r="G170" s="38" t="n"/>
      <c r="H170" s="38" t="n"/>
      <c r="I170" s="38" t="n"/>
    </row>
    <row r="171" ht="18" customHeight="1">
      <c r="A171" s="39" t="n"/>
      <c r="B171" s="38" t="n"/>
      <c r="C171" s="38" t="n"/>
      <c r="D171" s="38" t="n"/>
      <c r="E171" s="40" t="n"/>
      <c r="F171" s="38" t="n"/>
      <c r="G171" s="38" t="n"/>
      <c r="H171" s="38" t="n"/>
      <c r="I171" s="38" t="n"/>
    </row>
    <row r="172" ht="18" customHeight="1">
      <c r="A172" s="39" t="n"/>
      <c r="B172" s="38" t="n"/>
      <c r="C172" s="38" t="n"/>
      <c r="D172" s="38" t="n"/>
      <c r="E172" s="40" t="n"/>
      <c r="F172" s="38" t="n"/>
      <c r="G172" s="38" t="n"/>
      <c r="H172" s="38" t="n"/>
      <c r="I172" s="38" t="n"/>
    </row>
    <row r="173" ht="18" customHeight="1">
      <c r="A173" s="39" t="n"/>
      <c r="B173" s="38" t="n"/>
      <c r="C173" s="38" t="n"/>
      <c r="D173" s="38" t="n"/>
      <c r="E173" s="40" t="n"/>
      <c r="F173" s="38" t="n"/>
      <c r="G173" s="38" t="n"/>
      <c r="H173" s="38" t="n"/>
      <c r="I173" s="38" t="n"/>
    </row>
    <row r="174" ht="18" customHeight="1">
      <c r="A174" s="39" t="n"/>
      <c r="B174" s="38" t="n"/>
      <c r="C174" s="38" t="n"/>
      <c r="D174" s="38" t="n"/>
      <c r="E174" s="40" t="n"/>
      <c r="F174" s="38" t="n"/>
      <c r="G174" s="38" t="n"/>
      <c r="H174" s="38" t="n"/>
      <c r="I174" s="38" t="n"/>
    </row>
    <row r="175" ht="18" customHeight="1">
      <c r="A175" s="39" t="n"/>
      <c r="B175" s="38" t="n"/>
      <c r="C175" s="38" t="n"/>
      <c r="D175" s="38" t="n"/>
      <c r="E175" s="40" t="n"/>
      <c r="F175" s="38" t="n"/>
      <c r="G175" s="38" t="n"/>
      <c r="H175" s="38" t="n"/>
      <c r="I175" s="38" t="n"/>
    </row>
    <row r="176" ht="18" customHeight="1">
      <c r="A176" s="39" t="n"/>
      <c r="B176" s="38" t="n"/>
      <c r="C176" s="38" t="n"/>
      <c r="D176" s="38" t="n"/>
      <c r="E176" s="40" t="n"/>
      <c r="F176" s="38" t="n"/>
      <c r="G176" s="38" t="n"/>
      <c r="H176" s="38" t="n"/>
      <c r="I176" s="38" t="n"/>
    </row>
    <row r="177" ht="18" customHeight="1">
      <c r="A177" s="39" t="n"/>
      <c r="B177" s="38" t="n"/>
      <c r="C177" s="38" t="n"/>
      <c r="D177" s="38" t="n"/>
      <c r="E177" s="40" t="n"/>
      <c r="F177" s="38" t="n"/>
      <c r="G177" s="38" t="n"/>
      <c r="H177" s="38" t="n"/>
      <c r="I177" s="38" t="n"/>
    </row>
    <row r="178" ht="18" customHeight="1">
      <c r="A178" s="39" t="n"/>
      <c r="B178" s="38" t="n"/>
      <c r="C178" s="38" t="n"/>
      <c r="D178" s="38" t="n"/>
      <c r="E178" s="40" t="n"/>
      <c r="F178" s="38" t="n"/>
      <c r="G178" s="38" t="n"/>
      <c r="H178" s="38" t="n"/>
      <c r="I178" s="38" t="n"/>
    </row>
    <row r="179" ht="18" customHeight="1">
      <c r="A179" s="39" t="n"/>
      <c r="B179" s="38" t="n"/>
      <c r="C179" s="38" t="n"/>
      <c r="D179" s="38" t="n"/>
      <c r="E179" s="40" t="n"/>
      <c r="F179" s="38" t="n"/>
      <c r="G179" s="38" t="n"/>
      <c r="H179" s="38" t="n"/>
      <c r="I179" s="38" t="n"/>
    </row>
    <row r="180" ht="18" customHeight="1">
      <c r="A180" s="39" t="n"/>
      <c r="B180" s="38" t="n"/>
      <c r="C180" s="38" t="n"/>
      <c r="D180" s="38" t="n"/>
      <c r="E180" s="40" t="n"/>
      <c r="F180" s="38" t="n"/>
      <c r="G180" s="38" t="n"/>
      <c r="H180" s="38" t="n"/>
      <c r="I180" s="38" t="n"/>
    </row>
    <row r="181" ht="18" customHeight="1">
      <c r="A181" s="39" t="n"/>
      <c r="B181" s="38" t="n"/>
      <c r="C181" s="38" t="n"/>
      <c r="D181" s="38" t="n"/>
      <c r="E181" s="40" t="n"/>
      <c r="F181" s="38" t="n"/>
      <c r="G181" s="38" t="n"/>
      <c r="H181" s="38" t="n"/>
      <c r="I181" s="38" t="n"/>
    </row>
    <row r="182" ht="18" customHeight="1">
      <c r="A182" s="39" t="n"/>
      <c r="B182" s="38" t="n"/>
      <c r="C182" s="38" t="n"/>
      <c r="D182" s="38" t="n"/>
      <c r="E182" s="40" t="n"/>
      <c r="F182" s="38" t="n"/>
      <c r="G182" s="38" t="n"/>
      <c r="H182" s="38" t="n"/>
      <c r="I182" s="38" t="n"/>
    </row>
    <row r="183" ht="18" customHeight="1">
      <c r="A183" s="39" t="n"/>
      <c r="B183" s="38" t="n"/>
      <c r="C183" s="38" t="n"/>
      <c r="D183" s="38" t="n"/>
      <c r="E183" s="40" t="n"/>
      <c r="F183" s="38" t="n"/>
      <c r="G183" s="38" t="n"/>
      <c r="H183" s="38" t="n"/>
      <c r="I183" s="38" t="n"/>
    </row>
    <row r="184" ht="18" customHeight="1">
      <c r="A184" s="39" t="n"/>
      <c r="B184" s="38" t="n"/>
      <c r="C184" s="38" t="n"/>
      <c r="D184" s="38" t="n"/>
      <c r="E184" s="40" t="n"/>
      <c r="F184" s="38" t="n"/>
      <c r="G184" s="38" t="n"/>
      <c r="H184" s="38" t="n"/>
      <c r="I184" s="38" t="n"/>
    </row>
    <row r="185" ht="18" customHeight="1">
      <c r="A185" s="39" t="n"/>
      <c r="B185" s="38" t="n"/>
      <c r="C185" s="38" t="n"/>
      <c r="D185" s="38" t="n"/>
      <c r="E185" s="40" t="n"/>
      <c r="F185" s="38" t="n"/>
      <c r="G185" s="38" t="n"/>
      <c r="H185" s="38" t="n"/>
      <c r="I185" s="38" t="n"/>
    </row>
    <row r="186" ht="18" customHeight="1">
      <c r="A186" s="39" t="n"/>
      <c r="B186" s="38" t="n"/>
      <c r="C186" s="38" t="n"/>
      <c r="D186" s="38" t="n"/>
      <c r="E186" s="40" t="n"/>
      <c r="F186" s="38" t="n"/>
      <c r="G186" s="38" t="n"/>
      <c r="H186" s="38" t="n"/>
      <c r="I186" s="38" t="n"/>
    </row>
    <row r="187" ht="18" customHeight="1">
      <c r="A187" s="39" t="n"/>
      <c r="B187" s="38" t="n"/>
      <c r="C187" s="38" t="n"/>
      <c r="D187" s="38" t="n"/>
      <c r="E187" s="40" t="n"/>
      <c r="F187" s="38" t="n"/>
      <c r="G187" s="38" t="n"/>
      <c r="H187" s="38" t="n"/>
      <c r="I187" s="38" t="n"/>
    </row>
    <row r="188" ht="18" customHeight="1">
      <c r="A188" s="39" t="n"/>
      <c r="B188" s="38" t="n"/>
      <c r="C188" s="38" t="n"/>
      <c r="D188" s="38" t="n"/>
      <c r="E188" s="40" t="n"/>
      <c r="F188" s="38" t="n"/>
      <c r="G188" s="38" t="n"/>
      <c r="H188" s="38" t="n"/>
      <c r="I188" s="38" t="n"/>
    </row>
    <row r="189" ht="18" customHeight="1">
      <c r="A189" s="39" t="n"/>
      <c r="B189" s="38" t="n"/>
      <c r="C189" s="38" t="n"/>
      <c r="D189" s="38" t="n"/>
      <c r="E189" s="40" t="n"/>
      <c r="F189" s="38" t="n"/>
      <c r="G189" s="38" t="n"/>
      <c r="H189" s="38" t="n"/>
      <c r="I189" s="38" t="n"/>
    </row>
    <row r="190" ht="18" customHeight="1">
      <c r="A190" s="39" t="n"/>
      <c r="B190" s="38" t="n"/>
      <c r="C190" s="38" t="n"/>
      <c r="D190" s="38" t="n"/>
      <c r="E190" s="40" t="n"/>
      <c r="F190" s="38" t="n"/>
      <c r="G190" s="38" t="n"/>
      <c r="H190" s="38" t="n"/>
      <c r="I190" s="38" t="n"/>
    </row>
    <row r="191" ht="18" customHeight="1">
      <c r="A191" s="39" t="n"/>
      <c r="B191" s="38" t="n"/>
      <c r="C191" s="38" t="n"/>
      <c r="D191" s="38" t="n"/>
      <c r="E191" s="40" t="n"/>
      <c r="F191" s="38" t="n"/>
      <c r="G191" s="38" t="n"/>
      <c r="H191" s="38" t="n"/>
      <c r="I191" s="38" t="n"/>
    </row>
    <row r="192" ht="18" customHeight="1">
      <c r="A192" s="39" t="n"/>
      <c r="B192" s="38" t="n"/>
      <c r="C192" s="38" t="n"/>
      <c r="D192" s="38" t="n"/>
      <c r="E192" s="40" t="n"/>
      <c r="F192" s="38" t="n"/>
      <c r="G192" s="38" t="n"/>
      <c r="H192" s="38" t="n"/>
      <c r="I192" s="38" t="n"/>
    </row>
    <row r="193" ht="18" customHeight="1">
      <c r="A193" s="39" t="n"/>
      <c r="B193" s="38" t="n"/>
      <c r="C193" s="38" t="n"/>
      <c r="D193" s="38" t="n"/>
      <c r="E193" s="40" t="n"/>
      <c r="F193" s="38" t="n"/>
      <c r="G193" s="38" t="n"/>
      <c r="H193" s="38" t="n"/>
      <c r="I193" s="38" t="n"/>
    </row>
    <row r="194" ht="18" customHeight="1">
      <c r="A194" s="39" t="n"/>
      <c r="B194" s="38" t="n"/>
      <c r="C194" s="38" t="n"/>
      <c r="D194" s="38" t="n"/>
      <c r="E194" s="40" t="n"/>
      <c r="F194" s="38" t="n"/>
      <c r="G194" s="38" t="n"/>
      <c r="H194" s="38" t="n"/>
      <c r="I194" s="38" t="n"/>
    </row>
    <row r="195" ht="18" customHeight="1">
      <c r="A195" s="39" t="n"/>
      <c r="B195" s="38" t="n"/>
      <c r="C195" s="38" t="n"/>
      <c r="D195" s="38" t="n"/>
      <c r="E195" s="40" t="n"/>
      <c r="F195" s="38" t="n"/>
      <c r="G195" s="38" t="n"/>
      <c r="H195" s="38" t="n"/>
      <c r="I195" s="38" t="n"/>
    </row>
    <row r="196" ht="18" customHeight="1">
      <c r="A196" s="39" t="n"/>
      <c r="B196" s="38" t="n"/>
      <c r="C196" s="38" t="n"/>
      <c r="D196" s="38" t="n"/>
      <c r="E196" s="40" t="n"/>
      <c r="F196" s="38" t="n"/>
      <c r="G196" s="38" t="n"/>
      <c r="H196" s="38" t="n"/>
      <c r="I196" s="38" t="n"/>
    </row>
    <row r="197" ht="18" customHeight="1">
      <c r="A197" s="39" t="n"/>
      <c r="B197" s="38" t="n"/>
      <c r="C197" s="38" t="n"/>
      <c r="D197" s="38" t="n"/>
      <c r="E197" s="40" t="n"/>
      <c r="F197" s="38" t="n"/>
      <c r="G197" s="38" t="n"/>
      <c r="H197" s="38" t="n"/>
      <c r="I197" s="38" t="n"/>
    </row>
    <row r="198" ht="18" customHeight="1">
      <c r="A198" s="39" t="n"/>
      <c r="B198" s="38" t="n"/>
      <c r="C198" s="38" t="n"/>
      <c r="D198" s="38" t="n"/>
      <c r="E198" s="40" t="n"/>
      <c r="F198" s="38" t="n"/>
      <c r="G198" s="38" t="n"/>
      <c r="H198" s="38" t="n"/>
      <c r="I198" s="38" t="n"/>
    </row>
    <row r="199" ht="18" customHeight="1">
      <c r="A199" s="39" t="n"/>
      <c r="B199" s="38" t="n"/>
      <c r="C199" s="38" t="n"/>
      <c r="D199" s="38" t="n"/>
      <c r="E199" s="40" t="n"/>
      <c r="F199" s="38" t="n"/>
      <c r="G199" s="38" t="n"/>
      <c r="H199" s="38" t="n"/>
      <c r="I199" s="38" t="n"/>
    </row>
    <row r="200" ht="18" customHeight="1">
      <c r="A200" s="39" t="n"/>
      <c r="B200" s="38" t="n"/>
      <c r="C200" s="38" t="n"/>
      <c r="D200" s="38" t="n"/>
      <c r="E200" s="40" t="n"/>
      <c r="F200" s="38" t="n"/>
      <c r="G200" s="38" t="n"/>
      <c r="H200" s="38" t="n"/>
      <c r="I200" s="38" t="n"/>
    </row>
    <row r="201" ht="18" customHeight="1">
      <c r="A201" s="39" t="n"/>
      <c r="B201" s="38" t="n"/>
      <c r="C201" s="38" t="n"/>
      <c r="D201" s="38" t="n"/>
      <c r="E201" s="40" t="n"/>
      <c r="F201" s="38" t="n"/>
      <c r="G201" s="38" t="n"/>
      <c r="H201" s="38" t="n"/>
      <c r="I201" s="38" t="n"/>
    </row>
    <row r="202" ht="18" customHeight="1">
      <c r="A202" s="39" t="n"/>
      <c r="B202" s="38" t="n"/>
      <c r="C202" s="38" t="n"/>
      <c r="D202" s="38" t="n"/>
      <c r="E202" s="40" t="n"/>
      <c r="F202" s="38" t="n"/>
      <c r="G202" s="38" t="n"/>
      <c r="H202" s="38" t="n"/>
      <c r="I202" s="38" t="n"/>
    </row>
    <row r="203" ht="18" customHeight="1">
      <c r="A203" s="39" t="n"/>
      <c r="B203" s="38" t="n"/>
      <c r="C203" s="38" t="n"/>
      <c r="D203" s="38" t="n"/>
      <c r="E203" s="40" t="n"/>
      <c r="F203" s="38" t="n"/>
      <c r="G203" s="38" t="n"/>
      <c r="H203" s="38" t="n"/>
      <c r="I203" s="38" t="n"/>
    </row>
    <row r="204" ht="18" customHeight="1">
      <c r="A204" s="39" t="n"/>
      <c r="B204" s="38" t="n"/>
      <c r="C204" s="38" t="n"/>
      <c r="D204" s="38" t="n"/>
      <c r="E204" s="40" t="n"/>
      <c r="F204" s="38" t="n"/>
      <c r="G204" s="38" t="n"/>
      <c r="H204" s="38" t="n"/>
      <c r="I204" s="38" t="n"/>
    </row>
    <row r="205" ht="18" customHeight="1">
      <c r="A205" s="39" t="n"/>
      <c r="B205" s="38" t="n"/>
      <c r="C205" s="38" t="n"/>
      <c r="D205" s="38" t="n"/>
      <c r="E205" s="40" t="n"/>
      <c r="F205" s="38" t="n"/>
      <c r="G205" s="38" t="n"/>
      <c r="H205" s="38" t="n"/>
      <c r="I205" s="38" t="n"/>
    </row>
    <row r="206" ht="18" customHeight="1">
      <c r="A206" s="39" t="n"/>
      <c r="B206" s="38" t="n"/>
      <c r="C206" s="38" t="n"/>
      <c r="D206" s="38" t="n"/>
      <c r="E206" s="40" t="n"/>
      <c r="F206" s="38" t="n"/>
      <c r="G206" s="38" t="n"/>
      <c r="H206" s="38" t="n"/>
      <c r="I206" s="38" t="n"/>
    </row>
    <row r="207" ht="18" customHeight="1">
      <c r="A207" s="39" t="n"/>
      <c r="B207" s="38" t="n"/>
      <c r="C207" s="38" t="n"/>
      <c r="D207" s="38" t="n"/>
      <c r="E207" s="40" t="n"/>
      <c r="F207" s="38" t="n"/>
      <c r="G207" s="38" t="n"/>
      <c r="H207" s="38" t="n"/>
      <c r="I207" s="38" t="n"/>
    </row>
    <row r="208" ht="18" customHeight="1">
      <c r="A208" s="39" t="n"/>
      <c r="B208" s="38" t="n"/>
      <c r="C208" s="38" t="n"/>
      <c r="D208" s="38" t="n"/>
      <c r="E208" s="40" t="n"/>
      <c r="F208" s="38" t="n"/>
      <c r="G208" s="38" t="n"/>
      <c r="H208" s="38" t="n"/>
      <c r="I208" s="38" t="n"/>
    </row>
    <row r="209" ht="18" customHeight="1">
      <c r="A209" s="39" t="n"/>
      <c r="B209" s="38" t="n"/>
      <c r="C209" s="38" t="n"/>
      <c r="D209" s="38" t="n"/>
      <c r="E209" s="40" t="n"/>
      <c r="F209" s="38" t="n"/>
      <c r="G209" s="38" t="n"/>
      <c r="H209" s="38" t="n"/>
      <c r="I209" s="38" t="n"/>
    </row>
    <row r="210" ht="18" customHeight="1">
      <c r="A210" s="39" t="n"/>
      <c r="B210" s="38" t="n"/>
      <c r="C210" s="38" t="n"/>
      <c r="D210" s="38" t="n"/>
      <c r="E210" s="40" t="n"/>
      <c r="F210" s="38" t="n"/>
      <c r="G210" s="38" t="n"/>
      <c r="H210" s="38" t="n"/>
      <c r="I210" s="38" t="n"/>
    </row>
    <row r="211" ht="18" customHeight="1">
      <c r="A211" s="39" t="n"/>
      <c r="B211" s="38" t="n"/>
      <c r="C211" s="38" t="n"/>
      <c r="D211" s="38" t="n"/>
      <c r="E211" s="40" t="n"/>
      <c r="F211" s="38" t="n"/>
      <c r="G211" s="38" t="n"/>
      <c r="H211" s="38" t="n"/>
      <c r="I211" s="38" t="n"/>
    </row>
    <row r="212" ht="18" customHeight="1">
      <c r="A212" s="39" t="n"/>
      <c r="B212" s="38" t="n"/>
      <c r="C212" s="38" t="n"/>
      <c r="D212" s="38" t="n"/>
      <c r="E212" s="40" t="n"/>
      <c r="F212" s="38" t="n"/>
      <c r="G212" s="38" t="n"/>
      <c r="H212" s="38" t="n"/>
      <c r="I212" s="38" t="n"/>
    </row>
    <row r="213" ht="18" customHeight="1">
      <c r="A213" s="39" t="n"/>
      <c r="B213" s="38" t="n"/>
      <c r="C213" s="38" t="n"/>
      <c r="D213" s="38" t="n"/>
      <c r="E213" s="40" t="n"/>
      <c r="F213" s="38" t="n"/>
      <c r="G213" s="38" t="n"/>
      <c r="H213" s="38" t="n"/>
      <c r="I213" s="38" t="n"/>
    </row>
    <row r="214" ht="18" customHeight="1">
      <c r="A214" s="39" t="n"/>
      <c r="B214" s="38" t="n"/>
      <c r="C214" s="38" t="n"/>
      <c r="D214" s="38" t="n"/>
      <c r="E214" s="40" t="n"/>
      <c r="F214" s="38" t="n"/>
      <c r="G214" s="38" t="n"/>
      <c r="H214" s="38" t="n"/>
      <c r="I214" s="38" t="n"/>
    </row>
    <row r="215" ht="18" customHeight="1">
      <c r="A215" s="39" t="n"/>
      <c r="B215" s="38" t="n"/>
      <c r="C215" s="38" t="n"/>
      <c r="D215" s="38" t="n"/>
      <c r="E215" s="40" t="n"/>
      <c r="F215" s="38" t="n"/>
      <c r="G215" s="38" t="n"/>
      <c r="H215" s="38" t="n"/>
      <c r="I215" s="38" t="n"/>
    </row>
    <row r="216" ht="18" customHeight="1">
      <c r="A216" s="39" t="n"/>
      <c r="B216" s="38" t="n"/>
      <c r="C216" s="38" t="n"/>
      <c r="D216" s="38" t="n"/>
      <c r="E216" s="40" t="n"/>
      <c r="F216" s="38" t="n"/>
      <c r="G216" s="38" t="n"/>
      <c r="H216" s="38" t="n"/>
      <c r="I216" s="38" t="n"/>
    </row>
    <row r="217" ht="18" customHeight="1">
      <c r="A217" s="39" t="n"/>
      <c r="B217" s="38" t="n"/>
      <c r="C217" s="38" t="n"/>
      <c r="D217" s="38" t="n"/>
      <c r="E217" s="40" t="n"/>
      <c r="F217" s="38" t="n"/>
      <c r="G217" s="38" t="n"/>
      <c r="H217" s="38" t="n"/>
      <c r="I217" s="38" t="n"/>
    </row>
    <row r="218" ht="18" customHeight="1">
      <c r="A218" s="39" t="n"/>
      <c r="B218" s="38" t="n"/>
      <c r="C218" s="38" t="n"/>
      <c r="D218" s="38" t="n"/>
      <c r="E218" s="40" t="n"/>
      <c r="F218" s="38" t="n"/>
      <c r="G218" s="38" t="n"/>
      <c r="H218" s="38" t="n"/>
      <c r="I218" s="38" t="n"/>
    </row>
    <row r="219" ht="18" customHeight="1">
      <c r="A219" s="39" t="n"/>
      <c r="B219" s="38" t="n"/>
      <c r="C219" s="38" t="n"/>
      <c r="D219" s="38" t="n"/>
      <c r="E219" s="40" t="n"/>
      <c r="F219" s="38" t="n"/>
      <c r="G219" s="38" t="n"/>
      <c r="H219" s="38" t="n"/>
      <c r="I219" s="38" t="n"/>
    </row>
    <row r="220" ht="18" customHeight="1">
      <c r="A220" s="39" t="n"/>
      <c r="B220" s="38" t="n"/>
      <c r="C220" s="38" t="n"/>
      <c r="D220" s="38" t="n"/>
      <c r="E220" s="40" t="n"/>
      <c r="F220" s="38" t="n"/>
      <c r="G220" s="38" t="n"/>
      <c r="H220" s="38" t="n"/>
      <c r="I220" s="38" t="n"/>
    </row>
    <row r="221" ht="18" customHeight="1">
      <c r="A221" s="39" t="n"/>
      <c r="B221" s="38" t="n"/>
      <c r="C221" s="38" t="n"/>
      <c r="D221" s="38" t="n"/>
      <c r="E221" s="40" t="n"/>
      <c r="F221" s="38" t="n"/>
      <c r="G221" s="38" t="n"/>
      <c r="H221" s="38" t="n"/>
      <c r="I221" s="38" t="n"/>
    </row>
    <row r="222" ht="18" customHeight="1">
      <c r="A222" s="39" t="n"/>
      <c r="B222" s="38" t="n"/>
      <c r="C222" s="38" t="n"/>
      <c r="D222" s="38" t="n"/>
      <c r="E222" s="40" t="n"/>
      <c r="F222" s="38" t="n"/>
      <c r="G222" s="38" t="n"/>
      <c r="H222" s="38" t="n"/>
      <c r="I222" s="38" t="n"/>
    </row>
    <row r="223" ht="18" customHeight="1">
      <c r="A223" s="39" t="n"/>
      <c r="B223" s="38" t="n"/>
      <c r="C223" s="38" t="n"/>
      <c r="D223" s="38" t="n"/>
      <c r="E223" s="40" t="n"/>
      <c r="F223" s="38" t="n"/>
      <c r="G223" s="38" t="n"/>
      <c r="H223" s="38" t="n"/>
      <c r="I223" s="38" t="n"/>
    </row>
    <row r="224" ht="18" customHeight="1">
      <c r="A224" s="39" t="n"/>
      <c r="B224" s="38" t="n"/>
      <c r="C224" s="38" t="n"/>
      <c r="D224" s="38" t="n"/>
      <c r="E224" s="40" t="n"/>
      <c r="F224" s="38" t="n"/>
      <c r="G224" s="38" t="n"/>
      <c r="H224" s="38" t="n"/>
      <c r="I224" s="38" t="n"/>
    </row>
    <row r="225" ht="18" customHeight="1">
      <c r="A225" s="39" t="n"/>
      <c r="B225" s="38" t="n"/>
      <c r="C225" s="38" t="n"/>
      <c r="D225" s="38" t="n"/>
      <c r="E225" s="40" t="n"/>
      <c r="F225" s="38" t="n"/>
      <c r="G225" s="38" t="n"/>
      <c r="H225" s="38" t="n"/>
      <c r="I225" s="38" t="n"/>
    </row>
    <row r="226" ht="18" customHeight="1">
      <c r="A226" s="39" t="n"/>
      <c r="B226" s="38" t="n"/>
      <c r="C226" s="38" t="n"/>
      <c r="D226" s="38" t="n"/>
      <c r="E226" s="40" t="n"/>
      <c r="F226" s="38" t="n"/>
      <c r="G226" s="38" t="n"/>
      <c r="H226" s="38" t="n"/>
      <c r="I226" s="38" t="n"/>
    </row>
    <row r="227" ht="18" customHeight="1">
      <c r="A227" s="39" t="n"/>
      <c r="B227" s="38" t="n"/>
      <c r="C227" s="38" t="n"/>
      <c r="D227" s="38" t="n"/>
      <c r="E227" s="40" t="n"/>
      <c r="F227" s="38" t="n"/>
      <c r="G227" s="38" t="n"/>
      <c r="H227" s="38" t="n"/>
      <c r="I227" s="38" t="n"/>
    </row>
    <row r="228" ht="18" customHeight="1">
      <c r="A228" s="39" t="n"/>
      <c r="B228" s="38" t="n"/>
      <c r="C228" s="38" t="n"/>
      <c r="D228" s="38" t="n"/>
      <c r="E228" s="40" t="n"/>
      <c r="F228" s="38" t="n"/>
      <c r="G228" s="38" t="n"/>
      <c r="H228" s="38" t="n"/>
      <c r="I228" s="38" t="n"/>
    </row>
    <row r="229" ht="18" customHeight="1">
      <c r="A229" s="39" t="n"/>
      <c r="B229" s="38" t="n"/>
      <c r="C229" s="38" t="n"/>
      <c r="D229" s="38" t="n"/>
      <c r="E229" s="40" t="n"/>
      <c r="F229" s="38" t="n"/>
      <c r="G229" s="38" t="n"/>
      <c r="H229" s="38" t="n"/>
      <c r="I229" s="38" t="n"/>
    </row>
    <row r="230" ht="18" customHeight="1">
      <c r="A230" s="39" t="n"/>
      <c r="B230" s="38" t="n"/>
      <c r="C230" s="38" t="n"/>
      <c r="D230" s="38" t="n"/>
      <c r="E230" s="40" t="n"/>
      <c r="F230" s="38" t="n"/>
      <c r="G230" s="38" t="n"/>
      <c r="H230" s="38" t="n"/>
      <c r="I230" s="38" t="n"/>
    </row>
    <row r="231" ht="18" customHeight="1">
      <c r="A231" s="39" t="n"/>
      <c r="B231" s="38" t="n"/>
      <c r="C231" s="38" t="n"/>
      <c r="D231" s="38" t="n"/>
      <c r="E231" s="40" t="n"/>
      <c r="F231" s="38" t="n"/>
      <c r="G231" s="38" t="n"/>
      <c r="H231" s="38" t="n"/>
      <c r="I231" s="38" t="n"/>
    </row>
    <row r="232" ht="18" customHeight="1">
      <c r="A232" s="39" t="n"/>
      <c r="B232" s="38" t="n"/>
      <c r="C232" s="38" t="n"/>
      <c r="D232" s="38" t="n"/>
      <c r="E232" s="40" t="n"/>
      <c r="F232" s="38" t="n"/>
      <c r="G232" s="38" t="n"/>
      <c r="H232" s="38" t="n"/>
      <c r="I232" s="38" t="n"/>
    </row>
    <row r="233" ht="18" customHeight="1">
      <c r="A233" s="39" t="n"/>
      <c r="B233" s="38" t="n"/>
      <c r="C233" s="38" t="n"/>
      <c r="D233" s="38" t="n"/>
      <c r="E233" s="40" t="n"/>
      <c r="F233" s="38" t="n"/>
      <c r="G233" s="38" t="n"/>
      <c r="H233" s="38" t="n"/>
      <c r="I233" s="38" t="n"/>
    </row>
    <row r="234" ht="18" customHeight="1">
      <c r="A234" s="39" t="n"/>
      <c r="B234" s="38" t="n"/>
      <c r="C234" s="38" t="n"/>
      <c r="D234" s="38" t="n"/>
      <c r="E234" s="40" t="n"/>
      <c r="F234" s="38" t="n"/>
      <c r="G234" s="38" t="n"/>
      <c r="H234" s="38" t="n"/>
      <c r="I234" s="38" t="n"/>
    </row>
    <row r="235" ht="18" customHeight="1">
      <c r="A235" s="39" t="n"/>
      <c r="B235" s="38" t="n"/>
      <c r="C235" s="38" t="n"/>
      <c r="D235" s="38" t="n"/>
      <c r="E235" s="40" t="n"/>
      <c r="F235" s="38" t="n"/>
      <c r="G235" s="38" t="n"/>
      <c r="H235" s="38" t="n"/>
      <c r="I235" s="38" t="n"/>
    </row>
    <row r="236" ht="18" customHeight="1">
      <c r="A236" s="39" t="n"/>
      <c r="B236" s="38" t="n"/>
      <c r="C236" s="38" t="n"/>
      <c r="D236" s="38" t="n"/>
      <c r="E236" s="40" t="n"/>
      <c r="F236" s="38" t="n"/>
      <c r="G236" s="38" t="n"/>
      <c r="H236" s="38" t="n"/>
      <c r="I236" s="38" t="n"/>
    </row>
    <row r="237" ht="18" customHeight="1">
      <c r="A237" s="39" t="n"/>
      <c r="B237" s="38" t="n"/>
      <c r="C237" s="38" t="n"/>
      <c r="D237" s="38" t="n"/>
      <c r="E237" s="40" t="n"/>
      <c r="F237" s="38" t="n"/>
      <c r="G237" s="38" t="n"/>
      <c r="H237" s="38" t="n"/>
      <c r="I237" s="38" t="n"/>
    </row>
    <row r="238" ht="18" customHeight="1">
      <c r="A238" s="39" t="n"/>
      <c r="B238" s="38" t="n"/>
      <c r="C238" s="38" t="n"/>
      <c r="D238" s="38" t="n"/>
      <c r="E238" s="40" t="n"/>
      <c r="F238" s="38" t="n"/>
      <c r="G238" s="38" t="n"/>
      <c r="H238" s="38" t="n"/>
      <c r="I238" s="38" t="n"/>
    </row>
    <row r="239" ht="18" customHeight="1">
      <c r="A239" s="39" t="n"/>
      <c r="B239" s="38" t="n"/>
      <c r="C239" s="38" t="n"/>
      <c r="D239" s="38" t="n"/>
      <c r="E239" s="40" t="n"/>
      <c r="F239" s="38" t="n"/>
      <c r="G239" s="38" t="n"/>
      <c r="H239" s="38" t="n"/>
      <c r="I239" s="38" t="n"/>
    </row>
    <row r="240" ht="18" customHeight="1">
      <c r="A240" s="39" t="n"/>
      <c r="B240" s="38" t="n"/>
      <c r="C240" s="38" t="n"/>
      <c r="D240" s="38" t="n"/>
      <c r="E240" s="40" t="n"/>
      <c r="F240" s="38" t="n"/>
      <c r="G240" s="38" t="n"/>
      <c r="H240" s="38" t="n"/>
      <c r="I240" s="38" t="n"/>
    </row>
    <row r="241" ht="18" customHeight="1">
      <c r="A241" s="39" t="n"/>
      <c r="B241" s="38" t="n"/>
      <c r="C241" s="38" t="n"/>
      <c r="D241" s="38" t="n"/>
      <c r="E241" s="40" t="n"/>
      <c r="F241" s="38" t="n"/>
      <c r="G241" s="38" t="n"/>
      <c r="H241" s="38" t="n"/>
      <c r="I241" s="38" t="n"/>
    </row>
    <row r="242" ht="18" customHeight="1">
      <c r="A242" s="39" t="n"/>
      <c r="B242" s="38" t="n"/>
      <c r="C242" s="38" t="n"/>
      <c r="D242" s="38" t="n"/>
      <c r="E242" s="40" t="n"/>
      <c r="F242" s="38" t="n"/>
      <c r="G242" s="38" t="n"/>
      <c r="H242" s="38" t="n"/>
      <c r="I242" s="38" t="n"/>
    </row>
    <row r="243" ht="18" customHeight="1">
      <c r="A243" s="39" t="n"/>
      <c r="B243" s="38" t="n"/>
      <c r="C243" s="38" t="n"/>
      <c r="D243" s="38" t="n"/>
      <c r="E243" s="40" t="n"/>
      <c r="F243" s="38" t="n"/>
      <c r="G243" s="38" t="n"/>
      <c r="H243" s="38" t="n"/>
      <c r="I243" s="38" t="n"/>
    </row>
    <row r="244" ht="18" customHeight="1">
      <c r="A244" s="39" t="n"/>
      <c r="B244" s="38" t="n"/>
      <c r="C244" s="38" t="n"/>
      <c r="D244" s="38" t="n"/>
      <c r="E244" s="40" t="n"/>
      <c r="F244" s="38" t="n"/>
      <c r="G244" s="38" t="n"/>
      <c r="H244" s="38" t="n"/>
      <c r="I244" s="38" t="n"/>
    </row>
    <row r="245" ht="18" customHeight="1">
      <c r="A245" s="39" t="n"/>
      <c r="B245" s="38" t="n"/>
      <c r="C245" s="38" t="n"/>
      <c r="D245" s="38" t="n"/>
      <c r="E245" s="40" t="n"/>
      <c r="F245" s="38" t="n"/>
      <c r="G245" s="38" t="n"/>
      <c r="H245" s="38" t="n"/>
      <c r="I245" s="38" t="n"/>
    </row>
    <row r="246" ht="18" customHeight="1">
      <c r="A246" s="39" t="n"/>
      <c r="B246" s="38" t="n"/>
      <c r="C246" s="38" t="n"/>
      <c r="D246" s="38" t="n"/>
      <c r="E246" s="40" t="n"/>
      <c r="F246" s="38" t="n"/>
      <c r="G246" s="38" t="n"/>
      <c r="H246" s="38" t="n"/>
      <c r="I246" s="38" t="n"/>
    </row>
    <row r="247" ht="18" customHeight="1">
      <c r="A247" s="39" t="n"/>
      <c r="B247" s="38" t="n"/>
      <c r="C247" s="38" t="n"/>
      <c r="D247" s="38" t="n"/>
      <c r="E247" s="40" t="n"/>
      <c r="F247" s="38" t="n"/>
      <c r="G247" s="38" t="n"/>
      <c r="H247" s="38" t="n"/>
      <c r="I247" s="38" t="n"/>
    </row>
    <row r="248" ht="18" customHeight="1">
      <c r="A248" s="39" t="n"/>
      <c r="B248" s="38" t="n"/>
      <c r="C248" s="38" t="n"/>
      <c r="D248" s="38" t="n"/>
      <c r="E248" s="40" t="n"/>
      <c r="F248" s="38" t="n"/>
      <c r="G248" s="38" t="n"/>
      <c r="H248" s="38" t="n"/>
      <c r="I248" s="38" t="n"/>
    </row>
    <row r="249" ht="18" customHeight="1">
      <c r="A249" s="39" t="n"/>
      <c r="B249" s="38" t="n"/>
      <c r="C249" s="38" t="n"/>
      <c r="D249" s="38" t="n"/>
      <c r="E249" s="40" t="n"/>
      <c r="F249" s="38" t="n"/>
      <c r="G249" s="38" t="n"/>
      <c r="H249" s="38" t="n"/>
      <c r="I249" s="38" t="n"/>
    </row>
    <row r="250" ht="18" customHeight="1">
      <c r="A250" s="39" t="n"/>
      <c r="B250" s="38" t="n"/>
      <c r="C250" s="38" t="n"/>
      <c r="D250" s="38" t="n"/>
      <c r="E250" s="40" t="n"/>
      <c r="F250" s="38" t="n"/>
      <c r="G250" s="38" t="n"/>
      <c r="H250" s="38" t="n"/>
      <c r="I250" s="38" t="n"/>
    </row>
    <row r="251" ht="18" customHeight="1">
      <c r="A251" s="39" t="n"/>
      <c r="B251" s="38" t="n"/>
      <c r="C251" s="38" t="n"/>
      <c r="D251" s="38" t="n"/>
      <c r="E251" s="40" t="n"/>
      <c r="F251" s="38" t="n"/>
      <c r="G251" s="38" t="n"/>
      <c r="H251" s="38" t="n"/>
      <c r="I251" s="38" t="n"/>
    </row>
    <row r="252" ht="18" customHeight="1">
      <c r="A252" s="39" t="n"/>
      <c r="B252" s="38" t="n"/>
      <c r="C252" s="38" t="n"/>
      <c r="D252" s="38" t="n"/>
      <c r="E252" s="40" t="n"/>
      <c r="F252" s="38" t="n"/>
      <c r="G252" s="38" t="n"/>
      <c r="H252" s="38" t="n"/>
      <c r="I252" s="38" t="n"/>
    </row>
    <row r="253" ht="18" customHeight="1">
      <c r="A253" s="39" t="n"/>
      <c r="B253" s="38" t="n"/>
      <c r="C253" s="38" t="n"/>
      <c r="D253" s="38" t="n"/>
      <c r="E253" s="40" t="n"/>
      <c r="F253" s="38" t="n"/>
      <c r="G253" s="38" t="n"/>
      <c r="H253" s="38" t="n"/>
      <c r="I253" s="38" t="n"/>
    </row>
    <row r="254" ht="18" customHeight="1">
      <c r="A254" s="39" t="n"/>
      <c r="B254" s="38" t="n"/>
      <c r="C254" s="38" t="n"/>
      <c r="D254" s="38" t="n"/>
      <c r="E254" s="40" t="n"/>
      <c r="F254" s="38" t="n"/>
      <c r="G254" s="38" t="n"/>
      <c r="H254" s="38" t="n"/>
      <c r="I254" s="38" t="n"/>
    </row>
    <row r="255" ht="18" customHeight="1">
      <c r="A255" s="39" t="n"/>
      <c r="B255" s="38" t="n"/>
      <c r="C255" s="38" t="n"/>
      <c r="D255" s="38" t="n"/>
      <c r="E255" s="40" t="n"/>
      <c r="F255" s="38" t="n"/>
      <c r="G255" s="38" t="n"/>
      <c r="H255" s="38" t="n"/>
      <c r="I255" s="38" t="n"/>
    </row>
    <row r="256" ht="18" customHeight="1">
      <c r="A256" s="39" t="n"/>
      <c r="B256" s="38" t="n"/>
      <c r="C256" s="38" t="n"/>
      <c r="D256" s="38" t="n"/>
      <c r="E256" s="40" t="n"/>
      <c r="F256" s="38" t="n"/>
      <c r="G256" s="38" t="n"/>
      <c r="H256" s="38" t="n"/>
      <c r="I256" s="38" t="n"/>
    </row>
    <row r="257" ht="18" customHeight="1">
      <c r="A257" s="39" t="n"/>
      <c r="B257" s="38" t="n"/>
      <c r="C257" s="38" t="n"/>
      <c r="D257" s="38" t="n"/>
      <c r="E257" s="40" t="n"/>
      <c r="F257" s="38" t="n"/>
      <c r="G257" s="38" t="n"/>
      <c r="H257" s="38" t="n"/>
      <c r="I257" s="38" t="n"/>
    </row>
    <row r="258" ht="18" customHeight="1">
      <c r="A258" s="39" t="n"/>
      <c r="B258" s="38" t="n"/>
      <c r="C258" s="38" t="n"/>
      <c r="D258" s="38" t="n"/>
      <c r="E258" s="40" t="n"/>
      <c r="F258" s="38" t="n"/>
      <c r="G258" s="38" t="n"/>
      <c r="H258" s="38" t="n"/>
      <c r="I258" s="38" t="n"/>
    </row>
    <row r="259" ht="18" customHeight="1">
      <c r="A259" s="39" t="n"/>
      <c r="B259" s="38" t="n"/>
      <c r="C259" s="38" t="n"/>
      <c r="D259" s="38" t="n"/>
      <c r="E259" s="40" t="n"/>
      <c r="F259" s="38" t="n"/>
      <c r="G259" s="38" t="n"/>
      <c r="H259" s="38" t="n"/>
      <c r="I259" s="38" t="n"/>
    </row>
    <row r="260" ht="18" customHeight="1">
      <c r="A260" s="39" t="n"/>
      <c r="B260" s="38" t="n"/>
      <c r="C260" s="38" t="n"/>
      <c r="D260" s="38" t="n"/>
      <c r="E260" s="40" t="n"/>
      <c r="F260" s="38" t="n"/>
      <c r="G260" s="38" t="n"/>
      <c r="H260" s="38" t="n"/>
      <c r="I260" s="38" t="n"/>
    </row>
    <row r="261" ht="18" customHeight="1">
      <c r="A261" s="39" t="n"/>
      <c r="B261" s="38" t="n"/>
      <c r="C261" s="38" t="n"/>
      <c r="D261" s="38" t="n"/>
      <c r="E261" s="40" t="n"/>
      <c r="F261" s="38" t="n"/>
      <c r="G261" s="38" t="n"/>
      <c r="H261" s="38" t="n"/>
      <c r="I261" s="38" t="n"/>
    </row>
    <row r="262" ht="18" customHeight="1">
      <c r="A262" s="39" t="n"/>
      <c r="B262" s="38" t="n"/>
      <c r="C262" s="38" t="n"/>
      <c r="D262" s="38" t="n"/>
      <c r="E262" s="40" t="n"/>
      <c r="F262" s="38" t="n"/>
      <c r="G262" s="38" t="n"/>
      <c r="H262" s="38" t="n"/>
      <c r="I262" s="38" t="n"/>
    </row>
    <row r="263" ht="18" customHeight="1">
      <c r="A263" s="39" t="n"/>
      <c r="B263" s="38" t="n"/>
      <c r="C263" s="38" t="n"/>
      <c r="D263" s="38" t="n"/>
      <c r="E263" s="40" t="n"/>
      <c r="F263" s="38" t="n"/>
      <c r="G263" s="38" t="n"/>
      <c r="H263" s="38" t="n"/>
      <c r="I263" s="38" t="n"/>
    </row>
    <row r="264" ht="18" customHeight="1">
      <c r="A264" s="39" t="n"/>
      <c r="B264" s="38" t="n"/>
      <c r="C264" s="38" t="n"/>
      <c r="D264" s="38" t="n"/>
      <c r="E264" s="40" t="n"/>
      <c r="F264" s="38" t="n"/>
      <c r="G264" s="38" t="n"/>
      <c r="H264" s="38" t="n"/>
      <c r="I264" s="38" t="n"/>
    </row>
    <row r="265" ht="18" customHeight="1">
      <c r="A265" s="39" t="n"/>
      <c r="B265" s="38" t="n"/>
      <c r="C265" s="38" t="n"/>
      <c r="D265" s="38" t="n"/>
      <c r="E265" s="40" t="n"/>
      <c r="F265" s="38" t="n"/>
      <c r="G265" s="38" t="n"/>
      <c r="H265" s="38" t="n"/>
      <c r="I265" s="38" t="n"/>
    </row>
    <row r="266" ht="18" customHeight="1">
      <c r="A266" s="39" t="n"/>
      <c r="B266" s="38" t="n"/>
      <c r="C266" s="38" t="n"/>
      <c r="D266" s="38" t="n"/>
      <c r="E266" s="40" t="n"/>
      <c r="F266" s="38" t="n"/>
      <c r="G266" s="38" t="n"/>
      <c r="H266" s="38" t="n"/>
      <c r="I266" s="38" t="n"/>
    </row>
    <row r="267" ht="18" customHeight="1">
      <c r="A267" s="39" t="n"/>
      <c r="B267" s="38" t="n"/>
      <c r="C267" s="38" t="n"/>
      <c r="D267" s="38" t="n"/>
      <c r="E267" s="40" t="n"/>
      <c r="F267" s="38" t="n"/>
      <c r="G267" s="38" t="n"/>
      <c r="H267" s="38" t="n"/>
      <c r="I267" s="38" t="n"/>
    </row>
    <row r="268" ht="18" customHeight="1">
      <c r="A268" s="39" t="n"/>
      <c r="B268" s="38" t="n"/>
      <c r="C268" s="38" t="n"/>
      <c r="D268" s="38" t="n"/>
      <c r="E268" s="40" t="n"/>
      <c r="F268" s="38" t="n"/>
      <c r="G268" s="38" t="n"/>
      <c r="H268" s="38" t="n"/>
      <c r="I268" s="38" t="n"/>
    </row>
    <row r="269" ht="18" customHeight="1">
      <c r="A269" s="39" t="n"/>
      <c r="B269" s="38" t="n"/>
      <c r="C269" s="38" t="n"/>
      <c r="D269" s="38" t="n"/>
      <c r="E269" s="40" t="n"/>
      <c r="F269" s="38" t="n"/>
      <c r="G269" s="38" t="n"/>
      <c r="H269" s="38" t="n"/>
      <c r="I269" s="38" t="n"/>
    </row>
    <row r="270" ht="18" customHeight="1">
      <c r="A270" s="39" t="n"/>
      <c r="B270" s="38" t="n"/>
      <c r="C270" s="38" t="n"/>
      <c r="D270" s="38" t="n"/>
      <c r="E270" s="40" t="n"/>
      <c r="F270" s="38" t="n"/>
      <c r="G270" s="38" t="n"/>
      <c r="H270" s="38" t="n"/>
      <c r="I270" s="38" t="n"/>
    </row>
    <row r="271" ht="18" customHeight="1">
      <c r="A271" s="39" t="n"/>
      <c r="B271" s="38" t="n"/>
      <c r="C271" s="38" t="n"/>
      <c r="D271" s="38" t="n"/>
      <c r="E271" s="40" t="n"/>
      <c r="F271" s="38" t="n"/>
      <c r="G271" s="38" t="n"/>
      <c r="H271" s="38" t="n"/>
      <c r="I271" s="38" t="n"/>
    </row>
    <row r="272" ht="18" customHeight="1">
      <c r="A272" s="39" t="n"/>
      <c r="B272" s="38" t="n"/>
      <c r="C272" s="38" t="n"/>
      <c r="D272" s="38" t="n"/>
      <c r="E272" s="40" t="n"/>
      <c r="F272" s="38" t="n"/>
      <c r="G272" s="38" t="n"/>
      <c r="H272" s="38" t="n"/>
      <c r="I272" s="38" t="n"/>
    </row>
    <row r="273" ht="18" customHeight="1">
      <c r="A273" s="39" t="n"/>
      <c r="B273" s="38" t="n"/>
      <c r="C273" s="38" t="n"/>
      <c r="D273" s="38" t="n"/>
      <c r="E273" s="40" t="n"/>
      <c r="F273" s="38" t="n"/>
      <c r="G273" s="38" t="n"/>
      <c r="H273" s="38" t="n"/>
      <c r="I273" s="38" t="n"/>
    </row>
    <row r="274" ht="18" customHeight="1">
      <c r="A274" s="39" t="n"/>
      <c r="B274" s="38" t="n"/>
      <c r="C274" s="38" t="n"/>
      <c r="D274" s="38" t="n"/>
      <c r="E274" s="40" t="n"/>
      <c r="F274" s="38" t="n"/>
      <c r="G274" s="38" t="n"/>
      <c r="H274" s="38" t="n"/>
      <c r="I274" s="38" t="n"/>
    </row>
    <row r="275" ht="18" customHeight="1">
      <c r="A275" s="39" t="n"/>
      <c r="B275" s="38" t="n"/>
      <c r="C275" s="38" t="n"/>
      <c r="D275" s="38" t="n"/>
      <c r="E275" s="40" t="n"/>
      <c r="F275" s="38" t="n"/>
      <c r="G275" s="38" t="n"/>
      <c r="H275" s="38" t="n"/>
      <c r="I275" s="38" t="n"/>
    </row>
    <row r="276" ht="18" customHeight="1">
      <c r="A276" s="39" t="n"/>
      <c r="B276" s="38" t="n"/>
      <c r="C276" s="38" t="n"/>
      <c r="D276" s="38" t="n"/>
      <c r="E276" s="40" t="n"/>
      <c r="F276" s="38" t="n"/>
      <c r="G276" s="38" t="n"/>
      <c r="H276" s="38" t="n"/>
      <c r="I276" s="38" t="n"/>
    </row>
    <row r="277" ht="18" customHeight="1">
      <c r="A277" s="39" t="n"/>
      <c r="B277" s="38" t="n"/>
      <c r="C277" s="38" t="n"/>
      <c r="D277" s="38" t="n"/>
      <c r="E277" s="40" t="n"/>
      <c r="F277" s="38" t="n"/>
      <c r="G277" s="38" t="n"/>
      <c r="H277" s="38" t="n"/>
      <c r="I277" s="38" t="n"/>
    </row>
    <row r="278" ht="18" customHeight="1">
      <c r="A278" s="39" t="n"/>
      <c r="B278" s="38" t="n"/>
      <c r="C278" s="38" t="n"/>
      <c r="D278" s="38" t="n"/>
      <c r="E278" s="40" t="n"/>
      <c r="F278" s="38" t="n"/>
      <c r="G278" s="38" t="n"/>
      <c r="H278" s="38" t="n"/>
      <c r="I278" s="38" t="n"/>
    </row>
    <row r="279" ht="18" customHeight="1">
      <c r="A279" s="39" t="n"/>
      <c r="B279" s="38" t="n"/>
      <c r="C279" s="38" t="n"/>
      <c r="D279" s="38" t="n"/>
      <c r="E279" s="40" t="n"/>
      <c r="F279" s="38" t="n"/>
      <c r="G279" s="38" t="n"/>
      <c r="H279" s="38" t="n"/>
      <c r="I279" s="38" t="n"/>
    </row>
    <row r="280" ht="18" customHeight="1">
      <c r="A280" s="39" t="n"/>
      <c r="B280" s="38" t="n"/>
      <c r="C280" s="38" t="n"/>
      <c r="D280" s="38" t="n"/>
      <c r="E280" s="40" t="n"/>
      <c r="F280" s="38" t="n"/>
      <c r="G280" s="38" t="n"/>
      <c r="H280" s="38" t="n"/>
      <c r="I280" s="38" t="n"/>
    </row>
    <row r="281" ht="18" customHeight="1">
      <c r="A281" s="39" t="n"/>
      <c r="B281" s="38" t="n"/>
      <c r="C281" s="38" t="n"/>
      <c r="D281" s="38" t="n"/>
      <c r="E281" s="40" t="n"/>
      <c r="F281" s="38" t="n"/>
      <c r="G281" s="38" t="n"/>
      <c r="H281" s="38" t="n"/>
      <c r="I281" s="38" t="n"/>
    </row>
    <row r="282" ht="18" customHeight="1">
      <c r="A282" s="39" t="n"/>
      <c r="B282" s="38" t="n"/>
      <c r="C282" s="38" t="n"/>
      <c r="D282" s="38" t="n"/>
      <c r="E282" s="40" t="n"/>
      <c r="F282" s="38" t="n"/>
      <c r="G282" s="38" t="n"/>
      <c r="H282" s="38" t="n"/>
      <c r="I282" s="38" t="n"/>
    </row>
    <row r="283" ht="18" customHeight="1">
      <c r="A283" s="39" t="n"/>
      <c r="B283" s="38" t="n"/>
      <c r="C283" s="38" t="n"/>
      <c r="D283" s="38" t="n"/>
      <c r="E283" s="40" t="n"/>
      <c r="F283" s="38" t="n"/>
      <c r="G283" s="38" t="n"/>
      <c r="H283" s="38" t="n"/>
      <c r="I283" s="38" t="n"/>
    </row>
    <row r="284" ht="18" customHeight="1">
      <c r="A284" s="39" t="n"/>
      <c r="B284" s="38" t="n"/>
      <c r="C284" s="38" t="n"/>
      <c r="D284" s="38" t="n"/>
      <c r="E284" s="40" t="n"/>
      <c r="F284" s="38" t="n"/>
      <c r="G284" s="38" t="n"/>
      <c r="H284" s="38" t="n"/>
      <c r="I284" s="38" t="n"/>
    </row>
    <row r="285" ht="18" customHeight="1">
      <c r="A285" s="39" t="n"/>
      <c r="B285" s="38" t="n"/>
      <c r="C285" s="38" t="n"/>
      <c r="D285" s="38" t="n"/>
      <c r="E285" s="40" t="n"/>
      <c r="F285" s="38" t="n"/>
      <c r="G285" s="38" t="n"/>
      <c r="H285" s="38" t="n"/>
      <c r="I285" s="38" t="n"/>
    </row>
    <row r="286" ht="18" customHeight="1">
      <c r="A286" s="39" t="n"/>
      <c r="B286" s="38" t="n"/>
      <c r="C286" s="38" t="n"/>
      <c r="D286" s="38" t="n"/>
      <c r="E286" s="40" t="n"/>
      <c r="F286" s="38" t="n"/>
      <c r="G286" s="38" t="n"/>
      <c r="H286" s="38" t="n"/>
      <c r="I286" s="38" t="n"/>
    </row>
    <row r="287" ht="18" customHeight="1">
      <c r="A287" s="39" t="n"/>
      <c r="B287" s="38" t="n"/>
      <c r="C287" s="38" t="n"/>
      <c r="D287" s="38" t="n"/>
      <c r="E287" s="40" t="n"/>
      <c r="F287" s="38" t="n"/>
      <c r="G287" s="38" t="n"/>
      <c r="H287" s="38" t="n"/>
      <c r="I287" s="38" t="n"/>
    </row>
    <row r="288" ht="18" customHeight="1">
      <c r="A288" s="39" t="n"/>
      <c r="B288" s="38" t="n"/>
      <c r="C288" s="38" t="n"/>
      <c r="D288" s="38" t="n"/>
      <c r="E288" s="40" t="n"/>
      <c r="F288" s="38" t="n"/>
      <c r="G288" s="38" t="n"/>
      <c r="H288" s="38" t="n"/>
      <c r="I288" s="38" t="n"/>
    </row>
    <row r="289" ht="18" customHeight="1">
      <c r="A289" s="39" t="n"/>
      <c r="B289" s="38" t="n"/>
      <c r="C289" s="38" t="n"/>
      <c r="D289" s="38" t="n"/>
      <c r="E289" s="40" t="n"/>
      <c r="F289" s="38" t="n"/>
      <c r="G289" s="38" t="n"/>
      <c r="H289" s="38" t="n"/>
      <c r="I289" s="38" t="n"/>
    </row>
    <row r="290" ht="18" customHeight="1">
      <c r="A290" s="39" t="n"/>
      <c r="B290" s="38" t="n"/>
      <c r="C290" s="38" t="n"/>
      <c r="D290" s="38" t="n"/>
      <c r="E290" s="40" t="n"/>
      <c r="F290" s="38" t="n"/>
      <c r="G290" s="38" t="n"/>
      <c r="H290" s="38" t="n"/>
      <c r="I290" s="38" t="n"/>
    </row>
    <row r="291" ht="18" customHeight="1">
      <c r="A291" s="39" t="n"/>
      <c r="B291" s="38" t="n"/>
      <c r="C291" s="38" t="n"/>
      <c r="D291" s="38" t="n"/>
      <c r="E291" s="40" t="n"/>
      <c r="F291" s="38" t="n"/>
      <c r="G291" s="38" t="n"/>
      <c r="H291" s="38" t="n"/>
      <c r="I291" s="38" t="n"/>
    </row>
    <row r="292" ht="18" customHeight="1">
      <c r="A292" s="39" t="n"/>
      <c r="B292" s="38" t="n"/>
      <c r="C292" s="38" t="n"/>
      <c r="D292" s="38" t="n"/>
      <c r="E292" s="40" t="n"/>
      <c r="F292" s="38" t="n"/>
      <c r="G292" s="38" t="n"/>
      <c r="H292" s="38" t="n"/>
      <c r="I292" s="38" t="n"/>
    </row>
    <row r="293" ht="18" customHeight="1">
      <c r="A293" s="39" t="n"/>
      <c r="B293" s="38" t="n"/>
      <c r="C293" s="38" t="n"/>
      <c r="D293" s="38" t="n"/>
      <c r="E293" s="40" t="n"/>
      <c r="F293" s="38" t="n"/>
      <c r="G293" s="38" t="n"/>
      <c r="H293" s="38" t="n"/>
      <c r="I293" s="38" t="n"/>
    </row>
    <row r="294" ht="18" customHeight="1">
      <c r="A294" s="39" t="n"/>
      <c r="B294" s="38" t="n"/>
      <c r="C294" s="38" t="n"/>
      <c r="D294" s="38" t="n"/>
      <c r="E294" s="40" t="n"/>
      <c r="F294" s="38" t="n"/>
      <c r="G294" s="38" t="n"/>
      <c r="H294" s="38" t="n"/>
      <c r="I294" s="38" t="n"/>
    </row>
    <row r="295" ht="18" customHeight="1">
      <c r="A295" s="39" t="n"/>
      <c r="B295" s="38" t="n"/>
      <c r="C295" s="38" t="n"/>
      <c r="D295" s="38" t="n"/>
      <c r="E295" s="40" t="n"/>
      <c r="F295" s="38" t="n"/>
      <c r="G295" s="38" t="n"/>
      <c r="H295" s="38" t="n"/>
      <c r="I295" s="38" t="n"/>
    </row>
    <row r="296" ht="18" customHeight="1">
      <c r="A296" s="39" t="n"/>
      <c r="B296" s="38" t="n"/>
      <c r="C296" s="38" t="n"/>
      <c r="D296" s="38" t="n"/>
      <c r="E296" s="40" t="n"/>
      <c r="F296" s="38" t="n"/>
      <c r="G296" s="38" t="n"/>
      <c r="H296" s="38" t="n"/>
      <c r="I296" s="38" t="n"/>
    </row>
    <row r="297" ht="18" customHeight="1">
      <c r="A297" s="39" t="n"/>
      <c r="B297" s="38" t="n"/>
      <c r="C297" s="38" t="n"/>
      <c r="D297" s="38" t="n"/>
      <c r="E297" s="40" t="n"/>
      <c r="F297" s="38" t="n"/>
      <c r="G297" s="38" t="n"/>
      <c r="H297" s="38" t="n"/>
      <c r="I297" s="38" t="n"/>
    </row>
    <row r="298" ht="18" customHeight="1">
      <c r="A298" s="39" t="n"/>
      <c r="B298" s="38" t="n"/>
      <c r="C298" s="38" t="n"/>
      <c r="D298" s="38" t="n"/>
      <c r="E298" s="40" t="n"/>
      <c r="F298" s="38" t="n"/>
      <c r="G298" s="38" t="n"/>
      <c r="H298" s="38" t="n"/>
      <c r="I298" s="38" t="n"/>
    </row>
    <row r="299" ht="18" customHeight="1">
      <c r="A299" s="39" t="n"/>
      <c r="B299" s="38" t="n"/>
      <c r="C299" s="38" t="n"/>
      <c r="D299" s="38" t="n"/>
      <c r="E299" s="40" t="n"/>
      <c r="F299" s="38" t="n"/>
      <c r="G299" s="38" t="n"/>
      <c r="H299" s="38" t="n"/>
      <c r="I299" s="38" t="n"/>
    </row>
    <row r="300" ht="18" customHeight="1">
      <c r="A300" s="39" t="n"/>
      <c r="B300" s="38" t="n"/>
      <c r="C300" s="38" t="n"/>
      <c r="D300" s="38" t="n"/>
      <c r="E300" s="40" t="n"/>
      <c r="F300" s="38" t="n"/>
      <c r="G300" s="38" t="n"/>
      <c r="H300" s="38" t="n"/>
      <c r="I300" s="38" t="n"/>
    </row>
    <row r="301" ht="18" customHeight="1">
      <c r="A301" s="39" t="n"/>
      <c r="B301" s="38" t="n"/>
      <c r="C301" s="38" t="n"/>
      <c r="D301" s="38" t="n"/>
      <c r="E301" s="40" t="n"/>
      <c r="F301" s="38" t="n"/>
      <c r="G301" s="38" t="n"/>
      <c r="H301" s="38" t="n"/>
      <c r="I301" s="38" t="n"/>
    </row>
    <row r="302" ht="18" customHeight="1">
      <c r="A302" s="39" t="n"/>
      <c r="B302" s="38" t="n"/>
      <c r="C302" s="38" t="n"/>
      <c r="D302" s="38" t="n"/>
      <c r="E302" s="40" t="n"/>
      <c r="F302" s="38" t="n"/>
      <c r="G302" s="38" t="n"/>
      <c r="H302" s="38" t="n"/>
      <c r="I302" s="38" t="n"/>
    </row>
    <row r="303" ht="18" customHeight="1">
      <c r="A303" s="39" t="n"/>
      <c r="B303" s="38" t="n"/>
      <c r="C303" s="38" t="n"/>
      <c r="D303" s="38" t="n"/>
      <c r="E303" s="40" t="n"/>
      <c r="F303" s="38" t="n"/>
      <c r="G303" s="38" t="n"/>
      <c r="H303" s="38" t="n"/>
      <c r="I303" s="38" t="n"/>
    </row>
    <row r="304" ht="18" customHeight="1">
      <c r="A304" s="39" t="n"/>
      <c r="B304" s="38" t="n"/>
      <c r="C304" s="38" t="n"/>
      <c r="D304" s="38" t="n"/>
      <c r="E304" s="40" t="n"/>
      <c r="F304" s="38" t="n"/>
      <c r="G304" s="38" t="n"/>
      <c r="H304" s="38" t="n"/>
      <c r="I304" s="38" t="n"/>
    </row>
    <row r="305" ht="18" customHeight="1">
      <c r="A305" s="39" t="n"/>
      <c r="B305" s="38" t="n"/>
      <c r="C305" s="38" t="n"/>
      <c r="D305" s="38" t="n"/>
      <c r="E305" s="40" t="n"/>
      <c r="F305" s="38" t="n"/>
      <c r="G305" s="38" t="n"/>
      <c r="H305" s="38" t="n"/>
      <c r="I305" s="38" t="n"/>
    </row>
    <row r="306" ht="18" customHeight="1">
      <c r="A306" s="39" t="n"/>
      <c r="B306" s="38" t="n"/>
      <c r="C306" s="38" t="n"/>
      <c r="D306" s="38" t="n"/>
      <c r="E306" s="40" t="n"/>
      <c r="F306" s="38" t="n"/>
      <c r="G306" s="38" t="n"/>
      <c r="H306" s="38" t="n"/>
      <c r="I306" s="38" t="n"/>
    </row>
    <row r="307" ht="18" customHeight="1">
      <c r="A307" s="39" t="n"/>
      <c r="B307" s="38" t="n"/>
      <c r="C307" s="38" t="n"/>
      <c r="D307" s="38" t="n"/>
      <c r="E307" s="40" t="n"/>
      <c r="F307" s="38" t="n"/>
      <c r="G307" s="38" t="n"/>
      <c r="H307" s="38" t="n"/>
      <c r="I307" s="38" t="n"/>
    </row>
    <row r="308" ht="18" customHeight="1">
      <c r="A308" s="39" t="n"/>
      <c r="B308" s="38" t="n"/>
      <c r="C308" s="38" t="n"/>
      <c r="D308" s="38" t="n"/>
      <c r="E308" s="40" t="n"/>
      <c r="F308" s="38" t="n"/>
      <c r="G308" s="38" t="n"/>
      <c r="H308" s="38" t="n"/>
      <c r="I308" s="38" t="n"/>
    </row>
    <row r="309" ht="18" customHeight="1">
      <c r="A309" s="39" t="n"/>
      <c r="B309" s="38" t="n"/>
      <c r="C309" s="38" t="n"/>
      <c r="D309" s="38" t="n"/>
      <c r="E309" s="40" t="n"/>
      <c r="F309" s="38" t="n"/>
      <c r="G309" s="38" t="n"/>
      <c r="H309" s="38" t="n"/>
      <c r="I309" s="38" t="n"/>
    </row>
    <row r="310" ht="18" customHeight="1">
      <c r="A310" s="39" t="n"/>
      <c r="B310" s="38" t="n"/>
      <c r="C310" s="38" t="n"/>
      <c r="D310" s="38" t="n"/>
      <c r="E310" s="40" t="n"/>
      <c r="F310" s="38" t="n"/>
      <c r="G310" s="38" t="n"/>
      <c r="H310" s="38" t="n"/>
      <c r="I310" s="38" t="n"/>
    </row>
    <row r="311" ht="18" customHeight="1">
      <c r="A311" s="39" t="n"/>
      <c r="B311" s="38" t="n"/>
      <c r="C311" s="38" t="n"/>
      <c r="D311" s="38" t="n"/>
      <c r="E311" s="40" t="n"/>
      <c r="F311" s="38" t="n"/>
      <c r="G311" s="38" t="n"/>
      <c r="H311" s="38" t="n"/>
      <c r="I311" s="38" t="n"/>
    </row>
    <row r="312" ht="18" customHeight="1">
      <c r="A312" s="39" t="n"/>
      <c r="B312" s="38" t="n"/>
      <c r="C312" s="38" t="n"/>
      <c r="D312" s="38" t="n"/>
      <c r="E312" s="40" t="n"/>
      <c r="F312" s="38" t="n"/>
      <c r="G312" s="38" t="n"/>
      <c r="H312" s="38" t="n"/>
      <c r="I312" s="38" t="n"/>
    </row>
    <row r="313" ht="18" customHeight="1">
      <c r="A313" s="39" t="n"/>
      <c r="B313" s="38" t="n"/>
      <c r="C313" s="38" t="n"/>
      <c r="D313" s="38" t="n"/>
      <c r="E313" s="40" t="n"/>
      <c r="F313" s="38" t="n"/>
      <c r="G313" s="38" t="n"/>
      <c r="H313" s="38" t="n"/>
      <c r="I313" s="38" t="n"/>
    </row>
    <row r="314" ht="18" customHeight="1">
      <c r="A314" s="39" t="n"/>
      <c r="B314" s="38" t="n"/>
      <c r="C314" s="38" t="n"/>
      <c r="D314" s="38" t="n"/>
      <c r="E314" s="40" t="n"/>
      <c r="F314" s="38" t="n"/>
      <c r="G314" s="38" t="n"/>
      <c r="H314" s="38" t="n"/>
      <c r="I314" s="38" t="n"/>
    </row>
    <row r="315" ht="18" customHeight="1">
      <c r="A315" s="39" t="n"/>
      <c r="B315" s="38" t="n"/>
      <c r="C315" s="38" t="n"/>
      <c r="D315" s="38" t="n"/>
      <c r="E315" s="40" t="n"/>
      <c r="F315" s="38" t="n"/>
      <c r="G315" s="38" t="n"/>
      <c r="H315" s="38" t="n"/>
      <c r="I315" s="38" t="n"/>
    </row>
    <row r="316" ht="18" customHeight="1">
      <c r="A316" s="39" t="n"/>
      <c r="B316" s="38" t="n"/>
      <c r="C316" s="38" t="n"/>
      <c r="D316" s="38" t="n"/>
      <c r="E316" s="40" t="n"/>
      <c r="F316" s="38" t="n"/>
      <c r="G316" s="38" t="n"/>
      <c r="H316" s="38" t="n"/>
      <c r="I316" s="38" t="n"/>
    </row>
    <row r="317" ht="18" customHeight="1">
      <c r="A317" s="39" t="n"/>
      <c r="B317" s="38" t="n"/>
      <c r="C317" s="38" t="n"/>
      <c r="D317" s="38" t="n"/>
      <c r="E317" s="40" t="n"/>
      <c r="F317" s="38" t="n"/>
      <c r="G317" s="38" t="n"/>
      <c r="H317" s="38" t="n"/>
      <c r="I317" s="38" t="n"/>
    </row>
    <row r="318" ht="18" customHeight="1">
      <c r="A318" s="39" t="n"/>
      <c r="B318" s="38" t="n"/>
      <c r="C318" s="38" t="n"/>
      <c r="D318" s="38" t="n"/>
      <c r="E318" s="40" t="n"/>
      <c r="F318" s="38" t="n"/>
      <c r="G318" s="38" t="n"/>
      <c r="H318" s="38" t="n"/>
      <c r="I318" s="38" t="n"/>
    </row>
    <row r="319" ht="18" customHeight="1">
      <c r="A319" s="39" t="n"/>
      <c r="B319" s="38" t="n"/>
      <c r="C319" s="38" t="n"/>
      <c r="D319" s="38" t="n"/>
      <c r="E319" s="40" t="n"/>
      <c r="F319" s="38" t="n"/>
      <c r="G319" s="38" t="n"/>
      <c r="H319" s="38" t="n"/>
      <c r="I319" s="38" t="n"/>
    </row>
    <row r="320" ht="18" customHeight="1">
      <c r="A320" s="39" t="n"/>
      <c r="B320" s="38" t="n"/>
      <c r="C320" s="38" t="n"/>
      <c r="D320" s="38" t="n"/>
      <c r="E320" s="40" t="n"/>
      <c r="F320" s="38" t="n"/>
      <c r="G320" s="38" t="n"/>
      <c r="H320" s="38" t="n"/>
      <c r="I320" s="38" t="n"/>
    </row>
    <row r="321" ht="18" customHeight="1">
      <c r="A321" s="39" t="n"/>
      <c r="B321" s="38" t="n"/>
      <c r="C321" s="38" t="n"/>
      <c r="D321" s="38" t="n"/>
      <c r="E321" s="40" t="n"/>
      <c r="F321" s="38" t="n"/>
      <c r="G321" s="38" t="n"/>
      <c r="H321" s="38" t="n"/>
      <c r="I321" s="38" t="n"/>
    </row>
    <row r="322" ht="18" customHeight="1">
      <c r="A322" s="39" t="n"/>
      <c r="B322" s="38" t="n"/>
      <c r="C322" s="38" t="n"/>
      <c r="D322" s="38" t="n"/>
      <c r="E322" s="40" t="n"/>
      <c r="F322" s="38" t="n"/>
      <c r="G322" s="38" t="n"/>
      <c r="H322" s="38" t="n"/>
      <c r="I322" s="38" t="n"/>
    </row>
    <row r="323" ht="18" customHeight="1">
      <c r="A323" s="39" t="n"/>
      <c r="B323" s="38" t="n"/>
      <c r="C323" s="38" t="n"/>
      <c r="D323" s="38" t="n"/>
      <c r="E323" s="40" t="n"/>
      <c r="F323" s="38" t="n"/>
      <c r="G323" s="38" t="n"/>
      <c r="H323" s="38" t="n"/>
      <c r="I323" s="38" t="n"/>
    </row>
    <row r="324" ht="18" customHeight="1">
      <c r="A324" s="39" t="n"/>
      <c r="B324" s="38" t="n"/>
      <c r="C324" s="38" t="n"/>
      <c r="D324" s="38" t="n"/>
      <c r="E324" s="40" t="n"/>
      <c r="F324" s="38" t="n"/>
      <c r="G324" s="38" t="n"/>
      <c r="H324" s="38" t="n"/>
      <c r="I324" s="38" t="n"/>
    </row>
    <row r="325" ht="18" customHeight="1">
      <c r="A325" s="39" t="n"/>
      <c r="B325" s="38" t="n"/>
      <c r="C325" s="38" t="n"/>
      <c r="D325" s="38" t="n"/>
      <c r="E325" s="40" t="n"/>
      <c r="F325" s="38" t="n"/>
      <c r="G325" s="38" t="n"/>
      <c r="H325" s="38" t="n"/>
      <c r="I325" s="38" t="n"/>
    </row>
    <row r="326" ht="18" customHeight="1">
      <c r="A326" s="39" t="n"/>
      <c r="B326" s="38" t="n"/>
      <c r="C326" s="38" t="n"/>
      <c r="D326" s="38" t="n"/>
      <c r="E326" s="40" t="n"/>
      <c r="F326" s="38" t="n"/>
      <c r="G326" s="38" t="n"/>
      <c r="H326" s="38" t="n"/>
      <c r="I326" s="38" t="n"/>
    </row>
    <row r="327" ht="18" customHeight="1">
      <c r="A327" s="39" t="n"/>
      <c r="B327" s="38" t="n"/>
      <c r="C327" s="38" t="n"/>
      <c r="D327" s="38" t="n"/>
      <c r="E327" s="40" t="n"/>
      <c r="F327" s="38" t="n"/>
      <c r="G327" s="38" t="n"/>
      <c r="H327" s="38" t="n"/>
      <c r="I327" s="38" t="n"/>
    </row>
    <row r="328" ht="18" customHeight="1">
      <c r="A328" s="39" t="n"/>
      <c r="B328" s="38" t="n"/>
      <c r="C328" s="38" t="n"/>
      <c r="D328" s="38" t="n"/>
      <c r="E328" s="40" t="n"/>
      <c r="F328" s="38" t="n"/>
      <c r="G328" s="38" t="n"/>
      <c r="H328" s="38" t="n"/>
      <c r="I328" s="38" t="n"/>
    </row>
    <row r="329" ht="18" customHeight="1">
      <c r="A329" s="39" t="n"/>
      <c r="B329" s="38" t="n"/>
      <c r="C329" s="38" t="n"/>
      <c r="D329" s="38" t="n"/>
      <c r="E329" s="40" t="n"/>
      <c r="F329" s="38" t="n"/>
      <c r="G329" s="38" t="n"/>
      <c r="H329" s="38" t="n"/>
      <c r="I329" s="38" t="n"/>
    </row>
    <row r="330" ht="18" customHeight="1">
      <c r="A330" s="39" t="n"/>
      <c r="B330" s="38" t="n"/>
      <c r="C330" s="38" t="n"/>
      <c r="D330" s="38" t="n"/>
      <c r="E330" s="40" t="n"/>
      <c r="F330" s="38" t="n"/>
      <c r="G330" s="38" t="n"/>
      <c r="H330" s="38" t="n"/>
      <c r="I330" s="38" t="n"/>
    </row>
    <row r="331" ht="18" customHeight="1">
      <c r="A331" s="39" t="n"/>
      <c r="B331" s="38" t="n"/>
      <c r="C331" s="38" t="n"/>
      <c r="D331" s="38" t="n"/>
      <c r="E331" s="40" t="n"/>
      <c r="F331" s="38" t="n"/>
      <c r="G331" s="38" t="n"/>
      <c r="H331" s="38" t="n"/>
      <c r="I331" s="38" t="n"/>
    </row>
    <row r="332" ht="18" customHeight="1">
      <c r="A332" s="39" t="n"/>
      <c r="B332" s="38" t="n"/>
      <c r="C332" s="38" t="n"/>
      <c r="D332" s="38" t="n"/>
      <c r="E332" s="40" t="n"/>
      <c r="F332" s="38" t="n"/>
      <c r="G332" s="38" t="n"/>
      <c r="H332" s="38" t="n"/>
      <c r="I332" s="38" t="n"/>
    </row>
    <row r="333" ht="18" customHeight="1">
      <c r="A333" s="39" t="n"/>
      <c r="B333" s="38" t="n"/>
      <c r="C333" s="38" t="n"/>
      <c r="D333" s="38" t="n"/>
      <c r="E333" s="40" t="n"/>
      <c r="F333" s="38" t="n"/>
      <c r="G333" s="38" t="n"/>
      <c r="H333" s="38" t="n"/>
      <c r="I333" s="38" t="n"/>
    </row>
    <row r="334" ht="18" customHeight="1">
      <c r="A334" s="39" t="n"/>
      <c r="B334" s="38" t="n"/>
      <c r="C334" s="38" t="n"/>
      <c r="D334" s="38" t="n"/>
      <c r="E334" s="40" t="n"/>
      <c r="F334" s="38" t="n"/>
      <c r="G334" s="38" t="n"/>
      <c r="H334" s="38" t="n"/>
      <c r="I334" s="38" t="n"/>
    </row>
    <row r="335" ht="18" customHeight="1">
      <c r="A335" s="39" t="n"/>
      <c r="B335" s="38" t="n"/>
      <c r="C335" s="38" t="n"/>
      <c r="D335" s="38" t="n"/>
      <c r="E335" s="40" t="n"/>
      <c r="F335" s="38" t="n"/>
      <c r="G335" s="38" t="n"/>
      <c r="H335" s="38" t="n"/>
      <c r="I335" s="38" t="n"/>
    </row>
    <row r="336" ht="18" customHeight="1">
      <c r="A336" s="39" t="n"/>
      <c r="B336" s="38" t="n"/>
      <c r="C336" s="38" t="n"/>
      <c r="D336" s="38" t="n"/>
      <c r="E336" s="40" t="n"/>
      <c r="F336" s="38" t="n"/>
      <c r="G336" s="38" t="n"/>
      <c r="H336" s="38" t="n"/>
      <c r="I336" s="38" t="n"/>
    </row>
    <row r="337" ht="18" customHeight="1">
      <c r="A337" s="39" t="n"/>
      <c r="B337" s="38" t="n"/>
      <c r="C337" s="38" t="n"/>
      <c r="D337" s="38" t="n"/>
      <c r="E337" s="40" t="n"/>
      <c r="F337" s="38" t="n"/>
      <c r="G337" s="38" t="n"/>
      <c r="H337" s="38" t="n"/>
      <c r="I337" s="38" t="n"/>
    </row>
    <row r="338" ht="18" customHeight="1">
      <c r="A338" s="39" t="n"/>
      <c r="B338" s="38" t="n"/>
      <c r="C338" s="38" t="n"/>
      <c r="D338" s="38" t="n"/>
      <c r="E338" s="40" t="n"/>
      <c r="F338" s="38" t="n"/>
      <c r="G338" s="38" t="n"/>
      <c r="H338" s="38" t="n"/>
      <c r="I338" s="38" t="n"/>
    </row>
    <row r="339" ht="18" customHeight="1">
      <c r="A339" s="39" t="n"/>
      <c r="B339" s="38" t="n"/>
      <c r="C339" s="38" t="n"/>
      <c r="D339" s="38" t="n"/>
      <c r="E339" s="40" t="n"/>
      <c r="F339" s="38" t="n"/>
      <c r="G339" s="38" t="n"/>
      <c r="H339" s="38" t="n"/>
      <c r="I339" s="38" t="n"/>
    </row>
    <row r="340" ht="18" customHeight="1">
      <c r="A340" s="39" t="n"/>
      <c r="B340" s="38" t="n"/>
      <c r="C340" s="38" t="n"/>
      <c r="D340" s="38" t="n"/>
      <c r="E340" s="40" t="n"/>
      <c r="F340" s="38" t="n"/>
      <c r="G340" s="38" t="n"/>
      <c r="H340" s="38" t="n"/>
      <c r="I340" s="38" t="n"/>
    </row>
    <row r="341" ht="18" customHeight="1">
      <c r="A341" s="39" t="n"/>
      <c r="B341" s="38" t="n"/>
      <c r="C341" s="38" t="n"/>
      <c r="D341" s="38" t="n"/>
      <c r="E341" s="40" t="n"/>
      <c r="F341" s="38" t="n"/>
      <c r="G341" s="38" t="n"/>
      <c r="H341" s="38" t="n"/>
      <c r="I341" s="38" t="n"/>
    </row>
    <row r="342" ht="18" customHeight="1">
      <c r="A342" s="39" t="n"/>
      <c r="B342" s="38" t="n"/>
      <c r="C342" s="38" t="n"/>
      <c r="D342" s="38" t="n"/>
      <c r="E342" s="40" t="n"/>
      <c r="F342" s="38" t="n"/>
      <c r="G342" s="38" t="n"/>
      <c r="H342" s="38" t="n"/>
      <c r="I342" s="38" t="n"/>
    </row>
    <row r="343" ht="18" customHeight="1">
      <c r="A343" s="39" t="n"/>
      <c r="B343" s="38" t="n"/>
      <c r="C343" s="38" t="n"/>
      <c r="D343" s="38" t="n"/>
      <c r="E343" s="40" t="n"/>
      <c r="F343" s="38" t="n"/>
      <c r="G343" s="38" t="n"/>
      <c r="H343" s="38" t="n"/>
      <c r="I343" s="38" t="n"/>
    </row>
    <row r="344" ht="18" customHeight="1">
      <c r="A344" s="39" t="n"/>
      <c r="B344" s="38" t="n"/>
      <c r="C344" s="38" t="n"/>
      <c r="D344" s="38" t="n"/>
      <c r="E344" s="40" t="n"/>
      <c r="F344" s="38" t="n"/>
      <c r="G344" s="38" t="n"/>
      <c r="H344" s="38" t="n"/>
      <c r="I344" s="38" t="n"/>
    </row>
    <row r="345" ht="18" customHeight="1">
      <c r="A345" s="39" t="n"/>
      <c r="B345" s="38" t="n"/>
      <c r="C345" s="38" t="n"/>
      <c r="D345" s="38" t="n"/>
      <c r="E345" s="40" t="n"/>
      <c r="F345" s="38" t="n"/>
      <c r="G345" s="38" t="n"/>
      <c r="H345" s="38" t="n"/>
      <c r="I345" s="38" t="n"/>
    </row>
    <row r="346" ht="18" customHeight="1">
      <c r="A346" s="39" t="n"/>
      <c r="B346" s="38" t="n"/>
      <c r="C346" s="38" t="n"/>
      <c r="D346" s="38" t="n"/>
      <c r="E346" s="40" t="n"/>
      <c r="F346" s="38" t="n"/>
      <c r="G346" s="38" t="n"/>
      <c r="H346" s="38" t="n"/>
      <c r="I346" s="38" t="n"/>
    </row>
    <row r="347" ht="18" customHeight="1">
      <c r="A347" s="39" t="n"/>
      <c r="B347" s="38" t="n"/>
      <c r="C347" s="38" t="n"/>
      <c r="D347" s="38" t="n"/>
      <c r="E347" s="40" t="n"/>
      <c r="F347" s="38" t="n"/>
      <c r="G347" s="38" t="n"/>
      <c r="H347" s="38" t="n"/>
      <c r="I347" s="38" t="n"/>
    </row>
    <row r="348" ht="18" customHeight="1">
      <c r="A348" s="39" t="n"/>
      <c r="B348" s="38" t="n"/>
      <c r="C348" s="38" t="n"/>
      <c r="D348" s="38" t="n"/>
      <c r="E348" s="40" t="n"/>
      <c r="F348" s="38" t="n"/>
      <c r="G348" s="38" t="n"/>
      <c r="H348" s="38" t="n"/>
      <c r="I348" s="38" t="n"/>
    </row>
    <row r="349" ht="18" customHeight="1">
      <c r="A349" s="39" t="n"/>
      <c r="B349" s="38" t="n"/>
      <c r="C349" s="38" t="n"/>
      <c r="D349" s="38" t="n"/>
      <c r="E349" s="40" t="n"/>
      <c r="F349" s="38" t="n"/>
      <c r="G349" s="38" t="n"/>
      <c r="H349" s="38" t="n"/>
      <c r="I349" s="38" t="n"/>
    </row>
    <row r="350" ht="18" customHeight="1">
      <c r="A350" s="39" t="n"/>
      <c r="B350" s="38" t="n"/>
      <c r="C350" s="38" t="n"/>
      <c r="D350" s="38" t="n"/>
      <c r="E350" s="40" t="n"/>
      <c r="F350" s="38" t="n"/>
      <c r="G350" s="38" t="n"/>
      <c r="H350" s="38" t="n"/>
      <c r="I350" s="38" t="n"/>
    </row>
    <row r="351" ht="18" customHeight="1">
      <c r="A351" s="39" t="n"/>
      <c r="B351" s="38" t="n"/>
      <c r="C351" s="38" t="n"/>
      <c r="D351" s="38" t="n"/>
      <c r="E351" s="40" t="n"/>
      <c r="F351" s="38" t="n"/>
      <c r="G351" s="38" t="n"/>
      <c r="H351" s="38" t="n"/>
      <c r="I351" s="38" t="n"/>
    </row>
    <row r="352" ht="18" customHeight="1">
      <c r="A352" s="39" t="n"/>
      <c r="B352" s="38" t="n"/>
      <c r="C352" s="38" t="n"/>
      <c r="D352" s="38" t="n"/>
      <c r="E352" s="40" t="n"/>
      <c r="F352" s="38" t="n"/>
      <c r="G352" s="38" t="n"/>
      <c r="H352" s="38" t="n"/>
      <c r="I352" s="38" t="n"/>
    </row>
    <row r="353" ht="18" customHeight="1">
      <c r="A353" s="39" t="n"/>
      <c r="B353" s="38" t="n"/>
      <c r="C353" s="38" t="n"/>
      <c r="D353" s="38" t="n"/>
      <c r="E353" s="40" t="n"/>
      <c r="F353" s="38" t="n"/>
      <c r="G353" s="38" t="n"/>
      <c r="H353" s="38" t="n"/>
      <c r="I353" s="38" t="n"/>
    </row>
    <row r="354" ht="18" customHeight="1">
      <c r="A354" s="39" t="n"/>
      <c r="B354" s="38" t="n"/>
      <c r="C354" s="38" t="n"/>
      <c r="D354" s="38" t="n"/>
      <c r="E354" s="40" t="n"/>
      <c r="F354" s="38" t="n"/>
      <c r="G354" s="38" t="n"/>
      <c r="H354" s="38" t="n"/>
      <c r="I354" s="38" t="n"/>
    </row>
    <row r="355" ht="18" customHeight="1">
      <c r="A355" s="39" t="n"/>
      <c r="B355" s="38" t="n"/>
      <c r="C355" s="38" t="n"/>
      <c r="D355" s="38" t="n"/>
      <c r="E355" s="40" t="n"/>
      <c r="F355" s="38" t="n"/>
      <c r="G355" s="38" t="n"/>
      <c r="H355" s="38" t="n"/>
      <c r="I355" s="38" t="n"/>
    </row>
    <row r="356" ht="18" customHeight="1">
      <c r="A356" s="39" t="n"/>
      <c r="B356" s="38" t="n"/>
      <c r="C356" s="38" t="n"/>
      <c r="D356" s="38" t="n"/>
      <c r="E356" s="40" t="n"/>
      <c r="F356" s="38" t="n"/>
      <c r="G356" s="38" t="n"/>
      <c r="H356" s="38" t="n"/>
      <c r="I356" s="38" t="n"/>
    </row>
    <row r="357" ht="18" customHeight="1">
      <c r="A357" s="39" t="n"/>
      <c r="B357" s="38" t="n"/>
      <c r="C357" s="38" t="n"/>
      <c r="D357" s="38" t="n"/>
      <c r="E357" s="40" t="n"/>
      <c r="F357" s="38" t="n"/>
      <c r="G357" s="38" t="n"/>
      <c r="H357" s="38" t="n"/>
      <c r="I357" s="38" t="n"/>
    </row>
    <row r="358" ht="18" customHeight="1">
      <c r="A358" s="39" t="n"/>
      <c r="B358" s="38" t="n"/>
      <c r="C358" s="38" t="n"/>
      <c r="D358" s="38" t="n"/>
      <c r="E358" s="40" t="n"/>
      <c r="F358" s="38" t="n"/>
      <c r="G358" s="38" t="n"/>
      <c r="H358" s="38" t="n"/>
      <c r="I358" s="38" t="n"/>
    </row>
    <row r="359" ht="18" customHeight="1">
      <c r="A359" s="39" t="n"/>
      <c r="B359" s="38" t="n"/>
      <c r="C359" s="38" t="n"/>
      <c r="D359" s="38" t="n"/>
      <c r="E359" s="40" t="n"/>
      <c r="F359" s="38" t="n"/>
      <c r="G359" s="38" t="n"/>
      <c r="H359" s="38" t="n"/>
      <c r="I359" s="38" t="n"/>
    </row>
    <row r="360" ht="18" customHeight="1">
      <c r="A360" s="39" t="n"/>
      <c r="B360" s="38" t="n"/>
      <c r="C360" s="38" t="n"/>
      <c r="D360" s="38" t="n"/>
      <c r="E360" s="40" t="n"/>
      <c r="F360" s="38" t="n"/>
      <c r="G360" s="38" t="n"/>
      <c r="H360" s="38" t="n"/>
      <c r="I360" s="38" t="n"/>
    </row>
    <row r="361" ht="18" customHeight="1">
      <c r="A361" s="39" t="n"/>
      <c r="B361" s="38" t="n"/>
      <c r="C361" s="38" t="n"/>
      <c r="D361" s="38" t="n"/>
      <c r="E361" s="40" t="n"/>
      <c r="F361" s="38" t="n"/>
      <c r="G361" s="38" t="n"/>
      <c r="H361" s="38" t="n"/>
      <c r="I361" s="38" t="n"/>
    </row>
    <row r="362" ht="18" customHeight="1">
      <c r="A362" s="39" t="n"/>
      <c r="B362" s="38" t="n"/>
      <c r="C362" s="38" t="n"/>
      <c r="D362" s="38" t="n"/>
      <c r="E362" s="40" t="n"/>
      <c r="F362" s="38" t="n"/>
      <c r="G362" s="38" t="n"/>
      <c r="H362" s="38" t="n"/>
      <c r="I362" s="38" t="n"/>
    </row>
    <row r="363" ht="18" customHeight="1">
      <c r="A363" s="39" t="n"/>
      <c r="B363" s="38" t="n"/>
      <c r="C363" s="38" t="n"/>
      <c r="D363" s="38" t="n"/>
      <c r="E363" s="40" t="n"/>
      <c r="F363" s="38" t="n"/>
      <c r="G363" s="38" t="n"/>
      <c r="H363" s="38" t="n"/>
      <c r="I363" s="38" t="n"/>
    </row>
    <row r="364" ht="18" customHeight="1">
      <c r="A364" s="39" t="n"/>
      <c r="B364" s="38" t="n"/>
      <c r="C364" s="38" t="n"/>
      <c r="D364" s="38" t="n"/>
      <c r="E364" s="40" t="n"/>
      <c r="F364" s="38" t="n"/>
      <c r="G364" s="38" t="n"/>
      <c r="H364" s="38" t="n"/>
      <c r="I364" s="38" t="n"/>
    </row>
    <row r="365" ht="18" customHeight="1">
      <c r="A365" s="39" t="n"/>
      <c r="B365" s="38" t="n"/>
      <c r="C365" s="38" t="n"/>
      <c r="D365" s="38" t="n"/>
      <c r="E365" s="40" t="n"/>
      <c r="F365" s="38" t="n"/>
      <c r="G365" s="38" t="n"/>
      <c r="H365" s="38" t="n"/>
      <c r="I365" s="38" t="n"/>
    </row>
    <row r="366" ht="18" customHeight="1">
      <c r="A366" s="39" t="n"/>
      <c r="B366" s="38" t="n"/>
      <c r="C366" s="38" t="n"/>
      <c r="D366" s="38" t="n"/>
      <c r="E366" s="40" t="n"/>
      <c r="F366" s="38" t="n"/>
      <c r="G366" s="38" t="n"/>
      <c r="H366" s="38" t="n"/>
      <c r="I366" s="38" t="n"/>
    </row>
    <row r="367" ht="18" customHeight="1">
      <c r="A367" s="39" t="n"/>
      <c r="B367" s="38" t="n"/>
      <c r="C367" s="38" t="n"/>
      <c r="D367" s="38" t="n"/>
      <c r="E367" s="40" t="n"/>
      <c r="F367" s="38" t="n"/>
      <c r="G367" s="38" t="n"/>
      <c r="H367" s="38" t="n"/>
      <c r="I367" s="38" t="n"/>
    </row>
    <row r="368" ht="18" customHeight="1">
      <c r="A368" s="39" t="n"/>
      <c r="B368" s="38" t="n"/>
      <c r="C368" s="38" t="n"/>
      <c r="D368" s="38" t="n"/>
      <c r="E368" s="40" t="n"/>
      <c r="F368" s="38" t="n"/>
      <c r="G368" s="38" t="n"/>
      <c r="H368" s="38" t="n"/>
      <c r="I368" s="38" t="n"/>
    </row>
    <row r="369" ht="18" customHeight="1">
      <c r="A369" s="39" t="n"/>
      <c r="B369" s="38" t="n"/>
      <c r="C369" s="38" t="n"/>
      <c r="D369" s="38" t="n"/>
      <c r="E369" s="40" t="n"/>
      <c r="F369" s="38" t="n"/>
      <c r="G369" s="38" t="n"/>
      <c r="H369" s="38" t="n"/>
      <c r="I369" s="38" t="n"/>
    </row>
    <row r="370" ht="18" customHeight="1">
      <c r="A370" s="39" t="n"/>
      <c r="B370" s="38" t="n"/>
      <c r="C370" s="38" t="n"/>
      <c r="D370" s="38" t="n"/>
      <c r="E370" s="40" t="n"/>
      <c r="F370" s="38" t="n"/>
      <c r="G370" s="38" t="n"/>
      <c r="H370" s="38" t="n"/>
      <c r="I370" s="38" t="n"/>
    </row>
    <row r="371" ht="18" customHeight="1">
      <c r="A371" s="39" t="n"/>
      <c r="B371" s="38" t="n"/>
      <c r="C371" s="38" t="n"/>
      <c r="D371" s="38" t="n"/>
      <c r="E371" s="40" t="n"/>
      <c r="F371" s="38" t="n"/>
      <c r="G371" s="38" t="n"/>
      <c r="H371" s="38" t="n"/>
      <c r="I371" s="38" t="n"/>
    </row>
    <row r="372" ht="18" customHeight="1">
      <c r="A372" s="39" t="n"/>
      <c r="B372" s="38" t="n"/>
      <c r="C372" s="38" t="n"/>
      <c r="D372" s="38" t="n"/>
      <c r="E372" s="40" t="n"/>
      <c r="F372" s="38" t="n"/>
      <c r="G372" s="38" t="n"/>
      <c r="H372" s="38" t="n"/>
      <c r="I372" s="38" t="n"/>
    </row>
    <row r="373" ht="18" customHeight="1">
      <c r="A373" s="39" t="n"/>
      <c r="B373" s="38" t="n"/>
      <c r="C373" s="38" t="n"/>
      <c r="D373" s="38" t="n"/>
      <c r="E373" s="40" t="n"/>
      <c r="F373" s="38" t="n"/>
      <c r="G373" s="38" t="n"/>
      <c r="H373" s="38" t="n"/>
      <c r="I373" s="38" t="n"/>
    </row>
    <row r="374" ht="18" customHeight="1">
      <c r="A374" s="39" t="n"/>
      <c r="B374" s="38" t="n"/>
      <c r="C374" s="38" t="n"/>
      <c r="D374" s="38" t="n"/>
      <c r="E374" s="40" t="n"/>
      <c r="F374" s="38" t="n"/>
      <c r="G374" s="38" t="n"/>
      <c r="H374" s="38" t="n"/>
      <c r="I374" s="38" t="n"/>
    </row>
    <row r="375" ht="18" customHeight="1">
      <c r="A375" s="39" t="n"/>
      <c r="B375" s="38" t="n"/>
      <c r="C375" s="38" t="n"/>
      <c r="D375" s="38" t="n"/>
      <c r="E375" s="40" t="n"/>
      <c r="F375" s="38" t="n"/>
      <c r="G375" s="38" t="n"/>
      <c r="H375" s="38" t="n"/>
      <c r="I375" s="38" t="n"/>
    </row>
    <row r="376" ht="18" customHeight="1">
      <c r="A376" s="39" t="n"/>
      <c r="B376" s="38" t="n"/>
      <c r="C376" s="38" t="n"/>
      <c r="D376" s="38" t="n"/>
      <c r="E376" s="40" t="n"/>
      <c r="F376" s="38" t="n"/>
      <c r="G376" s="38" t="n"/>
      <c r="H376" s="38" t="n"/>
      <c r="I376" s="38" t="n"/>
    </row>
    <row r="377" ht="18" customHeight="1">
      <c r="A377" s="39" t="n"/>
      <c r="B377" s="38" t="n"/>
      <c r="C377" s="38" t="n"/>
      <c r="D377" s="38" t="n"/>
      <c r="E377" s="40" t="n"/>
      <c r="F377" s="38" t="n"/>
      <c r="G377" s="38" t="n"/>
      <c r="H377" s="38" t="n"/>
      <c r="I377" s="38" t="n"/>
    </row>
    <row r="378" ht="18" customHeight="1">
      <c r="A378" s="39" t="n"/>
      <c r="B378" s="38" t="n"/>
      <c r="C378" s="38" t="n"/>
      <c r="D378" s="38" t="n"/>
      <c r="E378" s="40" t="n"/>
      <c r="F378" s="38" t="n"/>
      <c r="G378" s="38" t="n"/>
      <c r="H378" s="38" t="n"/>
      <c r="I378" s="38" t="n"/>
    </row>
    <row r="379" ht="18" customHeight="1">
      <c r="A379" s="39" t="n"/>
      <c r="B379" s="38" t="n"/>
      <c r="C379" s="38" t="n"/>
      <c r="D379" s="38" t="n"/>
      <c r="E379" s="40" t="n"/>
      <c r="F379" s="38" t="n"/>
      <c r="G379" s="38" t="n"/>
      <c r="H379" s="38" t="n"/>
      <c r="I379" s="38" t="n"/>
    </row>
    <row r="380" ht="18" customHeight="1">
      <c r="A380" s="39" t="n"/>
      <c r="B380" s="38" t="n"/>
      <c r="C380" s="38" t="n"/>
      <c r="D380" s="38" t="n"/>
      <c r="E380" s="40" t="n"/>
      <c r="F380" s="38" t="n"/>
      <c r="G380" s="38" t="n"/>
      <c r="H380" s="38" t="n"/>
      <c r="I380" s="38" t="n"/>
    </row>
    <row r="381" ht="18" customHeight="1">
      <c r="A381" s="39" t="n"/>
      <c r="B381" s="38" t="n"/>
      <c r="C381" s="38" t="n"/>
      <c r="D381" s="38" t="n"/>
      <c r="E381" s="40" t="n"/>
      <c r="F381" s="38" t="n"/>
      <c r="G381" s="38" t="n"/>
      <c r="H381" s="38" t="n"/>
      <c r="I381" s="38" t="n"/>
    </row>
    <row r="382" ht="18" customHeight="1">
      <c r="A382" s="39" t="n"/>
      <c r="B382" s="38" t="n"/>
      <c r="C382" s="38" t="n"/>
      <c r="D382" s="38" t="n"/>
      <c r="E382" s="40" t="n"/>
      <c r="F382" s="38" t="n"/>
      <c r="G382" s="38" t="n"/>
      <c r="H382" s="38" t="n"/>
      <c r="I382" s="38" t="n"/>
    </row>
    <row r="383" ht="18" customHeight="1">
      <c r="A383" s="39" t="n"/>
      <c r="B383" s="38" t="n"/>
      <c r="C383" s="38" t="n"/>
      <c r="D383" s="38" t="n"/>
      <c r="E383" s="40" t="n"/>
      <c r="F383" s="38" t="n"/>
      <c r="G383" s="38" t="n"/>
      <c r="H383" s="38" t="n"/>
      <c r="I383" s="38" t="n"/>
    </row>
    <row r="384" ht="18" customHeight="1">
      <c r="A384" s="39" t="n"/>
      <c r="B384" s="38" t="n"/>
      <c r="C384" s="38" t="n"/>
      <c r="D384" s="38" t="n"/>
      <c r="E384" s="40" t="n"/>
      <c r="F384" s="38" t="n"/>
      <c r="G384" s="38" t="n"/>
      <c r="H384" s="38" t="n"/>
      <c r="I384" s="38" t="n"/>
    </row>
    <row r="385" ht="18" customHeight="1">
      <c r="A385" s="39" t="n"/>
      <c r="B385" s="38" t="n"/>
      <c r="C385" s="38" t="n"/>
      <c r="D385" s="38" t="n"/>
      <c r="E385" s="40" t="n"/>
      <c r="F385" s="38" t="n"/>
      <c r="G385" s="38" t="n"/>
      <c r="H385" s="38" t="n"/>
      <c r="I385" s="38" t="n"/>
    </row>
    <row r="386" ht="18" customHeight="1">
      <c r="A386" s="39" t="n"/>
      <c r="B386" s="38" t="n"/>
      <c r="C386" s="38" t="n"/>
      <c r="D386" s="38" t="n"/>
      <c r="E386" s="40" t="n"/>
      <c r="F386" s="38" t="n"/>
      <c r="G386" s="38" t="n"/>
      <c r="H386" s="38" t="n"/>
      <c r="I386" s="38" t="n"/>
    </row>
    <row r="387" ht="18" customHeight="1">
      <c r="A387" s="39" t="n"/>
      <c r="B387" s="38" t="n"/>
      <c r="C387" s="38" t="n"/>
      <c r="D387" s="38" t="n"/>
      <c r="E387" s="40" t="n"/>
      <c r="F387" s="38" t="n"/>
      <c r="G387" s="38" t="n"/>
      <c r="H387" s="38" t="n"/>
      <c r="I387" s="38" t="n"/>
    </row>
    <row r="388" ht="18" customHeight="1">
      <c r="A388" s="39" t="n"/>
      <c r="B388" s="38" t="n"/>
      <c r="C388" s="38" t="n"/>
      <c r="D388" s="38" t="n"/>
      <c r="E388" s="40" t="n"/>
      <c r="F388" s="38" t="n"/>
      <c r="G388" s="38" t="n"/>
      <c r="H388" s="38" t="n"/>
      <c r="I388" s="38" t="n"/>
    </row>
    <row r="389" ht="18" customHeight="1">
      <c r="A389" s="39" t="n"/>
      <c r="B389" s="38" t="n"/>
      <c r="C389" s="38" t="n"/>
      <c r="D389" s="38" t="n"/>
      <c r="E389" s="40" t="n"/>
      <c r="F389" s="38" t="n"/>
      <c r="G389" s="38" t="n"/>
      <c r="H389" s="38" t="n"/>
      <c r="I389" s="38" t="n"/>
    </row>
    <row r="390" ht="18" customHeight="1">
      <c r="A390" s="39" t="n"/>
      <c r="B390" s="38" t="n"/>
      <c r="C390" s="38" t="n"/>
      <c r="D390" s="38" t="n"/>
      <c r="E390" s="40" t="n"/>
      <c r="F390" s="38" t="n"/>
      <c r="G390" s="38" t="n"/>
      <c r="H390" s="38" t="n"/>
      <c r="I390" s="38" t="n"/>
    </row>
    <row r="391" ht="18" customHeight="1">
      <c r="A391" s="39" t="n"/>
      <c r="B391" s="38" t="n"/>
      <c r="C391" s="38" t="n"/>
      <c r="D391" s="38" t="n"/>
      <c r="E391" s="40" t="n"/>
      <c r="F391" s="38" t="n"/>
      <c r="G391" s="38" t="n"/>
      <c r="H391" s="38" t="n"/>
      <c r="I391" s="38" t="n"/>
    </row>
    <row r="392" ht="18" customHeight="1">
      <c r="A392" s="39" t="n"/>
      <c r="B392" s="38" t="n"/>
      <c r="C392" s="38" t="n"/>
      <c r="D392" s="38" t="n"/>
      <c r="E392" s="40" t="n"/>
      <c r="F392" s="38" t="n"/>
      <c r="G392" s="38" t="n"/>
      <c r="H392" s="38" t="n"/>
      <c r="I392" s="38" t="n"/>
    </row>
    <row r="393" ht="18" customHeight="1">
      <c r="A393" s="39" t="n"/>
      <c r="B393" s="38" t="n"/>
      <c r="C393" s="38" t="n"/>
      <c r="D393" s="38" t="n"/>
      <c r="E393" s="40" t="n"/>
      <c r="F393" s="38" t="n"/>
      <c r="G393" s="38" t="n"/>
      <c r="H393" s="38" t="n"/>
      <c r="I393" s="38" t="n"/>
    </row>
    <row r="394" ht="18" customHeight="1">
      <c r="A394" s="39" t="n"/>
      <c r="B394" s="38" t="n"/>
      <c r="C394" s="38" t="n"/>
      <c r="D394" s="38" t="n"/>
      <c r="E394" s="40" t="n"/>
      <c r="F394" s="38" t="n"/>
      <c r="G394" s="38" t="n"/>
      <c r="H394" s="38" t="n"/>
      <c r="I394" s="38" t="n"/>
    </row>
    <row r="395" ht="18" customHeight="1">
      <c r="A395" s="39" t="n"/>
      <c r="B395" s="38" t="n"/>
      <c r="C395" s="38" t="n"/>
      <c r="D395" s="38" t="n"/>
      <c r="E395" s="40" t="n"/>
      <c r="F395" s="38" t="n"/>
      <c r="G395" s="38" t="n"/>
      <c r="H395" s="38" t="n"/>
      <c r="I395" s="38" t="n"/>
    </row>
    <row r="396" ht="18" customHeight="1">
      <c r="A396" s="39" t="n"/>
      <c r="B396" s="38" t="n"/>
      <c r="C396" s="38" t="n"/>
      <c r="D396" s="38" t="n"/>
      <c r="E396" s="40" t="n"/>
      <c r="F396" s="38" t="n"/>
      <c r="G396" s="38" t="n"/>
      <c r="H396" s="38" t="n"/>
      <c r="I396" s="38" t="n"/>
    </row>
    <row r="397" ht="18" customHeight="1">
      <c r="A397" s="39" t="n"/>
      <c r="B397" s="38" t="n"/>
      <c r="C397" s="38" t="n"/>
      <c r="D397" s="38" t="n"/>
      <c r="E397" s="40" t="n"/>
      <c r="F397" s="38" t="n"/>
      <c r="G397" s="38" t="n"/>
      <c r="H397" s="38" t="n"/>
      <c r="I397" s="38" t="n"/>
    </row>
    <row r="398" ht="18" customHeight="1">
      <c r="A398" s="39" t="n"/>
      <c r="B398" s="38" t="n"/>
      <c r="C398" s="38" t="n"/>
      <c r="D398" s="38" t="n"/>
      <c r="E398" s="40" t="n"/>
      <c r="F398" s="38" t="n"/>
      <c r="G398" s="38" t="n"/>
      <c r="H398" s="38" t="n"/>
      <c r="I398" s="38" t="n"/>
    </row>
    <row r="399" ht="18" customHeight="1">
      <c r="A399" s="39" t="n"/>
      <c r="B399" s="38" t="n"/>
      <c r="C399" s="38" t="n"/>
      <c r="D399" s="38" t="n"/>
      <c r="E399" s="40" t="n"/>
      <c r="F399" s="38" t="n"/>
      <c r="G399" s="38" t="n"/>
      <c r="H399" s="38" t="n"/>
      <c r="I399" s="38" t="n"/>
    </row>
    <row r="400" ht="18" customHeight="1">
      <c r="A400" s="39" t="n"/>
      <c r="B400" s="38" t="n"/>
      <c r="C400" s="38" t="n"/>
      <c r="D400" s="38" t="n"/>
      <c r="E400" s="40" t="n"/>
      <c r="F400" s="38" t="n"/>
      <c r="G400" s="38" t="n"/>
      <c r="H400" s="38" t="n"/>
      <c r="I400" s="38" t="n"/>
    </row>
    <row r="401" ht="18" customHeight="1">
      <c r="A401" s="39" t="n"/>
      <c r="B401" s="38" t="n"/>
      <c r="C401" s="38" t="n"/>
      <c r="D401" s="38" t="n"/>
      <c r="E401" s="40" t="n"/>
      <c r="F401" s="38" t="n"/>
      <c r="G401" s="38" t="n"/>
      <c r="H401" s="38" t="n"/>
      <c r="I401" s="38" t="n"/>
    </row>
    <row r="402" ht="18" customHeight="1">
      <c r="A402" s="39" t="n"/>
      <c r="B402" s="38" t="n"/>
      <c r="C402" s="38" t="n"/>
      <c r="D402" s="38" t="n"/>
      <c r="E402" s="40" t="n"/>
      <c r="F402" s="38" t="n"/>
      <c r="G402" s="38" t="n"/>
      <c r="H402" s="38" t="n"/>
      <c r="I402" s="38" t="n"/>
    </row>
    <row r="403" ht="18" customHeight="1">
      <c r="A403" s="39" t="n"/>
      <c r="B403" s="38" t="n"/>
      <c r="C403" s="38" t="n"/>
      <c r="D403" s="38" t="n"/>
      <c r="E403" s="40" t="n"/>
      <c r="F403" s="38" t="n"/>
      <c r="G403" s="38" t="n"/>
      <c r="H403" s="38" t="n"/>
      <c r="I403" s="38" t="n"/>
    </row>
    <row r="404" ht="18" customHeight="1">
      <c r="A404" s="39" t="n"/>
      <c r="B404" s="38" t="n"/>
      <c r="C404" s="38" t="n"/>
      <c r="D404" s="38" t="n"/>
      <c r="E404" s="40" t="n"/>
      <c r="F404" s="38" t="n"/>
      <c r="G404" s="38" t="n"/>
      <c r="H404" s="38" t="n"/>
      <c r="I404" s="38" t="n"/>
    </row>
    <row r="405" ht="18" customHeight="1">
      <c r="A405" s="39" t="n"/>
      <c r="B405" s="38" t="n"/>
      <c r="C405" s="38" t="n"/>
      <c r="D405" s="38" t="n"/>
      <c r="E405" s="40" t="n"/>
      <c r="F405" s="38" t="n"/>
      <c r="G405" s="38" t="n"/>
      <c r="H405" s="38" t="n"/>
      <c r="I405" s="38" t="n"/>
    </row>
    <row r="406" ht="18" customHeight="1">
      <c r="A406" s="39" t="n"/>
      <c r="B406" s="38" t="n"/>
      <c r="C406" s="38" t="n"/>
      <c r="D406" s="38" t="n"/>
      <c r="E406" s="40" t="n"/>
      <c r="F406" s="38" t="n"/>
      <c r="G406" s="38" t="n"/>
      <c r="H406" s="38" t="n"/>
      <c r="I406" s="38" t="n"/>
    </row>
    <row r="407" ht="18" customHeight="1">
      <c r="A407" s="39" t="n"/>
      <c r="B407" s="38" t="n"/>
      <c r="C407" s="38" t="n"/>
      <c r="D407" s="38" t="n"/>
      <c r="E407" s="40" t="n"/>
      <c r="F407" s="38" t="n"/>
      <c r="G407" s="38" t="n"/>
      <c r="H407" s="38" t="n"/>
      <c r="I407" s="38" t="n"/>
    </row>
    <row r="408" ht="18" customHeight="1">
      <c r="A408" s="39" t="n"/>
      <c r="B408" s="38" t="n"/>
      <c r="C408" s="38" t="n"/>
      <c r="D408" s="38" t="n"/>
      <c r="E408" s="40" t="n"/>
      <c r="F408" s="38" t="n"/>
      <c r="G408" s="38" t="n"/>
      <c r="H408" s="38" t="n"/>
      <c r="I408" s="38" t="n"/>
    </row>
    <row r="409" ht="18" customHeight="1">
      <c r="A409" s="39" t="n"/>
      <c r="B409" s="38" t="n"/>
      <c r="C409" s="38" t="n"/>
      <c r="D409" s="38" t="n"/>
      <c r="E409" s="40" t="n"/>
      <c r="F409" s="38" t="n"/>
      <c r="G409" s="38" t="n"/>
      <c r="H409" s="38" t="n"/>
      <c r="I409" s="38" t="n"/>
    </row>
    <row r="410" ht="18" customHeight="1">
      <c r="A410" s="39" t="n"/>
      <c r="B410" s="38" t="n"/>
      <c r="C410" s="38" t="n"/>
      <c r="D410" s="38" t="n"/>
      <c r="E410" s="40" t="n"/>
      <c r="F410" s="38" t="n"/>
      <c r="G410" s="38" t="n"/>
      <c r="H410" s="38" t="n"/>
      <c r="I410" s="38" t="n"/>
    </row>
    <row r="411" ht="18" customHeight="1">
      <c r="A411" s="39" t="n"/>
      <c r="B411" s="38" t="n"/>
      <c r="C411" s="38" t="n"/>
      <c r="D411" s="38" t="n"/>
      <c r="E411" s="40" t="n"/>
      <c r="F411" s="38" t="n"/>
      <c r="G411" s="38" t="n"/>
      <c r="H411" s="38" t="n"/>
      <c r="I411" s="38" t="n"/>
    </row>
    <row r="412" ht="18" customHeight="1">
      <c r="A412" s="39" t="n"/>
      <c r="B412" s="38" t="n"/>
      <c r="C412" s="38" t="n"/>
      <c r="D412" s="38" t="n"/>
      <c r="E412" s="40" t="n"/>
      <c r="F412" s="38" t="n"/>
      <c r="G412" s="38" t="n"/>
      <c r="H412" s="38" t="n"/>
      <c r="I412" s="38" t="n"/>
    </row>
    <row r="413" ht="18" customHeight="1">
      <c r="A413" s="39" t="n"/>
      <c r="B413" s="38" t="n"/>
      <c r="C413" s="38" t="n"/>
      <c r="D413" s="38" t="n"/>
      <c r="E413" s="40" t="n"/>
      <c r="F413" s="38" t="n"/>
      <c r="G413" s="38" t="n"/>
      <c r="H413" s="38" t="n"/>
      <c r="I413" s="38" t="n"/>
    </row>
    <row r="414" ht="18" customHeight="1">
      <c r="A414" s="39" t="n"/>
      <c r="B414" s="38" t="n"/>
      <c r="C414" s="38" t="n"/>
      <c r="D414" s="38" t="n"/>
      <c r="E414" s="40" t="n"/>
      <c r="F414" s="38" t="n"/>
      <c r="G414" s="38" t="n"/>
      <c r="H414" s="38" t="n"/>
      <c r="I414" s="38" t="n"/>
    </row>
    <row r="415" ht="18" customHeight="1">
      <c r="A415" s="39" t="n"/>
      <c r="B415" s="38" t="n"/>
      <c r="C415" s="38" t="n"/>
      <c r="D415" s="38" t="n"/>
      <c r="E415" s="40" t="n"/>
      <c r="F415" s="38" t="n"/>
      <c r="G415" s="38" t="n"/>
      <c r="H415" s="38" t="n"/>
      <c r="I415" s="38" t="n"/>
    </row>
    <row r="416" ht="18" customHeight="1">
      <c r="A416" s="39" t="n"/>
      <c r="B416" s="38" t="n"/>
      <c r="C416" s="38" t="n"/>
      <c r="D416" s="38" t="n"/>
      <c r="E416" s="40" t="n"/>
      <c r="F416" s="38" t="n"/>
      <c r="G416" s="38" t="n"/>
      <c r="H416" s="38" t="n"/>
      <c r="I416" s="38" t="n"/>
    </row>
    <row r="417" ht="18" customHeight="1">
      <c r="A417" s="39" t="n"/>
      <c r="B417" s="38" t="n"/>
      <c r="C417" s="38" t="n"/>
      <c r="D417" s="38" t="n"/>
      <c r="E417" s="40" t="n"/>
      <c r="F417" s="38" t="n"/>
      <c r="G417" s="38" t="n"/>
      <c r="H417" s="38" t="n"/>
      <c r="I417" s="38" t="n"/>
    </row>
    <row r="418" ht="18" customHeight="1">
      <c r="A418" s="39" t="n"/>
      <c r="B418" s="38" t="n"/>
      <c r="C418" s="38" t="n"/>
      <c r="D418" s="38" t="n"/>
      <c r="E418" s="40" t="n"/>
      <c r="F418" s="38" t="n"/>
      <c r="G418" s="38" t="n"/>
      <c r="H418" s="38" t="n"/>
      <c r="I418" s="38" t="n"/>
    </row>
    <row r="419" ht="18" customHeight="1">
      <c r="A419" s="39" t="n"/>
      <c r="B419" s="38" t="n"/>
      <c r="C419" s="38" t="n"/>
      <c r="D419" s="38" t="n"/>
      <c r="E419" s="40" t="n"/>
      <c r="F419" s="38" t="n"/>
      <c r="G419" s="38" t="n"/>
      <c r="H419" s="38" t="n"/>
      <c r="I419" s="38" t="n"/>
    </row>
    <row r="420" ht="18" customHeight="1">
      <c r="A420" s="39" t="n"/>
      <c r="B420" s="38" t="n"/>
      <c r="C420" s="38" t="n"/>
      <c r="D420" s="38" t="n"/>
      <c r="E420" s="40" t="n"/>
      <c r="F420" s="38" t="n"/>
      <c r="G420" s="38" t="n"/>
      <c r="H420" s="38" t="n"/>
      <c r="I420" s="38" t="n"/>
    </row>
    <row r="421" ht="18" customHeight="1">
      <c r="A421" s="39" t="n"/>
      <c r="B421" s="38" t="n"/>
      <c r="C421" s="38" t="n"/>
      <c r="D421" s="38" t="n"/>
      <c r="E421" s="40" t="n"/>
      <c r="F421" s="38" t="n"/>
      <c r="G421" s="38" t="n"/>
      <c r="H421" s="38" t="n"/>
      <c r="I421" s="38" t="n"/>
    </row>
    <row r="422" ht="18" customHeight="1">
      <c r="A422" s="39" t="n"/>
      <c r="B422" s="38" t="n"/>
      <c r="C422" s="38" t="n"/>
      <c r="D422" s="38" t="n"/>
      <c r="E422" s="40" t="n"/>
      <c r="F422" s="38" t="n"/>
      <c r="G422" s="38" t="n"/>
      <c r="H422" s="38" t="n"/>
      <c r="I422" s="38" t="n"/>
    </row>
    <row r="423" ht="18" customHeight="1">
      <c r="A423" s="39" t="n"/>
      <c r="B423" s="38" t="n"/>
      <c r="C423" s="38" t="n"/>
      <c r="D423" s="38" t="n"/>
      <c r="E423" s="40" t="n"/>
      <c r="F423" s="38" t="n"/>
      <c r="G423" s="38" t="n"/>
      <c r="H423" s="38" t="n"/>
      <c r="I423" s="38" t="n"/>
    </row>
    <row r="424" ht="18" customHeight="1">
      <c r="A424" s="39" t="n"/>
      <c r="B424" s="38" t="n"/>
      <c r="C424" s="38" t="n"/>
      <c r="D424" s="38" t="n"/>
      <c r="E424" s="40" t="n"/>
      <c r="F424" s="38" t="n"/>
      <c r="G424" s="38" t="n"/>
      <c r="H424" s="38" t="n"/>
      <c r="I424" s="38" t="n"/>
    </row>
    <row r="425" ht="18" customHeight="1">
      <c r="A425" s="39" t="n"/>
      <c r="B425" s="38" t="n"/>
      <c r="C425" s="38" t="n"/>
      <c r="D425" s="38" t="n"/>
      <c r="E425" s="40" t="n"/>
      <c r="F425" s="38" t="n"/>
      <c r="G425" s="38" t="n"/>
      <c r="H425" s="38" t="n"/>
      <c r="I425" s="38" t="n"/>
    </row>
    <row r="426" ht="18" customHeight="1">
      <c r="A426" s="39" t="n"/>
      <c r="B426" s="38" t="n"/>
      <c r="C426" s="38" t="n"/>
      <c r="D426" s="38" t="n"/>
      <c r="E426" s="40" t="n"/>
      <c r="F426" s="38" t="n"/>
      <c r="G426" s="38" t="n"/>
      <c r="H426" s="38" t="n"/>
      <c r="I426" s="38" t="n"/>
    </row>
    <row r="427" ht="18" customHeight="1">
      <c r="A427" s="39" t="n"/>
      <c r="B427" s="38" t="n"/>
      <c r="C427" s="38" t="n"/>
      <c r="D427" s="38" t="n"/>
      <c r="E427" s="40" t="n"/>
      <c r="F427" s="38" t="n"/>
      <c r="G427" s="38" t="n"/>
      <c r="H427" s="38" t="n"/>
      <c r="I427" s="38" t="n"/>
    </row>
    <row r="428" ht="18" customHeight="1">
      <c r="A428" s="39" t="n"/>
      <c r="B428" s="38" t="n"/>
      <c r="C428" s="38" t="n"/>
      <c r="D428" s="38" t="n"/>
      <c r="E428" s="40" t="n"/>
      <c r="F428" s="38" t="n"/>
      <c r="G428" s="38" t="n"/>
      <c r="H428" s="38" t="n"/>
      <c r="I428" s="38" t="n"/>
    </row>
    <row r="429" ht="18" customHeight="1">
      <c r="A429" s="39" t="n"/>
      <c r="B429" s="38" t="n"/>
      <c r="C429" s="38" t="n"/>
      <c r="D429" s="38" t="n"/>
      <c r="E429" s="40" t="n"/>
      <c r="F429" s="38" t="n"/>
      <c r="G429" s="38" t="n"/>
      <c r="H429" s="38" t="n"/>
      <c r="I429" s="38" t="n"/>
    </row>
    <row r="430" ht="18" customHeight="1">
      <c r="A430" s="39" t="n"/>
      <c r="B430" s="38" t="n"/>
      <c r="C430" s="38" t="n"/>
      <c r="D430" s="38" t="n"/>
      <c r="E430" s="40" t="n"/>
      <c r="F430" s="38" t="n"/>
      <c r="G430" s="38" t="n"/>
      <c r="H430" s="38" t="n"/>
      <c r="I430" s="38" t="n"/>
    </row>
    <row r="431" ht="18" customHeight="1">
      <c r="A431" s="39" t="n"/>
      <c r="B431" s="38" t="n"/>
      <c r="C431" s="38" t="n"/>
      <c r="D431" s="38" t="n"/>
      <c r="E431" s="40" t="n"/>
      <c r="F431" s="38" t="n"/>
      <c r="G431" s="38" t="n"/>
      <c r="H431" s="38" t="n"/>
      <c r="I431" s="38" t="n"/>
    </row>
    <row r="432" ht="18" customHeight="1">
      <c r="A432" s="39" t="n"/>
      <c r="B432" s="38" t="n"/>
      <c r="C432" s="38" t="n"/>
      <c r="D432" s="38" t="n"/>
      <c r="E432" s="40" t="n"/>
      <c r="F432" s="38" t="n"/>
      <c r="G432" s="38" t="n"/>
      <c r="H432" s="38" t="n"/>
      <c r="I432" s="38" t="n"/>
    </row>
    <row r="433" ht="18" customHeight="1">
      <c r="A433" s="39" t="n"/>
      <c r="B433" s="38" t="n"/>
      <c r="C433" s="38" t="n"/>
      <c r="D433" s="38" t="n"/>
      <c r="E433" s="40" t="n"/>
      <c r="F433" s="38" t="n"/>
      <c r="G433" s="38" t="n"/>
      <c r="H433" s="38" t="n"/>
      <c r="I433" s="38" t="n"/>
    </row>
    <row r="434" ht="18" customHeight="1">
      <c r="A434" s="39" t="n"/>
      <c r="B434" s="38" t="n"/>
      <c r="C434" s="38" t="n"/>
      <c r="D434" s="38" t="n"/>
      <c r="E434" s="40" t="n"/>
      <c r="F434" s="38" t="n"/>
      <c r="G434" s="38" t="n"/>
      <c r="H434" s="38" t="n"/>
      <c r="I434" s="38" t="n"/>
    </row>
    <row r="435" ht="18" customHeight="1">
      <c r="A435" s="39" t="n"/>
      <c r="B435" s="38" t="n"/>
      <c r="C435" s="38" t="n"/>
      <c r="D435" s="38" t="n"/>
      <c r="E435" s="40" t="n"/>
      <c r="F435" s="38" t="n"/>
      <c r="G435" s="38" t="n"/>
      <c r="H435" s="38" t="n"/>
      <c r="I435" s="38" t="n"/>
    </row>
    <row r="436" ht="18" customHeight="1">
      <c r="A436" s="39" t="n"/>
      <c r="B436" s="38" t="n"/>
      <c r="C436" s="38" t="n"/>
      <c r="D436" s="38" t="n"/>
      <c r="E436" s="40" t="n"/>
      <c r="F436" s="38" t="n"/>
      <c r="G436" s="38" t="n"/>
      <c r="H436" s="38" t="n"/>
      <c r="I436" s="38" t="n"/>
    </row>
    <row r="437" ht="18" customHeight="1">
      <c r="A437" s="39" t="n"/>
      <c r="B437" s="38" t="n"/>
      <c r="C437" s="38" t="n"/>
      <c r="D437" s="38" t="n"/>
      <c r="E437" s="40" t="n"/>
      <c r="F437" s="38" t="n"/>
      <c r="G437" s="38" t="n"/>
      <c r="H437" s="38" t="n"/>
      <c r="I437" s="38" t="n"/>
    </row>
    <row r="438" ht="18" customHeight="1">
      <c r="A438" s="39" t="n"/>
      <c r="B438" s="38" t="n"/>
      <c r="C438" s="38" t="n"/>
      <c r="D438" s="38" t="n"/>
      <c r="E438" s="40" t="n"/>
      <c r="F438" s="38" t="n"/>
      <c r="G438" s="38" t="n"/>
      <c r="H438" s="38" t="n"/>
      <c r="I438" s="38" t="n"/>
    </row>
    <row r="439" ht="18" customHeight="1">
      <c r="A439" s="39" t="n"/>
      <c r="B439" s="38" t="n"/>
      <c r="C439" s="38" t="n"/>
      <c r="D439" s="38" t="n"/>
      <c r="E439" s="40" t="n"/>
      <c r="F439" s="38" t="n"/>
      <c r="G439" s="38" t="n"/>
      <c r="H439" s="38" t="n"/>
      <c r="I439" s="38" t="n"/>
    </row>
    <row r="440" ht="18" customHeight="1">
      <c r="A440" s="39" t="n"/>
      <c r="B440" s="38" t="n"/>
      <c r="C440" s="38" t="n"/>
      <c r="D440" s="38" t="n"/>
      <c r="E440" s="40" t="n"/>
      <c r="F440" s="38" t="n"/>
      <c r="G440" s="38" t="n"/>
      <c r="H440" s="38" t="n"/>
      <c r="I440" s="38" t="n"/>
    </row>
    <row r="441" ht="18" customHeight="1">
      <c r="A441" s="39" t="n"/>
      <c r="B441" s="38" t="n"/>
      <c r="C441" s="38" t="n"/>
      <c r="D441" s="38" t="n"/>
      <c r="E441" s="40" t="n"/>
      <c r="F441" s="38" t="n"/>
      <c r="G441" s="38" t="n"/>
      <c r="H441" s="38" t="n"/>
      <c r="I441" s="38" t="n"/>
    </row>
    <row r="442" ht="18" customHeight="1">
      <c r="A442" s="39" t="n"/>
      <c r="B442" s="38" t="n"/>
      <c r="C442" s="38" t="n"/>
      <c r="D442" s="38" t="n"/>
      <c r="E442" s="40" t="n"/>
      <c r="F442" s="38" t="n"/>
      <c r="G442" s="38" t="n"/>
      <c r="H442" s="38" t="n"/>
      <c r="I442" s="38" t="n"/>
    </row>
    <row r="443" ht="18" customHeight="1">
      <c r="A443" s="39" t="n"/>
      <c r="B443" s="38" t="n"/>
      <c r="C443" s="38" t="n"/>
      <c r="D443" s="38" t="n"/>
      <c r="E443" s="40" t="n"/>
      <c r="F443" s="38" t="n"/>
      <c r="G443" s="38" t="n"/>
      <c r="H443" s="38" t="n"/>
      <c r="I443" s="38" t="n"/>
    </row>
    <row r="444" ht="18" customHeight="1">
      <c r="A444" s="39" t="n"/>
      <c r="B444" s="38" t="n"/>
      <c r="C444" s="38" t="n"/>
      <c r="D444" s="38" t="n"/>
      <c r="E444" s="40" t="n"/>
      <c r="F444" s="38" t="n"/>
      <c r="G444" s="38" t="n"/>
      <c r="H444" s="38" t="n"/>
      <c r="I444" s="38" t="n"/>
    </row>
    <row r="445" ht="18" customHeight="1">
      <c r="A445" s="39" t="n"/>
      <c r="B445" s="38" t="n"/>
      <c r="C445" s="38" t="n"/>
      <c r="D445" s="38" t="n"/>
      <c r="E445" s="40" t="n"/>
      <c r="F445" s="38" t="n"/>
      <c r="G445" s="38" t="n"/>
      <c r="H445" s="38" t="n"/>
      <c r="I445" s="38" t="n"/>
    </row>
    <row r="446" ht="18" customHeight="1">
      <c r="A446" s="39" t="n"/>
      <c r="B446" s="38" t="n"/>
      <c r="C446" s="38" t="n"/>
      <c r="D446" s="38" t="n"/>
      <c r="E446" s="40" t="n"/>
      <c r="F446" s="38" t="n"/>
      <c r="G446" s="38" t="n"/>
      <c r="H446" s="38" t="n"/>
      <c r="I446" s="38" t="n"/>
    </row>
    <row r="447" ht="18" customHeight="1">
      <c r="A447" s="39" t="n"/>
      <c r="B447" s="38" t="n"/>
      <c r="C447" s="38" t="n"/>
      <c r="D447" s="38" t="n"/>
      <c r="E447" s="40" t="n"/>
      <c r="F447" s="38" t="n"/>
      <c r="G447" s="38" t="n"/>
      <c r="H447" s="38" t="n"/>
      <c r="I447" s="38" t="n"/>
    </row>
    <row r="448" ht="18" customHeight="1">
      <c r="A448" s="39" t="n"/>
      <c r="B448" s="38" t="n"/>
      <c r="C448" s="38" t="n"/>
      <c r="D448" s="38" t="n"/>
      <c r="E448" s="40" t="n"/>
      <c r="F448" s="38" t="n"/>
      <c r="G448" s="38" t="n"/>
      <c r="H448" s="38" t="n"/>
      <c r="I448" s="38" t="n"/>
    </row>
    <row r="449" ht="18" customHeight="1">
      <c r="A449" s="39" t="n"/>
      <c r="B449" s="38" t="n"/>
      <c r="C449" s="38" t="n"/>
      <c r="D449" s="38" t="n"/>
      <c r="E449" s="40" t="n"/>
      <c r="F449" s="38" t="n"/>
      <c r="G449" s="38" t="n"/>
      <c r="H449" s="38" t="n"/>
      <c r="I449" s="38" t="n"/>
    </row>
    <row r="450" ht="18" customHeight="1">
      <c r="A450" s="39" t="n"/>
      <c r="B450" s="38" t="n"/>
      <c r="C450" s="38" t="n"/>
      <c r="D450" s="38" t="n"/>
      <c r="E450" s="40" t="n"/>
      <c r="F450" s="38" t="n"/>
      <c r="G450" s="38" t="n"/>
      <c r="H450" s="38" t="n"/>
      <c r="I450" s="38" t="n"/>
    </row>
    <row r="451" ht="18" customHeight="1">
      <c r="A451" s="39" t="n"/>
      <c r="B451" s="38" t="n"/>
      <c r="C451" s="38" t="n"/>
      <c r="D451" s="38" t="n"/>
      <c r="E451" s="40" t="n"/>
      <c r="F451" s="38" t="n"/>
      <c r="G451" s="38" t="n"/>
      <c r="H451" s="38" t="n"/>
      <c r="I451" s="38" t="n"/>
    </row>
    <row r="452" ht="18" customHeight="1">
      <c r="A452" s="39" t="n"/>
      <c r="B452" s="38" t="n"/>
      <c r="C452" s="38" t="n"/>
      <c r="D452" s="38" t="n"/>
      <c r="E452" s="40" t="n"/>
      <c r="F452" s="38" t="n"/>
      <c r="G452" s="38" t="n"/>
      <c r="H452" s="38" t="n"/>
      <c r="I452" s="38" t="n"/>
    </row>
    <row r="453" ht="18" customHeight="1">
      <c r="A453" s="39" t="n"/>
      <c r="B453" s="38" t="n"/>
      <c r="C453" s="38" t="n"/>
      <c r="D453" s="38" t="n"/>
      <c r="E453" s="40" t="n"/>
      <c r="F453" s="38" t="n"/>
      <c r="G453" s="38" t="n"/>
      <c r="H453" s="38" t="n"/>
      <c r="I453" s="38" t="n"/>
    </row>
    <row r="454" ht="18" customHeight="1">
      <c r="A454" s="39" t="n"/>
      <c r="B454" s="38" t="n"/>
      <c r="C454" s="38" t="n"/>
      <c r="D454" s="38" t="n"/>
      <c r="E454" s="40" t="n"/>
      <c r="F454" s="38" t="n"/>
      <c r="G454" s="38" t="n"/>
      <c r="H454" s="38" t="n"/>
      <c r="I454" s="38" t="n"/>
    </row>
    <row r="455" ht="18" customHeight="1">
      <c r="A455" s="39" t="n"/>
      <c r="B455" s="38" t="n"/>
      <c r="C455" s="38" t="n"/>
      <c r="D455" s="38" t="n"/>
      <c r="E455" s="40" t="n"/>
      <c r="F455" s="38" t="n"/>
      <c r="G455" s="38" t="n"/>
      <c r="H455" s="38" t="n"/>
      <c r="I455" s="38" t="n"/>
    </row>
    <row r="456" ht="18" customHeight="1">
      <c r="A456" s="39" t="n"/>
      <c r="B456" s="38" t="n"/>
      <c r="C456" s="38" t="n"/>
      <c r="D456" s="38" t="n"/>
      <c r="E456" s="40" t="n"/>
      <c r="F456" s="38" t="n"/>
      <c r="G456" s="38" t="n"/>
      <c r="H456" s="38" t="n"/>
      <c r="I456" s="38" t="n"/>
    </row>
    <row r="457" ht="18" customHeight="1">
      <c r="A457" s="39" t="n"/>
      <c r="B457" s="38" t="n"/>
      <c r="C457" s="38" t="n"/>
      <c r="D457" s="38" t="n"/>
      <c r="E457" s="40" t="n"/>
      <c r="F457" s="38" t="n"/>
      <c r="G457" s="38" t="n"/>
      <c r="H457" s="38" t="n"/>
      <c r="I457" s="38" t="n"/>
    </row>
    <row r="458" ht="18" customHeight="1">
      <c r="A458" s="39" t="n"/>
      <c r="B458" s="38" t="n"/>
      <c r="C458" s="38" t="n"/>
      <c r="D458" s="38" t="n"/>
      <c r="E458" s="40" t="n"/>
      <c r="F458" s="38" t="n"/>
      <c r="G458" s="38" t="n"/>
      <c r="H458" s="38" t="n"/>
      <c r="I458" s="38" t="n"/>
    </row>
    <row r="459" ht="18" customHeight="1">
      <c r="A459" s="39" t="n"/>
      <c r="B459" s="38" t="n"/>
      <c r="C459" s="38" t="n"/>
      <c r="D459" s="38" t="n"/>
      <c r="E459" s="40" t="n"/>
      <c r="F459" s="38" t="n"/>
      <c r="G459" s="38" t="n"/>
      <c r="H459" s="38" t="n"/>
      <c r="I459" s="38" t="n"/>
    </row>
    <row r="460" ht="18" customHeight="1">
      <c r="A460" s="39" t="n"/>
      <c r="B460" s="38" t="n"/>
      <c r="C460" s="38" t="n"/>
      <c r="D460" s="38" t="n"/>
      <c r="E460" s="40" t="n"/>
      <c r="F460" s="38" t="n"/>
      <c r="G460" s="38" t="n"/>
      <c r="H460" s="38" t="n"/>
      <c r="I460" s="38" t="n"/>
    </row>
    <row r="461" ht="18" customHeight="1">
      <c r="A461" s="39" t="n"/>
      <c r="B461" s="38" t="n"/>
      <c r="C461" s="38" t="n"/>
      <c r="D461" s="38" t="n"/>
      <c r="E461" s="40" t="n"/>
      <c r="F461" s="38" t="n"/>
      <c r="G461" s="38" t="n"/>
      <c r="H461" s="38" t="n"/>
      <c r="I461" s="38" t="n"/>
    </row>
    <row r="462" ht="18" customHeight="1">
      <c r="A462" s="39" t="n"/>
      <c r="B462" s="38" t="n"/>
      <c r="C462" s="38" t="n"/>
      <c r="D462" s="38" t="n"/>
      <c r="E462" s="40" t="n"/>
      <c r="F462" s="38" t="n"/>
      <c r="G462" s="38" t="n"/>
      <c r="H462" s="38" t="n"/>
      <c r="I462" s="38" t="n"/>
    </row>
    <row r="463" ht="18" customHeight="1">
      <c r="A463" s="39" t="n"/>
      <c r="B463" s="38" t="n"/>
      <c r="C463" s="38" t="n"/>
      <c r="D463" s="38" t="n"/>
      <c r="E463" s="40" t="n"/>
      <c r="F463" s="38" t="n"/>
      <c r="G463" s="38" t="n"/>
      <c r="H463" s="38" t="n"/>
      <c r="I463" s="38" t="n"/>
    </row>
    <row r="464" ht="18" customHeight="1">
      <c r="A464" s="39" t="n"/>
      <c r="B464" s="38" t="n"/>
      <c r="C464" s="38" t="n"/>
      <c r="D464" s="38" t="n"/>
      <c r="E464" s="40" t="n"/>
      <c r="F464" s="38" t="n"/>
      <c r="G464" s="38" t="n"/>
      <c r="H464" s="38" t="n"/>
      <c r="I464" s="38" t="n"/>
    </row>
    <row r="465" ht="18" customHeight="1">
      <c r="A465" s="39" t="n"/>
      <c r="B465" s="38" t="n"/>
      <c r="C465" s="38" t="n"/>
      <c r="D465" s="38" t="n"/>
      <c r="E465" s="40" t="n"/>
      <c r="F465" s="38" t="n"/>
      <c r="G465" s="38" t="n"/>
      <c r="H465" s="38" t="n"/>
      <c r="I465" s="38" t="n"/>
    </row>
    <row r="466" ht="18" customHeight="1">
      <c r="A466" s="39" t="n"/>
      <c r="B466" s="38" t="n"/>
      <c r="C466" s="38" t="n"/>
      <c r="D466" s="38" t="n"/>
      <c r="E466" s="40" t="n"/>
      <c r="F466" s="38" t="n"/>
      <c r="G466" s="38" t="n"/>
      <c r="H466" s="38" t="n"/>
      <c r="I466" s="38" t="n"/>
    </row>
    <row r="467" ht="18" customHeight="1">
      <c r="A467" s="39" t="n"/>
      <c r="B467" s="38" t="n"/>
      <c r="C467" s="38" t="n"/>
      <c r="D467" s="38" t="n"/>
      <c r="E467" s="40" t="n"/>
      <c r="F467" s="38" t="n"/>
      <c r="G467" s="38" t="n"/>
      <c r="H467" s="38" t="n"/>
      <c r="I467" s="38" t="n"/>
    </row>
    <row r="468" ht="18" customHeight="1">
      <c r="A468" s="39" t="n"/>
      <c r="B468" s="38" t="n"/>
      <c r="C468" s="38" t="n"/>
      <c r="D468" s="38" t="n"/>
      <c r="E468" s="40" t="n"/>
      <c r="F468" s="38" t="n"/>
      <c r="G468" s="38" t="n"/>
      <c r="H468" s="38" t="n"/>
      <c r="I468" s="38" t="n"/>
    </row>
    <row r="469" ht="18" customHeight="1">
      <c r="A469" s="39" t="n"/>
      <c r="B469" s="38" t="n"/>
      <c r="C469" s="38" t="n"/>
      <c r="D469" s="38" t="n"/>
      <c r="E469" s="40" t="n"/>
      <c r="F469" s="38" t="n"/>
      <c r="G469" s="38" t="n"/>
      <c r="H469" s="38" t="n"/>
      <c r="I469" s="38" t="n"/>
    </row>
    <row r="470" ht="18" customHeight="1">
      <c r="A470" s="39" t="n"/>
      <c r="B470" s="38" t="n"/>
      <c r="C470" s="38" t="n"/>
      <c r="D470" s="38" t="n"/>
      <c r="E470" s="40" t="n"/>
      <c r="F470" s="38" t="n"/>
      <c r="G470" s="38" t="n"/>
      <c r="H470" s="38" t="n"/>
      <c r="I470" s="38" t="n"/>
    </row>
    <row r="471" ht="18" customHeight="1">
      <c r="A471" s="39" t="n"/>
      <c r="B471" s="38" t="n"/>
      <c r="C471" s="38" t="n"/>
      <c r="D471" s="38" t="n"/>
      <c r="E471" s="40" t="n"/>
      <c r="F471" s="38" t="n"/>
      <c r="G471" s="38" t="n"/>
      <c r="H471" s="38" t="n"/>
      <c r="I471" s="38" t="n"/>
    </row>
    <row r="472" ht="18" customHeight="1">
      <c r="A472" s="39" t="n"/>
      <c r="B472" s="38" t="n"/>
      <c r="C472" s="38" t="n"/>
      <c r="D472" s="38" t="n"/>
      <c r="E472" s="40" t="n"/>
      <c r="F472" s="38" t="n"/>
      <c r="G472" s="38" t="n"/>
      <c r="H472" s="38" t="n"/>
      <c r="I472" s="38" t="n"/>
    </row>
    <row r="473" ht="18" customHeight="1">
      <c r="A473" s="39" t="n"/>
      <c r="B473" s="38" t="n"/>
      <c r="C473" s="38" t="n"/>
      <c r="D473" s="38" t="n"/>
      <c r="E473" s="40" t="n"/>
      <c r="F473" s="38" t="n"/>
      <c r="G473" s="38" t="n"/>
      <c r="H473" s="38" t="n"/>
      <c r="I473" s="38" t="n"/>
    </row>
    <row r="474" ht="18" customHeight="1">
      <c r="A474" s="39" t="n"/>
      <c r="B474" s="38" t="n"/>
      <c r="C474" s="38" t="n"/>
      <c r="D474" s="38" t="n"/>
      <c r="E474" s="40" t="n"/>
      <c r="F474" s="38" t="n"/>
      <c r="G474" s="38" t="n"/>
      <c r="H474" s="38" t="n"/>
      <c r="I474" s="38" t="n"/>
    </row>
    <row r="475" ht="18" customHeight="1">
      <c r="A475" s="39" t="n"/>
      <c r="B475" s="38" t="n"/>
      <c r="C475" s="38" t="n"/>
      <c r="D475" s="38" t="n"/>
      <c r="E475" s="40" t="n"/>
      <c r="F475" s="38" t="n"/>
      <c r="G475" s="38" t="n"/>
      <c r="H475" s="38" t="n"/>
      <c r="I475" s="38" t="n"/>
    </row>
    <row r="476" ht="18" customHeight="1">
      <c r="A476" s="39" t="n"/>
      <c r="B476" s="38" t="n"/>
      <c r="C476" s="38" t="n"/>
      <c r="D476" s="38" t="n"/>
      <c r="E476" s="40" t="n"/>
      <c r="F476" s="38" t="n"/>
      <c r="G476" s="38" t="n"/>
      <c r="H476" s="38" t="n"/>
      <c r="I476" s="38" t="n"/>
    </row>
    <row r="477" ht="18" customHeight="1">
      <c r="A477" s="39" t="n"/>
      <c r="B477" s="38" t="n"/>
      <c r="C477" s="38" t="n"/>
      <c r="D477" s="38" t="n"/>
      <c r="E477" s="40" t="n"/>
      <c r="F477" s="38" t="n"/>
      <c r="G477" s="38" t="n"/>
      <c r="H477" s="38" t="n"/>
      <c r="I477" s="38" t="n"/>
    </row>
    <row r="478" ht="18" customHeight="1">
      <c r="A478" s="39" t="n"/>
      <c r="B478" s="38" t="n"/>
      <c r="C478" s="38" t="n"/>
      <c r="D478" s="38" t="n"/>
      <c r="E478" s="40" t="n"/>
      <c r="F478" s="38" t="n"/>
      <c r="G478" s="38" t="n"/>
      <c r="H478" s="38" t="n"/>
      <c r="I478" s="38" t="n"/>
    </row>
    <row r="479" ht="18" customHeight="1">
      <c r="A479" s="39" t="n"/>
      <c r="B479" s="38" t="n"/>
      <c r="C479" s="38" t="n"/>
      <c r="D479" s="38" t="n"/>
      <c r="E479" s="40" t="n"/>
      <c r="F479" s="38" t="n"/>
      <c r="G479" s="38" t="n"/>
      <c r="H479" s="38" t="n"/>
      <c r="I479" s="38" t="n"/>
    </row>
    <row r="480" ht="18" customHeight="1">
      <c r="A480" s="39" t="n"/>
      <c r="B480" s="38" t="n"/>
      <c r="C480" s="38" t="n"/>
      <c r="D480" s="38" t="n"/>
      <c r="E480" s="40" t="n"/>
      <c r="F480" s="38" t="n"/>
      <c r="G480" s="38" t="n"/>
      <c r="H480" s="38" t="n"/>
      <c r="I480" s="38" t="n"/>
    </row>
    <row r="481" ht="18" customHeight="1">
      <c r="A481" s="39" t="n"/>
      <c r="B481" s="38" t="n"/>
      <c r="C481" s="38" t="n"/>
      <c r="D481" s="38" t="n"/>
      <c r="E481" s="40" t="n"/>
      <c r="F481" s="38" t="n"/>
      <c r="G481" s="38" t="n"/>
      <c r="H481" s="38" t="n"/>
      <c r="I481" s="38" t="n"/>
    </row>
    <row r="482" ht="18" customHeight="1">
      <c r="A482" s="39" t="n"/>
      <c r="B482" s="38" t="n"/>
      <c r="C482" s="38" t="n"/>
      <c r="D482" s="38" t="n"/>
      <c r="E482" s="40" t="n"/>
      <c r="F482" s="38" t="n"/>
      <c r="G482" s="38" t="n"/>
      <c r="H482" s="38" t="n"/>
      <c r="I482" s="38" t="n"/>
    </row>
    <row r="483" ht="18" customHeight="1">
      <c r="A483" s="39" t="n"/>
      <c r="B483" s="38" t="n"/>
      <c r="C483" s="38" t="n"/>
      <c r="D483" s="38" t="n"/>
      <c r="E483" s="40" t="n"/>
      <c r="F483" s="38" t="n"/>
      <c r="G483" s="38" t="n"/>
      <c r="H483" s="38" t="n"/>
      <c r="I483" s="38" t="n"/>
    </row>
    <row r="484" ht="18" customHeight="1">
      <c r="A484" s="39" t="n"/>
      <c r="B484" s="38" t="n"/>
      <c r="C484" s="38" t="n"/>
      <c r="D484" s="38" t="n"/>
      <c r="E484" s="40" t="n"/>
      <c r="F484" s="38" t="n"/>
      <c r="G484" s="38" t="n"/>
      <c r="H484" s="38" t="n"/>
      <c r="I484" s="38" t="n"/>
    </row>
    <row r="485" ht="18" customHeight="1">
      <c r="A485" s="39" t="n"/>
      <c r="B485" s="38" t="n"/>
      <c r="C485" s="38" t="n"/>
      <c r="D485" s="38" t="n"/>
      <c r="E485" s="40" t="n"/>
      <c r="F485" s="38" t="n"/>
      <c r="G485" s="38" t="n"/>
      <c r="H485" s="38" t="n"/>
      <c r="I485" s="38" t="n"/>
    </row>
    <row r="486" ht="18" customHeight="1">
      <c r="A486" s="39" t="n"/>
      <c r="B486" s="38" t="n"/>
      <c r="C486" s="38" t="n"/>
      <c r="D486" s="38" t="n"/>
      <c r="E486" s="40" t="n"/>
      <c r="F486" s="38" t="n"/>
      <c r="G486" s="38" t="n"/>
      <c r="H486" s="38" t="n"/>
      <c r="I486" s="38" t="n"/>
    </row>
    <row r="487" ht="18" customHeight="1">
      <c r="A487" s="39" t="n"/>
      <c r="B487" s="38" t="n"/>
      <c r="C487" s="38" t="n"/>
      <c r="D487" s="38" t="n"/>
      <c r="E487" s="40" t="n"/>
      <c r="F487" s="38" t="n"/>
      <c r="G487" s="38" t="n"/>
      <c r="H487" s="38" t="n"/>
      <c r="I487" s="38" t="n"/>
    </row>
    <row r="488" ht="18" customHeight="1">
      <c r="A488" s="39" t="n"/>
      <c r="B488" s="38" t="n"/>
      <c r="C488" s="38" t="n"/>
      <c r="D488" s="38" t="n"/>
      <c r="E488" s="40" t="n"/>
      <c r="F488" s="38" t="n"/>
      <c r="G488" s="38" t="n"/>
      <c r="H488" s="38" t="n"/>
      <c r="I488" s="38" t="n"/>
    </row>
    <row r="489" ht="18" customHeight="1">
      <c r="A489" s="39" t="n"/>
      <c r="B489" s="38" t="n"/>
      <c r="C489" s="38" t="n"/>
      <c r="D489" s="38" t="n"/>
      <c r="E489" s="40" t="n"/>
      <c r="F489" s="38" t="n"/>
      <c r="G489" s="38" t="n"/>
      <c r="H489" s="38" t="n"/>
      <c r="I489" s="38" t="n"/>
    </row>
    <row r="490" ht="18" customHeight="1">
      <c r="A490" s="39" t="n"/>
      <c r="B490" s="38" t="n"/>
      <c r="C490" s="38" t="n"/>
      <c r="D490" s="38" t="n"/>
      <c r="E490" s="40" t="n"/>
      <c r="F490" s="38" t="n"/>
      <c r="G490" s="38" t="n"/>
      <c r="H490" s="38" t="n"/>
      <c r="I490" s="38" t="n"/>
    </row>
    <row r="491" ht="18" customHeight="1">
      <c r="A491" s="39" t="n"/>
      <c r="B491" s="38" t="n"/>
      <c r="C491" s="38" t="n"/>
      <c r="D491" s="38" t="n"/>
      <c r="E491" s="40" t="n"/>
      <c r="F491" s="38" t="n"/>
      <c r="G491" s="38" t="n"/>
      <c r="H491" s="38" t="n"/>
      <c r="I491" s="38" t="n"/>
    </row>
    <row r="492" ht="18" customHeight="1">
      <c r="A492" s="39" t="n"/>
      <c r="B492" s="38" t="n"/>
      <c r="C492" s="38" t="n"/>
      <c r="D492" s="38" t="n"/>
      <c r="E492" s="40" t="n"/>
      <c r="F492" s="38" t="n"/>
      <c r="G492" s="38" t="n"/>
      <c r="H492" s="38" t="n"/>
      <c r="I492" s="38" t="n"/>
    </row>
    <row r="493" ht="18" customHeight="1">
      <c r="A493" s="39" t="n"/>
      <c r="B493" s="38" t="n"/>
      <c r="C493" s="38" t="n"/>
      <c r="D493" s="38" t="n"/>
      <c r="E493" s="40" t="n"/>
      <c r="F493" s="38" t="n"/>
      <c r="G493" s="38" t="n"/>
      <c r="H493" s="38" t="n"/>
      <c r="I493" s="38" t="n"/>
    </row>
    <row r="494" ht="18" customHeight="1">
      <c r="A494" s="39" t="n"/>
      <c r="B494" s="38" t="n"/>
      <c r="C494" s="38" t="n"/>
      <c r="D494" s="38" t="n"/>
      <c r="E494" s="40" t="n"/>
      <c r="F494" s="38" t="n"/>
      <c r="G494" s="38" t="n"/>
      <c r="H494" s="38" t="n"/>
      <c r="I494" s="38" t="n"/>
    </row>
    <row r="495" ht="18" customHeight="1">
      <c r="A495" s="39" t="n"/>
      <c r="B495" s="38" t="n"/>
      <c r="C495" s="38" t="n"/>
      <c r="D495" s="38" t="n"/>
      <c r="E495" s="40" t="n"/>
      <c r="F495" s="38" t="n"/>
      <c r="G495" s="38" t="n"/>
      <c r="H495" s="38" t="n"/>
      <c r="I495" s="38" t="n"/>
    </row>
    <row r="496" ht="18" customHeight="1">
      <c r="A496" s="39" t="n"/>
      <c r="B496" s="38" t="n"/>
      <c r="C496" s="38" t="n"/>
      <c r="D496" s="38" t="n"/>
      <c r="E496" s="40" t="n"/>
      <c r="F496" s="38" t="n"/>
      <c r="G496" s="38" t="n"/>
      <c r="H496" s="38" t="n"/>
      <c r="I496" s="38" t="n"/>
    </row>
    <row r="497" ht="18" customHeight="1">
      <c r="A497" s="39" t="n"/>
      <c r="B497" s="38" t="n"/>
      <c r="C497" s="38" t="n"/>
      <c r="D497" s="38" t="n"/>
      <c r="E497" s="40" t="n"/>
      <c r="F497" s="38" t="n"/>
      <c r="G497" s="38" t="n"/>
      <c r="H497" s="38" t="n"/>
      <c r="I497" s="38" t="n"/>
    </row>
    <row r="498" ht="18" customHeight="1">
      <c r="A498" s="39" t="n"/>
      <c r="B498" s="38" t="n"/>
      <c r="C498" s="38" t="n"/>
      <c r="D498" s="38" t="n"/>
      <c r="E498" s="40" t="n"/>
      <c r="F498" s="38" t="n"/>
      <c r="G498" s="38" t="n"/>
      <c r="H498" s="38" t="n"/>
      <c r="I498" s="38" t="n"/>
    </row>
    <row r="499" ht="18" customHeight="1">
      <c r="A499" s="39" t="n"/>
      <c r="B499" s="38" t="n"/>
      <c r="C499" s="38" t="n"/>
      <c r="D499" s="38" t="n"/>
      <c r="E499" s="40" t="n"/>
      <c r="F499" s="38" t="n"/>
      <c r="G499" s="38" t="n"/>
      <c r="H499" s="38" t="n"/>
      <c r="I499" s="38" t="n"/>
    </row>
    <row r="500" ht="18" customHeight="1">
      <c r="A500" s="39" t="n"/>
      <c r="B500" s="38" t="n"/>
      <c r="C500" s="38" t="n"/>
      <c r="D500" s="38" t="n"/>
      <c r="E500" s="40" t="n"/>
      <c r="F500" s="38" t="n"/>
      <c r="G500" s="38" t="n"/>
      <c r="H500" s="38" t="n"/>
      <c r="I500" s="38" t="n"/>
    </row>
    <row r="501" ht="18" customHeight="1">
      <c r="A501" s="39" t="n"/>
      <c r="B501" s="38" t="n"/>
      <c r="C501" s="38" t="n"/>
      <c r="D501" s="38" t="n"/>
      <c r="E501" s="40" t="n"/>
      <c r="F501" s="38" t="n"/>
      <c r="G501" s="38" t="n"/>
      <c r="H501" s="38" t="n"/>
      <c r="I501" s="38" t="n"/>
    </row>
    <row r="502" ht="18" customHeight="1">
      <c r="A502" s="39" t="n"/>
      <c r="B502" s="38" t="n"/>
      <c r="C502" s="38" t="n"/>
      <c r="D502" s="38" t="n"/>
      <c r="E502" s="40" t="n"/>
      <c r="F502" s="38" t="n"/>
      <c r="G502" s="38" t="n"/>
      <c r="H502" s="38" t="n"/>
      <c r="I502" s="38" t="n"/>
    </row>
    <row r="503" ht="18" customHeight="1">
      <c r="A503" s="39" t="n"/>
      <c r="B503" s="38" t="n"/>
      <c r="C503" s="38" t="n"/>
      <c r="D503" s="38" t="n"/>
      <c r="E503" s="40" t="n"/>
      <c r="F503" s="38" t="n"/>
      <c r="G503" s="38" t="n"/>
      <c r="H503" s="38" t="n"/>
      <c r="I503" s="38" t="n"/>
    </row>
    <row r="504" ht="18" customHeight="1">
      <c r="A504" s="39" t="n"/>
      <c r="B504" s="38" t="n"/>
      <c r="C504" s="38" t="n"/>
      <c r="D504" s="38" t="n"/>
      <c r="E504" s="40" t="n"/>
      <c r="F504" s="38" t="n"/>
      <c r="G504" s="38" t="n"/>
      <c r="H504" s="38" t="n"/>
      <c r="I504" s="38" t="n"/>
    </row>
    <row r="505" ht="18" customHeight="1">
      <c r="A505" s="39" t="n"/>
      <c r="B505" s="38" t="n"/>
      <c r="C505" s="38" t="n"/>
      <c r="D505" s="38" t="n"/>
      <c r="E505" s="40" t="n"/>
      <c r="F505" s="38" t="n"/>
      <c r="G505" s="38" t="n"/>
      <c r="H505" s="38" t="n"/>
      <c r="I505" s="38" t="n"/>
    </row>
    <row r="506" ht="18" customHeight="1">
      <c r="A506" s="39" t="n"/>
      <c r="B506" s="38" t="n"/>
      <c r="C506" s="38" t="n"/>
      <c r="D506" s="38" t="n"/>
      <c r="E506" s="40" t="n"/>
      <c r="F506" s="38" t="n"/>
      <c r="G506" s="38" t="n"/>
      <c r="H506" s="38" t="n"/>
      <c r="I506" s="38" t="n"/>
    </row>
  </sheetData>
  <mergeCells count="4">
    <mergeCell ref="J2:L2"/>
    <mergeCell ref="D2:I2"/>
    <mergeCell ref="A2:C2"/>
    <mergeCell ref="A4:L4"/>
  </mergeCells>
  <dataValidations count="4">
    <dataValidation sqref="B7:B506" showDropDown="0" showInputMessage="0" showErrorMessage="0" allowBlank="1" type="list">
      <formula1>=Settings!$B$6:$B$30</formula1>
    </dataValidation>
    <dataValidation sqref="C7:C506" showDropDown="0" showInputMessage="0" showErrorMessage="0" allowBlank="1" type="list">
      <formula1>=Settings!$C$6:$C$15</formula1>
    </dataValidation>
    <dataValidation sqref="D7:D506" showDropDown="0" showInputMessage="0" showErrorMessage="0" allowBlank="1" type="list">
      <formula1>=Settings!$F$6:$F$10</formula1>
    </dataValidation>
    <dataValidation sqref="G7:G506" showDropDown="0" showInputMessage="0" showErrorMessage="0" allowBlank="1" type="list">
      <formula1>"Yes,No"</formula1>
    </dataValidation>
  </dataValidations>
  <pageMargins left="0.4" right="0.4" top="0.5" bottom="0.5" header="0.5" footer="0.5"/>
  <pageSetup orientation="landscape" paperSize="1" fitToHeight="0" fitToWidth="1"/>
</worksheet>
</file>

<file path=xl/worksheets/sheet6.xml><?xml version="1.0" encoding="utf-8"?>
<worksheet xmlns="http://schemas.openxmlformats.org/spreadsheetml/2006/main">
  <sheetPr>
    <tabColor rgb="0012304E"/>
    <outlinePr summaryBelow="1" summaryRight="1"/>
    <pageSetUpPr/>
  </sheetPr>
  <dimension ref="A1:L34"/>
  <sheetViews>
    <sheetView workbookViewId="0">
      <selection activeCell="A1" sqref="A1"/>
    </sheetView>
  </sheetViews>
  <sheetFormatPr baseColWidth="8" defaultRowHeight="15"/>
  <cols>
    <col width="4" customWidth="1" min="1" max="1"/>
    <col width="28" customWidth="1" min="2" max="2"/>
    <col width="26" customWidth="1" min="3" max="3"/>
    <col width="16" customWidth="1" min="4" max="4"/>
    <col width="14" customWidth="1" min="5" max="5"/>
    <col width="20" customWidth="1" min="6" max="6"/>
  </cols>
  <sheetData>
    <row r="1" ht="8" customHeight="1">
      <c r="A1" s="1" t="n"/>
      <c r="B1" s="1" t="n"/>
      <c r="C1" s="1" t="n"/>
      <c r="D1" s="1" t="n"/>
      <c r="E1" s="1" t="n"/>
      <c r="F1" s="1" t="n"/>
      <c r="G1" s="1" t="n"/>
      <c r="H1" s="1" t="n"/>
      <c r="I1" s="1" t="n"/>
      <c r="J1" s="1" t="n"/>
      <c r="K1" s="1" t="n"/>
      <c r="L1" s="1" t="n"/>
    </row>
    <row r="2" ht="28" customHeight="1">
      <c r="A2" s="25">
        <f>HYPERLINK("#'Filing Log'!A1", "← BACK")</f>
        <v/>
      </c>
      <c r="B2" s="26" t="n"/>
      <c r="C2" s="26" t="n"/>
      <c r="D2" s="33" t="inlineStr">
        <is>
          <t>SETTINGS</t>
        </is>
      </c>
    </row>
    <row r="3" ht="6" customHeight="1">
      <c r="A3" s="1" t="n"/>
      <c r="B3" s="1" t="n"/>
      <c r="C3" s="1" t="n"/>
      <c r="D3" s="1" t="n"/>
      <c r="E3" s="1" t="n"/>
      <c r="F3" s="1" t="n"/>
      <c r="G3" s="1" t="n"/>
      <c r="H3" s="1" t="n"/>
      <c r="I3" s="1" t="n"/>
      <c r="J3" s="1" t="n"/>
      <c r="K3" s="1" t="n"/>
      <c r="L3" s="1" t="n"/>
    </row>
    <row r="4" ht="22" customHeight="1">
      <c r="A4" s="36" t="inlineStr">
        <is>
          <t>Lists drive the dropdowns on Permits Register, Renewal Calendar, and Filing Log. Edit to match your portfolio.</t>
        </is>
      </c>
    </row>
    <row r="5" ht="22" customHeight="1">
      <c r="B5" s="57" t="inlineStr">
        <is>
          <t>Properties</t>
        </is>
      </c>
      <c r="C5" s="57" t="inlineStr">
        <is>
          <t>Permit types</t>
        </is>
      </c>
      <c r="D5" s="57" t="inlineStr">
        <is>
          <t>Cadence</t>
        </is>
      </c>
      <c r="E5" s="57" t="inlineStr">
        <is>
          <t>Status</t>
        </is>
      </c>
      <c r="F5" s="57" t="inlineStr">
        <is>
          <t>Action (Filing Log)</t>
        </is>
      </c>
    </row>
    <row r="6" ht="18" customHeight="1">
      <c r="B6" s="38" t="inlineStr">
        <is>
          <t>Smokies Ridge Cabin</t>
        </is>
      </c>
      <c r="C6" s="38" t="inlineStr">
        <is>
          <t>STR permit</t>
        </is>
      </c>
      <c r="D6" s="38" t="inlineStr">
        <is>
          <t>Annual</t>
        </is>
      </c>
      <c r="E6" s="38" t="inlineStr">
        <is>
          <t>Active</t>
        </is>
      </c>
      <c r="F6" s="38" t="inlineStr">
        <is>
          <t>Initial filing</t>
        </is>
      </c>
    </row>
    <row r="7" ht="18" customHeight="1">
      <c r="B7" s="38" t="inlineStr">
        <is>
          <t>Creek Side</t>
        </is>
      </c>
      <c r="C7" s="38" t="inlineStr">
        <is>
          <t>Business license</t>
        </is>
      </c>
      <c r="D7" s="38" t="inlineStr">
        <is>
          <t>Biennial</t>
        </is>
      </c>
      <c r="E7" s="38" t="inlineStr">
        <is>
          <t>Pending</t>
        </is>
      </c>
      <c r="F7" s="38" t="inlineStr">
        <is>
          <t>Renewal</t>
        </is>
      </c>
    </row>
    <row r="8" ht="18" customHeight="1">
      <c r="B8" s="38" t="inlineStr">
        <is>
          <t>Lakehouse A</t>
        </is>
      </c>
      <c r="C8" s="38" t="inlineStr">
        <is>
          <t>Sales tax license</t>
        </is>
      </c>
      <c r="D8" s="38" t="inlineStr">
        <is>
          <t>Triennial</t>
        </is>
      </c>
      <c r="E8" s="38" t="inlineStr">
        <is>
          <t>Renewed</t>
        </is>
      </c>
      <c r="F8" s="38" t="inlineStr">
        <is>
          <t>Amendment</t>
        </is>
      </c>
    </row>
    <row r="9" ht="18" customHeight="1">
      <c r="B9" s="38" t="inlineStr">
        <is>
          <t>Mountain Loft</t>
        </is>
      </c>
      <c r="C9" s="38" t="inlineStr">
        <is>
          <t>Lodging tax registration</t>
        </is>
      </c>
      <c r="D9" s="38" t="inlineStr">
        <is>
          <t>One-time</t>
        </is>
      </c>
      <c r="E9" s="38" t="inlineStr">
        <is>
          <t>EXPIRED</t>
        </is>
      </c>
      <c r="F9" s="38" t="inlineStr">
        <is>
          <t>Cancellation</t>
        </is>
      </c>
    </row>
    <row r="10" ht="18" customHeight="1">
      <c r="B10" s="38" t="inlineStr">
        <is>
          <t>Forest Cabin</t>
        </is>
      </c>
      <c r="C10" s="38" t="inlineStr">
        <is>
          <t>Fire inspection</t>
        </is>
      </c>
      <c r="D10" s="38" t="n"/>
      <c r="E10" s="38" t="inlineStr">
        <is>
          <t>N/A</t>
        </is>
      </c>
      <c r="F10" s="38" t="n"/>
    </row>
    <row r="11" ht="18" customHeight="1">
      <c r="B11" s="38" t="inlineStr">
        <is>
          <t>Lakehouse B</t>
        </is>
      </c>
      <c r="C11" s="38" t="inlineStr">
        <is>
          <t>Life safety</t>
        </is>
      </c>
      <c r="E11" s="38" t="n"/>
    </row>
    <row r="12" ht="18" customHeight="1">
      <c r="B12" s="38" t="inlineStr">
        <is>
          <t>Downtown Loft</t>
        </is>
      </c>
      <c r="C12" s="38" t="inlineStr">
        <is>
          <t>Building permit</t>
        </is>
      </c>
    </row>
    <row r="13" ht="18" customHeight="1">
      <c r="B13" s="38" t="inlineStr">
        <is>
          <t>Beach House</t>
        </is>
      </c>
      <c r="C13" s="38" t="inlineStr">
        <is>
          <t>Other</t>
        </is>
      </c>
    </row>
    <row r="14" ht="18" customHeight="1">
      <c r="B14" s="38" t="n"/>
      <c r="C14" s="38" t="n"/>
    </row>
    <row r="15" ht="18" customHeight="1">
      <c r="B15" s="38" t="n"/>
      <c r="C15" s="38" t="n"/>
    </row>
    <row r="16" ht="18" customHeight="1">
      <c r="B16" s="38" t="n"/>
    </row>
    <row r="17" ht="18" customHeight="1">
      <c r="B17" s="38" t="n"/>
    </row>
    <row r="18" ht="18" customHeight="1">
      <c r="B18" s="38" t="n"/>
    </row>
    <row r="19" ht="18" customHeight="1">
      <c r="B19" s="38" t="n"/>
    </row>
    <row r="20" ht="18" customHeight="1">
      <c r="B20" s="38" t="n"/>
    </row>
    <row r="21" ht="18" customHeight="1">
      <c r="B21" s="38" t="n"/>
    </row>
    <row r="22" ht="18" customHeight="1">
      <c r="B22" s="38" t="n"/>
    </row>
    <row r="23" ht="18" customHeight="1">
      <c r="B23" s="38" t="n"/>
    </row>
    <row r="24" ht="18" customHeight="1">
      <c r="B24" s="38" t="n"/>
    </row>
    <row r="25" ht="18" customHeight="1">
      <c r="B25" s="38" t="n"/>
    </row>
    <row r="26" ht="18" customHeight="1">
      <c r="B26" s="38" t="n"/>
    </row>
    <row r="27" ht="18" customHeight="1">
      <c r="B27" s="38" t="n"/>
    </row>
    <row r="28" ht="18" customHeight="1">
      <c r="B28" s="38" t="n"/>
    </row>
    <row r="29" ht="18" customHeight="1">
      <c r="B29" s="38" t="n"/>
    </row>
    <row r="30" ht="18" customHeight="1">
      <c r="B30" s="38" t="n"/>
    </row>
    <row r="33" ht="24" customHeight="1">
      <c r="B33" s="58" t="inlineStr">
        <is>
          <t>Permit Discovery verified:</t>
        </is>
      </c>
      <c r="C33" s="59" t="n">
        <v>46144</v>
      </c>
    </row>
    <row r="34" ht="36" customHeight="1">
      <c r="B34" s="60" t="inlineStr">
        <is>
          <t>Manually update this date when you re-verify the Permit Discovery snapshot. STR ordinances change — re-check once a quarter at minimum.</t>
        </is>
      </c>
    </row>
  </sheetData>
  <mergeCells count="4">
    <mergeCell ref="B34:L34"/>
    <mergeCell ref="D2:L2"/>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License/Permit Tracker — The STR Ledger</dc:title>
  <dc:description xmlns:dc="http://purl.org/dc/elements/1.1/">Multi-jurisdiction STR license/permit/registration tracker — auto-calculated days-to-renewal, expired-but-operating flagger, Permit Discovery for top 15 STR markets.</dc:description>
  <dcterms:created xmlns:dcterms="http://purl.org/dc/terms/" xmlns:xsi="http://www.w3.org/2001/XMLSchema-instance" xsi:type="dcterms:W3CDTF">2026-05-03T19:04:52Z</dcterms:created>
  <dcterms:modified xmlns:dcterms="http://purl.org/dc/terms/" xmlns:xsi="http://www.w3.org/2001/XMLSchema-instance" xsi:type="dcterms:W3CDTF">2026-05-03T19:04:52Z</dcterms:modified>
</cp:coreProperties>
</file>