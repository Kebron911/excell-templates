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Room Detail" sheetId="2" state="visible" r:id="rId2"/>
    <sheet xmlns:r="http://schemas.openxmlformats.org/officeDocument/2006/relationships" name="Per-Room Roll-up" sheetId="3" state="visible" r:id="rId3"/>
    <sheet xmlns:r="http://schemas.openxmlformats.org/officeDocument/2006/relationships" name="Operating Reserve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'Start'!$A$1:$L$40</definedName>
    <definedName name="_xlnm.Print_Titles" localSheetId="1">'Room Detail'!$1:$5</definedName>
    <definedName name="_xlnm.Print_Area" localSheetId="1">'Room Detail'!$A$1:$J$205</definedName>
    <definedName name="_xlnm.Print_Titles" localSheetId="2">'Per-Room Roll-up'!$1:$5</definedName>
    <definedName name="_xlnm.Print_Area" localSheetId="2">'Per-Room Roll-up'!$A$1:$T$25</definedName>
    <definedName name="_xlnm.Print_Area" localSheetId="3">'Operating Reserve'!$A$1:$L$25</definedName>
    <definedName name="_xlnm.Print_Area" localSheetId="4">'Settings'!$A$1:$F$40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26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Consolas"/>
      <b val="1"/>
      <color rgb="0012304E"/>
      <sz val="9"/>
    </font>
    <font>
      <name val="Georgia"/>
      <b val="1"/>
      <color rgb="0012304E"/>
      <sz val="20"/>
    </font>
    <font>
      <name val="Georgia"/>
      <b val="1"/>
      <color rgb="00C9A24B"/>
      <sz val="2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i val="1"/>
      <color rgb="002B2B2B"/>
      <sz val="11"/>
    </font>
    <font>
      <name val="Calibri"/>
      <b val="1"/>
      <color rgb="002B2B2B"/>
      <sz val="11"/>
    </font>
    <font>
      <name val="Georgia"/>
      <b val="1"/>
      <color rgb="00F6EFE2"/>
      <sz val="12"/>
    </font>
    <font>
      <name val="Georgia"/>
      <b val="1"/>
      <color rgb="00C9A24B"/>
      <sz val="12"/>
    </font>
    <font>
      <name val="Georgia"/>
      <b val="1"/>
      <color rgb="0012304E"/>
      <sz val="14"/>
    </font>
    <font>
      <name val="Georgia"/>
      <b val="1"/>
      <color rgb="00C9A24B"/>
      <sz val="16"/>
    </font>
    <font>
      <name val="Calibri"/>
      <i val="1"/>
      <color rgb="006B7280"/>
      <sz val="9"/>
    </font>
    <font>
      <name val="Calibri"/>
      <b val="1"/>
      <color rgb="0012304E"/>
      <sz val="11"/>
    </font>
    <font>
      <name val="Calibri"/>
      <color rgb="002B2B2B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DEDED"/>
      </patternFill>
    </fill>
    <fill>
      <patternFill patternType="solid">
        <fgColor rgb="00FFF7D6"/>
      </patternFill>
    </fill>
    <fill>
      <patternFill patternType="solid">
        <fgColor rgb="00E2C884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164" fontId="9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1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1" fillId="5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right" vertical="center" indent="2"/>
    </xf>
    <xf numFmtId="0" fontId="15" fillId="3" borderId="0" applyAlignment="1" pivotButton="0" quotePrefix="0" xfId="0">
      <alignment horizontal="left" vertical="center" indent="1"/>
    </xf>
    <xf numFmtId="0" fontId="16" fillId="2" borderId="5" applyAlignment="1" pivotButton="0" quotePrefix="0" xfId="0">
      <alignment horizontal="center" vertical="center"/>
    </xf>
    <xf numFmtId="1" fontId="17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indent="1"/>
    </xf>
    <xf numFmtId="164" fontId="6" fillId="7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1" fontId="17" fillId="4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indent="1"/>
    </xf>
    <xf numFmtId="164" fontId="17" fillId="6" borderId="0" applyAlignment="1" pivotButton="0" quotePrefix="0" xfId="0">
      <alignment horizontal="right" vertical="center"/>
    </xf>
    <xf numFmtId="165" fontId="17" fillId="6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1"/>
    </xf>
    <xf numFmtId="164" fontId="20" fillId="2" borderId="0" applyAlignment="1" pivotButton="0" quotePrefix="0" xfId="0">
      <alignment horizontal="right" vertical="center"/>
    </xf>
    <xf numFmtId="1" fontId="20" fillId="2" borderId="0" applyAlignment="1" pivotButton="0" quotePrefix="0" xfId="0">
      <alignment horizontal="center" vertical="center"/>
    </xf>
    <xf numFmtId="165" fontId="20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2"/>
    </xf>
    <xf numFmtId="0" fontId="18" fillId="0" borderId="0" applyAlignment="1" pivotButton="0" quotePrefix="0" xfId="0">
      <alignment horizontal="right" vertical="center" indent="1"/>
    </xf>
    <xf numFmtId="164" fontId="6" fillId="7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indent="1"/>
    </xf>
    <xf numFmtId="164" fontId="22" fillId="8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 wrapText="1" indent="2"/>
    </xf>
    <xf numFmtId="0" fontId="23" fillId="0" borderId="0" applyAlignment="1" pivotButton="0" quotePrefix="0" xfId="0">
      <alignment horizontal="left" vertical="center" indent="1"/>
    </xf>
    <xf numFmtId="1" fontId="6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1" fontId="24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by Room (Actual)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'Per-Room Roll-up'!C5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'Per-Room Roll-up'!$A$6:$A$16</f>
            </numRef>
          </cat>
          <val>
            <numRef>
              <f>'Per-Room Roll-up'!$C$6:$C$16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Room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Furniture / Setup Budget</t>
        </is>
      </c>
    </row>
    <row r="5" ht="22" customHeight="1">
      <c r="A5" s="4" t="inlineStr">
        <is>
          <t>Every room, every item — what you'll spend before the first guest.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ACQ-007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18" customHeight="1">
      <c r="A11" s="7" t="inlineStr">
        <is>
          <t>WHAT THIS DOES</t>
        </is>
      </c>
    </row>
    <row r="12" ht="18" customHeight="1">
      <c r="A12" s="8" t="inlineStr">
        <is>
          <t>Walks you room-by-room through every essential furnishing item with cost benchmarks. Tracks estimated vs actual spend, MACRS class per item (5-yr / 7-yr / Decor), and a 60-day operating reserve so you don't run dry the week you launch.</t>
        </is>
      </c>
    </row>
    <row r="13" ht="18" customHeight="1"/>
    <row r="14" ht="18" customHeight="1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7" ht="16" customHeight="1">
      <c r="A17" s="9" t="inlineStr">
        <is>
          <t>BUDGET (EST)</t>
        </is>
      </c>
      <c r="D17" s="9" t="inlineStr">
        <is>
          <t>SPENT (ACTUAL)</t>
        </is>
      </c>
      <c r="G17" s="9" t="inlineStr">
        <is>
          <t>INSTALLED %</t>
        </is>
      </c>
      <c r="J17" s="9" t="inlineStr">
        <is>
          <t>$ TO FIRST STAY</t>
        </is>
      </c>
    </row>
    <row r="18" ht="22" customHeight="1">
      <c r="A18" s="10">
        <f>SUM('Room Detail'!E6:E205)</f>
        <v/>
      </c>
      <c r="D18" s="10">
        <f>SUM('Room Detail'!F6:F205)</f>
        <v/>
      </c>
      <c r="G18" s="11">
        <f>IFERROR(COUNTIF('Room Detail'!H6:H205,"Installed")/COUNTA('Room Detail'!C6:C205),0)</f>
        <v/>
      </c>
      <c r="J18" s="12">
        <f>SUM('Room Detail'!F6:F205)+'Operating Reserve'!C16</f>
        <v/>
      </c>
    </row>
    <row r="19" ht="16" customHeight="1"/>
    <row r="20" ht="16" customHeight="1"/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3" ht="22" customHeight="1">
      <c r="A23" s="14">
        <f>HYPERLINK("#'Room Detail'!A1", "Room Detail")</f>
        <v/>
      </c>
      <c r="B23" s="15" t="n"/>
      <c r="C23" s="15" t="n"/>
      <c r="D23" s="14">
        <f>HYPERLINK("#'Per-Room Roll-up'!A1", "Per-Room Roll-up")</f>
        <v/>
      </c>
      <c r="E23" s="15" t="n"/>
      <c r="F23" s="15" t="n"/>
      <c r="G23" s="14">
        <f>HYPERLINK("#'Operating Reserve'!A1", "Operating Reserve")</f>
        <v/>
      </c>
      <c r="H23" s="15" t="n"/>
      <c r="I23" s="15" t="n"/>
      <c r="J23" s="16">
        <f>HYPERLINK("#'Settings'!A1", "Settings")</f>
        <v/>
      </c>
      <c r="K23" s="17" t="n"/>
      <c r="L23" s="17" t="n"/>
    </row>
    <row r="24" ht="22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7" t="n"/>
      <c r="K24" s="17" t="n"/>
      <c r="L24" s="17" t="n"/>
    </row>
    <row r="25" ht="22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7" t="n"/>
      <c r="K25" s="17" t="n"/>
      <c r="L25" s="17" t="n"/>
    </row>
    <row r="27" ht="22" customHeight="1">
      <c r="A27" s="18">
        <f>HYPERLINK("#'Room Detail'!B6", "→  ADD A NEW ITEM")</f>
        <v/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</row>
    <row r="28" ht="22" customHeight="1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</row>
    <row r="29" ht="22" customHeight="1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</row>
    <row r="32">
      <c r="A32" s="20" t="inlineStr">
        <is>
          <t>HOW TO USE</t>
        </is>
      </c>
    </row>
    <row r="33" ht="16" customHeight="1">
      <c r="A33" s="21" t="inlineStr">
        <is>
          <t>1) On Settings — set property name + first-stay date.   2) On Room Detail — log every item: room, name, est cost, MACRS class.   3) As you buy: fill Actual cost + status. KPIs above and Roll-up update live.</t>
        </is>
      </c>
    </row>
    <row r="34" ht="16" customHeight="1"/>
    <row r="35" ht="16" customHeight="1"/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</row>
    <row r="39" ht="18" customHeight="1">
      <c r="A39" s="23" t="inlineStr">
        <is>
          <t>Questions? hello@thestrledger.com</t>
        </is>
      </c>
    </row>
    <row r="40" ht="18" customHeight="1">
      <c r="A40" s="24" t="inlineStr">
        <is>
          <t>ACQ-007 · v1.0 · BLANK · Free updates forever</t>
        </is>
      </c>
    </row>
  </sheetData>
  <mergeCells count="23">
    <mergeCell ref="A7:L7"/>
    <mergeCell ref="G23:I25"/>
    <mergeCell ref="D17:F17"/>
    <mergeCell ref="A2:F2"/>
    <mergeCell ref="A18:C20"/>
    <mergeCell ref="G18:I20"/>
    <mergeCell ref="A5:L5"/>
    <mergeCell ref="A27:L29"/>
    <mergeCell ref="A32:L32"/>
    <mergeCell ref="A17:C17"/>
    <mergeCell ref="A12:L14"/>
    <mergeCell ref="A4:L4"/>
    <mergeCell ref="A23:C25"/>
    <mergeCell ref="A33:L35"/>
    <mergeCell ref="D18:F20"/>
    <mergeCell ref="D23:F25"/>
    <mergeCell ref="J18:L20"/>
    <mergeCell ref="A40:L40"/>
    <mergeCell ref="J17:L17"/>
    <mergeCell ref="A39:L39"/>
    <mergeCell ref="J23:L25"/>
    <mergeCell ref="A11:L11"/>
    <mergeCell ref="G17:I17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28" customWidth="1" min="4" max="4"/>
    <col width="12" customWidth="1" min="5" max="5"/>
    <col width="12" customWidth="1" min="6" max="6"/>
    <col width="18" customWidth="1" min="7" max="7"/>
    <col width="14" customWidth="1" min="8" max="8"/>
    <col width="18" customWidth="1" min="9" max="9"/>
    <col width="20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BACK")</f>
        <v/>
      </c>
      <c r="B2" s="15" t="n"/>
      <c r="C2" s="15" t="n"/>
      <c r="D2" s="25" t="inlineStr">
        <is>
          <t>ROOM DETAIL</t>
        </is>
      </c>
      <c r="J2" s="18">
        <f>HYPERLINK("#'Per-Room Roll-up'!A1", "NEXT →")</f>
        <v/>
      </c>
      <c r="K2" s="19" t="n"/>
      <c r="L2" s="1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Per-item register · 200 rows · yellow = edit · gray = formula · Status "Installed" counts toward completion %.</t>
        </is>
      </c>
    </row>
    <row r="5" ht="24" customHeight="1">
      <c r="A5" s="27" t="inlineStr">
        <is>
          <t>#</t>
        </is>
      </c>
      <c r="B5" s="27" t="inlineStr">
        <is>
          <t>Room</t>
        </is>
      </c>
      <c r="C5" s="27" t="inlineStr">
        <is>
          <t>Item</t>
        </is>
      </c>
      <c r="D5" s="27" t="inlineStr">
        <is>
          <t>Description / brand</t>
        </is>
      </c>
      <c r="E5" s="27" t="inlineStr">
        <is>
          <t>Est cost</t>
        </is>
      </c>
      <c r="F5" s="27" t="inlineStr">
        <is>
          <t>Actual cost</t>
        </is>
      </c>
      <c r="G5" s="27" t="inlineStr">
        <is>
          <t>Vendor / source</t>
        </is>
      </c>
      <c r="H5" s="27" t="inlineStr">
        <is>
          <t>Status</t>
        </is>
      </c>
      <c r="I5" s="27" t="inlineStr">
        <is>
          <t>MACRS class</t>
        </is>
      </c>
      <c r="J5" s="27" t="inlineStr">
        <is>
          <t>Notes</t>
        </is>
      </c>
    </row>
    <row r="6" ht="16" customHeight="1">
      <c r="A6" s="28">
        <f>IF(C6="","",ROW()-5)</f>
        <v/>
      </c>
      <c r="B6" s="29" t="n"/>
      <c r="C6" s="29" t="n"/>
      <c r="D6" s="29" t="n"/>
      <c r="E6" s="30" t="n"/>
      <c r="F6" s="30" t="n"/>
      <c r="G6" s="29" t="n"/>
      <c r="H6" s="31" t="n"/>
      <c r="I6" s="31" t="n"/>
      <c r="J6" s="29" t="n"/>
    </row>
    <row r="7" ht="16" customHeight="1">
      <c r="A7" s="32">
        <f>IF(C7="","",ROW()-5)</f>
        <v/>
      </c>
      <c r="B7" s="29" t="n"/>
      <c r="C7" s="29" t="n"/>
      <c r="D7" s="29" t="n"/>
      <c r="E7" s="30" t="n"/>
      <c r="F7" s="30" t="n"/>
      <c r="G7" s="29" t="n"/>
      <c r="H7" s="31" t="n"/>
      <c r="I7" s="31" t="n"/>
      <c r="J7" s="29" t="n"/>
    </row>
    <row r="8" ht="16" customHeight="1">
      <c r="A8" s="28">
        <f>IF(C8="","",ROW()-5)</f>
        <v/>
      </c>
      <c r="B8" s="29" t="n"/>
      <c r="C8" s="29" t="n"/>
      <c r="D8" s="29" t="n"/>
      <c r="E8" s="30" t="n"/>
      <c r="F8" s="30" t="n"/>
      <c r="G8" s="29" t="n"/>
      <c r="H8" s="31" t="n"/>
      <c r="I8" s="31" t="n"/>
      <c r="J8" s="29" t="n"/>
    </row>
    <row r="9" ht="16" customHeight="1">
      <c r="A9" s="32">
        <f>IF(C9="","",ROW()-5)</f>
        <v/>
      </c>
      <c r="B9" s="29" t="n"/>
      <c r="C9" s="29" t="n"/>
      <c r="D9" s="29" t="n"/>
      <c r="E9" s="30" t="n"/>
      <c r="F9" s="30" t="n"/>
      <c r="G9" s="29" t="n"/>
      <c r="H9" s="31" t="n"/>
      <c r="I9" s="31" t="n"/>
      <c r="J9" s="29" t="n"/>
    </row>
    <row r="10" ht="16" customHeight="1">
      <c r="A10" s="28">
        <f>IF(C10="","",ROW()-5)</f>
        <v/>
      </c>
      <c r="B10" s="29" t="n"/>
      <c r="C10" s="29" t="n"/>
      <c r="D10" s="29" t="n"/>
      <c r="E10" s="30" t="n"/>
      <c r="F10" s="30" t="n"/>
      <c r="G10" s="29" t="n"/>
      <c r="H10" s="31" t="n"/>
      <c r="I10" s="31" t="n"/>
      <c r="J10" s="29" t="n"/>
    </row>
    <row r="11" ht="16" customHeight="1">
      <c r="A11" s="32">
        <f>IF(C11="","",ROW()-5)</f>
        <v/>
      </c>
      <c r="B11" s="29" t="n"/>
      <c r="C11" s="29" t="n"/>
      <c r="D11" s="29" t="n"/>
      <c r="E11" s="30" t="n"/>
      <c r="F11" s="30" t="n"/>
      <c r="G11" s="29" t="n"/>
      <c r="H11" s="31" t="n"/>
      <c r="I11" s="31" t="n"/>
      <c r="J11" s="29" t="n"/>
    </row>
    <row r="12" ht="16" customHeight="1">
      <c r="A12" s="28">
        <f>IF(C12="","",ROW()-5)</f>
        <v/>
      </c>
      <c r="B12" s="29" t="n"/>
      <c r="C12" s="29" t="n"/>
      <c r="D12" s="29" t="n"/>
      <c r="E12" s="30" t="n"/>
      <c r="F12" s="30" t="n"/>
      <c r="G12" s="29" t="n"/>
      <c r="H12" s="31" t="n"/>
      <c r="I12" s="31" t="n"/>
      <c r="J12" s="29" t="n"/>
    </row>
    <row r="13" ht="16" customHeight="1">
      <c r="A13" s="32">
        <f>IF(C13="","",ROW()-5)</f>
        <v/>
      </c>
      <c r="B13" s="29" t="n"/>
      <c r="C13" s="29" t="n"/>
      <c r="D13" s="29" t="n"/>
      <c r="E13" s="30" t="n"/>
      <c r="F13" s="30" t="n"/>
      <c r="G13" s="29" t="n"/>
      <c r="H13" s="31" t="n"/>
      <c r="I13" s="31" t="n"/>
      <c r="J13" s="29" t="n"/>
    </row>
    <row r="14" ht="16" customHeight="1">
      <c r="A14" s="28">
        <f>IF(C14="","",ROW()-5)</f>
        <v/>
      </c>
      <c r="B14" s="29" t="n"/>
      <c r="C14" s="29" t="n"/>
      <c r="D14" s="29" t="n"/>
      <c r="E14" s="30" t="n"/>
      <c r="F14" s="30" t="n"/>
      <c r="G14" s="29" t="n"/>
      <c r="H14" s="31" t="n"/>
      <c r="I14" s="31" t="n"/>
      <c r="J14" s="29" t="n"/>
    </row>
    <row r="15" ht="16" customHeight="1">
      <c r="A15" s="32">
        <f>IF(C15="","",ROW()-5)</f>
        <v/>
      </c>
      <c r="B15" s="29" t="n"/>
      <c r="C15" s="29" t="n"/>
      <c r="D15" s="29" t="n"/>
      <c r="E15" s="30" t="n"/>
      <c r="F15" s="30" t="n"/>
      <c r="G15" s="29" t="n"/>
      <c r="H15" s="31" t="n"/>
      <c r="I15" s="31" t="n"/>
      <c r="J15" s="29" t="n"/>
    </row>
    <row r="16" ht="16" customHeight="1">
      <c r="A16" s="28">
        <f>IF(C16="","",ROW()-5)</f>
        <v/>
      </c>
      <c r="B16" s="29" t="n"/>
      <c r="C16" s="29" t="n"/>
      <c r="D16" s="29" t="n"/>
      <c r="E16" s="30" t="n"/>
      <c r="F16" s="30" t="n"/>
      <c r="G16" s="29" t="n"/>
      <c r="H16" s="31" t="n"/>
      <c r="I16" s="31" t="n"/>
      <c r="J16" s="29" t="n"/>
    </row>
    <row r="17" ht="16" customHeight="1">
      <c r="A17" s="32">
        <f>IF(C17="","",ROW()-5)</f>
        <v/>
      </c>
      <c r="B17" s="29" t="n"/>
      <c r="C17" s="29" t="n"/>
      <c r="D17" s="29" t="n"/>
      <c r="E17" s="30" t="n"/>
      <c r="F17" s="30" t="n"/>
      <c r="G17" s="29" t="n"/>
      <c r="H17" s="31" t="n"/>
      <c r="I17" s="31" t="n"/>
      <c r="J17" s="29" t="n"/>
    </row>
    <row r="18" ht="16" customHeight="1">
      <c r="A18" s="28">
        <f>IF(C18="","",ROW()-5)</f>
        <v/>
      </c>
      <c r="B18" s="29" t="n"/>
      <c r="C18" s="29" t="n"/>
      <c r="D18" s="29" t="n"/>
      <c r="E18" s="30" t="n"/>
      <c r="F18" s="30" t="n"/>
      <c r="G18" s="29" t="n"/>
      <c r="H18" s="31" t="n"/>
      <c r="I18" s="31" t="n"/>
      <c r="J18" s="29" t="n"/>
    </row>
    <row r="19" ht="16" customHeight="1">
      <c r="A19" s="32">
        <f>IF(C19="","",ROW()-5)</f>
        <v/>
      </c>
      <c r="B19" s="29" t="n"/>
      <c r="C19" s="29" t="n"/>
      <c r="D19" s="29" t="n"/>
      <c r="E19" s="30" t="n"/>
      <c r="F19" s="30" t="n"/>
      <c r="G19" s="29" t="n"/>
      <c r="H19" s="31" t="n"/>
      <c r="I19" s="31" t="n"/>
      <c r="J19" s="29" t="n"/>
    </row>
    <row r="20" ht="16" customHeight="1">
      <c r="A20" s="28">
        <f>IF(C20="","",ROW()-5)</f>
        <v/>
      </c>
      <c r="B20" s="29" t="n"/>
      <c r="C20" s="29" t="n"/>
      <c r="D20" s="29" t="n"/>
      <c r="E20" s="30" t="n"/>
      <c r="F20" s="30" t="n"/>
      <c r="G20" s="29" t="n"/>
      <c r="H20" s="31" t="n"/>
      <c r="I20" s="31" t="n"/>
      <c r="J20" s="29" t="n"/>
    </row>
    <row r="21" ht="16" customHeight="1">
      <c r="A21" s="32">
        <f>IF(C21="","",ROW()-5)</f>
        <v/>
      </c>
      <c r="B21" s="29" t="n"/>
      <c r="C21" s="29" t="n"/>
      <c r="D21" s="29" t="n"/>
      <c r="E21" s="30" t="n"/>
      <c r="F21" s="30" t="n"/>
      <c r="G21" s="29" t="n"/>
      <c r="H21" s="31" t="n"/>
      <c r="I21" s="31" t="n"/>
      <c r="J21" s="29" t="n"/>
    </row>
    <row r="22" ht="16" customHeight="1">
      <c r="A22" s="28">
        <f>IF(C22="","",ROW()-5)</f>
        <v/>
      </c>
      <c r="B22" s="29" t="n"/>
      <c r="C22" s="29" t="n"/>
      <c r="D22" s="29" t="n"/>
      <c r="E22" s="30" t="n"/>
      <c r="F22" s="30" t="n"/>
      <c r="G22" s="29" t="n"/>
      <c r="H22" s="31" t="n"/>
      <c r="I22" s="31" t="n"/>
      <c r="J22" s="29" t="n"/>
    </row>
    <row r="23" ht="16" customHeight="1">
      <c r="A23" s="32">
        <f>IF(C23="","",ROW()-5)</f>
        <v/>
      </c>
      <c r="B23" s="29" t="n"/>
      <c r="C23" s="29" t="n"/>
      <c r="D23" s="29" t="n"/>
      <c r="E23" s="30" t="n"/>
      <c r="F23" s="30" t="n"/>
      <c r="G23" s="29" t="n"/>
      <c r="H23" s="31" t="n"/>
      <c r="I23" s="31" t="n"/>
      <c r="J23" s="29" t="n"/>
    </row>
    <row r="24" ht="16" customHeight="1">
      <c r="A24" s="28">
        <f>IF(C24="","",ROW()-5)</f>
        <v/>
      </c>
      <c r="B24" s="29" t="n"/>
      <c r="C24" s="29" t="n"/>
      <c r="D24" s="29" t="n"/>
      <c r="E24" s="30" t="n"/>
      <c r="F24" s="30" t="n"/>
      <c r="G24" s="29" t="n"/>
      <c r="H24" s="31" t="n"/>
      <c r="I24" s="31" t="n"/>
      <c r="J24" s="29" t="n"/>
    </row>
    <row r="25" ht="16" customHeight="1">
      <c r="A25" s="32">
        <f>IF(C25="","",ROW()-5)</f>
        <v/>
      </c>
      <c r="B25" s="29" t="n"/>
      <c r="C25" s="29" t="n"/>
      <c r="D25" s="29" t="n"/>
      <c r="E25" s="30" t="n"/>
      <c r="F25" s="30" t="n"/>
      <c r="G25" s="29" t="n"/>
      <c r="H25" s="31" t="n"/>
      <c r="I25" s="31" t="n"/>
      <c r="J25" s="29" t="n"/>
    </row>
    <row r="26" ht="16" customHeight="1">
      <c r="A26" s="28">
        <f>IF(C26="","",ROW()-5)</f>
        <v/>
      </c>
      <c r="B26" s="29" t="n"/>
      <c r="C26" s="29" t="n"/>
      <c r="D26" s="29" t="n"/>
      <c r="E26" s="30" t="n"/>
      <c r="F26" s="30" t="n"/>
      <c r="G26" s="29" t="n"/>
      <c r="H26" s="31" t="n"/>
      <c r="I26" s="31" t="n"/>
      <c r="J26" s="29" t="n"/>
    </row>
    <row r="27" ht="16" customHeight="1">
      <c r="A27" s="32">
        <f>IF(C27="","",ROW()-5)</f>
        <v/>
      </c>
      <c r="B27" s="29" t="n"/>
      <c r="C27" s="29" t="n"/>
      <c r="D27" s="29" t="n"/>
      <c r="E27" s="30" t="n"/>
      <c r="F27" s="30" t="n"/>
      <c r="G27" s="29" t="n"/>
      <c r="H27" s="31" t="n"/>
      <c r="I27" s="31" t="n"/>
      <c r="J27" s="29" t="n"/>
    </row>
    <row r="28" ht="16" customHeight="1">
      <c r="A28" s="28">
        <f>IF(C28="","",ROW()-5)</f>
        <v/>
      </c>
      <c r="B28" s="29" t="n"/>
      <c r="C28" s="29" t="n"/>
      <c r="D28" s="29" t="n"/>
      <c r="E28" s="30" t="n"/>
      <c r="F28" s="30" t="n"/>
      <c r="G28" s="29" t="n"/>
      <c r="H28" s="31" t="n"/>
      <c r="I28" s="31" t="n"/>
      <c r="J28" s="29" t="n"/>
    </row>
    <row r="29" ht="16" customHeight="1">
      <c r="A29" s="32">
        <f>IF(C29="","",ROW()-5)</f>
        <v/>
      </c>
      <c r="B29" s="29" t="n"/>
      <c r="C29" s="29" t="n"/>
      <c r="D29" s="29" t="n"/>
      <c r="E29" s="30" t="n"/>
      <c r="F29" s="30" t="n"/>
      <c r="G29" s="29" t="n"/>
      <c r="H29" s="31" t="n"/>
      <c r="I29" s="31" t="n"/>
      <c r="J29" s="29" t="n"/>
    </row>
    <row r="30" ht="16" customHeight="1">
      <c r="A30" s="28">
        <f>IF(C30="","",ROW()-5)</f>
        <v/>
      </c>
      <c r="B30" s="29" t="n"/>
      <c r="C30" s="29" t="n"/>
      <c r="D30" s="29" t="n"/>
      <c r="E30" s="30" t="n"/>
      <c r="F30" s="30" t="n"/>
      <c r="G30" s="29" t="n"/>
      <c r="H30" s="31" t="n"/>
      <c r="I30" s="31" t="n"/>
      <c r="J30" s="29" t="n"/>
    </row>
    <row r="31" ht="16" customHeight="1">
      <c r="A31" s="32">
        <f>IF(C31="","",ROW()-5)</f>
        <v/>
      </c>
      <c r="B31" s="29" t="n"/>
      <c r="C31" s="29" t="n"/>
      <c r="D31" s="29" t="n"/>
      <c r="E31" s="30" t="n"/>
      <c r="F31" s="30" t="n"/>
      <c r="G31" s="29" t="n"/>
      <c r="H31" s="31" t="n"/>
      <c r="I31" s="31" t="n"/>
      <c r="J31" s="29" t="n"/>
    </row>
    <row r="32" ht="16" customHeight="1">
      <c r="A32" s="28">
        <f>IF(C32="","",ROW()-5)</f>
        <v/>
      </c>
      <c r="B32" s="29" t="n"/>
      <c r="C32" s="29" t="n"/>
      <c r="D32" s="29" t="n"/>
      <c r="E32" s="30" t="n"/>
      <c r="F32" s="30" t="n"/>
      <c r="G32" s="29" t="n"/>
      <c r="H32" s="31" t="n"/>
      <c r="I32" s="31" t="n"/>
      <c r="J32" s="29" t="n"/>
    </row>
    <row r="33" ht="16" customHeight="1">
      <c r="A33" s="32">
        <f>IF(C33="","",ROW()-5)</f>
        <v/>
      </c>
      <c r="B33" s="29" t="n"/>
      <c r="C33" s="29" t="n"/>
      <c r="D33" s="29" t="n"/>
      <c r="E33" s="30" t="n"/>
      <c r="F33" s="30" t="n"/>
      <c r="G33" s="29" t="n"/>
      <c r="H33" s="31" t="n"/>
      <c r="I33" s="31" t="n"/>
      <c r="J33" s="29" t="n"/>
    </row>
    <row r="34" ht="16" customHeight="1">
      <c r="A34" s="28">
        <f>IF(C34="","",ROW()-5)</f>
        <v/>
      </c>
      <c r="B34" s="29" t="n"/>
      <c r="C34" s="29" t="n"/>
      <c r="D34" s="29" t="n"/>
      <c r="E34" s="30" t="n"/>
      <c r="F34" s="30" t="n"/>
      <c r="G34" s="29" t="n"/>
      <c r="H34" s="31" t="n"/>
      <c r="I34" s="31" t="n"/>
      <c r="J34" s="29" t="n"/>
    </row>
    <row r="35" ht="16" customHeight="1">
      <c r="A35" s="32">
        <f>IF(C35="","",ROW()-5)</f>
        <v/>
      </c>
      <c r="B35" s="29" t="n"/>
      <c r="C35" s="29" t="n"/>
      <c r="D35" s="29" t="n"/>
      <c r="E35" s="30" t="n"/>
      <c r="F35" s="30" t="n"/>
      <c r="G35" s="29" t="n"/>
      <c r="H35" s="31" t="n"/>
      <c r="I35" s="31" t="n"/>
      <c r="J35" s="29" t="n"/>
    </row>
    <row r="36" ht="16" customHeight="1">
      <c r="A36" s="28">
        <f>IF(C36="","",ROW()-5)</f>
        <v/>
      </c>
      <c r="B36" s="29" t="n"/>
      <c r="C36" s="29" t="n"/>
      <c r="D36" s="29" t="n"/>
      <c r="E36" s="30" t="n"/>
      <c r="F36" s="30" t="n"/>
      <c r="G36" s="29" t="n"/>
      <c r="H36" s="31" t="n"/>
      <c r="I36" s="31" t="n"/>
      <c r="J36" s="29" t="n"/>
    </row>
    <row r="37" ht="16" customHeight="1">
      <c r="A37" s="32">
        <f>IF(C37="","",ROW()-5)</f>
        <v/>
      </c>
      <c r="B37" s="29" t="n"/>
      <c r="C37" s="29" t="n"/>
      <c r="D37" s="29" t="n"/>
      <c r="E37" s="30" t="n"/>
      <c r="F37" s="30" t="n"/>
      <c r="G37" s="29" t="n"/>
      <c r="H37" s="31" t="n"/>
      <c r="I37" s="31" t="n"/>
      <c r="J37" s="29" t="n"/>
    </row>
    <row r="38" ht="16" customHeight="1">
      <c r="A38" s="28">
        <f>IF(C38="","",ROW()-5)</f>
        <v/>
      </c>
      <c r="B38" s="29" t="n"/>
      <c r="C38" s="29" t="n"/>
      <c r="D38" s="29" t="n"/>
      <c r="E38" s="30" t="n"/>
      <c r="F38" s="30" t="n"/>
      <c r="G38" s="29" t="n"/>
      <c r="H38" s="31" t="n"/>
      <c r="I38" s="31" t="n"/>
      <c r="J38" s="29" t="n"/>
    </row>
    <row r="39" ht="16" customHeight="1">
      <c r="A39" s="32">
        <f>IF(C39="","",ROW()-5)</f>
        <v/>
      </c>
      <c r="B39" s="29" t="n"/>
      <c r="C39" s="29" t="n"/>
      <c r="D39" s="29" t="n"/>
      <c r="E39" s="30" t="n"/>
      <c r="F39" s="30" t="n"/>
      <c r="G39" s="29" t="n"/>
      <c r="H39" s="31" t="n"/>
      <c r="I39" s="31" t="n"/>
      <c r="J39" s="29" t="n"/>
    </row>
    <row r="40" ht="16" customHeight="1">
      <c r="A40" s="28">
        <f>IF(C40="","",ROW()-5)</f>
        <v/>
      </c>
      <c r="B40" s="29" t="n"/>
      <c r="C40" s="29" t="n"/>
      <c r="D40" s="29" t="n"/>
      <c r="E40" s="30" t="n"/>
      <c r="F40" s="30" t="n"/>
      <c r="G40" s="29" t="n"/>
      <c r="H40" s="31" t="n"/>
      <c r="I40" s="31" t="n"/>
      <c r="J40" s="29" t="n"/>
    </row>
    <row r="41" ht="16" customHeight="1">
      <c r="A41" s="32">
        <f>IF(C41="","",ROW()-5)</f>
        <v/>
      </c>
      <c r="B41" s="29" t="n"/>
      <c r="C41" s="29" t="n"/>
      <c r="D41" s="29" t="n"/>
      <c r="E41" s="30" t="n"/>
      <c r="F41" s="30" t="n"/>
      <c r="G41" s="29" t="n"/>
      <c r="H41" s="31" t="n"/>
      <c r="I41" s="31" t="n"/>
      <c r="J41" s="29" t="n"/>
    </row>
    <row r="42" ht="16" customHeight="1">
      <c r="A42" s="28">
        <f>IF(C42="","",ROW()-5)</f>
        <v/>
      </c>
      <c r="B42" s="29" t="n"/>
      <c r="C42" s="29" t="n"/>
      <c r="D42" s="29" t="n"/>
      <c r="E42" s="30" t="n"/>
      <c r="F42" s="30" t="n"/>
      <c r="G42" s="29" t="n"/>
      <c r="H42" s="31" t="n"/>
      <c r="I42" s="31" t="n"/>
      <c r="J42" s="29" t="n"/>
    </row>
    <row r="43" ht="16" customHeight="1">
      <c r="A43" s="32">
        <f>IF(C43="","",ROW()-5)</f>
        <v/>
      </c>
      <c r="B43" s="29" t="n"/>
      <c r="C43" s="29" t="n"/>
      <c r="D43" s="29" t="n"/>
      <c r="E43" s="30" t="n"/>
      <c r="F43" s="30" t="n"/>
      <c r="G43" s="29" t="n"/>
      <c r="H43" s="31" t="n"/>
      <c r="I43" s="31" t="n"/>
      <c r="J43" s="29" t="n"/>
    </row>
    <row r="44" ht="16" customHeight="1">
      <c r="A44" s="28">
        <f>IF(C44="","",ROW()-5)</f>
        <v/>
      </c>
      <c r="B44" s="29" t="n"/>
      <c r="C44" s="29" t="n"/>
      <c r="D44" s="29" t="n"/>
      <c r="E44" s="30" t="n"/>
      <c r="F44" s="30" t="n"/>
      <c r="G44" s="29" t="n"/>
      <c r="H44" s="31" t="n"/>
      <c r="I44" s="31" t="n"/>
      <c r="J44" s="29" t="n"/>
    </row>
    <row r="45" ht="16" customHeight="1">
      <c r="A45" s="32">
        <f>IF(C45="","",ROW()-5)</f>
        <v/>
      </c>
      <c r="B45" s="29" t="n"/>
      <c r="C45" s="29" t="n"/>
      <c r="D45" s="29" t="n"/>
      <c r="E45" s="30" t="n"/>
      <c r="F45" s="30" t="n"/>
      <c r="G45" s="29" t="n"/>
      <c r="H45" s="31" t="n"/>
      <c r="I45" s="31" t="n"/>
      <c r="J45" s="29" t="n"/>
    </row>
    <row r="46" ht="16" customHeight="1">
      <c r="A46" s="28">
        <f>IF(C46="","",ROW()-5)</f>
        <v/>
      </c>
      <c r="B46" s="29" t="n"/>
      <c r="C46" s="29" t="n"/>
      <c r="D46" s="29" t="n"/>
      <c r="E46" s="30" t="n"/>
      <c r="F46" s="30" t="n"/>
      <c r="G46" s="29" t="n"/>
      <c r="H46" s="31" t="n"/>
      <c r="I46" s="31" t="n"/>
      <c r="J46" s="29" t="n"/>
    </row>
    <row r="47" ht="16" customHeight="1">
      <c r="A47" s="32">
        <f>IF(C47="","",ROW()-5)</f>
        <v/>
      </c>
      <c r="B47" s="29" t="n"/>
      <c r="C47" s="29" t="n"/>
      <c r="D47" s="29" t="n"/>
      <c r="E47" s="30" t="n"/>
      <c r="F47" s="30" t="n"/>
      <c r="G47" s="29" t="n"/>
      <c r="H47" s="31" t="n"/>
      <c r="I47" s="31" t="n"/>
      <c r="J47" s="29" t="n"/>
    </row>
    <row r="48" ht="16" customHeight="1">
      <c r="A48" s="28">
        <f>IF(C48="","",ROW()-5)</f>
        <v/>
      </c>
      <c r="B48" s="29" t="n"/>
      <c r="C48" s="29" t="n"/>
      <c r="D48" s="29" t="n"/>
      <c r="E48" s="30" t="n"/>
      <c r="F48" s="30" t="n"/>
      <c r="G48" s="29" t="n"/>
      <c r="H48" s="31" t="n"/>
      <c r="I48" s="31" t="n"/>
      <c r="J48" s="29" t="n"/>
    </row>
    <row r="49" ht="16" customHeight="1">
      <c r="A49" s="32">
        <f>IF(C49="","",ROW()-5)</f>
        <v/>
      </c>
      <c r="B49" s="29" t="n"/>
      <c r="C49" s="29" t="n"/>
      <c r="D49" s="29" t="n"/>
      <c r="E49" s="30" t="n"/>
      <c r="F49" s="30" t="n"/>
      <c r="G49" s="29" t="n"/>
      <c r="H49" s="31" t="n"/>
      <c r="I49" s="31" t="n"/>
      <c r="J49" s="29" t="n"/>
    </row>
    <row r="50" ht="16" customHeight="1">
      <c r="A50" s="28">
        <f>IF(C50="","",ROW()-5)</f>
        <v/>
      </c>
      <c r="B50" s="29" t="n"/>
      <c r="C50" s="29" t="n"/>
      <c r="D50" s="29" t="n"/>
      <c r="E50" s="30" t="n"/>
      <c r="F50" s="30" t="n"/>
      <c r="G50" s="29" t="n"/>
      <c r="H50" s="31" t="n"/>
      <c r="I50" s="31" t="n"/>
      <c r="J50" s="29" t="n"/>
    </row>
    <row r="51" ht="16" customHeight="1">
      <c r="A51" s="32">
        <f>IF(C51="","",ROW()-5)</f>
        <v/>
      </c>
      <c r="B51" s="29" t="n"/>
      <c r="C51" s="29" t="n"/>
      <c r="D51" s="29" t="n"/>
      <c r="E51" s="30" t="n"/>
      <c r="F51" s="30" t="n"/>
      <c r="G51" s="29" t="n"/>
      <c r="H51" s="31" t="n"/>
      <c r="I51" s="31" t="n"/>
      <c r="J51" s="29" t="n"/>
    </row>
    <row r="52" ht="16" customHeight="1">
      <c r="A52" s="28">
        <f>IF(C52="","",ROW()-5)</f>
        <v/>
      </c>
      <c r="B52" s="29" t="n"/>
      <c r="C52" s="29" t="n"/>
      <c r="D52" s="29" t="n"/>
      <c r="E52" s="30" t="n"/>
      <c r="F52" s="30" t="n"/>
      <c r="G52" s="29" t="n"/>
      <c r="H52" s="31" t="n"/>
      <c r="I52" s="31" t="n"/>
      <c r="J52" s="29" t="n"/>
    </row>
    <row r="53" ht="16" customHeight="1">
      <c r="A53" s="32">
        <f>IF(C53="","",ROW()-5)</f>
        <v/>
      </c>
      <c r="B53" s="29" t="n"/>
      <c r="C53" s="29" t="n"/>
      <c r="D53" s="29" t="n"/>
      <c r="E53" s="30" t="n"/>
      <c r="F53" s="30" t="n"/>
      <c r="G53" s="29" t="n"/>
      <c r="H53" s="31" t="n"/>
      <c r="I53" s="31" t="n"/>
      <c r="J53" s="29" t="n"/>
    </row>
    <row r="54" ht="16" customHeight="1">
      <c r="A54" s="28">
        <f>IF(C54="","",ROW()-5)</f>
        <v/>
      </c>
      <c r="B54" s="29" t="n"/>
      <c r="C54" s="29" t="n"/>
      <c r="D54" s="29" t="n"/>
      <c r="E54" s="30" t="n"/>
      <c r="F54" s="30" t="n"/>
      <c r="G54" s="29" t="n"/>
      <c r="H54" s="31" t="n"/>
      <c r="I54" s="31" t="n"/>
      <c r="J54" s="29" t="n"/>
    </row>
    <row r="55" ht="16" customHeight="1">
      <c r="A55" s="32">
        <f>IF(C55="","",ROW()-5)</f>
        <v/>
      </c>
      <c r="B55" s="29" t="n"/>
      <c r="C55" s="29" t="n"/>
      <c r="D55" s="29" t="n"/>
      <c r="E55" s="30" t="n"/>
      <c r="F55" s="30" t="n"/>
      <c r="G55" s="29" t="n"/>
      <c r="H55" s="31" t="n"/>
      <c r="I55" s="31" t="n"/>
      <c r="J55" s="29" t="n"/>
    </row>
    <row r="56" ht="16" customHeight="1">
      <c r="A56" s="28">
        <f>IF(C56="","",ROW()-5)</f>
        <v/>
      </c>
      <c r="B56" s="29" t="n"/>
      <c r="C56" s="29" t="n"/>
      <c r="D56" s="29" t="n"/>
      <c r="E56" s="30" t="n"/>
      <c r="F56" s="30" t="n"/>
      <c r="G56" s="29" t="n"/>
      <c r="H56" s="31" t="n"/>
      <c r="I56" s="31" t="n"/>
      <c r="J56" s="29" t="n"/>
    </row>
    <row r="57" ht="16" customHeight="1">
      <c r="A57" s="32">
        <f>IF(C57="","",ROW()-5)</f>
        <v/>
      </c>
      <c r="B57" s="29" t="n"/>
      <c r="C57" s="29" t="n"/>
      <c r="D57" s="29" t="n"/>
      <c r="E57" s="30" t="n"/>
      <c r="F57" s="30" t="n"/>
      <c r="G57" s="29" t="n"/>
      <c r="H57" s="31" t="n"/>
      <c r="I57" s="31" t="n"/>
      <c r="J57" s="29" t="n"/>
    </row>
    <row r="58" ht="16" customHeight="1">
      <c r="A58" s="28">
        <f>IF(C58="","",ROW()-5)</f>
        <v/>
      </c>
      <c r="B58" s="29" t="n"/>
      <c r="C58" s="29" t="n"/>
      <c r="D58" s="29" t="n"/>
      <c r="E58" s="30" t="n"/>
      <c r="F58" s="30" t="n"/>
      <c r="G58" s="29" t="n"/>
      <c r="H58" s="31" t="n"/>
      <c r="I58" s="31" t="n"/>
      <c r="J58" s="29" t="n"/>
    </row>
    <row r="59" ht="16" customHeight="1">
      <c r="A59" s="32">
        <f>IF(C59="","",ROW()-5)</f>
        <v/>
      </c>
      <c r="B59" s="29" t="n"/>
      <c r="C59" s="29" t="n"/>
      <c r="D59" s="29" t="n"/>
      <c r="E59" s="30" t="n"/>
      <c r="F59" s="30" t="n"/>
      <c r="G59" s="29" t="n"/>
      <c r="H59" s="31" t="n"/>
      <c r="I59" s="31" t="n"/>
      <c r="J59" s="29" t="n"/>
    </row>
    <row r="60" ht="16" customHeight="1">
      <c r="A60" s="28">
        <f>IF(C60="","",ROW()-5)</f>
        <v/>
      </c>
      <c r="B60" s="29" t="n"/>
      <c r="C60" s="29" t="n"/>
      <c r="D60" s="29" t="n"/>
      <c r="E60" s="30" t="n"/>
      <c r="F60" s="30" t="n"/>
      <c r="G60" s="29" t="n"/>
      <c r="H60" s="31" t="n"/>
      <c r="I60" s="31" t="n"/>
      <c r="J60" s="29" t="n"/>
    </row>
    <row r="61" ht="16" customHeight="1">
      <c r="A61" s="32">
        <f>IF(C61="","",ROW()-5)</f>
        <v/>
      </c>
      <c r="B61" s="29" t="n"/>
      <c r="C61" s="29" t="n"/>
      <c r="D61" s="29" t="n"/>
      <c r="E61" s="30" t="n"/>
      <c r="F61" s="30" t="n"/>
      <c r="G61" s="29" t="n"/>
      <c r="H61" s="31" t="n"/>
      <c r="I61" s="31" t="n"/>
      <c r="J61" s="29" t="n"/>
    </row>
    <row r="62" ht="16" customHeight="1">
      <c r="A62" s="28">
        <f>IF(C62="","",ROW()-5)</f>
        <v/>
      </c>
      <c r="B62" s="29" t="n"/>
      <c r="C62" s="29" t="n"/>
      <c r="D62" s="29" t="n"/>
      <c r="E62" s="30" t="n"/>
      <c r="F62" s="30" t="n"/>
      <c r="G62" s="29" t="n"/>
      <c r="H62" s="31" t="n"/>
      <c r="I62" s="31" t="n"/>
      <c r="J62" s="29" t="n"/>
    </row>
    <row r="63" ht="16" customHeight="1">
      <c r="A63" s="32">
        <f>IF(C63="","",ROW()-5)</f>
        <v/>
      </c>
      <c r="B63" s="29" t="n"/>
      <c r="C63" s="29" t="n"/>
      <c r="D63" s="29" t="n"/>
      <c r="E63" s="30" t="n"/>
      <c r="F63" s="30" t="n"/>
      <c r="G63" s="29" t="n"/>
      <c r="H63" s="31" t="n"/>
      <c r="I63" s="31" t="n"/>
      <c r="J63" s="29" t="n"/>
    </row>
    <row r="64" ht="16" customHeight="1">
      <c r="A64" s="28">
        <f>IF(C64="","",ROW()-5)</f>
        <v/>
      </c>
      <c r="B64" s="29" t="n"/>
      <c r="C64" s="29" t="n"/>
      <c r="D64" s="29" t="n"/>
      <c r="E64" s="30" t="n"/>
      <c r="F64" s="30" t="n"/>
      <c r="G64" s="29" t="n"/>
      <c r="H64" s="31" t="n"/>
      <c r="I64" s="31" t="n"/>
      <c r="J64" s="29" t="n"/>
    </row>
    <row r="65" ht="16" customHeight="1">
      <c r="A65" s="32">
        <f>IF(C65="","",ROW()-5)</f>
        <v/>
      </c>
      <c r="B65" s="29" t="n"/>
      <c r="C65" s="29" t="n"/>
      <c r="D65" s="29" t="n"/>
      <c r="E65" s="30" t="n"/>
      <c r="F65" s="30" t="n"/>
      <c r="G65" s="29" t="n"/>
      <c r="H65" s="31" t="n"/>
      <c r="I65" s="31" t="n"/>
      <c r="J65" s="29" t="n"/>
    </row>
    <row r="66" ht="16" customHeight="1">
      <c r="A66" s="28">
        <f>IF(C66="","",ROW()-5)</f>
        <v/>
      </c>
      <c r="B66" s="29" t="n"/>
      <c r="C66" s="29" t="n"/>
      <c r="D66" s="29" t="n"/>
      <c r="E66" s="30" t="n"/>
      <c r="F66" s="30" t="n"/>
      <c r="G66" s="29" t="n"/>
      <c r="H66" s="31" t="n"/>
      <c r="I66" s="31" t="n"/>
      <c r="J66" s="29" t="n"/>
    </row>
    <row r="67" ht="16" customHeight="1">
      <c r="A67" s="32">
        <f>IF(C67="","",ROW()-5)</f>
        <v/>
      </c>
      <c r="B67" s="29" t="n"/>
      <c r="C67" s="29" t="n"/>
      <c r="D67" s="29" t="n"/>
      <c r="E67" s="30" t="n"/>
      <c r="F67" s="30" t="n"/>
      <c r="G67" s="29" t="n"/>
      <c r="H67" s="31" t="n"/>
      <c r="I67" s="31" t="n"/>
      <c r="J67" s="29" t="n"/>
    </row>
    <row r="68" ht="16" customHeight="1">
      <c r="A68" s="28">
        <f>IF(C68="","",ROW()-5)</f>
        <v/>
      </c>
      <c r="B68" s="29" t="n"/>
      <c r="C68" s="29" t="n"/>
      <c r="D68" s="29" t="n"/>
      <c r="E68" s="30" t="n"/>
      <c r="F68" s="30" t="n"/>
      <c r="G68" s="29" t="n"/>
      <c r="H68" s="31" t="n"/>
      <c r="I68" s="31" t="n"/>
      <c r="J68" s="29" t="n"/>
    </row>
    <row r="69" ht="16" customHeight="1">
      <c r="A69" s="32">
        <f>IF(C69="","",ROW()-5)</f>
        <v/>
      </c>
      <c r="B69" s="29" t="n"/>
      <c r="C69" s="29" t="n"/>
      <c r="D69" s="29" t="n"/>
      <c r="E69" s="30" t="n"/>
      <c r="F69" s="30" t="n"/>
      <c r="G69" s="29" t="n"/>
      <c r="H69" s="31" t="n"/>
      <c r="I69" s="31" t="n"/>
      <c r="J69" s="29" t="n"/>
    </row>
    <row r="70" ht="16" customHeight="1">
      <c r="A70" s="28">
        <f>IF(C70="","",ROW()-5)</f>
        <v/>
      </c>
      <c r="B70" s="29" t="n"/>
      <c r="C70" s="29" t="n"/>
      <c r="D70" s="29" t="n"/>
      <c r="E70" s="30" t="n"/>
      <c r="F70" s="30" t="n"/>
      <c r="G70" s="29" t="n"/>
      <c r="H70" s="31" t="n"/>
      <c r="I70" s="31" t="n"/>
      <c r="J70" s="29" t="n"/>
    </row>
    <row r="71" ht="16" customHeight="1">
      <c r="A71" s="32">
        <f>IF(C71="","",ROW()-5)</f>
        <v/>
      </c>
      <c r="B71" s="29" t="n"/>
      <c r="C71" s="29" t="n"/>
      <c r="D71" s="29" t="n"/>
      <c r="E71" s="30" t="n"/>
      <c r="F71" s="30" t="n"/>
      <c r="G71" s="29" t="n"/>
      <c r="H71" s="31" t="n"/>
      <c r="I71" s="31" t="n"/>
      <c r="J71" s="29" t="n"/>
    </row>
    <row r="72" ht="16" customHeight="1">
      <c r="A72" s="28">
        <f>IF(C72="","",ROW()-5)</f>
        <v/>
      </c>
      <c r="B72" s="29" t="n"/>
      <c r="C72" s="29" t="n"/>
      <c r="D72" s="29" t="n"/>
      <c r="E72" s="30" t="n"/>
      <c r="F72" s="30" t="n"/>
      <c r="G72" s="29" t="n"/>
      <c r="H72" s="31" t="n"/>
      <c r="I72" s="31" t="n"/>
      <c r="J72" s="29" t="n"/>
    </row>
    <row r="73" ht="16" customHeight="1">
      <c r="A73" s="32">
        <f>IF(C73="","",ROW()-5)</f>
        <v/>
      </c>
      <c r="B73" s="29" t="n"/>
      <c r="C73" s="29" t="n"/>
      <c r="D73" s="29" t="n"/>
      <c r="E73" s="30" t="n"/>
      <c r="F73" s="30" t="n"/>
      <c r="G73" s="29" t="n"/>
      <c r="H73" s="31" t="n"/>
      <c r="I73" s="31" t="n"/>
      <c r="J73" s="29" t="n"/>
    </row>
    <row r="74" ht="16" customHeight="1">
      <c r="A74" s="28">
        <f>IF(C74="","",ROW()-5)</f>
        <v/>
      </c>
      <c r="B74" s="29" t="n"/>
      <c r="C74" s="29" t="n"/>
      <c r="D74" s="29" t="n"/>
      <c r="E74" s="30" t="n"/>
      <c r="F74" s="30" t="n"/>
      <c r="G74" s="29" t="n"/>
      <c r="H74" s="31" t="n"/>
      <c r="I74" s="31" t="n"/>
      <c r="J74" s="29" t="n"/>
    </row>
    <row r="75" ht="16" customHeight="1">
      <c r="A75" s="32">
        <f>IF(C75="","",ROW()-5)</f>
        <v/>
      </c>
      <c r="B75" s="29" t="n"/>
      <c r="C75" s="29" t="n"/>
      <c r="D75" s="29" t="n"/>
      <c r="E75" s="30" t="n"/>
      <c r="F75" s="30" t="n"/>
      <c r="G75" s="29" t="n"/>
      <c r="H75" s="31" t="n"/>
      <c r="I75" s="31" t="n"/>
      <c r="J75" s="29" t="n"/>
    </row>
    <row r="76" ht="16" customHeight="1">
      <c r="A76" s="28">
        <f>IF(C76="","",ROW()-5)</f>
        <v/>
      </c>
      <c r="B76" s="29" t="n"/>
      <c r="C76" s="29" t="n"/>
      <c r="D76" s="29" t="n"/>
      <c r="E76" s="30" t="n"/>
      <c r="F76" s="30" t="n"/>
      <c r="G76" s="29" t="n"/>
      <c r="H76" s="31" t="n"/>
      <c r="I76" s="31" t="n"/>
      <c r="J76" s="29" t="n"/>
    </row>
    <row r="77" ht="16" customHeight="1">
      <c r="A77" s="32">
        <f>IF(C77="","",ROW()-5)</f>
        <v/>
      </c>
      <c r="B77" s="29" t="n"/>
      <c r="C77" s="29" t="n"/>
      <c r="D77" s="29" t="n"/>
      <c r="E77" s="30" t="n"/>
      <c r="F77" s="30" t="n"/>
      <c r="G77" s="29" t="n"/>
      <c r="H77" s="31" t="n"/>
      <c r="I77" s="31" t="n"/>
      <c r="J77" s="29" t="n"/>
    </row>
    <row r="78" ht="16" customHeight="1">
      <c r="A78" s="28">
        <f>IF(C78="","",ROW()-5)</f>
        <v/>
      </c>
      <c r="B78" s="29" t="n"/>
      <c r="C78" s="29" t="n"/>
      <c r="D78" s="29" t="n"/>
      <c r="E78" s="30" t="n"/>
      <c r="F78" s="30" t="n"/>
      <c r="G78" s="29" t="n"/>
      <c r="H78" s="31" t="n"/>
      <c r="I78" s="31" t="n"/>
      <c r="J78" s="29" t="n"/>
    </row>
    <row r="79" ht="16" customHeight="1">
      <c r="A79" s="32">
        <f>IF(C79="","",ROW()-5)</f>
        <v/>
      </c>
      <c r="B79" s="29" t="n"/>
      <c r="C79" s="29" t="n"/>
      <c r="D79" s="29" t="n"/>
      <c r="E79" s="30" t="n"/>
      <c r="F79" s="30" t="n"/>
      <c r="G79" s="29" t="n"/>
      <c r="H79" s="31" t="n"/>
      <c r="I79" s="31" t="n"/>
      <c r="J79" s="29" t="n"/>
    </row>
    <row r="80" ht="16" customHeight="1">
      <c r="A80" s="28">
        <f>IF(C80="","",ROW()-5)</f>
        <v/>
      </c>
      <c r="B80" s="29" t="n"/>
      <c r="C80" s="29" t="n"/>
      <c r="D80" s="29" t="n"/>
      <c r="E80" s="30" t="n"/>
      <c r="F80" s="30" t="n"/>
      <c r="G80" s="29" t="n"/>
      <c r="H80" s="31" t="n"/>
      <c r="I80" s="31" t="n"/>
      <c r="J80" s="29" t="n"/>
    </row>
    <row r="81" ht="16" customHeight="1">
      <c r="A81" s="32">
        <f>IF(C81="","",ROW()-5)</f>
        <v/>
      </c>
      <c r="B81" s="29" t="n"/>
      <c r="C81" s="29" t="n"/>
      <c r="D81" s="29" t="n"/>
      <c r="E81" s="30" t="n"/>
      <c r="F81" s="30" t="n"/>
      <c r="G81" s="29" t="n"/>
      <c r="H81" s="31" t="n"/>
      <c r="I81" s="31" t="n"/>
      <c r="J81" s="29" t="n"/>
    </row>
    <row r="82" ht="16" customHeight="1">
      <c r="A82" s="28">
        <f>IF(C82="","",ROW()-5)</f>
        <v/>
      </c>
      <c r="B82" s="29" t="n"/>
      <c r="C82" s="29" t="n"/>
      <c r="D82" s="29" t="n"/>
      <c r="E82" s="30" t="n"/>
      <c r="F82" s="30" t="n"/>
      <c r="G82" s="29" t="n"/>
      <c r="H82" s="31" t="n"/>
      <c r="I82" s="31" t="n"/>
      <c r="J82" s="29" t="n"/>
    </row>
    <row r="83" ht="16" customHeight="1">
      <c r="A83" s="32">
        <f>IF(C83="","",ROW()-5)</f>
        <v/>
      </c>
      <c r="B83" s="29" t="n"/>
      <c r="C83" s="29" t="n"/>
      <c r="D83" s="29" t="n"/>
      <c r="E83" s="30" t="n"/>
      <c r="F83" s="30" t="n"/>
      <c r="G83" s="29" t="n"/>
      <c r="H83" s="31" t="n"/>
      <c r="I83" s="31" t="n"/>
      <c r="J83" s="29" t="n"/>
    </row>
    <row r="84" ht="16" customHeight="1">
      <c r="A84" s="28">
        <f>IF(C84="","",ROW()-5)</f>
        <v/>
      </c>
      <c r="B84" s="29" t="n"/>
      <c r="C84" s="29" t="n"/>
      <c r="D84" s="29" t="n"/>
      <c r="E84" s="30" t="n"/>
      <c r="F84" s="30" t="n"/>
      <c r="G84" s="29" t="n"/>
      <c r="H84" s="31" t="n"/>
      <c r="I84" s="31" t="n"/>
      <c r="J84" s="29" t="n"/>
    </row>
    <row r="85" ht="16" customHeight="1">
      <c r="A85" s="32">
        <f>IF(C85="","",ROW()-5)</f>
        <v/>
      </c>
      <c r="B85" s="29" t="n"/>
      <c r="C85" s="29" t="n"/>
      <c r="D85" s="29" t="n"/>
      <c r="E85" s="30" t="n"/>
      <c r="F85" s="30" t="n"/>
      <c r="G85" s="29" t="n"/>
      <c r="H85" s="31" t="n"/>
      <c r="I85" s="31" t="n"/>
      <c r="J85" s="29" t="n"/>
    </row>
    <row r="86" ht="16" customHeight="1">
      <c r="A86" s="28">
        <f>IF(C86="","",ROW()-5)</f>
        <v/>
      </c>
      <c r="B86" s="29" t="n"/>
      <c r="C86" s="29" t="n"/>
      <c r="D86" s="29" t="n"/>
      <c r="E86" s="30" t="n"/>
      <c r="F86" s="30" t="n"/>
      <c r="G86" s="29" t="n"/>
      <c r="H86" s="31" t="n"/>
      <c r="I86" s="31" t="n"/>
      <c r="J86" s="29" t="n"/>
    </row>
    <row r="87" ht="16" customHeight="1">
      <c r="A87" s="32">
        <f>IF(C87="","",ROW()-5)</f>
        <v/>
      </c>
      <c r="B87" s="29" t="n"/>
      <c r="C87" s="29" t="n"/>
      <c r="D87" s="29" t="n"/>
      <c r="E87" s="30" t="n"/>
      <c r="F87" s="30" t="n"/>
      <c r="G87" s="29" t="n"/>
      <c r="H87" s="31" t="n"/>
      <c r="I87" s="31" t="n"/>
      <c r="J87" s="29" t="n"/>
    </row>
    <row r="88" ht="16" customHeight="1">
      <c r="A88" s="28">
        <f>IF(C88="","",ROW()-5)</f>
        <v/>
      </c>
      <c r="B88" s="29" t="n"/>
      <c r="C88" s="29" t="n"/>
      <c r="D88" s="29" t="n"/>
      <c r="E88" s="30" t="n"/>
      <c r="F88" s="30" t="n"/>
      <c r="G88" s="29" t="n"/>
      <c r="H88" s="31" t="n"/>
      <c r="I88" s="31" t="n"/>
      <c r="J88" s="29" t="n"/>
    </row>
    <row r="89" ht="16" customHeight="1">
      <c r="A89" s="32">
        <f>IF(C89="","",ROW()-5)</f>
        <v/>
      </c>
      <c r="B89" s="29" t="n"/>
      <c r="C89" s="29" t="n"/>
      <c r="D89" s="29" t="n"/>
      <c r="E89" s="30" t="n"/>
      <c r="F89" s="30" t="n"/>
      <c r="G89" s="29" t="n"/>
      <c r="H89" s="31" t="n"/>
      <c r="I89" s="31" t="n"/>
      <c r="J89" s="29" t="n"/>
    </row>
    <row r="90" ht="16" customHeight="1">
      <c r="A90" s="28">
        <f>IF(C90="","",ROW()-5)</f>
        <v/>
      </c>
      <c r="B90" s="29" t="n"/>
      <c r="C90" s="29" t="n"/>
      <c r="D90" s="29" t="n"/>
      <c r="E90" s="30" t="n"/>
      <c r="F90" s="30" t="n"/>
      <c r="G90" s="29" t="n"/>
      <c r="H90" s="31" t="n"/>
      <c r="I90" s="31" t="n"/>
      <c r="J90" s="29" t="n"/>
    </row>
    <row r="91" ht="16" customHeight="1">
      <c r="A91" s="32">
        <f>IF(C91="","",ROW()-5)</f>
        <v/>
      </c>
      <c r="B91" s="29" t="n"/>
      <c r="C91" s="29" t="n"/>
      <c r="D91" s="29" t="n"/>
      <c r="E91" s="30" t="n"/>
      <c r="F91" s="30" t="n"/>
      <c r="G91" s="29" t="n"/>
      <c r="H91" s="31" t="n"/>
      <c r="I91" s="31" t="n"/>
      <c r="J91" s="29" t="n"/>
    </row>
    <row r="92" ht="16" customHeight="1">
      <c r="A92" s="28">
        <f>IF(C92="","",ROW()-5)</f>
        <v/>
      </c>
      <c r="B92" s="29" t="n"/>
      <c r="C92" s="29" t="n"/>
      <c r="D92" s="29" t="n"/>
      <c r="E92" s="30" t="n"/>
      <c r="F92" s="30" t="n"/>
      <c r="G92" s="29" t="n"/>
      <c r="H92" s="31" t="n"/>
      <c r="I92" s="31" t="n"/>
      <c r="J92" s="29" t="n"/>
    </row>
    <row r="93" ht="16" customHeight="1">
      <c r="A93" s="32">
        <f>IF(C93="","",ROW()-5)</f>
        <v/>
      </c>
      <c r="B93" s="29" t="n"/>
      <c r="C93" s="29" t="n"/>
      <c r="D93" s="29" t="n"/>
      <c r="E93" s="30" t="n"/>
      <c r="F93" s="30" t="n"/>
      <c r="G93" s="29" t="n"/>
      <c r="H93" s="31" t="n"/>
      <c r="I93" s="31" t="n"/>
      <c r="J93" s="29" t="n"/>
    </row>
    <row r="94" ht="16" customHeight="1">
      <c r="A94" s="28">
        <f>IF(C94="","",ROW()-5)</f>
        <v/>
      </c>
      <c r="B94" s="29" t="n"/>
      <c r="C94" s="29" t="n"/>
      <c r="D94" s="29" t="n"/>
      <c r="E94" s="30" t="n"/>
      <c r="F94" s="30" t="n"/>
      <c r="G94" s="29" t="n"/>
      <c r="H94" s="31" t="n"/>
      <c r="I94" s="31" t="n"/>
      <c r="J94" s="29" t="n"/>
    </row>
    <row r="95" ht="16" customHeight="1">
      <c r="A95" s="32">
        <f>IF(C95="","",ROW()-5)</f>
        <v/>
      </c>
      <c r="B95" s="29" t="n"/>
      <c r="C95" s="29" t="n"/>
      <c r="D95" s="29" t="n"/>
      <c r="E95" s="30" t="n"/>
      <c r="F95" s="30" t="n"/>
      <c r="G95" s="29" t="n"/>
      <c r="H95" s="31" t="n"/>
      <c r="I95" s="31" t="n"/>
      <c r="J95" s="29" t="n"/>
    </row>
    <row r="96" ht="16" customHeight="1">
      <c r="A96" s="28">
        <f>IF(C96="","",ROW()-5)</f>
        <v/>
      </c>
      <c r="B96" s="29" t="n"/>
      <c r="C96" s="29" t="n"/>
      <c r="D96" s="29" t="n"/>
      <c r="E96" s="30" t="n"/>
      <c r="F96" s="30" t="n"/>
      <c r="G96" s="29" t="n"/>
      <c r="H96" s="31" t="n"/>
      <c r="I96" s="31" t="n"/>
      <c r="J96" s="29" t="n"/>
    </row>
    <row r="97" ht="16" customHeight="1">
      <c r="A97" s="32">
        <f>IF(C97="","",ROW()-5)</f>
        <v/>
      </c>
      <c r="B97" s="29" t="n"/>
      <c r="C97" s="29" t="n"/>
      <c r="D97" s="29" t="n"/>
      <c r="E97" s="30" t="n"/>
      <c r="F97" s="30" t="n"/>
      <c r="G97" s="29" t="n"/>
      <c r="H97" s="31" t="n"/>
      <c r="I97" s="31" t="n"/>
      <c r="J97" s="29" t="n"/>
    </row>
    <row r="98" ht="16" customHeight="1">
      <c r="A98" s="28">
        <f>IF(C98="","",ROW()-5)</f>
        <v/>
      </c>
      <c r="B98" s="29" t="n"/>
      <c r="C98" s="29" t="n"/>
      <c r="D98" s="29" t="n"/>
      <c r="E98" s="30" t="n"/>
      <c r="F98" s="30" t="n"/>
      <c r="G98" s="29" t="n"/>
      <c r="H98" s="31" t="n"/>
      <c r="I98" s="31" t="n"/>
      <c r="J98" s="29" t="n"/>
    </row>
    <row r="99" ht="16" customHeight="1">
      <c r="A99" s="32">
        <f>IF(C99="","",ROW()-5)</f>
        <v/>
      </c>
      <c r="B99" s="29" t="n"/>
      <c r="C99" s="29" t="n"/>
      <c r="D99" s="29" t="n"/>
      <c r="E99" s="30" t="n"/>
      <c r="F99" s="30" t="n"/>
      <c r="G99" s="29" t="n"/>
      <c r="H99" s="31" t="n"/>
      <c r="I99" s="31" t="n"/>
      <c r="J99" s="29" t="n"/>
    </row>
    <row r="100" ht="16" customHeight="1">
      <c r="A100" s="28">
        <f>IF(C100="","",ROW()-5)</f>
        <v/>
      </c>
      <c r="B100" s="29" t="n"/>
      <c r="C100" s="29" t="n"/>
      <c r="D100" s="29" t="n"/>
      <c r="E100" s="30" t="n"/>
      <c r="F100" s="30" t="n"/>
      <c r="G100" s="29" t="n"/>
      <c r="H100" s="31" t="n"/>
      <c r="I100" s="31" t="n"/>
      <c r="J100" s="29" t="n"/>
    </row>
    <row r="101" ht="16" customHeight="1">
      <c r="A101" s="32">
        <f>IF(C101="","",ROW()-5)</f>
        <v/>
      </c>
      <c r="B101" s="29" t="n"/>
      <c r="C101" s="29" t="n"/>
      <c r="D101" s="29" t="n"/>
      <c r="E101" s="30" t="n"/>
      <c r="F101" s="30" t="n"/>
      <c r="G101" s="29" t="n"/>
      <c r="H101" s="31" t="n"/>
      <c r="I101" s="31" t="n"/>
      <c r="J101" s="29" t="n"/>
    </row>
    <row r="102" ht="16" customHeight="1">
      <c r="A102" s="28">
        <f>IF(C102="","",ROW()-5)</f>
        <v/>
      </c>
      <c r="B102" s="29" t="n"/>
      <c r="C102" s="29" t="n"/>
      <c r="D102" s="29" t="n"/>
      <c r="E102" s="30" t="n"/>
      <c r="F102" s="30" t="n"/>
      <c r="G102" s="29" t="n"/>
      <c r="H102" s="31" t="n"/>
      <c r="I102" s="31" t="n"/>
      <c r="J102" s="29" t="n"/>
    </row>
    <row r="103" ht="16" customHeight="1">
      <c r="A103" s="32">
        <f>IF(C103="","",ROW()-5)</f>
        <v/>
      </c>
      <c r="B103" s="29" t="n"/>
      <c r="C103" s="29" t="n"/>
      <c r="D103" s="29" t="n"/>
      <c r="E103" s="30" t="n"/>
      <c r="F103" s="30" t="n"/>
      <c r="G103" s="29" t="n"/>
      <c r="H103" s="31" t="n"/>
      <c r="I103" s="31" t="n"/>
      <c r="J103" s="29" t="n"/>
    </row>
    <row r="104" ht="16" customHeight="1">
      <c r="A104" s="28">
        <f>IF(C104="","",ROW()-5)</f>
        <v/>
      </c>
      <c r="B104" s="29" t="n"/>
      <c r="C104" s="29" t="n"/>
      <c r="D104" s="29" t="n"/>
      <c r="E104" s="30" t="n"/>
      <c r="F104" s="30" t="n"/>
      <c r="G104" s="29" t="n"/>
      <c r="H104" s="31" t="n"/>
      <c r="I104" s="31" t="n"/>
      <c r="J104" s="29" t="n"/>
    </row>
    <row r="105" ht="16" customHeight="1">
      <c r="A105" s="32">
        <f>IF(C105="","",ROW()-5)</f>
        <v/>
      </c>
      <c r="B105" s="29" t="n"/>
      <c r="C105" s="29" t="n"/>
      <c r="D105" s="29" t="n"/>
      <c r="E105" s="30" t="n"/>
      <c r="F105" s="30" t="n"/>
      <c r="G105" s="29" t="n"/>
      <c r="H105" s="31" t="n"/>
      <c r="I105" s="31" t="n"/>
      <c r="J105" s="29" t="n"/>
    </row>
    <row r="106" ht="16" customHeight="1">
      <c r="A106" s="28">
        <f>IF(C106="","",ROW()-5)</f>
        <v/>
      </c>
      <c r="B106" s="29" t="n"/>
      <c r="C106" s="29" t="n"/>
      <c r="D106" s="29" t="n"/>
      <c r="E106" s="30" t="n"/>
      <c r="F106" s="30" t="n"/>
      <c r="G106" s="29" t="n"/>
      <c r="H106" s="31" t="n"/>
      <c r="I106" s="31" t="n"/>
      <c r="J106" s="29" t="n"/>
    </row>
    <row r="107" ht="16" customHeight="1">
      <c r="A107" s="32">
        <f>IF(C107="","",ROW()-5)</f>
        <v/>
      </c>
      <c r="B107" s="29" t="n"/>
      <c r="C107" s="29" t="n"/>
      <c r="D107" s="29" t="n"/>
      <c r="E107" s="30" t="n"/>
      <c r="F107" s="30" t="n"/>
      <c r="G107" s="29" t="n"/>
      <c r="H107" s="31" t="n"/>
      <c r="I107" s="31" t="n"/>
      <c r="J107" s="29" t="n"/>
    </row>
    <row r="108" ht="16" customHeight="1">
      <c r="A108" s="28">
        <f>IF(C108="","",ROW()-5)</f>
        <v/>
      </c>
      <c r="B108" s="29" t="n"/>
      <c r="C108" s="29" t="n"/>
      <c r="D108" s="29" t="n"/>
      <c r="E108" s="30" t="n"/>
      <c r="F108" s="30" t="n"/>
      <c r="G108" s="29" t="n"/>
      <c r="H108" s="31" t="n"/>
      <c r="I108" s="31" t="n"/>
      <c r="J108" s="29" t="n"/>
    </row>
    <row r="109" ht="16" customHeight="1">
      <c r="A109" s="32">
        <f>IF(C109="","",ROW()-5)</f>
        <v/>
      </c>
      <c r="B109" s="29" t="n"/>
      <c r="C109" s="29" t="n"/>
      <c r="D109" s="29" t="n"/>
      <c r="E109" s="30" t="n"/>
      <c r="F109" s="30" t="n"/>
      <c r="G109" s="29" t="n"/>
      <c r="H109" s="31" t="n"/>
      <c r="I109" s="31" t="n"/>
      <c r="J109" s="29" t="n"/>
    </row>
    <row r="110" ht="16" customHeight="1">
      <c r="A110" s="28">
        <f>IF(C110="","",ROW()-5)</f>
        <v/>
      </c>
      <c r="B110" s="29" t="n"/>
      <c r="C110" s="29" t="n"/>
      <c r="D110" s="29" t="n"/>
      <c r="E110" s="30" t="n"/>
      <c r="F110" s="30" t="n"/>
      <c r="G110" s="29" t="n"/>
      <c r="H110" s="31" t="n"/>
      <c r="I110" s="31" t="n"/>
      <c r="J110" s="29" t="n"/>
    </row>
    <row r="111" ht="16" customHeight="1">
      <c r="A111" s="32">
        <f>IF(C111="","",ROW()-5)</f>
        <v/>
      </c>
      <c r="B111" s="29" t="n"/>
      <c r="C111" s="29" t="n"/>
      <c r="D111" s="29" t="n"/>
      <c r="E111" s="30" t="n"/>
      <c r="F111" s="30" t="n"/>
      <c r="G111" s="29" t="n"/>
      <c r="H111" s="31" t="n"/>
      <c r="I111" s="31" t="n"/>
      <c r="J111" s="29" t="n"/>
    </row>
    <row r="112" ht="16" customHeight="1">
      <c r="A112" s="28">
        <f>IF(C112="","",ROW()-5)</f>
        <v/>
      </c>
      <c r="B112" s="29" t="n"/>
      <c r="C112" s="29" t="n"/>
      <c r="D112" s="29" t="n"/>
      <c r="E112" s="30" t="n"/>
      <c r="F112" s="30" t="n"/>
      <c r="G112" s="29" t="n"/>
      <c r="H112" s="31" t="n"/>
      <c r="I112" s="31" t="n"/>
      <c r="J112" s="29" t="n"/>
    </row>
    <row r="113" ht="16" customHeight="1">
      <c r="A113" s="32">
        <f>IF(C113="","",ROW()-5)</f>
        <v/>
      </c>
      <c r="B113" s="29" t="n"/>
      <c r="C113" s="29" t="n"/>
      <c r="D113" s="29" t="n"/>
      <c r="E113" s="30" t="n"/>
      <c r="F113" s="30" t="n"/>
      <c r="G113" s="29" t="n"/>
      <c r="H113" s="31" t="n"/>
      <c r="I113" s="31" t="n"/>
      <c r="J113" s="29" t="n"/>
    </row>
    <row r="114" ht="16" customHeight="1">
      <c r="A114" s="28">
        <f>IF(C114="","",ROW()-5)</f>
        <v/>
      </c>
      <c r="B114" s="29" t="n"/>
      <c r="C114" s="29" t="n"/>
      <c r="D114" s="29" t="n"/>
      <c r="E114" s="30" t="n"/>
      <c r="F114" s="30" t="n"/>
      <c r="G114" s="29" t="n"/>
      <c r="H114" s="31" t="n"/>
      <c r="I114" s="31" t="n"/>
      <c r="J114" s="29" t="n"/>
    </row>
    <row r="115" ht="16" customHeight="1">
      <c r="A115" s="32">
        <f>IF(C115="","",ROW()-5)</f>
        <v/>
      </c>
      <c r="B115" s="29" t="n"/>
      <c r="C115" s="29" t="n"/>
      <c r="D115" s="29" t="n"/>
      <c r="E115" s="30" t="n"/>
      <c r="F115" s="30" t="n"/>
      <c r="G115" s="29" t="n"/>
      <c r="H115" s="31" t="n"/>
      <c r="I115" s="31" t="n"/>
      <c r="J115" s="29" t="n"/>
    </row>
    <row r="116" ht="16" customHeight="1">
      <c r="A116" s="28">
        <f>IF(C116="","",ROW()-5)</f>
        <v/>
      </c>
      <c r="B116" s="29" t="n"/>
      <c r="C116" s="29" t="n"/>
      <c r="D116" s="29" t="n"/>
      <c r="E116" s="30" t="n"/>
      <c r="F116" s="30" t="n"/>
      <c r="G116" s="29" t="n"/>
      <c r="H116" s="31" t="n"/>
      <c r="I116" s="31" t="n"/>
      <c r="J116" s="29" t="n"/>
    </row>
    <row r="117" ht="16" customHeight="1">
      <c r="A117" s="32">
        <f>IF(C117="","",ROW()-5)</f>
        <v/>
      </c>
      <c r="B117" s="29" t="n"/>
      <c r="C117" s="29" t="n"/>
      <c r="D117" s="29" t="n"/>
      <c r="E117" s="30" t="n"/>
      <c r="F117" s="30" t="n"/>
      <c r="G117" s="29" t="n"/>
      <c r="H117" s="31" t="n"/>
      <c r="I117" s="31" t="n"/>
      <c r="J117" s="29" t="n"/>
    </row>
    <row r="118" ht="16" customHeight="1">
      <c r="A118" s="28">
        <f>IF(C118="","",ROW()-5)</f>
        <v/>
      </c>
      <c r="B118" s="29" t="n"/>
      <c r="C118" s="29" t="n"/>
      <c r="D118" s="29" t="n"/>
      <c r="E118" s="30" t="n"/>
      <c r="F118" s="30" t="n"/>
      <c r="G118" s="29" t="n"/>
      <c r="H118" s="31" t="n"/>
      <c r="I118" s="31" t="n"/>
      <c r="J118" s="29" t="n"/>
    </row>
    <row r="119" ht="16" customHeight="1">
      <c r="A119" s="32">
        <f>IF(C119="","",ROW()-5)</f>
        <v/>
      </c>
      <c r="B119" s="29" t="n"/>
      <c r="C119" s="29" t="n"/>
      <c r="D119" s="29" t="n"/>
      <c r="E119" s="30" t="n"/>
      <c r="F119" s="30" t="n"/>
      <c r="G119" s="29" t="n"/>
      <c r="H119" s="31" t="n"/>
      <c r="I119" s="31" t="n"/>
      <c r="J119" s="29" t="n"/>
    </row>
    <row r="120" ht="16" customHeight="1">
      <c r="A120" s="28">
        <f>IF(C120="","",ROW()-5)</f>
        <v/>
      </c>
      <c r="B120" s="29" t="n"/>
      <c r="C120" s="29" t="n"/>
      <c r="D120" s="29" t="n"/>
      <c r="E120" s="30" t="n"/>
      <c r="F120" s="30" t="n"/>
      <c r="G120" s="29" t="n"/>
      <c r="H120" s="31" t="n"/>
      <c r="I120" s="31" t="n"/>
      <c r="J120" s="29" t="n"/>
    </row>
    <row r="121" ht="16" customHeight="1">
      <c r="A121" s="32">
        <f>IF(C121="","",ROW()-5)</f>
        <v/>
      </c>
      <c r="B121" s="29" t="n"/>
      <c r="C121" s="29" t="n"/>
      <c r="D121" s="29" t="n"/>
      <c r="E121" s="30" t="n"/>
      <c r="F121" s="30" t="n"/>
      <c r="G121" s="29" t="n"/>
      <c r="H121" s="31" t="n"/>
      <c r="I121" s="31" t="n"/>
      <c r="J121" s="29" t="n"/>
    </row>
    <row r="122" ht="16" customHeight="1">
      <c r="A122" s="28">
        <f>IF(C122="","",ROW()-5)</f>
        <v/>
      </c>
      <c r="B122" s="29" t="n"/>
      <c r="C122" s="29" t="n"/>
      <c r="D122" s="29" t="n"/>
      <c r="E122" s="30" t="n"/>
      <c r="F122" s="30" t="n"/>
      <c r="G122" s="29" t="n"/>
      <c r="H122" s="31" t="n"/>
      <c r="I122" s="31" t="n"/>
      <c r="J122" s="29" t="n"/>
    </row>
    <row r="123" ht="16" customHeight="1">
      <c r="A123" s="32">
        <f>IF(C123="","",ROW()-5)</f>
        <v/>
      </c>
      <c r="B123" s="29" t="n"/>
      <c r="C123" s="29" t="n"/>
      <c r="D123" s="29" t="n"/>
      <c r="E123" s="30" t="n"/>
      <c r="F123" s="30" t="n"/>
      <c r="G123" s="29" t="n"/>
      <c r="H123" s="31" t="n"/>
      <c r="I123" s="31" t="n"/>
      <c r="J123" s="29" t="n"/>
    </row>
    <row r="124" ht="16" customHeight="1">
      <c r="A124" s="28">
        <f>IF(C124="","",ROW()-5)</f>
        <v/>
      </c>
      <c r="B124" s="29" t="n"/>
      <c r="C124" s="29" t="n"/>
      <c r="D124" s="29" t="n"/>
      <c r="E124" s="30" t="n"/>
      <c r="F124" s="30" t="n"/>
      <c r="G124" s="29" t="n"/>
      <c r="H124" s="31" t="n"/>
      <c r="I124" s="31" t="n"/>
      <c r="J124" s="29" t="n"/>
    </row>
    <row r="125" ht="16" customHeight="1">
      <c r="A125" s="32">
        <f>IF(C125="","",ROW()-5)</f>
        <v/>
      </c>
      <c r="B125" s="29" t="n"/>
      <c r="C125" s="29" t="n"/>
      <c r="D125" s="29" t="n"/>
      <c r="E125" s="30" t="n"/>
      <c r="F125" s="30" t="n"/>
      <c r="G125" s="29" t="n"/>
      <c r="H125" s="31" t="n"/>
      <c r="I125" s="31" t="n"/>
      <c r="J125" s="29" t="n"/>
    </row>
    <row r="126" ht="16" customHeight="1">
      <c r="A126" s="28">
        <f>IF(C126="","",ROW()-5)</f>
        <v/>
      </c>
      <c r="B126" s="29" t="n"/>
      <c r="C126" s="29" t="n"/>
      <c r="D126" s="29" t="n"/>
      <c r="E126" s="30" t="n"/>
      <c r="F126" s="30" t="n"/>
      <c r="G126" s="29" t="n"/>
      <c r="H126" s="31" t="n"/>
      <c r="I126" s="31" t="n"/>
      <c r="J126" s="29" t="n"/>
    </row>
    <row r="127" ht="16" customHeight="1">
      <c r="A127" s="32">
        <f>IF(C127="","",ROW()-5)</f>
        <v/>
      </c>
      <c r="B127" s="29" t="n"/>
      <c r="C127" s="29" t="n"/>
      <c r="D127" s="29" t="n"/>
      <c r="E127" s="30" t="n"/>
      <c r="F127" s="30" t="n"/>
      <c r="G127" s="29" t="n"/>
      <c r="H127" s="31" t="n"/>
      <c r="I127" s="31" t="n"/>
      <c r="J127" s="29" t="n"/>
    </row>
    <row r="128" ht="16" customHeight="1">
      <c r="A128" s="28">
        <f>IF(C128="","",ROW()-5)</f>
        <v/>
      </c>
      <c r="B128" s="29" t="n"/>
      <c r="C128" s="29" t="n"/>
      <c r="D128" s="29" t="n"/>
      <c r="E128" s="30" t="n"/>
      <c r="F128" s="30" t="n"/>
      <c r="G128" s="29" t="n"/>
      <c r="H128" s="31" t="n"/>
      <c r="I128" s="31" t="n"/>
      <c r="J128" s="29" t="n"/>
    </row>
    <row r="129" ht="16" customHeight="1">
      <c r="A129" s="32">
        <f>IF(C129="","",ROW()-5)</f>
        <v/>
      </c>
      <c r="B129" s="29" t="n"/>
      <c r="C129" s="29" t="n"/>
      <c r="D129" s="29" t="n"/>
      <c r="E129" s="30" t="n"/>
      <c r="F129" s="30" t="n"/>
      <c r="G129" s="29" t="n"/>
      <c r="H129" s="31" t="n"/>
      <c r="I129" s="31" t="n"/>
      <c r="J129" s="29" t="n"/>
    </row>
    <row r="130" ht="16" customHeight="1">
      <c r="A130" s="28">
        <f>IF(C130="","",ROW()-5)</f>
        <v/>
      </c>
      <c r="B130" s="29" t="n"/>
      <c r="C130" s="29" t="n"/>
      <c r="D130" s="29" t="n"/>
      <c r="E130" s="30" t="n"/>
      <c r="F130" s="30" t="n"/>
      <c r="G130" s="29" t="n"/>
      <c r="H130" s="31" t="n"/>
      <c r="I130" s="31" t="n"/>
      <c r="J130" s="29" t="n"/>
    </row>
    <row r="131" ht="16" customHeight="1">
      <c r="A131" s="32">
        <f>IF(C131="","",ROW()-5)</f>
        <v/>
      </c>
      <c r="B131" s="29" t="n"/>
      <c r="C131" s="29" t="n"/>
      <c r="D131" s="29" t="n"/>
      <c r="E131" s="30" t="n"/>
      <c r="F131" s="30" t="n"/>
      <c r="G131" s="29" t="n"/>
      <c r="H131" s="31" t="n"/>
      <c r="I131" s="31" t="n"/>
      <c r="J131" s="29" t="n"/>
    </row>
    <row r="132" ht="16" customHeight="1">
      <c r="A132" s="28">
        <f>IF(C132="","",ROW()-5)</f>
        <v/>
      </c>
      <c r="B132" s="29" t="n"/>
      <c r="C132" s="29" t="n"/>
      <c r="D132" s="29" t="n"/>
      <c r="E132" s="30" t="n"/>
      <c r="F132" s="30" t="n"/>
      <c r="G132" s="29" t="n"/>
      <c r="H132" s="31" t="n"/>
      <c r="I132" s="31" t="n"/>
      <c r="J132" s="29" t="n"/>
    </row>
    <row r="133" ht="16" customHeight="1">
      <c r="A133" s="32">
        <f>IF(C133="","",ROW()-5)</f>
        <v/>
      </c>
      <c r="B133" s="29" t="n"/>
      <c r="C133" s="29" t="n"/>
      <c r="D133" s="29" t="n"/>
      <c r="E133" s="30" t="n"/>
      <c r="F133" s="30" t="n"/>
      <c r="G133" s="29" t="n"/>
      <c r="H133" s="31" t="n"/>
      <c r="I133" s="31" t="n"/>
      <c r="J133" s="29" t="n"/>
    </row>
    <row r="134" ht="16" customHeight="1">
      <c r="A134" s="28">
        <f>IF(C134="","",ROW()-5)</f>
        <v/>
      </c>
      <c r="B134" s="29" t="n"/>
      <c r="C134" s="29" t="n"/>
      <c r="D134" s="29" t="n"/>
      <c r="E134" s="30" t="n"/>
      <c r="F134" s="30" t="n"/>
      <c r="G134" s="29" t="n"/>
      <c r="H134" s="31" t="n"/>
      <c r="I134" s="31" t="n"/>
      <c r="J134" s="29" t="n"/>
    </row>
    <row r="135" ht="16" customHeight="1">
      <c r="A135" s="32">
        <f>IF(C135="","",ROW()-5)</f>
        <v/>
      </c>
      <c r="B135" s="29" t="n"/>
      <c r="C135" s="29" t="n"/>
      <c r="D135" s="29" t="n"/>
      <c r="E135" s="30" t="n"/>
      <c r="F135" s="30" t="n"/>
      <c r="G135" s="29" t="n"/>
      <c r="H135" s="31" t="n"/>
      <c r="I135" s="31" t="n"/>
      <c r="J135" s="29" t="n"/>
    </row>
    <row r="136" ht="16" customHeight="1">
      <c r="A136" s="28">
        <f>IF(C136="","",ROW()-5)</f>
        <v/>
      </c>
      <c r="B136" s="29" t="n"/>
      <c r="C136" s="29" t="n"/>
      <c r="D136" s="29" t="n"/>
      <c r="E136" s="30" t="n"/>
      <c r="F136" s="30" t="n"/>
      <c r="G136" s="29" t="n"/>
      <c r="H136" s="31" t="n"/>
      <c r="I136" s="31" t="n"/>
      <c r="J136" s="29" t="n"/>
    </row>
    <row r="137" ht="16" customHeight="1">
      <c r="A137" s="32">
        <f>IF(C137="","",ROW()-5)</f>
        <v/>
      </c>
      <c r="B137" s="29" t="n"/>
      <c r="C137" s="29" t="n"/>
      <c r="D137" s="29" t="n"/>
      <c r="E137" s="30" t="n"/>
      <c r="F137" s="30" t="n"/>
      <c r="G137" s="29" t="n"/>
      <c r="H137" s="31" t="n"/>
      <c r="I137" s="31" t="n"/>
      <c r="J137" s="29" t="n"/>
    </row>
    <row r="138" ht="16" customHeight="1">
      <c r="A138" s="28">
        <f>IF(C138="","",ROW()-5)</f>
        <v/>
      </c>
      <c r="B138" s="29" t="n"/>
      <c r="C138" s="29" t="n"/>
      <c r="D138" s="29" t="n"/>
      <c r="E138" s="30" t="n"/>
      <c r="F138" s="30" t="n"/>
      <c r="G138" s="29" t="n"/>
      <c r="H138" s="31" t="n"/>
      <c r="I138" s="31" t="n"/>
      <c r="J138" s="29" t="n"/>
    </row>
    <row r="139" ht="16" customHeight="1">
      <c r="A139" s="32">
        <f>IF(C139="","",ROW()-5)</f>
        <v/>
      </c>
      <c r="B139" s="29" t="n"/>
      <c r="C139" s="29" t="n"/>
      <c r="D139" s="29" t="n"/>
      <c r="E139" s="30" t="n"/>
      <c r="F139" s="30" t="n"/>
      <c r="G139" s="29" t="n"/>
      <c r="H139" s="31" t="n"/>
      <c r="I139" s="31" t="n"/>
      <c r="J139" s="29" t="n"/>
    </row>
    <row r="140" ht="16" customHeight="1">
      <c r="A140" s="28">
        <f>IF(C140="","",ROW()-5)</f>
        <v/>
      </c>
      <c r="B140" s="29" t="n"/>
      <c r="C140" s="29" t="n"/>
      <c r="D140" s="29" t="n"/>
      <c r="E140" s="30" t="n"/>
      <c r="F140" s="30" t="n"/>
      <c r="G140" s="29" t="n"/>
      <c r="H140" s="31" t="n"/>
      <c r="I140" s="31" t="n"/>
      <c r="J140" s="29" t="n"/>
    </row>
    <row r="141" ht="16" customHeight="1">
      <c r="A141" s="32">
        <f>IF(C141="","",ROW()-5)</f>
        <v/>
      </c>
      <c r="B141" s="29" t="n"/>
      <c r="C141" s="29" t="n"/>
      <c r="D141" s="29" t="n"/>
      <c r="E141" s="30" t="n"/>
      <c r="F141" s="30" t="n"/>
      <c r="G141" s="29" t="n"/>
      <c r="H141" s="31" t="n"/>
      <c r="I141" s="31" t="n"/>
      <c r="J141" s="29" t="n"/>
    </row>
    <row r="142" ht="16" customHeight="1">
      <c r="A142" s="28">
        <f>IF(C142="","",ROW()-5)</f>
        <v/>
      </c>
      <c r="B142" s="29" t="n"/>
      <c r="C142" s="29" t="n"/>
      <c r="D142" s="29" t="n"/>
      <c r="E142" s="30" t="n"/>
      <c r="F142" s="30" t="n"/>
      <c r="G142" s="29" t="n"/>
      <c r="H142" s="31" t="n"/>
      <c r="I142" s="31" t="n"/>
      <c r="J142" s="29" t="n"/>
    </row>
    <row r="143" ht="16" customHeight="1">
      <c r="A143" s="32">
        <f>IF(C143="","",ROW()-5)</f>
        <v/>
      </c>
      <c r="B143" s="29" t="n"/>
      <c r="C143" s="29" t="n"/>
      <c r="D143" s="29" t="n"/>
      <c r="E143" s="30" t="n"/>
      <c r="F143" s="30" t="n"/>
      <c r="G143" s="29" t="n"/>
      <c r="H143" s="31" t="n"/>
      <c r="I143" s="31" t="n"/>
      <c r="J143" s="29" t="n"/>
    </row>
    <row r="144" ht="16" customHeight="1">
      <c r="A144" s="28">
        <f>IF(C144="","",ROW()-5)</f>
        <v/>
      </c>
      <c r="B144" s="29" t="n"/>
      <c r="C144" s="29" t="n"/>
      <c r="D144" s="29" t="n"/>
      <c r="E144" s="30" t="n"/>
      <c r="F144" s="30" t="n"/>
      <c r="G144" s="29" t="n"/>
      <c r="H144" s="31" t="n"/>
      <c r="I144" s="31" t="n"/>
      <c r="J144" s="29" t="n"/>
    </row>
    <row r="145" ht="16" customHeight="1">
      <c r="A145" s="32">
        <f>IF(C145="","",ROW()-5)</f>
        <v/>
      </c>
      <c r="B145" s="29" t="n"/>
      <c r="C145" s="29" t="n"/>
      <c r="D145" s="29" t="n"/>
      <c r="E145" s="30" t="n"/>
      <c r="F145" s="30" t="n"/>
      <c r="G145" s="29" t="n"/>
      <c r="H145" s="31" t="n"/>
      <c r="I145" s="31" t="n"/>
      <c r="J145" s="29" t="n"/>
    </row>
    <row r="146" ht="16" customHeight="1">
      <c r="A146" s="28">
        <f>IF(C146="","",ROW()-5)</f>
        <v/>
      </c>
      <c r="B146" s="29" t="n"/>
      <c r="C146" s="29" t="n"/>
      <c r="D146" s="29" t="n"/>
      <c r="E146" s="30" t="n"/>
      <c r="F146" s="30" t="n"/>
      <c r="G146" s="29" t="n"/>
      <c r="H146" s="31" t="n"/>
      <c r="I146" s="31" t="n"/>
      <c r="J146" s="29" t="n"/>
    </row>
    <row r="147" ht="16" customHeight="1">
      <c r="A147" s="32">
        <f>IF(C147="","",ROW()-5)</f>
        <v/>
      </c>
      <c r="B147" s="29" t="n"/>
      <c r="C147" s="29" t="n"/>
      <c r="D147" s="29" t="n"/>
      <c r="E147" s="30" t="n"/>
      <c r="F147" s="30" t="n"/>
      <c r="G147" s="29" t="n"/>
      <c r="H147" s="31" t="n"/>
      <c r="I147" s="31" t="n"/>
      <c r="J147" s="29" t="n"/>
    </row>
    <row r="148" ht="16" customHeight="1">
      <c r="A148" s="28">
        <f>IF(C148="","",ROW()-5)</f>
        <v/>
      </c>
      <c r="B148" s="29" t="n"/>
      <c r="C148" s="29" t="n"/>
      <c r="D148" s="29" t="n"/>
      <c r="E148" s="30" t="n"/>
      <c r="F148" s="30" t="n"/>
      <c r="G148" s="29" t="n"/>
      <c r="H148" s="31" t="n"/>
      <c r="I148" s="31" t="n"/>
      <c r="J148" s="29" t="n"/>
    </row>
    <row r="149" ht="16" customHeight="1">
      <c r="A149" s="32">
        <f>IF(C149="","",ROW()-5)</f>
        <v/>
      </c>
      <c r="B149" s="29" t="n"/>
      <c r="C149" s="29" t="n"/>
      <c r="D149" s="29" t="n"/>
      <c r="E149" s="30" t="n"/>
      <c r="F149" s="30" t="n"/>
      <c r="G149" s="29" t="n"/>
      <c r="H149" s="31" t="n"/>
      <c r="I149" s="31" t="n"/>
      <c r="J149" s="29" t="n"/>
    </row>
    <row r="150" ht="16" customHeight="1">
      <c r="A150" s="28">
        <f>IF(C150="","",ROW()-5)</f>
        <v/>
      </c>
      <c r="B150" s="29" t="n"/>
      <c r="C150" s="29" t="n"/>
      <c r="D150" s="29" t="n"/>
      <c r="E150" s="30" t="n"/>
      <c r="F150" s="30" t="n"/>
      <c r="G150" s="29" t="n"/>
      <c r="H150" s="31" t="n"/>
      <c r="I150" s="31" t="n"/>
      <c r="J150" s="29" t="n"/>
    </row>
    <row r="151" ht="16" customHeight="1">
      <c r="A151" s="32">
        <f>IF(C151="","",ROW()-5)</f>
        <v/>
      </c>
      <c r="B151" s="29" t="n"/>
      <c r="C151" s="29" t="n"/>
      <c r="D151" s="29" t="n"/>
      <c r="E151" s="30" t="n"/>
      <c r="F151" s="30" t="n"/>
      <c r="G151" s="29" t="n"/>
      <c r="H151" s="31" t="n"/>
      <c r="I151" s="31" t="n"/>
      <c r="J151" s="29" t="n"/>
    </row>
    <row r="152" ht="16" customHeight="1">
      <c r="A152" s="28">
        <f>IF(C152="","",ROW()-5)</f>
        <v/>
      </c>
      <c r="B152" s="29" t="n"/>
      <c r="C152" s="29" t="n"/>
      <c r="D152" s="29" t="n"/>
      <c r="E152" s="30" t="n"/>
      <c r="F152" s="30" t="n"/>
      <c r="G152" s="29" t="n"/>
      <c r="H152" s="31" t="n"/>
      <c r="I152" s="31" t="n"/>
      <c r="J152" s="29" t="n"/>
    </row>
    <row r="153" ht="16" customHeight="1">
      <c r="A153" s="32">
        <f>IF(C153="","",ROW()-5)</f>
        <v/>
      </c>
      <c r="B153" s="29" t="n"/>
      <c r="C153" s="29" t="n"/>
      <c r="D153" s="29" t="n"/>
      <c r="E153" s="30" t="n"/>
      <c r="F153" s="30" t="n"/>
      <c r="G153" s="29" t="n"/>
      <c r="H153" s="31" t="n"/>
      <c r="I153" s="31" t="n"/>
      <c r="J153" s="29" t="n"/>
    </row>
    <row r="154" ht="16" customHeight="1">
      <c r="A154" s="28">
        <f>IF(C154="","",ROW()-5)</f>
        <v/>
      </c>
      <c r="B154" s="29" t="n"/>
      <c r="C154" s="29" t="n"/>
      <c r="D154" s="29" t="n"/>
      <c r="E154" s="30" t="n"/>
      <c r="F154" s="30" t="n"/>
      <c r="G154" s="29" t="n"/>
      <c r="H154" s="31" t="n"/>
      <c r="I154" s="31" t="n"/>
      <c r="J154" s="29" t="n"/>
    </row>
    <row r="155" ht="16" customHeight="1">
      <c r="A155" s="32">
        <f>IF(C155="","",ROW()-5)</f>
        <v/>
      </c>
      <c r="B155" s="29" t="n"/>
      <c r="C155" s="29" t="n"/>
      <c r="D155" s="29" t="n"/>
      <c r="E155" s="30" t="n"/>
      <c r="F155" s="30" t="n"/>
      <c r="G155" s="29" t="n"/>
      <c r="H155" s="31" t="n"/>
      <c r="I155" s="31" t="n"/>
      <c r="J155" s="29" t="n"/>
    </row>
    <row r="156" ht="16" customHeight="1">
      <c r="A156" s="28">
        <f>IF(C156="","",ROW()-5)</f>
        <v/>
      </c>
      <c r="B156" s="29" t="n"/>
      <c r="C156" s="29" t="n"/>
      <c r="D156" s="29" t="n"/>
      <c r="E156" s="30" t="n"/>
      <c r="F156" s="30" t="n"/>
      <c r="G156" s="29" t="n"/>
      <c r="H156" s="31" t="n"/>
      <c r="I156" s="31" t="n"/>
      <c r="J156" s="29" t="n"/>
    </row>
    <row r="157" ht="16" customHeight="1">
      <c r="A157" s="32">
        <f>IF(C157="","",ROW()-5)</f>
        <v/>
      </c>
      <c r="B157" s="29" t="n"/>
      <c r="C157" s="29" t="n"/>
      <c r="D157" s="29" t="n"/>
      <c r="E157" s="30" t="n"/>
      <c r="F157" s="30" t="n"/>
      <c r="G157" s="29" t="n"/>
      <c r="H157" s="31" t="n"/>
      <c r="I157" s="31" t="n"/>
      <c r="J157" s="29" t="n"/>
    </row>
    <row r="158" ht="16" customHeight="1">
      <c r="A158" s="28">
        <f>IF(C158="","",ROW()-5)</f>
        <v/>
      </c>
      <c r="B158" s="29" t="n"/>
      <c r="C158" s="29" t="n"/>
      <c r="D158" s="29" t="n"/>
      <c r="E158" s="30" t="n"/>
      <c r="F158" s="30" t="n"/>
      <c r="G158" s="29" t="n"/>
      <c r="H158" s="31" t="n"/>
      <c r="I158" s="31" t="n"/>
      <c r="J158" s="29" t="n"/>
    </row>
    <row r="159" ht="16" customHeight="1">
      <c r="A159" s="32">
        <f>IF(C159="","",ROW()-5)</f>
        <v/>
      </c>
      <c r="B159" s="29" t="n"/>
      <c r="C159" s="29" t="n"/>
      <c r="D159" s="29" t="n"/>
      <c r="E159" s="30" t="n"/>
      <c r="F159" s="30" t="n"/>
      <c r="G159" s="29" t="n"/>
      <c r="H159" s="31" t="n"/>
      <c r="I159" s="31" t="n"/>
      <c r="J159" s="29" t="n"/>
    </row>
    <row r="160" ht="16" customHeight="1">
      <c r="A160" s="28">
        <f>IF(C160="","",ROW()-5)</f>
        <v/>
      </c>
      <c r="B160" s="29" t="n"/>
      <c r="C160" s="29" t="n"/>
      <c r="D160" s="29" t="n"/>
      <c r="E160" s="30" t="n"/>
      <c r="F160" s="30" t="n"/>
      <c r="G160" s="29" t="n"/>
      <c r="H160" s="31" t="n"/>
      <c r="I160" s="31" t="n"/>
      <c r="J160" s="29" t="n"/>
    </row>
    <row r="161" ht="16" customHeight="1">
      <c r="A161" s="32">
        <f>IF(C161="","",ROW()-5)</f>
        <v/>
      </c>
      <c r="B161" s="29" t="n"/>
      <c r="C161" s="29" t="n"/>
      <c r="D161" s="29" t="n"/>
      <c r="E161" s="30" t="n"/>
      <c r="F161" s="30" t="n"/>
      <c r="G161" s="29" t="n"/>
      <c r="H161" s="31" t="n"/>
      <c r="I161" s="31" t="n"/>
      <c r="J161" s="29" t="n"/>
    </row>
    <row r="162" ht="16" customHeight="1">
      <c r="A162" s="28">
        <f>IF(C162="","",ROW()-5)</f>
        <v/>
      </c>
      <c r="B162" s="29" t="n"/>
      <c r="C162" s="29" t="n"/>
      <c r="D162" s="29" t="n"/>
      <c r="E162" s="30" t="n"/>
      <c r="F162" s="30" t="n"/>
      <c r="G162" s="29" t="n"/>
      <c r="H162" s="31" t="n"/>
      <c r="I162" s="31" t="n"/>
      <c r="J162" s="29" t="n"/>
    </row>
    <row r="163" ht="16" customHeight="1">
      <c r="A163" s="32">
        <f>IF(C163="","",ROW()-5)</f>
        <v/>
      </c>
      <c r="B163" s="29" t="n"/>
      <c r="C163" s="29" t="n"/>
      <c r="D163" s="29" t="n"/>
      <c r="E163" s="30" t="n"/>
      <c r="F163" s="30" t="n"/>
      <c r="G163" s="29" t="n"/>
      <c r="H163" s="31" t="n"/>
      <c r="I163" s="31" t="n"/>
      <c r="J163" s="29" t="n"/>
    </row>
    <row r="164" ht="16" customHeight="1">
      <c r="A164" s="28">
        <f>IF(C164="","",ROW()-5)</f>
        <v/>
      </c>
      <c r="B164" s="29" t="n"/>
      <c r="C164" s="29" t="n"/>
      <c r="D164" s="29" t="n"/>
      <c r="E164" s="30" t="n"/>
      <c r="F164" s="30" t="n"/>
      <c r="G164" s="29" t="n"/>
      <c r="H164" s="31" t="n"/>
      <c r="I164" s="31" t="n"/>
      <c r="J164" s="29" t="n"/>
    </row>
    <row r="165" ht="16" customHeight="1">
      <c r="A165" s="32">
        <f>IF(C165="","",ROW()-5)</f>
        <v/>
      </c>
      <c r="B165" s="29" t="n"/>
      <c r="C165" s="29" t="n"/>
      <c r="D165" s="29" t="n"/>
      <c r="E165" s="30" t="n"/>
      <c r="F165" s="30" t="n"/>
      <c r="G165" s="29" t="n"/>
      <c r="H165" s="31" t="n"/>
      <c r="I165" s="31" t="n"/>
      <c r="J165" s="29" t="n"/>
    </row>
    <row r="166" ht="16" customHeight="1">
      <c r="A166" s="28">
        <f>IF(C166="","",ROW()-5)</f>
        <v/>
      </c>
      <c r="B166" s="29" t="n"/>
      <c r="C166" s="29" t="n"/>
      <c r="D166" s="29" t="n"/>
      <c r="E166" s="30" t="n"/>
      <c r="F166" s="30" t="n"/>
      <c r="G166" s="29" t="n"/>
      <c r="H166" s="31" t="n"/>
      <c r="I166" s="31" t="n"/>
      <c r="J166" s="29" t="n"/>
    </row>
    <row r="167" ht="16" customHeight="1">
      <c r="A167" s="32">
        <f>IF(C167="","",ROW()-5)</f>
        <v/>
      </c>
      <c r="B167" s="29" t="n"/>
      <c r="C167" s="29" t="n"/>
      <c r="D167" s="29" t="n"/>
      <c r="E167" s="30" t="n"/>
      <c r="F167" s="30" t="n"/>
      <c r="G167" s="29" t="n"/>
      <c r="H167" s="31" t="n"/>
      <c r="I167" s="31" t="n"/>
      <c r="J167" s="29" t="n"/>
    </row>
    <row r="168" ht="16" customHeight="1">
      <c r="A168" s="28">
        <f>IF(C168="","",ROW()-5)</f>
        <v/>
      </c>
      <c r="B168" s="29" t="n"/>
      <c r="C168" s="29" t="n"/>
      <c r="D168" s="29" t="n"/>
      <c r="E168" s="30" t="n"/>
      <c r="F168" s="30" t="n"/>
      <c r="G168" s="29" t="n"/>
      <c r="H168" s="31" t="n"/>
      <c r="I168" s="31" t="n"/>
      <c r="J168" s="29" t="n"/>
    </row>
    <row r="169" ht="16" customHeight="1">
      <c r="A169" s="32">
        <f>IF(C169="","",ROW()-5)</f>
        <v/>
      </c>
      <c r="B169" s="29" t="n"/>
      <c r="C169" s="29" t="n"/>
      <c r="D169" s="29" t="n"/>
      <c r="E169" s="30" t="n"/>
      <c r="F169" s="30" t="n"/>
      <c r="G169" s="29" t="n"/>
      <c r="H169" s="31" t="n"/>
      <c r="I169" s="31" t="n"/>
      <c r="J169" s="29" t="n"/>
    </row>
    <row r="170" ht="16" customHeight="1">
      <c r="A170" s="28">
        <f>IF(C170="","",ROW()-5)</f>
        <v/>
      </c>
      <c r="B170" s="29" t="n"/>
      <c r="C170" s="29" t="n"/>
      <c r="D170" s="29" t="n"/>
      <c r="E170" s="30" t="n"/>
      <c r="F170" s="30" t="n"/>
      <c r="G170" s="29" t="n"/>
      <c r="H170" s="31" t="n"/>
      <c r="I170" s="31" t="n"/>
      <c r="J170" s="29" t="n"/>
    </row>
    <row r="171" ht="16" customHeight="1">
      <c r="A171" s="32">
        <f>IF(C171="","",ROW()-5)</f>
        <v/>
      </c>
      <c r="B171" s="29" t="n"/>
      <c r="C171" s="29" t="n"/>
      <c r="D171" s="29" t="n"/>
      <c r="E171" s="30" t="n"/>
      <c r="F171" s="30" t="n"/>
      <c r="G171" s="29" t="n"/>
      <c r="H171" s="31" t="n"/>
      <c r="I171" s="31" t="n"/>
      <c r="J171" s="29" t="n"/>
    </row>
    <row r="172" ht="16" customHeight="1">
      <c r="A172" s="28">
        <f>IF(C172="","",ROW()-5)</f>
        <v/>
      </c>
      <c r="B172" s="29" t="n"/>
      <c r="C172" s="29" t="n"/>
      <c r="D172" s="29" t="n"/>
      <c r="E172" s="30" t="n"/>
      <c r="F172" s="30" t="n"/>
      <c r="G172" s="29" t="n"/>
      <c r="H172" s="31" t="n"/>
      <c r="I172" s="31" t="n"/>
      <c r="J172" s="29" t="n"/>
    </row>
    <row r="173" ht="16" customHeight="1">
      <c r="A173" s="32">
        <f>IF(C173="","",ROW()-5)</f>
        <v/>
      </c>
      <c r="B173" s="29" t="n"/>
      <c r="C173" s="29" t="n"/>
      <c r="D173" s="29" t="n"/>
      <c r="E173" s="30" t="n"/>
      <c r="F173" s="30" t="n"/>
      <c r="G173" s="29" t="n"/>
      <c r="H173" s="31" t="n"/>
      <c r="I173" s="31" t="n"/>
      <c r="J173" s="29" t="n"/>
    </row>
    <row r="174" ht="16" customHeight="1">
      <c r="A174" s="28">
        <f>IF(C174="","",ROW()-5)</f>
        <v/>
      </c>
      <c r="B174" s="29" t="n"/>
      <c r="C174" s="29" t="n"/>
      <c r="D174" s="29" t="n"/>
      <c r="E174" s="30" t="n"/>
      <c r="F174" s="30" t="n"/>
      <c r="G174" s="29" t="n"/>
      <c r="H174" s="31" t="n"/>
      <c r="I174" s="31" t="n"/>
      <c r="J174" s="29" t="n"/>
    </row>
    <row r="175" ht="16" customHeight="1">
      <c r="A175" s="32">
        <f>IF(C175="","",ROW()-5)</f>
        <v/>
      </c>
      <c r="B175" s="29" t="n"/>
      <c r="C175" s="29" t="n"/>
      <c r="D175" s="29" t="n"/>
      <c r="E175" s="30" t="n"/>
      <c r="F175" s="30" t="n"/>
      <c r="G175" s="29" t="n"/>
      <c r="H175" s="31" t="n"/>
      <c r="I175" s="31" t="n"/>
      <c r="J175" s="29" t="n"/>
    </row>
    <row r="176" ht="16" customHeight="1">
      <c r="A176" s="28">
        <f>IF(C176="","",ROW()-5)</f>
        <v/>
      </c>
      <c r="B176" s="29" t="n"/>
      <c r="C176" s="29" t="n"/>
      <c r="D176" s="29" t="n"/>
      <c r="E176" s="30" t="n"/>
      <c r="F176" s="30" t="n"/>
      <c r="G176" s="29" t="n"/>
      <c r="H176" s="31" t="n"/>
      <c r="I176" s="31" t="n"/>
      <c r="J176" s="29" t="n"/>
    </row>
    <row r="177" ht="16" customHeight="1">
      <c r="A177" s="32">
        <f>IF(C177="","",ROW()-5)</f>
        <v/>
      </c>
      <c r="B177" s="29" t="n"/>
      <c r="C177" s="29" t="n"/>
      <c r="D177" s="29" t="n"/>
      <c r="E177" s="30" t="n"/>
      <c r="F177" s="30" t="n"/>
      <c r="G177" s="29" t="n"/>
      <c r="H177" s="31" t="n"/>
      <c r="I177" s="31" t="n"/>
      <c r="J177" s="29" t="n"/>
    </row>
    <row r="178" ht="16" customHeight="1">
      <c r="A178" s="28">
        <f>IF(C178="","",ROW()-5)</f>
        <v/>
      </c>
      <c r="B178" s="29" t="n"/>
      <c r="C178" s="29" t="n"/>
      <c r="D178" s="29" t="n"/>
      <c r="E178" s="30" t="n"/>
      <c r="F178" s="30" t="n"/>
      <c r="G178" s="29" t="n"/>
      <c r="H178" s="31" t="n"/>
      <c r="I178" s="31" t="n"/>
      <c r="J178" s="29" t="n"/>
    </row>
    <row r="179" ht="16" customHeight="1">
      <c r="A179" s="32">
        <f>IF(C179="","",ROW()-5)</f>
        <v/>
      </c>
      <c r="B179" s="29" t="n"/>
      <c r="C179" s="29" t="n"/>
      <c r="D179" s="29" t="n"/>
      <c r="E179" s="30" t="n"/>
      <c r="F179" s="30" t="n"/>
      <c r="G179" s="29" t="n"/>
      <c r="H179" s="31" t="n"/>
      <c r="I179" s="31" t="n"/>
      <c r="J179" s="29" t="n"/>
    </row>
    <row r="180" ht="16" customHeight="1">
      <c r="A180" s="28">
        <f>IF(C180="","",ROW()-5)</f>
        <v/>
      </c>
      <c r="B180" s="29" t="n"/>
      <c r="C180" s="29" t="n"/>
      <c r="D180" s="29" t="n"/>
      <c r="E180" s="30" t="n"/>
      <c r="F180" s="30" t="n"/>
      <c r="G180" s="29" t="n"/>
      <c r="H180" s="31" t="n"/>
      <c r="I180" s="31" t="n"/>
      <c r="J180" s="29" t="n"/>
    </row>
    <row r="181" ht="16" customHeight="1">
      <c r="A181" s="32">
        <f>IF(C181="","",ROW()-5)</f>
        <v/>
      </c>
      <c r="B181" s="29" t="n"/>
      <c r="C181" s="29" t="n"/>
      <c r="D181" s="29" t="n"/>
      <c r="E181" s="30" t="n"/>
      <c r="F181" s="30" t="n"/>
      <c r="G181" s="29" t="n"/>
      <c r="H181" s="31" t="n"/>
      <c r="I181" s="31" t="n"/>
      <c r="J181" s="29" t="n"/>
    </row>
    <row r="182" ht="16" customHeight="1">
      <c r="A182" s="28">
        <f>IF(C182="","",ROW()-5)</f>
        <v/>
      </c>
      <c r="B182" s="29" t="n"/>
      <c r="C182" s="29" t="n"/>
      <c r="D182" s="29" t="n"/>
      <c r="E182" s="30" t="n"/>
      <c r="F182" s="30" t="n"/>
      <c r="G182" s="29" t="n"/>
      <c r="H182" s="31" t="n"/>
      <c r="I182" s="31" t="n"/>
      <c r="J182" s="29" t="n"/>
    </row>
    <row r="183" ht="16" customHeight="1">
      <c r="A183" s="32">
        <f>IF(C183="","",ROW()-5)</f>
        <v/>
      </c>
      <c r="B183" s="29" t="n"/>
      <c r="C183" s="29" t="n"/>
      <c r="D183" s="29" t="n"/>
      <c r="E183" s="30" t="n"/>
      <c r="F183" s="30" t="n"/>
      <c r="G183" s="29" t="n"/>
      <c r="H183" s="31" t="n"/>
      <c r="I183" s="31" t="n"/>
      <c r="J183" s="29" t="n"/>
    </row>
    <row r="184" ht="16" customHeight="1">
      <c r="A184" s="28">
        <f>IF(C184="","",ROW()-5)</f>
        <v/>
      </c>
      <c r="B184" s="29" t="n"/>
      <c r="C184" s="29" t="n"/>
      <c r="D184" s="29" t="n"/>
      <c r="E184" s="30" t="n"/>
      <c r="F184" s="30" t="n"/>
      <c r="G184" s="29" t="n"/>
      <c r="H184" s="31" t="n"/>
      <c r="I184" s="31" t="n"/>
      <c r="J184" s="29" t="n"/>
    </row>
    <row r="185" ht="16" customHeight="1">
      <c r="A185" s="32">
        <f>IF(C185="","",ROW()-5)</f>
        <v/>
      </c>
      <c r="B185" s="29" t="n"/>
      <c r="C185" s="29" t="n"/>
      <c r="D185" s="29" t="n"/>
      <c r="E185" s="30" t="n"/>
      <c r="F185" s="30" t="n"/>
      <c r="G185" s="29" t="n"/>
      <c r="H185" s="31" t="n"/>
      <c r="I185" s="31" t="n"/>
      <c r="J185" s="29" t="n"/>
    </row>
    <row r="186" ht="16" customHeight="1">
      <c r="A186" s="28">
        <f>IF(C186="","",ROW()-5)</f>
        <v/>
      </c>
      <c r="B186" s="29" t="n"/>
      <c r="C186" s="29" t="n"/>
      <c r="D186" s="29" t="n"/>
      <c r="E186" s="30" t="n"/>
      <c r="F186" s="30" t="n"/>
      <c r="G186" s="29" t="n"/>
      <c r="H186" s="31" t="n"/>
      <c r="I186" s="31" t="n"/>
      <c r="J186" s="29" t="n"/>
    </row>
    <row r="187" ht="16" customHeight="1">
      <c r="A187" s="32">
        <f>IF(C187="","",ROW()-5)</f>
        <v/>
      </c>
      <c r="B187" s="29" t="n"/>
      <c r="C187" s="29" t="n"/>
      <c r="D187" s="29" t="n"/>
      <c r="E187" s="30" t="n"/>
      <c r="F187" s="30" t="n"/>
      <c r="G187" s="29" t="n"/>
      <c r="H187" s="31" t="n"/>
      <c r="I187" s="31" t="n"/>
      <c r="J187" s="29" t="n"/>
    </row>
    <row r="188" ht="16" customHeight="1">
      <c r="A188" s="28">
        <f>IF(C188="","",ROW()-5)</f>
        <v/>
      </c>
      <c r="B188" s="29" t="n"/>
      <c r="C188" s="29" t="n"/>
      <c r="D188" s="29" t="n"/>
      <c r="E188" s="30" t="n"/>
      <c r="F188" s="30" t="n"/>
      <c r="G188" s="29" t="n"/>
      <c r="H188" s="31" t="n"/>
      <c r="I188" s="31" t="n"/>
      <c r="J188" s="29" t="n"/>
    </row>
    <row r="189" ht="16" customHeight="1">
      <c r="A189" s="32">
        <f>IF(C189="","",ROW()-5)</f>
        <v/>
      </c>
      <c r="B189" s="29" t="n"/>
      <c r="C189" s="29" t="n"/>
      <c r="D189" s="29" t="n"/>
      <c r="E189" s="30" t="n"/>
      <c r="F189" s="30" t="n"/>
      <c r="G189" s="29" t="n"/>
      <c r="H189" s="31" t="n"/>
      <c r="I189" s="31" t="n"/>
      <c r="J189" s="29" t="n"/>
    </row>
    <row r="190" ht="16" customHeight="1">
      <c r="A190" s="28">
        <f>IF(C190="","",ROW()-5)</f>
        <v/>
      </c>
      <c r="B190" s="29" t="n"/>
      <c r="C190" s="29" t="n"/>
      <c r="D190" s="29" t="n"/>
      <c r="E190" s="30" t="n"/>
      <c r="F190" s="30" t="n"/>
      <c r="G190" s="29" t="n"/>
      <c r="H190" s="31" t="n"/>
      <c r="I190" s="31" t="n"/>
      <c r="J190" s="29" t="n"/>
    </row>
    <row r="191" ht="16" customHeight="1">
      <c r="A191" s="32">
        <f>IF(C191="","",ROW()-5)</f>
        <v/>
      </c>
      <c r="B191" s="29" t="n"/>
      <c r="C191" s="29" t="n"/>
      <c r="D191" s="29" t="n"/>
      <c r="E191" s="30" t="n"/>
      <c r="F191" s="30" t="n"/>
      <c r="G191" s="29" t="n"/>
      <c r="H191" s="31" t="n"/>
      <c r="I191" s="31" t="n"/>
      <c r="J191" s="29" t="n"/>
    </row>
    <row r="192" ht="16" customHeight="1">
      <c r="A192" s="28">
        <f>IF(C192="","",ROW()-5)</f>
        <v/>
      </c>
      <c r="B192" s="29" t="n"/>
      <c r="C192" s="29" t="n"/>
      <c r="D192" s="29" t="n"/>
      <c r="E192" s="30" t="n"/>
      <c r="F192" s="30" t="n"/>
      <c r="G192" s="29" t="n"/>
      <c r="H192" s="31" t="n"/>
      <c r="I192" s="31" t="n"/>
      <c r="J192" s="29" t="n"/>
    </row>
    <row r="193" ht="16" customHeight="1">
      <c r="A193" s="32">
        <f>IF(C193="","",ROW()-5)</f>
        <v/>
      </c>
      <c r="B193" s="29" t="n"/>
      <c r="C193" s="29" t="n"/>
      <c r="D193" s="29" t="n"/>
      <c r="E193" s="30" t="n"/>
      <c r="F193" s="30" t="n"/>
      <c r="G193" s="29" t="n"/>
      <c r="H193" s="31" t="n"/>
      <c r="I193" s="31" t="n"/>
      <c r="J193" s="29" t="n"/>
    </row>
    <row r="194" ht="16" customHeight="1">
      <c r="A194" s="28">
        <f>IF(C194="","",ROW()-5)</f>
        <v/>
      </c>
      <c r="B194" s="29" t="n"/>
      <c r="C194" s="29" t="n"/>
      <c r="D194" s="29" t="n"/>
      <c r="E194" s="30" t="n"/>
      <c r="F194" s="30" t="n"/>
      <c r="G194" s="29" t="n"/>
      <c r="H194" s="31" t="n"/>
      <c r="I194" s="31" t="n"/>
      <c r="J194" s="29" t="n"/>
    </row>
    <row r="195" ht="16" customHeight="1">
      <c r="A195" s="32">
        <f>IF(C195="","",ROW()-5)</f>
        <v/>
      </c>
      <c r="B195" s="29" t="n"/>
      <c r="C195" s="29" t="n"/>
      <c r="D195" s="29" t="n"/>
      <c r="E195" s="30" t="n"/>
      <c r="F195" s="30" t="n"/>
      <c r="G195" s="29" t="n"/>
      <c r="H195" s="31" t="n"/>
      <c r="I195" s="31" t="n"/>
      <c r="J195" s="29" t="n"/>
    </row>
    <row r="196" ht="16" customHeight="1">
      <c r="A196" s="28">
        <f>IF(C196="","",ROW()-5)</f>
        <v/>
      </c>
      <c r="B196" s="29" t="n"/>
      <c r="C196" s="29" t="n"/>
      <c r="D196" s="29" t="n"/>
      <c r="E196" s="30" t="n"/>
      <c r="F196" s="30" t="n"/>
      <c r="G196" s="29" t="n"/>
      <c r="H196" s="31" t="n"/>
      <c r="I196" s="31" t="n"/>
      <c r="J196" s="29" t="n"/>
    </row>
    <row r="197" ht="16" customHeight="1">
      <c r="A197" s="32">
        <f>IF(C197="","",ROW()-5)</f>
        <v/>
      </c>
      <c r="B197" s="29" t="n"/>
      <c r="C197" s="29" t="n"/>
      <c r="D197" s="29" t="n"/>
      <c r="E197" s="30" t="n"/>
      <c r="F197" s="30" t="n"/>
      <c r="G197" s="29" t="n"/>
      <c r="H197" s="31" t="n"/>
      <c r="I197" s="31" t="n"/>
      <c r="J197" s="29" t="n"/>
    </row>
    <row r="198" ht="16" customHeight="1">
      <c r="A198" s="28">
        <f>IF(C198="","",ROW()-5)</f>
        <v/>
      </c>
      <c r="B198" s="29" t="n"/>
      <c r="C198" s="29" t="n"/>
      <c r="D198" s="29" t="n"/>
      <c r="E198" s="30" t="n"/>
      <c r="F198" s="30" t="n"/>
      <c r="G198" s="29" t="n"/>
      <c r="H198" s="31" t="n"/>
      <c r="I198" s="31" t="n"/>
      <c r="J198" s="29" t="n"/>
    </row>
    <row r="199" ht="16" customHeight="1">
      <c r="A199" s="32">
        <f>IF(C199="","",ROW()-5)</f>
        <v/>
      </c>
      <c r="B199" s="29" t="n"/>
      <c r="C199" s="29" t="n"/>
      <c r="D199" s="29" t="n"/>
      <c r="E199" s="30" t="n"/>
      <c r="F199" s="30" t="n"/>
      <c r="G199" s="29" t="n"/>
      <c r="H199" s="31" t="n"/>
      <c r="I199" s="31" t="n"/>
      <c r="J199" s="29" t="n"/>
    </row>
    <row r="200" ht="16" customHeight="1">
      <c r="A200" s="28">
        <f>IF(C200="","",ROW()-5)</f>
        <v/>
      </c>
      <c r="B200" s="29" t="n"/>
      <c r="C200" s="29" t="n"/>
      <c r="D200" s="29" t="n"/>
      <c r="E200" s="30" t="n"/>
      <c r="F200" s="30" t="n"/>
      <c r="G200" s="29" t="n"/>
      <c r="H200" s="31" t="n"/>
      <c r="I200" s="31" t="n"/>
      <c r="J200" s="29" t="n"/>
    </row>
    <row r="201" ht="16" customHeight="1">
      <c r="A201" s="32">
        <f>IF(C201="","",ROW()-5)</f>
        <v/>
      </c>
      <c r="B201" s="29" t="n"/>
      <c r="C201" s="29" t="n"/>
      <c r="D201" s="29" t="n"/>
      <c r="E201" s="30" t="n"/>
      <c r="F201" s="30" t="n"/>
      <c r="G201" s="29" t="n"/>
      <c r="H201" s="31" t="n"/>
      <c r="I201" s="31" t="n"/>
      <c r="J201" s="29" t="n"/>
    </row>
    <row r="202" ht="16" customHeight="1">
      <c r="A202" s="28">
        <f>IF(C202="","",ROW()-5)</f>
        <v/>
      </c>
      <c r="B202" s="29" t="n"/>
      <c r="C202" s="29" t="n"/>
      <c r="D202" s="29" t="n"/>
      <c r="E202" s="30" t="n"/>
      <c r="F202" s="30" t="n"/>
      <c r="G202" s="29" t="n"/>
      <c r="H202" s="31" t="n"/>
      <c r="I202" s="31" t="n"/>
      <c r="J202" s="29" t="n"/>
    </row>
    <row r="203" ht="16" customHeight="1">
      <c r="A203" s="32">
        <f>IF(C203="","",ROW()-5)</f>
        <v/>
      </c>
      <c r="B203" s="29" t="n"/>
      <c r="C203" s="29" t="n"/>
      <c r="D203" s="29" t="n"/>
      <c r="E203" s="30" t="n"/>
      <c r="F203" s="30" t="n"/>
      <c r="G203" s="29" t="n"/>
      <c r="H203" s="31" t="n"/>
      <c r="I203" s="31" t="n"/>
      <c r="J203" s="29" t="n"/>
    </row>
    <row r="204" ht="16" customHeight="1">
      <c r="A204" s="28">
        <f>IF(C204="","",ROW()-5)</f>
        <v/>
      </c>
      <c r="B204" s="29" t="n"/>
      <c r="C204" s="29" t="n"/>
      <c r="D204" s="29" t="n"/>
      <c r="E204" s="30" t="n"/>
      <c r="F204" s="30" t="n"/>
      <c r="G204" s="29" t="n"/>
      <c r="H204" s="31" t="n"/>
      <c r="I204" s="31" t="n"/>
      <c r="J204" s="29" t="n"/>
    </row>
    <row r="205" ht="16" customHeight="1">
      <c r="A205" s="32">
        <f>IF(C205="","",ROW()-5)</f>
        <v/>
      </c>
      <c r="B205" s="29" t="n"/>
      <c r="C205" s="29" t="n"/>
      <c r="D205" s="29" t="n"/>
      <c r="E205" s="30" t="n"/>
      <c r="F205" s="30" t="n"/>
      <c r="G205" s="29" t="n"/>
      <c r="H205" s="31" t="n"/>
      <c r="I205" s="31" t="n"/>
      <c r="J205" s="29" t="n"/>
    </row>
  </sheetData>
  <mergeCells count="4">
    <mergeCell ref="J2:L2"/>
    <mergeCell ref="D2:I2"/>
    <mergeCell ref="A2:C2"/>
    <mergeCell ref="A4:L4"/>
  </mergeCells>
  <dataValidations count="3">
    <dataValidation sqref="B6:B205" showDropDown="0" showInputMessage="0" showErrorMessage="0" allowBlank="1" type="list">
      <formula1>"Living,Kitchen,Master BR,BR2,BR3,Master Bath,Bath2,Patio/Outdoor,Laundry,Decor,Tech"</formula1>
    </dataValidation>
    <dataValidation sqref="H6:H205" showDropDown="0" showInputMessage="0" showErrorMessage="0" allowBlank="1" type="list">
      <formula1>"Researching,Ordered,In transit,Installed"</formula1>
    </dataValidation>
    <dataValidation sqref="I6:I205" showDropDown="0" showInputMessage="0" showErrorMessage="0" allowBlank="1" type="list">
      <formula1>"5-yr,7-yr,Decor — expense"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HYPERLINK("#'Room Detail'!A1", "← BACK")</f>
        <v/>
      </c>
      <c r="B2" s="15" t="n"/>
      <c r="C2" s="15" t="n"/>
      <c r="D2" s="25" t="inlineStr">
        <is>
          <t>PER-ROOM ROLL-UP</t>
        </is>
      </c>
      <c r="J2" s="18">
        <f>HYPERLINK("#'Operating Reserve'!A1", "NEXT →")</f>
        <v/>
      </c>
      <c r="K2" s="19" t="n"/>
      <c r="L2" s="1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Totals by room · bar chart "$ by room" anchored right of table.</t>
        </is>
      </c>
    </row>
    <row r="5" ht="22" customHeight="1">
      <c r="A5" s="27" t="inlineStr">
        <is>
          <t>Room</t>
        </is>
      </c>
      <c r="B5" s="27" t="inlineStr">
        <is>
          <t>Est total</t>
        </is>
      </c>
      <c r="C5" s="27" t="inlineStr">
        <is>
          <t>Actual total</t>
        </is>
      </c>
      <c r="D5" s="27" t="inlineStr">
        <is>
          <t>Items</t>
        </is>
      </c>
      <c r="E5" s="27" t="inlineStr">
        <is>
          <t>Installed</t>
        </is>
      </c>
      <c r="F5" s="27" t="inlineStr">
        <is>
          <t>Completion %</t>
        </is>
      </c>
    </row>
    <row r="6" ht="18" customHeight="1">
      <c r="A6" s="33" t="inlineStr">
        <is>
          <t>Living</t>
        </is>
      </c>
      <c r="B6" s="34">
        <f>SUMIF('Room Detail'!B6:B205,A6,'Room Detail'!E6:E205)</f>
        <v/>
      </c>
      <c r="C6" s="34">
        <f>SUMIF('Room Detail'!B6:B205,A6,'Room Detail'!F6:F205)</f>
        <v/>
      </c>
      <c r="D6" s="28">
        <f>COUNTIF('Room Detail'!B6:B205,A6)</f>
        <v/>
      </c>
      <c r="E6" s="28">
        <f>COUNTIFS('Room Detail'!B6:B205,A6,'Room Detail'!H6:H205,"Installed")</f>
        <v/>
      </c>
      <c r="F6" s="35">
        <f>IFERROR(E6/D6,0)</f>
        <v/>
      </c>
    </row>
    <row r="7" ht="18" customHeight="1">
      <c r="A7" s="33" t="inlineStr">
        <is>
          <t>Kitchen</t>
        </is>
      </c>
      <c r="B7" s="34">
        <f>SUMIF('Room Detail'!B6:B205,A7,'Room Detail'!E6:E205)</f>
        <v/>
      </c>
      <c r="C7" s="34">
        <f>SUMIF('Room Detail'!B6:B205,A7,'Room Detail'!F6:F205)</f>
        <v/>
      </c>
      <c r="D7" s="28">
        <f>COUNTIF('Room Detail'!B6:B205,A7)</f>
        <v/>
      </c>
      <c r="E7" s="28">
        <f>COUNTIFS('Room Detail'!B6:B205,A7,'Room Detail'!H6:H205,"Installed")</f>
        <v/>
      </c>
      <c r="F7" s="35">
        <f>IFERROR(E7/D7,0)</f>
        <v/>
      </c>
    </row>
    <row r="8" ht="18" customHeight="1">
      <c r="A8" s="33" t="inlineStr">
        <is>
          <t>Master BR</t>
        </is>
      </c>
      <c r="B8" s="34">
        <f>SUMIF('Room Detail'!B6:B205,A8,'Room Detail'!E6:E205)</f>
        <v/>
      </c>
      <c r="C8" s="34">
        <f>SUMIF('Room Detail'!B6:B205,A8,'Room Detail'!F6:F205)</f>
        <v/>
      </c>
      <c r="D8" s="28">
        <f>COUNTIF('Room Detail'!B6:B205,A8)</f>
        <v/>
      </c>
      <c r="E8" s="28">
        <f>COUNTIFS('Room Detail'!B6:B205,A8,'Room Detail'!H6:H205,"Installed")</f>
        <v/>
      </c>
      <c r="F8" s="35">
        <f>IFERROR(E8/D8,0)</f>
        <v/>
      </c>
    </row>
    <row r="9" ht="18" customHeight="1">
      <c r="A9" s="33" t="inlineStr">
        <is>
          <t>BR2</t>
        </is>
      </c>
      <c r="B9" s="34">
        <f>SUMIF('Room Detail'!B6:B205,A9,'Room Detail'!E6:E205)</f>
        <v/>
      </c>
      <c r="C9" s="34">
        <f>SUMIF('Room Detail'!B6:B205,A9,'Room Detail'!F6:F205)</f>
        <v/>
      </c>
      <c r="D9" s="28">
        <f>COUNTIF('Room Detail'!B6:B205,A9)</f>
        <v/>
      </c>
      <c r="E9" s="28">
        <f>COUNTIFS('Room Detail'!B6:B205,A9,'Room Detail'!H6:H205,"Installed")</f>
        <v/>
      </c>
      <c r="F9" s="35">
        <f>IFERROR(E9/D9,0)</f>
        <v/>
      </c>
    </row>
    <row r="10" ht="18" customHeight="1">
      <c r="A10" s="33" t="inlineStr">
        <is>
          <t>BR3</t>
        </is>
      </c>
      <c r="B10" s="34">
        <f>SUMIF('Room Detail'!B6:B205,A10,'Room Detail'!E6:E205)</f>
        <v/>
      </c>
      <c r="C10" s="34">
        <f>SUMIF('Room Detail'!B6:B205,A10,'Room Detail'!F6:F205)</f>
        <v/>
      </c>
      <c r="D10" s="28">
        <f>COUNTIF('Room Detail'!B6:B205,A10)</f>
        <v/>
      </c>
      <c r="E10" s="28">
        <f>COUNTIFS('Room Detail'!B6:B205,A10,'Room Detail'!H6:H205,"Installed")</f>
        <v/>
      </c>
      <c r="F10" s="35">
        <f>IFERROR(E10/D10,0)</f>
        <v/>
      </c>
    </row>
    <row r="11" ht="18" customHeight="1">
      <c r="A11" s="33" t="inlineStr">
        <is>
          <t>Master Bath</t>
        </is>
      </c>
      <c r="B11" s="34">
        <f>SUMIF('Room Detail'!B6:B205,A11,'Room Detail'!E6:E205)</f>
        <v/>
      </c>
      <c r="C11" s="34">
        <f>SUMIF('Room Detail'!B6:B205,A11,'Room Detail'!F6:F205)</f>
        <v/>
      </c>
      <c r="D11" s="28">
        <f>COUNTIF('Room Detail'!B6:B205,A11)</f>
        <v/>
      </c>
      <c r="E11" s="28">
        <f>COUNTIFS('Room Detail'!B6:B205,A11,'Room Detail'!H6:H205,"Installed")</f>
        <v/>
      </c>
      <c r="F11" s="35">
        <f>IFERROR(E11/D11,0)</f>
        <v/>
      </c>
    </row>
    <row r="12" ht="18" customHeight="1">
      <c r="A12" s="33" t="inlineStr">
        <is>
          <t>Bath2</t>
        </is>
      </c>
      <c r="B12" s="34">
        <f>SUMIF('Room Detail'!B6:B205,A12,'Room Detail'!E6:E205)</f>
        <v/>
      </c>
      <c r="C12" s="34">
        <f>SUMIF('Room Detail'!B6:B205,A12,'Room Detail'!F6:F205)</f>
        <v/>
      </c>
      <c r="D12" s="28">
        <f>COUNTIF('Room Detail'!B6:B205,A12)</f>
        <v/>
      </c>
      <c r="E12" s="28">
        <f>COUNTIFS('Room Detail'!B6:B205,A12,'Room Detail'!H6:H205,"Installed")</f>
        <v/>
      </c>
      <c r="F12" s="35">
        <f>IFERROR(E12/D12,0)</f>
        <v/>
      </c>
    </row>
    <row r="13" ht="18" customHeight="1">
      <c r="A13" s="33" t="inlineStr">
        <is>
          <t>Patio/Outdoor</t>
        </is>
      </c>
      <c r="B13" s="34">
        <f>SUMIF('Room Detail'!B6:B205,A13,'Room Detail'!E6:E205)</f>
        <v/>
      </c>
      <c r="C13" s="34">
        <f>SUMIF('Room Detail'!B6:B205,A13,'Room Detail'!F6:F205)</f>
        <v/>
      </c>
      <c r="D13" s="28">
        <f>COUNTIF('Room Detail'!B6:B205,A13)</f>
        <v/>
      </c>
      <c r="E13" s="28">
        <f>COUNTIFS('Room Detail'!B6:B205,A13,'Room Detail'!H6:H205,"Installed")</f>
        <v/>
      </c>
      <c r="F13" s="35">
        <f>IFERROR(E13/D13,0)</f>
        <v/>
      </c>
    </row>
    <row r="14" ht="18" customHeight="1">
      <c r="A14" s="33" t="inlineStr">
        <is>
          <t>Laundry</t>
        </is>
      </c>
      <c r="B14" s="34">
        <f>SUMIF('Room Detail'!B6:B205,A14,'Room Detail'!E6:E205)</f>
        <v/>
      </c>
      <c r="C14" s="34">
        <f>SUMIF('Room Detail'!B6:B205,A14,'Room Detail'!F6:F205)</f>
        <v/>
      </c>
      <c r="D14" s="28">
        <f>COUNTIF('Room Detail'!B6:B205,A14)</f>
        <v/>
      </c>
      <c r="E14" s="28">
        <f>COUNTIFS('Room Detail'!B6:B205,A14,'Room Detail'!H6:H205,"Installed")</f>
        <v/>
      </c>
      <c r="F14" s="35">
        <f>IFERROR(E14/D14,0)</f>
        <v/>
      </c>
    </row>
    <row r="15" ht="18" customHeight="1">
      <c r="A15" s="33" t="inlineStr">
        <is>
          <t>Decor</t>
        </is>
      </c>
      <c r="B15" s="34">
        <f>SUMIF('Room Detail'!B6:B205,A15,'Room Detail'!E6:E205)</f>
        <v/>
      </c>
      <c r="C15" s="34">
        <f>SUMIF('Room Detail'!B6:B205,A15,'Room Detail'!F6:F205)</f>
        <v/>
      </c>
      <c r="D15" s="28">
        <f>COUNTIF('Room Detail'!B6:B205,A15)</f>
        <v/>
      </c>
      <c r="E15" s="28">
        <f>COUNTIFS('Room Detail'!B6:B205,A15,'Room Detail'!H6:H205,"Installed")</f>
        <v/>
      </c>
      <c r="F15" s="35">
        <f>IFERROR(E15/D15,0)</f>
        <v/>
      </c>
    </row>
    <row r="16" ht="18" customHeight="1">
      <c r="A16" s="33" t="inlineStr">
        <is>
          <t>Tech</t>
        </is>
      </c>
      <c r="B16" s="34">
        <f>SUMIF('Room Detail'!B6:B205,A16,'Room Detail'!E6:E205)</f>
        <v/>
      </c>
      <c r="C16" s="34">
        <f>SUMIF('Room Detail'!B6:B205,A16,'Room Detail'!F6:F205)</f>
        <v/>
      </c>
      <c r="D16" s="28">
        <f>COUNTIF('Room Detail'!B6:B205,A16)</f>
        <v/>
      </c>
      <c r="E16" s="28">
        <f>COUNTIFS('Room Detail'!B6:B205,A16,'Room Detail'!H6:H205,"Installed")</f>
        <v/>
      </c>
      <c r="F16" s="35">
        <f>IFERROR(E16/D16,0)</f>
        <v/>
      </c>
    </row>
    <row r="17" ht="22" customHeight="1">
      <c r="A17" s="36" t="inlineStr">
        <is>
          <t>TOTAL</t>
        </is>
      </c>
      <c r="B17" s="37">
        <f>SUM(B6:B16)</f>
        <v/>
      </c>
      <c r="C17" s="37">
        <f>SUM(C6:C16)</f>
        <v/>
      </c>
      <c r="D17" s="38">
        <f>SUM(D6:D16)</f>
        <v/>
      </c>
      <c r="E17" s="38">
        <f>SUM(E6:E16)</f>
        <v/>
      </c>
      <c r="F17" s="39">
        <f>IFERROR(E17/D17,0)</f>
        <v/>
      </c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</row>
    <row r="22" ht="18" customHeight="1">
      <c r="A22" s="23" t="inlineStr">
        <is>
          <t>Questions? hello@thestrledger.com</t>
        </is>
      </c>
    </row>
    <row r="23" ht="18" customHeight="1">
      <c r="A23" s="24" t="inlineStr">
        <is>
          <t>ACQ-007 · Per-Room Roll-up</t>
        </is>
      </c>
    </row>
  </sheetData>
  <mergeCells count="6">
    <mergeCell ref="J2:L2"/>
    <mergeCell ref="D2:I2"/>
    <mergeCell ref="A23:L23"/>
    <mergeCell ref="A22:L22"/>
    <mergeCell ref="A2:C2"/>
    <mergeCell ref="A4:L4"/>
  </mergeCells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4" customWidth="1" min="4" max="4"/>
    <col width="38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HYPERLINK("#'Per-Room Roll-up'!A1", "← BACK")</f>
        <v/>
      </c>
      <c r="B2" s="15" t="n"/>
      <c r="C2" s="15" t="n"/>
      <c r="D2" s="25" t="inlineStr">
        <is>
          <t>OPERATING RESERVE</t>
        </is>
      </c>
      <c r="J2" s="18">
        <f>HYPERLINK("#'Settings'!A1", "NEXT →")</f>
        <v/>
      </c>
      <c r="K2" s="19" t="n"/>
      <c r="L2" s="1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6" t="inlineStr">
        <is>
          <t>60-day setup-phase costs — fixed costs you'll pay BEFORE bookings stabilize. This is your "$ to first stay" reserve.</t>
        </is>
      </c>
    </row>
    <row r="6" ht="24" customHeight="1">
      <c r="A6" s="40" t="inlineStr">
        <is>
          <t>SETUP-PHASE OPERATING COSTS</t>
        </is>
      </c>
    </row>
    <row r="7" ht="18" customHeight="1">
      <c r="B7" s="41" t="inlineStr">
        <is>
          <t>Mortgage P&amp;I × 60 days:</t>
        </is>
      </c>
      <c r="C7" s="42" t="n"/>
    </row>
    <row r="8" ht="18" customHeight="1">
      <c r="B8" s="41" t="inlineStr">
        <is>
          <t>Insurance (60-day proration):</t>
        </is>
      </c>
      <c r="C8" s="42" t="n"/>
    </row>
    <row r="9" ht="18" customHeight="1">
      <c r="B9" s="41" t="inlineStr">
        <is>
          <t>Utilities setup + 60 days:</t>
        </is>
      </c>
      <c r="C9" s="42" t="n"/>
    </row>
    <row r="10" ht="18" customHeight="1">
      <c r="B10" s="41" t="inlineStr">
        <is>
          <t>Property tax accrual (60 days):</t>
        </is>
      </c>
      <c r="C10" s="42" t="n"/>
    </row>
    <row r="11" ht="18" customHeight="1">
      <c r="B11" s="41" t="inlineStr">
        <is>
          <t>PMS / pricing software (60d):</t>
        </is>
      </c>
      <c r="C11" s="42" t="n"/>
    </row>
    <row r="12" ht="18" customHeight="1">
      <c r="B12" s="41" t="inlineStr">
        <is>
          <t>Marketing prep + listing photos:</t>
        </is>
      </c>
      <c r="C12" s="42" t="n"/>
    </row>
    <row r="13" ht="18" customHeight="1">
      <c r="B13" s="41" t="inlineStr">
        <is>
          <t>Cleaning + supplies stock-up:</t>
        </is>
      </c>
      <c r="C13" s="42" t="n"/>
    </row>
    <row r="14" ht="18" customHeight="1">
      <c r="B14" s="41" t="inlineStr">
        <is>
          <t>Contingency (5%):</t>
        </is>
      </c>
      <c r="C14" s="42" t="n"/>
    </row>
    <row r="16" ht="28" customHeight="1">
      <c r="B16" s="43" t="inlineStr">
        <is>
          <t>TOTAL OPERATING RESERVE</t>
        </is>
      </c>
      <c r="C16" s="44">
        <f>SUM(C7:C14)</f>
        <v/>
      </c>
    </row>
    <row r="18" ht="22" customHeight="1">
      <c r="A18" s="45" t="inlineStr">
        <is>
          <t>Why this matters: hosts who skip the operating reserve burn furniture money on month-1 cleaning + insurance + utilities, then can't replace the broken thing the first guest reports. Keep this segregated.</t>
        </is>
      </c>
    </row>
    <row r="19" ht="22" customHeight="1"/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8" customHeight="1">
      <c r="A23" s="23" t="inlineStr">
        <is>
          <t>Questions? hello@thestrledger.com</t>
        </is>
      </c>
    </row>
    <row r="24" ht="18" customHeight="1">
      <c r="A24" s="24" t="inlineStr">
        <is>
          <t>ACQ-007 · Operating Reserve</t>
        </is>
      </c>
    </row>
  </sheetData>
  <mergeCells count="8">
    <mergeCell ref="A24:L24"/>
    <mergeCell ref="J2:L2"/>
    <mergeCell ref="D2:I2"/>
    <mergeCell ref="A18:L19"/>
    <mergeCell ref="A23:L23"/>
    <mergeCell ref="A6:L6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4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4" customWidth="1" min="4" max="4"/>
    <col width="28" customWidth="1" min="5" max="5"/>
    <col width="18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HYPERLINK("#'Operating Reserve'!A1", "← BACK")</f>
        <v/>
      </c>
      <c r="B2" s="15" t="n"/>
      <c r="C2" s="15" t="n"/>
      <c r="D2" s="2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Property meta · MACRS class options · year-end archive table</t>
        </is>
      </c>
    </row>
    <row r="5" ht="24" customHeight="1">
      <c r="A5" s="40" t="inlineStr">
        <is>
          <t>PROPERTY</t>
        </is>
      </c>
    </row>
    <row r="7" ht="18" customHeight="1">
      <c r="B7" s="41" t="inlineStr">
        <is>
          <t>Property name:</t>
        </is>
      </c>
      <c r="C7" s="31" t="n"/>
    </row>
    <row r="9" ht="18" customHeight="1">
      <c r="B9" s="41" t="inlineStr">
        <is>
          <t>Setup start date:</t>
        </is>
      </c>
      <c r="C9" s="31" t="n"/>
      <c r="E9" s="46" t="inlineStr">
        <is>
          <t>Use ISO YYYY-MM-DD</t>
        </is>
      </c>
    </row>
    <row r="11" ht="18" customHeight="1">
      <c r="B11" s="41" t="inlineStr">
        <is>
          <t>First-stay target:</t>
        </is>
      </c>
      <c r="C11" s="31" t="n"/>
      <c r="E11" s="46" t="inlineStr">
        <is>
          <t>Drives "$ to first stay" countdown</t>
        </is>
      </c>
    </row>
    <row r="13" ht="18" customHeight="1">
      <c r="B13" s="41" t="inlineStr">
        <is>
          <t>Operating reserve days:</t>
        </is>
      </c>
      <c r="C13" s="47" t="n"/>
      <c r="E13" s="46" t="inlineStr">
        <is>
          <t>Default 60 — adjust if pre-bookings start sooner</t>
        </is>
      </c>
    </row>
    <row r="15" ht="18" customHeight="1">
      <c r="B15" s="41" t="inlineStr">
        <is>
          <t>Active year:</t>
        </is>
      </c>
      <c r="C15" s="47" t="n"/>
      <c r="E15" s="46" t="inlineStr">
        <is>
          <t>Used for date-filtered views and archive</t>
        </is>
      </c>
    </row>
    <row r="18" ht="24" customHeight="1">
      <c r="A18" s="40" t="inlineStr">
        <is>
          <t>MACRS CLASS REFERENCE</t>
        </is>
      </c>
    </row>
    <row r="20" ht="18" customHeight="1">
      <c r="B20" s="48" t="inlineStr">
        <is>
          <t>5-yr</t>
        </is>
      </c>
      <c r="C20" s="49" t="inlineStr">
        <is>
          <t>Appliances, electronics, computers, smart-home devices</t>
        </is>
      </c>
    </row>
    <row r="21" ht="18" customHeight="1">
      <c r="B21" s="48" t="inlineStr">
        <is>
          <t>7-yr</t>
        </is>
      </c>
      <c r="C21" s="49" t="inlineStr">
        <is>
          <t>Furniture, mattresses, rugs, fixtures, outdoor durables</t>
        </is>
      </c>
    </row>
    <row r="22" ht="18" customHeight="1">
      <c r="B22" s="48" t="inlineStr">
        <is>
          <t>Decor — expense</t>
        </is>
      </c>
      <c r="C22" s="49" t="inlineStr">
        <is>
          <t>Linens, art, plants, books, candles (de minimis: &lt;$2,500/item)</t>
        </is>
      </c>
    </row>
    <row r="25" ht="24" customHeight="1">
      <c r="A25" s="40" t="inlineStr">
        <is>
          <t>YEAR-END ARCHIVE</t>
        </is>
      </c>
    </row>
    <row r="26" ht="16" customHeight="1">
      <c r="A26" s="46" t="inlineStr">
        <is>
          <t>Each January, copy the YTD totals from Start tab into one row below, then clear Room Detail to start the new property build clean.</t>
        </is>
      </c>
    </row>
    <row r="28" ht="22" customHeight="1">
      <c r="B28" s="27" t="inlineStr">
        <is>
          <t>Year</t>
        </is>
      </c>
      <c r="C28" s="27" t="inlineStr">
        <is>
          <t>Total Budget</t>
        </is>
      </c>
      <c r="D28" s="27" t="inlineStr">
        <is>
          <t>Total Spent</t>
        </is>
      </c>
      <c r="E28" s="27" t="inlineStr">
        <is>
          <t># Items</t>
        </is>
      </c>
      <c r="F28" s="27" t="inlineStr">
        <is>
          <t>Notes</t>
        </is>
      </c>
    </row>
    <row r="29" ht="18" customHeight="1">
      <c r="B29" s="50" t="n">
        <v>2026</v>
      </c>
      <c r="C29" s="42" t="n"/>
      <c r="D29" s="42" t="n"/>
      <c r="E29" s="47" t="n"/>
      <c r="F29" s="31" t="n"/>
    </row>
    <row r="30" ht="18" customHeight="1">
      <c r="B30" s="50" t="n">
        <v>2027</v>
      </c>
      <c r="C30" s="42" t="n"/>
      <c r="D30" s="42" t="n"/>
      <c r="E30" s="47" t="n"/>
      <c r="F30" s="31" t="n"/>
    </row>
    <row r="31" ht="18" customHeight="1">
      <c r="B31" s="50" t="n">
        <v>2028</v>
      </c>
      <c r="C31" s="42" t="n"/>
      <c r="D31" s="42" t="n"/>
      <c r="E31" s="47" t="n"/>
      <c r="F31" s="31" t="n"/>
    </row>
    <row r="32" ht="18" customHeight="1">
      <c r="B32" s="50" t="n">
        <v>2029</v>
      </c>
      <c r="C32" s="42" t="n"/>
      <c r="D32" s="42" t="n"/>
      <c r="E32" s="47" t="n"/>
      <c r="F32" s="31" t="n"/>
    </row>
    <row r="33" ht="18" customHeight="1">
      <c r="B33" s="50" t="n">
        <v>2030</v>
      </c>
      <c r="C33" s="42" t="n"/>
      <c r="D33" s="42" t="n"/>
      <c r="E33" s="47" t="n"/>
      <c r="F33" s="31" t="n"/>
    </row>
    <row r="34" ht="18" customHeight="1">
      <c r="B34" s="50" t="n">
        <v>2031</v>
      </c>
      <c r="C34" s="42" t="n"/>
      <c r="D34" s="42" t="n"/>
      <c r="E34" s="47" t="n"/>
      <c r="F34" s="31" t="n"/>
    </row>
    <row r="35" ht="18" customHeight="1">
      <c r="B35" s="50" t="n">
        <v>2032</v>
      </c>
      <c r="C35" s="42" t="n"/>
      <c r="D35" s="42" t="n"/>
      <c r="E35" s="47" t="n"/>
      <c r="F35" s="31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</row>
    <row r="39" ht="18" customHeight="1">
      <c r="A39" s="23" t="inlineStr">
        <is>
          <t>Questions? hello@thestrledger.com</t>
        </is>
      </c>
    </row>
    <row r="40" ht="18" customHeight="1">
      <c r="A40" s="24" t="inlineStr">
        <is>
          <t>ACQ-007 · Settings</t>
        </is>
      </c>
    </row>
  </sheetData>
  <mergeCells count="16">
    <mergeCell ref="C22:F22"/>
    <mergeCell ref="D2:L2"/>
    <mergeCell ref="E9:L9"/>
    <mergeCell ref="A26:L26"/>
    <mergeCell ref="A25:L25"/>
    <mergeCell ref="E15:L15"/>
    <mergeCell ref="C20:F20"/>
    <mergeCell ref="A5:L5"/>
    <mergeCell ref="E11:L11"/>
    <mergeCell ref="C21:F21"/>
    <mergeCell ref="E13:L13"/>
    <mergeCell ref="A18:L18"/>
    <mergeCell ref="A40:L40"/>
    <mergeCell ref="A39:L39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Furniture / Setup Budget — The STR Ledger</dc:title>
  <dc:description xmlns:dc="http://purl.org/dc/elements/1.1/">Pre-furnishing budget for a new STR. Per-room item register with cost benchmarks, MACRS class flag (5-yr / 7-yr / Decor), 60-day operating reserve, and bar chart $ by room.</dc:description>
  <dcterms:created xmlns:dcterms="http://purl.org/dc/terms/" xmlns:xsi="http://www.w3.org/2001/XMLSchema-instance" xsi:type="dcterms:W3CDTF">2026-05-03T19:04:41Z</dcterms:created>
  <dcterms:modified xmlns:dcterms="http://purl.org/dc/terms/" xmlns:xsi="http://www.w3.org/2001/XMLSchema-instance" xsi:type="dcterms:W3CDTF">2026-05-03T19:04:41Z</dcterms:modified>
</cp:coreProperties>
</file>