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365-Day Calendar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'Start'!$A$1:$L$34</definedName>
    <definedName name="_xlnm.Print_Titles" localSheetId="2">'365-Day Calendar'!$1:$5</definedName>
    <definedName name="_xlnm.Print_Area" localSheetId="2">'365-Day Calendar'!$A$1:$I$370</definedName>
    <definedName name="_xlnm.Print_Area" localSheetId="3">'Monthly Summary'!$A$1:$L$29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yyyy-mm-dd"/>
  </numFmts>
  <fonts count="29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Georgia"/>
      <i val="1"/>
      <color rgb="00C9A24B"/>
      <sz val="18"/>
    </font>
    <font>
      <name val="Consolas"/>
      <b val="1"/>
      <color rgb="0012304E"/>
      <sz val="10"/>
    </font>
    <font>
      <name val="Consolas"/>
      <b val="1"/>
      <color rgb="0012304E"/>
      <sz val="9"/>
    </font>
    <font>
      <name val="Georgia"/>
      <b val="1"/>
      <color rgb="00C9A24B"/>
      <sz val="22"/>
    </font>
    <font>
      <name val="Calibri"/>
      <i val="1"/>
      <color rgb="006B7280"/>
      <sz val="10"/>
    </font>
    <font>
      <name val="Calibri"/>
      <b val="1"/>
      <i val="1"/>
      <color rgb="00B5725E"/>
      <sz val="10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Georgia"/>
      <b val="1"/>
      <color rgb="00F6EFE2"/>
      <sz val="12"/>
    </font>
    <font>
      <name val="Calibri"/>
      <b val="1"/>
      <color rgb="002B2B2B"/>
      <sz val="11"/>
    </font>
    <font>
      <name val="Calibri"/>
      <color rgb="002B2B2B"/>
      <sz val="11"/>
    </font>
    <font>
      <name val="Calibri"/>
      <i val="1"/>
      <color rgb="006B7280"/>
      <sz val="9"/>
    </font>
    <font>
      <name val="Calibri"/>
      <i val="1"/>
      <color rgb="002B2B2B"/>
      <sz val="11"/>
    </font>
    <font>
      <name val="Calibri"/>
      <color rgb="002B2B2B"/>
      <sz val="10"/>
    </font>
    <font>
      <name val="Calibri"/>
      <b val="1"/>
      <color rgb="0012304E"/>
      <sz val="11"/>
    </font>
    <font>
      <name val="Georgia"/>
      <b val="1"/>
      <color rgb="0012304E"/>
      <sz val="12"/>
    </font>
    <font>
      <name val="Georgia"/>
      <b val="1"/>
      <color rgb="00C9A24B"/>
      <sz val="14"/>
    </font>
    <font>
      <name val="Calibri"/>
      <sz val="11"/>
    </font>
    <font>
      <name val="Georgia"/>
      <b val="1"/>
      <color rgb="0012304E"/>
      <sz val="14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EFE5D0"/>
      </patternFill>
    </fill>
    <fill>
      <patternFill patternType="solid">
        <fgColor rgb="00E2C884"/>
      </patternFill>
    </fill>
  </fills>
  <borders count="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2" fillId="4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3" fillId="4" borderId="0" applyAlignment="1" pivotButton="0" quotePrefix="0" xfId="0">
      <alignment horizontal="center" vertical="center" wrapText="1"/>
    </xf>
    <xf numFmtId="0" fontId="0" fillId="0" borderId="3" pivotButton="0" quotePrefix="0" xfId="0"/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right" vertical="center" indent="2"/>
    </xf>
    <xf numFmtId="0" fontId="17" fillId="3" borderId="0" applyAlignment="1" pivotButton="0" quotePrefix="0" xfId="0">
      <alignment horizontal="left" vertical="center" indent="1"/>
    </xf>
    <xf numFmtId="0" fontId="18" fillId="2" borderId="0" applyAlignment="1" pivotButton="0" quotePrefix="0" xfId="0">
      <alignment horizontal="left" vertical="center" indent="2"/>
    </xf>
    <xf numFmtId="0" fontId="19" fillId="0" borderId="0" applyAlignment="1" pivotButton="0" quotePrefix="0" xfId="0">
      <alignment horizontal="right" vertical="center" indent="1"/>
    </xf>
    <xf numFmtId="164" fontId="20" fillId="5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indent="1"/>
    </xf>
    <xf numFmtId="9" fontId="20" fillId="5" borderId="0" applyAlignment="1" pivotButton="0" quotePrefix="0" xfId="0">
      <alignment horizontal="center" vertical="center"/>
    </xf>
    <xf numFmtId="0" fontId="13" fillId="2" borderId="4" applyAlignment="1" pivotButton="0" quotePrefix="0" xfId="0">
      <alignment horizontal="center" vertical="center"/>
    </xf>
    <xf numFmtId="0" fontId="20" fillId="5" borderId="0" applyAlignment="1" pivotButton="0" quotePrefix="0" xfId="0">
      <alignment horizontal="left" vertical="center" indent="1"/>
    </xf>
    <xf numFmtId="165" fontId="20" fillId="5" borderId="0" applyAlignment="1" pivotButton="0" quotePrefix="0" xfId="0">
      <alignment horizontal="center" vertical="center"/>
    </xf>
    <xf numFmtId="2" fontId="20" fillId="5" borderId="0" applyAlignment="1" pivotButton="0" quotePrefix="0" xfId="0">
      <alignment horizontal="center" vertical="center"/>
    </xf>
    <xf numFmtId="1" fontId="22" fillId="6" borderId="0" applyAlignment="1" pivotButton="0" quotePrefix="0" xfId="0">
      <alignment horizontal="center" vertical="center"/>
    </xf>
    <xf numFmtId="0" fontId="21" fillId="7" borderId="0" applyAlignment="1" pivotButton="0" quotePrefix="0" xfId="0">
      <alignment horizontal="left" vertical="top" wrapText="1" indent="2"/>
    </xf>
    <xf numFmtId="165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 indent="1"/>
    </xf>
    <xf numFmtId="2" fontId="22" fillId="6" borderId="0" applyAlignment="1" pivotButton="0" quotePrefix="0" xfId="0">
      <alignment horizontal="center" vertical="center"/>
    </xf>
    <xf numFmtId="164" fontId="22" fillId="6" borderId="0" applyAlignment="1" pivotButton="0" quotePrefix="0" xfId="0">
      <alignment horizontal="center" vertical="center"/>
    </xf>
    <xf numFmtId="164" fontId="24" fillId="8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right" vertical="center" indent="1"/>
    </xf>
    <xf numFmtId="164" fontId="25" fillId="8" borderId="0" applyAlignment="1" pivotButton="0" quotePrefix="0" xfId="0">
      <alignment horizontal="center" vertical="center"/>
    </xf>
    <xf numFmtId="9" fontId="22" fillId="6" borderId="0" applyAlignment="1" pivotButton="0" quotePrefix="0" xfId="0">
      <alignment horizontal="center" vertical="center"/>
    </xf>
    <xf numFmtId="164" fontId="26" fillId="8" borderId="0" applyAlignment="1" pivotButton="0" quotePrefix="0" xfId="0">
      <alignment horizontal="center" vertical="center"/>
    </xf>
    <xf numFmtId="0" fontId="17" fillId="7" borderId="0" applyAlignment="1" pivotButton="0" quotePrefix="0" xfId="0">
      <alignment horizontal="left" vertical="top" wrapText="1" indent="2"/>
    </xf>
    <xf numFmtId="0" fontId="27" fillId="0" borderId="0" pivotButton="0" quotePrefix="0" xfId="0"/>
    <xf numFmtId="0" fontId="28" fillId="5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indent="1"/>
    </xf>
    <xf numFmtId="1" fontId="28" fillId="5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left" vertical="top" wrapText="1" indent="2"/>
    </xf>
  </cellXfs>
  <cellStyles count="1">
    <cellStyle name="Normal" xfId="0" builtinId="0" hidden="0"/>
  </cellStyles>
  <dxfs count="3">
    <dxf>
      <fill>
        <patternFill patternType="solid">
          <fgColor rgb="00C7EFCF"/>
        </patternFill>
      </fill>
    </dxf>
    <dxf>
      <fill>
        <patternFill patternType="solid">
          <fgColor rgb="00FFCCCC"/>
        </patternFill>
      </fill>
    </dxf>
    <dxf>
      <fill>
        <patternFill patternType="solid">
          <fgColor rgb="00E2C8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suggested rate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Summary'!C6</f>
            </strRef>
          </tx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'Monthly Summary'!$B$7:$B$18</f>
            </numRef>
          </cat>
          <val>
            <numRef>
              <f>'Monthly Summary'!$C$7:$C$18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nightly rate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Dynamic Pricing Calculator</t>
        </is>
      </c>
    </row>
    <row r="5" ht="22" customHeight="1">
      <c r="A5" s="4" t="inlineStr">
        <is>
          <t>Season, day, event — a suggested rate for every night.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REV-002 · v1.0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 ht="22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1" ht="28" customHeight="1">
      <c r="A11" s="6">
        <f>IF(Settings!B5="","(set property on Settings tab)",Settings!B5)</f>
        <v/>
      </c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18" customHeight="1">
      <c r="A13" s="8">
        <f>"PRICING YEAR  "&amp;Settings!B7</f>
        <v/>
      </c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16" customHeight="1">
      <c r="A15" s="9" t="inlineStr">
        <is>
          <t>AVG NIGHTLY</t>
        </is>
      </c>
      <c r="D15" s="9" t="inlineStr">
        <is>
          <t>PEAK NIGHTLY</t>
        </is>
      </c>
      <c r="G15" s="9" t="inlineStr">
        <is>
          <t>LOW NIGHTLY</t>
        </is>
      </c>
      <c r="J15" s="9" t="inlineStr">
        <is>
          <t>REVPAR PROJ</t>
        </is>
      </c>
    </row>
    <row r="16" ht="16" customHeight="1">
      <c r="A16" s="10">
        <f>IFERROR(AVERAGE('365-Day Calendar'!I6:I370),0)</f>
        <v/>
      </c>
      <c r="D16" s="10">
        <f>IFERROR(MAX('365-Day Calendar'!I6:I370),0)</f>
        <v/>
      </c>
      <c r="G16" s="10">
        <f>IFERROR(MIN('365-Day Calendar'!I6:I370),0)</f>
        <v/>
      </c>
      <c r="J16" s="10">
        <f>IFERROR(AVERAGE('365-Day Calendar'!I6:I370)*Inputs!C13,0)</f>
        <v/>
      </c>
    </row>
    <row r="17" ht="16" customHeight="1"/>
    <row r="18" ht="16" customHeight="1"/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18" customHeight="1">
      <c r="A20" s="11" t="inlineStr">
        <is>
          <t>RevPAR projection = average suggested nightly × occupancy assumption (set on Inputs).</t>
        </is>
      </c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20" customHeight="1">
      <c r="A22" s="12" t="inlineStr">
        <is>
          <t>Re-run when base rate, peak season, or event calendar changes.</t>
        </is>
      </c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5" ht="22" customHeight="1">
      <c r="A25" s="13">
        <f>HYPERLINK("#'Inputs'!A1", "Inputs")</f>
        <v/>
      </c>
      <c r="B25" s="14" t="n"/>
      <c r="C25" s="14" t="n"/>
      <c r="D25" s="13">
        <f>HYPERLINK("#'365-Day Calendar'!A1", "365-Day Calendar")</f>
        <v/>
      </c>
      <c r="E25" s="14" t="n"/>
      <c r="F25" s="14" t="n"/>
      <c r="G25" s="13">
        <f>HYPERLINK("#'Monthly Summary'!A1", "Monthly Summary")</f>
        <v/>
      </c>
      <c r="H25" s="14" t="n"/>
      <c r="I25" s="14" t="n"/>
      <c r="J25" s="15">
        <f>HYPERLINK("#'Settings'!A1", "Settings")</f>
        <v/>
      </c>
      <c r="K25" s="16" t="n"/>
      <c r="L25" s="16" t="n"/>
    </row>
    <row r="26" ht="22" customHeight="1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6" t="n"/>
      <c r="K26" s="16" t="n"/>
      <c r="L26" s="16" t="n"/>
    </row>
    <row r="27" ht="22" customHeight="1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6" t="n"/>
      <c r="K27" s="16" t="n"/>
      <c r="L27" s="16" t="n"/>
    </row>
    <row r="30" ht="36" customHeight="1">
      <c r="A30" s="17" t="inlineStr">
        <is>
          <t>Pricing across the portfolio? Get the Pricing Bundle at thestrledger.com/pricing — $97.</t>
        </is>
      </c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</row>
    <row r="33" ht="18" customHeight="1">
      <c r="A33" s="19" t="inlineStr">
        <is>
          <t>Questions? hello@thestrledger.com</t>
        </is>
      </c>
    </row>
    <row r="34" ht="18" customHeight="1">
      <c r="A34" s="20" t="inlineStr">
        <is>
          <t>REV-002 · v1.0 · BLANK · Free updates forever</t>
        </is>
      </c>
    </row>
  </sheetData>
  <mergeCells count="23">
    <mergeCell ref="A7:L7"/>
    <mergeCell ref="A16:C18"/>
    <mergeCell ref="A25:C27"/>
    <mergeCell ref="G15:I15"/>
    <mergeCell ref="A2:F2"/>
    <mergeCell ref="D16:F18"/>
    <mergeCell ref="A33:L33"/>
    <mergeCell ref="A5:L5"/>
    <mergeCell ref="A22:L22"/>
    <mergeCell ref="J25:L27"/>
    <mergeCell ref="J16:L18"/>
    <mergeCell ref="D15:F15"/>
    <mergeCell ref="D25:F27"/>
    <mergeCell ref="A4:L4"/>
    <mergeCell ref="A20:L20"/>
    <mergeCell ref="A13:L13"/>
    <mergeCell ref="A15:C15"/>
    <mergeCell ref="G16:I18"/>
    <mergeCell ref="A34:L34"/>
    <mergeCell ref="G25:I27"/>
    <mergeCell ref="A30:L30"/>
    <mergeCell ref="A11:L11"/>
    <mergeCell ref="J15:L15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6" customWidth="1" min="3" max="3"/>
    <col width="16" customWidth="1" min="4" max="4"/>
    <col width="16" customWidth="1" min="5" max="5"/>
    <col width="14" customWidth="1" min="6" max="6"/>
    <col width="2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HYPERLINK("#'Settings'!A1", "← BACK")</f>
        <v/>
      </c>
      <c r="B2" s="14" t="n"/>
      <c r="C2" s="14" t="n"/>
      <c r="D2" s="21" t="inlineStr">
        <is>
          <t>INPUTS</t>
        </is>
      </c>
      <c r="J2" s="15">
        <f>HYPERLINK("#'365-Day Calendar'!A1", "NEXT →")</f>
        <v/>
      </c>
      <c r="K2" s="16" t="n"/>
      <c r="L2" s="1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2" t="inlineStr">
        <is>
          <t>Base rate, four seasons, day-of-week multipliers, and twelve event slots. Suggested rate = Base × Season × DOW × Event.</t>
        </is>
      </c>
    </row>
    <row r="6" ht="24" customHeight="1">
      <c r="A6" s="23" t="inlineStr">
        <is>
          <t>BASE RATE  +  OCCUPANCY ASSUMPTION</t>
        </is>
      </c>
    </row>
    <row r="7" ht="18" customHeight="1">
      <c r="B7" s="24" t="inlineStr">
        <is>
          <t>Base nightly rate ($):</t>
        </is>
      </c>
      <c r="C7" s="25" t="n"/>
      <c r="E7" s="26" t="inlineStr">
        <is>
          <t>The 'normal night' rate before any multiplier</t>
        </is>
      </c>
    </row>
    <row r="13" ht="18" customHeight="1">
      <c r="B13" s="24" t="inlineStr">
        <is>
          <t>Annual occupancy assumption (%):</t>
        </is>
      </c>
      <c r="C13" s="27" t="n"/>
      <c r="E13" s="26" t="inlineStr">
        <is>
          <t>Used for RevPAR projection on Start tab + Monthly Summary</t>
        </is>
      </c>
    </row>
    <row r="15" ht="24" customHeight="1">
      <c r="A15" s="23" t="inlineStr">
        <is>
          <t>SEASON DEFINITIONS  (4 seasons, edit dates / mult)</t>
        </is>
      </c>
    </row>
    <row r="16" ht="22" customHeight="1">
      <c r="B16" s="28" t="inlineStr">
        <is>
          <t>Season</t>
        </is>
      </c>
      <c r="C16" s="28" t="inlineStr">
        <is>
          <t>Start date</t>
        </is>
      </c>
      <c r="D16" s="28" t="inlineStr">
        <is>
          <t>End date</t>
        </is>
      </c>
      <c r="E16" s="28" t="inlineStr">
        <is>
          <t>Multiplier</t>
        </is>
      </c>
      <c r="F16" s="28" t="inlineStr"/>
      <c r="G16" s="28" t="inlineStr">
        <is>
          <t>Notes</t>
        </is>
      </c>
    </row>
    <row r="17" ht="18" customHeight="1">
      <c r="B17" s="29" t="n"/>
      <c r="C17" s="30" t="n"/>
      <c r="D17" s="30" t="n"/>
      <c r="E17" s="31" t="n"/>
      <c r="F17" s="26" t="inlineStr">
        <is>
          <t>Slowest months — heat with discounts</t>
        </is>
      </c>
    </row>
    <row r="18" ht="18" customHeight="1">
      <c r="B18" s="29" t="n"/>
      <c r="C18" s="30" t="n"/>
      <c r="D18" s="30" t="n"/>
      <c r="E18" s="31" t="n"/>
      <c r="F18" s="26" t="inlineStr">
        <is>
          <t>Wake-up demand — keep at neutral</t>
        </is>
      </c>
    </row>
    <row r="19" ht="18" customHeight="1">
      <c r="B19" s="29" t="n"/>
      <c r="C19" s="30" t="n"/>
      <c r="D19" s="30" t="n"/>
      <c r="E19" s="31" t="n"/>
      <c r="F19" s="26" t="inlineStr">
        <is>
          <t>Highest demand window of the year</t>
        </is>
      </c>
    </row>
    <row r="20" ht="18" customHeight="1">
      <c r="B20" s="29" t="n"/>
      <c r="C20" s="30" t="n"/>
      <c r="D20" s="30" t="n"/>
      <c r="E20" s="31" t="n"/>
      <c r="F20" s="26" t="inlineStr">
        <is>
          <t>Cooling demand but holds value</t>
        </is>
      </c>
    </row>
    <row r="22" ht="24" customHeight="1">
      <c r="A22" s="23" t="inlineStr">
        <is>
          <t>DAY-OF-WEEK MULTIPLIERS  (Weekday code matches WEEKDAY(date,2))</t>
        </is>
      </c>
    </row>
    <row r="23" ht="22" customHeight="1">
      <c r="B23" s="28" t="inlineStr">
        <is>
          <t>Day</t>
        </is>
      </c>
      <c r="C23" s="28" t="inlineStr">
        <is>
          <t>Weekday code</t>
        </is>
      </c>
      <c r="D23" s="28" t="inlineStr">
        <is>
          <t>Multiplier</t>
        </is>
      </c>
    </row>
    <row r="24" ht="18" customHeight="1">
      <c r="B24" s="29" t="n"/>
      <c r="C24" s="32" t="n">
        <v>1</v>
      </c>
      <c r="D24" s="31" t="n"/>
    </row>
    <row r="25" ht="18" customHeight="1">
      <c r="B25" s="29" t="n"/>
      <c r="C25" s="32" t="n">
        <v>2</v>
      </c>
      <c r="D25" s="31" t="n"/>
    </row>
    <row r="26" ht="18" customHeight="1">
      <c r="B26" s="29" t="n"/>
      <c r="C26" s="32" t="n">
        <v>3</v>
      </c>
      <c r="D26" s="31" t="n"/>
    </row>
    <row r="27" ht="18" customHeight="1">
      <c r="B27" s="29" t="n"/>
      <c r="C27" s="32" t="n">
        <v>4</v>
      </c>
      <c r="D27" s="31" t="n"/>
    </row>
    <row r="28" ht="18" customHeight="1">
      <c r="B28" s="29" t="n"/>
      <c r="C28" s="32" t="n">
        <v>5</v>
      </c>
      <c r="D28" s="31" t="n"/>
    </row>
    <row r="29" ht="18" customHeight="1">
      <c r="B29" s="29" t="n"/>
      <c r="C29" s="32" t="n">
        <v>6</v>
      </c>
      <c r="D29" s="31" t="n"/>
    </row>
    <row r="30" ht="18" customHeight="1">
      <c r="B30" s="29" t="n"/>
      <c r="C30" s="32" t="n">
        <v>7</v>
      </c>
      <c r="D30" s="31" t="n"/>
    </row>
    <row r="32" ht="24" customHeight="1">
      <c r="A32" s="23" t="inlineStr">
        <is>
          <t>EVENT LIFTS  (12 slots — add holidays, festivals, concerts)</t>
        </is>
      </c>
    </row>
    <row r="33" ht="22" customHeight="1">
      <c r="B33" s="28" t="inlineStr">
        <is>
          <t>Date</t>
        </is>
      </c>
      <c r="C33" s="28" t="inlineStr">
        <is>
          <t>Event name</t>
        </is>
      </c>
      <c r="D33" s="28" t="inlineStr">
        <is>
          <t>Multiplier</t>
        </is>
      </c>
      <c r="E33" s="28" t="inlineStr"/>
      <c r="F33" s="28" t="inlineStr">
        <is>
          <t>Notes</t>
        </is>
      </c>
    </row>
    <row r="34" ht="18" customHeight="1">
      <c r="B34" s="30" t="n"/>
      <c r="C34" s="29" t="n"/>
      <c r="D34" s="31" t="n"/>
      <c r="E34" s="26" t="n"/>
    </row>
    <row r="35" ht="18" customHeight="1">
      <c r="B35" s="30" t="n"/>
      <c r="C35" s="29" t="n"/>
      <c r="D35" s="31" t="n"/>
      <c r="E35" s="26" t="n"/>
    </row>
    <row r="36" ht="18" customHeight="1">
      <c r="B36" s="30" t="n"/>
      <c r="C36" s="29" t="n"/>
      <c r="D36" s="31" t="n"/>
      <c r="E36" s="26" t="n"/>
    </row>
    <row r="37" ht="18" customHeight="1">
      <c r="B37" s="30" t="n"/>
      <c r="C37" s="29" t="n"/>
      <c r="D37" s="31" t="n"/>
      <c r="E37" s="26" t="n"/>
    </row>
    <row r="38" ht="18" customHeight="1">
      <c r="B38" s="30" t="n"/>
      <c r="C38" s="29" t="n"/>
      <c r="D38" s="31" t="n"/>
      <c r="E38" s="26" t="n"/>
    </row>
    <row r="39" ht="18" customHeight="1">
      <c r="B39" s="30" t="n"/>
      <c r="C39" s="29" t="n"/>
      <c r="D39" s="31" t="n"/>
      <c r="E39" s="26" t="n"/>
    </row>
    <row r="40" ht="18" customHeight="1">
      <c r="B40" s="30" t="n"/>
      <c r="C40" s="29" t="n"/>
      <c r="D40" s="31" t="n"/>
      <c r="E40" s="26" t="n"/>
    </row>
    <row r="41" ht="18" customHeight="1">
      <c r="B41" s="30" t="n"/>
      <c r="C41" s="29" t="n"/>
      <c r="D41" s="31" t="n"/>
      <c r="E41" s="26" t="n"/>
    </row>
    <row r="42" ht="18" customHeight="1">
      <c r="B42" s="30" t="n"/>
      <c r="C42" s="29" t="n"/>
      <c r="D42" s="31" t="n"/>
      <c r="E42" s="26" t="n"/>
    </row>
    <row r="43" ht="18" customHeight="1">
      <c r="B43" s="30" t="n"/>
      <c r="C43" s="29" t="n"/>
      <c r="D43" s="31" t="n"/>
      <c r="E43" s="26" t="n"/>
    </row>
    <row r="44" ht="18" customHeight="1">
      <c r="B44" s="30" t="n"/>
      <c r="C44" s="29" t="n"/>
      <c r="D44" s="31" t="n"/>
      <c r="E44" s="26" t="n"/>
    </row>
    <row r="45" ht="18" customHeight="1">
      <c r="B45" s="30" t="n"/>
      <c r="C45" s="29" t="n"/>
      <c r="D45" s="31" t="n"/>
      <c r="E45" s="26" t="n"/>
    </row>
    <row r="47" ht="16" customHeight="1">
      <c r="A47" s="33" t="inlineStr">
        <is>
          <t>Note: events override season + DOW. If two events fall on the same date, the calendar uses the FIRST match in the list — order events by importance. Blank rows are ignored.</t>
        </is>
      </c>
    </row>
    <row r="48" ht="16" customHeight="1"/>
    <row r="49" ht="16" customHeight="1"/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</row>
    <row r="52" ht="18" customHeight="1">
      <c r="A52" s="19" t="inlineStr">
        <is>
          <t>Questions? hello@thestrledger.com</t>
        </is>
      </c>
    </row>
    <row r="53" ht="18" customHeight="1">
      <c r="A53" s="20" t="inlineStr">
        <is>
          <t>REV-002 · Inputs</t>
        </is>
      </c>
    </row>
  </sheetData>
  <mergeCells count="29">
    <mergeCell ref="E43:F43"/>
    <mergeCell ref="D2:I2"/>
    <mergeCell ref="F19:G19"/>
    <mergeCell ref="E42:F42"/>
    <mergeCell ref="E39:F39"/>
    <mergeCell ref="A2:C2"/>
    <mergeCell ref="E44:F44"/>
    <mergeCell ref="E35:F35"/>
    <mergeCell ref="E38:F38"/>
    <mergeCell ref="F20:G20"/>
    <mergeCell ref="F18:G18"/>
    <mergeCell ref="A32:L32"/>
    <mergeCell ref="A22:L22"/>
    <mergeCell ref="E13:L13"/>
    <mergeCell ref="E40:F40"/>
    <mergeCell ref="A53:L53"/>
    <mergeCell ref="F17:G17"/>
    <mergeCell ref="A4:L4"/>
    <mergeCell ref="E34:F34"/>
    <mergeCell ref="A47:L49"/>
    <mergeCell ref="J2:L2"/>
    <mergeCell ref="A52:L52"/>
    <mergeCell ref="E45:F45"/>
    <mergeCell ref="E36:F36"/>
    <mergeCell ref="A15:L15"/>
    <mergeCell ref="E7:L7"/>
    <mergeCell ref="E41:F41"/>
    <mergeCell ref="E37:F37"/>
    <mergeCell ref="A6:L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37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1" customWidth="1" min="4" max="4"/>
    <col width="11" customWidth="1" min="5" max="5"/>
    <col width="11" customWidth="1" min="6" max="6"/>
    <col width="14" customWidth="1" min="7" max="7"/>
    <col width="13" customWidth="1" min="8" max="8"/>
    <col width="14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HYPERLINK("#'Inputs'!A1", "← BACK")</f>
        <v/>
      </c>
      <c r="B2" s="14" t="n"/>
      <c r="C2" s="14" t="n"/>
      <c r="D2" s="21" t="inlineStr">
        <is>
          <t>365-DAY CALENDAR</t>
        </is>
      </c>
      <c r="J2" s="15">
        <f>HYPERLINK("#'Monthly Summary'!A1", "NEXT →")</f>
        <v/>
      </c>
      <c r="K2" s="16" t="n"/>
      <c r="L2" s="1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2" t="inlineStr">
        <is>
          <t>One row per night. Edit the override column if you want to lock a rate; everything else recomputes from Inputs.</t>
        </is>
      </c>
    </row>
    <row r="5" ht="24" customHeight="1">
      <c r="A5" s="28" t="inlineStr">
        <is>
          <t>Date</t>
        </is>
      </c>
      <c r="B5" s="28" t="inlineStr">
        <is>
          <t>Day</t>
        </is>
      </c>
      <c r="C5" s="28" t="inlineStr">
        <is>
          <t>Season</t>
        </is>
      </c>
      <c r="D5" s="28" t="inlineStr">
        <is>
          <t>Season×</t>
        </is>
      </c>
      <c r="E5" s="28" t="inlineStr">
        <is>
          <t>DOW×</t>
        </is>
      </c>
      <c r="F5" s="28" t="inlineStr">
        <is>
          <t>Event×</t>
        </is>
      </c>
      <c r="G5" s="28" t="inlineStr">
        <is>
          <t>Suggested</t>
        </is>
      </c>
      <c r="H5" s="28" t="inlineStr">
        <is>
          <t>Override</t>
        </is>
      </c>
      <c r="I5" s="28" t="inlineStr">
        <is>
          <t>Final rate</t>
        </is>
      </c>
    </row>
    <row r="6" ht="16" customHeight="1">
      <c r="A6" s="34">
        <f>DATE(Settings!$B$7,1,1)+0</f>
        <v/>
      </c>
      <c r="B6" s="19">
        <f>TEXT(A6,"ddd")</f>
        <v/>
      </c>
      <c r="C6" s="35">
        <f>IFERROR(INDEX(Inputs!$B$17:$B$20,MATCH(1,(A6&gt;=Inputs!$C$17:$C$20)*(A6&lt;=Inputs!$D$17:$D$20),0)),"")</f>
        <v/>
      </c>
      <c r="D6" s="36">
        <f>IFERROR(INDEX(Inputs!$E$17:$E$20,MATCH(1,(A6&gt;=Inputs!$C$17:$C$20)*(A6&lt;=Inputs!$D$17:$D$20),0)),1)</f>
        <v/>
      </c>
      <c r="E6" s="36">
        <f>INDEX(Inputs!$D$24:$D$30,WEEKDAY(A6,2))</f>
        <v/>
      </c>
      <c r="F6" s="36">
        <f>IFERROR(INDEX(Inputs!$D$34:$D$45,MATCH(A6,Inputs!$B$34:$B$45,0)),1)</f>
        <v/>
      </c>
      <c r="G6" s="37">
        <f>Inputs!$C$7*D6*E6*F6</f>
        <v/>
      </c>
      <c r="H6" s="25" t="n"/>
      <c r="I6" s="38">
        <f>IF(H6&lt;&gt;"",H6,G6)</f>
        <v/>
      </c>
    </row>
    <row r="7" ht="16" customHeight="1">
      <c r="A7" s="34">
        <f>DATE(Settings!$B$7,1,1)+1</f>
        <v/>
      </c>
      <c r="B7" s="19">
        <f>TEXT(A7,"ddd")</f>
        <v/>
      </c>
      <c r="C7" s="35">
        <f>IFERROR(INDEX(Inputs!$B$17:$B$20,MATCH(1,(A7&gt;=Inputs!$C$17:$C$20)*(A7&lt;=Inputs!$D$17:$D$20),0)),"")</f>
        <v/>
      </c>
      <c r="D7" s="36">
        <f>IFERROR(INDEX(Inputs!$E$17:$E$20,MATCH(1,(A7&gt;=Inputs!$C$17:$C$20)*(A7&lt;=Inputs!$D$17:$D$20),0)),1)</f>
        <v/>
      </c>
      <c r="E7" s="36">
        <f>INDEX(Inputs!$D$24:$D$30,WEEKDAY(A7,2))</f>
        <v/>
      </c>
      <c r="F7" s="36">
        <f>IFERROR(INDEX(Inputs!$D$34:$D$45,MATCH(A7,Inputs!$B$34:$B$45,0)),1)</f>
        <v/>
      </c>
      <c r="G7" s="37">
        <f>Inputs!$C$7*D7*E7*F7</f>
        <v/>
      </c>
      <c r="H7" s="25" t="n"/>
      <c r="I7" s="38">
        <f>IF(H7&lt;&gt;"",H7,G7)</f>
        <v/>
      </c>
    </row>
    <row r="8" ht="16" customHeight="1">
      <c r="A8" s="34">
        <f>DATE(Settings!$B$7,1,1)+2</f>
        <v/>
      </c>
      <c r="B8" s="19">
        <f>TEXT(A8,"ddd")</f>
        <v/>
      </c>
      <c r="C8" s="35">
        <f>IFERROR(INDEX(Inputs!$B$17:$B$20,MATCH(1,(A8&gt;=Inputs!$C$17:$C$20)*(A8&lt;=Inputs!$D$17:$D$20),0)),"")</f>
        <v/>
      </c>
      <c r="D8" s="36">
        <f>IFERROR(INDEX(Inputs!$E$17:$E$20,MATCH(1,(A8&gt;=Inputs!$C$17:$C$20)*(A8&lt;=Inputs!$D$17:$D$20),0)),1)</f>
        <v/>
      </c>
      <c r="E8" s="36">
        <f>INDEX(Inputs!$D$24:$D$30,WEEKDAY(A8,2))</f>
        <v/>
      </c>
      <c r="F8" s="36">
        <f>IFERROR(INDEX(Inputs!$D$34:$D$45,MATCH(A8,Inputs!$B$34:$B$45,0)),1)</f>
        <v/>
      </c>
      <c r="G8" s="37">
        <f>Inputs!$C$7*D8*E8*F8</f>
        <v/>
      </c>
      <c r="H8" s="25" t="n"/>
      <c r="I8" s="38">
        <f>IF(H8&lt;&gt;"",H8,G8)</f>
        <v/>
      </c>
    </row>
    <row r="9" ht="16" customHeight="1">
      <c r="A9" s="34">
        <f>DATE(Settings!$B$7,1,1)+3</f>
        <v/>
      </c>
      <c r="B9" s="19">
        <f>TEXT(A9,"ddd")</f>
        <v/>
      </c>
      <c r="C9" s="35">
        <f>IFERROR(INDEX(Inputs!$B$17:$B$20,MATCH(1,(A9&gt;=Inputs!$C$17:$C$20)*(A9&lt;=Inputs!$D$17:$D$20),0)),"")</f>
        <v/>
      </c>
      <c r="D9" s="36">
        <f>IFERROR(INDEX(Inputs!$E$17:$E$20,MATCH(1,(A9&gt;=Inputs!$C$17:$C$20)*(A9&lt;=Inputs!$D$17:$D$20),0)),1)</f>
        <v/>
      </c>
      <c r="E9" s="36">
        <f>INDEX(Inputs!$D$24:$D$30,WEEKDAY(A9,2))</f>
        <v/>
      </c>
      <c r="F9" s="36">
        <f>IFERROR(INDEX(Inputs!$D$34:$D$45,MATCH(A9,Inputs!$B$34:$B$45,0)),1)</f>
        <v/>
      </c>
      <c r="G9" s="37">
        <f>Inputs!$C$7*D9*E9*F9</f>
        <v/>
      </c>
      <c r="H9" s="25" t="n"/>
      <c r="I9" s="38">
        <f>IF(H9&lt;&gt;"",H9,G9)</f>
        <v/>
      </c>
    </row>
    <row r="10" ht="16" customHeight="1">
      <c r="A10" s="34">
        <f>DATE(Settings!$B$7,1,1)+4</f>
        <v/>
      </c>
      <c r="B10" s="19">
        <f>TEXT(A10,"ddd")</f>
        <v/>
      </c>
      <c r="C10" s="35">
        <f>IFERROR(INDEX(Inputs!$B$17:$B$20,MATCH(1,(A10&gt;=Inputs!$C$17:$C$20)*(A10&lt;=Inputs!$D$17:$D$20),0)),"")</f>
        <v/>
      </c>
      <c r="D10" s="36">
        <f>IFERROR(INDEX(Inputs!$E$17:$E$20,MATCH(1,(A10&gt;=Inputs!$C$17:$C$20)*(A10&lt;=Inputs!$D$17:$D$20),0)),1)</f>
        <v/>
      </c>
      <c r="E10" s="36">
        <f>INDEX(Inputs!$D$24:$D$30,WEEKDAY(A10,2))</f>
        <v/>
      </c>
      <c r="F10" s="36">
        <f>IFERROR(INDEX(Inputs!$D$34:$D$45,MATCH(A10,Inputs!$B$34:$B$45,0)),1)</f>
        <v/>
      </c>
      <c r="G10" s="37">
        <f>Inputs!$C$7*D10*E10*F10</f>
        <v/>
      </c>
      <c r="H10" s="25" t="n"/>
      <c r="I10" s="38">
        <f>IF(H10&lt;&gt;"",H10,G10)</f>
        <v/>
      </c>
    </row>
    <row r="11" ht="16" customHeight="1">
      <c r="A11" s="34">
        <f>DATE(Settings!$B$7,1,1)+5</f>
        <v/>
      </c>
      <c r="B11" s="19">
        <f>TEXT(A11,"ddd")</f>
        <v/>
      </c>
      <c r="C11" s="35">
        <f>IFERROR(INDEX(Inputs!$B$17:$B$20,MATCH(1,(A11&gt;=Inputs!$C$17:$C$20)*(A11&lt;=Inputs!$D$17:$D$20),0)),"")</f>
        <v/>
      </c>
      <c r="D11" s="36">
        <f>IFERROR(INDEX(Inputs!$E$17:$E$20,MATCH(1,(A11&gt;=Inputs!$C$17:$C$20)*(A11&lt;=Inputs!$D$17:$D$20),0)),1)</f>
        <v/>
      </c>
      <c r="E11" s="36">
        <f>INDEX(Inputs!$D$24:$D$30,WEEKDAY(A11,2))</f>
        <v/>
      </c>
      <c r="F11" s="36">
        <f>IFERROR(INDEX(Inputs!$D$34:$D$45,MATCH(A11,Inputs!$B$34:$B$45,0)),1)</f>
        <v/>
      </c>
      <c r="G11" s="37">
        <f>Inputs!$C$7*D11*E11*F11</f>
        <v/>
      </c>
      <c r="H11" s="25" t="n"/>
      <c r="I11" s="38">
        <f>IF(H11&lt;&gt;"",H11,G11)</f>
        <v/>
      </c>
    </row>
    <row r="12" ht="16" customHeight="1">
      <c r="A12" s="34">
        <f>DATE(Settings!$B$7,1,1)+6</f>
        <v/>
      </c>
      <c r="B12" s="19">
        <f>TEXT(A12,"ddd")</f>
        <v/>
      </c>
      <c r="C12" s="35">
        <f>IFERROR(INDEX(Inputs!$B$17:$B$20,MATCH(1,(A12&gt;=Inputs!$C$17:$C$20)*(A12&lt;=Inputs!$D$17:$D$20),0)),"")</f>
        <v/>
      </c>
      <c r="D12" s="36">
        <f>IFERROR(INDEX(Inputs!$E$17:$E$20,MATCH(1,(A12&gt;=Inputs!$C$17:$C$20)*(A12&lt;=Inputs!$D$17:$D$20),0)),1)</f>
        <v/>
      </c>
      <c r="E12" s="36">
        <f>INDEX(Inputs!$D$24:$D$30,WEEKDAY(A12,2))</f>
        <v/>
      </c>
      <c r="F12" s="36">
        <f>IFERROR(INDEX(Inputs!$D$34:$D$45,MATCH(A12,Inputs!$B$34:$B$45,0)),1)</f>
        <v/>
      </c>
      <c r="G12" s="37">
        <f>Inputs!$C$7*D12*E12*F12</f>
        <v/>
      </c>
      <c r="H12" s="25" t="n"/>
      <c r="I12" s="38">
        <f>IF(H12&lt;&gt;"",H12,G12)</f>
        <v/>
      </c>
    </row>
    <row r="13" ht="16" customHeight="1">
      <c r="A13" s="34">
        <f>DATE(Settings!$B$7,1,1)+7</f>
        <v/>
      </c>
      <c r="B13" s="19">
        <f>TEXT(A13,"ddd")</f>
        <v/>
      </c>
      <c r="C13" s="35">
        <f>IFERROR(INDEX(Inputs!$B$17:$B$20,MATCH(1,(A13&gt;=Inputs!$C$17:$C$20)*(A13&lt;=Inputs!$D$17:$D$20),0)),"")</f>
        <v/>
      </c>
      <c r="D13" s="36">
        <f>IFERROR(INDEX(Inputs!$E$17:$E$20,MATCH(1,(A13&gt;=Inputs!$C$17:$C$20)*(A13&lt;=Inputs!$D$17:$D$20),0)),1)</f>
        <v/>
      </c>
      <c r="E13" s="36">
        <f>INDEX(Inputs!$D$24:$D$30,WEEKDAY(A13,2))</f>
        <v/>
      </c>
      <c r="F13" s="36">
        <f>IFERROR(INDEX(Inputs!$D$34:$D$45,MATCH(A13,Inputs!$B$34:$B$45,0)),1)</f>
        <v/>
      </c>
      <c r="G13" s="37">
        <f>Inputs!$C$7*D13*E13*F13</f>
        <v/>
      </c>
      <c r="H13" s="25" t="n"/>
      <c r="I13" s="38">
        <f>IF(H13&lt;&gt;"",H13,G13)</f>
        <v/>
      </c>
    </row>
    <row r="14" ht="16" customHeight="1">
      <c r="A14" s="34">
        <f>DATE(Settings!$B$7,1,1)+8</f>
        <v/>
      </c>
      <c r="B14" s="19">
        <f>TEXT(A14,"ddd")</f>
        <v/>
      </c>
      <c r="C14" s="35">
        <f>IFERROR(INDEX(Inputs!$B$17:$B$20,MATCH(1,(A14&gt;=Inputs!$C$17:$C$20)*(A14&lt;=Inputs!$D$17:$D$20),0)),"")</f>
        <v/>
      </c>
      <c r="D14" s="36">
        <f>IFERROR(INDEX(Inputs!$E$17:$E$20,MATCH(1,(A14&gt;=Inputs!$C$17:$C$20)*(A14&lt;=Inputs!$D$17:$D$20),0)),1)</f>
        <v/>
      </c>
      <c r="E14" s="36">
        <f>INDEX(Inputs!$D$24:$D$30,WEEKDAY(A14,2))</f>
        <v/>
      </c>
      <c r="F14" s="36">
        <f>IFERROR(INDEX(Inputs!$D$34:$D$45,MATCH(A14,Inputs!$B$34:$B$45,0)),1)</f>
        <v/>
      </c>
      <c r="G14" s="37">
        <f>Inputs!$C$7*D14*E14*F14</f>
        <v/>
      </c>
      <c r="H14" s="25" t="n"/>
      <c r="I14" s="38">
        <f>IF(H14&lt;&gt;"",H14,G14)</f>
        <v/>
      </c>
    </row>
    <row r="15" ht="16" customHeight="1">
      <c r="A15" s="34">
        <f>DATE(Settings!$B$7,1,1)+9</f>
        <v/>
      </c>
      <c r="B15" s="19">
        <f>TEXT(A15,"ddd")</f>
        <v/>
      </c>
      <c r="C15" s="35">
        <f>IFERROR(INDEX(Inputs!$B$17:$B$20,MATCH(1,(A15&gt;=Inputs!$C$17:$C$20)*(A15&lt;=Inputs!$D$17:$D$20),0)),"")</f>
        <v/>
      </c>
      <c r="D15" s="36">
        <f>IFERROR(INDEX(Inputs!$E$17:$E$20,MATCH(1,(A15&gt;=Inputs!$C$17:$C$20)*(A15&lt;=Inputs!$D$17:$D$20),0)),1)</f>
        <v/>
      </c>
      <c r="E15" s="36">
        <f>INDEX(Inputs!$D$24:$D$30,WEEKDAY(A15,2))</f>
        <v/>
      </c>
      <c r="F15" s="36">
        <f>IFERROR(INDEX(Inputs!$D$34:$D$45,MATCH(A15,Inputs!$B$34:$B$45,0)),1)</f>
        <v/>
      </c>
      <c r="G15" s="37">
        <f>Inputs!$C$7*D15*E15*F15</f>
        <v/>
      </c>
      <c r="H15" s="25" t="n"/>
      <c r="I15" s="38">
        <f>IF(H15&lt;&gt;"",H15,G15)</f>
        <v/>
      </c>
    </row>
    <row r="16" ht="16" customHeight="1">
      <c r="A16" s="34">
        <f>DATE(Settings!$B$7,1,1)+10</f>
        <v/>
      </c>
      <c r="B16" s="19">
        <f>TEXT(A16,"ddd")</f>
        <v/>
      </c>
      <c r="C16" s="35">
        <f>IFERROR(INDEX(Inputs!$B$17:$B$20,MATCH(1,(A16&gt;=Inputs!$C$17:$C$20)*(A16&lt;=Inputs!$D$17:$D$20),0)),"")</f>
        <v/>
      </c>
      <c r="D16" s="36">
        <f>IFERROR(INDEX(Inputs!$E$17:$E$20,MATCH(1,(A16&gt;=Inputs!$C$17:$C$20)*(A16&lt;=Inputs!$D$17:$D$20),0)),1)</f>
        <v/>
      </c>
      <c r="E16" s="36">
        <f>INDEX(Inputs!$D$24:$D$30,WEEKDAY(A16,2))</f>
        <v/>
      </c>
      <c r="F16" s="36">
        <f>IFERROR(INDEX(Inputs!$D$34:$D$45,MATCH(A16,Inputs!$B$34:$B$45,0)),1)</f>
        <v/>
      </c>
      <c r="G16" s="37">
        <f>Inputs!$C$7*D16*E16*F16</f>
        <v/>
      </c>
      <c r="H16" s="25" t="n"/>
      <c r="I16" s="38">
        <f>IF(H16&lt;&gt;"",H16,G16)</f>
        <v/>
      </c>
    </row>
    <row r="17" ht="16" customHeight="1">
      <c r="A17" s="34">
        <f>DATE(Settings!$B$7,1,1)+11</f>
        <v/>
      </c>
      <c r="B17" s="19">
        <f>TEXT(A17,"ddd")</f>
        <v/>
      </c>
      <c r="C17" s="35">
        <f>IFERROR(INDEX(Inputs!$B$17:$B$20,MATCH(1,(A17&gt;=Inputs!$C$17:$C$20)*(A17&lt;=Inputs!$D$17:$D$20),0)),"")</f>
        <v/>
      </c>
      <c r="D17" s="36">
        <f>IFERROR(INDEX(Inputs!$E$17:$E$20,MATCH(1,(A17&gt;=Inputs!$C$17:$C$20)*(A17&lt;=Inputs!$D$17:$D$20),0)),1)</f>
        <v/>
      </c>
      <c r="E17" s="36">
        <f>INDEX(Inputs!$D$24:$D$30,WEEKDAY(A17,2))</f>
        <v/>
      </c>
      <c r="F17" s="36">
        <f>IFERROR(INDEX(Inputs!$D$34:$D$45,MATCH(A17,Inputs!$B$34:$B$45,0)),1)</f>
        <v/>
      </c>
      <c r="G17" s="37">
        <f>Inputs!$C$7*D17*E17*F17</f>
        <v/>
      </c>
      <c r="H17" s="25" t="n"/>
      <c r="I17" s="38">
        <f>IF(H17&lt;&gt;"",H17,G17)</f>
        <v/>
      </c>
    </row>
    <row r="18" ht="16" customHeight="1">
      <c r="A18" s="34">
        <f>DATE(Settings!$B$7,1,1)+12</f>
        <v/>
      </c>
      <c r="B18" s="19">
        <f>TEXT(A18,"ddd")</f>
        <v/>
      </c>
      <c r="C18" s="35">
        <f>IFERROR(INDEX(Inputs!$B$17:$B$20,MATCH(1,(A18&gt;=Inputs!$C$17:$C$20)*(A18&lt;=Inputs!$D$17:$D$20),0)),"")</f>
        <v/>
      </c>
      <c r="D18" s="36">
        <f>IFERROR(INDEX(Inputs!$E$17:$E$20,MATCH(1,(A18&gt;=Inputs!$C$17:$C$20)*(A18&lt;=Inputs!$D$17:$D$20),0)),1)</f>
        <v/>
      </c>
      <c r="E18" s="36">
        <f>INDEX(Inputs!$D$24:$D$30,WEEKDAY(A18,2))</f>
        <v/>
      </c>
      <c r="F18" s="36">
        <f>IFERROR(INDEX(Inputs!$D$34:$D$45,MATCH(A18,Inputs!$B$34:$B$45,0)),1)</f>
        <v/>
      </c>
      <c r="G18" s="37">
        <f>Inputs!$C$7*D18*E18*F18</f>
        <v/>
      </c>
      <c r="H18" s="25" t="n"/>
      <c r="I18" s="38">
        <f>IF(H18&lt;&gt;"",H18,G18)</f>
        <v/>
      </c>
    </row>
    <row r="19" ht="16" customHeight="1">
      <c r="A19" s="34">
        <f>DATE(Settings!$B$7,1,1)+13</f>
        <v/>
      </c>
      <c r="B19" s="19">
        <f>TEXT(A19,"ddd")</f>
        <v/>
      </c>
      <c r="C19" s="35">
        <f>IFERROR(INDEX(Inputs!$B$17:$B$20,MATCH(1,(A19&gt;=Inputs!$C$17:$C$20)*(A19&lt;=Inputs!$D$17:$D$20),0)),"")</f>
        <v/>
      </c>
      <c r="D19" s="36">
        <f>IFERROR(INDEX(Inputs!$E$17:$E$20,MATCH(1,(A19&gt;=Inputs!$C$17:$C$20)*(A19&lt;=Inputs!$D$17:$D$20),0)),1)</f>
        <v/>
      </c>
      <c r="E19" s="36">
        <f>INDEX(Inputs!$D$24:$D$30,WEEKDAY(A19,2))</f>
        <v/>
      </c>
      <c r="F19" s="36">
        <f>IFERROR(INDEX(Inputs!$D$34:$D$45,MATCH(A19,Inputs!$B$34:$B$45,0)),1)</f>
        <v/>
      </c>
      <c r="G19" s="37">
        <f>Inputs!$C$7*D19*E19*F19</f>
        <v/>
      </c>
      <c r="H19" s="25" t="n"/>
      <c r="I19" s="38">
        <f>IF(H19&lt;&gt;"",H19,G19)</f>
        <v/>
      </c>
    </row>
    <row r="20" ht="16" customHeight="1">
      <c r="A20" s="34">
        <f>DATE(Settings!$B$7,1,1)+14</f>
        <v/>
      </c>
      <c r="B20" s="19">
        <f>TEXT(A20,"ddd")</f>
        <v/>
      </c>
      <c r="C20" s="35">
        <f>IFERROR(INDEX(Inputs!$B$17:$B$20,MATCH(1,(A20&gt;=Inputs!$C$17:$C$20)*(A20&lt;=Inputs!$D$17:$D$20),0)),"")</f>
        <v/>
      </c>
      <c r="D20" s="36">
        <f>IFERROR(INDEX(Inputs!$E$17:$E$20,MATCH(1,(A20&gt;=Inputs!$C$17:$C$20)*(A20&lt;=Inputs!$D$17:$D$20),0)),1)</f>
        <v/>
      </c>
      <c r="E20" s="36">
        <f>INDEX(Inputs!$D$24:$D$30,WEEKDAY(A20,2))</f>
        <v/>
      </c>
      <c r="F20" s="36">
        <f>IFERROR(INDEX(Inputs!$D$34:$D$45,MATCH(A20,Inputs!$B$34:$B$45,0)),1)</f>
        <v/>
      </c>
      <c r="G20" s="37">
        <f>Inputs!$C$7*D20*E20*F20</f>
        <v/>
      </c>
      <c r="H20" s="25" t="n"/>
      <c r="I20" s="38">
        <f>IF(H20&lt;&gt;"",H20,G20)</f>
        <v/>
      </c>
    </row>
    <row r="21" ht="16" customHeight="1">
      <c r="A21" s="34">
        <f>DATE(Settings!$B$7,1,1)+15</f>
        <v/>
      </c>
      <c r="B21" s="19">
        <f>TEXT(A21,"ddd")</f>
        <v/>
      </c>
      <c r="C21" s="35">
        <f>IFERROR(INDEX(Inputs!$B$17:$B$20,MATCH(1,(A21&gt;=Inputs!$C$17:$C$20)*(A21&lt;=Inputs!$D$17:$D$20),0)),"")</f>
        <v/>
      </c>
      <c r="D21" s="36">
        <f>IFERROR(INDEX(Inputs!$E$17:$E$20,MATCH(1,(A21&gt;=Inputs!$C$17:$C$20)*(A21&lt;=Inputs!$D$17:$D$20),0)),1)</f>
        <v/>
      </c>
      <c r="E21" s="36">
        <f>INDEX(Inputs!$D$24:$D$30,WEEKDAY(A21,2))</f>
        <v/>
      </c>
      <c r="F21" s="36">
        <f>IFERROR(INDEX(Inputs!$D$34:$D$45,MATCH(A21,Inputs!$B$34:$B$45,0)),1)</f>
        <v/>
      </c>
      <c r="G21" s="37">
        <f>Inputs!$C$7*D21*E21*F21</f>
        <v/>
      </c>
      <c r="H21" s="25" t="n"/>
      <c r="I21" s="38">
        <f>IF(H21&lt;&gt;"",H21,G21)</f>
        <v/>
      </c>
    </row>
    <row r="22" ht="16" customHeight="1">
      <c r="A22" s="34">
        <f>DATE(Settings!$B$7,1,1)+16</f>
        <v/>
      </c>
      <c r="B22" s="19">
        <f>TEXT(A22,"ddd")</f>
        <v/>
      </c>
      <c r="C22" s="35">
        <f>IFERROR(INDEX(Inputs!$B$17:$B$20,MATCH(1,(A22&gt;=Inputs!$C$17:$C$20)*(A22&lt;=Inputs!$D$17:$D$20),0)),"")</f>
        <v/>
      </c>
      <c r="D22" s="36">
        <f>IFERROR(INDEX(Inputs!$E$17:$E$20,MATCH(1,(A22&gt;=Inputs!$C$17:$C$20)*(A22&lt;=Inputs!$D$17:$D$20),0)),1)</f>
        <v/>
      </c>
      <c r="E22" s="36">
        <f>INDEX(Inputs!$D$24:$D$30,WEEKDAY(A22,2))</f>
        <v/>
      </c>
      <c r="F22" s="36">
        <f>IFERROR(INDEX(Inputs!$D$34:$D$45,MATCH(A22,Inputs!$B$34:$B$45,0)),1)</f>
        <v/>
      </c>
      <c r="G22" s="37">
        <f>Inputs!$C$7*D22*E22*F22</f>
        <v/>
      </c>
      <c r="H22" s="25" t="n"/>
      <c r="I22" s="38">
        <f>IF(H22&lt;&gt;"",H22,G22)</f>
        <v/>
      </c>
    </row>
    <row r="23" ht="16" customHeight="1">
      <c r="A23" s="34">
        <f>DATE(Settings!$B$7,1,1)+17</f>
        <v/>
      </c>
      <c r="B23" s="19">
        <f>TEXT(A23,"ddd")</f>
        <v/>
      </c>
      <c r="C23" s="35">
        <f>IFERROR(INDEX(Inputs!$B$17:$B$20,MATCH(1,(A23&gt;=Inputs!$C$17:$C$20)*(A23&lt;=Inputs!$D$17:$D$20),0)),"")</f>
        <v/>
      </c>
      <c r="D23" s="36">
        <f>IFERROR(INDEX(Inputs!$E$17:$E$20,MATCH(1,(A23&gt;=Inputs!$C$17:$C$20)*(A23&lt;=Inputs!$D$17:$D$20),0)),1)</f>
        <v/>
      </c>
      <c r="E23" s="36">
        <f>INDEX(Inputs!$D$24:$D$30,WEEKDAY(A23,2))</f>
        <v/>
      </c>
      <c r="F23" s="36">
        <f>IFERROR(INDEX(Inputs!$D$34:$D$45,MATCH(A23,Inputs!$B$34:$B$45,0)),1)</f>
        <v/>
      </c>
      <c r="G23" s="37">
        <f>Inputs!$C$7*D23*E23*F23</f>
        <v/>
      </c>
      <c r="H23" s="25" t="n"/>
      <c r="I23" s="38">
        <f>IF(H23&lt;&gt;"",H23,G23)</f>
        <v/>
      </c>
    </row>
    <row r="24" ht="16" customHeight="1">
      <c r="A24" s="34">
        <f>DATE(Settings!$B$7,1,1)+18</f>
        <v/>
      </c>
      <c r="B24" s="19">
        <f>TEXT(A24,"ddd")</f>
        <v/>
      </c>
      <c r="C24" s="35">
        <f>IFERROR(INDEX(Inputs!$B$17:$B$20,MATCH(1,(A24&gt;=Inputs!$C$17:$C$20)*(A24&lt;=Inputs!$D$17:$D$20),0)),"")</f>
        <v/>
      </c>
      <c r="D24" s="36">
        <f>IFERROR(INDEX(Inputs!$E$17:$E$20,MATCH(1,(A24&gt;=Inputs!$C$17:$C$20)*(A24&lt;=Inputs!$D$17:$D$20),0)),1)</f>
        <v/>
      </c>
      <c r="E24" s="36">
        <f>INDEX(Inputs!$D$24:$D$30,WEEKDAY(A24,2))</f>
        <v/>
      </c>
      <c r="F24" s="36">
        <f>IFERROR(INDEX(Inputs!$D$34:$D$45,MATCH(A24,Inputs!$B$34:$B$45,0)),1)</f>
        <v/>
      </c>
      <c r="G24" s="37">
        <f>Inputs!$C$7*D24*E24*F24</f>
        <v/>
      </c>
      <c r="H24" s="25" t="n"/>
      <c r="I24" s="38">
        <f>IF(H24&lt;&gt;"",H24,G24)</f>
        <v/>
      </c>
    </row>
    <row r="25" ht="16" customHeight="1">
      <c r="A25" s="34">
        <f>DATE(Settings!$B$7,1,1)+19</f>
        <v/>
      </c>
      <c r="B25" s="19">
        <f>TEXT(A25,"ddd")</f>
        <v/>
      </c>
      <c r="C25" s="35">
        <f>IFERROR(INDEX(Inputs!$B$17:$B$20,MATCH(1,(A25&gt;=Inputs!$C$17:$C$20)*(A25&lt;=Inputs!$D$17:$D$20),0)),"")</f>
        <v/>
      </c>
      <c r="D25" s="36">
        <f>IFERROR(INDEX(Inputs!$E$17:$E$20,MATCH(1,(A25&gt;=Inputs!$C$17:$C$20)*(A25&lt;=Inputs!$D$17:$D$20),0)),1)</f>
        <v/>
      </c>
      <c r="E25" s="36">
        <f>INDEX(Inputs!$D$24:$D$30,WEEKDAY(A25,2))</f>
        <v/>
      </c>
      <c r="F25" s="36">
        <f>IFERROR(INDEX(Inputs!$D$34:$D$45,MATCH(A25,Inputs!$B$34:$B$45,0)),1)</f>
        <v/>
      </c>
      <c r="G25" s="37">
        <f>Inputs!$C$7*D25*E25*F25</f>
        <v/>
      </c>
      <c r="H25" s="25" t="n"/>
      <c r="I25" s="38">
        <f>IF(H25&lt;&gt;"",H25,G25)</f>
        <v/>
      </c>
    </row>
    <row r="26" ht="16" customHeight="1">
      <c r="A26" s="34">
        <f>DATE(Settings!$B$7,1,1)+20</f>
        <v/>
      </c>
      <c r="B26" s="19">
        <f>TEXT(A26,"ddd")</f>
        <v/>
      </c>
      <c r="C26" s="35">
        <f>IFERROR(INDEX(Inputs!$B$17:$B$20,MATCH(1,(A26&gt;=Inputs!$C$17:$C$20)*(A26&lt;=Inputs!$D$17:$D$20),0)),"")</f>
        <v/>
      </c>
      <c r="D26" s="36">
        <f>IFERROR(INDEX(Inputs!$E$17:$E$20,MATCH(1,(A26&gt;=Inputs!$C$17:$C$20)*(A26&lt;=Inputs!$D$17:$D$20),0)),1)</f>
        <v/>
      </c>
      <c r="E26" s="36">
        <f>INDEX(Inputs!$D$24:$D$30,WEEKDAY(A26,2))</f>
        <v/>
      </c>
      <c r="F26" s="36">
        <f>IFERROR(INDEX(Inputs!$D$34:$D$45,MATCH(A26,Inputs!$B$34:$B$45,0)),1)</f>
        <v/>
      </c>
      <c r="G26" s="37">
        <f>Inputs!$C$7*D26*E26*F26</f>
        <v/>
      </c>
      <c r="H26" s="25" t="n"/>
      <c r="I26" s="38">
        <f>IF(H26&lt;&gt;"",H26,G26)</f>
        <v/>
      </c>
    </row>
    <row r="27" ht="16" customHeight="1">
      <c r="A27" s="34">
        <f>DATE(Settings!$B$7,1,1)+21</f>
        <v/>
      </c>
      <c r="B27" s="19">
        <f>TEXT(A27,"ddd")</f>
        <v/>
      </c>
      <c r="C27" s="35">
        <f>IFERROR(INDEX(Inputs!$B$17:$B$20,MATCH(1,(A27&gt;=Inputs!$C$17:$C$20)*(A27&lt;=Inputs!$D$17:$D$20),0)),"")</f>
        <v/>
      </c>
      <c r="D27" s="36">
        <f>IFERROR(INDEX(Inputs!$E$17:$E$20,MATCH(1,(A27&gt;=Inputs!$C$17:$C$20)*(A27&lt;=Inputs!$D$17:$D$20),0)),1)</f>
        <v/>
      </c>
      <c r="E27" s="36">
        <f>INDEX(Inputs!$D$24:$D$30,WEEKDAY(A27,2))</f>
        <v/>
      </c>
      <c r="F27" s="36">
        <f>IFERROR(INDEX(Inputs!$D$34:$D$45,MATCH(A27,Inputs!$B$34:$B$45,0)),1)</f>
        <v/>
      </c>
      <c r="G27" s="37">
        <f>Inputs!$C$7*D27*E27*F27</f>
        <v/>
      </c>
      <c r="H27" s="25" t="n"/>
      <c r="I27" s="38">
        <f>IF(H27&lt;&gt;"",H27,G27)</f>
        <v/>
      </c>
    </row>
    <row r="28" ht="16" customHeight="1">
      <c r="A28" s="34">
        <f>DATE(Settings!$B$7,1,1)+22</f>
        <v/>
      </c>
      <c r="B28" s="19">
        <f>TEXT(A28,"ddd")</f>
        <v/>
      </c>
      <c r="C28" s="35">
        <f>IFERROR(INDEX(Inputs!$B$17:$B$20,MATCH(1,(A28&gt;=Inputs!$C$17:$C$20)*(A28&lt;=Inputs!$D$17:$D$20),0)),"")</f>
        <v/>
      </c>
      <c r="D28" s="36">
        <f>IFERROR(INDEX(Inputs!$E$17:$E$20,MATCH(1,(A28&gt;=Inputs!$C$17:$C$20)*(A28&lt;=Inputs!$D$17:$D$20),0)),1)</f>
        <v/>
      </c>
      <c r="E28" s="36">
        <f>INDEX(Inputs!$D$24:$D$30,WEEKDAY(A28,2))</f>
        <v/>
      </c>
      <c r="F28" s="36">
        <f>IFERROR(INDEX(Inputs!$D$34:$D$45,MATCH(A28,Inputs!$B$34:$B$45,0)),1)</f>
        <v/>
      </c>
      <c r="G28" s="37">
        <f>Inputs!$C$7*D28*E28*F28</f>
        <v/>
      </c>
      <c r="H28" s="25" t="n"/>
      <c r="I28" s="38">
        <f>IF(H28&lt;&gt;"",H28,G28)</f>
        <v/>
      </c>
    </row>
    <row r="29" ht="16" customHeight="1">
      <c r="A29" s="34">
        <f>DATE(Settings!$B$7,1,1)+23</f>
        <v/>
      </c>
      <c r="B29" s="19">
        <f>TEXT(A29,"ddd")</f>
        <v/>
      </c>
      <c r="C29" s="35">
        <f>IFERROR(INDEX(Inputs!$B$17:$B$20,MATCH(1,(A29&gt;=Inputs!$C$17:$C$20)*(A29&lt;=Inputs!$D$17:$D$20),0)),"")</f>
        <v/>
      </c>
      <c r="D29" s="36">
        <f>IFERROR(INDEX(Inputs!$E$17:$E$20,MATCH(1,(A29&gt;=Inputs!$C$17:$C$20)*(A29&lt;=Inputs!$D$17:$D$20),0)),1)</f>
        <v/>
      </c>
      <c r="E29" s="36">
        <f>INDEX(Inputs!$D$24:$D$30,WEEKDAY(A29,2))</f>
        <v/>
      </c>
      <c r="F29" s="36">
        <f>IFERROR(INDEX(Inputs!$D$34:$D$45,MATCH(A29,Inputs!$B$34:$B$45,0)),1)</f>
        <v/>
      </c>
      <c r="G29" s="37">
        <f>Inputs!$C$7*D29*E29*F29</f>
        <v/>
      </c>
      <c r="H29" s="25" t="n"/>
      <c r="I29" s="38">
        <f>IF(H29&lt;&gt;"",H29,G29)</f>
        <v/>
      </c>
    </row>
    <row r="30" ht="16" customHeight="1">
      <c r="A30" s="34">
        <f>DATE(Settings!$B$7,1,1)+24</f>
        <v/>
      </c>
      <c r="B30" s="19">
        <f>TEXT(A30,"ddd")</f>
        <v/>
      </c>
      <c r="C30" s="35">
        <f>IFERROR(INDEX(Inputs!$B$17:$B$20,MATCH(1,(A30&gt;=Inputs!$C$17:$C$20)*(A30&lt;=Inputs!$D$17:$D$20),0)),"")</f>
        <v/>
      </c>
      <c r="D30" s="36">
        <f>IFERROR(INDEX(Inputs!$E$17:$E$20,MATCH(1,(A30&gt;=Inputs!$C$17:$C$20)*(A30&lt;=Inputs!$D$17:$D$20),0)),1)</f>
        <v/>
      </c>
      <c r="E30" s="36">
        <f>INDEX(Inputs!$D$24:$D$30,WEEKDAY(A30,2))</f>
        <v/>
      </c>
      <c r="F30" s="36">
        <f>IFERROR(INDEX(Inputs!$D$34:$D$45,MATCH(A30,Inputs!$B$34:$B$45,0)),1)</f>
        <v/>
      </c>
      <c r="G30" s="37">
        <f>Inputs!$C$7*D30*E30*F30</f>
        <v/>
      </c>
      <c r="H30" s="25" t="n"/>
      <c r="I30" s="38">
        <f>IF(H30&lt;&gt;"",H30,G30)</f>
        <v/>
      </c>
    </row>
    <row r="31" ht="16" customHeight="1">
      <c r="A31" s="34">
        <f>DATE(Settings!$B$7,1,1)+25</f>
        <v/>
      </c>
      <c r="B31" s="19">
        <f>TEXT(A31,"ddd")</f>
        <v/>
      </c>
      <c r="C31" s="35">
        <f>IFERROR(INDEX(Inputs!$B$17:$B$20,MATCH(1,(A31&gt;=Inputs!$C$17:$C$20)*(A31&lt;=Inputs!$D$17:$D$20),0)),"")</f>
        <v/>
      </c>
      <c r="D31" s="36">
        <f>IFERROR(INDEX(Inputs!$E$17:$E$20,MATCH(1,(A31&gt;=Inputs!$C$17:$C$20)*(A31&lt;=Inputs!$D$17:$D$20),0)),1)</f>
        <v/>
      </c>
      <c r="E31" s="36">
        <f>INDEX(Inputs!$D$24:$D$30,WEEKDAY(A31,2))</f>
        <v/>
      </c>
      <c r="F31" s="36">
        <f>IFERROR(INDEX(Inputs!$D$34:$D$45,MATCH(A31,Inputs!$B$34:$B$45,0)),1)</f>
        <v/>
      </c>
      <c r="G31" s="37">
        <f>Inputs!$C$7*D31*E31*F31</f>
        <v/>
      </c>
      <c r="H31" s="25" t="n"/>
      <c r="I31" s="38">
        <f>IF(H31&lt;&gt;"",H31,G31)</f>
        <v/>
      </c>
    </row>
    <row r="32" ht="16" customHeight="1">
      <c r="A32" s="34">
        <f>DATE(Settings!$B$7,1,1)+26</f>
        <v/>
      </c>
      <c r="B32" s="19">
        <f>TEXT(A32,"ddd")</f>
        <v/>
      </c>
      <c r="C32" s="35">
        <f>IFERROR(INDEX(Inputs!$B$17:$B$20,MATCH(1,(A32&gt;=Inputs!$C$17:$C$20)*(A32&lt;=Inputs!$D$17:$D$20),0)),"")</f>
        <v/>
      </c>
      <c r="D32" s="36">
        <f>IFERROR(INDEX(Inputs!$E$17:$E$20,MATCH(1,(A32&gt;=Inputs!$C$17:$C$20)*(A32&lt;=Inputs!$D$17:$D$20),0)),1)</f>
        <v/>
      </c>
      <c r="E32" s="36">
        <f>INDEX(Inputs!$D$24:$D$30,WEEKDAY(A32,2))</f>
        <v/>
      </c>
      <c r="F32" s="36">
        <f>IFERROR(INDEX(Inputs!$D$34:$D$45,MATCH(A32,Inputs!$B$34:$B$45,0)),1)</f>
        <v/>
      </c>
      <c r="G32" s="37">
        <f>Inputs!$C$7*D32*E32*F32</f>
        <v/>
      </c>
      <c r="H32" s="25" t="n"/>
      <c r="I32" s="38">
        <f>IF(H32&lt;&gt;"",H32,G32)</f>
        <v/>
      </c>
    </row>
    <row r="33" ht="16" customHeight="1">
      <c r="A33" s="34">
        <f>DATE(Settings!$B$7,1,1)+27</f>
        <v/>
      </c>
      <c r="B33" s="19">
        <f>TEXT(A33,"ddd")</f>
        <v/>
      </c>
      <c r="C33" s="35">
        <f>IFERROR(INDEX(Inputs!$B$17:$B$20,MATCH(1,(A33&gt;=Inputs!$C$17:$C$20)*(A33&lt;=Inputs!$D$17:$D$20),0)),"")</f>
        <v/>
      </c>
      <c r="D33" s="36">
        <f>IFERROR(INDEX(Inputs!$E$17:$E$20,MATCH(1,(A33&gt;=Inputs!$C$17:$C$20)*(A33&lt;=Inputs!$D$17:$D$20),0)),1)</f>
        <v/>
      </c>
      <c r="E33" s="36">
        <f>INDEX(Inputs!$D$24:$D$30,WEEKDAY(A33,2))</f>
        <v/>
      </c>
      <c r="F33" s="36">
        <f>IFERROR(INDEX(Inputs!$D$34:$D$45,MATCH(A33,Inputs!$B$34:$B$45,0)),1)</f>
        <v/>
      </c>
      <c r="G33" s="37">
        <f>Inputs!$C$7*D33*E33*F33</f>
        <v/>
      </c>
      <c r="H33" s="25" t="n"/>
      <c r="I33" s="38">
        <f>IF(H33&lt;&gt;"",H33,G33)</f>
        <v/>
      </c>
    </row>
    <row r="34" ht="16" customHeight="1">
      <c r="A34" s="34">
        <f>DATE(Settings!$B$7,1,1)+28</f>
        <v/>
      </c>
      <c r="B34" s="19">
        <f>TEXT(A34,"ddd")</f>
        <v/>
      </c>
      <c r="C34" s="35">
        <f>IFERROR(INDEX(Inputs!$B$17:$B$20,MATCH(1,(A34&gt;=Inputs!$C$17:$C$20)*(A34&lt;=Inputs!$D$17:$D$20),0)),"")</f>
        <v/>
      </c>
      <c r="D34" s="36">
        <f>IFERROR(INDEX(Inputs!$E$17:$E$20,MATCH(1,(A34&gt;=Inputs!$C$17:$C$20)*(A34&lt;=Inputs!$D$17:$D$20),0)),1)</f>
        <v/>
      </c>
      <c r="E34" s="36">
        <f>INDEX(Inputs!$D$24:$D$30,WEEKDAY(A34,2))</f>
        <v/>
      </c>
      <c r="F34" s="36">
        <f>IFERROR(INDEX(Inputs!$D$34:$D$45,MATCH(A34,Inputs!$B$34:$B$45,0)),1)</f>
        <v/>
      </c>
      <c r="G34" s="37">
        <f>Inputs!$C$7*D34*E34*F34</f>
        <v/>
      </c>
      <c r="H34" s="25" t="n"/>
      <c r="I34" s="38">
        <f>IF(H34&lt;&gt;"",H34,G34)</f>
        <v/>
      </c>
    </row>
    <row r="35" ht="16" customHeight="1">
      <c r="A35" s="34">
        <f>DATE(Settings!$B$7,1,1)+29</f>
        <v/>
      </c>
      <c r="B35" s="19">
        <f>TEXT(A35,"ddd")</f>
        <v/>
      </c>
      <c r="C35" s="35">
        <f>IFERROR(INDEX(Inputs!$B$17:$B$20,MATCH(1,(A35&gt;=Inputs!$C$17:$C$20)*(A35&lt;=Inputs!$D$17:$D$20),0)),"")</f>
        <v/>
      </c>
      <c r="D35" s="36">
        <f>IFERROR(INDEX(Inputs!$E$17:$E$20,MATCH(1,(A35&gt;=Inputs!$C$17:$C$20)*(A35&lt;=Inputs!$D$17:$D$20),0)),1)</f>
        <v/>
      </c>
      <c r="E35" s="36">
        <f>INDEX(Inputs!$D$24:$D$30,WEEKDAY(A35,2))</f>
        <v/>
      </c>
      <c r="F35" s="36">
        <f>IFERROR(INDEX(Inputs!$D$34:$D$45,MATCH(A35,Inputs!$B$34:$B$45,0)),1)</f>
        <v/>
      </c>
      <c r="G35" s="37">
        <f>Inputs!$C$7*D35*E35*F35</f>
        <v/>
      </c>
      <c r="H35" s="25" t="n"/>
      <c r="I35" s="38">
        <f>IF(H35&lt;&gt;"",H35,G35)</f>
        <v/>
      </c>
    </row>
    <row r="36" ht="16" customHeight="1">
      <c r="A36" s="34">
        <f>DATE(Settings!$B$7,1,1)+30</f>
        <v/>
      </c>
      <c r="B36" s="19">
        <f>TEXT(A36,"ddd")</f>
        <v/>
      </c>
      <c r="C36" s="35">
        <f>IFERROR(INDEX(Inputs!$B$17:$B$20,MATCH(1,(A36&gt;=Inputs!$C$17:$C$20)*(A36&lt;=Inputs!$D$17:$D$20),0)),"")</f>
        <v/>
      </c>
      <c r="D36" s="36">
        <f>IFERROR(INDEX(Inputs!$E$17:$E$20,MATCH(1,(A36&gt;=Inputs!$C$17:$C$20)*(A36&lt;=Inputs!$D$17:$D$20),0)),1)</f>
        <v/>
      </c>
      <c r="E36" s="36">
        <f>INDEX(Inputs!$D$24:$D$30,WEEKDAY(A36,2))</f>
        <v/>
      </c>
      <c r="F36" s="36">
        <f>IFERROR(INDEX(Inputs!$D$34:$D$45,MATCH(A36,Inputs!$B$34:$B$45,0)),1)</f>
        <v/>
      </c>
      <c r="G36" s="37">
        <f>Inputs!$C$7*D36*E36*F36</f>
        <v/>
      </c>
      <c r="H36" s="25" t="n"/>
      <c r="I36" s="38">
        <f>IF(H36&lt;&gt;"",H36,G36)</f>
        <v/>
      </c>
    </row>
    <row r="37" ht="16" customHeight="1">
      <c r="A37" s="34">
        <f>DATE(Settings!$B$7,1,1)+31</f>
        <v/>
      </c>
      <c r="B37" s="19">
        <f>TEXT(A37,"ddd")</f>
        <v/>
      </c>
      <c r="C37" s="35">
        <f>IFERROR(INDEX(Inputs!$B$17:$B$20,MATCH(1,(A37&gt;=Inputs!$C$17:$C$20)*(A37&lt;=Inputs!$D$17:$D$20),0)),"")</f>
        <v/>
      </c>
      <c r="D37" s="36">
        <f>IFERROR(INDEX(Inputs!$E$17:$E$20,MATCH(1,(A37&gt;=Inputs!$C$17:$C$20)*(A37&lt;=Inputs!$D$17:$D$20),0)),1)</f>
        <v/>
      </c>
      <c r="E37" s="36">
        <f>INDEX(Inputs!$D$24:$D$30,WEEKDAY(A37,2))</f>
        <v/>
      </c>
      <c r="F37" s="36">
        <f>IFERROR(INDEX(Inputs!$D$34:$D$45,MATCH(A37,Inputs!$B$34:$B$45,0)),1)</f>
        <v/>
      </c>
      <c r="G37" s="37">
        <f>Inputs!$C$7*D37*E37*F37</f>
        <v/>
      </c>
      <c r="H37" s="25" t="n"/>
      <c r="I37" s="38">
        <f>IF(H37&lt;&gt;"",H37,G37)</f>
        <v/>
      </c>
    </row>
    <row r="38" ht="16" customHeight="1">
      <c r="A38" s="34">
        <f>DATE(Settings!$B$7,1,1)+32</f>
        <v/>
      </c>
      <c r="B38" s="19">
        <f>TEXT(A38,"ddd")</f>
        <v/>
      </c>
      <c r="C38" s="35">
        <f>IFERROR(INDEX(Inputs!$B$17:$B$20,MATCH(1,(A38&gt;=Inputs!$C$17:$C$20)*(A38&lt;=Inputs!$D$17:$D$20),0)),"")</f>
        <v/>
      </c>
      <c r="D38" s="36">
        <f>IFERROR(INDEX(Inputs!$E$17:$E$20,MATCH(1,(A38&gt;=Inputs!$C$17:$C$20)*(A38&lt;=Inputs!$D$17:$D$20),0)),1)</f>
        <v/>
      </c>
      <c r="E38" s="36">
        <f>INDEX(Inputs!$D$24:$D$30,WEEKDAY(A38,2))</f>
        <v/>
      </c>
      <c r="F38" s="36">
        <f>IFERROR(INDEX(Inputs!$D$34:$D$45,MATCH(A38,Inputs!$B$34:$B$45,0)),1)</f>
        <v/>
      </c>
      <c r="G38" s="37">
        <f>Inputs!$C$7*D38*E38*F38</f>
        <v/>
      </c>
      <c r="H38" s="25" t="n"/>
      <c r="I38" s="38">
        <f>IF(H38&lt;&gt;"",H38,G38)</f>
        <v/>
      </c>
    </row>
    <row r="39" ht="16" customHeight="1">
      <c r="A39" s="34">
        <f>DATE(Settings!$B$7,1,1)+33</f>
        <v/>
      </c>
      <c r="B39" s="19">
        <f>TEXT(A39,"ddd")</f>
        <v/>
      </c>
      <c r="C39" s="35">
        <f>IFERROR(INDEX(Inputs!$B$17:$B$20,MATCH(1,(A39&gt;=Inputs!$C$17:$C$20)*(A39&lt;=Inputs!$D$17:$D$20),0)),"")</f>
        <v/>
      </c>
      <c r="D39" s="36">
        <f>IFERROR(INDEX(Inputs!$E$17:$E$20,MATCH(1,(A39&gt;=Inputs!$C$17:$C$20)*(A39&lt;=Inputs!$D$17:$D$20),0)),1)</f>
        <v/>
      </c>
      <c r="E39" s="36">
        <f>INDEX(Inputs!$D$24:$D$30,WEEKDAY(A39,2))</f>
        <v/>
      </c>
      <c r="F39" s="36">
        <f>IFERROR(INDEX(Inputs!$D$34:$D$45,MATCH(A39,Inputs!$B$34:$B$45,0)),1)</f>
        <v/>
      </c>
      <c r="G39" s="37">
        <f>Inputs!$C$7*D39*E39*F39</f>
        <v/>
      </c>
      <c r="H39" s="25" t="n"/>
      <c r="I39" s="38">
        <f>IF(H39&lt;&gt;"",H39,G39)</f>
        <v/>
      </c>
    </row>
    <row r="40" ht="16" customHeight="1">
      <c r="A40" s="34">
        <f>DATE(Settings!$B$7,1,1)+34</f>
        <v/>
      </c>
      <c r="B40" s="19">
        <f>TEXT(A40,"ddd")</f>
        <v/>
      </c>
      <c r="C40" s="35">
        <f>IFERROR(INDEX(Inputs!$B$17:$B$20,MATCH(1,(A40&gt;=Inputs!$C$17:$C$20)*(A40&lt;=Inputs!$D$17:$D$20),0)),"")</f>
        <v/>
      </c>
      <c r="D40" s="36">
        <f>IFERROR(INDEX(Inputs!$E$17:$E$20,MATCH(1,(A40&gt;=Inputs!$C$17:$C$20)*(A40&lt;=Inputs!$D$17:$D$20),0)),1)</f>
        <v/>
      </c>
      <c r="E40" s="36">
        <f>INDEX(Inputs!$D$24:$D$30,WEEKDAY(A40,2))</f>
        <v/>
      </c>
      <c r="F40" s="36">
        <f>IFERROR(INDEX(Inputs!$D$34:$D$45,MATCH(A40,Inputs!$B$34:$B$45,0)),1)</f>
        <v/>
      </c>
      <c r="G40" s="37">
        <f>Inputs!$C$7*D40*E40*F40</f>
        <v/>
      </c>
      <c r="H40" s="25" t="n"/>
      <c r="I40" s="38">
        <f>IF(H40&lt;&gt;"",H40,G40)</f>
        <v/>
      </c>
    </row>
    <row r="41" ht="16" customHeight="1">
      <c r="A41" s="34">
        <f>DATE(Settings!$B$7,1,1)+35</f>
        <v/>
      </c>
      <c r="B41" s="19">
        <f>TEXT(A41,"ddd")</f>
        <v/>
      </c>
      <c r="C41" s="35">
        <f>IFERROR(INDEX(Inputs!$B$17:$B$20,MATCH(1,(A41&gt;=Inputs!$C$17:$C$20)*(A41&lt;=Inputs!$D$17:$D$20),0)),"")</f>
        <v/>
      </c>
      <c r="D41" s="36">
        <f>IFERROR(INDEX(Inputs!$E$17:$E$20,MATCH(1,(A41&gt;=Inputs!$C$17:$C$20)*(A41&lt;=Inputs!$D$17:$D$20),0)),1)</f>
        <v/>
      </c>
      <c r="E41" s="36">
        <f>INDEX(Inputs!$D$24:$D$30,WEEKDAY(A41,2))</f>
        <v/>
      </c>
      <c r="F41" s="36">
        <f>IFERROR(INDEX(Inputs!$D$34:$D$45,MATCH(A41,Inputs!$B$34:$B$45,0)),1)</f>
        <v/>
      </c>
      <c r="G41" s="37">
        <f>Inputs!$C$7*D41*E41*F41</f>
        <v/>
      </c>
      <c r="H41" s="25" t="n"/>
      <c r="I41" s="38">
        <f>IF(H41&lt;&gt;"",H41,G41)</f>
        <v/>
      </c>
    </row>
    <row r="42" ht="16" customHeight="1">
      <c r="A42" s="34">
        <f>DATE(Settings!$B$7,1,1)+36</f>
        <v/>
      </c>
      <c r="B42" s="19">
        <f>TEXT(A42,"ddd")</f>
        <v/>
      </c>
      <c r="C42" s="35">
        <f>IFERROR(INDEX(Inputs!$B$17:$B$20,MATCH(1,(A42&gt;=Inputs!$C$17:$C$20)*(A42&lt;=Inputs!$D$17:$D$20),0)),"")</f>
        <v/>
      </c>
      <c r="D42" s="36">
        <f>IFERROR(INDEX(Inputs!$E$17:$E$20,MATCH(1,(A42&gt;=Inputs!$C$17:$C$20)*(A42&lt;=Inputs!$D$17:$D$20),0)),1)</f>
        <v/>
      </c>
      <c r="E42" s="36">
        <f>INDEX(Inputs!$D$24:$D$30,WEEKDAY(A42,2))</f>
        <v/>
      </c>
      <c r="F42" s="36">
        <f>IFERROR(INDEX(Inputs!$D$34:$D$45,MATCH(A42,Inputs!$B$34:$B$45,0)),1)</f>
        <v/>
      </c>
      <c r="G42" s="37">
        <f>Inputs!$C$7*D42*E42*F42</f>
        <v/>
      </c>
      <c r="H42" s="25" t="n"/>
      <c r="I42" s="38">
        <f>IF(H42&lt;&gt;"",H42,G42)</f>
        <v/>
      </c>
    </row>
    <row r="43" ht="16" customHeight="1">
      <c r="A43" s="34">
        <f>DATE(Settings!$B$7,1,1)+37</f>
        <v/>
      </c>
      <c r="B43" s="19">
        <f>TEXT(A43,"ddd")</f>
        <v/>
      </c>
      <c r="C43" s="35">
        <f>IFERROR(INDEX(Inputs!$B$17:$B$20,MATCH(1,(A43&gt;=Inputs!$C$17:$C$20)*(A43&lt;=Inputs!$D$17:$D$20),0)),"")</f>
        <v/>
      </c>
      <c r="D43" s="36">
        <f>IFERROR(INDEX(Inputs!$E$17:$E$20,MATCH(1,(A43&gt;=Inputs!$C$17:$C$20)*(A43&lt;=Inputs!$D$17:$D$20),0)),1)</f>
        <v/>
      </c>
      <c r="E43" s="36">
        <f>INDEX(Inputs!$D$24:$D$30,WEEKDAY(A43,2))</f>
        <v/>
      </c>
      <c r="F43" s="36">
        <f>IFERROR(INDEX(Inputs!$D$34:$D$45,MATCH(A43,Inputs!$B$34:$B$45,0)),1)</f>
        <v/>
      </c>
      <c r="G43" s="37">
        <f>Inputs!$C$7*D43*E43*F43</f>
        <v/>
      </c>
      <c r="H43" s="25" t="n"/>
      <c r="I43" s="38">
        <f>IF(H43&lt;&gt;"",H43,G43)</f>
        <v/>
      </c>
    </row>
    <row r="44" ht="16" customHeight="1">
      <c r="A44" s="34">
        <f>DATE(Settings!$B$7,1,1)+38</f>
        <v/>
      </c>
      <c r="B44" s="19">
        <f>TEXT(A44,"ddd")</f>
        <v/>
      </c>
      <c r="C44" s="35">
        <f>IFERROR(INDEX(Inputs!$B$17:$B$20,MATCH(1,(A44&gt;=Inputs!$C$17:$C$20)*(A44&lt;=Inputs!$D$17:$D$20),0)),"")</f>
        <v/>
      </c>
      <c r="D44" s="36">
        <f>IFERROR(INDEX(Inputs!$E$17:$E$20,MATCH(1,(A44&gt;=Inputs!$C$17:$C$20)*(A44&lt;=Inputs!$D$17:$D$20),0)),1)</f>
        <v/>
      </c>
      <c r="E44" s="36">
        <f>INDEX(Inputs!$D$24:$D$30,WEEKDAY(A44,2))</f>
        <v/>
      </c>
      <c r="F44" s="36">
        <f>IFERROR(INDEX(Inputs!$D$34:$D$45,MATCH(A44,Inputs!$B$34:$B$45,0)),1)</f>
        <v/>
      </c>
      <c r="G44" s="37">
        <f>Inputs!$C$7*D44*E44*F44</f>
        <v/>
      </c>
      <c r="H44" s="25" t="n"/>
      <c r="I44" s="38">
        <f>IF(H44&lt;&gt;"",H44,G44)</f>
        <v/>
      </c>
    </row>
    <row r="45" ht="16" customHeight="1">
      <c r="A45" s="34">
        <f>DATE(Settings!$B$7,1,1)+39</f>
        <v/>
      </c>
      <c r="B45" s="19">
        <f>TEXT(A45,"ddd")</f>
        <v/>
      </c>
      <c r="C45" s="35">
        <f>IFERROR(INDEX(Inputs!$B$17:$B$20,MATCH(1,(A45&gt;=Inputs!$C$17:$C$20)*(A45&lt;=Inputs!$D$17:$D$20),0)),"")</f>
        <v/>
      </c>
      <c r="D45" s="36">
        <f>IFERROR(INDEX(Inputs!$E$17:$E$20,MATCH(1,(A45&gt;=Inputs!$C$17:$C$20)*(A45&lt;=Inputs!$D$17:$D$20),0)),1)</f>
        <v/>
      </c>
      <c r="E45" s="36">
        <f>INDEX(Inputs!$D$24:$D$30,WEEKDAY(A45,2))</f>
        <v/>
      </c>
      <c r="F45" s="36">
        <f>IFERROR(INDEX(Inputs!$D$34:$D$45,MATCH(A45,Inputs!$B$34:$B$45,0)),1)</f>
        <v/>
      </c>
      <c r="G45" s="37">
        <f>Inputs!$C$7*D45*E45*F45</f>
        <v/>
      </c>
      <c r="H45" s="25" t="n"/>
      <c r="I45" s="38">
        <f>IF(H45&lt;&gt;"",H45,G45)</f>
        <v/>
      </c>
    </row>
    <row r="46" ht="16" customHeight="1">
      <c r="A46" s="34">
        <f>DATE(Settings!$B$7,1,1)+40</f>
        <v/>
      </c>
      <c r="B46" s="19">
        <f>TEXT(A46,"ddd")</f>
        <v/>
      </c>
      <c r="C46" s="35">
        <f>IFERROR(INDEX(Inputs!$B$17:$B$20,MATCH(1,(A46&gt;=Inputs!$C$17:$C$20)*(A46&lt;=Inputs!$D$17:$D$20),0)),"")</f>
        <v/>
      </c>
      <c r="D46" s="36">
        <f>IFERROR(INDEX(Inputs!$E$17:$E$20,MATCH(1,(A46&gt;=Inputs!$C$17:$C$20)*(A46&lt;=Inputs!$D$17:$D$20),0)),1)</f>
        <v/>
      </c>
      <c r="E46" s="36">
        <f>INDEX(Inputs!$D$24:$D$30,WEEKDAY(A46,2))</f>
        <v/>
      </c>
      <c r="F46" s="36">
        <f>IFERROR(INDEX(Inputs!$D$34:$D$45,MATCH(A46,Inputs!$B$34:$B$45,0)),1)</f>
        <v/>
      </c>
      <c r="G46" s="37">
        <f>Inputs!$C$7*D46*E46*F46</f>
        <v/>
      </c>
      <c r="H46" s="25" t="n"/>
      <c r="I46" s="38">
        <f>IF(H46&lt;&gt;"",H46,G46)</f>
        <v/>
      </c>
    </row>
    <row r="47" ht="16" customHeight="1">
      <c r="A47" s="34">
        <f>DATE(Settings!$B$7,1,1)+41</f>
        <v/>
      </c>
      <c r="B47" s="19">
        <f>TEXT(A47,"ddd")</f>
        <v/>
      </c>
      <c r="C47" s="35">
        <f>IFERROR(INDEX(Inputs!$B$17:$B$20,MATCH(1,(A47&gt;=Inputs!$C$17:$C$20)*(A47&lt;=Inputs!$D$17:$D$20),0)),"")</f>
        <v/>
      </c>
      <c r="D47" s="36">
        <f>IFERROR(INDEX(Inputs!$E$17:$E$20,MATCH(1,(A47&gt;=Inputs!$C$17:$C$20)*(A47&lt;=Inputs!$D$17:$D$20),0)),1)</f>
        <v/>
      </c>
      <c r="E47" s="36">
        <f>INDEX(Inputs!$D$24:$D$30,WEEKDAY(A47,2))</f>
        <v/>
      </c>
      <c r="F47" s="36">
        <f>IFERROR(INDEX(Inputs!$D$34:$D$45,MATCH(A47,Inputs!$B$34:$B$45,0)),1)</f>
        <v/>
      </c>
      <c r="G47" s="37">
        <f>Inputs!$C$7*D47*E47*F47</f>
        <v/>
      </c>
      <c r="H47" s="25" t="n"/>
      <c r="I47" s="38">
        <f>IF(H47&lt;&gt;"",H47,G47)</f>
        <v/>
      </c>
    </row>
    <row r="48" ht="16" customHeight="1">
      <c r="A48" s="34">
        <f>DATE(Settings!$B$7,1,1)+42</f>
        <v/>
      </c>
      <c r="B48" s="19">
        <f>TEXT(A48,"ddd")</f>
        <v/>
      </c>
      <c r="C48" s="35">
        <f>IFERROR(INDEX(Inputs!$B$17:$B$20,MATCH(1,(A48&gt;=Inputs!$C$17:$C$20)*(A48&lt;=Inputs!$D$17:$D$20),0)),"")</f>
        <v/>
      </c>
      <c r="D48" s="36">
        <f>IFERROR(INDEX(Inputs!$E$17:$E$20,MATCH(1,(A48&gt;=Inputs!$C$17:$C$20)*(A48&lt;=Inputs!$D$17:$D$20),0)),1)</f>
        <v/>
      </c>
      <c r="E48" s="36">
        <f>INDEX(Inputs!$D$24:$D$30,WEEKDAY(A48,2))</f>
        <v/>
      </c>
      <c r="F48" s="36">
        <f>IFERROR(INDEX(Inputs!$D$34:$D$45,MATCH(A48,Inputs!$B$34:$B$45,0)),1)</f>
        <v/>
      </c>
      <c r="G48" s="37">
        <f>Inputs!$C$7*D48*E48*F48</f>
        <v/>
      </c>
      <c r="H48" s="25" t="n"/>
      <c r="I48" s="38">
        <f>IF(H48&lt;&gt;"",H48,G48)</f>
        <v/>
      </c>
    </row>
    <row r="49" ht="16" customHeight="1">
      <c r="A49" s="34">
        <f>DATE(Settings!$B$7,1,1)+43</f>
        <v/>
      </c>
      <c r="B49" s="19">
        <f>TEXT(A49,"ddd")</f>
        <v/>
      </c>
      <c r="C49" s="35">
        <f>IFERROR(INDEX(Inputs!$B$17:$B$20,MATCH(1,(A49&gt;=Inputs!$C$17:$C$20)*(A49&lt;=Inputs!$D$17:$D$20),0)),"")</f>
        <v/>
      </c>
      <c r="D49" s="36">
        <f>IFERROR(INDEX(Inputs!$E$17:$E$20,MATCH(1,(A49&gt;=Inputs!$C$17:$C$20)*(A49&lt;=Inputs!$D$17:$D$20),0)),1)</f>
        <v/>
      </c>
      <c r="E49" s="36">
        <f>INDEX(Inputs!$D$24:$D$30,WEEKDAY(A49,2))</f>
        <v/>
      </c>
      <c r="F49" s="36">
        <f>IFERROR(INDEX(Inputs!$D$34:$D$45,MATCH(A49,Inputs!$B$34:$B$45,0)),1)</f>
        <v/>
      </c>
      <c r="G49" s="37">
        <f>Inputs!$C$7*D49*E49*F49</f>
        <v/>
      </c>
      <c r="H49" s="25" t="n"/>
      <c r="I49" s="38">
        <f>IF(H49&lt;&gt;"",H49,G49)</f>
        <v/>
      </c>
    </row>
    <row r="50" ht="16" customHeight="1">
      <c r="A50" s="34">
        <f>DATE(Settings!$B$7,1,1)+44</f>
        <v/>
      </c>
      <c r="B50" s="19">
        <f>TEXT(A50,"ddd")</f>
        <v/>
      </c>
      <c r="C50" s="35">
        <f>IFERROR(INDEX(Inputs!$B$17:$B$20,MATCH(1,(A50&gt;=Inputs!$C$17:$C$20)*(A50&lt;=Inputs!$D$17:$D$20),0)),"")</f>
        <v/>
      </c>
      <c r="D50" s="36">
        <f>IFERROR(INDEX(Inputs!$E$17:$E$20,MATCH(1,(A50&gt;=Inputs!$C$17:$C$20)*(A50&lt;=Inputs!$D$17:$D$20),0)),1)</f>
        <v/>
      </c>
      <c r="E50" s="36">
        <f>INDEX(Inputs!$D$24:$D$30,WEEKDAY(A50,2))</f>
        <v/>
      </c>
      <c r="F50" s="36">
        <f>IFERROR(INDEX(Inputs!$D$34:$D$45,MATCH(A50,Inputs!$B$34:$B$45,0)),1)</f>
        <v/>
      </c>
      <c r="G50" s="37">
        <f>Inputs!$C$7*D50*E50*F50</f>
        <v/>
      </c>
      <c r="H50" s="25" t="n"/>
      <c r="I50" s="38">
        <f>IF(H50&lt;&gt;"",H50,G50)</f>
        <v/>
      </c>
    </row>
    <row r="51" ht="16" customHeight="1">
      <c r="A51" s="34">
        <f>DATE(Settings!$B$7,1,1)+45</f>
        <v/>
      </c>
      <c r="B51" s="19">
        <f>TEXT(A51,"ddd")</f>
        <v/>
      </c>
      <c r="C51" s="35">
        <f>IFERROR(INDEX(Inputs!$B$17:$B$20,MATCH(1,(A51&gt;=Inputs!$C$17:$C$20)*(A51&lt;=Inputs!$D$17:$D$20),0)),"")</f>
        <v/>
      </c>
      <c r="D51" s="36">
        <f>IFERROR(INDEX(Inputs!$E$17:$E$20,MATCH(1,(A51&gt;=Inputs!$C$17:$C$20)*(A51&lt;=Inputs!$D$17:$D$20),0)),1)</f>
        <v/>
      </c>
      <c r="E51" s="36">
        <f>INDEX(Inputs!$D$24:$D$30,WEEKDAY(A51,2))</f>
        <v/>
      </c>
      <c r="F51" s="36">
        <f>IFERROR(INDEX(Inputs!$D$34:$D$45,MATCH(A51,Inputs!$B$34:$B$45,0)),1)</f>
        <v/>
      </c>
      <c r="G51" s="37">
        <f>Inputs!$C$7*D51*E51*F51</f>
        <v/>
      </c>
      <c r="H51" s="25" t="n"/>
      <c r="I51" s="38">
        <f>IF(H51&lt;&gt;"",H51,G51)</f>
        <v/>
      </c>
    </row>
    <row r="52" ht="16" customHeight="1">
      <c r="A52" s="34">
        <f>DATE(Settings!$B$7,1,1)+46</f>
        <v/>
      </c>
      <c r="B52" s="19">
        <f>TEXT(A52,"ddd")</f>
        <v/>
      </c>
      <c r="C52" s="35">
        <f>IFERROR(INDEX(Inputs!$B$17:$B$20,MATCH(1,(A52&gt;=Inputs!$C$17:$C$20)*(A52&lt;=Inputs!$D$17:$D$20),0)),"")</f>
        <v/>
      </c>
      <c r="D52" s="36">
        <f>IFERROR(INDEX(Inputs!$E$17:$E$20,MATCH(1,(A52&gt;=Inputs!$C$17:$C$20)*(A52&lt;=Inputs!$D$17:$D$20),0)),1)</f>
        <v/>
      </c>
      <c r="E52" s="36">
        <f>INDEX(Inputs!$D$24:$D$30,WEEKDAY(A52,2))</f>
        <v/>
      </c>
      <c r="F52" s="36">
        <f>IFERROR(INDEX(Inputs!$D$34:$D$45,MATCH(A52,Inputs!$B$34:$B$45,0)),1)</f>
        <v/>
      </c>
      <c r="G52" s="37">
        <f>Inputs!$C$7*D52*E52*F52</f>
        <v/>
      </c>
      <c r="H52" s="25" t="n"/>
      <c r="I52" s="38">
        <f>IF(H52&lt;&gt;"",H52,G52)</f>
        <v/>
      </c>
    </row>
    <row r="53" ht="16" customHeight="1">
      <c r="A53" s="34">
        <f>DATE(Settings!$B$7,1,1)+47</f>
        <v/>
      </c>
      <c r="B53" s="19">
        <f>TEXT(A53,"ddd")</f>
        <v/>
      </c>
      <c r="C53" s="35">
        <f>IFERROR(INDEX(Inputs!$B$17:$B$20,MATCH(1,(A53&gt;=Inputs!$C$17:$C$20)*(A53&lt;=Inputs!$D$17:$D$20),0)),"")</f>
        <v/>
      </c>
      <c r="D53" s="36">
        <f>IFERROR(INDEX(Inputs!$E$17:$E$20,MATCH(1,(A53&gt;=Inputs!$C$17:$C$20)*(A53&lt;=Inputs!$D$17:$D$20),0)),1)</f>
        <v/>
      </c>
      <c r="E53" s="36">
        <f>INDEX(Inputs!$D$24:$D$30,WEEKDAY(A53,2))</f>
        <v/>
      </c>
      <c r="F53" s="36">
        <f>IFERROR(INDEX(Inputs!$D$34:$D$45,MATCH(A53,Inputs!$B$34:$B$45,0)),1)</f>
        <v/>
      </c>
      <c r="G53" s="37">
        <f>Inputs!$C$7*D53*E53*F53</f>
        <v/>
      </c>
      <c r="H53" s="25" t="n"/>
      <c r="I53" s="38">
        <f>IF(H53&lt;&gt;"",H53,G53)</f>
        <v/>
      </c>
    </row>
    <row r="54" ht="16" customHeight="1">
      <c r="A54" s="34">
        <f>DATE(Settings!$B$7,1,1)+48</f>
        <v/>
      </c>
      <c r="B54" s="19">
        <f>TEXT(A54,"ddd")</f>
        <v/>
      </c>
      <c r="C54" s="35">
        <f>IFERROR(INDEX(Inputs!$B$17:$B$20,MATCH(1,(A54&gt;=Inputs!$C$17:$C$20)*(A54&lt;=Inputs!$D$17:$D$20),0)),"")</f>
        <v/>
      </c>
      <c r="D54" s="36">
        <f>IFERROR(INDEX(Inputs!$E$17:$E$20,MATCH(1,(A54&gt;=Inputs!$C$17:$C$20)*(A54&lt;=Inputs!$D$17:$D$20),0)),1)</f>
        <v/>
      </c>
      <c r="E54" s="36">
        <f>INDEX(Inputs!$D$24:$D$30,WEEKDAY(A54,2))</f>
        <v/>
      </c>
      <c r="F54" s="36">
        <f>IFERROR(INDEX(Inputs!$D$34:$D$45,MATCH(A54,Inputs!$B$34:$B$45,0)),1)</f>
        <v/>
      </c>
      <c r="G54" s="37">
        <f>Inputs!$C$7*D54*E54*F54</f>
        <v/>
      </c>
      <c r="H54" s="25" t="n"/>
      <c r="I54" s="38">
        <f>IF(H54&lt;&gt;"",H54,G54)</f>
        <v/>
      </c>
    </row>
    <row r="55" ht="16" customHeight="1">
      <c r="A55" s="34">
        <f>DATE(Settings!$B$7,1,1)+49</f>
        <v/>
      </c>
      <c r="B55" s="19">
        <f>TEXT(A55,"ddd")</f>
        <v/>
      </c>
      <c r="C55" s="35">
        <f>IFERROR(INDEX(Inputs!$B$17:$B$20,MATCH(1,(A55&gt;=Inputs!$C$17:$C$20)*(A55&lt;=Inputs!$D$17:$D$20),0)),"")</f>
        <v/>
      </c>
      <c r="D55" s="36">
        <f>IFERROR(INDEX(Inputs!$E$17:$E$20,MATCH(1,(A55&gt;=Inputs!$C$17:$C$20)*(A55&lt;=Inputs!$D$17:$D$20),0)),1)</f>
        <v/>
      </c>
      <c r="E55" s="36">
        <f>INDEX(Inputs!$D$24:$D$30,WEEKDAY(A55,2))</f>
        <v/>
      </c>
      <c r="F55" s="36">
        <f>IFERROR(INDEX(Inputs!$D$34:$D$45,MATCH(A55,Inputs!$B$34:$B$45,0)),1)</f>
        <v/>
      </c>
      <c r="G55" s="37">
        <f>Inputs!$C$7*D55*E55*F55</f>
        <v/>
      </c>
      <c r="H55" s="25" t="n"/>
      <c r="I55" s="38">
        <f>IF(H55&lt;&gt;"",H55,G55)</f>
        <v/>
      </c>
    </row>
    <row r="56" ht="16" customHeight="1">
      <c r="A56" s="34">
        <f>DATE(Settings!$B$7,1,1)+50</f>
        <v/>
      </c>
      <c r="B56" s="19">
        <f>TEXT(A56,"ddd")</f>
        <v/>
      </c>
      <c r="C56" s="35">
        <f>IFERROR(INDEX(Inputs!$B$17:$B$20,MATCH(1,(A56&gt;=Inputs!$C$17:$C$20)*(A56&lt;=Inputs!$D$17:$D$20),0)),"")</f>
        <v/>
      </c>
      <c r="D56" s="36">
        <f>IFERROR(INDEX(Inputs!$E$17:$E$20,MATCH(1,(A56&gt;=Inputs!$C$17:$C$20)*(A56&lt;=Inputs!$D$17:$D$20),0)),1)</f>
        <v/>
      </c>
      <c r="E56" s="36">
        <f>INDEX(Inputs!$D$24:$D$30,WEEKDAY(A56,2))</f>
        <v/>
      </c>
      <c r="F56" s="36">
        <f>IFERROR(INDEX(Inputs!$D$34:$D$45,MATCH(A56,Inputs!$B$34:$B$45,0)),1)</f>
        <v/>
      </c>
      <c r="G56" s="37">
        <f>Inputs!$C$7*D56*E56*F56</f>
        <v/>
      </c>
      <c r="H56" s="25" t="n"/>
      <c r="I56" s="38">
        <f>IF(H56&lt;&gt;"",H56,G56)</f>
        <v/>
      </c>
    </row>
    <row r="57" ht="16" customHeight="1">
      <c r="A57" s="34">
        <f>DATE(Settings!$B$7,1,1)+51</f>
        <v/>
      </c>
      <c r="B57" s="19">
        <f>TEXT(A57,"ddd")</f>
        <v/>
      </c>
      <c r="C57" s="35">
        <f>IFERROR(INDEX(Inputs!$B$17:$B$20,MATCH(1,(A57&gt;=Inputs!$C$17:$C$20)*(A57&lt;=Inputs!$D$17:$D$20),0)),"")</f>
        <v/>
      </c>
      <c r="D57" s="36">
        <f>IFERROR(INDEX(Inputs!$E$17:$E$20,MATCH(1,(A57&gt;=Inputs!$C$17:$C$20)*(A57&lt;=Inputs!$D$17:$D$20),0)),1)</f>
        <v/>
      </c>
      <c r="E57" s="36">
        <f>INDEX(Inputs!$D$24:$D$30,WEEKDAY(A57,2))</f>
        <v/>
      </c>
      <c r="F57" s="36">
        <f>IFERROR(INDEX(Inputs!$D$34:$D$45,MATCH(A57,Inputs!$B$34:$B$45,0)),1)</f>
        <v/>
      </c>
      <c r="G57" s="37">
        <f>Inputs!$C$7*D57*E57*F57</f>
        <v/>
      </c>
      <c r="H57" s="25" t="n"/>
      <c r="I57" s="38">
        <f>IF(H57&lt;&gt;"",H57,G57)</f>
        <v/>
      </c>
    </row>
    <row r="58" ht="16" customHeight="1">
      <c r="A58" s="34">
        <f>DATE(Settings!$B$7,1,1)+52</f>
        <v/>
      </c>
      <c r="B58" s="19">
        <f>TEXT(A58,"ddd")</f>
        <v/>
      </c>
      <c r="C58" s="35">
        <f>IFERROR(INDEX(Inputs!$B$17:$B$20,MATCH(1,(A58&gt;=Inputs!$C$17:$C$20)*(A58&lt;=Inputs!$D$17:$D$20),0)),"")</f>
        <v/>
      </c>
      <c r="D58" s="36">
        <f>IFERROR(INDEX(Inputs!$E$17:$E$20,MATCH(1,(A58&gt;=Inputs!$C$17:$C$20)*(A58&lt;=Inputs!$D$17:$D$20),0)),1)</f>
        <v/>
      </c>
      <c r="E58" s="36">
        <f>INDEX(Inputs!$D$24:$D$30,WEEKDAY(A58,2))</f>
        <v/>
      </c>
      <c r="F58" s="36">
        <f>IFERROR(INDEX(Inputs!$D$34:$D$45,MATCH(A58,Inputs!$B$34:$B$45,0)),1)</f>
        <v/>
      </c>
      <c r="G58" s="37">
        <f>Inputs!$C$7*D58*E58*F58</f>
        <v/>
      </c>
      <c r="H58" s="25" t="n"/>
      <c r="I58" s="38">
        <f>IF(H58&lt;&gt;"",H58,G58)</f>
        <v/>
      </c>
    </row>
    <row r="59" ht="16" customHeight="1">
      <c r="A59" s="34">
        <f>DATE(Settings!$B$7,1,1)+53</f>
        <v/>
      </c>
      <c r="B59" s="19">
        <f>TEXT(A59,"ddd")</f>
        <v/>
      </c>
      <c r="C59" s="35">
        <f>IFERROR(INDEX(Inputs!$B$17:$B$20,MATCH(1,(A59&gt;=Inputs!$C$17:$C$20)*(A59&lt;=Inputs!$D$17:$D$20),0)),"")</f>
        <v/>
      </c>
      <c r="D59" s="36">
        <f>IFERROR(INDEX(Inputs!$E$17:$E$20,MATCH(1,(A59&gt;=Inputs!$C$17:$C$20)*(A59&lt;=Inputs!$D$17:$D$20),0)),1)</f>
        <v/>
      </c>
      <c r="E59" s="36">
        <f>INDEX(Inputs!$D$24:$D$30,WEEKDAY(A59,2))</f>
        <v/>
      </c>
      <c r="F59" s="36">
        <f>IFERROR(INDEX(Inputs!$D$34:$D$45,MATCH(A59,Inputs!$B$34:$B$45,0)),1)</f>
        <v/>
      </c>
      <c r="G59" s="37">
        <f>Inputs!$C$7*D59*E59*F59</f>
        <v/>
      </c>
      <c r="H59" s="25" t="n"/>
      <c r="I59" s="38">
        <f>IF(H59&lt;&gt;"",H59,G59)</f>
        <v/>
      </c>
    </row>
    <row r="60" ht="16" customHeight="1">
      <c r="A60" s="34">
        <f>DATE(Settings!$B$7,1,1)+54</f>
        <v/>
      </c>
      <c r="B60" s="19">
        <f>TEXT(A60,"ddd")</f>
        <v/>
      </c>
      <c r="C60" s="35">
        <f>IFERROR(INDEX(Inputs!$B$17:$B$20,MATCH(1,(A60&gt;=Inputs!$C$17:$C$20)*(A60&lt;=Inputs!$D$17:$D$20),0)),"")</f>
        <v/>
      </c>
      <c r="D60" s="36">
        <f>IFERROR(INDEX(Inputs!$E$17:$E$20,MATCH(1,(A60&gt;=Inputs!$C$17:$C$20)*(A60&lt;=Inputs!$D$17:$D$20),0)),1)</f>
        <v/>
      </c>
      <c r="E60" s="36">
        <f>INDEX(Inputs!$D$24:$D$30,WEEKDAY(A60,2))</f>
        <v/>
      </c>
      <c r="F60" s="36">
        <f>IFERROR(INDEX(Inputs!$D$34:$D$45,MATCH(A60,Inputs!$B$34:$B$45,0)),1)</f>
        <v/>
      </c>
      <c r="G60" s="37">
        <f>Inputs!$C$7*D60*E60*F60</f>
        <v/>
      </c>
      <c r="H60" s="25" t="n"/>
      <c r="I60" s="38">
        <f>IF(H60&lt;&gt;"",H60,G60)</f>
        <v/>
      </c>
    </row>
    <row r="61" ht="16" customHeight="1">
      <c r="A61" s="34">
        <f>DATE(Settings!$B$7,1,1)+55</f>
        <v/>
      </c>
      <c r="B61" s="19">
        <f>TEXT(A61,"ddd")</f>
        <v/>
      </c>
      <c r="C61" s="35">
        <f>IFERROR(INDEX(Inputs!$B$17:$B$20,MATCH(1,(A61&gt;=Inputs!$C$17:$C$20)*(A61&lt;=Inputs!$D$17:$D$20),0)),"")</f>
        <v/>
      </c>
      <c r="D61" s="36">
        <f>IFERROR(INDEX(Inputs!$E$17:$E$20,MATCH(1,(A61&gt;=Inputs!$C$17:$C$20)*(A61&lt;=Inputs!$D$17:$D$20),0)),1)</f>
        <v/>
      </c>
      <c r="E61" s="36">
        <f>INDEX(Inputs!$D$24:$D$30,WEEKDAY(A61,2))</f>
        <v/>
      </c>
      <c r="F61" s="36">
        <f>IFERROR(INDEX(Inputs!$D$34:$D$45,MATCH(A61,Inputs!$B$34:$B$45,0)),1)</f>
        <v/>
      </c>
      <c r="G61" s="37">
        <f>Inputs!$C$7*D61*E61*F61</f>
        <v/>
      </c>
      <c r="H61" s="25" t="n"/>
      <c r="I61" s="38">
        <f>IF(H61&lt;&gt;"",H61,G61)</f>
        <v/>
      </c>
    </row>
    <row r="62" ht="16" customHeight="1">
      <c r="A62" s="34">
        <f>DATE(Settings!$B$7,1,1)+56</f>
        <v/>
      </c>
      <c r="B62" s="19">
        <f>TEXT(A62,"ddd")</f>
        <v/>
      </c>
      <c r="C62" s="35">
        <f>IFERROR(INDEX(Inputs!$B$17:$B$20,MATCH(1,(A62&gt;=Inputs!$C$17:$C$20)*(A62&lt;=Inputs!$D$17:$D$20),0)),"")</f>
        <v/>
      </c>
      <c r="D62" s="36">
        <f>IFERROR(INDEX(Inputs!$E$17:$E$20,MATCH(1,(A62&gt;=Inputs!$C$17:$C$20)*(A62&lt;=Inputs!$D$17:$D$20),0)),1)</f>
        <v/>
      </c>
      <c r="E62" s="36">
        <f>INDEX(Inputs!$D$24:$D$30,WEEKDAY(A62,2))</f>
        <v/>
      </c>
      <c r="F62" s="36">
        <f>IFERROR(INDEX(Inputs!$D$34:$D$45,MATCH(A62,Inputs!$B$34:$B$45,0)),1)</f>
        <v/>
      </c>
      <c r="G62" s="37">
        <f>Inputs!$C$7*D62*E62*F62</f>
        <v/>
      </c>
      <c r="H62" s="25" t="n"/>
      <c r="I62" s="38">
        <f>IF(H62&lt;&gt;"",H62,G62)</f>
        <v/>
      </c>
    </row>
    <row r="63" ht="16" customHeight="1">
      <c r="A63" s="34">
        <f>DATE(Settings!$B$7,1,1)+57</f>
        <v/>
      </c>
      <c r="B63" s="19">
        <f>TEXT(A63,"ddd")</f>
        <v/>
      </c>
      <c r="C63" s="35">
        <f>IFERROR(INDEX(Inputs!$B$17:$B$20,MATCH(1,(A63&gt;=Inputs!$C$17:$C$20)*(A63&lt;=Inputs!$D$17:$D$20),0)),"")</f>
        <v/>
      </c>
      <c r="D63" s="36">
        <f>IFERROR(INDEX(Inputs!$E$17:$E$20,MATCH(1,(A63&gt;=Inputs!$C$17:$C$20)*(A63&lt;=Inputs!$D$17:$D$20),0)),1)</f>
        <v/>
      </c>
      <c r="E63" s="36">
        <f>INDEX(Inputs!$D$24:$D$30,WEEKDAY(A63,2))</f>
        <v/>
      </c>
      <c r="F63" s="36">
        <f>IFERROR(INDEX(Inputs!$D$34:$D$45,MATCH(A63,Inputs!$B$34:$B$45,0)),1)</f>
        <v/>
      </c>
      <c r="G63" s="37">
        <f>Inputs!$C$7*D63*E63*F63</f>
        <v/>
      </c>
      <c r="H63" s="25" t="n"/>
      <c r="I63" s="38">
        <f>IF(H63&lt;&gt;"",H63,G63)</f>
        <v/>
      </c>
    </row>
    <row r="64" ht="16" customHeight="1">
      <c r="A64" s="34">
        <f>DATE(Settings!$B$7,1,1)+58</f>
        <v/>
      </c>
      <c r="B64" s="19">
        <f>TEXT(A64,"ddd")</f>
        <v/>
      </c>
      <c r="C64" s="35">
        <f>IFERROR(INDEX(Inputs!$B$17:$B$20,MATCH(1,(A64&gt;=Inputs!$C$17:$C$20)*(A64&lt;=Inputs!$D$17:$D$20),0)),"")</f>
        <v/>
      </c>
      <c r="D64" s="36">
        <f>IFERROR(INDEX(Inputs!$E$17:$E$20,MATCH(1,(A64&gt;=Inputs!$C$17:$C$20)*(A64&lt;=Inputs!$D$17:$D$20),0)),1)</f>
        <v/>
      </c>
      <c r="E64" s="36">
        <f>INDEX(Inputs!$D$24:$D$30,WEEKDAY(A64,2))</f>
        <v/>
      </c>
      <c r="F64" s="36">
        <f>IFERROR(INDEX(Inputs!$D$34:$D$45,MATCH(A64,Inputs!$B$34:$B$45,0)),1)</f>
        <v/>
      </c>
      <c r="G64" s="37">
        <f>Inputs!$C$7*D64*E64*F64</f>
        <v/>
      </c>
      <c r="H64" s="25" t="n"/>
      <c r="I64" s="38">
        <f>IF(H64&lt;&gt;"",H64,G64)</f>
        <v/>
      </c>
    </row>
    <row r="65" ht="16" customHeight="1">
      <c r="A65" s="34">
        <f>DATE(Settings!$B$7,1,1)+59</f>
        <v/>
      </c>
      <c r="B65" s="19">
        <f>TEXT(A65,"ddd")</f>
        <v/>
      </c>
      <c r="C65" s="35">
        <f>IFERROR(INDEX(Inputs!$B$17:$B$20,MATCH(1,(A65&gt;=Inputs!$C$17:$C$20)*(A65&lt;=Inputs!$D$17:$D$20),0)),"")</f>
        <v/>
      </c>
      <c r="D65" s="36">
        <f>IFERROR(INDEX(Inputs!$E$17:$E$20,MATCH(1,(A65&gt;=Inputs!$C$17:$C$20)*(A65&lt;=Inputs!$D$17:$D$20),0)),1)</f>
        <v/>
      </c>
      <c r="E65" s="36">
        <f>INDEX(Inputs!$D$24:$D$30,WEEKDAY(A65,2))</f>
        <v/>
      </c>
      <c r="F65" s="36">
        <f>IFERROR(INDEX(Inputs!$D$34:$D$45,MATCH(A65,Inputs!$B$34:$B$45,0)),1)</f>
        <v/>
      </c>
      <c r="G65" s="37">
        <f>Inputs!$C$7*D65*E65*F65</f>
        <v/>
      </c>
      <c r="H65" s="25" t="n"/>
      <c r="I65" s="38">
        <f>IF(H65&lt;&gt;"",H65,G65)</f>
        <v/>
      </c>
    </row>
    <row r="66" ht="16" customHeight="1">
      <c r="A66" s="34">
        <f>DATE(Settings!$B$7,1,1)+60</f>
        <v/>
      </c>
      <c r="B66" s="19">
        <f>TEXT(A66,"ddd")</f>
        <v/>
      </c>
      <c r="C66" s="35">
        <f>IFERROR(INDEX(Inputs!$B$17:$B$20,MATCH(1,(A66&gt;=Inputs!$C$17:$C$20)*(A66&lt;=Inputs!$D$17:$D$20),0)),"")</f>
        <v/>
      </c>
      <c r="D66" s="36">
        <f>IFERROR(INDEX(Inputs!$E$17:$E$20,MATCH(1,(A66&gt;=Inputs!$C$17:$C$20)*(A66&lt;=Inputs!$D$17:$D$20),0)),1)</f>
        <v/>
      </c>
      <c r="E66" s="36">
        <f>INDEX(Inputs!$D$24:$D$30,WEEKDAY(A66,2))</f>
        <v/>
      </c>
      <c r="F66" s="36">
        <f>IFERROR(INDEX(Inputs!$D$34:$D$45,MATCH(A66,Inputs!$B$34:$B$45,0)),1)</f>
        <v/>
      </c>
      <c r="G66" s="37">
        <f>Inputs!$C$7*D66*E66*F66</f>
        <v/>
      </c>
      <c r="H66" s="25" t="n"/>
      <c r="I66" s="38">
        <f>IF(H66&lt;&gt;"",H66,G66)</f>
        <v/>
      </c>
    </row>
    <row r="67" ht="16" customHeight="1">
      <c r="A67" s="34">
        <f>DATE(Settings!$B$7,1,1)+61</f>
        <v/>
      </c>
      <c r="B67" s="19">
        <f>TEXT(A67,"ddd")</f>
        <v/>
      </c>
      <c r="C67" s="35">
        <f>IFERROR(INDEX(Inputs!$B$17:$B$20,MATCH(1,(A67&gt;=Inputs!$C$17:$C$20)*(A67&lt;=Inputs!$D$17:$D$20),0)),"")</f>
        <v/>
      </c>
      <c r="D67" s="36">
        <f>IFERROR(INDEX(Inputs!$E$17:$E$20,MATCH(1,(A67&gt;=Inputs!$C$17:$C$20)*(A67&lt;=Inputs!$D$17:$D$20),0)),1)</f>
        <v/>
      </c>
      <c r="E67" s="36">
        <f>INDEX(Inputs!$D$24:$D$30,WEEKDAY(A67,2))</f>
        <v/>
      </c>
      <c r="F67" s="36">
        <f>IFERROR(INDEX(Inputs!$D$34:$D$45,MATCH(A67,Inputs!$B$34:$B$45,0)),1)</f>
        <v/>
      </c>
      <c r="G67" s="37">
        <f>Inputs!$C$7*D67*E67*F67</f>
        <v/>
      </c>
      <c r="H67" s="25" t="n"/>
      <c r="I67" s="38">
        <f>IF(H67&lt;&gt;"",H67,G67)</f>
        <v/>
      </c>
    </row>
    <row r="68" ht="16" customHeight="1">
      <c r="A68" s="34">
        <f>DATE(Settings!$B$7,1,1)+62</f>
        <v/>
      </c>
      <c r="B68" s="19">
        <f>TEXT(A68,"ddd")</f>
        <v/>
      </c>
      <c r="C68" s="35">
        <f>IFERROR(INDEX(Inputs!$B$17:$B$20,MATCH(1,(A68&gt;=Inputs!$C$17:$C$20)*(A68&lt;=Inputs!$D$17:$D$20),0)),"")</f>
        <v/>
      </c>
      <c r="D68" s="36">
        <f>IFERROR(INDEX(Inputs!$E$17:$E$20,MATCH(1,(A68&gt;=Inputs!$C$17:$C$20)*(A68&lt;=Inputs!$D$17:$D$20),0)),1)</f>
        <v/>
      </c>
      <c r="E68" s="36">
        <f>INDEX(Inputs!$D$24:$D$30,WEEKDAY(A68,2))</f>
        <v/>
      </c>
      <c r="F68" s="36">
        <f>IFERROR(INDEX(Inputs!$D$34:$D$45,MATCH(A68,Inputs!$B$34:$B$45,0)),1)</f>
        <v/>
      </c>
      <c r="G68" s="37">
        <f>Inputs!$C$7*D68*E68*F68</f>
        <v/>
      </c>
      <c r="H68" s="25" t="n"/>
      <c r="I68" s="38">
        <f>IF(H68&lt;&gt;"",H68,G68)</f>
        <v/>
      </c>
    </row>
    <row r="69" ht="16" customHeight="1">
      <c r="A69" s="34">
        <f>DATE(Settings!$B$7,1,1)+63</f>
        <v/>
      </c>
      <c r="B69" s="19">
        <f>TEXT(A69,"ddd")</f>
        <v/>
      </c>
      <c r="C69" s="35">
        <f>IFERROR(INDEX(Inputs!$B$17:$B$20,MATCH(1,(A69&gt;=Inputs!$C$17:$C$20)*(A69&lt;=Inputs!$D$17:$D$20),0)),"")</f>
        <v/>
      </c>
      <c r="D69" s="36">
        <f>IFERROR(INDEX(Inputs!$E$17:$E$20,MATCH(1,(A69&gt;=Inputs!$C$17:$C$20)*(A69&lt;=Inputs!$D$17:$D$20),0)),1)</f>
        <v/>
      </c>
      <c r="E69" s="36">
        <f>INDEX(Inputs!$D$24:$D$30,WEEKDAY(A69,2))</f>
        <v/>
      </c>
      <c r="F69" s="36">
        <f>IFERROR(INDEX(Inputs!$D$34:$D$45,MATCH(A69,Inputs!$B$34:$B$45,0)),1)</f>
        <v/>
      </c>
      <c r="G69" s="37">
        <f>Inputs!$C$7*D69*E69*F69</f>
        <v/>
      </c>
      <c r="H69" s="25" t="n"/>
      <c r="I69" s="38">
        <f>IF(H69&lt;&gt;"",H69,G69)</f>
        <v/>
      </c>
    </row>
    <row r="70" ht="16" customHeight="1">
      <c r="A70" s="34">
        <f>DATE(Settings!$B$7,1,1)+64</f>
        <v/>
      </c>
      <c r="B70" s="19">
        <f>TEXT(A70,"ddd")</f>
        <v/>
      </c>
      <c r="C70" s="35">
        <f>IFERROR(INDEX(Inputs!$B$17:$B$20,MATCH(1,(A70&gt;=Inputs!$C$17:$C$20)*(A70&lt;=Inputs!$D$17:$D$20),0)),"")</f>
        <v/>
      </c>
      <c r="D70" s="36">
        <f>IFERROR(INDEX(Inputs!$E$17:$E$20,MATCH(1,(A70&gt;=Inputs!$C$17:$C$20)*(A70&lt;=Inputs!$D$17:$D$20),0)),1)</f>
        <v/>
      </c>
      <c r="E70" s="36">
        <f>INDEX(Inputs!$D$24:$D$30,WEEKDAY(A70,2))</f>
        <v/>
      </c>
      <c r="F70" s="36">
        <f>IFERROR(INDEX(Inputs!$D$34:$D$45,MATCH(A70,Inputs!$B$34:$B$45,0)),1)</f>
        <v/>
      </c>
      <c r="G70" s="37">
        <f>Inputs!$C$7*D70*E70*F70</f>
        <v/>
      </c>
      <c r="H70" s="25" t="n"/>
      <c r="I70" s="38">
        <f>IF(H70&lt;&gt;"",H70,G70)</f>
        <v/>
      </c>
    </row>
    <row r="71" ht="16" customHeight="1">
      <c r="A71" s="34">
        <f>DATE(Settings!$B$7,1,1)+65</f>
        <v/>
      </c>
      <c r="B71" s="19">
        <f>TEXT(A71,"ddd")</f>
        <v/>
      </c>
      <c r="C71" s="35">
        <f>IFERROR(INDEX(Inputs!$B$17:$B$20,MATCH(1,(A71&gt;=Inputs!$C$17:$C$20)*(A71&lt;=Inputs!$D$17:$D$20),0)),"")</f>
        <v/>
      </c>
      <c r="D71" s="36">
        <f>IFERROR(INDEX(Inputs!$E$17:$E$20,MATCH(1,(A71&gt;=Inputs!$C$17:$C$20)*(A71&lt;=Inputs!$D$17:$D$20),0)),1)</f>
        <v/>
      </c>
      <c r="E71" s="36">
        <f>INDEX(Inputs!$D$24:$D$30,WEEKDAY(A71,2))</f>
        <v/>
      </c>
      <c r="F71" s="36">
        <f>IFERROR(INDEX(Inputs!$D$34:$D$45,MATCH(A71,Inputs!$B$34:$B$45,0)),1)</f>
        <v/>
      </c>
      <c r="G71" s="37">
        <f>Inputs!$C$7*D71*E71*F71</f>
        <v/>
      </c>
      <c r="H71" s="25" t="n"/>
      <c r="I71" s="38">
        <f>IF(H71&lt;&gt;"",H71,G71)</f>
        <v/>
      </c>
    </row>
    <row r="72" ht="16" customHeight="1">
      <c r="A72" s="34">
        <f>DATE(Settings!$B$7,1,1)+66</f>
        <v/>
      </c>
      <c r="B72" s="19">
        <f>TEXT(A72,"ddd")</f>
        <v/>
      </c>
      <c r="C72" s="35">
        <f>IFERROR(INDEX(Inputs!$B$17:$B$20,MATCH(1,(A72&gt;=Inputs!$C$17:$C$20)*(A72&lt;=Inputs!$D$17:$D$20),0)),"")</f>
        <v/>
      </c>
      <c r="D72" s="36">
        <f>IFERROR(INDEX(Inputs!$E$17:$E$20,MATCH(1,(A72&gt;=Inputs!$C$17:$C$20)*(A72&lt;=Inputs!$D$17:$D$20),0)),1)</f>
        <v/>
      </c>
      <c r="E72" s="36">
        <f>INDEX(Inputs!$D$24:$D$30,WEEKDAY(A72,2))</f>
        <v/>
      </c>
      <c r="F72" s="36">
        <f>IFERROR(INDEX(Inputs!$D$34:$D$45,MATCH(A72,Inputs!$B$34:$B$45,0)),1)</f>
        <v/>
      </c>
      <c r="G72" s="37">
        <f>Inputs!$C$7*D72*E72*F72</f>
        <v/>
      </c>
      <c r="H72" s="25" t="n"/>
      <c r="I72" s="38">
        <f>IF(H72&lt;&gt;"",H72,G72)</f>
        <v/>
      </c>
    </row>
    <row r="73" ht="16" customHeight="1">
      <c r="A73" s="34">
        <f>DATE(Settings!$B$7,1,1)+67</f>
        <v/>
      </c>
      <c r="B73" s="19">
        <f>TEXT(A73,"ddd")</f>
        <v/>
      </c>
      <c r="C73" s="35">
        <f>IFERROR(INDEX(Inputs!$B$17:$B$20,MATCH(1,(A73&gt;=Inputs!$C$17:$C$20)*(A73&lt;=Inputs!$D$17:$D$20),0)),"")</f>
        <v/>
      </c>
      <c r="D73" s="36">
        <f>IFERROR(INDEX(Inputs!$E$17:$E$20,MATCH(1,(A73&gt;=Inputs!$C$17:$C$20)*(A73&lt;=Inputs!$D$17:$D$20),0)),1)</f>
        <v/>
      </c>
      <c r="E73" s="36">
        <f>INDEX(Inputs!$D$24:$D$30,WEEKDAY(A73,2))</f>
        <v/>
      </c>
      <c r="F73" s="36">
        <f>IFERROR(INDEX(Inputs!$D$34:$D$45,MATCH(A73,Inputs!$B$34:$B$45,0)),1)</f>
        <v/>
      </c>
      <c r="G73" s="37">
        <f>Inputs!$C$7*D73*E73*F73</f>
        <v/>
      </c>
      <c r="H73" s="25" t="n"/>
      <c r="I73" s="38">
        <f>IF(H73&lt;&gt;"",H73,G73)</f>
        <v/>
      </c>
    </row>
    <row r="74" ht="16" customHeight="1">
      <c r="A74" s="34">
        <f>DATE(Settings!$B$7,1,1)+68</f>
        <v/>
      </c>
      <c r="B74" s="19">
        <f>TEXT(A74,"ddd")</f>
        <v/>
      </c>
      <c r="C74" s="35">
        <f>IFERROR(INDEX(Inputs!$B$17:$B$20,MATCH(1,(A74&gt;=Inputs!$C$17:$C$20)*(A74&lt;=Inputs!$D$17:$D$20),0)),"")</f>
        <v/>
      </c>
      <c r="D74" s="36">
        <f>IFERROR(INDEX(Inputs!$E$17:$E$20,MATCH(1,(A74&gt;=Inputs!$C$17:$C$20)*(A74&lt;=Inputs!$D$17:$D$20),0)),1)</f>
        <v/>
      </c>
      <c r="E74" s="36">
        <f>INDEX(Inputs!$D$24:$D$30,WEEKDAY(A74,2))</f>
        <v/>
      </c>
      <c r="F74" s="36">
        <f>IFERROR(INDEX(Inputs!$D$34:$D$45,MATCH(A74,Inputs!$B$34:$B$45,0)),1)</f>
        <v/>
      </c>
      <c r="G74" s="37">
        <f>Inputs!$C$7*D74*E74*F74</f>
        <v/>
      </c>
      <c r="H74" s="25" t="n"/>
      <c r="I74" s="38">
        <f>IF(H74&lt;&gt;"",H74,G74)</f>
        <v/>
      </c>
    </row>
    <row r="75" ht="16" customHeight="1">
      <c r="A75" s="34">
        <f>DATE(Settings!$B$7,1,1)+69</f>
        <v/>
      </c>
      <c r="B75" s="19">
        <f>TEXT(A75,"ddd")</f>
        <v/>
      </c>
      <c r="C75" s="35">
        <f>IFERROR(INDEX(Inputs!$B$17:$B$20,MATCH(1,(A75&gt;=Inputs!$C$17:$C$20)*(A75&lt;=Inputs!$D$17:$D$20),0)),"")</f>
        <v/>
      </c>
      <c r="D75" s="36">
        <f>IFERROR(INDEX(Inputs!$E$17:$E$20,MATCH(1,(A75&gt;=Inputs!$C$17:$C$20)*(A75&lt;=Inputs!$D$17:$D$20),0)),1)</f>
        <v/>
      </c>
      <c r="E75" s="36">
        <f>INDEX(Inputs!$D$24:$D$30,WEEKDAY(A75,2))</f>
        <v/>
      </c>
      <c r="F75" s="36">
        <f>IFERROR(INDEX(Inputs!$D$34:$D$45,MATCH(A75,Inputs!$B$34:$B$45,0)),1)</f>
        <v/>
      </c>
      <c r="G75" s="37">
        <f>Inputs!$C$7*D75*E75*F75</f>
        <v/>
      </c>
      <c r="H75" s="25" t="n"/>
      <c r="I75" s="38">
        <f>IF(H75&lt;&gt;"",H75,G75)</f>
        <v/>
      </c>
    </row>
    <row r="76" ht="16" customHeight="1">
      <c r="A76" s="34">
        <f>DATE(Settings!$B$7,1,1)+70</f>
        <v/>
      </c>
      <c r="B76" s="19">
        <f>TEXT(A76,"ddd")</f>
        <v/>
      </c>
      <c r="C76" s="35">
        <f>IFERROR(INDEX(Inputs!$B$17:$B$20,MATCH(1,(A76&gt;=Inputs!$C$17:$C$20)*(A76&lt;=Inputs!$D$17:$D$20),0)),"")</f>
        <v/>
      </c>
      <c r="D76" s="36">
        <f>IFERROR(INDEX(Inputs!$E$17:$E$20,MATCH(1,(A76&gt;=Inputs!$C$17:$C$20)*(A76&lt;=Inputs!$D$17:$D$20),0)),1)</f>
        <v/>
      </c>
      <c r="E76" s="36">
        <f>INDEX(Inputs!$D$24:$D$30,WEEKDAY(A76,2))</f>
        <v/>
      </c>
      <c r="F76" s="36">
        <f>IFERROR(INDEX(Inputs!$D$34:$D$45,MATCH(A76,Inputs!$B$34:$B$45,0)),1)</f>
        <v/>
      </c>
      <c r="G76" s="37">
        <f>Inputs!$C$7*D76*E76*F76</f>
        <v/>
      </c>
      <c r="H76" s="25" t="n"/>
      <c r="I76" s="38">
        <f>IF(H76&lt;&gt;"",H76,G76)</f>
        <v/>
      </c>
    </row>
    <row r="77" ht="16" customHeight="1">
      <c r="A77" s="34">
        <f>DATE(Settings!$B$7,1,1)+71</f>
        <v/>
      </c>
      <c r="B77" s="19">
        <f>TEXT(A77,"ddd")</f>
        <v/>
      </c>
      <c r="C77" s="35">
        <f>IFERROR(INDEX(Inputs!$B$17:$B$20,MATCH(1,(A77&gt;=Inputs!$C$17:$C$20)*(A77&lt;=Inputs!$D$17:$D$20),0)),"")</f>
        <v/>
      </c>
      <c r="D77" s="36">
        <f>IFERROR(INDEX(Inputs!$E$17:$E$20,MATCH(1,(A77&gt;=Inputs!$C$17:$C$20)*(A77&lt;=Inputs!$D$17:$D$20),0)),1)</f>
        <v/>
      </c>
      <c r="E77" s="36">
        <f>INDEX(Inputs!$D$24:$D$30,WEEKDAY(A77,2))</f>
        <v/>
      </c>
      <c r="F77" s="36">
        <f>IFERROR(INDEX(Inputs!$D$34:$D$45,MATCH(A77,Inputs!$B$34:$B$45,0)),1)</f>
        <v/>
      </c>
      <c r="G77" s="37">
        <f>Inputs!$C$7*D77*E77*F77</f>
        <v/>
      </c>
      <c r="H77" s="25" t="n"/>
      <c r="I77" s="38">
        <f>IF(H77&lt;&gt;"",H77,G77)</f>
        <v/>
      </c>
    </row>
    <row r="78" ht="16" customHeight="1">
      <c r="A78" s="34">
        <f>DATE(Settings!$B$7,1,1)+72</f>
        <v/>
      </c>
      <c r="B78" s="19">
        <f>TEXT(A78,"ddd")</f>
        <v/>
      </c>
      <c r="C78" s="35">
        <f>IFERROR(INDEX(Inputs!$B$17:$B$20,MATCH(1,(A78&gt;=Inputs!$C$17:$C$20)*(A78&lt;=Inputs!$D$17:$D$20),0)),"")</f>
        <v/>
      </c>
      <c r="D78" s="36">
        <f>IFERROR(INDEX(Inputs!$E$17:$E$20,MATCH(1,(A78&gt;=Inputs!$C$17:$C$20)*(A78&lt;=Inputs!$D$17:$D$20),0)),1)</f>
        <v/>
      </c>
      <c r="E78" s="36">
        <f>INDEX(Inputs!$D$24:$D$30,WEEKDAY(A78,2))</f>
        <v/>
      </c>
      <c r="F78" s="36">
        <f>IFERROR(INDEX(Inputs!$D$34:$D$45,MATCH(A78,Inputs!$B$34:$B$45,0)),1)</f>
        <v/>
      </c>
      <c r="G78" s="37">
        <f>Inputs!$C$7*D78*E78*F78</f>
        <v/>
      </c>
      <c r="H78" s="25" t="n"/>
      <c r="I78" s="38">
        <f>IF(H78&lt;&gt;"",H78,G78)</f>
        <v/>
      </c>
    </row>
    <row r="79" ht="16" customHeight="1">
      <c r="A79" s="34">
        <f>DATE(Settings!$B$7,1,1)+73</f>
        <v/>
      </c>
      <c r="B79" s="19">
        <f>TEXT(A79,"ddd")</f>
        <v/>
      </c>
      <c r="C79" s="35">
        <f>IFERROR(INDEX(Inputs!$B$17:$B$20,MATCH(1,(A79&gt;=Inputs!$C$17:$C$20)*(A79&lt;=Inputs!$D$17:$D$20),0)),"")</f>
        <v/>
      </c>
      <c r="D79" s="36">
        <f>IFERROR(INDEX(Inputs!$E$17:$E$20,MATCH(1,(A79&gt;=Inputs!$C$17:$C$20)*(A79&lt;=Inputs!$D$17:$D$20),0)),1)</f>
        <v/>
      </c>
      <c r="E79" s="36">
        <f>INDEX(Inputs!$D$24:$D$30,WEEKDAY(A79,2))</f>
        <v/>
      </c>
      <c r="F79" s="36">
        <f>IFERROR(INDEX(Inputs!$D$34:$D$45,MATCH(A79,Inputs!$B$34:$B$45,0)),1)</f>
        <v/>
      </c>
      <c r="G79" s="37">
        <f>Inputs!$C$7*D79*E79*F79</f>
        <v/>
      </c>
      <c r="H79" s="25" t="n"/>
      <c r="I79" s="38">
        <f>IF(H79&lt;&gt;"",H79,G79)</f>
        <v/>
      </c>
    </row>
    <row r="80" ht="16" customHeight="1">
      <c r="A80" s="34">
        <f>DATE(Settings!$B$7,1,1)+74</f>
        <v/>
      </c>
      <c r="B80" s="19">
        <f>TEXT(A80,"ddd")</f>
        <v/>
      </c>
      <c r="C80" s="35">
        <f>IFERROR(INDEX(Inputs!$B$17:$B$20,MATCH(1,(A80&gt;=Inputs!$C$17:$C$20)*(A80&lt;=Inputs!$D$17:$D$20),0)),"")</f>
        <v/>
      </c>
      <c r="D80" s="36">
        <f>IFERROR(INDEX(Inputs!$E$17:$E$20,MATCH(1,(A80&gt;=Inputs!$C$17:$C$20)*(A80&lt;=Inputs!$D$17:$D$20),0)),1)</f>
        <v/>
      </c>
      <c r="E80" s="36">
        <f>INDEX(Inputs!$D$24:$D$30,WEEKDAY(A80,2))</f>
        <v/>
      </c>
      <c r="F80" s="36">
        <f>IFERROR(INDEX(Inputs!$D$34:$D$45,MATCH(A80,Inputs!$B$34:$B$45,0)),1)</f>
        <v/>
      </c>
      <c r="G80" s="37">
        <f>Inputs!$C$7*D80*E80*F80</f>
        <v/>
      </c>
      <c r="H80" s="25" t="n"/>
      <c r="I80" s="38">
        <f>IF(H80&lt;&gt;"",H80,G80)</f>
        <v/>
      </c>
    </row>
    <row r="81" ht="16" customHeight="1">
      <c r="A81" s="34">
        <f>DATE(Settings!$B$7,1,1)+75</f>
        <v/>
      </c>
      <c r="B81" s="19">
        <f>TEXT(A81,"ddd")</f>
        <v/>
      </c>
      <c r="C81" s="35">
        <f>IFERROR(INDEX(Inputs!$B$17:$B$20,MATCH(1,(A81&gt;=Inputs!$C$17:$C$20)*(A81&lt;=Inputs!$D$17:$D$20),0)),"")</f>
        <v/>
      </c>
      <c r="D81" s="36">
        <f>IFERROR(INDEX(Inputs!$E$17:$E$20,MATCH(1,(A81&gt;=Inputs!$C$17:$C$20)*(A81&lt;=Inputs!$D$17:$D$20),0)),1)</f>
        <v/>
      </c>
      <c r="E81" s="36">
        <f>INDEX(Inputs!$D$24:$D$30,WEEKDAY(A81,2))</f>
        <v/>
      </c>
      <c r="F81" s="36">
        <f>IFERROR(INDEX(Inputs!$D$34:$D$45,MATCH(A81,Inputs!$B$34:$B$45,0)),1)</f>
        <v/>
      </c>
      <c r="G81" s="37">
        <f>Inputs!$C$7*D81*E81*F81</f>
        <v/>
      </c>
      <c r="H81" s="25" t="n"/>
      <c r="I81" s="38">
        <f>IF(H81&lt;&gt;"",H81,G81)</f>
        <v/>
      </c>
    </row>
    <row r="82" ht="16" customHeight="1">
      <c r="A82" s="34">
        <f>DATE(Settings!$B$7,1,1)+76</f>
        <v/>
      </c>
      <c r="B82" s="19">
        <f>TEXT(A82,"ddd")</f>
        <v/>
      </c>
      <c r="C82" s="35">
        <f>IFERROR(INDEX(Inputs!$B$17:$B$20,MATCH(1,(A82&gt;=Inputs!$C$17:$C$20)*(A82&lt;=Inputs!$D$17:$D$20),0)),"")</f>
        <v/>
      </c>
      <c r="D82" s="36">
        <f>IFERROR(INDEX(Inputs!$E$17:$E$20,MATCH(1,(A82&gt;=Inputs!$C$17:$C$20)*(A82&lt;=Inputs!$D$17:$D$20),0)),1)</f>
        <v/>
      </c>
      <c r="E82" s="36">
        <f>INDEX(Inputs!$D$24:$D$30,WEEKDAY(A82,2))</f>
        <v/>
      </c>
      <c r="F82" s="36">
        <f>IFERROR(INDEX(Inputs!$D$34:$D$45,MATCH(A82,Inputs!$B$34:$B$45,0)),1)</f>
        <v/>
      </c>
      <c r="G82" s="37">
        <f>Inputs!$C$7*D82*E82*F82</f>
        <v/>
      </c>
      <c r="H82" s="25" t="n"/>
      <c r="I82" s="38">
        <f>IF(H82&lt;&gt;"",H82,G82)</f>
        <v/>
      </c>
    </row>
    <row r="83" ht="16" customHeight="1">
      <c r="A83" s="34">
        <f>DATE(Settings!$B$7,1,1)+77</f>
        <v/>
      </c>
      <c r="B83" s="19">
        <f>TEXT(A83,"ddd")</f>
        <v/>
      </c>
      <c r="C83" s="35">
        <f>IFERROR(INDEX(Inputs!$B$17:$B$20,MATCH(1,(A83&gt;=Inputs!$C$17:$C$20)*(A83&lt;=Inputs!$D$17:$D$20),0)),"")</f>
        <v/>
      </c>
      <c r="D83" s="36">
        <f>IFERROR(INDEX(Inputs!$E$17:$E$20,MATCH(1,(A83&gt;=Inputs!$C$17:$C$20)*(A83&lt;=Inputs!$D$17:$D$20),0)),1)</f>
        <v/>
      </c>
      <c r="E83" s="36">
        <f>INDEX(Inputs!$D$24:$D$30,WEEKDAY(A83,2))</f>
        <v/>
      </c>
      <c r="F83" s="36">
        <f>IFERROR(INDEX(Inputs!$D$34:$D$45,MATCH(A83,Inputs!$B$34:$B$45,0)),1)</f>
        <v/>
      </c>
      <c r="G83" s="37">
        <f>Inputs!$C$7*D83*E83*F83</f>
        <v/>
      </c>
      <c r="H83" s="25" t="n"/>
      <c r="I83" s="38">
        <f>IF(H83&lt;&gt;"",H83,G83)</f>
        <v/>
      </c>
    </row>
    <row r="84" ht="16" customHeight="1">
      <c r="A84" s="34">
        <f>DATE(Settings!$B$7,1,1)+78</f>
        <v/>
      </c>
      <c r="B84" s="19">
        <f>TEXT(A84,"ddd")</f>
        <v/>
      </c>
      <c r="C84" s="35">
        <f>IFERROR(INDEX(Inputs!$B$17:$B$20,MATCH(1,(A84&gt;=Inputs!$C$17:$C$20)*(A84&lt;=Inputs!$D$17:$D$20),0)),"")</f>
        <v/>
      </c>
      <c r="D84" s="36">
        <f>IFERROR(INDEX(Inputs!$E$17:$E$20,MATCH(1,(A84&gt;=Inputs!$C$17:$C$20)*(A84&lt;=Inputs!$D$17:$D$20),0)),1)</f>
        <v/>
      </c>
      <c r="E84" s="36">
        <f>INDEX(Inputs!$D$24:$D$30,WEEKDAY(A84,2))</f>
        <v/>
      </c>
      <c r="F84" s="36">
        <f>IFERROR(INDEX(Inputs!$D$34:$D$45,MATCH(A84,Inputs!$B$34:$B$45,0)),1)</f>
        <v/>
      </c>
      <c r="G84" s="37">
        <f>Inputs!$C$7*D84*E84*F84</f>
        <v/>
      </c>
      <c r="H84" s="25" t="n"/>
      <c r="I84" s="38">
        <f>IF(H84&lt;&gt;"",H84,G84)</f>
        <v/>
      </c>
    </row>
    <row r="85" ht="16" customHeight="1">
      <c r="A85" s="34">
        <f>DATE(Settings!$B$7,1,1)+79</f>
        <v/>
      </c>
      <c r="B85" s="19">
        <f>TEXT(A85,"ddd")</f>
        <v/>
      </c>
      <c r="C85" s="35">
        <f>IFERROR(INDEX(Inputs!$B$17:$B$20,MATCH(1,(A85&gt;=Inputs!$C$17:$C$20)*(A85&lt;=Inputs!$D$17:$D$20),0)),"")</f>
        <v/>
      </c>
      <c r="D85" s="36">
        <f>IFERROR(INDEX(Inputs!$E$17:$E$20,MATCH(1,(A85&gt;=Inputs!$C$17:$C$20)*(A85&lt;=Inputs!$D$17:$D$20),0)),1)</f>
        <v/>
      </c>
      <c r="E85" s="36">
        <f>INDEX(Inputs!$D$24:$D$30,WEEKDAY(A85,2))</f>
        <v/>
      </c>
      <c r="F85" s="36">
        <f>IFERROR(INDEX(Inputs!$D$34:$D$45,MATCH(A85,Inputs!$B$34:$B$45,0)),1)</f>
        <v/>
      </c>
      <c r="G85" s="37">
        <f>Inputs!$C$7*D85*E85*F85</f>
        <v/>
      </c>
      <c r="H85" s="25" t="n"/>
      <c r="I85" s="38">
        <f>IF(H85&lt;&gt;"",H85,G85)</f>
        <v/>
      </c>
    </row>
    <row r="86" ht="16" customHeight="1">
      <c r="A86" s="34">
        <f>DATE(Settings!$B$7,1,1)+80</f>
        <v/>
      </c>
      <c r="B86" s="19">
        <f>TEXT(A86,"ddd")</f>
        <v/>
      </c>
      <c r="C86" s="35">
        <f>IFERROR(INDEX(Inputs!$B$17:$B$20,MATCH(1,(A86&gt;=Inputs!$C$17:$C$20)*(A86&lt;=Inputs!$D$17:$D$20),0)),"")</f>
        <v/>
      </c>
      <c r="D86" s="36">
        <f>IFERROR(INDEX(Inputs!$E$17:$E$20,MATCH(1,(A86&gt;=Inputs!$C$17:$C$20)*(A86&lt;=Inputs!$D$17:$D$20),0)),1)</f>
        <v/>
      </c>
      <c r="E86" s="36">
        <f>INDEX(Inputs!$D$24:$D$30,WEEKDAY(A86,2))</f>
        <v/>
      </c>
      <c r="F86" s="36">
        <f>IFERROR(INDEX(Inputs!$D$34:$D$45,MATCH(A86,Inputs!$B$34:$B$45,0)),1)</f>
        <v/>
      </c>
      <c r="G86" s="37">
        <f>Inputs!$C$7*D86*E86*F86</f>
        <v/>
      </c>
      <c r="H86" s="25" t="n"/>
      <c r="I86" s="38">
        <f>IF(H86&lt;&gt;"",H86,G86)</f>
        <v/>
      </c>
    </row>
    <row r="87" ht="16" customHeight="1">
      <c r="A87" s="34">
        <f>DATE(Settings!$B$7,1,1)+81</f>
        <v/>
      </c>
      <c r="B87" s="19">
        <f>TEXT(A87,"ddd")</f>
        <v/>
      </c>
      <c r="C87" s="35">
        <f>IFERROR(INDEX(Inputs!$B$17:$B$20,MATCH(1,(A87&gt;=Inputs!$C$17:$C$20)*(A87&lt;=Inputs!$D$17:$D$20),0)),"")</f>
        <v/>
      </c>
      <c r="D87" s="36">
        <f>IFERROR(INDEX(Inputs!$E$17:$E$20,MATCH(1,(A87&gt;=Inputs!$C$17:$C$20)*(A87&lt;=Inputs!$D$17:$D$20),0)),1)</f>
        <v/>
      </c>
      <c r="E87" s="36">
        <f>INDEX(Inputs!$D$24:$D$30,WEEKDAY(A87,2))</f>
        <v/>
      </c>
      <c r="F87" s="36">
        <f>IFERROR(INDEX(Inputs!$D$34:$D$45,MATCH(A87,Inputs!$B$34:$B$45,0)),1)</f>
        <v/>
      </c>
      <c r="G87" s="37">
        <f>Inputs!$C$7*D87*E87*F87</f>
        <v/>
      </c>
      <c r="H87" s="25" t="n"/>
      <c r="I87" s="38">
        <f>IF(H87&lt;&gt;"",H87,G87)</f>
        <v/>
      </c>
    </row>
    <row r="88" ht="16" customHeight="1">
      <c r="A88" s="34">
        <f>DATE(Settings!$B$7,1,1)+82</f>
        <v/>
      </c>
      <c r="B88" s="19">
        <f>TEXT(A88,"ddd")</f>
        <v/>
      </c>
      <c r="C88" s="35">
        <f>IFERROR(INDEX(Inputs!$B$17:$B$20,MATCH(1,(A88&gt;=Inputs!$C$17:$C$20)*(A88&lt;=Inputs!$D$17:$D$20),0)),"")</f>
        <v/>
      </c>
      <c r="D88" s="36">
        <f>IFERROR(INDEX(Inputs!$E$17:$E$20,MATCH(1,(A88&gt;=Inputs!$C$17:$C$20)*(A88&lt;=Inputs!$D$17:$D$20),0)),1)</f>
        <v/>
      </c>
      <c r="E88" s="36">
        <f>INDEX(Inputs!$D$24:$D$30,WEEKDAY(A88,2))</f>
        <v/>
      </c>
      <c r="F88" s="36">
        <f>IFERROR(INDEX(Inputs!$D$34:$D$45,MATCH(A88,Inputs!$B$34:$B$45,0)),1)</f>
        <v/>
      </c>
      <c r="G88" s="37">
        <f>Inputs!$C$7*D88*E88*F88</f>
        <v/>
      </c>
      <c r="H88" s="25" t="n"/>
      <c r="I88" s="38">
        <f>IF(H88&lt;&gt;"",H88,G88)</f>
        <v/>
      </c>
    </row>
    <row r="89" ht="16" customHeight="1">
      <c r="A89" s="34">
        <f>DATE(Settings!$B$7,1,1)+83</f>
        <v/>
      </c>
      <c r="B89" s="19">
        <f>TEXT(A89,"ddd")</f>
        <v/>
      </c>
      <c r="C89" s="35">
        <f>IFERROR(INDEX(Inputs!$B$17:$B$20,MATCH(1,(A89&gt;=Inputs!$C$17:$C$20)*(A89&lt;=Inputs!$D$17:$D$20),0)),"")</f>
        <v/>
      </c>
      <c r="D89" s="36">
        <f>IFERROR(INDEX(Inputs!$E$17:$E$20,MATCH(1,(A89&gt;=Inputs!$C$17:$C$20)*(A89&lt;=Inputs!$D$17:$D$20),0)),1)</f>
        <v/>
      </c>
      <c r="E89" s="36">
        <f>INDEX(Inputs!$D$24:$D$30,WEEKDAY(A89,2))</f>
        <v/>
      </c>
      <c r="F89" s="36">
        <f>IFERROR(INDEX(Inputs!$D$34:$D$45,MATCH(A89,Inputs!$B$34:$B$45,0)),1)</f>
        <v/>
      </c>
      <c r="G89" s="37">
        <f>Inputs!$C$7*D89*E89*F89</f>
        <v/>
      </c>
      <c r="H89" s="25" t="n"/>
      <c r="I89" s="38">
        <f>IF(H89&lt;&gt;"",H89,G89)</f>
        <v/>
      </c>
    </row>
    <row r="90" ht="16" customHeight="1">
      <c r="A90" s="34">
        <f>DATE(Settings!$B$7,1,1)+84</f>
        <v/>
      </c>
      <c r="B90" s="19">
        <f>TEXT(A90,"ddd")</f>
        <v/>
      </c>
      <c r="C90" s="35">
        <f>IFERROR(INDEX(Inputs!$B$17:$B$20,MATCH(1,(A90&gt;=Inputs!$C$17:$C$20)*(A90&lt;=Inputs!$D$17:$D$20),0)),"")</f>
        <v/>
      </c>
      <c r="D90" s="36">
        <f>IFERROR(INDEX(Inputs!$E$17:$E$20,MATCH(1,(A90&gt;=Inputs!$C$17:$C$20)*(A90&lt;=Inputs!$D$17:$D$20),0)),1)</f>
        <v/>
      </c>
      <c r="E90" s="36">
        <f>INDEX(Inputs!$D$24:$D$30,WEEKDAY(A90,2))</f>
        <v/>
      </c>
      <c r="F90" s="36">
        <f>IFERROR(INDEX(Inputs!$D$34:$D$45,MATCH(A90,Inputs!$B$34:$B$45,0)),1)</f>
        <v/>
      </c>
      <c r="G90" s="37">
        <f>Inputs!$C$7*D90*E90*F90</f>
        <v/>
      </c>
      <c r="H90" s="25" t="n"/>
      <c r="I90" s="38">
        <f>IF(H90&lt;&gt;"",H90,G90)</f>
        <v/>
      </c>
    </row>
    <row r="91" ht="16" customHeight="1">
      <c r="A91" s="34">
        <f>DATE(Settings!$B$7,1,1)+85</f>
        <v/>
      </c>
      <c r="B91" s="19">
        <f>TEXT(A91,"ddd")</f>
        <v/>
      </c>
      <c r="C91" s="35">
        <f>IFERROR(INDEX(Inputs!$B$17:$B$20,MATCH(1,(A91&gt;=Inputs!$C$17:$C$20)*(A91&lt;=Inputs!$D$17:$D$20),0)),"")</f>
        <v/>
      </c>
      <c r="D91" s="36">
        <f>IFERROR(INDEX(Inputs!$E$17:$E$20,MATCH(1,(A91&gt;=Inputs!$C$17:$C$20)*(A91&lt;=Inputs!$D$17:$D$20),0)),1)</f>
        <v/>
      </c>
      <c r="E91" s="36">
        <f>INDEX(Inputs!$D$24:$D$30,WEEKDAY(A91,2))</f>
        <v/>
      </c>
      <c r="F91" s="36">
        <f>IFERROR(INDEX(Inputs!$D$34:$D$45,MATCH(A91,Inputs!$B$34:$B$45,0)),1)</f>
        <v/>
      </c>
      <c r="G91" s="37">
        <f>Inputs!$C$7*D91*E91*F91</f>
        <v/>
      </c>
      <c r="H91" s="25" t="n"/>
      <c r="I91" s="38">
        <f>IF(H91&lt;&gt;"",H91,G91)</f>
        <v/>
      </c>
    </row>
    <row r="92" ht="16" customHeight="1">
      <c r="A92" s="34">
        <f>DATE(Settings!$B$7,1,1)+86</f>
        <v/>
      </c>
      <c r="B92" s="19">
        <f>TEXT(A92,"ddd")</f>
        <v/>
      </c>
      <c r="C92" s="35">
        <f>IFERROR(INDEX(Inputs!$B$17:$B$20,MATCH(1,(A92&gt;=Inputs!$C$17:$C$20)*(A92&lt;=Inputs!$D$17:$D$20),0)),"")</f>
        <v/>
      </c>
      <c r="D92" s="36">
        <f>IFERROR(INDEX(Inputs!$E$17:$E$20,MATCH(1,(A92&gt;=Inputs!$C$17:$C$20)*(A92&lt;=Inputs!$D$17:$D$20),0)),1)</f>
        <v/>
      </c>
      <c r="E92" s="36">
        <f>INDEX(Inputs!$D$24:$D$30,WEEKDAY(A92,2))</f>
        <v/>
      </c>
      <c r="F92" s="36">
        <f>IFERROR(INDEX(Inputs!$D$34:$D$45,MATCH(A92,Inputs!$B$34:$B$45,0)),1)</f>
        <v/>
      </c>
      <c r="G92" s="37">
        <f>Inputs!$C$7*D92*E92*F92</f>
        <v/>
      </c>
      <c r="H92" s="25" t="n"/>
      <c r="I92" s="38">
        <f>IF(H92&lt;&gt;"",H92,G92)</f>
        <v/>
      </c>
    </row>
    <row r="93" ht="16" customHeight="1">
      <c r="A93" s="34">
        <f>DATE(Settings!$B$7,1,1)+87</f>
        <v/>
      </c>
      <c r="B93" s="19">
        <f>TEXT(A93,"ddd")</f>
        <v/>
      </c>
      <c r="C93" s="35">
        <f>IFERROR(INDEX(Inputs!$B$17:$B$20,MATCH(1,(A93&gt;=Inputs!$C$17:$C$20)*(A93&lt;=Inputs!$D$17:$D$20),0)),"")</f>
        <v/>
      </c>
      <c r="D93" s="36">
        <f>IFERROR(INDEX(Inputs!$E$17:$E$20,MATCH(1,(A93&gt;=Inputs!$C$17:$C$20)*(A93&lt;=Inputs!$D$17:$D$20),0)),1)</f>
        <v/>
      </c>
      <c r="E93" s="36">
        <f>INDEX(Inputs!$D$24:$D$30,WEEKDAY(A93,2))</f>
        <v/>
      </c>
      <c r="F93" s="36">
        <f>IFERROR(INDEX(Inputs!$D$34:$D$45,MATCH(A93,Inputs!$B$34:$B$45,0)),1)</f>
        <v/>
      </c>
      <c r="G93" s="37">
        <f>Inputs!$C$7*D93*E93*F93</f>
        <v/>
      </c>
      <c r="H93" s="25" t="n"/>
      <c r="I93" s="38">
        <f>IF(H93&lt;&gt;"",H93,G93)</f>
        <v/>
      </c>
    </row>
    <row r="94" ht="16" customHeight="1">
      <c r="A94" s="34">
        <f>DATE(Settings!$B$7,1,1)+88</f>
        <v/>
      </c>
      <c r="B94" s="19">
        <f>TEXT(A94,"ddd")</f>
        <v/>
      </c>
      <c r="C94" s="35">
        <f>IFERROR(INDEX(Inputs!$B$17:$B$20,MATCH(1,(A94&gt;=Inputs!$C$17:$C$20)*(A94&lt;=Inputs!$D$17:$D$20),0)),"")</f>
        <v/>
      </c>
      <c r="D94" s="36">
        <f>IFERROR(INDEX(Inputs!$E$17:$E$20,MATCH(1,(A94&gt;=Inputs!$C$17:$C$20)*(A94&lt;=Inputs!$D$17:$D$20),0)),1)</f>
        <v/>
      </c>
      <c r="E94" s="36">
        <f>INDEX(Inputs!$D$24:$D$30,WEEKDAY(A94,2))</f>
        <v/>
      </c>
      <c r="F94" s="36">
        <f>IFERROR(INDEX(Inputs!$D$34:$D$45,MATCH(A94,Inputs!$B$34:$B$45,0)),1)</f>
        <v/>
      </c>
      <c r="G94" s="37">
        <f>Inputs!$C$7*D94*E94*F94</f>
        <v/>
      </c>
      <c r="H94" s="25" t="n"/>
      <c r="I94" s="38">
        <f>IF(H94&lt;&gt;"",H94,G94)</f>
        <v/>
      </c>
    </row>
    <row r="95" ht="16" customHeight="1">
      <c r="A95" s="34">
        <f>DATE(Settings!$B$7,1,1)+89</f>
        <v/>
      </c>
      <c r="B95" s="19">
        <f>TEXT(A95,"ddd")</f>
        <v/>
      </c>
      <c r="C95" s="35">
        <f>IFERROR(INDEX(Inputs!$B$17:$B$20,MATCH(1,(A95&gt;=Inputs!$C$17:$C$20)*(A95&lt;=Inputs!$D$17:$D$20),0)),"")</f>
        <v/>
      </c>
      <c r="D95" s="36">
        <f>IFERROR(INDEX(Inputs!$E$17:$E$20,MATCH(1,(A95&gt;=Inputs!$C$17:$C$20)*(A95&lt;=Inputs!$D$17:$D$20),0)),1)</f>
        <v/>
      </c>
      <c r="E95" s="36">
        <f>INDEX(Inputs!$D$24:$D$30,WEEKDAY(A95,2))</f>
        <v/>
      </c>
      <c r="F95" s="36">
        <f>IFERROR(INDEX(Inputs!$D$34:$D$45,MATCH(A95,Inputs!$B$34:$B$45,0)),1)</f>
        <v/>
      </c>
      <c r="G95" s="37">
        <f>Inputs!$C$7*D95*E95*F95</f>
        <v/>
      </c>
      <c r="H95" s="25" t="n"/>
      <c r="I95" s="38">
        <f>IF(H95&lt;&gt;"",H95,G95)</f>
        <v/>
      </c>
    </row>
    <row r="96" ht="16" customHeight="1">
      <c r="A96" s="34">
        <f>DATE(Settings!$B$7,1,1)+90</f>
        <v/>
      </c>
      <c r="B96" s="19">
        <f>TEXT(A96,"ddd")</f>
        <v/>
      </c>
      <c r="C96" s="35">
        <f>IFERROR(INDEX(Inputs!$B$17:$B$20,MATCH(1,(A96&gt;=Inputs!$C$17:$C$20)*(A96&lt;=Inputs!$D$17:$D$20),0)),"")</f>
        <v/>
      </c>
      <c r="D96" s="36">
        <f>IFERROR(INDEX(Inputs!$E$17:$E$20,MATCH(1,(A96&gt;=Inputs!$C$17:$C$20)*(A96&lt;=Inputs!$D$17:$D$20),0)),1)</f>
        <v/>
      </c>
      <c r="E96" s="36">
        <f>INDEX(Inputs!$D$24:$D$30,WEEKDAY(A96,2))</f>
        <v/>
      </c>
      <c r="F96" s="36">
        <f>IFERROR(INDEX(Inputs!$D$34:$D$45,MATCH(A96,Inputs!$B$34:$B$45,0)),1)</f>
        <v/>
      </c>
      <c r="G96" s="37">
        <f>Inputs!$C$7*D96*E96*F96</f>
        <v/>
      </c>
      <c r="H96" s="25" t="n"/>
      <c r="I96" s="38">
        <f>IF(H96&lt;&gt;"",H96,G96)</f>
        <v/>
      </c>
    </row>
    <row r="97" ht="16" customHeight="1">
      <c r="A97" s="34">
        <f>DATE(Settings!$B$7,1,1)+91</f>
        <v/>
      </c>
      <c r="B97" s="19">
        <f>TEXT(A97,"ddd")</f>
        <v/>
      </c>
      <c r="C97" s="35">
        <f>IFERROR(INDEX(Inputs!$B$17:$B$20,MATCH(1,(A97&gt;=Inputs!$C$17:$C$20)*(A97&lt;=Inputs!$D$17:$D$20),0)),"")</f>
        <v/>
      </c>
      <c r="D97" s="36">
        <f>IFERROR(INDEX(Inputs!$E$17:$E$20,MATCH(1,(A97&gt;=Inputs!$C$17:$C$20)*(A97&lt;=Inputs!$D$17:$D$20),0)),1)</f>
        <v/>
      </c>
      <c r="E97" s="36">
        <f>INDEX(Inputs!$D$24:$D$30,WEEKDAY(A97,2))</f>
        <v/>
      </c>
      <c r="F97" s="36">
        <f>IFERROR(INDEX(Inputs!$D$34:$D$45,MATCH(A97,Inputs!$B$34:$B$45,0)),1)</f>
        <v/>
      </c>
      <c r="G97" s="37">
        <f>Inputs!$C$7*D97*E97*F97</f>
        <v/>
      </c>
      <c r="H97" s="25" t="n"/>
      <c r="I97" s="38">
        <f>IF(H97&lt;&gt;"",H97,G97)</f>
        <v/>
      </c>
    </row>
    <row r="98" ht="16" customHeight="1">
      <c r="A98" s="34">
        <f>DATE(Settings!$B$7,1,1)+92</f>
        <v/>
      </c>
      <c r="B98" s="19">
        <f>TEXT(A98,"ddd")</f>
        <v/>
      </c>
      <c r="C98" s="35">
        <f>IFERROR(INDEX(Inputs!$B$17:$B$20,MATCH(1,(A98&gt;=Inputs!$C$17:$C$20)*(A98&lt;=Inputs!$D$17:$D$20),0)),"")</f>
        <v/>
      </c>
      <c r="D98" s="36">
        <f>IFERROR(INDEX(Inputs!$E$17:$E$20,MATCH(1,(A98&gt;=Inputs!$C$17:$C$20)*(A98&lt;=Inputs!$D$17:$D$20),0)),1)</f>
        <v/>
      </c>
      <c r="E98" s="36">
        <f>INDEX(Inputs!$D$24:$D$30,WEEKDAY(A98,2))</f>
        <v/>
      </c>
      <c r="F98" s="36">
        <f>IFERROR(INDEX(Inputs!$D$34:$D$45,MATCH(A98,Inputs!$B$34:$B$45,0)),1)</f>
        <v/>
      </c>
      <c r="G98" s="37">
        <f>Inputs!$C$7*D98*E98*F98</f>
        <v/>
      </c>
      <c r="H98" s="25" t="n"/>
      <c r="I98" s="38">
        <f>IF(H98&lt;&gt;"",H98,G98)</f>
        <v/>
      </c>
    </row>
    <row r="99" ht="16" customHeight="1">
      <c r="A99" s="34">
        <f>DATE(Settings!$B$7,1,1)+93</f>
        <v/>
      </c>
      <c r="B99" s="19">
        <f>TEXT(A99,"ddd")</f>
        <v/>
      </c>
      <c r="C99" s="35">
        <f>IFERROR(INDEX(Inputs!$B$17:$B$20,MATCH(1,(A99&gt;=Inputs!$C$17:$C$20)*(A99&lt;=Inputs!$D$17:$D$20),0)),"")</f>
        <v/>
      </c>
      <c r="D99" s="36">
        <f>IFERROR(INDEX(Inputs!$E$17:$E$20,MATCH(1,(A99&gt;=Inputs!$C$17:$C$20)*(A99&lt;=Inputs!$D$17:$D$20),0)),1)</f>
        <v/>
      </c>
      <c r="E99" s="36">
        <f>INDEX(Inputs!$D$24:$D$30,WEEKDAY(A99,2))</f>
        <v/>
      </c>
      <c r="F99" s="36">
        <f>IFERROR(INDEX(Inputs!$D$34:$D$45,MATCH(A99,Inputs!$B$34:$B$45,0)),1)</f>
        <v/>
      </c>
      <c r="G99" s="37">
        <f>Inputs!$C$7*D99*E99*F99</f>
        <v/>
      </c>
      <c r="H99" s="25" t="n"/>
      <c r="I99" s="38">
        <f>IF(H99&lt;&gt;"",H99,G99)</f>
        <v/>
      </c>
    </row>
    <row r="100" ht="16" customHeight="1">
      <c r="A100" s="34">
        <f>DATE(Settings!$B$7,1,1)+94</f>
        <v/>
      </c>
      <c r="B100" s="19">
        <f>TEXT(A100,"ddd")</f>
        <v/>
      </c>
      <c r="C100" s="35">
        <f>IFERROR(INDEX(Inputs!$B$17:$B$20,MATCH(1,(A100&gt;=Inputs!$C$17:$C$20)*(A100&lt;=Inputs!$D$17:$D$20),0)),"")</f>
        <v/>
      </c>
      <c r="D100" s="36">
        <f>IFERROR(INDEX(Inputs!$E$17:$E$20,MATCH(1,(A100&gt;=Inputs!$C$17:$C$20)*(A100&lt;=Inputs!$D$17:$D$20),0)),1)</f>
        <v/>
      </c>
      <c r="E100" s="36">
        <f>INDEX(Inputs!$D$24:$D$30,WEEKDAY(A100,2))</f>
        <v/>
      </c>
      <c r="F100" s="36">
        <f>IFERROR(INDEX(Inputs!$D$34:$D$45,MATCH(A100,Inputs!$B$34:$B$45,0)),1)</f>
        <v/>
      </c>
      <c r="G100" s="37">
        <f>Inputs!$C$7*D100*E100*F100</f>
        <v/>
      </c>
      <c r="H100" s="25" t="n"/>
      <c r="I100" s="38">
        <f>IF(H100&lt;&gt;"",H100,G100)</f>
        <v/>
      </c>
    </row>
    <row r="101" ht="16" customHeight="1">
      <c r="A101" s="34">
        <f>DATE(Settings!$B$7,1,1)+95</f>
        <v/>
      </c>
      <c r="B101" s="19">
        <f>TEXT(A101,"ddd")</f>
        <v/>
      </c>
      <c r="C101" s="35">
        <f>IFERROR(INDEX(Inputs!$B$17:$B$20,MATCH(1,(A101&gt;=Inputs!$C$17:$C$20)*(A101&lt;=Inputs!$D$17:$D$20),0)),"")</f>
        <v/>
      </c>
      <c r="D101" s="36">
        <f>IFERROR(INDEX(Inputs!$E$17:$E$20,MATCH(1,(A101&gt;=Inputs!$C$17:$C$20)*(A101&lt;=Inputs!$D$17:$D$20),0)),1)</f>
        <v/>
      </c>
      <c r="E101" s="36">
        <f>INDEX(Inputs!$D$24:$D$30,WEEKDAY(A101,2))</f>
        <v/>
      </c>
      <c r="F101" s="36">
        <f>IFERROR(INDEX(Inputs!$D$34:$D$45,MATCH(A101,Inputs!$B$34:$B$45,0)),1)</f>
        <v/>
      </c>
      <c r="G101" s="37">
        <f>Inputs!$C$7*D101*E101*F101</f>
        <v/>
      </c>
      <c r="H101" s="25" t="n"/>
      <c r="I101" s="38">
        <f>IF(H101&lt;&gt;"",H101,G101)</f>
        <v/>
      </c>
    </row>
    <row r="102" ht="16" customHeight="1">
      <c r="A102" s="34">
        <f>DATE(Settings!$B$7,1,1)+96</f>
        <v/>
      </c>
      <c r="B102" s="19">
        <f>TEXT(A102,"ddd")</f>
        <v/>
      </c>
      <c r="C102" s="35">
        <f>IFERROR(INDEX(Inputs!$B$17:$B$20,MATCH(1,(A102&gt;=Inputs!$C$17:$C$20)*(A102&lt;=Inputs!$D$17:$D$20),0)),"")</f>
        <v/>
      </c>
      <c r="D102" s="36">
        <f>IFERROR(INDEX(Inputs!$E$17:$E$20,MATCH(1,(A102&gt;=Inputs!$C$17:$C$20)*(A102&lt;=Inputs!$D$17:$D$20),0)),1)</f>
        <v/>
      </c>
      <c r="E102" s="36">
        <f>INDEX(Inputs!$D$24:$D$30,WEEKDAY(A102,2))</f>
        <v/>
      </c>
      <c r="F102" s="36">
        <f>IFERROR(INDEX(Inputs!$D$34:$D$45,MATCH(A102,Inputs!$B$34:$B$45,0)),1)</f>
        <v/>
      </c>
      <c r="G102" s="37">
        <f>Inputs!$C$7*D102*E102*F102</f>
        <v/>
      </c>
      <c r="H102" s="25" t="n"/>
      <c r="I102" s="38">
        <f>IF(H102&lt;&gt;"",H102,G102)</f>
        <v/>
      </c>
    </row>
    <row r="103" ht="16" customHeight="1">
      <c r="A103" s="34">
        <f>DATE(Settings!$B$7,1,1)+97</f>
        <v/>
      </c>
      <c r="B103" s="19">
        <f>TEXT(A103,"ddd")</f>
        <v/>
      </c>
      <c r="C103" s="35">
        <f>IFERROR(INDEX(Inputs!$B$17:$B$20,MATCH(1,(A103&gt;=Inputs!$C$17:$C$20)*(A103&lt;=Inputs!$D$17:$D$20),0)),"")</f>
        <v/>
      </c>
      <c r="D103" s="36">
        <f>IFERROR(INDEX(Inputs!$E$17:$E$20,MATCH(1,(A103&gt;=Inputs!$C$17:$C$20)*(A103&lt;=Inputs!$D$17:$D$20),0)),1)</f>
        <v/>
      </c>
      <c r="E103" s="36">
        <f>INDEX(Inputs!$D$24:$D$30,WEEKDAY(A103,2))</f>
        <v/>
      </c>
      <c r="F103" s="36">
        <f>IFERROR(INDEX(Inputs!$D$34:$D$45,MATCH(A103,Inputs!$B$34:$B$45,0)),1)</f>
        <v/>
      </c>
      <c r="G103" s="37">
        <f>Inputs!$C$7*D103*E103*F103</f>
        <v/>
      </c>
      <c r="H103" s="25" t="n"/>
      <c r="I103" s="38">
        <f>IF(H103&lt;&gt;"",H103,G103)</f>
        <v/>
      </c>
    </row>
    <row r="104" ht="16" customHeight="1">
      <c r="A104" s="34">
        <f>DATE(Settings!$B$7,1,1)+98</f>
        <v/>
      </c>
      <c r="B104" s="19">
        <f>TEXT(A104,"ddd")</f>
        <v/>
      </c>
      <c r="C104" s="35">
        <f>IFERROR(INDEX(Inputs!$B$17:$B$20,MATCH(1,(A104&gt;=Inputs!$C$17:$C$20)*(A104&lt;=Inputs!$D$17:$D$20),0)),"")</f>
        <v/>
      </c>
      <c r="D104" s="36">
        <f>IFERROR(INDEX(Inputs!$E$17:$E$20,MATCH(1,(A104&gt;=Inputs!$C$17:$C$20)*(A104&lt;=Inputs!$D$17:$D$20),0)),1)</f>
        <v/>
      </c>
      <c r="E104" s="36">
        <f>INDEX(Inputs!$D$24:$D$30,WEEKDAY(A104,2))</f>
        <v/>
      </c>
      <c r="F104" s="36">
        <f>IFERROR(INDEX(Inputs!$D$34:$D$45,MATCH(A104,Inputs!$B$34:$B$45,0)),1)</f>
        <v/>
      </c>
      <c r="G104" s="37">
        <f>Inputs!$C$7*D104*E104*F104</f>
        <v/>
      </c>
      <c r="H104" s="25" t="n"/>
      <c r="I104" s="38">
        <f>IF(H104&lt;&gt;"",H104,G104)</f>
        <v/>
      </c>
    </row>
    <row r="105" ht="16" customHeight="1">
      <c r="A105" s="34">
        <f>DATE(Settings!$B$7,1,1)+99</f>
        <v/>
      </c>
      <c r="B105" s="19">
        <f>TEXT(A105,"ddd")</f>
        <v/>
      </c>
      <c r="C105" s="35">
        <f>IFERROR(INDEX(Inputs!$B$17:$B$20,MATCH(1,(A105&gt;=Inputs!$C$17:$C$20)*(A105&lt;=Inputs!$D$17:$D$20),0)),"")</f>
        <v/>
      </c>
      <c r="D105" s="36">
        <f>IFERROR(INDEX(Inputs!$E$17:$E$20,MATCH(1,(A105&gt;=Inputs!$C$17:$C$20)*(A105&lt;=Inputs!$D$17:$D$20),0)),1)</f>
        <v/>
      </c>
      <c r="E105" s="36">
        <f>INDEX(Inputs!$D$24:$D$30,WEEKDAY(A105,2))</f>
        <v/>
      </c>
      <c r="F105" s="36">
        <f>IFERROR(INDEX(Inputs!$D$34:$D$45,MATCH(A105,Inputs!$B$34:$B$45,0)),1)</f>
        <v/>
      </c>
      <c r="G105" s="37">
        <f>Inputs!$C$7*D105*E105*F105</f>
        <v/>
      </c>
      <c r="H105" s="25" t="n"/>
      <c r="I105" s="38">
        <f>IF(H105&lt;&gt;"",H105,G105)</f>
        <v/>
      </c>
    </row>
    <row r="106" ht="16" customHeight="1">
      <c r="A106" s="34">
        <f>DATE(Settings!$B$7,1,1)+100</f>
        <v/>
      </c>
      <c r="B106" s="19">
        <f>TEXT(A106,"ddd")</f>
        <v/>
      </c>
      <c r="C106" s="35">
        <f>IFERROR(INDEX(Inputs!$B$17:$B$20,MATCH(1,(A106&gt;=Inputs!$C$17:$C$20)*(A106&lt;=Inputs!$D$17:$D$20),0)),"")</f>
        <v/>
      </c>
      <c r="D106" s="36">
        <f>IFERROR(INDEX(Inputs!$E$17:$E$20,MATCH(1,(A106&gt;=Inputs!$C$17:$C$20)*(A106&lt;=Inputs!$D$17:$D$20),0)),1)</f>
        <v/>
      </c>
      <c r="E106" s="36">
        <f>INDEX(Inputs!$D$24:$D$30,WEEKDAY(A106,2))</f>
        <v/>
      </c>
      <c r="F106" s="36">
        <f>IFERROR(INDEX(Inputs!$D$34:$D$45,MATCH(A106,Inputs!$B$34:$B$45,0)),1)</f>
        <v/>
      </c>
      <c r="G106" s="37">
        <f>Inputs!$C$7*D106*E106*F106</f>
        <v/>
      </c>
      <c r="H106" s="25" t="n"/>
      <c r="I106" s="38">
        <f>IF(H106&lt;&gt;"",H106,G106)</f>
        <v/>
      </c>
    </row>
    <row r="107" ht="16" customHeight="1">
      <c r="A107" s="34">
        <f>DATE(Settings!$B$7,1,1)+101</f>
        <v/>
      </c>
      <c r="B107" s="19">
        <f>TEXT(A107,"ddd")</f>
        <v/>
      </c>
      <c r="C107" s="35">
        <f>IFERROR(INDEX(Inputs!$B$17:$B$20,MATCH(1,(A107&gt;=Inputs!$C$17:$C$20)*(A107&lt;=Inputs!$D$17:$D$20),0)),"")</f>
        <v/>
      </c>
      <c r="D107" s="36">
        <f>IFERROR(INDEX(Inputs!$E$17:$E$20,MATCH(1,(A107&gt;=Inputs!$C$17:$C$20)*(A107&lt;=Inputs!$D$17:$D$20),0)),1)</f>
        <v/>
      </c>
      <c r="E107" s="36">
        <f>INDEX(Inputs!$D$24:$D$30,WEEKDAY(A107,2))</f>
        <v/>
      </c>
      <c r="F107" s="36">
        <f>IFERROR(INDEX(Inputs!$D$34:$D$45,MATCH(A107,Inputs!$B$34:$B$45,0)),1)</f>
        <v/>
      </c>
      <c r="G107" s="37">
        <f>Inputs!$C$7*D107*E107*F107</f>
        <v/>
      </c>
      <c r="H107" s="25" t="n"/>
      <c r="I107" s="38">
        <f>IF(H107&lt;&gt;"",H107,G107)</f>
        <v/>
      </c>
    </row>
    <row r="108" ht="16" customHeight="1">
      <c r="A108" s="34">
        <f>DATE(Settings!$B$7,1,1)+102</f>
        <v/>
      </c>
      <c r="B108" s="19">
        <f>TEXT(A108,"ddd")</f>
        <v/>
      </c>
      <c r="C108" s="35">
        <f>IFERROR(INDEX(Inputs!$B$17:$B$20,MATCH(1,(A108&gt;=Inputs!$C$17:$C$20)*(A108&lt;=Inputs!$D$17:$D$20),0)),"")</f>
        <v/>
      </c>
      <c r="D108" s="36">
        <f>IFERROR(INDEX(Inputs!$E$17:$E$20,MATCH(1,(A108&gt;=Inputs!$C$17:$C$20)*(A108&lt;=Inputs!$D$17:$D$20),0)),1)</f>
        <v/>
      </c>
      <c r="E108" s="36">
        <f>INDEX(Inputs!$D$24:$D$30,WEEKDAY(A108,2))</f>
        <v/>
      </c>
      <c r="F108" s="36">
        <f>IFERROR(INDEX(Inputs!$D$34:$D$45,MATCH(A108,Inputs!$B$34:$B$45,0)),1)</f>
        <v/>
      </c>
      <c r="G108" s="37">
        <f>Inputs!$C$7*D108*E108*F108</f>
        <v/>
      </c>
      <c r="H108" s="25" t="n"/>
      <c r="I108" s="38">
        <f>IF(H108&lt;&gt;"",H108,G108)</f>
        <v/>
      </c>
    </row>
    <row r="109" ht="16" customHeight="1">
      <c r="A109" s="34">
        <f>DATE(Settings!$B$7,1,1)+103</f>
        <v/>
      </c>
      <c r="B109" s="19">
        <f>TEXT(A109,"ddd")</f>
        <v/>
      </c>
      <c r="C109" s="35">
        <f>IFERROR(INDEX(Inputs!$B$17:$B$20,MATCH(1,(A109&gt;=Inputs!$C$17:$C$20)*(A109&lt;=Inputs!$D$17:$D$20),0)),"")</f>
        <v/>
      </c>
      <c r="D109" s="36">
        <f>IFERROR(INDEX(Inputs!$E$17:$E$20,MATCH(1,(A109&gt;=Inputs!$C$17:$C$20)*(A109&lt;=Inputs!$D$17:$D$20),0)),1)</f>
        <v/>
      </c>
      <c r="E109" s="36">
        <f>INDEX(Inputs!$D$24:$D$30,WEEKDAY(A109,2))</f>
        <v/>
      </c>
      <c r="F109" s="36">
        <f>IFERROR(INDEX(Inputs!$D$34:$D$45,MATCH(A109,Inputs!$B$34:$B$45,0)),1)</f>
        <v/>
      </c>
      <c r="G109" s="37">
        <f>Inputs!$C$7*D109*E109*F109</f>
        <v/>
      </c>
      <c r="H109" s="25" t="n"/>
      <c r="I109" s="38">
        <f>IF(H109&lt;&gt;"",H109,G109)</f>
        <v/>
      </c>
    </row>
    <row r="110" ht="16" customHeight="1">
      <c r="A110" s="34">
        <f>DATE(Settings!$B$7,1,1)+104</f>
        <v/>
      </c>
      <c r="B110" s="19">
        <f>TEXT(A110,"ddd")</f>
        <v/>
      </c>
      <c r="C110" s="35">
        <f>IFERROR(INDEX(Inputs!$B$17:$B$20,MATCH(1,(A110&gt;=Inputs!$C$17:$C$20)*(A110&lt;=Inputs!$D$17:$D$20),0)),"")</f>
        <v/>
      </c>
      <c r="D110" s="36">
        <f>IFERROR(INDEX(Inputs!$E$17:$E$20,MATCH(1,(A110&gt;=Inputs!$C$17:$C$20)*(A110&lt;=Inputs!$D$17:$D$20),0)),1)</f>
        <v/>
      </c>
      <c r="E110" s="36">
        <f>INDEX(Inputs!$D$24:$D$30,WEEKDAY(A110,2))</f>
        <v/>
      </c>
      <c r="F110" s="36">
        <f>IFERROR(INDEX(Inputs!$D$34:$D$45,MATCH(A110,Inputs!$B$34:$B$45,0)),1)</f>
        <v/>
      </c>
      <c r="G110" s="37">
        <f>Inputs!$C$7*D110*E110*F110</f>
        <v/>
      </c>
      <c r="H110" s="25" t="n"/>
      <c r="I110" s="38">
        <f>IF(H110&lt;&gt;"",H110,G110)</f>
        <v/>
      </c>
    </row>
    <row r="111" ht="16" customHeight="1">
      <c r="A111" s="34">
        <f>DATE(Settings!$B$7,1,1)+105</f>
        <v/>
      </c>
      <c r="B111" s="19">
        <f>TEXT(A111,"ddd")</f>
        <v/>
      </c>
      <c r="C111" s="35">
        <f>IFERROR(INDEX(Inputs!$B$17:$B$20,MATCH(1,(A111&gt;=Inputs!$C$17:$C$20)*(A111&lt;=Inputs!$D$17:$D$20),0)),"")</f>
        <v/>
      </c>
      <c r="D111" s="36">
        <f>IFERROR(INDEX(Inputs!$E$17:$E$20,MATCH(1,(A111&gt;=Inputs!$C$17:$C$20)*(A111&lt;=Inputs!$D$17:$D$20),0)),1)</f>
        <v/>
      </c>
      <c r="E111" s="36">
        <f>INDEX(Inputs!$D$24:$D$30,WEEKDAY(A111,2))</f>
        <v/>
      </c>
      <c r="F111" s="36">
        <f>IFERROR(INDEX(Inputs!$D$34:$D$45,MATCH(A111,Inputs!$B$34:$B$45,0)),1)</f>
        <v/>
      </c>
      <c r="G111" s="37">
        <f>Inputs!$C$7*D111*E111*F111</f>
        <v/>
      </c>
      <c r="H111" s="25" t="n"/>
      <c r="I111" s="38">
        <f>IF(H111&lt;&gt;"",H111,G111)</f>
        <v/>
      </c>
    </row>
    <row r="112" ht="16" customHeight="1">
      <c r="A112" s="34">
        <f>DATE(Settings!$B$7,1,1)+106</f>
        <v/>
      </c>
      <c r="B112" s="19">
        <f>TEXT(A112,"ddd")</f>
        <v/>
      </c>
      <c r="C112" s="35">
        <f>IFERROR(INDEX(Inputs!$B$17:$B$20,MATCH(1,(A112&gt;=Inputs!$C$17:$C$20)*(A112&lt;=Inputs!$D$17:$D$20),0)),"")</f>
        <v/>
      </c>
      <c r="D112" s="36">
        <f>IFERROR(INDEX(Inputs!$E$17:$E$20,MATCH(1,(A112&gt;=Inputs!$C$17:$C$20)*(A112&lt;=Inputs!$D$17:$D$20),0)),1)</f>
        <v/>
      </c>
      <c r="E112" s="36">
        <f>INDEX(Inputs!$D$24:$D$30,WEEKDAY(A112,2))</f>
        <v/>
      </c>
      <c r="F112" s="36">
        <f>IFERROR(INDEX(Inputs!$D$34:$D$45,MATCH(A112,Inputs!$B$34:$B$45,0)),1)</f>
        <v/>
      </c>
      <c r="G112" s="37">
        <f>Inputs!$C$7*D112*E112*F112</f>
        <v/>
      </c>
      <c r="H112" s="25" t="n"/>
      <c r="I112" s="38">
        <f>IF(H112&lt;&gt;"",H112,G112)</f>
        <v/>
      </c>
    </row>
    <row r="113" ht="16" customHeight="1">
      <c r="A113" s="34">
        <f>DATE(Settings!$B$7,1,1)+107</f>
        <v/>
      </c>
      <c r="B113" s="19">
        <f>TEXT(A113,"ddd")</f>
        <v/>
      </c>
      <c r="C113" s="35">
        <f>IFERROR(INDEX(Inputs!$B$17:$B$20,MATCH(1,(A113&gt;=Inputs!$C$17:$C$20)*(A113&lt;=Inputs!$D$17:$D$20),0)),"")</f>
        <v/>
      </c>
      <c r="D113" s="36">
        <f>IFERROR(INDEX(Inputs!$E$17:$E$20,MATCH(1,(A113&gt;=Inputs!$C$17:$C$20)*(A113&lt;=Inputs!$D$17:$D$20),0)),1)</f>
        <v/>
      </c>
      <c r="E113" s="36">
        <f>INDEX(Inputs!$D$24:$D$30,WEEKDAY(A113,2))</f>
        <v/>
      </c>
      <c r="F113" s="36">
        <f>IFERROR(INDEX(Inputs!$D$34:$D$45,MATCH(A113,Inputs!$B$34:$B$45,0)),1)</f>
        <v/>
      </c>
      <c r="G113" s="37">
        <f>Inputs!$C$7*D113*E113*F113</f>
        <v/>
      </c>
      <c r="H113" s="25" t="n"/>
      <c r="I113" s="38">
        <f>IF(H113&lt;&gt;"",H113,G113)</f>
        <v/>
      </c>
    </row>
    <row r="114" ht="16" customHeight="1">
      <c r="A114" s="34">
        <f>DATE(Settings!$B$7,1,1)+108</f>
        <v/>
      </c>
      <c r="B114" s="19">
        <f>TEXT(A114,"ddd")</f>
        <v/>
      </c>
      <c r="C114" s="35">
        <f>IFERROR(INDEX(Inputs!$B$17:$B$20,MATCH(1,(A114&gt;=Inputs!$C$17:$C$20)*(A114&lt;=Inputs!$D$17:$D$20),0)),"")</f>
        <v/>
      </c>
      <c r="D114" s="36">
        <f>IFERROR(INDEX(Inputs!$E$17:$E$20,MATCH(1,(A114&gt;=Inputs!$C$17:$C$20)*(A114&lt;=Inputs!$D$17:$D$20),0)),1)</f>
        <v/>
      </c>
      <c r="E114" s="36">
        <f>INDEX(Inputs!$D$24:$D$30,WEEKDAY(A114,2))</f>
        <v/>
      </c>
      <c r="F114" s="36">
        <f>IFERROR(INDEX(Inputs!$D$34:$D$45,MATCH(A114,Inputs!$B$34:$B$45,0)),1)</f>
        <v/>
      </c>
      <c r="G114" s="37">
        <f>Inputs!$C$7*D114*E114*F114</f>
        <v/>
      </c>
      <c r="H114" s="25" t="n"/>
      <c r="I114" s="38">
        <f>IF(H114&lt;&gt;"",H114,G114)</f>
        <v/>
      </c>
    </row>
    <row r="115" ht="16" customHeight="1">
      <c r="A115" s="34">
        <f>DATE(Settings!$B$7,1,1)+109</f>
        <v/>
      </c>
      <c r="B115" s="19">
        <f>TEXT(A115,"ddd")</f>
        <v/>
      </c>
      <c r="C115" s="35">
        <f>IFERROR(INDEX(Inputs!$B$17:$B$20,MATCH(1,(A115&gt;=Inputs!$C$17:$C$20)*(A115&lt;=Inputs!$D$17:$D$20),0)),"")</f>
        <v/>
      </c>
      <c r="D115" s="36">
        <f>IFERROR(INDEX(Inputs!$E$17:$E$20,MATCH(1,(A115&gt;=Inputs!$C$17:$C$20)*(A115&lt;=Inputs!$D$17:$D$20),0)),1)</f>
        <v/>
      </c>
      <c r="E115" s="36">
        <f>INDEX(Inputs!$D$24:$D$30,WEEKDAY(A115,2))</f>
        <v/>
      </c>
      <c r="F115" s="36">
        <f>IFERROR(INDEX(Inputs!$D$34:$D$45,MATCH(A115,Inputs!$B$34:$B$45,0)),1)</f>
        <v/>
      </c>
      <c r="G115" s="37">
        <f>Inputs!$C$7*D115*E115*F115</f>
        <v/>
      </c>
      <c r="H115" s="25" t="n"/>
      <c r="I115" s="38">
        <f>IF(H115&lt;&gt;"",H115,G115)</f>
        <v/>
      </c>
    </row>
    <row r="116" ht="16" customHeight="1">
      <c r="A116" s="34">
        <f>DATE(Settings!$B$7,1,1)+110</f>
        <v/>
      </c>
      <c r="B116" s="19">
        <f>TEXT(A116,"ddd")</f>
        <v/>
      </c>
      <c r="C116" s="35">
        <f>IFERROR(INDEX(Inputs!$B$17:$B$20,MATCH(1,(A116&gt;=Inputs!$C$17:$C$20)*(A116&lt;=Inputs!$D$17:$D$20),0)),"")</f>
        <v/>
      </c>
      <c r="D116" s="36">
        <f>IFERROR(INDEX(Inputs!$E$17:$E$20,MATCH(1,(A116&gt;=Inputs!$C$17:$C$20)*(A116&lt;=Inputs!$D$17:$D$20),0)),1)</f>
        <v/>
      </c>
      <c r="E116" s="36">
        <f>INDEX(Inputs!$D$24:$D$30,WEEKDAY(A116,2))</f>
        <v/>
      </c>
      <c r="F116" s="36">
        <f>IFERROR(INDEX(Inputs!$D$34:$D$45,MATCH(A116,Inputs!$B$34:$B$45,0)),1)</f>
        <v/>
      </c>
      <c r="G116" s="37">
        <f>Inputs!$C$7*D116*E116*F116</f>
        <v/>
      </c>
      <c r="H116" s="25" t="n"/>
      <c r="I116" s="38">
        <f>IF(H116&lt;&gt;"",H116,G116)</f>
        <v/>
      </c>
    </row>
    <row r="117" ht="16" customHeight="1">
      <c r="A117" s="34">
        <f>DATE(Settings!$B$7,1,1)+111</f>
        <v/>
      </c>
      <c r="B117" s="19">
        <f>TEXT(A117,"ddd")</f>
        <v/>
      </c>
      <c r="C117" s="35">
        <f>IFERROR(INDEX(Inputs!$B$17:$B$20,MATCH(1,(A117&gt;=Inputs!$C$17:$C$20)*(A117&lt;=Inputs!$D$17:$D$20),0)),"")</f>
        <v/>
      </c>
      <c r="D117" s="36">
        <f>IFERROR(INDEX(Inputs!$E$17:$E$20,MATCH(1,(A117&gt;=Inputs!$C$17:$C$20)*(A117&lt;=Inputs!$D$17:$D$20),0)),1)</f>
        <v/>
      </c>
      <c r="E117" s="36">
        <f>INDEX(Inputs!$D$24:$D$30,WEEKDAY(A117,2))</f>
        <v/>
      </c>
      <c r="F117" s="36">
        <f>IFERROR(INDEX(Inputs!$D$34:$D$45,MATCH(A117,Inputs!$B$34:$B$45,0)),1)</f>
        <v/>
      </c>
      <c r="G117" s="37">
        <f>Inputs!$C$7*D117*E117*F117</f>
        <v/>
      </c>
      <c r="H117" s="25" t="n"/>
      <c r="I117" s="38">
        <f>IF(H117&lt;&gt;"",H117,G117)</f>
        <v/>
      </c>
    </row>
    <row r="118" ht="16" customHeight="1">
      <c r="A118" s="34">
        <f>DATE(Settings!$B$7,1,1)+112</f>
        <v/>
      </c>
      <c r="B118" s="19">
        <f>TEXT(A118,"ddd")</f>
        <v/>
      </c>
      <c r="C118" s="35">
        <f>IFERROR(INDEX(Inputs!$B$17:$B$20,MATCH(1,(A118&gt;=Inputs!$C$17:$C$20)*(A118&lt;=Inputs!$D$17:$D$20),0)),"")</f>
        <v/>
      </c>
      <c r="D118" s="36">
        <f>IFERROR(INDEX(Inputs!$E$17:$E$20,MATCH(1,(A118&gt;=Inputs!$C$17:$C$20)*(A118&lt;=Inputs!$D$17:$D$20),0)),1)</f>
        <v/>
      </c>
      <c r="E118" s="36">
        <f>INDEX(Inputs!$D$24:$D$30,WEEKDAY(A118,2))</f>
        <v/>
      </c>
      <c r="F118" s="36">
        <f>IFERROR(INDEX(Inputs!$D$34:$D$45,MATCH(A118,Inputs!$B$34:$B$45,0)),1)</f>
        <v/>
      </c>
      <c r="G118" s="37">
        <f>Inputs!$C$7*D118*E118*F118</f>
        <v/>
      </c>
      <c r="H118" s="25" t="n"/>
      <c r="I118" s="38">
        <f>IF(H118&lt;&gt;"",H118,G118)</f>
        <v/>
      </c>
    </row>
    <row r="119" ht="16" customHeight="1">
      <c r="A119" s="34">
        <f>DATE(Settings!$B$7,1,1)+113</f>
        <v/>
      </c>
      <c r="B119" s="19">
        <f>TEXT(A119,"ddd")</f>
        <v/>
      </c>
      <c r="C119" s="35">
        <f>IFERROR(INDEX(Inputs!$B$17:$B$20,MATCH(1,(A119&gt;=Inputs!$C$17:$C$20)*(A119&lt;=Inputs!$D$17:$D$20),0)),"")</f>
        <v/>
      </c>
      <c r="D119" s="36">
        <f>IFERROR(INDEX(Inputs!$E$17:$E$20,MATCH(1,(A119&gt;=Inputs!$C$17:$C$20)*(A119&lt;=Inputs!$D$17:$D$20),0)),1)</f>
        <v/>
      </c>
      <c r="E119" s="36">
        <f>INDEX(Inputs!$D$24:$D$30,WEEKDAY(A119,2))</f>
        <v/>
      </c>
      <c r="F119" s="36">
        <f>IFERROR(INDEX(Inputs!$D$34:$D$45,MATCH(A119,Inputs!$B$34:$B$45,0)),1)</f>
        <v/>
      </c>
      <c r="G119" s="37">
        <f>Inputs!$C$7*D119*E119*F119</f>
        <v/>
      </c>
      <c r="H119" s="25" t="n"/>
      <c r="I119" s="38">
        <f>IF(H119&lt;&gt;"",H119,G119)</f>
        <v/>
      </c>
    </row>
    <row r="120" ht="16" customHeight="1">
      <c r="A120" s="34">
        <f>DATE(Settings!$B$7,1,1)+114</f>
        <v/>
      </c>
      <c r="B120" s="19">
        <f>TEXT(A120,"ddd")</f>
        <v/>
      </c>
      <c r="C120" s="35">
        <f>IFERROR(INDEX(Inputs!$B$17:$B$20,MATCH(1,(A120&gt;=Inputs!$C$17:$C$20)*(A120&lt;=Inputs!$D$17:$D$20),0)),"")</f>
        <v/>
      </c>
      <c r="D120" s="36">
        <f>IFERROR(INDEX(Inputs!$E$17:$E$20,MATCH(1,(A120&gt;=Inputs!$C$17:$C$20)*(A120&lt;=Inputs!$D$17:$D$20),0)),1)</f>
        <v/>
      </c>
      <c r="E120" s="36">
        <f>INDEX(Inputs!$D$24:$D$30,WEEKDAY(A120,2))</f>
        <v/>
      </c>
      <c r="F120" s="36">
        <f>IFERROR(INDEX(Inputs!$D$34:$D$45,MATCH(A120,Inputs!$B$34:$B$45,0)),1)</f>
        <v/>
      </c>
      <c r="G120" s="37">
        <f>Inputs!$C$7*D120*E120*F120</f>
        <v/>
      </c>
      <c r="H120" s="25" t="n"/>
      <c r="I120" s="38">
        <f>IF(H120&lt;&gt;"",H120,G120)</f>
        <v/>
      </c>
    </row>
    <row r="121" ht="16" customHeight="1">
      <c r="A121" s="34">
        <f>DATE(Settings!$B$7,1,1)+115</f>
        <v/>
      </c>
      <c r="B121" s="19">
        <f>TEXT(A121,"ddd")</f>
        <v/>
      </c>
      <c r="C121" s="35">
        <f>IFERROR(INDEX(Inputs!$B$17:$B$20,MATCH(1,(A121&gt;=Inputs!$C$17:$C$20)*(A121&lt;=Inputs!$D$17:$D$20),0)),"")</f>
        <v/>
      </c>
      <c r="D121" s="36">
        <f>IFERROR(INDEX(Inputs!$E$17:$E$20,MATCH(1,(A121&gt;=Inputs!$C$17:$C$20)*(A121&lt;=Inputs!$D$17:$D$20),0)),1)</f>
        <v/>
      </c>
      <c r="E121" s="36">
        <f>INDEX(Inputs!$D$24:$D$30,WEEKDAY(A121,2))</f>
        <v/>
      </c>
      <c r="F121" s="36">
        <f>IFERROR(INDEX(Inputs!$D$34:$D$45,MATCH(A121,Inputs!$B$34:$B$45,0)),1)</f>
        <v/>
      </c>
      <c r="G121" s="37">
        <f>Inputs!$C$7*D121*E121*F121</f>
        <v/>
      </c>
      <c r="H121" s="25" t="n"/>
      <c r="I121" s="38">
        <f>IF(H121&lt;&gt;"",H121,G121)</f>
        <v/>
      </c>
    </row>
    <row r="122" ht="16" customHeight="1">
      <c r="A122" s="34">
        <f>DATE(Settings!$B$7,1,1)+116</f>
        <v/>
      </c>
      <c r="B122" s="19">
        <f>TEXT(A122,"ddd")</f>
        <v/>
      </c>
      <c r="C122" s="35">
        <f>IFERROR(INDEX(Inputs!$B$17:$B$20,MATCH(1,(A122&gt;=Inputs!$C$17:$C$20)*(A122&lt;=Inputs!$D$17:$D$20),0)),"")</f>
        <v/>
      </c>
      <c r="D122" s="36">
        <f>IFERROR(INDEX(Inputs!$E$17:$E$20,MATCH(1,(A122&gt;=Inputs!$C$17:$C$20)*(A122&lt;=Inputs!$D$17:$D$20),0)),1)</f>
        <v/>
      </c>
      <c r="E122" s="36">
        <f>INDEX(Inputs!$D$24:$D$30,WEEKDAY(A122,2))</f>
        <v/>
      </c>
      <c r="F122" s="36">
        <f>IFERROR(INDEX(Inputs!$D$34:$D$45,MATCH(A122,Inputs!$B$34:$B$45,0)),1)</f>
        <v/>
      </c>
      <c r="G122" s="37">
        <f>Inputs!$C$7*D122*E122*F122</f>
        <v/>
      </c>
      <c r="H122" s="25" t="n"/>
      <c r="I122" s="38">
        <f>IF(H122&lt;&gt;"",H122,G122)</f>
        <v/>
      </c>
    </row>
    <row r="123" ht="16" customHeight="1">
      <c r="A123" s="34">
        <f>DATE(Settings!$B$7,1,1)+117</f>
        <v/>
      </c>
      <c r="B123" s="19">
        <f>TEXT(A123,"ddd")</f>
        <v/>
      </c>
      <c r="C123" s="35">
        <f>IFERROR(INDEX(Inputs!$B$17:$B$20,MATCH(1,(A123&gt;=Inputs!$C$17:$C$20)*(A123&lt;=Inputs!$D$17:$D$20),0)),"")</f>
        <v/>
      </c>
      <c r="D123" s="36">
        <f>IFERROR(INDEX(Inputs!$E$17:$E$20,MATCH(1,(A123&gt;=Inputs!$C$17:$C$20)*(A123&lt;=Inputs!$D$17:$D$20),0)),1)</f>
        <v/>
      </c>
      <c r="E123" s="36">
        <f>INDEX(Inputs!$D$24:$D$30,WEEKDAY(A123,2))</f>
        <v/>
      </c>
      <c r="F123" s="36">
        <f>IFERROR(INDEX(Inputs!$D$34:$D$45,MATCH(A123,Inputs!$B$34:$B$45,0)),1)</f>
        <v/>
      </c>
      <c r="G123" s="37">
        <f>Inputs!$C$7*D123*E123*F123</f>
        <v/>
      </c>
      <c r="H123" s="25" t="n"/>
      <c r="I123" s="38">
        <f>IF(H123&lt;&gt;"",H123,G123)</f>
        <v/>
      </c>
    </row>
    <row r="124" ht="16" customHeight="1">
      <c r="A124" s="34">
        <f>DATE(Settings!$B$7,1,1)+118</f>
        <v/>
      </c>
      <c r="B124" s="19">
        <f>TEXT(A124,"ddd")</f>
        <v/>
      </c>
      <c r="C124" s="35">
        <f>IFERROR(INDEX(Inputs!$B$17:$B$20,MATCH(1,(A124&gt;=Inputs!$C$17:$C$20)*(A124&lt;=Inputs!$D$17:$D$20),0)),"")</f>
        <v/>
      </c>
      <c r="D124" s="36">
        <f>IFERROR(INDEX(Inputs!$E$17:$E$20,MATCH(1,(A124&gt;=Inputs!$C$17:$C$20)*(A124&lt;=Inputs!$D$17:$D$20),0)),1)</f>
        <v/>
      </c>
      <c r="E124" s="36">
        <f>INDEX(Inputs!$D$24:$D$30,WEEKDAY(A124,2))</f>
        <v/>
      </c>
      <c r="F124" s="36">
        <f>IFERROR(INDEX(Inputs!$D$34:$D$45,MATCH(A124,Inputs!$B$34:$B$45,0)),1)</f>
        <v/>
      </c>
      <c r="G124" s="37">
        <f>Inputs!$C$7*D124*E124*F124</f>
        <v/>
      </c>
      <c r="H124" s="25" t="n"/>
      <c r="I124" s="38">
        <f>IF(H124&lt;&gt;"",H124,G124)</f>
        <v/>
      </c>
    </row>
    <row r="125" ht="16" customHeight="1">
      <c r="A125" s="34">
        <f>DATE(Settings!$B$7,1,1)+119</f>
        <v/>
      </c>
      <c r="B125" s="19">
        <f>TEXT(A125,"ddd")</f>
        <v/>
      </c>
      <c r="C125" s="35">
        <f>IFERROR(INDEX(Inputs!$B$17:$B$20,MATCH(1,(A125&gt;=Inputs!$C$17:$C$20)*(A125&lt;=Inputs!$D$17:$D$20),0)),"")</f>
        <v/>
      </c>
      <c r="D125" s="36">
        <f>IFERROR(INDEX(Inputs!$E$17:$E$20,MATCH(1,(A125&gt;=Inputs!$C$17:$C$20)*(A125&lt;=Inputs!$D$17:$D$20),0)),1)</f>
        <v/>
      </c>
      <c r="E125" s="36">
        <f>INDEX(Inputs!$D$24:$D$30,WEEKDAY(A125,2))</f>
        <v/>
      </c>
      <c r="F125" s="36">
        <f>IFERROR(INDEX(Inputs!$D$34:$D$45,MATCH(A125,Inputs!$B$34:$B$45,0)),1)</f>
        <v/>
      </c>
      <c r="G125" s="37">
        <f>Inputs!$C$7*D125*E125*F125</f>
        <v/>
      </c>
      <c r="H125" s="25" t="n"/>
      <c r="I125" s="38">
        <f>IF(H125&lt;&gt;"",H125,G125)</f>
        <v/>
      </c>
    </row>
    <row r="126" ht="16" customHeight="1">
      <c r="A126" s="34">
        <f>DATE(Settings!$B$7,1,1)+120</f>
        <v/>
      </c>
      <c r="B126" s="19">
        <f>TEXT(A126,"ddd")</f>
        <v/>
      </c>
      <c r="C126" s="35">
        <f>IFERROR(INDEX(Inputs!$B$17:$B$20,MATCH(1,(A126&gt;=Inputs!$C$17:$C$20)*(A126&lt;=Inputs!$D$17:$D$20),0)),"")</f>
        <v/>
      </c>
      <c r="D126" s="36">
        <f>IFERROR(INDEX(Inputs!$E$17:$E$20,MATCH(1,(A126&gt;=Inputs!$C$17:$C$20)*(A126&lt;=Inputs!$D$17:$D$20),0)),1)</f>
        <v/>
      </c>
      <c r="E126" s="36">
        <f>INDEX(Inputs!$D$24:$D$30,WEEKDAY(A126,2))</f>
        <v/>
      </c>
      <c r="F126" s="36">
        <f>IFERROR(INDEX(Inputs!$D$34:$D$45,MATCH(A126,Inputs!$B$34:$B$45,0)),1)</f>
        <v/>
      </c>
      <c r="G126" s="37">
        <f>Inputs!$C$7*D126*E126*F126</f>
        <v/>
      </c>
      <c r="H126" s="25" t="n"/>
      <c r="I126" s="38">
        <f>IF(H126&lt;&gt;"",H126,G126)</f>
        <v/>
      </c>
    </row>
    <row r="127" ht="16" customHeight="1">
      <c r="A127" s="34">
        <f>DATE(Settings!$B$7,1,1)+121</f>
        <v/>
      </c>
      <c r="B127" s="19">
        <f>TEXT(A127,"ddd")</f>
        <v/>
      </c>
      <c r="C127" s="35">
        <f>IFERROR(INDEX(Inputs!$B$17:$B$20,MATCH(1,(A127&gt;=Inputs!$C$17:$C$20)*(A127&lt;=Inputs!$D$17:$D$20),0)),"")</f>
        <v/>
      </c>
      <c r="D127" s="36">
        <f>IFERROR(INDEX(Inputs!$E$17:$E$20,MATCH(1,(A127&gt;=Inputs!$C$17:$C$20)*(A127&lt;=Inputs!$D$17:$D$20),0)),1)</f>
        <v/>
      </c>
      <c r="E127" s="36">
        <f>INDEX(Inputs!$D$24:$D$30,WEEKDAY(A127,2))</f>
        <v/>
      </c>
      <c r="F127" s="36">
        <f>IFERROR(INDEX(Inputs!$D$34:$D$45,MATCH(A127,Inputs!$B$34:$B$45,0)),1)</f>
        <v/>
      </c>
      <c r="G127" s="37">
        <f>Inputs!$C$7*D127*E127*F127</f>
        <v/>
      </c>
      <c r="H127" s="25" t="n"/>
      <c r="I127" s="38">
        <f>IF(H127&lt;&gt;"",H127,G127)</f>
        <v/>
      </c>
    </row>
    <row r="128" ht="16" customHeight="1">
      <c r="A128" s="34">
        <f>DATE(Settings!$B$7,1,1)+122</f>
        <v/>
      </c>
      <c r="B128" s="19">
        <f>TEXT(A128,"ddd")</f>
        <v/>
      </c>
      <c r="C128" s="35">
        <f>IFERROR(INDEX(Inputs!$B$17:$B$20,MATCH(1,(A128&gt;=Inputs!$C$17:$C$20)*(A128&lt;=Inputs!$D$17:$D$20),0)),"")</f>
        <v/>
      </c>
      <c r="D128" s="36">
        <f>IFERROR(INDEX(Inputs!$E$17:$E$20,MATCH(1,(A128&gt;=Inputs!$C$17:$C$20)*(A128&lt;=Inputs!$D$17:$D$20),0)),1)</f>
        <v/>
      </c>
      <c r="E128" s="36">
        <f>INDEX(Inputs!$D$24:$D$30,WEEKDAY(A128,2))</f>
        <v/>
      </c>
      <c r="F128" s="36">
        <f>IFERROR(INDEX(Inputs!$D$34:$D$45,MATCH(A128,Inputs!$B$34:$B$45,0)),1)</f>
        <v/>
      </c>
      <c r="G128" s="37">
        <f>Inputs!$C$7*D128*E128*F128</f>
        <v/>
      </c>
      <c r="H128" s="25" t="n"/>
      <c r="I128" s="38">
        <f>IF(H128&lt;&gt;"",H128,G128)</f>
        <v/>
      </c>
    </row>
    <row r="129" ht="16" customHeight="1">
      <c r="A129" s="34">
        <f>DATE(Settings!$B$7,1,1)+123</f>
        <v/>
      </c>
      <c r="B129" s="19">
        <f>TEXT(A129,"ddd")</f>
        <v/>
      </c>
      <c r="C129" s="35">
        <f>IFERROR(INDEX(Inputs!$B$17:$B$20,MATCH(1,(A129&gt;=Inputs!$C$17:$C$20)*(A129&lt;=Inputs!$D$17:$D$20),0)),"")</f>
        <v/>
      </c>
      <c r="D129" s="36">
        <f>IFERROR(INDEX(Inputs!$E$17:$E$20,MATCH(1,(A129&gt;=Inputs!$C$17:$C$20)*(A129&lt;=Inputs!$D$17:$D$20),0)),1)</f>
        <v/>
      </c>
      <c r="E129" s="36">
        <f>INDEX(Inputs!$D$24:$D$30,WEEKDAY(A129,2))</f>
        <v/>
      </c>
      <c r="F129" s="36">
        <f>IFERROR(INDEX(Inputs!$D$34:$D$45,MATCH(A129,Inputs!$B$34:$B$45,0)),1)</f>
        <v/>
      </c>
      <c r="G129" s="37">
        <f>Inputs!$C$7*D129*E129*F129</f>
        <v/>
      </c>
      <c r="H129" s="25" t="n"/>
      <c r="I129" s="38">
        <f>IF(H129&lt;&gt;"",H129,G129)</f>
        <v/>
      </c>
    </row>
    <row r="130" ht="16" customHeight="1">
      <c r="A130" s="34">
        <f>DATE(Settings!$B$7,1,1)+124</f>
        <v/>
      </c>
      <c r="B130" s="19">
        <f>TEXT(A130,"ddd")</f>
        <v/>
      </c>
      <c r="C130" s="35">
        <f>IFERROR(INDEX(Inputs!$B$17:$B$20,MATCH(1,(A130&gt;=Inputs!$C$17:$C$20)*(A130&lt;=Inputs!$D$17:$D$20),0)),"")</f>
        <v/>
      </c>
      <c r="D130" s="36">
        <f>IFERROR(INDEX(Inputs!$E$17:$E$20,MATCH(1,(A130&gt;=Inputs!$C$17:$C$20)*(A130&lt;=Inputs!$D$17:$D$20),0)),1)</f>
        <v/>
      </c>
      <c r="E130" s="36">
        <f>INDEX(Inputs!$D$24:$D$30,WEEKDAY(A130,2))</f>
        <v/>
      </c>
      <c r="F130" s="36">
        <f>IFERROR(INDEX(Inputs!$D$34:$D$45,MATCH(A130,Inputs!$B$34:$B$45,0)),1)</f>
        <v/>
      </c>
      <c r="G130" s="37">
        <f>Inputs!$C$7*D130*E130*F130</f>
        <v/>
      </c>
      <c r="H130" s="25" t="n"/>
      <c r="I130" s="38">
        <f>IF(H130&lt;&gt;"",H130,G130)</f>
        <v/>
      </c>
    </row>
    <row r="131" ht="16" customHeight="1">
      <c r="A131" s="34">
        <f>DATE(Settings!$B$7,1,1)+125</f>
        <v/>
      </c>
      <c r="B131" s="19">
        <f>TEXT(A131,"ddd")</f>
        <v/>
      </c>
      <c r="C131" s="35">
        <f>IFERROR(INDEX(Inputs!$B$17:$B$20,MATCH(1,(A131&gt;=Inputs!$C$17:$C$20)*(A131&lt;=Inputs!$D$17:$D$20),0)),"")</f>
        <v/>
      </c>
      <c r="D131" s="36">
        <f>IFERROR(INDEX(Inputs!$E$17:$E$20,MATCH(1,(A131&gt;=Inputs!$C$17:$C$20)*(A131&lt;=Inputs!$D$17:$D$20),0)),1)</f>
        <v/>
      </c>
      <c r="E131" s="36">
        <f>INDEX(Inputs!$D$24:$D$30,WEEKDAY(A131,2))</f>
        <v/>
      </c>
      <c r="F131" s="36">
        <f>IFERROR(INDEX(Inputs!$D$34:$D$45,MATCH(A131,Inputs!$B$34:$B$45,0)),1)</f>
        <v/>
      </c>
      <c r="G131" s="37">
        <f>Inputs!$C$7*D131*E131*F131</f>
        <v/>
      </c>
      <c r="H131" s="25" t="n"/>
      <c r="I131" s="38">
        <f>IF(H131&lt;&gt;"",H131,G131)</f>
        <v/>
      </c>
    </row>
    <row r="132" ht="16" customHeight="1">
      <c r="A132" s="34">
        <f>DATE(Settings!$B$7,1,1)+126</f>
        <v/>
      </c>
      <c r="B132" s="19">
        <f>TEXT(A132,"ddd")</f>
        <v/>
      </c>
      <c r="C132" s="35">
        <f>IFERROR(INDEX(Inputs!$B$17:$B$20,MATCH(1,(A132&gt;=Inputs!$C$17:$C$20)*(A132&lt;=Inputs!$D$17:$D$20),0)),"")</f>
        <v/>
      </c>
      <c r="D132" s="36">
        <f>IFERROR(INDEX(Inputs!$E$17:$E$20,MATCH(1,(A132&gt;=Inputs!$C$17:$C$20)*(A132&lt;=Inputs!$D$17:$D$20),0)),1)</f>
        <v/>
      </c>
      <c r="E132" s="36">
        <f>INDEX(Inputs!$D$24:$D$30,WEEKDAY(A132,2))</f>
        <v/>
      </c>
      <c r="F132" s="36">
        <f>IFERROR(INDEX(Inputs!$D$34:$D$45,MATCH(A132,Inputs!$B$34:$B$45,0)),1)</f>
        <v/>
      </c>
      <c r="G132" s="37">
        <f>Inputs!$C$7*D132*E132*F132</f>
        <v/>
      </c>
      <c r="H132" s="25" t="n"/>
      <c r="I132" s="38">
        <f>IF(H132&lt;&gt;"",H132,G132)</f>
        <v/>
      </c>
    </row>
    <row r="133" ht="16" customHeight="1">
      <c r="A133" s="34">
        <f>DATE(Settings!$B$7,1,1)+127</f>
        <v/>
      </c>
      <c r="B133" s="19">
        <f>TEXT(A133,"ddd")</f>
        <v/>
      </c>
      <c r="C133" s="35">
        <f>IFERROR(INDEX(Inputs!$B$17:$B$20,MATCH(1,(A133&gt;=Inputs!$C$17:$C$20)*(A133&lt;=Inputs!$D$17:$D$20),0)),"")</f>
        <v/>
      </c>
      <c r="D133" s="36">
        <f>IFERROR(INDEX(Inputs!$E$17:$E$20,MATCH(1,(A133&gt;=Inputs!$C$17:$C$20)*(A133&lt;=Inputs!$D$17:$D$20),0)),1)</f>
        <v/>
      </c>
      <c r="E133" s="36">
        <f>INDEX(Inputs!$D$24:$D$30,WEEKDAY(A133,2))</f>
        <v/>
      </c>
      <c r="F133" s="36">
        <f>IFERROR(INDEX(Inputs!$D$34:$D$45,MATCH(A133,Inputs!$B$34:$B$45,0)),1)</f>
        <v/>
      </c>
      <c r="G133" s="37">
        <f>Inputs!$C$7*D133*E133*F133</f>
        <v/>
      </c>
      <c r="H133" s="25" t="n"/>
      <c r="I133" s="38">
        <f>IF(H133&lt;&gt;"",H133,G133)</f>
        <v/>
      </c>
    </row>
    <row r="134" ht="16" customHeight="1">
      <c r="A134" s="34">
        <f>DATE(Settings!$B$7,1,1)+128</f>
        <v/>
      </c>
      <c r="B134" s="19">
        <f>TEXT(A134,"ddd")</f>
        <v/>
      </c>
      <c r="C134" s="35">
        <f>IFERROR(INDEX(Inputs!$B$17:$B$20,MATCH(1,(A134&gt;=Inputs!$C$17:$C$20)*(A134&lt;=Inputs!$D$17:$D$20),0)),"")</f>
        <v/>
      </c>
      <c r="D134" s="36">
        <f>IFERROR(INDEX(Inputs!$E$17:$E$20,MATCH(1,(A134&gt;=Inputs!$C$17:$C$20)*(A134&lt;=Inputs!$D$17:$D$20),0)),1)</f>
        <v/>
      </c>
      <c r="E134" s="36">
        <f>INDEX(Inputs!$D$24:$D$30,WEEKDAY(A134,2))</f>
        <v/>
      </c>
      <c r="F134" s="36">
        <f>IFERROR(INDEX(Inputs!$D$34:$D$45,MATCH(A134,Inputs!$B$34:$B$45,0)),1)</f>
        <v/>
      </c>
      <c r="G134" s="37">
        <f>Inputs!$C$7*D134*E134*F134</f>
        <v/>
      </c>
      <c r="H134" s="25" t="n"/>
      <c r="I134" s="38">
        <f>IF(H134&lt;&gt;"",H134,G134)</f>
        <v/>
      </c>
    </row>
    <row r="135" ht="16" customHeight="1">
      <c r="A135" s="34">
        <f>DATE(Settings!$B$7,1,1)+129</f>
        <v/>
      </c>
      <c r="B135" s="19">
        <f>TEXT(A135,"ddd")</f>
        <v/>
      </c>
      <c r="C135" s="35">
        <f>IFERROR(INDEX(Inputs!$B$17:$B$20,MATCH(1,(A135&gt;=Inputs!$C$17:$C$20)*(A135&lt;=Inputs!$D$17:$D$20),0)),"")</f>
        <v/>
      </c>
      <c r="D135" s="36">
        <f>IFERROR(INDEX(Inputs!$E$17:$E$20,MATCH(1,(A135&gt;=Inputs!$C$17:$C$20)*(A135&lt;=Inputs!$D$17:$D$20),0)),1)</f>
        <v/>
      </c>
      <c r="E135" s="36">
        <f>INDEX(Inputs!$D$24:$D$30,WEEKDAY(A135,2))</f>
        <v/>
      </c>
      <c r="F135" s="36">
        <f>IFERROR(INDEX(Inputs!$D$34:$D$45,MATCH(A135,Inputs!$B$34:$B$45,0)),1)</f>
        <v/>
      </c>
      <c r="G135" s="37">
        <f>Inputs!$C$7*D135*E135*F135</f>
        <v/>
      </c>
      <c r="H135" s="25" t="n"/>
      <c r="I135" s="38">
        <f>IF(H135&lt;&gt;"",H135,G135)</f>
        <v/>
      </c>
    </row>
    <row r="136" ht="16" customHeight="1">
      <c r="A136" s="34">
        <f>DATE(Settings!$B$7,1,1)+130</f>
        <v/>
      </c>
      <c r="B136" s="19">
        <f>TEXT(A136,"ddd")</f>
        <v/>
      </c>
      <c r="C136" s="35">
        <f>IFERROR(INDEX(Inputs!$B$17:$B$20,MATCH(1,(A136&gt;=Inputs!$C$17:$C$20)*(A136&lt;=Inputs!$D$17:$D$20),0)),"")</f>
        <v/>
      </c>
      <c r="D136" s="36">
        <f>IFERROR(INDEX(Inputs!$E$17:$E$20,MATCH(1,(A136&gt;=Inputs!$C$17:$C$20)*(A136&lt;=Inputs!$D$17:$D$20),0)),1)</f>
        <v/>
      </c>
      <c r="E136" s="36">
        <f>INDEX(Inputs!$D$24:$D$30,WEEKDAY(A136,2))</f>
        <v/>
      </c>
      <c r="F136" s="36">
        <f>IFERROR(INDEX(Inputs!$D$34:$D$45,MATCH(A136,Inputs!$B$34:$B$45,0)),1)</f>
        <v/>
      </c>
      <c r="G136" s="37">
        <f>Inputs!$C$7*D136*E136*F136</f>
        <v/>
      </c>
      <c r="H136" s="25" t="n"/>
      <c r="I136" s="38">
        <f>IF(H136&lt;&gt;"",H136,G136)</f>
        <v/>
      </c>
    </row>
    <row r="137" ht="16" customHeight="1">
      <c r="A137" s="34">
        <f>DATE(Settings!$B$7,1,1)+131</f>
        <v/>
      </c>
      <c r="B137" s="19">
        <f>TEXT(A137,"ddd")</f>
        <v/>
      </c>
      <c r="C137" s="35">
        <f>IFERROR(INDEX(Inputs!$B$17:$B$20,MATCH(1,(A137&gt;=Inputs!$C$17:$C$20)*(A137&lt;=Inputs!$D$17:$D$20),0)),"")</f>
        <v/>
      </c>
      <c r="D137" s="36">
        <f>IFERROR(INDEX(Inputs!$E$17:$E$20,MATCH(1,(A137&gt;=Inputs!$C$17:$C$20)*(A137&lt;=Inputs!$D$17:$D$20),0)),1)</f>
        <v/>
      </c>
      <c r="E137" s="36">
        <f>INDEX(Inputs!$D$24:$D$30,WEEKDAY(A137,2))</f>
        <v/>
      </c>
      <c r="F137" s="36">
        <f>IFERROR(INDEX(Inputs!$D$34:$D$45,MATCH(A137,Inputs!$B$34:$B$45,0)),1)</f>
        <v/>
      </c>
      <c r="G137" s="37">
        <f>Inputs!$C$7*D137*E137*F137</f>
        <v/>
      </c>
      <c r="H137" s="25" t="n"/>
      <c r="I137" s="38">
        <f>IF(H137&lt;&gt;"",H137,G137)</f>
        <v/>
      </c>
    </row>
    <row r="138" ht="16" customHeight="1">
      <c r="A138" s="34">
        <f>DATE(Settings!$B$7,1,1)+132</f>
        <v/>
      </c>
      <c r="B138" s="19">
        <f>TEXT(A138,"ddd")</f>
        <v/>
      </c>
      <c r="C138" s="35">
        <f>IFERROR(INDEX(Inputs!$B$17:$B$20,MATCH(1,(A138&gt;=Inputs!$C$17:$C$20)*(A138&lt;=Inputs!$D$17:$D$20),0)),"")</f>
        <v/>
      </c>
      <c r="D138" s="36">
        <f>IFERROR(INDEX(Inputs!$E$17:$E$20,MATCH(1,(A138&gt;=Inputs!$C$17:$C$20)*(A138&lt;=Inputs!$D$17:$D$20),0)),1)</f>
        <v/>
      </c>
      <c r="E138" s="36">
        <f>INDEX(Inputs!$D$24:$D$30,WEEKDAY(A138,2))</f>
        <v/>
      </c>
      <c r="F138" s="36">
        <f>IFERROR(INDEX(Inputs!$D$34:$D$45,MATCH(A138,Inputs!$B$34:$B$45,0)),1)</f>
        <v/>
      </c>
      <c r="G138" s="37">
        <f>Inputs!$C$7*D138*E138*F138</f>
        <v/>
      </c>
      <c r="H138" s="25" t="n"/>
      <c r="I138" s="38">
        <f>IF(H138&lt;&gt;"",H138,G138)</f>
        <v/>
      </c>
    </row>
    <row r="139" ht="16" customHeight="1">
      <c r="A139" s="34">
        <f>DATE(Settings!$B$7,1,1)+133</f>
        <v/>
      </c>
      <c r="B139" s="19">
        <f>TEXT(A139,"ddd")</f>
        <v/>
      </c>
      <c r="C139" s="35">
        <f>IFERROR(INDEX(Inputs!$B$17:$B$20,MATCH(1,(A139&gt;=Inputs!$C$17:$C$20)*(A139&lt;=Inputs!$D$17:$D$20),0)),"")</f>
        <v/>
      </c>
      <c r="D139" s="36">
        <f>IFERROR(INDEX(Inputs!$E$17:$E$20,MATCH(1,(A139&gt;=Inputs!$C$17:$C$20)*(A139&lt;=Inputs!$D$17:$D$20),0)),1)</f>
        <v/>
      </c>
      <c r="E139" s="36">
        <f>INDEX(Inputs!$D$24:$D$30,WEEKDAY(A139,2))</f>
        <v/>
      </c>
      <c r="F139" s="36">
        <f>IFERROR(INDEX(Inputs!$D$34:$D$45,MATCH(A139,Inputs!$B$34:$B$45,0)),1)</f>
        <v/>
      </c>
      <c r="G139" s="37">
        <f>Inputs!$C$7*D139*E139*F139</f>
        <v/>
      </c>
      <c r="H139" s="25" t="n"/>
      <c r="I139" s="38">
        <f>IF(H139&lt;&gt;"",H139,G139)</f>
        <v/>
      </c>
    </row>
    <row r="140" ht="16" customHeight="1">
      <c r="A140" s="34">
        <f>DATE(Settings!$B$7,1,1)+134</f>
        <v/>
      </c>
      <c r="B140" s="19">
        <f>TEXT(A140,"ddd")</f>
        <v/>
      </c>
      <c r="C140" s="35">
        <f>IFERROR(INDEX(Inputs!$B$17:$B$20,MATCH(1,(A140&gt;=Inputs!$C$17:$C$20)*(A140&lt;=Inputs!$D$17:$D$20),0)),"")</f>
        <v/>
      </c>
      <c r="D140" s="36">
        <f>IFERROR(INDEX(Inputs!$E$17:$E$20,MATCH(1,(A140&gt;=Inputs!$C$17:$C$20)*(A140&lt;=Inputs!$D$17:$D$20),0)),1)</f>
        <v/>
      </c>
      <c r="E140" s="36">
        <f>INDEX(Inputs!$D$24:$D$30,WEEKDAY(A140,2))</f>
        <v/>
      </c>
      <c r="F140" s="36">
        <f>IFERROR(INDEX(Inputs!$D$34:$D$45,MATCH(A140,Inputs!$B$34:$B$45,0)),1)</f>
        <v/>
      </c>
      <c r="G140" s="37">
        <f>Inputs!$C$7*D140*E140*F140</f>
        <v/>
      </c>
      <c r="H140" s="25" t="n"/>
      <c r="I140" s="38">
        <f>IF(H140&lt;&gt;"",H140,G140)</f>
        <v/>
      </c>
    </row>
    <row r="141" ht="16" customHeight="1">
      <c r="A141" s="34">
        <f>DATE(Settings!$B$7,1,1)+135</f>
        <v/>
      </c>
      <c r="B141" s="19">
        <f>TEXT(A141,"ddd")</f>
        <v/>
      </c>
      <c r="C141" s="35">
        <f>IFERROR(INDEX(Inputs!$B$17:$B$20,MATCH(1,(A141&gt;=Inputs!$C$17:$C$20)*(A141&lt;=Inputs!$D$17:$D$20),0)),"")</f>
        <v/>
      </c>
      <c r="D141" s="36">
        <f>IFERROR(INDEX(Inputs!$E$17:$E$20,MATCH(1,(A141&gt;=Inputs!$C$17:$C$20)*(A141&lt;=Inputs!$D$17:$D$20),0)),1)</f>
        <v/>
      </c>
      <c r="E141" s="36">
        <f>INDEX(Inputs!$D$24:$D$30,WEEKDAY(A141,2))</f>
        <v/>
      </c>
      <c r="F141" s="36">
        <f>IFERROR(INDEX(Inputs!$D$34:$D$45,MATCH(A141,Inputs!$B$34:$B$45,0)),1)</f>
        <v/>
      </c>
      <c r="G141" s="37">
        <f>Inputs!$C$7*D141*E141*F141</f>
        <v/>
      </c>
      <c r="H141" s="25" t="n"/>
      <c r="I141" s="38">
        <f>IF(H141&lt;&gt;"",H141,G141)</f>
        <v/>
      </c>
    </row>
    <row r="142" ht="16" customHeight="1">
      <c r="A142" s="34">
        <f>DATE(Settings!$B$7,1,1)+136</f>
        <v/>
      </c>
      <c r="B142" s="19">
        <f>TEXT(A142,"ddd")</f>
        <v/>
      </c>
      <c r="C142" s="35">
        <f>IFERROR(INDEX(Inputs!$B$17:$B$20,MATCH(1,(A142&gt;=Inputs!$C$17:$C$20)*(A142&lt;=Inputs!$D$17:$D$20),0)),"")</f>
        <v/>
      </c>
      <c r="D142" s="36">
        <f>IFERROR(INDEX(Inputs!$E$17:$E$20,MATCH(1,(A142&gt;=Inputs!$C$17:$C$20)*(A142&lt;=Inputs!$D$17:$D$20),0)),1)</f>
        <v/>
      </c>
      <c r="E142" s="36">
        <f>INDEX(Inputs!$D$24:$D$30,WEEKDAY(A142,2))</f>
        <v/>
      </c>
      <c r="F142" s="36">
        <f>IFERROR(INDEX(Inputs!$D$34:$D$45,MATCH(A142,Inputs!$B$34:$B$45,0)),1)</f>
        <v/>
      </c>
      <c r="G142" s="37">
        <f>Inputs!$C$7*D142*E142*F142</f>
        <v/>
      </c>
      <c r="H142" s="25" t="n"/>
      <c r="I142" s="38">
        <f>IF(H142&lt;&gt;"",H142,G142)</f>
        <v/>
      </c>
    </row>
    <row r="143" ht="16" customHeight="1">
      <c r="A143" s="34">
        <f>DATE(Settings!$B$7,1,1)+137</f>
        <v/>
      </c>
      <c r="B143" s="19">
        <f>TEXT(A143,"ddd")</f>
        <v/>
      </c>
      <c r="C143" s="35">
        <f>IFERROR(INDEX(Inputs!$B$17:$B$20,MATCH(1,(A143&gt;=Inputs!$C$17:$C$20)*(A143&lt;=Inputs!$D$17:$D$20),0)),"")</f>
        <v/>
      </c>
      <c r="D143" s="36">
        <f>IFERROR(INDEX(Inputs!$E$17:$E$20,MATCH(1,(A143&gt;=Inputs!$C$17:$C$20)*(A143&lt;=Inputs!$D$17:$D$20),0)),1)</f>
        <v/>
      </c>
      <c r="E143" s="36">
        <f>INDEX(Inputs!$D$24:$D$30,WEEKDAY(A143,2))</f>
        <v/>
      </c>
      <c r="F143" s="36">
        <f>IFERROR(INDEX(Inputs!$D$34:$D$45,MATCH(A143,Inputs!$B$34:$B$45,0)),1)</f>
        <v/>
      </c>
      <c r="G143" s="37">
        <f>Inputs!$C$7*D143*E143*F143</f>
        <v/>
      </c>
      <c r="H143" s="25" t="n"/>
      <c r="I143" s="38">
        <f>IF(H143&lt;&gt;"",H143,G143)</f>
        <v/>
      </c>
    </row>
    <row r="144" ht="16" customHeight="1">
      <c r="A144" s="34">
        <f>DATE(Settings!$B$7,1,1)+138</f>
        <v/>
      </c>
      <c r="B144" s="19">
        <f>TEXT(A144,"ddd")</f>
        <v/>
      </c>
      <c r="C144" s="35">
        <f>IFERROR(INDEX(Inputs!$B$17:$B$20,MATCH(1,(A144&gt;=Inputs!$C$17:$C$20)*(A144&lt;=Inputs!$D$17:$D$20),0)),"")</f>
        <v/>
      </c>
      <c r="D144" s="36">
        <f>IFERROR(INDEX(Inputs!$E$17:$E$20,MATCH(1,(A144&gt;=Inputs!$C$17:$C$20)*(A144&lt;=Inputs!$D$17:$D$20),0)),1)</f>
        <v/>
      </c>
      <c r="E144" s="36">
        <f>INDEX(Inputs!$D$24:$D$30,WEEKDAY(A144,2))</f>
        <v/>
      </c>
      <c r="F144" s="36">
        <f>IFERROR(INDEX(Inputs!$D$34:$D$45,MATCH(A144,Inputs!$B$34:$B$45,0)),1)</f>
        <v/>
      </c>
      <c r="G144" s="37">
        <f>Inputs!$C$7*D144*E144*F144</f>
        <v/>
      </c>
      <c r="H144" s="25" t="n"/>
      <c r="I144" s="38">
        <f>IF(H144&lt;&gt;"",H144,G144)</f>
        <v/>
      </c>
    </row>
    <row r="145" ht="16" customHeight="1">
      <c r="A145" s="34">
        <f>DATE(Settings!$B$7,1,1)+139</f>
        <v/>
      </c>
      <c r="B145" s="19">
        <f>TEXT(A145,"ddd")</f>
        <v/>
      </c>
      <c r="C145" s="35">
        <f>IFERROR(INDEX(Inputs!$B$17:$B$20,MATCH(1,(A145&gt;=Inputs!$C$17:$C$20)*(A145&lt;=Inputs!$D$17:$D$20),0)),"")</f>
        <v/>
      </c>
      <c r="D145" s="36">
        <f>IFERROR(INDEX(Inputs!$E$17:$E$20,MATCH(1,(A145&gt;=Inputs!$C$17:$C$20)*(A145&lt;=Inputs!$D$17:$D$20),0)),1)</f>
        <v/>
      </c>
      <c r="E145" s="36">
        <f>INDEX(Inputs!$D$24:$D$30,WEEKDAY(A145,2))</f>
        <v/>
      </c>
      <c r="F145" s="36">
        <f>IFERROR(INDEX(Inputs!$D$34:$D$45,MATCH(A145,Inputs!$B$34:$B$45,0)),1)</f>
        <v/>
      </c>
      <c r="G145" s="37">
        <f>Inputs!$C$7*D145*E145*F145</f>
        <v/>
      </c>
      <c r="H145" s="25" t="n"/>
      <c r="I145" s="38">
        <f>IF(H145&lt;&gt;"",H145,G145)</f>
        <v/>
      </c>
    </row>
    <row r="146" ht="16" customHeight="1">
      <c r="A146" s="34">
        <f>DATE(Settings!$B$7,1,1)+140</f>
        <v/>
      </c>
      <c r="B146" s="19">
        <f>TEXT(A146,"ddd")</f>
        <v/>
      </c>
      <c r="C146" s="35">
        <f>IFERROR(INDEX(Inputs!$B$17:$B$20,MATCH(1,(A146&gt;=Inputs!$C$17:$C$20)*(A146&lt;=Inputs!$D$17:$D$20),0)),"")</f>
        <v/>
      </c>
      <c r="D146" s="36">
        <f>IFERROR(INDEX(Inputs!$E$17:$E$20,MATCH(1,(A146&gt;=Inputs!$C$17:$C$20)*(A146&lt;=Inputs!$D$17:$D$20),0)),1)</f>
        <v/>
      </c>
      <c r="E146" s="36">
        <f>INDEX(Inputs!$D$24:$D$30,WEEKDAY(A146,2))</f>
        <v/>
      </c>
      <c r="F146" s="36">
        <f>IFERROR(INDEX(Inputs!$D$34:$D$45,MATCH(A146,Inputs!$B$34:$B$45,0)),1)</f>
        <v/>
      </c>
      <c r="G146" s="37">
        <f>Inputs!$C$7*D146*E146*F146</f>
        <v/>
      </c>
      <c r="H146" s="25" t="n"/>
      <c r="I146" s="38">
        <f>IF(H146&lt;&gt;"",H146,G146)</f>
        <v/>
      </c>
    </row>
    <row r="147" ht="16" customHeight="1">
      <c r="A147" s="34">
        <f>DATE(Settings!$B$7,1,1)+141</f>
        <v/>
      </c>
      <c r="B147" s="19">
        <f>TEXT(A147,"ddd")</f>
        <v/>
      </c>
      <c r="C147" s="35">
        <f>IFERROR(INDEX(Inputs!$B$17:$B$20,MATCH(1,(A147&gt;=Inputs!$C$17:$C$20)*(A147&lt;=Inputs!$D$17:$D$20),0)),"")</f>
        <v/>
      </c>
      <c r="D147" s="36">
        <f>IFERROR(INDEX(Inputs!$E$17:$E$20,MATCH(1,(A147&gt;=Inputs!$C$17:$C$20)*(A147&lt;=Inputs!$D$17:$D$20),0)),1)</f>
        <v/>
      </c>
      <c r="E147" s="36">
        <f>INDEX(Inputs!$D$24:$D$30,WEEKDAY(A147,2))</f>
        <v/>
      </c>
      <c r="F147" s="36">
        <f>IFERROR(INDEX(Inputs!$D$34:$D$45,MATCH(A147,Inputs!$B$34:$B$45,0)),1)</f>
        <v/>
      </c>
      <c r="G147" s="37">
        <f>Inputs!$C$7*D147*E147*F147</f>
        <v/>
      </c>
      <c r="H147" s="25" t="n"/>
      <c r="I147" s="38">
        <f>IF(H147&lt;&gt;"",H147,G147)</f>
        <v/>
      </c>
    </row>
    <row r="148" ht="16" customHeight="1">
      <c r="A148" s="34">
        <f>DATE(Settings!$B$7,1,1)+142</f>
        <v/>
      </c>
      <c r="B148" s="19">
        <f>TEXT(A148,"ddd")</f>
        <v/>
      </c>
      <c r="C148" s="35">
        <f>IFERROR(INDEX(Inputs!$B$17:$B$20,MATCH(1,(A148&gt;=Inputs!$C$17:$C$20)*(A148&lt;=Inputs!$D$17:$D$20),0)),"")</f>
        <v/>
      </c>
      <c r="D148" s="36">
        <f>IFERROR(INDEX(Inputs!$E$17:$E$20,MATCH(1,(A148&gt;=Inputs!$C$17:$C$20)*(A148&lt;=Inputs!$D$17:$D$20),0)),1)</f>
        <v/>
      </c>
      <c r="E148" s="36">
        <f>INDEX(Inputs!$D$24:$D$30,WEEKDAY(A148,2))</f>
        <v/>
      </c>
      <c r="F148" s="36">
        <f>IFERROR(INDEX(Inputs!$D$34:$D$45,MATCH(A148,Inputs!$B$34:$B$45,0)),1)</f>
        <v/>
      </c>
      <c r="G148" s="37">
        <f>Inputs!$C$7*D148*E148*F148</f>
        <v/>
      </c>
      <c r="H148" s="25" t="n"/>
      <c r="I148" s="38">
        <f>IF(H148&lt;&gt;"",H148,G148)</f>
        <v/>
      </c>
    </row>
    <row r="149" ht="16" customHeight="1">
      <c r="A149" s="34">
        <f>DATE(Settings!$B$7,1,1)+143</f>
        <v/>
      </c>
      <c r="B149" s="19">
        <f>TEXT(A149,"ddd")</f>
        <v/>
      </c>
      <c r="C149" s="35">
        <f>IFERROR(INDEX(Inputs!$B$17:$B$20,MATCH(1,(A149&gt;=Inputs!$C$17:$C$20)*(A149&lt;=Inputs!$D$17:$D$20),0)),"")</f>
        <v/>
      </c>
      <c r="D149" s="36">
        <f>IFERROR(INDEX(Inputs!$E$17:$E$20,MATCH(1,(A149&gt;=Inputs!$C$17:$C$20)*(A149&lt;=Inputs!$D$17:$D$20),0)),1)</f>
        <v/>
      </c>
      <c r="E149" s="36">
        <f>INDEX(Inputs!$D$24:$D$30,WEEKDAY(A149,2))</f>
        <v/>
      </c>
      <c r="F149" s="36">
        <f>IFERROR(INDEX(Inputs!$D$34:$D$45,MATCH(A149,Inputs!$B$34:$B$45,0)),1)</f>
        <v/>
      </c>
      <c r="G149" s="37">
        <f>Inputs!$C$7*D149*E149*F149</f>
        <v/>
      </c>
      <c r="H149" s="25" t="n"/>
      <c r="I149" s="38">
        <f>IF(H149&lt;&gt;"",H149,G149)</f>
        <v/>
      </c>
    </row>
    <row r="150" ht="16" customHeight="1">
      <c r="A150" s="34">
        <f>DATE(Settings!$B$7,1,1)+144</f>
        <v/>
      </c>
      <c r="B150" s="19">
        <f>TEXT(A150,"ddd")</f>
        <v/>
      </c>
      <c r="C150" s="35">
        <f>IFERROR(INDEX(Inputs!$B$17:$B$20,MATCH(1,(A150&gt;=Inputs!$C$17:$C$20)*(A150&lt;=Inputs!$D$17:$D$20),0)),"")</f>
        <v/>
      </c>
      <c r="D150" s="36">
        <f>IFERROR(INDEX(Inputs!$E$17:$E$20,MATCH(1,(A150&gt;=Inputs!$C$17:$C$20)*(A150&lt;=Inputs!$D$17:$D$20),0)),1)</f>
        <v/>
      </c>
      <c r="E150" s="36">
        <f>INDEX(Inputs!$D$24:$D$30,WEEKDAY(A150,2))</f>
        <v/>
      </c>
      <c r="F150" s="36">
        <f>IFERROR(INDEX(Inputs!$D$34:$D$45,MATCH(A150,Inputs!$B$34:$B$45,0)),1)</f>
        <v/>
      </c>
      <c r="G150" s="37">
        <f>Inputs!$C$7*D150*E150*F150</f>
        <v/>
      </c>
      <c r="H150" s="25" t="n"/>
      <c r="I150" s="38">
        <f>IF(H150&lt;&gt;"",H150,G150)</f>
        <v/>
      </c>
    </row>
    <row r="151" ht="16" customHeight="1">
      <c r="A151" s="34">
        <f>DATE(Settings!$B$7,1,1)+145</f>
        <v/>
      </c>
      <c r="B151" s="19">
        <f>TEXT(A151,"ddd")</f>
        <v/>
      </c>
      <c r="C151" s="35">
        <f>IFERROR(INDEX(Inputs!$B$17:$B$20,MATCH(1,(A151&gt;=Inputs!$C$17:$C$20)*(A151&lt;=Inputs!$D$17:$D$20),0)),"")</f>
        <v/>
      </c>
      <c r="D151" s="36">
        <f>IFERROR(INDEX(Inputs!$E$17:$E$20,MATCH(1,(A151&gt;=Inputs!$C$17:$C$20)*(A151&lt;=Inputs!$D$17:$D$20),0)),1)</f>
        <v/>
      </c>
      <c r="E151" s="36">
        <f>INDEX(Inputs!$D$24:$D$30,WEEKDAY(A151,2))</f>
        <v/>
      </c>
      <c r="F151" s="36">
        <f>IFERROR(INDEX(Inputs!$D$34:$D$45,MATCH(A151,Inputs!$B$34:$B$45,0)),1)</f>
        <v/>
      </c>
      <c r="G151" s="37">
        <f>Inputs!$C$7*D151*E151*F151</f>
        <v/>
      </c>
      <c r="H151" s="25" t="n"/>
      <c r="I151" s="38">
        <f>IF(H151&lt;&gt;"",H151,G151)</f>
        <v/>
      </c>
    </row>
    <row r="152" ht="16" customHeight="1">
      <c r="A152" s="34">
        <f>DATE(Settings!$B$7,1,1)+146</f>
        <v/>
      </c>
      <c r="B152" s="19">
        <f>TEXT(A152,"ddd")</f>
        <v/>
      </c>
      <c r="C152" s="35">
        <f>IFERROR(INDEX(Inputs!$B$17:$B$20,MATCH(1,(A152&gt;=Inputs!$C$17:$C$20)*(A152&lt;=Inputs!$D$17:$D$20),0)),"")</f>
        <v/>
      </c>
      <c r="D152" s="36">
        <f>IFERROR(INDEX(Inputs!$E$17:$E$20,MATCH(1,(A152&gt;=Inputs!$C$17:$C$20)*(A152&lt;=Inputs!$D$17:$D$20),0)),1)</f>
        <v/>
      </c>
      <c r="E152" s="36">
        <f>INDEX(Inputs!$D$24:$D$30,WEEKDAY(A152,2))</f>
        <v/>
      </c>
      <c r="F152" s="36">
        <f>IFERROR(INDEX(Inputs!$D$34:$D$45,MATCH(A152,Inputs!$B$34:$B$45,0)),1)</f>
        <v/>
      </c>
      <c r="G152" s="37">
        <f>Inputs!$C$7*D152*E152*F152</f>
        <v/>
      </c>
      <c r="H152" s="25" t="n"/>
      <c r="I152" s="38">
        <f>IF(H152&lt;&gt;"",H152,G152)</f>
        <v/>
      </c>
    </row>
    <row r="153" ht="16" customHeight="1">
      <c r="A153" s="34">
        <f>DATE(Settings!$B$7,1,1)+147</f>
        <v/>
      </c>
      <c r="B153" s="19">
        <f>TEXT(A153,"ddd")</f>
        <v/>
      </c>
      <c r="C153" s="35">
        <f>IFERROR(INDEX(Inputs!$B$17:$B$20,MATCH(1,(A153&gt;=Inputs!$C$17:$C$20)*(A153&lt;=Inputs!$D$17:$D$20),0)),"")</f>
        <v/>
      </c>
      <c r="D153" s="36">
        <f>IFERROR(INDEX(Inputs!$E$17:$E$20,MATCH(1,(A153&gt;=Inputs!$C$17:$C$20)*(A153&lt;=Inputs!$D$17:$D$20),0)),1)</f>
        <v/>
      </c>
      <c r="E153" s="36">
        <f>INDEX(Inputs!$D$24:$D$30,WEEKDAY(A153,2))</f>
        <v/>
      </c>
      <c r="F153" s="36">
        <f>IFERROR(INDEX(Inputs!$D$34:$D$45,MATCH(A153,Inputs!$B$34:$B$45,0)),1)</f>
        <v/>
      </c>
      <c r="G153" s="37">
        <f>Inputs!$C$7*D153*E153*F153</f>
        <v/>
      </c>
      <c r="H153" s="25" t="n"/>
      <c r="I153" s="38">
        <f>IF(H153&lt;&gt;"",H153,G153)</f>
        <v/>
      </c>
    </row>
    <row r="154" ht="16" customHeight="1">
      <c r="A154" s="34">
        <f>DATE(Settings!$B$7,1,1)+148</f>
        <v/>
      </c>
      <c r="B154" s="19">
        <f>TEXT(A154,"ddd")</f>
        <v/>
      </c>
      <c r="C154" s="35">
        <f>IFERROR(INDEX(Inputs!$B$17:$B$20,MATCH(1,(A154&gt;=Inputs!$C$17:$C$20)*(A154&lt;=Inputs!$D$17:$D$20),0)),"")</f>
        <v/>
      </c>
      <c r="D154" s="36">
        <f>IFERROR(INDEX(Inputs!$E$17:$E$20,MATCH(1,(A154&gt;=Inputs!$C$17:$C$20)*(A154&lt;=Inputs!$D$17:$D$20),0)),1)</f>
        <v/>
      </c>
      <c r="E154" s="36">
        <f>INDEX(Inputs!$D$24:$D$30,WEEKDAY(A154,2))</f>
        <v/>
      </c>
      <c r="F154" s="36">
        <f>IFERROR(INDEX(Inputs!$D$34:$D$45,MATCH(A154,Inputs!$B$34:$B$45,0)),1)</f>
        <v/>
      </c>
      <c r="G154" s="37">
        <f>Inputs!$C$7*D154*E154*F154</f>
        <v/>
      </c>
      <c r="H154" s="25" t="n"/>
      <c r="I154" s="38">
        <f>IF(H154&lt;&gt;"",H154,G154)</f>
        <v/>
      </c>
    </row>
    <row r="155" ht="16" customHeight="1">
      <c r="A155" s="34">
        <f>DATE(Settings!$B$7,1,1)+149</f>
        <v/>
      </c>
      <c r="B155" s="19">
        <f>TEXT(A155,"ddd")</f>
        <v/>
      </c>
      <c r="C155" s="35">
        <f>IFERROR(INDEX(Inputs!$B$17:$B$20,MATCH(1,(A155&gt;=Inputs!$C$17:$C$20)*(A155&lt;=Inputs!$D$17:$D$20),0)),"")</f>
        <v/>
      </c>
      <c r="D155" s="36">
        <f>IFERROR(INDEX(Inputs!$E$17:$E$20,MATCH(1,(A155&gt;=Inputs!$C$17:$C$20)*(A155&lt;=Inputs!$D$17:$D$20),0)),1)</f>
        <v/>
      </c>
      <c r="E155" s="36">
        <f>INDEX(Inputs!$D$24:$D$30,WEEKDAY(A155,2))</f>
        <v/>
      </c>
      <c r="F155" s="36">
        <f>IFERROR(INDEX(Inputs!$D$34:$D$45,MATCH(A155,Inputs!$B$34:$B$45,0)),1)</f>
        <v/>
      </c>
      <c r="G155" s="37">
        <f>Inputs!$C$7*D155*E155*F155</f>
        <v/>
      </c>
      <c r="H155" s="25" t="n"/>
      <c r="I155" s="38">
        <f>IF(H155&lt;&gt;"",H155,G155)</f>
        <v/>
      </c>
    </row>
    <row r="156" ht="16" customHeight="1">
      <c r="A156" s="34">
        <f>DATE(Settings!$B$7,1,1)+150</f>
        <v/>
      </c>
      <c r="B156" s="19">
        <f>TEXT(A156,"ddd")</f>
        <v/>
      </c>
      <c r="C156" s="35">
        <f>IFERROR(INDEX(Inputs!$B$17:$B$20,MATCH(1,(A156&gt;=Inputs!$C$17:$C$20)*(A156&lt;=Inputs!$D$17:$D$20),0)),"")</f>
        <v/>
      </c>
      <c r="D156" s="36">
        <f>IFERROR(INDEX(Inputs!$E$17:$E$20,MATCH(1,(A156&gt;=Inputs!$C$17:$C$20)*(A156&lt;=Inputs!$D$17:$D$20),0)),1)</f>
        <v/>
      </c>
      <c r="E156" s="36">
        <f>INDEX(Inputs!$D$24:$D$30,WEEKDAY(A156,2))</f>
        <v/>
      </c>
      <c r="F156" s="36">
        <f>IFERROR(INDEX(Inputs!$D$34:$D$45,MATCH(A156,Inputs!$B$34:$B$45,0)),1)</f>
        <v/>
      </c>
      <c r="G156" s="37">
        <f>Inputs!$C$7*D156*E156*F156</f>
        <v/>
      </c>
      <c r="H156" s="25" t="n"/>
      <c r="I156" s="38">
        <f>IF(H156&lt;&gt;"",H156,G156)</f>
        <v/>
      </c>
    </row>
    <row r="157" ht="16" customHeight="1">
      <c r="A157" s="34">
        <f>DATE(Settings!$B$7,1,1)+151</f>
        <v/>
      </c>
      <c r="B157" s="19">
        <f>TEXT(A157,"ddd")</f>
        <v/>
      </c>
      <c r="C157" s="35">
        <f>IFERROR(INDEX(Inputs!$B$17:$B$20,MATCH(1,(A157&gt;=Inputs!$C$17:$C$20)*(A157&lt;=Inputs!$D$17:$D$20),0)),"")</f>
        <v/>
      </c>
      <c r="D157" s="36">
        <f>IFERROR(INDEX(Inputs!$E$17:$E$20,MATCH(1,(A157&gt;=Inputs!$C$17:$C$20)*(A157&lt;=Inputs!$D$17:$D$20),0)),1)</f>
        <v/>
      </c>
      <c r="E157" s="36">
        <f>INDEX(Inputs!$D$24:$D$30,WEEKDAY(A157,2))</f>
        <v/>
      </c>
      <c r="F157" s="36">
        <f>IFERROR(INDEX(Inputs!$D$34:$D$45,MATCH(A157,Inputs!$B$34:$B$45,0)),1)</f>
        <v/>
      </c>
      <c r="G157" s="37">
        <f>Inputs!$C$7*D157*E157*F157</f>
        <v/>
      </c>
      <c r="H157" s="25" t="n"/>
      <c r="I157" s="38">
        <f>IF(H157&lt;&gt;"",H157,G157)</f>
        <v/>
      </c>
    </row>
    <row r="158" ht="16" customHeight="1">
      <c r="A158" s="34">
        <f>DATE(Settings!$B$7,1,1)+152</f>
        <v/>
      </c>
      <c r="B158" s="19">
        <f>TEXT(A158,"ddd")</f>
        <v/>
      </c>
      <c r="C158" s="35">
        <f>IFERROR(INDEX(Inputs!$B$17:$B$20,MATCH(1,(A158&gt;=Inputs!$C$17:$C$20)*(A158&lt;=Inputs!$D$17:$D$20),0)),"")</f>
        <v/>
      </c>
      <c r="D158" s="36">
        <f>IFERROR(INDEX(Inputs!$E$17:$E$20,MATCH(1,(A158&gt;=Inputs!$C$17:$C$20)*(A158&lt;=Inputs!$D$17:$D$20),0)),1)</f>
        <v/>
      </c>
      <c r="E158" s="36">
        <f>INDEX(Inputs!$D$24:$D$30,WEEKDAY(A158,2))</f>
        <v/>
      </c>
      <c r="F158" s="36">
        <f>IFERROR(INDEX(Inputs!$D$34:$D$45,MATCH(A158,Inputs!$B$34:$B$45,0)),1)</f>
        <v/>
      </c>
      <c r="G158" s="37">
        <f>Inputs!$C$7*D158*E158*F158</f>
        <v/>
      </c>
      <c r="H158" s="25" t="n"/>
      <c r="I158" s="38">
        <f>IF(H158&lt;&gt;"",H158,G158)</f>
        <v/>
      </c>
    </row>
    <row r="159" ht="16" customHeight="1">
      <c r="A159" s="34">
        <f>DATE(Settings!$B$7,1,1)+153</f>
        <v/>
      </c>
      <c r="B159" s="19">
        <f>TEXT(A159,"ddd")</f>
        <v/>
      </c>
      <c r="C159" s="35">
        <f>IFERROR(INDEX(Inputs!$B$17:$B$20,MATCH(1,(A159&gt;=Inputs!$C$17:$C$20)*(A159&lt;=Inputs!$D$17:$D$20),0)),"")</f>
        <v/>
      </c>
      <c r="D159" s="36">
        <f>IFERROR(INDEX(Inputs!$E$17:$E$20,MATCH(1,(A159&gt;=Inputs!$C$17:$C$20)*(A159&lt;=Inputs!$D$17:$D$20),0)),1)</f>
        <v/>
      </c>
      <c r="E159" s="36">
        <f>INDEX(Inputs!$D$24:$D$30,WEEKDAY(A159,2))</f>
        <v/>
      </c>
      <c r="F159" s="36">
        <f>IFERROR(INDEX(Inputs!$D$34:$D$45,MATCH(A159,Inputs!$B$34:$B$45,0)),1)</f>
        <v/>
      </c>
      <c r="G159" s="37">
        <f>Inputs!$C$7*D159*E159*F159</f>
        <v/>
      </c>
      <c r="H159" s="25" t="n"/>
      <c r="I159" s="38">
        <f>IF(H159&lt;&gt;"",H159,G159)</f>
        <v/>
      </c>
    </row>
    <row r="160" ht="16" customHeight="1">
      <c r="A160" s="34">
        <f>DATE(Settings!$B$7,1,1)+154</f>
        <v/>
      </c>
      <c r="B160" s="19">
        <f>TEXT(A160,"ddd")</f>
        <v/>
      </c>
      <c r="C160" s="35">
        <f>IFERROR(INDEX(Inputs!$B$17:$B$20,MATCH(1,(A160&gt;=Inputs!$C$17:$C$20)*(A160&lt;=Inputs!$D$17:$D$20),0)),"")</f>
        <v/>
      </c>
      <c r="D160" s="36">
        <f>IFERROR(INDEX(Inputs!$E$17:$E$20,MATCH(1,(A160&gt;=Inputs!$C$17:$C$20)*(A160&lt;=Inputs!$D$17:$D$20),0)),1)</f>
        <v/>
      </c>
      <c r="E160" s="36">
        <f>INDEX(Inputs!$D$24:$D$30,WEEKDAY(A160,2))</f>
        <v/>
      </c>
      <c r="F160" s="36">
        <f>IFERROR(INDEX(Inputs!$D$34:$D$45,MATCH(A160,Inputs!$B$34:$B$45,0)),1)</f>
        <v/>
      </c>
      <c r="G160" s="37">
        <f>Inputs!$C$7*D160*E160*F160</f>
        <v/>
      </c>
      <c r="H160" s="25" t="n"/>
      <c r="I160" s="38">
        <f>IF(H160&lt;&gt;"",H160,G160)</f>
        <v/>
      </c>
    </row>
    <row r="161" ht="16" customHeight="1">
      <c r="A161" s="34">
        <f>DATE(Settings!$B$7,1,1)+155</f>
        <v/>
      </c>
      <c r="B161" s="19">
        <f>TEXT(A161,"ddd")</f>
        <v/>
      </c>
      <c r="C161" s="35">
        <f>IFERROR(INDEX(Inputs!$B$17:$B$20,MATCH(1,(A161&gt;=Inputs!$C$17:$C$20)*(A161&lt;=Inputs!$D$17:$D$20),0)),"")</f>
        <v/>
      </c>
      <c r="D161" s="36">
        <f>IFERROR(INDEX(Inputs!$E$17:$E$20,MATCH(1,(A161&gt;=Inputs!$C$17:$C$20)*(A161&lt;=Inputs!$D$17:$D$20),0)),1)</f>
        <v/>
      </c>
      <c r="E161" s="36">
        <f>INDEX(Inputs!$D$24:$D$30,WEEKDAY(A161,2))</f>
        <v/>
      </c>
      <c r="F161" s="36">
        <f>IFERROR(INDEX(Inputs!$D$34:$D$45,MATCH(A161,Inputs!$B$34:$B$45,0)),1)</f>
        <v/>
      </c>
      <c r="G161" s="37">
        <f>Inputs!$C$7*D161*E161*F161</f>
        <v/>
      </c>
      <c r="H161" s="25" t="n"/>
      <c r="I161" s="38">
        <f>IF(H161&lt;&gt;"",H161,G161)</f>
        <v/>
      </c>
    </row>
    <row r="162" ht="16" customHeight="1">
      <c r="A162" s="34">
        <f>DATE(Settings!$B$7,1,1)+156</f>
        <v/>
      </c>
      <c r="B162" s="19">
        <f>TEXT(A162,"ddd")</f>
        <v/>
      </c>
      <c r="C162" s="35">
        <f>IFERROR(INDEX(Inputs!$B$17:$B$20,MATCH(1,(A162&gt;=Inputs!$C$17:$C$20)*(A162&lt;=Inputs!$D$17:$D$20),0)),"")</f>
        <v/>
      </c>
      <c r="D162" s="36">
        <f>IFERROR(INDEX(Inputs!$E$17:$E$20,MATCH(1,(A162&gt;=Inputs!$C$17:$C$20)*(A162&lt;=Inputs!$D$17:$D$20),0)),1)</f>
        <v/>
      </c>
      <c r="E162" s="36">
        <f>INDEX(Inputs!$D$24:$D$30,WEEKDAY(A162,2))</f>
        <v/>
      </c>
      <c r="F162" s="36">
        <f>IFERROR(INDEX(Inputs!$D$34:$D$45,MATCH(A162,Inputs!$B$34:$B$45,0)),1)</f>
        <v/>
      </c>
      <c r="G162" s="37">
        <f>Inputs!$C$7*D162*E162*F162</f>
        <v/>
      </c>
      <c r="H162" s="25" t="n"/>
      <c r="I162" s="38">
        <f>IF(H162&lt;&gt;"",H162,G162)</f>
        <v/>
      </c>
    </row>
    <row r="163" ht="16" customHeight="1">
      <c r="A163" s="34">
        <f>DATE(Settings!$B$7,1,1)+157</f>
        <v/>
      </c>
      <c r="B163" s="19">
        <f>TEXT(A163,"ddd")</f>
        <v/>
      </c>
      <c r="C163" s="35">
        <f>IFERROR(INDEX(Inputs!$B$17:$B$20,MATCH(1,(A163&gt;=Inputs!$C$17:$C$20)*(A163&lt;=Inputs!$D$17:$D$20),0)),"")</f>
        <v/>
      </c>
      <c r="D163" s="36">
        <f>IFERROR(INDEX(Inputs!$E$17:$E$20,MATCH(1,(A163&gt;=Inputs!$C$17:$C$20)*(A163&lt;=Inputs!$D$17:$D$20),0)),1)</f>
        <v/>
      </c>
      <c r="E163" s="36">
        <f>INDEX(Inputs!$D$24:$D$30,WEEKDAY(A163,2))</f>
        <v/>
      </c>
      <c r="F163" s="36">
        <f>IFERROR(INDEX(Inputs!$D$34:$D$45,MATCH(A163,Inputs!$B$34:$B$45,0)),1)</f>
        <v/>
      </c>
      <c r="G163" s="37">
        <f>Inputs!$C$7*D163*E163*F163</f>
        <v/>
      </c>
      <c r="H163" s="25" t="n"/>
      <c r="I163" s="38">
        <f>IF(H163&lt;&gt;"",H163,G163)</f>
        <v/>
      </c>
    </row>
    <row r="164" ht="16" customHeight="1">
      <c r="A164" s="34">
        <f>DATE(Settings!$B$7,1,1)+158</f>
        <v/>
      </c>
      <c r="B164" s="19">
        <f>TEXT(A164,"ddd")</f>
        <v/>
      </c>
      <c r="C164" s="35">
        <f>IFERROR(INDEX(Inputs!$B$17:$B$20,MATCH(1,(A164&gt;=Inputs!$C$17:$C$20)*(A164&lt;=Inputs!$D$17:$D$20),0)),"")</f>
        <v/>
      </c>
      <c r="D164" s="36">
        <f>IFERROR(INDEX(Inputs!$E$17:$E$20,MATCH(1,(A164&gt;=Inputs!$C$17:$C$20)*(A164&lt;=Inputs!$D$17:$D$20),0)),1)</f>
        <v/>
      </c>
      <c r="E164" s="36">
        <f>INDEX(Inputs!$D$24:$D$30,WEEKDAY(A164,2))</f>
        <v/>
      </c>
      <c r="F164" s="36">
        <f>IFERROR(INDEX(Inputs!$D$34:$D$45,MATCH(A164,Inputs!$B$34:$B$45,0)),1)</f>
        <v/>
      </c>
      <c r="G164" s="37">
        <f>Inputs!$C$7*D164*E164*F164</f>
        <v/>
      </c>
      <c r="H164" s="25" t="n"/>
      <c r="I164" s="38">
        <f>IF(H164&lt;&gt;"",H164,G164)</f>
        <v/>
      </c>
    </row>
    <row r="165" ht="16" customHeight="1">
      <c r="A165" s="34">
        <f>DATE(Settings!$B$7,1,1)+159</f>
        <v/>
      </c>
      <c r="B165" s="19">
        <f>TEXT(A165,"ddd")</f>
        <v/>
      </c>
      <c r="C165" s="35">
        <f>IFERROR(INDEX(Inputs!$B$17:$B$20,MATCH(1,(A165&gt;=Inputs!$C$17:$C$20)*(A165&lt;=Inputs!$D$17:$D$20),0)),"")</f>
        <v/>
      </c>
      <c r="D165" s="36">
        <f>IFERROR(INDEX(Inputs!$E$17:$E$20,MATCH(1,(A165&gt;=Inputs!$C$17:$C$20)*(A165&lt;=Inputs!$D$17:$D$20),0)),1)</f>
        <v/>
      </c>
      <c r="E165" s="36">
        <f>INDEX(Inputs!$D$24:$D$30,WEEKDAY(A165,2))</f>
        <v/>
      </c>
      <c r="F165" s="36">
        <f>IFERROR(INDEX(Inputs!$D$34:$D$45,MATCH(A165,Inputs!$B$34:$B$45,0)),1)</f>
        <v/>
      </c>
      <c r="G165" s="37">
        <f>Inputs!$C$7*D165*E165*F165</f>
        <v/>
      </c>
      <c r="H165" s="25" t="n"/>
      <c r="I165" s="38">
        <f>IF(H165&lt;&gt;"",H165,G165)</f>
        <v/>
      </c>
    </row>
    <row r="166" ht="16" customHeight="1">
      <c r="A166" s="34">
        <f>DATE(Settings!$B$7,1,1)+160</f>
        <v/>
      </c>
      <c r="B166" s="19">
        <f>TEXT(A166,"ddd")</f>
        <v/>
      </c>
      <c r="C166" s="35">
        <f>IFERROR(INDEX(Inputs!$B$17:$B$20,MATCH(1,(A166&gt;=Inputs!$C$17:$C$20)*(A166&lt;=Inputs!$D$17:$D$20),0)),"")</f>
        <v/>
      </c>
      <c r="D166" s="36">
        <f>IFERROR(INDEX(Inputs!$E$17:$E$20,MATCH(1,(A166&gt;=Inputs!$C$17:$C$20)*(A166&lt;=Inputs!$D$17:$D$20),0)),1)</f>
        <v/>
      </c>
      <c r="E166" s="36">
        <f>INDEX(Inputs!$D$24:$D$30,WEEKDAY(A166,2))</f>
        <v/>
      </c>
      <c r="F166" s="36">
        <f>IFERROR(INDEX(Inputs!$D$34:$D$45,MATCH(A166,Inputs!$B$34:$B$45,0)),1)</f>
        <v/>
      </c>
      <c r="G166" s="37">
        <f>Inputs!$C$7*D166*E166*F166</f>
        <v/>
      </c>
      <c r="H166" s="25" t="n"/>
      <c r="I166" s="38">
        <f>IF(H166&lt;&gt;"",H166,G166)</f>
        <v/>
      </c>
    </row>
    <row r="167" ht="16" customHeight="1">
      <c r="A167" s="34">
        <f>DATE(Settings!$B$7,1,1)+161</f>
        <v/>
      </c>
      <c r="B167" s="19">
        <f>TEXT(A167,"ddd")</f>
        <v/>
      </c>
      <c r="C167" s="35">
        <f>IFERROR(INDEX(Inputs!$B$17:$B$20,MATCH(1,(A167&gt;=Inputs!$C$17:$C$20)*(A167&lt;=Inputs!$D$17:$D$20),0)),"")</f>
        <v/>
      </c>
      <c r="D167" s="36">
        <f>IFERROR(INDEX(Inputs!$E$17:$E$20,MATCH(1,(A167&gt;=Inputs!$C$17:$C$20)*(A167&lt;=Inputs!$D$17:$D$20),0)),1)</f>
        <v/>
      </c>
      <c r="E167" s="36">
        <f>INDEX(Inputs!$D$24:$D$30,WEEKDAY(A167,2))</f>
        <v/>
      </c>
      <c r="F167" s="36">
        <f>IFERROR(INDEX(Inputs!$D$34:$D$45,MATCH(A167,Inputs!$B$34:$B$45,0)),1)</f>
        <v/>
      </c>
      <c r="G167" s="37">
        <f>Inputs!$C$7*D167*E167*F167</f>
        <v/>
      </c>
      <c r="H167" s="25" t="n"/>
      <c r="I167" s="38">
        <f>IF(H167&lt;&gt;"",H167,G167)</f>
        <v/>
      </c>
    </row>
    <row r="168" ht="16" customHeight="1">
      <c r="A168" s="34">
        <f>DATE(Settings!$B$7,1,1)+162</f>
        <v/>
      </c>
      <c r="B168" s="19">
        <f>TEXT(A168,"ddd")</f>
        <v/>
      </c>
      <c r="C168" s="35">
        <f>IFERROR(INDEX(Inputs!$B$17:$B$20,MATCH(1,(A168&gt;=Inputs!$C$17:$C$20)*(A168&lt;=Inputs!$D$17:$D$20),0)),"")</f>
        <v/>
      </c>
      <c r="D168" s="36">
        <f>IFERROR(INDEX(Inputs!$E$17:$E$20,MATCH(1,(A168&gt;=Inputs!$C$17:$C$20)*(A168&lt;=Inputs!$D$17:$D$20),0)),1)</f>
        <v/>
      </c>
      <c r="E168" s="36">
        <f>INDEX(Inputs!$D$24:$D$30,WEEKDAY(A168,2))</f>
        <v/>
      </c>
      <c r="F168" s="36">
        <f>IFERROR(INDEX(Inputs!$D$34:$D$45,MATCH(A168,Inputs!$B$34:$B$45,0)),1)</f>
        <v/>
      </c>
      <c r="G168" s="37">
        <f>Inputs!$C$7*D168*E168*F168</f>
        <v/>
      </c>
      <c r="H168" s="25" t="n"/>
      <c r="I168" s="38">
        <f>IF(H168&lt;&gt;"",H168,G168)</f>
        <v/>
      </c>
    </row>
    <row r="169" ht="16" customHeight="1">
      <c r="A169" s="34">
        <f>DATE(Settings!$B$7,1,1)+163</f>
        <v/>
      </c>
      <c r="B169" s="19">
        <f>TEXT(A169,"ddd")</f>
        <v/>
      </c>
      <c r="C169" s="35">
        <f>IFERROR(INDEX(Inputs!$B$17:$B$20,MATCH(1,(A169&gt;=Inputs!$C$17:$C$20)*(A169&lt;=Inputs!$D$17:$D$20),0)),"")</f>
        <v/>
      </c>
      <c r="D169" s="36">
        <f>IFERROR(INDEX(Inputs!$E$17:$E$20,MATCH(1,(A169&gt;=Inputs!$C$17:$C$20)*(A169&lt;=Inputs!$D$17:$D$20),0)),1)</f>
        <v/>
      </c>
      <c r="E169" s="36">
        <f>INDEX(Inputs!$D$24:$D$30,WEEKDAY(A169,2))</f>
        <v/>
      </c>
      <c r="F169" s="36">
        <f>IFERROR(INDEX(Inputs!$D$34:$D$45,MATCH(A169,Inputs!$B$34:$B$45,0)),1)</f>
        <v/>
      </c>
      <c r="G169" s="37">
        <f>Inputs!$C$7*D169*E169*F169</f>
        <v/>
      </c>
      <c r="H169" s="25" t="n"/>
      <c r="I169" s="38">
        <f>IF(H169&lt;&gt;"",H169,G169)</f>
        <v/>
      </c>
    </row>
    <row r="170" ht="16" customHeight="1">
      <c r="A170" s="34">
        <f>DATE(Settings!$B$7,1,1)+164</f>
        <v/>
      </c>
      <c r="B170" s="19">
        <f>TEXT(A170,"ddd")</f>
        <v/>
      </c>
      <c r="C170" s="35">
        <f>IFERROR(INDEX(Inputs!$B$17:$B$20,MATCH(1,(A170&gt;=Inputs!$C$17:$C$20)*(A170&lt;=Inputs!$D$17:$D$20),0)),"")</f>
        <v/>
      </c>
      <c r="D170" s="36">
        <f>IFERROR(INDEX(Inputs!$E$17:$E$20,MATCH(1,(A170&gt;=Inputs!$C$17:$C$20)*(A170&lt;=Inputs!$D$17:$D$20),0)),1)</f>
        <v/>
      </c>
      <c r="E170" s="36">
        <f>INDEX(Inputs!$D$24:$D$30,WEEKDAY(A170,2))</f>
        <v/>
      </c>
      <c r="F170" s="36">
        <f>IFERROR(INDEX(Inputs!$D$34:$D$45,MATCH(A170,Inputs!$B$34:$B$45,0)),1)</f>
        <v/>
      </c>
      <c r="G170" s="37">
        <f>Inputs!$C$7*D170*E170*F170</f>
        <v/>
      </c>
      <c r="H170" s="25" t="n"/>
      <c r="I170" s="38">
        <f>IF(H170&lt;&gt;"",H170,G170)</f>
        <v/>
      </c>
    </row>
    <row r="171" ht="16" customHeight="1">
      <c r="A171" s="34">
        <f>DATE(Settings!$B$7,1,1)+165</f>
        <v/>
      </c>
      <c r="B171" s="19">
        <f>TEXT(A171,"ddd")</f>
        <v/>
      </c>
      <c r="C171" s="35">
        <f>IFERROR(INDEX(Inputs!$B$17:$B$20,MATCH(1,(A171&gt;=Inputs!$C$17:$C$20)*(A171&lt;=Inputs!$D$17:$D$20),0)),"")</f>
        <v/>
      </c>
      <c r="D171" s="36">
        <f>IFERROR(INDEX(Inputs!$E$17:$E$20,MATCH(1,(A171&gt;=Inputs!$C$17:$C$20)*(A171&lt;=Inputs!$D$17:$D$20),0)),1)</f>
        <v/>
      </c>
      <c r="E171" s="36">
        <f>INDEX(Inputs!$D$24:$D$30,WEEKDAY(A171,2))</f>
        <v/>
      </c>
      <c r="F171" s="36">
        <f>IFERROR(INDEX(Inputs!$D$34:$D$45,MATCH(A171,Inputs!$B$34:$B$45,0)),1)</f>
        <v/>
      </c>
      <c r="G171" s="37">
        <f>Inputs!$C$7*D171*E171*F171</f>
        <v/>
      </c>
      <c r="H171" s="25" t="n"/>
      <c r="I171" s="38">
        <f>IF(H171&lt;&gt;"",H171,G171)</f>
        <v/>
      </c>
    </row>
    <row r="172" ht="16" customHeight="1">
      <c r="A172" s="34">
        <f>DATE(Settings!$B$7,1,1)+166</f>
        <v/>
      </c>
      <c r="B172" s="19">
        <f>TEXT(A172,"ddd")</f>
        <v/>
      </c>
      <c r="C172" s="35">
        <f>IFERROR(INDEX(Inputs!$B$17:$B$20,MATCH(1,(A172&gt;=Inputs!$C$17:$C$20)*(A172&lt;=Inputs!$D$17:$D$20),0)),"")</f>
        <v/>
      </c>
      <c r="D172" s="36">
        <f>IFERROR(INDEX(Inputs!$E$17:$E$20,MATCH(1,(A172&gt;=Inputs!$C$17:$C$20)*(A172&lt;=Inputs!$D$17:$D$20),0)),1)</f>
        <v/>
      </c>
      <c r="E172" s="36">
        <f>INDEX(Inputs!$D$24:$D$30,WEEKDAY(A172,2))</f>
        <v/>
      </c>
      <c r="F172" s="36">
        <f>IFERROR(INDEX(Inputs!$D$34:$D$45,MATCH(A172,Inputs!$B$34:$B$45,0)),1)</f>
        <v/>
      </c>
      <c r="G172" s="37">
        <f>Inputs!$C$7*D172*E172*F172</f>
        <v/>
      </c>
      <c r="H172" s="25" t="n"/>
      <c r="I172" s="38">
        <f>IF(H172&lt;&gt;"",H172,G172)</f>
        <v/>
      </c>
    </row>
    <row r="173" ht="16" customHeight="1">
      <c r="A173" s="34">
        <f>DATE(Settings!$B$7,1,1)+167</f>
        <v/>
      </c>
      <c r="B173" s="19">
        <f>TEXT(A173,"ddd")</f>
        <v/>
      </c>
      <c r="C173" s="35">
        <f>IFERROR(INDEX(Inputs!$B$17:$B$20,MATCH(1,(A173&gt;=Inputs!$C$17:$C$20)*(A173&lt;=Inputs!$D$17:$D$20),0)),"")</f>
        <v/>
      </c>
      <c r="D173" s="36">
        <f>IFERROR(INDEX(Inputs!$E$17:$E$20,MATCH(1,(A173&gt;=Inputs!$C$17:$C$20)*(A173&lt;=Inputs!$D$17:$D$20),0)),1)</f>
        <v/>
      </c>
      <c r="E173" s="36">
        <f>INDEX(Inputs!$D$24:$D$30,WEEKDAY(A173,2))</f>
        <v/>
      </c>
      <c r="F173" s="36">
        <f>IFERROR(INDEX(Inputs!$D$34:$D$45,MATCH(A173,Inputs!$B$34:$B$45,0)),1)</f>
        <v/>
      </c>
      <c r="G173" s="37">
        <f>Inputs!$C$7*D173*E173*F173</f>
        <v/>
      </c>
      <c r="H173" s="25" t="n"/>
      <c r="I173" s="38">
        <f>IF(H173&lt;&gt;"",H173,G173)</f>
        <v/>
      </c>
    </row>
    <row r="174" ht="16" customHeight="1">
      <c r="A174" s="34">
        <f>DATE(Settings!$B$7,1,1)+168</f>
        <v/>
      </c>
      <c r="B174" s="19">
        <f>TEXT(A174,"ddd")</f>
        <v/>
      </c>
      <c r="C174" s="35">
        <f>IFERROR(INDEX(Inputs!$B$17:$B$20,MATCH(1,(A174&gt;=Inputs!$C$17:$C$20)*(A174&lt;=Inputs!$D$17:$D$20),0)),"")</f>
        <v/>
      </c>
      <c r="D174" s="36">
        <f>IFERROR(INDEX(Inputs!$E$17:$E$20,MATCH(1,(A174&gt;=Inputs!$C$17:$C$20)*(A174&lt;=Inputs!$D$17:$D$20),0)),1)</f>
        <v/>
      </c>
      <c r="E174" s="36">
        <f>INDEX(Inputs!$D$24:$D$30,WEEKDAY(A174,2))</f>
        <v/>
      </c>
      <c r="F174" s="36">
        <f>IFERROR(INDEX(Inputs!$D$34:$D$45,MATCH(A174,Inputs!$B$34:$B$45,0)),1)</f>
        <v/>
      </c>
      <c r="G174" s="37">
        <f>Inputs!$C$7*D174*E174*F174</f>
        <v/>
      </c>
      <c r="H174" s="25" t="n"/>
      <c r="I174" s="38">
        <f>IF(H174&lt;&gt;"",H174,G174)</f>
        <v/>
      </c>
    </row>
    <row r="175" ht="16" customHeight="1">
      <c r="A175" s="34">
        <f>DATE(Settings!$B$7,1,1)+169</f>
        <v/>
      </c>
      <c r="B175" s="19">
        <f>TEXT(A175,"ddd")</f>
        <v/>
      </c>
      <c r="C175" s="35">
        <f>IFERROR(INDEX(Inputs!$B$17:$B$20,MATCH(1,(A175&gt;=Inputs!$C$17:$C$20)*(A175&lt;=Inputs!$D$17:$D$20),0)),"")</f>
        <v/>
      </c>
      <c r="D175" s="36">
        <f>IFERROR(INDEX(Inputs!$E$17:$E$20,MATCH(1,(A175&gt;=Inputs!$C$17:$C$20)*(A175&lt;=Inputs!$D$17:$D$20),0)),1)</f>
        <v/>
      </c>
      <c r="E175" s="36">
        <f>INDEX(Inputs!$D$24:$D$30,WEEKDAY(A175,2))</f>
        <v/>
      </c>
      <c r="F175" s="36">
        <f>IFERROR(INDEX(Inputs!$D$34:$D$45,MATCH(A175,Inputs!$B$34:$B$45,0)),1)</f>
        <v/>
      </c>
      <c r="G175" s="37">
        <f>Inputs!$C$7*D175*E175*F175</f>
        <v/>
      </c>
      <c r="H175" s="25" t="n"/>
      <c r="I175" s="38">
        <f>IF(H175&lt;&gt;"",H175,G175)</f>
        <v/>
      </c>
    </row>
    <row r="176" ht="16" customHeight="1">
      <c r="A176" s="34">
        <f>DATE(Settings!$B$7,1,1)+170</f>
        <v/>
      </c>
      <c r="B176" s="19">
        <f>TEXT(A176,"ddd")</f>
        <v/>
      </c>
      <c r="C176" s="35">
        <f>IFERROR(INDEX(Inputs!$B$17:$B$20,MATCH(1,(A176&gt;=Inputs!$C$17:$C$20)*(A176&lt;=Inputs!$D$17:$D$20),0)),"")</f>
        <v/>
      </c>
      <c r="D176" s="36">
        <f>IFERROR(INDEX(Inputs!$E$17:$E$20,MATCH(1,(A176&gt;=Inputs!$C$17:$C$20)*(A176&lt;=Inputs!$D$17:$D$20),0)),1)</f>
        <v/>
      </c>
      <c r="E176" s="36">
        <f>INDEX(Inputs!$D$24:$D$30,WEEKDAY(A176,2))</f>
        <v/>
      </c>
      <c r="F176" s="36">
        <f>IFERROR(INDEX(Inputs!$D$34:$D$45,MATCH(A176,Inputs!$B$34:$B$45,0)),1)</f>
        <v/>
      </c>
      <c r="G176" s="37">
        <f>Inputs!$C$7*D176*E176*F176</f>
        <v/>
      </c>
      <c r="H176" s="25" t="n"/>
      <c r="I176" s="38">
        <f>IF(H176&lt;&gt;"",H176,G176)</f>
        <v/>
      </c>
    </row>
    <row r="177" ht="16" customHeight="1">
      <c r="A177" s="34">
        <f>DATE(Settings!$B$7,1,1)+171</f>
        <v/>
      </c>
      <c r="B177" s="19">
        <f>TEXT(A177,"ddd")</f>
        <v/>
      </c>
      <c r="C177" s="35">
        <f>IFERROR(INDEX(Inputs!$B$17:$B$20,MATCH(1,(A177&gt;=Inputs!$C$17:$C$20)*(A177&lt;=Inputs!$D$17:$D$20),0)),"")</f>
        <v/>
      </c>
      <c r="D177" s="36">
        <f>IFERROR(INDEX(Inputs!$E$17:$E$20,MATCH(1,(A177&gt;=Inputs!$C$17:$C$20)*(A177&lt;=Inputs!$D$17:$D$20),0)),1)</f>
        <v/>
      </c>
      <c r="E177" s="36">
        <f>INDEX(Inputs!$D$24:$D$30,WEEKDAY(A177,2))</f>
        <v/>
      </c>
      <c r="F177" s="36">
        <f>IFERROR(INDEX(Inputs!$D$34:$D$45,MATCH(A177,Inputs!$B$34:$B$45,0)),1)</f>
        <v/>
      </c>
      <c r="G177" s="37">
        <f>Inputs!$C$7*D177*E177*F177</f>
        <v/>
      </c>
      <c r="H177" s="25" t="n"/>
      <c r="I177" s="38">
        <f>IF(H177&lt;&gt;"",H177,G177)</f>
        <v/>
      </c>
    </row>
    <row r="178" ht="16" customHeight="1">
      <c r="A178" s="34">
        <f>DATE(Settings!$B$7,1,1)+172</f>
        <v/>
      </c>
      <c r="B178" s="19">
        <f>TEXT(A178,"ddd")</f>
        <v/>
      </c>
      <c r="C178" s="35">
        <f>IFERROR(INDEX(Inputs!$B$17:$B$20,MATCH(1,(A178&gt;=Inputs!$C$17:$C$20)*(A178&lt;=Inputs!$D$17:$D$20),0)),"")</f>
        <v/>
      </c>
      <c r="D178" s="36">
        <f>IFERROR(INDEX(Inputs!$E$17:$E$20,MATCH(1,(A178&gt;=Inputs!$C$17:$C$20)*(A178&lt;=Inputs!$D$17:$D$20),0)),1)</f>
        <v/>
      </c>
      <c r="E178" s="36">
        <f>INDEX(Inputs!$D$24:$D$30,WEEKDAY(A178,2))</f>
        <v/>
      </c>
      <c r="F178" s="36">
        <f>IFERROR(INDEX(Inputs!$D$34:$D$45,MATCH(A178,Inputs!$B$34:$B$45,0)),1)</f>
        <v/>
      </c>
      <c r="G178" s="37">
        <f>Inputs!$C$7*D178*E178*F178</f>
        <v/>
      </c>
      <c r="H178" s="25" t="n"/>
      <c r="I178" s="38">
        <f>IF(H178&lt;&gt;"",H178,G178)</f>
        <v/>
      </c>
    </row>
    <row r="179" ht="16" customHeight="1">
      <c r="A179" s="34">
        <f>DATE(Settings!$B$7,1,1)+173</f>
        <v/>
      </c>
      <c r="B179" s="19">
        <f>TEXT(A179,"ddd")</f>
        <v/>
      </c>
      <c r="C179" s="35">
        <f>IFERROR(INDEX(Inputs!$B$17:$B$20,MATCH(1,(A179&gt;=Inputs!$C$17:$C$20)*(A179&lt;=Inputs!$D$17:$D$20),0)),"")</f>
        <v/>
      </c>
      <c r="D179" s="36">
        <f>IFERROR(INDEX(Inputs!$E$17:$E$20,MATCH(1,(A179&gt;=Inputs!$C$17:$C$20)*(A179&lt;=Inputs!$D$17:$D$20),0)),1)</f>
        <v/>
      </c>
      <c r="E179" s="36">
        <f>INDEX(Inputs!$D$24:$D$30,WEEKDAY(A179,2))</f>
        <v/>
      </c>
      <c r="F179" s="36">
        <f>IFERROR(INDEX(Inputs!$D$34:$D$45,MATCH(A179,Inputs!$B$34:$B$45,0)),1)</f>
        <v/>
      </c>
      <c r="G179" s="37">
        <f>Inputs!$C$7*D179*E179*F179</f>
        <v/>
      </c>
      <c r="H179" s="25" t="n"/>
      <c r="I179" s="38">
        <f>IF(H179&lt;&gt;"",H179,G179)</f>
        <v/>
      </c>
    </row>
    <row r="180" ht="16" customHeight="1">
      <c r="A180" s="34">
        <f>DATE(Settings!$B$7,1,1)+174</f>
        <v/>
      </c>
      <c r="B180" s="19">
        <f>TEXT(A180,"ddd")</f>
        <v/>
      </c>
      <c r="C180" s="35">
        <f>IFERROR(INDEX(Inputs!$B$17:$B$20,MATCH(1,(A180&gt;=Inputs!$C$17:$C$20)*(A180&lt;=Inputs!$D$17:$D$20),0)),"")</f>
        <v/>
      </c>
      <c r="D180" s="36">
        <f>IFERROR(INDEX(Inputs!$E$17:$E$20,MATCH(1,(A180&gt;=Inputs!$C$17:$C$20)*(A180&lt;=Inputs!$D$17:$D$20),0)),1)</f>
        <v/>
      </c>
      <c r="E180" s="36">
        <f>INDEX(Inputs!$D$24:$D$30,WEEKDAY(A180,2))</f>
        <v/>
      </c>
      <c r="F180" s="36">
        <f>IFERROR(INDEX(Inputs!$D$34:$D$45,MATCH(A180,Inputs!$B$34:$B$45,0)),1)</f>
        <v/>
      </c>
      <c r="G180" s="37">
        <f>Inputs!$C$7*D180*E180*F180</f>
        <v/>
      </c>
      <c r="H180" s="25" t="n"/>
      <c r="I180" s="38">
        <f>IF(H180&lt;&gt;"",H180,G180)</f>
        <v/>
      </c>
    </row>
    <row r="181" ht="16" customHeight="1">
      <c r="A181" s="34">
        <f>DATE(Settings!$B$7,1,1)+175</f>
        <v/>
      </c>
      <c r="B181" s="19">
        <f>TEXT(A181,"ddd")</f>
        <v/>
      </c>
      <c r="C181" s="35">
        <f>IFERROR(INDEX(Inputs!$B$17:$B$20,MATCH(1,(A181&gt;=Inputs!$C$17:$C$20)*(A181&lt;=Inputs!$D$17:$D$20),0)),"")</f>
        <v/>
      </c>
      <c r="D181" s="36">
        <f>IFERROR(INDEX(Inputs!$E$17:$E$20,MATCH(1,(A181&gt;=Inputs!$C$17:$C$20)*(A181&lt;=Inputs!$D$17:$D$20),0)),1)</f>
        <v/>
      </c>
      <c r="E181" s="36">
        <f>INDEX(Inputs!$D$24:$D$30,WEEKDAY(A181,2))</f>
        <v/>
      </c>
      <c r="F181" s="36">
        <f>IFERROR(INDEX(Inputs!$D$34:$D$45,MATCH(A181,Inputs!$B$34:$B$45,0)),1)</f>
        <v/>
      </c>
      <c r="G181" s="37">
        <f>Inputs!$C$7*D181*E181*F181</f>
        <v/>
      </c>
      <c r="H181" s="25" t="n"/>
      <c r="I181" s="38">
        <f>IF(H181&lt;&gt;"",H181,G181)</f>
        <v/>
      </c>
    </row>
    <row r="182" ht="16" customHeight="1">
      <c r="A182" s="34">
        <f>DATE(Settings!$B$7,1,1)+176</f>
        <v/>
      </c>
      <c r="B182" s="19">
        <f>TEXT(A182,"ddd")</f>
        <v/>
      </c>
      <c r="C182" s="35">
        <f>IFERROR(INDEX(Inputs!$B$17:$B$20,MATCH(1,(A182&gt;=Inputs!$C$17:$C$20)*(A182&lt;=Inputs!$D$17:$D$20),0)),"")</f>
        <v/>
      </c>
      <c r="D182" s="36">
        <f>IFERROR(INDEX(Inputs!$E$17:$E$20,MATCH(1,(A182&gt;=Inputs!$C$17:$C$20)*(A182&lt;=Inputs!$D$17:$D$20),0)),1)</f>
        <v/>
      </c>
      <c r="E182" s="36">
        <f>INDEX(Inputs!$D$24:$D$30,WEEKDAY(A182,2))</f>
        <v/>
      </c>
      <c r="F182" s="36">
        <f>IFERROR(INDEX(Inputs!$D$34:$D$45,MATCH(A182,Inputs!$B$34:$B$45,0)),1)</f>
        <v/>
      </c>
      <c r="G182" s="37">
        <f>Inputs!$C$7*D182*E182*F182</f>
        <v/>
      </c>
      <c r="H182" s="25" t="n"/>
      <c r="I182" s="38">
        <f>IF(H182&lt;&gt;"",H182,G182)</f>
        <v/>
      </c>
    </row>
    <row r="183" ht="16" customHeight="1">
      <c r="A183" s="34">
        <f>DATE(Settings!$B$7,1,1)+177</f>
        <v/>
      </c>
      <c r="B183" s="19">
        <f>TEXT(A183,"ddd")</f>
        <v/>
      </c>
      <c r="C183" s="35">
        <f>IFERROR(INDEX(Inputs!$B$17:$B$20,MATCH(1,(A183&gt;=Inputs!$C$17:$C$20)*(A183&lt;=Inputs!$D$17:$D$20),0)),"")</f>
        <v/>
      </c>
      <c r="D183" s="36">
        <f>IFERROR(INDEX(Inputs!$E$17:$E$20,MATCH(1,(A183&gt;=Inputs!$C$17:$C$20)*(A183&lt;=Inputs!$D$17:$D$20),0)),1)</f>
        <v/>
      </c>
      <c r="E183" s="36">
        <f>INDEX(Inputs!$D$24:$D$30,WEEKDAY(A183,2))</f>
        <v/>
      </c>
      <c r="F183" s="36">
        <f>IFERROR(INDEX(Inputs!$D$34:$D$45,MATCH(A183,Inputs!$B$34:$B$45,0)),1)</f>
        <v/>
      </c>
      <c r="G183" s="37">
        <f>Inputs!$C$7*D183*E183*F183</f>
        <v/>
      </c>
      <c r="H183" s="25" t="n"/>
      <c r="I183" s="38">
        <f>IF(H183&lt;&gt;"",H183,G183)</f>
        <v/>
      </c>
    </row>
    <row r="184" ht="16" customHeight="1">
      <c r="A184" s="34">
        <f>DATE(Settings!$B$7,1,1)+178</f>
        <v/>
      </c>
      <c r="B184" s="19">
        <f>TEXT(A184,"ddd")</f>
        <v/>
      </c>
      <c r="C184" s="35">
        <f>IFERROR(INDEX(Inputs!$B$17:$B$20,MATCH(1,(A184&gt;=Inputs!$C$17:$C$20)*(A184&lt;=Inputs!$D$17:$D$20),0)),"")</f>
        <v/>
      </c>
      <c r="D184" s="36">
        <f>IFERROR(INDEX(Inputs!$E$17:$E$20,MATCH(1,(A184&gt;=Inputs!$C$17:$C$20)*(A184&lt;=Inputs!$D$17:$D$20),0)),1)</f>
        <v/>
      </c>
      <c r="E184" s="36">
        <f>INDEX(Inputs!$D$24:$D$30,WEEKDAY(A184,2))</f>
        <v/>
      </c>
      <c r="F184" s="36">
        <f>IFERROR(INDEX(Inputs!$D$34:$D$45,MATCH(A184,Inputs!$B$34:$B$45,0)),1)</f>
        <v/>
      </c>
      <c r="G184" s="37">
        <f>Inputs!$C$7*D184*E184*F184</f>
        <v/>
      </c>
      <c r="H184" s="25" t="n"/>
      <c r="I184" s="38">
        <f>IF(H184&lt;&gt;"",H184,G184)</f>
        <v/>
      </c>
    </row>
    <row r="185" ht="16" customHeight="1">
      <c r="A185" s="34">
        <f>DATE(Settings!$B$7,1,1)+179</f>
        <v/>
      </c>
      <c r="B185" s="19">
        <f>TEXT(A185,"ddd")</f>
        <v/>
      </c>
      <c r="C185" s="35">
        <f>IFERROR(INDEX(Inputs!$B$17:$B$20,MATCH(1,(A185&gt;=Inputs!$C$17:$C$20)*(A185&lt;=Inputs!$D$17:$D$20),0)),"")</f>
        <v/>
      </c>
      <c r="D185" s="36">
        <f>IFERROR(INDEX(Inputs!$E$17:$E$20,MATCH(1,(A185&gt;=Inputs!$C$17:$C$20)*(A185&lt;=Inputs!$D$17:$D$20),0)),1)</f>
        <v/>
      </c>
      <c r="E185" s="36">
        <f>INDEX(Inputs!$D$24:$D$30,WEEKDAY(A185,2))</f>
        <v/>
      </c>
      <c r="F185" s="36">
        <f>IFERROR(INDEX(Inputs!$D$34:$D$45,MATCH(A185,Inputs!$B$34:$B$45,0)),1)</f>
        <v/>
      </c>
      <c r="G185" s="37">
        <f>Inputs!$C$7*D185*E185*F185</f>
        <v/>
      </c>
      <c r="H185" s="25" t="n"/>
      <c r="I185" s="38">
        <f>IF(H185&lt;&gt;"",H185,G185)</f>
        <v/>
      </c>
    </row>
    <row r="186" ht="16" customHeight="1">
      <c r="A186" s="34">
        <f>DATE(Settings!$B$7,1,1)+180</f>
        <v/>
      </c>
      <c r="B186" s="19">
        <f>TEXT(A186,"ddd")</f>
        <v/>
      </c>
      <c r="C186" s="35">
        <f>IFERROR(INDEX(Inputs!$B$17:$B$20,MATCH(1,(A186&gt;=Inputs!$C$17:$C$20)*(A186&lt;=Inputs!$D$17:$D$20),0)),"")</f>
        <v/>
      </c>
      <c r="D186" s="36">
        <f>IFERROR(INDEX(Inputs!$E$17:$E$20,MATCH(1,(A186&gt;=Inputs!$C$17:$C$20)*(A186&lt;=Inputs!$D$17:$D$20),0)),1)</f>
        <v/>
      </c>
      <c r="E186" s="36">
        <f>INDEX(Inputs!$D$24:$D$30,WEEKDAY(A186,2))</f>
        <v/>
      </c>
      <c r="F186" s="36">
        <f>IFERROR(INDEX(Inputs!$D$34:$D$45,MATCH(A186,Inputs!$B$34:$B$45,0)),1)</f>
        <v/>
      </c>
      <c r="G186" s="37">
        <f>Inputs!$C$7*D186*E186*F186</f>
        <v/>
      </c>
      <c r="H186" s="25" t="n"/>
      <c r="I186" s="38">
        <f>IF(H186&lt;&gt;"",H186,G186)</f>
        <v/>
      </c>
    </row>
    <row r="187" ht="16" customHeight="1">
      <c r="A187" s="34">
        <f>DATE(Settings!$B$7,1,1)+181</f>
        <v/>
      </c>
      <c r="B187" s="19">
        <f>TEXT(A187,"ddd")</f>
        <v/>
      </c>
      <c r="C187" s="35">
        <f>IFERROR(INDEX(Inputs!$B$17:$B$20,MATCH(1,(A187&gt;=Inputs!$C$17:$C$20)*(A187&lt;=Inputs!$D$17:$D$20),0)),"")</f>
        <v/>
      </c>
      <c r="D187" s="36">
        <f>IFERROR(INDEX(Inputs!$E$17:$E$20,MATCH(1,(A187&gt;=Inputs!$C$17:$C$20)*(A187&lt;=Inputs!$D$17:$D$20),0)),1)</f>
        <v/>
      </c>
      <c r="E187" s="36">
        <f>INDEX(Inputs!$D$24:$D$30,WEEKDAY(A187,2))</f>
        <v/>
      </c>
      <c r="F187" s="36">
        <f>IFERROR(INDEX(Inputs!$D$34:$D$45,MATCH(A187,Inputs!$B$34:$B$45,0)),1)</f>
        <v/>
      </c>
      <c r="G187" s="37">
        <f>Inputs!$C$7*D187*E187*F187</f>
        <v/>
      </c>
      <c r="H187" s="25" t="n"/>
      <c r="I187" s="38">
        <f>IF(H187&lt;&gt;"",H187,G187)</f>
        <v/>
      </c>
    </row>
    <row r="188" ht="16" customHeight="1">
      <c r="A188" s="34">
        <f>DATE(Settings!$B$7,1,1)+182</f>
        <v/>
      </c>
      <c r="B188" s="19">
        <f>TEXT(A188,"ddd")</f>
        <v/>
      </c>
      <c r="C188" s="35">
        <f>IFERROR(INDEX(Inputs!$B$17:$B$20,MATCH(1,(A188&gt;=Inputs!$C$17:$C$20)*(A188&lt;=Inputs!$D$17:$D$20),0)),"")</f>
        <v/>
      </c>
      <c r="D188" s="36">
        <f>IFERROR(INDEX(Inputs!$E$17:$E$20,MATCH(1,(A188&gt;=Inputs!$C$17:$C$20)*(A188&lt;=Inputs!$D$17:$D$20),0)),1)</f>
        <v/>
      </c>
      <c r="E188" s="36">
        <f>INDEX(Inputs!$D$24:$D$30,WEEKDAY(A188,2))</f>
        <v/>
      </c>
      <c r="F188" s="36">
        <f>IFERROR(INDEX(Inputs!$D$34:$D$45,MATCH(A188,Inputs!$B$34:$B$45,0)),1)</f>
        <v/>
      </c>
      <c r="G188" s="37">
        <f>Inputs!$C$7*D188*E188*F188</f>
        <v/>
      </c>
      <c r="H188" s="25" t="n"/>
      <c r="I188" s="38">
        <f>IF(H188&lt;&gt;"",H188,G188)</f>
        <v/>
      </c>
    </row>
    <row r="189" ht="16" customHeight="1">
      <c r="A189" s="34">
        <f>DATE(Settings!$B$7,1,1)+183</f>
        <v/>
      </c>
      <c r="B189" s="19">
        <f>TEXT(A189,"ddd")</f>
        <v/>
      </c>
      <c r="C189" s="35">
        <f>IFERROR(INDEX(Inputs!$B$17:$B$20,MATCH(1,(A189&gt;=Inputs!$C$17:$C$20)*(A189&lt;=Inputs!$D$17:$D$20),0)),"")</f>
        <v/>
      </c>
      <c r="D189" s="36">
        <f>IFERROR(INDEX(Inputs!$E$17:$E$20,MATCH(1,(A189&gt;=Inputs!$C$17:$C$20)*(A189&lt;=Inputs!$D$17:$D$20),0)),1)</f>
        <v/>
      </c>
      <c r="E189" s="36">
        <f>INDEX(Inputs!$D$24:$D$30,WEEKDAY(A189,2))</f>
        <v/>
      </c>
      <c r="F189" s="36">
        <f>IFERROR(INDEX(Inputs!$D$34:$D$45,MATCH(A189,Inputs!$B$34:$B$45,0)),1)</f>
        <v/>
      </c>
      <c r="G189" s="37">
        <f>Inputs!$C$7*D189*E189*F189</f>
        <v/>
      </c>
      <c r="H189" s="25" t="n"/>
      <c r="I189" s="38">
        <f>IF(H189&lt;&gt;"",H189,G189)</f>
        <v/>
      </c>
    </row>
    <row r="190" ht="16" customHeight="1">
      <c r="A190" s="34">
        <f>DATE(Settings!$B$7,1,1)+184</f>
        <v/>
      </c>
      <c r="B190" s="19">
        <f>TEXT(A190,"ddd")</f>
        <v/>
      </c>
      <c r="C190" s="35">
        <f>IFERROR(INDEX(Inputs!$B$17:$B$20,MATCH(1,(A190&gt;=Inputs!$C$17:$C$20)*(A190&lt;=Inputs!$D$17:$D$20),0)),"")</f>
        <v/>
      </c>
      <c r="D190" s="36">
        <f>IFERROR(INDEX(Inputs!$E$17:$E$20,MATCH(1,(A190&gt;=Inputs!$C$17:$C$20)*(A190&lt;=Inputs!$D$17:$D$20),0)),1)</f>
        <v/>
      </c>
      <c r="E190" s="36">
        <f>INDEX(Inputs!$D$24:$D$30,WEEKDAY(A190,2))</f>
        <v/>
      </c>
      <c r="F190" s="36">
        <f>IFERROR(INDEX(Inputs!$D$34:$D$45,MATCH(A190,Inputs!$B$34:$B$45,0)),1)</f>
        <v/>
      </c>
      <c r="G190" s="37">
        <f>Inputs!$C$7*D190*E190*F190</f>
        <v/>
      </c>
      <c r="H190" s="25" t="n"/>
      <c r="I190" s="38">
        <f>IF(H190&lt;&gt;"",H190,G190)</f>
        <v/>
      </c>
    </row>
    <row r="191" ht="16" customHeight="1">
      <c r="A191" s="34">
        <f>DATE(Settings!$B$7,1,1)+185</f>
        <v/>
      </c>
      <c r="B191" s="19">
        <f>TEXT(A191,"ddd")</f>
        <v/>
      </c>
      <c r="C191" s="35">
        <f>IFERROR(INDEX(Inputs!$B$17:$B$20,MATCH(1,(A191&gt;=Inputs!$C$17:$C$20)*(A191&lt;=Inputs!$D$17:$D$20),0)),"")</f>
        <v/>
      </c>
      <c r="D191" s="36">
        <f>IFERROR(INDEX(Inputs!$E$17:$E$20,MATCH(1,(A191&gt;=Inputs!$C$17:$C$20)*(A191&lt;=Inputs!$D$17:$D$20),0)),1)</f>
        <v/>
      </c>
      <c r="E191" s="36">
        <f>INDEX(Inputs!$D$24:$D$30,WEEKDAY(A191,2))</f>
        <v/>
      </c>
      <c r="F191" s="36">
        <f>IFERROR(INDEX(Inputs!$D$34:$D$45,MATCH(A191,Inputs!$B$34:$B$45,0)),1)</f>
        <v/>
      </c>
      <c r="G191" s="37">
        <f>Inputs!$C$7*D191*E191*F191</f>
        <v/>
      </c>
      <c r="H191" s="25" t="n"/>
      <c r="I191" s="38">
        <f>IF(H191&lt;&gt;"",H191,G191)</f>
        <v/>
      </c>
    </row>
    <row r="192" ht="16" customHeight="1">
      <c r="A192" s="34">
        <f>DATE(Settings!$B$7,1,1)+186</f>
        <v/>
      </c>
      <c r="B192" s="19">
        <f>TEXT(A192,"ddd")</f>
        <v/>
      </c>
      <c r="C192" s="35">
        <f>IFERROR(INDEX(Inputs!$B$17:$B$20,MATCH(1,(A192&gt;=Inputs!$C$17:$C$20)*(A192&lt;=Inputs!$D$17:$D$20),0)),"")</f>
        <v/>
      </c>
      <c r="D192" s="36">
        <f>IFERROR(INDEX(Inputs!$E$17:$E$20,MATCH(1,(A192&gt;=Inputs!$C$17:$C$20)*(A192&lt;=Inputs!$D$17:$D$20),0)),1)</f>
        <v/>
      </c>
      <c r="E192" s="36">
        <f>INDEX(Inputs!$D$24:$D$30,WEEKDAY(A192,2))</f>
        <v/>
      </c>
      <c r="F192" s="36">
        <f>IFERROR(INDEX(Inputs!$D$34:$D$45,MATCH(A192,Inputs!$B$34:$B$45,0)),1)</f>
        <v/>
      </c>
      <c r="G192" s="37">
        <f>Inputs!$C$7*D192*E192*F192</f>
        <v/>
      </c>
      <c r="H192" s="25" t="n"/>
      <c r="I192" s="38">
        <f>IF(H192&lt;&gt;"",H192,G192)</f>
        <v/>
      </c>
    </row>
    <row r="193" ht="16" customHeight="1">
      <c r="A193" s="34">
        <f>DATE(Settings!$B$7,1,1)+187</f>
        <v/>
      </c>
      <c r="B193" s="19">
        <f>TEXT(A193,"ddd")</f>
        <v/>
      </c>
      <c r="C193" s="35">
        <f>IFERROR(INDEX(Inputs!$B$17:$B$20,MATCH(1,(A193&gt;=Inputs!$C$17:$C$20)*(A193&lt;=Inputs!$D$17:$D$20),0)),"")</f>
        <v/>
      </c>
      <c r="D193" s="36">
        <f>IFERROR(INDEX(Inputs!$E$17:$E$20,MATCH(1,(A193&gt;=Inputs!$C$17:$C$20)*(A193&lt;=Inputs!$D$17:$D$20),0)),1)</f>
        <v/>
      </c>
      <c r="E193" s="36">
        <f>INDEX(Inputs!$D$24:$D$30,WEEKDAY(A193,2))</f>
        <v/>
      </c>
      <c r="F193" s="36">
        <f>IFERROR(INDEX(Inputs!$D$34:$D$45,MATCH(A193,Inputs!$B$34:$B$45,0)),1)</f>
        <v/>
      </c>
      <c r="G193" s="37">
        <f>Inputs!$C$7*D193*E193*F193</f>
        <v/>
      </c>
      <c r="H193" s="25" t="n"/>
      <c r="I193" s="38">
        <f>IF(H193&lt;&gt;"",H193,G193)</f>
        <v/>
      </c>
    </row>
    <row r="194" ht="16" customHeight="1">
      <c r="A194" s="34">
        <f>DATE(Settings!$B$7,1,1)+188</f>
        <v/>
      </c>
      <c r="B194" s="19">
        <f>TEXT(A194,"ddd")</f>
        <v/>
      </c>
      <c r="C194" s="35">
        <f>IFERROR(INDEX(Inputs!$B$17:$B$20,MATCH(1,(A194&gt;=Inputs!$C$17:$C$20)*(A194&lt;=Inputs!$D$17:$D$20),0)),"")</f>
        <v/>
      </c>
      <c r="D194" s="36">
        <f>IFERROR(INDEX(Inputs!$E$17:$E$20,MATCH(1,(A194&gt;=Inputs!$C$17:$C$20)*(A194&lt;=Inputs!$D$17:$D$20),0)),1)</f>
        <v/>
      </c>
      <c r="E194" s="36">
        <f>INDEX(Inputs!$D$24:$D$30,WEEKDAY(A194,2))</f>
        <v/>
      </c>
      <c r="F194" s="36">
        <f>IFERROR(INDEX(Inputs!$D$34:$D$45,MATCH(A194,Inputs!$B$34:$B$45,0)),1)</f>
        <v/>
      </c>
      <c r="G194" s="37">
        <f>Inputs!$C$7*D194*E194*F194</f>
        <v/>
      </c>
      <c r="H194" s="25" t="n"/>
      <c r="I194" s="38">
        <f>IF(H194&lt;&gt;"",H194,G194)</f>
        <v/>
      </c>
    </row>
    <row r="195" ht="16" customHeight="1">
      <c r="A195" s="34">
        <f>DATE(Settings!$B$7,1,1)+189</f>
        <v/>
      </c>
      <c r="B195" s="19">
        <f>TEXT(A195,"ddd")</f>
        <v/>
      </c>
      <c r="C195" s="35">
        <f>IFERROR(INDEX(Inputs!$B$17:$B$20,MATCH(1,(A195&gt;=Inputs!$C$17:$C$20)*(A195&lt;=Inputs!$D$17:$D$20),0)),"")</f>
        <v/>
      </c>
      <c r="D195" s="36">
        <f>IFERROR(INDEX(Inputs!$E$17:$E$20,MATCH(1,(A195&gt;=Inputs!$C$17:$C$20)*(A195&lt;=Inputs!$D$17:$D$20),0)),1)</f>
        <v/>
      </c>
      <c r="E195" s="36">
        <f>INDEX(Inputs!$D$24:$D$30,WEEKDAY(A195,2))</f>
        <v/>
      </c>
      <c r="F195" s="36">
        <f>IFERROR(INDEX(Inputs!$D$34:$D$45,MATCH(A195,Inputs!$B$34:$B$45,0)),1)</f>
        <v/>
      </c>
      <c r="G195" s="37">
        <f>Inputs!$C$7*D195*E195*F195</f>
        <v/>
      </c>
      <c r="H195" s="25" t="n"/>
      <c r="I195" s="38">
        <f>IF(H195&lt;&gt;"",H195,G195)</f>
        <v/>
      </c>
    </row>
    <row r="196" ht="16" customHeight="1">
      <c r="A196" s="34">
        <f>DATE(Settings!$B$7,1,1)+190</f>
        <v/>
      </c>
      <c r="B196" s="19">
        <f>TEXT(A196,"ddd")</f>
        <v/>
      </c>
      <c r="C196" s="35">
        <f>IFERROR(INDEX(Inputs!$B$17:$B$20,MATCH(1,(A196&gt;=Inputs!$C$17:$C$20)*(A196&lt;=Inputs!$D$17:$D$20),0)),"")</f>
        <v/>
      </c>
      <c r="D196" s="36">
        <f>IFERROR(INDEX(Inputs!$E$17:$E$20,MATCH(1,(A196&gt;=Inputs!$C$17:$C$20)*(A196&lt;=Inputs!$D$17:$D$20),0)),1)</f>
        <v/>
      </c>
      <c r="E196" s="36">
        <f>INDEX(Inputs!$D$24:$D$30,WEEKDAY(A196,2))</f>
        <v/>
      </c>
      <c r="F196" s="36">
        <f>IFERROR(INDEX(Inputs!$D$34:$D$45,MATCH(A196,Inputs!$B$34:$B$45,0)),1)</f>
        <v/>
      </c>
      <c r="G196" s="37">
        <f>Inputs!$C$7*D196*E196*F196</f>
        <v/>
      </c>
      <c r="H196" s="25" t="n"/>
      <c r="I196" s="38">
        <f>IF(H196&lt;&gt;"",H196,G196)</f>
        <v/>
      </c>
    </row>
    <row r="197" ht="16" customHeight="1">
      <c r="A197" s="34">
        <f>DATE(Settings!$B$7,1,1)+191</f>
        <v/>
      </c>
      <c r="B197" s="19">
        <f>TEXT(A197,"ddd")</f>
        <v/>
      </c>
      <c r="C197" s="35">
        <f>IFERROR(INDEX(Inputs!$B$17:$B$20,MATCH(1,(A197&gt;=Inputs!$C$17:$C$20)*(A197&lt;=Inputs!$D$17:$D$20),0)),"")</f>
        <v/>
      </c>
      <c r="D197" s="36">
        <f>IFERROR(INDEX(Inputs!$E$17:$E$20,MATCH(1,(A197&gt;=Inputs!$C$17:$C$20)*(A197&lt;=Inputs!$D$17:$D$20),0)),1)</f>
        <v/>
      </c>
      <c r="E197" s="36">
        <f>INDEX(Inputs!$D$24:$D$30,WEEKDAY(A197,2))</f>
        <v/>
      </c>
      <c r="F197" s="36">
        <f>IFERROR(INDEX(Inputs!$D$34:$D$45,MATCH(A197,Inputs!$B$34:$B$45,0)),1)</f>
        <v/>
      </c>
      <c r="G197" s="37">
        <f>Inputs!$C$7*D197*E197*F197</f>
        <v/>
      </c>
      <c r="H197" s="25" t="n"/>
      <c r="I197" s="38">
        <f>IF(H197&lt;&gt;"",H197,G197)</f>
        <v/>
      </c>
    </row>
    <row r="198" ht="16" customHeight="1">
      <c r="A198" s="34">
        <f>DATE(Settings!$B$7,1,1)+192</f>
        <v/>
      </c>
      <c r="B198" s="19">
        <f>TEXT(A198,"ddd")</f>
        <v/>
      </c>
      <c r="C198" s="35">
        <f>IFERROR(INDEX(Inputs!$B$17:$B$20,MATCH(1,(A198&gt;=Inputs!$C$17:$C$20)*(A198&lt;=Inputs!$D$17:$D$20),0)),"")</f>
        <v/>
      </c>
      <c r="D198" s="36">
        <f>IFERROR(INDEX(Inputs!$E$17:$E$20,MATCH(1,(A198&gt;=Inputs!$C$17:$C$20)*(A198&lt;=Inputs!$D$17:$D$20),0)),1)</f>
        <v/>
      </c>
      <c r="E198" s="36">
        <f>INDEX(Inputs!$D$24:$D$30,WEEKDAY(A198,2))</f>
        <v/>
      </c>
      <c r="F198" s="36">
        <f>IFERROR(INDEX(Inputs!$D$34:$D$45,MATCH(A198,Inputs!$B$34:$B$45,0)),1)</f>
        <v/>
      </c>
      <c r="G198" s="37">
        <f>Inputs!$C$7*D198*E198*F198</f>
        <v/>
      </c>
      <c r="H198" s="25" t="n"/>
      <c r="I198" s="38">
        <f>IF(H198&lt;&gt;"",H198,G198)</f>
        <v/>
      </c>
    </row>
    <row r="199" ht="16" customHeight="1">
      <c r="A199" s="34">
        <f>DATE(Settings!$B$7,1,1)+193</f>
        <v/>
      </c>
      <c r="B199" s="19">
        <f>TEXT(A199,"ddd")</f>
        <v/>
      </c>
      <c r="C199" s="35">
        <f>IFERROR(INDEX(Inputs!$B$17:$B$20,MATCH(1,(A199&gt;=Inputs!$C$17:$C$20)*(A199&lt;=Inputs!$D$17:$D$20),0)),"")</f>
        <v/>
      </c>
      <c r="D199" s="36">
        <f>IFERROR(INDEX(Inputs!$E$17:$E$20,MATCH(1,(A199&gt;=Inputs!$C$17:$C$20)*(A199&lt;=Inputs!$D$17:$D$20),0)),1)</f>
        <v/>
      </c>
      <c r="E199" s="36">
        <f>INDEX(Inputs!$D$24:$D$30,WEEKDAY(A199,2))</f>
        <v/>
      </c>
      <c r="F199" s="36">
        <f>IFERROR(INDEX(Inputs!$D$34:$D$45,MATCH(A199,Inputs!$B$34:$B$45,0)),1)</f>
        <v/>
      </c>
      <c r="G199" s="37">
        <f>Inputs!$C$7*D199*E199*F199</f>
        <v/>
      </c>
      <c r="H199" s="25" t="n"/>
      <c r="I199" s="38">
        <f>IF(H199&lt;&gt;"",H199,G199)</f>
        <v/>
      </c>
    </row>
    <row r="200" ht="16" customHeight="1">
      <c r="A200" s="34">
        <f>DATE(Settings!$B$7,1,1)+194</f>
        <v/>
      </c>
      <c r="B200" s="19">
        <f>TEXT(A200,"ddd")</f>
        <v/>
      </c>
      <c r="C200" s="35">
        <f>IFERROR(INDEX(Inputs!$B$17:$B$20,MATCH(1,(A200&gt;=Inputs!$C$17:$C$20)*(A200&lt;=Inputs!$D$17:$D$20),0)),"")</f>
        <v/>
      </c>
      <c r="D200" s="36">
        <f>IFERROR(INDEX(Inputs!$E$17:$E$20,MATCH(1,(A200&gt;=Inputs!$C$17:$C$20)*(A200&lt;=Inputs!$D$17:$D$20),0)),1)</f>
        <v/>
      </c>
      <c r="E200" s="36">
        <f>INDEX(Inputs!$D$24:$D$30,WEEKDAY(A200,2))</f>
        <v/>
      </c>
      <c r="F200" s="36">
        <f>IFERROR(INDEX(Inputs!$D$34:$D$45,MATCH(A200,Inputs!$B$34:$B$45,0)),1)</f>
        <v/>
      </c>
      <c r="G200" s="37">
        <f>Inputs!$C$7*D200*E200*F200</f>
        <v/>
      </c>
      <c r="H200" s="25" t="n"/>
      <c r="I200" s="38">
        <f>IF(H200&lt;&gt;"",H200,G200)</f>
        <v/>
      </c>
    </row>
    <row r="201" ht="16" customHeight="1">
      <c r="A201" s="34">
        <f>DATE(Settings!$B$7,1,1)+195</f>
        <v/>
      </c>
      <c r="B201" s="19">
        <f>TEXT(A201,"ddd")</f>
        <v/>
      </c>
      <c r="C201" s="35">
        <f>IFERROR(INDEX(Inputs!$B$17:$B$20,MATCH(1,(A201&gt;=Inputs!$C$17:$C$20)*(A201&lt;=Inputs!$D$17:$D$20),0)),"")</f>
        <v/>
      </c>
      <c r="D201" s="36">
        <f>IFERROR(INDEX(Inputs!$E$17:$E$20,MATCH(1,(A201&gt;=Inputs!$C$17:$C$20)*(A201&lt;=Inputs!$D$17:$D$20),0)),1)</f>
        <v/>
      </c>
      <c r="E201" s="36">
        <f>INDEX(Inputs!$D$24:$D$30,WEEKDAY(A201,2))</f>
        <v/>
      </c>
      <c r="F201" s="36">
        <f>IFERROR(INDEX(Inputs!$D$34:$D$45,MATCH(A201,Inputs!$B$34:$B$45,0)),1)</f>
        <v/>
      </c>
      <c r="G201" s="37">
        <f>Inputs!$C$7*D201*E201*F201</f>
        <v/>
      </c>
      <c r="H201" s="25" t="n"/>
      <c r="I201" s="38">
        <f>IF(H201&lt;&gt;"",H201,G201)</f>
        <v/>
      </c>
    </row>
    <row r="202" ht="16" customHeight="1">
      <c r="A202" s="34">
        <f>DATE(Settings!$B$7,1,1)+196</f>
        <v/>
      </c>
      <c r="B202" s="19">
        <f>TEXT(A202,"ddd")</f>
        <v/>
      </c>
      <c r="C202" s="35">
        <f>IFERROR(INDEX(Inputs!$B$17:$B$20,MATCH(1,(A202&gt;=Inputs!$C$17:$C$20)*(A202&lt;=Inputs!$D$17:$D$20),0)),"")</f>
        <v/>
      </c>
      <c r="D202" s="36">
        <f>IFERROR(INDEX(Inputs!$E$17:$E$20,MATCH(1,(A202&gt;=Inputs!$C$17:$C$20)*(A202&lt;=Inputs!$D$17:$D$20),0)),1)</f>
        <v/>
      </c>
      <c r="E202" s="36">
        <f>INDEX(Inputs!$D$24:$D$30,WEEKDAY(A202,2))</f>
        <v/>
      </c>
      <c r="F202" s="36">
        <f>IFERROR(INDEX(Inputs!$D$34:$D$45,MATCH(A202,Inputs!$B$34:$B$45,0)),1)</f>
        <v/>
      </c>
      <c r="G202" s="37">
        <f>Inputs!$C$7*D202*E202*F202</f>
        <v/>
      </c>
      <c r="H202" s="25" t="n"/>
      <c r="I202" s="38">
        <f>IF(H202&lt;&gt;"",H202,G202)</f>
        <v/>
      </c>
    </row>
    <row r="203" ht="16" customHeight="1">
      <c r="A203" s="34">
        <f>DATE(Settings!$B$7,1,1)+197</f>
        <v/>
      </c>
      <c r="B203" s="19">
        <f>TEXT(A203,"ddd")</f>
        <v/>
      </c>
      <c r="C203" s="35">
        <f>IFERROR(INDEX(Inputs!$B$17:$B$20,MATCH(1,(A203&gt;=Inputs!$C$17:$C$20)*(A203&lt;=Inputs!$D$17:$D$20),0)),"")</f>
        <v/>
      </c>
      <c r="D203" s="36">
        <f>IFERROR(INDEX(Inputs!$E$17:$E$20,MATCH(1,(A203&gt;=Inputs!$C$17:$C$20)*(A203&lt;=Inputs!$D$17:$D$20),0)),1)</f>
        <v/>
      </c>
      <c r="E203" s="36">
        <f>INDEX(Inputs!$D$24:$D$30,WEEKDAY(A203,2))</f>
        <v/>
      </c>
      <c r="F203" s="36">
        <f>IFERROR(INDEX(Inputs!$D$34:$D$45,MATCH(A203,Inputs!$B$34:$B$45,0)),1)</f>
        <v/>
      </c>
      <c r="G203" s="37">
        <f>Inputs!$C$7*D203*E203*F203</f>
        <v/>
      </c>
      <c r="H203" s="25" t="n"/>
      <c r="I203" s="38">
        <f>IF(H203&lt;&gt;"",H203,G203)</f>
        <v/>
      </c>
    </row>
    <row r="204" ht="16" customHeight="1">
      <c r="A204" s="34">
        <f>DATE(Settings!$B$7,1,1)+198</f>
        <v/>
      </c>
      <c r="B204" s="19">
        <f>TEXT(A204,"ddd")</f>
        <v/>
      </c>
      <c r="C204" s="35">
        <f>IFERROR(INDEX(Inputs!$B$17:$B$20,MATCH(1,(A204&gt;=Inputs!$C$17:$C$20)*(A204&lt;=Inputs!$D$17:$D$20),0)),"")</f>
        <v/>
      </c>
      <c r="D204" s="36">
        <f>IFERROR(INDEX(Inputs!$E$17:$E$20,MATCH(1,(A204&gt;=Inputs!$C$17:$C$20)*(A204&lt;=Inputs!$D$17:$D$20),0)),1)</f>
        <v/>
      </c>
      <c r="E204" s="36">
        <f>INDEX(Inputs!$D$24:$D$30,WEEKDAY(A204,2))</f>
        <v/>
      </c>
      <c r="F204" s="36">
        <f>IFERROR(INDEX(Inputs!$D$34:$D$45,MATCH(A204,Inputs!$B$34:$B$45,0)),1)</f>
        <v/>
      </c>
      <c r="G204" s="37">
        <f>Inputs!$C$7*D204*E204*F204</f>
        <v/>
      </c>
      <c r="H204" s="25" t="n"/>
      <c r="I204" s="38">
        <f>IF(H204&lt;&gt;"",H204,G204)</f>
        <v/>
      </c>
    </row>
    <row r="205" ht="16" customHeight="1">
      <c r="A205" s="34">
        <f>DATE(Settings!$B$7,1,1)+199</f>
        <v/>
      </c>
      <c r="B205" s="19">
        <f>TEXT(A205,"ddd")</f>
        <v/>
      </c>
      <c r="C205" s="35">
        <f>IFERROR(INDEX(Inputs!$B$17:$B$20,MATCH(1,(A205&gt;=Inputs!$C$17:$C$20)*(A205&lt;=Inputs!$D$17:$D$20),0)),"")</f>
        <v/>
      </c>
      <c r="D205" s="36">
        <f>IFERROR(INDEX(Inputs!$E$17:$E$20,MATCH(1,(A205&gt;=Inputs!$C$17:$C$20)*(A205&lt;=Inputs!$D$17:$D$20),0)),1)</f>
        <v/>
      </c>
      <c r="E205" s="36">
        <f>INDEX(Inputs!$D$24:$D$30,WEEKDAY(A205,2))</f>
        <v/>
      </c>
      <c r="F205" s="36">
        <f>IFERROR(INDEX(Inputs!$D$34:$D$45,MATCH(A205,Inputs!$B$34:$B$45,0)),1)</f>
        <v/>
      </c>
      <c r="G205" s="37">
        <f>Inputs!$C$7*D205*E205*F205</f>
        <v/>
      </c>
      <c r="H205" s="25" t="n"/>
      <c r="I205" s="38">
        <f>IF(H205&lt;&gt;"",H205,G205)</f>
        <v/>
      </c>
    </row>
    <row r="206" ht="16" customHeight="1">
      <c r="A206" s="34">
        <f>DATE(Settings!$B$7,1,1)+200</f>
        <v/>
      </c>
      <c r="B206" s="19">
        <f>TEXT(A206,"ddd")</f>
        <v/>
      </c>
      <c r="C206" s="35">
        <f>IFERROR(INDEX(Inputs!$B$17:$B$20,MATCH(1,(A206&gt;=Inputs!$C$17:$C$20)*(A206&lt;=Inputs!$D$17:$D$20),0)),"")</f>
        <v/>
      </c>
      <c r="D206" s="36">
        <f>IFERROR(INDEX(Inputs!$E$17:$E$20,MATCH(1,(A206&gt;=Inputs!$C$17:$C$20)*(A206&lt;=Inputs!$D$17:$D$20),0)),1)</f>
        <v/>
      </c>
      <c r="E206" s="36">
        <f>INDEX(Inputs!$D$24:$D$30,WEEKDAY(A206,2))</f>
        <v/>
      </c>
      <c r="F206" s="36">
        <f>IFERROR(INDEX(Inputs!$D$34:$D$45,MATCH(A206,Inputs!$B$34:$B$45,0)),1)</f>
        <v/>
      </c>
      <c r="G206" s="37">
        <f>Inputs!$C$7*D206*E206*F206</f>
        <v/>
      </c>
      <c r="H206" s="25" t="n"/>
      <c r="I206" s="38">
        <f>IF(H206&lt;&gt;"",H206,G206)</f>
        <v/>
      </c>
    </row>
    <row r="207" ht="16" customHeight="1">
      <c r="A207" s="34">
        <f>DATE(Settings!$B$7,1,1)+201</f>
        <v/>
      </c>
      <c r="B207" s="19">
        <f>TEXT(A207,"ddd")</f>
        <v/>
      </c>
      <c r="C207" s="35">
        <f>IFERROR(INDEX(Inputs!$B$17:$B$20,MATCH(1,(A207&gt;=Inputs!$C$17:$C$20)*(A207&lt;=Inputs!$D$17:$D$20),0)),"")</f>
        <v/>
      </c>
      <c r="D207" s="36">
        <f>IFERROR(INDEX(Inputs!$E$17:$E$20,MATCH(1,(A207&gt;=Inputs!$C$17:$C$20)*(A207&lt;=Inputs!$D$17:$D$20),0)),1)</f>
        <v/>
      </c>
      <c r="E207" s="36">
        <f>INDEX(Inputs!$D$24:$D$30,WEEKDAY(A207,2))</f>
        <v/>
      </c>
      <c r="F207" s="36">
        <f>IFERROR(INDEX(Inputs!$D$34:$D$45,MATCH(A207,Inputs!$B$34:$B$45,0)),1)</f>
        <v/>
      </c>
      <c r="G207" s="37">
        <f>Inputs!$C$7*D207*E207*F207</f>
        <v/>
      </c>
      <c r="H207" s="25" t="n"/>
      <c r="I207" s="38">
        <f>IF(H207&lt;&gt;"",H207,G207)</f>
        <v/>
      </c>
    </row>
    <row r="208" ht="16" customHeight="1">
      <c r="A208" s="34">
        <f>DATE(Settings!$B$7,1,1)+202</f>
        <v/>
      </c>
      <c r="B208" s="19">
        <f>TEXT(A208,"ddd")</f>
        <v/>
      </c>
      <c r="C208" s="35">
        <f>IFERROR(INDEX(Inputs!$B$17:$B$20,MATCH(1,(A208&gt;=Inputs!$C$17:$C$20)*(A208&lt;=Inputs!$D$17:$D$20),0)),"")</f>
        <v/>
      </c>
      <c r="D208" s="36">
        <f>IFERROR(INDEX(Inputs!$E$17:$E$20,MATCH(1,(A208&gt;=Inputs!$C$17:$C$20)*(A208&lt;=Inputs!$D$17:$D$20),0)),1)</f>
        <v/>
      </c>
      <c r="E208" s="36">
        <f>INDEX(Inputs!$D$24:$D$30,WEEKDAY(A208,2))</f>
        <v/>
      </c>
      <c r="F208" s="36">
        <f>IFERROR(INDEX(Inputs!$D$34:$D$45,MATCH(A208,Inputs!$B$34:$B$45,0)),1)</f>
        <v/>
      </c>
      <c r="G208" s="37">
        <f>Inputs!$C$7*D208*E208*F208</f>
        <v/>
      </c>
      <c r="H208" s="25" t="n"/>
      <c r="I208" s="38">
        <f>IF(H208&lt;&gt;"",H208,G208)</f>
        <v/>
      </c>
    </row>
    <row r="209" ht="16" customHeight="1">
      <c r="A209" s="34">
        <f>DATE(Settings!$B$7,1,1)+203</f>
        <v/>
      </c>
      <c r="B209" s="19">
        <f>TEXT(A209,"ddd")</f>
        <v/>
      </c>
      <c r="C209" s="35">
        <f>IFERROR(INDEX(Inputs!$B$17:$B$20,MATCH(1,(A209&gt;=Inputs!$C$17:$C$20)*(A209&lt;=Inputs!$D$17:$D$20),0)),"")</f>
        <v/>
      </c>
      <c r="D209" s="36">
        <f>IFERROR(INDEX(Inputs!$E$17:$E$20,MATCH(1,(A209&gt;=Inputs!$C$17:$C$20)*(A209&lt;=Inputs!$D$17:$D$20),0)),1)</f>
        <v/>
      </c>
      <c r="E209" s="36">
        <f>INDEX(Inputs!$D$24:$D$30,WEEKDAY(A209,2))</f>
        <v/>
      </c>
      <c r="F209" s="36">
        <f>IFERROR(INDEX(Inputs!$D$34:$D$45,MATCH(A209,Inputs!$B$34:$B$45,0)),1)</f>
        <v/>
      </c>
      <c r="G209" s="37">
        <f>Inputs!$C$7*D209*E209*F209</f>
        <v/>
      </c>
      <c r="H209" s="25" t="n"/>
      <c r="I209" s="38">
        <f>IF(H209&lt;&gt;"",H209,G209)</f>
        <v/>
      </c>
    </row>
    <row r="210" ht="16" customHeight="1">
      <c r="A210" s="34">
        <f>DATE(Settings!$B$7,1,1)+204</f>
        <v/>
      </c>
      <c r="B210" s="19">
        <f>TEXT(A210,"ddd")</f>
        <v/>
      </c>
      <c r="C210" s="35">
        <f>IFERROR(INDEX(Inputs!$B$17:$B$20,MATCH(1,(A210&gt;=Inputs!$C$17:$C$20)*(A210&lt;=Inputs!$D$17:$D$20),0)),"")</f>
        <v/>
      </c>
      <c r="D210" s="36">
        <f>IFERROR(INDEX(Inputs!$E$17:$E$20,MATCH(1,(A210&gt;=Inputs!$C$17:$C$20)*(A210&lt;=Inputs!$D$17:$D$20),0)),1)</f>
        <v/>
      </c>
      <c r="E210" s="36">
        <f>INDEX(Inputs!$D$24:$D$30,WEEKDAY(A210,2))</f>
        <v/>
      </c>
      <c r="F210" s="36">
        <f>IFERROR(INDEX(Inputs!$D$34:$D$45,MATCH(A210,Inputs!$B$34:$B$45,0)),1)</f>
        <v/>
      </c>
      <c r="G210" s="37">
        <f>Inputs!$C$7*D210*E210*F210</f>
        <v/>
      </c>
      <c r="H210" s="25" t="n"/>
      <c r="I210" s="38">
        <f>IF(H210&lt;&gt;"",H210,G210)</f>
        <v/>
      </c>
    </row>
    <row r="211" ht="16" customHeight="1">
      <c r="A211" s="34">
        <f>DATE(Settings!$B$7,1,1)+205</f>
        <v/>
      </c>
      <c r="B211" s="19">
        <f>TEXT(A211,"ddd")</f>
        <v/>
      </c>
      <c r="C211" s="35">
        <f>IFERROR(INDEX(Inputs!$B$17:$B$20,MATCH(1,(A211&gt;=Inputs!$C$17:$C$20)*(A211&lt;=Inputs!$D$17:$D$20),0)),"")</f>
        <v/>
      </c>
      <c r="D211" s="36">
        <f>IFERROR(INDEX(Inputs!$E$17:$E$20,MATCH(1,(A211&gt;=Inputs!$C$17:$C$20)*(A211&lt;=Inputs!$D$17:$D$20),0)),1)</f>
        <v/>
      </c>
      <c r="E211" s="36">
        <f>INDEX(Inputs!$D$24:$D$30,WEEKDAY(A211,2))</f>
        <v/>
      </c>
      <c r="F211" s="36">
        <f>IFERROR(INDEX(Inputs!$D$34:$D$45,MATCH(A211,Inputs!$B$34:$B$45,0)),1)</f>
        <v/>
      </c>
      <c r="G211" s="37">
        <f>Inputs!$C$7*D211*E211*F211</f>
        <v/>
      </c>
      <c r="H211" s="25" t="n"/>
      <c r="I211" s="38">
        <f>IF(H211&lt;&gt;"",H211,G211)</f>
        <v/>
      </c>
    </row>
    <row r="212" ht="16" customHeight="1">
      <c r="A212" s="34">
        <f>DATE(Settings!$B$7,1,1)+206</f>
        <v/>
      </c>
      <c r="B212" s="19">
        <f>TEXT(A212,"ddd")</f>
        <v/>
      </c>
      <c r="C212" s="35">
        <f>IFERROR(INDEX(Inputs!$B$17:$B$20,MATCH(1,(A212&gt;=Inputs!$C$17:$C$20)*(A212&lt;=Inputs!$D$17:$D$20),0)),"")</f>
        <v/>
      </c>
      <c r="D212" s="36">
        <f>IFERROR(INDEX(Inputs!$E$17:$E$20,MATCH(1,(A212&gt;=Inputs!$C$17:$C$20)*(A212&lt;=Inputs!$D$17:$D$20),0)),1)</f>
        <v/>
      </c>
      <c r="E212" s="36">
        <f>INDEX(Inputs!$D$24:$D$30,WEEKDAY(A212,2))</f>
        <v/>
      </c>
      <c r="F212" s="36">
        <f>IFERROR(INDEX(Inputs!$D$34:$D$45,MATCH(A212,Inputs!$B$34:$B$45,0)),1)</f>
        <v/>
      </c>
      <c r="G212" s="37">
        <f>Inputs!$C$7*D212*E212*F212</f>
        <v/>
      </c>
      <c r="H212" s="25" t="n"/>
      <c r="I212" s="38">
        <f>IF(H212&lt;&gt;"",H212,G212)</f>
        <v/>
      </c>
    </row>
    <row r="213" ht="16" customHeight="1">
      <c r="A213" s="34">
        <f>DATE(Settings!$B$7,1,1)+207</f>
        <v/>
      </c>
      <c r="B213" s="19">
        <f>TEXT(A213,"ddd")</f>
        <v/>
      </c>
      <c r="C213" s="35">
        <f>IFERROR(INDEX(Inputs!$B$17:$B$20,MATCH(1,(A213&gt;=Inputs!$C$17:$C$20)*(A213&lt;=Inputs!$D$17:$D$20),0)),"")</f>
        <v/>
      </c>
      <c r="D213" s="36">
        <f>IFERROR(INDEX(Inputs!$E$17:$E$20,MATCH(1,(A213&gt;=Inputs!$C$17:$C$20)*(A213&lt;=Inputs!$D$17:$D$20),0)),1)</f>
        <v/>
      </c>
      <c r="E213" s="36">
        <f>INDEX(Inputs!$D$24:$D$30,WEEKDAY(A213,2))</f>
        <v/>
      </c>
      <c r="F213" s="36">
        <f>IFERROR(INDEX(Inputs!$D$34:$D$45,MATCH(A213,Inputs!$B$34:$B$45,0)),1)</f>
        <v/>
      </c>
      <c r="G213" s="37">
        <f>Inputs!$C$7*D213*E213*F213</f>
        <v/>
      </c>
      <c r="H213" s="25" t="n"/>
      <c r="I213" s="38">
        <f>IF(H213&lt;&gt;"",H213,G213)</f>
        <v/>
      </c>
    </row>
    <row r="214" ht="16" customHeight="1">
      <c r="A214" s="34">
        <f>DATE(Settings!$B$7,1,1)+208</f>
        <v/>
      </c>
      <c r="B214" s="19">
        <f>TEXT(A214,"ddd")</f>
        <v/>
      </c>
      <c r="C214" s="35">
        <f>IFERROR(INDEX(Inputs!$B$17:$B$20,MATCH(1,(A214&gt;=Inputs!$C$17:$C$20)*(A214&lt;=Inputs!$D$17:$D$20),0)),"")</f>
        <v/>
      </c>
      <c r="D214" s="36">
        <f>IFERROR(INDEX(Inputs!$E$17:$E$20,MATCH(1,(A214&gt;=Inputs!$C$17:$C$20)*(A214&lt;=Inputs!$D$17:$D$20),0)),1)</f>
        <v/>
      </c>
      <c r="E214" s="36">
        <f>INDEX(Inputs!$D$24:$D$30,WEEKDAY(A214,2))</f>
        <v/>
      </c>
      <c r="F214" s="36">
        <f>IFERROR(INDEX(Inputs!$D$34:$D$45,MATCH(A214,Inputs!$B$34:$B$45,0)),1)</f>
        <v/>
      </c>
      <c r="G214" s="37">
        <f>Inputs!$C$7*D214*E214*F214</f>
        <v/>
      </c>
      <c r="H214" s="25" t="n"/>
      <c r="I214" s="38">
        <f>IF(H214&lt;&gt;"",H214,G214)</f>
        <v/>
      </c>
    </row>
    <row r="215" ht="16" customHeight="1">
      <c r="A215" s="34">
        <f>DATE(Settings!$B$7,1,1)+209</f>
        <v/>
      </c>
      <c r="B215" s="19">
        <f>TEXT(A215,"ddd")</f>
        <v/>
      </c>
      <c r="C215" s="35">
        <f>IFERROR(INDEX(Inputs!$B$17:$B$20,MATCH(1,(A215&gt;=Inputs!$C$17:$C$20)*(A215&lt;=Inputs!$D$17:$D$20),0)),"")</f>
        <v/>
      </c>
      <c r="D215" s="36">
        <f>IFERROR(INDEX(Inputs!$E$17:$E$20,MATCH(1,(A215&gt;=Inputs!$C$17:$C$20)*(A215&lt;=Inputs!$D$17:$D$20),0)),1)</f>
        <v/>
      </c>
      <c r="E215" s="36">
        <f>INDEX(Inputs!$D$24:$D$30,WEEKDAY(A215,2))</f>
        <v/>
      </c>
      <c r="F215" s="36">
        <f>IFERROR(INDEX(Inputs!$D$34:$D$45,MATCH(A215,Inputs!$B$34:$B$45,0)),1)</f>
        <v/>
      </c>
      <c r="G215" s="37">
        <f>Inputs!$C$7*D215*E215*F215</f>
        <v/>
      </c>
      <c r="H215" s="25" t="n"/>
      <c r="I215" s="38">
        <f>IF(H215&lt;&gt;"",H215,G215)</f>
        <v/>
      </c>
    </row>
    <row r="216" ht="16" customHeight="1">
      <c r="A216" s="34">
        <f>DATE(Settings!$B$7,1,1)+210</f>
        <v/>
      </c>
      <c r="B216" s="19">
        <f>TEXT(A216,"ddd")</f>
        <v/>
      </c>
      <c r="C216" s="35">
        <f>IFERROR(INDEX(Inputs!$B$17:$B$20,MATCH(1,(A216&gt;=Inputs!$C$17:$C$20)*(A216&lt;=Inputs!$D$17:$D$20),0)),"")</f>
        <v/>
      </c>
      <c r="D216" s="36">
        <f>IFERROR(INDEX(Inputs!$E$17:$E$20,MATCH(1,(A216&gt;=Inputs!$C$17:$C$20)*(A216&lt;=Inputs!$D$17:$D$20),0)),1)</f>
        <v/>
      </c>
      <c r="E216" s="36">
        <f>INDEX(Inputs!$D$24:$D$30,WEEKDAY(A216,2))</f>
        <v/>
      </c>
      <c r="F216" s="36">
        <f>IFERROR(INDEX(Inputs!$D$34:$D$45,MATCH(A216,Inputs!$B$34:$B$45,0)),1)</f>
        <v/>
      </c>
      <c r="G216" s="37">
        <f>Inputs!$C$7*D216*E216*F216</f>
        <v/>
      </c>
      <c r="H216" s="25" t="n"/>
      <c r="I216" s="38">
        <f>IF(H216&lt;&gt;"",H216,G216)</f>
        <v/>
      </c>
    </row>
    <row r="217" ht="16" customHeight="1">
      <c r="A217" s="34">
        <f>DATE(Settings!$B$7,1,1)+211</f>
        <v/>
      </c>
      <c r="B217" s="19">
        <f>TEXT(A217,"ddd")</f>
        <v/>
      </c>
      <c r="C217" s="35">
        <f>IFERROR(INDEX(Inputs!$B$17:$B$20,MATCH(1,(A217&gt;=Inputs!$C$17:$C$20)*(A217&lt;=Inputs!$D$17:$D$20),0)),"")</f>
        <v/>
      </c>
      <c r="D217" s="36">
        <f>IFERROR(INDEX(Inputs!$E$17:$E$20,MATCH(1,(A217&gt;=Inputs!$C$17:$C$20)*(A217&lt;=Inputs!$D$17:$D$20),0)),1)</f>
        <v/>
      </c>
      <c r="E217" s="36">
        <f>INDEX(Inputs!$D$24:$D$30,WEEKDAY(A217,2))</f>
        <v/>
      </c>
      <c r="F217" s="36">
        <f>IFERROR(INDEX(Inputs!$D$34:$D$45,MATCH(A217,Inputs!$B$34:$B$45,0)),1)</f>
        <v/>
      </c>
      <c r="G217" s="37">
        <f>Inputs!$C$7*D217*E217*F217</f>
        <v/>
      </c>
      <c r="H217" s="25" t="n"/>
      <c r="I217" s="38">
        <f>IF(H217&lt;&gt;"",H217,G217)</f>
        <v/>
      </c>
    </row>
    <row r="218" ht="16" customHeight="1">
      <c r="A218" s="34">
        <f>DATE(Settings!$B$7,1,1)+212</f>
        <v/>
      </c>
      <c r="B218" s="19">
        <f>TEXT(A218,"ddd")</f>
        <v/>
      </c>
      <c r="C218" s="35">
        <f>IFERROR(INDEX(Inputs!$B$17:$B$20,MATCH(1,(A218&gt;=Inputs!$C$17:$C$20)*(A218&lt;=Inputs!$D$17:$D$20),0)),"")</f>
        <v/>
      </c>
      <c r="D218" s="36">
        <f>IFERROR(INDEX(Inputs!$E$17:$E$20,MATCH(1,(A218&gt;=Inputs!$C$17:$C$20)*(A218&lt;=Inputs!$D$17:$D$20),0)),1)</f>
        <v/>
      </c>
      <c r="E218" s="36">
        <f>INDEX(Inputs!$D$24:$D$30,WEEKDAY(A218,2))</f>
        <v/>
      </c>
      <c r="F218" s="36">
        <f>IFERROR(INDEX(Inputs!$D$34:$D$45,MATCH(A218,Inputs!$B$34:$B$45,0)),1)</f>
        <v/>
      </c>
      <c r="G218" s="37">
        <f>Inputs!$C$7*D218*E218*F218</f>
        <v/>
      </c>
      <c r="H218" s="25" t="n"/>
      <c r="I218" s="38">
        <f>IF(H218&lt;&gt;"",H218,G218)</f>
        <v/>
      </c>
    </row>
    <row r="219" ht="16" customHeight="1">
      <c r="A219" s="34">
        <f>DATE(Settings!$B$7,1,1)+213</f>
        <v/>
      </c>
      <c r="B219" s="19">
        <f>TEXT(A219,"ddd")</f>
        <v/>
      </c>
      <c r="C219" s="35">
        <f>IFERROR(INDEX(Inputs!$B$17:$B$20,MATCH(1,(A219&gt;=Inputs!$C$17:$C$20)*(A219&lt;=Inputs!$D$17:$D$20),0)),"")</f>
        <v/>
      </c>
      <c r="D219" s="36">
        <f>IFERROR(INDEX(Inputs!$E$17:$E$20,MATCH(1,(A219&gt;=Inputs!$C$17:$C$20)*(A219&lt;=Inputs!$D$17:$D$20),0)),1)</f>
        <v/>
      </c>
      <c r="E219" s="36">
        <f>INDEX(Inputs!$D$24:$D$30,WEEKDAY(A219,2))</f>
        <v/>
      </c>
      <c r="F219" s="36">
        <f>IFERROR(INDEX(Inputs!$D$34:$D$45,MATCH(A219,Inputs!$B$34:$B$45,0)),1)</f>
        <v/>
      </c>
      <c r="G219" s="37">
        <f>Inputs!$C$7*D219*E219*F219</f>
        <v/>
      </c>
      <c r="H219" s="25" t="n"/>
      <c r="I219" s="38">
        <f>IF(H219&lt;&gt;"",H219,G219)</f>
        <v/>
      </c>
    </row>
    <row r="220" ht="16" customHeight="1">
      <c r="A220" s="34">
        <f>DATE(Settings!$B$7,1,1)+214</f>
        <v/>
      </c>
      <c r="B220" s="19">
        <f>TEXT(A220,"ddd")</f>
        <v/>
      </c>
      <c r="C220" s="35">
        <f>IFERROR(INDEX(Inputs!$B$17:$B$20,MATCH(1,(A220&gt;=Inputs!$C$17:$C$20)*(A220&lt;=Inputs!$D$17:$D$20),0)),"")</f>
        <v/>
      </c>
      <c r="D220" s="36">
        <f>IFERROR(INDEX(Inputs!$E$17:$E$20,MATCH(1,(A220&gt;=Inputs!$C$17:$C$20)*(A220&lt;=Inputs!$D$17:$D$20),0)),1)</f>
        <v/>
      </c>
      <c r="E220" s="36">
        <f>INDEX(Inputs!$D$24:$D$30,WEEKDAY(A220,2))</f>
        <v/>
      </c>
      <c r="F220" s="36">
        <f>IFERROR(INDEX(Inputs!$D$34:$D$45,MATCH(A220,Inputs!$B$34:$B$45,0)),1)</f>
        <v/>
      </c>
      <c r="G220" s="37">
        <f>Inputs!$C$7*D220*E220*F220</f>
        <v/>
      </c>
      <c r="H220" s="25" t="n"/>
      <c r="I220" s="38">
        <f>IF(H220&lt;&gt;"",H220,G220)</f>
        <v/>
      </c>
    </row>
    <row r="221" ht="16" customHeight="1">
      <c r="A221" s="34">
        <f>DATE(Settings!$B$7,1,1)+215</f>
        <v/>
      </c>
      <c r="B221" s="19">
        <f>TEXT(A221,"ddd")</f>
        <v/>
      </c>
      <c r="C221" s="35">
        <f>IFERROR(INDEX(Inputs!$B$17:$B$20,MATCH(1,(A221&gt;=Inputs!$C$17:$C$20)*(A221&lt;=Inputs!$D$17:$D$20),0)),"")</f>
        <v/>
      </c>
      <c r="D221" s="36">
        <f>IFERROR(INDEX(Inputs!$E$17:$E$20,MATCH(1,(A221&gt;=Inputs!$C$17:$C$20)*(A221&lt;=Inputs!$D$17:$D$20),0)),1)</f>
        <v/>
      </c>
      <c r="E221" s="36">
        <f>INDEX(Inputs!$D$24:$D$30,WEEKDAY(A221,2))</f>
        <v/>
      </c>
      <c r="F221" s="36">
        <f>IFERROR(INDEX(Inputs!$D$34:$D$45,MATCH(A221,Inputs!$B$34:$B$45,0)),1)</f>
        <v/>
      </c>
      <c r="G221" s="37">
        <f>Inputs!$C$7*D221*E221*F221</f>
        <v/>
      </c>
      <c r="H221" s="25" t="n"/>
      <c r="I221" s="38">
        <f>IF(H221&lt;&gt;"",H221,G221)</f>
        <v/>
      </c>
    </row>
    <row r="222" ht="16" customHeight="1">
      <c r="A222" s="34">
        <f>DATE(Settings!$B$7,1,1)+216</f>
        <v/>
      </c>
      <c r="B222" s="19">
        <f>TEXT(A222,"ddd")</f>
        <v/>
      </c>
      <c r="C222" s="35">
        <f>IFERROR(INDEX(Inputs!$B$17:$B$20,MATCH(1,(A222&gt;=Inputs!$C$17:$C$20)*(A222&lt;=Inputs!$D$17:$D$20),0)),"")</f>
        <v/>
      </c>
      <c r="D222" s="36">
        <f>IFERROR(INDEX(Inputs!$E$17:$E$20,MATCH(1,(A222&gt;=Inputs!$C$17:$C$20)*(A222&lt;=Inputs!$D$17:$D$20),0)),1)</f>
        <v/>
      </c>
      <c r="E222" s="36">
        <f>INDEX(Inputs!$D$24:$D$30,WEEKDAY(A222,2))</f>
        <v/>
      </c>
      <c r="F222" s="36">
        <f>IFERROR(INDEX(Inputs!$D$34:$D$45,MATCH(A222,Inputs!$B$34:$B$45,0)),1)</f>
        <v/>
      </c>
      <c r="G222" s="37">
        <f>Inputs!$C$7*D222*E222*F222</f>
        <v/>
      </c>
      <c r="H222" s="25" t="n"/>
      <c r="I222" s="38">
        <f>IF(H222&lt;&gt;"",H222,G222)</f>
        <v/>
      </c>
    </row>
    <row r="223" ht="16" customHeight="1">
      <c r="A223" s="34">
        <f>DATE(Settings!$B$7,1,1)+217</f>
        <v/>
      </c>
      <c r="B223" s="19">
        <f>TEXT(A223,"ddd")</f>
        <v/>
      </c>
      <c r="C223" s="35">
        <f>IFERROR(INDEX(Inputs!$B$17:$B$20,MATCH(1,(A223&gt;=Inputs!$C$17:$C$20)*(A223&lt;=Inputs!$D$17:$D$20),0)),"")</f>
        <v/>
      </c>
      <c r="D223" s="36">
        <f>IFERROR(INDEX(Inputs!$E$17:$E$20,MATCH(1,(A223&gt;=Inputs!$C$17:$C$20)*(A223&lt;=Inputs!$D$17:$D$20),0)),1)</f>
        <v/>
      </c>
      <c r="E223" s="36">
        <f>INDEX(Inputs!$D$24:$D$30,WEEKDAY(A223,2))</f>
        <v/>
      </c>
      <c r="F223" s="36">
        <f>IFERROR(INDEX(Inputs!$D$34:$D$45,MATCH(A223,Inputs!$B$34:$B$45,0)),1)</f>
        <v/>
      </c>
      <c r="G223" s="37">
        <f>Inputs!$C$7*D223*E223*F223</f>
        <v/>
      </c>
      <c r="H223" s="25" t="n"/>
      <c r="I223" s="38">
        <f>IF(H223&lt;&gt;"",H223,G223)</f>
        <v/>
      </c>
    </row>
    <row r="224" ht="16" customHeight="1">
      <c r="A224" s="34">
        <f>DATE(Settings!$B$7,1,1)+218</f>
        <v/>
      </c>
      <c r="B224" s="19">
        <f>TEXT(A224,"ddd")</f>
        <v/>
      </c>
      <c r="C224" s="35">
        <f>IFERROR(INDEX(Inputs!$B$17:$B$20,MATCH(1,(A224&gt;=Inputs!$C$17:$C$20)*(A224&lt;=Inputs!$D$17:$D$20),0)),"")</f>
        <v/>
      </c>
      <c r="D224" s="36">
        <f>IFERROR(INDEX(Inputs!$E$17:$E$20,MATCH(1,(A224&gt;=Inputs!$C$17:$C$20)*(A224&lt;=Inputs!$D$17:$D$20),0)),1)</f>
        <v/>
      </c>
      <c r="E224" s="36">
        <f>INDEX(Inputs!$D$24:$D$30,WEEKDAY(A224,2))</f>
        <v/>
      </c>
      <c r="F224" s="36">
        <f>IFERROR(INDEX(Inputs!$D$34:$D$45,MATCH(A224,Inputs!$B$34:$B$45,0)),1)</f>
        <v/>
      </c>
      <c r="G224" s="37">
        <f>Inputs!$C$7*D224*E224*F224</f>
        <v/>
      </c>
      <c r="H224" s="25" t="n"/>
      <c r="I224" s="38">
        <f>IF(H224&lt;&gt;"",H224,G224)</f>
        <v/>
      </c>
    </row>
    <row r="225" ht="16" customHeight="1">
      <c r="A225" s="34">
        <f>DATE(Settings!$B$7,1,1)+219</f>
        <v/>
      </c>
      <c r="B225" s="19">
        <f>TEXT(A225,"ddd")</f>
        <v/>
      </c>
      <c r="C225" s="35">
        <f>IFERROR(INDEX(Inputs!$B$17:$B$20,MATCH(1,(A225&gt;=Inputs!$C$17:$C$20)*(A225&lt;=Inputs!$D$17:$D$20),0)),"")</f>
        <v/>
      </c>
      <c r="D225" s="36">
        <f>IFERROR(INDEX(Inputs!$E$17:$E$20,MATCH(1,(A225&gt;=Inputs!$C$17:$C$20)*(A225&lt;=Inputs!$D$17:$D$20),0)),1)</f>
        <v/>
      </c>
      <c r="E225" s="36">
        <f>INDEX(Inputs!$D$24:$D$30,WEEKDAY(A225,2))</f>
        <v/>
      </c>
      <c r="F225" s="36">
        <f>IFERROR(INDEX(Inputs!$D$34:$D$45,MATCH(A225,Inputs!$B$34:$B$45,0)),1)</f>
        <v/>
      </c>
      <c r="G225" s="37">
        <f>Inputs!$C$7*D225*E225*F225</f>
        <v/>
      </c>
      <c r="H225" s="25" t="n"/>
      <c r="I225" s="38">
        <f>IF(H225&lt;&gt;"",H225,G225)</f>
        <v/>
      </c>
    </row>
    <row r="226" ht="16" customHeight="1">
      <c r="A226" s="34">
        <f>DATE(Settings!$B$7,1,1)+220</f>
        <v/>
      </c>
      <c r="B226" s="19">
        <f>TEXT(A226,"ddd")</f>
        <v/>
      </c>
      <c r="C226" s="35">
        <f>IFERROR(INDEX(Inputs!$B$17:$B$20,MATCH(1,(A226&gt;=Inputs!$C$17:$C$20)*(A226&lt;=Inputs!$D$17:$D$20),0)),"")</f>
        <v/>
      </c>
      <c r="D226" s="36">
        <f>IFERROR(INDEX(Inputs!$E$17:$E$20,MATCH(1,(A226&gt;=Inputs!$C$17:$C$20)*(A226&lt;=Inputs!$D$17:$D$20),0)),1)</f>
        <v/>
      </c>
      <c r="E226" s="36">
        <f>INDEX(Inputs!$D$24:$D$30,WEEKDAY(A226,2))</f>
        <v/>
      </c>
      <c r="F226" s="36">
        <f>IFERROR(INDEX(Inputs!$D$34:$D$45,MATCH(A226,Inputs!$B$34:$B$45,0)),1)</f>
        <v/>
      </c>
      <c r="G226" s="37">
        <f>Inputs!$C$7*D226*E226*F226</f>
        <v/>
      </c>
      <c r="H226" s="25" t="n"/>
      <c r="I226" s="38">
        <f>IF(H226&lt;&gt;"",H226,G226)</f>
        <v/>
      </c>
    </row>
    <row r="227" ht="16" customHeight="1">
      <c r="A227" s="34">
        <f>DATE(Settings!$B$7,1,1)+221</f>
        <v/>
      </c>
      <c r="B227" s="19">
        <f>TEXT(A227,"ddd")</f>
        <v/>
      </c>
      <c r="C227" s="35">
        <f>IFERROR(INDEX(Inputs!$B$17:$B$20,MATCH(1,(A227&gt;=Inputs!$C$17:$C$20)*(A227&lt;=Inputs!$D$17:$D$20),0)),"")</f>
        <v/>
      </c>
      <c r="D227" s="36">
        <f>IFERROR(INDEX(Inputs!$E$17:$E$20,MATCH(1,(A227&gt;=Inputs!$C$17:$C$20)*(A227&lt;=Inputs!$D$17:$D$20),0)),1)</f>
        <v/>
      </c>
      <c r="E227" s="36">
        <f>INDEX(Inputs!$D$24:$D$30,WEEKDAY(A227,2))</f>
        <v/>
      </c>
      <c r="F227" s="36">
        <f>IFERROR(INDEX(Inputs!$D$34:$D$45,MATCH(A227,Inputs!$B$34:$B$45,0)),1)</f>
        <v/>
      </c>
      <c r="G227" s="37">
        <f>Inputs!$C$7*D227*E227*F227</f>
        <v/>
      </c>
      <c r="H227" s="25" t="n"/>
      <c r="I227" s="38">
        <f>IF(H227&lt;&gt;"",H227,G227)</f>
        <v/>
      </c>
    </row>
    <row r="228" ht="16" customHeight="1">
      <c r="A228" s="34">
        <f>DATE(Settings!$B$7,1,1)+222</f>
        <v/>
      </c>
      <c r="B228" s="19">
        <f>TEXT(A228,"ddd")</f>
        <v/>
      </c>
      <c r="C228" s="35">
        <f>IFERROR(INDEX(Inputs!$B$17:$B$20,MATCH(1,(A228&gt;=Inputs!$C$17:$C$20)*(A228&lt;=Inputs!$D$17:$D$20),0)),"")</f>
        <v/>
      </c>
      <c r="D228" s="36">
        <f>IFERROR(INDEX(Inputs!$E$17:$E$20,MATCH(1,(A228&gt;=Inputs!$C$17:$C$20)*(A228&lt;=Inputs!$D$17:$D$20),0)),1)</f>
        <v/>
      </c>
      <c r="E228" s="36">
        <f>INDEX(Inputs!$D$24:$D$30,WEEKDAY(A228,2))</f>
        <v/>
      </c>
      <c r="F228" s="36">
        <f>IFERROR(INDEX(Inputs!$D$34:$D$45,MATCH(A228,Inputs!$B$34:$B$45,0)),1)</f>
        <v/>
      </c>
      <c r="G228" s="37">
        <f>Inputs!$C$7*D228*E228*F228</f>
        <v/>
      </c>
      <c r="H228" s="25" t="n"/>
      <c r="I228" s="38">
        <f>IF(H228&lt;&gt;"",H228,G228)</f>
        <v/>
      </c>
    </row>
    <row r="229" ht="16" customHeight="1">
      <c r="A229" s="34">
        <f>DATE(Settings!$B$7,1,1)+223</f>
        <v/>
      </c>
      <c r="B229" s="19">
        <f>TEXT(A229,"ddd")</f>
        <v/>
      </c>
      <c r="C229" s="35">
        <f>IFERROR(INDEX(Inputs!$B$17:$B$20,MATCH(1,(A229&gt;=Inputs!$C$17:$C$20)*(A229&lt;=Inputs!$D$17:$D$20),0)),"")</f>
        <v/>
      </c>
      <c r="D229" s="36">
        <f>IFERROR(INDEX(Inputs!$E$17:$E$20,MATCH(1,(A229&gt;=Inputs!$C$17:$C$20)*(A229&lt;=Inputs!$D$17:$D$20),0)),1)</f>
        <v/>
      </c>
      <c r="E229" s="36">
        <f>INDEX(Inputs!$D$24:$D$30,WEEKDAY(A229,2))</f>
        <v/>
      </c>
      <c r="F229" s="36">
        <f>IFERROR(INDEX(Inputs!$D$34:$D$45,MATCH(A229,Inputs!$B$34:$B$45,0)),1)</f>
        <v/>
      </c>
      <c r="G229" s="37">
        <f>Inputs!$C$7*D229*E229*F229</f>
        <v/>
      </c>
      <c r="H229" s="25" t="n"/>
      <c r="I229" s="38">
        <f>IF(H229&lt;&gt;"",H229,G229)</f>
        <v/>
      </c>
    </row>
    <row r="230" ht="16" customHeight="1">
      <c r="A230" s="34">
        <f>DATE(Settings!$B$7,1,1)+224</f>
        <v/>
      </c>
      <c r="B230" s="19">
        <f>TEXT(A230,"ddd")</f>
        <v/>
      </c>
      <c r="C230" s="35">
        <f>IFERROR(INDEX(Inputs!$B$17:$B$20,MATCH(1,(A230&gt;=Inputs!$C$17:$C$20)*(A230&lt;=Inputs!$D$17:$D$20),0)),"")</f>
        <v/>
      </c>
      <c r="D230" s="36">
        <f>IFERROR(INDEX(Inputs!$E$17:$E$20,MATCH(1,(A230&gt;=Inputs!$C$17:$C$20)*(A230&lt;=Inputs!$D$17:$D$20),0)),1)</f>
        <v/>
      </c>
      <c r="E230" s="36">
        <f>INDEX(Inputs!$D$24:$D$30,WEEKDAY(A230,2))</f>
        <v/>
      </c>
      <c r="F230" s="36">
        <f>IFERROR(INDEX(Inputs!$D$34:$D$45,MATCH(A230,Inputs!$B$34:$B$45,0)),1)</f>
        <v/>
      </c>
      <c r="G230" s="37">
        <f>Inputs!$C$7*D230*E230*F230</f>
        <v/>
      </c>
      <c r="H230" s="25" t="n"/>
      <c r="I230" s="38">
        <f>IF(H230&lt;&gt;"",H230,G230)</f>
        <v/>
      </c>
    </row>
    <row r="231" ht="16" customHeight="1">
      <c r="A231" s="34">
        <f>DATE(Settings!$B$7,1,1)+225</f>
        <v/>
      </c>
      <c r="B231" s="19">
        <f>TEXT(A231,"ddd")</f>
        <v/>
      </c>
      <c r="C231" s="35">
        <f>IFERROR(INDEX(Inputs!$B$17:$B$20,MATCH(1,(A231&gt;=Inputs!$C$17:$C$20)*(A231&lt;=Inputs!$D$17:$D$20),0)),"")</f>
        <v/>
      </c>
      <c r="D231" s="36">
        <f>IFERROR(INDEX(Inputs!$E$17:$E$20,MATCH(1,(A231&gt;=Inputs!$C$17:$C$20)*(A231&lt;=Inputs!$D$17:$D$20),0)),1)</f>
        <v/>
      </c>
      <c r="E231" s="36">
        <f>INDEX(Inputs!$D$24:$D$30,WEEKDAY(A231,2))</f>
        <v/>
      </c>
      <c r="F231" s="36">
        <f>IFERROR(INDEX(Inputs!$D$34:$D$45,MATCH(A231,Inputs!$B$34:$B$45,0)),1)</f>
        <v/>
      </c>
      <c r="G231" s="37">
        <f>Inputs!$C$7*D231*E231*F231</f>
        <v/>
      </c>
      <c r="H231" s="25" t="n"/>
      <c r="I231" s="38">
        <f>IF(H231&lt;&gt;"",H231,G231)</f>
        <v/>
      </c>
    </row>
    <row r="232" ht="16" customHeight="1">
      <c r="A232" s="34">
        <f>DATE(Settings!$B$7,1,1)+226</f>
        <v/>
      </c>
      <c r="B232" s="19">
        <f>TEXT(A232,"ddd")</f>
        <v/>
      </c>
      <c r="C232" s="35">
        <f>IFERROR(INDEX(Inputs!$B$17:$B$20,MATCH(1,(A232&gt;=Inputs!$C$17:$C$20)*(A232&lt;=Inputs!$D$17:$D$20),0)),"")</f>
        <v/>
      </c>
      <c r="D232" s="36">
        <f>IFERROR(INDEX(Inputs!$E$17:$E$20,MATCH(1,(A232&gt;=Inputs!$C$17:$C$20)*(A232&lt;=Inputs!$D$17:$D$20),0)),1)</f>
        <v/>
      </c>
      <c r="E232" s="36">
        <f>INDEX(Inputs!$D$24:$D$30,WEEKDAY(A232,2))</f>
        <v/>
      </c>
      <c r="F232" s="36">
        <f>IFERROR(INDEX(Inputs!$D$34:$D$45,MATCH(A232,Inputs!$B$34:$B$45,0)),1)</f>
        <v/>
      </c>
      <c r="G232" s="37">
        <f>Inputs!$C$7*D232*E232*F232</f>
        <v/>
      </c>
      <c r="H232" s="25" t="n"/>
      <c r="I232" s="38">
        <f>IF(H232&lt;&gt;"",H232,G232)</f>
        <v/>
      </c>
    </row>
    <row r="233" ht="16" customHeight="1">
      <c r="A233" s="34">
        <f>DATE(Settings!$B$7,1,1)+227</f>
        <v/>
      </c>
      <c r="B233" s="19">
        <f>TEXT(A233,"ddd")</f>
        <v/>
      </c>
      <c r="C233" s="35">
        <f>IFERROR(INDEX(Inputs!$B$17:$B$20,MATCH(1,(A233&gt;=Inputs!$C$17:$C$20)*(A233&lt;=Inputs!$D$17:$D$20),0)),"")</f>
        <v/>
      </c>
      <c r="D233" s="36">
        <f>IFERROR(INDEX(Inputs!$E$17:$E$20,MATCH(1,(A233&gt;=Inputs!$C$17:$C$20)*(A233&lt;=Inputs!$D$17:$D$20),0)),1)</f>
        <v/>
      </c>
      <c r="E233" s="36">
        <f>INDEX(Inputs!$D$24:$D$30,WEEKDAY(A233,2))</f>
        <v/>
      </c>
      <c r="F233" s="36">
        <f>IFERROR(INDEX(Inputs!$D$34:$D$45,MATCH(A233,Inputs!$B$34:$B$45,0)),1)</f>
        <v/>
      </c>
      <c r="G233" s="37">
        <f>Inputs!$C$7*D233*E233*F233</f>
        <v/>
      </c>
      <c r="H233" s="25" t="n"/>
      <c r="I233" s="38">
        <f>IF(H233&lt;&gt;"",H233,G233)</f>
        <v/>
      </c>
    </row>
    <row r="234" ht="16" customHeight="1">
      <c r="A234" s="34">
        <f>DATE(Settings!$B$7,1,1)+228</f>
        <v/>
      </c>
      <c r="B234" s="19">
        <f>TEXT(A234,"ddd")</f>
        <v/>
      </c>
      <c r="C234" s="35">
        <f>IFERROR(INDEX(Inputs!$B$17:$B$20,MATCH(1,(A234&gt;=Inputs!$C$17:$C$20)*(A234&lt;=Inputs!$D$17:$D$20),0)),"")</f>
        <v/>
      </c>
      <c r="D234" s="36">
        <f>IFERROR(INDEX(Inputs!$E$17:$E$20,MATCH(1,(A234&gt;=Inputs!$C$17:$C$20)*(A234&lt;=Inputs!$D$17:$D$20),0)),1)</f>
        <v/>
      </c>
      <c r="E234" s="36">
        <f>INDEX(Inputs!$D$24:$D$30,WEEKDAY(A234,2))</f>
        <v/>
      </c>
      <c r="F234" s="36">
        <f>IFERROR(INDEX(Inputs!$D$34:$D$45,MATCH(A234,Inputs!$B$34:$B$45,0)),1)</f>
        <v/>
      </c>
      <c r="G234" s="37">
        <f>Inputs!$C$7*D234*E234*F234</f>
        <v/>
      </c>
      <c r="H234" s="25" t="n"/>
      <c r="I234" s="38">
        <f>IF(H234&lt;&gt;"",H234,G234)</f>
        <v/>
      </c>
    </row>
    <row r="235" ht="16" customHeight="1">
      <c r="A235" s="34">
        <f>DATE(Settings!$B$7,1,1)+229</f>
        <v/>
      </c>
      <c r="B235" s="19">
        <f>TEXT(A235,"ddd")</f>
        <v/>
      </c>
      <c r="C235" s="35">
        <f>IFERROR(INDEX(Inputs!$B$17:$B$20,MATCH(1,(A235&gt;=Inputs!$C$17:$C$20)*(A235&lt;=Inputs!$D$17:$D$20),0)),"")</f>
        <v/>
      </c>
      <c r="D235" s="36">
        <f>IFERROR(INDEX(Inputs!$E$17:$E$20,MATCH(1,(A235&gt;=Inputs!$C$17:$C$20)*(A235&lt;=Inputs!$D$17:$D$20),0)),1)</f>
        <v/>
      </c>
      <c r="E235" s="36">
        <f>INDEX(Inputs!$D$24:$D$30,WEEKDAY(A235,2))</f>
        <v/>
      </c>
      <c r="F235" s="36">
        <f>IFERROR(INDEX(Inputs!$D$34:$D$45,MATCH(A235,Inputs!$B$34:$B$45,0)),1)</f>
        <v/>
      </c>
      <c r="G235" s="37">
        <f>Inputs!$C$7*D235*E235*F235</f>
        <v/>
      </c>
      <c r="H235" s="25" t="n"/>
      <c r="I235" s="38">
        <f>IF(H235&lt;&gt;"",H235,G235)</f>
        <v/>
      </c>
    </row>
    <row r="236" ht="16" customHeight="1">
      <c r="A236" s="34">
        <f>DATE(Settings!$B$7,1,1)+230</f>
        <v/>
      </c>
      <c r="B236" s="19">
        <f>TEXT(A236,"ddd")</f>
        <v/>
      </c>
      <c r="C236" s="35">
        <f>IFERROR(INDEX(Inputs!$B$17:$B$20,MATCH(1,(A236&gt;=Inputs!$C$17:$C$20)*(A236&lt;=Inputs!$D$17:$D$20),0)),"")</f>
        <v/>
      </c>
      <c r="D236" s="36">
        <f>IFERROR(INDEX(Inputs!$E$17:$E$20,MATCH(1,(A236&gt;=Inputs!$C$17:$C$20)*(A236&lt;=Inputs!$D$17:$D$20),0)),1)</f>
        <v/>
      </c>
      <c r="E236" s="36">
        <f>INDEX(Inputs!$D$24:$D$30,WEEKDAY(A236,2))</f>
        <v/>
      </c>
      <c r="F236" s="36">
        <f>IFERROR(INDEX(Inputs!$D$34:$D$45,MATCH(A236,Inputs!$B$34:$B$45,0)),1)</f>
        <v/>
      </c>
      <c r="G236" s="37">
        <f>Inputs!$C$7*D236*E236*F236</f>
        <v/>
      </c>
      <c r="H236" s="25" t="n"/>
      <c r="I236" s="38">
        <f>IF(H236&lt;&gt;"",H236,G236)</f>
        <v/>
      </c>
    </row>
    <row r="237" ht="16" customHeight="1">
      <c r="A237" s="34">
        <f>DATE(Settings!$B$7,1,1)+231</f>
        <v/>
      </c>
      <c r="B237" s="19">
        <f>TEXT(A237,"ddd")</f>
        <v/>
      </c>
      <c r="C237" s="35">
        <f>IFERROR(INDEX(Inputs!$B$17:$B$20,MATCH(1,(A237&gt;=Inputs!$C$17:$C$20)*(A237&lt;=Inputs!$D$17:$D$20),0)),"")</f>
        <v/>
      </c>
      <c r="D237" s="36">
        <f>IFERROR(INDEX(Inputs!$E$17:$E$20,MATCH(1,(A237&gt;=Inputs!$C$17:$C$20)*(A237&lt;=Inputs!$D$17:$D$20),0)),1)</f>
        <v/>
      </c>
      <c r="E237" s="36">
        <f>INDEX(Inputs!$D$24:$D$30,WEEKDAY(A237,2))</f>
        <v/>
      </c>
      <c r="F237" s="36">
        <f>IFERROR(INDEX(Inputs!$D$34:$D$45,MATCH(A237,Inputs!$B$34:$B$45,0)),1)</f>
        <v/>
      </c>
      <c r="G237" s="37">
        <f>Inputs!$C$7*D237*E237*F237</f>
        <v/>
      </c>
      <c r="H237" s="25" t="n"/>
      <c r="I237" s="38">
        <f>IF(H237&lt;&gt;"",H237,G237)</f>
        <v/>
      </c>
    </row>
    <row r="238" ht="16" customHeight="1">
      <c r="A238" s="34">
        <f>DATE(Settings!$B$7,1,1)+232</f>
        <v/>
      </c>
      <c r="B238" s="19">
        <f>TEXT(A238,"ddd")</f>
        <v/>
      </c>
      <c r="C238" s="35">
        <f>IFERROR(INDEX(Inputs!$B$17:$B$20,MATCH(1,(A238&gt;=Inputs!$C$17:$C$20)*(A238&lt;=Inputs!$D$17:$D$20),0)),"")</f>
        <v/>
      </c>
      <c r="D238" s="36">
        <f>IFERROR(INDEX(Inputs!$E$17:$E$20,MATCH(1,(A238&gt;=Inputs!$C$17:$C$20)*(A238&lt;=Inputs!$D$17:$D$20),0)),1)</f>
        <v/>
      </c>
      <c r="E238" s="36">
        <f>INDEX(Inputs!$D$24:$D$30,WEEKDAY(A238,2))</f>
        <v/>
      </c>
      <c r="F238" s="36">
        <f>IFERROR(INDEX(Inputs!$D$34:$D$45,MATCH(A238,Inputs!$B$34:$B$45,0)),1)</f>
        <v/>
      </c>
      <c r="G238" s="37">
        <f>Inputs!$C$7*D238*E238*F238</f>
        <v/>
      </c>
      <c r="H238" s="25" t="n"/>
      <c r="I238" s="38">
        <f>IF(H238&lt;&gt;"",H238,G238)</f>
        <v/>
      </c>
    </row>
    <row r="239" ht="16" customHeight="1">
      <c r="A239" s="34">
        <f>DATE(Settings!$B$7,1,1)+233</f>
        <v/>
      </c>
      <c r="B239" s="19">
        <f>TEXT(A239,"ddd")</f>
        <v/>
      </c>
      <c r="C239" s="35">
        <f>IFERROR(INDEX(Inputs!$B$17:$B$20,MATCH(1,(A239&gt;=Inputs!$C$17:$C$20)*(A239&lt;=Inputs!$D$17:$D$20),0)),"")</f>
        <v/>
      </c>
      <c r="D239" s="36">
        <f>IFERROR(INDEX(Inputs!$E$17:$E$20,MATCH(1,(A239&gt;=Inputs!$C$17:$C$20)*(A239&lt;=Inputs!$D$17:$D$20),0)),1)</f>
        <v/>
      </c>
      <c r="E239" s="36">
        <f>INDEX(Inputs!$D$24:$D$30,WEEKDAY(A239,2))</f>
        <v/>
      </c>
      <c r="F239" s="36">
        <f>IFERROR(INDEX(Inputs!$D$34:$D$45,MATCH(A239,Inputs!$B$34:$B$45,0)),1)</f>
        <v/>
      </c>
      <c r="G239" s="37">
        <f>Inputs!$C$7*D239*E239*F239</f>
        <v/>
      </c>
      <c r="H239" s="25" t="n"/>
      <c r="I239" s="38">
        <f>IF(H239&lt;&gt;"",H239,G239)</f>
        <v/>
      </c>
    </row>
    <row r="240" ht="16" customHeight="1">
      <c r="A240" s="34">
        <f>DATE(Settings!$B$7,1,1)+234</f>
        <v/>
      </c>
      <c r="B240" s="19">
        <f>TEXT(A240,"ddd")</f>
        <v/>
      </c>
      <c r="C240" s="35">
        <f>IFERROR(INDEX(Inputs!$B$17:$B$20,MATCH(1,(A240&gt;=Inputs!$C$17:$C$20)*(A240&lt;=Inputs!$D$17:$D$20),0)),"")</f>
        <v/>
      </c>
      <c r="D240" s="36">
        <f>IFERROR(INDEX(Inputs!$E$17:$E$20,MATCH(1,(A240&gt;=Inputs!$C$17:$C$20)*(A240&lt;=Inputs!$D$17:$D$20),0)),1)</f>
        <v/>
      </c>
      <c r="E240" s="36">
        <f>INDEX(Inputs!$D$24:$D$30,WEEKDAY(A240,2))</f>
        <v/>
      </c>
      <c r="F240" s="36">
        <f>IFERROR(INDEX(Inputs!$D$34:$D$45,MATCH(A240,Inputs!$B$34:$B$45,0)),1)</f>
        <v/>
      </c>
      <c r="G240" s="37">
        <f>Inputs!$C$7*D240*E240*F240</f>
        <v/>
      </c>
      <c r="H240" s="25" t="n"/>
      <c r="I240" s="38">
        <f>IF(H240&lt;&gt;"",H240,G240)</f>
        <v/>
      </c>
    </row>
    <row r="241" ht="16" customHeight="1">
      <c r="A241" s="34">
        <f>DATE(Settings!$B$7,1,1)+235</f>
        <v/>
      </c>
      <c r="B241" s="19">
        <f>TEXT(A241,"ddd")</f>
        <v/>
      </c>
      <c r="C241" s="35">
        <f>IFERROR(INDEX(Inputs!$B$17:$B$20,MATCH(1,(A241&gt;=Inputs!$C$17:$C$20)*(A241&lt;=Inputs!$D$17:$D$20),0)),"")</f>
        <v/>
      </c>
      <c r="D241" s="36">
        <f>IFERROR(INDEX(Inputs!$E$17:$E$20,MATCH(1,(A241&gt;=Inputs!$C$17:$C$20)*(A241&lt;=Inputs!$D$17:$D$20),0)),1)</f>
        <v/>
      </c>
      <c r="E241" s="36">
        <f>INDEX(Inputs!$D$24:$D$30,WEEKDAY(A241,2))</f>
        <v/>
      </c>
      <c r="F241" s="36">
        <f>IFERROR(INDEX(Inputs!$D$34:$D$45,MATCH(A241,Inputs!$B$34:$B$45,0)),1)</f>
        <v/>
      </c>
      <c r="G241" s="37">
        <f>Inputs!$C$7*D241*E241*F241</f>
        <v/>
      </c>
      <c r="H241" s="25" t="n"/>
      <c r="I241" s="38">
        <f>IF(H241&lt;&gt;"",H241,G241)</f>
        <v/>
      </c>
    </row>
    <row r="242" ht="16" customHeight="1">
      <c r="A242" s="34">
        <f>DATE(Settings!$B$7,1,1)+236</f>
        <v/>
      </c>
      <c r="B242" s="19">
        <f>TEXT(A242,"ddd")</f>
        <v/>
      </c>
      <c r="C242" s="35">
        <f>IFERROR(INDEX(Inputs!$B$17:$B$20,MATCH(1,(A242&gt;=Inputs!$C$17:$C$20)*(A242&lt;=Inputs!$D$17:$D$20),0)),"")</f>
        <v/>
      </c>
      <c r="D242" s="36">
        <f>IFERROR(INDEX(Inputs!$E$17:$E$20,MATCH(1,(A242&gt;=Inputs!$C$17:$C$20)*(A242&lt;=Inputs!$D$17:$D$20),0)),1)</f>
        <v/>
      </c>
      <c r="E242" s="36">
        <f>INDEX(Inputs!$D$24:$D$30,WEEKDAY(A242,2))</f>
        <v/>
      </c>
      <c r="F242" s="36">
        <f>IFERROR(INDEX(Inputs!$D$34:$D$45,MATCH(A242,Inputs!$B$34:$B$45,0)),1)</f>
        <v/>
      </c>
      <c r="G242" s="37">
        <f>Inputs!$C$7*D242*E242*F242</f>
        <v/>
      </c>
      <c r="H242" s="25" t="n"/>
      <c r="I242" s="38">
        <f>IF(H242&lt;&gt;"",H242,G242)</f>
        <v/>
      </c>
    </row>
    <row r="243" ht="16" customHeight="1">
      <c r="A243" s="34">
        <f>DATE(Settings!$B$7,1,1)+237</f>
        <v/>
      </c>
      <c r="B243" s="19">
        <f>TEXT(A243,"ddd")</f>
        <v/>
      </c>
      <c r="C243" s="35">
        <f>IFERROR(INDEX(Inputs!$B$17:$B$20,MATCH(1,(A243&gt;=Inputs!$C$17:$C$20)*(A243&lt;=Inputs!$D$17:$D$20),0)),"")</f>
        <v/>
      </c>
      <c r="D243" s="36">
        <f>IFERROR(INDEX(Inputs!$E$17:$E$20,MATCH(1,(A243&gt;=Inputs!$C$17:$C$20)*(A243&lt;=Inputs!$D$17:$D$20),0)),1)</f>
        <v/>
      </c>
      <c r="E243" s="36">
        <f>INDEX(Inputs!$D$24:$D$30,WEEKDAY(A243,2))</f>
        <v/>
      </c>
      <c r="F243" s="36">
        <f>IFERROR(INDEX(Inputs!$D$34:$D$45,MATCH(A243,Inputs!$B$34:$B$45,0)),1)</f>
        <v/>
      </c>
      <c r="G243" s="37">
        <f>Inputs!$C$7*D243*E243*F243</f>
        <v/>
      </c>
      <c r="H243" s="25" t="n"/>
      <c r="I243" s="38">
        <f>IF(H243&lt;&gt;"",H243,G243)</f>
        <v/>
      </c>
    </row>
    <row r="244" ht="16" customHeight="1">
      <c r="A244" s="34">
        <f>DATE(Settings!$B$7,1,1)+238</f>
        <v/>
      </c>
      <c r="B244" s="19">
        <f>TEXT(A244,"ddd")</f>
        <v/>
      </c>
      <c r="C244" s="35">
        <f>IFERROR(INDEX(Inputs!$B$17:$B$20,MATCH(1,(A244&gt;=Inputs!$C$17:$C$20)*(A244&lt;=Inputs!$D$17:$D$20),0)),"")</f>
        <v/>
      </c>
      <c r="D244" s="36">
        <f>IFERROR(INDEX(Inputs!$E$17:$E$20,MATCH(1,(A244&gt;=Inputs!$C$17:$C$20)*(A244&lt;=Inputs!$D$17:$D$20),0)),1)</f>
        <v/>
      </c>
      <c r="E244" s="36">
        <f>INDEX(Inputs!$D$24:$D$30,WEEKDAY(A244,2))</f>
        <v/>
      </c>
      <c r="F244" s="36">
        <f>IFERROR(INDEX(Inputs!$D$34:$D$45,MATCH(A244,Inputs!$B$34:$B$45,0)),1)</f>
        <v/>
      </c>
      <c r="G244" s="37">
        <f>Inputs!$C$7*D244*E244*F244</f>
        <v/>
      </c>
      <c r="H244" s="25" t="n"/>
      <c r="I244" s="38">
        <f>IF(H244&lt;&gt;"",H244,G244)</f>
        <v/>
      </c>
    </row>
    <row r="245" ht="16" customHeight="1">
      <c r="A245" s="34">
        <f>DATE(Settings!$B$7,1,1)+239</f>
        <v/>
      </c>
      <c r="B245" s="19">
        <f>TEXT(A245,"ddd")</f>
        <v/>
      </c>
      <c r="C245" s="35">
        <f>IFERROR(INDEX(Inputs!$B$17:$B$20,MATCH(1,(A245&gt;=Inputs!$C$17:$C$20)*(A245&lt;=Inputs!$D$17:$D$20),0)),"")</f>
        <v/>
      </c>
      <c r="D245" s="36">
        <f>IFERROR(INDEX(Inputs!$E$17:$E$20,MATCH(1,(A245&gt;=Inputs!$C$17:$C$20)*(A245&lt;=Inputs!$D$17:$D$20),0)),1)</f>
        <v/>
      </c>
      <c r="E245" s="36">
        <f>INDEX(Inputs!$D$24:$D$30,WEEKDAY(A245,2))</f>
        <v/>
      </c>
      <c r="F245" s="36">
        <f>IFERROR(INDEX(Inputs!$D$34:$D$45,MATCH(A245,Inputs!$B$34:$B$45,0)),1)</f>
        <v/>
      </c>
      <c r="G245" s="37">
        <f>Inputs!$C$7*D245*E245*F245</f>
        <v/>
      </c>
      <c r="H245" s="25" t="n"/>
      <c r="I245" s="38">
        <f>IF(H245&lt;&gt;"",H245,G245)</f>
        <v/>
      </c>
    </row>
    <row r="246" ht="16" customHeight="1">
      <c r="A246" s="34">
        <f>DATE(Settings!$B$7,1,1)+240</f>
        <v/>
      </c>
      <c r="B246" s="19">
        <f>TEXT(A246,"ddd")</f>
        <v/>
      </c>
      <c r="C246" s="35">
        <f>IFERROR(INDEX(Inputs!$B$17:$B$20,MATCH(1,(A246&gt;=Inputs!$C$17:$C$20)*(A246&lt;=Inputs!$D$17:$D$20),0)),"")</f>
        <v/>
      </c>
      <c r="D246" s="36">
        <f>IFERROR(INDEX(Inputs!$E$17:$E$20,MATCH(1,(A246&gt;=Inputs!$C$17:$C$20)*(A246&lt;=Inputs!$D$17:$D$20),0)),1)</f>
        <v/>
      </c>
      <c r="E246" s="36">
        <f>INDEX(Inputs!$D$24:$D$30,WEEKDAY(A246,2))</f>
        <v/>
      </c>
      <c r="F246" s="36">
        <f>IFERROR(INDEX(Inputs!$D$34:$D$45,MATCH(A246,Inputs!$B$34:$B$45,0)),1)</f>
        <v/>
      </c>
      <c r="G246" s="37">
        <f>Inputs!$C$7*D246*E246*F246</f>
        <v/>
      </c>
      <c r="H246" s="25" t="n"/>
      <c r="I246" s="38">
        <f>IF(H246&lt;&gt;"",H246,G246)</f>
        <v/>
      </c>
    </row>
    <row r="247" ht="16" customHeight="1">
      <c r="A247" s="34">
        <f>DATE(Settings!$B$7,1,1)+241</f>
        <v/>
      </c>
      <c r="B247" s="19">
        <f>TEXT(A247,"ddd")</f>
        <v/>
      </c>
      <c r="C247" s="35">
        <f>IFERROR(INDEX(Inputs!$B$17:$B$20,MATCH(1,(A247&gt;=Inputs!$C$17:$C$20)*(A247&lt;=Inputs!$D$17:$D$20),0)),"")</f>
        <v/>
      </c>
      <c r="D247" s="36">
        <f>IFERROR(INDEX(Inputs!$E$17:$E$20,MATCH(1,(A247&gt;=Inputs!$C$17:$C$20)*(A247&lt;=Inputs!$D$17:$D$20),0)),1)</f>
        <v/>
      </c>
      <c r="E247" s="36">
        <f>INDEX(Inputs!$D$24:$D$30,WEEKDAY(A247,2))</f>
        <v/>
      </c>
      <c r="F247" s="36">
        <f>IFERROR(INDEX(Inputs!$D$34:$D$45,MATCH(A247,Inputs!$B$34:$B$45,0)),1)</f>
        <v/>
      </c>
      <c r="G247" s="37">
        <f>Inputs!$C$7*D247*E247*F247</f>
        <v/>
      </c>
      <c r="H247" s="25" t="n"/>
      <c r="I247" s="38">
        <f>IF(H247&lt;&gt;"",H247,G247)</f>
        <v/>
      </c>
    </row>
    <row r="248" ht="16" customHeight="1">
      <c r="A248" s="34">
        <f>DATE(Settings!$B$7,1,1)+242</f>
        <v/>
      </c>
      <c r="B248" s="19">
        <f>TEXT(A248,"ddd")</f>
        <v/>
      </c>
      <c r="C248" s="35">
        <f>IFERROR(INDEX(Inputs!$B$17:$B$20,MATCH(1,(A248&gt;=Inputs!$C$17:$C$20)*(A248&lt;=Inputs!$D$17:$D$20),0)),"")</f>
        <v/>
      </c>
      <c r="D248" s="36">
        <f>IFERROR(INDEX(Inputs!$E$17:$E$20,MATCH(1,(A248&gt;=Inputs!$C$17:$C$20)*(A248&lt;=Inputs!$D$17:$D$20),0)),1)</f>
        <v/>
      </c>
      <c r="E248" s="36">
        <f>INDEX(Inputs!$D$24:$D$30,WEEKDAY(A248,2))</f>
        <v/>
      </c>
      <c r="F248" s="36">
        <f>IFERROR(INDEX(Inputs!$D$34:$D$45,MATCH(A248,Inputs!$B$34:$B$45,0)),1)</f>
        <v/>
      </c>
      <c r="G248" s="37">
        <f>Inputs!$C$7*D248*E248*F248</f>
        <v/>
      </c>
      <c r="H248" s="25" t="n"/>
      <c r="I248" s="38">
        <f>IF(H248&lt;&gt;"",H248,G248)</f>
        <v/>
      </c>
    </row>
    <row r="249" ht="16" customHeight="1">
      <c r="A249" s="34">
        <f>DATE(Settings!$B$7,1,1)+243</f>
        <v/>
      </c>
      <c r="B249" s="19">
        <f>TEXT(A249,"ddd")</f>
        <v/>
      </c>
      <c r="C249" s="35">
        <f>IFERROR(INDEX(Inputs!$B$17:$B$20,MATCH(1,(A249&gt;=Inputs!$C$17:$C$20)*(A249&lt;=Inputs!$D$17:$D$20),0)),"")</f>
        <v/>
      </c>
      <c r="D249" s="36">
        <f>IFERROR(INDEX(Inputs!$E$17:$E$20,MATCH(1,(A249&gt;=Inputs!$C$17:$C$20)*(A249&lt;=Inputs!$D$17:$D$20),0)),1)</f>
        <v/>
      </c>
      <c r="E249" s="36">
        <f>INDEX(Inputs!$D$24:$D$30,WEEKDAY(A249,2))</f>
        <v/>
      </c>
      <c r="F249" s="36">
        <f>IFERROR(INDEX(Inputs!$D$34:$D$45,MATCH(A249,Inputs!$B$34:$B$45,0)),1)</f>
        <v/>
      </c>
      <c r="G249" s="37">
        <f>Inputs!$C$7*D249*E249*F249</f>
        <v/>
      </c>
      <c r="H249" s="25" t="n"/>
      <c r="I249" s="38">
        <f>IF(H249&lt;&gt;"",H249,G249)</f>
        <v/>
      </c>
    </row>
    <row r="250" ht="16" customHeight="1">
      <c r="A250" s="34">
        <f>DATE(Settings!$B$7,1,1)+244</f>
        <v/>
      </c>
      <c r="B250" s="19">
        <f>TEXT(A250,"ddd")</f>
        <v/>
      </c>
      <c r="C250" s="35">
        <f>IFERROR(INDEX(Inputs!$B$17:$B$20,MATCH(1,(A250&gt;=Inputs!$C$17:$C$20)*(A250&lt;=Inputs!$D$17:$D$20),0)),"")</f>
        <v/>
      </c>
      <c r="D250" s="36">
        <f>IFERROR(INDEX(Inputs!$E$17:$E$20,MATCH(1,(A250&gt;=Inputs!$C$17:$C$20)*(A250&lt;=Inputs!$D$17:$D$20),0)),1)</f>
        <v/>
      </c>
      <c r="E250" s="36">
        <f>INDEX(Inputs!$D$24:$D$30,WEEKDAY(A250,2))</f>
        <v/>
      </c>
      <c r="F250" s="36">
        <f>IFERROR(INDEX(Inputs!$D$34:$D$45,MATCH(A250,Inputs!$B$34:$B$45,0)),1)</f>
        <v/>
      </c>
      <c r="G250" s="37">
        <f>Inputs!$C$7*D250*E250*F250</f>
        <v/>
      </c>
      <c r="H250" s="25" t="n"/>
      <c r="I250" s="38">
        <f>IF(H250&lt;&gt;"",H250,G250)</f>
        <v/>
      </c>
    </row>
    <row r="251" ht="16" customHeight="1">
      <c r="A251" s="34">
        <f>DATE(Settings!$B$7,1,1)+245</f>
        <v/>
      </c>
      <c r="B251" s="19">
        <f>TEXT(A251,"ddd")</f>
        <v/>
      </c>
      <c r="C251" s="35">
        <f>IFERROR(INDEX(Inputs!$B$17:$B$20,MATCH(1,(A251&gt;=Inputs!$C$17:$C$20)*(A251&lt;=Inputs!$D$17:$D$20),0)),"")</f>
        <v/>
      </c>
      <c r="D251" s="36">
        <f>IFERROR(INDEX(Inputs!$E$17:$E$20,MATCH(1,(A251&gt;=Inputs!$C$17:$C$20)*(A251&lt;=Inputs!$D$17:$D$20),0)),1)</f>
        <v/>
      </c>
      <c r="E251" s="36">
        <f>INDEX(Inputs!$D$24:$D$30,WEEKDAY(A251,2))</f>
        <v/>
      </c>
      <c r="F251" s="36">
        <f>IFERROR(INDEX(Inputs!$D$34:$D$45,MATCH(A251,Inputs!$B$34:$B$45,0)),1)</f>
        <v/>
      </c>
      <c r="G251" s="37">
        <f>Inputs!$C$7*D251*E251*F251</f>
        <v/>
      </c>
      <c r="H251" s="25" t="n"/>
      <c r="I251" s="38">
        <f>IF(H251&lt;&gt;"",H251,G251)</f>
        <v/>
      </c>
    </row>
    <row r="252" ht="16" customHeight="1">
      <c r="A252" s="34">
        <f>DATE(Settings!$B$7,1,1)+246</f>
        <v/>
      </c>
      <c r="B252" s="19">
        <f>TEXT(A252,"ddd")</f>
        <v/>
      </c>
      <c r="C252" s="35">
        <f>IFERROR(INDEX(Inputs!$B$17:$B$20,MATCH(1,(A252&gt;=Inputs!$C$17:$C$20)*(A252&lt;=Inputs!$D$17:$D$20),0)),"")</f>
        <v/>
      </c>
      <c r="D252" s="36">
        <f>IFERROR(INDEX(Inputs!$E$17:$E$20,MATCH(1,(A252&gt;=Inputs!$C$17:$C$20)*(A252&lt;=Inputs!$D$17:$D$20),0)),1)</f>
        <v/>
      </c>
      <c r="E252" s="36">
        <f>INDEX(Inputs!$D$24:$D$30,WEEKDAY(A252,2))</f>
        <v/>
      </c>
      <c r="F252" s="36">
        <f>IFERROR(INDEX(Inputs!$D$34:$D$45,MATCH(A252,Inputs!$B$34:$B$45,0)),1)</f>
        <v/>
      </c>
      <c r="G252" s="37">
        <f>Inputs!$C$7*D252*E252*F252</f>
        <v/>
      </c>
      <c r="H252" s="25" t="n"/>
      <c r="I252" s="38">
        <f>IF(H252&lt;&gt;"",H252,G252)</f>
        <v/>
      </c>
    </row>
    <row r="253" ht="16" customHeight="1">
      <c r="A253" s="34">
        <f>DATE(Settings!$B$7,1,1)+247</f>
        <v/>
      </c>
      <c r="B253" s="19">
        <f>TEXT(A253,"ddd")</f>
        <v/>
      </c>
      <c r="C253" s="35">
        <f>IFERROR(INDEX(Inputs!$B$17:$B$20,MATCH(1,(A253&gt;=Inputs!$C$17:$C$20)*(A253&lt;=Inputs!$D$17:$D$20),0)),"")</f>
        <v/>
      </c>
      <c r="D253" s="36">
        <f>IFERROR(INDEX(Inputs!$E$17:$E$20,MATCH(1,(A253&gt;=Inputs!$C$17:$C$20)*(A253&lt;=Inputs!$D$17:$D$20),0)),1)</f>
        <v/>
      </c>
      <c r="E253" s="36">
        <f>INDEX(Inputs!$D$24:$D$30,WEEKDAY(A253,2))</f>
        <v/>
      </c>
      <c r="F253" s="36">
        <f>IFERROR(INDEX(Inputs!$D$34:$D$45,MATCH(A253,Inputs!$B$34:$B$45,0)),1)</f>
        <v/>
      </c>
      <c r="G253" s="37">
        <f>Inputs!$C$7*D253*E253*F253</f>
        <v/>
      </c>
      <c r="H253" s="25" t="n"/>
      <c r="I253" s="38">
        <f>IF(H253&lt;&gt;"",H253,G253)</f>
        <v/>
      </c>
    </row>
    <row r="254" ht="16" customHeight="1">
      <c r="A254" s="34">
        <f>DATE(Settings!$B$7,1,1)+248</f>
        <v/>
      </c>
      <c r="B254" s="19">
        <f>TEXT(A254,"ddd")</f>
        <v/>
      </c>
      <c r="C254" s="35">
        <f>IFERROR(INDEX(Inputs!$B$17:$B$20,MATCH(1,(A254&gt;=Inputs!$C$17:$C$20)*(A254&lt;=Inputs!$D$17:$D$20),0)),"")</f>
        <v/>
      </c>
      <c r="D254" s="36">
        <f>IFERROR(INDEX(Inputs!$E$17:$E$20,MATCH(1,(A254&gt;=Inputs!$C$17:$C$20)*(A254&lt;=Inputs!$D$17:$D$20),0)),1)</f>
        <v/>
      </c>
      <c r="E254" s="36">
        <f>INDEX(Inputs!$D$24:$D$30,WEEKDAY(A254,2))</f>
        <v/>
      </c>
      <c r="F254" s="36">
        <f>IFERROR(INDEX(Inputs!$D$34:$D$45,MATCH(A254,Inputs!$B$34:$B$45,0)),1)</f>
        <v/>
      </c>
      <c r="G254" s="37">
        <f>Inputs!$C$7*D254*E254*F254</f>
        <v/>
      </c>
      <c r="H254" s="25" t="n"/>
      <c r="I254" s="38">
        <f>IF(H254&lt;&gt;"",H254,G254)</f>
        <v/>
      </c>
    </row>
    <row r="255" ht="16" customHeight="1">
      <c r="A255" s="34">
        <f>DATE(Settings!$B$7,1,1)+249</f>
        <v/>
      </c>
      <c r="B255" s="19">
        <f>TEXT(A255,"ddd")</f>
        <v/>
      </c>
      <c r="C255" s="35">
        <f>IFERROR(INDEX(Inputs!$B$17:$B$20,MATCH(1,(A255&gt;=Inputs!$C$17:$C$20)*(A255&lt;=Inputs!$D$17:$D$20),0)),"")</f>
        <v/>
      </c>
      <c r="D255" s="36">
        <f>IFERROR(INDEX(Inputs!$E$17:$E$20,MATCH(1,(A255&gt;=Inputs!$C$17:$C$20)*(A255&lt;=Inputs!$D$17:$D$20),0)),1)</f>
        <v/>
      </c>
      <c r="E255" s="36">
        <f>INDEX(Inputs!$D$24:$D$30,WEEKDAY(A255,2))</f>
        <v/>
      </c>
      <c r="F255" s="36">
        <f>IFERROR(INDEX(Inputs!$D$34:$D$45,MATCH(A255,Inputs!$B$34:$B$45,0)),1)</f>
        <v/>
      </c>
      <c r="G255" s="37">
        <f>Inputs!$C$7*D255*E255*F255</f>
        <v/>
      </c>
      <c r="H255" s="25" t="n"/>
      <c r="I255" s="38">
        <f>IF(H255&lt;&gt;"",H255,G255)</f>
        <v/>
      </c>
    </row>
    <row r="256" ht="16" customHeight="1">
      <c r="A256" s="34">
        <f>DATE(Settings!$B$7,1,1)+250</f>
        <v/>
      </c>
      <c r="B256" s="19">
        <f>TEXT(A256,"ddd")</f>
        <v/>
      </c>
      <c r="C256" s="35">
        <f>IFERROR(INDEX(Inputs!$B$17:$B$20,MATCH(1,(A256&gt;=Inputs!$C$17:$C$20)*(A256&lt;=Inputs!$D$17:$D$20),0)),"")</f>
        <v/>
      </c>
      <c r="D256" s="36">
        <f>IFERROR(INDEX(Inputs!$E$17:$E$20,MATCH(1,(A256&gt;=Inputs!$C$17:$C$20)*(A256&lt;=Inputs!$D$17:$D$20),0)),1)</f>
        <v/>
      </c>
      <c r="E256" s="36">
        <f>INDEX(Inputs!$D$24:$D$30,WEEKDAY(A256,2))</f>
        <v/>
      </c>
      <c r="F256" s="36">
        <f>IFERROR(INDEX(Inputs!$D$34:$D$45,MATCH(A256,Inputs!$B$34:$B$45,0)),1)</f>
        <v/>
      </c>
      <c r="G256" s="37">
        <f>Inputs!$C$7*D256*E256*F256</f>
        <v/>
      </c>
      <c r="H256" s="25" t="n"/>
      <c r="I256" s="38">
        <f>IF(H256&lt;&gt;"",H256,G256)</f>
        <v/>
      </c>
    </row>
    <row r="257" ht="16" customHeight="1">
      <c r="A257" s="34">
        <f>DATE(Settings!$B$7,1,1)+251</f>
        <v/>
      </c>
      <c r="B257" s="19">
        <f>TEXT(A257,"ddd")</f>
        <v/>
      </c>
      <c r="C257" s="35">
        <f>IFERROR(INDEX(Inputs!$B$17:$B$20,MATCH(1,(A257&gt;=Inputs!$C$17:$C$20)*(A257&lt;=Inputs!$D$17:$D$20),0)),"")</f>
        <v/>
      </c>
      <c r="D257" s="36">
        <f>IFERROR(INDEX(Inputs!$E$17:$E$20,MATCH(1,(A257&gt;=Inputs!$C$17:$C$20)*(A257&lt;=Inputs!$D$17:$D$20),0)),1)</f>
        <v/>
      </c>
      <c r="E257" s="36">
        <f>INDEX(Inputs!$D$24:$D$30,WEEKDAY(A257,2))</f>
        <v/>
      </c>
      <c r="F257" s="36">
        <f>IFERROR(INDEX(Inputs!$D$34:$D$45,MATCH(A257,Inputs!$B$34:$B$45,0)),1)</f>
        <v/>
      </c>
      <c r="G257" s="37">
        <f>Inputs!$C$7*D257*E257*F257</f>
        <v/>
      </c>
      <c r="H257" s="25" t="n"/>
      <c r="I257" s="38">
        <f>IF(H257&lt;&gt;"",H257,G257)</f>
        <v/>
      </c>
    </row>
    <row r="258" ht="16" customHeight="1">
      <c r="A258" s="34">
        <f>DATE(Settings!$B$7,1,1)+252</f>
        <v/>
      </c>
      <c r="B258" s="19">
        <f>TEXT(A258,"ddd")</f>
        <v/>
      </c>
      <c r="C258" s="35">
        <f>IFERROR(INDEX(Inputs!$B$17:$B$20,MATCH(1,(A258&gt;=Inputs!$C$17:$C$20)*(A258&lt;=Inputs!$D$17:$D$20),0)),"")</f>
        <v/>
      </c>
      <c r="D258" s="36">
        <f>IFERROR(INDEX(Inputs!$E$17:$E$20,MATCH(1,(A258&gt;=Inputs!$C$17:$C$20)*(A258&lt;=Inputs!$D$17:$D$20),0)),1)</f>
        <v/>
      </c>
      <c r="E258" s="36">
        <f>INDEX(Inputs!$D$24:$D$30,WEEKDAY(A258,2))</f>
        <v/>
      </c>
      <c r="F258" s="36">
        <f>IFERROR(INDEX(Inputs!$D$34:$D$45,MATCH(A258,Inputs!$B$34:$B$45,0)),1)</f>
        <v/>
      </c>
      <c r="G258" s="37">
        <f>Inputs!$C$7*D258*E258*F258</f>
        <v/>
      </c>
      <c r="H258" s="25" t="n"/>
      <c r="I258" s="38">
        <f>IF(H258&lt;&gt;"",H258,G258)</f>
        <v/>
      </c>
    </row>
    <row r="259" ht="16" customHeight="1">
      <c r="A259" s="34">
        <f>DATE(Settings!$B$7,1,1)+253</f>
        <v/>
      </c>
      <c r="B259" s="19">
        <f>TEXT(A259,"ddd")</f>
        <v/>
      </c>
      <c r="C259" s="35">
        <f>IFERROR(INDEX(Inputs!$B$17:$B$20,MATCH(1,(A259&gt;=Inputs!$C$17:$C$20)*(A259&lt;=Inputs!$D$17:$D$20),0)),"")</f>
        <v/>
      </c>
      <c r="D259" s="36">
        <f>IFERROR(INDEX(Inputs!$E$17:$E$20,MATCH(1,(A259&gt;=Inputs!$C$17:$C$20)*(A259&lt;=Inputs!$D$17:$D$20),0)),1)</f>
        <v/>
      </c>
      <c r="E259" s="36">
        <f>INDEX(Inputs!$D$24:$D$30,WEEKDAY(A259,2))</f>
        <v/>
      </c>
      <c r="F259" s="36">
        <f>IFERROR(INDEX(Inputs!$D$34:$D$45,MATCH(A259,Inputs!$B$34:$B$45,0)),1)</f>
        <v/>
      </c>
      <c r="G259" s="37">
        <f>Inputs!$C$7*D259*E259*F259</f>
        <v/>
      </c>
      <c r="H259" s="25" t="n"/>
      <c r="I259" s="38">
        <f>IF(H259&lt;&gt;"",H259,G259)</f>
        <v/>
      </c>
    </row>
    <row r="260" ht="16" customHeight="1">
      <c r="A260" s="34">
        <f>DATE(Settings!$B$7,1,1)+254</f>
        <v/>
      </c>
      <c r="B260" s="19">
        <f>TEXT(A260,"ddd")</f>
        <v/>
      </c>
      <c r="C260" s="35">
        <f>IFERROR(INDEX(Inputs!$B$17:$B$20,MATCH(1,(A260&gt;=Inputs!$C$17:$C$20)*(A260&lt;=Inputs!$D$17:$D$20),0)),"")</f>
        <v/>
      </c>
      <c r="D260" s="36">
        <f>IFERROR(INDEX(Inputs!$E$17:$E$20,MATCH(1,(A260&gt;=Inputs!$C$17:$C$20)*(A260&lt;=Inputs!$D$17:$D$20),0)),1)</f>
        <v/>
      </c>
      <c r="E260" s="36">
        <f>INDEX(Inputs!$D$24:$D$30,WEEKDAY(A260,2))</f>
        <v/>
      </c>
      <c r="F260" s="36">
        <f>IFERROR(INDEX(Inputs!$D$34:$D$45,MATCH(A260,Inputs!$B$34:$B$45,0)),1)</f>
        <v/>
      </c>
      <c r="G260" s="37">
        <f>Inputs!$C$7*D260*E260*F260</f>
        <v/>
      </c>
      <c r="H260" s="25" t="n"/>
      <c r="I260" s="38">
        <f>IF(H260&lt;&gt;"",H260,G260)</f>
        <v/>
      </c>
    </row>
    <row r="261" ht="16" customHeight="1">
      <c r="A261" s="34">
        <f>DATE(Settings!$B$7,1,1)+255</f>
        <v/>
      </c>
      <c r="B261" s="19">
        <f>TEXT(A261,"ddd")</f>
        <v/>
      </c>
      <c r="C261" s="35">
        <f>IFERROR(INDEX(Inputs!$B$17:$B$20,MATCH(1,(A261&gt;=Inputs!$C$17:$C$20)*(A261&lt;=Inputs!$D$17:$D$20),0)),"")</f>
        <v/>
      </c>
      <c r="D261" s="36">
        <f>IFERROR(INDEX(Inputs!$E$17:$E$20,MATCH(1,(A261&gt;=Inputs!$C$17:$C$20)*(A261&lt;=Inputs!$D$17:$D$20),0)),1)</f>
        <v/>
      </c>
      <c r="E261" s="36">
        <f>INDEX(Inputs!$D$24:$D$30,WEEKDAY(A261,2))</f>
        <v/>
      </c>
      <c r="F261" s="36">
        <f>IFERROR(INDEX(Inputs!$D$34:$D$45,MATCH(A261,Inputs!$B$34:$B$45,0)),1)</f>
        <v/>
      </c>
      <c r="G261" s="37">
        <f>Inputs!$C$7*D261*E261*F261</f>
        <v/>
      </c>
      <c r="H261" s="25" t="n"/>
      <c r="I261" s="38">
        <f>IF(H261&lt;&gt;"",H261,G261)</f>
        <v/>
      </c>
    </row>
    <row r="262" ht="16" customHeight="1">
      <c r="A262" s="34">
        <f>DATE(Settings!$B$7,1,1)+256</f>
        <v/>
      </c>
      <c r="B262" s="19">
        <f>TEXT(A262,"ddd")</f>
        <v/>
      </c>
      <c r="C262" s="35">
        <f>IFERROR(INDEX(Inputs!$B$17:$B$20,MATCH(1,(A262&gt;=Inputs!$C$17:$C$20)*(A262&lt;=Inputs!$D$17:$D$20),0)),"")</f>
        <v/>
      </c>
      <c r="D262" s="36">
        <f>IFERROR(INDEX(Inputs!$E$17:$E$20,MATCH(1,(A262&gt;=Inputs!$C$17:$C$20)*(A262&lt;=Inputs!$D$17:$D$20),0)),1)</f>
        <v/>
      </c>
      <c r="E262" s="36">
        <f>INDEX(Inputs!$D$24:$D$30,WEEKDAY(A262,2))</f>
        <v/>
      </c>
      <c r="F262" s="36">
        <f>IFERROR(INDEX(Inputs!$D$34:$D$45,MATCH(A262,Inputs!$B$34:$B$45,0)),1)</f>
        <v/>
      </c>
      <c r="G262" s="37">
        <f>Inputs!$C$7*D262*E262*F262</f>
        <v/>
      </c>
      <c r="H262" s="25" t="n"/>
      <c r="I262" s="38">
        <f>IF(H262&lt;&gt;"",H262,G262)</f>
        <v/>
      </c>
    </row>
    <row r="263" ht="16" customHeight="1">
      <c r="A263" s="34">
        <f>DATE(Settings!$B$7,1,1)+257</f>
        <v/>
      </c>
      <c r="B263" s="19">
        <f>TEXT(A263,"ddd")</f>
        <v/>
      </c>
      <c r="C263" s="35">
        <f>IFERROR(INDEX(Inputs!$B$17:$B$20,MATCH(1,(A263&gt;=Inputs!$C$17:$C$20)*(A263&lt;=Inputs!$D$17:$D$20),0)),"")</f>
        <v/>
      </c>
      <c r="D263" s="36">
        <f>IFERROR(INDEX(Inputs!$E$17:$E$20,MATCH(1,(A263&gt;=Inputs!$C$17:$C$20)*(A263&lt;=Inputs!$D$17:$D$20),0)),1)</f>
        <v/>
      </c>
      <c r="E263" s="36">
        <f>INDEX(Inputs!$D$24:$D$30,WEEKDAY(A263,2))</f>
        <v/>
      </c>
      <c r="F263" s="36">
        <f>IFERROR(INDEX(Inputs!$D$34:$D$45,MATCH(A263,Inputs!$B$34:$B$45,0)),1)</f>
        <v/>
      </c>
      <c r="G263" s="37">
        <f>Inputs!$C$7*D263*E263*F263</f>
        <v/>
      </c>
      <c r="H263" s="25" t="n"/>
      <c r="I263" s="38">
        <f>IF(H263&lt;&gt;"",H263,G263)</f>
        <v/>
      </c>
    </row>
    <row r="264" ht="16" customHeight="1">
      <c r="A264" s="34">
        <f>DATE(Settings!$B$7,1,1)+258</f>
        <v/>
      </c>
      <c r="B264" s="19">
        <f>TEXT(A264,"ddd")</f>
        <v/>
      </c>
      <c r="C264" s="35">
        <f>IFERROR(INDEX(Inputs!$B$17:$B$20,MATCH(1,(A264&gt;=Inputs!$C$17:$C$20)*(A264&lt;=Inputs!$D$17:$D$20),0)),"")</f>
        <v/>
      </c>
      <c r="D264" s="36">
        <f>IFERROR(INDEX(Inputs!$E$17:$E$20,MATCH(1,(A264&gt;=Inputs!$C$17:$C$20)*(A264&lt;=Inputs!$D$17:$D$20),0)),1)</f>
        <v/>
      </c>
      <c r="E264" s="36">
        <f>INDEX(Inputs!$D$24:$D$30,WEEKDAY(A264,2))</f>
        <v/>
      </c>
      <c r="F264" s="36">
        <f>IFERROR(INDEX(Inputs!$D$34:$D$45,MATCH(A264,Inputs!$B$34:$B$45,0)),1)</f>
        <v/>
      </c>
      <c r="G264" s="37">
        <f>Inputs!$C$7*D264*E264*F264</f>
        <v/>
      </c>
      <c r="H264" s="25" t="n"/>
      <c r="I264" s="38">
        <f>IF(H264&lt;&gt;"",H264,G264)</f>
        <v/>
      </c>
    </row>
    <row r="265" ht="16" customHeight="1">
      <c r="A265" s="34">
        <f>DATE(Settings!$B$7,1,1)+259</f>
        <v/>
      </c>
      <c r="B265" s="19">
        <f>TEXT(A265,"ddd")</f>
        <v/>
      </c>
      <c r="C265" s="35">
        <f>IFERROR(INDEX(Inputs!$B$17:$B$20,MATCH(1,(A265&gt;=Inputs!$C$17:$C$20)*(A265&lt;=Inputs!$D$17:$D$20),0)),"")</f>
        <v/>
      </c>
      <c r="D265" s="36">
        <f>IFERROR(INDEX(Inputs!$E$17:$E$20,MATCH(1,(A265&gt;=Inputs!$C$17:$C$20)*(A265&lt;=Inputs!$D$17:$D$20),0)),1)</f>
        <v/>
      </c>
      <c r="E265" s="36">
        <f>INDEX(Inputs!$D$24:$D$30,WEEKDAY(A265,2))</f>
        <v/>
      </c>
      <c r="F265" s="36">
        <f>IFERROR(INDEX(Inputs!$D$34:$D$45,MATCH(A265,Inputs!$B$34:$B$45,0)),1)</f>
        <v/>
      </c>
      <c r="G265" s="37">
        <f>Inputs!$C$7*D265*E265*F265</f>
        <v/>
      </c>
      <c r="H265" s="25" t="n"/>
      <c r="I265" s="38">
        <f>IF(H265&lt;&gt;"",H265,G265)</f>
        <v/>
      </c>
    </row>
    <row r="266" ht="16" customHeight="1">
      <c r="A266" s="34">
        <f>DATE(Settings!$B$7,1,1)+260</f>
        <v/>
      </c>
      <c r="B266" s="19">
        <f>TEXT(A266,"ddd")</f>
        <v/>
      </c>
      <c r="C266" s="35">
        <f>IFERROR(INDEX(Inputs!$B$17:$B$20,MATCH(1,(A266&gt;=Inputs!$C$17:$C$20)*(A266&lt;=Inputs!$D$17:$D$20),0)),"")</f>
        <v/>
      </c>
      <c r="D266" s="36">
        <f>IFERROR(INDEX(Inputs!$E$17:$E$20,MATCH(1,(A266&gt;=Inputs!$C$17:$C$20)*(A266&lt;=Inputs!$D$17:$D$20),0)),1)</f>
        <v/>
      </c>
      <c r="E266" s="36">
        <f>INDEX(Inputs!$D$24:$D$30,WEEKDAY(A266,2))</f>
        <v/>
      </c>
      <c r="F266" s="36">
        <f>IFERROR(INDEX(Inputs!$D$34:$D$45,MATCH(A266,Inputs!$B$34:$B$45,0)),1)</f>
        <v/>
      </c>
      <c r="G266" s="37">
        <f>Inputs!$C$7*D266*E266*F266</f>
        <v/>
      </c>
      <c r="H266" s="25" t="n"/>
      <c r="I266" s="38">
        <f>IF(H266&lt;&gt;"",H266,G266)</f>
        <v/>
      </c>
    </row>
    <row r="267" ht="16" customHeight="1">
      <c r="A267" s="34">
        <f>DATE(Settings!$B$7,1,1)+261</f>
        <v/>
      </c>
      <c r="B267" s="19">
        <f>TEXT(A267,"ddd")</f>
        <v/>
      </c>
      <c r="C267" s="35">
        <f>IFERROR(INDEX(Inputs!$B$17:$B$20,MATCH(1,(A267&gt;=Inputs!$C$17:$C$20)*(A267&lt;=Inputs!$D$17:$D$20),0)),"")</f>
        <v/>
      </c>
      <c r="D267" s="36">
        <f>IFERROR(INDEX(Inputs!$E$17:$E$20,MATCH(1,(A267&gt;=Inputs!$C$17:$C$20)*(A267&lt;=Inputs!$D$17:$D$20),0)),1)</f>
        <v/>
      </c>
      <c r="E267" s="36">
        <f>INDEX(Inputs!$D$24:$D$30,WEEKDAY(A267,2))</f>
        <v/>
      </c>
      <c r="F267" s="36">
        <f>IFERROR(INDEX(Inputs!$D$34:$D$45,MATCH(A267,Inputs!$B$34:$B$45,0)),1)</f>
        <v/>
      </c>
      <c r="G267" s="37">
        <f>Inputs!$C$7*D267*E267*F267</f>
        <v/>
      </c>
      <c r="H267" s="25" t="n"/>
      <c r="I267" s="38">
        <f>IF(H267&lt;&gt;"",H267,G267)</f>
        <v/>
      </c>
    </row>
    <row r="268" ht="16" customHeight="1">
      <c r="A268" s="34">
        <f>DATE(Settings!$B$7,1,1)+262</f>
        <v/>
      </c>
      <c r="B268" s="19">
        <f>TEXT(A268,"ddd")</f>
        <v/>
      </c>
      <c r="C268" s="35">
        <f>IFERROR(INDEX(Inputs!$B$17:$B$20,MATCH(1,(A268&gt;=Inputs!$C$17:$C$20)*(A268&lt;=Inputs!$D$17:$D$20),0)),"")</f>
        <v/>
      </c>
      <c r="D268" s="36">
        <f>IFERROR(INDEX(Inputs!$E$17:$E$20,MATCH(1,(A268&gt;=Inputs!$C$17:$C$20)*(A268&lt;=Inputs!$D$17:$D$20),0)),1)</f>
        <v/>
      </c>
      <c r="E268" s="36">
        <f>INDEX(Inputs!$D$24:$D$30,WEEKDAY(A268,2))</f>
        <v/>
      </c>
      <c r="F268" s="36">
        <f>IFERROR(INDEX(Inputs!$D$34:$D$45,MATCH(A268,Inputs!$B$34:$B$45,0)),1)</f>
        <v/>
      </c>
      <c r="G268" s="37">
        <f>Inputs!$C$7*D268*E268*F268</f>
        <v/>
      </c>
      <c r="H268" s="25" t="n"/>
      <c r="I268" s="38">
        <f>IF(H268&lt;&gt;"",H268,G268)</f>
        <v/>
      </c>
    </row>
    <row r="269" ht="16" customHeight="1">
      <c r="A269" s="34">
        <f>DATE(Settings!$B$7,1,1)+263</f>
        <v/>
      </c>
      <c r="B269" s="19">
        <f>TEXT(A269,"ddd")</f>
        <v/>
      </c>
      <c r="C269" s="35">
        <f>IFERROR(INDEX(Inputs!$B$17:$B$20,MATCH(1,(A269&gt;=Inputs!$C$17:$C$20)*(A269&lt;=Inputs!$D$17:$D$20),0)),"")</f>
        <v/>
      </c>
      <c r="D269" s="36">
        <f>IFERROR(INDEX(Inputs!$E$17:$E$20,MATCH(1,(A269&gt;=Inputs!$C$17:$C$20)*(A269&lt;=Inputs!$D$17:$D$20),0)),1)</f>
        <v/>
      </c>
      <c r="E269" s="36">
        <f>INDEX(Inputs!$D$24:$D$30,WEEKDAY(A269,2))</f>
        <v/>
      </c>
      <c r="F269" s="36">
        <f>IFERROR(INDEX(Inputs!$D$34:$D$45,MATCH(A269,Inputs!$B$34:$B$45,0)),1)</f>
        <v/>
      </c>
      <c r="G269" s="37">
        <f>Inputs!$C$7*D269*E269*F269</f>
        <v/>
      </c>
      <c r="H269" s="25" t="n"/>
      <c r="I269" s="38">
        <f>IF(H269&lt;&gt;"",H269,G269)</f>
        <v/>
      </c>
    </row>
    <row r="270" ht="16" customHeight="1">
      <c r="A270" s="34">
        <f>DATE(Settings!$B$7,1,1)+264</f>
        <v/>
      </c>
      <c r="B270" s="19">
        <f>TEXT(A270,"ddd")</f>
        <v/>
      </c>
      <c r="C270" s="35">
        <f>IFERROR(INDEX(Inputs!$B$17:$B$20,MATCH(1,(A270&gt;=Inputs!$C$17:$C$20)*(A270&lt;=Inputs!$D$17:$D$20),0)),"")</f>
        <v/>
      </c>
      <c r="D270" s="36">
        <f>IFERROR(INDEX(Inputs!$E$17:$E$20,MATCH(1,(A270&gt;=Inputs!$C$17:$C$20)*(A270&lt;=Inputs!$D$17:$D$20),0)),1)</f>
        <v/>
      </c>
      <c r="E270" s="36">
        <f>INDEX(Inputs!$D$24:$D$30,WEEKDAY(A270,2))</f>
        <v/>
      </c>
      <c r="F270" s="36">
        <f>IFERROR(INDEX(Inputs!$D$34:$D$45,MATCH(A270,Inputs!$B$34:$B$45,0)),1)</f>
        <v/>
      </c>
      <c r="G270" s="37">
        <f>Inputs!$C$7*D270*E270*F270</f>
        <v/>
      </c>
      <c r="H270" s="25" t="n"/>
      <c r="I270" s="38">
        <f>IF(H270&lt;&gt;"",H270,G270)</f>
        <v/>
      </c>
    </row>
    <row r="271" ht="16" customHeight="1">
      <c r="A271" s="34">
        <f>DATE(Settings!$B$7,1,1)+265</f>
        <v/>
      </c>
      <c r="B271" s="19">
        <f>TEXT(A271,"ddd")</f>
        <v/>
      </c>
      <c r="C271" s="35">
        <f>IFERROR(INDEX(Inputs!$B$17:$B$20,MATCH(1,(A271&gt;=Inputs!$C$17:$C$20)*(A271&lt;=Inputs!$D$17:$D$20),0)),"")</f>
        <v/>
      </c>
      <c r="D271" s="36">
        <f>IFERROR(INDEX(Inputs!$E$17:$E$20,MATCH(1,(A271&gt;=Inputs!$C$17:$C$20)*(A271&lt;=Inputs!$D$17:$D$20),0)),1)</f>
        <v/>
      </c>
      <c r="E271" s="36">
        <f>INDEX(Inputs!$D$24:$D$30,WEEKDAY(A271,2))</f>
        <v/>
      </c>
      <c r="F271" s="36">
        <f>IFERROR(INDEX(Inputs!$D$34:$D$45,MATCH(A271,Inputs!$B$34:$B$45,0)),1)</f>
        <v/>
      </c>
      <c r="G271" s="37">
        <f>Inputs!$C$7*D271*E271*F271</f>
        <v/>
      </c>
      <c r="H271" s="25" t="n"/>
      <c r="I271" s="38">
        <f>IF(H271&lt;&gt;"",H271,G271)</f>
        <v/>
      </c>
    </row>
    <row r="272" ht="16" customHeight="1">
      <c r="A272" s="34">
        <f>DATE(Settings!$B$7,1,1)+266</f>
        <v/>
      </c>
      <c r="B272" s="19">
        <f>TEXT(A272,"ddd")</f>
        <v/>
      </c>
      <c r="C272" s="35">
        <f>IFERROR(INDEX(Inputs!$B$17:$B$20,MATCH(1,(A272&gt;=Inputs!$C$17:$C$20)*(A272&lt;=Inputs!$D$17:$D$20),0)),"")</f>
        <v/>
      </c>
      <c r="D272" s="36">
        <f>IFERROR(INDEX(Inputs!$E$17:$E$20,MATCH(1,(A272&gt;=Inputs!$C$17:$C$20)*(A272&lt;=Inputs!$D$17:$D$20),0)),1)</f>
        <v/>
      </c>
      <c r="E272" s="36">
        <f>INDEX(Inputs!$D$24:$D$30,WEEKDAY(A272,2))</f>
        <v/>
      </c>
      <c r="F272" s="36">
        <f>IFERROR(INDEX(Inputs!$D$34:$D$45,MATCH(A272,Inputs!$B$34:$B$45,0)),1)</f>
        <v/>
      </c>
      <c r="G272" s="37">
        <f>Inputs!$C$7*D272*E272*F272</f>
        <v/>
      </c>
      <c r="H272" s="25" t="n"/>
      <c r="I272" s="38">
        <f>IF(H272&lt;&gt;"",H272,G272)</f>
        <v/>
      </c>
    </row>
    <row r="273" ht="16" customHeight="1">
      <c r="A273" s="34">
        <f>DATE(Settings!$B$7,1,1)+267</f>
        <v/>
      </c>
      <c r="B273" s="19">
        <f>TEXT(A273,"ddd")</f>
        <v/>
      </c>
      <c r="C273" s="35">
        <f>IFERROR(INDEX(Inputs!$B$17:$B$20,MATCH(1,(A273&gt;=Inputs!$C$17:$C$20)*(A273&lt;=Inputs!$D$17:$D$20),0)),"")</f>
        <v/>
      </c>
      <c r="D273" s="36">
        <f>IFERROR(INDEX(Inputs!$E$17:$E$20,MATCH(1,(A273&gt;=Inputs!$C$17:$C$20)*(A273&lt;=Inputs!$D$17:$D$20),0)),1)</f>
        <v/>
      </c>
      <c r="E273" s="36">
        <f>INDEX(Inputs!$D$24:$D$30,WEEKDAY(A273,2))</f>
        <v/>
      </c>
      <c r="F273" s="36">
        <f>IFERROR(INDEX(Inputs!$D$34:$D$45,MATCH(A273,Inputs!$B$34:$B$45,0)),1)</f>
        <v/>
      </c>
      <c r="G273" s="37">
        <f>Inputs!$C$7*D273*E273*F273</f>
        <v/>
      </c>
      <c r="H273" s="25" t="n"/>
      <c r="I273" s="38">
        <f>IF(H273&lt;&gt;"",H273,G273)</f>
        <v/>
      </c>
    </row>
    <row r="274" ht="16" customHeight="1">
      <c r="A274" s="34">
        <f>DATE(Settings!$B$7,1,1)+268</f>
        <v/>
      </c>
      <c r="B274" s="19">
        <f>TEXT(A274,"ddd")</f>
        <v/>
      </c>
      <c r="C274" s="35">
        <f>IFERROR(INDEX(Inputs!$B$17:$B$20,MATCH(1,(A274&gt;=Inputs!$C$17:$C$20)*(A274&lt;=Inputs!$D$17:$D$20),0)),"")</f>
        <v/>
      </c>
      <c r="D274" s="36">
        <f>IFERROR(INDEX(Inputs!$E$17:$E$20,MATCH(1,(A274&gt;=Inputs!$C$17:$C$20)*(A274&lt;=Inputs!$D$17:$D$20),0)),1)</f>
        <v/>
      </c>
      <c r="E274" s="36">
        <f>INDEX(Inputs!$D$24:$D$30,WEEKDAY(A274,2))</f>
        <v/>
      </c>
      <c r="F274" s="36">
        <f>IFERROR(INDEX(Inputs!$D$34:$D$45,MATCH(A274,Inputs!$B$34:$B$45,0)),1)</f>
        <v/>
      </c>
      <c r="G274" s="37">
        <f>Inputs!$C$7*D274*E274*F274</f>
        <v/>
      </c>
      <c r="H274" s="25" t="n"/>
      <c r="I274" s="38">
        <f>IF(H274&lt;&gt;"",H274,G274)</f>
        <v/>
      </c>
    </row>
    <row r="275" ht="16" customHeight="1">
      <c r="A275" s="34">
        <f>DATE(Settings!$B$7,1,1)+269</f>
        <v/>
      </c>
      <c r="B275" s="19">
        <f>TEXT(A275,"ddd")</f>
        <v/>
      </c>
      <c r="C275" s="35">
        <f>IFERROR(INDEX(Inputs!$B$17:$B$20,MATCH(1,(A275&gt;=Inputs!$C$17:$C$20)*(A275&lt;=Inputs!$D$17:$D$20),0)),"")</f>
        <v/>
      </c>
      <c r="D275" s="36">
        <f>IFERROR(INDEX(Inputs!$E$17:$E$20,MATCH(1,(A275&gt;=Inputs!$C$17:$C$20)*(A275&lt;=Inputs!$D$17:$D$20),0)),1)</f>
        <v/>
      </c>
      <c r="E275" s="36">
        <f>INDEX(Inputs!$D$24:$D$30,WEEKDAY(A275,2))</f>
        <v/>
      </c>
      <c r="F275" s="36">
        <f>IFERROR(INDEX(Inputs!$D$34:$D$45,MATCH(A275,Inputs!$B$34:$B$45,0)),1)</f>
        <v/>
      </c>
      <c r="G275" s="37">
        <f>Inputs!$C$7*D275*E275*F275</f>
        <v/>
      </c>
      <c r="H275" s="25" t="n"/>
      <c r="I275" s="38">
        <f>IF(H275&lt;&gt;"",H275,G275)</f>
        <v/>
      </c>
    </row>
    <row r="276" ht="16" customHeight="1">
      <c r="A276" s="34">
        <f>DATE(Settings!$B$7,1,1)+270</f>
        <v/>
      </c>
      <c r="B276" s="19">
        <f>TEXT(A276,"ddd")</f>
        <v/>
      </c>
      <c r="C276" s="35">
        <f>IFERROR(INDEX(Inputs!$B$17:$B$20,MATCH(1,(A276&gt;=Inputs!$C$17:$C$20)*(A276&lt;=Inputs!$D$17:$D$20),0)),"")</f>
        <v/>
      </c>
      <c r="D276" s="36">
        <f>IFERROR(INDEX(Inputs!$E$17:$E$20,MATCH(1,(A276&gt;=Inputs!$C$17:$C$20)*(A276&lt;=Inputs!$D$17:$D$20),0)),1)</f>
        <v/>
      </c>
      <c r="E276" s="36">
        <f>INDEX(Inputs!$D$24:$D$30,WEEKDAY(A276,2))</f>
        <v/>
      </c>
      <c r="F276" s="36">
        <f>IFERROR(INDEX(Inputs!$D$34:$D$45,MATCH(A276,Inputs!$B$34:$B$45,0)),1)</f>
        <v/>
      </c>
      <c r="G276" s="37">
        <f>Inputs!$C$7*D276*E276*F276</f>
        <v/>
      </c>
      <c r="H276" s="25" t="n"/>
      <c r="I276" s="38">
        <f>IF(H276&lt;&gt;"",H276,G276)</f>
        <v/>
      </c>
    </row>
    <row r="277" ht="16" customHeight="1">
      <c r="A277" s="34">
        <f>DATE(Settings!$B$7,1,1)+271</f>
        <v/>
      </c>
      <c r="B277" s="19">
        <f>TEXT(A277,"ddd")</f>
        <v/>
      </c>
      <c r="C277" s="35">
        <f>IFERROR(INDEX(Inputs!$B$17:$B$20,MATCH(1,(A277&gt;=Inputs!$C$17:$C$20)*(A277&lt;=Inputs!$D$17:$D$20),0)),"")</f>
        <v/>
      </c>
      <c r="D277" s="36">
        <f>IFERROR(INDEX(Inputs!$E$17:$E$20,MATCH(1,(A277&gt;=Inputs!$C$17:$C$20)*(A277&lt;=Inputs!$D$17:$D$20),0)),1)</f>
        <v/>
      </c>
      <c r="E277" s="36">
        <f>INDEX(Inputs!$D$24:$D$30,WEEKDAY(A277,2))</f>
        <v/>
      </c>
      <c r="F277" s="36">
        <f>IFERROR(INDEX(Inputs!$D$34:$D$45,MATCH(A277,Inputs!$B$34:$B$45,0)),1)</f>
        <v/>
      </c>
      <c r="G277" s="37">
        <f>Inputs!$C$7*D277*E277*F277</f>
        <v/>
      </c>
      <c r="H277" s="25" t="n"/>
      <c r="I277" s="38">
        <f>IF(H277&lt;&gt;"",H277,G277)</f>
        <v/>
      </c>
    </row>
    <row r="278" ht="16" customHeight="1">
      <c r="A278" s="34">
        <f>DATE(Settings!$B$7,1,1)+272</f>
        <v/>
      </c>
      <c r="B278" s="19">
        <f>TEXT(A278,"ddd")</f>
        <v/>
      </c>
      <c r="C278" s="35">
        <f>IFERROR(INDEX(Inputs!$B$17:$B$20,MATCH(1,(A278&gt;=Inputs!$C$17:$C$20)*(A278&lt;=Inputs!$D$17:$D$20),0)),"")</f>
        <v/>
      </c>
      <c r="D278" s="36">
        <f>IFERROR(INDEX(Inputs!$E$17:$E$20,MATCH(1,(A278&gt;=Inputs!$C$17:$C$20)*(A278&lt;=Inputs!$D$17:$D$20),0)),1)</f>
        <v/>
      </c>
      <c r="E278" s="36">
        <f>INDEX(Inputs!$D$24:$D$30,WEEKDAY(A278,2))</f>
        <v/>
      </c>
      <c r="F278" s="36">
        <f>IFERROR(INDEX(Inputs!$D$34:$D$45,MATCH(A278,Inputs!$B$34:$B$45,0)),1)</f>
        <v/>
      </c>
      <c r="G278" s="37">
        <f>Inputs!$C$7*D278*E278*F278</f>
        <v/>
      </c>
      <c r="H278" s="25" t="n"/>
      <c r="I278" s="38">
        <f>IF(H278&lt;&gt;"",H278,G278)</f>
        <v/>
      </c>
    </row>
    <row r="279" ht="16" customHeight="1">
      <c r="A279" s="34">
        <f>DATE(Settings!$B$7,1,1)+273</f>
        <v/>
      </c>
      <c r="B279" s="19">
        <f>TEXT(A279,"ddd")</f>
        <v/>
      </c>
      <c r="C279" s="35">
        <f>IFERROR(INDEX(Inputs!$B$17:$B$20,MATCH(1,(A279&gt;=Inputs!$C$17:$C$20)*(A279&lt;=Inputs!$D$17:$D$20),0)),"")</f>
        <v/>
      </c>
      <c r="D279" s="36">
        <f>IFERROR(INDEX(Inputs!$E$17:$E$20,MATCH(1,(A279&gt;=Inputs!$C$17:$C$20)*(A279&lt;=Inputs!$D$17:$D$20),0)),1)</f>
        <v/>
      </c>
      <c r="E279" s="36">
        <f>INDEX(Inputs!$D$24:$D$30,WEEKDAY(A279,2))</f>
        <v/>
      </c>
      <c r="F279" s="36">
        <f>IFERROR(INDEX(Inputs!$D$34:$D$45,MATCH(A279,Inputs!$B$34:$B$45,0)),1)</f>
        <v/>
      </c>
      <c r="G279" s="37">
        <f>Inputs!$C$7*D279*E279*F279</f>
        <v/>
      </c>
      <c r="H279" s="25" t="n"/>
      <c r="I279" s="38">
        <f>IF(H279&lt;&gt;"",H279,G279)</f>
        <v/>
      </c>
    </row>
    <row r="280" ht="16" customHeight="1">
      <c r="A280" s="34">
        <f>DATE(Settings!$B$7,1,1)+274</f>
        <v/>
      </c>
      <c r="B280" s="19">
        <f>TEXT(A280,"ddd")</f>
        <v/>
      </c>
      <c r="C280" s="35">
        <f>IFERROR(INDEX(Inputs!$B$17:$B$20,MATCH(1,(A280&gt;=Inputs!$C$17:$C$20)*(A280&lt;=Inputs!$D$17:$D$20),0)),"")</f>
        <v/>
      </c>
      <c r="D280" s="36">
        <f>IFERROR(INDEX(Inputs!$E$17:$E$20,MATCH(1,(A280&gt;=Inputs!$C$17:$C$20)*(A280&lt;=Inputs!$D$17:$D$20),0)),1)</f>
        <v/>
      </c>
      <c r="E280" s="36">
        <f>INDEX(Inputs!$D$24:$D$30,WEEKDAY(A280,2))</f>
        <v/>
      </c>
      <c r="F280" s="36">
        <f>IFERROR(INDEX(Inputs!$D$34:$D$45,MATCH(A280,Inputs!$B$34:$B$45,0)),1)</f>
        <v/>
      </c>
      <c r="G280" s="37">
        <f>Inputs!$C$7*D280*E280*F280</f>
        <v/>
      </c>
      <c r="H280" s="25" t="n"/>
      <c r="I280" s="38">
        <f>IF(H280&lt;&gt;"",H280,G280)</f>
        <v/>
      </c>
    </row>
    <row r="281" ht="16" customHeight="1">
      <c r="A281" s="34">
        <f>DATE(Settings!$B$7,1,1)+275</f>
        <v/>
      </c>
      <c r="B281" s="19">
        <f>TEXT(A281,"ddd")</f>
        <v/>
      </c>
      <c r="C281" s="35">
        <f>IFERROR(INDEX(Inputs!$B$17:$B$20,MATCH(1,(A281&gt;=Inputs!$C$17:$C$20)*(A281&lt;=Inputs!$D$17:$D$20),0)),"")</f>
        <v/>
      </c>
      <c r="D281" s="36">
        <f>IFERROR(INDEX(Inputs!$E$17:$E$20,MATCH(1,(A281&gt;=Inputs!$C$17:$C$20)*(A281&lt;=Inputs!$D$17:$D$20),0)),1)</f>
        <v/>
      </c>
      <c r="E281" s="36">
        <f>INDEX(Inputs!$D$24:$D$30,WEEKDAY(A281,2))</f>
        <v/>
      </c>
      <c r="F281" s="36">
        <f>IFERROR(INDEX(Inputs!$D$34:$D$45,MATCH(A281,Inputs!$B$34:$B$45,0)),1)</f>
        <v/>
      </c>
      <c r="G281" s="37">
        <f>Inputs!$C$7*D281*E281*F281</f>
        <v/>
      </c>
      <c r="H281" s="25" t="n"/>
      <c r="I281" s="38">
        <f>IF(H281&lt;&gt;"",H281,G281)</f>
        <v/>
      </c>
    </row>
    <row r="282" ht="16" customHeight="1">
      <c r="A282" s="34">
        <f>DATE(Settings!$B$7,1,1)+276</f>
        <v/>
      </c>
      <c r="B282" s="19">
        <f>TEXT(A282,"ddd")</f>
        <v/>
      </c>
      <c r="C282" s="35">
        <f>IFERROR(INDEX(Inputs!$B$17:$B$20,MATCH(1,(A282&gt;=Inputs!$C$17:$C$20)*(A282&lt;=Inputs!$D$17:$D$20),0)),"")</f>
        <v/>
      </c>
      <c r="D282" s="36">
        <f>IFERROR(INDEX(Inputs!$E$17:$E$20,MATCH(1,(A282&gt;=Inputs!$C$17:$C$20)*(A282&lt;=Inputs!$D$17:$D$20),0)),1)</f>
        <v/>
      </c>
      <c r="E282" s="36">
        <f>INDEX(Inputs!$D$24:$D$30,WEEKDAY(A282,2))</f>
        <v/>
      </c>
      <c r="F282" s="36">
        <f>IFERROR(INDEX(Inputs!$D$34:$D$45,MATCH(A282,Inputs!$B$34:$B$45,0)),1)</f>
        <v/>
      </c>
      <c r="G282" s="37">
        <f>Inputs!$C$7*D282*E282*F282</f>
        <v/>
      </c>
      <c r="H282" s="25" t="n"/>
      <c r="I282" s="38">
        <f>IF(H282&lt;&gt;"",H282,G282)</f>
        <v/>
      </c>
    </row>
    <row r="283" ht="16" customHeight="1">
      <c r="A283" s="34">
        <f>DATE(Settings!$B$7,1,1)+277</f>
        <v/>
      </c>
      <c r="B283" s="19">
        <f>TEXT(A283,"ddd")</f>
        <v/>
      </c>
      <c r="C283" s="35">
        <f>IFERROR(INDEX(Inputs!$B$17:$B$20,MATCH(1,(A283&gt;=Inputs!$C$17:$C$20)*(A283&lt;=Inputs!$D$17:$D$20),0)),"")</f>
        <v/>
      </c>
      <c r="D283" s="36">
        <f>IFERROR(INDEX(Inputs!$E$17:$E$20,MATCH(1,(A283&gt;=Inputs!$C$17:$C$20)*(A283&lt;=Inputs!$D$17:$D$20),0)),1)</f>
        <v/>
      </c>
      <c r="E283" s="36">
        <f>INDEX(Inputs!$D$24:$D$30,WEEKDAY(A283,2))</f>
        <v/>
      </c>
      <c r="F283" s="36">
        <f>IFERROR(INDEX(Inputs!$D$34:$D$45,MATCH(A283,Inputs!$B$34:$B$45,0)),1)</f>
        <v/>
      </c>
      <c r="G283" s="37">
        <f>Inputs!$C$7*D283*E283*F283</f>
        <v/>
      </c>
      <c r="H283" s="25" t="n"/>
      <c r="I283" s="38">
        <f>IF(H283&lt;&gt;"",H283,G283)</f>
        <v/>
      </c>
    </row>
    <row r="284" ht="16" customHeight="1">
      <c r="A284" s="34">
        <f>DATE(Settings!$B$7,1,1)+278</f>
        <v/>
      </c>
      <c r="B284" s="19">
        <f>TEXT(A284,"ddd")</f>
        <v/>
      </c>
      <c r="C284" s="35">
        <f>IFERROR(INDEX(Inputs!$B$17:$B$20,MATCH(1,(A284&gt;=Inputs!$C$17:$C$20)*(A284&lt;=Inputs!$D$17:$D$20),0)),"")</f>
        <v/>
      </c>
      <c r="D284" s="36">
        <f>IFERROR(INDEX(Inputs!$E$17:$E$20,MATCH(1,(A284&gt;=Inputs!$C$17:$C$20)*(A284&lt;=Inputs!$D$17:$D$20),0)),1)</f>
        <v/>
      </c>
      <c r="E284" s="36">
        <f>INDEX(Inputs!$D$24:$D$30,WEEKDAY(A284,2))</f>
        <v/>
      </c>
      <c r="F284" s="36">
        <f>IFERROR(INDEX(Inputs!$D$34:$D$45,MATCH(A284,Inputs!$B$34:$B$45,0)),1)</f>
        <v/>
      </c>
      <c r="G284" s="37">
        <f>Inputs!$C$7*D284*E284*F284</f>
        <v/>
      </c>
      <c r="H284" s="25" t="n"/>
      <c r="I284" s="38">
        <f>IF(H284&lt;&gt;"",H284,G284)</f>
        <v/>
      </c>
    </row>
    <row r="285" ht="16" customHeight="1">
      <c r="A285" s="34">
        <f>DATE(Settings!$B$7,1,1)+279</f>
        <v/>
      </c>
      <c r="B285" s="19">
        <f>TEXT(A285,"ddd")</f>
        <v/>
      </c>
      <c r="C285" s="35">
        <f>IFERROR(INDEX(Inputs!$B$17:$B$20,MATCH(1,(A285&gt;=Inputs!$C$17:$C$20)*(A285&lt;=Inputs!$D$17:$D$20),0)),"")</f>
        <v/>
      </c>
      <c r="D285" s="36">
        <f>IFERROR(INDEX(Inputs!$E$17:$E$20,MATCH(1,(A285&gt;=Inputs!$C$17:$C$20)*(A285&lt;=Inputs!$D$17:$D$20),0)),1)</f>
        <v/>
      </c>
      <c r="E285" s="36">
        <f>INDEX(Inputs!$D$24:$D$30,WEEKDAY(A285,2))</f>
        <v/>
      </c>
      <c r="F285" s="36">
        <f>IFERROR(INDEX(Inputs!$D$34:$D$45,MATCH(A285,Inputs!$B$34:$B$45,0)),1)</f>
        <v/>
      </c>
      <c r="G285" s="37">
        <f>Inputs!$C$7*D285*E285*F285</f>
        <v/>
      </c>
      <c r="H285" s="25" t="n"/>
      <c r="I285" s="38">
        <f>IF(H285&lt;&gt;"",H285,G285)</f>
        <v/>
      </c>
    </row>
    <row r="286" ht="16" customHeight="1">
      <c r="A286" s="34">
        <f>DATE(Settings!$B$7,1,1)+280</f>
        <v/>
      </c>
      <c r="B286" s="19">
        <f>TEXT(A286,"ddd")</f>
        <v/>
      </c>
      <c r="C286" s="35">
        <f>IFERROR(INDEX(Inputs!$B$17:$B$20,MATCH(1,(A286&gt;=Inputs!$C$17:$C$20)*(A286&lt;=Inputs!$D$17:$D$20),0)),"")</f>
        <v/>
      </c>
      <c r="D286" s="36">
        <f>IFERROR(INDEX(Inputs!$E$17:$E$20,MATCH(1,(A286&gt;=Inputs!$C$17:$C$20)*(A286&lt;=Inputs!$D$17:$D$20),0)),1)</f>
        <v/>
      </c>
      <c r="E286" s="36">
        <f>INDEX(Inputs!$D$24:$D$30,WEEKDAY(A286,2))</f>
        <v/>
      </c>
      <c r="F286" s="36">
        <f>IFERROR(INDEX(Inputs!$D$34:$D$45,MATCH(A286,Inputs!$B$34:$B$45,0)),1)</f>
        <v/>
      </c>
      <c r="G286" s="37">
        <f>Inputs!$C$7*D286*E286*F286</f>
        <v/>
      </c>
      <c r="H286" s="25" t="n"/>
      <c r="I286" s="38">
        <f>IF(H286&lt;&gt;"",H286,G286)</f>
        <v/>
      </c>
    </row>
    <row r="287" ht="16" customHeight="1">
      <c r="A287" s="34">
        <f>DATE(Settings!$B$7,1,1)+281</f>
        <v/>
      </c>
      <c r="B287" s="19">
        <f>TEXT(A287,"ddd")</f>
        <v/>
      </c>
      <c r="C287" s="35">
        <f>IFERROR(INDEX(Inputs!$B$17:$B$20,MATCH(1,(A287&gt;=Inputs!$C$17:$C$20)*(A287&lt;=Inputs!$D$17:$D$20),0)),"")</f>
        <v/>
      </c>
      <c r="D287" s="36">
        <f>IFERROR(INDEX(Inputs!$E$17:$E$20,MATCH(1,(A287&gt;=Inputs!$C$17:$C$20)*(A287&lt;=Inputs!$D$17:$D$20),0)),1)</f>
        <v/>
      </c>
      <c r="E287" s="36">
        <f>INDEX(Inputs!$D$24:$D$30,WEEKDAY(A287,2))</f>
        <v/>
      </c>
      <c r="F287" s="36">
        <f>IFERROR(INDEX(Inputs!$D$34:$D$45,MATCH(A287,Inputs!$B$34:$B$45,0)),1)</f>
        <v/>
      </c>
      <c r="G287" s="37">
        <f>Inputs!$C$7*D287*E287*F287</f>
        <v/>
      </c>
      <c r="H287" s="25" t="n"/>
      <c r="I287" s="38">
        <f>IF(H287&lt;&gt;"",H287,G287)</f>
        <v/>
      </c>
    </row>
    <row r="288" ht="16" customHeight="1">
      <c r="A288" s="34">
        <f>DATE(Settings!$B$7,1,1)+282</f>
        <v/>
      </c>
      <c r="B288" s="19">
        <f>TEXT(A288,"ddd")</f>
        <v/>
      </c>
      <c r="C288" s="35">
        <f>IFERROR(INDEX(Inputs!$B$17:$B$20,MATCH(1,(A288&gt;=Inputs!$C$17:$C$20)*(A288&lt;=Inputs!$D$17:$D$20),0)),"")</f>
        <v/>
      </c>
      <c r="D288" s="36">
        <f>IFERROR(INDEX(Inputs!$E$17:$E$20,MATCH(1,(A288&gt;=Inputs!$C$17:$C$20)*(A288&lt;=Inputs!$D$17:$D$20),0)),1)</f>
        <v/>
      </c>
      <c r="E288" s="36">
        <f>INDEX(Inputs!$D$24:$D$30,WEEKDAY(A288,2))</f>
        <v/>
      </c>
      <c r="F288" s="36">
        <f>IFERROR(INDEX(Inputs!$D$34:$D$45,MATCH(A288,Inputs!$B$34:$B$45,0)),1)</f>
        <v/>
      </c>
      <c r="G288" s="37">
        <f>Inputs!$C$7*D288*E288*F288</f>
        <v/>
      </c>
      <c r="H288" s="25" t="n"/>
      <c r="I288" s="38">
        <f>IF(H288&lt;&gt;"",H288,G288)</f>
        <v/>
      </c>
    </row>
    <row r="289" ht="16" customHeight="1">
      <c r="A289" s="34">
        <f>DATE(Settings!$B$7,1,1)+283</f>
        <v/>
      </c>
      <c r="B289" s="19">
        <f>TEXT(A289,"ddd")</f>
        <v/>
      </c>
      <c r="C289" s="35">
        <f>IFERROR(INDEX(Inputs!$B$17:$B$20,MATCH(1,(A289&gt;=Inputs!$C$17:$C$20)*(A289&lt;=Inputs!$D$17:$D$20),0)),"")</f>
        <v/>
      </c>
      <c r="D289" s="36">
        <f>IFERROR(INDEX(Inputs!$E$17:$E$20,MATCH(1,(A289&gt;=Inputs!$C$17:$C$20)*(A289&lt;=Inputs!$D$17:$D$20),0)),1)</f>
        <v/>
      </c>
      <c r="E289" s="36">
        <f>INDEX(Inputs!$D$24:$D$30,WEEKDAY(A289,2))</f>
        <v/>
      </c>
      <c r="F289" s="36">
        <f>IFERROR(INDEX(Inputs!$D$34:$D$45,MATCH(A289,Inputs!$B$34:$B$45,0)),1)</f>
        <v/>
      </c>
      <c r="G289" s="37">
        <f>Inputs!$C$7*D289*E289*F289</f>
        <v/>
      </c>
      <c r="H289" s="25" t="n"/>
      <c r="I289" s="38">
        <f>IF(H289&lt;&gt;"",H289,G289)</f>
        <v/>
      </c>
    </row>
    <row r="290" ht="16" customHeight="1">
      <c r="A290" s="34">
        <f>DATE(Settings!$B$7,1,1)+284</f>
        <v/>
      </c>
      <c r="B290" s="19">
        <f>TEXT(A290,"ddd")</f>
        <v/>
      </c>
      <c r="C290" s="35">
        <f>IFERROR(INDEX(Inputs!$B$17:$B$20,MATCH(1,(A290&gt;=Inputs!$C$17:$C$20)*(A290&lt;=Inputs!$D$17:$D$20),0)),"")</f>
        <v/>
      </c>
      <c r="D290" s="36">
        <f>IFERROR(INDEX(Inputs!$E$17:$E$20,MATCH(1,(A290&gt;=Inputs!$C$17:$C$20)*(A290&lt;=Inputs!$D$17:$D$20),0)),1)</f>
        <v/>
      </c>
      <c r="E290" s="36">
        <f>INDEX(Inputs!$D$24:$D$30,WEEKDAY(A290,2))</f>
        <v/>
      </c>
      <c r="F290" s="36">
        <f>IFERROR(INDEX(Inputs!$D$34:$D$45,MATCH(A290,Inputs!$B$34:$B$45,0)),1)</f>
        <v/>
      </c>
      <c r="G290" s="37">
        <f>Inputs!$C$7*D290*E290*F290</f>
        <v/>
      </c>
      <c r="H290" s="25" t="n"/>
      <c r="I290" s="38">
        <f>IF(H290&lt;&gt;"",H290,G290)</f>
        <v/>
      </c>
    </row>
    <row r="291" ht="16" customHeight="1">
      <c r="A291" s="34">
        <f>DATE(Settings!$B$7,1,1)+285</f>
        <v/>
      </c>
      <c r="B291" s="19">
        <f>TEXT(A291,"ddd")</f>
        <v/>
      </c>
      <c r="C291" s="35">
        <f>IFERROR(INDEX(Inputs!$B$17:$B$20,MATCH(1,(A291&gt;=Inputs!$C$17:$C$20)*(A291&lt;=Inputs!$D$17:$D$20),0)),"")</f>
        <v/>
      </c>
      <c r="D291" s="36">
        <f>IFERROR(INDEX(Inputs!$E$17:$E$20,MATCH(1,(A291&gt;=Inputs!$C$17:$C$20)*(A291&lt;=Inputs!$D$17:$D$20),0)),1)</f>
        <v/>
      </c>
      <c r="E291" s="36">
        <f>INDEX(Inputs!$D$24:$D$30,WEEKDAY(A291,2))</f>
        <v/>
      </c>
      <c r="F291" s="36">
        <f>IFERROR(INDEX(Inputs!$D$34:$D$45,MATCH(A291,Inputs!$B$34:$B$45,0)),1)</f>
        <v/>
      </c>
      <c r="G291" s="37">
        <f>Inputs!$C$7*D291*E291*F291</f>
        <v/>
      </c>
      <c r="H291" s="25" t="n"/>
      <c r="I291" s="38">
        <f>IF(H291&lt;&gt;"",H291,G291)</f>
        <v/>
      </c>
    </row>
    <row r="292" ht="16" customHeight="1">
      <c r="A292" s="34">
        <f>DATE(Settings!$B$7,1,1)+286</f>
        <v/>
      </c>
      <c r="B292" s="19">
        <f>TEXT(A292,"ddd")</f>
        <v/>
      </c>
      <c r="C292" s="35">
        <f>IFERROR(INDEX(Inputs!$B$17:$B$20,MATCH(1,(A292&gt;=Inputs!$C$17:$C$20)*(A292&lt;=Inputs!$D$17:$D$20),0)),"")</f>
        <v/>
      </c>
      <c r="D292" s="36">
        <f>IFERROR(INDEX(Inputs!$E$17:$E$20,MATCH(1,(A292&gt;=Inputs!$C$17:$C$20)*(A292&lt;=Inputs!$D$17:$D$20),0)),1)</f>
        <v/>
      </c>
      <c r="E292" s="36">
        <f>INDEX(Inputs!$D$24:$D$30,WEEKDAY(A292,2))</f>
        <v/>
      </c>
      <c r="F292" s="36">
        <f>IFERROR(INDEX(Inputs!$D$34:$D$45,MATCH(A292,Inputs!$B$34:$B$45,0)),1)</f>
        <v/>
      </c>
      <c r="G292" s="37">
        <f>Inputs!$C$7*D292*E292*F292</f>
        <v/>
      </c>
      <c r="H292" s="25" t="n"/>
      <c r="I292" s="38">
        <f>IF(H292&lt;&gt;"",H292,G292)</f>
        <v/>
      </c>
    </row>
    <row r="293" ht="16" customHeight="1">
      <c r="A293" s="34">
        <f>DATE(Settings!$B$7,1,1)+287</f>
        <v/>
      </c>
      <c r="B293" s="19">
        <f>TEXT(A293,"ddd")</f>
        <v/>
      </c>
      <c r="C293" s="35">
        <f>IFERROR(INDEX(Inputs!$B$17:$B$20,MATCH(1,(A293&gt;=Inputs!$C$17:$C$20)*(A293&lt;=Inputs!$D$17:$D$20),0)),"")</f>
        <v/>
      </c>
      <c r="D293" s="36">
        <f>IFERROR(INDEX(Inputs!$E$17:$E$20,MATCH(1,(A293&gt;=Inputs!$C$17:$C$20)*(A293&lt;=Inputs!$D$17:$D$20),0)),1)</f>
        <v/>
      </c>
      <c r="E293" s="36">
        <f>INDEX(Inputs!$D$24:$D$30,WEEKDAY(A293,2))</f>
        <v/>
      </c>
      <c r="F293" s="36">
        <f>IFERROR(INDEX(Inputs!$D$34:$D$45,MATCH(A293,Inputs!$B$34:$B$45,0)),1)</f>
        <v/>
      </c>
      <c r="G293" s="37">
        <f>Inputs!$C$7*D293*E293*F293</f>
        <v/>
      </c>
      <c r="H293" s="25" t="n"/>
      <c r="I293" s="38">
        <f>IF(H293&lt;&gt;"",H293,G293)</f>
        <v/>
      </c>
    </row>
    <row r="294" ht="16" customHeight="1">
      <c r="A294" s="34">
        <f>DATE(Settings!$B$7,1,1)+288</f>
        <v/>
      </c>
      <c r="B294" s="19">
        <f>TEXT(A294,"ddd")</f>
        <v/>
      </c>
      <c r="C294" s="35">
        <f>IFERROR(INDEX(Inputs!$B$17:$B$20,MATCH(1,(A294&gt;=Inputs!$C$17:$C$20)*(A294&lt;=Inputs!$D$17:$D$20),0)),"")</f>
        <v/>
      </c>
      <c r="D294" s="36">
        <f>IFERROR(INDEX(Inputs!$E$17:$E$20,MATCH(1,(A294&gt;=Inputs!$C$17:$C$20)*(A294&lt;=Inputs!$D$17:$D$20),0)),1)</f>
        <v/>
      </c>
      <c r="E294" s="36">
        <f>INDEX(Inputs!$D$24:$D$30,WEEKDAY(A294,2))</f>
        <v/>
      </c>
      <c r="F294" s="36">
        <f>IFERROR(INDEX(Inputs!$D$34:$D$45,MATCH(A294,Inputs!$B$34:$B$45,0)),1)</f>
        <v/>
      </c>
      <c r="G294" s="37">
        <f>Inputs!$C$7*D294*E294*F294</f>
        <v/>
      </c>
      <c r="H294" s="25" t="n"/>
      <c r="I294" s="38">
        <f>IF(H294&lt;&gt;"",H294,G294)</f>
        <v/>
      </c>
    </row>
    <row r="295" ht="16" customHeight="1">
      <c r="A295" s="34">
        <f>DATE(Settings!$B$7,1,1)+289</f>
        <v/>
      </c>
      <c r="B295" s="19">
        <f>TEXT(A295,"ddd")</f>
        <v/>
      </c>
      <c r="C295" s="35">
        <f>IFERROR(INDEX(Inputs!$B$17:$B$20,MATCH(1,(A295&gt;=Inputs!$C$17:$C$20)*(A295&lt;=Inputs!$D$17:$D$20),0)),"")</f>
        <v/>
      </c>
      <c r="D295" s="36">
        <f>IFERROR(INDEX(Inputs!$E$17:$E$20,MATCH(1,(A295&gt;=Inputs!$C$17:$C$20)*(A295&lt;=Inputs!$D$17:$D$20),0)),1)</f>
        <v/>
      </c>
      <c r="E295" s="36">
        <f>INDEX(Inputs!$D$24:$D$30,WEEKDAY(A295,2))</f>
        <v/>
      </c>
      <c r="F295" s="36">
        <f>IFERROR(INDEX(Inputs!$D$34:$D$45,MATCH(A295,Inputs!$B$34:$B$45,0)),1)</f>
        <v/>
      </c>
      <c r="G295" s="37">
        <f>Inputs!$C$7*D295*E295*F295</f>
        <v/>
      </c>
      <c r="H295" s="25" t="n"/>
      <c r="I295" s="38">
        <f>IF(H295&lt;&gt;"",H295,G295)</f>
        <v/>
      </c>
    </row>
    <row r="296" ht="16" customHeight="1">
      <c r="A296" s="34">
        <f>DATE(Settings!$B$7,1,1)+290</f>
        <v/>
      </c>
      <c r="B296" s="19">
        <f>TEXT(A296,"ddd")</f>
        <v/>
      </c>
      <c r="C296" s="35">
        <f>IFERROR(INDEX(Inputs!$B$17:$B$20,MATCH(1,(A296&gt;=Inputs!$C$17:$C$20)*(A296&lt;=Inputs!$D$17:$D$20),0)),"")</f>
        <v/>
      </c>
      <c r="D296" s="36">
        <f>IFERROR(INDEX(Inputs!$E$17:$E$20,MATCH(1,(A296&gt;=Inputs!$C$17:$C$20)*(A296&lt;=Inputs!$D$17:$D$20),0)),1)</f>
        <v/>
      </c>
      <c r="E296" s="36">
        <f>INDEX(Inputs!$D$24:$D$30,WEEKDAY(A296,2))</f>
        <v/>
      </c>
      <c r="F296" s="36">
        <f>IFERROR(INDEX(Inputs!$D$34:$D$45,MATCH(A296,Inputs!$B$34:$B$45,0)),1)</f>
        <v/>
      </c>
      <c r="G296" s="37">
        <f>Inputs!$C$7*D296*E296*F296</f>
        <v/>
      </c>
      <c r="H296" s="25" t="n"/>
      <c r="I296" s="38">
        <f>IF(H296&lt;&gt;"",H296,G296)</f>
        <v/>
      </c>
    </row>
    <row r="297" ht="16" customHeight="1">
      <c r="A297" s="34">
        <f>DATE(Settings!$B$7,1,1)+291</f>
        <v/>
      </c>
      <c r="B297" s="19">
        <f>TEXT(A297,"ddd")</f>
        <v/>
      </c>
      <c r="C297" s="35">
        <f>IFERROR(INDEX(Inputs!$B$17:$B$20,MATCH(1,(A297&gt;=Inputs!$C$17:$C$20)*(A297&lt;=Inputs!$D$17:$D$20),0)),"")</f>
        <v/>
      </c>
      <c r="D297" s="36">
        <f>IFERROR(INDEX(Inputs!$E$17:$E$20,MATCH(1,(A297&gt;=Inputs!$C$17:$C$20)*(A297&lt;=Inputs!$D$17:$D$20),0)),1)</f>
        <v/>
      </c>
      <c r="E297" s="36">
        <f>INDEX(Inputs!$D$24:$D$30,WEEKDAY(A297,2))</f>
        <v/>
      </c>
      <c r="F297" s="36">
        <f>IFERROR(INDEX(Inputs!$D$34:$D$45,MATCH(A297,Inputs!$B$34:$B$45,0)),1)</f>
        <v/>
      </c>
      <c r="G297" s="37">
        <f>Inputs!$C$7*D297*E297*F297</f>
        <v/>
      </c>
      <c r="H297" s="25" t="n"/>
      <c r="I297" s="38">
        <f>IF(H297&lt;&gt;"",H297,G297)</f>
        <v/>
      </c>
    </row>
    <row r="298" ht="16" customHeight="1">
      <c r="A298" s="34">
        <f>DATE(Settings!$B$7,1,1)+292</f>
        <v/>
      </c>
      <c r="B298" s="19">
        <f>TEXT(A298,"ddd")</f>
        <v/>
      </c>
      <c r="C298" s="35">
        <f>IFERROR(INDEX(Inputs!$B$17:$B$20,MATCH(1,(A298&gt;=Inputs!$C$17:$C$20)*(A298&lt;=Inputs!$D$17:$D$20),0)),"")</f>
        <v/>
      </c>
      <c r="D298" s="36">
        <f>IFERROR(INDEX(Inputs!$E$17:$E$20,MATCH(1,(A298&gt;=Inputs!$C$17:$C$20)*(A298&lt;=Inputs!$D$17:$D$20),0)),1)</f>
        <v/>
      </c>
      <c r="E298" s="36">
        <f>INDEX(Inputs!$D$24:$D$30,WEEKDAY(A298,2))</f>
        <v/>
      </c>
      <c r="F298" s="36">
        <f>IFERROR(INDEX(Inputs!$D$34:$D$45,MATCH(A298,Inputs!$B$34:$B$45,0)),1)</f>
        <v/>
      </c>
      <c r="G298" s="37">
        <f>Inputs!$C$7*D298*E298*F298</f>
        <v/>
      </c>
      <c r="H298" s="25" t="n"/>
      <c r="I298" s="38">
        <f>IF(H298&lt;&gt;"",H298,G298)</f>
        <v/>
      </c>
    </row>
    <row r="299" ht="16" customHeight="1">
      <c r="A299" s="34">
        <f>DATE(Settings!$B$7,1,1)+293</f>
        <v/>
      </c>
      <c r="B299" s="19">
        <f>TEXT(A299,"ddd")</f>
        <v/>
      </c>
      <c r="C299" s="35">
        <f>IFERROR(INDEX(Inputs!$B$17:$B$20,MATCH(1,(A299&gt;=Inputs!$C$17:$C$20)*(A299&lt;=Inputs!$D$17:$D$20),0)),"")</f>
        <v/>
      </c>
      <c r="D299" s="36">
        <f>IFERROR(INDEX(Inputs!$E$17:$E$20,MATCH(1,(A299&gt;=Inputs!$C$17:$C$20)*(A299&lt;=Inputs!$D$17:$D$20),0)),1)</f>
        <v/>
      </c>
      <c r="E299" s="36">
        <f>INDEX(Inputs!$D$24:$D$30,WEEKDAY(A299,2))</f>
        <v/>
      </c>
      <c r="F299" s="36">
        <f>IFERROR(INDEX(Inputs!$D$34:$D$45,MATCH(A299,Inputs!$B$34:$B$45,0)),1)</f>
        <v/>
      </c>
      <c r="G299" s="37">
        <f>Inputs!$C$7*D299*E299*F299</f>
        <v/>
      </c>
      <c r="H299" s="25" t="n"/>
      <c r="I299" s="38">
        <f>IF(H299&lt;&gt;"",H299,G299)</f>
        <v/>
      </c>
    </row>
    <row r="300" ht="16" customHeight="1">
      <c r="A300" s="34">
        <f>DATE(Settings!$B$7,1,1)+294</f>
        <v/>
      </c>
      <c r="B300" s="19">
        <f>TEXT(A300,"ddd")</f>
        <v/>
      </c>
      <c r="C300" s="35">
        <f>IFERROR(INDEX(Inputs!$B$17:$B$20,MATCH(1,(A300&gt;=Inputs!$C$17:$C$20)*(A300&lt;=Inputs!$D$17:$D$20),0)),"")</f>
        <v/>
      </c>
      <c r="D300" s="36">
        <f>IFERROR(INDEX(Inputs!$E$17:$E$20,MATCH(1,(A300&gt;=Inputs!$C$17:$C$20)*(A300&lt;=Inputs!$D$17:$D$20),0)),1)</f>
        <v/>
      </c>
      <c r="E300" s="36">
        <f>INDEX(Inputs!$D$24:$D$30,WEEKDAY(A300,2))</f>
        <v/>
      </c>
      <c r="F300" s="36">
        <f>IFERROR(INDEX(Inputs!$D$34:$D$45,MATCH(A300,Inputs!$B$34:$B$45,0)),1)</f>
        <v/>
      </c>
      <c r="G300" s="37">
        <f>Inputs!$C$7*D300*E300*F300</f>
        <v/>
      </c>
      <c r="H300" s="25" t="n"/>
      <c r="I300" s="38">
        <f>IF(H300&lt;&gt;"",H300,G300)</f>
        <v/>
      </c>
    </row>
    <row r="301" ht="16" customHeight="1">
      <c r="A301" s="34">
        <f>DATE(Settings!$B$7,1,1)+295</f>
        <v/>
      </c>
      <c r="B301" s="19">
        <f>TEXT(A301,"ddd")</f>
        <v/>
      </c>
      <c r="C301" s="35">
        <f>IFERROR(INDEX(Inputs!$B$17:$B$20,MATCH(1,(A301&gt;=Inputs!$C$17:$C$20)*(A301&lt;=Inputs!$D$17:$D$20),0)),"")</f>
        <v/>
      </c>
      <c r="D301" s="36">
        <f>IFERROR(INDEX(Inputs!$E$17:$E$20,MATCH(1,(A301&gt;=Inputs!$C$17:$C$20)*(A301&lt;=Inputs!$D$17:$D$20),0)),1)</f>
        <v/>
      </c>
      <c r="E301" s="36">
        <f>INDEX(Inputs!$D$24:$D$30,WEEKDAY(A301,2))</f>
        <v/>
      </c>
      <c r="F301" s="36">
        <f>IFERROR(INDEX(Inputs!$D$34:$D$45,MATCH(A301,Inputs!$B$34:$B$45,0)),1)</f>
        <v/>
      </c>
      <c r="G301" s="37">
        <f>Inputs!$C$7*D301*E301*F301</f>
        <v/>
      </c>
      <c r="H301" s="25" t="n"/>
      <c r="I301" s="38">
        <f>IF(H301&lt;&gt;"",H301,G301)</f>
        <v/>
      </c>
    </row>
    <row r="302" ht="16" customHeight="1">
      <c r="A302" s="34">
        <f>DATE(Settings!$B$7,1,1)+296</f>
        <v/>
      </c>
      <c r="B302" s="19">
        <f>TEXT(A302,"ddd")</f>
        <v/>
      </c>
      <c r="C302" s="35">
        <f>IFERROR(INDEX(Inputs!$B$17:$B$20,MATCH(1,(A302&gt;=Inputs!$C$17:$C$20)*(A302&lt;=Inputs!$D$17:$D$20),0)),"")</f>
        <v/>
      </c>
      <c r="D302" s="36">
        <f>IFERROR(INDEX(Inputs!$E$17:$E$20,MATCH(1,(A302&gt;=Inputs!$C$17:$C$20)*(A302&lt;=Inputs!$D$17:$D$20),0)),1)</f>
        <v/>
      </c>
      <c r="E302" s="36">
        <f>INDEX(Inputs!$D$24:$D$30,WEEKDAY(A302,2))</f>
        <v/>
      </c>
      <c r="F302" s="36">
        <f>IFERROR(INDEX(Inputs!$D$34:$D$45,MATCH(A302,Inputs!$B$34:$B$45,0)),1)</f>
        <v/>
      </c>
      <c r="G302" s="37">
        <f>Inputs!$C$7*D302*E302*F302</f>
        <v/>
      </c>
      <c r="H302" s="25" t="n"/>
      <c r="I302" s="38">
        <f>IF(H302&lt;&gt;"",H302,G302)</f>
        <v/>
      </c>
    </row>
    <row r="303" ht="16" customHeight="1">
      <c r="A303" s="34">
        <f>DATE(Settings!$B$7,1,1)+297</f>
        <v/>
      </c>
      <c r="B303" s="19">
        <f>TEXT(A303,"ddd")</f>
        <v/>
      </c>
      <c r="C303" s="35">
        <f>IFERROR(INDEX(Inputs!$B$17:$B$20,MATCH(1,(A303&gt;=Inputs!$C$17:$C$20)*(A303&lt;=Inputs!$D$17:$D$20),0)),"")</f>
        <v/>
      </c>
      <c r="D303" s="36">
        <f>IFERROR(INDEX(Inputs!$E$17:$E$20,MATCH(1,(A303&gt;=Inputs!$C$17:$C$20)*(A303&lt;=Inputs!$D$17:$D$20),0)),1)</f>
        <v/>
      </c>
      <c r="E303" s="36">
        <f>INDEX(Inputs!$D$24:$D$30,WEEKDAY(A303,2))</f>
        <v/>
      </c>
      <c r="F303" s="36">
        <f>IFERROR(INDEX(Inputs!$D$34:$D$45,MATCH(A303,Inputs!$B$34:$B$45,0)),1)</f>
        <v/>
      </c>
      <c r="G303" s="37">
        <f>Inputs!$C$7*D303*E303*F303</f>
        <v/>
      </c>
      <c r="H303" s="25" t="n"/>
      <c r="I303" s="38">
        <f>IF(H303&lt;&gt;"",H303,G303)</f>
        <v/>
      </c>
    </row>
    <row r="304" ht="16" customHeight="1">
      <c r="A304" s="34">
        <f>DATE(Settings!$B$7,1,1)+298</f>
        <v/>
      </c>
      <c r="B304" s="19">
        <f>TEXT(A304,"ddd")</f>
        <v/>
      </c>
      <c r="C304" s="35">
        <f>IFERROR(INDEX(Inputs!$B$17:$B$20,MATCH(1,(A304&gt;=Inputs!$C$17:$C$20)*(A304&lt;=Inputs!$D$17:$D$20),0)),"")</f>
        <v/>
      </c>
      <c r="D304" s="36">
        <f>IFERROR(INDEX(Inputs!$E$17:$E$20,MATCH(1,(A304&gt;=Inputs!$C$17:$C$20)*(A304&lt;=Inputs!$D$17:$D$20),0)),1)</f>
        <v/>
      </c>
      <c r="E304" s="36">
        <f>INDEX(Inputs!$D$24:$D$30,WEEKDAY(A304,2))</f>
        <v/>
      </c>
      <c r="F304" s="36">
        <f>IFERROR(INDEX(Inputs!$D$34:$D$45,MATCH(A304,Inputs!$B$34:$B$45,0)),1)</f>
        <v/>
      </c>
      <c r="G304" s="37">
        <f>Inputs!$C$7*D304*E304*F304</f>
        <v/>
      </c>
      <c r="H304" s="25" t="n"/>
      <c r="I304" s="38">
        <f>IF(H304&lt;&gt;"",H304,G304)</f>
        <v/>
      </c>
    </row>
    <row r="305" ht="16" customHeight="1">
      <c r="A305" s="34">
        <f>DATE(Settings!$B$7,1,1)+299</f>
        <v/>
      </c>
      <c r="B305" s="19">
        <f>TEXT(A305,"ddd")</f>
        <v/>
      </c>
      <c r="C305" s="35">
        <f>IFERROR(INDEX(Inputs!$B$17:$B$20,MATCH(1,(A305&gt;=Inputs!$C$17:$C$20)*(A305&lt;=Inputs!$D$17:$D$20),0)),"")</f>
        <v/>
      </c>
      <c r="D305" s="36">
        <f>IFERROR(INDEX(Inputs!$E$17:$E$20,MATCH(1,(A305&gt;=Inputs!$C$17:$C$20)*(A305&lt;=Inputs!$D$17:$D$20),0)),1)</f>
        <v/>
      </c>
      <c r="E305" s="36">
        <f>INDEX(Inputs!$D$24:$D$30,WEEKDAY(A305,2))</f>
        <v/>
      </c>
      <c r="F305" s="36">
        <f>IFERROR(INDEX(Inputs!$D$34:$D$45,MATCH(A305,Inputs!$B$34:$B$45,0)),1)</f>
        <v/>
      </c>
      <c r="G305" s="37">
        <f>Inputs!$C$7*D305*E305*F305</f>
        <v/>
      </c>
      <c r="H305" s="25" t="n"/>
      <c r="I305" s="38">
        <f>IF(H305&lt;&gt;"",H305,G305)</f>
        <v/>
      </c>
    </row>
    <row r="306" ht="16" customHeight="1">
      <c r="A306" s="34">
        <f>DATE(Settings!$B$7,1,1)+300</f>
        <v/>
      </c>
      <c r="B306" s="19">
        <f>TEXT(A306,"ddd")</f>
        <v/>
      </c>
      <c r="C306" s="35">
        <f>IFERROR(INDEX(Inputs!$B$17:$B$20,MATCH(1,(A306&gt;=Inputs!$C$17:$C$20)*(A306&lt;=Inputs!$D$17:$D$20),0)),"")</f>
        <v/>
      </c>
      <c r="D306" s="36">
        <f>IFERROR(INDEX(Inputs!$E$17:$E$20,MATCH(1,(A306&gt;=Inputs!$C$17:$C$20)*(A306&lt;=Inputs!$D$17:$D$20),0)),1)</f>
        <v/>
      </c>
      <c r="E306" s="36">
        <f>INDEX(Inputs!$D$24:$D$30,WEEKDAY(A306,2))</f>
        <v/>
      </c>
      <c r="F306" s="36">
        <f>IFERROR(INDEX(Inputs!$D$34:$D$45,MATCH(A306,Inputs!$B$34:$B$45,0)),1)</f>
        <v/>
      </c>
      <c r="G306" s="37">
        <f>Inputs!$C$7*D306*E306*F306</f>
        <v/>
      </c>
      <c r="H306" s="25" t="n"/>
      <c r="I306" s="38">
        <f>IF(H306&lt;&gt;"",H306,G306)</f>
        <v/>
      </c>
    </row>
    <row r="307" ht="16" customHeight="1">
      <c r="A307" s="34">
        <f>DATE(Settings!$B$7,1,1)+301</f>
        <v/>
      </c>
      <c r="B307" s="19">
        <f>TEXT(A307,"ddd")</f>
        <v/>
      </c>
      <c r="C307" s="35">
        <f>IFERROR(INDEX(Inputs!$B$17:$B$20,MATCH(1,(A307&gt;=Inputs!$C$17:$C$20)*(A307&lt;=Inputs!$D$17:$D$20),0)),"")</f>
        <v/>
      </c>
      <c r="D307" s="36">
        <f>IFERROR(INDEX(Inputs!$E$17:$E$20,MATCH(1,(A307&gt;=Inputs!$C$17:$C$20)*(A307&lt;=Inputs!$D$17:$D$20),0)),1)</f>
        <v/>
      </c>
      <c r="E307" s="36">
        <f>INDEX(Inputs!$D$24:$D$30,WEEKDAY(A307,2))</f>
        <v/>
      </c>
      <c r="F307" s="36">
        <f>IFERROR(INDEX(Inputs!$D$34:$D$45,MATCH(A307,Inputs!$B$34:$B$45,0)),1)</f>
        <v/>
      </c>
      <c r="G307" s="37">
        <f>Inputs!$C$7*D307*E307*F307</f>
        <v/>
      </c>
      <c r="H307" s="25" t="n"/>
      <c r="I307" s="38">
        <f>IF(H307&lt;&gt;"",H307,G307)</f>
        <v/>
      </c>
    </row>
    <row r="308" ht="16" customHeight="1">
      <c r="A308" s="34">
        <f>DATE(Settings!$B$7,1,1)+302</f>
        <v/>
      </c>
      <c r="B308" s="19">
        <f>TEXT(A308,"ddd")</f>
        <v/>
      </c>
      <c r="C308" s="35">
        <f>IFERROR(INDEX(Inputs!$B$17:$B$20,MATCH(1,(A308&gt;=Inputs!$C$17:$C$20)*(A308&lt;=Inputs!$D$17:$D$20),0)),"")</f>
        <v/>
      </c>
      <c r="D308" s="36">
        <f>IFERROR(INDEX(Inputs!$E$17:$E$20,MATCH(1,(A308&gt;=Inputs!$C$17:$C$20)*(A308&lt;=Inputs!$D$17:$D$20),0)),1)</f>
        <v/>
      </c>
      <c r="E308" s="36">
        <f>INDEX(Inputs!$D$24:$D$30,WEEKDAY(A308,2))</f>
        <v/>
      </c>
      <c r="F308" s="36">
        <f>IFERROR(INDEX(Inputs!$D$34:$D$45,MATCH(A308,Inputs!$B$34:$B$45,0)),1)</f>
        <v/>
      </c>
      <c r="G308" s="37">
        <f>Inputs!$C$7*D308*E308*F308</f>
        <v/>
      </c>
      <c r="H308" s="25" t="n"/>
      <c r="I308" s="38">
        <f>IF(H308&lt;&gt;"",H308,G308)</f>
        <v/>
      </c>
    </row>
    <row r="309" ht="16" customHeight="1">
      <c r="A309" s="34">
        <f>DATE(Settings!$B$7,1,1)+303</f>
        <v/>
      </c>
      <c r="B309" s="19">
        <f>TEXT(A309,"ddd")</f>
        <v/>
      </c>
      <c r="C309" s="35">
        <f>IFERROR(INDEX(Inputs!$B$17:$B$20,MATCH(1,(A309&gt;=Inputs!$C$17:$C$20)*(A309&lt;=Inputs!$D$17:$D$20),0)),"")</f>
        <v/>
      </c>
      <c r="D309" s="36">
        <f>IFERROR(INDEX(Inputs!$E$17:$E$20,MATCH(1,(A309&gt;=Inputs!$C$17:$C$20)*(A309&lt;=Inputs!$D$17:$D$20),0)),1)</f>
        <v/>
      </c>
      <c r="E309" s="36">
        <f>INDEX(Inputs!$D$24:$D$30,WEEKDAY(A309,2))</f>
        <v/>
      </c>
      <c r="F309" s="36">
        <f>IFERROR(INDEX(Inputs!$D$34:$D$45,MATCH(A309,Inputs!$B$34:$B$45,0)),1)</f>
        <v/>
      </c>
      <c r="G309" s="37">
        <f>Inputs!$C$7*D309*E309*F309</f>
        <v/>
      </c>
      <c r="H309" s="25" t="n"/>
      <c r="I309" s="38">
        <f>IF(H309&lt;&gt;"",H309,G309)</f>
        <v/>
      </c>
    </row>
    <row r="310" ht="16" customHeight="1">
      <c r="A310" s="34">
        <f>DATE(Settings!$B$7,1,1)+304</f>
        <v/>
      </c>
      <c r="B310" s="19">
        <f>TEXT(A310,"ddd")</f>
        <v/>
      </c>
      <c r="C310" s="35">
        <f>IFERROR(INDEX(Inputs!$B$17:$B$20,MATCH(1,(A310&gt;=Inputs!$C$17:$C$20)*(A310&lt;=Inputs!$D$17:$D$20),0)),"")</f>
        <v/>
      </c>
      <c r="D310" s="36">
        <f>IFERROR(INDEX(Inputs!$E$17:$E$20,MATCH(1,(A310&gt;=Inputs!$C$17:$C$20)*(A310&lt;=Inputs!$D$17:$D$20),0)),1)</f>
        <v/>
      </c>
      <c r="E310" s="36">
        <f>INDEX(Inputs!$D$24:$D$30,WEEKDAY(A310,2))</f>
        <v/>
      </c>
      <c r="F310" s="36">
        <f>IFERROR(INDEX(Inputs!$D$34:$D$45,MATCH(A310,Inputs!$B$34:$B$45,0)),1)</f>
        <v/>
      </c>
      <c r="G310" s="37">
        <f>Inputs!$C$7*D310*E310*F310</f>
        <v/>
      </c>
      <c r="H310" s="25" t="n"/>
      <c r="I310" s="38">
        <f>IF(H310&lt;&gt;"",H310,G310)</f>
        <v/>
      </c>
    </row>
    <row r="311" ht="16" customHeight="1">
      <c r="A311" s="34">
        <f>DATE(Settings!$B$7,1,1)+305</f>
        <v/>
      </c>
      <c r="B311" s="19">
        <f>TEXT(A311,"ddd")</f>
        <v/>
      </c>
      <c r="C311" s="35">
        <f>IFERROR(INDEX(Inputs!$B$17:$B$20,MATCH(1,(A311&gt;=Inputs!$C$17:$C$20)*(A311&lt;=Inputs!$D$17:$D$20),0)),"")</f>
        <v/>
      </c>
      <c r="D311" s="36">
        <f>IFERROR(INDEX(Inputs!$E$17:$E$20,MATCH(1,(A311&gt;=Inputs!$C$17:$C$20)*(A311&lt;=Inputs!$D$17:$D$20),0)),1)</f>
        <v/>
      </c>
      <c r="E311" s="36">
        <f>INDEX(Inputs!$D$24:$D$30,WEEKDAY(A311,2))</f>
        <v/>
      </c>
      <c r="F311" s="36">
        <f>IFERROR(INDEX(Inputs!$D$34:$D$45,MATCH(A311,Inputs!$B$34:$B$45,0)),1)</f>
        <v/>
      </c>
      <c r="G311" s="37">
        <f>Inputs!$C$7*D311*E311*F311</f>
        <v/>
      </c>
      <c r="H311" s="25" t="n"/>
      <c r="I311" s="38">
        <f>IF(H311&lt;&gt;"",H311,G311)</f>
        <v/>
      </c>
    </row>
    <row r="312" ht="16" customHeight="1">
      <c r="A312" s="34">
        <f>DATE(Settings!$B$7,1,1)+306</f>
        <v/>
      </c>
      <c r="B312" s="19">
        <f>TEXT(A312,"ddd")</f>
        <v/>
      </c>
      <c r="C312" s="35">
        <f>IFERROR(INDEX(Inputs!$B$17:$B$20,MATCH(1,(A312&gt;=Inputs!$C$17:$C$20)*(A312&lt;=Inputs!$D$17:$D$20),0)),"")</f>
        <v/>
      </c>
      <c r="D312" s="36">
        <f>IFERROR(INDEX(Inputs!$E$17:$E$20,MATCH(1,(A312&gt;=Inputs!$C$17:$C$20)*(A312&lt;=Inputs!$D$17:$D$20),0)),1)</f>
        <v/>
      </c>
      <c r="E312" s="36">
        <f>INDEX(Inputs!$D$24:$D$30,WEEKDAY(A312,2))</f>
        <v/>
      </c>
      <c r="F312" s="36">
        <f>IFERROR(INDEX(Inputs!$D$34:$D$45,MATCH(A312,Inputs!$B$34:$B$45,0)),1)</f>
        <v/>
      </c>
      <c r="G312" s="37">
        <f>Inputs!$C$7*D312*E312*F312</f>
        <v/>
      </c>
      <c r="H312" s="25" t="n"/>
      <c r="I312" s="38">
        <f>IF(H312&lt;&gt;"",H312,G312)</f>
        <v/>
      </c>
    </row>
    <row r="313" ht="16" customHeight="1">
      <c r="A313" s="34">
        <f>DATE(Settings!$B$7,1,1)+307</f>
        <v/>
      </c>
      <c r="B313" s="19">
        <f>TEXT(A313,"ddd")</f>
        <v/>
      </c>
      <c r="C313" s="35">
        <f>IFERROR(INDEX(Inputs!$B$17:$B$20,MATCH(1,(A313&gt;=Inputs!$C$17:$C$20)*(A313&lt;=Inputs!$D$17:$D$20),0)),"")</f>
        <v/>
      </c>
      <c r="D313" s="36">
        <f>IFERROR(INDEX(Inputs!$E$17:$E$20,MATCH(1,(A313&gt;=Inputs!$C$17:$C$20)*(A313&lt;=Inputs!$D$17:$D$20),0)),1)</f>
        <v/>
      </c>
      <c r="E313" s="36">
        <f>INDEX(Inputs!$D$24:$D$30,WEEKDAY(A313,2))</f>
        <v/>
      </c>
      <c r="F313" s="36">
        <f>IFERROR(INDEX(Inputs!$D$34:$D$45,MATCH(A313,Inputs!$B$34:$B$45,0)),1)</f>
        <v/>
      </c>
      <c r="G313" s="37">
        <f>Inputs!$C$7*D313*E313*F313</f>
        <v/>
      </c>
      <c r="H313" s="25" t="n"/>
      <c r="I313" s="38">
        <f>IF(H313&lt;&gt;"",H313,G313)</f>
        <v/>
      </c>
    </row>
    <row r="314" ht="16" customHeight="1">
      <c r="A314" s="34">
        <f>DATE(Settings!$B$7,1,1)+308</f>
        <v/>
      </c>
      <c r="B314" s="19">
        <f>TEXT(A314,"ddd")</f>
        <v/>
      </c>
      <c r="C314" s="35">
        <f>IFERROR(INDEX(Inputs!$B$17:$B$20,MATCH(1,(A314&gt;=Inputs!$C$17:$C$20)*(A314&lt;=Inputs!$D$17:$D$20),0)),"")</f>
        <v/>
      </c>
      <c r="D314" s="36">
        <f>IFERROR(INDEX(Inputs!$E$17:$E$20,MATCH(1,(A314&gt;=Inputs!$C$17:$C$20)*(A314&lt;=Inputs!$D$17:$D$20),0)),1)</f>
        <v/>
      </c>
      <c r="E314" s="36">
        <f>INDEX(Inputs!$D$24:$D$30,WEEKDAY(A314,2))</f>
        <v/>
      </c>
      <c r="F314" s="36">
        <f>IFERROR(INDEX(Inputs!$D$34:$D$45,MATCH(A314,Inputs!$B$34:$B$45,0)),1)</f>
        <v/>
      </c>
      <c r="G314" s="37">
        <f>Inputs!$C$7*D314*E314*F314</f>
        <v/>
      </c>
      <c r="H314" s="25" t="n"/>
      <c r="I314" s="38">
        <f>IF(H314&lt;&gt;"",H314,G314)</f>
        <v/>
      </c>
    </row>
    <row r="315" ht="16" customHeight="1">
      <c r="A315" s="34">
        <f>DATE(Settings!$B$7,1,1)+309</f>
        <v/>
      </c>
      <c r="B315" s="19">
        <f>TEXT(A315,"ddd")</f>
        <v/>
      </c>
      <c r="C315" s="35">
        <f>IFERROR(INDEX(Inputs!$B$17:$B$20,MATCH(1,(A315&gt;=Inputs!$C$17:$C$20)*(A315&lt;=Inputs!$D$17:$D$20),0)),"")</f>
        <v/>
      </c>
      <c r="D315" s="36">
        <f>IFERROR(INDEX(Inputs!$E$17:$E$20,MATCH(1,(A315&gt;=Inputs!$C$17:$C$20)*(A315&lt;=Inputs!$D$17:$D$20),0)),1)</f>
        <v/>
      </c>
      <c r="E315" s="36">
        <f>INDEX(Inputs!$D$24:$D$30,WEEKDAY(A315,2))</f>
        <v/>
      </c>
      <c r="F315" s="36">
        <f>IFERROR(INDEX(Inputs!$D$34:$D$45,MATCH(A315,Inputs!$B$34:$B$45,0)),1)</f>
        <v/>
      </c>
      <c r="G315" s="37">
        <f>Inputs!$C$7*D315*E315*F315</f>
        <v/>
      </c>
      <c r="H315" s="25" t="n"/>
      <c r="I315" s="38">
        <f>IF(H315&lt;&gt;"",H315,G315)</f>
        <v/>
      </c>
    </row>
    <row r="316" ht="16" customHeight="1">
      <c r="A316" s="34">
        <f>DATE(Settings!$B$7,1,1)+310</f>
        <v/>
      </c>
      <c r="B316" s="19">
        <f>TEXT(A316,"ddd")</f>
        <v/>
      </c>
      <c r="C316" s="35">
        <f>IFERROR(INDEX(Inputs!$B$17:$B$20,MATCH(1,(A316&gt;=Inputs!$C$17:$C$20)*(A316&lt;=Inputs!$D$17:$D$20),0)),"")</f>
        <v/>
      </c>
      <c r="D316" s="36">
        <f>IFERROR(INDEX(Inputs!$E$17:$E$20,MATCH(1,(A316&gt;=Inputs!$C$17:$C$20)*(A316&lt;=Inputs!$D$17:$D$20),0)),1)</f>
        <v/>
      </c>
      <c r="E316" s="36">
        <f>INDEX(Inputs!$D$24:$D$30,WEEKDAY(A316,2))</f>
        <v/>
      </c>
      <c r="F316" s="36">
        <f>IFERROR(INDEX(Inputs!$D$34:$D$45,MATCH(A316,Inputs!$B$34:$B$45,0)),1)</f>
        <v/>
      </c>
      <c r="G316" s="37">
        <f>Inputs!$C$7*D316*E316*F316</f>
        <v/>
      </c>
      <c r="H316" s="25" t="n"/>
      <c r="I316" s="38">
        <f>IF(H316&lt;&gt;"",H316,G316)</f>
        <v/>
      </c>
    </row>
    <row r="317" ht="16" customHeight="1">
      <c r="A317" s="34">
        <f>DATE(Settings!$B$7,1,1)+311</f>
        <v/>
      </c>
      <c r="B317" s="19">
        <f>TEXT(A317,"ddd")</f>
        <v/>
      </c>
      <c r="C317" s="35">
        <f>IFERROR(INDEX(Inputs!$B$17:$B$20,MATCH(1,(A317&gt;=Inputs!$C$17:$C$20)*(A317&lt;=Inputs!$D$17:$D$20),0)),"")</f>
        <v/>
      </c>
      <c r="D317" s="36">
        <f>IFERROR(INDEX(Inputs!$E$17:$E$20,MATCH(1,(A317&gt;=Inputs!$C$17:$C$20)*(A317&lt;=Inputs!$D$17:$D$20),0)),1)</f>
        <v/>
      </c>
      <c r="E317" s="36">
        <f>INDEX(Inputs!$D$24:$D$30,WEEKDAY(A317,2))</f>
        <v/>
      </c>
      <c r="F317" s="36">
        <f>IFERROR(INDEX(Inputs!$D$34:$D$45,MATCH(A317,Inputs!$B$34:$B$45,0)),1)</f>
        <v/>
      </c>
      <c r="G317" s="37">
        <f>Inputs!$C$7*D317*E317*F317</f>
        <v/>
      </c>
      <c r="H317" s="25" t="n"/>
      <c r="I317" s="38">
        <f>IF(H317&lt;&gt;"",H317,G317)</f>
        <v/>
      </c>
    </row>
    <row r="318" ht="16" customHeight="1">
      <c r="A318" s="34">
        <f>DATE(Settings!$B$7,1,1)+312</f>
        <v/>
      </c>
      <c r="B318" s="19">
        <f>TEXT(A318,"ddd")</f>
        <v/>
      </c>
      <c r="C318" s="35">
        <f>IFERROR(INDEX(Inputs!$B$17:$B$20,MATCH(1,(A318&gt;=Inputs!$C$17:$C$20)*(A318&lt;=Inputs!$D$17:$D$20),0)),"")</f>
        <v/>
      </c>
      <c r="D318" s="36">
        <f>IFERROR(INDEX(Inputs!$E$17:$E$20,MATCH(1,(A318&gt;=Inputs!$C$17:$C$20)*(A318&lt;=Inputs!$D$17:$D$20),0)),1)</f>
        <v/>
      </c>
      <c r="E318" s="36">
        <f>INDEX(Inputs!$D$24:$D$30,WEEKDAY(A318,2))</f>
        <v/>
      </c>
      <c r="F318" s="36">
        <f>IFERROR(INDEX(Inputs!$D$34:$D$45,MATCH(A318,Inputs!$B$34:$B$45,0)),1)</f>
        <v/>
      </c>
      <c r="G318" s="37">
        <f>Inputs!$C$7*D318*E318*F318</f>
        <v/>
      </c>
      <c r="H318" s="25" t="n"/>
      <c r="I318" s="38">
        <f>IF(H318&lt;&gt;"",H318,G318)</f>
        <v/>
      </c>
    </row>
    <row r="319" ht="16" customHeight="1">
      <c r="A319" s="34">
        <f>DATE(Settings!$B$7,1,1)+313</f>
        <v/>
      </c>
      <c r="B319" s="19">
        <f>TEXT(A319,"ddd")</f>
        <v/>
      </c>
      <c r="C319" s="35">
        <f>IFERROR(INDEX(Inputs!$B$17:$B$20,MATCH(1,(A319&gt;=Inputs!$C$17:$C$20)*(A319&lt;=Inputs!$D$17:$D$20),0)),"")</f>
        <v/>
      </c>
      <c r="D319" s="36">
        <f>IFERROR(INDEX(Inputs!$E$17:$E$20,MATCH(1,(A319&gt;=Inputs!$C$17:$C$20)*(A319&lt;=Inputs!$D$17:$D$20),0)),1)</f>
        <v/>
      </c>
      <c r="E319" s="36">
        <f>INDEX(Inputs!$D$24:$D$30,WEEKDAY(A319,2))</f>
        <v/>
      </c>
      <c r="F319" s="36">
        <f>IFERROR(INDEX(Inputs!$D$34:$D$45,MATCH(A319,Inputs!$B$34:$B$45,0)),1)</f>
        <v/>
      </c>
      <c r="G319" s="37">
        <f>Inputs!$C$7*D319*E319*F319</f>
        <v/>
      </c>
      <c r="H319" s="25" t="n"/>
      <c r="I319" s="38">
        <f>IF(H319&lt;&gt;"",H319,G319)</f>
        <v/>
      </c>
    </row>
    <row r="320" ht="16" customHeight="1">
      <c r="A320" s="34">
        <f>DATE(Settings!$B$7,1,1)+314</f>
        <v/>
      </c>
      <c r="B320" s="19">
        <f>TEXT(A320,"ddd")</f>
        <v/>
      </c>
      <c r="C320" s="35">
        <f>IFERROR(INDEX(Inputs!$B$17:$B$20,MATCH(1,(A320&gt;=Inputs!$C$17:$C$20)*(A320&lt;=Inputs!$D$17:$D$20),0)),"")</f>
        <v/>
      </c>
      <c r="D320" s="36">
        <f>IFERROR(INDEX(Inputs!$E$17:$E$20,MATCH(1,(A320&gt;=Inputs!$C$17:$C$20)*(A320&lt;=Inputs!$D$17:$D$20),0)),1)</f>
        <v/>
      </c>
      <c r="E320" s="36">
        <f>INDEX(Inputs!$D$24:$D$30,WEEKDAY(A320,2))</f>
        <v/>
      </c>
      <c r="F320" s="36">
        <f>IFERROR(INDEX(Inputs!$D$34:$D$45,MATCH(A320,Inputs!$B$34:$B$45,0)),1)</f>
        <v/>
      </c>
      <c r="G320" s="37">
        <f>Inputs!$C$7*D320*E320*F320</f>
        <v/>
      </c>
      <c r="H320" s="25" t="n"/>
      <c r="I320" s="38">
        <f>IF(H320&lt;&gt;"",H320,G320)</f>
        <v/>
      </c>
    </row>
    <row r="321" ht="16" customHeight="1">
      <c r="A321" s="34">
        <f>DATE(Settings!$B$7,1,1)+315</f>
        <v/>
      </c>
      <c r="B321" s="19">
        <f>TEXT(A321,"ddd")</f>
        <v/>
      </c>
      <c r="C321" s="35">
        <f>IFERROR(INDEX(Inputs!$B$17:$B$20,MATCH(1,(A321&gt;=Inputs!$C$17:$C$20)*(A321&lt;=Inputs!$D$17:$D$20),0)),"")</f>
        <v/>
      </c>
      <c r="D321" s="36">
        <f>IFERROR(INDEX(Inputs!$E$17:$E$20,MATCH(1,(A321&gt;=Inputs!$C$17:$C$20)*(A321&lt;=Inputs!$D$17:$D$20),0)),1)</f>
        <v/>
      </c>
      <c r="E321" s="36">
        <f>INDEX(Inputs!$D$24:$D$30,WEEKDAY(A321,2))</f>
        <v/>
      </c>
      <c r="F321" s="36">
        <f>IFERROR(INDEX(Inputs!$D$34:$D$45,MATCH(A321,Inputs!$B$34:$B$45,0)),1)</f>
        <v/>
      </c>
      <c r="G321" s="37">
        <f>Inputs!$C$7*D321*E321*F321</f>
        <v/>
      </c>
      <c r="H321" s="25" t="n"/>
      <c r="I321" s="38">
        <f>IF(H321&lt;&gt;"",H321,G321)</f>
        <v/>
      </c>
    </row>
    <row r="322" ht="16" customHeight="1">
      <c r="A322" s="34">
        <f>DATE(Settings!$B$7,1,1)+316</f>
        <v/>
      </c>
      <c r="B322" s="19">
        <f>TEXT(A322,"ddd")</f>
        <v/>
      </c>
      <c r="C322" s="35">
        <f>IFERROR(INDEX(Inputs!$B$17:$B$20,MATCH(1,(A322&gt;=Inputs!$C$17:$C$20)*(A322&lt;=Inputs!$D$17:$D$20),0)),"")</f>
        <v/>
      </c>
      <c r="D322" s="36">
        <f>IFERROR(INDEX(Inputs!$E$17:$E$20,MATCH(1,(A322&gt;=Inputs!$C$17:$C$20)*(A322&lt;=Inputs!$D$17:$D$20),0)),1)</f>
        <v/>
      </c>
      <c r="E322" s="36">
        <f>INDEX(Inputs!$D$24:$D$30,WEEKDAY(A322,2))</f>
        <v/>
      </c>
      <c r="F322" s="36">
        <f>IFERROR(INDEX(Inputs!$D$34:$D$45,MATCH(A322,Inputs!$B$34:$B$45,0)),1)</f>
        <v/>
      </c>
      <c r="G322" s="37">
        <f>Inputs!$C$7*D322*E322*F322</f>
        <v/>
      </c>
      <c r="H322" s="25" t="n"/>
      <c r="I322" s="38">
        <f>IF(H322&lt;&gt;"",H322,G322)</f>
        <v/>
      </c>
    </row>
    <row r="323" ht="16" customHeight="1">
      <c r="A323" s="34">
        <f>DATE(Settings!$B$7,1,1)+317</f>
        <v/>
      </c>
      <c r="B323" s="19">
        <f>TEXT(A323,"ddd")</f>
        <v/>
      </c>
      <c r="C323" s="35">
        <f>IFERROR(INDEX(Inputs!$B$17:$B$20,MATCH(1,(A323&gt;=Inputs!$C$17:$C$20)*(A323&lt;=Inputs!$D$17:$D$20),0)),"")</f>
        <v/>
      </c>
      <c r="D323" s="36">
        <f>IFERROR(INDEX(Inputs!$E$17:$E$20,MATCH(1,(A323&gt;=Inputs!$C$17:$C$20)*(A323&lt;=Inputs!$D$17:$D$20),0)),1)</f>
        <v/>
      </c>
      <c r="E323" s="36">
        <f>INDEX(Inputs!$D$24:$D$30,WEEKDAY(A323,2))</f>
        <v/>
      </c>
      <c r="F323" s="36">
        <f>IFERROR(INDEX(Inputs!$D$34:$D$45,MATCH(A323,Inputs!$B$34:$B$45,0)),1)</f>
        <v/>
      </c>
      <c r="G323" s="37">
        <f>Inputs!$C$7*D323*E323*F323</f>
        <v/>
      </c>
      <c r="H323" s="25" t="n"/>
      <c r="I323" s="38">
        <f>IF(H323&lt;&gt;"",H323,G323)</f>
        <v/>
      </c>
    </row>
    <row r="324" ht="16" customHeight="1">
      <c r="A324" s="34">
        <f>DATE(Settings!$B$7,1,1)+318</f>
        <v/>
      </c>
      <c r="B324" s="19">
        <f>TEXT(A324,"ddd")</f>
        <v/>
      </c>
      <c r="C324" s="35">
        <f>IFERROR(INDEX(Inputs!$B$17:$B$20,MATCH(1,(A324&gt;=Inputs!$C$17:$C$20)*(A324&lt;=Inputs!$D$17:$D$20),0)),"")</f>
        <v/>
      </c>
      <c r="D324" s="36">
        <f>IFERROR(INDEX(Inputs!$E$17:$E$20,MATCH(1,(A324&gt;=Inputs!$C$17:$C$20)*(A324&lt;=Inputs!$D$17:$D$20),0)),1)</f>
        <v/>
      </c>
      <c r="E324" s="36">
        <f>INDEX(Inputs!$D$24:$D$30,WEEKDAY(A324,2))</f>
        <v/>
      </c>
      <c r="F324" s="36">
        <f>IFERROR(INDEX(Inputs!$D$34:$D$45,MATCH(A324,Inputs!$B$34:$B$45,0)),1)</f>
        <v/>
      </c>
      <c r="G324" s="37">
        <f>Inputs!$C$7*D324*E324*F324</f>
        <v/>
      </c>
      <c r="H324" s="25" t="n"/>
      <c r="I324" s="38">
        <f>IF(H324&lt;&gt;"",H324,G324)</f>
        <v/>
      </c>
    </row>
    <row r="325" ht="16" customHeight="1">
      <c r="A325" s="34">
        <f>DATE(Settings!$B$7,1,1)+319</f>
        <v/>
      </c>
      <c r="B325" s="19">
        <f>TEXT(A325,"ddd")</f>
        <v/>
      </c>
      <c r="C325" s="35">
        <f>IFERROR(INDEX(Inputs!$B$17:$B$20,MATCH(1,(A325&gt;=Inputs!$C$17:$C$20)*(A325&lt;=Inputs!$D$17:$D$20),0)),"")</f>
        <v/>
      </c>
      <c r="D325" s="36">
        <f>IFERROR(INDEX(Inputs!$E$17:$E$20,MATCH(1,(A325&gt;=Inputs!$C$17:$C$20)*(A325&lt;=Inputs!$D$17:$D$20),0)),1)</f>
        <v/>
      </c>
      <c r="E325" s="36">
        <f>INDEX(Inputs!$D$24:$D$30,WEEKDAY(A325,2))</f>
        <v/>
      </c>
      <c r="F325" s="36">
        <f>IFERROR(INDEX(Inputs!$D$34:$D$45,MATCH(A325,Inputs!$B$34:$B$45,0)),1)</f>
        <v/>
      </c>
      <c r="G325" s="37">
        <f>Inputs!$C$7*D325*E325*F325</f>
        <v/>
      </c>
      <c r="H325" s="25" t="n"/>
      <c r="I325" s="38">
        <f>IF(H325&lt;&gt;"",H325,G325)</f>
        <v/>
      </c>
    </row>
    <row r="326" ht="16" customHeight="1">
      <c r="A326" s="34">
        <f>DATE(Settings!$B$7,1,1)+320</f>
        <v/>
      </c>
      <c r="B326" s="19">
        <f>TEXT(A326,"ddd")</f>
        <v/>
      </c>
      <c r="C326" s="35">
        <f>IFERROR(INDEX(Inputs!$B$17:$B$20,MATCH(1,(A326&gt;=Inputs!$C$17:$C$20)*(A326&lt;=Inputs!$D$17:$D$20),0)),"")</f>
        <v/>
      </c>
      <c r="D326" s="36">
        <f>IFERROR(INDEX(Inputs!$E$17:$E$20,MATCH(1,(A326&gt;=Inputs!$C$17:$C$20)*(A326&lt;=Inputs!$D$17:$D$20),0)),1)</f>
        <v/>
      </c>
      <c r="E326" s="36">
        <f>INDEX(Inputs!$D$24:$D$30,WEEKDAY(A326,2))</f>
        <v/>
      </c>
      <c r="F326" s="36">
        <f>IFERROR(INDEX(Inputs!$D$34:$D$45,MATCH(A326,Inputs!$B$34:$B$45,0)),1)</f>
        <v/>
      </c>
      <c r="G326" s="37">
        <f>Inputs!$C$7*D326*E326*F326</f>
        <v/>
      </c>
      <c r="H326" s="25" t="n"/>
      <c r="I326" s="38">
        <f>IF(H326&lt;&gt;"",H326,G326)</f>
        <v/>
      </c>
    </row>
    <row r="327" ht="16" customHeight="1">
      <c r="A327" s="34">
        <f>DATE(Settings!$B$7,1,1)+321</f>
        <v/>
      </c>
      <c r="B327" s="19">
        <f>TEXT(A327,"ddd")</f>
        <v/>
      </c>
      <c r="C327" s="35">
        <f>IFERROR(INDEX(Inputs!$B$17:$B$20,MATCH(1,(A327&gt;=Inputs!$C$17:$C$20)*(A327&lt;=Inputs!$D$17:$D$20),0)),"")</f>
        <v/>
      </c>
      <c r="D327" s="36">
        <f>IFERROR(INDEX(Inputs!$E$17:$E$20,MATCH(1,(A327&gt;=Inputs!$C$17:$C$20)*(A327&lt;=Inputs!$D$17:$D$20),0)),1)</f>
        <v/>
      </c>
      <c r="E327" s="36">
        <f>INDEX(Inputs!$D$24:$D$30,WEEKDAY(A327,2))</f>
        <v/>
      </c>
      <c r="F327" s="36">
        <f>IFERROR(INDEX(Inputs!$D$34:$D$45,MATCH(A327,Inputs!$B$34:$B$45,0)),1)</f>
        <v/>
      </c>
      <c r="G327" s="37">
        <f>Inputs!$C$7*D327*E327*F327</f>
        <v/>
      </c>
      <c r="H327" s="25" t="n"/>
      <c r="I327" s="38">
        <f>IF(H327&lt;&gt;"",H327,G327)</f>
        <v/>
      </c>
    </row>
    <row r="328" ht="16" customHeight="1">
      <c r="A328" s="34">
        <f>DATE(Settings!$B$7,1,1)+322</f>
        <v/>
      </c>
      <c r="B328" s="19">
        <f>TEXT(A328,"ddd")</f>
        <v/>
      </c>
      <c r="C328" s="35">
        <f>IFERROR(INDEX(Inputs!$B$17:$B$20,MATCH(1,(A328&gt;=Inputs!$C$17:$C$20)*(A328&lt;=Inputs!$D$17:$D$20),0)),"")</f>
        <v/>
      </c>
      <c r="D328" s="36">
        <f>IFERROR(INDEX(Inputs!$E$17:$E$20,MATCH(1,(A328&gt;=Inputs!$C$17:$C$20)*(A328&lt;=Inputs!$D$17:$D$20),0)),1)</f>
        <v/>
      </c>
      <c r="E328" s="36">
        <f>INDEX(Inputs!$D$24:$D$30,WEEKDAY(A328,2))</f>
        <v/>
      </c>
      <c r="F328" s="36">
        <f>IFERROR(INDEX(Inputs!$D$34:$D$45,MATCH(A328,Inputs!$B$34:$B$45,0)),1)</f>
        <v/>
      </c>
      <c r="G328" s="37">
        <f>Inputs!$C$7*D328*E328*F328</f>
        <v/>
      </c>
      <c r="H328" s="25" t="n"/>
      <c r="I328" s="38">
        <f>IF(H328&lt;&gt;"",H328,G328)</f>
        <v/>
      </c>
    </row>
    <row r="329" ht="16" customHeight="1">
      <c r="A329" s="34">
        <f>DATE(Settings!$B$7,1,1)+323</f>
        <v/>
      </c>
      <c r="B329" s="19">
        <f>TEXT(A329,"ddd")</f>
        <v/>
      </c>
      <c r="C329" s="35">
        <f>IFERROR(INDEX(Inputs!$B$17:$B$20,MATCH(1,(A329&gt;=Inputs!$C$17:$C$20)*(A329&lt;=Inputs!$D$17:$D$20),0)),"")</f>
        <v/>
      </c>
      <c r="D329" s="36">
        <f>IFERROR(INDEX(Inputs!$E$17:$E$20,MATCH(1,(A329&gt;=Inputs!$C$17:$C$20)*(A329&lt;=Inputs!$D$17:$D$20),0)),1)</f>
        <v/>
      </c>
      <c r="E329" s="36">
        <f>INDEX(Inputs!$D$24:$D$30,WEEKDAY(A329,2))</f>
        <v/>
      </c>
      <c r="F329" s="36">
        <f>IFERROR(INDEX(Inputs!$D$34:$D$45,MATCH(A329,Inputs!$B$34:$B$45,0)),1)</f>
        <v/>
      </c>
      <c r="G329" s="37">
        <f>Inputs!$C$7*D329*E329*F329</f>
        <v/>
      </c>
      <c r="H329" s="25" t="n"/>
      <c r="I329" s="38">
        <f>IF(H329&lt;&gt;"",H329,G329)</f>
        <v/>
      </c>
    </row>
    <row r="330" ht="16" customHeight="1">
      <c r="A330" s="34">
        <f>DATE(Settings!$B$7,1,1)+324</f>
        <v/>
      </c>
      <c r="B330" s="19">
        <f>TEXT(A330,"ddd")</f>
        <v/>
      </c>
      <c r="C330" s="35">
        <f>IFERROR(INDEX(Inputs!$B$17:$B$20,MATCH(1,(A330&gt;=Inputs!$C$17:$C$20)*(A330&lt;=Inputs!$D$17:$D$20),0)),"")</f>
        <v/>
      </c>
      <c r="D330" s="36">
        <f>IFERROR(INDEX(Inputs!$E$17:$E$20,MATCH(1,(A330&gt;=Inputs!$C$17:$C$20)*(A330&lt;=Inputs!$D$17:$D$20),0)),1)</f>
        <v/>
      </c>
      <c r="E330" s="36">
        <f>INDEX(Inputs!$D$24:$D$30,WEEKDAY(A330,2))</f>
        <v/>
      </c>
      <c r="F330" s="36">
        <f>IFERROR(INDEX(Inputs!$D$34:$D$45,MATCH(A330,Inputs!$B$34:$B$45,0)),1)</f>
        <v/>
      </c>
      <c r="G330" s="37">
        <f>Inputs!$C$7*D330*E330*F330</f>
        <v/>
      </c>
      <c r="H330" s="25" t="n"/>
      <c r="I330" s="38">
        <f>IF(H330&lt;&gt;"",H330,G330)</f>
        <v/>
      </c>
    </row>
    <row r="331" ht="16" customHeight="1">
      <c r="A331" s="34">
        <f>DATE(Settings!$B$7,1,1)+325</f>
        <v/>
      </c>
      <c r="B331" s="19">
        <f>TEXT(A331,"ddd")</f>
        <v/>
      </c>
      <c r="C331" s="35">
        <f>IFERROR(INDEX(Inputs!$B$17:$B$20,MATCH(1,(A331&gt;=Inputs!$C$17:$C$20)*(A331&lt;=Inputs!$D$17:$D$20),0)),"")</f>
        <v/>
      </c>
      <c r="D331" s="36">
        <f>IFERROR(INDEX(Inputs!$E$17:$E$20,MATCH(1,(A331&gt;=Inputs!$C$17:$C$20)*(A331&lt;=Inputs!$D$17:$D$20),0)),1)</f>
        <v/>
      </c>
      <c r="E331" s="36">
        <f>INDEX(Inputs!$D$24:$D$30,WEEKDAY(A331,2))</f>
        <v/>
      </c>
      <c r="F331" s="36">
        <f>IFERROR(INDEX(Inputs!$D$34:$D$45,MATCH(A331,Inputs!$B$34:$B$45,0)),1)</f>
        <v/>
      </c>
      <c r="G331" s="37">
        <f>Inputs!$C$7*D331*E331*F331</f>
        <v/>
      </c>
      <c r="H331" s="25" t="n"/>
      <c r="I331" s="38">
        <f>IF(H331&lt;&gt;"",H331,G331)</f>
        <v/>
      </c>
    </row>
    <row r="332" ht="16" customHeight="1">
      <c r="A332" s="34">
        <f>DATE(Settings!$B$7,1,1)+326</f>
        <v/>
      </c>
      <c r="B332" s="19">
        <f>TEXT(A332,"ddd")</f>
        <v/>
      </c>
      <c r="C332" s="35">
        <f>IFERROR(INDEX(Inputs!$B$17:$B$20,MATCH(1,(A332&gt;=Inputs!$C$17:$C$20)*(A332&lt;=Inputs!$D$17:$D$20),0)),"")</f>
        <v/>
      </c>
      <c r="D332" s="36">
        <f>IFERROR(INDEX(Inputs!$E$17:$E$20,MATCH(1,(A332&gt;=Inputs!$C$17:$C$20)*(A332&lt;=Inputs!$D$17:$D$20),0)),1)</f>
        <v/>
      </c>
      <c r="E332" s="36">
        <f>INDEX(Inputs!$D$24:$D$30,WEEKDAY(A332,2))</f>
        <v/>
      </c>
      <c r="F332" s="36">
        <f>IFERROR(INDEX(Inputs!$D$34:$D$45,MATCH(A332,Inputs!$B$34:$B$45,0)),1)</f>
        <v/>
      </c>
      <c r="G332" s="37">
        <f>Inputs!$C$7*D332*E332*F332</f>
        <v/>
      </c>
      <c r="H332" s="25" t="n"/>
      <c r="I332" s="38">
        <f>IF(H332&lt;&gt;"",H332,G332)</f>
        <v/>
      </c>
    </row>
    <row r="333" ht="16" customHeight="1">
      <c r="A333" s="34">
        <f>DATE(Settings!$B$7,1,1)+327</f>
        <v/>
      </c>
      <c r="B333" s="19">
        <f>TEXT(A333,"ddd")</f>
        <v/>
      </c>
      <c r="C333" s="35">
        <f>IFERROR(INDEX(Inputs!$B$17:$B$20,MATCH(1,(A333&gt;=Inputs!$C$17:$C$20)*(A333&lt;=Inputs!$D$17:$D$20),0)),"")</f>
        <v/>
      </c>
      <c r="D333" s="36">
        <f>IFERROR(INDEX(Inputs!$E$17:$E$20,MATCH(1,(A333&gt;=Inputs!$C$17:$C$20)*(A333&lt;=Inputs!$D$17:$D$20),0)),1)</f>
        <v/>
      </c>
      <c r="E333" s="36">
        <f>INDEX(Inputs!$D$24:$D$30,WEEKDAY(A333,2))</f>
        <v/>
      </c>
      <c r="F333" s="36">
        <f>IFERROR(INDEX(Inputs!$D$34:$D$45,MATCH(A333,Inputs!$B$34:$B$45,0)),1)</f>
        <v/>
      </c>
      <c r="G333" s="37">
        <f>Inputs!$C$7*D333*E333*F333</f>
        <v/>
      </c>
      <c r="H333" s="25" t="n"/>
      <c r="I333" s="38">
        <f>IF(H333&lt;&gt;"",H333,G333)</f>
        <v/>
      </c>
    </row>
    <row r="334" ht="16" customHeight="1">
      <c r="A334" s="34">
        <f>DATE(Settings!$B$7,1,1)+328</f>
        <v/>
      </c>
      <c r="B334" s="19">
        <f>TEXT(A334,"ddd")</f>
        <v/>
      </c>
      <c r="C334" s="35">
        <f>IFERROR(INDEX(Inputs!$B$17:$B$20,MATCH(1,(A334&gt;=Inputs!$C$17:$C$20)*(A334&lt;=Inputs!$D$17:$D$20),0)),"")</f>
        <v/>
      </c>
      <c r="D334" s="36">
        <f>IFERROR(INDEX(Inputs!$E$17:$E$20,MATCH(1,(A334&gt;=Inputs!$C$17:$C$20)*(A334&lt;=Inputs!$D$17:$D$20),0)),1)</f>
        <v/>
      </c>
      <c r="E334" s="36">
        <f>INDEX(Inputs!$D$24:$D$30,WEEKDAY(A334,2))</f>
        <v/>
      </c>
      <c r="F334" s="36">
        <f>IFERROR(INDEX(Inputs!$D$34:$D$45,MATCH(A334,Inputs!$B$34:$B$45,0)),1)</f>
        <v/>
      </c>
      <c r="G334" s="37">
        <f>Inputs!$C$7*D334*E334*F334</f>
        <v/>
      </c>
      <c r="H334" s="25" t="n"/>
      <c r="I334" s="38">
        <f>IF(H334&lt;&gt;"",H334,G334)</f>
        <v/>
      </c>
    </row>
    <row r="335" ht="16" customHeight="1">
      <c r="A335" s="34">
        <f>DATE(Settings!$B$7,1,1)+329</f>
        <v/>
      </c>
      <c r="B335" s="19">
        <f>TEXT(A335,"ddd")</f>
        <v/>
      </c>
      <c r="C335" s="35">
        <f>IFERROR(INDEX(Inputs!$B$17:$B$20,MATCH(1,(A335&gt;=Inputs!$C$17:$C$20)*(A335&lt;=Inputs!$D$17:$D$20),0)),"")</f>
        <v/>
      </c>
      <c r="D335" s="36">
        <f>IFERROR(INDEX(Inputs!$E$17:$E$20,MATCH(1,(A335&gt;=Inputs!$C$17:$C$20)*(A335&lt;=Inputs!$D$17:$D$20),0)),1)</f>
        <v/>
      </c>
      <c r="E335" s="36">
        <f>INDEX(Inputs!$D$24:$D$30,WEEKDAY(A335,2))</f>
        <v/>
      </c>
      <c r="F335" s="36">
        <f>IFERROR(INDEX(Inputs!$D$34:$D$45,MATCH(A335,Inputs!$B$34:$B$45,0)),1)</f>
        <v/>
      </c>
      <c r="G335" s="37">
        <f>Inputs!$C$7*D335*E335*F335</f>
        <v/>
      </c>
      <c r="H335" s="25" t="n"/>
      <c r="I335" s="38">
        <f>IF(H335&lt;&gt;"",H335,G335)</f>
        <v/>
      </c>
    </row>
    <row r="336" ht="16" customHeight="1">
      <c r="A336" s="34">
        <f>DATE(Settings!$B$7,1,1)+330</f>
        <v/>
      </c>
      <c r="B336" s="19">
        <f>TEXT(A336,"ddd")</f>
        <v/>
      </c>
      <c r="C336" s="35">
        <f>IFERROR(INDEX(Inputs!$B$17:$B$20,MATCH(1,(A336&gt;=Inputs!$C$17:$C$20)*(A336&lt;=Inputs!$D$17:$D$20),0)),"")</f>
        <v/>
      </c>
      <c r="D336" s="36">
        <f>IFERROR(INDEX(Inputs!$E$17:$E$20,MATCH(1,(A336&gt;=Inputs!$C$17:$C$20)*(A336&lt;=Inputs!$D$17:$D$20),0)),1)</f>
        <v/>
      </c>
      <c r="E336" s="36">
        <f>INDEX(Inputs!$D$24:$D$30,WEEKDAY(A336,2))</f>
        <v/>
      </c>
      <c r="F336" s="36">
        <f>IFERROR(INDEX(Inputs!$D$34:$D$45,MATCH(A336,Inputs!$B$34:$B$45,0)),1)</f>
        <v/>
      </c>
      <c r="G336" s="37">
        <f>Inputs!$C$7*D336*E336*F336</f>
        <v/>
      </c>
      <c r="H336" s="25" t="n"/>
      <c r="I336" s="38">
        <f>IF(H336&lt;&gt;"",H336,G336)</f>
        <v/>
      </c>
    </row>
    <row r="337" ht="16" customHeight="1">
      <c r="A337" s="34">
        <f>DATE(Settings!$B$7,1,1)+331</f>
        <v/>
      </c>
      <c r="B337" s="19">
        <f>TEXT(A337,"ddd")</f>
        <v/>
      </c>
      <c r="C337" s="35">
        <f>IFERROR(INDEX(Inputs!$B$17:$B$20,MATCH(1,(A337&gt;=Inputs!$C$17:$C$20)*(A337&lt;=Inputs!$D$17:$D$20),0)),"")</f>
        <v/>
      </c>
      <c r="D337" s="36">
        <f>IFERROR(INDEX(Inputs!$E$17:$E$20,MATCH(1,(A337&gt;=Inputs!$C$17:$C$20)*(A337&lt;=Inputs!$D$17:$D$20),0)),1)</f>
        <v/>
      </c>
      <c r="E337" s="36">
        <f>INDEX(Inputs!$D$24:$D$30,WEEKDAY(A337,2))</f>
        <v/>
      </c>
      <c r="F337" s="36">
        <f>IFERROR(INDEX(Inputs!$D$34:$D$45,MATCH(A337,Inputs!$B$34:$B$45,0)),1)</f>
        <v/>
      </c>
      <c r="G337" s="37">
        <f>Inputs!$C$7*D337*E337*F337</f>
        <v/>
      </c>
      <c r="H337" s="25" t="n"/>
      <c r="I337" s="38">
        <f>IF(H337&lt;&gt;"",H337,G337)</f>
        <v/>
      </c>
    </row>
    <row r="338" ht="16" customHeight="1">
      <c r="A338" s="34">
        <f>DATE(Settings!$B$7,1,1)+332</f>
        <v/>
      </c>
      <c r="B338" s="19">
        <f>TEXT(A338,"ddd")</f>
        <v/>
      </c>
      <c r="C338" s="35">
        <f>IFERROR(INDEX(Inputs!$B$17:$B$20,MATCH(1,(A338&gt;=Inputs!$C$17:$C$20)*(A338&lt;=Inputs!$D$17:$D$20),0)),"")</f>
        <v/>
      </c>
      <c r="D338" s="36">
        <f>IFERROR(INDEX(Inputs!$E$17:$E$20,MATCH(1,(A338&gt;=Inputs!$C$17:$C$20)*(A338&lt;=Inputs!$D$17:$D$20),0)),1)</f>
        <v/>
      </c>
      <c r="E338" s="36">
        <f>INDEX(Inputs!$D$24:$D$30,WEEKDAY(A338,2))</f>
        <v/>
      </c>
      <c r="F338" s="36">
        <f>IFERROR(INDEX(Inputs!$D$34:$D$45,MATCH(A338,Inputs!$B$34:$B$45,0)),1)</f>
        <v/>
      </c>
      <c r="G338" s="37">
        <f>Inputs!$C$7*D338*E338*F338</f>
        <v/>
      </c>
      <c r="H338" s="25" t="n"/>
      <c r="I338" s="38">
        <f>IF(H338&lt;&gt;"",H338,G338)</f>
        <v/>
      </c>
    </row>
    <row r="339" ht="16" customHeight="1">
      <c r="A339" s="34">
        <f>DATE(Settings!$B$7,1,1)+333</f>
        <v/>
      </c>
      <c r="B339" s="19">
        <f>TEXT(A339,"ddd")</f>
        <v/>
      </c>
      <c r="C339" s="35">
        <f>IFERROR(INDEX(Inputs!$B$17:$B$20,MATCH(1,(A339&gt;=Inputs!$C$17:$C$20)*(A339&lt;=Inputs!$D$17:$D$20),0)),"")</f>
        <v/>
      </c>
      <c r="D339" s="36">
        <f>IFERROR(INDEX(Inputs!$E$17:$E$20,MATCH(1,(A339&gt;=Inputs!$C$17:$C$20)*(A339&lt;=Inputs!$D$17:$D$20),0)),1)</f>
        <v/>
      </c>
      <c r="E339" s="36">
        <f>INDEX(Inputs!$D$24:$D$30,WEEKDAY(A339,2))</f>
        <v/>
      </c>
      <c r="F339" s="36">
        <f>IFERROR(INDEX(Inputs!$D$34:$D$45,MATCH(A339,Inputs!$B$34:$B$45,0)),1)</f>
        <v/>
      </c>
      <c r="G339" s="37">
        <f>Inputs!$C$7*D339*E339*F339</f>
        <v/>
      </c>
      <c r="H339" s="25" t="n"/>
      <c r="I339" s="38">
        <f>IF(H339&lt;&gt;"",H339,G339)</f>
        <v/>
      </c>
    </row>
    <row r="340" ht="16" customHeight="1">
      <c r="A340" s="34">
        <f>DATE(Settings!$B$7,1,1)+334</f>
        <v/>
      </c>
      <c r="B340" s="19">
        <f>TEXT(A340,"ddd")</f>
        <v/>
      </c>
      <c r="C340" s="35">
        <f>IFERROR(INDEX(Inputs!$B$17:$B$20,MATCH(1,(A340&gt;=Inputs!$C$17:$C$20)*(A340&lt;=Inputs!$D$17:$D$20),0)),"")</f>
        <v/>
      </c>
      <c r="D340" s="36">
        <f>IFERROR(INDEX(Inputs!$E$17:$E$20,MATCH(1,(A340&gt;=Inputs!$C$17:$C$20)*(A340&lt;=Inputs!$D$17:$D$20),0)),1)</f>
        <v/>
      </c>
      <c r="E340" s="36">
        <f>INDEX(Inputs!$D$24:$D$30,WEEKDAY(A340,2))</f>
        <v/>
      </c>
      <c r="F340" s="36">
        <f>IFERROR(INDEX(Inputs!$D$34:$D$45,MATCH(A340,Inputs!$B$34:$B$45,0)),1)</f>
        <v/>
      </c>
      <c r="G340" s="37">
        <f>Inputs!$C$7*D340*E340*F340</f>
        <v/>
      </c>
      <c r="H340" s="25" t="n"/>
      <c r="I340" s="38">
        <f>IF(H340&lt;&gt;"",H340,G340)</f>
        <v/>
      </c>
    </row>
    <row r="341" ht="16" customHeight="1">
      <c r="A341" s="34">
        <f>DATE(Settings!$B$7,1,1)+335</f>
        <v/>
      </c>
      <c r="B341" s="19">
        <f>TEXT(A341,"ddd")</f>
        <v/>
      </c>
      <c r="C341" s="35">
        <f>IFERROR(INDEX(Inputs!$B$17:$B$20,MATCH(1,(A341&gt;=Inputs!$C$17:$C$20)*(A341&lt;=Inputs!$D$17:$D$20),0)),"")</f>
        <v/>
      </c>
      <c r="D341" s="36">
        <f>IFERROR(INDEX(Inputs!$E$17:$E$20,MATCH(1,(A341&gt;=Inputs!$C$17:$C$20)*(A341&lt;=Inputs!$D$17:$D$20),0)),1)</f>
        <v/>
      </c>
      <c r="E341" s="36">
        <f>INDEX(Inputs!$D$24:$D$30,WEEKDAY(A341,2))</f>
        <v/>
      </c>
      <c r="F341" s="36">
        <f>IFERROR(INDEX(Inputs!$D$34:$D$45,MATCH(A341,Inputs!$B$34:$B$45,0)),1)</f>
        <v/>
      </c>
      <c r="G341" s="37">
        <f>Inputs!$C$7*D341*E341*F341</f>
        <v/>
      </c>
      <c r="H341" s="25" t="n"/>
      <c r="I341" s="38">
        <f>IF(H341&lt;&gt;"",H341,G341)</f>
        <v/>
      </c>
    </row>
    <row r="342" ht="16" customHeight="1">
      <c r="A342" s="34">
        <f>DATE(Settings!$B$7,1,1)+336</f>
        <v/>
      </c>
      <c r="B342" s="19">
        <f>TEXT(A342,"ddd")</f>
        <v/>
      </c>
      <c r="C342" s="35">
        <f>IFERROR(INDEX(Inputs!$B$17:$B$20,MATCH(1,(A342&gt;=Inputs!$C$17:$C$20)*(A342&lt;=Inputs!$D$17:$D$20),0)),"")</f>
        <v/>
      </c>
      <c r="D342" s="36">
        <f>IFERROR(INDEX(Inputs!$E$17:$E$20,MATCH(1,(A342&gt;=Inputs!$C$17:$C$20)*(A342&lt;=Inputs!$D$17:$D$20),0)),1)</f>
        <v/>
      </c>
      <c r="E342" s="36">
        <f>INDEX(Inputs!$D$24:$D$30,WEEKDAY(A342,2))</f>
        <v/>
      </c>
      <c r="F342" s="36">
        <f>IFERROR(INDEX(Inputs!$D$34:$D$45,MATCH(A342,Inputs!$B$34:$B$45,0)),1)</f>
        <v/>
      </c>
      <c r="G342" s="37">
        <f>Inputs!$C$7*D342*E342*F342</f>
        <v/>
      </c>
      <c r="H342" s="25" t="n"/>
      <c r="I342" s="38">
        <f>IF(H342&lt;&gt;"",H342,G342)</f>
        <v/>
      </c>
    </row>
    <row r="343" ht="16" customHeight="1">
      <c r="A343" s="34">
        <f>DATE(Settings!$B$7,1,1)+337</f>
        <v/>
      </c>
      <c r="B343" s="19">
        <f>TEXT(A343,"ddd")</f>
        <v/>
      </c>
      <c r="C343" s="35">
        <f>IFERROR(INDEX(Inputs!$B$17:$B$20,MATCH(1,(A343&gt;=Inputs!$C$17:$C$20)*(A343&lt;=Inputs!$D$17:$D$20),0)),"")</f>
        <v/>
      </c>
      <c r="D343" s="36">
        <f>IFERROR(INDEX(Inputs!$E$17:$E$20,MATCH(1,(A343&gt;=Inputs!$C$17:$C$20)*(A343&lt;=Inputs!$D$17:$D$20),0)),1)</f>
        <v/>
      </c>
      <c r="E343" s="36">
        <f>INDEX(Inputs!$D$24:$D$30,WEEKDAY(A343,2))</f>
        <v/>
      </c>
      <c r="F343" s="36">
        <f>IFERROR(INDEX(Inputs!$D$34:$D$45,MATCH(A343,Inputs!$B$34:$B$45,0)),1)</f>
        <v/>
      </c>
      <c r="G343" s="37">
        <f>Inputs!$C$7*D343*E343*F343</f>
        <v/>
      </c>
      <c r="H343" s="25" t="n"/>
      <c r="I343" s="38">
        <f>IF(H343&lt;&gt;"",H343,G343)</f>
        <v/>
      </c>
    </row>
    <row r="344" ht="16" customHeight="1">
      <c r="A344" s="34">
        <f>DATE(Settings!$B$7,1,1)+338</f>
        <v/>
      </c>
      <c r="B344" s="19">
        <f>TEXT(A344,"ddd")</f>
        <v/>
      </c>
      <c r="C344" s="35">
        <f>IFERROR(INDEX(Inputs!$B$17:$B$20,MATCH(1,(A344&gt;=Inputs!$C$17:$C$20)*(A344&lt;=Inputs!$D$17:$D$20),0)),"")</f>
        <v/>
      </c>
      <c r="D344" s="36">
        <f>IFERROR(INDEX(Inputs!$E$17:$E$20,MATCH(1,(A344&gt;=Inputs!$C$17:$C$20)*(A344&lt;=Inputs!$D$17:$D$20),0)),1)</f>
        <v/>
      </c>
      <c r="E344" s="36">
        <f>INDEX(Inputs!$D$24:$D$30,WEEKDAY(A344,2))</f>
        <v/>
      </c>
      <c r="F344" s="36">
        <f>IFERROR(INDEX(Inputs!$D$34:$D$45,MATCH(A344,Inputs!$B$34:$B$45,0)),1)</f>
        <v/>
      </c>
      <c r="G344" s="37">
        <f>Inputs!$C$7*D344*E344*F344</f>
        <v/>
      </c>
      <c r="H344" s="25" t="n"/>
      <c r="I344" s="38">
        <f>IF(H344&lt;&gt;"",H344,G344)</f>
        <v/>
      </c>
    </row>
    <row r="345" ht="16" customHeight="1">
      <c r="A345" s="34">
        <f>DATE(Settings!$B$7,1,1)+339</f>
        <v/>
      </c>
      <c r="B345" s="19">
        <f>TEXT(A345,"ddd")</f>
        <v/>
      </c>
      <c r="C345" s="35">
        <f>IFERROR(INDEX(Inputs!$B$17:$B$20,MATCH(1,(A345&gt;=Inputs!$C$17:$C$20)*(A345&lt;=Inputs!$D$17:$D$20),0)),"")</f>
        <v/>
      </c>
      <c r="D345" s="36">
        <f>IFERROR(INDEX(Inputs!$E$17:$E$20,MATCH(1,(A345&gt;=Inputs!$C$17:$C$20)*(A345&lt;=Inputs!$D$17:$D$20),0)),1)</f>
        <v/>
      </c>
      <c r="E345" s="36">
        <f>INDEX(Inputs!$D$24:$D$30,WEEKDAY(A345,2))</f>
        <v/>
      </c>
      <c r="F345" s="36">
        <f>IFERROR(INDEX(Inputs!$D$34:$D$45,MATCH(A345,Inputs!$B$34:$B$45,0)),1)</f>
        <v/>
      </c>
      <c r="G345" s="37">
        <f>Inputs!$C$7*D345*E345*F345</f>
        <v/>
      </c>
      <c r="H345" s="25" t="n"/>
      <c r="I345" s="38">
        <f>IF(H345&lt;&gt;"",H345,G345)</f>
        <v/>
      </c>
    </row>
    <row r="346" ht="16" customHeight="1">
      <c r="A346" s="34">
        <f>DATE(Settings!$B$7,1,1)+340</f>
        <v/>
      </c>
      <c r="B346" s="19">
        <f>TEXT(A346,"ddd")</f>
        <v/>
      </c>
      <c r="C346" s="35">
        <f>IFERROR(INDEX(Inputs!$B$17:$B$20,MATCH(1,(A346&gt;=Inputs!$C$17:$C$20)*(A346&lt;=Inputs!$D$17:$D$20),0)),"")</f>
        <v/>
      </c>
      <c r="D346" s="36">
        <f>IFERROR(INDEX(Inputs!$E$17:$E$20,MATCH(1,(A346&gt;=Inputs!$C$17:$C$20)*(A346&lt;=Inputs!$D$17:$D$20),0)),1)</f>
        <v/>
      </c>
      <c r="E346" s="36">
        <f>INDEX(Inputs!$D$24:$D$30,WEEKDAY(A346,2))</f>
        <v/>
      </c>
      <c r="F346" s="36">
        <f>IFERROR(INDEX(Inputs!$D$34:$D$45,MATCH(A346,Inputs!$B$34:$B$45,0)),1)</f>
        <v/>
      </c>
      <c r="G346" s="37">
        <f>Inputs!$C$7*D346*E346*F346</f>
        <v/>
      </c>
      <c r="H346" s="25" t="n"/>
      <c r="I346" s="38">
        <f>IF(H346&lt;&gt;"",H346,G346)</f>
        <v/>
      </c>
    </row>
    <row r="347" ht="16" customHeight="1">
      <c r="A347" s="34">
        <f>DATE(Settings!$B$7,1,1)+341</f>
        <v/>
      </c>
      <c r="B347" s="19">
        <f>TEXT(A347,"ddd")</f>
        <v/>
      </c>
      <c r="C347" s="35">
        <f>IFERROR(INDEX(Inputs!$B$17:$B$20,MATCH(1,(A347&gt;=Inputs!$C$17:$C$20)*(A347&lt;=Inputs!$D$17:$D$20),0)),"")</f>
        <v/>
      </c>
      <c r="D347" s="36">
        <f>IFERROR(INDEX(Inputs!$E$17:$E$20,MATCH(1,(A347&gt;=Inputs!$C$17:$C$20)*(A347&lt;=Inputs!$D$17:$D$20),0)),1)</f>
        <v/>
      </c>
      <c r="E347" s="36">
        <f>INDEX(Inputs!$D$24:$D$30,WEEKDAY(A347,2))</f>
        <v/>
      </c>
      <c r="F347" s="36">
        <f>IFERROR(INDEX(Inputs!$D$34:$D$45,MATCH(A347,Inputs!$B$34:$B$45,0)),1)</f>
        <v/>
      </c>
      <c r="G347" s="37">
        <f>Inputs!$C$7*D347*E347*F347</f>
        <v/>
      </c>
      <c r="H347" s="25" t="n"/>
      <c r="I347" s="38">
        <f>IF(H347&lt;&gt;"",H347,G347)</f>
        <v/>
      </c>
    </row>
    <row r="348" ht="16" customHeight="1">
      <c r="A348" s="34">
        <f>DATE(Settings!$B$7,1,1)+342</f>
        <v/>
      </c>
      <c r="B348" s="19">
        <f>TEXT(A348,"ddd")</f>
        <v/>
      </c>
      <c r="C348" s="35">
        <f>IFERROR(INDEX(Inputs!$B$17:$B$20,MATCH(1,(A348&gt;=Inputs!$C$17:$C$20)*(A348&lt;=Inputs!$D$17:$D$20),0)),"")</f>
        <v/>
      </c>
      <c r="D348" s="36">
        <f>IFERROR(INDEX(Inputs!$E$17:$E$20,MATCH(1,(A348&gt;=Inputs!$C$17:$C$20)*(A348&lt;=Inputs!$D$17:$D$20),0)),1)</f>
        <v/>
      </c>
      <c r="E348" s="36">
        <f>INDEX(Inputs!$D$24:$D$30,WEEKDAY(A348,2))</f>
        <v/>
      </c>
      <c r="F348" s="36">
        <f>IFERROR(INDEX(Inputs!$D$34:$D$45,MATCH(A348,Inputs!$B$34:$B$45,0)),1)</f>
        <v/>
      </c>
      <c r="G348" s="37">
        <f>Inputs!$C$7*D348*E348*F348</f>
        <v/>
      </c>
      <c r="H348" s="25" t="n"/>
      <c r="I348" s="38">
        <f>IF(H348&lt;&gt;"",H348,G348)</f>
        <v/>
      </c>
    </row>
    <row r="349" ht="16" customHeight="1">
      <c r="A349" s="34">
        <f>DATE(Settings!$B$7,1,1)+343</f>
        <v/>
      </c>
      <c r="B349" s="19">
        <f>TEXT(A349,"ddd")</f>
        <v/>
      </c>
      <c r="C349" s="35">
        <f>IFERROR(INDEX(Inputs!$B$17:$B$20,MATCH(1,(A349&gt;=Inputs!$C$17:$C$20)*(A349&lt;=Inputs!$D$17:$D$20),0)),"")</f>
        <v/>
      </c>
      <c r="D349" s="36">
        <f>IFERROR(INDEX(Inputs!$E$17:$E$20,MATCH(1,(A349&gt;=Inputs!$C$17:$C$20)*(A349&lt;=Inputs!$D$17:$D$20),0)),1)</f>
        <v/>
      </c>
      <c r="E349" s="36">
        <f>INDEX(Inputs!$D$24:$D$30,WEEKDAY(A349,2))</f>
        <v/>
      </c>
      <c r="F349" s="36">
        <f>IFERROR(INDEX(Inputs!$D$34:$D$45,MATCH(A349,Inputs!$B$34:$B$45,0)),1)</f>
        <v/>
      </c>
      <c r="G349" s="37">
        <f>Inputs!$C$7*D349*E349*F349</f>
        <v/>
      </c>
      <c r="H349" s="25" t="n"/>
      <c r="I349" s="38">
        <f>IF(H349&lt;&gt;"",H349,G349)</f>
        <v/>
      </c>
    </row>
    <row r="350" ht="16" customHeight="1">
      <c r="A350" s="34">
        <f>DATE(Settings!$B$7,1,1)+344</f>
        <v/>
      </c>
      <c r="B350" s="19">
        <f>TEXT(A350,"ddd")</f>
        <v/>
      </c>
      <c r="C350" s="35">
        <f>IFERROR(INDEX(Inputs!$B$17:$B$20,MATCH(1,(A350&gt;=Inputs!$C$17:$C$20)*(A350&lt;=Inputs!$D$17:$D$20),0)),"")</f>
        <v/>
      </c>
      <c r="D350" s="36">
        <f>IFERROR(INDEX(Inputs!$E$17:$E$20,MATCH(1,(A350&gt;=Inputs!$C$17:$C$20)*(A350&lt;=Inputs!$D$17:$D$20),0)),1)</f>
        <v/>
      </c>
      <c r="E350" s="36">
        <f>INDEX(Inputs!$D$24:$D$30,WEEKDAY(A350,2))</f>
        <v/>
      </c>
      <c r="F350" s="36">
        <f>IFERROR(INDEX(Inputs!$D$34:$D$45,MATCH(A350,Inputs!$B$34:$B$45,0)),1)</f>
        <v/>
      </c>
      <c r="G350" s="37">
        <f>Inputs!$C$7*D350*E350*F350</f>
        <v/>
      </c>
      <c r="H350" s="25" t="n"/>
      <c r="I350" s="38">
        <f>IF(H350&lt;&gt;"",H350,G350)</f>
        <v/>
      </c>
    </row>
    <row r="351" ht="16" customHeight="1">
      <c r="A351" s="34">
        <f>DATE(Settings!$B$7,1,1)+345</f>
        <v/>
      </c>
      <c r="B351" s="19">
        <f>TEXT(A351,"ddd")</f>
        <v/>
      </c>
      <c r="C351" s="35">
        <f>IFERROR(INDEX(Inputs!$B$17:$B$20,MATCH(1,(A351&gt;=Inputs!$C$17:$C$20)*(A351&lt;=Inputs!$D$17:$D$20),0)),"")</f>
        <v/>
      </c>
      <c r="D351" s="36">
        <f>IFERROR(INDEX(Inputs!$E$17:$E$20,MATCH(1,(A351&gt;=Inputs!$C$17:$C$20)*(A351&lt;=Inputs!$D$17:$D$20),0)),1)</f>
        <v/>
      </c>
      <c r="E351" s="36">
        <f>INDEX(Inputs!$D$24:$D$30,WEEKDAY(A351,2))</f>
        <v/>
      </c>
      <c r="F351" s="36">
        <f>IFERROR(INDEX(Inputs!$D$34:$D$45,MATCH(A351,Inputs!$B$34:$B$45,0)),1)</f>
        <v/>
      </c>
      <c r="G351" s="37">
        <f>Inputs!$C$7*D351*E351*F351</f>
        <v/>
      </c>
      <c r="H351" s="25" t="n"/>
      <c r="I351" s="38">
        <f>IF(H351&lt;&gt;"",H351,G351)</f>
        <v/>
      </c>
    </row>
    <row r="352" ht="16" customHeight="1">
      <c r="A352" s="34">
        <f>DATE(Settings!$B$7,1,1)+346</f>
        <v/>
      </c>
      <c r="B352" s="19">
        <f>TEXT(A352,"ddd")</f>
        <v/>
      </c>
      <c r="C352" s="35">
        <f>IFERROR(INDEX(Inputs!$B$17:$B$20,MATCH(1,(A352&gt;=Inputs!$C$17:$C$20)*(A352&lt;=Inputs!$D$17:$D$20),0)),"")</f>
        <v/>
      </c>
      <c r="D352" s="36">
        <f>IFERROR(INDEX(Inputs!$E$17:$E$20,MATCH(1,(A352&gt;=Inputs!$C$17:$C$20)*(A352&lt;=Inputs!$D$17:$D$20),0)),1)</f>
        <v/>
      </c>
      <c r="E352" s="36">
        <f>INDEX(Inputs!$D$24:$D$30,WEEKDAY(A352,2))</f>
        <v/>
      </c>
      <c r="F352" s="36">
        <f>IFERROR(INDEX(Inputs!$D$34:$D$45,MATCH(A352,Inputs!$B$34:$B$45,0)),1)</f>
        <v/>
      </c>
      <c r="G352" s="37">
        <f>Inputs!$C$7*D352*E352*F352</f>
        <v/>
      </c>
      <c r="H352" s="25" t="n"/>
      <c r="I352" s="38">
        <f>IF(H352&lt;&gt;"",H352,G352)</f>
        <v/>
      </c>
    </row>
    <row r="353" ht="16" customHeight="1">
      <c r="A353" s="34">
        <f>DATE(Settings!$B$7,1,1)+347</f>
        <v/>
      </c>
      <c r="B353" s="19">
        <f>TEXT(A353,"ddd")</f>
        <v/>
      </c>
      <c r="C353" s="35">
        <f>IFERROR(INDEX(Inputs!$B$17:$B$20,MATCH(1,(A353&gt;=Inputs!$C$17:$C$20)*(A353&lt;=Inputs!$D$17:$D$20),0)),"")</f>
        <v/>
      </c>
      <c r="D353" s="36">
        <f>IFERROR(INDEX(Inputs!$E$17:$E$20,MATCH(1,(A353&gt;=Inputs!$C$17:$C$20)*(A353&lt;=Inputs!$D$17:$D$20),0)),1)</f>
        <v/>
      </c>
      <c r="E353" s="36">
        <f>INDEX(Inputs!$D$24:$D$30,WEEKDAY(A353,2))</f>
        <v/>
      </c>
      <c r="F353" s="36">
        <f>IFERROR(INDEX(Inputs!$D$34:$D$45,MATCH(A353,Inputs!$B$34:$B$45,0)),1)</f>
        <v/>
      </c>
      <c r="G353" s="37">
        <f>Inputs!$C$7*D353*E353*F353</f>
        <v/>
      </c>
      <c r="H353" s="25" t="n"/>
      <c r="I353" s="38">
        <f>IF(H353&lt;&gt;"",H353,G353)</f>
        <v/>
      </c>
    </row>
    <row r="354" ht="16" customHeight="1">
      <c r="A354" s="34">
        <f>DATE(Settings!$B$7,1,1)+348</f>
        <v/>
      </c>
      <c r="B354" s="19">
        <f>TEXT(A354,"ddd")</f>
        <v/>
      </c>
      <c r="C354" s="35">
        <f>IFERROR(INDEX(Inputs!$B$17:$B$20,MATCH(1,(A354&gt;=Inputs!$C$17:$C$20)*(A354&lt;=Inputs!$D$17:$D$20),0)),"")</f>
        <v/>
      </c>
      <c r="D354" s="36">
        <f>IFERROR(INDEX(Inputs!$E$17:$E$20,MATCH(1,(A354&gt;=Inputs!$C$17:$C$20)*(A354&lt;=Inputs!$D$17:$D$20),0)),1)</f>
        <v/>
      </c>
      <c r="E354" s="36">
        <f>INDEX(Inputs!$D$24:$D$30,WEEKDAY(A354,2))</f>
        <v/>
      </c>
      <c r="F354" s="36">
        <f>IFERROR(INDEX(Inputs!$D$34:$D$45,MATCH(A354,Inputs!$B$34:$B$45,0)),1)</f>
        <v/>
      </c>
      <c r="G354" s="37">
        <f>Inputs!$C$7*D354*E354*F354</f>
        <v/>
      </c>
      <c r="H354" s="25" t="n"/>
      <c r="I354" s="38">
        <f>IF(H354&lt;&gt;"",H354,G354)</f>
        <v/>
      </c>
    </row>
    <row r="355" ht="16" customHeight="1">
      <c r="A355" s="34">
        <f>DATE(Settings!$B$7,1,1)+349</f>
        <v/>
      </c>
      <c r="B355" s="19">
        <f>TEXT(A355,"ddd")</f>
        <v/>
      </c>
      <c r="C355" s="35">
        <f>IFERROR(INDEX(Inputs!$B$17:$B$20,MATCH(1,(A355&gt;=Inputs!$C$17:$C$20)*(A355&lt;=Inputs!$D$17:$D$20),0)),"")</f>
        <v/>
      </c>
      <c r="D355" s="36">
        <f>IFERROR(INDEX(Inputs!$E$17:$E$20,MATCH(1,(A355&gt;=Inputs!$C$17:$C$20)*(A355&lt;=Inputs!$D$17:$D$20),0)),1)</f>
        <v/>
      </c>
      <c r="E355" s="36">
        <f>INDEX(Inputs!$D$24:$D$30,WEEKDAY(A355,2))</f>
        <v/>
      </c>
      <c r="F355" s="36">
        <f>IFERROR(INDEX(Inputs!$D$34:$D$45,MATCH(A355,Inputs!$B$34:$B$45,0)),1)</f>
        <v/>
      </c>
      <c r="G355" s="37">
        <f>Inputs!$C$7*D355*E355*F355</f>
        <v/>
      </c>
      <c r="H355" s="25" t="n"/>
      <c r="I355" s="38">
        <f>IF(H355&lt;&gt;"",H355,G355)</f>
        <v/>
      </c>
    </row>
    <row r="356" ht="16" customHeight="1">
      <c r="A356" s="34">
        <f>DATE(Settings!$B$7,1,1)+350</f>
        <v/>
      </c>
      <c r="B356" s="19">
        <f>TEXT(A356,"ddd")</f>
        <v/>
      </c>
      <c r="C356" s="35">
        <f>IFERROR(INDEX(Inputs!$B$17:$B$20,MATCH(1,(A356&gt;=Inputs!$C$17:$C$20)*(A356&lt;=Inputs!$D$17:$D$20),0)),"")</f>
        <v/>
      </c>
      <c r="D356" s="36">
        <f>IFERROR(INDEX(Inputs!$E$17:$E$20,MATCH(1,(A356&gt;=Inputs!$C$17:$C$20)*(A356&lt;=Inputs!$D$17:$D$20),0)),1)</f>
        <v/>
      </c>
      <c r="E356" s="36">
        <f>INDEX(Inputs!$D$24:$D$30,WEEKDAY(A356,2))</f>
        <v/>
      </c>
      <c r="F356" s="36">
        <f>IFERROR(INDEX(Inputs!$D$34:$D$45,MATCH(A356,Inputs!$B$34:$B$45,0)),1)</f>
        <v/>
      </c>
      <c r="G356" s="37">
        <f>Inputs!$C$7*D356*E356*F356</f>
        <v/>
      </c>
      <c r="H356" s="25" t="n"/>
      <c r="I356" s="38">
        <f>IF(H356&lt;&gt;"",H356,G356)</f>
        <v/>
      </c>
    </row>
    <row r="357" ht="16" customHeight="1">
      <c r="A357" s="34">
        <f>DATE(Settings!$B$7,1,1)+351</f>
        <v/>
      </c>
      <c r="B357" s="19">
        <f>TEXT(A357,"ddd")</f>
        <v/>
      </c>
      <c r="C357" s="35">
        <f>IFERROR(INDEX(Inputs!$B$17:$B$20,MATCH(1,(A357&gt;=Inputs!$C$17:$C$20)*(A357&lt;=Inputs!$D$17:$D$20),0)),"")</f>
        <v/>
      </c>
      <c r="D357" s="36">
        <f>IFERROR(INDEX(Inputs!$E$17:$E$20,MATCH(1,(A357&gt;=Inputs!$C$17:$C$20)*(A357&lt;=Inputs!$D$17:$D$20),0)),1)</f>
        <v/>
      </c>
      <c r="E357" s="36">
        <f>INDEX(Inputs!$D$24:$D$30,WEEKDAY(A357,2))</f>
        <v/>
      </c>
      <c r="F357" s="36">
        <f>IFERROR(INDEX(Inputs!$D$34:$D$45,MATCH(A357,Inputs!$B$34:$B$45,0)),1)</f>
        <v/>
      </c>
      <c r="G357" s="37">
        <f>Inputs!$C$7*D357*E357*F357</f>
        <v/>
      </c>
      <c r="H357" s="25" t="n"/>
      <c r="I357" s="38">
        <f>IF(H357&lt;&gt;"",H357,G357)</f>
        <v/>
      </c>
    </row>
    <row r="358" ht="16" customHeight="1">
      <c r="A358" s="34">
        <f>DATE(Settings!$B$7,1,1)+352</f>
        <v/>
      </c>
      <c r="B358" s="19">
        <f>TEXT(A358,"ddd")</f>
        <v/>
      </c>
      <c r="C358" s="35">
        <f>IFERROR(INDEX(Inputs!$B$17:$B$20,MATCH(1,(A358&gt;=Inputs!$C$17:$C$20)*(A358&lt;=Inputs!$D$17:$D$20),0)),"")</f>
        <v/>
      </c>
      <c r="D358" s="36">
        <f>IFERROR(INDEX(Inputs!$E$17:$E$20,MATCH(1,(A358&gt;=Inputs!$C$17:$C$20)*(A358&lt;=Inputs!$D$17:$D$20),0)),1)</f>
        <v/>
      </c>
      <c r="E358" s="36">
        <f>INDEX(Inputs!$D$24:$D$30,WEEKDAY(A358,2))</f>
        <v/>
      </c>
      <c r="F358" s="36">
        <f>IFERROR(INDEX(Inputs!$D$34:$D$45,MATCH(A358,Inputs!$B$34:$B$45,0)),1)</f>
        <v/>
      </c>
      <c r="G358" s="37">
        <f>Inputs!$C$7*D358*E358*F358</f>
        <v/>
      </c>
      <c r="H358" s="25" t="n"/>
      <c r="I358" s="38">
        <f>IF(H358&lt;&gt;"",H358,G358)</f>
        <v/>
      </c>
    </row>
    <row r="359" ht="16" customHeight="1">
      <c r="A359" s="34">
        <f>DATE(Settings!$B$7,1,1)+353</f>
        <v/>
      </c>
      <c r="B359" s="19">
        <f>TEXT(A359,"ddd")</f>
        <v/>
      </c>
      <c r="C359" s="35">
        <f>IFERROR(INDEX(Inputs!$B$17:$B$20,MATCH(1,(A359&gt;=Inputs!$C$17:$C$20)*(A359&lt;=Inputs!$D$17:$D$20),0)),"")</f>
        <v/>
      </c>
      <c r="D359" s="36">
        <f>IFERROR(INDEX(Inputs!$E$17:$E$20,MATCH(1,(A359&gt;=Inputs!$C$17:$C$20)*(A359&lt;=Inputs!$D$17:$D$20),0)),1)</f>
        <v/>
      </c>
      <c r="E359" s="36">
        <f>INDEX(Inputs!$D$24:$D$30,WEEKDAY(A359,2))</f>
        <v/>
      </c>
      <c r="F359" s="36">
        <f>IFERROR(INDEX(Inputs!$D$34:$D$45,MATCH(A359,Inputs!$B$34:$B$45,0)),1)</f>
        <v/>
      </c>
      <c r="G359" s="37">
        <f>Inputs!$C$7*D359*E359*F359</f>
        <v/>
      </c>
      <c r="H359" s="25" t="n"/>
      <c r="I359" s="38">
        <f>IF(H359&lt;&gt;"",H359,G359)</f>
        <v/>
      </c>
    </row>
    <row r="360" ht="16" customHeight="1">
      <c r="A360" s="34">
        <f>DATE(Settings!$B$7,1,1)+354</f>
        <v/>
      </c>
      <c r="B360" s="19">
        <f>TEXT(A360,"ddd")</f>
        <v/>
      </c>
      <c r="C360" s="35">
        <f>IFERROR(INDEX(Inputs!$B$17:$B$20,MATCH(1,(A360&gt;=Inputs!$C$17:$C$20)*(A360&lt;=Inputs!$D$17:$D$20),0)),"")</f>
        <v/>
      </c>
      <c r="D360" s="36">
        <f>IFERROR(INDEX(Inputs!$E$17:$E$20,MATCH(1,(A360&gt;=Inputs!$C$17:$C$20)*(A360&lt;=Inputs!$D$17:$D$20),0)),1)</f>
        <v/>
      </c>
      <c r="E360" s="36">
        <f>INDEX(Inputs!$D$24:$D$30,WEEKDAY(A360,2))</f>
        <v/>
      </c>
      <c r="F360" s="36">
        <f>IFERROR(INDEX(Inputs!$D$34:$D$45,MATCH(A360,Inputs!$B$34:$B$45,0)),1)</f>
        <v/>
      </c>
      <c r="G360" s="37">
        <f>Inputs!$C$7*D360*E360*F360</f>
        <v/>
      </c>
      <c r="H360" s="25" t="n"/>
      <c r="I360" s="38">
        <f>IF(H360&lt;&gt;"",H360,G360)</f>
        <v/>
      </c>
    </row>
    <row r="361" ht="16" customHeight="1">
      <c r="A361" s="34">
        <f>DATE(Settings!$B$7,1,1)+355</f>
        <v/>
      </c>
      <c r="B361" s="19">
        <f>TEXT(A361,"ddd")</f>
        <v/>
      </c>
      <c r="C361" s="35">
        <f>IFERROR(INDEX(Inputs!$B$17:$B$20,MATCH(1,(A361&gt;=Inputs!$C$17:$C$20)*(A361&lt;=Inputs!$D$17:$D$20),0)),"")</f>
        <v/>
      </c>
      <c r="D361" s="36">
        <f>IFERROR(INDEX(Inputs!$E$17:$E$20,MATCH(1,(A361&gt;=Inputs!$C$17:$C$20)*(A361&lt;=Inputs!$D$17:$D$20),0)),1)</f>
        <v/>
      </c>
      <c r="E361" s="36">
        <f>INDEX(Inputs!$D$24:$D$30,WEEKDAY(A361,2))</f>
        <v/>
      </c>
      <c r="F361" s="36">
        <f>IFERROR(INDEX(Inputs!$D$34:$D$45,MATCH(A361,Inputs!$B$34:$B$45,0)),1)</f>
        <v/>
      </c>
      <c r="G361" s="37">
        <f>Inputs!$C$7*D361*E361*F361</f>
        <v/>
      </c>
      <c r="H361" s="25" t="n"/>
      <c r="I361" s="38">
        <f>IF(H361&lt;&gt;"",H361,G361)</f>
        <v/>
      </c>
    </row>
    <row r="362" ht="16" customHeight="1">
      <c r="A362" s="34">
        <f>DATE(Settings!$B$7,1,1)+356</f>
        <v/>
      </c>
      <c r="B362" s="19">
        <f>TEXT(A362,"ddd")</f>
        <v/>
      </c>
      <c r="C362" s="35">
        <f>IFERROR(INDEX(Inputs!$B$17:$B$20,MATCH(1,(A362&gt;=Inputs!$C$17:$C$20)*(A362&lt;=Inputs!$D$17:$D$20),0)),"")</f>
        <v/>
      </c>
      <c r="D362" s="36">
        <f>IFERROR(INDEX(Inputs!$E$17:$E$20,MATCH(1,(A362&gt;=Inputs!$C$17:$C$20)*(A362&lt;=Inputs!$D$17:$D$20),0)),1)</f>
        <v/>
      </c>
      <c r="E362" s="36">
        <f>INDEX(Inputs!$D$24:$D$30,WEEKDAY(A362,2))</f>
        <v/>
      </c>
      <c r="F362" s="36">
        <f>IFERROR(INDEX(Inputs!$D$34:$D$45,MATCH(A362,Inputs!$B$34:$B$45,0)),1)</f>
        <v/>
      </c>
      <c r="G362" s="37">
        <f>Inputs!$C$7*D362*E362*F362</f>
        <v/>
      </c>
      <c r="H362" s="25" t="n"/>
      <c r="I362" s="38">
        <f>IF(H362&lt;&gt;"",H362,G362)</f>
        <v/>
      </c>
    </row>
    <row r="363" ht="16" customHeight="1">
      <c r="A363" s="34">
        <f>DATE(Settings!$B$7,1,1)+357</f>
        <v/>
      </c>
      <c r="B363" s="19">
        <f>TEXT(A363,"ddd")</f>
        <v/>
      </c>
      <c r="C363" s="35">
        <f>IFERROR(INDEX(Inputs!$B$17:$B$20,MATCH(1,(A363&gt;=Inputs!$C$17:$C$20)*(A363&lt;=Inputs!$D$17:$D$20),0)),"")</f>
        <v/>
      </c>
      <c r="D363" s="36">
        <f>IFERROR(INDEX(Inputs!$E$17:$E$20,MATCH(1,(A363&gt;=Inputs!$C$17:$C$20)*(A363&lt;=Inputs!$D$17:$D$20),0)),1)</f>
        <v/>
      </c>
      <c r="E363" s="36">
        <f>INDEX(Inputs!$D$24:$D$30,WEEKDAY(A363,2))</f>
        <v/>
      </c>
      <c r="F363" s="36">
        <f>IFERROR(INDEX(Inputs!$D$34:$D$45,MATCH(A363,Inputs!$B$34:$B$45,0)),1)</f>
        <v/>
      </c>
      <c r="G363" s="37">
        <f>Inputs!$C$7*D363*E363*F363</f>
        <v/>
      </c>
      <c r="H363" s="25" t="n"/>
      <c r="I363" s="38">
        <f>IF(H363&lt;&gt;"",H363,G363)</f>
        <v/>
      </c>
    </row>
    <row r="364" ht="16" customHeight="1">
      <c r="A364" s="34">
        <f>DATE(Settings!$B$7,1,1)+358</f>
        <v/>
      </c>
      <c r="B364" s="19">
        <f>TEXT(A364,"ddd")</f>
        <v/>
      </c>
      <c r="C364" s="35">
        <f>IFERROR(INDEX(Inputs!$B$17:$B$20,MATCH(1,(A364&gt;=Inputs!$C$17:$C$20)*(A364&lt;=Inputs!$D$17:$D$20),0)),"")</f>
        <v/>
      </c>
      <c r="D364" s="36">
        <f>IFERROR(INDEX(Inputs!$E$17:$E$20,MATCH(1,(A364&gt;=Inputs!$C$17:$C$20)*(A364&lt;=Inputs!$D$17:$D$20),0)),1)</f>
        <v/>
      </c>
      <c r="E364" s="36">
        <f>INDEX(Inputs!$D$24:$D$30,WEEKDAY(A364,2))</f>
        <v/>
      </c>
      <c r="F364" s="36">
        <f>IFERROR(INDEX(Inputs!$D$34:$D$45,MATCH(A364,Inputs!$B$34:$B$45,0)),1)</f>
        <v/>
      </c>
      <c r="G364" s="37">
        <f>Inputs!$C$7*D364*E364*F364</f>
        <v/>
      </c>
      <c r="H364" s="25" t="n"/>
      <c r="I364" s="38">
        <f>IF(H364&lt;&gt;"",H364,G364)</f>
        <v/>
      </c>
    </row>
    <row r="365" ht="16" customHeight="1">
      <c r="A365" s="34">
        <f>DATE(Settings!$B$7,1,1)+359</f>
        <v/>
      </c>
      <c r="B365" s="19">
        <f>TEXT(A365,"ddd")</f>
        <v/>
      </c>
      <c r="C365" s="35">
        <f>IFERROR(INDEX(Inputs!$B$17:$B$20,MATCH(1,(A365&gt;=Inputs!$C$17:$C$20)*(A365&lt;=Inputs!$D$17:$D$20),0)),"")</f>
        <v/>
      </c>
      <c r="D365" s="36">
        <f>IFERROR(INDEX(Inputs!$E$17:$E$20,MATCH(1,(A365&gt;=Inputs!$C$17:$C$20)*(A365&lt;=Inputs!$D$17:$D$20),0)),1)</f>
        <v/>
      </c>
      <c r="E365" s="36">
        <f>INDEX(Inputs!$D$24:$D$30,WEEKDAY(A365,2))</f>
        <v/>
      </c>
      <c r="F365" s="36">
        <f>IFERROR(INDEX(Inputs!$D$34:$D$45,MATCH(A365,Inputs!$B$34:$B$45,0)),1)</f>
        <v/>
      </c>
      <c r="G365" s="37">
        <f>Inputs!$C$7*D365*E365*F365</f>
        <v/>
      </c>
      <c r="H365" s="25" t="n"/>
      <c r="I365" s="38">
        <f>IF(H365&lt;&gt;"",H365,G365)</f>
        <v/>
      </c>
    </row>
    <row r="366" ht="16" customHeight="1">
      <c r="A366" s="34">
        <f>DATE(Settings!$B$7,1,1)+360</f>
        <v/>
      </c>
      <c r="B366" s="19">
        <f>TEXT(A366,"ddd")</f>
        <v/>
      </c>
      <c r="C366" s="35">
        <f>IFERROR(INDEX(Inputs!$B$17:$B$20,MATCH(1,(A366&gt;=Inputs!$C$17:$C$20)*(A366&lt;=Inputs!$D$17:$D$20),0)),"")</f>
        <v/>
      </c>
      <c r="D366" s="36">
        <f>IFERROR(INDEX(Inputs!$E$17:$E$20,MATCH(1,(A366&gt;=Inputs!$C$17:$C$20)*(A366&lt;=Inputs!$D$17:$D$20),0)),1)</f>
        <v/>
      </c>
      <c r="E366" s="36">
        <f>INDEX(Inputs!$D$24:$D$30,WEEKDAY(A366,2))</f>
        <v/>
      </c>
      <c r="F366" s="36">
        <f>IFERROR(INDEX(Inputs!$D$34:$D$45,MATCH(A366,Inputs!$B$34:$B$45,0)),1)</f>
        <v/>
      </c>
      <c r="G366" s="37">
        <f>Inputs!$C$7*D366*E366*F366</f>
        <v/>
      </c>
      <c r="H366" s="25" t="n"/>
      <c r="I366" s="38">
        <f>IF(H366&lt;&gt;"",H366,G366)</f>
        <v/>
      </c>
    </row>
    <row r="367" ht="16" customHeight="1">
      <c r="A367" s="34">
        <f>DATE(Settings!$B$7,1,1)+361</f>
        <v/>
      </c>
      <c r="B367" s="19">
        <f>TEXT(A367,"ddd")</f>
        <v/>
      </c>
      <c r="C367" s="35">
        <f>IFERROR(INDEX(Inputs!$B$17:$B$20,MATCH(1,(A367&gt;=Inputs!$C$17:$C$20)*(A367&lt;=Inputs!$D$17:$D$20),0)),"")</f>
        <v/>
      </c>
      <c r="D367" s="36">
        <f>IFERROR(INDEX(Inputs!$E$17:$E$20,MATCH(1,(A367&gt;=Inputs!$C$17:$C$20)*(A367&lt;=Inputs!$D$17:$D$20),0)),1)</f>
        <v/>
      </c>
      <c r="E367" s="36">
        <f>INDEX(Inputs!$D$24:$D$30,WEEKDAY(A367,2))</f>
        <v/>
      </c>
      <c r="F367" s="36">
        <f>IFERROR(INDEX(Inputs!$D$34:$D$45,MATCH(A367,Inputs!$B$34:$B$45,0)),1)</f>
        <v/>
      </c>
      <c r="G367" s="37">
        <f>Inputs!$C$7*D367*E367*F367</f>
        <v/>
      </c>
      <c r="H367" s="25" t="n"/>
      <c r="I367" s="38">
        <f>IF(H367&lt;&gt;"",H367,G367)</f>
        <v/>
      </c>
    </row>
    <row r="368" ht="16" customHeight="1">
      <c r="A368" s="34">
        <f>DATE(Settings!$B$7,1,1)+362</f>
        <v/>
      </c>
      <c r="B368" s="19">
        <f>TEXT(A368,"ddd")</f>
        <v/>
      </c>
      <c r="C368" s="35">
        <f>IFERROR(INDEX(Inputs!$B$17:$B$20,MATCH(1,(A368&gt;=Inputs!$C$17:$C$20)*(A368&lt;=Inputs!$D$17:$D$20),0)),"")</f>
        <v/>
      </c>
      <c r="D368" s="36">
        <f>IFERROR(INDEX(Inputs!$E$17:$E$20,MATCH(1,(A368&gt;=Inputs!$C$17:$C$20)*(A368&lt;=Inputs!$D$17:$D$20),0)),1)</f>
        <v/>
      </c>
      <c r="E368" s="36">
        <f>INDEX(Inputs!$D$24:$D$30,WEEKDAY(A368,2))</f>
        <v/>
      </c>
      <c r="F368" s="36">
        <f>IFERROR(INDEX(Inputs!$D$34:$D$45,MATCH(A368,Inputs!$B$34:$B$45,0)),1)</f>
        <v/>
      </c>
      <c r="G368" s="37">
        <f>Inputs!$C$7*D368*E368*F368</f>
        <v/>
      </c>
      <c r="H368" s="25" t="n"/>
      <c r="I368" s="38">
        <f>IF(H368&lt;&gt;"",H368,G368)</f>
        <v/>
      </c>
    </row>
    <row r="369" ht="16" customHeight="1">
      <c r="A369" s="34">
        <f>DATE(Settings!$B$7,1,1)+363</f>
        <v/>
      </c>
      <c r="B369" s="19">
        <f>TEXT(A369,"ddd")</f>
        <v/>
      </c>
      <c r="C369" s="35">
        <f>IFERROR(INDEX(Inputs!$B$17:$B$20,MATCH(1,(A369&gt;=Inputs!$C$17:$C$20)*(A369&lt;=Inputs!$D$17:$D$20),0)),"")</f>
        <v/>
      </c>
      <c r="D369" s="36">
        <f>IFERROR(INDEX(Inputs!$E$17:$E$20,MATCH(1,(A369&gt;=Inputs!$C$17:$C$20)*(A369&lt;=Inputs!$D$17:$D$20),0)),1)</f>
        <v/>
      </c>
      <c r="E369" s="36">
        <f>INDEX(Inputs!$D$24:$D$30,WEEKDAY(A369,2))</f>
        <v/>
      </c>
      <c r="F369" s="36">
        <f>IFERROR(INDEX(Inputs!$D$34:$D$45,MATCH(A369,Inputs!$B$34:$B$45,0)),1)</f>
        <v/>
      </c>
      <c r="G369" s="37">
        <f>Inputs!$C$7*D369*E369*F369</f>
        <v/>
      </c>
      <c r="H369" s="25" t="n"/>
      <c r="I369" s="38">
        <f>IF(H369&lt;&gt;"",H369,G369)</f>
        <v/>
      </c>
    </row>
    <row r="370" ht="16" customHeight="1">
      <c r="A370" s="34">
        <f>DATE(Settings!$B$7,1,1)+364</f>
        <v/>
      </c>
      <c r="B370" s="19">
        <f>TEXT(A370,"ddd")</f>
        <v/>
      </c>
      <c r="C370" s="35">
        <f>IFERROR(INDEX(Inputs!$B$17:$B$20,MATCH(1,(A370&gt;=Inputs!$C$17:$C$20)*(A370&lt;=Inputs!$D$17:$D$20),0)),"")</f>
        <v/>
      </c>
      <c r="D370" s="36">
        <f>IFERROR(INDEX(Inputs!$E$17:$E$20,MATCH(1,(A370&gt;=Inputs!$C$17:$C$20)*(A370&lt;=Inputs!$D$17:$D$20),0)),1)</f>
        <v/>
      </c>
      <c r="E370" s="36">
        <f>INDEX(Inputs!$D$24:$D$30,WEEKDAY(A370,2))</f>
        <v/>
      </c>
      <c r="F370" s="36">
        <f>IFERROR(INDEX(Inputs!$D$34:$D$45,MATCH(A370,Inputs!$B$34:$B$45,0)),1)</f>
        <v/>
      </c>
      <c r="G370" s="37">
        <f>Inputs!$C$7*D370*E370*F370</f>
        <v/>
      </c>
      <c r="H370" s="25" t="n"/>
      <c r="I370" s="38">
        <f>IF(H370&lt;&gt;"",H370,G370)</f>
        <v/>
      </c>
    </row>
  </sheetData>
  <mergeCells count="4">
    <mergeCell ref="J2:L2"/>
    <mergeCell ref="D2:I2"/>
    <mergeCell ref="A2:C2"/>
    <mergeCell ref="A4:L4"/>
  </mergeCells>
  <conditionalFormatting sqref="I6:I370">
    <cfRule type="expression" priority="1" dxfId="0">
      <formula>I6&gt;Inputs!$C$7*1.3</formula>
    </cfRule>
    <cfRule type="expression" priority="2" dxfId="1">
      <formula>I6&lt;Inputs!$C$7*0.85</formula>
    </cfRule>
    <cfRule type="expression" priority="3" dxfId="2">
      <formula>AND(I6&gt;=Inputs!$C$7*0.85,I6&lt;=Inputs!$C$7*1.3)</formula>
    </cfRule>
  </conditionalFormatting>
  <pageMargins left="0.4" right="0.4" top="0.5" bottom="0.5" header="0.5" footer="0.5"/>
  <pageSetup orientation="portrait" paperSize="1" fitToHeight="0" fitToWidth="1"/>
</worksheet>
</file>

<file path=xl/worksheets/sheet4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8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HYPERLINK("#'365-Day Calendar'!A1", "← BACK")</f>
        <v/>
      </c>
      <c r="B2" s="14" t="n"/>
      <c r="C2" s="14" t="n"/>
      <c r="D2" s="21" t="inlineStr">
        <is>
          <t>MONTHLY SUMMARY</t>
        </is>
      </c>
      <c r="J2" s="15">
        <f>HYPERLINK("#'Settings'!A1", "NEXT →")</f>
        <v/>
      </c>
      <c r="K2" s="16" t="n"/>
      <c r="L2" s="1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2" t="inlineStr">
        <is>
          <t>Twelve months at a glance. Edit the occupancy column to project revenue per month — these flow into the chart.</t>
        </is>
      </c>
    </row>
    <row r="6" ht="24" customHeight="1">
      <c r="B6" s="28" t="inlineStr">
        <is>
          <t>Month</t>
        </is>
      </c>
      <c r="C6" s="28" t="inlineStr">
        <is>
          <t>Avg rate</t>
        </is>
      </c>
      <c r="D6" s="28" t="inlineStr">
        <is>
          <t>Min rate</t>
        </is>
      </c>
      <c r="E6" s="28" t="inlineStr">
        <is>
          <t>Max rate</t>
        </is>
      </c>
      <c r="F6" s="28" t="inlineStr">
        <is>
          <t>Occupancy %</t>
        </is>
      </c>
      <c r="G6" s="28" t="inlineStr">
        <is>
          <t>Projected revenue</t>
        </is>
      </c>
    </row>
    <row r="7" ht="18" customHeight="1">
      <c r="B7" s="39" t="inlineStr">
        <is>
          <t>January</t>
        </is>
      </c>
      <c r="C7" s="37">
        <f>IFERROR(AVERAGEIFS('365-Day Calendar'!$I$6:$I$370,'365-Day Calendar'!$A$6:$A$370,"&gt;="&amp;DATE(Settings!$B$7,1,1),'365-Day Calendar'!$A$6:$A$370,"&lt;"&amp;DATE(Settings!$B$7,2,1)),0)</f>
        <v/>
      </c>
      <c r="D7" s="37">
        <f>IFERROR(MINIFS('365-Day Calendar'!$I$6:$I$370,'365-Day Calendar'!$A$6:$A$370,"&gt;="&amp;DATE(Settings!$B$7,1,1),'365-Day Calendar'!$A$6:$A$370,"&lt;"&amp;DATE(Settings!$B$7,2,1)),0)</f>
        <v/>
      </c>
      <c r="E7" s="37">
        <f>IFERROR(MAXIFS('365-Day Calendar'!$I$6:$I$370,'365-Day Calendar'!$A$6:$A$370,"&gt;="&amp;DATE(Settings!$B$7,1,1),'365-Day Calendar'!$A$6:$A$370,"&lt;"&amp;DATE(Settings!$B$7,2,1)),0)</f>
        <v/>
      </c>
      <c r="F7" s="27" t="n"/>
      <c r="G7" s="38">
        <f>C7*DAY(EOMONTH(DATE(Settings!$B$7,1,1),0))*F7</f>
        <v/>
      </c>
    </row>
    <row r="8" ht="18" customHeight="1">
      <c r="B8" s="39" t="inlineStr">
        <is>
          <t>February</t>
        </is>
      </c>
      <c r="C8" s="37">
        <f>IFERROR(AVERAGEIFS('365-Day Calendar'!$I$6:$I$370,'365-Day Calendar'!$A$6:$A$370,"&gt;="&amp;DATE(Settings!$B$7,2,1),'365-Day Calendar'!$A$6:$A$370,"&lt;"&amp;DATE(Settings!$B$7,3,1)),0)</f>
        <v/>
      </c>
      <c r="D8" s="37">
        <f>IFERROR(MINIFS('365-Day Calendar'!$I$6:$I$370,'365-Day Calendar'!$A$6:$A$370,"&gt;="&amp;DATE(Settings!$B$7,2,1),'365-Day Calendar'!$A$6:$A$370,"&lt;"&amp;DATE(Settings!$B$7,3,1)),0)</f>
        <v/>
      </c>
      <c r="E8" s="37">
        <f>IFERROR(MAXIFS('365-Day Calendar'!$I$6:$I$370,'365-Day Calendar'!$A$6:$A$370,"&gt;="&amp;DATE(Settings!$B$7,2,1),'365-Day Calendar'!$A$6:$A$370,"&lt;"&amp;DATE(Settings!$B$7,3,1)),0)</f>
        <v/>
      </c>
      <c r="F8" s="27" t="n"/>
      <c r="G8" s="38">
        <f>C8*DAY(EOMONTH(DATE(Settings!$B$7,2,1),0))*F8</f>
        <v/>
      </c>
    </row>
    <row r="9" ht="18" customHeight="1">
      <c r="B9" s="39" t="inlineStr">
        <is>
          <t>March</t>
        </is>
      </c>
      <c r="C9" s="37">
        <f>IFERROR(AVERAGEIFS('365-Day Calendar'!$I$6:$I$370,'365-Day Calendar'!$A$6:$A$370,"&gt;="&amp;DATE(Settings!$B$7,3,1),'365-Day Calendar'!$A$6:$A$370,"&lt;"&amp;DATE(Settings!$B$7,4,1)),0)</f>
        <v/>
      </c>
      <c r="D9" s="37">
        <f>IFERROR(MINIFS('365-Day Calendar'!$I$6:$I$370,'365-Day Calendar'!$A$6:$A$370,"&gt;="&amp;DATE(Settings!$B$7,3,1),'365-Day Calendar'!$A$6:$A$370,"&lt;"&amp;DATE(Settings!$B$7,4,1)),0)</f>
        <v/>
      </c>
      <c r="E9" s="37">
        <f>IFERROR(MAXIFS('365-Day Calendar'!$I$6:$I$370,'365-Day Calendar'!$A$6:$A$370,"&gt;="&amp;DATE(Settings!$B$7,3,1),'365-Day Calendar'!$A$6:$A$370,"&lt;"&amp;DATE(Settings!$B$7,4,1)),0)</f>
        <v/>
      </c>
      <c r="F9" s="27" t="n"/>
      <c r="G9" s="38">
        <f>C9*DAY(EOMONTH(DATE(Settings!$B$7,3,1),0))*F9</f>
        <v/>
      </c>
    </row>
    <row r="10" ht="18" customHeight="1">
      <c r="B10" s="39" t="inlineStr">
        <is>
          <t>April</t>
        </is>
      </c>
      <c r="C10" s="37">
        <f>IFERROR(AVERAGEIFS('365-Day Calendar'!$I$6:$I$370,'365-Day Calendar'!$A$6:$A$370,"&gt;="&amp;DATE(Settings!$B$7,4,1),'365-Day Calendar'!$A$6:$A$370,"&lt;"&amp;DATE(Settings!$B$7,5,1)),0)</f>
        <v/>
      </c>
      <c r="D10" s="37">
        <f>IFERROR(MINIFS('365-Day Calendar'!$I$6:$I$370,'365-Day Calendar'!$A$6:$A$370,"&gt;="&amp;DATE(Settings!$B$7,4,1),'365-Day Calendar'!$A$6:$A$370,"&lt;"&amp;DATE(Settings!$B$7,5,1)),0)</f>
        <v/>
      </c>
      <c r="E10" s="37">
        <f>IFERROR(MAXIFS('365-Day Calendar'!$I$6:$I$370,'365-Day Calendar'!$A$6:$A$370,"&gt;="&amp;DATE(Settings!$B$7,4,1),'365-Day Calendar'!$A$6:$A$370,"&lt;"&amp;DATE(Settings!$B$7,5,1)),0)</f>
        <v/>
      </c>
      <c r="F10" s="27" t="n"/>
      <c r="G10" s="38">
        <f>C10*DAY(EOMONTH(DATE(Settings!$B$7,4,1),0))*F10</f>
        <v/>
      </c>
    </row>
    <row r="11" ht="18" customHeight="1">
      <c r="B11" s="39" t="inlineStr">
        <is>
          <t>May</t>
        </is>
      </c>
      <c r="C11" s="37">
        <f>IFERROR(AVERAGEIFS('365-Day Calendar'!$I$6:$I$370,'365-Day Calendar'!$A$6:$A$370,"&gt;="&amp;DATE(Settings!$B$7,5,1),'365-Day Calendar'!$A$6:$A$370,"&lt;"&amp;DATE(Settings!$B$7,6,1)),0)</f>
        <v/>
      </c>
      <c r="D11" s="37">
        <f>IFERROR(MINIFS('365-Day Calendar'!$I$6:$I$370,'365-Day Calendar'!$A$6:$A$370,"&gt;="&amp;DATE(Settings!$B$7,5,1),'365-Day Calendar'!$A$6:$A$370,"&lt;"&amp;DATE(Settings!$B$7,6,1)),0)</f>
        <v/>
      </c>
      <c r="E11" s="37">
        <f>IFERROR(MAXIFS('365-Day Calendar'!$I$6:$I$370,'365-Day Calendar'!$A$6:$A$370,"&gt;="&amp;DATE(Settings!$B$7,5,1),'365-Day Calendar'!$A$6:$A$370,"&lt;"&amp;DATE(Settings!$B$7,6,1)),0)</f>
        <v/>
      </c>
      <c r="F11" s="27" t="n"/>
      <c r="G11" s="38">
        <f>C11*DAY(EOMONTH(DATE(Settings!$B$7,5,1),0))*F11</f>
        <v/>
      </c>
    </row>
    <row r="12" ht="18" customHeight="1">
      <c r="B12" s="39" t="inlineStr">
        <is>
          <t>June</t>
        </is>
      </c>
      <c r="C12" s="37">
        <f>IFERROR(AVERAGEIFS('365-Day Calendar'!$I$6:$I$370,'365-Day Calendar'!$A$6:$A$370,"&gt;="&amp;DATE(Settings!$B$7,6,1),'365-Day Calendar'!$A$6:$A$370,"&lt;"&amp;DATE(Settings!$B$7,7,1)),0)</f>
        <v/>
      </c>
      <c r="D12" s="37">
        <f>IFERROR(MINIFS('365-Day Calendar'!$I$6:$I$370,'365-Day Calendar'!$A$6:$A$370,"&gt;="&amp;DATE(Settings!$B$7,6,1),'365-Day Calendar'!$A$6:$A$370,"&lt;"&amp;DATE(Settings!$B$7,7,1)),0)</f>
        <v/>
      </c>
      <c r="E12" s="37">
        <f>IFERROR(MAXIFS('365-Day Calendar'!$I$6:$I$370,'365-Day Calendar'!$A$6:$A$370,"&gt;="&amp;DATE(Settings!$B$7,6,1),'365-Day Calendar'!$A$6:$A$370,"&lt;"&amp;DATE(Settings!$B$7,7,1)),0)</f>
        <v/>
      </c>
      <c r="F12" s="27" t="n"/>
      <c r="G12" s="38">
        <f>C12*DAY(EOMONTH(DATE(Settings!$B$7,6,1),0))*F12</f>
        <v/>
      </c>
    </row>
    <row r="13" ht="18" customHeight="1">
      <c r="B13" s="39" t="inlineStr">
        <is>
          <t>July</t>
        </is>
      </c>
      <c r="C13" s="37">
        <f>IFERROR(AVERAGEIFS('365-Day Calendar'!$I$6:$I$370,'365-Day Calendar'!$A$6:$A$370,"&gt;="&amp;DATE(Settings!$B$7,7,1),'365-Day Calendar'!$A$6:$A$370,"&lt;"&amp;DATE(Settings!$B$7,8,1)),0)</f>
        <v/>
      </c>
      <c r="D13" s="37">
        <f>IFERROR(MINIFS('365-Day Calendar'!$I$6:$I$370,'365-Day Calendar'!$A$6:$A$370,"&gt;="&amp;DATE(Settings!$B$7,7,1),'365-Day Calendar'!$A$6:$A$370,"&lt;"&amp;DATE(Settings!$B$7,8,1)),0)</f>
        <v/>
      </c>
      <c r="E13" s="37">
        <f>IFERROR(MAXIFS('365-Day Calendar'!$I$6:$I$370,'365-Day Calendar'!$A$6:$A$370,"&gt;="&amp;DATE(Settings!$B$7,7,1),'365-Day Calendar'!$A$6:$A$370,"&lt;"&amp;DATE(Settings!$B$7,8,1)),0)</f>
        <v/>
      </c>
      <c r="F13" s="27" t="n"/>
      <c r="G13" s="38">
        <f>C13*DAY(EOMONTH(DATE(Settings!$B$7,7,1),0))*F13</f>
        <v/>
      </c>
    </row>
    <row r="14" ht="18" customHeight="1">
      <c r="B14" s="39" t="inlineStr">
        <is>
          <t>August</t>
        </is>
      </c>
      <c r="C14" s="37">
        <f>IFERROR(AVERAGEIFS('365-Day Calendar'!$I$6:$I$370,'365-Day Calendar'!$A$6:$A$370,"&gt;="&amp;DATE(Settings!$B$7,8,1),'365-Day Calendar'!$A$6:$A$370,"&lt;"&amp;DATE(Settings!$B$7,9,1)),0)</f>
        <v/>
      </c>
      <c r="D14" s="37">
        <f>IFERROR(MINIFS('365-Day Calendar'!$I$6:$I$370,'365-Day Calendar'!$A$6:$A$370,"&gt;="&amp;DATE(Settings!$B$7,8,1),'365-Day Calendar'!$A$6:$A$370,"&lt;"&amp;DATE(Settings!$B$7,9,1)),0)</f>
        <v/>
      </c>
      <c r="E14" s="37">
        <f>IFERROR(MAXIFS('365-Day Calendar'!$I$6:$I$370,'365-Day Calendar'!$A$6:$A$370,"&gt;="&amp;DATE(Settings!$B$7,8,1),'365-Day Calendar'!$A$6:$A$370,"&lt;"&amp;DATE(Settings!$B$7,9,1)),0)</f>
        <v/>
      </c>
      <c r="F14" s="27" t="n"/>
      <c r="G14" s="38">
        <f>C14*DAY(EOMONTH(DATE(Settings!$B$7,8,1),0))*F14</f>
        <v/>
      </c>
    </row>
    <row r="15" ht="18" customHeight="1">
      <c r="B15" s="39" t="inlineStr">
        <is>
          <t>September</t>
        </is>
      </c>
      <c r="C15" s="37">
        <f>IFERROR(AVERAGEIFS('365-Day Calendar'!$I$6:$I$370,'365-Day Calendar'!$A$6:$A$370,"&gt;="&amp;DATE(Settings!$B$7,9,1),'365-Day Calendar'!$A$6:$A$370,"&lt;"&amp;DATE(Settings!$B$7,10,1)),0)</f>
        <v/>
      </c>
      <c r="D15" s="37">
        <f>IFERROR(MINIFS('365-Day Calendar'!$I$6:$I$370,'365-Day Calendar'!$A$6:$A$370,"&gt;="&amp;DATE(Settings!$B$7,9,1),'365-Day Calendar'!$A$6:$A$370,"&lt;"&amp;DATE(Settings!$B$7,10,1)),0)</f>
        <v/>
      </c>
      <c r="E15" s="37">
        <f>IFERROR(MAXIFS('365-Day Calendar'!$I$6:$I$370,'365-Day Calendar'!$A$6:$A$370,"&gt;="&amp;DATE(Settings!$B$7,9,1),'365-Day Calendar'!$A$6:$A$370,"&lt;"&amp;DATE(Settings!$B$7,10,1)),0)</f>
        <v/>
      </c>
      <c r="F15" s="27" t="n"/>
      <c r="G15" s="38">
        <f>C15*DAY(EOMONTH(DATE(Settings!$B$7,9,1),0))*F15</f>
        <v/>
      </c>
    </row>
    <row r="16" ht="18" customHeight="1">
      <c r="B16" s="39" t="inlineStr">
        <is>
          <t>October</t>
        </is>
      </c>
      <c r="C16" s="37">
        <f>IFERROR(AVERAGEIFS('365-Day Calendar'!$I$6:$I$370,'365-Day Calendar'!$A$6:$A$370,"&gt;="&amp;DATE(Settings!$B$7,10,1),'365-Day Calendar'!$A$6:$A$370,"&lt;"&amp;DATE(Settings!$B$7,11,1)),0)</f>
        <v/>
      </c>
      <c r="D16" s="37">
        <f>IFERROR(MINIFS('365-Day Calendar'!$I$6:$I$370,'365-Day Calendar'!$A$6:$A$370,"&gt;="&amp;DATE(Settings!$B$7,10,1),'365-Day Calendar'!$A$6:$A$370,"&lt;"&amp;DATE(Settings!$B$7,11,1)),0)</f>
        <v/>
      </c>
      <c r="E16" s="37">
        <f>IFERROR(MAXIFS('365-Day Calendar'!$I$6:$I$370,'365-Day Calendar'!$A$6:$A$370,"&gt;="&amp;DATE(Settings!$B$7,10,1),'365-Day Calendar'!$A$6:$A$370,"&lt;"&amp;DATE(Settings!$B$7,11,1)),0)</f>
        <v/>
      </c>
      <c r="F16" s="27" t="n"/>
      <c r="G16" s="38">
        <f>C16*DAY(EOMONTH(DATE(Settings!$B$7,10,1),0))*F16</f>
        <v/>
      </c>
    </row>
    <row r="17" ht="18" customHeight="1">
      <c r="B17" s="39" t="inlineStr">
        <is>
          <t>November</t>
        </is>
      </c>
      <c r="C17" s="37">
        <f>IFERROR(AVERAGEIFS('365-Day Calendar'!$I$6:$I$370,'365-Day Calendar'!$A$6:$A$370,"&gt;="&amp;DATE(Settings!$B$7,11,1),'365-Day Calendar'!$A$6:$A$370,"&lt;"&amp;DATE(Settings!$B$7,12,1)),0)</f>
        <v/>
      </c>
      <c r="D17" s="37">
        <f>IFERROR(MINIFS('365-Day Calendar'!$I$6:$I$370,'365-Day Calendar'!$A$6:$A$370,"&gt;="&amp;DATE(Settings!$B$7,11,1),'365-Day Calendar'!$A$6:$A$370,"&lt;"&amp;DATE(Settings!$B$7,12,1)),0)</f>
        <v/>
      </c>
      <c r="E17" s="37">
        <f>IFERROR(MAXIFS('365-Day Calendar'!$I$6:$I$370,'365-Day Calendar'!$A$6:$A$370,"&gt;="&amp;DATE(Settings!$B$7,11,1),'365-Day Calendar'!$A$6:$A$370,"&lt;"&amp;DATE(Settings!$B$7,12,1)),0)</f>
        <v/>
      </c>
      <c r="F17" s="27" t="n"/>
      <c r="G17" s="38">
        <f>C17*DAY(EOMONTH(DATE(Settings!$B$7,11,1),0))*F17</f>
        <v/>
      </c>
    </row>
    <row r="18" ht="18" customHeight="1">
      <c r="B18" s="39" t="inlineStr">
        <is>
          <t>December</t>
        </is>
      </c>
      <c r="C18" s="37">
        <f>IFERROR(AVERAGEIFS('365-Day Calendar'!$I$6:$I$370,'365-Day Calendar'!$A$6:$A$370,"&gt;="&amp;DATE(Settings!$B$7,12,1),'365-Day Calendar'!$A$6:$A$370,"&lt;="&amp;DATE(Settings!$B$7,12,31)),0)</f>
        <v/>
      </c>
      <c r="D18" s="37">
        <f>IFERROR(MINIFS('365-Day Calendar'!$I$6:$I$370,'365-Day Calendar'!$A$6:$A$370,"&gt;="&amp;DATE(Settings!$B$7,12,1),'365-Day Calendar'!$A$6:$A$370,"&lt;="&amp;DATE(Settings!$B$7,12,31)),0)</f>
        <v/>
      </c>
      <c r="E18" s="37">
        <f>IFERROR(MAXIFS('365-Day Calendar'!$I$6:$I$370,'365-Day Calendar'!$A$6:$A$370,"&gt;="&amp;DATE(Settings!$B$7,12,1),'365-Day Calendar'!$A$6:$A$370,"&lt;="&amp;DATE(Settings!$B$7,12,31)),0)</f>
        <v/>
      </c>
      <c r="F18" s="27" t="n"/>
      <c r="G18" s="38">
        <f>C18*DAY(EOMONTH(DATE(Settings!$B$7,12,1),0))*F18</f>
        <v/>
      </c>
    </row>
    <row r="19" ht="26" customHeight="1">
      <c r="B19" s="40" t="inlineStr">
        <is>
          <t>ANNUAL TOTAL</t>
        </is>
      </c>
      <c r="C19" s="41">
        <f>AVERAGE(C7:C18)</f>
        <v/>
      </c>
      <c r="D19" s="37">
        <f>MIN(D7:D18)</f>
        <v/>
      </c>
      <c r="E19" s="37">
        <f>MAX(E7:E18)</f>
        <v/>
      </c>
      <c r="F19" s="42">
        <f>AVERAGE(F7:F18)</f>
        <v/>
      </c>
      <c r="G19" s="43">
        <f>SUM(G7:G18)</f>
        <v/>
      </c>
    </row>
    <row r="22" ht="16" customHeight="1">
      <c r="A22" s="44" t="inlineStr">
        <is>
          <t>Why month-level matters: occupancy assumptions vary by season — use the per-month % to get a more realistic revenue projection than a flat annual rate. Cross-check with PriceLabs or your booking history.</t>
        </is>
      </c>
    </row>
    <row r="23" ht="16" customHeight="1"/>
    <row r="24" ht="16" customHeight="1"/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</row>
    <row r="27" ht="18" customHeight="1">
      <c r="A27" s="19" t="inlineStr">
        <is>
          <t>Questions? hello@thestrledger.com</t>
        </is>
      </c>
    </row>
    <row r="28" ht="18" customHeight="1">
      <c r="A28" s="20" t="inlineStr">
        <is>
          <t>REV-002 · Monthly Summary</t>
        </is>
      </c>
    </row>
  </sheetData>
  <mergeCells count="7">
    <mergeCell ref="J2:L2"/>
    <mergeCell ref="D2:I2"/>
    <mergeCell ref="A28:L28"/>
    <mergeCell ref="A22:L24"/>
    <mergeCell ref="A27:L27"/>
    <mergeCell ref="A2:C2"/>
    <mergeCell ref="A4:L4"/>
  </mergeCells>
  <pageMargins left="0.4" right="0.4" top="0.5" bottom="0.5" header="0.5" footer="0.5"/>
  <pageSetup orientation="landscape" paperSize="1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B5725E"/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2" customWidth="1" min="3" max="3"/>
    <col width="4" customWidth="1" min="4" max="4"/>
    <col width="3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HYPERLINK("#'Start'!A1", "← BACK")</f>
        <v/>
      </c>
      <c r="B2" s="14" t="n"/>
      <c r="C2" s="14" t="n"/>
      <c r="D2" s="21" t="inlineStr">
        <is>
          <t>SETTINGS</t>
        </is>
      </c>
      <c r="J2" s="15">
        <f>HYPERLINK("#'Inputs'!A1", "NEXT →")</f>
        <v/>
      </c>
      <c r="K2" s="16" t="n"/>
      <c r="L2" s="1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2" t="inlineStr">
        <is>
          <t>Property + active year. The 365-day calendar regenerates from the year cell — change it once, the whole workbook follows.</t>
        </is>
      </c>
    </row>
    <row r="5" ht="24" customHeight="1">
      <c r="A5" s="45" t="inlineStr"/>
      <c r="B5" s="46" t="n"/>
      <c r="C5" s="47" t="inlineStr">
        <is>
          <t>← property name</t>
        </is>
      </c>
    </row>
    <row r="7" ht="24" customHeight="1">
      <c r="B7" s="48" t="n"/>
      <c r="C7" s="47" t="inlineStr">
        <is>
          <t>← active year (drives the calendar)</t>
        </is>
      </c>
    </row>
    <row r="9" ht="24" customHeight="1">
      <c r="A9" s="23" t="inlineStr">
        <is>
          <t>SEASON NAME LIST</t>
        </is>
      </c>
    </row>
    <row r="10" ht="18" customHeight="1">
      <c r="B10" s="29" t="n"/>
      <c r="C10" s="47" t="inlineStr">
        <is>
          <t>Season 1</t>
        </is>
      </c>
    </row>
    <row r="11" ht="18" customHeight="1">
      <c r="B11" s="29" t="n"/>
      <c r="C11" s="47" t="inlineStr">
        <is>
          <t>Season 2</t>
        </is>
      </c>
    </row>
    <row r="12" ht="18" customHeight="1">
      <c r="B12" s="29" t="n"/>
      <c r="C12" s="47" t="inlineStr">
        <is>
          <t>Season 3</t>
        </is>
      </c>
    </row>
    <row r="13" ht="18" customHeight="1">
      <c r="B13" s="29" t="n"/>
      <c r="C13" s="47" t="inlineStr">
        <is>
          <t>Season 4</t>
        </is>
      </c>
    </row>
    <row r="16" ht="16" customHeight="1">
      <c r="A16" s="49" t="inlineStr">
        <is>
          <t>Tip: when you roll into a new year, just update the active year above. The calendar dates rebuild and your season cutoffs (set on Inputs) follow. Event dates stay literal — re-enter them per year since holidays move.</t>
        </is>
      </c>
    </row>
    <row r="17" ht="16" customHeight="1"/>
    <row r="18" ht="16" customHeight="1"/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</row>
    <row r="22" ht="18" customHeight="1">
      <c r="A22" s="19" t="inlineStr">
        <is>
          <t>Questions? hello@thestrledger.com</t>
        </is>
      </c>
    </row>
    <row r="23" ht="18" customHeight="1">
      <c r="A23" s="20" t="inlineStr">
        <is>
          <t>REV-002 · Settings</t>
        </is>
      </c>
    </row>
  </sheetData>
  <mergeCells count="8">
    <mergeCell ref="J2:L2"/>
    <mergeCell ref="D2:I2"/>
    <mergeCell ref="A23:L23"/>
    <mergeCell ref="A22:L22"/>
    <mergeCell ref="A9:L9"/>
    <mergeCell ref="A16:L18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Dynamic Pricing Calculator — The STR Ledger</dc:title>
  <dc:description xmlns:dc="http://purl.org/dc/elements/1.1/">Suggested nightly rate for every night of the year — driven by season, day-of-week, and event multipliers. Includes monthly summary and revenue projection.</dc:description>
  <dcterms:created xmlns:dcterms="http://purl.org/dc/terms/" xmlns:xsi="http://www.w3.org/2001/XMLSchema-instance" xsi:type="dcterms:W3CDTF">2026-05-03T19:04:38Z</dcterms:created>
  <dcterms:modified xmlns:dcterms="http://purl.org/dc/terms/" xmlns:xsi="http://www.w3.org/2001/XMLSchema-instance" xsi:type="dcterms:W3CDTF">2026-05-03T19:04:39Z</dcterms:modified>
</cp:coreProperties>
</file>