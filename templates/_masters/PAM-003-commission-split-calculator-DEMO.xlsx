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-Host Agreements" sheetId="2" state="visible" r:id="rId2"/>
    <sheet xmlns:r="http://schemas.openxmlformats.org/officeDocument/2006/relationships" name="Bookings Log" sheetId="3" state="visible" r:id="rId3"/>
    <sheet xmlns:r="http://schemas.openxmlformats.org/officeDocument/2006/relationships" name="Monthly Statements" sheetId="4" state="visible" r:id="rId4"/>
    <sheet xmlns:r="http://schemas.openxmlformats.org/officeDocument/2006/relationships" name="Year-End Summary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  <definedName name="_xlnm.Print_Titles" localSheetId="1">'Co-Host Agreements'!$1:$5</definedName>
    <definedName name="_xlnm.Print_Titles" localSheetId="2">'Bookings Log'!$1:$5</definedName>
    <definedName name="_xlnm.Print_Area" localSheetId="3">'Monthly Statements'!$A$3:$H$44</definedName>
    <definedName name="_xlnm.Print_Titles" localSheetId="4">'Year-End Summary'!$1:$7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yyyy-mm-dd"/>
    <numFmt numFmtId="167" formatCode="&quot;$&quot;#,##0.00"/>
  </numFmts>
  <fonts count="4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2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2"/>
    </font>
    <font>
      <name val="Consolas"/>
      <b val="1"/>
      <color rgb="00B5725E"/>
      <sz val="8"/>
    </font>
    <font>
      <name val="Georgia"/>
      <b val="1"/>
      <color rgb="00B5725E"/>
      <sz val="22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222222"/>
      <sz val="22"/>
    </font>
    <font>
      <name val="Calibri"/>
      <b val="1"/>
      <color rgb="002B2B2B"/>
      <sz val="11"/>
    </font>
    <font>
      <name val="Georgia"/>
      <b val="1"/>
      <color rgb="0012304E"/>
      <sz val="14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onsolas"/>
      <b val="1"/>
      <color rgb="00222222"/>
      <sz val="10"/>
    </font>
    <font>
      <name val="Calibri"/>
      <b val="1"/>
      <color rgb="00222222"/>
      <sz val="10"/>
    </font>
    <font>
      <name val="Calibri"/>
      <color rgb="002B2B2B"/>
      <sz val="10"/>
    </font>
    <font>
      <name val="Calibri"/>
      <color rgb="00B91C1C"/>
      <sz val="10"/>
    </font>
    <font>
      <name val="Calibri"/>
      <b val="1"/>
      <color rgb="00222222"/>
      <sz val="11"/>
    </font>
    <font>
      <name val="Georgia"/>
      <b val="1"/>
      <color rgb="002B2B2B"/>
      <sz val="12"/>
    </font>
    <font>
      <name val="Georgia"/>
      <b val="1"/>
      <color rgb="00B91C1C"/>
      <sz val="12"/>
    </font>
    <font>
      <name val="Georgia"/>
      <b val="1"/>
      <color rgb="00222222"/>
      <sz val="12"/>
    </font>
    <font>
      <name val="Georgia"/>
      <b val="1"/>
      <color rgb="00222222"/>
      <sz val="13"/>
    </font>
    <font>
      <name val="Georgia"/>
      <b val="1"/>
      <color rgb="00222222"/>
      <sz val="18"/>
    </font>
    <font>
      <name val="Georgia"/>
      <b val="1"/>
      <color rgb="0012304E"/>
      <sz val="18"/>
    </font>
    <font>
      <name val="Consolas"/>
      <b val="1"/>
      <color rgb="00222222"/>
      <sz val="9"/>
    </font>
    <font>
      <name val="Calibri"/>
      <i val="1"/>
      <color rgb="006B7280"/>
      <sz val="9"/>
    </font>
    <font>
      <name val="Calibri"/>
      <i val="1"/>
      <color rgb="00B91C1C"/>
      <sz val="11"/>
    </font>
    <font>
      <name val="Calibri"/>
      <b val="1"/>
      <color rgb="0012304E"/>
      <sz val="11"/>
    </font>
    <font>
      <name val="Calibri"/>
      <b val="1"/>
      <color rgb="002B2B2B"/>
      <sz val="12"/>
    </font>
    <font>
      <name val="Georgia"/>
      <b val="1"/>
      <color rgb="0012304E"/>
      <sz val="16"/>
    </font>
    <font>
      <name val="Georgia"/>
      <b val="1"/>
      <color rgb="00F6EFE2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7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6B7280"/>
      </bottom>
    </border>
    <border>
      <top style="medium">
        <color rgb="00222222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49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65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left" vertical="center"/>
    </xf>
    <xf numFmtId="167" fontId="13" fillId="7" borderId="0" applyAlignment="1" pivotButton="0" quotePrefix="0" xfId="0">
      <alignment horizontal="left" vertical="center"/>
    </xf>
    <xf numFmtId="167" fontId="21" fillId="8" borderId="0" applyAlignment="1" pivotButton="0" quotePrefix="0" xfId="0">
      <alignment horizontal="right" vertical="center"/>
    </xf>
    <xf numFmtId="165" fontId="21" fillId="8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0" fontId="24" fillId="7" borderId="0" applyAlignment="1" pivotButton="0" quotePrefix="0" xfId="0">
      <alignment horizontal="left" vertical="center" indent="1"/>
    </xf>
    <xf numFmtId="1" fontId="25" fillId="7" borderId="0" applyAlignment="1" pivotButton="0" quotePrefix="0" xfId="0">
      <alignment horizontal="center" vertical="center"/>
    </xf>
    <xf numFmtId="0" fontId="26" fillId="0" borderId="0" pivotButton="0" quotePrefix="0" xfId="0"/>
    <xf numFmtId="1" fontId="25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right" vertical="center" indent="1"/>
    </xf>
    <xf numFmtId="0" fontId="26" fillId="0" borderId="0" applyAlignment="1" pivotButton="0" quotePrefix="0" xfId="0">
      <alignment horizontal="left" vertical="center" indent="1"/>
    </xf>
    <xf numFmtId="0" fontId="27" fillId="4" borderId="0" applyAlignment="1" pivotButton="0" quotePrefix="0" xfId="0">
      <alignment horizontal="left" vertical="center" indent="2"/>
    </xf>
    <xf numFmtId="0" fontId="28" fillId="5" borderId="15" applyAlignment="1" pivotButton="0" quotePrefix="0" xfId="0">
      <alignment horizontal="center" vertical="center"/>
    </xf>
    <xf numFmtId="166" fontId="29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167" fontId="29" fillId="0" borderId="0" applyAlignment="1" pivotButton="0" quotePrefix="0" xfId="0">
      <alignment horizontal="right" vertical="center"/>
    </xf>
    <xf numFmtId="167" fontId="30" fillId="0" borderId="0" applyAlignment="1" pivotButton="0" quotePrefix="0" xfId="0">
      <alignment horizontal="right" vertical="center"/>
    </xf>
    <xf numFmtId="167" fontId="28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167" fontId="32" fillId="0" borderId="0" applyAlignment="1" pivotButton="0" quotePrefix="0" xfId="0">
      <alignment horizontal="right" vertical="center"/>
    </xf>
    <xf numFmtId="167" fontId="33" fillId="0" borderId="0" applyAlignment="1" pivotButton="0" quotePrefix="0" xfId="0">
      <alignment horizontal="right" vertical="center"/>
    </xf>
    <xf numFmtId="167" fontId="34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35" fillId="0" borderId="0" applyAlignment="1" pivotButton="0" quotePrefix="0" xfId="0">
      <alignment horizontal="right" vertical="center" indent="1"/>
    </xf>
    <xf numFmtId="167" fontId="36" fillId="4" borderId="0" applyAlignment="1" pivotButton="0" quotePrefix="0" xfId="0">
      <alignment horizontal="right" vertical="center"/>
    </xf>
    <xf numFmtId="167" fontId="37" fillId="0" borderId="0" applyAlignment="1" pivotButton="0" quotePrefix="0" xfId="0">
      <alignment horizontal="right" vertical="center"/>
    </xf>
    <xf numFmtId="0" fontId="38" fillId="5" borderId="0" applyAlignment="1" pivotButton="0" quotePrefix="0" xfId="0">
      <alignment horizontal="left" vertical="center" indent="2"/>
    </xf>
    <xf numFmtId="0" fontId="26" fillId="0" borderId="0" applyAlignment="1" pivotButton="0" quotePrefix="0" xfId="0">
      <alignment horizontal="left" vertical="top" wrapText="1" indent="1"/>
    </xf>
    <xf numFmtId="0" fontId="39" fillId="0" borderId="0" applyAlignment="1" pivotButton="0" quotePrefix="0" xfId="0">
      <alignment horizontal="center" vertical="center"/>
    </xf>
    <xf numFmtId="1" fontId="24" fillId="8" borderId="0" applyAlignment="1" pivotButton="0" quotePrefix="0" xfId="0">
      <alignment horizontal="center" vertical="center"/>
    </xf>
    <xf numFmtId="1" fontId="21" fillId="8" borderId="0" applyAlignment="1" pivotButton="0" quotePrefix="0" xfId="0">
      <alignment horizontal="center" vertical="center"/>
    </xf>
    <xf numFmtId="167" fontId="40" fillId="8" borderId="0" applyAlignment="1" pivotButton="0" quotePrefix="0" xfId="0">
      <alignment horizontal="right" vertical="center"/>
    </xf>
    <xf numFmtId="167" fontId="41" fillId="8" borderId="0" applyAlignment="1" pivotButton="0" quotePrefix="0" xfId="0">
      <alignment horizontal="right" vertical="center"/>
    </xf>
    <xf numFmtId="0" fontId="41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right" vertical="center" indent="1"/>
    </xf>
    <xf numFmtId="1" fontId="34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0" fontId="39" fillId="5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right" vertical="center" indent="1"/>
    </xf>
    <xf numFmtId="1" fontId="43" fillId="7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left" vertical="center" indent="2"/>
    </xf>
    <xf numFmtId="164" fontId="25" fillId="7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2">
    <dxf>
      <font>
        <name val="Calibri"/>
        <b val="1"/>
        <color rgb="00B91C1C"/>
        <sz val="10"/>
      </font>
      <fill>
        <patternFill patternType="solid">
          <fgColor rgb="00E2C884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Commission / Split Calculator</t>
        </is>
      </c>
    </row>
    <row r="5" ht="22" customHeight="1">
      <c r="A5" s="4" t="inlineStr">
        <is>
          <t>Co-host commissions, owed clearly — every booking, every month.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PAM-003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COMMISSION YTD</t>
        </is>
      </c>
      <c r="B10" s="7" t="n"/>
      <c r="C10" s="8" t="n"/>
      <c r="D10" s="9" t="inlineStr">
        <is>
          <t>PROPERTIES MANAGED</t>
        </is>
      </c>
      <c r="E10" s="7" t="n"/>
      <c r="F10" s="8" t="n"/>
      <c r="G10" s="6" t="inlineStr">
        <is>
          <t>OWNERS PAID</t>
        </is>
      </c>
      <c r="H10" s="7" t="n"/>
      <c r="I10" s="8" t="n"/>
      <c r="J10" s="10" t="inlineStr">
        <is>
          <t>TOP EARNER</t>
        </is>
      </c>
      <c r="K10" s="7" t="n"/>
      <c r="L10" s="8" t="n"/>
    </row>
    <row r="11">
      <c r="A11" s="11">
        <f>SUMPRODUCT((YEAR('Bookings Log'!$A$6:$A$505)=Settings!$B$5)*'Bookings Log'!$L$6:$L$505)</f>
        <v/>
      </c>
      <c r="B11" s="12" t="n"/>
      <c r="C11" s="13" t="n"/>
      <c r="D11" s="14">
        <f>COUNTA('Co-Host Agreements'!A6:A20)</f>
        <v/>
      </c>
      <c r="E11" s="12" t="n"/>
      <c r="F11" s="13" t="n"/>
      <c r="G11" s="11">
        <f>SUMPRODUCT(('Bookings Log'!$N$6:$N$505="Paid")*(YEAR('Bookings Log'!$A$6:$A$505)=Settings!$B$5)*'Bookings Log'!$M$6:$M$505)</f>
        <v/>
      </c>
      <c r="H11" s="12" t="n"/>
      <c r="I11" s="13" t="n"/>
      <c r="J11" s="15">
        <f>IFERROR(INDEX('Year-End Summary'!$A$8:$A$22,MATCH(MAX('Year-End Summary'!$F$8:$F$22),'Year-End Summary'!$F$8:$F$22,0)),"—")</f>
        <v/>
      </c>
      <c r="K11" s="12" t="n"/>
      <c r="L11" s="13" t="n"/>
    </row>
    <row r="12">
      <c r="A12" s="16" t="n"/>
      <c r="B12" s="12" t="n"/>
      <c r="C12" s="13" t="n"/>
      <c r="D12" s="16" t="n"/>
      <c r="E12" s="12" t="n"/>
      <c r="F12" s="13" t="n"/>
      <c r="G12" s="16" t="n"/>
      <c r="H12" s="12" t="n"/>
      <c r="I12" s="13" t="n"/>
      <c r="J12" s="16" t="n"/>
      <c r="K12" s="12" t="n"/>
      <c r="L12" s="13" t="n"/>
    </row>
    <row r="13">
      <c r="A13" s="16" t="n"/>
      <c r="B13" s="12" t="n"/>
      <c r="C13" s="13" t="n"/>
      <c r="D13" s="16" t="n"/>
      <c r="E13" s="12" t="n"/>
      <c r="F13" s="13" t="n"/>
      <c r="G13" s="16" t="n"/>
      <c r="H13" s="12" t="n"/>
      <c r="I13" s="13" t="n"/>
      <c r="J13" s="16" t="n"/>
      <c r="K13" s="12" t="n"/>
      <c r="L13" s="13" t="n"/>
    </row>
    <row r="14">
      <c r="A14" s="17" t="inlineStr">
        <is>
          <t>earned this year</t>
        </is>
      </c>
      <c r="B14" s="12" t="n"/>
      <c r="C14" s="13" t="n"/>
      <c r="D14" s="17" t="inlineStr">
        <is>
          <t>active co-host agreements</t>
        </is>
      </c>
      <c r="E14" s="12" t="n"/>
      <c r="F14" s="13" t="n"/>
      <c r="G14" s="17" t="inlineStr">
        <is>
          <t>owner share, YTD paid</t>
        </is>
      </c>
      <c r="H14" s="12" t="n"/>
      <c r="I14" s="13" t="n"/>
      <c r="J14" s="17" t="inlineStr">
        <is>
          <t>highest commission property</t>
        </is>
      </c>
      <c r="K14" s="12" t="n"/>
      <c r="L14" s="13" t="n"/>
    </row>
    <row r="15">
      <c r="A15" s="18" t="n"/>
      <c r="B15" s="19" t="n"/>
      <c r="C15" s="20" t="n"/>
      <c r="D15" s="18" t="n"/>
      <c r="E15" s="19" t="n"/>
      <c r="F15" s="20" t="n"/>
      <c r="G15" s="18" t="n"/>
      <c r="H15" s="19" t="n"/>
      <c r="I15" s="20" t="n"/>
      <c r="J15" s="18" t="n"/>
      <c r="K15" s="19" t="n"/>
      <c r="L15" s="20" t="n"/>
    </row>
    <row r="17" ht="22" customHeight="1">
      <c r="A17" s="21" t="inlineStr">
        <is>
          <t>MONTHLY WORKFLOW</t>
        </is>
      </c>
    </row>
    <row r="18" ht="22" customHeight="1">
      <c r="A18" s="22" t="inlineStr">
        <is>
          <t>1. Confirm each property's split agreement on Co-Host Agreements (% of NET / GROSS / Flat / Hybrid).</t>
        </is>
      </c>
    </row>
    <row r="19" ht="22" customHeight="1">
      <c r="A19" s="22" t="inlineStr">
        <is>
          <t>2. Log every booking on Bookings Log — gross, cleaning, platform fee. Commission auto-computes.</t>
        </is>
      </c>
    </row>
    <row r="20" ht="22" customHeight="1">
      <c r="A20" s="22" t="inlineStr">
        <is>
          <t>3. Open Monthly Statements → pick property + month → review the printable owner statement.</t>
        </is>
      </c>
    </row>
    <row r="21" ht="22" customHeight="1">
      <c r="A21" s="22" t="inlineStr">
        <is>
          <t>4. Mark each booking Paid once you receive your commission. Pending &gt; 30 days will highlight.</t>
        </is>
      </c>
    </row>
    <row r="22" ht="22" customHeight="1">
      <c r="A22" s="22" t="inlineStr">
        <is>
          <t>5. At year-end, open Year-End Summary — properties at &gt;= $600 commission flag for 1099-NEC.</t>
        </is>
      </c>
    </row>
    <row r="25" ht="22" customHeight="1">
      <c r="A25" s="23">
        <f>HYPERLINK("#'Co-Host Agreements'!A1", "Co-Host Agreements")</f>
        <v/>
      </c>
      <c r="B25" s="24" t="n"/>
      <c r="C25" s="24" t="n"/>
      <c r="D25" s="25">
        <f>HYPERLINK("#'Bookings Log'!A1", "-&gt; Bookings Log")</f>
        <v/>
      </c>
      <c r="E25" s="26" t="n"/>
      <c r="F25" s="26" t="n"/>
      <c r="G25" s="23">
        <f>HYPERLINK("#'Monthly Statements'!A1", "Monthly Statements")</f>
        <v/>
      </c>
      <c r="H25" s="24" t="n"/>
      <c r="I25" s="24" t="n"/>
      <c r="J25" s="23">
        <f>HYPERLINK("#'Year-End Summary'!A1", "Year-End Summary")</f>
        <v/>
      </c>
      <c r="K25" s="24" t="n"/>
      <c r="L25" s="24" t="n"/>
    </row>
    <row r="26" ht="22" customHeight="1">
      <c r="A26" s="24" t="n"/>
      <c r="B26" s="24" t="n"/>
      <c r="C26" s="24" t="n"/>
      <c r="D26" s="26" t="n"/>
      <c r="E26" s="26" t="n"/>
      <c r="F26" s="26" t="n"/>
      <c r="G26" s="24" t="n"/>
      <c r="H26" s="24" t="n"/>
      <c r="I26" s="24" t="n"/>
      <c r="J26" s="24" t="n"/>
      <c r="K26" s="24" t="n"/>
      <c r="L26" s="24" t="n"/>
    </row>
    <row r="27" ht="22" customHeight="1">
      <c r="A27" s="24" t="n"/>
      <c r="B27" s="24" t="n"/>
      <c r="C27" s="24" t="n"/>
      <c r="D27" s="26" t="n"/>
      <c r="E27" s="26" t="n"/>
      <c r="F27" s="26" t="n"/>
      <c r="G27" s="24" t="n"/>
      <c r="H27" s="24" t="n"/>
      <c r="I27" s="24" t="n"/>
      <c r="J27" s="24" t="n"/>
      <c r="K27" s="24" t="n"/>
      <c r="L27" s="24" t="n"/>
    </row>
    <row r="29" ht="22" customHeight="1">
      <c r="A29" s="27">
        <f>HYPERLINK("#'Settings'!A1", "Settings  -  property list, owner list, active year")</f>
        <v/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 ht="22" customHeight="1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 ht="22" customHeight="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3" ht="36" customHeight="1">
      <c r="A33" s="29" t="inlineStr">
        <is>
          <t>Bundle: Owner Reporting + Commission Split + Cleaner Tracker = the Pro Co-Host Toolkit at thestrledger.com/pro-cohost.</t>
        </is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</row>
    <row r="36" ht="18" customHeight="1">
      <c r="A36" s="31" t="inlineStr">
        <is>
          <t>Questions? hello@thestrledger.com</t>
        </is>
      </c>
    </row>
    <row r="37" ht="18" customHeight="1">
      <c r="A37" s="32" t="inlineStr">
        <is>
          <t>PAM-003 - v1.0 - DEMO - Free updates forever</t>
        </is>
      </c>
    </row>
  </sheetData>
  <mergeCells count="30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4:L4"/>
    <mergeCell ref="D25:F27"/>
    <mergeCell ref="A10:C10"/>
    <mergeCell ref="A20:L20"/>
    <mergeCell ref="A29:L31"/>
    <mergeCell ref="A19:L19"/>
    <mergeCell ref="G25:I27"/>
    <mergeCell ref="D10:F10"/>
    <mergeCell ref="J10:L10"/>
    <mergeCell ref="G14:I15"/>
    <mergeCell ref="A14:C15"/>
    <mergeCell ref="A36:L36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3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3" t="inlineStr">
        <is>
          <t>CO-HOST AGREEMENTS</t>
        </is>
      </c>
      <c r="J2" s="25">
        <f>HYPERLINK("#'Bookings Log'!A1",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One row per property arrangement. Capacity 15. Commission formulas on Bookings Log VLOOKUP into this table by Property name.</t>
        </is>
      </c>
    </row>
    <row r="5" ht="28" customHeight="1">
      <c r="A5" s="35" t="inlineStr">
        <is>
          <t>Property</t>
        </is>
      </c>
      <c r="B5" s="35" t="inlineStr">
        <is>
          <t>Owner name</t>
        </is>
      </c>
      <c r="C5" s="35" t="inlineStr">
        <is>
          <t>Owner email</t>
        </is>
      </c>
      <c r="D5" s="35" t="inlineStr">
        <is>
          <t>Agreement type</t>
        </is>
      </c>
      <c r="E5" s="35" t="inlineStr">
        <is>
          <t>Co-host %</t>
        </is>
      </c>
      <c r="F5" s="35" t="inlineStr">
        <is>
          <t>Flat $/booking</t>
        </is>
      </c>
      <c r="G5" s="35" t="inlineStr">
        <is>
          <t>Co-host pays cleaner?</t>
        </is>
      </c>
      <c r="H5" s="35" t="inlineStr">
        <is>
          <t>Co-host pays platform fees?</t>
        </is>
      </c>
      <c r="I5" s="35" t="inlineStr">
        <is>
          <t>Reimbursable items</t>
        </is>
      </c>
      <c r="J5" s="35" t="inlineStr">
        <is>
          <t>Effective date</t>
        </is>
      </c>
      <c r="K5" s="35" t="inlineStr">
        <is>
          <t>Notes</t>
        </is>
      </c>
    </row>
    <row r="6" ht="18" customHeight="1">
      <c r="A6" s="36" t="inlineStr">
        <is>
          <t>Smokies Ridge</t>
        </is>
      </c>
      <c r="B6" s="36" t="inlineStr">
        <is>
          <t>Lakeside Holdings LLC</t>
        </is>
      </c>
      <c r="C6" s="36" t="inlineStr">
        <is>
          <t>owner1@lakeside.example</t>
        </is>
      </c>
      <c r="D6" s="36" t="inlineStr">
        <is>
          <t>% of NET</t>
        </is>
      </c>
      <c r="E6" s="37" t="n">
        <v>0.2</v>
      </c>
      <c r="F6" s="38" t="n">
        <v>0</v>
      </c>
      <c r="G6" s="36" t="inlineStr">
        <is>
          <t>No</t>
        </is>
      </c>
      <c r="H6" s="36" t="inlineStr">
        <is>
          <t>No</t>
        </is>
      </c>
      <c r="I6" s="36" t="inlineStr">
        <is>
          <t>Repairs &gt; $200, supplies</t>
        </is>
      </c>
      <c r="J6" s="39" t="n">
        <v>45658</v>
      </c>
      <c r="K6" s="36" t="inlineStr">
        <is>
          <t>20% of NET. Owner pays cleaner directly via Venmo.</t>
        </is>
      </c>
    </row>
    <row r="7" ht="18" customHeight="1">
      <c r="A7" s="36" t="inlineStr">
        <is>
          <t>Lakehouse</t>
        </is>
      </c>
      <c r="B7" s="36" t="inlineStr">
        <is>
          <t>Lakeside Holdings LLC</t>
        </is>
      </c>
      <c r="C7" s="36" t="inlineStr">
        <is>
          <t>owner1@lakeside.example</t>
        </is>
      </c>
      <c r="D7" s="36" t="inlineStr">
        <is>
          <t>% of NET</t>
        </is>
      </c>
      <c r="E7" s="37" t="n">
        <v>0.15</v>
      </c>
      <c r="F7" s="38" t="n">
        <v>0</v>
      </c>
      <c r="G7" s="36" t="inlineStr">
        <is>
          <t>No</t>
        </is>
      </c>
      <c r="H7" s="36" t="inlineStr">
        <is>
          <t>No</t>
        </is>
      </c>
      <c r="I7" s="36" t="inlineStr">
        <is>
          <t>Repairs &gt; $200, supplies</t>
        </is>
      </c>
      <c r="J7" s="39" t="n">
        <v>45717</v>
      </c>
      <c r="K7" s="36" t="inlineStr">
        <is>
          <t>15% of NET; owner pays cleaner directly.</t>
        </is>
      </c>
    </row>
    <row r="8" ht="18" customHeight="1">
      <c r="A8" s="36" t="inlineStr">
        <is>
          <t>Creek Side</t>
        </is>
      </c>
      <c r="B8" s="36" t="inlineStr">
        <is>
          <t>Maddox Trust</t>
        </is>
      </c>
      <c r="C8" s="36" t="inlineStr">
        <is>
          <t>owner2@maddox.example</t>
        </is>
      </c>
      <c r="D8" s="36" t="inlineStr">
        <is>
          <t>Flat per booking</t>
        </is>
      </c>
      <c r="E8" s="37" t="n">
        <v>0</v>
      </c>
      <c r="F8" s="38" t="n">
        <v>75</v>
      </c>
      <c r="G8" s="36" t="inlineStr">
        <is>
          <t>Yes</t>
        </is>
      </c>
      <c r="H8" s="36" t="inlineStr">
        <is>
          <t>No</t>
        </is>
      </c>
      <c r="I8" s="36" t="inlineStr">
        <is>
          <t>Reimburse cleaner from owner monthly</t>
        </is>
      </c>
      <c r="J8" s="39" t="n">
        <v>45762</v>
      </c>
      <c r="K8" s="36" t="inlineStr">
        <is>
          <t>$75 per booking flat; co-host pays cleaner, reimbursed monthly.</t>
        </is>
      </c>
    </row>
    <row r="9" ht="18" customHeight="1">
      <c r="A9" s="36" t="inlineStr">
        <is>
          <t>Ridge Top</t>
        </is>
      </c>
      <c r="B9" s="36" t="inlineStr">
        <is>
          <t>Maddox Trust</t>
        </is>
      </c>
      <c r="C9" s="36" t="inlineStr">
        <is>
          <t>owner2@maddox.example</t>
        </is>
      </c>
      <c r="D9" s="36" t="inlineStr">
        <is>
          <t>Hybrid (Flat + % of NET)</t>
        </is>
      </c>
      <c r="E9" s="37" t="n">
        <v>0.08</v>
      </c>
      <c r="F9" s="38" t="n">
        <v>50</v>
      </c>
      <c r="G9" s="36" t="inlineStr">
        <is>
          <t>Yes</t>
        </is>
      </c>
      <c r="H9" s="36" t="inlineStr">
        <is>
          <t>No</t>
        </is>
      </c>
      <c r="I9" s="36" t="inlineStr">
        <is>
          <t>Reimburse cleaner from owner monthly</t>
        </is>
      </c>
      <c r="J9" s="39" t="n">
        <v>45778</v>
      </c>
      <c r="K9" s="36" t="inlineStr">
        <is>
          <t>$50/booking + 8% of NET; co-host fronts cleaner cost.</t>
        </is>
      </c>
    </row>
    <row r="10" ht="18" customHeight="1">
      <c r="A10" s="36" t="n"/>
      <c r="B10" s="36" t="n"/>
      <c r="C10" s="36" t="n"/>
      <c r="D10" s="36" t="n"/>
      <c r="E10" s="37" t="n"/>
      <c r="F10" s="38" t="n"/>
      <c r="G10" s="36" t="n"/>
      <c r="H10" s="36" t="n"/>
      <c r="I10" s="36" t="n"/>
      <c r="J10" s="39" t="n"/>
      <c r="K10" s="36" t="n"/>
    </row>
    <row r="11" ht="18" customHeight="1">
      <c r="A11" s="36" t="n"/>
      <c r="B11" s="36" t="n"/>
      <c r="C11" s="36" t="n"/>
      <c r="D11" s="36" t="n"/>
      <c r="E11" s="37" t="n"/>
      <c r="F11" s="38" t="n"/>
      <c r="G11" s="36" t="n"/>
      <c r="H11" s="36" t="n"/>
      <c r="I11" s="36" t="n"/>
      <c r="J11" s="39" t="n"/>
      <c r="K11" s="36" t="n"/>
    </row>
    <row r="12" ht="18" customHeight="1">
      <c r="A12" s="36" t="n"/>
      <c r="B12" s="36" t="n"/>
      <c r="C12" s="36" t="n"/>
      <c r="D12" s="36" t="n"/>
      <c r="E12" s="37" t="n"/>
      <c r="F12" s="38" t="n"/>
      <c r="G12" s="36" t="n"/>
      <c r="H12" s="36" t="n"/>
      <c r="I12" s="36" t="n"/>
      <c r="J12" s="39" t="n"/>
      <c r="K12" s="36" t="n"/>
    </row>
    <row r="13" ht="18" customHeight="1">
      <c r="A13" s="36" t="n"/>
      <c r="B13" s="36" t="n"/>
      <c r="C13" s="36" t="n"/>
      <c r="D13" s="36" t="n"/>
      <c r="E13" s="37" t="n"/>
      <c r="F13" s="38" t="n"/>
      <c r="G13" s="36" t="n"/>
      <c r="H13" s="36" t="n"/>
      <c r="I13" s="36" t="n"/>
      <c r="J13" s="39" t="n"/>
      <c r="K13" s="36" t="n"/>
    </row>
    <row r="14" ht="18" customHeight="1">
      <c r="A14" s="36" t="n"/>
      <c r="B14" s="36" t="n"/>
      <c r="C14" s="36" t="n"/>
      <c r="D14" s="36" t="n"/>
      <c r="E14" s="37" t="n"/>
      <c r="F14" s="38" t="n"/>
      <c r="G14" s="36" t="n"/>
      <c r="H14" s="36" t="n"/>
      <c r="I14" s="36" t="n"/>
      <c r="J14" s="39" t="n"/>
      <c r="K14" s="36" t="n"/>
    </row>
    <row r="15" ht="18" customHeight="1">
      <c r="A15" s="36" t="n"/>
      <c r="B15" s="36" t="n"/>
      <c r="C15" s="36" t="n"/>
      <c r="D15" s="36" t="n"/>
      <c r="E15" s="37" t="n"/>
      <c r="F15" s="38" t="n"/>
      <c r="G15" s="36" t="n"/>
      <c r="H15" s="36" t="n"/>
      <c r="I15" s="36" t="n"/>
      <c r="J15" s="39" t="n"/>
      <c r="K15" s="36" t="n"/>
    </row>
    <row r="16" ht="18" customHeight="1">
      <c r="A16" s="36" t="n"/>
      <c r="B16" s="36" t="n"/>
      <c r="C16" s="36" t="n"/>
      <c r="D16" s="36" t="n"/>
      <c r="E16" s="37" t="n"/>
      <c r="F16" s="38" t="n"/>
      <c r="G16" s="36" t="n"/>
      <c r="H16" s="36" t="n"/>
      <c r="I16" s="36" t="n"/>
      <c r="J16" s="39" t="n"/>
      <c r="K16" s="36" t="n"/>
    </row>
    <row r="17" ht="18" customHeight="1">
      <c r="A17" s="36" t="n"/>
      <c r="B17" s="36" t="n"/>
      <c r="C17" s="36" t="n"/>
      <c r="D17" s="36" t="n"/>
      <c r="E17" s="37" t="n"/>
      <c r="F17" s="38" t="n"/>
      <c r="G17" s="36" t="n"/>
      <c r="H17" s="36" t="n"/>
      <c r="I17" s="36" t="n"/>
      <c r="J17" s="39" t="n"/>
      <c r="K17" s="36" t="n"/>
    </row>
    <row r="18" ht="18" customHeight="1">
      <c r="A18" s="36" t="n"/>
      <c r="B18" s="36" t="n"/>
      <c r="C18" s="36" t="n"/>
      <c r="D18" s="36" t="n"/>
      <c r="E18" s="37" t="n"/>
      <c r="F18" s="38" t="n"/>
      <c r="G18" s="36" t="n"/>
      <c r="H18" s="36" t="n"/>
      <c r="I18" s="36" t="n"/>
      <c r="J18" s="39" t="n"/>
      <c r="K18" s="36" t="n"/>
    </row>
    <row r="19" ht="18" customHeight="1">
      <c r="A19" s="36" t="n"/>
      <c r="B19" s="36" t="n"/>
      <c r="C19" s="36" t="n"/>
      <c r="D19" s="36" t="n"/>
      <c r="E19" s="37" t="n"/>
      <c r="F19" s="38" t="n"/>
      <c r="G19" s="36" t="n"/>
      <c r="H19" s="36" t="n"/>
      <c r="I19" s="36" t="n"/>
      <c r="J19" s="39" t="n"/>
      <c r="K19" s="36" t="n"/>
    </row>
    <row r="20" ht="18" customHeight="1">
      <c r="A20" s="36" t="n"/>
      <c r="B20" s="36" t="n"/>
      <c r="C20" s="36" t="n"/>
      <c r="D20" s="36" t="n"/>
      <c r="E20" s="37" t="n"/>
      <c r="F20" s="38" t="n"/>
      <c r="G20" s="36" t="n"/>
      <c r="H20" s="36" t="n"/>
      <c r="I20" s="36" t="n"/>
      <c r="J20" s="39" t="n"/>
      <c r="K20" s="36" t="n"/>
    </row>
  </sheetData>
  <mergeCells count="4">
    <mergeCell ref="J2:L2"/>
    <mergeCell ref="D2:I2"/>
    <mergeCell ref="A2:C2"/>
    <mergeCell ref="A4:L4"/>
  </mergeCells>
  <dataValidations count="5">
    <dataValidation sqref="A6:A20" showDropDown="0" showInputMessage="0" showErrorMessage="0" allowBlank="1" type="list">
      <formula1>=Settings!$B$7:$B$16</formula1>
    </dataValidation>
    <dataValidation sqref="B6:B20" showDropDown="0" showInputMessage="0" showErrorMessage="0" allowBlank="1" type="list">
      <formula1>=Settings!$B$18:$B$27</formula1>
    </dataValidation>
    <dataValidation sqref="D6:D20" showDropDown="0" showInputMessage="0" showErrorMessage="0" allowBlank="1" type="list">
      <formula1>"% of NET,% of GROSS,Flat per booking,Hybrid (Flat + % of NET)"</formula1>
    </dataValidation>
    <dataValidation sqref="G6:G20" showDropDown="0" showInputMessage="0" showErrorMessage="0" allowBlank="1" type="list">
      <formula1>"Yes,No"</formula1>
    </dataValidation>
    <dataValidation sqref="H6:H20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O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10" customWidth="1" min="11" max="11"/>
    <col width="14" customWidth="1" min="12" max="12"/>
    <col width="12" customWidth="1" min="13" max="13"/>
    <col width="12" customWidth="1" min="14" max="14"/>
    <col width="24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HYPERLINK("#'Co-Host Agreements'!A1", "← BACK")</f>
        <v/>
      </c>
      <c r="B2" s="24" t="n"/>
      <c r="C2" s="24" t="n"/>
      <c r="D2" s="33" t="inlineStr">
        <is>
          <t>BOOKINGS LOG</t>
        </is>
      </c>
      <c r="J2" s="25">
        <f>HYPERLINK("#'Monthly Statements'!A1",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All bookings, all properties. Capacity 500. NET = Gross - Cleaning - Platform - Other. Commission auto-computes from agreement type.</t>
        </is>
      </c>
    </row>
    <row r="5" ht="28" customHeight="1">
      <c r="A5" s="35" t="inlineStr">
        <is>
          <t>Booking date</t>
        </is>
      </c>
      <c r="B5" s="35" t="inlineStr">
        <is>
          <t>Property</t>
        </is>
      </c>
      <c r="C5" s="35" t="inlineStr">
        <is>
          <t>Guest</t>
        </is>
      </c>
      <c r="D5" s="35" t="inlineStr">
        <is>
          <t>Booking ID</t>
        </is>
      </c>
      <c r="E5" s="35" t="inlineStr">
        <is>
          <t>Channel</t>
        </is>
      </c>
      <c r="F5" s="35" t="inlineStr">
        <is>
          <t>Gross revenue</t>
        </is>
      </c>
      <c r="G5" s="35" t="inlineStr">
        <is>
          <t>Cleaning fee</t>
        </is>
      </c>
      <c r="H5" s="35" t="inlineStr">
        <is>
          <t>Platform fee</t>
        </is>
      </c>
      <c r="I5" s="35" t="inlineStr">
        <is>
          <t>Other deductions</t>
        </is>
      </c>
      <c r="J5" s="35" t="inlineStr">
        <is>
          <t>NET to property</t>
        </is>
      </c>
      <c r="K5" s="35" t="inlineStr">
        <is>
          <t>Co-host %</t>
        </is>
      </c>
      <c r="L5" s="35" t="inlineStr">
        <is>
          <t>Co-host commission $</t>
        </is>
      </c>
      <c r="M5" s="35" t="inlineStr">
        <is>
          <t>Owner share $</t>
        </is>
      </c>
      <c r="N5" s="35" t="inlineStr">
        <is>
          <t>Payment status</t>
        </is>
      </c>
      <c r="O5" s="35" t="inlineStr">
        <is>
          <t>Notes</t>
        </is>
      </c>
    </row>
    <row r="6" ht="16" customHeight="1">
      <c r="A6" s="39" t="n">
        <v>46026</v>
      </c>
      <c r="B6" s="36" t="inlineStr">
        <is>
          <t>Smokies Ridge</t>
        </is>
      </c>
      <c r="C6" s="36" t="inlineStr">
        <is>
          <t>Avery G.</t>
        </is>
      </c>
      <c r="D6" s="36" t="inlineStr">
        <is>
          <t>AB-90011</t>
        </is>
      </c>
      <c r="E6" s="36" t="inlineStr">
        <is>
          <t>Airbnb</t>
        </is>
      </c>
      <c r="F6" s="40" t="n">
        <v>1620</v>
      </c>
      <c r="G6" s="40" t="n">
        <v>150</v>
      </c>
      <c r="H6" s="40" t="n">
        <v>243</v>
      </c>
      <c r="I6" s="40" t="n">
        <v>0</v>
      </c>
      <c r="J6" s="41">
        <f>IF(F6="","",F6-IF(IFERROR(VLOOKUP(B6,'Co-Host Agreements'!$A$6:$K$20,7,FALSE),"No")="Yes",G6,0)-IF(IFERROR(VLOOKUP(B6,'Co-Host Agreements'!$A$6:$K$20,8,FALSE),"No")="Yes",H6,0)-N(I6))</f>
        <v/>
      </c>
      <c r="K6" s="42">
        <f>IFERROR(VLOOKUP(B6,'Co-Host Agreements'!$A$6:$K$20,5,FALSE),0)</f>
        <v/>
      </c>
      <c r="L6" s="41">
        <f>IF(B6="","",IFS(IFERROR(VLOOKUP(B6,'Co-Host Agreements'!$A$6:$K$20,4,FALSE),"")="% of NET",J6*K6,IFERROR(VLOOKUP(B6,'Co-Host Agreements'!$A$6:$K$20,4,FALSE),"")="% of GROSS",F6*K6,IFERROR(VLOOKUP(B6,'Co-Host Agreements'!$A$6:$K$20,4,FALSE),"")="Flat per booking",IFERROR(VLOOKUP(B6,'Co-Host Agreements'!$A$6:$K$20,6,FALSE),0),IFERROR(VLOOKUP(B6,'Co-Host Agreements'!$A$6:$K$20,4,FALSE),"")="Hybrid (Flat + % of NET)",IFERROR(VLOOKUP(B6,'Co-Host Agreements'!$A$6:$K$20,6,FALSE),0)+J6*K6,TRUE,0))</f>
        <v/>
      </c>
      <c r="M6" s="41">
        <f>IF(B6="","",J6-L6)</f>
        <v/>
      </c>
      <c r="N6" s="36" t="inlineStr">
        <is>
          <t>Paid</t>
        </is>
      </c>
      <c r="O6" s="36" t="inlineStr"/>
    </row>
    <row r="7" ht="16" customHeight="1">
      <c r="A7" s="39" t="n">
        <v>46033</v>
      </c>
      <c r="B7" s="36" t="inlineStr">
        <is>
          <t>Smokies Ridge</t>
        </is>
      </c>
      <c r="C7" s="36" t="inlineStr">
        <is>
          <t>Marshall H.</t>
        </is>
      </c>
      <c r="D7" s="36" t="inlineStr">
        <is>
          <t>AB-90012</t>
        </is>
      </c>
      <c r="E7" s="36" t="inlineStr">
        <is>
          <t>Airbnb</t>
        </is>
      </c>
      <c r="F7" s="40" t="n">
        <v>1480</v>
      </c>
      <c r="G7" s="40" t="n">
        <v>150</v>
      </c>
      <c r="H7" s="40" t="n">
        <v>222</v>
      </c>
      <c r="I7" s="40" t="n">
        <v>0</v>
      </c>
      <c r="J7" s="41">
        <f>IF(F7="","",F7-IF(IFERROR(VLOOKUP(B7,'Co-Host Agreements'!$A$6:$K$20,7,FALSE),"No")="Yes",G7,0)-IF(IFERROR(VLOOKUP(B7,'Co-Host Agreements'!$A$6:$K$20,8,FALSE),"No")="Yes",H7,0)-N(I7))</f>
        <v/>
      </c>
      <c r="K7" s="42">
        <f>IFERROR(VLOOKUP(B7,'Co-Host Agreements'!$A$6:$K$20,5,FALSE),0)</f>
        <v/>
      </c>
      <c r="L7" s="41">
        <f>IF(B7="","",IFS(IFERROR(VLOOKUP(B7,'Co-Host Agreements'!$A$6:$K$20,4,FALSE),"")="% of NET",J7*K7,IFERROR(VLOOKUP(B7,'Co-Host Agreements'!$A$6:$K$20,4,FALSE),"")="% of GROSS",F7*K7,IFERROR(VLOOKUP(B7,'Co-Host Agreements'!$A$6:$K$20,4,FALSE),"")="Flat per booking",IFERROR(VLOOKUP(B7,'Co-Host Agreements'!$A$6:$K$20,6,FALSE),0),IFERROR(VLOOKUP(B7,'Co-Host Agreements'!$A$6:$K$20,4,FALSE),"")="Hybrid (Flat + % of NET)",IFERROR(VLOOKUP(B7,'Co-Host Agreements'!$A$6:$K$20,6,FALSE),0)+J7*K7,TRUE,0))</f>
        <v/>
      </c>
      <c r="M7" s="41">
        <f>IF(B7="","",J7-L7)</f>
        <v/>
      </c>
      <c r="N7" s="36" t="inlineStr">
        <is>
          <t>Paid</t>
        </is>
      </c>
      <c r="O7" s="36" t="inlineStr"/>
    </row>
    <row r="8" ht="16" customHeight="1">
      <c r="A8" s="39" t="n">
        <v>46040</v>
      </c>
      <c r="B8" s="36" t="inlineStr">
        <is>
          <t>Smokies Ridge</t>
        </is>
      </c>
      <c r="C8" s="36" t="inlineStr">
        <is>
          <t>Priya R.</t>
        </is>
      </c>
      <c r="D8" s="36" t="inlineStr">
        <is>
          <t>VR-50221</t>
        </is>
      </c>
      <c r="E8" s="36" t="inlineStr">
        <is>
          <t>VRBO</t>
        </is>
      </c>
      <c r="F8" s="40" t="n">
        <v>1740</v>
      </c>
      <c r="G8" s="40" t="n">
        <v>150</v>
      </c>
      <c r="H8" s="40" t="n">
        <v>139</v>
      </c>
      <c r="I8" s="40" t="n">
        <v>0</v>
      </c>
      <c r="J8" s="41">
        <f>IF(F8="","",F8-IF(IFERROR(VLOOKUP(B8,'Co-Host Agreements'!$A$6:$K$20,7,FALSE),"No")="Yes",G8,0)-IF(IFERROR(VLOOKUP(B8,'Co-Host Agreements'!$A$6:$K$20,8,FALSE),"No")="Yes",H8,0)-N(I8))</f>
        <v/>
      </c>
      <c r="K8" s="42">
        <f>IFERROR(VLOOKUP(B8,'Co-Host Agreements'!$A$6:$K$20,5,FALSE),0)</f>
        <v/>
      </c>
      <c r="L8" s="41">
        <f>IF(B8="","",IFS(IFERROR(VLOOKUP(B8,'Co-Host Agreements'!$A$6:$K$20,4,FALSE),"")="% of NET",J8*K8,IFERROR(VLOOKUP(B8,'Co-Host Agreements'!$A$6:$K$20,4,FALSE),"")="% of GROSS",F8*K8,IFERROR(VLOOKUP(B8,'Co-Host Agreements'!$A$6:$K$20,4,FALSE),"")="Flat per booking",IFERROR(VLOOKUP(B8,'Co-Host Agreements'!$A$6:$K$20,6,FALSE),0),IFERROR(VLOOKUP(B8,'Co-Host Agreements'!$A$6:$K$20,4,FALSE),"")="Hybrid (Flat + % of NET)",IFERROR(VLOOKUP(B8,'Co-Host Agreements'!$A$6:$K$20,6,FALSE),0)+J8*K8,TRUE,0))</f>
        <v/>
      </c>
      <c r="M8" s="41">
        <f>IF(B8="","",J8-L8)</f>
        <v/>
      </c>
      <c r="N8" s="36" t="inlineStr">
        <is>
          <t>Paid</t>
        </is>
      </c>
      <c r="O8" s="36" t="inlineStr"/>
    </row>
    <row r="9" ht="16" customHeight="1">
      <c r="A9" s="39" t="n">
        <v>46047</v>
      </c>
      <c r="B9" s="36" t="inlineStr">
        <is>
          <t>Smokies Ridge</t>
        </is>
      </c>
      <c r="C9" s="36" t="inlineStr">
        <is>
          <t>Casey N.</t>
        </is>
      </c>
      <c r="D9" s="36" t="inlineStr">
        <is>
          <t>DR-00031</t>
        </is>
      </c>
      <c r="E9" s="36" t="inlineStr">
        <is>
          <t>Direct</t>
        </is>
      </c>
      <c r="F9" s="40" t="n">
        <v>1380</v>
      </c>
      <c r="G9" s="40" t="n">
        <v>150</v>
      </c>
      <c r="H9" s="40" t="n">
        <v>0</v>
      </c>
      <c r="I9" s="40" t="n">
        <v>0</v>
      </c>
      <c r="J9" s="41">
        <f>IF(F9="","",F9-IF(IFERROR(VLOOKUP(B9,'Co-Host Agreements'!$A$6:$K$20,7,FALSE),"No")="Yes",G9,0)-IF(IFERROR(VLOOKUP(B9,'Co-Host Agreements'!$A$6:$K$20,8,FALSE),"No")="Yes",H9,0)-N(I9))</f>
        <v/>
      </c>
      <c r="K9" s="42">
        <f>IFERROR(VLOOKUP(B9,'Co-Host Agreements'!$A$6:$K$20,5,FALSE),0)</f>
        <v/>
      </c>
      <c r="L9" s="41">
        <f>IF(B9="","",IFS(IFERROR(VLOOKUP(B9,'Co-Host Agreements'!$A$6:$K$20,4,FALSE),"")="% of NET",J9*K9,IFERROR(VLOOKUP(B9,'Co-Host Agreements'!$A$6:$K$20,4,FALSE),"")="% of GROSS",F9*K9,IFERROR(VLOOKUP(B9,'Co-Host Agreements'!$A$6:$K$20,4,FALSE),"")="Flat per booking",IFERROR(VLOOKUP(B9,'Co-Host Agreements'!$A$6:$K$20,6,FALSE),0),IFERROR(VLOOKUP(B9,'Co-Host Agreements'!$A$6:$K$20,4,FALSE),"")="Hybrid (Flat + % of NET)",IFERROR(VLOOKUP(B9,'Co-Host Agreements'!$A$6:$K$20,6,FALSE),0)+J9*K9,TRUE,0))</f>
        <v/>
      </c>
      <c r="M9" s="41">
        <f>IF(B9="","",J9-L9)</f>
        <v/>
      </c>
      <c r="N9" s="36" t="inlineStr">
        <is>
          <t>Paid</t>
        </is>
      </c>
      <c r="O9" s="36" t="inlineStr">
        <is>
          <t>Direct booking</t>
        </is>
      </c>
    </row>
    <row r="10" ht="16" customHeight="1">
      <c r="A10" s="39" t="n">
        <v>46054</v>
      </c>
      <c r="B10" s="36" t="inlineStr">
        <is>
          <t>Smokies Ridge</t>
        </is>
      </c>
      <c r="C10" s="36" t="inlineStr">
        <is>
          <t>Devon S.</t>
        </is>
      </c>
      <c r="D10" s="36" t="inlineStr">
        <is>
          <t>AB-90013</t>
        </is>
      </c>
      <c r="E10" s="36" t="inlineStr">
        <is>
          <t>Airbnb</t>
        </is>
      </c>
      <c r="F10" s="40" t="n">
        <v>1340</v>
      </c>
      <c r="G10" s="40" t="n">
        <v>150</v>
      </c>
      <c r="H10" s="40" t="n">
        <v>201</v>
      </c>
      <c r="I10" s="40" t="n">
        <v>0</v>
      </c>
      <c r="J10" s="41">
        <f>IF(F10="","",F10-IF(IFERROR(VLOOKUP(B10,'Co-Host Agreements'!$A$6:$K$20,7,FALSE),"No")="Yes",G10,0)-IF(IFERROR(VLOOKUP(B10,'Co-Host Agreements'!$A$6:$K$20,8,FALSE),"No")="Yes",H10,0)-N(I10))</f>
        <v/>
      </c>
      <c r="K10" s="42">
        <f>IFERROR(VLOOKUP(B10,'Co-Host Agreements'!$A$6:$K$20,5,FALSE),0)</f>
        <v/>
      </c>
      <c r="L10" s="41">
        <f>IF(B10="","",IFS(IFERROR(VLOOKUP(B10,'Co-Host Agreements'!$A$6:$K$20,4,FALSE),"")="% of NET",J10*K10,IFERROR(VLOOKUP(B10,'Co-Host Agreements'!$A$6:$K$20,4,FALSE),"")="% of GROSS",F10*K10,IFERROR(VLOOKUP(B10,'Co-Host Agreements'!$A$6:$K$20,4,FALSE),"")="Flat per booking",IFERROR(VLOOKUP(B10,'Co-Host Agreements'!$A$6:$K$20,6,FALSE),0),IFERROR(VLOOKUP(B10,'Co-Host Agreements'!$A$6:$K$20,4,FALSE),"")="Hybrid (Flat + % of NET)",IFERROR(VLOOKUP(B10,'Co-Host Agreements'!$A$6:$K$20,6,FALSE),0)+J10*K10,TRUE,0))</f>
        <v/>
      </c>
      <c r="M10" s="41">
        <f>IF(B10="","",J10-L10)</f>
        <v/>
      </c>
      <c r="N10" s="36" t="inlineStr">
        <is>
          <t>Paid</t>
        </is>
      </c>
      <c r="O10" s="36" t="inlineStr"/>
    </row>
    <row r="11" ht="16" customHeight="1">
      <c r="A11" s="39" t="n">
        <v>46061</v>
      </c>
      <c r="B11" s="36" t="inlineStr">
        <is>
          <t>Smokies Ridge</t>
        </is>
      </c>
      <c r="C11" s="36" t="inlineStr">
        <is>
          <t>Hailey M.</t>
        </is>
      </c>
      <c r="D11" s="36" t="inlineStr">
        <is>
          <t>AB-90014</t>
        </is>
      </c>
      <c r="E11" s="36" t="inlineStr">
        <is>
          <t>Airbnb</t>
        </is>
      </c>
      <c r="F11" s="40" t="n">
        <v>1480</v>
      </c>
      <c r="G11" s="40" t="n">
        <v>150</v>
      </c>
      <c r="H11" s="40" t="n">
        <v>222</v>
      </c>
      <c r="I11" s="40" t="n">
        <v>0</v>
      </c>
      <c r="J11" s="41">
        <f>IF(F11="","",F11-IF(IFERROR(VLOOKUP(B11,'Co-Host Agreements'!$A$6:$K$20,7,FALSE),"No")="Yes",G11,0)-IF(IFERROR(VLOOKUP(B11,'Co-Host Agreements'!$A$6:$K$20,8,FALSE),"No")="Yes",H11,0)-N(I11))</f>
        <v/>
      </c>
      <c r="K11" s="42">
        <f>IFERROR(VLOOKUP(B11,'Co-Host Agreements'!$A$6:$K$20,5,FALSE),0)</f>
        <v/>
      </c>
      <c r="L11" s="41">
        <f>IF(B11="","",IFS(IFERROR(VLOOKUP(B11,'Co-Host Agreements'!$A$6:$K$20,4,FALSE),"")="% of NET",J11*K11,IFERROR(VLOOKUP(B11,'Co-Host Agreements'!$A$6:$K$20,4,FALSE),"")="% of GROSS",F11*K11,IFERROR(VLOOKUP(B11,'Co-Host Agreements'!$A$6:$K$20,4,FALSE),"")="Flat per booking",IFERROR(VLOOKUP(B11,'Co-Host Agreements'!$A$6:$K$20,6,FALSE),0),IFERROR(VLOOKUP(B11,'Co-Host Agreements'!$A$6:$K$20,4,FALSE),"")="Hybrid (Flat + % of NET)",IFERROR(VLOOKUP(B11,'Co-Host Agreements'!$A$6:$K$20,6,FALSE),0)+J11*K11,TRUE,0))</f>
        <v/>
      </c>
      <c r="M11" s="41">
        <f>IF(B11="","",J11-L11)</f>
        <v/>
      </c>
      <c r="N11" s="36" t="inlineStr">
        <is>
          <t>Paid</t>
        </is>
      </c>
      <c r="O11" s="36" t="inlineStr"/>
    </row>
    <row r="12" ht="16" customHeight="1">
      <c r="A12" s="39" t="n">
        <v>46068</v>
      </c>
      <c r="B12" s="36" t="inlineStr">
        <is>
          <t>Smokies Ridge</t>
        </is>
      </c>
      <c r="C12" s="36" t="inlineStr">
        <is>
          <t>Patrice O.</t>
        </is>
      </c>
      <c r="D12" s="36" t="inlineStr">
        <is>
          <t>AB-90015</t>
        </is>
      </c>
      <c r="E12" s="36" t="inlineStr">
        <is>
          <t>Airbnb</t>
        </is>
      </c>
      <c r="F12" s="40" t="n">
        <v>1680</v>
      </c>
      <c r="G12" s="40" t="n">
        <v>150</v>
      </c>
      <c r="H12" s="40" t="n">
        <v>252</v>
      </c>
      <c r="I12" s="40" t="n">
        <v>0</v>
      </c>
      <c r="J12" s="41">
        <f>IF(F12="","",F12-IF(IFERROR(VLOOKUP(B12,'Co-Host Agreements'!$A$6:$K$20,7,FALSE),"No")="Yes",G12,0)-IF(IFERROR(VLOOKUP(B12,'Co-Host Agreements'!$A$6:$K$20,8,FALSE),"No")="Yes",H12,0)-N(I12))</f>
        <v/>
      </c>
      <c r="K12" s="42">
        <f>IFERROR(VLOOKUP(B12,'Co-Host Agreements'!$A$6:$K$20,5,FALSE),0)</f>
        <v/>
      </c>
      <c r="L12" s="41">
        <f>IF(B12="","",IFS(IFERROR(VLOOKUP(B12,'Co-Host Agreements'!$A$6:$K$20,4,FALSE),"")="% of NET",J12*K12,IFERROR(VLOOKUP(B12,'Co-Host Agreements'!$A$6:$K$20,4,FALSE),"")="% of GROSS",F12*K12,IFERROR(VLOOKUP(B12,'Co-Host Agreements'!$A$6:$K$20,4,FALSE),"")="Flat per booking",IFERROR(VLOOKUP(B12,'Co-Host Agreements'!$A$6:$K$20,6,FALSE),0),IFERROR(VLOOKUP(B12,'Co-Host Agreements'!$A$6:$K$20,4,FALSE),"")="Hybrid (Flat + % of NET)",IFERROR(VLOOKUP(B12,'Co-Host Agreements'!$A$6:$K$20,6,FALSE),0)+J12*K12,TRUE,0))</f>
        <v/>
      </c>
      <c r="M12" s="41">
        <f>IF(B12="","",J12-L12)</f>
        <v/>
      </c>
      <c r="N12" s="36" t="inlineStr">
        <is>
          <t>Paid</t>
        </is>
      </c>
      <c r="O12" s="36" t="inlineStr"/>
    </row>
    <row r="13" ht="16" customHeight="1">
      <c r="A13" s="39" t="n">
        <v>46075</v>
      </c>
      <c r="B13" s="36" t="inlineStr">
        <is>
          <t>Smokies Ridge</t>
        </is>
      </c>
      <c r="C13" s="36" t="inlineStr">
        <is>
          <t>Chen W.</t>
        </is>
      </c>
      <c r="D13" s="36" t="inlineStr">
        <is>
          <t>AB-90016</t>
        </is>
      </c>
      <c r="E13" s="36" t="inlineStr">
        <is>
          <t>Airbnb</t>
        </is>
      </c>
      <c r="F13" s="40" t="n">
        <v>1540</v>
      </c>
      <c r="G13" s="40" t="n">
        <v>150</v>
      </c>
      <c r="H13" s="40" t="n">
        <v>231</v>
      </c>
      <c r="I13" s="40" t="n">
        <v>0</v>
      </c>
      <c r="J13" s="41">
        <f>IF(F13="","",F13-IF(IFERROR(VLOOKUP(B13,'Co-Host Agreements'!$A$6:$K$20,7,FALSE),"No")="Yes",G13,0)-IF(IFERROR(VLOOKUP(B13,'Co-Host Agreements'!$A$6:$K$20,8,FALSE),"No")="Yes",H13,0)-N(I13))</f>
        <v/>
      </c>
      <c r="K13" s="42">
        <f>IFERROR(VLOOKUP(B13,'Co-Host Agreements'!$A$6:$K$20,5,FALSE),0)</f>
        <v/>
      </c>
      <c r="L13" s="41">
        <f>IF(B13="","",IFS(IFERROR(VLOOKUP(B13,'Co-Host Agreements'!$A$6:$K$20,4,FALSE),"")="% of NET",J13*K13,IFERROR(VLOOKUP(B13,'Co-Host Agreements'!$A$6:$K$20,4,FALSE),"")="% of GROSS",F13*K13,IFERROR(VLOOKUP(B13,'Co-Host Agreements'!$A$6:$K$20,4,FALSE),"")="Flat per booking",IFERROR(VLOOKUP(B13,'Co-Host Agreements'!$A$6:$K$20,6,FALSE),0),IFERROR(VLOOKUP(B13,'Co-Host Agreements'!$A$6:$K$20,4,FALSE),"")="Hybrid (Flat + % of NET)",IFERROR(VLOOKUP(B13,'Co-Host Agreements'!$A$6:$K$20,6,FALSE),0)+J13*K13,TRUE,0))</f>
        <v/>
      </c>
      <c r="M13" s="41">
        <f>IF(B13="","",J13-L13)</f>
        <v/>
      </c>
      <c r="N13" s="36" t="inlineStr">
        <is>
          <t>Paid</t>
        </is>
      </c>
      <c r="O13" s="36" t="inlineStr"/>
    </row>
    <row r="14" ht="16" customHeight="1">
      <c r="A14" s="39" t="n">
        <v>46082</v>
      </c>
      <c r="B14" s="36" t="inlineStr">
        <is>
          <t>Smokies Ridge</t>
        </is>
      </c>
      <c r="C14" s="36" t="inlineStr">
        <is>
          <t>Tomás A.</t>
        </is>
      </c>
      <c r="D14" s="36" t="inlineStr">
        <is>
          <t>VR-50222</t>
        </is>
      </c>
      <c r="E14" s="36" t="inlineStr">
        <is>
          <t>VRBO</t>
        </is>
      </c>
      <c r="F14" s="40" t="n">
        <v>1620</v>
      </c>
      <c r="G14" s="40" t="n">
        <v>150</v>
      </c>
      <c r="H14" s="40" t="n">
        <v>130</v>
      </c>
      <c r="I14" s="40" t="n">
        <v>0</v>
      </c>
      <c r="J14" s="41">
        <f>IF(F14="","",F14-IF(IFERROR(VLOOKUP(B14,'Co-Host Agreements'!$A$6:$K$20,7,FALSE),"No")="Yes",G14,0)-IF(IFERROR(VLOOKUP(B14,'Co-Host Agreements'!$A$6:$K$20,8,FALSE),"No")="Yes",H14,0)-N(I14))</f>
        <v/>
      </c>
      <c r="K14" s="42">
        <f>IFERROR(VLOOKUP(B14,'Co-Host Agreements'!$A$6:$K$20,5,FALSE),0)</f>
        <v/>
      </c>
      <c r="L14" s="41">
        <f>IF(B14="","",IFS(IFERROR(VLOOKUP(B14,'Co-Host Agreements'!$A$6:$K$20,4,FALSE),"")="% of NET",J14*K14,IFERROR(VLOOKUP(B14,'Co-Host Agreements'!$A$6:$K$20,4,FALSE),"")="% of GROSS",F14*K14,IFERROR(VLOOKUP(B14,'Co-Host Agreements'!$A$6:$K$20,4,FALSE),"")="Flat per booking",IFERROR(VLOOKUP(B14,'Co-Host Agreements'!$A$6:$K$20,6,FALSE),0),IFERROR(VLOOKUP(B14,'Co-Host Agreements'!$A$6:$K$20,4,FALSE),"")="Hybrid (Flat + % of NET)",IFERROR(VLOOKUP(B14,'Co-Host Agreements'!$A$6:$K$20,6,FALSE),0)+J14*K14,TRUE,0))</f>
        <v/>
      </c>
      <c r="M14" s="41">
        <f>IF(B14="","",J14-L14)</f>
        <v/>
      </c>
      <c r="N14" s="36" t="inlineStr">
        <is>
          <t>Paid</t>
        </is>
      </c>
      <c r="O14" s="36" t="inlineStr"/>
    </row>
    <row r="15" ht="16" customHeight="1">
      <c r="A15" s="39" t="n">
        <v>46089</v>
      </c>
      <c r="B15" s="36" t="inlineStr">
        <is>
          <t>Smokies Ridge</t>
        </is>
      </c>
      <c r="C15" s="36" t="inlineStr">
        <is>
          <t>Reese F.</t>
        </is>
      </c>
      <c r="D15" s="36" t="inlineStr">
        <is>
          <t>AB-90017</t>
        </is>
      </c>
      <c r="E15" s="36" t="inlineStr">
        <is>
          <t>Airbnb</t>
        </is>
      </c>
      <c r="F15" s="40" t="n">
        <v>1880</v>
      </c>
      <c r="G15" s="40" t="n">
        <v>150</v>
      </c>
      <c r="H15" s="40" t="n">
        <v>282</v>
      </c>
      <c r="I15" s="40" t="n">
        <v>0</v>
      </c>
      <c r="J15" s="41">
        <f>IF(F15="","",F15-IF(IFERROR(VLOOKUP(B15,'Co-Host Agreements'!$A$6:$K$20,7,FALSE),"No")="Yes",G15,0)-IF(IFERROR(VLOOKUP(B15,'Co-Host Agreements'!$A$6:$K$20,8,FALSE),"No")="Yes",H15,0)-N(I15))</f>
        <v/>
      </c>
      <c r="K15" s="42">
        <f>IFERROR(VLOOKUP(B15,'Co-Host Agreements'!$A$6:$K$20,5,FALSE),0)</f>
        <v/>
      </c>
      <c r="L15" s="41">
        <f>IF(B15="","",IFS(IFERROR(VLOOKUP(B15,'Co-Host Agreements'!$A$6:$K$20,4,FALSE),"")="% of NET",J15*K15,IFERROR(VLOOKUP(B15,'Co-Host Agreements'!$A$6:$K$20,4,FALSE),"")="% of GROSS",F15*K15,IFERROR(VLOOKUP(B15,'Co-Host Agreements'!$A$6:$K$20,4,FALSE),"")="Flat per booking",IFERROR(VLOOKUP(B15,'Co-Host Agreements'!$A$6:$K$20,6,FALSE),0),IFERROR(VLOOKUP(B15,'Co-Host Agreements'!$A$6:$K$20,4,FALSE),"")="Hybrid (Flat + % of NET)",IFERROR(VLOOKUP(B15,'Co-Host Agreements'!$A$6:$K$20,6,FALSE),0)+J15*K15,TRUE,0))</f>
        <v/>
      </c>
      <c r="M15" s="41">
        <f>IF(B15="","",J15-L15)</f>
        <v/>
      </c>
      <c r="N15" s="36" t="inlineStr">
        <is>
          <t>Paid</t>
        </is>
      </c>
      <c r="O15" s="36" t="inlineStr"/>
    </row>
    <row r="16" ht="16" customHeight="1">
      <c r="A16" s="39" t="n">
        <v>46096</v>
      </c>
      <c r="B16" s="36" t="inlineStr">
        <is>
          <t>Smokies Ridge</t>
        </is>
      </c>
      <c r="C16" s="36" t="inlineStr">
        <is>
          <t>Olympia V.</t>
        </is>
      </c>
      <c r="D16" s="36" t="inlineStr">
        <is>
          <t>DR-00032</t>
        </is>
      </c>
      <c r="E16" s="36" t="inlineStr">
        <is>
          <t>Direct</t>
        </is>
      </c>
      <c r="F16" s="40" t="n">
        <v>1740</v>
      </c>
      <c r="G16" s="40" t="n">
        <v>150</v>
      </c>
      <c r="H16" s="40" t="n">
        <v>0</v>
      </c>
      <c r="I16" s="40" t="n">
        <v>0</v>
      </c>
      <c r="J16" s="41">
        <f>IF(F16="","",F16-IF(IFERROR(VLOOKUP(B16,'Co-Host Agreements'!$A$6:$K$20,7,FALSE),"No")="Yes",G16,0)-IF(IFERROR(VLOOKUP(B16,'Co-Host Agreements'!$A$6:$K$20,8,FALSE),"No")="Yes",H16,0)-N(I16))</f>
        <v/>
      </c>
      <c r="K16" s="42">
        <f>IFERROR(VLOOKUP(B16,'Co-Host Agreements'!$A$6:$K$20,5,FALSE),0)</f>
        <v/>
      </c>
      <c r="L16" s="41">
        <f>IF(B16="","",IFS(IFERROR(VLOOKUP(B16,'Co-Host Agreements'!$A$6:$K$20,4,FALSE),"")="% of NET",J16*K16,IFERROR(VLOOKUP(B16,'Co-Host Agreements'!$A$6:$K$20,4,FALSE),"")="% of GROSS",F16*K16,IFERROR(VLOOKUP(B16,'Co-Host Agreements'!$A$6:$K$20,4,FALSE),"")="Flat per booking",IFERROR(VLOOKUP(B16,'Co-Host Agreements'!$A$6:$K$20,6,FALSE),0),IFERROR(VLOOKUP(B16,'Co-Host Agreements'!$A$6:$K$20,4,FALSE),"")="Hybrid (Flat + % of NET)",IFERROR(VLOOKUP(B16,'Co-Host Agreements'!$A$6:$K$20,6,FALSE),0)+J16*K16,TRUE,0))</f>
        <v/>
      </c>
      <c r="M16" s="41">
        <f>IF(B16="","",J16-L16)</f>
        <v/>
      </c>
      <c r="N16" s="36" t="inlineStr">
        <is>
          <t>Paid</t>
        </is>
      </c>
      <c r="O16" s="36" t="inlineStr"/>
    </row>
    <row r="17" ht="16" customHeight="1">
      <c r="A17" s="39" t="n">
        <v>46103</v>
      </c>
      <c r="B17" s="36" t="inlineStr">
        <is>
          <t>Smokies Ridge</t>
        </is>
      </c>
      <c r="C17" s="36" t="inlineStr">
        <is>
          <t>Sasha B.</t>
        </is>
      </c>
      <c r="D17" s="36" t="inlineStr">
        <is>
          <t>AB-90018</t>
        </is>
      </c>
      <c r="E17" s="36" t="inlineStr">
        <is>
          <t>Airbnb</t>
        </is>
      </c>
      <c r="F17" s="40" t="n">
        <v>1640</v>
      </c>
      <c r="G17" s="40" t="n">
        <v>150</v>
      </c>
      <c r="H17" s="40" t="n">
        <v>246</v>
      </c>
      <c r="I17" s="40" t="n">
        <v>0</v>
      </c>
      <c r="J17" s="41">
        <f>IF(F17="","",F17-IF(IFERROR(VLOOKUP(B17,'Co-Host Agreements'!$A$6:$K$20,7,FALSE),"No")="Yes",G17,0)-IF(IFERROR(VLOOKUP(B17,'Co-Host Agreements'!$A$6:$K$20,8,FALSE),"No")="Yes",H17,0)-N(I17))</f>
        <v/>
      </c>
      <c r="K17" s="42">
        <f>IFERROR(VLOOKUP(B17,'Co-Host Agreements'!$A$6:$K$20,5,FALSE),0)</f>
        <v/>
      </c>
      <c r="L17" s="41">
        <f>IF(B17="","",IFS(IFERROR(VLOOKUP(B17,'Co-Host Agreements'!$A$6:$K$20,4,FALSE),"")="% of NET",J17*K17,IFERROR(VLOOKUP(B17,'Co-Host Agreements'!$A$6:$K$20,4,FALSE),"")="% of GROSS",F17*K17,IFERROR(VLOOKUP(B17,'Co-Host Agreements'!$A$6:$K$20,4,FALSE),"")="Flat per booking",IFERROR(VLOOKUP(B17,'Co-Host Agreements'!$A$6:$K$20,6,FALSE),0),IFERROR(VLOOKUP(B17,'Co-Host Agreements'!$A$6:$K$20,4,FALSE),"")="Hybrid (Flat + % of NET)",IFERROR(VLOOKUP(B17,'Co-Host Agreements'!$A$6:$K$20,6,FALSE),0)+J17*K17,TRUE,0))</f>
        <v/>
      </c>
      <c r="M17" s="41">
        <f>IF(B17="","",J17-L17)</f>
        <v/>
      </c>
      <c r="N17" s="36" t="inlineStr">
        <is>
          <t>Paid</t>
        </is>
      </c>
      <c r="O17" s="36" t="inlineStr"/>
    </row>
    <row r="18" ht="16" customHeight="1">
      <c r="A18" s="39" t="n">
        <v>46110</v>
      </c>
      <c r="B18" s="36" t="inlineStr">
        <is>
          <t>Smokies Ridge</t>
        </is>
      </c>
      <c r="C18" s="36" t="inlineStr">
        <is>
          <t>Wells D.</t>
        </is>
      </c>
      <c r="D18" s="36" t="inlineStr">
        <is>
          <t>AB-90019</t>
        </is>
      </c>
      <c r="E18" s="36" t="inlineStr">
        <is>
          <t>Airbnb</t>
        </is>
      </c>
      <c r="F18" s="40" t="n">
        <v>1380</v>
      </c>
      <c r="G18" s="40" t="n">
        <v>150</v>
      </c>
      <c r="H18" s="40" t="n">
        <v>207</v>
      </c>
      <c r="I18" s="40" t="n">
        <v>0</v>
      </c>
      <c r="J18" s="41">
        <f>IF(F18="","",F18-IF(IFERROR(VLOOKUP(B18,'Co-Host Agreements'!$A$6:$K$20,7,FALSE),"No")="Yes",G18,0)-IF(IFERROR(VLOOKUP(B18,'Co-Host Agreements'!$A$6:$K$20,8,FALSE),"No")="Yes",H18,0)-N(I18))</f>
        <v/>
      </c>
      <c r="K18" s="42">
        <f>IFERROR(VLOOKUP(B18,'Co-Host Agreements'!$A$6:$K$20,5,FALSE),0)</f>
        <v/>
      </c>
      <c r="L18" s="41">
        <f>IF(B18="","",IFS(IFERROR(VLOOKUP(B18,'Co-Host Agreements'!$A$6:$K$20,4,FALSE),"")="% of NET",J18*K18,IFERROR(VLOOKUP(B18,'Co-Host Agreements'!$A$6:$K$20,4,FALSE),"")="% of GROSS",F18*K18,IFERROR(VLOOKUP(B18,'Co-Host Agreements'!$A$6:$K$20,4,FALSE),"")="Flat per booking",IFERROR(VLOOKUP(B18,'Co-Host Agreements'!$A$6:$K$20,6,FALSE),0),IFERROR(VLOOKUP(B18,'Co-Host Agreements'!$A$6:$K$20,4,FALSE),"")="Hybrid (Flat + % of NET)",IFERROR(VLOOKUP(B18,'Co-Host Agreements'!$A$6:$K$20,6,FALSE),0)+J18*K18,TRUE,0))</f>
        <v/>
      </c>
      <c r="M18" s="41">
        <f>IF(B18="","",J18-L18)</f>
        <v/>
      </c>
      <c r="N18" s="36" t="inlineStr">
        <is>
          <t>Paid</t>
        </is>
      </c>
      <c r="O18" s="36" t="inlineStr"/>
    </row>
    <row r="19" ht="16" customHeight="1">
      <c r="A19" s="39" t="n">
        <v>46117</v>
      </c>
      <c r="B19" s="36" t="inlineStr">
        <is>
          <t>Smokies Ridge</t>
        </is>
      </c>
      <c r="C19" s="36" t="inlineStr">
        <is>
          <t>Indira K.</t>
        </is>
      </c>
      <c r="D19" s="36" t="inlineStr">
        <is>
          <t>AB-90020</t>
        </is>
      </c>
      <c r="E19" s="36" t="inlineStr">
        <is>
          <t>Airbnb</t>
        </is>
      </c>
      <c r="F19" s="40" t="n">
        <v>1740</v>
      </c>
      <c r="G19" s="40" t="n">
        <v>150</v>
      </c>
      <c r="H19" s="40" t="n">
        <v>261</v>
      </c>
      <c r="I19" s="40" t="n">
        <v>0</v>
      </c>
      <c r="J19" s="41">
        <f>IF(F19="","",F19-IF(IFERROR(VLOOKUP(B19,'Co-Host Agreements'!$A$6:$K$20,7,FALSE),"No")="Yes",G19,0)-IF(IFERROR(VLOOKUP(B19,'Co-Host Agreements'!$A$6:$K$20,8,FALSE),"No")="Yes",H19,0)-N(I19))</f>
        <v/>
      </c>
      <c r="K19" s="42">
        <f>IFERROR(VLOOKUP(B19,'Co-Host Agreements'!$A$6:$K$20,5,FALSE),0)</f>
        <v/>
      </c>
      <c r="L19" s="41">
        <f>IF(B19="","",IFS(IFERROR(VLOOKUP(B19,'Co-Host Agreements'!$A$6:$K$20,4,FALSE),"")="% of NET",J19*K19,IFERROR(VLOOKUP(B19,'Co-Host Agreements'!$A$6:$K$20,4,FALSE),"")="% of GROSS",F19*K19,IFERROR(VLOOKUP(B19,'Co-Host Agreements'!$A$6:$K$20,4,FALSE),"")="Flat per booking",IFERROR(VLOOKUP(B19,'Co-Host Agreements'!$A$6:$K$20,6,FALSE),0),IFERROR(VLOOKUP(B19,'Co-Host Agreements'!$A$6:$K$20,4,FALSE),"")="Hybrid (Flat + % of NET)",IFERROR(VLOOKUP(B19,'Co-Host Agreements'!$A$6:$K$20,6,FALSE),0)+J19*K19,TRUE,0))</f>
        <v/>
      </c>
      <c r="M19" s="41">
        <f>IF(B19="","",J19-L19)</f>
        <v/>
      </c>
      <c r="N19" s="36" t="inlineStr">
        <is>
          <t>Paid</t>
        </is>
      </c>
      <c r="O19" s="36" t="inlineStr"/>
    </row>
    <row r="20" ht="16" customHeight="1">
      <c r="A20" s="39" t="n">
        <v>46124</v>
      </c>
      <c r="B20" s="36" t="inlineStr">
        <is>
          <t>Smokies Ridge</t>
        </is>
      </c>
      <c r="C20" s="36" t="inlineStr">
        <is>
          <t>Brennan E.</t>
        </is>
      </c>
      <c r="D20" s="36" t="inlineStr">
        <is>
          <t>AB-90021</t>
        </is>
      </c>
      <c r="E20" s="36" t="inlineStr">
        <is>
          <t>Airbnb</t>
        </is>
      </c>
      <c r="F20" s="40" t="n">
        <v>1480</v>
      </c>
      <c r="G20" s="40" t="n">
        <v>150</v>
      </c>
      <c r="H20" s="40" t="n">
        <v>222</v>
      </c>
      <c r="I20" s="40" t="n">
        <v>0</v>
      </c>
      <c r="J20" s="41">
        <f>IF(F20="","",F20-IF(IFERROR(VLOOKUP(B20,'Co-Host Agreements'!$A$6:$K$20,7,FALSE),"No")="Yes",G20,0)-IF(IFERROR(VLOOKUP(B20,'Co-Host Agreements'!$A$6:$K$20,8,FALSE),"No")="Yes",H20,0)-N(I20))</f>
        <v/>
      </c>
      <c r="K20" s="42">
        <f>IFERROR(VLOOKUP(B20,'Co-Host Agreements'!$A$6:$K$20,5,FALSE),0)</f>
        <v/>
      </c>
      <c r="L20" s="41">
        <f>IF(B20="","",IFS(IFERROR(VLOOKUP(B20,'Co-Host Agreements'!$A$6:$K$20,4,FALSE),"")="% of NET",J20*K20,IFERROR(VLOOKUP(B20,'Co-Host Agreements'!$A$6:$K$20,4,FALSE),"")="% of GROSS",F20*K20,IFERROR(VLOOKUP(B20,'Co-Host Agreements'!$A$6:$K$20,4,FALSE),"")="Flat per booking",IFERROR(VLOOKUP(B20,'Co-Host Agreements'!$A$6:$K$20,6,FALSE),0),IFERROR(VLOOKUP(B20,'Co-Host Agreements'!$A$6:$K$20,4,FALSE),"")="Hybrid (Flat + % of NET)",IFERROR(VLOOKUP(B20,'Co-Host Agreements'!$A$6:$K$20,6,FALSE),0)+J20*K20,TRUE,0))</f>
        <v/>
      </c>
      <c r="M20" s="41">
        <f>IF(B20="","",J20-L20)</f>
        <v/>
      </c>
      <c r="N20" s="36" t="inlineStr">
        <is>
          <t>Paid</t>
        </is>
      </c>
      <c r="O20" s="36" t="inlineStr"/>
    </row>
    <row r="21" ht="16" customHeight="1">
      <c r="A21" s="39" t="n">
        <v>46131</v>
      </c>
      <c r="B21" s="36" t="inlineStr">
        <is>
          <t>Smokies Ridge</t>
        </is>
      </c>
      <c r="C21" s="36" t="inlineStr">
        <is>
          <t>Nadia L.</t>
        </is>
      </c>
      <c r="D21" s="36" t="inlineStr">
        <is>
          <t>VR-50223</t>
        </is>
      </c>
      <c r="E21" s="36" t="inlineStr">
        <is>
          <t>VRBO</t>
        </is>
      </c>
      <c r="F21" s="40" t="n">
        <v>1620</v>
      </c>
      <c r="G21" s="40" t="n">
        <v>150</v>
      </c>
      <c r="H21" s="40" t="n">
        <v>130</v>
      </c>
      <c r="I21" s="40" t="n">
        <v>0</v>
      </c>
      <c r="J21" s="41">
        <f>IF(F21="","",F21-IF(IFERROR(VLOOKUP(B21,'Co-Host Agreements'!$A$6:$K$20,7,FALSE),"No")="Yes",G21,0)-IF(IFERROR(VLOOKUP(B21,'Co-Host Agreements'!$A$6:$K$20,8,FALSE),"No")="Yes",H21,0)-N(I21))</f>
        <v/>
      </c>
      <c r="K21" s="42">
        <f>IFERROR(VLOOKUP(B21,'Co-Host Agreements'!$A$6:$K$20,5,FALSE),0)</f>
        <v/>
      </c>
      <c r="L21" s="41">
        <f>IF(B21="","",IFS(IFERROR(VLOOKUP(B21,'Co-Host Agreements'!$A$6:$K$20,4,FALSE),"")="% of NET",J21*K21,IFERROR(VLOOKUP(B21,'Co-Host Agreements'!$A$6:$K$20,4,FALSE),"")="% of GROSS",F21*K21,IFERROR(VLOOKUP(B21,'Co-Host Agreements'!$A$6:$K$20,4,FALSE),"")="Flat per booking",IFERROR(VLOOKUP(B21,'Co-Host Agreements'!$A$6:$K$20,6,FALSE),0),IFERROR(VLOOKUP(B21,'Co-Host Agreements'!$A$6:$K$20,4,FALSE),"")="Hybrid (Flat + % of NET)",IFERROR(VLOOKUP(B21,'Co-Host Agreements'!$A$6:$K$20,6,FALSE),0)+J21*K21,TRUE,0))</f>
        <v/>
      </c>
      <c r="M21" s="41">
        <f>IF(B21="","",J21-L21)</f>
        <v/>
      </c>
      <c r="N21" s="36" t="inlineStr">
        <is>
          <t>Paid</t>
        </is>
      </c>
      <c r="O21" s="36" t="inlineStr"/>
    </row>
    <row r="22" ht="16" customHeight="1">
      <c r="A22" s="39" t="n">
        <v>46138</v>
      </c>
      <c r="B22" s="36" t="inlineStr">
        <is>
          <t>Smokies Ridge</t>
        </is>
      </c>
      <c r="C22" s="36" t="inlineStr">
        <is>
          <t>Kendall U.</t>
        </is>
      </c>
      <c r="D22" s="36" t="inlineStr">
        <is>
          <t>AB-90022</t>
        </is>
      </c>
      <c r="E22" s="36" t="inlineStr">
        <is>
          <t>Airbnb</t>
        </is>
      </c>
      <c r="F22" s="40" t="n">
        <v>1380</v>
      </c>
      <c r="G22" s="40" t="n">
        <v>150</v>
      </c>
      <c r="H22" s="40" t="n">
        <v>207</v>
      </c>
      <c r="I22" s="40" t="n">
        <v>0</v>
      </c>
      <c r="J22" s="41">
        <f>IF(F22="","",F22-IF(IFERROR(VLOOKUP(B22,'Co-Host Agreements'!$A$6:$K$20,7,FALSE),"No")="Yes",G22,0)-IF(IFERROR(VLOOKUP(B22,'Co-Host Agreements'!$A$6:$K$20,8,FALSE),"No")="Yes",H22,0)-N(I22))</f>
        <v/>
      </c>
      <c r="K22" s="42">
        <f>IFERROR(VLOOKUP(B22,'Co-Host Agreements'!$A$6:$K$20,5,FALSE),0)</f>
        <v/>
      </c>
      <c r="L22" s="41">
        <f>IF(B22="","",IFS(IFERROR(VLOOKUP(B22,'Co-Host Agreements'!$A$6:$K$20,4,FALSE),"")="% of NET",J22*K22,IFERROR(VLOOKUP(B22,'Co-Host Agreements'!$A$6:$K$20,4,FALSE),"")="% of GROSS",F22*K22,IFERROR(VLOOKUP(B22,'Co-Host Agreements'!$A$6:$K$20,4,FALSE),"")="Flat per booking",IFERROR(VLOOKUP(B22,'Co-Host Agreements'!$A$6:$K$20,6,FALSE),0),IFERROR(VLOOKUP(B22,'Co-Host Agreements'!$A$6:$K$20,4,FALSE),"")="Hybrid (Flat + % of NET)",IFERROR(VLOOKUP(B22,'Co-Host Agreements'!$A$6:$K$20,6,FALSE),0)+J22*K22,TRUE,0))</f>
        <v/>
      </c>
      <c r="M22" s="41">
        <f>IF(B22="","",J22-L22)</f>
        <v/>
      </c>
      <c r="N22" s="36" t="inlineStr">
        <is>
          <t>Paid</t>
        </is>
      </c>
      <c r="O22" s="36" t="inlineStr"/>
    </row>
    <row r="23" ht="16" customHeight="1">
      <c r="A23" s="39" t="n">
        <v>46145</v>
      </c>
      <c r="B23" s="36" t="inlineStr">
        <is>
          <t>Smokies Ridge</t>
        </is>
      </c>
      <c r="C23" s="36" t="inlineStr">
        <is>
          <t>Ezra Y.</t>
        </is>
      </c>
      <c r="D23" s="36" t="inlineStr">
        <is>
          <t>AB-90023</t>
        </is>
      </c>
      <c r="E23" s="36" t="inlineStr">
        <is>
          <t>Airbnb</t>
        </is>
      </c>
      <c r="F23" s="40" t="n">
        <v>1480</v>
      </c>
      <c r="G23" s="40" t="n">
        <v>150</v>
      </c>
      <c r="H23" s="40" t="n">
        <v>222</v>
      </c>
      <c r="I23" s="40" t="n">
        <v>0</v>
      </c>
      <c r="J23" s="41">
        <f>IF(F23="","",F23-IF(IFERROR(VLOOKUP(B23,'Co-Host Agreements'!$A$6:$K$20,7,FALSE),"No")="Yes",G23,0)-IF(IFERROR(VLOOKUP(B23,'Co-Host Agreements'!$A$6:$K$20,8,FALSE),"No")="Yes",H23,0)-N(I23))</f>
        <v/>
      </c>
      <c r="K23" s="42">
        <f>IFERROR(VLOOKUP(B23,'Co-Host Agreements'!$A$6:$K$20,5,FALSE),0)</f>
        <v/>
      </c>
      <c r="L23" s="41">
        <f>IF(B23="","",IFS(IFERROR(VLOOKUP(B23,'Co-Host Agreements'!$A$6:$K$20,4,FALSE),"")="% of NET",J23*K23,IFERROR(VLOOKUP(B23,'Co-Host Agreements'!$A$6:$K$20,4,FALSE),"")="% of GROSS",F23*K23,IFERROR(VLOOKUP(B23,'Co-Host Agreements'!$A$6:$K$20,4,FALSE),"")="Flat per booking",IFERROR(VLOOKUP(B23,'Co-Host Agreements'!$A$6:$K$20,6,FALSE),0),IFERROR(VLOOKUP(B23,'Co-Host Agreements'!$A$6:$K$20,4,FALSE),"")="Hybrid (Flat + % of NET)",IFERROR(VLOOKUP(B23,'Co-Host Agreements'!$A$6:$K$20,6,FALSE),0)+J23*K23,TRUE,0))</f>
        <v/>
      </c>
      <c r="M23" s="41">
        <f>IF(B23="","",J23-L23)</f>
        <v/>
      </c>
      <c r="N23" s="36" t="inlineStr">
        <is>
          <t>Pending</t>
        </is>
      </c>
      <c r="O23" s="36" t="inlineStr"/>
    </row>
    <row r="24" ht="16" customHeight="1">
      <c r="A24" s="39" t="n">
        <v>46152</v>
      </c>
      <c r="B24" s="36" t="inlineStr">
        <is>
          <t>Smokies Ridge</t>
        </is>
      </c>
      <c r="C24" s="36" t="inlineStr">
        <is>
          <t>Saoirse C.</t>
        </is>
      </c>
      <c r="D24" s="36" t="inlineStr">
        <is>
          <t>AB-90024</t>
        </is>
      </c>
      <c r="E24" s="36" t="inlineStr">
        <is>
          <t>Airbnb</t>
        </is>
      </c>
      <c r="F24" s="40" t="n">
        <v>1620</v>
      </c>
      <c r="G24" s="40" t="n">
        <v>150</v>
      </c>
      <c r="H24" s="40" t="n">
        <v>243</v>
      </c>
      <c r="I24" s="40" t="n">
        <v>0</v>
      </c>
      <c r="J24" s="41">
        <f>IF(F24="","",F24-IF(IFERROR(VLOOKUP(B24,'Co-Host Agreements'!$A$6:$K$20,7,FALSE),"No")="Yes",G24,0)-IF(IFERROR(VLOOKUP(B24,'Co-Host Agreements'!$A$6:$K$20,8,FALSE),"No")="Yes",H24,0)-N(I24))</f>
        <v/>
      </c>
      <c r="K24" s="42">
        <f>IFERROR(VLOOKUP(B24,'Co-Host Agreements'!$A$6:$K$20,5,FALSE),0)</f>
        <v/>
      </c>
      <c r="L24" s="41">
        <f>IF(B24="","",IFS(IFERROR(VLOOKUP(B24,'Co-Host Agreements'!$A$6:$K$20,4,FALSE),"")="% of NET",J24*K24,IFERROR(VLOOKUP(B24,'Co-Host Agreements'!$A$6:$K$20,4,FALSE),"")="% of GROSS",F24*K24,IFERROR(VLOOKUP(B24,'Co-Host Agreements'!$A$6:$K$20,4,FALSE),"")="Flat per booking",IFERROR(VLOOKUP(B24,'Co-Host Agreements'!$A$6:$K$20,6,FALSE),0),IFERROR(VLOOKUP(B24,'Co-Host Agreements'!$A$6:$K$20,4,FALSE),"")="Hybrid (Flat + % of NET)",IFERROR(VLOOKUP(B24,'Co-Host Agreements'!$A$6:$K$20,6,FALSE),0)+J24*K24,TRUE,0))</f>
        <v/>
      </c>
      <c r="M24" s="41">
        <f>IF(B24="","",J24-L24)</f>
        <v/>
      </c>
      <c r="N24" s="36" t="inlineStr">
        <is>
          <t>Pending</t>
        </is>
      </c>
      <c r="O24" s="36" t="inlineStr"/>
    </row>
    <row r="25" ht="16" customHeight="1">
      <c r="A25" s="39" t="n">
        <v>46159</v>
      </c>
      <c r="B25" s="36" t="inlineStr">
        <is>
          <t>Smokies Ridge</t>
        </is>
      </c>
      <c r="C25" s="36" t="inlineStr">
        <is>
          <t>Jude T.</t>
        </is>
      </c>
      <c r="D25" s="36" t="inlineStr">
        <is>
          <t>AB-90025</t>
        </is>
      </c>
      <c r="E25" s="36" t="inlineStr">
        <is>
          <t>Airbnb</t>
        </is>
      </c>
      <c r="F25" s="40" t="n">
        <v>1480</v>
      </c>
      <c r="G25" s="40" t="n">
        <v>150</v>
      </c>
      <c r="H25" s="40" t="n">
        <v>222</v>
      </c>
      <c r="I25" s="40" t="n">
        <v>0</v>
      </c>
      <c r="J25" s="41">
        <f>IF(F25="","",F25-IF(IFERROR(VLOOKUP(B25,'Co-Host Agreements'!$A$6:$K$20,7,FALSE),"No")="Yes",G25,0)-IF(IFERROR(VLOOKUP(B25,'Co-Host Agreements'!$A$6:$K$20,8,FALSE),"No")="Yes",H25,0)-N(I25))</f>
        <v/>
      </c>
      <c r="K25" s="42">
        <f>IFERROR(VLOOKUP(B25,'Co-Host Agreements'!$A$6:$K$20,5,FALSE),0)</f>
        <v/>
      </c>
      <c r="L25" s="41">
        <f>IF(B25="","",IFS(IFERROR(VLOOKUP(B25,'Co-Host Agreements'!$A$6:$K$20,4,FALSE),"")="% of NET",J25*K25,IFERROR(VLOOKUP(B25,'Co-Host Agreements'!$A$6:$K$20,4,FALSE),"")="% of GROSS",F25*K25,IFERROR(VLOOKUP(B25,'Co-Host Agreements'!$A$6:$K$20,4,FALSE),"")="Flat per booking",IFERROR(VLOOKUP(B25,'Co-Host Agreements'!$A$6:$K$20,6,FALSE),0),IFERROR(VLOOKUP(B25,'Co-Host Agreements'!$A$6:$K$20,4,FALSE),"")="Hybrid (Flat + % of NET)",IFERROR(VLOOKUP(B25,'Co-Host Agreements'!$A$6:$K$20,6,FALSE),0)+J25*K25,TRUE,0))</f>
        <v/>
      </c>
      <c r="M25" s="41">
        <f>IF(B25="","",J25-L25)</f>
        <v/>
      </c>
      <c r="N25" s="36" t="inlineStr">
        <is>
          <t>Pending</t>
        </is>
      </c>
      <c r="O25" s="36" t="inlineStr"/>
    </row>
    <row r="26" ht="16" customHeight="1">
      <c r="A26" s="39" t="n">
        <v>46166</v>
      </c>
      <c r="B26" s="36" t="inlineStr">
        <is>
          <t>Smokies Ridge</t>
        </is>
      </c>
      <c r="C26" s="36" t="inlineStr">
        <is>
          <t>Annika W.</t>
        </is>
      </c>
      <c r="D26" s="36" t="inlineStr">
        <is>
          <t>DR-00033</t>
        </is>
      </c>
      <c r="E26" s="36" t="inlineStr">
        <is>
          <t>Direct</t>
        </is>
      </c>
      <c r="F26" s="40" t="n">
        <v>1640</v>
      </c>
      <c r="G26" s="40" t="n">
        <v>150</v>
      </c>
      <c r="H26" s="40" t="n">
        <v>0</v>
      </c>
      <c r="I26" s="40" t="n">
        <v>0</v>
      </c>
      <c r="J26" s="41">
        <f>IF(F26="","",F26-IF(IFERROR(VLOOKUP(B26,'Co-Host Agreements'!$A$6:$K$20,7,FALSE),"No")="Yes",G26,0)-IF(IFERROR(VLOOKUP(B26,'Co-Host Agreements'!$A$6:$K$20,8,FALSE),"No")="Yes",H26,0)-N(I26))</f>
        <v/>
      </c>
      <c r="K26" s="42">
        <f>IFERROR(VLOOKUP(B26,'Co-Host Agreements'!$A$6:$K$20,5,FALSE),0)</f>
        <v/>
      </c>
      <c r="L26" s="41">
        <f>IF(B26="","",IFS(IFERROR(VLOOKUP(B26,'Co-Host Agreements'!$A$6:$K$20,4,FALSE),"")="% of NET",J26*K26,IFERROR(VLOOKUP(B26,'Co-Host Agreements'!$A$6:$K$20,4,FALSE),"")="% of GROSS",F26*K26,IFERROR(VLOOKUP(B26,'Co-Host Agreements'!$A$6:$K$20,4,FALSE),"")="Flat per booking",IFERROR(VLOOKUP(B26,'Co-Host Agreements'!$A$6:$K$20,6,FALSE),0),IFERROR(VLOOKUP(B26,'Co-Host Agreements'!$A$6:$K$20,4,FALSE),"")="Hybrid (Flat + % of NET)",IFERROR(VLOOKUP(B26,'Co-Host Agreements'!$A$6:$K$20,6,FALSE),0)+J26*K26,TRUE,0))</f>
        <v/>
      </c>
      <c r="M26" s="41">
        <f>IF(B26="","",J26-L26)</f>
        <v/>
      </c>
      <c r="N26" s="36" t="inlineStr">
        <is>
          <t>Pending</t>
        </is>
      </c>
      <c r="O26" s="36" t="inlineStr"/>
    </row>
    <row r="27" ht="16" customHeight="1">
      <c r="A27" s="39" t="n">
        <v>46173</v>
      </c>
      <c r="B27" s="36" t="inlineStr">
        <is>
          <t>Smokies Ridge</t>
        </is>
      </c>
      <c r="C27" s="36" t="inlineStr">
        <is>
          <t>Felipe O.</t>
        </is>
      </c>
      <c r="D27" s="36" t="inlineStr">
        <is>
          <t>AB-90026</t>
        </is>
      </c>
      <c r="E27" s="36" t="inlineStr">
        <is>
          <t>Airbnb</t>
        </is>
      </c>
      <c r="F27" s="40" t="n">
        <v>1380</v>
      </c>
      <c r="G27" s="40" t="n">
        <v>150</v>
      </c>
      <c r="H27" s="40" t="n">
        <v>207</v>
      </c>
      <c r="I27" s="40" t="n">
        <v>0</v>
      </c>
      <c r="J27" s="41">
        <f>IF(F27="","",F27-IF(IFERROR(VLOOKUP(B27,'Co-Host Agreements'!$A$6:$K$20,7,FALSE),"No")="Yes",G27,0)-IF(IFERROR(VLOOKUP(B27,'Co-Host Agreements'!$A$6:$K$20,8,FALSE),"No")="Yes",H27,0)-N(I27))</f>
        <v/>
      </c>
      <c r="K27" s="42">
        <f>IFERROR(VLOOKUP(B27,'Co-Host Agreements'!$A$6:$K$20,5,FALSE),0)</f>
        <v/>
      </c>
      <c r="L27" s="41">
        <f>IF(B27="","",IFS(IFERROR(VLOOKUP(B27,'Co-Host Agreements'!$A$6:$K$20,4,FALSE),"")="% of NET",J27*K27,IFERROR(VLOOKUP(B27,'Co-Host Agreements'!$A$6:$K$20,4,FALSE),"")="% of GROSS",F27*K27,IFERROR(VLOOKUP(B27,'Co-Host Agreements'!$A$6:$K$20,4,FALSE),"")="Flat per booking",IFERROR(VLOOKUP(B27,'Co-Host Agreements'!$A$6:$K$20,6,FALSE),0),IFERROR(VLOOKUP(B27,'Co-Host Agreements'!$A$6:$K$20,4,FALSE),"")="Hybrid (Flat + % of NET)",IFERROR(VLOOKUP(B27,'Co-Host Agreements'!$A$6:$K$20,6,FALSE),0)+J27*K27,TRUE,0))</f>
        <v/>
      </c>
      <c r="M27" s="41">
        <f>IF(B27="","",J27-L27)</f>
        <v/>
      </c>
      <c r="N27" s="36" t="inlineStr">
        <is>
          <t>Pending</t>
        </is>
      </c>
      <c r="O27" s="36" t="inlineStr"/>
    </row>
    <row r="28" ht="16" customHeight="1">
      <c r="A28" s="39" t="n">
        <v>46180</v>
      </c>
      <c r="B28" s="36" t="inlineStr">
        <is>
          <t>Smokies Ridge</t>
        </is>
      </c>
      <c r="C28" s="36" t="inlineStr">
        <is>
          <t>Jordan P.</t>
        </is>
      </c>
      <c r="D28" s="36" t="inlineStr">
        <is>
          <t>AB-90027</t>
        </is>
      </c>
      <c r="E28" s="36" t="inlineStr">
        <is>
          <t>Airbnb</t>
        </is>
      </c>
      <c r="F28" s="40" t="n">
        <v>1480</v>
      </c>
      <c r="G28" s="40" t="n">
        <v>150</v>
      </c>
      <c r="H28" s="40" t="n">
        <v>222</v>
      </c>
      <c r="I28" s="40" t="n">
        <v>0</v>
      </c>
      <c r="J28" s="41">
        <f>IF(F28="","",F28-IF(IFERROR(VLOOKUP(B28,'Co-Host Agreements'!$A$6:$K$20,7,FALSE),"No")="Yes",G28,0)-IF(IFERROR(VLOOKUP(B28,'Co-Host Agreements'!$A$6:$K$20,8,FALSE),"No")="Yes",H28,0)-N(I28))</f>
        <v/>
      </c>
      <c r="K28" s="42">
        <f>IFERROR(VLOOKUP(B28,'Co-Host Agreements'!$A$6:$K$20,5,FALSE),0)</f>
        <v/>
      </c>
      <c r="L28" s="41">
        <f>IF(B28="","",IFS(IFERROR(VLOOKUP(B28,'Co-Host Agreements'!$A$6:$K$20,4,FALSE),"")="% of NET",J28*K28,IFERROR(VLOOKUP(B28,'Co-Host Agreements'!$A$6:$K$20,4,FALSE),"")="% of GROSS",F28*K28,IFERROR(VLOOKUP(B28,'Co-Host Agreements'!$A$6:$K$20,4,FALSE),"")="Flat per booking",IFERROR(VLOOKUP(B28,'Co-Host Agreements'!$A$6:$K$20,6,FALSE),0),IFERROR(VLOOKUP(B28,'Co-Host Agreements'!$A$6:$K$20,4,FALSE),"")="Hybrid (Flat + % of NET)",IFERROR(VLOOKUP(B28,'Co-Host Agreements'!$A$6:$K$20,6,FALSE),0)+J28*K28,TRUE,0))</f>
        <v/>
      </c>
      <c r="M28" s="41">
        <f>IF(B28="","",J28-L28)</f>
        <v/>
      </c>
      <c r="N28" s="36" t="inlineStr">
        <is>
          <t>Pending</t>
        </is>
      </c>
      <c r="O28" s="36" t="inlineStr"/>
    </row>
    <row r="29" ht="16" customHeight="1">
      <c r="A29" s="39" t="n">
        <v>46187</v>
      </c>
      <c r="B29" s="36" t="inlineStr">
        <is>
          <t>Smokies Ridge</t>
        </is>
      </c>
      <c r="C29" s="36" t="inlineStr">
        <is>
          <t>Bryn N.</t>
        </is>
      </c>
      <c r="D29" s="36" t="inlineStr">
        <is>
          <t>AB-90028</t>
        </is>
      </c>
      <c r="E29" s="36" t="inlineStr">
        <is>
          <t>Airbnb</t>
        </is>
      </c>
      <c r="F29" s="40" t="n">
        <v>1540</v>
      </c>
      <c r="G29" s="40" t="n">
        <v>150</v>
      </c>
      <c r="H29" s="40" t="n">
        <v>231</v>
      </c>
      <c r="I29" s="40" t="n">
        <v>0</v>
      </c>
      <c r="J29" s="41">
        <f>IF(F29="","",F29-IF(IFERROR(VLOOKUP(B29,'Co-Host Agreements'!$A$6:$K$20,7,FALSE),"No")="Yes",G29,0)-IF(IFERROR(VLOOKUP(B29,'Co-Host Agreements'!$A$6:$K$20,8,FALSE),"No")="Yes",H29,0)-N(I29))</f>
        <v/>
      </c>
      <c r="K29" s="42">
        <f>IFERROR(VLOOKUP(B29,'Co-Host Agreements'!$A$6:$K$20,5,FALSE),0)</f>
        <v/>
      </c>
      <c r="L29" s="41">
        <f>IF(B29="","",IFS(IFERROR(VLOOKUP(B29,'Co-Host Agreements'!$A$6:$K$20,4,FALSE),"")="% of NET",J29*K29,IFERROR(VLOOKUP(B29,'Co-Host Agreements'!$A$6:$K$20,4,FALSE),"")="% of GROSS",F29*K29,IFERROR(VLOOKUP(B29,'Co-Host Agreements'!$A$6:$K$20,4,FALSE),"")="Flat per booking",IFERROR(VLOOKUP(B29,'Co-Host Agreements'!$A$6:$K$20,6,FALSE),0),IFERROR(VLOOKUP(B29,'Co-Host Agreements'!$A$6:$K$20,4,FALSE),"")="Hybrid (Flat + % of NET)",IFERROR(VLOOKUP(B29,'Co-Host Agreements'!$A$6:$K$20,6,FALSE),0)+J29*K29,TRUE,0))</f>
        <v/>
      </c>
      <c r="M29" s="41">
        <f>IF(B29="","",J29-L29)</f>
        <v/>
      </c>
      <c r="N29" s="36" t="inlineStr">
        <is>
          <t>Pending</t>
        </is>
      </c>
      <c r="O29" s="36" t="inlineStr"/>
    </row>
    <row r="30" ht="16" customHeight="1">
      <c r="A30" s="39" t="n">
        <v>46194</v>
      </c>
      <c r="B30" s="36" t="inlineStr">
        <is>
          <t>Smokies Ridge</t>
        </is>
      </c>
      <c r="C30" s="36" t="inlineStr">
        <is>
          <t>Mira K.</t>
        </is>
      </c>
      <c r="D30" s="36" t="inlineStr">
        <is>
          <t>VR-50224</t>
        </is>
      </c>
      <c r="E30" s="36" t="inlineStr">
        <is>
          <t>VRBO</t>
        </is>
      </c>
      <c r="F30" s="40" t="n">
        <v>1620</v>
      </c>
      <c r="G30" s="40" t="n">
        <v>150</v>
      </c>
      <c r="H30" s="40" t="n">
        <v>130</v>
      </c>
      <c r="I30" s="40" t="n">
        <v>0</v>
      </c>
      <c r="J30" s="41">
        <f>IF(F30="","",F30-IF(IFERROR(VLOOKUP(B30,'Co-Host Agreements'!$A$6:$K$20,7,FALSE),"No")="Yes",G30,0)-IF(IFERROR(VLOOKUP(B30,'Co-Host Agreements'!$A$6:$K$20,8,FALSE),"No")="Yes",H30,0)-N(I30))</f>
        <v/>
      </c>
      <c r="K30" s="42">
        <f>IFERROR(VLOOKUP(B30,'Co-Host Agreements'!$A$6:$K$20,5,FALSE),0)</f>
        <v/>
      </c>
      <c r="L30" s="41">
        <f>IF(B30="","",IFS(IFERROR(VLOOKUP(B30,'Co-Host Agreements'!$A$6:$K$20,4,FALSE),"")="% of NET",J30*K30,IFERROR(VLOOKUP(B30,'Co-Host Agreements'!$A$6:$K$20,4,FALSE),"")="% of GROSS",F30*K30,IFERROR(VLOOKUP(B30,'Co-Host Agreements'!$A$6:$K$20,4,FALSE),"")="Flat per booking",IFERROR(VLOOKUP(B30,'Co-Host Agreements'!$A$6:$K$20,6,FALSE),0),IFERROR(VLOOKUP(B30,'Co-Host Agreements'!$A$6:$K$20,4,FALSE),"")="Hybrid (Flat + % of NET)",IFERROR(VLOOKUP(B30,'Co-Host Agreements'!$A$6:$K$20,6,FALSE),0)+J30*K30,TRUE,0))</f>
        <v/>
      </c>
      <c r="M30" s="41">
        <f>IF(B30="","",J30-L30)</f>
        <v/>
      </c>
      <c r="N30" s="36" t="inlineStr">
        <is>
          <t>Pending</t>
        </is>
      </c>
      <c r="O30" s="36" t="inlineStr"/>
    </row>
    <row r="31" ht="16" customHeight="1">
      <c r="A31" s="39" t="n">
        <v>46201</v>
      </c>
      <c r="B31" s="36" t="inlineStr">
        <is>
          <t>Smokies Ridge</t>
        </is>
      </c>
      <c r="C31" s="36" t="inlineStr">
        <is>
          <t>Roy T.</t>
        </is>
      </c>
      <c r="D31" s="36" t="inlineStr">
        <is>
          <t>AB-90029</t>
        </is>
      </c>
      <c r="E31" s="36" t="inlineStr">
        <is>
          <t>Airbnb</t>
        </is>
      </c>
      <c r="F31" s="40" t="n">
        <v>1480</v>
      </c>
      <c r="G31" s="40" t="n">
        <v>150</v>
      </c>
      <c r="H31" s="40" t="n">
        <v>222</v>
      </c>
      <c r="I31" s="40" t="n">
        <v>0</v>
      </c>
      <c r="J31" s="41">
        <f>IF(F31="","",F31-IF(IFERROR(VLOOKUP(B31,'Co-Host Agreements'!$A$6:$K$20,7,FALSE),"No")="Yes",G31,0)-IF(IFERROR(VLOOKUP(B31,'Co-Host Agreements'!$A$6:$K$20,8,FALSE),"No")="Yes",H31,0)-N(I31))</f>
        <v/>
      </c>
      <c r="K31" s="42">
        <f>IFERROR(VLOOKUP(B31,'Co-Host Agreements'!$A$6:$K$20,5,FALSE),0)</f>
        <v/>
      </c>
      <c r="L31" s="41">
        <f>IF(B31="","",IFS(IFERROR(VLOOKUP(B31,'Co-Host Agreements'!$A$6:$K$20,4,FALSE),"")="% of NET",J31*K31,IFERROR(VLOOKUP(B31,'Co-Host Agreements'!$A$6:$K$20,4,FALSE),"")="% of GROSS",F31*K31,IFERROR(VLOOKUP(B31,'Co-Host Agreements'!$A$6:$K$20,4,FALSE),"")="Flat per booking",IFERROR(VLOOKUP(B31,'Co-Host Agreements'!$A$6:$K$20,6,FALSE),0),IFERROR(VLOOKUP(B31,'Co-Host Agreements'!$A$6:$K$20,4,FALSE),"")="Hybrid (Flat + % of NET)",IFERROR(VLOOKUP(B31,'Co-Host Agreements'!$A$6:$K$20,6,FALSE),0)+J31*K31,TRUE,0))</f>
        <v/>
      </c>
      <c r="M31" s="41">
        <f>IF(B31="","",J31-L31)</f>
        <v/>
      </c>
      <c r="N31" s="36" t="inlineStr">
        <is>
          <t>Pending</t>
        </is>
      </c>
      <c r="O31" s="36" t="inlineStr"/>
    </row>
    <row r="32" ht="16" customHeight="1">
      <c r="A32" s="39" t="n">
        <v>46208</v>
      </c>
      <c r="B32" s="36" t="inlineStr">
        <is>
          <t>Smokies Ridge</t>
        </is>
      </c>
      <c r="C32" s="36" t="inlineStr">
        <is>
          <t>Quincy J.</t>
        </is>
      </c>
      <c r="D32" s="36" t="inlineStr">
        <is>
          <t>AB-90030</t>
        </is>
      </c>
      <c r="E32" s="36" t="inlineStr">
        <is>
          <t>Airbnb</t>
        </is>
      </c>
      <c r="F32" s="40" t="n">
        <v>1620</v>
      </c>
      <c r="G32" s="40" t="n">
        <v>150</v>
      </c>
      <c r="H32" s="40" t="n">
        <v>243</v>
      </c>
      <c r="I32" s="40" t="n">
        <v>0</v>
      </c>
      <c r="J32" s="41">
        <f>IF(F32="","",F32-IF(IFERROR(VLOOKUP(B32,'Co-Host Agreements'!$A$6:$K$20,7,FALSE),"No")="Yes",G32,0)-IF(IFERROR(VLOOKUP(B32,'Co-Host Agreements'!$A$6:$K$20,8,FALSE),"No")="Yes",H32,0)-N(I32))</f>
        <v/>
      </c>
      <c r="K32" s="42">
        <f>IFERROR(VLOOKUP(B32,'Co-Host Agreements'!$A$6:$K$20,5,FALSE),0)</f>
        <v/>
      </c>
      <c r="L32" s="41">
        <f>IF(B32="","",IFS(IFERROR(VLOOKUP(B32,'Co-Host Agreements'!$A$6:$K$20,4,FALSE),"")="% of NET",J32*K32,IFERROR(VLOOKUP(B32,'Co-Host Agreements'!$A$6:$K$20,4,FALSE),"")="% of GROSS",F32*K32,IFERROR(VLOOKUP(B32,'Co-Host Agreements'!$A$6:$K$20,4,FALSE),"")="Flat per booking",IFERROR(VLOOKUP(B32,'Co-Host Agreements'!$A$6:$K$20,6,FALSE),0),IFERROR(VLOOKUP(B32,'Co-Host Agreements'!$A$6:$K$20,4,FALSE),"")="Hybrid (Flat + % of NET)",IFERROR(VLOOKUP(B32,'Co-Host Agreements'!$A$6:$K$20,6,FALSE),0)+J32*K32,TRUE,0))</f>
        <v/>
      </c>
      <c r="M32" s="41">
        <f>IF(B32="","",J32-L32)</f>
        <v/>
      </c>
      <c r="N32" s="36" t="inlineStr">
        <is>
          <t>Pending</t>
        </is>
      </c>
      <c r="O32" s="36" t="inlineStr"/>
    </row>
    <row r="33" ht="16" customHeight="1">
      <c r="A33" s="39" t="n">
        <v>46215</v>
      </c>
      <c r="B33" s="36" t="inlineStr">
        <is>
          <t>Smokies Ridge</t>
        </is>
      </c>
      <c r="C33" s="36" t="inlineStr">
        <is>
          <t>Patrice C.</t>
        </is>
      </c>
      <c r="D33" s="36" t="inlineStr">
        <is>
          <t>AB-90031</t>
        </is>
      </c>
      <c r="E33" s="36" t="inlineStr">
        <is>
          <t>Airbnb</t>
        </is>
      </c>
      <c r="F33" s="40" t="n">
        <v>1480</v>
      </c>
      <c r="G33" s="40" t="n">
        <v>150</v>
      </c>
      <c r="H33" s="40" t="n">
        <v>222</v>
      </c>
      <c r="I33" s="40" t="n">
        <v>0</v>
      </c>
      <c r="J33" s="41">
        <f>IF(F33="","",F33-IF(IFERROR(VLOOKUP(B33,'Co-Host Agreements'!$A$6:$K$20,7,FALSE),"No")="Yes",G33,0)-IF(IFERROR(VLOOKUP(B33,'Co-Host Agreements'!$A$6:$K$20,8,FALSE),"No")="Yes",H33,0)-N(I33))</f>
        <v/>
      </c>
      <c r="K33" s="42">
        <f>IFERROR(VLOOKUP(B33,'Co-Host Agreements'!$A$6:$K$20,5,FALSE),0)</f>
        <v/>
      </c>
      <c r="L33" s="41">
        <f>IF(B33="","",IFS(IFERROR(VLOOKUP(B33,'Co-Host Agreements'!$A$6:$K$20,4,FALSE),"")="% of NET",J33*K33,IFERROR(VLOOKUP(B33,'Co-Host Agreements'!$A$6:$K$20,4,FALSE),"")="% of GROSS",F33*K33,IFERROR(VLOOKUP(B33,'Co-Host Agreements'!$A$6:$K$20,4,FALSE),"")="Flat per booking",IFERROR(VLOOKUP(B33,'Co-Host Agreements'!$A$6:$K$20,6,FALSE),0),IFERROR(VLOOKUP(B33,'Co-Host Agreements'!$A$6:$K$20,4,FALSE),"")="Hybrid (Flat + % of NET)",IFERROR(VLOOKUP(B33,'Co-Host Agreements'!$A$6:$K$20,6,FALSE),0)+J33*K33,TRUE,0))</f>
        <v/>
      </c>
      <c r="M33" s="41">
        <f>IF(B33="","",J33-L33)</f>
        <v/>
      </c>
      <c r="N33" s="36" t="inlineStr">
        <is>
          <t>Pending</t>
        </is>
      </c>
      <c r="O33" s="36" t="inlineStr"/>
    </row>
    <row r="34" ht="16" customHeight="1">
      <c r="A34" s="39" t="n">
        <v>46222</v>
      </c>
      <c r="B34" s="36" t="inlineStr">
        <is>
          <t>Smokies Ridge</t>
        </is>
      </c>
      <c r="C34" s="36" t="inlineStr">
        <is>
          <t>Indigo S.</t>
        </is>
      </c>
      <c r="D34" s="36" t="inlineStr">
        <is>
          <t>AB-90032</t>
        </is>
      </c>
      <c r="E34" s="36" t="inlineStr">
        <is>
          <t>Airbnb</t>
        </is>
      </c>
      <c r="F34" s="40" t="n">
        <v>1380</v>
      </c>
      <c r="G34" s="40" t="n">
        <v>150</v>
      </c>
      <c r="H34" s="40" t="n">
        <v>207</v>
      </c>
      <c r="I34" s="40" t="n">
        <v>0</v>
      </c>
      <c r="J34" s="41">
        <f>IF(F34="","",F34-IF(IFERROR(VLOOKUP(B34,'Co-Host Agreements'!$A$6:$K$20,7,FALSE),"No")="Yes",G34,0)-IF(IFERROR(VLOOKUP(B34,'Co-Host Agreements'!$A$6:$K$20,8,FALSE),"No")="Yes",H34,0)-N(I34))</f>
        <v/>
      </c>
      <c r="K34" s="42">
        <f>IFERROR(VLOOKUP(B34,'Co-Host Agreements'!$A$6:$K$20,5,FALSE),0)</f>
        <v/>
      </c>
      <c r="L34" s="41">
        <f>IF(B34="","",IFS(IFERROR(VLOOKUP(B34,'Co-Host Agreements'!$A$6:$K$20,4,FALSE),"")="% of NET",J34*K34,IFERROR(VLOOKUP(B34,'Co-Host Agreements'!$A$6:$K$20,4,FALSE),"")="% of GROSS",F34*K34,IFERROR(VLOOKUP(B34,'Co-Host Agreements'!$A$6:$K$20,4,FALSE),"")="Flat per booking",IFERROR(VLOOKUP(B34,'Co-Host Agreements'!$A$6:$K$20,6,FALSE),0),IFERROR(VLOOKUP(B34,'Co-Host Agreements'!$A$6:$K$20,4,FALSE),"")="Hybrid (Flat + % of NET)",IFERROR(VLOOKUP(B34,'Co-Host Agreements'!$A$6:$K$20,6,FALSE),0)+J34*K34,TRUE,0))</f>
        <v/>
      </c>
      <c r="M34" s="41">
        <f>IF(B34="","",J34-L34)</f>
        <v/>
      </c>
      <c r="N34" s="36" t="inlineStr">
        <is>
          <t>Pending</t>
        </is>
      </c>
      <c r="O34" s="36" t="inlineStr"/>
    </row>
    <row r="35" ht="16" customHeight="1">
      <c r="A35" s="39" t="n">
        <v>46229</v>
      </c>
      <c r="B35" s="36" t="inlineStr">
        <is>
          <t>Smokies Ridge</t>
        </is>
      </c>
      <c r="C35" s="36" t="inlineStr">
        <is>
          <t>Avi M.</t>
        </is>
      </c>
      <c r="D35" s="36" t="inlineStr">
        <is>
          <t>AB-90033</t>
        </is>
      </c>
      <c r="E35" s="36" t="inlineStr">
        <is>
          <t>Airbnb</t>
        </is>
      </c>
      <c r="F35" s="40" t="n">
        <v>1320</v>
      </c>
      <c r="G35" s="40" t="n">
        <v>150</v>
      </c>
      <c r="H35" s="40" t="n">
        <v>198</v>
      </c>
      <c r="I35" s="40" t="n">
        <v>0</v>
      </c>
      <c r="J35" s="41">
        <f>IF(F35="","",F35-IF(IFERROR(VLOOKUP(B35,'Co-Host Agreements'!$A$6:$K$20,7,FALSE),"No")="Yes",G35,0)-IF(IFERROR(VLOOKUP(B35,'Co-Host Agreements'!$A$6:$K$20,8,FALSE),"No")="Yes",H35,0)-N(I35))</f>
        <v/>
      </c>
      <c r="K35" s="42">
        <f>IFERROR(VLOOKUP(B35,'Co-Host Agreements'!$A$6:$K$20,5,FALSE),0)</f>
        <v/>
      </c>
      <c r="L35" s="41">
        <f>IF(B35="","",IFS(IFERROR(VLOOKUP(B35,'Co-Host Agreements'!$A$6:$K$20,4,FALSE),"")="% of NET",J35*K35,IFERROR(VLOOKUP(B35,'Co-Host Agreements'!$A$6:$K$20,4,FALSE),"")="% of GROSS",F35*K35,IFERROR(VLOOKUP(B35,'Co-Host Agreements'!$A$6:$K$20,4,FALSE),"")="Flat per booking",IFERROR(VLOOKUP(B35,'Co-Host Agreements'!$A$6:$K$20,6,FALSE),0),IFERROR(VLOOKUP(B35,'Co-Host Agreements'!$A$6:$K$20,4,FALSE),"")="Hybrid (Flat + % of NET)",IFERROR(VLOOKUP(B35,'Co-Host Agreements'!$A$6:$K$20,6,FALSE),0)+J35*K35,TRUE,0))</f>
        <v/>
      </c>
      <c r="M35" s="41">
        <f>IF(B35="","",J35-L35)</f>
        <v/>
      </c>
      <c r="N35" s="36" t="inlineStr">
        <is>
          <t>Pending</t>
        </is>
      </c>
      <c r="O35" s="36" t="inlineStr"/>
    </row>
    <row r="36" ht="16" customHeight="1">
      <c r="A36" s="39" t="n">
        <v>46236</v>
      </c>
      <c r="B36" s="36" t="inlineStr">
        <is>
          <t>Smokies Ridge</t>
        </is>
      </c>
      <c r="C36" s="36" t="inlineStr">
        <is>
          <t>Pia W.</t>
        </is>
      </c>
      <c r="D36" s="36" t="inlineStr">
        <is>
          <t>VR-50225</t>
        </is>
      </c>
      <c r="E36" s="36" t="inlineStr">
        <is>
          <t>VRBO</t>
        </is>
      </c>
      <c r="F36" s="40" t="n">
        <v>1480</v>
      </c>
      <c r="G36" s="40" t="n">
        <v>150</v>
      </c>
      <c r="H36" s="40" t="n">
        <v>118</v>
      </c>
      <c r="I36" s="40" t="n">
        <v>0</v>
      </c>
      <c r="J36" s="41">
        <f>IF(F36="","",F36-IF(IFERROR(VLOOKUP(B36,'Co-Host Agreements'!$A$6:$K$20,7,FALSE),"No")="Yes",G36,0)-IF(IFERROR(VLOOKUP(B36,'Co-Host Agreements'!$A$6:$K$20,8,FALSE),"No")="Yes",H36,0)-N(I36))</f>
        <v/>
      </c>
      <c r="K36" s="42">
        <f>IFERROR(VLOOKUP(B36,'Co-Host Agreements'!$A$6:$K$20,5,FALSE),0)</f>
        <v/>
      </c>
      <c r="L36" s="41">
        <f>IF(B36="","",IFS(IFERROR(VLOOKUP(B36,'Co-Host Agreements'!$A$6:$K$20,4,FALSE),"")="% of NET",J36*K36,IFERROR(VLOOKUP(B36,'Co-Host Agreements'!$A$6:$K$20,4,FALSE),"")="% of GROSS",F36*K36,IFERROR(VLOOKUP(B36,'Co-Host Agreements'!$A$6:$K$20,4,FALSE),"")="Flat per booking",IFERROR(VLOOKUP(B36,'Co-Host Agreements'!$A$6:$K$20,6,FALSE),0),IFERROR(VLOOKUP(B36,'Co-Host Agreements'!$A$6:$K$20,4,FALSE),"")="Hybrid (Flat + % of NET)",IFERROR(VLOOKUP(B36,'Co-Host Agreements'!$A$6:$K$20,6,FALSE),0)+J36*K36,TRUE,0))</f>
        <v/>
      </c>
      <c r="M36" s="41">
        <f>IF(B36="","",J36-L36)</f>
        <v/>
      </c>
      <c r="N36" s="36" t="inlineStr">
        <is>
          <t>Pending</t>
        </is>
      </c>
      <c r="O36" s="36" t="inlineStr"/>
    </row>
    <row r="37" ht="16" customHeight="1">
      <c r="A37" s="39" t="n">
        <v>46243</v>
      </c>
      <c r="B37" s="36" t="inlineStr">
        <is>
          <t>Smokies Ridge</t>
        </is>
      </c>
      <c r="C37" s="36" t="inlineStr">
        <is>
          <t>Halle J.</t>
        </is>
      </c>
      <c r="D37" s="36" t="inlineStr">
        <is>
          <t>AB-90034</t>
        </is>
      </c>
      <c r="E37" s="36" t="inlineStr">
        <is>
          <t>Airbnb</t>
        </is>
      </c>
      <c r="F37" s="40" t="n">
        <v>1340</v>
      </c>
      <c r="G37" s="40" t="n">
        <v>150</v>
      </c>
      <c r="H37" s="40" t="n">
        <v>201</v>
      </c>
      <c r="I37" s="40" t="n">
        <v>0</v>
      </c>
      <c r="J37" s="41">
        <f>IF(F37="","",F37-IF(IFERROR(VLOOKUP(B37,'Co-Host Agreements'!$A$6:$K$20,7,FALSE),"No")="Yes",G37,0)-IF(IFERROR(VLOOKUP(B37,'Co-Host Agreements'!$A$6:$K$20,8,FALSE),"No")="Yes",H37,0)-N(I37))</f>
        <v/>
      </c>
      <c r="K37" s="42">
        <f>IFERROR(VLOOKUP(B37,'Co-Host Agreements'!$A$6:$K$20,5,FALSE),0)</f>
        <v/>
      </c>
      <c r="L37" s="41">
        <f>IF(B37="","",IFS(IFERROR(VLOOKUP(B37,'Co-Host Agreements'!$A$6:$K$20,4,FALSE),"")="% of NET",J37*K37,IFERROR(VLOOKUP(B37,'Co-Host Agreements'!$A$6:$K$20,4,FALSE),"")="% of GROSS",F37*K37,IFERROR(VLOOKUP(B37,'Co-Host Agreements'!$A$6:$K$20,4,FALSE),"")="Flat per booking",IFERROR(VLOOKUP(B37,'Co-Host Agreements'!$A$6:$K$20,6,FALSE),0),IFERROR(VLOOKUP(B37,'Co-Host Agreements'!$A$6:$K$20,4,FALSE),"")="Hybrid (Flat + % of NET)",IFERROR(VLOOKUP(B37,'Co-Host Agreements'!$A$6:$K$20,6,FALSE),0)+J37*K37,TRUE,0))</f>
        <v/>
      </c>
      <c r="M37" s="41">
        <f>IF(B37="","",J37-L37)</f>
        <v/>
      </c>
      <c r="N37" s="36" t="inlineStr">
        <is>
          <t>Pending</t>
        </is>
      </c>
      <c r="O37" s="36" t="inlineStr"/>
    </row>
    <row r="38" ht="16" customHeight="1">
      <c r="A38" s="39" t="n">
        <v>46028</v>
      </c>
      <c r="B38" s="36" t="inlineStr">
        <is>
          <t>Lakehouse</t>
        </is>
      </c>
      <c r="C38" s="36" t="inlineStr">
        <is>
          <t>Kazuki H.</t>
        </is>
      </c>
      <c r="D38" s="36" t="inlineStr">
        <is>
          <t>AB-91001</t>
        </is>
      </c>
      <c r="E38" s="36" t="inlineStr">
        <is>
          <t>Airbnb</t>
        </is>
      </c>
      <c r="F38" s="40" t="n">
        <v>2080</v>
      </c>
      <c r="G38" s="40" t="n">
        <v>175</v>
      </c>
      <c r="H38" s="40" t="n">
        <v>312</v>
      </c>
      <c r="I38" s="40" t="n">
        <v>0</v>
      </c>
      <c r="J38" s="41">
        <f>IF(F38="","",F38-IF(IFERROR(VLOOKUP(B38,'Co-Host Agreements'!$A$6:$K$20,7,FALSE),"No")="Yes",G38,0)-IF(IFERROR(VLOOKUP(B38,'Co-Host Agreements'!$A$6:$K$20,8,FALSE),"No")="Yes",H38,0)-N(I38))</f>
        <v/>
      </c>
      <c r="K38" s="42">
        <f>IFERROR(VLOOKUP(B38,'Co-Host Agreements'!$A$6:$K$20,5,FALSE),0)</f>
        <v/>
      </c>
      <c r="L38" s="41">
        <f>IF(B38="","",IFS(IFERROR(VLOOKUP(B38,'Co-Host Agreements'!$A$6:$K$20,4,FALSE),"")="% of NET",J38*K38,IFERROR(VLOOKUP(B38,'Co-Host Agreements'!$A$6:$K$20,4,FALSE),"")="% of GROSS",F38*K38,IFERROR(VLOOKUP(B38,'Co-Host Agreements'!$A$6:$K$20,4,FALSE),"")="Flat per booking",IFERROR(VLOOKUP(B38,'Co-Host Agreements'!$A$6:$K$20,6,FALSE),0),IFERROR(VLOOKUP(B38,'Co-Host Agreements'!$A$6:$K$20,4,FALSE),"")="Hybrid (Flat + % of NET)",IFERROR(VLOOKUP(B38,'Co-Host Agreements'!$A$6:$K$20,6,FALSE),0)+J38*K38,TRUE,0))</f>
        <v/>
      </c>
      <c r="M38" s="41">
        <f>IF(B38="","",J38-L38)</f>
        <v/>
      </c>
      <c r="N38" s="36" t="inlineStr">
        <is>
          <t>Paid</t>
        </is>
      </c>
      <c r="O38" s="36" t="inlineStr"/>
    </row>
    <row r="39" ht="16" customHeight="1">
      <c r="A39" s="39" t="n">
        <v>46035</v>
      </c>
      <c r="B39" s="36" t="inlineStr">
        <is>
          <t>Lakehouse</t>
        </is>
      </c>
      <c r="C39" s="36" t="inlineStr">
        <is>
          <t>Lin Y.</t>
        </is>
      </c>
      <c r="D39" s="36" t="inlineStr">
        <is>
          <t>AB-91002</t>
        </is>
      </c>
      <c r="E39" s="36" t="inlineStr">
        <is>
          <t>Airbnb</t>
        </is>
      </c>
      <c r="F39" s="40" t="n">
        <v>1880</v>
      </c>
      <c r="G39" s="40" t="n">
        <v>175</v>
      </c>
      <c r="H39" s="40" t="n">
        <v>282</v>
      </c>
      <c r="I39" s="40" t="n">
        <v>0</v>
      </c>
      <c r="J39" s="41">
        <f>IF(F39="","",F39-IF(IFERROR(VLOOKUP(B39,'Co-Host Agreements'!$A$6:$K$20,7,FALSE),"No")="Yes",G39,0)-IF(IFERROR(VLOOKUP(B39,'Co-Host Agreements'!$A$6:$K$20,8,FALSE),"No")="Yes",H39,0)-N(I39))</f>
        <v/>
      </c>
      <c r="K39" s="42">
        <f>IFERROR(VLOOKUP(B39,'Co-Host Agreements'!$A$6:$K$20,5,FALSE),0)</f>
        <v/>
      </c>
      <c r="L39" s="41">
        <f>IF(B39="","",IFS(IFERROR(VLOOKUP(B39,'Co-Host Agreements'!$A$6:$K$20,4,FALSE),"")="% of NET",J39*K39,IFERROR(VLOOKUP(B39,'Co-Host Agreements'!$A$6:$K$20,4,FALSE),"")="% of GROSS",F39*K39,IFERROR(VLOOKUP(B39,'Co-Host Agreements'!$A$6:$K$20,4,FALSE),"")="Flat per booking",IFERROR(VLOOKUP(B39,'Co-Host Agreements'!$A$6:$K$20,6,FALSE),0),IFERROR(VLOOKUP(B39,'Co-Host Agreements'!$A$6:$K$20,4,FALSE),"")="Hybrid (Flat + % of NET)",IFERROR(VLOOKUP(B39,'Co-Host Agreements'!$A$6:$K$20,6,FALSE),0)+J39*K39,TRUE,0))</f>
        <v/>
      </c>
      <c r="M39" s="41">
        <f>IF(B39="","",J39-L39)</f>
        <v/>
      </c>
      <c r="N39" s="36" t="inlineStr">
        <is>
          <t>Paid</t>
        </is>
      </c>
      <c r="O39" s="36" t="inlineStr"/>
    </row>
    <row r="40" ht="16" customHeight="1">
      <c r="A40" s="39" t="n">
        <v>46042</v>
      </c>
      <c r="B40" s="36" t="inlineStr">
        <is>
          <t>Lakehouse</t>
        </is>
      </c>
      <c r="C40" s="36" t="inlineStr">
        <is>
          <t>Marcos G.</t>
        </is>
      </c>
      <c r="D40" s="36" t="inlineStr">
        <is>
          <t>VR-51001</t>
        </is>
      </c>
      <c r="E40" s="36" t="inlineStr">
        <is>
          <t>VRBO</t>
        </is>
      </c>
      <c r="F40" s="40" t="n">
        <v>2240</v>
      </c>
      <c r="G40" s="40" t="n">
        <v>175</v>
      </c>
      <c r="H40" s="40" t="n">
        <v>179</v>
      </c>
      <c r="I40" s="40" t="n">
        <v>0</v>
      </c>
      <c r="J40" s="41">
        <f>IF(F40="","",F40-IF(IFERROR(VLOOKUP(B40,'Co-Host Agreements'!$A$6:$K$20,7,FALSE),"No")="Yes",G40,0)-IF(IFERROR(VLOOKUP(B40,'Co-Host Agreements'!$A$6:$K$20,8,FALSE),"No")="Yes",H40,0)-N(I40))</f>
        <v/>
      </c>
      <c r="K40" s="42">
        <f>IFERROR(VLOOKUP(B40,'Co-Host Agreements'!$A$6:$K$20,5,FALSE),0)</f>
        <v/>
      </c>
      <c r="L40" s="41">
        <f>IF(B40="","",IFS(IFERROR(VLOOKUP(B40,'Co-Host Agreements'!$A$6:$K$20,4,FALSE),"")="% of NET",J40*K40,IFERROR(VLOOKUP(B40,'Co-Host Agreements'!$A$6:$K$20,4,FALSE),"")="% of GROSS",F40*K40,IFERROR(VLOOKUP(B40,'Co-Host Agreements'!$A$6:$K$20,4,FALSE),"")="Flat per booking",IFERROR(VLOOKUP(B40,'Co-Host Agreements'!$A$6:$K$20,6,FALSE),0),IFERROR(VLOOKUP(B40,'Co-Host Agreements'!$A$6:$K$20,4,FALSE),"")="Hybrid (Flat + % of NET)",IFERROR(VLOOKUP(B40,'Co-Host Agreements'!$A$6:$K$20,6,FALSE),0)+J40*K40,TRUE,0))</f>
        <v/>
      </c>
      <c r="M40" s="41">
        <f>IF(B40="","",J40-L40)</f>
        <v/>
      </c>
      <c r="N40" s="36" t="inlineStr">
        <is>
          <t>Paid</t>
        </is>
      </c>
      <c r="O40" s="36" t="inlineStr"/>
    </row>
    <row r="41" ht="16" customHeight="1">
      <c r="A41" s="39" t="n">
        <v>46049</v>
      </c>
      <c r="B41" s="36" t="inlineStr">
        <is>
          <t>Lakehouse</t>
        </is>
      </c>
      <c r="C41" s="36" t="inlineStr">
        <is>
          <t>Niamh O.</t>
        </is>
      </c>
      <c r="D41" s="36" t="inlineStr">
        <is>
          <t>AB-91003</t>
        </is>
      </c>
      <c r="E41" s="36" t="inlineStr">
        <is>
          <t>Airbnb</t>
        </is>
      </c>
      <c r="F41" s="40" t="n">
        <v>1740</v>
      </c>
      <c r="G41" s="40" t="n">
        <v>175</v>
      </c>
      <c r="H41" s="40" t="n">
        <v>261</v>
      </c>
      <c r="I41" s="40" t="n">
        <v>0</v>
      </c>
      <c r="J41" s="41">
        <f>IF(F41="","",F41-IF(IFERROR(VLOOKUP(B41,'Co-Host Agreements'!$A$6:$K$20,7,FALSE),"No")="Yes",G41,0)-IF(IFERROR(VLOOKUP(B41,'Co-Host Agreements'!$A$6:$K$20,8,FALSE),"No")="Yes",H41,0)-N(I41))</f>
        <v/>
      </c>
      <c r="K41" s="42">
        <f>IFERROR(VLOOKUP(B41,'Co-Host Agreements'!$A$6:$K$20,5,FALSE),0)</f>
        <v/>
      </c>
      <c r="L41" s="41">
        <f>IF(B41="","",IFS(IFERROR(VLOOKUP(B41,'Co-Host Agreements'!$A$6:$K$20,4,FALSE),"")="% of NET",J41*K41,IFERROR(VLOOKUP(B41,'Co-Host Agreements'!$A$6:$K$20,4,FALSE),"")="% of GROSS",F41*K41,IFERROR(VLOOKUP(B41,'Co-Host Agreements'!$A$6:$K$20,4,FALSE),"")="Flat per booking",IFERROR(VLOOKUP(B41,'Co-Host Agreements'!$A$6:$K$20,6,FALSE),0),IFERROR(VLOOKUP(B41,'Co-Host Agreements'!$A$6:$K$20,4,FALSE),"")="Hybrid (Flat + % of NET)",IFERROR(VLOOKUP(B41,'Co-Host Agreements'!$A$6:$K$20,6,FALSE),0)+J41*K41,TRUE,0))</f>
        <v/>
      </c>
      <c r="M41" s="41">
        <f>IF(B41="","",J41-L41)</f>
        <v/>
      </c>
      <c r="N41" s="36" t="inlineStr">
        <is>
          <t>Paid</t>
        </is>
      </c>
      <c r="O41" s="36" t="inlineStr"/>
    </row>
    <row r="42" ht="16" customHeight="1">
      <c r="A42" s="39" t="n">
        <v>46056</v>
      </c>
      <c r="B42" s="36" t="inlineStr">
        <is>
          <t>Lakehouse</t>
        </is>
      </c>
      <c r="C42" s="36" t="inlineStr">
        <is>
          <t>Otto K.</t>
        </is>
      </c>
      <c r="D42" s="36" t="inlineStr">
        <is>
          <t>AB-91004</t>
        </is>
      </c>
      <c r="E42" s="36" t="inlineStr">
        <is>
          <t>Airbnb</t>
        </is>
      </c>
      <c r="F42" s="40" t="n">
        <v>1980</v>
      </c>
      <c r="G42" s="40" t="n">
        <v>175</v>
      </c>
      <c r="H42" s="40" t="n">
        <v>297</v>
      </c>
      <c r="I42" s="40" t="n">
        <v>0</v>
      </c>
      <c r="J42" s="41">
        <f>IF(F42="","",F42-IF(IFERROR(VLOOKUP(B42,'Co-Host Agreements'!$A$6:$K$20,7,FALSE),"No")="Yes",G42,0)-IF(IFERROR(VLOOKUP(B42,'Co-Host Agreements'!$A$6:$K$20,8,FALSE),"No")="Yes",H42,0)-N(I42))</f>
        <v/>
      </c>
      <c r="K42" s="42">
        <f>IFERROR(VLOOKUP(B42,'Co-Host Agreements'!$A$6:$K$20,5,FALSE),0)</f>
        <v/>
      </c>
      <c r="L42" s="41">
        <f>IF(B42="","",IFS(IFERROR(VLOOKUP(B42,'Co-Host Agreements'!$A$6:$K$20,4,FALSE),"")="% of NET",J42*K42,IFERROR(VLOOKUP(B42,'Co-Host Agreements'!$A$6:$K$20,4,FALSE),"")="% of GROSS",F42*K42,IFERROR(VLOOKUP(B42,'Co-Host Agreements'!$A$6:$K$20,4,FALSE),"")="Flat per booking",IFERROR(VLOOKUP(B42,'Co-Host Agreements'!$A$6:$K$20,6,FALSE),0),IFERROR(VLOOKUP(B42,'Co-Host Agreements'!$A$6:$K$20,4,FALSE),"")="Hybrid (Flat + % of NET)",IFERROR(VLOOKUP(B42,'Co-Host Agreements'!$A$6:$K$20,6,FALSE),0)+J42*K42,TRUE,0))</f>
        <v/>
      </c>
      <c r="M42" s="41">
        <f>IF(B42="","",J42-L42)</f>
        <v/>
      </c>
      <c r="N42" s="36" t="inlineStr">
        <is>
          <t>Paid</t>
        </is>
      </c>
      <c r="O42" s="36" t="inlineStr"/>
    </row>
    <row r="43" ht="16" customHeight="1">
      <c r="A43" s="39" t="n">
        <v>46063</v>
      </c>
      <c r="B43" s="36" t="inlineStr">
        <is>
          <t>Lakehouse</t>
        </is>
      </c>
      <c r="C43" s="36" t="inlineStr">
        <is>
          <t>Pavla M.</t>
        </is>
      </c>
      <c r="D43" s="36" t="inlineStr">
        <is>
          <t>DR-01001</t>
        </is>
      </c>
      <c r="E43" s="36" t="inlineStr">
        <is>
          <t>Direct</t>
        </is>
      </c>
      <c r="F43" s="40" t="n">
        <v>1860</v>
      </c>
      <c r="G43" s="40" t="n">
        <v>175</v>
      </c>
      <c r="H43" s="40" t="n">
        <v>0</v>
      </c>
      <c r="I43" s="40" t="n">
        <v>0</v>
      </c>
      <c r="J43" s="41">
        <f>IF(F43="","",F43-IF(IFERROR(VLOOKUP(B43,'Co-Host Agreements'!$A$6:$K$20,7,FALSE),"No")="Yes",G43,0)-IF(IFERROR(VLOOKUP(B43,'Co-Host Agreements'!$A$6:$K$20,8,FALSE),"No")="Yes",H43,0)-N(I43))</f>
        <v/>
      </c>
      <c r="K43" s="42">
        <f>IFERROR(VLOOKUP(B43,'Co-Host Agreements'!$A$6:$K$20,5,FALSE),0)</f>
        <v/>
      </c>
      <c r="L43" s="41">
        <f>IF(B43="","",IFS(IFERROR(VLOOKUP(B43,'Co-Host Agreements'!$A$6:$K$20,4,FALSE),"")="% of NET",J43*K43,IFERROR(VLOOKUP(B43,'Co-Host Agreements'!$A$6:$K$20,4,FALSE),"")="% of GROSS",F43*K43,IFERROR(VLOOKUP(B43,'Co-Host Agreements'!$A$6:$K$20,4,FALSE),"")="Flat per booking",IFERROR(VLOOKUP(B43,'Co-Host Agreements'!$A$6:$K$20,6,FALSE),0),IFERROR(VLOOKUP(B43,'Co-Host Agreements'!$A$6:$K$20,4,FALSE),"")="Hybrid (Flat + % of NET)",IFERROR(VLOOKUP(B43,'Co-Host Agreements'!$A$6:$K$20,6,FALSE),0)+J43*K43,TRUE,0))</f>
        <v/>
      </c>
      <c r="M43" s="41">
        <f>IF(B43="","",J43-L43)</f>
        <v/>
      </c>
      <c r="N43" s="36" t="inlineStr">
        <is>
          <t>Paid</t>
        </is>
      </c>
      <c r="O43" s="36" t="inlineStr"/>
    </row>
    <row r="44" ht="16" customHeight="1">
      <c r="A44" s="39" t="n">
        <v>46070</v>
      </c>
      <c r="B44" s="36" t="inlineStr">
        <is>
          <t>Lakehouse</t>
        </is>
      </c>
      <c r="C44" s="36" t="inlineStr">
        <is>
          <t>Quill R.</t>
        </is>
      </c>
      <c r="D44" s="36" t="inlineStr">
        <is>
          <t>AB-91005</t>
        </is>
      </c>
      <c r="E44" s="36" t="inlineStr">
        <is>
          <t>Airbnb</t>
        </is>
      </c>
      <c r="F44" s="40" t="n">
        <v>2080</v>
      </c>
      <c r="G44" s="40" t="n">
        <v>175</v>
      </c>
      <c r="H44" s="40" t="n">
        <v>312</v>
      </c>
      <c r="I44" s="40" t="n">
        <v>0</v>
      </c>
      <c r="J44" s="41">
        <f>IF(F44="","",F44-IF(IFERROR(VLOOKUP(B44,'Co-Host Agreements'!$A$6:$K$20,7,FALSE),"No")="Yes",G44,0)-IF(IFERROR(VLOOKUP(B44,'Co-Host Agreements'!$A$6:$K$20,8,FALSE),"No")="Yes",H44,0)-N(I44))</f>
        <v/>
      </c>
      <c r="K44" s="42">
        <f>IFERROR(VLOOKUP(B44,'Co-Host Agreements'!$A$6:$K$20,5,FALSE),0)</f>
        <v/>
      </c>
      <c r="L44" s="41">
        <f>IF(B44="","",IFS(IFERROR(VLOOKUP(B44,'Co-Host Agreements'!$A$6:$K$20,4,FALSE),"")="% of NET",J44*K44,IFERROR(VLOOKUP(B44,'Co-Host Agreements'!$A$6:$K$20,4,FALSE),"")="% of GROSS",F44*K44,IFERROR(VLOOKUP(B44,'Co-Host Agreements'!$A$6:$K$20,4,FALSE),"")="Flat per booking",IFERROR(VLOOKUP(B44,'Co-Host Agreements'!$A$6:$K$20,6,FALSE),0),IFERROR(VLOOKUP(B44,'Co-Host Agreements'!$A$6:$K$20,4,FALSE),"")="Hybrid (Flat + % of NET)",IFERROR(VLOOKUP(B44,'Co-Host Agreements'!$A$6:$K$20,6,FALSE),0)+J44*K44,TRUE,0))</f>
        <v/>
      </c>
      <c r="M44" s="41">
        <f>IF(B44="","",J44-L44)</f>
        <v/>
      </c>
      <c r="N44" s="36" t="inlineStr">
        <is>
          <t>Paid</t>
        </is>
      </c>
      <c r="O44" s="36" t="inlineStr"/>
    </row>
    <row r="45" ht="16" customHeight="1">
      <c r="A45" s="39" t="n">
        <v>46077</v>
      </c>
      <c r="B45" s="36" t="inlineStr">
        <is>
          <t>Lakehouse</t>
        </is>
      </c>
      <c r="C45" s="36" t="inlineStr">
        <is>
          <t>Rosa B.</t>
        </is>
      </c>
      <c r="D45" s="36" t="inlineStr">
        <is>
          <t>AB-91006</t>
        </is>
      </c>
      <c r="E45" s="36" t="inlineStr">
        <is>
          <t>Airbnb</t>
        </is>
      </c>
      <c r="F45" s="40" t="n">
        <v>1740</v>
      </c>
      <c r="G45" s="40" t="n">
        <v>175</v>
      </c>
      <c r="H45" s="40" t="n">
        <v>261</v>
      </c>
      <c r="I45" s="40" t="n">
        <v>0</v>
      </c>
      <c r="J45" s="41">
        <f>IF(F45="","",F45-IF(IFERROR(VLOOKUP(B45,'Co-Host Agreements'!$A$6:$K$20,7,FALSE),"No")="Yes",G45,0)-IF(IFERROR(VLOOKUP(B45,'Co-Host Agreements'!$A$6:$K$20,8,FALSE),"No")="Yes",H45,0)-N(I45))</f>
        <v/>
      </c>
      <c r="K45" s="42">
        <f>IFERROR(VLOOKUP(B45,'Co-Host Agreements'!$A$6:$K$20,5,FALSE),0)</f>
        <v/>
      </c>
      <c r="L45" s="41">
        <f>IF(B45="","",IFS(IFERROR(VLOOKUP(B45,'Co-Host Agreements'!$A$6:$K$20,4,FALSE),"")="% of NET",J45*K45,IFERROR(VLOOKUP(B45,'Co-Host Agreements'!$A$6:$K$20,4,FALSE),"")="% of GROSS",F45*K45,IFERROR(VLOOKUP(B45,'Co-Host Agreements'!$A$6:$K$20,4,FALSE),"")="Flat per booking",IFERROR(VLOOKUP(B45,'Co-Host Agreements'!$A$6:$K$20,6,FALSE),0),IFERROR(VLOOKUP(B45,'Co-Host Agreements'!$A$6:$K$20,4,FALSE),"")="Hybrid (Flat + % of NET)",IFERROR(VLOOKUP(B45,'Co-Host Agreements'!$A$6:$K$20,6,FALSE),0)+J45*K45,TRUE,0))</f>
        <v/>
      </c>
      <c r="M45" s="41">
        <f>IF(B45="","",J45-L45)</f>
        <v/>
      </c>
      <c r="N45" s="36" t="inlineStr">
        <is>
          <t>Paid</t>
        </is>
      </c>
      <c r="O45" s="36" t="inlineStr"/>
    </row>
    <row r="46" ht="16" customHeight="1">
      <c r="A46" s="39" t="n">
        <v>46084</v>
      </c>
      <c r="B46" s="36" t="inlineStr">
        <is>
          <t>Lakehouse</t>
        </is>
      </c>
      <c r="C46" s="36" t="inlineStr">
        <is>
          <t>Soren D.</t>
        </is>
      </c>
      <c r="D46" s="36" t="inlineStr">
        <is>
          <t>AB-91007</t>
        </is>
      </c>
      <c r="E46" s="36" t="inlineStr">
        <is>
          <t>Airbnb</t>
        </is>
      </c>
      <c r="F46" s="40" t="n">
        <v>1880</v>
      </c>
      <c r="G46" s="40" t="n">
        <v>175</v>
      </c>
      <c r="H46" s="40" t="n">
        <v>282</v>
      </c>
      <c r="I46" s="40" t="n">
        <v>0</v>
      </c>
      <c r="J46" s="41">
        <f>IF(F46="","",F46-IF(IFERROR(VLOOKUP(B46,'Co-Host Agreements'!$A$6:$K$20,7,FALSE),"No")="Yes",G46,0)-IF(IFERROR(VLOOKUP(B46,'Co-Host Agreements'!$A$6:$K$20,8,FALSE),"No")="Yes",H46,0)-N(I46))</f>
        <v/>
      </c>
      <c r="K46" s="42">
        <f>IFERROR(VLOOKUP(B46,'Co-Host Agreements'!$A$6:$K$20,5,FALSE),0)</f>
        <v/>
      </c>
      <c r="L46" s="41">
        <f>IF(B46="","",IFS(IFERROR(VLOOKUP(B46,'Co-Host Agreements'!$A$6:$K$20,4,FALSE),"")="% of NET",J46*K46,IFERROR(VLOOKUP(B46,'Co-Host Agreements'!$A$6:$K$20,4,FALSE),"")="% of GROSS",F46*K46,IFERROR(VLOOKUP(B46,'Co-Host Agreements'!$A$6:$K$20,4,FALSE),"")="Flat per booking",IFERROR(VLOOKUP(B46,'Co-Host Agreements'!$A$6:$K$20,6,FALSE),0),IFERROR(VLOOKUP(B46,'Co-Host Agreements'!$A$6:$K$20,4,FALSE),"")="Hybrid (Flat + % of NET)",IFERROR(VLOOKUP(B46,'Co-Host Agreements'!$A$6:$K$20,6,FALSE),0)+J46*K46,TRUE,0))</f>
        <v/>
      </c>
      <c r="M46" s="41">
        <f>IF(B46="","",J46-L46)</f>
        <v/>
      </c>
      <c r="N46" s="36" t="inlineStr">
        <is>
          <t>Paid</t>
        </is>
      </c>
      <c r="O46" s="36" t="inlineStr"/>
    </row>
    <row r="47" ht="16" customHeight="1">
      <c r="A47" s="39" t="n">
        <v>46091</v>
      </c>
      <c r="B47" s="36" t="inlineStr">
        <is>
          <t>Lakehouse</t>
        </is>
      </c>
      <c r="C47" s="36" t="inlineStr">
        <is>
          <t>Talia E.</t>
        </is>
      </c>
      <c r="D47" s="36" t="inlineStr">
        <is>
          <t>VR-51002</t>
        </is>
      </c>
      <c r="E47" s="36" t="inlineStr">
        <is>
          <t>VRBO</t>
        </is>
      </c>
      <c r="F47" s="40" t="n">
        <v>2080</v>
      </c>
      <c r="G47" s="40" t="n">
        <v>175</v>
      </c>
      <c r="H47" s="40" t="n">
        <v>166</v>
      </c>
      <c r="I47" s="40" t="n">
        <v>0</v>
      </c>
      <c r="J47" s="41">
        <f>IF(F47="","",F47-IF(IFERROR(VLOOKUP(B47,'Co-Host Agreements'!$A$6:$K$20,7,FALSE),"No")="Yes",G47,0)-IF(IFERROR(VLOOKUP(B47,'Co-Host Agreements'!$A$6:$K$20,8,FALSE),"No")="Yes",H47,0)-N(I47))</f>
        <v/>
      </c>
      <c r="K47" s="42">
        <f>IFERROR(VLOOKUP(B47,'Co-Host Agreements'!$A$6:$K$20,5,FALSE),0)</f>
        <v/>
      </c>
      <c r="L47" s="41">
        <f>IF(B47="","",IFS(IFERROR(VLOOKUP(B47,'Co-Host Agreements'!$A$6:$K$20,4,FALSE),"")="% of NET",J47*K47,IFERROR(VLOOKUP(B47,'Co-Host Agreements'!$A$6:$K$20,4,FALSE),"")="% of GROSS",F47*K47,IFERROR(VLOOKUP(B47,'Co-Host Agreements'!$A$6:$K$20,4,FALSE),"")="Flat per booking",IFERROR(VLOOKUP(B47,'Co-Host Agreements'!$A$6:$K$20,6,FALSE),0),IFERROR(VLOOKUP(B47,'Co-Host Agreements'!$A$6:$K$20,4,FALSE),"")="Hybrid (Flat + % of NET)",IFERROR(VLOOKUP(B47,'Co-Host Agreements'!$A$6:$K$20,6,FALSE),0)+J47*K47,TRUE,0))</f>
        <v/>
      </c>
      <c r="M47" s="41">
        <f>IF(B47="","",J47-L47)</f>
        <v/>
      </c>
      <c r="N47" s="36" t="inlineStr">
        <is>
          <t>Paid</t>
        </is>
      </c>
      <c r="O47" s="36" t="inlineStr"/>
    </row>
    <row r="48" ht="16" customHeight="1">
      <c r="A48" s="39" t="n">
        <v>46098</v>
      </c>
      <c r="B48" s="36" t="inlineStr">
        <is>
          <t>Lakehouse</t>
        </is>
      </c>
      <c r="C48" s="36" t="inlineStr">
        <is>
          <t>Umar F.</t>
        </is>
      </c>
      <c r="D48" s="36" t="inlineStr">
        <is>
          <t>AB-91008</t>
        </is>
      </c>
      <c r="E48" s="36" t="inlineStr">
        <is>
          <t>Airbnb</t>
        </is>
      </c>
      <c r="F48" s="40" t="n">
        <v>1980</v>
      </c>
      <c r="G48" s="40" t="n">
        <v>175</v>
      </c>
      <c r="H48" s="40" t="n">
        <v>297</v>
      </c>
      <c r="I48" s="40" t="n">
        <v>0</v>
      </c>
      <c r="J48" s="41">
        <f>IF(F48="","",F48-IF(IFERROR(VLOOKUP(B48,'Co-Host Agreements'!$A$6:$K$20,7,FALSE),"No")="Yes",G48,0)-IF(IFERROR(VLOOKUP(B48,'Co-Host Agreements'!$A$6:$K$20,8,FALSE),"No")="Yes",H48,0)-N(I48))</f>
        <v/>
      </c>
      <c r="K48" s="42">
        <f>IFERROR(VLOOKUP(B48,'Co-Host Agreements'!$A$6:$K$20,5,FALSE),0)</f>
        <v/>
      </c>
      <c r="L48" s="41">
        <f>IF(B48="","",IFS(IFERROR(VLOOKUP(B48,'Co-Host Agreements'!$A$6:$K$20,4,FALSE),"")="% of NET",J48*K48,IFERROR(VLOOKUP(B48,'Co-Host Agreements'!$A$6:$K$20,4,FALSE),"")="% of GROSS",F48*K48,IFERROR(VLOOKUP(B48,'Co-Host Agreements'!$A$6:$K$20,4,FALSE),"")="Flat per booking",IFERROR(VLOOKUP(B48,'Co-Host Agreements'!$A$6:$K$20,6,FALSE),0),IFERROR(VLOOKUP(B48,'Co-Host Agreements'!$A$6:$K$20,4,FALSE),"")="Hybrid (Flat + % of NET)",IFERROR(VLOOKUP(B48,'Co-Host Agreements'!$A$6:$K$20,6,FALSE),0)+J48*K48,TRUE,0))</f>
        <v/>
      </c>
      <c r="M48" s="41">
        <f>IF(B48="","",J48-L48)</f>
        <v/>
      </c>
      <c r="N48" s="36" t="inlineStr">
        <is>
          <t>Paid</t>
        </is>
      </c>
      <c r="O48" s="36" t="inlineStr"/>
    </row>
    <row r="49" ht="16" customHeight="1">
      <c r="A49" s="39" t="n">
        <v>46105</v>
      </c>
      <c r="B49" s="36" t="inlineStr">
        <is>
          <t>Lakehouse</t>
        </is>
      </c>
      <c r="C49" s="36" t="inlineStr">
        <is>
          <t>Vera H.</t>
        </is>
      </c>
      <c r="D49" s="36" t="inlineStr">
        <is>
          <t>AB-91009</t>
        </is>
      </c>
      <c r="E49" s="36" t="inlineStr">
        <is>
          <t>Airbnb</t>
        </is>
      </c>
      <c r="F49" s="40" t="n">
        <v>1860</v>
      </c>
      <c r="G49" s="40" t="n">
        <v>175</v>
      </c>
      <c r="H49" s="40" t="n">
        <v>279</v>
      </c>
      <c r="I49" s="40" t="n">
        <v>0</v>
      </c>
      <c r="J49" s="41">
        <f>IF(F49="","",F49-IF(IFERROR(VLOOKUP(B49,'Co-Host Agreements'!$A$6:$K$20,7,FALSE),"No")="Yes",G49,0)-IF(IFERROR(VLOOKUP(B49,'Co-Host Agreements'!$A$6:$K$20,8,FALSE),"No")="Yes",H49,0)-N(I49))</f>
        <v/>
      </c>
      <c r="K49" s="42">
        <f>IFERROR(VLOOKUP(B49,'Co-Host Agreements'!$A$6:$K$20,5,FALSE),0)</f>
        <v/>
      </c>
      <c r="L49" s="41">
        <f>IF(B49="","",IFS(IFERROR(VLOOKUP(B49,'Co-Host Agreements'!$A$6:$K$20,4,FALSE),"")="% of NET",J49*K49,IFERROR(VLOOKUP(B49,'Co-Host Agreements'!$A$6:$K$20,4,FALSE),"")="% of GROSS",F49*K49,IFERROR(VLOOKUP(B49,'Co-Host Agreements'!$A$6:$K$20,4,FALSE),"")="Flat per booking",IFERROR(VLOOKUP(B49,'Co-Host Agreements'!$A$6:$K$20,6,FALSE),0),IFERROR(VLOOKUP(B49,'Co-Host Agreements'!$A$6:$K$20,4,FALSE),"")="Hybrid (Flat + % of NET)",IFERROR(VLOOKUP(B49,'Co-Host Agreements'!$A$6:$K$20,6,FALSE),0)+J49*K49,TRUE,0))</f>
        <v/>
      </c>
      <c r="M49" s="41">
        <f>IF(B49="","",J49-L49)</f>
        <v/>
      </c>
      <c r="N49" s="36" t="inlineStr">
        <is>
          <t>Paid</t>
        </is>
      </c>
      <c r="O49" s="36" t="inlineStr"/>
    </row>
    <row r="50" ht="16" customHeight="1">
      <c r="A50" s="39" t="n">
        <v>46112</v>
      </c>
      <c r="B50" s="36" t="inlineStr">
        <is>
          <t>Lakehouse</t>
        </is>
      </c>
      <c r="C50" s="36" t="inlineStr">
        <is>
          <t>Will I.</t>
        </is>
      </c>
      <c r="D50" s="36" t="inlineStr">
        <is>
          <t>AB-91010</t>
        </is>
      </c>
      <c r="E50" s="36" t="inlineStr">
        <is>
          <t>Airbnb</t>
        </is>
      </c>
      <c r="F50" s="40" t="n">
        <v>2240</v>
      </c>
      <c r="G50" s="40" t="n">
        <v>175</v>
      </c>
      <c r="H50" s="40" t="n">
        <v>336</v>
      </c>
      <c r="I50" s="40" t="n">
        <v>0</v>
      </c>
      <c r="J50" s="41">
        <f>IF(F50="","",F50-IF(IFERROR(VLOOKUP(B50,'Co-Host Agreements'!$A$6:$K$20,7,FALSE),"No")="Yes",G50,0)-IF(IFERROR(VLOOKUP(B50,'Co-Host Agreements'!$A$6:$K$20,8,FALSE),"No")="Yes",H50,0)-N(I50))</f>
        <v/>
      </c>
      <c r="K50" s="42">
        <f>IFERROR(VLOOKUP(B50,'Co-Host Agreements'!$A$6:$K$20,5,FALSE),0)</f>
        <v/>
      </c>
      <c r="L50" s="41">
        <f>IF(B50="","",IFS(IFERROR(VLOOKUP(B50,'Co-Host Agreements'!$A$6:$K$20,4,FALSE),"")="% of NET",J50*K50,IFERROR(VLOOKUP(B50,'Co-Host Agreements'!$A$6:$K$20,4,FALSE),"")="% of GROSS",F50*K50,IFERROR(VLOOKUP(B50,'Co-Host Agreements'!$A$6:$K$20,4,FALSE),"")="Flat per booking",IFERROR(VLOOKUP(B50,'Co-Host Agreements'!$A$6:$K$20,6,FALSE),0),IFERROR(VLOOKUP(B50,'Co-Host Agreements'!$A$6:$K$20,4,FALSE),"")="Hybrid (Flat + % of NET)",IFERROR(VLOOKUP(B50,'Co-Host Agreements'!$A$6:$K$20,6,FALSE),0)+J50*K50,TRUE,0))</f>
        <v/>
      </c>
      <c r="M50" s="41">
        <f>IF(B50="","",J50-L50)</f>
        <v/>
      </c>
      <c r="N50" s="36" t="inlineStr">
        <is>
          <t>Paid</t>
        </is>
      </c>
      <c r="O50" s="36" t="inlineStr"/>
    </row>
    <row r="51" ht="16" customHeight="1">
      <c r="A51" s="39" t="n">
        <v>46119</v>
      </c>
      <c r="B51" s="36" t="inlineStr">
        <is>
          <t>Lakehouse</t>
        </is>
      </c>
      <c r="C51" s="36" t="inlineStr">
        <is>
          <t>Xio L.</t>
        </is>
      </c>
      <c r="D51" s="36" t="inlineStr">
        <is>
          <t>AB-91011</t>
        </is>
      </c>
      <c r="E51" s="36" t="inlineStr">
        <is>
          <t>Airbnb</t>
        </is>
      </c>
      <c r="F51" s="40" t="n">
        <v>1880</v>
      </c>
      <c r="G51" s="40" t="n">
        <v>175</v>
      </c>
      <c r="H51" s="40" t="n">
        <v>282</v>
      </c>
      <c r="I51" s="40" t="n">
        <v>0</v>
      </c>
      <c r="J51" s="41">
        <f>IF(F51="","",F51-IF(IFERROR(VLOOKUP(B51,'Co-Host Agreements'!$A$6:$K$20,7,FALSE),"No")="Yes",G51,0)-IF(IFERROR(VLOOKUP(B51,'Co-Host Agreements'!$A$6:$K$20,8,FALSE),"No")="Yes",H51,0)-N(I51))</f>
        <v/>
      </c>
      <c r="K51" s="42">
        <f>IFERROR(VLOOKUP(B51,'Co-Host Agreements'!$A$6:$K$20,5,FALSE),0)</f>
        <v/>
      </c>
      <c r="L51" s="41">
        <f>IF(B51="","",IFS(IFERROR(VLOOKUP(B51,'Co-Host Agreements'!$A$6:$K$20,4,FALSE),"")="% of NET",J51*K51,IFERROR(VLOOKUP(B51,'Co-Host Agreements'!$A$6:$K$20,4,FALSE),"")="% of GROSS",F51*K51,IFERROR(VLOOKUP(B51,'Co-Host Agreements'!$A$6:$K$20,4,FALSE),"")="Flat per booking",IFERROR(VLOOKUP(B51,'Co-Host Agreements'!$A$6:$K$20,6,FALSE),0),IFERROR(VLOOKUP(B51,'Co-Host Agreements'!$A$6:$K$20,4,FALSE),"")="Hybrid (Flat + % of NET)",IFERROR(VLOOKUP(B51,'Co-Host Agreements'!$A$6:$K$20,6,FALSE),0)+J51*K51,TRUE,0))</f>
        <v/>
      </c>
      <c r="M51" s="41">
        <f>IF(B51="","",J51-L51)</f>
        <v/>
      </c>
      <c r="N51" s="36" t="inlineStr">
        <is>
          <t>Paid</t>
        </is>
      </c>
      <c r="O51" s="36" t="inlineStr"/>
    </row>
    <row r="52" ht="16" customHeight="1">
      <c r="A52" s="39" t="n">
        <v>46126</v>
      </c>
      <c r="B52" s="36" t="inlineStr">
        <is>
          <t>Lakehouse</t>
        </is>
      </c>
      <c r="C52" s="36" t="inlineStr">
        <is>
          <t>Yuki M.</t>
        </is>
      </c>
      <c r="D52" s="36" t="inlineStr">
        <is>
          <t>DR-01002</t>
        </is>
      </c>
      <c r="E52" s="36" t="inlineStr">
        <is>
          <t>Direct</t>
        </is>
      </c>
      <c r="F52" s="40" t="n">
        <v>1740</v>
      </c>
      <c r="G52" s="40" t="n">
        <v>175</v>
      </c>
      <c r="H52" s="40" t="n">
        <v>0</v>
      </c>
      <c r="I52" s="40" t="n">
        <v>0</v>
      </c>
      <c r="J52" s="41">
        <f>IF(F52="","",F52-IF(IFERROR(VLOOKUP(B52,'Co-Host Agreements'!$A$6:$K$20,7,FALSE),"No")="Yes",G52,0)-IF(IFERROR(VLOOKUP(B52,'Co-Host Agreements'!$A$6:$K$20,8,FALSE),"No")="Yes",H52,0)-N(I52))</f>
        <v/>
      </c>
      <c r="K52" s="42">
        <f>IFERROR(VLOOKUP(B52,'Co-Host Agreements'!$A$6:$K$20,5,FALSE),0)</f>
        <v/>
      </c>
      <c r="L52" s="41">
        <f>IF(B52="","",IFS(IFERROR(VLOOKUP(B52,'Co-Host Agreements'!$A$6:$K$20,4,FALSE),"")="% of NET",J52*K52,IFERROR(VLOOKUP(B52,'Co-Host Agreements'!$A$6:$K$20,4,FALSE),"")="% of GROSS",F52*K52,IFERROR(VLOOKUP(B52,'Co-Host Agreements'!$A$6:$K$20,4,FALSE),"")="Flat per booking",IFERROR(VLOOKUP(B52,'Co-Host Agreements'!$A$6:$K$20,6,FALSE),0),IFERROR(VLOOKUP(B52,'Co-Host Agreements'!$A$6:$K$20,4,FALSE),"")="Hybrid (Flat + % of NET)",IFERROR(VLOOKUP(B52,'Co-Host Agreements'!$A$6:$K$20,6,FALSE),0)+J52*K52,TRUE,0))</f>
        <v/>
      </c>
      <c r="M52" s="41">
        <f>IF(B52="","",J52-L52)</f>
        <v/>
      </c>
      <c r="N52" s="36" t="inlineStr">
        <is>
          <t>Paid</t>
        </is>
      </c>
      <c r="O52" s="36" t="inlineStr"/>
    </row>
    <row r="53" ht="16" customHeight="1">
      <c r="A53" s="39" t="n">
        <v>46133</v>
      </c>
      <c r="B53" s="36" t="inlineStr">
        <is>
          <t>Lakehouse</t>
        </is>
      </c>
      <c r="C53" s="36" t="inlineStr">
        <is>
          <t>Zane N.</t>
        </is>
      </c>
      <c r="D53" s="36" t="inlineStr">
        <is>
          <t>AB-91012</t>
        </is>
      </c>
      <c r="E53" s="36" t="inlineStr">
        <is>
          <t>Airbnb</t>
        </is>
      </c>
      <c r="F53" s="40" t="n">
        <v>2080</v>
      </c>
      <c r="G53" s="40" t="n">
        <v>175</v>
      </c>
      <c r="H53" s="40" t="n">
        <v>312</v>
      </c>
      <c r="I53" s="40" t="n">
        <v>0</v>
      </c>
      <c r="J53" s="41">
        <f>IF(F53="","",F53-IF(IFERROR(VLOOKUP(B53,'Co-Host Agreements'!$A$6:$K$20,7,FALSE),"No")="Yes",G53,0)-IF(IFERROR(VLOOKUP(B53,'Co-Host Agreements'!$A$6:$K$20,8,FALSE),"No")="Yes",H53,0)-N(I53))</f>
        <v/>
      </c>
      <c r="K53" s="42">
        <f>IFERROR(VLOOKUP(B53,'Co-Host Agreements'!$A$6:$K$20,5,FALSE),0)</f>
        <v/>
      </c>
      <c r="L53" s="41">
        <f>IF(B53="","",IFS(IFERROR(VLOOKUP(B53,'Co-Host Agreements'!$A$6:$K$20,4,FALSE),"")="% of NET",J53*K53,IFERROR(VLOOKUP(B53,'Co-Host Agreements'!$A$6:$K$20,4,FALSE),"")="% of GROSS",F53*K53,IFERROR(VLOOKUP(B53,'Co-Host Agreements'!$A$6:$K$20,4,FALSE),"")="Flat per booking",IFERROR(VLOOKUP(B53,'Co-Host Agreements'!$A$6:$K$20,6,FALSE),0),IFERROR(VLOOKUP(B53,'Co-Host Agreements'!$A$6:$K$20,4,FALSE),"")="Hybrid (Flat + % of NET)",IFERROR(VLOOKUP(B53,'Co-Host Agreements'!$A$6:$K$20,6,FALSE),0)+J53*K53,TRUE,0))</f>
        <v/>
      </c>
      <c r="M53" s="41">
        <f>IF(B53="","",J53-L53)</f>
        <v/>
      </c>
      <c r="N53" s="36" t="inlineStr">
        <is>
          <t>Paid</t>
        </is>
      </c>
      <c r="O53" s="36" t="inlineStr"/>
    </row>
    <row r="54" ht="16" customHeight="1">
      <c r="A54" s="39" t="n">
        <v>46140</v>
      </c>
      <c r="B54" s="36" t="inlineStr">
        <is>
          <t>Lakehouse</t>
        </is>
      </c>
      <c r="C54" s="36" t="inlineStr">
        <is>
          <t>Ada O.</t>
        </is>
      </c>
      <c r="D54" s="36" t="inlineStr">
        <is>
          <t>AB-91013</t>
        </is>
      </c>
      <c r="E54" s="36" t="inlineStr">
        <is>
          <t>Airbnb</t>
        </is>
      </c>
      <c r="F54" s="40" t="n">
        <v>1980</v>
      </c>
      <c r="G54" s="40" t="n">
        <v>175</v>
      </c>
      <c r="H54" s="40" t="n">
        <v>297</v>
      </c>
      <c r="I54" s="40" t="n">
        <v>0</v>
      </c>
      <c r="J54" s="41">
        <f>IF(F54="","",F54-IF(IFERROR(VLOOKUP(B54,'Co-Host Agreements'!$A$6:$K$20,7,FALSE),"No")="Yes",G54,0)-IF(IFERROR(VLOOKUP(B54,'Co-Host Agreements'!$A$6:$K$20,8,FALSE),"No")="Yes",H54,0)-N(I54))</f>
        <v/>
      </c>
      <c r="K54" s="42">
        <f>IFERROR(VLOOKUP(B54,'Co-Host Agreements'!$A$6:$K$20,5,FALSE),0)</f>
        <v/>
      </c>
      <c r="L54" s="41">
        <f>IF(B54="","",IFS(IFERROR(VLOOKUP(B54,'Co-Host Agreements'!$A$6:$K$20,4,FALSE),"")="% of NET",J54*K54,IFERROR(VLOOKUP(B54,'Co-Host Agreements'!$A$6:$K$20,4,FALSE),"")="% of GROSS",F54*K54,IFERROR(VLOOKUP(B54,'Co-Host Agreements'!$A$6:$K$20,4,FALSE),"")="Flat per booking",IFERROR(VLOOKUP(B54,'Co-Host Agreements'!$A$6:$K$20,6,FALSE),0),IFERROR(VLOOKUP(B54,'Co-Host Agreements'!$A$6:$K$20,4,FALSE),"")="Hybrid (Flat + % of NET)",IFERROR(VLOOKUP(B54,'Co-Host Agreements'!$A$6:$K$20,6,FALSE),0)+J54*K54,TRUE,0))</f>
        <v/>
      </c>
      <c r="M54" s="41">
        <f>IF(B54="","",J54-L54)</f>
        <v/>
      </c>
      <c r="N54" s="36" t="inlineStr">
        <is>
          <t>Paid</t>
        </is>
      </c>
      <c r="O54" s="36" t="inlineStr"/>
    </row>
    <row r="55" ht="16" customHeight="1">
      <c r="A55" s="39" t="n">
        <v>46147</v>
      </c>
      <c r="B55" s="36" t="inlineStr">
        <is>
          <t>Lakehouse</t>
        </is>
      </c>
      <c r="C55" s="36" t="inlineStr">
        <is>
          <t>Bram P.</t>
        </is>
      </c>
      <c r="D55" s="36" t="inlineStr">
        <is>
          <t>AB-91014</t>
        </is>
      </c>
      <c r="E55" s="36" t="inlineStr">
        <is>
          <t>Airbnb</t>
        </is>
      </c>
      <c r="F55" s="40" t="n">
        <v>1740</v>
      </c>
      <c r="G55" s="40" t="n">
        <v>175</v>
      </c>
      <c r="H55" s="40" t="n">
        <v>261</v>
      </c>
      <c r="I55" s="40" t="n">
        <v>0</v>
      </c>
      <c r="J55" s="41">
        <f>IF(F55="","",F55-IF(IFERROR(VLOOKUP(B55,'Co-Host Agreements'!$A$6:$K$20,7,FALSE),"No")="Yes",G55,0)-IF(IFERROR(VLOOKUP(B55,'Co-Host Agreements'!$A$6:$K$20,8,FALSE),"No")="Yes",H55,0)-N(I55))</f>
        <v/>
      </c>
      <c r="K55" s="42">
        <f>IFERROR(VLOOKUP(B55,'Co-Host Agreements'!$A$6:$K$20,5,FALSE),0)</f>
        <v/>
      </c>
      <c r="L55" s="41">
        <f>IF(B55="","",IFS(IFERROR(VLOOKUP(B55,'Co-Host Agreements'!$A$6:$K$20,4,FALSE),"")="% of NET",J55*K55,IFERROR(VLOOKUP(B55,'Co-Host Agreements'!$A$6:$K$20,4,FALSE),"")="% of GROSS",F55*K55,IFERROR(VLOOKUP(B55,'Co-Host Agreements'!$A$6:$K$20,4,FALSE),"")="Flat per booking",IFERROR(VLOOKUP(B55,'Co-Host Agreements'!$A$6:$K$20,6,FALSE),0),IFERROR(VLOOKUP(B55,'Co-Host Agreements'!$A$6:$K$20,4,FALSE),"")="Hybrid (Flat + % of NET)",IFERROR(VLOOKUP(B55,'Co-Host Agreements'!$A$6:$K$20,6,FALSE),0)+J55*K55,TRUE,0))</f>
        <v/>
      </c>
      <c r="M55" s="41">
        <f>IF(B55="","",J55-L55)</f>
        <v/>
      </c>
      <c r="N55" s="36" t="inlineStr">
        <is>
          <t>Pending</t>
        </is>
      </c>
      <c r="O55" s="36" t="inlineStr"/>
    </row>
    <row r="56" ht="16" customHeight="1">
      <c r="A56" s="39" t="n">
        <v>46154</v>
      </c>
      <c r="B56" s="36" t="inlineStr">
        <is>
          <t>Lakehouse</t>
        </is>
      </c>
      <c r="C56" s="36" t="inlineStr">
        <is>
          <t>Cleo Q.</t>
        </is>
      </c>
      <c r="D56" s="36" t="inlineStr">
        <is>
          <t>VR-51003</t>
        </is>
      </c>
      <c r="E56" s="36" t="inlineStr">
        <is>
          <t>VRBO</t>
        </is>
      </c>
      <c r="F56" s="40" t="n">
        <v>2080</v>
      </c>
      <c r="G56" s="40" t="n">
        <v>175</v>
      </c>
      <c r="H56" s="40" t="n">
        <v>166</v>
      </c>
      <c r="I56" s="40" t="n">
        <v>0</v>
      </c>
      <c r="J56" s="41">
        <f>IF(F56="","",F56-IF(IFERROR(VLOOKUP(B56,'Co-Host Agreements'!$A$6:$K$20,7,FALSE),"No")="Yes",G56,0)-IF(IFERROR(VLOOKUP(B56,'Co-Host Agreements'!$A$6:$K$20,8,FALSE),"No")="Yes",H56,0)-N(I56))</f>
        <v/>
      </c>
      <c r="K56" s="42">
        <f>IFERROR(VLOOKUP(B56,'Co-Host Agreements'!$A$6:$K$20,5,FALSE),0)</f>
        <v/>
      </c>
      <c r="L56" s="41">
        <f>IF(B56="","",IFS(IFERROR(VLOOKUP(B56,'Co-Host Agreements'!$A$6:$K$20,4,FALSE),"")="% of NET",J56*K56,IFERROR(VLOOKUP(B56,'Co-Host Agreements'!$A$6:$K$20,4,FALSE),"")="% of GROSS",F56*K56,IFERROR(VLOOKUP(B56,'Co-Host Agreements'!$A$6:$K$20,4,FALSE),"")="Flat per booking",IFERROR(VLOOKUP(B56,'Co-Host Agreements'!$A$6:$K$20,6,FALSE),0),IFERROR(VLOOKUP(B56,'Co-Host Agreements'!$A$6:$K$20,4,FALSE),"")="Hybrid (Flat + % of NET)",IFERROR(VLOOKUP(B56,'Co-Host Agreements'!$A$6:$K$20,6,FALSE),0)+J56*K56,TRUE,0))</f>
        <v/>
      </c>
      <c r="M56" s="41">
        <f>IF(B56="","",J56-L56)</f>
        <v/>
      </c>
      <c r="N56" s="36" t="inlineStr">
        <is>
          <t>Pending</t>
        </is>
      </c>
      <c r="O56" s="36" t="inlineStr"/>
    </row>
    <row r="57" ht="16" customHeight="1">
      <c r="A57" s="39" t="n">
        <v>46161</v>
      </c>
      <c r="B57" s="36" t="inlineStr">
        <is>
          <t>Lakehouse</t>
        </is>
      </c>
      <c r="C57" s="36" t="inlineStr">
        <is>
          <t>Dilan R.</t>
        </is>
      </c>
      <c r="D57" s="36" t="inlineStr">
        <is>
          <t>AB-91015</t>
        </is>
      </c>
      <c r="E57" s="36" t="inlineStr">
        <is>
          <t>Airbnb</t>
        </is>
      </c>
      <c r="F57" s="40" t="n">
        <v>1860</v>
      </c>
      <c r="G57" s="40" t="n">
        <v>175</v>
      </c>
      <c r="H57" s="40" t="n">
        <v>279</v>
      </c>
      <c r="I57" s="40" t="n">
        <v>0</v>
      </c>
      <c r="J57" s="41">
        <f>IF(F57="","",F57-IF(IFERROR(VLOOKUP(B57,'Co-Host Agreements'!$A$6:$K$20,7,FALSE),"No")="Yes",G57,0)-IF(IFERROR(VLOOKUP(B57,'Co-Host Agreements'!$A$6:$K$20,8,FALSE),"No")="Yes",H57,0)-N(I57))</f>
        <v/>
      </c>
      <c r="K57" s="42">
        <f>IFERROR(VLOOKUP(B57,'Co-Host Agreements'!$A$6:$K$20,5,FALSE),0)</f>
        <v/>
      </c>
      <c r="L57" s="41">
        <f>IF(B57="","",IFS(IFERROR(VLOOKUP(B57,'Co-Host Agreements'!$A$6:$K$20,4,FALSE),"")="% of NET",J57*K57,IFERROR(VLOOKUP(B57,'Co-Host Agreements'!$A$6:$K$20,4,FALSE),"")="% of GROSS",F57*K57,IFERROR(VLOOKUP(B57,'Co-Host Agreements'!$A$6:$K$20,4,FALSE),"")="Flat per booking",IFERROR(VLOOKUP(B57,'Co-Host Agreements'!$A$6:$K$20,6,FALSE),0),IFERROR(VLOOKUP(B57,'Co-Host Agreements'!$A$6:$K$20,4,FALSE),"")="Hybrid (Flat + % of NET)",IFERROR(VLOOKUP(B57,'Co-Host Agreements'!$A$6:$K$20,6,FALSE),0)+J57*K57,TRUE,0))</f>
        <v/>
      </c>
      <c r="M57" s="41">
        <f>IF(B57="","",J57-L57)</f>
        <v/>
      </c>
      <c r="N57" s="36" t="inlineStr">
        <is>
          <t>Pending</t>
        </is>
      </c>
      <c r="O57" s="36" t="inlineStr"/>
    </row>
    <row r="58" ht="16" customHeight="1">
      <c r="A58" s="39" t="n">
        <v>46168</v>
      </c>
      <c r="B58" s="36" t="inlineStr">
        <is>
          <t>Lakehouse</t>
        </is>
      </c>
      <c r="C58" s="36" t="inlineStr">
        <is>
          <t>Esme S.</t>
        </is>
      </c>
      <c r="D58" s="36" t="inlineStr">
        <is>
          <t>AB-91016</t>
        </is>
      </c>
      <c r="E58" s="36" t="inlineStr">
        <is>
          <t>Airbnb</t>
        </is>
      </c>
      <c r="F58" s="40" t="n">
        <v>1980</v>
      </c>
      <c r="G58" s="40" t="n">
        <v>175</v>
      </c>
      <c r="H58" s="40" t="n">
        <v>297</v>
      </c>
      <c r="I58" s="40" t="n">
        <v>0</v>
      </c>
      <c r="J58" s="41">
        <f>IF(F58="","",F58-IF(IFERROR(VLOOKUP(B58,'Co-Host Agreements'!$A$6:$K$20,7,FALSE),"No")="Yes",G58,0)-IF(IFERROR(VLOOKUP(B58,'Co-Host Agreements'!$A$6:$K$20,8,FALSE),"No")="Yes",H58,0)-N(I58))</f>
        <v/>
      </c>
      <c r="K58" s="42">
        <f>IFERROR(VLOOKUP(B58,'Co-Host Agreements'!$A$6:$K$20,5,FALSE),0)</f>
        <v/>
      </c>
      <c r="L58" s="41">
        <f>IF(B58="","",IFS(IFERROR(VLOOKUP(B58,'Co-Host Agreements'!$A$6:$K$20,4,FALSE),"")="% of NET",J58*K58,IFERROR(VLOOKUP(B58,'Co-Host Agreements'!$A$6:$K$20,4,FALSE),"")="% of GROSS",F58*K58,IFERROR(VLOOKUP(B58,'Co-Host Agreements'!$A$6:$K$20,4,FALSE),"")="Flat per booking",IFERROR(VLOOKUP(B58,'Co-Host Agreements'!$A$6:$K$20,6,FALSE),0),IFERROR(VLOOKUP(B58,'Co-Host Agreements'!$A$6:$K$20,4,FALSE),"")="Hybrid (Flat + % of NET)",IFERROR(VLOOKUP(B58,'Co-Host Agreements'!$A$6:$K$20,6,FALSE),0)+J58*K58,TRUE,0))</f>
        <v/>
      </c>
      <c r="M58" s="41">
        <f>IF(B58="","",J58-L58)</f>
        <v/>
      </c>
      <c r="N58" s="36" t="inlineStr">
        <is>
          <t>Pending</t>
        </is>
      </c>
      <c r="O58" s="36" t="inlineStr"/>
    </row>
    <row r="59" ht="16" customHeight="1">
      <c r="A59" s="39" t="n">
        <v>46175</v>
      </c>
      <c r="B59" s="36" t="inlineStr">
        <is>
          <t>Lakehouse</t>
        </is>
      </c>
      <c r="C59" s="36" t="inlineStr">
        <is>
          <t>Fiore T.</t>
        </is>
      </c>
      <c r="D59" s="36" t="inlineStr">
        <is>
          <t>AB-91017</t>
        </is>
      </c>
      <c r="E59" s="36" t="inlineStr">
        <is>
          <t>Airbnb</t>
        </is>
      </c>
      <c r="F59" s="40" t="n">
        <v>1740</v>
      </c>
      <c r="G59" s="40" t="n">
        <v>175</v>
      </c>
      <c r="H59" s="40" t="n">
        <v>261</v>
      </c>
      <c r="I59" s="40" t="n">
        <v>0</v>
      </c>
      <c r="J59" s="41">
        <f>IF(F59="","",F59-IF(IFERROR(VLOOKUP(B59,'Co-Host Agreements'!$A$6:$K$20,7,FALSE),"No")="Yes",G59,0)-IF(IFERROR(VLOOKUP(B59,'Co-Host Agreements'!$A$6:$K$20,8,FALSE),"No")="Yes",H59,0)-N(I59))</f>
        <v/>
      </c>
      <c r="K59" s="42">
        <f>IFERROR(VLOOKUP(B59,'Co-Host Agreements'!$A$6:$K$20,5,FALSE),0)</f>
        <v/>
      </c>
      <c r="L59" s="41">
        <f>IF(B59="","",IFS(IFERROR(VLOOKUP(B59,'Co-Host Agreements'!$A$6:$K$20,4,FALSE),"")="% of NET",J59*K59,IFERROR(VLOOKUP(B59,'Co-Host Agreements'!$A$6:$K$20,4,FALSE),"")="% of GROSS",F59*K59,IFERROR(VLOOKUP(B59,'Co-Host Agreements'!$A$6:$K$20,4,FALSE),"")="Flat per booking",IFERROR(VLOOKUP(B59,'Co-Host Agreements'!$A$6:$K$20,6,FALSE),0),IFERROR(VLOOKUP(B59,'Co-Host Agreements'!$A$6:$K$20,4,FALSE),"")="Hybrid (Flat + % of NET)",IFERROR(VLOOKUP(B59,'Co-Host Agreements'!$A$6:$K$20,6,FALSE),0)+J59*K59,TRUE,0))</f>
        <v/>
      </c>
      <c r="M59" s="41">
        <f>IF(B59="","",J59-L59)</f>
        <v/>
      </c>
      <c r="N59" s="36" t="inlineStr">
        <is>
          <t>Pending</t>
        </is>
      </c>
      <c r="O59" s="36" t="inlineStr"/>
    </row>
    <row r="60" ht="16" customHeight="1">
      <c r="A60" s="39" t="n">
        <v>46182</v>
      </c>
      <c r="B60" s="36" t="inlineStr">
        <is>
          <t>Lakehouse</t>
        </is>
      </c>
      <c r="C60" s="36" t="inlineStr">
        <is>
          <t>Ghita U.</t>
        </is>
      </c>
      <c r="D60" s="36" t="inlineStr">
        <is>
          <t>AB-91018</t>
        </is>
      </c>
      <c r="E60" s="36" t="inlineStr">
        <is>
          <t>Airbnb</t>
        </is>
      </c>
      <c r="F60" s="40" t="n">
        <v>1880</v>
      </c>
      <c r="G60" s="40" t="n">
        <v>175</v>
      </c>
      <c r="H60" s="40" t="n">
        <v>282</v>
      </c>
      <c r="I60" s="40" t="n">
        <v>0</v>
      </c>
      <c r="J60" s="41">
        <f>IF(F60="","",F60-IF(IFERROR(VLOOKUP(B60,'Co-Host Agreements'!$A$6:$K$20,7,FALSE),"No")="Yes",G60,0)-IF(IFERROR(VLOOKUP(B60,'Co-Host Agreements'!$A$6:$K$20,8,FALSE),"No")="Yes",H60,0)-N(I60))</f>
        <v/>
      </c>
      <c r="K60" s="42">
        <f>IFERROR(VLOOKUP(B60,'Co-Host Agreements'!$A$6:$K$20,5,FALSE),0)</f>
        <v/>
      </c>
      <c r="L60" s="41">
        <f>IF(B60="","",IFS(IFERROR(VLOOKUP(B60,'Co-Host Agreements'!$A$6:$K$20,4,FALSE),"")="% of NET",J60*K60,IFERROR(VLOOKUP(B60,'Co-Host Agreements'!$A$6:$K$20,4,FALSE),"")="% of GROSS",F60*K60,IFERROR(VLOOKUP(B60,'Co-Host Agreements'!$A$6:$K$20,4,FALSE),"")="Flat per booking",IFERROR(VLOOKUP(B60,'Co-Host Agreements'!$A$6:$K$20,6,FALSE),0),IFERROR(VLOOKUP(B60,'Co-Host Agreements'!$A$6:$K$20,4,FALSE),"")="Hybrid (Flat + % of NET)",IFERROR(VLOOKUP(B60,'Co-Host Agreements'!$A$6:$K$20,6,FALSE),0)+J60*K60,TRUE,0))</f>
        <v/>
      </c>
      <c r="M60" s="41">
        <f>IF(B60="","",J60-L60)</f>
        <v/>
      </c>
      <c r="N60" s="36" t="inlineStr">
        <is>
          <t>Pending</t>
        </is>
      </c>
      <c r="O60" s="36" t="inlineStr"/>
    </row>
    <row r="61" ht="16" customHeight="1">
      <c r="A61" s="39" t="n">
        <v>46189</v>
      </c>
      <c r="B61" s="36" t="inlineStr">
        <is>
          <t>Lakehouse</t>
        </is>
      </c>
      <c r="C61" s="36" t="inlineStr">
        <is>
          <t>Hadi V.</t>
        </is>
      </c>
      <c r="D61" s="36" t="inlineStr">
        <is>
          <t>DR-01003</t>
        </is>
      </c>
      <c r="E61" s="36" t="inlineStr">
        <is>
          <t>Direct</t>
        </is>
      </c>
      <c r="F61" s="40" t="n">
        <v>1620</v>
      </c>
      <c r="G61" s="40" t="n">
        <v>175</v>
      </c>
      <c r="H61" s="40" t="n">
        <v>0</v>
      </c>
      <c r="I61" s="40" t="n">
        <v>0</v>
      </c>
      <c r="J61" s="41">
        <f>IF(F61="","",F61-IF(IFERROR(VLOOKUP(B61,'Co-Host Agreements'!$A$6:$K$20,7,FALSE),"No")="Yes",G61,0)-IF(IFERROR(VLOOKUP(B61,'Co-Host Agreements'!$A$6:$K$20,8,FALSE),"No")="Yes",H61,0)-N(I61))</f>
        <v/>
      </c>
      <c r="K61" s="42">
        <f>IFERROR(VLOOKUP(B61,'Co-Host Agreements'!$A$6:$K$20,5,FALSE),0)</f>
        <v/>
      </c>
      <c r="L61" s="41">
        <f>IF(B61="","",IFS(IFERROR(VLOOKUP(B61,'Co-Host Agreements'!$A$6:$K$20,4,FALSE),"")="% of NET",J61*K61,IFERROR(VLOOKUP(B61,'Co-Host Agreements'!$A$6:$K$20,4,FALSE),"")="% of GROSS",F61*K61,IFERROR(VLOOKUP(B61,'Co-Host Agreements'!$A$6:$K$20,4,FALSE),"")="Flat per booking",IFERROR(VLOOKUP(B61,'Co-Host Agreements'!$A$6:$K$20,6,FALSE),0),IFERROR(VLOOKUP(B61,'Co-Host Agreements'!$A$6:$K$20,4,FALSE),"")="Hybrid (Flat + % of NET)",IFERROR(VLOOKUP(B61,'Co-Host Agreements'!$A$6:$K$20,6,FALSE),0)+J61*K61,TRUE,0))</f>
        <v/>
      </c>
      <c r="M61" s="41">
        <f>IF(B61="","",J61-L61)</f>
        <v/>
      </c>
      <c r="N61" s="36" t="inlineStr">
        <is>
          <t>Pending</t>
        </is>
      </c>
      <c r="O61" s="36" t="inlineStr"/>
    </row>
    <row r="62" ht="16" customHeight="1">
      <c r="A62" s="39" t="n">
        <v>46196</v>
      </c>
      <c r="B62" s="36" t="inlineStr">
        <is>
          <t>Lakehouse</t>
        </is>
      </c>
      <c r="C62" s="36" t="inlineStr">
        <is>
          <t>Ivo W.</t>
        </is>
      </c>
      <c r="D62" s="36" t="inlineStr">
        <is>
          <t>AB-91019</t>
        </is>
      </c>
      <c r="E62" s="36" t="inlineStr">
        <is>
          <t>Airbnb</t>
        </is>
      </c>
      <c r="F62" s="40" t="n">
        <v>1740</v>
      </c>
      <c r="G62" s="40" t="n">
        <v>175</v>
      </c>
      <c r="H62" s="40" t="n">
        <v>261</v>
      </c>
      <c r="I62" s="40" t="n">
        <v>0</v>
      </c>
      <c r="J62" s="41">
        <f>IF(F62="","",F62-IF(IFERROR(VLOOKUP(B62,'Co-Host Agreements'!$A$6:$K$20,7,FALSE),"No")="Yes",G62,0)-IF(IFERROR(VLOOKUP(B62,'Co-Host Agreements'!$A$6:$K$20,8,FALSE),"No")="Yes",H62,0)-N(I62))</f>
        <v/>
      </c>
      <c r="K62" s="42">
        <f>IFERROR(VLOOKUP(B62,'Co-Host Agreements'!$A$6:$K$20,5,FALSE),0)</f>
        <v/>
      </c>
      <c r="L62" s="41">
        <f>IF(B62="","",IFS(IFERROR(VLOOKUP(B62,'Co-Host Agreements'!$A$6:$K$20,4,FALSE),"")="% of NET",J62*K62,IFERROR(VLOOKUP(B62,'Co-Host Agreements'!$A$6:$K$20,4,FALSE),"")="% of GROSS",F62*K62,IFERROR(VLOOKUP(B62,'Co-Host Agreements'!$A$6:$K$20,4,FALSE),"")="Flat per booking",IFERROR(VLOOKUP(B62,'Co-Host Agreements'!$A$6:$K$20,6,FALSE),0),IFERROR(VLOOKUP(B62,'Co-Host Agreements'!$A$6:$K$20,4,FALSE),"")="Hybrid (Flat + % of NET)",IFERROR(VLOOKUP(B62,'Co-Host Agreements'!$A$6:$K$20,6,FALSE),0)+J62*K62,TRUE,0))</f>
        <v/>
      </c>
      <c r="M62" s="41">
        <f>IF(B62="","",J62-L62)</f>
        <v/>
      </c>
      <c r="N62" s="36" t="inlineStr">
        <is>
          <t>Pending</t>
        </is>
      </c>
      <c r="O62" s="36" t="inlineStr"/>
    </row>
    <row r="63" ht="16" customHeight="1">
      <c r="A63" s="39" t="n">
        <v>46203</v>
      </c>
      <c r="B63" s="36" t="inlineStr">
        <is>
          <t>Lakehouse</t>
        </is>
      </c>
      <c r="C63" s="36" t="inlineStr">
        <is>
          <t>Jara X.</t>
        </is>
      </c>
      <c r="D63" s="36" t="inlineStr">
        <is>
          <t>AB-91020</t>
        </is>
      </c>
      <c r="E63" s="36" t="inlineStr">
        <is>
          <t>Airbnb</t>
        </is>
      </c>
      <c r="F63" s="40" t="n">
        <v>1880</v>
      </c>
      <c r="G63" s="40" t="n">
        <v>175</v>
      </c>
      <c r="H63" s="40" t="n">
        <v>282</v>
      </c>
      <c r="I63" s="40" t="n">
        <v>0</v>
      </c>
      <c r="J63" s="41">
        <f>IF(F63="","",F63-IF(IFERROR(VLOOKUP(B63,'Co-Host Agreements'!$A$6:$K$20,7,FALSE),"No")="Yes",G63,0)-IF(IFERROR(VLOOKUP(B63,'Co-Host Agreements'!$A$6:$K$20,8,FALSE),"No")="Yes",H63,0)-N(I63))</f>
        <v/>
      </c>
      <c r="K63" s="42">
        <f>IFERROR(VLOOKUP(B63,'Co-Host Agreements'!$A$6:$K$20,5,FALSE),0)</f>
        <v/>
      </c>
      <c r="L63" s="41">
        <f>IF(B63="","",IFS(IFERROR(VLOOKUP(B63,'Co-Host Agreements'!$A$6:$K$20,4,FALSE),"")="% of NET",J63*K63,IFERROR(VLOOKUP(B63,'Co-Host Agreements'!$A$6:$K$20,4,FALSE),"")="% of GROSS",F63*K63,IFERROR(VLOOKUP(B63,'Co-Host Agreements'!$A$6:$K$20,4,FALSE),"")="Flat per booking",IFERROR(VLOOKUP(B63,'Co-Host Agreements'!$A$6:$K$20,6,FALSE),0),IFERROR(VLOOKUP(B63,'Co-Host Agreements'!$A$6:$K$20,4,FALSE),"")="Hybrid (Flat + % of NET)",IFERROR(VLOOKUP(B63,'Co-Host Agreements'!$A$6:$K$20,6,FALSE),0)+J63*K63,TRUE,0))</f>
        <v/>
      </c>
      <c r="M63" s="41">
        <f>IF(B63="","",J63-L63)</f>
        <v/>
      </c>
      <c r="N63" s="36" t="inlineStr">
        <is>
          <t>Pending</t>
        </is>
      </c>
      <c r="O63" s="36" t="inlineStr"/>
    </row>
    <row r="64" ht="16" customHeight="1">
      <c r="A64" s="39" t="n">
        <v>46210</v>
      </c>
      <c r="B64" s="36" t="inlineStr">
        <is>
          <t>Lakehouse</t>
        </is>
      </c>
      <c r="C64" s="36" t="inlineStr">
        <is>
          <t>Kit Y.</t>
        </is>
      </c>
      <c r="D64" s="36" t="inlineStr">
        <is>
          <t>AB-91021</t>
        </is>
      </c>
      <c r="E64" s="36" t="inlineStr">
        <is>
          <t>Airbnb</t>
        </is>
      </c>
      <c r="F64" s="40" t="n">
        <v>1980</v>
      </c>
      <c r="G64" s="40" t="n">
        <v>175</v>
      </c>
      <c r="H64" s="40" t="n">
        <v>297</v>
      </c>
      <c r="I64" s="40" t="n">
        <v>0</v>
      </c>
      <c r="J64" s="41">
        <f>IF(F64="","",F64-IF(IFERROR(VLOOKUP(B64,'Co-Host Agreements'!$A$6:$K$20,7,FALSE),"No")="Yes",G64,0)-IF(IFERROR(VLOOKUP(B64,'Co-Host Agreements'!$A$6:$K$20,8,FALSE),"No")="Yes",H64,0)-N(I64))</f>
        <v/>
      </c>
      <c r="K64" s="42">
        <f>IFERROR(VLOOKUP(B64,'Co-Host Agreements'!$A$6:$K$20,5,FALSE),0)</f>
        <v/>
      </c>
      <c r="L64" s="41">
        <f>IF(B64="","",IFS(IFERROR(VLOOKUP(B64,'Co-Host Agreements'!$A$6:$K$20,4,FALSE),"")="% of NET",J64*K64,IFERROR(VLOOKUP(B64,'Co-Host Agreements'!$A$6:$K$20,4,FALSE),"")="% of GROSS",F64*K64,IFERROR(VLOOKUP(B64,'Co-Host Agreements'!$A$6:$K$20,4,FALSE),"")="Flat per booking",IFERROR(VLOOKUP(B64,'Co-Host Agreements'!$A$6:$K$20,6,FALSE),0),IFERROR(VLOOKUP(B64,'Co-Host Agreements'!$A$6:$K$20,4,FALSE),"")="Hybrid (Flat + % of NET)",IFERROR(VLOOKUP(B64,'Co-Host Agreements'!$A$6:$K$20,6,FALSE),0)+J64*K64,TRUE,0))</f>
        <v/>
      </c>
      <c r="M64" s="41">
        <f>IF(B64="","",J64-L64)</f>
        <v/>
      </c>
      <c r="N64" s="36" t="inlineStr">
        <is>
          <t>Pending</t>
        </is>
      </c>
      <c r="O64" s="36" t="inlineStr"/>
    </row>
    <row r="65" ht="16" customHeight="1">
      <c r="A65" s="39" t="n">
        <v>46217</v>
      </c>
      <c r="B65" s="36" t="inlineStr">
        <is>
          <t>Lakehouse</t>
        </is>
      </c>
      <c r="C65" s="36" t="inlineStr">
        <is>
          <t>Lyra Z.</t>
        </is>
      </c>
      <c r="D65" s="36" t="inlineStr">
        <is>
          <t>VR-51004</t>
        </is>
      </c>
      <c r="E65" s="36" t="inlineStr">
        <is>
          <t>VRBO</t>
        </is>
      </c>
      <c r="F65" s="40" t="n">
        <v>1860</v>
      </c>
      <c r="G65" s="40" t="n">
        <v>175</v>
      </c>
      <c r="H65" s="40" t="n">
        <v>149</v>
      </c>
      <c r="I65" s="40" t="n">
        <v>0</v>
      </c>
      <c r="J65" s="41">
        <f>IF(F65="","",F65-IF(IFERROR(VLOOKUP(B65,'Co-Host Agreements'!$A$6:$K$20,7,FALSE),"No")="Yes",G65,0)-IF(IFERROR(VLOOKUP(B65,'Co-Host Agreements'!$A$6:$K$20,8,FALSE),"No")="Yes",H65,0)-N(I65))</f>
        <v/>
      </c>
      <c r="K65" s="42">
        <f>IFERROR(VLOOKUP(B65,'Co-Host Agreements'!$A$6:$K$20,5,FALSE),0)</f>
        <v/>
      </c>
      <c r="L65" s="41">
        <f>IF(B65="","",IFS(IFERROR(VLOOKUP(B65,'Co-Host Agreements'!$A$6:$K$20,4,FALSE),"")="% of NET",J65*K65,IFERROR(VLOOKUP(B65,'Co-Host Agreements'!$A$6:$K$20,4,FALSE),"")="% of GROSS",F65*K65,IFERROR(VLOOKUP(B65,'Co-Host Agreements'!$A$6:$K$20,4,FALSE),"")="Flat per booking",IFERROR(VLOOKUP(B65,'Co-Host Agreements'!$A$6:$K$20,6,FALSE),0),IFERROR(VLOOKUP(B65,'Co-Host Agreements'!$A$6:$K$20,4,FALSE),"")="Hybrid (Flat + % of NET)",IFERROR(VLOOKUP(B65,'Co-Host Agreements'!$A$6:$K$20,6,FALSE),0)+J65*K65,TRUE,0))</f>
        <v/>
      </c>
      <c r="M65" s="41">
        <f>IF(B65="","",J65-L65)</f>
        <v/>
      </c>
      <c r="N65" s="36" t="inlineStr">
        <is>
          <t>Pending</t>
        </is>
      </c>
      <c r="O65" s="36" t="inlineStr"/>
    </row>
    <row r="66" ht="16" customHeight="1">
      <c r="A66" s="39" t="n">
        <v>46030</v>
      </c>
      <c r="B66" s="36" t="inlineStr">
        <is>
          <t>Creek Side</t>
        </is>
      </c>
      <c r="C66" s="36" t="inlineStr">
        <is>
          <t>Mara A.</t>
        </is>
      </c>
      <c r="D66" s="36" t="inlineStr">
        <is>
          <t>AB-92001</t>
        </is>
      </c>
      <c r="E66" s="36" t="inlineStr">
        <is>
          <t>Airbnb</t>
        </is>
      </c>
      <c r="F66" s="40" t="n">
        <v>1240</v>
      </c>
      <c r="G66" s="40" t="n">
        <v>120</v>
      </c>
      <c r="H66" s="40" t="n">
        <v>186</v>
      </c>
      <c r="I66" s="40" t="n">
        <v>0</v>
      </c>
      <c r="J66" s="41">
        <f>IF(F66="","",F66-IF(IFERROR(VLOOKUP(B66,'Co-Host Agreements'!$A$6:$K$20,7,FALSE),"No")="Yes",G66,0)-IF(IFERROR(VLOOKUP(B66,'Co-Host Agreements'!$A$6:$K$20,8,FALSE),"No")="Yes",H66,0)-N(I66))</f>
        <v/>
      </c>
      <c r="K66" s="42">
        <f>IFERROR(VLOOKUP(B66,'Co-Host Agreements'!$A$6:$K$20,5,FALSE),0)</f>
        <v/>
      </c>
      <c r="L66" s="41">
        <f>IF(B66="","",IFS(IFERROR(VLOOKUP(B66,'Co-Host Agreements'!$A$6:$K$20,4,FALSE),"")="% of NET",J66*K66,IFERROR(VLOOKUP(B66,'Co-Host Agreements'!$A$6:$K$20,4,FALSE),"")="% of GROSS",F66*K66,IFERROR(VLOOKUP(B66,'Co-Host Agreements'!$A$6:$K$20,4,FALSE),"")="Flat per booking",IFERROR(VLOOKUP(B66,'Co-Host Agreements'!$A$6:$K$20,6,FALSE),0),IFERROR(VLOOKUP(B66,'Co-Host Agreements'!$A$6:$K$20,4,FALSE),"")="Hybrid (Flat + % of NET)",IFERROR(VLOOKUP(B66,'Co-Host Agreements'!$A$6:$K$20,6,FALSE),0)+J66*K66,TRUE,0))</f>
        <v/>
      </c>
      <c r="M66" s="41">
        <f>IF(B66="","",J66-L66)</f>
        <v/>
      </c>
      <c r="N66" s="36" t="inlineStr">
        <is>
          <t>Paid</t>
        </is>
      </c>
      <c r="O66" s="36" t="inlineStr"/>
    </row>
    <row r="67" ht="16" customHeight="1">
      <c r="A67" s="39" t="n">
        <v>46037</v>
      </c>
      <c r="B67" s="36" t="inlineStr">
        <is>
          <t>Creek Side</t>
        </is>
      </c>
      <c r="C67" s="36" t="inlineStr">
        <is>
          <t>Nico B.</t>
        </is>
      </c>
      <c r="D67" s="36" t="inlineStr">
        <is>
          <t>AB-92002</t>
        </is>
      </c>
      <c r="E67" s="36" t="inlineStr">
        <is>
          <t>Airbnb</t>
        </is>
      </c>
      <c r="F67" s="40" t="n">
        <v>1180</v>
      </c>
      <c r="G67" s="40" t="n">
        <v>120</v>
      </c>
      <c r="H67" s="40" t="n">
        <v>177</v>
      </c>
      <c r="I67" s="40" t="n">
        <v>0</v>
      </c>
      <c r="J67" s="41">
        <f>IF(F67="","",F67-IF(IFERROR(VLOOKUP(B67,'Co-Host Agreements'!$A$6:$K$20,7,FALSE),"No")="Yes",G67,0)-IF(IFERROR(VLOOKUP(B67,'Co-Host Agreements'!$A$6:$K$20,8,FALSE),"No")="Yes",H67,0)-N(I67))</f>
        <v/>
      </c>
      <c r="K67" s="42">
        <f>IFERROR(VLOOKUP(B67,'Co-Host Agreements'!$A$6:$K$20,5,FALSE),0)</f>
        <v/>
      </c>
      <c r="L67" s="41">
        <f>IF(B67="","",IFS(IFERROR(VLOOKUP(B67,'Co-Host Agreements'!$A$6:$K$20,4,FALSE),"")="% of NET",J67*K67,IFERROR(VLOOKUP(B67,'Co-Host Agreements'!$A$6:$K$20,4,FALSE),"")="% of GROSS",F67*K67,IFERROR(VLOOKUP(B67,'Co-Host Agreements'!$A$6:$K$20,4,FALSE),"")="Flat per booking",IFERROR(VLOOKUP(B67,'Co-Host Agreements'!$A$6:$K$20,6,FALSE),0),IFERROR(VLOOKUP(B67,'Co-Host Agreements'!$A$6:$K$20,4,FALSE),"")="Hybrid (Flat + % of NET)",IFERROR(VLOOKUP(B67,'Co-Host Agreements'!$A$6:$K$20,6,FALSE),0)+J67*K67,TRUE,0))</f>
        <v/>
      </c>
      <c r="M67" s="41">
        <f>IF(B67="","",J67-L67)</f>
        <v/>
      </c>
      <c r="N67" s="36" t="inlineStr">
        <is>
          <t>Paid</t>
        </is>
      </c>
      <c r="O67" s="36" t="inlineStr"/>
    </row>
    <row r="68" ht="16" customHeight="1">
      <c r="A68" s="39" t="n">
        <v>46044</v>
      </c>
      <c r="B68" s="36" t="inlineStr">
        <is>
          <t>Creek Side</t>
        </is>
      </c>
      <c r="C68" s="36" t="inlineStr">
        <is>
          <t>Otis C.</t>
        </is>
      </c>
      <c r="D68" s="36" t="inlineStr">
        <is>
          <t>VR-52001</t>
        </is>
      </c>
      <c r="E68" s="36" t="inlineStr">
        <is>
          <t>VRBO</t>
        </is>
      </c>
      <c r="F68" s="40" t="n">
        <v>1340</v>
      </c>
      <c r="G68" s="40" t="n">
        <v>120</v>
      </c>
      <c r="H68" s="40" t="n">
        <v>107</v>
      </c>
      <c r="I68" s="40" t="n">
        <v>0</v>
      </c>
      <c r="J68" s="41">
        <f>IF(F68="","",F68-IF(IFERROR(VLOOKUP(B68,'Co-Host Agreements'!$A$6:$K$20,7,FALSE),"No")="Yes",G68,0)-IF(IFERROR(VLOOKUP(B68,'Co-Host Agreements'!$A$6:$K$20,8,FALSE),"No")="Yes",H68,0)-N(I68))</f>
        <v/>
      </c>
      <c r="K68" s="42">
        <f>IFERROR(VLOOKUP(B68,'Co-Host Agreements'!$A$6:$K$20,5,FALSE),0)</f>
        <v/>
      </c>
      <c r="L68" s="41">
        <f>IF(B68="","",IFS(IFERROR(VLOOKUP(B68,'Co-Host Agreements'!$A$6:$K$20,4,FALSE),"")="% of NET",J68*K68,IFERROR(VLOOKUP(B68,'Co-Host Agreements'!$A$6:$K$20,4,FALSE),"")="% of GROSS",F68*K68,IFERROR(VLOOKUP(B68,'Co-Host Agreements'!$A$6:$K$20,4,FALSE),"")="Flat per booking",IFERROR(VLOOKUP(B68,'Co-Host Agreements'!$A$6:$K$20,6,FALSE),0),IFERROR(VLOOKUP(B68,'Co-Host Agreements'!$A$6:$K$20,4,FALSE),"")="Hybrid (Flat + % of NET)",IFERROR(VLOOKUP(B68,'Co-Host Agreements'!$A$6:$K$20,6,FALSE),0)+J68*K68,TRUE,0))</f>
        <v/>
      </c>
      <c r="M68" s="41">
        <f>IF(B68="","",J68-L68)</f>
        <v/>
      </c>
      <c r="N68" s="36" t="inlineStr">
        <is>
          <t>Paid</t>
        </is>
      </c>
      <c r="O68" s="36" t="inlineStr"/>
    </row>
    <row r="69" ht="16" customHeight="1">
      <c r="A69" s="39" t="n">
        <v>46051</v>
      </c>
      <c r="B69" s="36" t="inlineStr">
        <is>
          <t>Creek Side</t>
        </is>
      </c>
      <c r="C69" s="36" t="inlineStr">
        <is>
          <t>Pia D.</t>
        </is>
      </c>
      <c r="D69" s="36" t="inlineStr">
        <is>
          <t>AB-92003</t>
        </is>
      </c>
      <c r="E69" s="36" t="inlineStr">
        <is>
          <t>Airbnb</t>
        </is>
      </c>
      <c r="F69" s="40" t="n">
        <v>1180</v>
      </c>
      <c r="G69" s="40" t="n">
        <v>120</v>
      </c>
      <c r="H69" s="40" t="n">
        <v>177</v>
      </c>
      <c r="I69" s="40" t="n">
        <v>0</v>
      </c>
      <c r="J69" s="41">
        <f>IF(F69="","",F69-IF(IFERROR(VLOOKUP(B69,'Co-Host Agreements'!$A$6:$K$20,7,FALSE),"No")="Yes",G69,0)-IF(IFERROR(VLOOKUP(B69,'Co-Host Agreements'!$A$6:$K$20,8,FALSE),"No")="Yes",H69,0)-N(I69))</f>
        <v/>
      </c>
      <c r="K69" s="42">
        <f>IFERROR(VLOOKUP(B69,'Co-Host Agreements'!$A$6:$K$20,5,FALSE),0)</f>
        <v/>
      </c>
      <c r="L69" s="41">
        <f>IF(B69="","",IFS(IFERROR(VLOOKUP(B69,'Co-Host Agreements'!$A$6:$K$20,4,FALSE),"")="% of NET",J69*K69,IFERROR(VLOOKUP(B69,'Co-Host Agreements'!$A$6:$K$20,4,FALSE),"")="% of GROSS",F69*K69,IFERROR(VLOOKUP(B69,'Co-Host Agreements'!$A$6:$K$20,4,FALSE),"")="Flat per booking",IFERROR(VLOOKUP(B69,'Co-Host Agreements'!$A$6:$K$20,6,FALSE),0),IFERROR(VLOOKUP(B69,'Co-Host Agreements'!$A$6:$K$20,4,FALSE),"")="Hybrid (Flat + % of NET)",IFERROR(VLOOKUP(B69,'Co-Host Agreements'!$A$6:$K$20,6,FALSE),0)+J69*K69,TRUE,0))</f>
        <v/>
      </c>
      <c r="M69" s="41">
        <f>IF(B69="","",J69-L69)</f>
        <v/>
      </c>
      <c r="N69" s="36" t="inlineStr">
        <is>
          <t>Paid</t>
        </is>
      </c>
      <c r="O69" s="36" t="inlineStr"/>
    </row>
    <row r="70" ht="16" customHeight="1">
      <c r="A70" s="39" t="n">
        <v>46058</v>
      </c>
      <c r="B70" s="36" t="inlineStr">
        <is>
          <t>Creek Side</t>
        </is>
      </c>
      <c r="C70" s="36" t="inlineStr">
        <is>
          <t>Quinn E.</t>
        </is>
      </c>
      <c r="D70" s="36" t="inlineStr">
        <is>
          <t>AB-92004</t>
        </is>
      </c>
      <c r="E70" s="36" t="inlineStr">
        <is>
          <t>Airbnb</t>
        </is>
      </c>
      <c r="F70" s="40" t="n">
        <v>1240</v>
      </c>
      <c r="G70" s="40" t="n">
        <v>120</v>
      </c>
      <c r="H70" s="40" t="n">
        <v>186</v>
      </c>
      <c r="I70" s="40" t="n">
        <v>0</v>
      </c>
      <c r="J70" s="41">
        <f>IF(F70="","",F70-IF(IFERROR(VLOOKUP(B70,'Co-Host Agreements'!$A$6:$K$20,7,FALSE),"No")="Yes",G70,0)-IF(IFERROR(VLOOKUP(B70,'Co-Host Agreements'!$A$6:$K$20,8,FALSE),"No")="Yes",H70,0)-N(I70))</f>
        <v/>
      </c>
      <c r="K70" s="42">
        <f>IFERROR(VLOOKUP(B70,'Co-Host Agreements'!$A$6:$K$20,5,FALSE),0)</f>
        <v/>
      </c>
      <c r="L70" s="41">
        <f>IF(B70="","",IFS(IFERROR(VLOOKUP(B70,'Co-Host Agreements'!$A$6:$K$20,4,FALSE),"")="% of NET",J70*K70,IFERROR(VLOOKUP(B70,'Co-Host Agreements'!$A$6:$K$20,4,FALSE),"")="% of GROSS",F70*K70,IFERROR(VLOOKUP(B70,'Co-Host Agreements'!$A$6:$K$20,4,FALSE),"")="Flat per booking",IFERROR(VLOOKUP(B70,'Co-Host Agreements'!$A$6:$K$20,6,FALSE),0),IFERROR(VLOOKUP(B70,'Co-Host Agreements'!$A$6:$K$20,4,FALSE),"")="Hybrid (Flat + % of NET)",IFERROR(VLOOKUP(B70,'Co-Host Agreements'!$A$6:$K$20,6,FALSE),0)+J70*K70,TRUE,0))</f>
        <v/>
      </c>
      <c r="M70" s="41">
        <f>IF(B70="","",J70-L70)</f>
        <v/>
      </c>
      <c r="N70" s="36" t="inlineStr">
        <is>
          <t>Paid</t>
        </is>
      </c>
      <c r="O70" s="36" t="inlineStr"/>
    </row>
    <row r="71" ht="16" customHeight="1">
      <c r="A71" s="39" t="n">
        <v>46065</v>
      </c>
      <c r="B71" s="36" t="inlineStr">
        <is>
          <t>Creek Side</t>
        </is>
      </c>
      <c r="C71" s="36" t="inlineStr">
        <is>
          <t>Rae F.</t>
        </is>
      </c>
      <c r="D71" s="36" t="inlineStr">
        <is>
          <t>DR-02001</t>
        </is>
      </c>
      <c r="E71" s="36" t="inlineStr">
        <is>
          <t>Direct</t>
        </is>
      </c>
      <c r="F71" s="40" t="n">
        <v>1180</v>
      </c>
      <c r="G71" s="40" t="n">
        <v>120</v>
      </c>
      <c r="H71" s="40" t="n">
        <v>0</v>
      </c>
      <c r="I71" s="40" t="n">
        <v>0</v>
      </c>
      <c r="J71" s="41">
        <f>IF(F71="","",F71-IF(IFERROR(VLOOKUP(B71,'Co-Host Agreements'!$A$6:$K$20,7,FALSE),"No")="Yes",G71,0)-IF(IFERROR(VLOOKUP(B71,'Co-Host Agreements'!$A$6:$K$20,8,FALSE),"No")="Yes",H71,0)-N(I71))</f>
        <v/>
      </c>
      <c r="K71" s="42">
        <f>IFERROR(VLOOKUP(B71,'Co-Host Agreements'!$A$6:$K$20,5,FALSE),0)</f>
        <v/>
      </c>
      <c r="L71" s="41">
        <f>IF(B71="","",IFS(IFERROR(VLOOKUP(B71,'Co-Host Agreements'!$A$6:$K$20,4,FALSE),"")="% of NET",J71*K71,IFERROR(VLOOKUP(B71,'Co-Host Agreements'!$A$6:$K$20,4,FALSE),"")="% of GROSS",F71*K71,IFERROR(VLOOKUP(B71,'Co-Host Agreements'!$A$6:$K$20,4,FALSE),"")="Flat per booking",IFERROR(VLOOKUP(B71,'Co-Host Agreements'!$A$6:$K$20,6,FALSE),0),IFERROR(VLOOKUP(B71,'Co-Host Agreements'!$A$6:$K$20,4,FALSE),"")="Hybrid (Flat + % of NET)",IFERROR(VLOOKUP(B71,'Co-Host Agreements'!$A$6:$K$20,6,FALSE),0)+J71*K71,TRUE,0))</f>
        <v/>
      </c>
      <c r="M71" s="41">
        <f>IF(B71="","",J71-L71)</f>
        <v/>
      </c>
      <c r="N71" s="36" t="inlineStr">
        <is>
          <t>Paid</t>
        </is>
      </c>
      <c r="O71" s="36" t="inlineStr"/>
    </row>
    <row r="72" ht="16" customHeight="1">
      <c r="A72" s="39" t="n">
        <v>46072</v>
      </c>
      <c r="B72" s="36" t="inlineStr">
        <is>
          <t>Creek Side</t>
        </is>
      </c>
      <c r="C72" s="36" t="inlineStr">
        <is>
          <t>Sky G.</t>
        </is>
      </c>
      <c r="D72" s="36" t="inlineStr">
        <is>
          <t>AB-92005</t>
        </is>
      </c>
      <c r="E72" s="36" t="inlineStr">
        <is>
          <t>Airbnb</t>
        </is>
      </c>
      <c r="F72" s="40" t="n">
        <v>1340</v>
      </c>
      <c r="G72" s="40" t="n">
        <v>120</v>
      </c>
      <c r="H72" s="40" t="n">
        <v>201</v>
      </c>
      <c r="I72" s="40" t="n">
        <v>0</v>
      </c>
      <c r="J72" s="41">
        <f>IF(F72="","",F72-IF(IFERROR(VLOOKUP(B72,'Co-Host Agreements'!$A$6:$K$20,7,FALSE),"No")="Yes",G72,0)-IF(IFERROR(VLOOKUP(B72,'Co-Host Agreements'!$A$6:$K$20,8,FALSE),"No")="Yes",H72,0)-N(I72))</f>
        <v/>
      </c>
      <c r="K72" s="42">
        <f>IFERROR(VLOOKUP(B72,'Co-Host Agreements'!$A$6:$K$20,5,FALSE),0)</f>
        <v/>
      </c>
      <c r="L72" s="41">
        <f>IF(B72="","",IFS(IFERROR(VLOOKUP(B72,'Co-Host Agreements'!$A$6:$K$20,4,FALSE),"")="% of NET",J72*K72,IFERROR(VLOOKUP(B72,'Co-Host Agreements'!$A$6:$K$20,4,FALSE),"")="% of GROSS",F72*K72,IFERROR(VLOOKUP(B72,'Co-Host Agreements'!$A$6:$K$20,4,FALSE),"")="Flat per booking",IFERROR(VLOOKUP(B72,'Co-Host Agreements'!$A$6:$K$20,6,FALSE),0),IFERROR(VLOOKUP(B72,'Co-Host Agreements'!$A$6:$K$20,4,FALSE),"")="Hybrid (Flat + % of NET)",IFERROR(VLOOKUP(B72,'Co-Host Agreements'!$A$6:$K$20,6,FALSE),0)+J72*K72,TRUE,0))</f>
        <v/>
      </c>
      <c r="M72" s="41">
        <f>IF(B72="","",J72-L72)</f>
        <v/>
      </c>
      <c r="N72" s="36" t="inlineStr">
        <is>
          <t>Paid</t>
        </is>
      </c>
      <c r="O72" s="36" t="inlineStr"/>
    </row>
    <row r="73" ht="16" customHeight="1">
      <c r="A73" s="39" t="n">
        <v>46079</v>
      </c>
      <c r="B73" s="36" t="inlineStr">
        <is>
          <t>Creek Side</t>
        </is>
      </c>
      <c r="C73" s="36" t="inlineStr">
        <is>
          <t>Tobi H.</t>
        </is>
      </c>
      <c r="D73" s="36" t="inlineStr">
        <is>
          <t>AB-92006</t>
        </is>
      </c>
      <c r="E73" s="36" t="inlineStr">
        <is>
          <t>Airbnb</t>
        </is>
      </c>
      <c r="F73" s="40" t="n">
        <v>1080</v>
      </c>
      <c r="G73" s="40" t="n">
        <v>120</v>
      </c>
      <c r="H73" s="40" t="n">
        <v>162</v>
      </c>
      <c r="I73" s="40" t="n">
        <v>0</v>
      </c>
      <c r="J73" s="41">
        <f>IF(F73="","",F73-IF(IFERROR(VLOOKUP(B73,'Co-Host Agreements'!$A$6:$K$20,7,FALSE),"No")="Yes",G73,0)-IF(IFERROR(VLOOKUP(B73,'Co-Host Agreements'!$A$6:$K$20,8,FALSE),"No")="Yes",H73,0)-N(I73))</f>
        <v/>
      </c>
      <c r="K73" s="42">
        <f>IFERROR(VLOOKUP(B73,'Co-Host Agreements'!$A$6:$K$20,5,FALSE),0)</f>
        <v/>
      </c>
      <c r="L73" s="41">
        <f>IF(B73="","",IFS(IFERROR(VLOOKUP(B73,'Co-Host Agreements'!$A$6:$K$20,4,FALSE),"")="% of NET",J73*K73,IFERROR(VLOOKUP(B73,'Co-Host Agreements'!$A$6:$K$20,4,FALSE),"")="% of GROSS",F73*K73,IFERROR(VLOOKUP(B73,'Co-Host Agreements'!$A$6:$K$20,4,FALSE),"")="Flat per booking",IFERROR(VLOOKUP(B73,'Co-Host Agreements'!$A$6:$K$20,6,FALSE),0),IFERROR(VLOOKUP(B73,'Co-Host Agreements'!$A$6:$K$20,4,FALSE),"")="Hybrid (Flat + % of NET)",IFERROR(VLOOKUP(B73,'Co-Host Agreements'!$A$6:$K$20,6,FALSE),0)+J73*K73,TRUE,0))</f>
        <v/>
      </c>
      <c r="M73" s="41">
        <f>IF(B73="","",J73-L73)</f>
        <v/>
      </c>
      <c r="N73" s="36" t="inlineStr">
        <is>
          <t>Paid</t>
        </is>
      </c>
      <c r="O73" s="36" t="inlineStr"/>
    </row>
    <row r="74" ht="16" customHeight="1">
      <c r="A74" s="39" t="n">
        <v>46086</v>
      </c>
      <c r="B74" s="36" t="inlineStr">
        <is>
          <t>Creek Side</t>
        </is>
      </c>
      <c r="C74" s="36" t="inlineStr">
        <is>
          <t>Uli I.</t>
        </is>
      </c>
      <c r="D74" s="36" t="inlineStr">
        <is>
          <t>AB-92007</t>
        </is>
      </c>
      <c r="E74" s="36" t="inlineStr">
        <is>
          <t>Airbnb</t>
        </is>
      </c>
      <c r="F74" s="40" t="n">
        <v>1240</v>
      </c>
      <c r="G74" s="40" t="n">
        <v>120</v>
      </c>
      <c r="H74" s="40" t="n">
        <v>186</v>
      </c>
      <c r="I74" s="40" t="n">
        <v>0</v>
      </c>
      <c r="J74" s="41">
        <f>IF(F74="","",F74-IF(IFERROR(VLOOKUP(B74,'Co-Host Agreements'!$A$6:$K$20,7,FALSE),"No")="Yes",G74,0)-IF(IFERROR(VLOOKUP(B74,'Co-Host Agreements'!$A$6:$K$20,8,FALSE),"No")="Yes",H74,0)-N(I74))</f>
        <v/>
      </c>
      <c r="K74" s="42">
        <f>IFERROR(VLOOKUP(B74,'Co-Host Agreements'!$A$6:$K$20,5,FALSE),0)</f>
        <v/>
      </c>
      <c r="L74" s="41">
        <f>IF(B74="","",IFS(IFERROR(VLOOKUP(B74,'Co-Host Agreements'!$A$6:$K$20,4,FALSE),"")="% of NET",J74*K74,IFERROR(VLOOKUP(B74,'Co-Host Agreements'!$A$6:$K$20,4,FALSE),"")="% of GROSS",F74*K74,IFERROR(VLOOKUP(B74,'Co-Host Agreements'!$A$6:$K$20,4,FALSE),"")="Flat per booking",IFERROR(VLOOKUP(B74,'Co-Host Agreements'!$A$6:$K$20,6,FALSE),0),IFERROR(VLOOKUP(B74,'Co-Host Agreements'!$A$6:$K$20,4,FALSE),"")="Hybrid (Flat + % of NET)",IFERROR(VLOOKUP(B74,'Co-Host Agreements'!$A$6:$K$20,6,FALSE),0)+J74*K74,TRUE,0))</f>
        <v/>
      </c>
      <c r="M74" s="41">
        <f>IF(B74="","",J74-L74)</f>
        <v/>
      </c>
      <c r="N74" s="36" t="inlineStr">
        <is>
          <t>Paid</t>
        </is>
      </c>
      <c r="O74" s="36" t="inlineStr"/>
    </row>
    <row r="75" ht="16" customHeight="1">
      <c r="A75" s="39" t="n">
        <v>46093</v>
      </c>
      <c r="B75" s="36" t="inlineStr">
        <is>
          <t>Creek Side</t>
        </is>
      </c>
      <c r="C75" s="36" t="inlineStr">
        <is>
          <t>Vali J.</t>
        </is>
      </c>
      <c r="D75" s="36" t="inlineStr">
        <is>
          <t>VR-52002</t>
        </is>
      </c>
      <c r="E75" s="36" t="inlineStr">
        <is>
          <t>VRBO</t>
        </is>
      </c>
      <c r="F75" s="40" t="n">
        <v>1180</v>
      </c>
      <c r="G75" s="40" t="n">
        <v>120</v>
      </c>
      <c r="H75" s="40" t="n">
        <v>94</v>
      </c>
      <c r="I75" s="40" t="n">
        <v>0</v>
      </c>
      <c r="J75" s="41">
        <f>IF(F75="","",F75-IF(IFERROR(VLOOKUP(B75,'Co-Host Agreements'!$A$6:$K$20,7,FALSE),"No")="Yes",G75,0)-IF(IFERROR(VLOOKUP(B75,'Co-Host Agreements'!$A$6:$K$20,8,FALSE),"No")="Yes",H75,0)-N(I75))</f>
        <v/>
      </c>
      <c r="K75" s="42">
        <f>IFERROR(VLOOKUP(B75,'Co-Host Agreements'!$A$6:$K$20,5,FALSE),0)</f>
        <v/>
      </c>
      <c r="L75" s="41">
        <f>IF(B75="","",IFS(IFERROR(VLOOKUP(B75,'Co-Host Agreements'!$A$6:$K$20,4,FALSE),"")="% of NET",J75*K75,IFERROR(VLOOKUP(B75,'Co-Host Agreements'!$A$6:$K$20,4,FALSE),"")="% of GROSS",F75*K75,IFERROR(VLOOKUP(B75,'Co-Host Agreements'!$A$6:$K$20,4,FALSE),"")="Flat per booking",IFERROR(VLOOKUP(B75,'Co-Host Agreements'!$A$6:$K$20,6,FALSE),0),IFERROR(VLOOKUP(B75,'Co-Host Agreements'!$A$6:$K$20,4,FALSE),"")="Hybrid (Flat + % of NET)",IFERROR(VLOOKUP(B75,'Co-Host Agreements'!$A$6:$K$20,6,FALSE),0)+J75*K75,TRUE,0))</f>
        <v/>
      </c>
      <c r="M75" s="41">
        <f>IF(B75="","",J75-L75)</f>
        <v/>
      </c>
      <c r="N75" s="36" t="inlineStr">
        <is>
          <t>Paid</t>
        </is>
      </c>
      <c r="O75" s="36" t="inlineStr"/>
    </row>
    <row r="76" ht="16" customHeight="1">
      <c r="A76" s="39" t="n">
        <v>46100</v>
      </c>
      <c r="B76" s="36" t="inlineStr">
        <is>
          <t>Creek Side</t>
        </is>
      </c>
      <c r="C76" s="36" t="inlineStr">
        <is>
          <t>Wren K.</t>
        </is>
      </c>
      <c r="D76" s="36" t="inlineStr">
        <is>
          <t>AB-92008</t>
        </is>
      </c>
      <c r="E76" s="36" t="inlineStr">
        <is>
          <t>Airbnb</t>
        </is>
      </c>
      <c r="F76" s="40" t="n">
        <v>1080</v>
      </c>
      <c r="G76" s="40" t="n">
        <v>120</v>
      </c>
      <c r="H76" s="40" t="n">
        <v>162</v>
      </c>
      <c r="I76" s="40" t="n">
        <v>0</v>
      </c>
      <c r="J76" s="41">
        <f>IF(F76="","",F76-IF(IFERROR(VLOOKUP(B76,'Co-Host Agreements'!$A$6:$K$20,7,FALSE),"No")="Yes",G76,0)-IF(IFERROR(VLOOKUP(B76,'Co-Host Agreements'!$A$6:$K$20,8,FALSE),"No")="Yes",H76,0)-N(I76))</f>
        <v/>
      </c>
      <c r="K76" s="42">
        <f>IFERROR(VLOOKUP(B76,'Co-Host Agreements'!$A$6:$K$20,5,FALSE),0)</f>
        <v/>
      </c>
      <c r="L76" s="41">
        <f>IF(B76="","",IFS(IFERROR(VLOOKUP(B76,'Co-Host Agreements'!$A$6:$K$20,4,FALSE),"")="% of NET",J76*K76,IFERROR(VLOOKUP(B76,'Co-Host Agreements'!$A$6:$K$20,4,FALSE),"")="% of GROSS",F76*K76,IFERROR(VLOOKUP(B76,'Co-Host Agreements'!$A$6:$K$20,4,FALSE),"")="Flat per booking",IFERROR(VLOOKUP(B76,'Co-Host Agreements'!$A$6:$K$20,6,FALSE),0),IFERROR(VLOOKUP(B76,'Co-Host Agreements'!$A$6:$K$20,4,FALSE),"")="Hybrid (Flat + % of NET)",IFERROR(VLOOKUP(B76,'Co-Host Agreements'!$A$6:$K$20,6,FALSE),0)+J76*K76,TRUE,0))</f>
        <v/>
      </c>
      <c r="M76" s="41">
        <f>IF(B76="","",J76-L76)</f>
        <v/>
      </c>
      <c r="N76" s="36" t="inlineStr">
        <is>
          <t>Paid</t>
        </is>
      </c>
      <c r="O76" s="36" t="inlineStr"/>
    </row>
    <row r="77" ht="16" customHeight="1">
      <c r="A77" s="39" t="n">
        <v>46107</v>
      </c>
      <c r="B77" s="36" t="inlineStr">
        <is>
          <t>Creek Side</t>
        </is>
      </c>
      <c r="C77" s="36" t="inlineStr">
        <is>
          <t>Xavi L.</t>
        </is>
      </c>
      <c r="D77" s="36" t="inlineStr">
        <is>
          <t>AB-92009</t>
        </is>
      </c>
      <c r="E77" s="36" t="inlineStr">
        <is>
          <t>Airbnb</t>
        </is>
      </c>
      <c r="F77" s="40" t="n">
        <v>1240</v>
      </c>
      <c r="G77" s="40" t="n">
        <v>120</v>
      </c>
      <c r="H77" s="40" t="n">
        <v>186</v>
      </c>
      <c r="I77" s="40" t="n">
        <v>0</v>
      </c>
      <c r="J77" s="41">
        <f>IF(F77="","",F77-IF(IFERROR(VLOOKUP(B77,'Co-Host Agreements'!$A$6:$K$20,7,FALSE),"No")="Yes",G77,0)-IF(IFERROR(VLOOKUP(B77,'Co-Host Agreements'!$A$6:$K$20,8,FALSE),"No")="Yes",H77,0)-N(I77))</f>
        <v/>
      </c>
      <c r="K77" s="42">
        <f>IFERROR(VLOOKUP(B77,'Co-Host Agreements'!$A$6:$K$20,5,FALSE),0)</f>
        <v/>
      </c>
      <c r="L77" s="41">
        <f>IF(B77="","",IFS(IFERROR(VLOOKUP(B77,'Co-Host Agreements'!$A$6:$K$20,4,FALSE),"")="% of NET",J77*K77,IFERROR(VLOOKUP(B77,'Co-Host Agreements'!$A$6:$K$20,4,FALSE),"")="% of GROSS",F77*K77,IFERROR(VLOOKUP(B77,'Co-Host Agreements'!$A$6:$K$20,4,FALSE),"")="Flat per booking",IFERROR(VLOOKUP(B77,'Co-Host Agreements'!$A$6:$K$20,6,FALSE),0),IFERROR(VLOOKUP(B77,'Co-Host Agreements'!$A$6:$K$20,4,FALSE),"")="Hybrid (Flat + % of NET)",IFERROR(VLOOKUP(B77,'Co-Host Agreements'!$A$6:$K$20,6,FALSE),0)+J77*K77,TRUE,0))</f>
        <v/>
      </c>
      <c r="M77" s="41">
        <f>IF(B77="","",J77-L77)</f>
        <v/>
      </c>
      <c r="N77" s="36" t="inlineStr">
        <is>
          <t>Paid</t>
        </is>
      </c>
      <c r="O77" s="36" t="inlineStr"/>
    </row>
    <row r="78" ht="16" customHeight="1">
      <c r="A78" s="39" t="n">
        <v>46114</v>
      </c>
      <c r="B78" s="36" t="inlineStr">
        <is>
          <t>Creek Side</t>
        </is>
      </c>
      <c r="C78" s="36" t="inlineStr">
        <is>
          <t>Yara M.</t>
        </is>
      </c>
      <c r="D78" s="36" t="inlineStr">
        <is>
          <t>AB-92010</t>
        </is>
      </c>
      <c r="E78" s="36" t="inlineStr">
        <is>
          <t>Airbnb</t>
        </is>
      </c>
      <c r="F78" s="40" t="n">
        <v>1180</v>
      </c>
      <c r="G78" s="40" t="n">
        <v>120</v>
      </c>
      <c r="H78" s="40" t="n">
        <v>177</v>
      </c>
      <c r="I78" s="40" t="n">
        <v>0</v>
      </c>
      <c r="J78" s="41">
        <f>IF(F78="","",F78-IF(IFERROR(VLOOKUP(B78,'Co-Host Agreements'!$A$6:$K$20,7,FALSE),"No")="Yes",G78,0)-IF(IFERROR(VLOOKUP(B78,'Co-Host Agreements'!$A$6:$K$20,8,FALSE),"No")="Yes",H78,0)-N(I78))</f>
        <v/>
      </c>
      <c r="K78" s="42">
        <f>IFERROR(VLOOKUP(B78,'Co-Host Agreements'!$A$6:$K$20,5,FALSE),0)</f>
        <v/>
      </c>
      <c r="L78" s="41">
        <f>IF(B78="","",IFS(IFERROR(VLOOKUP(B78,'Co-Host Agreements'!$A$6:$K$20,4,FALSE),"")="% of NET",J78*K78,IFERROR(VLOOKUP(B78,'Co-Host Agreements'!$A$6:$K$20,4,FALSE),"")="% of GROSS",F78*K78,IFERROR(VLOOKUP(B78,'Co-Host Agreements'!$A$6:$K$20,4,FALSE),"")="Flat per booking",IFERROR(VLOOKUP(B78,'Co-Host Agreements'!$A$6:$K$20,6,FALSE),0),IFERROR(VLOOKUP(B78,'Co-Host Agreements'!$A$6:$K$20,4,FALSE),"")="Hybrid (Flat + % of NET)",IFERROR(VLOOKUP(B78,'Co-Host Agreements'!$A$6:$K$20,6,FALSE),0)+J78*K78,TRUE,0))</f>
        <v/>
      </c>
      <c r="M78" s="41">
        <f>IF(B78="","",J78-L78)</f>
        <v/>
      </c>
      <c r="N78" s="36" t="inlineStr">
        <is>
          <t>Paid</t>
        </is>
      </c>
      <c r="O78" s="36" t="inlineStr"/>
    </row>
    <row r="79" ht="16" customHeight="1">
      <c r="A79" s="39" t="n">
        <v>46121</v>
      </c>
      <c r="B79" s="36" t="inlineStr">
        <is>
          <t>Creek Side</t>
        </is>
      </c>
      <c r="C79" s="36" t="inlineStr">
        <is>
          <t>Zev N.</t>
        </is>
      </c>
      <c r="D79" s="36" t="inlineStr">
        <is>
          <t>DR-02002</t>
        </is>
      </c>
      <c r="E79" s="36" t="inlineStr">
        <is>
          <t>Direct</t>
        </is>
      </c>
      <c r="F79" s="40" t="n">
        <v>1340</v>
      </c>
      <c r="G79" s="40" t="n">
        <v>120</v>
      </c>
      <c r="H79" s="40" t="n">
        <v>0</v>
      </c>
      <c r="I79" s="40" t="n">
        <v>0</v>
      </c>
      <c r="J79" s="41">
        <f>IF(F79="","",F79-IF(IFERROR(VLOOKUP(B79,'Co-Host Agreements'!$A$6:$K$20,7,FALSE),"No")="Yes",G79,0)-IF(IFERROR(VLOOKUP(B79,'Co-Host Agreements'!$A$6:$K$20,8,FALSE),"No")="Yes",H79,0)-N(I79))</f>
        <v/>
      </c>
      <c r="K79" s="42">
        <f>IFERROR(VLOOKUP(B79,'Co-Host Agreements'!$A$6:$K$20,5,FALSE),0)</f>
        <v/>
      </c>
      <c r="L79" s="41">
        <f>IF(B79="","",IFS(IFERROR(VLOOKUP(B79,'Co-Host Agreements'!$A$6:$K$20,4,FALSE),"")="% of NET",J79*K79,IFERROR(VLOOKUP(B79,'Co-Host Agreements'!$A$6:$K$20,4,FALSE),"")="% of GROSS",F79*K79,IFERROR(VLOOKUP(B79,'Co-Host Agreements'!$A$6:$K$20,4,FALSE),"")="Flat per booking",IFERROR(VLOOKUP(B79,'Co-Host Agreements'!$A$6:$K$20,6,FALSE),0),IFERROR(VLOOKUP(B79,'Co-Host Agreements'!$A$6:$K$20,4,FALSE),"")="Hybrid (Flat + % of NET)",IFERROR(VLOOKUP(B79,'Co-Host Agreements'!$A$6:$K$20,6,FALSE),0)+J79*K79,TRUE,0))</f>
        <v/>
      </c>
      <c r="M79" s="41">
        <f>IF(B79="","",J79-L79)</f>
        <v/>
      </c>
      <c r="N79" s="36" t="inlineStr">
        <is>
          <t>Paid</t>
        </is>
      </c>
      <c r="O79" s="36" t="inlineStr"/>
    </row>
    <row r="80" ht="16" customHeight="1">
      <c r="A80" s="39" t="n">
        <v>46128</v>
      </c>
      <c r="B80" s="36" t="inlineStr">
        <is>
          <t>Creek Side</t>
        </is>
      </c>
      <c r="C80" s="36" t="inlineStr">
        <is>
          <t>Aki O.</t>
        </is>
      </c>
      <c r="D80" s="36" t="inlineStr">
        <is>
          <t>AB-92011</t>
        </is>
      </c>
      <c r="E80" s="36" t="inlineStr">
        <is>
          <t>Airbnb</t>
        </is>
      </c>
      <c r="F80" s="40" t="n">
        <v>1180</v>
      </c>
      <c r="G80" s="40" t="n">
        <v>120</v>
      </c>
      <c r="H80" s="40" t="n">
        <v>177</v>
      </c>
      <c r="I80" s="40" t="n">
        <v>0</v>
      </c>
      <c r="J80" s="41">
        <f>IF(F80="","",F80-IF(IFERROR(VLOOKUP(B80,'Co-Host Agreements'!$A$6:$K$20,7,FALSE),"No")="Yes",G80,0)-IF(IFERROR(VLOOKUP(B80,'Co-Host Agreements'!$A$6:$K$20,8,FALSE),"No")="Yes",H80,0)-N(I80))</f>
        <v/>
      </c>
      <c r="K80" s="42">
        <f>IFERROR(VLOOKUP(B80,'Co-Host Agreements'!$A$6:$K$20,5,FALSE),0)</f>
        <v/>
      </c>
      <c r="L80" s="41">
        <f>IF(B80="","",IFS(IFERROR(VLOOKUP(B80,'Co-Host Agreements'!$A$6:$K$20,4,FALSE),"")="% of NET",J80*K80,IFERROR(VLOOKUP(B80,'Co-Host Agreements'!$A$6:$K$20,4,FALSE),"")="% of GROSS",F80*K80,IFERROR(VLOOKUP(B80,'Co-Host Agreements'!$A$6:$K$20,4,FALSE),"")="Flat per booking",IFERROR(VLOOKUP(B80,'Co-Host Agreements'!$A$6:$K$20,6,FALSE),0),IFERROR(VLOOKUP(B80,'Co-Host Agreements'!$A$6:$K$20,4,FALSE),"")="Hybrid (Flat + % of NET)",IFERROR(VLOOKUP(B80,'Co-Host Agreements'!$A$6:$K$20,6,FALSE),0)+J80*K80,TRUE,0))</f>
        <v/>
      </c>
      <c r="M80" s="41">
        <f>IF(B80="","",J80-L80)</f>
        <v/>
      </c>
      <c r="N80" s="36" t="inlineStr">
        <is>
          <t>Paid</t>
        </is>
      </c>
      <c r="O80" s="36" t="inlineStr"/>
    </row>
    <row r="81" ht="16" customHeight="1">
      <c r="A81" s="39" t="n">
        <v>46135</v>
      </c>
      <c r="B81" s="36" t="inlineStr">
        <is>
          <t>Creek Side</t>
        </is>
      </c>
      <c r="C81" s="36" t="inlineStr">
        <is>
          <t>Bea P.</t>
        </is>
      </c>
      <c r="D81" s="36" t="inlineStr">
        <is>
          <t>AB-92012</t>
        </is>
      </c>
      <c r="E81" s="36" t="inlineStr">
        <is>
          <t>Airbnb</t>
        </is>
      </c>
      <c r="F81" s="40" t="n">
        <v>1080</v>
      </c>
      <c r="G81" s="40" t="n">
        <v>120</v>
      </c>
      <c r="H81" s="40" t="n">
        <v>162</v>
      </c>
      <c r="I81" s="40" t="n">
        <v>0</v>
      </c>
      <c r="J81" s="41">
        <f>IF(F81="","",F81-IF(IFERROR(VLOOKUP(B81,'Co-Host Agreements'!$A$6:$K$20,7,FALSE),"No")="Yes",G81,0)-IF(IFERROR(VLOOKUP(B81,'Co-Host Agreements'!$A$6:$K$20,8,FALSE),"No")="Yes",H81,0)-N(I81))</f>
        <v/>
      </c>
      <c r="K81" s="42">
        <f>IFERROR(VLOOKUP(B81,'Co-Host Agreements'!$A$6:$K$20,5,FALSE),0)</f>
        <v/>
      </c>
      <c r="L81" s="41">
        <f>IF(B81="","",IFS(IFERROR(VLOOKUP(B81,'Co-Host Agreements'!$A$6:$K$20,4,FALSE),"")="% of NET",J81*K81,IFERROR(VLOOKUP(B81,'Co-Host Agreements'!$A$6:$K$20,4,FALSE),"")="% of GROSS",F81*K81,IFERROR(VLOOKUP(B81,'Co-Host Agreements'!$A$6:$K$20,4,FALSE),"")="Flat per booking",IFERROR(VLOOKUP(B81,'Co-Host Agreements'!$A$6:$K$20,6,FALSE),0),IFERROR(VLOOKUP(B81,'Co-Host Agreements'!$A$6:$K$20,4,FALSE),"")="Hybrid (Flat + % of NET)",IFERROR(VLOOKUP(B81,'Co-Host Agreements'!$A$6:$K$20,6,FALSE),0)+J81*K81,TRUE,0))</f>
        <v/>
      </c>
      <c r="M81" s="41">
        <f>IF(B81="","",J81-L81)</f>
        <v/>
      </c>
      <c r="N81" s="36" t="inlineStr">
        <is>
          <t>Paid</t>
        </is>
      </c>
      <c r="O81" s="36" t="inlineStr"/>
    </row>
    <row r="82" ht="16" customHeight="1">
      <c r="A82" s="39" t="n">
        <v>46142</v>
      </c>
      <c r="B82" s="36" t="inlineStr">
        <is>
          <t>Creek Side</t>
        </is>
      </c>
      <c r="C82" s="36" t="inlineStr">
        <is>
          <t>Cy Q.</t>
        </is>
      </c>
      <c r="D82" s="36" t="inlineStr">
        <is>
          <t>AB-92013</t>
        </is>
      </c>
      <c r="E82" s="36" t="inlineStr">
        <is>
          <t>Airbnb</t>
        </is>
      </c>
      <c r="F82" s="40" t="n">
        <v>1240</v>
      </c>
      <c r="G82" s="40" t="n">
        <v>120</v>
      </c>
      <c r="H82" s="40" t="n">
        <v>186</v>
      </c>
      <c r="I82" s="40" t="n">
        <v>0</v>
      </c>
      <c r="J82" s="41">
        <f>IF(F82="","",F82-IF(IFERROR(VLOOKUP(B82,'Co-Host Agreements'!$A$6:$K$20,7,FALSE),"No")="Yes",G82,0)-IF(IFERROR(VLOOKUP(B82,'Co-Host Agreements'!$A$6:$K$20,8,FALSE),"No")="Yes",H82,0)-N(I82))</f>
        <v/>
      </c>
      <c r="K82" s="42">
        <f>IFERROR(VLOOKUP(B82,'Co-Host Agreements'!$A$6:$K$20,5,FALSE),0)</f>
        <v/>
      </c>
      <c r="L82" s="41">
        <f>IF(B82="","",IFS(IFERROR(VLOOKUP(B82,'Co-Host Agreements'!$A$6:$K$20,4,FALSE),"")="% of NET",J82*K82,IFERROR(VLOOKUP(B82,'Co-Host Agreements'!$A$6:$K$20,4,FALSE),"")="% of GROSS",F82*K82,IFERROR(VLOOKUP(B82,'Co-Host Agreements'!$A$6:$K$20,4,FALSE),"")="Flat per booking",IFERROR(VLOOKUP(B82,'Co-Host Agreements'!$A$6:$K$20,6,FALSE),0),IFERROR(VLOOKUP(B82,'Co-Host Agreements'!$A$6:$K$20,4,FALSE),"")="Hybrid (Flat + % of NET)",IFERROR(VLOOKUP(B82,'Co-Host Agreements'!$A$6:$K$20,6,FALSE),0)+J82*K82,TRUE,0))</f>
        <v/>
      </c>
      <c r="M82" s="41">
        <f>IF(B82="","",J82-L82)</f>
        <v/>
      </c>
      <c r="N82" s="36" t="inlineStr">
        <is>
          <t>Paid</t>
        </is>
      </c>
      <c r="O82" s="36" t="inlineStr"/>
    </row>
    <row r="83" ht="16" customHeight="1">
      <c r="A83" s="39" t="n">
        <v>46149</v>
      </c>
      <c r="B83" s="36" t="inlineStr">
        <is>
          <t>Creek Side</t>
        </is>
      </c>
      <c r="C83" s="36" t="inlineStr">
        <is>
          <t>Dee R.</t>
        </is>
      </c>
      <c r="D83" s="36" t="inlineStr">
        <is>
          <t>AB-92014</t>
        </is>
      </c>
      <c r="E83" s="36" t="inlineStr">
        <is>
          <t>Airbnb</t>
        </is>
      </c>
      <c r="F83" s="40" t="n">
        <v>1180</v>
      </c>
      <c r="G83" s="40" t="n">
        <v>120</v>
      </c>
      <c r="H83" s="40" t="n">
        <v>177</v>
      </c>
      <c r="I83" s="40" t="n">
        <v>0</v>
      </c>
      <c r="J83" s="41">
        <f>IF(F83="","",F83-IF(IFERROR(VLOOKUP(B83,'Co-Host Agreements'!$A$6:$K$20,7,FALSE),"No")="Yes",G83,0)-IF(IFERROR(VLOOKUP(B83,'Co-Host Agreements'!$A$6:$K$20,8,FALSE),"No")="Yes",H83,0)-N(I83))</f>
        <v/>
      </c>
      <c r="K83" s="42">
        <f>IFERROR(VLOOKUP(B83,'Co-Host Agreements'!$A$6:$K$20,5,FALSE),0)</f>
        <v/>
      </c>
      <c r="L83" s="41">
        <f>IF(B83="","",IFS(IFERROR(VLOOKUP(B83,'Co-Host Agreements'!$A$6:$K$20,4,FALSE),"")="% of NET",J83*K83,IFERROR(VLOOKUP(B83,'Co-Host Agreements'!$A$6:$K$20,4,FALSE),"")="% of GROSS",F83*K83,IFERROR(VLOOKUP(B83,'Co-Host Agreements'!$A$6:$K$20,4,FALSE),"")="Flat per booking",IFERROR(VLOOKUP(B83,'Co-Host Agreements'!$A$6:$K$20,6,FALSE),0),IFERROR(VLOOKUP(B83,'Co-Host Agreements'!$A$6:$K$20,4,FALSE),"")="Hybrid (Flat + % of NET)",IFERROR(VLOOKUP(B83,'Co-Host Agreements'!$A$6:$K$20,6,FALSE),0)+J83*K83,TRUE,0))</f>
        <v/>
      </c>
      <c r="M83" s="41">
        <f>IF(B83="","",J83-L83)</f>
        <v/>
      </c>
      <c r="N83" s="36" t="inlineStr">
        <is>
          <t>Pending</t>
        </is>
      </c>
      <c r="O83" s="36" t="inlineStr"/>
    </row>
    <row r="84" ht="16" customHeight="1">
      <c r="A84" s="39" t="n">
        <v>46156</v>
      </c>
      <c r="B84" s="36" t="inlineStr">
        <is>
          <t>Creek Side</t>
        </is>
      </c>
      <c r="C84" s="36" t="inlineStr">
        <is>
          <t>Eli S.</t>
        </is>
      </c>
      <c r="D84" s="36" t="inlineStr">
        <is>
          <t>VR-52003</t>
        </is>
      </c>
      <c r="E84" s="36" t="inlineStr">
        <is>
          <t>VRBO</t>
        </is>
      </c>
      <c r="F84" s="40" t="n">
        <v>1080</v>
      </c>
      <c r="G84" s="40" t="n">
        <v>120</v>
      </c>
      <c r="H84" s="40" t="n">
        <v>86</v>
      </c>
      <c r="I84" s="40" t="n">
        <v>0</v>
      </c>
      <c r="J84" s="41">
        <f>IF(F84="","",F84-IF(IFERROR(VLOOKUP(B84,'Co-Host Agreements'!$A$6:$K$20,7,FALSE),"No")="Yes",G84,0)-IF(IFERROR(VLOOKUP(B84,'Co-Host Agreements'!$A$6:$K$20,8,FALSE),"No")="Yes",H84,0)-N(I84))</f>
        <v/>
      </c>
      <c r="K84" s="42">
        <f>IFERROR(VLOOKUP(B84,'Co-Host Agreements'!$A$6:$K$20,5,FALSE),0)</f>
        <v/>
      </c>
      <c r="L84" s="41">
        <f>IF(B84="","",IFS(IFERROR(VLOOKUP(B84,'Co-Host Agreements'!$A$6:$K$20,4,FALSE),"")="% of NET",J84*K84,IFERROR(VLOOKUP(B84,'Co-Host Agreements'!$A$6:$K$20,4,FALSE),"")="% of GROSS",F84*K84,IFERROR(VLOOKUP(B84,'Co-Host Agreements'!$A$6:$K$20,4,FALSE),"")="Flat per booking",IFERROR(VLOOKUP(B84,'Co-Host Agreements'!$A$6:$K$20,6,FALSE),0),IFERROR(VLOOKUP(B84,'Co-Host Agreements'!$A$6:$K$20,4,FALSE),"")="Hybrid (Flat + % of NET)",IFERROR(VLOOKUP(B84,'Co-Host Agreements'!$A$6:$K$20,6,FALSE),0)+J84*K84,TRUE,0))</f>
        <v/>
      </c>
      <c r="M84" s="41">
        <f>IF(B84="","",J84-L84)</f>
        <v/>
      </c>
      <c r="N84" s="36" t="inlineStr">
        <is>
          <t>Pending</t>
        </is>
      </c>
      <c r="O84" s="36" t="inlineStr"/>
    </row>
    <row r="85" ht="16" customHeight="1">
      <c r="A85" s="39" t="n">
        <v>46163</v>
      </c>
      <c r="B85" s="36" t="inlineStr">
        <is>
          <t>Creek Side</t>
        </is>
      </c>
      <c r="C85" s="36" t="inlineStr">
        <is>
          <t>Fae T.</t>
        </is>
      </c>
      <c r="D85" s="36" t="inlineStr">
        <is>
          <t>AB-92015</t>
        </is>
      </c>
      <c r="E85" s="36" t="inlineStr">
        <is>
          <t>Airbnb</t>
        </is>
      </c>
      <c r="F85" s="40" t="n">
        <v>1240</v>
      </c>
      <c r="G85" s="40" t="n">
        <v>120</v>
      </c>
      <c r="H85" s="40" t="n">
        <v>186</v>
      </c>
      <c r="I85" s="40" t="n">
        <v>0</v>
      </c>
      <c r="J85" s="41">
        <f>IF(F85="","",F85-IF(IFERROR(VLOOKUP(B85,'Co-Host Agreements'!$A$6:$K$20,7,FALSE),"No")="Yes",G85,0)-IF(IFERROR(VLOOKUP(B85,'Co-Host Agreements'!$A$6:$K$20,8,FALSE),"No")="Yes",H85,0)-N(I85))</f>
        <v/>
      </c>
      <c r="K85" s="42">
        <f>IFERROR(VLOOKUP(B85,'Co-Host Agreements'!$A$6:$K$20,5,FALSE),0)</f>
        <v/>
      </c>
      <c r="L85" s="41">
        <f>IF(B85="","",IFS(IFERROR(VLOOKUP(B85,'Co-Host Agreements'!$A$6:$K$20,4,FALSE),"")="% of NET",J85*K85,IFERROR(VLOOKUP(B85,'Co-Host Agreements'!$A$6:$K$20,4,FALSE),"")="% of GROSS",F85*K85,IFERROR(VLOOKUP(B85,'Co-Host Agreements'!$A$6:$K$20,4,FALSE),"")="Flat per booking",IFERROR(VLOOKUP(B85,'Co-Host Agreements'!$A$6:$K$20,6,FALSE),0),IFERROR(VLOOKUP(B85,'Co-Host Agreements'!$A$6:$K$20,4,FALSE),"")="Hybrid (Flat + % of NET)",IFERROR(VLOOKUP(B85,'Co-Host Agreements'!$A$6:$K$20,6,FALSE),0)+J85*K85,TRUE,0))</f>
        <v/>
      </c>
      <c r="M85" s="41">
        <f>IF(B85="","",J85-L85)</f>
        <v/>
      </c>
      <c r="N85" s="36" t="inlineStr">
        <is>
          <t>Pending</t>
        </is>
      </c>
      <c r="O85" s="36" t="inlineStr"/>
    </row>
    <row r="86" ht="16" customHeight="1">
      <c r="A86" s="39" t="n">
        <v>46170</v>
      </c>
      <c r="B86" s="36" t="inlineStr">
        <is>
          <t>Creek Side</t>
        </is>
      </c>
      <c r="C86" s="36" t="inlineStr">
        <is>
          <t>Gio U.</t>
        </is>
      </c>
      <c r="D86" s="36" t="inlineStr">
        <is>
          <t>AB-92016</t>
        </is>
      </c>
      <c r="E86" s="36" t="inlineStr">
        <is>
          <t>Airbnb</t>
        </is>
      </c>
      <c r="F86" s="40" t="n">
        <v>1180</v>
      </c>
      <c r="G86" s="40" t="n">
        <v>120</v>
      </c>
      <c r="H86" s="40" t="n">
        <v>177</v>
      </c>
      <c r="I86" s="40" t="n">
        <v>0</v>
      </c>
      <c r="J86" s="41">
        <f>IF(F86="","",F86-IF(IFERROR(VLOOKUP(B86,'Co-Host Agreements'!$A$6:$K$20,7,FALSE),"No")="Yes",G86,0)-IF(IFERROR(VLOOKUP(B86,'Co-Host Agreements'!$A$6:$K$20,8,FALSE),"No")="Yes",H86,0)-N(I86))</f>
        <v/>
      </c>
      <c r="K86" s="42">
        <f>IFERROR(VLOOKUP(B86,'Co-Host Agreements'!$A$6:$K$20,5,FALSE),0)</f>
        <v/>
      </c>
      <c r="L86" s="41">
        <f>IF(B86="","",IFS(IFERROR(VLOOKUP(B86,'Co-Host Agreements'!$A$6:$K$20,4,FALSE),"")="% of NET",J86*K86,IFERROR(VLOOKUP(B86,'Co-Host Agreements'!$A$6:$K$20,4,FALSE),"")="% of GROSS",F86*K86,IFERROR(VLOOKUP(B86,'Co-Host Agreements'!$A$6:$K$20,4,FALSE),"")="Flat per booking",IFERROR(VLOOKUP(B86,'Co-Host Agreements'!$A$6:$K$20,6,FALSE),0),IFERROR(VLOOKUP(B86,'Co-Host Agreements'!$A$6:$K$20,4,FALSE),"")="Hybrid (Flat + % of NET)",IFERROR(VLOOKUP(B86,'Co-Host Agreements'!$A$6:$K$20,6,FALSE),0)+J86*K86,TRUE,0))</f>
        <v/>
      </c>
      <c r="M86" s="41">
        <f>IF(B86="","",J86-L86)</f>
        <v/>
      </c>
      <c r="N86" s="36" t="inlineStr">
        <is>
          <t>Pending</t>
        </is>
      </c>
      <c r="O86" s="36" t="inlineStr"/>
    </row>
    <row r="87" ht="16" customHeight="1">
      <c r="A87" s="39" t="n">
        <v>46177</v>
      </c>
      <c r="B87" s="36" t="inlineStr">
        <is>
          <t>Creek Side</t>
        </is>
      </c>
      <c r="C87" s="36" t="inlineStr">
        <is>
          <t>Hux V.</t>
        </is>
      </c>
      <c r="D87" s="36" t="inlineStr">
        <is>
          <t>AB-92017</t>
        </is>
      </c>
      <c r="E87" s="36" t="inlineStr">
        <is>
          <t>Airbnb</t>
        </is>
      </c>
      <c r="F87" s="40" t="n">
        <v>1080</v>
      </c>
      <c r="G87" s="40" t="n">
        <v>120</v>
      </c>
      <c r="H87" s="40" t="n">
        <v>162</v>
      </c>
      <c r="I87" s="40" t="n">
        <v>0</v>
      </c>
      <c r="J87" s="41">
        <f>IF(F87="","",F87-IF(IFERROR(VLOOKUP(B87,'Co-Host Agreements'!$A$6:$K$20,7,FALSE),"No")="Yes",G87,0)-IF(IFERROR(VLOOKUP(B87,'Co-Host Agreements'!$A$6:$K$20,8,FALSE),"No")="Yes",H87,0)-N(I87))</f>
        <v/>
      </c>
      <c r="K87" s="42">
        <f>IFERROR(VLOOKUP(B87,'Co-Host Agreements'!$A$6:$K$20,5,FALSE),0)</f>
        <v/>
      </c>
      <c r="L87" s="41">
        <f>IF(B87="","",IFS(IFERROR(VLOOKUP(B87,'Co-Host Agreements'!$A$6:$K$20,4,FALSE),"")="% of NET",J87*K87,IFERROR(VLOOKUP(B87,'Co-Host Agreements'!$A$6:$K$20,4,FALSE),"")="% of GROSS",F87*K87,IFERROR(VLOOKUP(B87,'Co-Host Agreements'!$A$6:$K$20,4,FALSE),"")="Flat per booking",IFERROR(VLOOKUP(B87,'Co-Host Agreements'!$A$6:$K$20,6,FALSE),0),IFERROR(VLOOKUP(B87,'Co-Host Agreements'!$A$6:$K$20,4,FALSE),"")="Hybrid (Flat + % of NET)",IFERROR(VLOOKUP(B87,'Co-Host Agreements'!$A$6:$K$20,6,FALSE),0)+J87*K87,TRUE,0))</f>
        <v/>
      </c>
      <c r="M87" s="41">
        <f>IF(B87="","",J87-L87)</f>
        <v/>
      </c>
      <c r="N87" s="36" t="inlineStr">
        <is>
          <t>Pending</t>
        </is>
      </c>
      <c r="O87" s="36" t="inlineStr"/>
    </row>
    <row r="88" ht="16" customHeight="1">
      <c r="A88" s="39" t="n">
        <v>46184</v>
      </c>
      <c r="B88" s="36" t="inlineStr">
        <is>
          <t>Creek Side</t>
        </is>
      </c>
      <c r="C88" s="36" t="inlineStr">
        <is>
          <t>Ines W.</t>
        </is>
      </c>
      <c r="D88" s="36" t="inlineStr">
        <is>
          <t>DR-02003</t>
        </is>
      </c>
      <c r="E88" s="36" t="inlineStr">
        <is>
          <t>Direct</t>
        </is>
      </c>
      <c r="F88" s="40" t="n">
        <v>1240</v>
      </c>
      <c r="G88" s="40" t="n">
        <v>120</v>
      </c>
      <c r="H88" s="40" t="n">
        <v>0</v>
      </c>
      <c r="I88" s="40" t="n">
        <v>0</v>
      </c>
      <c r="J88" s="41">
        <f>IF(F88="","",F88-IF(IFERROR(VLOOKUP(B88,'Co-Host Agreements'!$A$6:$K$20,7,FALSE),"No")="Yes",G88,0)-IF(IFERROR(VLOOKUP(B88,'Co-Host Agreements'!$A$6:$K$20,8,FALSE),"No")="Yes",H88,0)-N(I88))</f>
        <v/>
      </c>
      <c r="K88" s="42">
        <f>IFERROR(VLOOKUP(B88,'Co-Host Agreements'!$A$6:$K$20,5,FALSE),0)</f>
        <v/>
      </c>
      <c r="L88" s="41">
        <f>IF(B88="","",IFS(IFERROR(VLOOKUP(B88,'Co-Host Agreements'!$A$6:$K$20,4,FALSE),"")="% of NET",J88*K88,IFERROR(VLOOKUP(B88,'Co-Host Agreements'!$A$6:$K$20,4,FALSE),"")="% of GROSS",F88*K88,IFERROR(VLOOKUP(B88,'Co-Host Agreements'!$A$6:$K$20,4,FALSE),"")="Flat per booking",IFERROR(VLOOKUP(B88,'Co-Host Agreements'!$A$6:$K$20,6,FALSE),0),IFERROR(VLOOKUP(B88,'Co-Host Agreements'!$A$6:$K$20,4,FALSE),"")="Hybrid (Flat + % of NET)",IFERROR(VLOOKUP(B88,'Co-Host Agreements'!$A$6:$K$20,6,FALSE),0)+J88*K88,TRUE,0))</f>
        <v/>
      </c>
      <c r="M88" s="41">
        <f>IF(B88="","",J88-L88)</f>
        <v/>
      </c>
      <c r="N88" s="36" t="inlineStr">
        <is>
          <t>Pending</t>
        </is>
      </c>
      <c r="O88" s="36" t="inlineStr"/>
    </row>
    <row r="89" ht="16" customHeight="1">
      <c r="A89" s="39" t="n">
        <v>46191</v>
      </c>
      <c r="B89" s="36" t="inlineStr">
        <is>
          <t>Creek Side</t>
        </is>
      </c>
      <c r="C89" s="36" t="inlineStr">
        <is>
          <t>Jax X.</t>
        </is>
      </c>
      <c r="D89" s="36" t="inlineStr">
        <is>
          <t>AB-92018</t>
        </is>
      </c>
      <c r="E89" s="36" t="inlineStr">
        <is>
          <t>Airbnb</t>
        </is>
      </c>
      <c r="F89" s="40" t="n">
        <v>1180</v>
      </c>
      <c r="G89" s="40" t="n">
        <v>120</v>
      </c>
      <c r="H89" s="40" t="n">
        <v>177</v>
      </c>
      <c r="I89" s="40" t="n">
        <v>0</v>
      </c>
      <c r="J89" s="41">
        <f>IF(F89="","",F89-IF(IFERROR(VLOOKUP(B89,'Co-Host Agreements'!$A$6:$K$20,7,FALSE),"No")="Yes",G89,0)-IF(IFERROR(VLOOKUP(B89,'Co-Host Agreements'!$A$6:$K$20,8,FALSE),"No")="Yes",H89,0)-N(I89))</f>
        <v/>
      </c>
      <c r="K89" s="42">
        <f>IFERROR(VLOOKUP(B89,'Co-Host Agreements'!$A$6:$K$20,5,FALSE),0)</f>
        <v/>
      </c>
      <c r="L89" s="41">
        <f>IF(B89="","",IFS(IFERROR(VLOOKUP(B89,'Co-Host Agreements'!$A$6:$K$20,4,FALSE),"")="% of NET",J89*K89,IFERROR(VLOOKUP(B89,'Co-Host Agreements'!$A$6:$K$20,4,FALSE),"")="% of GROSS",F89*K89,IFERROR(VLOOKUP(B89,'Co-Host Agreements'!$A$6:$K$20,4,FALSE),"")="Flat per booking",IFERROR(VLOOKUP(B89,'Co-Host Agreements'!$A$6:$K$20,6,FALSE),0),IFERROR(VLOOKUP(B89,'Co-Host Agreements'!$A$6:$K$20,4,FALSE),"")="Hybrid (Flat + % of NET)",IFERROR(VLOOKUP(B89,'Co-Host Agreements'!$A$6:$K$20,6,FALSE),0)+J89*K89,TRUE,0))</f>
        <v/>
      </c>
      <c r="M89" s="41">
        <f>IF(B89="","",J89-L89)</f>
        <v/>
      </c>
      <c r="N89" s="36" t="inlineStr">
        <is>
          <t>Pending</t>
        </is>
      </c>
      <c r="O89" s="36" t="inlineStr"/>
    </row>
    <row r="90" ht="16" customHeight="1">
      <c r="A90" s="39" t="n">
        <v>46031</v>
      </c>
      <c r="B90" s="36" t="inlineStr">
        <is>
          <t>Ridge Top</t>
        </is>
      </c>
      <c r="C90" s="36" t="inlineStr">
        <is>
          <t>Kade A.</t>
        </is>
      </c>
      <c r="D90" s="36" t="inlineStr">
        <is>
          <t>AB-93001</t>
        </is>
      </c>
      <c r="E90" s="36" t="inlineStr">
        <is>
          <t>Airbnb</t>
        </is>
      </c>
      <c r="F90" s="40" t="n">
        <v>1480</v>
      </c>
      <c r="G90" s="40" t="n">
        <v>110</v>
      </c>
      <c r="H90" s="40" t="n">
        <v>222</v>
      </c>
      <c r="I90" s="40" t="n">
        <v>0</v>
      </c>
      <c r="J90" s="41">
        <f>IF(F90="","",F90-IF(IFERROR(VLOOKUP(B90,'Co-Host Agreements'!$A$6:$K$20,7,FALSE),"No")="Yes",G90,0)-IF(IFERROR(VLOOKUP(B90,'Co-Host Agreements'!$A$6:$K$20,8,FALSE),"No")="Yes",H90,0)-N(I90))</f>
        <v/>
      </c>
      <c r="K90" s="42">
        <f>IFERROR(VLOOKUP(B90,'Co-Host Agreements'!$A$6:$K$20,5,FALSE),0)</f>
        <v/>
      </c>
      <c r="L90" s="41">
        <f>IF(B90="","",IFS(IFERROR(VLOOKUP(B90,'Co-Host Agreements'!$A$6:$K$20,4,FALSE),"")="% of NET",J90*K90,IFERROR(VLOOKUP(B90,'Co-Host Agreements'!$A$6:$K$20,4,FALSE),"")="% of GROSS",F90*K90,IFERROR(VLOOKUP(B90,'Co-Host Agreements'!$A$6:$K$20,4,FALSE),"")="Flat per booking",IFERROR(VLOOKUP(B90,'Co-Host Agreements'!$A$6:$K$20,6,FALSE),0),IFERROR(VLOOKUP(B90,'Co-Host Agreements'!$A$6:$K$20,4,FALSE),"")="Hybrid (Flat + % of NET)",IFERROR(VLOOKUP(B90,'Co-Host Agreements'!$A$6:$K$20,6,FALSE),0)+J90*K90,TRUE,0))</f>
        <v/>
      </c>
      <c r="M90" s="41">
        <f>IF(B90="","",J90-L90)</f>
        <v/>
      </c>
      <c r="N90" s="36" t="inlineStr">
        <is>
          <t>Paid</t>
        </is>
      </c>
      <c r="O90" s="36" t="inlineStr"/>
    </row>
    <row r="91" ht="16" customHeight="1">
      <c r="A91" s="39" t="n">
        <v>46038</v>
      </c>
      <c r="B91" s="36" t="inlineStr">
        <is>
          <t>Ridge Top</t>
        </is>
      </c>
      <c r="C91" s="36" t="inlineStr">
        <is>
          <t>Liv B.</t>
        </is>
      </c>
      <c r="D91" s="36" t="inlineStr">
        <is>
          <t>AB-93002</t>
        </is>
      </c>
      <c r="E91" s="36" t="inlineStr">
        <is>
          <t>Airbnb</t>
        </is>
      </c>
      <c r="F91" s="40" t="n">
        <v>1620</v>
      </c>
      <c r="G91" s="40" t="n">
        <v>110</v>
      </c>
      <c r="H91" s="40" t="n">
        <v>243</v>
      </c>
      <c r="I91" s="40" t="n">
        <v>0</v>
      </c>
      <c r="J91" s="41">
        <f>IF(F91="","",F91-IF(IFERROR(VLOOKUP(B91,'Co-Host Agreements'!$A$6:$K$20,7,FALSE),"No")="Yes",G91,0)-IF(IFERROR(VLOOKUP(B91,'Co-Host Agreements'!$A$6:$K$20,8,FALSE),"No")="Yes",H91,0)-N(I91))</f>
        <v/>
      </c>
      <c r="K91" s="42">
        <f>IFERROR(VLOOKUP(B91,'Co-Host Agreements'!$A$6:$K$20,5,FALSE),0)</f>
        <v/>
      </c>
      <c r="L91" s="41">
        <f>IF(B91="","",IFS(IFERROR(VLOOKUP(B91,'Co-Host Agreements'!$A$6:$K$20,4,FALSE),"")="% of NET",J91*K91,IFERROR(VLOOKUP(B91,'Co-Host Agreements'!$A$6:$K$20,4,FALSE),"")="% of GROSS",F91*K91,IFERROR(VLOOKUP(B91,'Co-Host Agreements'!$A$6:$K$20,4,FALSE),"")="Flat per booking",IFERROR(VLOOKUP(B91,'Co-Host Agreements'!$A$6:$K$20,6,FALSE),0),IFERROR(VLOOKUP(B91,'Co-Host Agreements'!$A$6:$K$20,4,FALSE),"")="Hybrid (Flat + % of NET)",IFERROR(VLOOKUP(B91,'Co-Host Agreements'!$A$6:$K$20,6,FALSE),0)+J91*K91,TRUE,0))</f>
        <v/>
      </c>
      <c r="M91" s="41">
        <f>IF(B91="","",J91-L91)</f>
        <v/>
      </c>
      <c r="N91" s="36" t="inlineStr">
        <is>
          <t>Paid</t>
        </is>
      </c>
      <c r="O91" s="36" t="inlineStr"/>
    </row>
    <row r="92" ht="16" customHeight="1">
      <c r="A92" s="39" t="n">
        <v>46045</v>
      </c>
      <c r="B92" s="36" t="inlineStr">
        <is>
          <t>Ridge Top</t>
        </is>
      </c>
      <c r="C92" s="36" t="inlineStr">
        <is>
          <t>Mio C.</t>
        </is>
      </c>
      <c r="D92" s="36" t="inlineStr">
        <is>
          <t>VR-53001</t>
        </is>
      </c>
      <c r="E92" s="36" t="inlineStr">
        <is>
          <t>VRBO</t>
        </is>
      </c>
      <c r="F92" s="40" t="n">
        <v>1740</v>
      </c>
      <c r="G92" s="40" t="n">
        <v>110</v>
      </c>
      <c r="H92" s="40" t="n">
        <v>139</v>
      </c>
      <c r="I92" s="40" t="n">
        <v>0</v>
      </c>
      <c r="J92" s="41">
        <f>IF(F92="","",F92-IF(IFERROR(VLOOKUP(B92,'Co-Host Agreements'!$A$6:$K$20,7,FALSE),"No")="Yes",G92,0)-IF(IFERROR(VLOOKUP(B92,'Co-Host Agreements'!$A$6:$K$20,8,FALSE),"No")="Yes",H92,0)-N(I92))</f>
        <v/>
      </c>
      <c r="K92" s="42">
        <f>IFERROR(VLOOKUP(B92,'Co-Host Agreements'!$A$6:$K$20,5,FALSE),0)</f>
        <v/>
      </c>
      <c r="L92" s="41">
        <f>IF(B92="","",IFS(IFERROR(VLOOKUP(B92,'Co-Host Agreements'!$A$6:$K$20,4,FALSE),"")="% of NET",J92*K92,IFERROR(VLOOKUP(B92,'Co-Host Agreements'!$A$6:$K$20,4,FALSE),"")="% of GROSS",F92*K92,IFERROR(VLOOKUP(B92,'Co-Host Agreements'!$A$6:$K$20,4,FALSE),"")="Flat per booking",IFERROR(VLOOKUP(B92,'Co-Host Agreements'!$A$6:$K$20,6,FALSE),0),IFERROR(VLOOKUP(B92,'Co-Host Agreements'!$A$6:$K$20,4,FALSE),"")="Hybrid (Flat + % of NET)",IFERROR(VLOOKUP(B92,'Co-Host Agreements'!$A$6:$K$20,6,FALSE),0)+J92*K92,TRUE,0))</f>
        <v/>
      </c>
      <c r="M92" s="41">
        <f>IF(B92="","",J92-L92)</f>
        <v/>
      </c>
      <c r="N92" s="36" t="inlineStr">
        <is>
          <t>Paid</t>
        </is>
      </c>
      <c r="O92" s="36" t="inlineStr"/>
    </row>
    <row r="93" ht="16" customHeight="1">
      <c r="A93" s="39" t="n">
        <v>46052</v>
      </c>
      <c r="B93" s="36" t="inlineStr">
        <is>
          <t>Ridge Top</t>
        </is>
      </c>
      <c r="C93" s="36" t="inlineStr">
        <is>
          <t>Nia D.</t>
        </is>
      </c>
      <c r="D93" s="36" t="inlineStr">
        <is>
          <t>AB-93003</t>
        </is>
      </c>
      <c r="E93" s="36" t="inlineStr">
        <is>
          <t>Airbnb</t>
        </is>
      </c>
      <c r="F93" s="40" t="n">
        <v>1480</v>
      </c>
      <c r="G93" s="40" t="n">
        <v>110</v>
      </c>
      <c r="H93" s="40" t="n">
        <v>222</v>
      </c>
      <c r="I93" s="40" t="n">
        <v>0</v>
      </c>
      <c r="J93" s="41">
        <f>IF(F93="","",F93-IF(IFERROR(VLOOKUP(B93,'Co-Host Agreements'!$A$6:$K$20,7,FALSE),"No")="Yes",G93,0)-IF(IFERROR(VLOOKUP(B93,'Co-Host Agreements'!$A$6:$K$20,8,FALSE),"No")="Yes",H93,0)-N(I93))</f>
        <v/>
      </c>
      <c r="K93" s="42">
        <f>IFERROR(VLOOKUP(B93,'Co-Host Agreements'!$A$6:$K$20,5,FALSE),0)</f>
        <v/>
      </c>
      <c r="L93" s="41">
        <f>IF(B93="","",IFS(IFERROR(VLOOKUP(B93,'Co-Host Agreements'!$A$6:$K$20,4,FALSE),"")="% of NET",J93*K93,IFERROR(VLOOKUP(B93,'Co-Host Agreements'!$A$6:$K$20,4,FALSE),"")="% of GROSS",F93*K93,IFERROR(VLOOKUP(B93,'Co-Host Agreements'!$A$6:$K$20,4,FALSE),"")="Flat per booking",IFERROR(VLOOKUP(B93,'Co-Host Agreements'!$A$6:$K$20,6,FALSE),0),IFERROR(VLOOKUP(B93,'Co-Host Agreements'!$A$6:$K$20,4,FALSE),"")="Hybrid (Flat + % of NET)",IFERROR(VLOOKUP(B93,'Co-Host Agreements'!$A$6:$K$20,6,FALSE),0)+J93*K93,TRUE,0))</f>
        <v/>
      </c>
      <c r="M93" s="41">
        <f>IF(B93="","",J93-L93)</f>
        <v/>
      </c>
      <c r="N93" s="36" t="inlineStr">
        <is>
          <t>Paid</t>
        </is>
      </c>
      <c r="O93" s="36" t="inlineStr"/>
    </row>
    <row r="94" ht="16" customHeight="1">
      <c r="A94" s="39" t="n">
        <v>46059</v>
      </c>
      <c r="B94" s="36" t="inlineStr">
        <is>
          <t>Ridge Top</t>
        </is>
      </c>
      <c r="C94" s="36" t="inlineStr">
        <is>
          <t>Oren E.</t>
        </is>
      </c>
      <c r="D94" s="36" t="inlineStr">
        <is>
          <t>AB-93004</t>
        </is>
      </c>
      <c r="E94" s="36" t="inlineStr">
        <is>
          <t>Airbnb</t>
        </is>
      </c>
      <c r="F94" s="40" t="n">
        <v>1620</v>
      </c>
      <c r="G94" s="40" t="n">
        <v>110</v>
      </c>
      <c r="H94" s="40" t="n">
        <v>243</v>
      </c>
      <c r="I94" s="40" t="n">
        <v>0</v>
      </c>
      <c r="J94" s="41">
        <f>IF(F94="","",F94-IF(IFERROR(VLOOKUP(B94,'Co-Host Agreements'!$A$6:$K$20,7,FALSE),"No")="Yes",G94,0)-IF(IFERROR(VLOOKUP(B94,'Co-Host Agreements'!$A$6:$K$20,8,FALSE),"No")="Yes",H94,0)-N(I94))</f>
        <v/>
      </c>
      <c r="K94" s="42">
        <f>IFERROR(VLOOKUP(B94,'Co-Host Agreements'!$A$6:$K$20,5,FALSE),0)</f>
        <v/>
      </c>
      <c r="L94" s="41">
        <f>IF(B94="","",IFS(IFERROR(VLOOKUP(B94,'Co-Host Agreements'!$A$6:$K$20,4,FALSE),"")="% of NET",J94*K94,IFERROR(VLOOKUP(B94,'Co-Host Agreements'!$A$6:$K$20,4,FALSE),"")="% of GROSS",F94*K94,IFERROR(VLOOKUP(B94,'Co-Host Agreements'!$A$6:$K$20,4,FALSE),"")="Flat per booking",IFERROR(VLOOKUP(B94,'Co-Host Agreements'!$A$6:$K$20,6,FALSE),0),IFERROR(VLOOKUP(B94,'Co-Host Agreements'!$A$6:$K$20,4,FALSE),"")="Hybrid (Flat + % of NET)",IFERROR(VLOOKUP(B94,'Co-Host Agreements'!$A$6:$K$20,6,FALSE),0)+J94*K94,TRUE,0))</f>
        <v/>
      </c>
      <c r="M94" s="41">
        <f>IF(B94="","",J94-L94)</f>
        <v/>
      </c>
      <c r="N94" s="36" t="inlineStr">
        <is>
          <t>Paid</t>
        </is>
      </c>
      <c r="O94" s="36" t="inlineStr"/>
    </row>
    <row r="95" ht="16" customHeight="1">
      <c r="A95" s="39" t="n">
        <v>46066</v>
      </c>
      <c r="B95" s="36" t="inlineStr">
        <is>
          <t>Ridge Top</t>
        </is>
      </c>
      <c r="C95" s="36" t="inlineStr">
        <is>
          <t>Pax F.</t>
        </is>
      </c>
      <c r="D95" s="36" t="inlineStr">
        <is>
          <t>DR-03001</t>
        </is>
      </c>
      <c r="E95" s="36" t="inlineStr">
        <is>
          <t>Direct</t>
        </is>
      </c>
      <c r="F95" s="40" t="n">
        <v>1480</v>
      </c>
      <c r="G95" s="40" t="n">
        <v>110</v>
      </c>
      <c r="H95" s="40" t="n">
        <v>0</v>
      </c>
      <c r="I95" s="40" t="n">
        <v>0</v>
      </c>
      <c r="J95" s="41">
        <f>IF(F95="","",F95-IF(IFERROR(VLOOKUP(B95,'Co-Host Agreements'!$A$6:$K$20,7,FALSE),"No")="Yes",G95,0)-IF(IFERROR(VLOOKUP(B95,'Co-Host Agreements'!$A$6:$K$20,8,FALSE),"No")="Yes",H95,0)-N(I95))</f>
        <v/>
      </c>
      <c r="K95" s="42">
        <f>IFERROR(VLOOKUP(B95,'Co-Host Agreements'!$A$6:$K$20,5,FALSE),0)</f>
        <v/>
      </c>
      <c r="L95" s="41">
        <f>IF(B95="","",IFS(IFERROR(VLOOKUP(B95,'Co-Host Agreements'!$A$6:$K$20,4,FALSE),"")="% of NET",J95*K95,IFERROR(VLOOKUP(B95,'Co-Host Agreements'!$A$6:$K$20,4,FALSE),"")="% of GROSS",F95*K95,IFERROR(VLOOKUP(B95,'Co-Host Agreements'!$A$6:$K$20,4,FALSE),"")="Flat per booking",IFERROR(VLOOKUP(B95,'Co-Host Agreements'!$A$6:$K$20,6,FALSE),0),IFERROR(VLOOKUP(B95,'Co-Host Agreements'!$A$6:$K$20,4,FALSE),"")="Hybrid (Flat + % of NET)",IFERROR(VLOOKUP(B95,'Co-Host Agreements'!$A$6:$K$20,6,FALSE),0)+J95*K95,TRUE,0))</f>
        <v/>
      </c>
      <c r="M95" s="41">
        <f>IF(B95="","",J95-L95)</f>
        <v/>
      </c>
      <c r="N95" s="36" t="inlineStr">
        <is>
          <t>Paid</t>
        </is>
      </c>
      <c r="O95" s="36" t="inlineStr"/>
    </row>
    <row r="96" ht="16" customHeight="1">
      <c r="A96" s="39" t="n">
        <v>46073</v>
      </c>
      <c r="B96" s="36" t="inlineStr">
        <is>
          <t>Ridge Top</t>
        </is>
      </c>
      <c r="C96" s="36" t="inlineStr">
        <is>
          <t>Quill G.</t>
        </is>
      </c>
      <c r="D96" s="36" t="inlineStr">
        <is>
          <t>AB-93005</t>
        </is>
      </c>
      <c r="E96" s="36" t="inlineStr">
        <is>
          <t>Airbnb</t>
        </is>
      </c>
      <c r="F96" s="40" t="n">
        <v>1740</v>
      </c>
      <c r="G96" s="40" t="n">
        <v>110</v>
      </c>
      <c r="H96" s="40" t="n">
        <v>261</v>
      </c>
      <c r="I96" s="40" t="n">
        <v>0</v>
      </c>
      <c r="J96" s="41">
        <f>IF(F96="","",F96-IF(IFERROR(VLOOKUP(B96,'Co-Host Agreements'!$A$6:$K$20,7,FALSE),"No")="Yes",G96,0)-IF(IFERROR(VLOOKUP(B96,'Co-Host Agreements'!$A$6:$K$20,8,FALSE),"No")="Yes",H96,0)-N(I96))</f>
        <v/>
      </c>
      <c r="K96" s="42">
        <f>IFERROR(VLOOKUP(B96,'Co-Host Agreements'!$A$6:$K$20,5,FALSE),0)</f>
        <v/>
      </c>
      <c r="L96" s="41">
        <f>IF(B96="","",IFS(IFERROR(VLOOKUP(B96,'Co-Host Agreements'!$A$6:$K$20,4,FALSE),"")="% of NET",J96*K96,IFERROR(VLOOKUP(B96,'Co-Host Agreements'!$A$6:$K$20,4,FALSE),"")="% of GROSS",F96*K96,IFERROR(VLOOKUP(B96,'Co-Host Agreements'!$A$6:$K$20,4,FALSE),"")="Flat per booking",IFERROR(VLOOKUP(B96,'Co-Host Agreements'!$A$6:$K$20,6,FALSE),0),IFERROR(VLOOKUP(B96,'Co-Host Agreements'!$A$6:$K$20,4,FALSE),"")="Hybrid (Flat + % of NET)",IFERROR(VLOOKUP(B96,'Co-Host Agreements'!$A$6:$K$20,6,FALSE),0)+J96*K96,TRUE,0))</f>
        <v/>
      </c>
      <c r="M96" s="41">
        <f>IF(B96="","",J96-L96)</f>
        <v/>
      </c>
      <c r="N96" s="36" t="inlineStr">
        <is>
          <t>Paid</t>
        </is>
      </c>
      <c r="O96" s="36" t="inlineStr"/>
    </row>
    <row r="97" ht="16" customHeight="1">
      <c r="A97" s="39" t="n">
        <v>46080</v>
      </c>
      <c r="B97" s="36" t="inlineStr">
        <is>
          <t>Ridge Top</t>
        </is>
      </c>
      <c r="C97" s="36" t="inlineStr">
        <is>
          <t>Rae H.</t>
        </is>
      </c>
      <c r="D97" s="36" t="inlineStr">
        <is>
          <t>AB-93006</t>
        </is>
      </c>
      <c r="E97" s="36" t="inlineStr">
        <is>
          <t>Airbnb</t>
        </is>
      </c>
      <c r="F97" s="40" t="n">
        <v>1620</v>
      </c>
      <c r="G97" s="40" t="n">
        <v>110</v>
      </c>
      <c r="H97" s="40" t="n">
        <v>243</v>
      </c>
      <c r="I97" s="40" t="n">
        <v>0</v>
      </c>
      <c r="J97" s="41">
        <f>IF(F97="","",F97-IF(IFERROR(VLOOKUP(B97,'Co-Host Agreements'!$A$6:$K$20,7,FALSE),"No")="Yes",G97,0)-IF(IFERROR(VLOOKUP(B97,'Co-Host Agreements'!$A$6:$K$20,8,FALSE),"No")="Yes",H97,0)-N(I97))</f>
        <v/>
      </c>
      <c r="K97" s="42">
        <f>IFERROR(VLOOKUP(B97,'Co-Host Agreements'!$A$6:$K$20,5,FALSE),0)</f>
        <v/>
      </c>
      <c r="L97" s="41">
        <f>IF(B97="","",IFS(IFERROR(VLOOKUP(B97,'Co-Host Agreements'!$A$6:$K$20,4,FALSE),"")="% of NET",J97*K97,IFERROR(VLOOKUP(B97,'Co-Host Agreements'!$A$6:$K$20,4,FALSE),"")="% of GROSS",F97*K97,IFERROR(VLOOKUP(B97,'Co-Host Agreements'!$A$6:$K$20,4,FALSE),"")="Flat per booking",IFERROR(VLOOKUP(B97,'Co-Host Agreements'!$A$6:$K$20,6,FALSE),0),IFERROR(VLOOKUP(B97,'Co-Host Agreements'!$A$6:$K$20,4,FALSE),"")="Hybrid (Flat + % of NET)",IFERROR(VLOOKUP(B97,'Co-Host Agreements'!$A$6:$K$20,6,FALSE),0)+J97*K97,TRUE,0))</f>
        <v/>
      </c>
      <c r="M97" s="41">
        <f>IF(B97="","",J97-L97)</f>
        <v/>
      </c>
      <c r="N97" s="36" t="inlineStr">
        <is>
          <t>Paid</t>
        </is>
      </c>
      <c r="O97" s="36" t="inlineStr"/>
    </row>
    <row r="98" ht="16" customHeight="1">
      <c r="A98" s="39" t="n">
        <v>46087</v>
      </c>
      <c r="B98" s="36" t="inlineStr">
        <is>
          <t>Ridge Top</t>
        </is>
      </c>
      <c r="C98" s="36" t="inlineStr">
        <is>
          <t>Sol I.</t>
        </is>
      </c>
      <c r="D98" s="36" t="inlineStr">
        <is>
          <t>AB-93007</t>
        </is>
      </c>
      <c r="E98" s="36" t="inlineStr">
        <is>
          <t>Airbnb</t>
        </is>
      </c>
      <c r="F98" s="40" t="n">
        <v>1480</v>
      </c>
      <c r="G98" s="40" t="n">
        <v>110</v>
      </c>
      <c r="H98" s="40" t="n">
        <v>222</v>
      </c>
      <c r="I98" s="40" t="n">
        <v>0</v>
      </c>
      <c r="J98" s="41">
        <f>IF(F98="","",F98-IF(IFERROR(VLOOKUP(B98,'Co-Host Agreements'!$A$6:$K$20,7,FALSE),"No")="Yes",G98,0)-IF(IFERROR(VLOOKUP(B98,'Co-Host Agreements'!$A$6:$K$20,8,FALSE),"No")="Yes",H98,0)-N(I98))</f>
        <v/>
      </c>
      <c r="K98" s="42">
        <f>IFERROR(VLOOKUP(B98,'Co-Host Agreements'!$A$6:$K$20,5,FALSE),0)</f>
        <v/>
      </c>
      <c r="L98" s="41">
        <f>IF(B98="","",IFS(IFERROR(VLOOKUP(B98,'Co-Host Agreements'!$A$6:$K$20,4,FALSE),"")="% of NET",J98*K98,IFERROR(VLOOKUP(B98,'Co-Host Agreements'!$A$6:$K$20,4,FALSE),"")="% of GROSS",F98*K98,IFERROR(VLOOKUP(B98,'Co-Host Agreements'!$A$6:$K$20,4,FALSE),"")="Flat per booking",IFERROR(VLOOKUP(B98,'Co-Host Agreements'!$A$6:$K$20,6,FALSE),0),IFERROR(VLOOKUP(B98,'Co-Host Agreements'!$A$6:$K$20,4,FALSE),"")="Hybrid (Flat + % of NET)",IFERROR(VLOOKUP(B98,'Co-Host Agreements'!$A$6:$K$20,6,FALSE),0)+J98*K98,TRUE,0))</f>
        <v/>
      </c>
      <c r="M98" s="41">
        <f>IF(B98="","",J98-L98)</f>
        <v/>
      </c>
      <c r="N98" s="36" t="inlineStr">
        <is>
          <t>Paid</t>
        </is>
      </c>
      <c r="O98" s="36" t="inlineStr"/>
    </row>
    <row r="99" ht="16" customHeight="1">
      <c r="A99" s="39" t="n">
        <v>46094</v>
      </c>
      <c r="B99" s="36" t="inlineStr">
        <is>
          <t>Ridge Top</t>
        </is>
      </c>
      <c r="C99" s="36" t="inlineStr">
        <is>
          <t>Tia J.</t>
        </is>
      </c>
      <c r="D99" s="36" t="inlineStr">
        <is>
          <t>VR-53002</t>
        </is>
      </c>
      <c r="E99" s="36" t="inlineStr">
        <is>
          <t>VRBO</t>
        </is>
      </c>
      <c r="F99" s="40" t="n">
        <v>1620</v>
      </c>
      <c r="G99" s="40" t="n">
        <v>110</v>
      </c>
      <c r="H99" s="40" t="n">
        <v>130</v>
      </c>
      <c r="I99" s="40" t="n">
        <v>0</v>
      </c>
      <c r="J99" s="41">
        <f>IF(F99="","",F99-IF(IFERROR(VLOOKUP(B99,'Co-Host Agreements'!$A$6:$K$20,7,FALSE),"No")="Yes",G99,0)-IF(IFERROR(VLOOKUP(B99,'Co-Host Agreements'!$A$6:$K$20,8,FALSE),"No")="Yes",H99,0)-N(I99))</f>
        <v/>
      </c>
      <c r="K99" s="42">
        <f>IFERROR(VLOOKUP(B99,'Co-Host Agreements'!$A$6:$K$20,5,FALSE),0)</f>
        <v/>
      </c>
      <c r="L99" s="41">
        <f>IF(B99="","",IFS(IFERROR(VLOOKUP(B99,'Co-Host Agreements'!$A$6:$K$20,4,FALSE),"")="% of NET",J99*K99,IFERROR(VLOOKUP(B99,'Co-Host Agreements'!$A$6:$K$20,4,FALSE),"")="% of GROSS",F99*K99,IFERROR(VLOOKUP(B99,'Co-Host Agreements'!$A$6:$K$20,4,FALSE),"")="Flat per booking",IFERROR(VLOOKUP(B99,'Co-Host Agreements'!$A$6:$K$20,6,FALSE),0),IFERROR(VLOOKUP(B99,'Co-Host Agreements'!$A$6:$K$20,4,FALSE),"")="Hybrid (Flat + % of NET)",IFERROR(VLOOKUP(B99,'Co-Host Agreements'!$A$6:$K$20,6,FALSE),0)+J99*K99,TRUE,0))</f>
        <v/>
      </c>
      <c r="M99" s="41">
        <f>IF(B99="","",J99-L99)</f>
        <v/>
      </c>
      <c r="N99" s="36" t="inlineStr">
        <is>
          <t>Paid</t>
        </is>
      </c>
      <c r="O99" s="36" t="inlineStr"/>
    </row>
    <row r="100" ht="16" customHeight="1">
      <c r="A100" s="39" t="n">
        <v>46101</v>
      </c>
      <c r="B100" s="36" t="inlineStr">
        <is>
          <t>Ridge Top</t>
        </is>
      </c>
      <c r="C100" s="36" t="inlineStr">
        <is>
          <t>Uri K.</t>
        </is>
      </c>
      <c r="D100" s="36" t="inlineStr">
        <is>
          <t>AB-93008</t>
        </is>
      </c>
      <c r="E100" s="36" t="inlineStr">
        <is>
          <t>Airbnb</t>
        </is>
      </c>
      <c r="F100" s="40" t="n">
        <v>1740</v>
      </c>
      <c r="G100" s="40" t="n">
        <v>110</v>
      </c>
      <c r="H100" s="40" t="n">
        <v>261</v>
      </c>
      <c r="I100" s="40" t="n">
        <v>0</v>
      </c>
      <c r="J100" s="41">
        <f>IF(F100="","",F100-IF(IFERROR(VLOOKUP(B100,'Co-Host Agreements'!$A$6:$K$20,7,FALSE),"No")="Yes",G100,0)-IF(IFERROR(VLOOKUP(B100,'Co-Host Agreements'!$A$6:$K$20,8,FALSE),"No")="Yes",H100,0)-N(I100))</f>
        <v/>
      </c>
      <c r="K100" s="42">
        <f>IFERROR(VLOOKUP(B100,'Co-Host Agreements'!$A$6:$K$20,5,FALSE),0)</f>
        <v/>
      </c>
      <c r="L100" s="41">
        <f>IF(B100="","",IFS(IFERROR(VLOOKUP(B100,'Co-Host Agreements'!$A$6:$K$20,4,FALSE),"")="% of NET",J100*K100,IFERROR(VLOOKUP(B100,'Co-Host Agreements'!$A$6:$K$20,4,FALSE),"")="% of GROSS",F100*K100,IFERROR(VLOOKUP(B100,'Co-Host Agreements'!$A$6:$K$20,4,FALSE),"")="Flat per booking",IFERROR(VLOOKUP(B100,'Co-Host Agreements'!$A$6:$K$20,6,FALSE),0),IFERROR(VLOOKUP(B100,'Co-Host Agreements'!$A$6:$K$20,4,FALSE),"")="Hybrid (Flat + % of NET)",IFERROR(VLOOKUP(B100,'Co-Host Agreements'!$A$6:$K$20,6,FALSE),0)+J100*K100,TRUE,0))</f>
        <v/>
      </c>
      <c r="M100" s="41">
        <f>IF(B100="","",J100-L100)</f>
        <v/>
      </c>
      <c r="N100" s="36" t="inlineStr">
        <is>
          <t>Paid</t>
        </is>
      </c>
      <c r="O100" s="36" t="inlineStr"/>
    </row>
    <row r="101" ht="16" customHeight="1">
      <c r="A101" s="39" t="n">
        <v>46108</v>
      </c>
      <c r="B101" s="36" t="inlineStr">
        <is>
          <t>Ridge Top</t>
        </is>
      </c>
      <c r="C101" s="36" t="inlineStr">
        <is>
          <t>Vex L.</t>
        </is>
      </c>
      <c r="D101" s="36" t="inlineStr">
        <is>
          <t>AB-93009</t>
        </is>
      </c>
      <c r="E101" s="36" t="inlineStr">
        <is>
          <t>Airbnb</t>
        </is>
      </c>
      <c r="F101" s="40" t="n">
        <v>1480</v>
      </c>
      <c r="G101" s="40" t="n">
        <v>110</v>
      </c>
      <c r="H101" s="40" t="n">
        <v>222</v>
      </c>
      <c r="I101" s="40" t="n">
        <v>0</v>
      </c>
      <c r="J101" s="41">
        <f>IF(F101="","",F101-IF(IFERROR(VLOOKUP(B101,'Co-Host Agreements'!$A$6:$K$20,7,FALSE),"No")="Yes",G101,0)-IF(IFERROR(VLOOKUP(B101,'Co-Host Agreements'!$A$6:$K$20,8,FALSE),"No")="Yes",H101,0)-N(I101))</f>
        <v/>
      </c>
      <c r="K101" s="42">
        <f>IFERROR(VLOOKUP(B101,'Co-Host Agreements'!$A$6:$K$20,5,FALSE),0)</f>
        <v/>
      </c>
      <c r="L101" s="41">
        <f>IF(B101="","",IFS(IFERROR(VLOOKUP(B101,'Co-Host Agreements'!$A$6:$K$20,4,FALSE),"")="% of NET",J101*K101,IFERROR(VLOOKUP(B101,'Co-Host Agreements'!$A$6:$K$20,4,FALSE),"")="% of GROSS",F101*K101,IFERROR(VLOOKUP(B101,'Co-Host Agreements'!$A$6:$K$20,4,FALSE),"")="Flat per booking",IFERROR(VLOOKUP(B101,'Co-Host Agreements'!$A$6:$K$20,6,FALSE),0),IFERROR(VLOOKUP(B101,'Co-Host Agreements'!$A$6:$K$20,4,FALSE),"")="Hybrid (Flat + % of NET)",IFERROR(VLOOKUP(B101,'Co-Host Agreements'!$A$6:$K$20,6,FALSE),0)+J101*K101,TRUE,0))</f>
        <v/>
      </c>
      <c r="M101" s="41">
        <f>IF(B101="","",J101-L101)</f>
        <v/>
      </c>
      <c r="N101" s="36" t="inlineStr">
        <is>
          <t>Paid</t>
        </is>
      </c>
      <c r="O101" s="36" t="inlineStr"/>
    </row>
    <row r="102" ht="16" customHeight="1">
      <c r="A102" s="39" t="n">
        <v>46115</v>
      </c>
      <c r="B102" s="36" t="inlineStr">
        <is>
          <t>Ridge Top</t>
        </is>
      </c>
      <c r="C102" s="36" t="inlineStr">
        <is>
          <t>Wyn M.</t>
        </is>
      </c>
      <c r="D102" s="36" t="inlineStr">
        <is>
          <t>AB-93010</t>
        </is>
      </c>
      <c r="E102" s="36" t="inlineStr">
        <is>
          <t>Airbnb</t>
        </is>
      </c>
      <c r="F102" s="40" t="n">
        <v>1620</v>
      </c>
      <c r="G102" s="40" t="n">
        <v>110</v>
      </c>
      <c r="H102" s="40" t="n">
        <v>243</v>
      </c>
      <c r="I102" s="40" t="n">
        <v>0</v>
      </c>
      <c r="J102" s="41">
        <f>IF(F102="","",F102-IF(IFERROR(VLOOKUP(B102,'Co-Host Agreements'!$A$6:$K$20,7,FALSE),"No")="Yes",G102,0)-IF(IFERROR(VLOOKUP(B102,'Co-Host Agreements'!$A$6:$K$20,8,FALSE),"No")="Yes",H102,0)-N(I102))</f>
        <v/>
      </c>
      <c r="K102" s="42">
        <f>IFERROR(VLOOKUP(B102,'Co-Host Agreements'!$A$6:$K$20,5,FALSE),0)</f>
        <v/>
      </c>
      <c r="L102" s="41">
        <f>IF(B102="","",IFS(IFERROR(VLOOKUP(B102,'Co-Host Agreements'!$A$6:$K$20,4,FALSE),"")="% of NET",J102*K102,IFERROR(VLOOKUP(B102,'Co-Host Agreements'!$A$6:$K$20,4,FALSE),"")="% of GROSS",F102*K102,IFERROR(VLOOKUP(B102,'Co-Host Agreements'!$A$6:$K$20,4,FALSE),"")="Flat per booking",IFERROR(VLOOKUP(B102,'Co-Host Agreements'!$A$6:$K$20,6,FALSE),0),IFERROR(VLOOKUP(B102,'Co-Host Agreements'!$A$6:$K$20,4,FALSE),"")="Hybrid (Flat + % of NET)",IFERROR(VLOOKUP(B102,'Co-Host Agreements'!$A$6:$K$20,6,FALSE),0)+J102*K102,TRUE,0))</f>
        <v/>
      </c>
      <c r="M102" s="41">
        <f>IF(B102="","",J102-L102)</f>
        <v/>
      </c>
      <c r="N102" s="36" t="inlineStr">
        <is>
          <t>Paid</t>
        </is>
      </c>
      <c r="O102" s="36" t="inlineStr"/>
    </row>
    <row r="103" ht="16" customHeight="1">
      <c r="A103" s="39" t="n">
        <v>46122</v>
      </c>
      <c r="B103" s="36" t="inlineStr">
        <is>
          <t>Ridge Top</t>
        </is>
      </c>
      <c r="C103" s="36" t="inlineStr">
        <is>
          <t>Xan N.</t>
        </is>
      </c>
      <c r="D103" s="36" t="inlineStr">
        <is>
          <t>DR-03002</t>
        </is>
      </c>
      <c r="E103" s="36" t="inlineStr">
        <is>
          <t>Direct</t>
        </is>
      </c>
      <c r="F103" s="40" t="n">
        <v>1480</v>
      </c>
      <c r="G103" s="40" t="n">
        <v>110</v>
      </c>
      <c r="H103" s="40" t="n">
        <v>0</v>
      </c>
      <c r="I103" s="40" t="n">
        <v>0</v>
      </c>
      <c r="J103" s="41">
        <f>IF(F103="","",F103-IF(IFERROR(VLOOKUP(B103,'Co-Host Agreements'!$A$6:$K$20,7,FALSE),"No")="Yes",G103,0)-IF(IFERROR(VLOOKUP(B103,'Co-Host Agreements'!$A$6:$K$20,8,FALSE),"No")="Yes",H103,0)-N(I103))</f>
        <v/>
      </c>
      <c r="K103" s="42">
        <f>IFERROR(VLOOKUP(B103,'Co-Host Agreements'!$A$6:$K$20,5,FALSE),0)</f>
        <v/>
      </c>
      <c r="L103" s="41">
        <f>IF(B103="","",IFS(IFERROR(VLOOKUP(B103,'Co-Host Agreements'!$A$6:$K$20,4,FALSE),"")="% of NET",J103*K103,IFERROR(VLOOKUP(B103,'Co-Host Agreements'!$A$6:$K$20,4,FALSE),"")="% of GROSS",F103*K103,IFERROR(VLOOKUP(B103,'Co-Host Agreements'!$A$6:$K$20,4,FALSE),"")="Flat per booking",IFERROR(VLOOKUP(B103,'Co-Host Agreements'!$A$6:$K$20,6,FALSE),0),IFERROR(VLOOKUP(B103,'Co-Host Agreements'!$A$6:$K$20,4,FALSE),"")="Hybrid (Flat + % of NET)",IFERROR(VLOOKUP(B103,'Co-Host Agreements'!$A$6:$K$20,6,FALSE),0)+J103*K103,TRUE,0))</f>
        <v/>
      </c>
      <c r="M103" s="41">
        <f>IF(B103="","",J103-L103)</f>
        <v/>
      </c>
      <c r="N103" s="36" t="inlineStr">
        <is>
          <t>Paid</t>
        </is>
      </c>
      <c r="O103" s="36" t="inlineStr"/>
    </row>
    <row r="104" ht="16" customHeight="1">
      <c r="A104" s="39" t="n">
        <v>46129</v>
      </c>
      <c r="B104" s="36" t="inlineStr">
        <is>
          <t>Ridge Top</t>
        </is>
      </c>
      <c r="C104" s="36" t="inlineStr">
        <is>
          <t>Yul O.</t>
        </is>
      </c>
      <c r="D104" s="36" t="inlineStr">
        <is>
          <t>AB-93011</t>
        </is>
      </c>
      <c r="E104" s="36" t="inlineStr">
        <is>
          <t>Airbnb</t>
        </is>
      </c>
      <c r="F104" s="40" t="n">
        <v>1740</v>
      </c>
      <c r="G104" s="40" t="n">
        <v>110</v>
      </c>
      <c r="H104" s="40" t="n">
        <v>261</v>
      </c>
      <c r="I104" s="40" t="n">
        <v>0</v>
      </c>
      <c r="J104" s="41">
        <f>IF(F104="","",F104-IF(IFERROR(VLOOKUP(B104,'Co-Host Agreements'!$A$6:$K$20,7,FALSE),"No")="Yes",G104,0)-IF(IFERROR(VLOOKUP(B104,'Co-Host Agreements'!$A$6:$K$20,8,FALSE),"No")="Yes",H104,0)-N(I104))</f>
        <v/>
      </c>
      <c r="K104" s="42">
        <f>IFERROR(VLOOKUP(B104,'Co-Host Agreements'!$A$6:$K$20,5,FALSE),0)</f>
        <v/>
      </c>
      <c r="L104" s="41">
        <f>IF(B104="","",IFS(IFERROR(VLOOKUP(B104,'Co-Host Agreements'!$A$6:$K$20,4,FALSE),"")="% of NET",J104*K104,IFERROR(VLOOKUP(B104,'Co-Host Agreements'!$A$6:$K$20,4,FALSE),"")="% of GROSS",F104*K104,IFERROR(VLOOKUP(B104,'Co-Host Agreements'!$A$6:$K$20,4,FALSE),"")="Flat per booking",IFERROR(VLOOKUP(B104,'Co-Host Agreements'!$A$6:$K$20,6,FALSE),0),IFERROR(VLOOKUP(B104,'Co-Host Agreements'!$A$6:$K$20,4,FALSE),"")="Hybrid (Flat + % of NET)",IFERROR(VLOOKUP(B104,'Co-Host Agreements'!$A$6:$K$20,6,FALSE),0)+J104*K104,TRUE,0))</f>
        <v/>
      </c>
      <c r="M104" s="41">
        <f>IF(B104="","",J104-L104)</f>
        <v/>
      </c>
      <c r="N104" s="36" t="inlineStr">
        <is>
          <t>Paid</t>
        </is>
      </c>
      <c r="O104" s="36" t="inlineStr"/>
    </row>
    <row r="105" ht="16" customHeight="1">
      <c r="A105" s="39" t="n">
        <v>46136</v>
      </c>
      <c r="B105" s="36" t="inlineStr">
        <is>
          <t>Ridge Top</t>
        </is>
      </c>
      <c r="C105" s="36" t="inlineStr">
        <is>
          <t>Zia P.</t>
        </is>
      </c>
      <c r="D105" s="36" t="inlineStr">
        <is>
          <t>AB-93012</t>
        </is>
      </c>
      <c r="E105" s="36" t="inlineStr">
        <is>
          <t>Airbnb</t>
        </is>
      </c>
      <c r="F105" s="40" t="n">
        <v>1620</v>
      </c>
      <c r="G105" s="40" t="n">
        <v>110</v>
      </c>
      <c r="H105" s="40" t="n">
        <v>243</v>
      </c>
      <c r="I105" s="40" t="n">
        <v>0</v>
      </c>
      <c r="J105" s="41">
        <f>IF(F105="","",F105-IF(IFERROR(VLOOKUP(B105,'Co-Host Agreements'!$A$6:$K$20,7,FALSE),"No")="Yes",G105,0)-IF(IFERROR(VLOOKUP(B105,'Co-Host Agreements'!$A$6:$K$20,8,FALSE),"No")="Yes",H105,0)-N(I105))</f>
        <v/>
      </c>
      <c r="K105" s="42">
        <f>IFERROR(VLOOKUP(B105,'Co-Host Agreements'!$A$6:$K$20,5,FALSE),0)</f>
        <v/>
      </c>
      <c r="L105" s="41">
        <f>IF(B105="","",IFS(IFERROR(VLOOKUP(B105,'Co-Host Agreements'!$A$6:$K$20,4,FALSE),"")="% of NET",J105*K105,IFERROR(VLOOKUP(B105,'Co-Host Agreements'!$A$6:$K$20,4,FALSE),"")="% of GROSS",F105*K105,IFERROR(VLOOKUP(B105,'Co-Host Agreements'!$A$6:$K$20,4,FALSE),"")="Flat per booking",IFERROR(VLOOKUP(B105,'Co-Host Agreements'!$A$6:$K$20,6,FALSE),0),IFERROR(VLOOKUP(B105,'Co-Host Agreements'!$A$6:$K$20,4,FALSE),"")="Hybrid (Flat + % of NET)",IFERROR(VLOOKUP(B105,'Co-Host Agreements'!$A$6:$K$20,6,FALSE),0)+J105*K105,TRUE,0))</f>
        <v/>
      </c>
      <c r="M105" s="41">
        <f>IF(B105="","",J105-L105)</f>
        <v/>
      </c>
      <c r="N105" s="36" t="inlineStr">
        <is>
          <t>Paid</t>
        </is>
      </c>
      <c r="O105" s="36" t="inlineStr"/>
    </row>
    <row r="106" ht="16" customHeight="1">
      <c r="A106" s="39" t="n">
        <v>46143</v>
      </c>
      <c r="B106" s="36" t="inlineStr">
        <is>
          <t>Ridge Top</t>
        </is>
      </c>
      <c r="C106" s="36" t="inlineStr">
        <is>
          <t>Ava Q.</t>
        </is>
      </c>
      <c r="D106" s="36" t="inlineStr">
        <is>
          <t>AB-93013</t>
        </is>
      </c>
      <c r="E106" s="36" t="inlineStr">
        <is>
          <t>Airbnb</t>
        </is>
      </c>
      <c r="F106" s="40" t="n">
        <v>1480</v>
      </c>
      <c r="G106" s="40" t="n">
        <v>110</v>
      </c>
      <c r="H106" s="40" t="n">
        <v>222</v>
      </c>
      <c r="I106" s="40" t="n">
        <v>0</v>
      </c>
      <c r="J106" s="41">
        <f>IF(F106="","",F106-IF(IFERROR(VLOOKUP(B106,'Co-Host Agreements'!$A$6:$K$20,7,FALSE),"No")="Yes",G106,0)-IF(IFERROR(VLOOKUP(B106,'Co-Host Agreements'!$A$6:$K$20,8,FALSE),"No")="Yes",H106,0)-N(I106))</f>
        <v/>
      </c>
      <c r="K106" s="42">
        <f>IFERROR(VLOOKUP(B106,'Co-Host Agreements'!$A$6:$K$20,5,FALSE),0)</f>
        <v/>
      </c>
      <c r="L106" s="41">
        <f>IF(B106="","",IFS(IFERROR(VLOOKUP(B106,'Co-Host Agreements'!$A$6:$K$20,4,FALSE),"")="% of NET",J106*K106,IFERROR(VLOOKUP(B106,'Co-Host Agreements'!$A$6:$K$20,4,FALSE),"")="% of GROSS",F106*K106,IFERROR(VLOOKUP(B106,'Co-Host Agreements'!$A$6:$K$20,4,FALSE),"")="Flat per booking",IFERROR(VLOOKUP(B106,'Co-Host Agreements'!$A$6:$K$20,6,FALSE),0),IFERROR(VLOOKUP(B106,'Co-Host Agreements'!$A$6:$K$20,4,FALSE),"")="Hybrid (Flat + % of NET)",IFERROR(VLOOKUP(B106,'Co-Host Agreements'!$A$6:$K$20,6,FALSE),0)+J106*K106,TRUE,0))</f>
        <v/>
      </c>
      <c r="M106" s="41">
        <f>IF(B106="","",J106-L106)</f>
        <v/>
      </c>
      <c r="N106" s="36" t="inlineStr">
        <is>
          <t>Pending</t>
        </is>
      </c>
      <c r="O106" s="36" t="inlineStr"/>
    </row>
    <row r="107" ht="16" customHeight="1">
      <c r="A107" s="39" t="n">
        <v>46150</v>
      </c>
      <c r="B107" s="36" t="inlineStr">
        <is>
          <t>Ridge Top</t>
        </is>
      </c>
      <c r="C107" s="36" t="inlineStr">
        <is>
          <t>Ben R.</t>
        </is>
      </c>
      <c r="D107" s="36" t="inlineStr">
        <is>
          <t>VR-53003</t>
        </is>
      </c>
      <c r="E107" s="36" t="inlineStr">
        <is>
          <t>VRBO</t>
        </is>
      </c>
      <c r="F107" s="40" t="n">
        <v>1620</v>
      </c>
      <c r="G107" s="40" t="n">
        <v>110</v>
      </c>
      <c r="H107" s="40" t="n">
        <v>130</v>
      </c>
      <c r="I107" s="40" t="n">
        <v>0</v>
      </c>
      <c r="J107" s="41">
        <f>IF(F107="","",F107-IF(IFERROR(VLOOKUP(B107,'Co-Host Agreements'!$A$6:$K$20,7,FALSE),"No")="Yes",G107,0)-IF(IFERROR(VLOOKUP(B107,'Co-Host Agreements'!$A$6:$K$20,8,FALSE),"No")="Yes",H107,0)-N(I107))</f>
        <v/>
      </c>
      <c r="K107" s="42">
        <f>IFERROR(VLOOKUP(B107,'Co-Host Agreements'!$A$6:$K$20,5,FALSE),0)</f>
        <v/>
      </c>
      <c r="L107" s="41">
        <f>IF(B107="","",IFS(IFERROR(VLOOKUP(B107,'Co-Host Agreements'!$A$6:$K$20,4,FALSE),"")="% of NET",J107*K107,IFERROR(VLOOKUP(B107,'Co-Host Agreements'!$A$6:$K$20,4,FALSE),"")="% of GROSS",F107*K107,IFERROR(VLOOKUP(B107,'Co-Host Agreements'!$A$6:$K$20,4,FALSE),"")="Flat per booking",IFERROR(VLOOKUP(B107,'Co-Host Agreements'!$A$6:$K$20,6,FALSE),0),IFERROR(VLOOKUP(B107,'Co-Host Agreements'!$A$6:$K$20,4,FALSE),"")="Hybrid (Flat + % of NET)",IFERROR(VLOOKUP(B107,'Co-Host Agreements'!$A$6:$K$20,6,FALSE),0)+J107*K107,TRUE,0))</f>
        <v/>
      </c>
      <c r="M107" s="41">
        <f>IF(B107="","",J107-L107)</f>
        <v/>
      </c>
      <c r="N107" s="36" t="inlineStr">
        <is>
          <t>Pending</t>
        </is>
      </c>
      <c r="O107" s="36" t="inlineStr"/>
    </row>
    <row r="108" ht="16" customHeight="1">
      <c r="A108" s="39" t="n">
        <v>46157</v>
      </c>
      <c r="B108" s="36" t="inlineStr">
        <is>
          <t>Ridge Top</t>
        </is>
      </c>
      <c r="C108" s="36" t="inlineStr">
        <is>
          <t>Cyd S.</t>
        </is>
      </c>
      <c r="D108" s="36" t="inlineStr">
        <is>
          <t>AB-93014</t>
        </is>
      </c>
      <c r="E108" s="36" t="inlineStr">
        <is>
          <t>Airbnb</t>
        </is>
      </c>
      <c r="F108" s="40" t="n">
        <v>1480</v>
      </c>
      <c r="G108" s="40" t="n">
        <v>110</v>
      </c>
      <c r="H108" s="40" t="n">
        <v>222</v>
      </c>
      <c r="I108" s="40" t="n">
        <v>0</v>
      </c>
      <c r="J108" s="41">
        <f>IF(F108="","",F108-IF(IFERROR(VLOOKUP(B108,'Co-Host Agreements'!$A$6:$K$20,7,FALSE),"No")="Yes",G108,0)-IF(IFERROR(VLOOKUP(B108,'Co-Host Agreements'!$A$6:$K$20,8,FALSE),"No")="Yes",H108,0)-N(I108))</f>
        <v/>
      </c>
      <c r="K108" s="42">
        <f>IFERROR(VLOOKUP(B108,'Co-Host Agreements'!$A$6:$K$20,5,FALSE),0)</f>
        <v/>
      </c>
      <c r="L108" s="41">
        <f>IF(B108="","",IFS(IFERROR(VLOOKUP(B108,'Co-Host Agreements'!$A$6:$K$20,4,FALSE),"")="% of NET",J108*K108,IFERROR(VLOOKUP(B108,'Co-Host Agreements'!$A$6:$K$20,4,FALSE),"")="% of GROSS",F108*K108,IFERROR(VLOOKUP(B108,'Co-Host Agreements'!$A$6:$K$20,4,FALSE),"")="Flat per booking",IFERROR(VLOOKUP(B108,'Co-Host Agreements'!$A$6:$K$20,6,FALSE),0),IFERROR(VLOOKUP(B108,'Co-Host Agreements'!$A$6:$K$20,4,FALSE),"")="Hybrid (Flat + % of NET)",IFERROR(VLOOKUP(B108,'Co-Host Agreements'!$A$6:$K$20,6,FALSE),0)+J108*K108,TRUE,0))</f>
        <v/>
      </c>
      <c r="M108" s="41">
        <f>IF(B108="","",J108-L108)</f>
        <v/>
      </c>
      <c r="N108" s="36" t="inlineStr">
        <is>
          <t>Pending</t>
        </is>
      </c>
      <c r="O108" s="36" t="inlineStr"/>
    </row>
    <row r="109" ht="16" customHeight="1">
      <c r="A109" s="39" t="n">
        <v>46164</v>
      </c>
      <c r="B109" s="36" t="inlineStr">
        <is>
          <t>Ridge Top</t>
        </is>
      </c>
      <c r="C109" s="36" t="inlineStr">
        <is>
          <t>Dax T.</t>
        </is>
      </c>
      <c r="D109" s="36" t="inlineStr">
        <is>
          <t>AB-93015</t>
        </is>
      </c>
      <c r="E109" s="36" t="inlineStr">
        <is>
          <t>Airbnb</t>
        </is>
      </c>
      <c r="F109" s="40" t="n">
        <v>1740</v>
      </c>
      <c r="G109" s="40" t="n">
        <v>110</v>
      </c>
      <c r="H109" s="40" t="n">
        <v>261</v>
      </c>
      <c r="I109" s="40" t="n">
        <v>0</v>
      </c>
      <c r="J109" s="41">
        <f>IF(F109="","",F109-IF(IFERROR(VLOOKUP(B109,'Co-Host Agreements'!$A$6:$K$20,7,FALSE),"No")="Yes",G109,0)-IF(IFERROR(VLOOKUP(B109,'Co-Host Agreements'!$A$6:$K$20,8,FALSE),"No")="Yes",H109,0)-N(I109))</f>
        <v/>
      </c>
      <c r="K109" s="42">
        <f>IFERROR(VLOOKUP(B109,'Co-Host Agreements'!$A$6:$K$20,5,FALSE),0)</f>
        <v/>
      </c>
      <c r="L109" s="41">
        <f>IF(B109="","",IFS(IFERROR(VLOOKUP(B109,'Co-Host Agreements'!$A$6:$K$20,4,FALSE),"")="% of NET",J109*K109,IFERROR(VLOOKUP(B109,'Co-Host Agreements'!$A$6:$K$20,4,FALSE),"")="% of GROSS",F109*K109,IFERROR(VLOOKUP(B109,'Co-Host Agreements'!$A$6:$K$20,4,FALSE),"")="Flat per booking",IFERROR(VLOOKUP(B109,'Co-Host Agreements'!$A$6:$K$20,6,FALSE),0),IFERROR(VLOOKUP(B109,'Co-Host Agreements'!$A$6:$K$20,4,FALSE),"")="Hybrid (Flat + % of NET)",IFERROR(VLOOKUP(B109,'Co-Host Agreements'!$A$6:$K$20,6,FALSE),0)+J109*K109,TRUE,0))</f>
        <v/>
      </c>
      <c r="M109" s="41">
        <f>IF(B109="","",J109-L109)</f>
        <v/>
      </c>
      <c r="N109" s="36" t="inlineStr">
        <is>
          <t>Pending</t>
        </is>
      </c>
      <c r="O109" s="36" t="inlineStr"/>
    </row>
    <row r="110" ht="16" customHeight="1">
      <c r="A110" s="39" t="n">
        <v>46171</v>
      </c>
      <c r="B110" s="36" t="inlineStr">
        <is>
          <t>Ridge Top</t>
        </is>
      </c>
      <c r="C110" s="36" t="inlineStr">
        <is>
          <t>Eve U.</t>
        </is>
      </c>
      <c r="D110" s="36" t="inlineStr">
        <is>
          <t>AB-93016</t>
        </is>
      </c>
      <c r="E110" s="36" t="inlineStr">
        <is>
          <t>Airbnb</t>
        </is>
      </c>
      <c r="F110" s="40" t="n">
        <v>1620</v>
      </c>
      <c r="G110" s="40" t="n">
        <v>110</v>
      </c>
      <c r="H110" s="40" t="n">
        <v>243</v>
      </c>
      <c r="I110" s="40" t="n">
        <v>0</v>
      </c>
      <c r="J110" s="41">
        <f>IF(F110="","",F110-IF(IFERROR(VLOOKUP(B110,'Co-Host Agreements'!$A$6:$K$20,7,FALSE),"No")="Yes",G110,0)-IF(IFERROR(VLOOKUP(B110,'Co-Host Agreements'!$A$6:$K$20,8,FALSE),"No")="Yes",H110,0)-N(I110))</f>
        <v/>
      </c>
      <c r="K110" s="42">
        <f>IFERROR(VLOOKUP(B110,'Co-Host Agreements'!$A$6:$K$20,5,FALSE),0)</f>
        <v/>
      </c>
      <c r="L110" s="41">
        <f>IF(B110="","",IFS(IFERROR(VLOOKUP(B110,'Co-Host Agreements'!$A$6:$K$20,4,FALSE),"")="% of NET",J110*K110,IFERROR(VLOOKUP(B110,'Co-Host Agreements'!$A$6:$K$20,4,FALSE),"")="% of GROSS",F110*K110,IFERROR(VLOOKUP(B110,'Co-Host Agreements'!$A$6:$K$20,4,FALSE),"")="Flat per booking",IFERROR(VLOOKUP(B110,'Co-Host Agreements'!$A$6:$K$20,6,FALSE),0),IFERROR(VLOOKUP(B110,'Co-Host Agreements'!$A$6:$K$20,4,FALSE),"")="Hybrid (Flat + % of NET)",IFERROR(VLOOKUP(B110,'Co-Host Agreements'!$A$6:$K$20,6,FALSE),0)+J110*K110,TRUE,0))</f>
        <v/>
      </c>
      <c r="M110" s="41">
        <f>IF(B110="","",J110-L110)</f>
        <v/>
      </c>
      <c r="N110" s="36" t="inlineStr">
        <is>
          <t>Pending</t>
        </is>
      </c>
      <c r="O110" s="36" t="inlineStr"/>
    </row>
    <row r="111" ht="16" customHeight="1">
      <c r="A111" s="39" t="n">
        <v>46178</v>
      </c>
      <c r="B111" s="36" t="inlineStr">
        <is>
          <t>Ridge Top</t>
        </is>
      </c>
      <c r="C111" s="36" t="inlineStr">
        <is>
          <t>Fox V.</t>
        </is>
      </c>
      <c r="D111" s="36" t="inlineStr">
        <is>
          <t>AB-93017</t>
        </is>
      </c>
      <c r="E111" s="36" t="inlineStr">
        <is>
          <t>Airbnb</t>
        </is>
      </c>
      <c r="F111" s="40" t="n">
        <v>1480</v>
      </c>
      <c r="G111" s="40" t="n">
        <v>110</v>
      </c>
      <c r="H111" s="40" t="n">
        <v>222</v>
      </c>
      <c r="I111" s="40" t="n">
        <v>0</v>
      </c>
      <c r="J111" s="41">
        <f>IF(F111="","",F111-IF(IFERROR(VLOOKUP(B111,'Co-Host Agreements'!$A$6:$K$20,7,FALSE),"No")="Yes",G111,0)-IF(IFERROR(VLOOKUP(B111,'Co-Host Agreements'!$A$6:$K$20,8,FALSE),"No")="Yes",H111,0)-N(I111))</f>
        <v/>
      </c>
      <c r="K111" s="42">
        <f>IFERROR(VLOOKUP(B111,'Co-Host Agreements'!$A$6:$K$20,5,FALSE),0)</f>
        <v/>
      </c>
      <c r="L111" s="41">
        <f>IF(B111="","",IFS(IFERROR(VLOOKUP(B111,'Co-Host Agreements'!$A$6:$K$20,4,FALSE),"")="% of NET",J111*K111,IFERROR(VLOOKUP(B111,'Co-Host Agreements'!$A$6:$K$20,4,FALSE),"")="% of GROSS",F111*K111,IFERROR(VLOOKUP(B111,'Co-Host Agreements'!$A$6:$K$20,4,FALSE),"")="Flat per booking",IFERROR(VLOOKUP(B111,'Co-Host Agreements'!$A$6:$K$20,6,FALSE),0),IFERROR(VLOOKUP(B111,'Co-Host Agreements'!$A$6:$K$20,4,FALSE),"")="Hybrid (Flat + % of NET)",IFERROR(VLOOKUP(B111,'Co-Host Agreements'!$A$6:$K$20,6,FALSE),0)+J111*K111,TRUE,0))</f>
        <v/>
      </c>
      <c r="M111" s="41">
        <f>IF(B111="","",J111-L111)</f>
        <v/>
      </c>
      <c r="N111" s="36" t="inlineStr">
        <is>
          <t>Pending</t>
        </is>
      </c>
      <c r="O111" s="36" t="inlineStr"/>
    </row>
    <row r="112" ht="16" customHeight="1">
      <c r="A112" s="39" t="n"/>
      <c r="B112" s="36" t="n"/>
      <c r="C112" s="36" t="n"/>
      <c r="D112" s="36" t="n"/>
      <c r="E112" s="36" t="n"/>
      <c r="F112" s="40" t="n"/>
      <c r="G112" s="40" t="n"/>
      <c r="H112" s="40" t="n"/>
      <c r="I112" s="40" t="n"/>
      <c r="J112" s="41">
        <f>IF(F112="","",F112-IF(IFERROR(VLOOKUP(B112,'Co-Host Agreements'!$A$6:$K$20,7,FALSE),"No")="Yes",G112,0)-IF(IFERROR(VLOOKUP(B112,'Co-Host Agreements'!$A$6:$K$20,8,FALSE),"No")="Yes",H112,0)-N(I112))</f>
        <v/>
      </c>
      <c r="K112" s="42">
        <f>IFERROR(VLOOKUP(B112,'Co-Host Agreements'!$A$6:$K$20,5,FALSE),0)</f>
        <v/>
      </c>
      <c r="L112" s="41">
        <f>IF(B112="","",IFS(IFERROR(VLOOKUP(B112,'Co-Host Agreements'!$A$6:$K$20,4,FALSE),"")="% of NET",J112*K112,IFERROR(VLOOKUP(B112,'Co-Host Agreements'!$A$6:$K$20,4,FALSE),"")="% of GROSS",F112*K112,IFERROR(VLOOKUP(B112,'Co-Host Agreements'!$A$6:$K$20,4,FALSE),"")="Flat per booking",IFERROR(VLOOKUP(B112,'Co-Host Agreements'!$A$6:$K$20,6,FALSE),0),IFERROR(VLOOKUP(B112,'Co-Host Agreements'!$A$6:$K$20,4,FALSE),"")="Hybrid (Flat + % of NET)",IFERROR(VLOOKUP(B112,'Co-Host Agreements'!$A$6:$K$20,6,FALSE),0)+J112*K112,TRUE,0))</f>
        <v/>
      </c>
      <c r="M112" s="41">
        <f>IF(B112="","",J112-L112)</f>
        <v/>
      </c>
      <c r="N112" s="36" t="n"/>
      <c r="O112" s="36" t="n"/>
    </row>
    <row r="113" ht="16" customHeight="1">
      <c r="A113" s="39" t="n"/>
      <c r="B113" s="36" t="n"/>
      <c r="C113" s="36" t="n"/>
      <c r="D113" s="36" t="n"/>
      <c r="E113" s="36" t="n"/>
      <c r="F113" s="40" t="n"/>
      <c r="G113" s="40" t="n"/>
      <c r="H113" s="40" t="n"/>
      <c r="I113" s="40" t="n"/>
      <c r="J113" s="41">
        <f>IF(F113="","",F113-IF(IFERROR(VLOOKUP(B113,'Co-Host Agreements'!$A$6:$K$20,7,FALSE),"No")="Yes",G113,0)-IF(IFERROR(VLOOKUP(B113,'Co-Host Agreements'!$A$6:$K$20,8,FALSE),"No")="Yes",H113,0)-N(I113))</f>
        <v/>
      </c>
      <c r="K113" s="42">
        <f>IFERROR(VLOOKUP(B113,'Co-Host Agreements'!$A$6:$K$20,5,FALSE),0)</f>
        <v/>
      </c>
      <c r="L113" s="41">
        <f>IF(B113="","",IFS(IFERROR(VLOOKUP(B113,'Co-Host Agreements'!$A$6:$K$20,4,FALSE),"")="% of NET",J113*K113,IFERROR(VLOOKUP(B113,'Co-Host Agreements'!$A$6:$K$20,4,FALSE),"")="% of GROSS",F113*K113,IFERROR(VLOOKUP(B113,'Co-Host Agreements'!$A$6:$K$20,4,FALSE),"")="Flat per booking",IFERROR(VLOOKUP(B113,'Co-Host Agreements'!$A$6:$K$20,6,FALSE),0),IFERROR(VLOOKUP(B113,'Co-Host Agreements'!$A$6:$K$20,4,FALSE),"")="Hybrid (Flat + % of NET)",IFERROR(VLOOKUP(B113,'Co-Host Agreements'!$A$6:$K$20,6,FALSE),0)+J113*K113,TRUE,0))</f>
        <v/>
      </c>
      <c r="M113" s="41">
        <f>IF(B113="","",J113-L113)</f>
        <v/>
      </c>
      <c r="N113" s="36" t="n"/>
      <c r="O113" s="36" t="n"/>
    </row>
    <row r="114" ht="16" customHeight="1">
      <c r="A114" s="39" t="n"/>
      <c r="B114" s="36" t="n"/>
      <c r="C114" s="36" t="n"/>
      <c r="D114" s="36" t="n"/>
      <c r="E114" s="36" t="n"/>
      <c r="F114" s="40" t="n"/>
      <c r="G114" s="40" t="n"/>
      <c r="H114" s="40" t="n"/>
      <c r="I114" s="40" t="n"/>
      <c r="J114" s="41">
        <f>IF(F114="","",F114-IF(IFERROR(VLOOKUP(B114,'Co-Host Agreements'!$A$6:$K$20,7,FALSE),"No")="Yes",G114,0)-IF(IFERROR(VLOOKUP(B114,'Co-Host Agreements'!$A$6:$K$20,8,FALSE),"No")="Yes",H114,0)-N(I114))</f>
        <v/>
      </c>
      <c r="K114" s="42">
        <f>IFERROR(VLOOKUP(B114,'Co-Host Agreements'!$A$6:$K$20,5,FALSE),0)</f>
        <v/>
      </c>
      <c r="L114" s="41">
        <f>IF(B114="","",IFS(IFERROR(VLOOKUP(B114,'Co-Host Agreements'!$A$6:$K$20,4,FALSE),"")="% of NET",J114*K114,IFERROR(VLOOKUP(B114,'Co-Host Agreements'!$A$6:$K$20,4,FALSE),"")="% of GROSS",F114*K114,IFERROR(VLOOKUP(B114,'Co-Host Agreements'!$A$6:$K$20,4,FALSE),"")="Flat per booking",IFERROR(VLOOKUP(B114,'Co-Host Agreements'!$A$6:$K$20,6,FALSE),0),IFERROR(VLOOKUP(B114,'Co-Host Agreements'!$A$6:$K$20,4,FALSE),"")="Hybrid (Flat + % of NET)",IFERROR(VLOOKUP(B114,'Co-Host Agreements'!$A$6:$K$20,6,FALSE),0)+J114*K114,TRUE,0))</f>
        <v/>
      </c>
      <c r="M114" s="41">
        <f>IF(B114="","",J114-L114)</f>
        <v/>
      </c>
      <c r="N114" s="36" t="n"/>
      <c r="O114" s="36" t="n"/>
    </row>
    <row r="115" ht="16" customHeight="1">
      <c r="A115" s="39" t="n"/>
      <c r="B115" s="36" t="n"/>
      <c r="C115" s="36" t="n"/>
      <c r="D115" s="36" t="n"/>
      <c r="E115" s="36" t="n"/>
      <c r="F115" s="40" t="n"/>
      <c r="G115" s="40" t="n"/>
      <c r="H115" s="40" t="n"/>
      <c r="I115" s="40" t="n"/>
      <c r="J115" s="41">
        <f>IF(F115="","",F115-IF(IFERROR(VLOOKUP(B115,'Co-Host Agreements'!$A$6:$K$20,7,FALSE),"No")="Yes",G115,0)-IF(IFERROR(VLOOKUP(B115,'Co-Host Agreements'!$A$6:$K$20,8,FALSE),"No")="Yes",H115,0)-N(I115))</f>
        <v/>
      </c>
      <c r="K115" s="42">
        <f>IFERROR(VLOOKUP(B115,'Co-Host Agreements'!$A$6:$K$20,5,FALSE),0)</f>
        <v/>
      </c>
      <c r="L115" s="41">
        <f>IF(B115="","",IFS(IFERROR(VLOOKUP(B115,'Co-Host Agreements'!$A$6:$K$20,4,FALSE),"")="% of NET",J115*K115,IFERROR(VLOOKUP(B115,'Co-Host Agreements'!$A$6:$K$20,4,FALSE),"")="% of GROSS",F115*K115,IFERROR(VLOOKUP(B115,'Co-Host Agreements'!$A$6:$K$20,4,FALSE),"")="Flat per booking",IFERROR(VLOOKUP(B115,'Co-Host Agreements'!$A$6:$K$20,6,FALSE),0),IFERROR(VLOOKUP(B115,'Co-Host Agreements'!$A$6:$K$20,4,FALSE),"")="Hybrid (Flat + % of NET)",IFERROR(VLOOKUP(B115,'Co-Host Agreements'!$A$6:$K$20,6,FALSE),0)+J115*K115,TRUE,0))</f>
        <v/>
      </c>
      <c r="M115" s="41">
        <f>IF(B115="","",J115-L115)</f>
        <v/>
      </c>
      <c r="N115" s="36" t="n"/>
      <c r="O115" s="36" t="n"/>
    </row>
    <row r="116" ht="16" customHeight="1">
      <c r="A116" s="39" t="n"/>
      <c r="B116" s="36" t="n"/>
      <c r="C116" s="36" t="n"/>
      <c r="D116" s="36" t="n"/>
      <c r="E116" s="36" t="n"/>
      <c r="F116" s="40" t="n"/>
      <c r="G116" s="40" t="n"/>
      <c r="H116" s="40" t="n"/>
      <c r="I116" s="40" t="n"/>
      <c r="J116" s="41">
        <f>IF(F116="","",F116-IF(IFERROR(VLOOKUP(B116,'Co-Host Agreements'!$A$6:$K$20,7,FALSE),"No")="Yes",G116,0)-IF(IFERROR(VLOOKUP(B116,'Co-Host Agreements'!$A$6:$K$20,8,FALSE),"No")="Yes",H116,0)-N(I116))</f>
        <v/>
      </c>
      <c r="K116" s="42">
        <f>IFERROR(VLOOKUP(B116,'Co-Host Agreements'!$A$6:$K$20,5,FALSE),0)</f>
        <v/>
      </c>
      <c r="L116" s="41">
        <f>IF(B116="","",IFS(IFERROR(VLOOKUP(B116,'Co-Host Agreements'!$A$6:$K$20,4,FALSE),"")="% of NET",J116*K116,IFERROR(VLOOKUP(B116,'Co-Host Agreements'!$A$6:$K$20,4,FALSE),"")="% of GROSS",F116*K116,IFERROR(VLOOKUP(B116,'Co-Host Agreements'!$A$6:$K$20,4,FALSE),"")="Flat per booking",IFERROR(VLOOKUP(B116,'Co-Host Agreements'!$A$6:$K$20,6,FALSE),0),IFERROR(VLOOKUP(B116,'Co-Host Agreements'!$A$6:$K$20,4,FALSE),"")="Hybrid (Flat + % of NET)",IFERROR(VLOOKUP(B116,'Co-Host Agreements'!$A$6:$K$20,6,FALSE),0)+J116*K116,TRUE,0))</f>
        <v/>
      </c>
      <c r="M116" s="41">
        <f>IF(B116="","",J116-L116)</f>
        <v/>
      </c>
      <c r="N116" s="36" t="n"/>
      <c r="O116" s="36" t="n"/>
    </row>
    <row r="117" ht="16" customHeight="1">
      <c r="A117" s="39" t="n"/>
      <c r="B117" s="36" t="n"/>
      <c r="C117" s="36" t="n"/>
      <c r="D117" s="36" t="n"/>
      <c r="E117" s="36" t="n"/>
      <c r="F117" s="40" t="n"/>
      <c r="G117" s="40" t="n"/>
      <c r="H117" s="40" t="n"/>
      <c r="I117" s="40" t="n"/>
      <c r="J117" s="41">
        <f>IF(F117="","",F117-IF(IFERROR(VLOOKUP(B117,'Co-Host Agreements'!$A$6:$K$20,7,FALSE),"No")="Yes",G117,0)-IF(IFERROR(VLOOKUP(B117,'Co-Host Agreements'!$A$6:$K$20,8,FALSE),"No")="Yes",H117,0)-N(I117))</f>
        <v/>
      </c>
      <c r="K117" s="42">
        <f>IFERROR(VLOOKUP(B117,'Co-Host Agreements'!$A$6:$K$20,5,FALSE),0)</f>
        <v/>
      </c>
      <c r="L117" s="41">
        <f>IF(B117="","",IFS(IFERROR(VLOOKUP(B117,'Co-Host Agreements'!$A$6:$K$20,4,FALSE),"")="% of NET",J117*K117,IFERROR(VLOOKUP(B117,'Co-Host Agreements'!$A$6:$K$20,4,FALSE),"")="% of GROSS",F117*K117,IFERROR(VLOOKUP(B117,'Co-Host Agreements'!$A$6:$K$20,4,FALSE),"")="Flat per booking",IFERROR(VLOOKUP(B117,'Co-Host Agreements'!$A$6:$K$20,6,FALSE),0),IFERROR(VLOOKUP(B117,'Co-Host Agreements'!$A$6:$K$20,4,FALSE),"")="Hybrid (Flat + % of NET)",IFERROR(VLOOKUP(B117,'Co-Host Agreements'!$A$6:$K$20,6,FALSE),0)+J117*K117,TRUE,0))</f>
        <v/>
      </c>
      <c r="M117" s="41">
        <f>IF(B117="","",J117-L117)</f>
        <v/>
      </c>
      <c r="N117" s="36" t="n"/>
      <c r="O117" s="36" t="n"/>
    </row>
    <row r="118" ht="16" customHeight="1">
      <c r="A118" s="39" t="n"/>
      <c r="B118" s="36" t="n"/>
      <c r="C118" s="36" t="n"/>
      <c r="D118" s="36" t="n"/>
      <c r="E118" s="36" t="n"/>
      <c r="F118" s="40" t="n"/>
      <c r="G118" s="40" t="n"/>
      <c r="H118" s="40" t="n"/>
      <c r="I118" s="40" t="n"/>
      <c r="J118" s="41">
        <f>IF(F118="","",F118-IF(IFERROR(VLOOKUP(B118,'Co-Host Agreements'!$A$6:$K$20,7,FALSE),"No")="Yes",G118,0)-IF(IFERROR(VLOOKUP(B118,'Co-Host Agreements'!$A$6:$K$20,8,FALSE),"No")="Yes",H118,0)-N(I118))</f>
        <v/>
      </c>
      <c r="K118" s="42">
        <f>IFERROR(VLOOKUP(B118,'Co-Host Agreements'!$A$6:$K$20,5,FALSE),0)</f>
        <v/>
      </c>
      <c r="L118" s="41">
        <f>IF(B118="","",IFS(IFERROR(VLOOKUP(B118,'Co-Host Agreements'!$A$6:$K$20,4,FALSE),"")="% of NET",J118*K118,IFERROR(VLOOKUP(B118,'Co-Host Agreements'!$A$6:$K$20,4,FALSE),"")="% of GROSS",F118*K118,IFERROR(VLOOKUP(B118,'Co-Host Agreements'!$A$6:$K$20,4,FALSE),"")="Flat per booking",IFERROR(VLOOKUP(B118,'Co-Host Agreements'!$A$6:$K$20,6,FALSE),0),IFERROR(VLOOKUP(B118,'Co-Host Agreements'!$A$6:$K$20,4,FALSE),"")="Hybrid (Flat + % of NET)",IFERROR(VLOOKUP(B118,'Co-Host Agreements'!$A$6:$K$20,6,FALSE),0)+J118*K118,TRUE,0))</f>
        <v/>
      </c>
      <c r="M118" s="41">
        <f>IF(B118="","",J118-L118)</f>
        <v/>
      </c>
      <c r="N118" s="36" t="n"/>
      <c r="O118" s="36" t="n"/>
    </row>
    <row r="119" ht="16" customHeight="1">
      <c r="A119" s="39" t="n"/>
      <c r="B119" s="36" t="n"/>
      <c r="C119" s="36" t="n"/>
      <c r="D119" s="36" t="n"/>
      <c r="E119" s="36" t="n"/>
      <c r="F119" s="40" t="n"/>
      <c r="G119" s="40" t="n"/>
      <c r="H119" s="40" t="n"/>
      <c r="I119" s="40" t="n"/>
      <c r="J119" s="41">
        <f>IF(F119="","",F119-IF(IFERROR(VLOOKUP(B119,'Co-Host Agreements'!$A$6:$K$20,7,FALSE),"No")="Yes",G119,0)-IF(IFERROR(VLOOKUP(B119,'Co-Host Agreements'!$A$6:$K$20,8,FALSE),"No")="Yes",H119,0)-N(I119))</f>
        <v/>
      </c>
      <c r="K119" s="42">
        <f>IFERROR(VLOOKUP(B119,'Co-Host Agreements'!$A$6:$K$20,5,FALSE),0)</f>
        <v/>
      </c>
      <c r="L119" s="41">
        <f>IF(B119="","",IFS(IFERROR(VLOOKUP(B119,'Co-Host Agreements'!$A$6:$K$20,4,FALSE),"")="% of NET",J119*K119,IFERROR(VLOOKUP(B119,'Co-Host Agreements'!$A$6:$K$20,4,FALSE),"")="% of GROSS",F119*K119,IFERROR(VLOOKUP(B119,'Co-Host Agreements'!$A$6:$K$20,4,FALSE),"")="Flat per booking",IFERROR(VLOOKUP(B119,'Co-Host Agreements'!$A$6:$K$20,6,FALSE),0),IFERROR(VLOOKUP(B119,'Co-Host Agreements'!$A$6:$K$20,4,FALSE),"")="Hybrid (Flat + % of NET)",IFERROR(VLOOKUP(B119,'Co-Host Agreements'!$A$6:$K$20,6,FALSE),0)+J119*K119,TRUE,0))</f>
        <v/>
      </c>
      <c r="M119" s="41">
        <f>IF(B119="","",J119-L119)</f>
        <v/>
      </c>
      <c r="N119" s="36" t="n"/>
      <c r="O119" s="36" t="n"/>
    </row>
    <row r="120" ht="16" customHeight="1">
      <c r="A120" s="39" t="n"/>
      <c r="B120" s="36" t="n"/>
      <c r="C120" s="36" t="n"/>
      <c r="D120" s="36" t="n"/>
      <c r="E120" s="36" t="n"/>
      <c r="F120" s="40" t="n"/>
      <c r="G120" s="40" t="n"/>
      <c r="H120" s="40" t="n"/>
      <c r="I120" s="40" t="n"/>
      <c r="J120" s="41">
        <f>IF(F120="","",F120-IF(IFERROR(VLOOKUP(B120,'Co-Host Agreements'!$A$6:$K$20,7,FALSE),"No")="Yes",G120,0)-IF(IFERROR(VLOOKUP(B120,'Co-Host Agreements'!$A$6:$K$20,8,FALSE),"No")="Yes",H120,0)-N(I120))</f>
        <v/>
      </c>
      <c r="K120" s="42">
        <f>IFERROR(VLOOKUP(B120,'Co-Host Agreements'!$A$6:$K$20,5,FALSE),0)</f>
        <v/>
      </c>
      <c r="L120" s="41">
        <f>IF(B120="","",IFS(IFERROR(VLOOKUP(B120,'Co-Host Agreements'!$A$6:$K$20,4,FALSE),"")="% of NET",J120*K120,IFERROR(VLOOKUP(B120,'Co-Host Agreements'!$A$6:$K$20,4,FALSE),"")="% of GROSS",F120*K120,IFERROR(VLOOKUP(B120,'Co-Host Agreements'!$A$6:$K$20,4,FALSE),"")="Flat per booking",IFERROR(VLOOKUP(B120,'Co-Host Agreements'!$A$6:$K$20,6,FALSE),0),IFERROR(VLOOKUP(B120,'Co-Host Agreements'!$A$6:$K$20,4,FALSE),"")="Hybrid (Flat + % of NET)",IFERROR(VLOOKUP(B120,'Co-Host Agreements'!$A$6:$K$20,6,FALSE),0)+J120*K120,TRUE,0))</f>
        <v/>
      </c>
      <c r="M120" s="41">
        <f>IF(B120="","",J120-L120)</f>
        <v/>
      </c>
      <c r="N120" s="36" t="n"/>
      <c r="O120" s="36" t="n"/>
    </row>
    <row r="121" ht="16" customHeight="1">
      <c r="A121" s="39" t="n"/>
      <c r="B121" s="36" t="n"/>
      <c r="C121" s="36" t="n"/>
      <c r="D121" s="36" t="n"/>
      <c r="E121" s="36" t="n"/>
      <c r="F121" s="40" t="n"/>
      <c r="G121" s="40" t="n"/>
      <c r="H121" s="40" t="n"/>
      <c r="I121" s="40" t="n"/>
      <c r="J121" s="41">
        <f>IF(F121="","",F121-IF(IFERROR(VLOOKUP(B121,'Co-Host Agreements'!$A$6:$K$20,7,FALSE),"No")="Yes",G121,0)-IF(IFERROR(VLOOKUP(B121,'Co-Host Agreements'!$A$6:$K$20,8,FALSE),"No")="Yes",H121,0)-N(I121))</f>
        <v/>
      </c>
      <c r="K121" s="42">
        <f>IFERROR(VLOOKUP(B121,'Co-Host Agreements'!$A$6:$K$20,5,FALSE),0)</f>
        <v/>
      </c>
      <c r="L121" s="41">
        <f>IF(B121="","",IFS(IFERROR(VLOOKUP(B121,'Co-Host Agreements'!$A$6:$K$20,4,FALSE),"")="% of NET",J121*K121,IFERROR(VLOOKUP(B121,'Co-Host Agreements'!$A$6:$K$20,4,FALSE),"")="% of GROSS",F121*K121,IFERROR(VLOOKUP(B121,'Co-Host Agreements'!$A$6:$K$20,4,FALSE),"")="Flat per booking",IFERROR(VLOOKUP(B121,'Co-Host Agreements'!$A$6:$K$20,6,FALSE),0),IFERROR(VLOOKUP(B121,'Co-Host Agreements'!$A$6:$K$20,4,FALSE),"")="Hybrid (Flat + % of NET)",IFERROR(VLOOKUP(B121,'Co-Host Agreements'!$A$6:$K$20,6,FALSE),0)+J121*K121,TRUE,0))</f>
        <v/>
      </c>
      <c r="M121" s="41">
        <f>IF(B121="","",J121-L121)</f>
        <v/>
      </c>
      <c r="N121" s="36" t="n"/>
      <c r="O121" s="36" t="n"/>
    </row>
    <row r="122" ht="16" customHeight="1">
      <c r="A122" s="39" t="n"/>
      <c r="B122" s="36" t="n"/>
      <c r="C122" s="36" t="n"/>
      <c r="D122" s="36" t="n"/>
      <c r="E122" s="36" t="n"/>
      <c r="F122" s="40" t="n"/>
      <c r="G122" s="40" t="n"/>
      <c r="H122" s="40" t="n"/>
      <c r="I122" s="40" t="n"/>
      <c r="J122" s="41">
        <f>IF(F122="","",F122-IF(IFERROR(VLOOKUP(B122,'Co-Host Agreements'!$A$6:$K$20,7,FALSE),"No")="Yes",G122,0)-IF(IFERROR(VLOOKUP(B122,'Co-Host Agreements'!$A$6:$K$20,8,FALSE),"No")="Yes",H122,0)-N(I122))</f>
        <v/>
      </c>
      <c r="K122" s="42">
        <f>IFERROR(VLOOKUP(B122,'Co-Host Agreements'!$A$6:$K$20,5,FALSE),0)</f>
        <v/>
      </c>
      <c r="L122" s="41">
        <f>IF(B122="","",IFS(IFERROR(VLOOKUP(B122,'Co-Host Agreements'!$A$6:$K$20,4,FALSE),"")="% of NET",J122*K122,IFERROR(VLOOKUP(B122,'Co-Host Agreements'!$A$6:$K$20,4,FALSE),"")="% of GROSS",F122*K122,IFERROR(VLOOKUP(B122,'Co-Host Agreements'!$A$6:$K$20,4,FALSE),"")="Flat per booking",IFERROR(VLOOKUP(B122,'Co-Host Agreements'!$A$6:$K$20,6,FALSE),0),IFERROR(VLOOKUP(B122,'Co-Host Agreements'!$A$6:$K$20,4,FALSE),"")="Hybrid (Flat + % of NET)",IFERROR(VLOOKUP(B122,'Co-Host Agreements'!$A$6:$K$20,6,FALSE),0)+J122*K122,TRUE,0))</f>
        <v/>
      </c>
      <c r="M122" s="41">
        <f>IF(B122="","",J122-L122)</f>
        <v/>
      </c>
      <c r="N122" s="36" t="n"/>
      <c r="O122" s="36" t="n"/>
    </row>
    <row r="123" ht="16" customHeight="1">
      <c r="A123" s="39" t="n"/>
      <c r="B123" s="36" t="n"/>
      <c r="C123" s="36" t="n"/>
      <c r="D123" s="36" t="n"/>
      <c r="E123" s="36" t="n"/>
      <c r="F123" s="40" t="n"/>
      <c r="G123" s="40" t="n"/>
      <c r="H123" s="40" t="n"/>
      <c r="I123" s="40" t="n"/>
      <c r="J123" s="41">
        <f>IF(F123="","",F123-IF(IFERROR(VLOOKUP(B123,'Co-Host Agreements'!$A$6:$K$20,7,FALSE),"No")="Yes",G123,0)-IF(IFERROR(VLOOKUP(B123,'Co-Host Agreements'!$A$6:$K$20,8,FALSE),"No")="Yes",H123,0)-N(I123))</f>
        <v/>
      </c>
      <c r="K123" s="42">
        <f>IFERROR(VLOOKUP(B123,'Co-Host Agreements'!$A$6:$K$20,5,FALSE),0)</f>
        <v/>
      </c>
      <c r="L123" s="41">
        <f>IF(B123="","",IFS(IFERROR(VLOOKUP(B123,'Co-Host Agreements'!$A$6:$K$20,4,FALSE),"")="% of NET",J123*K123,IFERROR(VLOOKUP(B123,'Co-Host Agreements'!$A$6:$K$20,4,FALSE),"")="% of GROSS",F123*K123,IFERROR(VLOOKUP(B123,'Co-Host Agreements'!$A$6:$K$20,4,FALSE),"")="Flat per booking",IFERROR(VLOOKUP(B123,'Co-Host Agreements'!$A$6:$K$20,6,FALSE),0),IFERROR(VLOOKUP(B123,'Co-Host Agreements'!$A$6:$K$20,4,FALSE),"")="Hybrid (Flat + % of NET)",IFERROR(VLOOKUP(B123,'Co-Host Agreements'!$A$6:$K$20,6,FALSE),0)+J123*K123,TRUE,0))</f>
        <v/>
      </c>
      <c r="M123" s="41">
        <f>IF(B123="","",J123-L123)</f>
        <v/>
      </c>
      <c r="N123" s="36" t="n"/>
      <c r="O123" s="36" t="n"/>
    </row>
    <row r="124" ht="16" customHeight="1">
      <c r="A124" s="39" t="n"/>
      <c r="B124" s="36" t="n"/>
      <c r="C124" s="36" t="n"/>
      <c r="D124" s="36" t="n"/>
      <c r="E124" s="36" t="n"/>
      <c r="F124" s="40" t="n"/>
      <c r="G124" s="40" t="n"/>
      <c r="H124" s="40" t="n"/>
      <c r="I124" s="40" t="n"/>
      <c r="J124" s="41">
        <f>IF(F124="","",F124-IF(IFERROR(VLOOKUP(B124,'Co-Host Agreements'!$A$6:$K$20,7,FALSE),"No")="Yes",G124,0)-IF(IFERROR(VLOOKUP(B124,'Co-Host Agreements'!$A$6:$K$20,8,FALSE),"No")="Yes",H124,0)-N(I124))</f>
        <v/>
      </c>
      <c r="K124" s="42">
        <f>IFERROR(VLOOKUP(B124,'Co-Host Agreements'!$A$6:$K$20,5,FALSE),0)</f>
        <v/>
      </c>
      <c r="L124" s="41">
        <f>IF(B124="","",IFS(IFERROR(VLOOKUP(B124,'Co-Host Agreements'!$A$6:$K$20,4,FALSE),"")="% of NET",J124*K124,IFERROR(VLOOKUP(B124,'Co-Host Agreements'!$A$6:$K$20,4,FALSE),"")="% of GROSS",F124*K124,IFERROR(VLOOKUP(B124,'Co-Host Agreements'!$A$6:$K$20,4,FALSE),"")="Flat per booking",IFERROR(VLOOKUP(B124,'Co-Host Agreements'!$A$6:$K$20,6,FALSE),0),IFERROR(VLOOKUP(B124,'Co-Host Agreements'!$A$6:$K$20,4,FALSE),"")="Hybrid (Flat + % of NET)",IFERROR(VLOOKUP(B124,'Co-Host Agreements'!$A$6:$K$20,6,FALSE),0)+J124*K124,TRUE,0))</f>
        <v/>
      </c>
      <c r="M124" s="41">
        <f>IF(B124="","",J124-L124)</f>
        <v/>
      </c>
      <c r="N124" s="36" t="n"/>
      <c r="O124" s="36" t="n"/>
    </row>
    <row r="125" ht="16" customHeight="1">
      <c r="A125" s="39" t="n"/>
      <c r="B125" s="36" t="n"/>
      <c r="C125" s="36" t="n"/>
      <c r="D125" s="36" t="n"/>
      <c r="E125" s="36" t="n"/>
      <c r="F125" s="40" t="n"/>
      <c r="G125" s="40" t="n"/>
      <c r="H125" s="40" t="n"/>
      <c r="I125" s="40" t="n"/>
      <c r="J125" s="41">
        <f>IF(F125="","",F125-IF(IFERROR(VLOOKUP(B125,'Co-Host Agreements'!$A$6:$K$20,7,FALSE),"No")="Yes",G125,0)-IF(IFERROR(VLOOKUP(B125,'Co-Host Agreements'!$A$6:$K$20,8,FALSE),"No")="Yes",H125,0)-N(I125))</f>
        <v/>
      </c>
      <c r="K125" s="42">
        <f>IFERROR(VLOOKUP(B125,'Co-Host Agreements'!$A$6:$K$20,5,FALSE),0)</f>
        <v/>
      </c>
      <c r="L125" s="41">
        <f>IF(B125="","",IFS(IFERROR(VLOOKUP(B125,'Co-Host Agreements'!$A$6:$K$20,4,FALSE),"")="% of NET",J125*K125,IFERROR(VLOOKUP(B125,'Co-Host Agreements'!$A$6:$K$20,4,FALSE),"")="% of GROSS",F125*K125,IFERROR(VLOOKUP(B125,'Co-Host Agreements'!$A$6:$K$20,4,FALSE),"")="Flat per booking",IFERROR(VLOOKUP(B125,'Co-Host Agreements'!$A$6:$K$20,6,FALSE),0),IFERROR(VLOOKUP(B125,'Co-Host Agreements'!$A$6:$K$20,4,FALSE),"")="Hybrid (Flat + % of NET)",IFERROR(VLOOKUP(B125,'Co-Host Agreements'!$A$6:$K$20,6,FALSE),0)+J125*K125,TRUE,0))</f>
        <v/>
      </c>
      <c r="M125" s="41">
        <f>IF(B125="","",J125-L125)</f>
        <v/>
      </c>
      <c r="N125" s="36" t="n"/>
      <c r="O125" s="36" t="n"/>
    </row>
    <row r="126" ht="16" customHeight="1">
      <c r="A126" s="39" t="n"/>
      <c r="B126" s="36" t="n"/>
      <c r="C126" s="36" t="n"/>
      <c r="D126" s="36" t="n"/>
      <c r="E126" s="36" t="n"/>
      <c r="F126" s="40" t="n"/>
      <c r="G126" s="40" t="n"/>
      <c r="H126" s="40" t="n"/>
      <c r="I126" s="40" t="n"/>
      <c r="J126" s="41">
        <f>IF(F126="","",F126-IF(IFERROR(VLOOKUP(B126,'Co-Host Agreements'!$A$6:$K$20,7,FALSE),"No")="Yes",G126,0)-IF(IFERROR(VLOOKUP(B126,'Co-Host Agreements'!$A$6:$K$20,8,FALSE),"No")="Yes",H126,0)-N(I126))</f>
        <v/>
      </c>
      <c r="K126" s="42">
        <f>IFERROR(VLOOKUP(B126,'Co-Host Agreements'!$A$6:$K$20,5,FALSE),0)</f>
        <v/>
      </c>
      <c r="L126" s="41">
        <f>IF(B126="","",IFS(IFERROR(VLOOKUP(B126,'Co-Host Agreements'!$A$6:$K$20,4,FALSE),"")="% of NET",J126*K126,IFERROR(VLOOKUP(B126,'Co-Host Agreements'!$A$6:$K$20,4,FALSE),"")="% of GROSS",F126*K126,IFERROR(VLOOKUP(B126,'Co-Host Agreements'!$A$6:$K$20,4,FALSE),"")="Flat per booking",IFERROR(VLOOKUP(B126,'Co-Host Agreements'!$A$6:$K$20,6,FALSE),0),IFERROR(VLOOKUP(B126,'Co-Host Agreements'!$A$6:$K$20,4,FALSE),"")="Hybrid (Flat + % of NET)",IFERROR(VLOOKUP(B126,'Co-Host Agreements'!$A$6:$K$20,6,FALSE),0)+J126*K126,TRUE,0))</f>
        <v/>
      </c>
      <c r="M126" s="41">
        <f>IF(B126="","",J126-L126)</f>
        <v/>
      </c>
      <c r="N126" s="36" t="n"/>
      <c r="O126" s="36" t="n"/>
    </row>
    <row r="127" ht="16" customHeight="1">
      <c r="A127" s="39" t="n"/>
      <c r="B127" s="36" t="n"/>
      <c r="C127" s="36" t="n"/>
      <c r="D127" s="36" t="n"/>
      <c r="E127" s="36" t="n"/>
      <c r="F127" s="40" t="n"/>
      <c r="G127" s="40" t="n"/>
      <c r="H127" s="40" t="n"/>
      <c r="I127" s="40" t="n"/>
      <c r="J127" s="41">
        <f>IF(F127="","",F127-IF(IFERROR(VLOOKUP(B127,'Co-Host Agreements'!$A$6:$K$20,7,FALSE),"No")="Yes",G127,0)-IF(IFERROR(VLOOKUP(B127,'Co-Host Agreements'!$A$6:$K$20,8,FALSE),"No")="Yes",H127,0)-N(I127))</f>
        <v/>
      </c>
      <c r="K127" s="42">
        <f>IFERROR(VLOOKUP(B127,'Co-Host Agreements'!$A$6:$K$20,5,FALSE),0)</f>
        <v/>
      </c>
      <c r="L127" s="41">
        <f>IF(B127="","",IFS(IFERROR(VLOOKUP(B127,'Co-Host Agreements'!$A$6:$K$20,4,FALSE),"")="% of NET",J127*K127,IFERROR(VLOOKUP(B127,'Co-Host Agreements'!$A$6:$K$20,4,FALSE),"")="% of GROSS",F127*K127,IFERROR(VLOOKUP(B127,'Co-Host Agreements'!$A$6:$K$20,4,FALSE),"")="Flat per booking",IFERROR(VLOOKUP(B127,'Co-Host Agreements'!$A$6:$K$20,6,FALSE),0),IFERROR(VLOOKUP(B127,'Co-Host Agreements'!$A$6:$K$20,4,FALSE),"")="Hybrid (Flat + % of NET)",IFERROR(VLOOKUP(B127,'Co-Host Agreements'!$A$6:$K$20,6,FALSE),0)+J127*K127,TRUE,0))</f>
        <v/>
      </c>
      <c r="M127" s="41">
        <f>IF(B127="","",J127-L127)</f>
        <v/>
      </c>
      <c r="N127" s="36" t="n"/>
      <c r="O127" s="36" t="n"/>
    </row>
    <row r="128" ht="16" customHeight="1">
      <c r="A128" s="39" t="n"/>
      <c r="B128" s="36" t="n"/>
      <c r="C128" s="36" t="n"/>
      <c r="D128" s="36" t="n"/>
      <c r="E128" s="36" t="n"/>
      <c r="F128" s="40" t="n"/>
      <c r="G128" s="40" t="n"/>
      <c r="H128" s="40" t="n"/>
      <c r="I128" s="40" t="n"/>
      <c r="J128" s="41">
        <f>IF(F128="","",F128-IF(IFERROR(VLOOKUP(B128,'Co-Host Agreements'!$A$6:$K$20,7,FALSE),"No")="Yes",G128,0)-IF(IFERROR(VLOOKUP(B128,'Co-Host Agreements'!$A$6:$K$20,8,FALSE),"No")="Yes",H128,0)-N(I128))</f>
        <v/>
      </c>
      <c r="K128" s="42">
        <f>IFERROR(VLOOKUP(B128,'Co-Host Agreements'!$A$6:$K$20,5,FALSE),0)</f>
        <v/>
      </c>
      <c r="L128" s="41">
        <f>IF(B128="","",IFS(IFERROR(VLOOKUP(B128,'Co-Host Agreements'!$A$6:$K$20,4,FALSE),"")="% of NET",J128*K128,IFERROR(VLOOKUP(B128,'Co-Host Agreements'!$A$6:$K$20,4,FALSE),"")="% of GROSS",F128*K128,IFERROR(VLOOKUP(B128,'Co-Host Agreements'!$A$6:$K$20,4,FALSE),"")="Flat per booking",IFERROR(VLOOKUP(B128,'Co-Host Agreements'!$A$6:$K$20,6,FALSE),0),IFERROR(VLOOKUP(B128,'Co-Host Agreements'!$A$6:$K$20,4,FALSE),"")="Hybrid (Flat + % of NET)",IFERROR(VLOOKUP(B128,'Co-Host Agreements'!$A$6:$K$20,6,FALSE),0)+J128*K128,TRUE,0))</f>
        <v/>
      </c>
      <c r="M128" s="41">
        <f>IF(B128="","",J128-L128)</f>
        <v/>
      </c>
      <c r="N128" s="36" t="n"/>
      <c r="O128" s="36" t="n"/>
    </row>
    <row r="129" ht="16" customHeight="1">
      <c r="A129" s="39" t="n"/>
      <c r="B129" s="36" t="n"/>
      <c r="C129" s="36" t="n"/>
      <c r="D129" s="36" t="n"/>
      <c r="E129" s="36" t="n"/>
      <c r="F129" s="40" t="n"/>
      <c r="G129" s="40" t="n"/>
      <c r="H129" s="40" t="n"/>
      <c r="I129" s="40" t="n"/>
      <c r="J129" s="41">
        <f>IF(F129="","",F129-IF(IFERROR(VLOOKUP(B129,'Co-Host Agreements'!$A$6:$K$20,7,FALSE),"No")="Yes",G129,0)-IF(IFERROR(VLOOKUP(B129,'Co-Host Agreements'!$A$6:$K$20,8,FALSE),"No")="Yes",H129,0)-N(I129))</f>
        <v/>
      </c>
      <c r="K129" s="42">
        <f>IFERROR(VLOOKUP(B129,'Co-Host Agreements'!$A$6:$K$20,5,FALSE),0)</f>
        <v/>
      </c>
      <c r="L129" s="41">
        <f>IF(B129="","",IFS(IFERROR(VLOOKUP(B129,'Co-Host Agreements'!$A$6:$K$20,4,FALSE),"")="% of NET",J129*K129,IFERROR(VLOOKUP(B129,'Co-Host Agreements'!$A$6:$K$20,4,FALSE),"")="% of GROSS",F129*K129,IFERROR(VLOOKUP(B129,'Co-Host Agreements'!$A$6:$K$20,4,FALSE),"")="Flat per booking",IFERROR(VLOOKUP(B129,'Co-Host Agreements'!$A$6:$K$20,6,FALSE),0),IFERROR(VLOOKUP(B129,'Co-Host Agreements'!$A$6:$K$20,4,FALSE),"")="Hybrid (Flat + % of NET)",IFERROR(VLOOKUP(B129,'Co-Host Agreements'!$A$6:$K$20,6,FALSE),0)+J129*K129,TRUE,0))</f>
        <v/>
      </c>
      <c r="M129" s="41">
        <f>IF(B129="","",J129-L129)</f>
        <v/>
      </c>
      <c r="N129" s="36" t="n"/>
      <c r="O129" s="36" t="n"/>
    </row>
    <row r="130" ht="16" customHeight="1">
      <c r="A130" s="39" t="n"/>
      <c r="B130" s="36" t="n"/>
      <c r="C130" s="36" t="n"/>
      <c r="D130" s="36" t="n"/>
      <c r="E130" s="36" t="n"/>
      <c r="F130" s="40" t="n"/>
      <c r="G130" s="40" t="n"/>
      <c r="H130" s="40" t="n"/>
      <c r="I130" s="40" t="n"/>
      <c r="J130" s="41">
        <f>IF(F130="","",F130-IF(IFERROR(VLOOKUP(B130,'Co-Host Agreements'!$A$6:$K$20,7,FALSE),"No")="Yes",G130,0)-IF(IFERROR(VLOOKUP(B130,'Co-Host Agreements'!$A$6:$K$20,8,FALSE),"No")="Yes",H130,0)-N(I130))</f>
        <v/>
      </c>
      <c r="K130" s="42">
        <f>IFERROR(VLOOKUP(B130,'Co-Host Agreements'!$A$6:$K$20,5,FALSE),0)</f>
        <v/>
      </c>
      <c r="L130" s="41">
        <f>IF(B130="","",IFS(IFERROR(VLOOKUP(B130,'Co-Host Agreements'!$A$6:$K$20,4,FALSE),"")="% of NET",J130*K130,IFERROR(VLOOKUP(B130,'Co-Host Agreements'!$A$6:$K$20,4,FALSE),"")="% of GROSS",F130*K130,IFERROR(VLOOKUP(B130,'Co-Host Agreements'!$A$6:$K$20,4,FALSE),"")="Flat per booking",IFERROR(VLOOKUP(B130,'Co-Host Agreements'!$A$6:$K$20,6,FALSE),0),IFERROR(VLOOKUP(B130,'Co-Host Agreements'!$A$6:$K$20,4,FALSE),"")="Hybrid (Flat + % of NET)",IFERROR(VLOOKUP(B130,'Co-Host Agreements'!$A$6:$K$20,6,FALSE),0)+J130*K130,TRUE,0))</f>
        <v/>
      </c>
      <c r="M130" s="41">
        <f>IF(B130="","",J130-L130)</f>
        <v/>
      </c>
      <c r="N130" s="36" t="n"/>
      <c r="O130" s="36" t="n"/>
    </row>
    <row r="131" ht="16" customHeight="1">
      <c r="A131" s="39" t="n"/>
      <c r="B131" s="36" t="n"/>
      <c r="C131" s="36" t="n"/>
      <c r="D131" s="36" t="n"/>
      <c r="E131" s="36" t="n"/>
      <c r="F131" s="40" t="n"/>
      <c r="G131" s="40" t="n"/>
      <c r="H131" s="40" t="n"/>
      <c r="I131" s="40" t="n"/>
      <c r="J131" s="41">
        <f>IF(F131="","",F131-IF(IFERROR(VLOOKUP(B131,'Co-Host Agreements'!$A$6:$K$20,7,FALSE),"No")="Yes",G131,0)-IF(IFERROR(VLOOKUP(B131,'Co-Host Agreements'!$A$6:$K$20,8,FALSE),"No")="Yes",H131,0)-N(I131))</f>
        <v/>
      </c>
      <c r="K131" s="42">
        <f>IFERROR(VLOOKUP(B131,'Co-Host Agreements'!$A$6:$K$20,5,FALSE),0)</f>
        <v/>
      </c>
      <c r="L131" s="41">
        <f>IF(B131="","",IFS(IFERROR(VLOOKUP(B131,'Co-Host Agreements'!$A$6:$K$20,4,FALSE),"")="% of NET",J131*K131,IFERROR(VLOOKUP(B131,'Co-Host Agreements'!$A$6:$K$20,4,FALSE),"")="% of GROSS",F131*K131,IFERROR(VLOOKUP(B131,'Co-Host Agreements'!$A$6:$K$20,4,FALSE),"")="Flat per booking",IFERROR(VLOOKUP(B131,'Co-Host Agreements'!$A$6:$K$20,6,FALSE),0),IFERROR(VLOOKUP(B131,'Co-Host Agreements'!$A$6:$K$20,4,FALSE),"")="Hybrid (Flat + % of NET)",IFERROR(VLOOKUP(B131,'Co-Host Agreements'!$A$6:$K$20,6,FALSE),0)+J131*K131,TRUE,0))</f>
        <v/>
      </c>
      <c r="M131" s="41">
        <f>IF(B131="","",J131-L131)</f>
        <v/>
      </c>
      <c r="N131" s="36" t="n"/>
      <c r="O131" s="36" t="n"/>
    </row>
    <row r="132" ht="16" customHeight="1">
      <c r="A132" s="39" t="n"/>
      <c r="B132" s="36" t="n"/>
      <c r="C132" s="36" t="n"/>
      <c r="D132" s="36" t="n"/>
      <c r="E132" s="36" t="n"/>
      <c r="F132" s="40" t="n"/>
      <c r="G132" s="40" t="n"/>
      <c r="H132" s="40" t="n"/>
      <c r="I132" s="40" t="n"/>
      <c r="J132" s="41">
        <f>IF(F132="","",F132-IF(IFERROR(VLOOKUP(B132,'Co-Host Agreements'!$A$6:$K$20,7,FALSE),"No")="Yes",G132,0)-IF(IFERROR(VLOOKUP(B132,'Co-Host Agreements'!$A$6:$K$20,8,FALSE),"No")="Yes",H132,0)-N(I132))</f>
        <v/>
      </c>
      <c r="K132" s="42">
        <f>IFERROR(VLOOKUP(B132,'Co-Host Agreements'!$A$6:$K$20,5,FALSE),0)</f>
        <v/>
      </c>
      <c r="L132" s="41">
        <f>IF(B132="","",IFS(IFERROR(VLOOKUP(B132,'Co-Host Agreements'!$A$6:$K$20,4,FALSE),"")="% of NET",J132*K132,IFERROR(VLOOKUP(B132,'Co-Host Agreements'!$A$6:$K$20,4,FALSE),"")="% of GROSS",F132*K132,IFERROR(VLOOKUP(B132,'Co-Host Agreements'!$A$6:$K$20,4,FALSE),"")="Flat per booking",IFERROR(VLOOKUP(B132,'Co-Host Agreements'!$A$6:$K$20,6,FALSE),0),IFERROR(VLOOKUP(B132,'Co-Host Agreements'!$A$6:$K$20,4,FALSE),"")="Hybrid (Flat + % of NET)",IFERROR(VLOOKUP(B132,'Co-Host Agreements'!$A$6:$K$20,6,FALSE),0)+J132*K132,TRUE,0))</f>
        <v/>
      </c>
      <c r="M132" s="41">
        <f>IF(B132="","",J132-L132)</f>
        <v/>
      </c>
      <c r="N132" s="36" t="n"/>
      <c r="O132" s="36" t="n"/>
    </row>
    <row r="133" ht="16" customHeight="1">
      <c r="A133" s="39" t="n"/>
      <c r="B133" s="36" t="n"/>
      <c r="C133" s="36" t="n"/>
      <c r="D133" s="36" t="n"/>
      <c r="E133" s="36" t="n"/>
      <c r="F133" s="40" t="n"/>
      <c r="G133" s="40" t="n"/>
      <c r="H133" s="40" t="n"/>
      <c r="I133" s="40" t="n"/>
      <c r="J133" s="41">
        <f>IF(F133="","",F133-IF(IFERROR(VLOOKUP(B133,'Co-Host Agreements'!$A$6:$K$20,7,FALSE),"No")="Yes",G133,0)-IF(IFERROR(VLOOKUP(B133,'Co-Host Agreements'!$A$6:$K$20,8,FALSE),"No")="Yes",H133,0)-N(I133))</f>
        <v/>
      </c>
      <c r="K133" s="42">
        <f>IFERROR(VLOOKUP(B133,'Co-Host Agreements'!$A$6:$K$20,5,FALSE),0)</f>
        <v/>
      </c>
      <c r="L133" s="41">
        <f>IF(B133="","",IFS(IFERROR(VLOOKUP(B133,'Co-Host Agreements'!$A$6:$K$20,4,FALSE),"")="% of NET",J133*K133,IFERROR(VLOOKUP(B133,'Co-Host Agreements'!$A$6:$K$20,4,FALSE),"")="% of GROSS",F133*K133,IFERROR(VLOOKUP(B133,'Co-Host Agreements'!$A$6:$K$20,4,FALSE),"")="Flat per booking",IFERROR(VLOOKUP(B133,'Co-Host Agreements'!$A$6:$K$20,6,FALSE),0),IFERROR(VLOOKUP(B133,'Co-Host Agreements'!$A$6:$K$20,4,FALSE),"")="Hybrid (Flat + % of NET)",IFERROR(VLOOKUP(B133,'Co-Host Agreements'!$A$6:$K$20,6,FALSE),0)+J133*K133,TRUE,0))</f>
        <v/>
      </c>
      <c r="M133" s="41">
        <f>IF(B133="","",J133-L133)</f>
        <v/>
      </c>
      <c r="N133" s="36" t="n"/>
      <c r="O133" s="36" t="n"/>
    </row>
    <row r="134" ht="16" customHeight="1">
      <c r="A134" s="39" t="n"/>
      <c r="B134" s="36" t="n"/>
      <c r="C134" s="36" t="n"/>
      <c r="D134" s="36" t="n"/>
      <c r="E134" s="36" t="n"/>
      <c r="F134" s="40" t="n"/>
      <c r="G134" s="40" t="n"/>
      <c r="H134" s="40" t="n"/>
      <c r="I134" s="40" t="n"/>
      <c r="J134" s="41">
        <f>IF(F134="","",F134-IF(IFERROR(VLOOKUP(B134,'Co-Host Agreements'!$A$6:$K$20,7,FALSE),"No")="Yes",G134,0)-IF(IFERROR(VLOOKUP(B134,'Co-Host Agreements'!$A$6:$K$20,8,FALSE),"No")="Yes",H134,0)-N(I134))</f>
        <v/>
      </c>
      <c r="K134" s="42">
        <f>IFERROR(VLOOKUP(B134,'Co-Host Agreements'!$A$6:$K$20,5,FALSE),0)</f>
        <v/>
      </c>
      <c r="L134" s="41">
        <f>IF(B134="","",IFS(IFERROR(VLOOKUP(B134,'Co-Host Agreements'!$A$6:$K$20,4,FALSE),"")="% of NET",J134*K134,IFERROR(VLOOKUP(B134,'Co-Host Agreements'!$A$6:$K$20,4,FALSE),"")="% of GROSS",F134*K134,IFERROR(VLOOKUP(B134,'Co-Host Agreements'!$A$6:$K$20,4,FALSE),"")="Flat per booking",IFERROR(VLOOKUP(B134,'Co-Host Agreements'!$A$6:$K$20,6,FALSE),0),IFERROR(VLOOKUP(B134,'Co-Host Agreements'!$A$6:$K$20,4,FALSE),"")="Hybrid (Flat + % of NET)",IFERROR(VLOOKUP(B134,'Co-Host Agreements'!$A$6:$K$20,6,FALSE),0)+J134*K134,TRUE,0))</f>
        <v/>
      </c>
      <c r="M134" s="41">
        <f>IF(B134="","",J134-L134)</f>
        <v/>
      </c>
      <c r="N134" s="36" t="n"/>
      <c r="O134" s="36" t="n"/>
    </row>
    <row r="135" ht="16" customHeight="1">
      <c r="A135" s="39" t="n"/>
      <c r="B135" s="36" t="n"/>
      <c r="C135" s="36" t="n"/>
      <c r="D135" s="36" t="n"/>
      <c r="E135" s="36" t="n"/>
      <c r="F135" s="40" t="n"/>
      <c r="G135" s="40" t="n"/>
      <c r="H135" s="40" t="n"/>
      <c r="I135" s="40" t="n"/>
      <c r="J135" s="41">
        <f>IF(F135="","",F135-IF(IFERROR(VLOOKUP(B135,'Co-Host Agreements'!$A$6:$K$20,7,FALSE),"No")="Yes",G135,0)-IF(IFERROR(VLOOKUP(B135,'Co-Host Agreements'!$A$6:$K$20,8,FALSE),"No")="Yes",H135,0)-N(I135))</f>
        <v/>
      </c>
      <c r="K135" s="42">
        <f>IFERROR(VLOOKUP(B135,'Co-Host Agreements'!$A$6:$K$20,5,FALSE),0)</f>
        <v/>
      </c>
      <c r="L135" s="41">
        <f>IF(B135="","",IFS(IFERROR(VLOOKUP(B135,'Co-Host Agreements'!$A$6:$K$20,4,FALSE),"")="% of NET",J135*K135,IFERROR(VLOOKUP(B135,'Co-Host Agreements'!$A$6:$K$20,4,FALSE),"")="% of GROSS",F135*K135,IFERROR(VLOOKUP(B135,'Co-Host Agreements'!$A$6:$K$20,4,FALSE),"")="Flat per booking",IFERROR(VLOOKUP(B135,'Co-Host Agreements'!$A$6:$K$20,6,FALSE),0),IFERROR(VLOOKUP(B135,'Co-Host Agreements'!$A$6:$K$20,4,FALSE),"")="Hybrid (Flat + % of NET)",IFERROR(VLOOKUP(B135,'Co-Host Agreements'!$A$6:$K$20,6,FALSE),0)+J135*K135,TRUE,0))</f>
        <v/>
      </c>
      <c r="M135" s="41">
        <f>IF(B135="","",J135-L135)</f>
        <v/>
      </c>
      <c r="N135" s="36" t="n"/>
      <c r="O135" s="36" t="n"/>
    </row>
    <row r="136" ht="16" customHeight="1">
      <c r="A136" s="39" t="n"/>
      <c r="B136" s="36" t="n"/>
      <c r="C136" s="36" t="n"/>
      <c r="D136" s="36" t="n"/>
      <c r="E136" s="36" t="n"/>
      <c r="F136" s="40" t="n"/>
      <c r="G136" s="40" t="n"/>
      <c r="H136" s="40" t="n"/>
      <c r="I136" s="40" t="n"/>
      <c r="J136" s="41">
        <f>IF(F136="","",F136-IF(IFERROR(VLOOKUP(B136,'Co-Host Agreements'!$A$6:$K$20,7,FALSE),"No")="Yes",G136,0)-IF(IFERROR(VLOOKUP(B136,'Co-Host Agreements'!$A$6:$K$20,8,FALSE),"No")="Yes",H136,0)-N(I136))</f>
        <v/>
      </c>
      <c r="K136" s="42">
        <f>IFERROR(VLOOKUP(B136,'Co-Host Agreements'!$A$6:$K$20,5,FALSE),0)</f>
        <v/>
      </c>
      <c r="L136" s="41">
        <f>IF(B136="","",IFS(IFERROR(VLOOKUP(B136,'Co-Host Agreements'!$A$6:$K$20,4,FALSE),"")="% of NET",J136*K136,IFERROR(VLOOKUP(B136,'Co-Host Agreements'!$A$6:$K$20,4,FALSE),"")="% of GROSS",F136*K136,IFERROR(VLOOKUP(B136,'Co-Host Agreements'!$A$6:$K$20,4,FALSE),"")="Flat per booking",IFERROR(VLOOKUP(B136,'Co-Host Agreements'!$A$6:$K$20,6,FALSE),0),IFERROR(VLOOKUP(B136,'Co-Host Agreements'!$A$6:$K$20,4,FALSE),"")="Hybrid (Flat + % of NET)",IFERROR(VLOOKUP(B136,'Co-Host Agreements'!$A$6:$K$20,6,FALSE),0)+J136*K136,TRUE,0))</f>
        <v/>
      </c>
      <c r="M136" s="41">
        <f>IF(B136="","",J136-L136)</f>
        <v/>
      </c>
      <c r="N136" s="36" t="n"/>
      <c r="O136" s="36" t="n"/>
    </row>
    <row r="137" ht="16" customHeight="1">
      <c r="A137" s="39" t="n"/>
      <c r="B137" s="36" t="n"/>
      <c r="C137" s="36" t="n"/>
      <c r="D137" s="36" t="n"/>
      <c r="E137" s="36" t="n"/>
      <c r="F137" s="40" t="n"/>
      <c r="G137" s="40" t="n"/>
      <c r="H137" s="40" t="n"/>
      <c r="I137" s="40" t="n"/>
      <c r="J137" s="41">
        <f>IF(F137="","",F137-IF(IFERROR(VLOOKUP(B137,'Co-Host Agreements'!$A$6:$K$20,7,FALSE),"No")="Yes",G137,0)-IF(IFERROR(VLOOKUP(B137,'Co-Host Agreements'!$A$6:$K$20,8,FALSE),"No")="Yes",H137,0)-N(I137))</f>
        <v/>
      </c>
      <c r="K137" s="42">
        <f>IFERROR(VLOOKUP(B137,'Co-Host Agreements'!$A$6:$K$20,5,FALSE),0)</f>
        <v/>
      </c>
      <c r="L137" s="41">
        <f>IF(B137="","",IFS(IFERROR(VLOOKUP(B137,'Co-Host Agreements'!$A$6:$K$20,4,FALSE),"")="% of NET",J137*K137,IFERROR(VLOOKUP(B137,'Co-Host Agreements'!$A$6:$K$20,4,FALSE),"")="% of GROSS",F137*K137,IFERROR(VLOOKUP(B137,'Co-Host Agreements'!$A$6:$K$20,4,FALSE),"")="Flat per booking",IFERROR(VLOOKUP(B137,'Co-Host Agreements'!$A$6:$K$20,6,FALSE),0),IFERROR(VLOOKUP(B137,'Co-Host Agreements'!$A$6:$K$20,4,FALSE),"")="Hybrid (Flat + % of NET)",IFERROR(VLOOKUP(B137,'Co-Host Agreements'!$A$6:$K$20,6,FALSE),0)+J137*K137,TRUE,0))</f>
        <v/>
      </c>
      <c r="M137" s="41">
        <f>IF(B137="","",J137-L137)</f>
        <v/>
      </c>
      <c r="N137" s="36" t="n"/>
      <c r="O137" s="36" t="n"/>
    </row>
    <row r="138" ht="16" customHeight="1">
      <c r="A138" s="39" t="n"/>
      <c r="B138" s="36" t="n"/>
      <c r="C138" s="36" t="n"/>
      <c r="D138" s="36" t="n"/>
      <c r="E138" s="36" t="n"/>
      <c r="F138" s="40" t="n"/>
      <c r="G138" s="40" t="n"/>
      <c r="H138" s="40" t="n"/>
      <c r="I138" s="40" t="n"/>
      <c r="J138" s="41">
        <f>IF(F138="","",F138-IF(IFERROR(VLOOKUP(B138,'Co-Host Agreements'!$A$6:$K$20,7,FALSE),"No")="Yes",G138,0)-IF(IFERROR(VLOOKUP(B138,'Co-Host Agreements'!$A$6:$K$20,8,FALSE),"No")="Yes",H138,0)-N(I138))</f>
        <v/>
      </c>
      <c r="K138" s="42">
        <f>IFERROR(VLOOKUP(B138,'Co-Host Agreements'!$A$6:$K$20,5,FALSE),0)</f>
        <v/>
      </c>
      <c r="L138" s="41">
        <f>IF(B138="","",IFS(IFERROR(VLOOKUP(B138,'Co-Host Agreements'!$A$6:$K$20,4,FALSE),"")="% of NET",J138*K138,IFERROR(VLOOKUP(B138,'Co-Host Agreements'!$A$6:$K$20,4,FALSE),"")="% of GROSS",F138*K138,IFERROR(VLOOKUP(B138,'Co-Host Agreements'!$A$6:$K$20,4,FALSE),"")="Flat per booking",IFERROR(VLOOKUP(B138,'Co-Host Agreements'!$A$6:$K$20,6,FALSE),0),IFERROR(VLOOKUP(B138,'Co-Host Agreements'!$A$6:$K$20,4,FALSE),"")="Hybrid (Flat + % of NET)",IFERROR(VLOOKUP(B138,'Co-Host Agreements'!$A$6:$K$20,6,FALSE),0)+J138*K138,TRUE,0))</f>
        <v/>
      </c>
      <c r="M138" s="41">
        <f>IF(B138="","",J138-L138)</f>
        <v/>
      </c>
      <c r="N138" s="36" t="n"/>
      <c r="O138" s="36" t="n"/>
    </row>
    <row r="139" ht="16" customHeight="1">
      <c r="A139" s="39" t="n"/>
      <c r="B139" s="36" t="n"/>
      <c r="C139" s="36" t="n"/>
      <c r="D139" s="36" t="n"/>
      <c r="E139" s="36" t="n"/>
      <c r="F139" s="40" t="n"/>
      <c r="G139" s="40" t="n"/>
      <c r="H139" s="40" t="n"/>
      <c r="I139" s="40" t="n"/>
      <c r="J139" s="41">
        <f>IF(F139="","",F139-IF(IFERROR(VLOOKUP(B139,'Co-Host Agreements'!$A$6:$K$20,7,FALSE),"No")="Yes",G139,0)-IF(IFERROR(VLOOKUP(B139,'Co-Host Agreements'!$A$6:$K$20,8,FALSE),"No")="Yes",H139,0)-N(I139))</f>
        <v/>
      </c>
      <c r="K139" s="42">
        <f>IFERROR(VLOOKUP(B139,'Co-Host Agreements'!$A$6:$K$20,5,FALSE),0)</f>
        <v/>
      </c>
      <c r="L139" s="41">
        <f>IF(B139="","",IFS(IFERROR(VLOOKUP(B139,'Co-Host Agreements'!$A$6:$K$20,4,FALSE),"")="% of NET",J139*K139,IFERROR(VLOOKUP(B139,'Co-Host Agreements'!$A$6:$K$20,4,FALSE),"")="% of GROSS",F139*K139,IFERROR(VLOOKUP(B139,'Co-Host Agreements'!$A$6:$K$20,4,FALSE),"")="Flat per booking",IFERROR(VLOOKUP(B139,'Co-Host Agreements'!$A$6:$K$20,6,FALSE),0),IFERROR(VLOOKUP(B139,'Co-Host Agreements'!$A$6:$K$20,4,FALSE),"")="Hybrid (Flat + % of NET)",IFERROR(VLOOKUP(B139,'Co-Host Agreements'!$A$6:$K$20,6,FALSE),0)+J139*K139,TRUE,0))</f>
        <v/>
      </c>
      <c r="M139" s="41">
        <f>IF(B139="","",J139-L139)</f>
        <v/>
      </c>
      <c r="N139" s="36" t="n"/>
      <c r="O139" s="36" t="n"/>
    </row>
    <row r="140" ht="16" customHeight="1">
      <c r="A140" s="39" t="n"/>
      <c r="B140" s="36" t="n"/>
      <c r="C140" s="36" t="n"/>
      <c r="D140" s="36" t="n"/>
      <c r="E140" s="36" t="n"/>
      <c r="F140" s="40" t="n"/>
      <c r="G140" s="40" t="n"/>
      <c r="H140" s="40" t="n"/>
      <c r="I140" s="40" t="n"/>
      <c r="J140" s="41">
        <f>IF(F140="","",F140-IF(IFERROR(VLOOKUP(B140,'Co-Host Agreements'!$A$6:$K$20,7,FALSE),"No")="Yes",G140,0)-IF(IFERROR(VLOOKUP(B140,'Co-Host Agreements'!$A$6:$K$20,8,FALSE),"No")="Yes",H140,0)-N(I140))</f>
        <v/>
      </c>
      <c r="K140" s="42">
        <f>IFERROR(VLOOKUP(B140,'Co-Host Agreements'!$A$6:$K$20,5,FALSE),0)</f>
        <v/>
      </c>
      <c r="L140" s="41">
        <f>IF(B140="","",IFS(IFERROR(VLOOKUP(B140,'Co-Host Agreements'!$A$6:$K$20,4,FALSE),"")="% of NET",J140*K140,IFERROR(VLOOKUP(B140,'Co-Host Agreements'!$A$6:$K$20,4,FALSE),"")="% of GROSS",F140*K140,IFERROR(VLOOKUP(B140,'Co-Host Agreements'!$A$6:$K$20,4,FALSE),"")="Flat per booking",IFERROR(VLOOKUP(B140,'Co-Host Agreements'!$A$6:$K$20,6,FALSE),0),IFERROR(VLOOKUP(B140,'Co-Host Agreements'!$A$6:$K$20,4,FALSE),"")="Hybrid (Flat + % of NET)",IFERROR(VLOOKUP(B140,'Co-Host Agreements'!$A$6:$K$20,6,FALSE),0)+J140*K140,TRUE,0))</f>
        <v/>
      </c>
      <c r="M140" s="41">
        <f>IF(B140="","",J140-L140)</f>
        <v/>
      </c>
      <c r="N140" s="36" t="n"/>
      <c r="O140" s="36" t="n"/>
    </row>
    <row r="141" ht="16" customHeight="1">
      <c r="A141" s="39" t="n"/>
      <c r="B141" s="36" t="n"/>
      <c r="C141" s="36" t="n"/>
      <c r="D141" s="36" t="n"/>
      <c r="E141" s="36" t="n"/>
      <c r="F141" s="40" t="n"/>
      <c r="G141" s="40" t="n"/>
      <c r="H141" s="40" t="n"/>
      <c r="I141" s="40" t="n"/>
      <c r="J141" s="41">
        <f>IF(F141="","",F141-IF(IFERROR(VLOOKUP(B141,'Co-Host Agreements'!$A$6:$K$20,7,FALSE),"No")="Yes",G141,0)-IF(IFERROR(VLOOKUP(B141,'Co-Host Agreements'!$A$6:$K$20,8,FALSE),"No")="Yes",H141,0)-N(I141))</f>
        <v/>
      </c>
      <c r="K141" s="42">
        <f>IFERROR(VLOOKUP(B141,'Co-Host Agreements'!$A$6:$K$20,5,FALSE),0)</f>
        <v/>
      </c>
      <c r="L141" s="41">
        <f>IF(B141="","",IFS(IFERROR(VLOOKUP(B141,'Co-Host Agreements'!$A$6:$K$20,4,FALSE),"")="% of NET",J141*K141,IFERROR(VLOOKUP(B141,'Co-Host Agreements'!$A$6:$K$20,4,FALSE),"")="% of GROSS",F141*K141,IFERROR(VLOOKUP(B141,'Co-Host Agreements'!$A$6:$K$20,4,FALSE),"")="Flat per booking",IFERROR(VLOOKUP(B141,'Co-Host Agreements'!$A$6:$K$20,6,FALSE),0),IFERROR(VLOOKUP(B141,'Co-Host Agreements'!$A$6:$K$20,4,FALSE),"")="Hybrid (Flat + % of NET)",IFERROR(VLOOKUP(B141,'Co-Host Agreements'!$A$6:$K$20,6,FALSE),0)+J141*K141,TRUE,0))</f>
        <v/>
      </c>
      <c r="M141" s="41">
        <f>IF(B141="","",J141-L141)</f>
        <v/>
      </c>
      <c r="N141" s="36" t="n"/>
      <c r="O141" s="36" t="n"/>
    </row>
    <row r="142" ht="16" customHeight="1">
      <c r="A142" s="39" t="n"/>
      <c r="B142" s="36" t="n"/>
      <c r="C142" s="36" t="n"/>
      <c r="D142" s="36" t="n"/>
      <c r="E142" s="36" t="n"/>
      <c r="F142" s="40" t="n"/>
      <c r="G142" s="40" t="n"/>
      <c r="H142" s="40" t="n"/>
      <c r="I142" s="40" t="n"/>
      <c r="J142" s="41">
        <f>IF(F142="","",F142-IF(IFERROR(VLOOKUP(B142,'Co-Host Agreements'!$A$6:$K$20,7,FALSE),"No")="Yes",G142,0)-IF(IFERROR(VLOOKUP(B142,'Co-Host Agreements'!$A$6:$K$20,8,FALSE),"No")="Yes",H142,0)-N(I142))</f>
        <v/>
      </c>
      <c r="K142" s="42">
        <f>IFERROR(VLOOKUP(B142,'Co-Host Agreements'!$A$6:$K$20,5,FALSE),0)</f>
        <v/>
      </c>
      <c r="L142" s="41">
        <f>IF(B142="","",IFS(IFERROR(VLOOKUP(B142,'Co-Host Agreements'!$A$6:$K$20,4,FALSE),"")="% of NET",J142*K142,IFERROR(VLOOKUP(B142,'Co-Host Agreements'!$A$6:$K$20,4,FALSE),"")="% of GROSS",F142*K142,IFERROR(VLOOKUP(B142,'Co-Host Agreements'!$A$6:$K$20,4,FALSE),"")="Flat per booking",IFERROR(VLOOKUP(B142,'Co-Host Agreements'!$A$6:$K$20,6,FALSE),0),IFERROR(VLOOKUP(B142,'Co-Host Agreements'!$A$6:$K$20,4,FALSE),"")="Hybrid (Flat + % of NET)",IFERROR(VLOOKUP(B142,'Co-Host Agreements'!$A$6:$K$20,6,FALSE),0)+J142*K142,TRUE,0))</f>
        <v/>
      </c>
      <c r="M142" s="41">
        <f>IF(B142="","",J142-L142)</f>
        <v/>
      </c>
      <c r="N142" s="36" t="n"/>
      <c r="O142" s="36" t="n"/>
    </row>
    <row r="143" ht="16" customHeight="1">
      <c r="A143" s="39" t="n"/>
      <c r="B143" s="36" t="n"/>
      <c r="C143" s="36" t="n"/>
      <c r="D143" s="36" t="n"/>
      <c r="E143" s="36" t="n"/>
      <c r="F143" s="40" t="n"/>
      <c r="G143" s="40" t="n"/>
      <c r="H143" s="40" t="n"/>
      <c r="I143" s="40" t="n"/>
      <c r="J143" s="41">
        <f>IF(F143="","",F143-IF(IFERROR(VLOOKUP(B143,'Co-Host Agreements'!$A$6:$K$20,7,FALSE),"No")="Yes",G143,0)-IF(IFERROR(VLOOKUP(B143,'Co-Host Agreements'!$A$6:$K$20,8,FALSE),"No")="Yes",H143,0)-N(I143))</f>
        <v/>
      </c>
      <c r="K143" s="42">
        <f>IFERROR(VLOOKUP(B143,'Co-Host Agreements'!$A$6:$K$20,5,FALSE),0)</f>
        <v/>
      </c>
      <c r="L143" s="41">
        <f>IF(B143="","",IFS(IFERROR(VLOOKUP(B143,'Co-Host Agreements'!$A$6:$K$20,4,FALSE),"")="% of NET",J143*K143,IFERROR(VLOOKUP(B143,'Co-Host Agreements'!$A$6:$K$20,4,FALSE),"")="% of GROSS",F143*K143,IFERROR(VLOOKUP(B143,'Co-Host Agreements'!$A$6:$K$20,4,FALSE),"")="Flat per booking",IFERROR(VLOOKUP(B143,'Co-Host Agreements'!$A$6:$K$20,6,FALSE),0),IFERROR(VLOOKUP(B143,'Co-Host Agreements'!$A$6:$K$20,4,FALSE),"")="Hybrid (Flat + % of NET)",IFERROR(VLOOKUP(B143,'Co-Host Agreements'!$A$6:$K$20,6,FALSE),0)+J143*K143,TRUE,0))</f>
        <v/>
      </c>
      <c r="M143" s="41">
        <f>IF(B143="","",J143-L143)</f>
        <v/>
      </c>
      <c r="N143" s="36" t="n"/>
      <c r="O143" s="36" t="n"/>
    </row>
    <row r="144" ht="16" customHeight="1">
      <c r="A144" s="39" t="n"/>
      <c r="B144" s="36" t="n"/>
      <c r="C144" s="36" t="n"/>
      <c r="D144" s="36" t="n"/>
      <c r="E144" s="36" t="n"/>
      <c r="F144" s="40" t="n"/>
      <c r="G144" s="40" t="n"/>
      <c r="H144" s="40" t="n"/>
      <c r="I144" s="40" t="n"/>
      <c r="J144" s="41">
        <f>IF(F144="","",F144-IF(IFERROR(VLOOKUP(B144,'Co-Host Agreements'!$A$6:$K$20,7,FALSE),"No")="Yes",G144,0)-IF(IFERROR(VLOOKUP(B144,'Co-Host Agreements'!$A$6:$K$20,8,FALSE),"No")="Yes",H144,0)-N(I144))</f>
        <v/>
      </c>
      <c r="K144" s="42">
        <f>IFERROR(VLOOKUP(B144,'Co-Host Agreements'!$A$6:$K$20,5,FALSE),0)</f>
        <v/>
      </c>
      <c r="L144" s="41">
        <f>IF(B144="","",IFS(IFERROR(VLOOKUP(B144,'Co-Host Agreements'!$A$6:$K$20,4,FALSE),"")="% of NET",J144*K144,IFERROR(VLOOKUP(B144,'Co-Host Agreements'!$A$6:$K$20,4,FALSE),"")="% of GROSS",F144*K144,IFERROR(VLOOKUP(B144,'Co-Host Agreements'!$A$6:$K$20,4,FALSE),"")="Flat per booking",IFERROR(VLOOKUP(B144,'Co-Host Agreements'!$A$6:$K$20,6,FALSE),0),IFERROR(VLOOKUP(B144,'Co-Host Agreements'!$A$6:$K$20,4,FALSE),"")="Hybrid (Flat + % of NET)",IFERROR(VLOOKUP(B144,'Co-Host Agreements'!$A$6:$K$20,6,FALSE),0)+J144*K144,TRUE,0))</f>
        <v/>
      </c>
      <c r="M144" s="41">
        <f>IF(B144="","",J144-L144)</f>
        <v/>
      </c>
      <c r="N144" s="36" t="n"/>
      <c r="O144" s="36" t="n"/>
    </row>
    <row r="145" ht="16" customHeight="1">
      <c r="A145" s="39" t="n"/>
      <c r="B145" s="36" t="n"/>
      <c r="C145" s="36" t="n"/>
      <c r="D145" s="36" t="n"/>
      <c r="E145" s="36" t="n"/>
      <c r="F145" s="40" t="n"/>
      <c r="G145" s="40" t="n"/>
      <c r="H145" s="40" t="n"/>
      <c r="I145" s="40" t="n"/>
      <c r="J145" s="41">
        <f>IF(F145="","",F145-IF(IFERROR(VLOOKUP(B145,'Co-Host Agreements'!$A$6:$K$20,7,FALSE),"No")="Yes",G145,0)-IF(IFERROR(VLOOKUP(B145,'Co-Host Agreements'!$A$6:$K$20,8,FALSE),"No")="Yes",H145,0)-N(I145))</f>
        <v/>
      </c>
      <c r="K145" s="42">
        <f>IFERROR(VLOOKUP(B145,'Co-Host Agreements'!$A$6:$K$20,5,FALSE),0)</f>
        <v/>
      </c>
      <c r="L145" s="41">
        <f>IF(B145="","",IFS(IFERROR(VLOOKUP(B145,'Co-Host Agreements'!$A$6:$K$20,4,FALSE),"")="% of NET",J145*K145,IFERROR(VLOOKUP(B145,'Co-Host Agreements'!$A$6:$K$20,4,FALSE),"")="% of GROSS",F145*K145,IFERROR(VLOOKUP(B145,'Co-Host Agreements'!$A$6:$K$20,4,FALSE),"")="Flat per booking",IFERROR(VLOOKUP(B145,'Co-Host Agreements'!$A$6:$K$20,6,FALSE),0),IFERROR(VLOOKUP(B145,'Co-Host Agreements'!$A$6:$K$20,4,FALSE),"")="Hybrid (Flat + % of NET)",IFERROR(VLOOKUP(B145,'Co-Host Agreements'!$A$6:$K$20,6,FALSE),0)+J145*K145,TRUE,0))</f>
        <v/>
      </c>
      <c r="M145" s="41">
        <f>IF(B145="","",J145-L145)</f>
        <v/>
      </c>
      <c r="N145" s="36" t="n"/>
      <c r="O145" s="36" t="n"/>
    </row>
    <row r="146" ht="16" customHeight="1">
      <c r="A146" s="39" t="n"/>
      <c r="B146" s="36" t="n"/>
      <c r="C146" s="36" t="n"/>
      <c r="D146" s="36" t="n"/>
      <c r="E146" s="36" t="n"/>
      <c r="F146" s="40" t="n"/>
      <c r="G146" s="40" t="n"/>
      <c r="H146" s="40" t="n"/>
      <c r="I146" s="40" t="n"/>
      <c r="J146" s="41">
        <f>IF(F146="","",F146-IF(IFERROR(VLOOKUP(B146,'Co-Host Agreements'!$A$6:$K$20,7,FALSE),"No")="Yes",G146,0)-IF(IFERROR(VLOOKUP(B146,'Co-Host Agreements'!$A$6:$K$20,8,FALSE),"No")="Yes",H146,0)-N(I146))</f>
        <v/>
      </c>
      <c r="K146" s="42">
        <f>IFERROR(VLOOKUP(B146,'Co-Host Agreements'!$A$6:$K$20,5,FALSE),0)</f>
        <v/>
      </c>
      <c r="L146" s="41">
        <f>IF(B146="","",IFS(IFERROR(VLOOKUP(B146,'Co-Host Agreements'!$A$6:$K$20,4,FALSE),"")="% of NET",J146*K146,IFERROR(VLOOKUP(B146,'Co-Host Agreements'!$A$6:$K$20,4,FALSE),"")="% of GROSS",F146*K146,IFERROR(VLOOKUP(B146,'Co-Host Agreements'!$A$6:$K$20,4,FALSE),"")="Flat per booking",IFERROR(VLOOKUP(B146,'Co-Host Agreements'!$A$6:$K$20,6,FALSE),0),IFERROR(VLOOKUP(B146,'Co-Host Agreements'!$A$6:$K$20,4,FALSE),"")="Hybrid (Flat + % of NET)",IFERROR(VLOOKUP(B146,'Co-Host Agreements'!$A$6:$K$20,6,FALSE),0)+J146*K146,TRUE,0))</f>
        <v/>
      </c>
      <c r="M146" s="41">
        <f>IF(B146="","",J146-L146)</f>
        <v/>
      </c>
      <c r="N146" s="36" t="n"/>
      <c r="O146" s="36" t="n"/>
    </row>
    <row r="147" ht="16" customHeight="1">
      <c r="A147" s="39" t="n"/>
      <c r="B147" s="36" t="n"/>
      <c r="C147" s="36" t="n"/>
      <c r="D147" s="36" t="n"/>
      <c r="E147" s="36" t="n"/>
      <c r="F147" s="40" t="n"/>
      <c r="G147" s="40" t="n"/>
      <c r="H147" s="40" t="n"/>
      <c r="I147" s="40" t="n"/>
      <c r="J147" s="41">
        <f>IF(F147="","",F147-IF(IFERROR(VLOOKUP(B147,'Co-Host Agreements'!$A$6:$K$20,7,FALSE),"No")="Yes",G147,0)-IF(IFERROR(VLOOKUP(B147,'Co-Host Agreements'!$A$6:$K$20,8,FALSE),"No")="Yes",H147,0)-N(I147))</f>
        <v/>
      </c>
      <c r="K147" s="42">
        <f>IFERROR(VLOOKUP(B147,'Co-Host Agreements'!$A$6:$K$20,5,FALSE),0)</f>
        <v/>
      </c>
      <c r="L147" s="41">
        <f>IF(B147="","",IFS(IFERROR(VLOOKUP(B147,'Co-Host Agreements'!$A$6:$K$20,4,FALSE),"")="% of NET",J147*K147,IFERROR(VLOOKUP(B147,'Co-Host Agreements'!$A$6:$K$20,4,FALSE),"")="% of GROSS",F147*K147,IFERROR(VLOOKUP(B147,'Co-Host Agreements'!$A$6:$K$20,4,FALSE),"")="Flat per booking",IFERROR(VLOOKUP(B147,'Co-Host Agreements'!$A$6:$K$20,6,FALSE),0),IFERROR(VLOOKUP(B147,'Co-Host Agreements'!$A$6:$K$20,4,FALSE),"")="Hybrid (Flat + % of NET)",IFERROR(VLOOKUP(B147,'Co-Host Agreements'!$A$6:$K$20,6,FALSE),0)+J147*K147,TRUE,0))</f>
        <v/>
      </c>
      <c r="M147" s="41">
        <f>IF(B147="","",J147-L147)</f>
        <v/>
      </c>
      <c r="N147" s="36" t="n"/>
      <c r="O147" s="36" t="n"/>
    </row>
    <row r="148" ht="16" customHeight="1">
      <c r="A148" s="39" t="n"/>
      <c r="B148" s="36" t="n"/>
      <c r="C148" s="36" t="n"/>
      <c r="D148" s="36" t="n"/>
      <c r="E148" s="36" t="n"/>
      <c r="F148" s="40" t="n"/>
      <c r="G148" s="40" t="n"/>
      <c r="H148" s="40" t="n"/>
      <c r="I148" s="40" t="n"/>
      <c r="J148" s="41">
        <f>IF(F148="","",F148-IF(IFERROR(VLOOKUP(B148,'Co-Host Agreements'!$A$6:$K$20,7,FALSE),"No")="Yes",G148,0)-IF(IFERROR(VLOOKUP(B148,'Co-Host Agreements'!$A$6:$K$20,8,FALSE),"No")="Yes",H148,0)-N(I148))</f>
        <v/>
      </c>
      <c r="K148" s="42">
        <f>IFERROR(VLOOKUP(B148,'Co-Host Agreements'!$A$6:$K$20,5,FALSE),0)</f>
        <v/>
      </c>
      <c r="L148" s="41">
        <f>IF(B148="","",IFS(IFERROR(VLOOKUP(B148,'Co-Host Agreements'!$A$6:$K$20,4,FALSE),"")="% of NET",J148*K148,IFERROR(VLOOKUP(B148,'Co-Host Agreements'!$A$6:$K$20,4,FALSE),"")="% of GROSS",F148*K148,IFERROR(VLOOKUP(B148,'Co-Host Agreements'!$A$6:$K$20,4,FALSE),"")="Flat per booking",IFERROR(VLOOKUP(B148,'Co-Host Agreements'!$A$6:$K$20,6,FALSE),0),IFERROR(VLOOKUP(B148,'Co-Host Agreements'!$A$6:$K$20,4,FALSE),"")="Hybrid (Flat + % of NET)",IFERROR(VLOOKUP(B148,'Co-Host Agreements'!$A$6:$K$20,6,FALSE),0)+J148*K148,TRUE,0))</f>
        <v/>
      </c>
      <c r="M148" s="41">
        <f>IF(B148="","",J148-L148)</f>
        <v/>
      </c>
      <c r="N148" s="36" t="n"/>
      <c r="O148" s="36" t="n"/>
    </row>
    <row r="149" ht="16" customHeight="1">
      <c r="A149" s="39" t="n"/>
      <c r="B149" s="36" t="n"/>
      <c r="C149" s="36" t="n"/>
      <c r="D149" s="36" t="n"/>
      <c r="E149" s="36" t="n"/>
      <c r="F149" s="40" t="n"/>
      <c r="G149" s="40" t="n"/>
      <c r="H149" s="40" t="n"/>
      <c r="I149" s="40" t="n"/>
      <c r="J149" s="41">
        <f>IF(F149="","",F149-IF(IFERROR(VLOOKUP(B149,'Co-Host Agreements'!$A$6:$K$20,7,FALSE),"No")="Yes",G149,0)-IF(IFERROR(VLOOKUP(B149,'Co-Host Agreements'!$A$6:$K$20,8,FALSE),"No")="Yes",H149,0)-N(I149))</f>
        <v/>
      </c>
      <c r="K149" s="42">
        <f>IFERROR(VLOOKUP(B149,'Co-Host Agreements'!$A$6:$K$20,5,FALSE),0)</f>
        <v/>
      </c>
      <c r="L149" s="41">
        <f>IF(B149="","",IFS(IFERROR(VLOOKUP(B149,'Co-Host Agreements'!$A$6:$K$20,4,FALSE),"")="% of NET",J149*K149,IFERROR(VLOOKUP(B149,'Co-Host Agreements'!$A$6:$K$20,4,FALSE),"")="% of GROSS",F149*K149,IFERROR(VLOOKUP(B149,'Co-Host Agreements'!$A$6:$K$20,4,FALSE),"")="Flat per booking",IFERROR(VLOOKUP(B149,'Co-Host Agreements'!$A$6:$K$20,6,FALSE),0),IFERROR(VLOOKUP(B149,'Co-Host Agreements'!$A$6:$K$20,4,FALSE),"")="Hybrid (Flat + % of NET)",IFERROR(VLOOKUP(B149,'Co-Host Agreements'!$A$6:$K$20,6,FALSE),0)+J149*K149,TRUE,0))</f>
        <v/>
      </c>
      <c r="M149" s="41">
        <f>IF(B149="","",J149-L149)</f>
        <v/>
      </c>
      <c r="N149" s="36" t="n"/>
      <c r="O149" s="36" t="n"/>
    </row>
    <row r="150" ht="16" customHeight="1">
      <c r="A150" s="39" t="n"/>
      <c r="B150" s="36" t="n"/>
      <c r="C150" s="36" t="n"/>
      <c r="D150" s="36" t="n"/>
      <c r="E150" s="36" t="n"/>
      <c r="F150" s="40" t="n"/>
      <c r="G150" s="40" t="n"/>
      <c r="H150" s="40" t="n"/>
      <c r="I150" s="40" t="n"/>
      <c r="J150" s="41">
        <f>IF(F150="","",F150-IF(IFERROR(VLOOKUP(B150,'Co-Host Agreements'!$A$6:$K$20,7,FALSE),"No")="Yes",G150,0)-IF(IFERROR(VLOOKUP(B150,'Co-Host Agreements'!$A$6:$K$20,8,FALSE),"No")="Yes",H150,0)-N(I150))</f>
        <v/>
      </c>
      <c r="K150" s="42">
        <f>IFERROR(VLOOKUP(B150,'Co-Host Agreements'!$A$6:$K$20,5,FALSE),0)</f>
        <v/>
      </c>
      <c r="L150" s="41">
        <f>IF(B150="","",IFS(IFERROR(VLOOKUP(B150,'Co-Host Agreements'!$A$6:$K$20,4,FALSE),"")="% of NET",J150*K150,IFERROR(VLOOKUP(B150,'Co-Host Agreements'!$A$6:$K$20,4,FALSE),"")="% of GROSS",F150*K150,IFERROR(VLOOKUP(B150,'Co-Host Agreements'!$A$6:$K$20,4,FALSE),"")="Flat per booking",IFERROR(VLOOKUP(B150,'Co-Host Agreements'!$A$6:$K$20,6,FALSE),0),IFERROR(VLOOKUP(B150,'Co-Host Agreements'!$A$6:$K$20,4,FALSE),"")="Hybrid (Flat + % of NET)",IFERROR(VLOOKUP(B150,'Co-Host Agreements'!$A$6:$K$20,6,FALSE),0)+J150*K150,TRUE,0))</f>
        <v/>
      </c>
      <c r="M150" s="41">
        <f>IF(B150="","",J150-L150)</f>
        <v/>
      </c>
      <c r="N150" s="36" t="n"/>
      <c r="O150" s="36" t="n"/>
    </row>
    <row r="151" ht="16" customHeight="1">
      <c r="A151" s="39" t="n"/>
      <c r="B151" s="36" t="n"/>
      <c r="C151" s="36" t="n"/>
      <c r="D151" s="36" t="n"/>
      <c r="E151" s="36" t="n"/>
      <c r="F151" s="40" t="n"/>
      <c r="G151" s="40" t="n"/>
      <c r="H151" s="40" t="n"/>
      <c r="I151" s="40" t="n"/>
      <c r="J151" s="41">
        <f>IF(F151="","",F151-IF(IFERROR(VLOOKUP(B151,'Co-Host Agreements'!$A$6:$K$20,7,FALSE),"No")="Yes",G151,0)-IF(IFERROR(VLOOKUP(B151,'Co-Host Agreements'!$A$6:$K$20,8,FALSE),"No")="Yes",H151,0)-N(I151))</f>
        <v/>
      </c>
      <c r="K151" s="42">
        <f>IFERROR(VLOOKUP(B151,'Co-Host Agreements'!$A$6:$K$20,5,FALSE),0)</f>
        <v/>
      </c>
      <c r="L151" s="41">
        <f>IF(B151="","",IFS(IFERROR(VLOOKUP(B151,'Co-Host Agreements'!$A$6:$K$20,4,FALSE),"")="% of NET",J151*K151,IFERROR(VLOOKUP(B151,'Co-Host Agreements'!$A$6:$K$20,4,FALSE),"")="% of GROSS",F151*K151,IFERROR(VLOOKUP(B151,'Co-Host Agreements'!$A$6:$K$20,4,FALSE),"")="Flat per booking",IFERROR(VLOOKUP(B151,'Co-Host Agreements'!$A$6:$K$20,6,FALSE),0),IFERROR(VLOOKUP(B151,'Co-Host Agreements'!$A$6:$K$20,4,FALSE),"")="Hybrid (Flat + % of NET)",IFERROR(VLOOKUP(B151,'Co-Host Agreements'!$A$6:$K$20,6,FALSE),0)+J151*K151,TRUE,0))</f>
        <v/>
      </c>
      <c r="M151" s="41">
        <f>IF(B151="","",J151-L151)</f>
        <v/>
      </c>
      <c r="N151" s="36" t="n"/>
      <c r="O151" s="36" t="n"/>
    </row>
    <row r="152" ht="16" customHeight="1">
      <c r="A152" s="39" t="n"/>
      <c r="B152" s="36" t="n"/>
      <c r="C152" s="36" t="n"/>
      <c r="D152" s="36" t="n"/>
      <c r="E152" s="36" t="n"/>
      <c r="F152" s="40" t="n"/>
      <c r="G152" s="40" t="n"/>
      <c r="H152" s="40" t="n"/>
      <c r="I152" s="40" t="n"/>
      <c r="J152" s="41">
        <f>IF(F152="","",F152-IF(IFERROR(VLOOKUP(B152,'Co-Host Agreements'!$A$6:$K$20,7,FALSE),"No")="Yes",G152,0)-IF(IFERROR(VLOOKUP(B152,'Co-Host Agreements'!$A$6:$K$20,8,FALSE),"No")="Yes",H152,0)-N(I152))</f>
        <v/>
      </c>
      <c r="K152" s="42">
        <f>IFERROR(VLOOKUP(B152,'Co-Host Agreements'!$A$6:$K$20,5,FALSE),0)</f>
        <v/>
      </c>
      <c r="L152" s="41">
        <f>IF(B152="","",IFS(IFERROR(VLOOKUP(B152,'Co-Host Agreements'!$A$6:$K$20,4,FALSE),"")="% of NET",J152*K152,IFERROR(VLOOKUP(B152,'Co-Host Agreements'!$A$6:$K$20,4,FALSE),"")="% of GROSS",F152*K152,IFERROR(VLOOKUP(B152,'Co-Host Agreements'!$A$6:$K$20,4,FALSE),"")="Flat per booking",IFERROR(VLOOKUP(B152,'Co-Host Agreements'!$A$6:$K$20,6,FALSE),0),IFERROR(VLOOKUP(B152,'Co-Host Agreements'!$A$6:$K$20,4,FALSE),"")="Hybrid (Flat + % of NET)",IFERROR(VLOOKUP(B152,'Co-Host Agreements'!$A$6:$K$20,6,FALSE),0)+J152*K152,TRUE,0))</f>
        <v/>
      </c>
      <c r="M152" s="41">
        <f>IF(B152="","",J152-L152)</f>
        <v/>
      </c>
      <c r="N152" s="36" t="n"/>
      <c r="O152" s="36" t="n"/>
    </row>
    <row r="153" ht="16" customHeight="1">
      <c r="A153" s="39" t="n"/>
      <c r="B153" s="36" t="n"/>
      <c r="C153" s="36" t="n"/>
      <c r="D153" s="36" t="n"/>
      <c r="E153" s="36" t="n"/>
      <c r="F153" s="40" t="n"/>
      <c r="G153" s="40" t="n"/>
      <c r="H153" s="40" t="n"/>
      <c r="I153" s="40" t="n"/>
      <c r="J153" s="41">
        <f>IF(F153="","",F153-IF(IFERROR(VLOOKUP(B153,'Co-Host Agreements'!$A$6:$K$20,7,FALSE),"No")="Yes",G153,0)-IF(IFERROR(VLOOKUP(B153,'Co-Host Agreements'!$A$6:$K$20,8,FALSE),"No")="Yes",H153,0)-N(I153))</f>
        <v/>
      </c>
      <c r="K153" s="42">
        <f>IFERROR(VLOOKUP(B153,'Co-Host Agreements'!$A$6:$K$20,5,FALSE),0)</f>
        <v/>
      </c>
      <c r="L153" s="41">
        <f>IF(B153="","",IFS(IFERROR(VLOOKUP(B153,'Co-Host Agreements'!$A$6:$K$20,4,FALSE),"")="% of NET",J153*K153,IFERROR(VLOOKUP(B153,'Co-Host Agreements'!$A$6:$K$20,4,FALSE),"")="% of GROSS",F153*K153,IFERROR(VLOOKUP(B153,'Co-Host Agreements'!$A$6:$K$20,4,FALSE),"")="Flat per booking",IFERROR(VLOOKUP(B153,'Co-Host Agreements'!$A$6:$K$20,6,FALSE),0),IFERROR(VLOOKUP(B153,'Co-Host Agreements'!$A$6:$K$20,4,FALSE),"")="Hybrid (Flat + % of NET)",IFERROR(VLOOKUP(B153,'Co-Host Agreements'!$A$6:$K$20,6,FALSE),0)+J153*K153,TRUE,0))</f>
        <v/>
      </c>
      <c r="M153" s="41">
        <f>IF(B153="","",J153-L153)</f>
        <v/>
      </c>
      <c r="N153" s="36" t="n"/>
      <c r="O153" s="36" t="n"/>
    </row>
    <row r="154" ht="16" customHeight="1">
      <c r="A154" s="39" t="n"/>
      <c r="B154" s="36" t="n"/>
      <c r="C154" s="36" t="n"/>
      <c r="D154" s="36" t="n"/>
      <c r="E154" s="36" t="n"/>
      <c r="F154" s="40" t="n"/>
      <c r="G154" s="40" t="n"/>
      <c r="H154" s="40" t="n"/>
      <c r="I154" s="40" t="n"/>
      <c r="J154" s="41">
        <f>IF(F154="","",F154-IF(IFERROR(VLOOKUP(B154,'Co-Host Agreements'!$A$6:$K$20,7,FALSE),"No")="Yes",G154,0)-IF(IFERROR(VLOOKUP(B154,'Co-Host Agreements'!$A$6:$K$20,8,FALSE),"No")="Yes",H154,0)-N(I154))</f>
        <v/>
      </c>
      <c r="K154" s="42">
        <f>IFERROR(VLOOKUP(B154,'Co-Host Agreements'!$A$6:$K$20,5,FALSE),0)</f>
        <v/>
      </c>
      <c r="L154" s="41">
        <f>IF(B154="","",IFS(IFERROR(VLOOKUP(B154,'Co-Host Agreements'!$A$6:$K$20,4,FALSE),"")="% of NET",J154*K154,IFERROR(VLOOKUP(B154,'Co-Host Agreements'!$A$6:$K$20,4,FALSE),"")="% of GROSS",F154*K154,IFERROR(VLOOKUP(B154,'Co-Host Agreements'!$A$6:$K$20,4,FALSE),"")="Flat per booking",IFERROR(VLOOKUP(B154,'Co-Host Agreements'!$A$6:$K$20,6,FALSE),0),IFERROR(VLOOKUP(B154,'Co-Host Agreements'!$A$6:$K$20,4,FALSE),"")="Hybrid (Flat + % of NET)",IFERROR(VLOOKUP(B154,'Co-Host Agreements'!$A$6:$K$20,6,FALSE),0)+J154*K154,TRUE,0))</f>
        <v/>
      </c>
      <c r="M154" s="41">
        <f>IF(B154="","",J154-L154)</f>
        <v/>
      </c>
      <c r="N154" s="36" t="n"/>
      <c r="O154" s="36" t="n"/>
    </row>
    <row r="155" ht="16" customHeight="1">
      <c r="A155" s="39" t="n"/>
      <c r="B155" s="36" t="n"/>
      <c r="C155" s="36" t="n"/>
      <c r="D155" s="36" t="n"/>
      <c r="E155" s="36" t="n"/>
      <c r="F155" s="40" t="n"/>
      <c r="G155" s="40" t="n"/>
      <c r="H155" s="40" t="n"/>
      <c r="I155" s="40" t="n"/>
      <c r="J155" s="41">
        <f>IF(F155="","",F155-IF(IFERROR(VLOOKUP(B155,'Co-Host Agreements'!$A$6:$K$20,7,FALSE),"No")="Yes",G155,0)-IF(IFERROR(VLOOKUP(B155,'Co-Host Agreements'!$A$6:$K$20,8,FALSE),"No")="Yes",H155,0)-N(I155))</f>
        <v/>
      </c>
      <c r="K155" s="42">
        <f>IFERROR(VLOOKUP(B155,'Co-Host Agreements'!$A$6:$K$20,5,FALSE),0)</f>
        <v/>
      </c>
      <c r="L155" s="41">
        <f>IF(B155="","",IFS(IFERROR(VLOOKUP(B155,'Co-Host Agreements'!$A$6:$K$20,4,FALSE),"")="% of NET",J155*K155,IFERROR(VLOOKUP(B155,'Co-Host Agreements'!$A$6:$K$20,4,FALSE),"")="% of GROSS",F155*K155,IFERROR(VLOOKUP(B155,'Co-Host Agreements'!$A$6:$K$20,4,FALSE),"")="Flat per booking",IFERROR(VLOOKUP(B155,'Co-Host Agreements'!$A$6:$K$20,6,FALSE),0),IFERROR(VLOOKUP(B155,'Co-Host Agreements'!$A$6:$K$20,4,FALSE),"")="Hybrid (Flat + % of NET)",IFERROR(VLOOKUP(B155,'Co-Host Agreements'!$A$6:$K$20,6,FALSE),0)+J155*K155,TRUE,0))</f>
        <v/>
      </c>
      <c r="M155" s="41">
        <f>IF(B155="","",J155-L155)</f>
        <v/>
      </c>
      <c r="N155" s="36" t="n"/>
      <c r="O155" s="36" t="n"/>
    </row>
    <row r="156" ht="16" customHeight="1">
      <c r="A156" s="39" t="n"/>
      <c r="B156" s="36" t="n"/>
      <c r="C156" s="36" t="n"/>
      <c r="D156" s="36" t="n"/>
      <c r="E156" s="36" t="n"/>
      <c r="F156" s="40" t="n"/>
      <c r="G156" s="40" t="n"/>
      <c r="H156" s="40" t="n"/>
      <c r="I156" s="40" t="n"/>
      <c r="J156" s="41">
        <f>IF(F156="","",F156-IF(IFERROR(VLOOKUP(B156,'Co-Host Agreements'!$A$6:$K$20,7,FALSE),"No")="Yes",G156,0)-IF(IFERROR(VLOOKUP(B156,'Co-Host Agreements'!$A$6:$K$20,8,FALSE),"No")="Yes",H156,0)-N(I156))</f>
        <v/>
      </c>
      <c r="K156" s="42">
        <f>IFERROR(VLOOKUP(B156,'Co-Host Agreements'!$A$6:$K$20,5,FALSE),0)</f>
        <v/>
      </c>
      <c r="L156" s="41">
        <f>IF(B156="","",IFS(IFERROR(VLOOKUP(B156,'Co-Host Agreements'!$A$6:$K$20,4,FALSE),"")="% of NET",J156*K156,IFERROR(VLOOKUP(B156,'Co-Host Agreements'!$A$6:$K$20,4,FALSE),"")="% of GROSS",F156*K156,IFERROR(VLOOKUP(B156,'Co-Host Agreements'!$A$6:$K$20,4,FALSE),"")="Flat per booking",IFERROR(VLOOKUP(B156,'Co-Host Agreements'!$A$6:$K$20,6,FALSE),0),IFERROR(VLOOKUP(B156,'Co-Host Agreements'!$A$6:$K$20,4,FALSE),"")="Hybrid (Flat + % of NET)",IFERROR(VLOOKUP(B156,'Co-Host Agreements'!$A$6:$K$20,6,FALSE),0)+J156*K156,TRUE,0))</f>
        <v/>
      </c>
      <c r="M156" s="41">
        <f>IF(B156="","",J156-L156)</f>
        <v/>
      </c>
      <c r="N156" s="36" t="n"/>
      <c r="O156" s="36" t="n"/>
    </row>
    <row r="157" ht="16" customHeight="1">
      <c r="A157" s="39" t="n"/>
      <c r="B157" s="36" t="n"/>
      <c r="C157" s="36" t="n"/>
      <c r="D157" s="36" t="n"/>
      <c r="E157" s="36" t="n"/>
      <c r="F157" s="40" t="n"/>
      <c r="G157" s="40" t="n"/>
      <c r="H157" s="40" t="n"/>
      <c r="I157" s="40" t="n"/>
      <c r="J157" s="41">
        <f>IF(F157="","",F157-IF(IFERROR(VLOOKUP(B157,'Co-Host Agreements'!$A$6:$K$20,7,FALSE),"No")="Yes",G157,0)-IF(IFERROR(VLOOKUP(B157,'Co-Host Agreements'!$A$6:$K$20,8,FALSE),"No")="Yes",H157,0)-N(I157))</f>
        <v/>
      </c>
      <c r="K157" s="42">
        <f>IFERROR(VLOOKUP(B157,'Co-Host Agreements'!$A$6:$K$20,5,FALSE),0)</f>
        <v/>
      </c>
      <c r="L157" s="41">
        <f>IF(B157="","",IFS(IFERROR(VLOOKUP(B157,'Co-Host Agreements'!$A$6:$K$20,4,FALSE),"")="% of NET",J157*K157,IFERROR(VLOOKUP(B157,'Co-Host Agreements'!$A$6:$K$20,4,FALSE),"")="% of GROSS",F157*K157,IFERROR(VLOOKUP(B157,'Co-Host Agreements'!$A$6:$K$20,4,FALSE),"")="Flat per booking",IFERROR(VLOOKUP(B157,'Co-Host Agreements'!$A$6:$K$20,6,FALSE),0),IFERROR(VLOOKUP(B157,'Co-Host Agreements'!$A$6:$K$20,4,FALSE),"")="Hybrid (Flat + % of NET)",IFERROR(VLOOKUP(B157,'Co-Host Agreements'!$A$6:$K$20,6,FALSE),0)+J157*K157,TRUE,0))</f>
        <v/>
      </c>
      <c r="M157" s="41">
        <f>IF(B157="","",J157-L157)</f>
        <v/>
      </c>
      <c r="N157" s="36" t="n"/>
      <c r="O157" s="36" t="n"/>
    </row>
    <row r="158" ht="16" customHeight="1">
      <c r="A158" s="39" t="n"/>
      <c r="B158" s="36" t="n"/>
      <c r="C158" s="36" t="n"/>
      <c r="D158" s="36" t="n"/>
      <c r="E158" s="36" t="n"/>
      <c r="F158" s="40" t="n"/>
      <c r="G158" s="40" t="n"/>
      <c r="H158" s="40" t="n"/>
      <c r="I158" s="40" t="n"/>
      <c r="J158" s="41">
        <f>IF(F158="","",F158-IF(IFERROR(VLOOKUP(B158,'Co-Host Agreements'!$A$6:$K$20,7,FALSE),"No")="Yes",G158,0)-IF(IFERROR(VLOOKUP(B158,'Co-Host Agreements'!$A$6:$K$20,8,FALSE),"No")="Yes",H158,0)-N(I158))</f>
        <v/>
      </c>
      <c r="K158" s="42">
        <f>IFERROR(VLOOKUP(B158,'Co-Host Agreements'!$A$6:$K$20,5,FALSE),0)</f>
        <v/>
      </c>
      <c r="L158" s="41">
        <f>IF(B158="","",IFS(IFERROR(VLOOKUP(B158,'Co-Host Agreements'!$A$6:$K$20,4,FALSE),"")="% of NET",J158*K158,IFERROR(VLOOKUP(B158,'Co-Host Agreements'!$A$6:$K$20,4,FALSE),"")="% of GROSS",F158*K158,IFERROR(VLOOKUP(B158,'Co-Host Agreements'!$A$6:$K$20,4,FALSE),"")="Flat per booking",IFERROR(VLOOKUP(B158,'Co-Host Agreements'!$A$6:$K$20,6,FALSE),0),IFERROR(VLOOKUP(B158,'Co-Host Agreements'!$A$6:$K$20,4,FALSE),"")="Hybrid (Flat + % of NET)",IFERROR(VLOOKUP(B158,'Co-Host Agreements'!$A$6:$K$20,6,FALSE),0)+J158*K158,TRUE,0))</f>
        <v/>
      </c>
      <c r="M158" s="41">
        <f>IF(B158="","",J158-L158)</f>
        <v/>
      </c>
      <c r="N158" s="36" t="n"/>
      <c r="O158" s="36" t="n"/>
    </row>
    <row r="159" ht="16" customHeight="1">
      <c r="A159" s="39" t="n"/>
      <c r="B159" s="36" t="n"/>
      <c r="C159" s="36" t="n"/>
      <c r="D159" s="36" t="n"/>
      <c r="E159" s="36" t="n"/>
      <c r="F159" s="40" t="n"/>
      <c r="G159" s="40" t="n"/>
      <c r="H159" s="40" t="n"/>
      <c r="I159" s="40" t="n"/>
      <c r="J159" s="41">
        <f>IF(F159="","",F159-IF(IFERROR(VLOOKUP(B159,'Co-Host Agreements'!$A$6:$K$20,7,FALSE),"No")="Yes",G159,0)-IF(IFERROR(VLOOKUP(B159,'Co-Host Agreements'!$A$6:$K$20,8,FALSE),"No")="Yes",H159,0)-N(I159))</f>
        <v/>
      </c>
      <c r="K159" s="42">
        <f>IFERROR(VLOOKUP(B159,'Co-Host Agreements'!$A$6:$K$20,5,FALSE),0)</f>
        <v/>
      </c>
      <c r="L159" s="41">
        <f>IF(B159="","",IFS(IFERROR(VLOOKUP(B159,'Co-Host Agreements'!$A$6:$K$20,4,FALSE),"")="% of NET",J159*K159,IFERROR(VLOOKUP(B159,'Co-Host Agreements'!$A$6:$K$20,4,FALSE),"")="% of GROSS",F159*K159,IFERROR(VLOOKUP(B159,'Co-Host Agreements'!$A$6:$K$20,4,FALSE),"")="Flat per booking",IFERROR(VLOOKUP(B159,'Co-Host Agreements'!$A$6:$K$20,6,FALSE),0),IFERROR(VLOOKUP(B159,'Co-Host Agreements'!$A$6:$K$20,4,FALSE),"")="Hybrid (Flat + % of NET)",IFERROR(VLOOKUP(B159,'Co-Host Agreements'!$A$6:$K$20,6,FALSE),0)+J159*K159,TRUE,0))</f>
        <v/>
      </c>
      <c r="M159" s="41">
        <f>IF(B159="","",J159-L159)</f>
        <v/>
      </c>
      <c r="N159" s="36" t="n"/>
      <c r="O159" s="36" t="n"/>
    </row>
    <row r="160" ht="16" customHeight="1">
      <c r="A160" s="39" t="n"/>
      <c r="B160" s="36" t="n"/>
      <c r="C160" s="36" t="n"/>
      <c r="D160" s="36" t="n"/>
      <c r="E160" s="36" t="n"/>
      <c r="F160" s="40" t="n"/>
      <c r="G160" s="40" t="n"/>
      <c r="H160" s="40" t="n"/>
      <c r="I160" s="40" t="n"/>
      <c r="J160" s="41">
        <f>IF(F160="","",F160-IF(IFERROR(VLOOKUP(B160,'Co-Host Agreements'!$A$6:$K$20,7,FALSE),"No")="Yes",G160,0)-IF(IFERROR(VLOOKUP(B160,'Co-Host Agreements'!$A$6:$K$20,8,FALSE),"No")="Yes",H160,0)-N(I160))</f>
        <v/>
      </c>
      <c r="K160" s="42">
        <f>IFERROR(VLOOKUP(B160,'Co-Host Agreements'!$A$6:$K$20,5,FALSE),0)</f>
        <v/>
      </c>
      <c r="L160" s="41">
        <f>IF(B160="","",IFS(IFERROR(VLOOKUP(B160,'Co-Host Agreements'!$A$6:$K$20,4,FALSE),"")="% of NET",J160*K160,IFERROR(VLOOKUP(B160,'Co-Host Agreements'!$A$6:$K$20,4,FALSE),"")="% of GROSS",F160*K160,IFERROR(VLOOKUP(B160,'Co-Host Agreements'!$A$6:$K$20,4,FALSE),"")="Flat per booking",IFERROR(VLOOKUP(B160,'Co-Host Agreements'!$A$6:$K$20,6,FALSE),0),IFERROR(VLOOKUP(B160,'Co-Host Agreements'!$A$6:$K$20,4,FALSE),"")="Hybrid (Flat + % of NET)",IFERROR(VLOOKUP(B160,'Co-Host Agreements'!$A$6:$K$20,6,FALSE),0)+J160*K160,TRUE,0))</f>
        <v/>
      </c>
      <c r="M160" s="41">
        <f>IF(B160="","",J160-L160)</f>
        <v/>
      </c>
      <c r="N160" s="36" t="n"/>
      <c r="O160" s="36" t="n"/>
    </row>
    <row r="161" ht="16" customHeight="1">
      <c r="A161" s="39" t="n"/>
      <c r="B161" s="36" t="n"/>
      <c r="C161" s="36" t="n"/>
      <c r="D161" s="36" t="n"/>
      <c r="E161" s="36" t="n"/>
      <c r="F161" s="40" t="n"/>
      <c r="G161" s="40" t="n"/>
      <c r="H161" s="40" t="n"/>
      <c r="I161" s="40" t="n"/>
      <c r="J161" s="41">
        <f>IF(F161="","",F161-IF(IFERROR(VLOOKUP(B161,'Co-Host Agreements'!$A$6:$K$20,7,FALSE),"No")="Yes",G161,0)-IF(IFERROR(VLOOKUP(B161,'Co-Host Agreements'!$A$6:$K$20,8,FALSE),"No")="Yes",H161,0)-N(I161))</f>
        <v/>
      </c>
      <c r="K161" s="42">
        <f>IFERROR(VLOOKUP(B161,'Co-Host Agreements'!$A$6:$K$20,5,FALSE),0)</f>
        <v/>
      </c>
      <c r="L161" s="41">
        <f>IF(B161="","",IFS(IFERROR(VLOOKUP(B161,'Co-Host Agreements'!$A$6:$K$20,4,FALSE),"")="% of NET",J161*K161,IFERROR(VLOOKUP(B161,'Co-Host Agreements'!$A$6:$K$20,4,FALSE),"")="% of GROSS",F161*K161,IFERROR(VLOOKUP(B161,'Co-Host Agreements'!$A$6:$K$20,4,FALSE),"")="Flat per booking",IFERROR(VLOOKUP(B161,'Co-Host Agreements'!$A$6:$K$20,6,FALSE),0),IFERROR(VLOOKUP(B161,'Co-Host Agreements'!$A$6:$K$20,4,FALSE),"")="Hybrid (Flat + % of NET)",IFERROR(VLOOKUP(B161,'Co-Host Agreements'!$A$6:$K$20,6,FALSE),0)+J161*K161,TRUE,0))</f>
        <v/>
      </c>
      <c r="M161" s="41">
        <f>IF(B161="","",J161-L161)</f>
        <v/>
      </c>
      <c r="N161" s="36" t="n"/>
      <c r="O161" s="36" t="n"/>
    </row>
    <row r="162" ht="16" customHeight="1">
      <c r="A162" s="39" t="n"/>
      <c r="B162" s="36" t="n"/>
      <c r="C162" s="36" t="n"/>
      <c r="D162" s="36" t="n"/>
      <c r="E162" s="36" t="n"/>
      <c r="F162" s="40" t="n"/>
      <c r="G162" s="40" t="n"/>
      <c r="H162" s="40" t="n"/>
      <c r="I162" s="40" t="n"/>
      <c r="J162" s="41">
        <f>IF(F162="","",F162-IF(IFERROR(VLOOKUP(B162,'Co-Host Agreements'!$A$6:$K$20,7,FALSE),"No")="Yes",G162,0)-IF(IFERROR(VLOOKUP(B162,'Co-Host Agreements'!$A$6:$K$20,8,FALSE),"No")="Yes",H162,0)-N(I162))</f>
        <v/>
      </c>
      <c r="K162" s="42">
        <f>IFERROR(VLOOKUP(B162,'Co-Host Agreements'!$A$6:$K$20,5,FALSE),0)</f>
        <v/>
      </c>
      <c r="L162" s="41">
        <f>IF(B162="","",IFS(IFERROR(VLOOKUP(B162,'Co-Host Agreements'!$A$6:$K$20,4,FALSE),"")="% of NET",J162*K162,IFERROR(VLOOKUP(B162,'Co-Host Agreements'!$A$6:$K$20,4,FALSE),"")="% of GROSS",F162*K162,IFERROR(VLOOKUP(B162,'Co-Host Agreements'!$A$6:$K$20,4,FALSE),"")="Flat per booking",IFERROR(VLOOKUP(B162,'Co-Host Agreements'!$A$6:$K$20,6,FALSE),0),IFERROR(VLOOKUP(B162,'Co-Host Agreements'!$A$6:$K$20,4,FALSE),"")="Hybrid (Flat + % of NET)",IFERROR(VLOOKUP(B162,'Co-Host Agreements'!$A$6:$K$20,6,FALSE),0)+J162*K162,TRUE,0))</f>
        <v/>
      </c>
      <c r="M162" s="41">
        <f>IF(B162="","",J162-L162)</f>
        <v/>
      </c>
      <c r="N162" s="36" t="n"/>
      <c r="O162" s="36" t="n"/>
    </row>
    <row r="163" ht="16" customHeight="1">
      <c r="A163" s="39" t="n"/>
      <c r="B163" s="36" t="n"/>
      <c r="C163" s="36" t="n"/>
      <c r="D163" s="36" t="n"/>
      <c r="E163" s="36" t="n"/>
      <c r="F163" s="40" t="n"/>
      <c r="G163" s="40" t="n"/>
      <c r="H163" s="40" t="n"/>
      <c r="I163" s="40" t="n"/>
      <c r="J163" s="41">
        <f>IF(F163="","",F163-IF(IFERROR(VLOOKUP(B163,'Co-Host Agreements'!$A$6:$K$20,7,FALSE),"No")="Yes",G163,0)-IF(IFERROR(VLOOKUP(B163,'Co-Host Agreements'!$A$6:$K$20,8,FALSE),"No")="Yes",H163,0)-N(I163))</f>
        <v/>
      </c>
      <c r="K163" s="42">
        <f>IFERROR(VLOOKUP(B163,'Co-Host Agreements'!$A$6:$K$20,5,FALSE),0)</f>
        <v/>
      </c>
      <c r="L163" s="41">
        <f>IF(B163="","",IFS(IFERROR(VLOOKUP(B163,'Co-Host Agreements'!$A$6:$K$20,4,FALSE),"")="% of NET",J163*K163,IFERROR(VLOOKUP(B163,'Co-Host Agreements'!$A$6:$K$20,4,FALSE),"")="% of GROSS",F163*K163,IFERROR(VLOOKUP(B163,'Co-Host Agreements'!$A$6:$K$20,4,FALSE),"")="Flat per booking",IFERROR(VLOOKUP(B163,'Co-Host Agreements'!$A$6:$K$20,6,FALSE),0),IFERROR(VLOOKUP(B163,'Co-Host Agreements'!$A$6:$K$20,4,FALSE),"")="Hybrid (Flat + % of NET)",IFERROR(VLOOKUP(B163,'Co-Host Agreements'!$A$6:$K$20,6,FALSE),0)+J163*K163,TRUE,0))</f>
        <v/>
      </c>
      <c r="M163" s="41">
        <f>IF(B163="","",J163-L163)</f>
        <v/>
      </c>
      <c r="N163" s="36" t="n"/>
      <c r="O163" s="36" t="n"/>
    </row>
    <row r="164" ht="16" customHeight="1">
      <c r="A164" s="39" t="n"/>
      <c r="B164" s="36" t="n"/>
      <c r="C164" s="36" t="n"/>
      <c r="D164" s="36" t="n"/>
      <c r="E164" s="36" t="n"/>
      <c r="F164" s="40" t="n"/>
      <c r="G164" s="40" t="n"/>
      <c r="H164" s="40" t="n"/>
      <c r="I164" s="40" t="n"/>
      <c r="J164" s="41">
        <f>IF(F164="","",F164-IF(IFERROR(VLOOKUP(B164,'Co-Host Agreements'!$A$6:$K$20,7,FALSE),"No")="Yes",G164,0)-IF(IFERROR(VLOOKUP(B164,'Co-Host Agreements'!$A$6:$K$20,8,FALSE),"No")="Yes",H164,0)-N(I164))</f>
        <v/>
      </c>
      <c r="K164" s="42">
        <f>IFERROR(VLOOKUP(B164,'Co-Host Agreements'!$A$6:$K$20,5,FALSE),0)</f>
        <v/>
      </c>
      <c r="L164" s="41">
        <f>IF(B164="","",IFS(IFERROR(VLOOKUP(B164,'Co-Host Agreements'!$A$6:$K$20,4,FALSE),"")="% of NET",J164*K164,IFERROR(VLOOKUP(B164,'Co-Host Agreements'!$A$6:$K$20,4,FALSE),"")="% of GROSS",F164*K164,IFERROR(VLOOKUP(B164,'Co-Host Agreements'!$A$6:$K$20,4,FALSE),"")="Flat per booking",IFERROR(VLOOKUP(B164,'Co-Host Agreements'!$A$6:$K$20,6,FALSE),0),IFERROR(VLOOKUP(B164,'Co-Host Agreements'!$A$6:$K$20,4,FALSE),"")="Hybrid (Flat + % of NET)",IFERROR(VLOOKUP(B164,'Co-Host Agreements'!$A$6:$K$20,6,FALSE),0)+J164*K164,TRUE,0))</f>
        <v/>
      </c>
      <c r="M164" s="41">
        <f>IF(B164="","",J164-L164)</f>
        <v/>
      </c>
      <c r="N164" s="36" t="n"/>
      <c r="O164" s="36" t="n"/>
    </row>
    <row r="165" ht="16" customHeight="1">
      <c r="A165" s="39" t="n"/>
      <c r="B165" s="36" t="n"/>
      <c r="C165" s="36" t="n"/>
      <c r="D165" s="36" t="n"/>
      <c r="E165" s="36" t="n"/>
      <c r="F165" s="40" t="n"/>
      <c r="G165" s="40" t="n"/>
      <c r="H165" s="40" t="n"/>
      <c r="I165" s="40" t="n"/>
      <c r="J165" s="41">
        <f>IF(F165="","",F165-IF(IFERROR(VLOOKUP(B165,'Co-Host Agreements'!$A$6:$K$20,7,FALSE),"No")="Yes",G165,0)-IF(IFERROR(VLOOKUP(B165,'Co-Host Agreements'!$A$6:$K$20,8,FALSE),"No")="Yes",H165,0)-N(I165))</f>
        <v/>
      </c>
      <c r="K165" s="42">
        <f>IFERROR(VLOOKUP(B165,'Co-Host Agreements'!$A$6:$K$20,5,FALSE),0)</f>
        <v/>
      </c>
      <c r="L165" s="41">
        <f>IF(B165="","",IFS(IFERROR(VLOOKUP(B165,'Co-Host Agreements'!$A$6:$K$20,4,FALSE),"")="% of NET",J165*K165,IFERROR(VLOOKUP(B165,'Co-Host Agreements'!$A$6:$K$20,4,FALSE),"")="% of GROSS",F165*K165,IFERROR(VLOOKUP(B165,'Co-Host Agreements'!$A$6:$K$20,4,FALSE),"")="Flat per booking",IFERROR(VLOOKUP(B165,'Co-Host Agreements'!$A$6:$K$20,6,FALSE),0),IFERROR(VLOOKUP(B165,'Co-Host Agreements'!$A$6:$K$20,4,FALSE),"")="Hybrid (Flat + % of NET)",IFERROR(VLOOKUP(B165,'Co-Host Agreements'!$A$6:$K$20,6,FALSE),0)+J165*K165,TRUE,0))</f>
        <v/>
      </c>
      <c r="M165" s="41">
        <f>IF(B165="","",J165-L165)</f>
        <v/>
      </c>
      <c r="N165" s="36" t="n"/>
      <c r="O165" s="36" t="n"/>
    </row>
    <row r="166" ht="16" customHeight="1">
      <c r="A166" s="39" t="n"/>
      <c r="B166" s="36" t="n"/>
      <c r="C166" s="36" t="n"/>
      <c r="D166" s="36" t="n"/>
      <c r="E166" s="36" t="n"/>
      <c r="F166" s="40" t="n"/>
      <c r="G166" s="40" t="n"/>
      <c r="H166" s="40" t="n"/>
      <c r="I166" s="40" t="n"/>
      <c r="J166" s="41">
        <f>IF(F166="","",F166-IF(IFERROR(VLOOKUP(B166,'Co-Host Agreements'!$A$6:$K$20,7,FALSE),"No")="Yes",G166,0)-IF(IFERROR(VLOOKUP(B166,'Co-Host Agreements'!$A$6:$K$20,8,FALSE),"No")="Yes",H166,0)-N(I166))</f>
        <v/>
      </c>
      <c r="K166" s="42">
        <f>IFERROR(VLOOKUP(B166,'Co-Host Agreements'!$A$6:$K$20,5,FALSE),0)</f>
        <v/>
      </c>
      <c r="L166" s="41">
        <f>IF(B166="","",IFS(IFERROR(VLOOKUP(B166,'Co-Host Agreements'!$A$6:$K$20,4,FALSE),"")="% of NET",J166*K166,IFERROR(VLOOKUP(B166,'Co-Host Agreements'!$A$6:$K$20,4,FALSE),"")="% of GROSS",F166*K166,IFERROR(VLOOKUP(B166,'Co-Host Agreements'!$A$6:$K$20,4,FALSE),"")="Flat per booking",IFERROR(VLOOKUP(B166,'Co-Host Agreements'!$A$6:$K$20,6,FALSE),0),IFERROR(VLOOKUP(B166,'Co-Host Agreements'!$A$6:$K$20,4,FALSE),"")="Hybrid (Flat + % of NET)",IFERROR(VLOOKUP(B166,'Co-Host Agreements'!$A$6:$K$20,6,FALSE),0)+J166*K166,TRUE,0))</f>
        <v/>
      </c>
      <c r="M166" s="41">
        <f>IF(B166="","",J166-L166)</f>
        <v/>
      </c>
      <c r="N166" s="36" t="n"/>
      <c r="O166" s="36" t="n"/>
    </row>
    <row r="167" ht="16" customHeight="1">
      <c r="A167" s="39" t="n"/>
      <c r="B167" s="36" t="n"/>
      <c r="C167" s="36" t="n"/>
      <c r="D167" s="36" t="n"/>
      <c r="E167" s="36" t="n"/>
      <c r="F167" s="40" t="n"/>
      <c r="G167" s="40" t="n"/>
      <c r="H167" s="40" t="n"/>
      <c r="I167" s="40" t="n"/>
      <c r="J167" s="41">
        <f>IF(F167="","",F167-IF(IFERROR(VLOOKUP(B167,'Co-Host Agreements'!$A$6:$K$20,7,FALSE),"No")="Yes",G167,0)-IF(IFERROR(VLOOKUP(B167,'Co-Host Agreements'!$A$6:$K$20,8,FALSE),"No")="Yes",H167,0)-N(I167))</f>
        <v/>
      </c>
      <c r="K167" s="42">
        <f>IFERROR(VLOOKUP(B167,'Co-Host Agreements'!$A$6:$K$20,5,FALSE),0)</f>
        <v/>
      </c>
      <c r="L167" s="41">
        <f>IF(B167="","",IFS(IFERROR(VLOOKUP(B167,'Co-Host Agreements'!$A$6:$K$20,4,FALSE),"")="% of NET",J167*K167,IFERROR(VLOOKUP(B167,'Co-Host Agreements'!$A$6:$K$20,4,FALSE),"")="% of GROSS",F167*K167,IFERROR(VLOOKUP(B167,'Co-Host Agreements'!$A$6:$K$20,4,FALSE),"")="Flat per booking",IFERROR(VLOOKUP(B167,'Co-Host Agreements'!$A$6:$K$20,6,FALSE),0),IFERROR(VLOOKUP(B167,'Co-Host Agreements'!$A$6:$K$20,4,FALSE),"")="Hybrid (Flat + % of NET)",IFERROR(VLOOKUP(B167,'Co-Host Agreements'!$A$6:$K$20,6,FALSE),0)+J167*K167,TRUE,0))</f>
        <v/>
      </c>
      <c r="M167" s="41">
        <f>IF(B167="","",J167-L167)</f>
        <v/>
      </c>
      <c r="N167" s="36" t="n"/>
      <c r="O167" s="36" t="n"/>
    </row>
    <row r="168" ht="16" customHeight="1">
      <c r="A168" s="39" t="n"/>
      <c r="B168" s="36" t="n"/>
      <c r="C168" s="36" t="n"/>
      <c r="D168" s="36" t="n"/>
      <c r="E168" s="36" t="n"/>
      <c r="F168" s="40" t="n"/>
      <c r="G168" s="40" t="n"/>
      <c r="H168" s="40" t="n"/>
      <c r="I168" s="40" t="n"/>
      <c r="J168" s="41">
        <f>IF(F168="","",F168-IF(IFERROR(VLOOKUP(B168,'Co-Host Agreements'!$A$6:$K$20,7,FALSE),"No")="Yes",G168,0)-IF(IFERROR(VLOOKUP(B168,'Co-Host Agreements'!$A$6:$K$20,8,FALSE),"No")="Yes",H168,0)-N(I168))</f>
        <v/>
      </c>
      <c r="K168" s="42">
        <f>IFERROR(VLOOKUP(B168,'Co-Host Agreements'!$A$6:$K$20,5,FALSE),0)</f>
        <v/>
      </c>
      <c r="L168" s="41">
        <f>IF(B168="","",IFS(IFERROR(VLOOKUP(B168,'Co-Host Agreements'!$A$6:$K$20,4,FALSE),"")="% of NET",J168*K168,IFERROR(VLOOKUP(B168,'Co-Host Agreements'!$A$6:$K$20,4,FALSE),"")="% of GROSS",F168*K168,IFERROR(VLOOKUP(B168,'Co-Host Agreements'!$A$6:$K$20,4,FALSE),"")="Flat per booking",IFERROR(VLOOKUP(B168,'Co-Host Agreements'!$A$6:$K$20,6,FALSE),0),IFERROR(VLOOKUP(B168,'Co-Host Agreements'!$A$6:$K$20,4,FALSE),"")="Hybrid (Flat + % of NET)",IFERROR(VLOOKUP(B168,'Co-Host Agreements'!$A$6:$K$20,6,FALSE),0)+J168*K168,TRUE,0))</f>
        <v/>
      </c>
      <c r="M168" s="41">
        <f>IF(B168="","",J168-L168)</f>
        <v/>
      </c>
      <c r="N168" s="36" t="n"/>
      <c r="O168" s="36" t="n"/>
    </row>
    <row r="169" ht="16" customHeight="1">
      <c r="A169" s="39" t="n"/>
      <c r="B169" s="36" t="n"/>
      <c r="C169" s="36" t="n"/>
      <c r="D169" s="36" t="n"/>
      <c r="E169" s="36" t="n"/>
      <c r="F169" s="40" t="n"/>
      <c r="G169" s="40" t="n"/>
      <c r="H169" s="40" t="n"/>
      <c r="I169" s="40" t="n"/>
      <c r="J169" s="41">
        <f>IF(F169="","",F169-IF(IFERROR(VLOOKUP(B169,'Co-Host Agreements'!$A$6:$K$20,7,FALSE),"No")="Yes",G169,0)-IF(IFERROR(VLOOKUP(B169,'Co-Host Agreements'!$A$6:$K$20,8,FALSE),"No")="Yes",H169,0)-N(I169))</f>
        <v/>
      </c>
      <c r="K169" s="42">
        <f>IFERROR(VLOOKUP(B169,'Co-Host Agreements'!$A$6:$K$20,5,FALSE),0)</f>
        <v/>
      </c>
      <c r="L169" s="41">
        <f>IF(B169="","",IFS(IFERROR(VLOOKUP(B169,'Co-Host Agreements'!$A$6:$K$20,4,FALSE),"")="% of NET",J169*K169,IFERROR(VLOOKUP(B169,'Co-Host Agreements'!$A$6:$K$20,4,FALSE),"")="% of GROSS",F169*K169,IFERROR(VLOOKUP(B169,'Co-Host Agreements'!$A$6:$K$20,4,FALSE),"")="Flat per booking",IFERROR(VLOOKUP(B169,'Co-Host Agreements'!$A$6:$K$20,6,FALSE),0),IFERROR(VLOOKUP(B169,'Co-Host Agreements'!$A$6:$K$20,4,FALSE),"")="Hybrid (Flat + % of NET)",IFERROR(VLOOKUP(B169,'Co-Host Agreements'!$A$6:$K$20,6,FALSE),0)+J169*K169,TRUE,0))</f>
        <v/>
      </c>
      <c r="M169" s="41">
        <f>IF(B169="","",J169-L169)</f>
        <v/>
      </c>
      <c r="N169" s="36" t="n"/>
      <c r="O169" s="36" t="n"/>
    </row>
    <row r="170" ht="16" customHeight="1">
      <c r="A170" s="39" t="n"/>
      <c r="B170" s="36" t="n"/>
      <c r="C170" s="36" t="n"/>
      <c r="D170" s="36" t="n"/>
      <c r="E170" s="36" t="n"/>
      <c r="F170" s="40" t="n"/>
      <c r="G170" s="40" t="n"/>
      <c r="H170" s="40" t="n"/>
      <c r="I170" s="40" t="n"/>
      <c r="J170" s="41">
        <f>IF(F170="","",F170-IF(IFERROR(VLOOKUP(B170,'Co-Host Agreements'!$A$6:$K$20,7,FALSE),"No")="Yes",G170,0)-IF(IFERROR(VLOOKUP(B170,'Co-Host Agreements'!$A$6:$K$20,8,FALSE),"No")="Yes",H170,0)-N(I170))</f>
        <v/>
      </c>
      <c r="K170" s="42">
        <f>IFERROR(VLOOKUP(B170,'Co-Host Agreements'!$A$6:$K$20,5,FALSE),0)</f>
        <v/>
      </c>
      <c r="L170" s="41">
        <f>IF(B170="","",IFS(IFERROR(VLOOKUP(B170,'Co-Host Agreements'!$A$6:$K$20,4,FALSE),"")="% of NET",J170*K170,IFERROR(VLOOKUP(B170,'Co-Host Agreements'!$A$6:$K$20,4,FALSE),"")="% of GROSS",F170*K170,IFERROR(VLOOKUP(B170,'Co-Host Agreements'!$A$6:$K$20,4,FALSE),"")="Flat per booking",IFERROR(VLOOKUP(B170,'Co-Host Agreements'!$A$6:$K$20,6,FALSE),0),IFERROR(VLOOKUP(B170,'Co-Host Agreements'!$A$6:$K$20,4,FALSE),"")="Hybrid (Flat + % of NET)",IFERROR(VLOOKUP(B170,'Co-Host Agreements'!$A$6:$K$20,6,FALSE),0)+J170*K170,TRUE,0))</f>
        <v/>
      </c>
      <c r="M170" s="41">
        <f>IF(B170="","",J170-L170)</f>
        <v/>
      </c>
      <c r="N170" s="36" t="n"/>
      <c r="O170" s="36" t="n"/>
    </row>
    <row r="171" ht="16" customHeight="1">
      <c r="A171" s="39" t="n"/>
      <c r="B171" s="36" t="n"/>
      <c r="C171" s="36" t="n"/>
      <c r="D171" s="36" t="n"/>
      <c r="E171" s="36" t="n"/>
      <c r="F171" s="40" t="n"/>
      <c r="G171" s="40" t="n"/>
      <c r="H171" s="40" t="n"/>
      <c r="I171" s="40" t="n"/>
      <c r="J171" s="41">
        <f>IF(F171="","",F171-IF(IFERROR(VLOOKUP(B171,'Co-Host Agreements'!$A$6:$K$20,7,FALSE),"No")="Yes",G171,0)-IF(IFERROR(VLOOKUP(B171,'Co-Host Agreements'!$A$6:$K$20,8,FALSE),"No")="Yes",H171,0)-N(I171))</f>
        <v/>
      </c>
      <c r="K171" s="42">
        <f>IFERROR(VLOOKUP(B171,'Co-Host Agreements'!$A$6:$K$20,5,FALSE),0)</f>
        <v/>
      </c>
      <c r="L171" s="41">
        <f>IF(B171="","",IFS(IFERROR(VLOOKUP(B171,'Co-Host Agreements'!$A$6:$K$20,4,FALSE),"")="% of NET",J171*K171,IFERROR(VLOOKUP(B171,'Co-Host Agreements'!$A$6:$K$20,4,FALSE),"")="% of GROSS",F171*K171,IFERROR(VLOOKUP(B171,'Co-Host Agreements'!$A$6:$K$20,4,FALSE),"")="Flat per booking",IFERROR(VLOOKUP(B171,'Co-Host Agreements'!$A$6:$K$20,6,FALSE),0),IFERROR(VLOOKUP(B171,'Co-Host Agreements'!$A$6:$K$20,4,FALSE),"")="Hybrid (Flat + % of NET)",IFERROR(VLOOKUP(B171,'Co-Host Agreements'!$A$6:$K$20,6,FALSE),0)+J171*K171,TRUE,0))</f>
        <v/>
      </c>
      <c r="M171" s="41">
        <f>IF(B171="","",J171-L171)</f>
        <v/>
      </c>
      <c r="N171" s="36" t="n"/>
      <c r="O171" s="36" t="n"/>
    </row>
    <row r="172" ht="16" customHeight="1">
      <c r="A172" s="39" t="n"/>
      <c r="B172" s="36" t="n"/>
      <c r="C172" s="36" t="n"/>
      <c r="D172" s="36" t="n"/>
      <c r="E172" s="36" t="n"/>
      <c r="F172" s="40" t="n"/>
      <c r="G172" s="40" t="n"/>
      <c r="H172" s="40" t="n"/>
      <c r="I172" s="40" t="n"/>
      <c r="J172" s="41">
        <f>IF(F172="","",F172-IF(IFERROR(VLOOKUP(B172,'Co-Host Agreements'!$A$6:$K$20,7,FALSE),"No")="Yes",G172,0)-IF(IFERROR(VLOOKUP(B172,'Co-Host Agreements'!$A$6:$K$20,8,FALSE),"No")="Yes",H172,0)-N(I172))</f>
        <v/>
      </c>
      <c r="K172" s="42">
        <f>IFERROR(VLOOKUP(B172,'Co-Host Agreements'!$A$6:$K$20,5,FALSE),0)</f>
        <v/>
      </c>
      <c r="L172" s="41">
        <f>IF(B172="","",IFS(IFERROR(VLOOKUP(B172,'Co-Host Agreements'!$A$6:$K$20,4,FALSE),"")="% of NET",J172*K172,IFERROR(VLOOKUP(B172,'Co-Host Agreements'!$A$6:$K$20,4,FALSE),"")="% of GROSS",F172*K172,IFERROR(VLOOKUP(B172,'Co-Host Agreements'!$A$6:$K$20,4,FALSE),"")="Flat per booking",IFERROR(VLOOKUP(B172,'Co-Host Agreements'!$A$6:$K$20,6,FALSE),0),IFERROR(VLOOKUP(B172,'Co-Host Agreements'!$A$6:$K$20,4,FALSE),"")="Hybrid (Flat + % of NET)",IFERROR(VLOOKUP(B172,'Co-Host Agreements'!$A$6:$K$20,6,FALSE),0)+J172*K172,TRUE,0))</f>
        <v/>
      </c>
      <c r="M172" s="41">
        <f>IF(B172="","",J172-L172)</f>
        <v/>
      </c>
      <c r="N172" s="36" t="n"/>
      <c r="O172" s="36" t="n"/>
    </row>
    <row r="173" ht="16" customHeight="1">
      <c r="A173" s="39" t="n"/>
      <c r="B173" s="36" t="n"/>
      <c r="C173" s="36" t="n"/>
      <c r="D173" s="36" t="n"/>
      <c r="E173" s="36" t="n"/>
      <c r="F173" s="40" t="n"/>
      <c r="G173" s="40" t="n"/>
      <c r="H173" s="40" t="n"/>
      <c r="I173" s="40" t="n"/>
      <c r="J173" s="41">
        <f>IF(F173="","",F173-IF(IFERROR(VLOOKUP(B173,'Co-Host Agreements'!$A$6:$K$20,7,FALSE),"No")="Yes",G173,0)-IF(IFERROR(VLOOKUP(B173,'Co-Host Agreements'!$A$6:$K$20,8,FALSE),"No")="Yes",H173,0)-N(I173))</f>
        <v/>
      </c>
      <c r="K173" s="42">
        <f>IFERROR(VLOOKUP(B173,'Co-Host Agreements'!$A$6:$K$20,5,FALSE),0)</f>
        <v/>
      </c>
      <c r="L173" s="41">
        <f>IF(B173="","",IFS(IFERROR(VLOOKUP(B173,'Co-Host Agreements'!$A$6:$K$20,4,FALSE),"")="% of NET",J173*K173,IFERROR(VLOOKUP(B173,'Co-Host Agreements'!$A$6:$K$20,4,FALSE),"")="% of GROSS",F173*K173,IFERROR(VLOOKUP(B173,'Co-Host Agreements'!$A$6:$K$20,4,FALSE),"")="Flat per booking",IFERROR(VLOOKUP(B173,'Co-Host Agreements'!$A$6:$K$20,6,FALSE),0),IFERROR(VLOOKUP(B173,'Co-Host Agreements'!$A$6:$K$20,4,FALSE),"")="Hybrid (Flat + % of NET)",IFERROR(VLOOKUP(B173,'Co-Host Agreements'!$A$6:$K$20,6,FALSE),0)+J173*K173,TRUE,0))</f>
        <v/>
      </c>
      <c r="M173" s="41">
        <f>IF(B173="","",J173-L173)</f>
        <v/>
      </c>
      <c r="N173" s="36" t="n"/>
      <c r="O173" s="36" t="n"/>
    </row>
    <row r="174" ht="16" customHeight="1">
      <c r="A174" s="39" t="n"/>
      <c r="B174" s="36" t="n"/>
      <c r="C174" s="36" t="n"/>
      <c r="D174" s="36" t="n"/>
      <c r="E174" s="36" t="n"/>
      <c r="F174" s="40" t="n"/>
      <c r="G174" s="40" t="n"/>
      <c r="H174" s="40" t="n"/>
      <c r="I174" s="40" t="n"/>
      <c r="J174" s="41">
        <f>IF(F174="","",F174-IF(IFERROR(VLOOKUP(B174,'Co-Host Agreements'!$A$6:$K$20,7,FALSE),"No")="Yes",G174,0)-IF(IFERROR(VLOOKUP(B174,'Co-Host Agreements'!$A$6:$K$20,8,FALSE),"No")="Yes",H174,0)-N(I174))</f>
        <v/>
      </c>
      <c r="K174" s="42">
        <f>IFERROR(VLOOKUP(B174,'Co-Host Agreements'!$A$6:$K$20,5,FALSE),0)</f>
        <v/>
      </c>
      <c r="L174" s="41">
        <f>IF(B174="","",IFS(IFERROR(VLOOKUP(B174,'Co-Host Agreements'!$A$6:$K$20,4,FALSE),"")="% of NET",J174*K174,IFERROR(VLOOKUP(B174,'Co-Host Agreements'!$A$6:$K$20,4,FALSE),"")="% of GROSS",F174*K174,IFERROR(VLOOKUP(B174,'Co-Host Agreements'!$A$6:$K$20,4,FALSE),"")="Flat per booking",IFERROR(VLOOKUP(B174,'Co-Host Agreements'!$A$6:$K$20,6,FALSE),0),IFERROR(VLOOKUP(B174,'Co-Host Agreements'!$A$6:$K$20,4,FALSE),"")="Hybrid (Flat + % of NET)",IFERROR(VLOOKUP(B174,'Co-Host Agreements'!$A$6:$K$20,6,FALSE),0)+J174*K174,TRUE,0))</f>
        <v/>
      </c>
      <c r="M174" s="41">
        <f>IF(B174="","",J174-L174)</f>
        <v/>
      </c>
      <c r="N174" s="36" t="n"/>
      <c r="O174" s="36" t="n"/>
    </row>
    <row r="175" ht="16" customHeight="1">
      <c r="A175" s="39" t="n"/>
      <c r="B175" s="36" t="n"/>
      <c r="C175" s="36" t="n"/>
      <c r="D175" s="36" t="n"/>
      <c r="E175" s="36" t="n"/>
      <c r="F175" s="40" t="n"/>
      <c r="G175" s="40" t="n"/>
      <c r="H175" s="40" t="n"/>
      <c r="I175" s="40" t="n"/>
      <c r="J175" s="41">
        <f>IF(F175="","",F175-IF(IFERROR(VLOOKUP(B175,'Co-Host Agreements'!$A$6:$K$20,7,FALSE),"No")="Yes",G175,0)-IF(IFERROR(VLOOKUP(B175,'Co-Host Agreements'!$A$6:$K$20,8,FALSE),"No")="Yes",H175,0)-N(I175))</f>
        <v/>
      </c>
      <c r="K175" s="42">
        <f>IFERROR(VLOOKUP(B175,'Co-Host Agreements'!$A$6:$K$20,5,FALSE),0)</f>
        <v/>
      </c>
      <c r="L175" s="41">
        <f>IF(B175="","",IFS(IFERROR(VLOOKUP(B175,'Co-Host Agreements'!$A$6:$K$20,4,FALSE),"")="% of NET",J175*K175,IFERROR(VLOOKUP(B175,'Co-Host Agreements'!$A$6:$K$20,4,FALSE),"")="% of GROSS",F175*K175,IFERROR(VLOOKUP(B175,'Co-Host Agreements'!$A$6:$K$20,4,FALSE),"")="Flat per booking",IFERROR(VLOOKUP(B175,'Co-Host Agreements'!$A$6:$K$20,6,FALSE),0),IFERROR(VLOOKUP(B175,'Co-Host Agreements'!$A$6:$K$20,4,FALSE),"")="Hybrid (Flat + % of NET)",IFERROR(VLOOKUP(B175,'Co-Host Agreements'!$A$6:$K$20,6,FALSE),0)+J175*K175,TRUE,0))</f>
        <v/>
      </c>
      <c r="M175" s="41">
        <f>IF(B175="","",J175-L175)</f>
        <v/>
      </c>
      <c r="N175" s="36" t="n"/>
      <c r="O175" s="36" t="n"/>
    </row>
    <row r="176" ht="16" customHeight="1">
      <c r="A176" s="39" t="n"/>
      <c r="B176" s="36" t="n"/>
      <c r="C176" s="36" t="n"/>
      <c r="D176" s="36" t="n"/>
      <c r="E176" s="36" t="n"/>
      <c r="F176" s="40" t="n"/>
      <c r="G176" s="40" t="n"/>
      <c r="H176" s="40" t="n"/>
      <c r="I176" s="40" t="n"/>
      <c r="J176" s="41">
        <f>IF(F176="","",F176-IF(IFERROR(VLOOKUP(B176,'Co-Host Agreements'!$A$6:$K$20,7,FALSE),"No")="Yes",G176,0)-IF(IFERROR(VLOOKUP(B176,'Co-Host Agreements'!$A$6:$K$20,8,FALSE),"No")="Yes",H176,0)-N(I176))</f>
        <v/>
      </c>
      <c r="K176" s="42">
        <f>IFERROR(VLOOKUP(B176,'Co-Host Agreements'!$A$6:$K$20,5,FALSE),0)</f>
        <v/>
      </c>
      <c r="L176" s="41">
        <f>IF(B176="","",IFS(IFERROR(VLOOKUP(B176,'Co-Host Agreements'!$A$6:$K$20,4,FALSE),"")="% of NET",J176*K176,IFERROR(VLOOKUP(B176,'Co-Host Agreements'!$A$6:$K$20,4,FALSE),"")="% of GROSS",F176*K176,IFERROR(VLOOKUP(B176,'Co-Host Agreements'!$A$6:$K$20,4,FALSE),"")="Flat per booking",IFERROR(VLOOKUP(B176,'Co-Host Agreements'!$A$6:$K$20,6,FALSE),0),IFERROR(VLOOKUP(B176,'Co-Host Agreements'!$A$6:$K$20,4,FALSE),"")="Hybrid (Flat + % of NET)",IFERROR(VLOOKUP(B176,'Co-Host Agreements'!$A$6:$K$20,6,FALSE),0)+J176*K176,TRUE,0))</f>
        <v/>
      </c>
      <c r="M176" s="41">
        <f>IF(B176="","",J176-L176)</f>
        <v/>
      </c>
      <c r="N176" s="36" t="n"/>
      <c r="O176" s="36" t="n"/>
    </row>
    <row r="177" ht="16" customHeight="1">
      <c r="A177" s="39" t="n"/>
      <c r="B177" s="36" t="n"/>
      <c r="C177" s="36" t="n"/>
      <c r="D177" s="36" t="n"/>
      <c r="E177" s="36" t="n"/>
      <c r="F177" s="40" t="n"/>
      <c r="G177" s="40" t="n"/>
      <c r="H177" s="40" t="n"/>
      <c r="I177" s="40" t="n"/>
      <c r="J177" s="41">
        <f>IF(F177="","",F177-IF(IFERROR(VLOOKUP(B177,'Co-Host Agreements'!$A$6:$K$20,7,FALSE),"No")="Yes",G177,0)-IF(IFERROR(VLOOKUP(B177,'Co-Host Agreements'!$A$6:$K$20,8,FALSE),"No")="Yes",H177,0)-N(I177))</f>
        <v/>
      </c>
      <c r="K177" s="42">
        <f>IFERROR(VLOOKUP(B177,'Co-Host Agreements'!$A$6:$K$20,5,FALSE),0)</f>
        <v/>
      </c>
      <c r="L177" s="41">
        <f>IF(B177="","",IFS(IFERROR(VLOOKUP(B177,'Co-Host Agreements'!$A$6:$K$20,4,FALSE),"")="% of NET",J177*K177,IFERROR(VLOOKUP(B177,'Co-Host Agreements'!$A$6:$K$20,4,FALSE),"")="% of GROSS",F177*K177,IFERROR(VLOOKUP(B177,'Co-Host Agreements'!$A$6:$K$20,4,FALSE),"")="Flat per booking",IFERROR(VLOOKUP(B177,'Co-Host Agreements'!$A$6:$K$20,6,FALSE),0),IFERROR(VLOOKUP(B177,'Co-Host Agreements'!$A$6:$K$20,4,FALSE),"")="Hybrid (Flat + % of NET)",IFERROR(VLOOKUP(B177,'Co-Host Agreements'!$A$6:$K$20,6,FALSE),0)+J177*K177,TRUE,0))</f>
        <v/>
      </c>
      <c r="M177" s="41">
        <f>IF(B177="","",J177-L177)</f>
        <v/>
      </c>
      <c r="N177" s="36" t="n"/>
      <c r="O177" s="36" t="n"/>
    </row>
    <row r="178" ht="16" customHeight="1">
      <c r="A178" s="39" t="n"/>
      <c r="B178" s="36" t="n"/>
      <c r="C178" s="36" t="n"/>
      <c r="D178" s="36" t="n"/>
      <c r="E178" s="36" t="n"/>
      <c r="F178" s="40" t="n"/>
      <c r="G178" s="40" t="n"/>
      <c r="H178" s="40" t="n"/>
      <c r="I178" s="40" t="n"/>
      <c r="J178" s="41">
        <f>IF(F178="","",F178-IF(IFERROR(VLOOKUP(B178,'Co-Host Agreements'!$A$6:$K$20,7,FALSE),"No")="Yes",G178,0)-IF(IFERROR(VLOOKUP(B178,'Co-Host Agreements'!$A$6:$K$20,8,FALSE),"No")="Yes",H178,0)-N(I178))</f>
        <v/>
      </c>
      <c r="K178" s="42">
        <f>IFERROR(VLOOKUP(B178,'Co-Host Agreements'!$A$6:$K$20,5,FALSE),0)</f>
        <v/>
      </c>
      <c r="L178" s="41">
        <f>IF(B178="","",IFS(IFERROR(VLOOKUP(B178,'Co-Host Agreements'!$A$6:$K$20,4,FALSE),"")="% of NET",J178*K178,IFERROR(VLOOKUP(B178,'Co-Host Agreements'!$A$6:$K$20,4,FALSE),"")="% of GROSS",F178*K178,IFERROR(VLOOKUP(B178,'Co-Host Agreements'!$A$6:$K$20,4,FALSE),"")="Flat per booking",IFERROR(VLOOKUP(B178,'Co-Host Agreements'!$A$6:$K$20,6,FALSE),0),IFERROR(VLOOKUP(B178,'Co-Host Agreements'!$A$6:$K$20,4,FALSE),"")="Hybrid (Flat + % of NET)",IFERROR(VLOOKUP(B178,'Co-Host Agreements'!$A$6:$K$20,6,FALSE),0)+J178*K178,TRUE,0))</f>
        <v/>
      </c>
      <c r="M178" s="41">
        <f>IF(B178="","",J178-L178)</f>
        <v/>
      </c>
      <c r="N178" s="36" t="n"/>
      <c r="O178" s="36" t="n"/>
    </row>
    <row r="179" ht="16" customHeight="1">
      <c r="A179" s="39" t="n"/>
      <c r="B179" s="36" t="n"/>
      <c r="C179" s="36" t="n"/>
      <c r="D179" s="36" t="n"/>
      <c r="E179" s="36" t="n"/>
      <c r="F179" s="40" t="n"/>
      <c r="G179" s="40" t="n"/>
      <c r="H179" s="40" t="n"/>
      <c r="I179" s="40" t="n"/>
      <c r="J179" s="41">
        <f>IF(F179="","",F179-IF(IFERROR(VLOOKUP(B179,'Co-Host Agreements'!$A$6:$K$20,7,FALSE),"No")="Yes",G179,0)-IF(IFERROR(VLOOKUP(B179,'Co-Host Agreements'!$A$6:$K$20,8,FALSE),"No")="Yes",H179,0)-N(I179))</f>
        <v/>
      </c>
      <c r="K179" s="42">
        <f>IFERROR(VLOOKUP(B179,'Co-Host Agreements'!$A$6:$K$20,5,FALSE),0)</f>
        <v/>
      </c>
      <c r="L179" s="41">
        <f>IF(B179="","",IFS(IFERROR(VLOOKUP(B179,'Co-Host Agreements'!$A$6:$K$20,4,FALSE),"")="% of NET",J179*K179,IFERROR(VLOOKUP(B179,'Co-Host Agreements'!$A$6:$K$20,4,FALSE),"")="% of GROSS",F179*K179,IFERROR(VLOOKUP(B179,'Co-Host Agreements'!$A$6:$K$20,4,FALSE),"")="Flat per booking",IFERROR(VLOOKUP(B179,'Co-Host Agreements'!$A$6:$K$20,6,FALSE),0),IFERROR(VLOOKUP(B179,'Co-Host Agreements'!$A$6:$K$20,4,FALSE),"")="Hybrid (Flat + % of NET)",IFERROR(VLOOKUP(B179,'Co-Host Agreements'!$A$6:$K$20,6,FALSE),0)+J179*K179,TRUE,0))</f>
        <v/>
      </c>
      <c r="M179" s="41">
        <f>IF(B179="","",J179-L179)</f>
        <v/>
      </c>
      <c r="N179" s="36" t="n"/>
      <c r="O179" s="36" t="n"/>
    </row>
    <row r="180" ht="16" customHeight="1">
      <c r="A180" s="39" t="n"/>
      <c r="B180" s="36" t="n"/>
      <c r="C180" s="36" t="n"/>
      <c r="D180" s="36" t="n"/>
      <c r="E180" s="36" t="n"/>
      <c r="F180" s="40" t="n"/>
      <c r="G180" s="40" t="n"/>
      <c r="H180" s="40" t="n"/>
      <c r="I180" s="40" t="n"/>
      <c r="J180" s="41">
        <f>IF(F180="","",F180-IF(IFERROR(VLOOKUP(B180,'Co-Host Agreements'!$A$6:$K$20,7,FALSE),"No")="Yes",G180,0)-IF(IFERROR(VLOOKUP(B180,'Co-Host Agreements'!$A$6:$K$20,8,FALSE),"No")="Yes",H180,0)-N(I180))</f>
        <v/>
      </c>
      <c r="K180" s="42">
        <f>IFERROR(VLOOKUP(B180,'Co-Host Agreements'!$A$6:$K$20,5,FALSE),0)</f>
        <v/>
      </c>
      <c r="L180" s="41">
        <f>IF(B180="","",IFS(IFERROR(VLOOKUP(B180,'Co-Host Agreements'!$A$6:$K$20,4,FALSE),"")="% of NET",J180*K180,IFERROR(VLOOKUP(B180,'Co-Host Agreements'!$A$6:$K$20,4,FALSE),"")="% of GROSS",F180*K180,IFERROR(VLOOKUP(B180,'Co-Host Agreements'!$A$6:$K$20,4,FALSE),"")="Flat per booking",IFERROR(VLOOKUP(B180,'Co-Host Agreements'!$A$6:$K$20,6,FALSE),0),IFERROR(VLOOKUP(B180,'Co-Host Agreements'!$A$6:$K$20,4,FALSE),"")="Hybrid (Flat + % of NET)",IFERROR(VLOOKUP(B180,'Co-Host Agreements'!$A$6:$K$20,6,FALSE),0)+J180*K180,TRUE,0))</f>
        <v/>
      </c>
      <c r="M180" s="41">
        <f>IF(B180="","",J180-L180)</f>
        <v/>
      </c>
      <c r="N180" s="36" t="n"/>
      <c r="O180" s="36" t="n"/>
    </row>
    <row r="181" ht="16" customHeight="1">
      <c r="A181" s="39" t="n"/>
      <c r="B181" s="36" t="n"/>
      <c r="C181" s="36" t="n"/>
      <c r="D181" s="36" t="n"/>
      <c r="E181" s="36" t="n"/>
      <c r="F181" s="40" t="n"/>
      <c r="G181" s="40" t="n"/>
      <c r="H181" s="40" t="n"/>
      <c r="I181" s="40" t="n"/>
      <c r="J181" s="41">
        <f>IF(F181="","",F181-IF(IFERROR(VLOOKUP(B181,'Co-Host Agreements'!$A$6:$K$20,7,FALSE),"No")="Yes",G181,0)-IF(IFERROR(VLOOKUP(B181,'Co-Host Agreements'!$A$6:$K$20,8,FALSE),"No")="Yes",H181,0)-N(I181))</f>
        <v/>
      </c>
      <c r="K181" s="42">
        <f>IFERROR(VLOOKUP(B181,'Co-Host Agreements'!$A$6:$K$20,5,FALSE),0)</f>
        <v/>
      </c>
      <c r="L181" s="41">
        <f>IF(B181="","",IFS(IFERROR(VLOOKUP(B181,'Co-Host Agreements'!$A$6:$K$20,4,FALSE),"")="% of NET",J181*K181,IFERROR(VLOOKUP(B181,'Co-Host Agreements'!$A$6:$K$20,4,FALSE),"")="% of GROSS",F181*K181,IFERROR(VLOOKUP(B181,'Co-Host Agreements'!$A$6:$K$20,4,FALSE),"")="Flat per booking",IFERROR(VLOOKUP(B181,'Co-Host Agreements'!$A$6:$K$20,6,FALSE),0),IFERROR(VLOOKUP(B181,'Co-Host Agreements'!$A$6:$K$20,4,FALSE),"")="Hybrid (Flat + % of NET)",IFERROR(VLOOKUP(B181,'Co-Host Agreements'!$A$6:$K$20,6,FALSE),0)+J181*K181,TRUE,0))</f>
        <v/>
      </c>
      <c r="M181" s="41">
        <f>IF(B181="","",J181-L181)</f>
        <v/>
      </c>
      <c r="N181" s="36" t="n"/>
      <c r="O181" s="36" t="n"/>
    </row>
    <row r="182" ht="16" customHeight="1">
      <c r="A182" s="39" t="n"/>
      <c r="B182" s="36" t="n"/>
      <c r="C182" s="36" t="n"/>
      <c r="D182" s="36" t="n"/>
      <c r="E182" s="36" t="n"/>
      <c r="F182" s="40" t="n"/>
      <c r="G182" s="40" t="n"/>
      <c r="H182" s="40" t="n"/>
      <c r="I182" s="40" t="n"/>
      <c r="J182" s="41">
        <f>IF(F182="","",F182-IF(IFERROR(VLOOKUP(B182,'Co-Host Agreements'!$A$6:$K$20,7,FALSE),"No")="Yes",G182,0)-IF(IFERROR(VLOOKUP(B182,'Co-Host Agreements'!$A$6:$K$20,8,FALSE),"No")="Yes",H182,0)-N(I182))</f>
        <v/>
      </c>
      <c r="K182" s="42">
        <f>IFERROR(VLOOKUP(B182,'Co-Host Agreements'!$A$6:$K$20,5,FALSE),0)</f>
        <v/>
      </c>
      <c r="L182" s="41">
        <f>IF(B182="","",IFS(IFERROR(VLOOKUP(B182,'Co-Host Agreements'!$A$6:$K$20,4,FALSE),"")="% of NET",J182*K182,IFERROR(VLOOKUP(B182,'Co-Host Agreements'!$A$6:$K$20,4,FALSE),"")="% of GROSS",F182*K182,IFERROR(VLOOKUP(B182,'Co-Host Agreements'!$A$6:$K$20,4,FALSE),"")="Flat per booking",IFERROR(VLOOKUP(B182,'Co-Host Agreements'!$A$6:$K$20,6,FALSE),0),IFERROR(VLOOKUP(B182,'Co-Host Agreements'!$A$6:$K$20,4,FALSE),"")="Hybrid (Flat + % of NET)",IFERROR(VLOOKUP(B182,'Co-Host Agreements'!$A$6:$K$20,6,FALSE),0)+J182*K182,TRUE,0))</f>
        <v/>
      </c>
      <c r="M182" s="41">
        <f>IF(B182="","",J182-L182)</f>
        <v/>
      </c>
      <c r="N182" s="36" t="n"/>
      <c r="O182" s="36" t="n"/>
    </row>
    <row r="183" ht="16" customHeight="1">
      <c r="A183" s="39" t="n"/>
      <c r="B183" s="36" t="n"/>
      <c r="C183" s="36" t="n"/>
      <c r="D183" s="36" t="n"/>
      <c r="E183" s="36" t="n"/>
      <c r="F183" s="40" t="n"/>
      <c r="G183" s="40" t="n"/>
      <c r="H183" s="40" t="n"/>
      <c r="I183" s="40" t="n"/>
      <c r="J183" s="41">
        <f>IF(F183="","",F183-IF(IFERROR(VLOOKUP(B183,'Co-Host Agreements'!$A$6:$K$20,7,FALSE),"No")="Yes",G183,0)-IF(IFERROR(VLOOKUP(B183,'Co-Host Agreements'!$A$6:$K$20,8,FALSE),"No")="Yes",H183,0)-N(I183))</f>
        <v/>
      </c>
      <c r="K183" s="42">
        <f>IFERROR(VLOOKUP(B183,'Co-Host Agreements'!$A$6:$K$20,5,FALSE),0)</f>
        <v/>
      </c>
      <c r="L183" s="41">
        <f>IF(B183="","",IFS(IFERROR(VLOOKUP(B183,'Co-Host Agreements'!$A$6:$K$20,4,FALSE),"")="% of NET",J183*K183,IFERROR(VLOOKUP(B183,'Co-Host Agreements'!$A$6:$K$20,4,FALSE),"")="% of GROSS",F183*K183,IFERROR(VLOOKUP(B183,'Co-Host Agreements'!$A$6:$K$20,4,FALSE),"")="Flat per booking",IFERROR(VLOOKUP(B183,'Co-Host Agreements'!$A$6:$K$20,6,FALSE),0),IFERROR(VLOOKUP(B183,'Co-Host Agreements'!$A$6:$K$20,4,FALSE),"")="Hybrid (Flat + % of NET)",IFERROR(VLOOKUP(B183,'Co-Host Agreements'!$A$6:$K$20,6,FALSE),0)+J183*K183,TRUE,0))</f>
        <v/>
      </c>
      <c r="M183" s="41">
        <f>IF(B183="","",J183-L183)</f>
        <v/>
      </c>
      <c r="N183" s="36" t="n"/>
      <c r="O183" s="36" t="n"/>
    </row>
    <row r="184" ht="16" customHeight="1">
      <c r="A184" s="39" t="n"/>
      <c r="B184" s="36" t="n"/>
      <c r="C184" s="36" t="n"/>
      <c r="D184" s="36" t="n"/>
      <c r="E184" s="36" t="n"/>
      <c r="F184" s="40" t="n"/>
      <c r="G184" s="40" t="n"/>
      <c r="H184" s="40" t="n"/>
      <c r="I184" s="40" t="n"/>
      <c r="J184" s="41">
        <f>IF(F184="","",F184-IF(IFERROR(VLOOKUP(B184,'Co-Host Agreements'!$A$6:$K$20,7,FALSE),"No")="Yes",G184,0)-IF(IFERROR(VLOOKUP(B184,'Co-Host Agreements'!$A$6:$K$20,8,FALSE),"No")="Yes",H184,0)-N(I184))</f>
        <v/>
      </c>
      <c r="K184" s="42">
        <f>IFERROR(VLOOKUP(B184,'Co-Host Agreements'!$A$6:$K$20,5,FALSE),0)</f>
        <v/>
      </c>
      <c r="L184" s="41">
        <f>IF(B184="","",IFS(IFERROR(VLOOKUP(B184,'Co-Host Agreements'!$A$6:$K$20,4,FALSE),"")="% of NET",J184*K184,IFERROR(VLOOKUP(B184,'Co-Host Agreements'!$A$6:$K$20,4,FALSE),"")="% of GROSS",F184*K184,IFERROR(VLOOKUP(B184,'Co-Host Agreements'!$A$6:$K$20,4,FALSE),"")="Flat per booking",IFERROR(VLOOKUP(B184,'Co-Host Agreements'!$A$6:$K$20,6,FALSE),0),IFERROR(VLOOKUP(B184,'Co-Host Agreements'!$A$6:$K$20,4,FALSE),"")="Hybrid (Flat + % of NET)",IFERROR(VLOOKUP(B184,'Co-Host Agreements'!$A$6:$K$20,6,FALSE),0)+J184*K184,TRUE,0))</f>
        <v/>
      </c>
      <c r="M184" s="41">
        <f>IF(B184="","",J184-L184)</f>
        <v/>
      </c>
      <c r="N184" s="36" t="n"/>
      <c r="O184" s="36" t="n"/>
    </row>
    <row r="185" ht="16" customHeight="1">
      <c r="A185" s="39" t="n"/>
      <c r="B185" s="36" t="n"/>
      <c r="C185" s="36" t="n"/>
      <c r="D185" s="36" t="n"/>
      <c r="E185" s="36" t="n"/>
      <c r="F185" s="40" t="n"/>
      <c r="G185" s="40" t="n"/>
      <c r="H185" s="40" t="n"/>
      <c r="I185" s="40" t="n"/>
      <c r="J185" s="41">
        <f>IF(F185="","",F185-IF(IFERROR(VLOOKUP(B185,'Co-Host Agreements'!$A$6:$K$20,7,FALSE),"No")="Yes",G185,0)-IF(IFERROR(VLOOKUP(B185,'Co-Host Agreements'!$A$6:$K$20,8,FALSE),"No")="Yes",H185,0)-N(I185))</f>
        <v/>
      </c>
      <c r="K185" s="42">
        <f>IFERROR(VLOOKUP(B185,'Co-Host Agreements'!$A$6:$K$20,5,FALSE),0)</f>
        <v/>
      </c>
      <c r="L185" s="41">
        <f>IF(B185="","",IFS(IFERROR(VLOOKUP(B185,'Co-Host Agreements'!$A$6:$K$20,4,FALSE),"")="% of NET",J185*K185,IFERROR(VLOOKUP(B185,'Co-Host Agreements'!$A$6:$K$20,4,FALSE),"")="% of GROSS",F185*K185,IFERROR(VLOOKUP(B185,'Co-Host Agreements'!$A$6:$K$20,4,FALSE),"")="Flat per booking",IFERROR(VLOOKUP(B185,'Co-Host Agreements'!$A$6:$K$20,6,FALSE),0),IFERROR(VLOOKUP(B185,'Co-Host Agreements'!$A$6:$K$20,4,FALSE),"")="Hybrid (Flat + % of NET)",IFERROR(VLOOKUP(B185,'Co-Host Agreements'!$A$6:$K$20,6,FALSE),0)+J185*K185,TRUE,0))</f>
        <v/>
      </c>
      <c r="M185" s="41">
        <f>IF(B185="","",J185-L185)</f>
        <v/>
      </c>
      <c r="N185" s="36" t="n"/>
      <c r="O185" s="36" t="n"/>
    </row>
    <row r="186" ht="16" customHeight="1">
      <c r="A186" s="39" t="n"/>
      <c r="B186" s="36" t="n"/>
      <c r="C186" s="36" t="n"/>
      <c r="D186" s="36" t="n"/>
      <c r="E186" s="36" t="n"/>
      <c r="F186" s="40" t="n"/>
      <c r="G186" s="40" t="n"/>
      <c r="H186" s="40" t="n"/>
      <c r="I186" s="40" t="n"/>
      <c r="J186" s="41">
        <f>IF(F186="","",F186-IF(IFERROR(VLOOKUP(B186,'Co-Host Agreements'!$A$6:$K$20,7,FALSE),"No")="Yes",G186,0)-IF(IFERROR(VLOOKUP(B186,'Co-Host Agreements'!$A$6:$K$20,8,FALSE),"No")="Yes",H186,0)-N(I186))</f>
        <v/>
      </c>
      <c r="K186" s="42">
        <f>IFERROR(VLOOKUP(B186,'Co-Host Agreements'!$A$6:$K$20,5,FALSE),0)</f>
        <v/>
      </c>
      <c r="L186" s="41">
        <f>IF(B186="","",IFS(IFERROR(VLOOKUP(B186,'Co-Host Agreements'!$A$6:$K$20,4,FALSE),"")="% of NET",J186*K186,IFERROR(VLOOKUP(B186,'Co-Host Agreements'!$A$6:$K$20,4,FALSE),"")="% of GROSS",F186*K186,IFERROR(VLOOKUP(B186,'Co-Host Agreements'!$A$6:$K$20,4,FALSE),"")="Flat per booking",IFERROR(VLOOKUP(B186,'Co-Host Agreements'!$A$6:$K$20,6,FALSE),0),IFERROR(VLOOKUP(B186,'Co-Host Agreements'!$A$6:$K$20,4,FALSE),"")="Hybrid (Flat + % of NET)",IFERROR(VLOOKUP(B186,'Co-Host Agreements'!$A$6:$K$20,6,FALSE),0)+J186*K186,TRUE,0))</f>
        <v/>
      </c>
      <c r="M186" s="41">
        <f>IF(B186="","",J186-L186)</f>
        <v/>
      </c>
      <c r="N186" s="36" t="n"/>
      <c r="O186" s="36" t="n"/>
    </row>
    <row r="187" ht="16" customHeight="1">
      <c r="A187" s="39" t="n"/>
      <c r="B187" s="36" t="n"/>
      <c r="C187" s="36" t="n"/>
      <c r="D187" s="36" t="n"/>
      <c r="E187" s="36" t="n"/>
      <c r="F187" s="40" t="n"/>
      <c r="G187" s="40" t="n"/>
      <c r="H187" s="40" t="n"/>
      <c r="I187" s="40" t="n"/>
      <c r="J187" s="41">
        <f>IF(F187="","",F187-IF(IFERROR(VLOOKUP(B187,'Co-Host Agreements'!$A$6:$K$20,7,FALSE),"No")="Yes",G187,0)-IF(IFERROR(VLOOKUP(B187,'Co-Host Agreements'!$A$6:$K$20,8,FALSE),"No")="Yes",H187,0)-N(I187))</f>
        <v/>
      </c>
      <c r="K187" s="42">
        <f>IFERROR(VLOOKUP(B187,'Co-Host Agreements'!$A$6:$K$20,5,FALSE),0)</f>
        <v/>
      </c>
      <c r="L187" s="41">
        <f>IF(B187="","",IFS(IFERROR(VLOOKUP(B187,'Co-Host Agreements'!$A$6:$K$20,4,FALSE),"")="% of NET",J187*K187,IFERROR(VLOOKUP(B187,'Co-Host Agreements'!$A$6:$K$20,4,FALSE),"")="% of GROSS",F187*K187,IFERROR(VLOOKUP(B187,'Co-Host Agreements'!$A$6:$K$20,4,FALSE),"")="Flat per booking",IFERROR(VLOOKUP(B187,'Co-Host Agreements'!$A$6:$K$20,6,FALSE),0),IFERROR(VLOOKUP(B187,'Co-Host Agreements'!$A$6:$K$20,4,FALSE),"")="Hybrid (Flat + % of NET)",IFERROR(VLOOKUP(B187,'Co-Host Agreements'!$A$6:$K$20,6,FALSE),0)+J187*K187,TRUE,0))</f>
        <v/>
      </c>
      <c r="M187" s="41">
        <f>IF(B187="","",J187-L187)</f>
        <v/>
      </c>
      <c r="N187" s="36" t="n"/>
      <c r="O187" s="36" t="n"/>
    </row>
    <row r="188" ht="16" customHeight="1">
      <c r="A188" s="39" t="n"/>
      <c r="B188" s="36" t="n"/>
      <c r="C188" s="36" t="n"/>
      <c r="D188" s="36" t="n"/>
      <c r="E188" s="36" t="n"/>
      <c r="F188" s="40" t="n"/>
      <c r="G188" s="40" t="n"/>
      <c r="H188" s="40" t="n"/>
      <c r="I188" s="40" t="n"/>
      <c r="J188" s="41">
        <f>IF(F188="","",F188-IF(IFERROR(VLOOKUP(B188,'Co-Host Agreements'!$A$6:$K$20,7,FALSE),"No")="Yes",G188,0)-IF(IFERROR(VLOOKUP(B188,'Co-Host Agreements'!$A$6:$K$20,8,FALSE),"No")="Yes",H188,0)-N(I188))</f>
        <v/>
      </c>
      <c r="K188" s="42">
        <f>IFERROR(VLOOKUP(B188,'Co-Host Agreements'!$A$6:$K$20,5,FALSE),0)</f>
        <v/>
      </c>
      <c r="L188" s="41">
        <f>IF(B188="","",IFS(IFERROR(VLOOKUP(B188,'Co-Host Agreements'!$A$6:$K$20,4,FALSE),"")="% of NET",J188*K188,IFERROR(VLOOKUP(B188,'Co-Host Agreements'!$A$6:$K$20,4,FALSE),"")="% of GROSS",F188*K188,IFERROR(VLOOKUP(B188,'Co-Host Agreements'!$A$6:$K$20,4,FALSE),"")="Flat per booking",IFERROR(VLOOKUP(B188,'Co-Host Agreements'!$A$6:$K$20,6,FALSE),0),IFERROR(VLOOKUP(B188,'Co-Host Agreements'!$A$6:$K$20,4,FALSE),"")="Hybrid (Flat + % of NET)",IFERROR(VLOOKUP(B188,'Co-Host Agreements'!$A$6:$K$20,6,FALSE),0)+J188*K188,TRUE,0))</f>
        <v/>
      </c>
      <c r="M188" s="41">
        <f>IF(B188="","",J188-L188)</f>
        <v/>
      </c>
      <c r="N188" s="36" t="n"/>
      <c r="O188" s="36" t="n"/>
    </row>
    <row r="189" ht="16" customHeight="1">
      <c r="A189" s="39" t="n"/>
      <c r="B189" s="36" t="n"/>
      <c r="C189" s="36" t="n"/>
      <c r="D189" s="36" t="n"/>
      <c r="E189" s="36" t="n"/>
      <c r="F189" s="40" t="n"/>
      <c r="G189" s="40" t="n"/>
      <c r="H189" s="40" t="n"/>
      <c r="I189" s="40" t="n"/>
      <c r="J189" s="41">
        <f>IF(F189="","",F189-IF(IFERROR(VLOOKUP(B189,'Co-Host Agreements'!$A$6:$K$20,7,FALSE),"No")="Yes",G189,0)-IF(IFERROR(VLOOKUP(B189,'Co-Host Agreements'!$A$6:$K$20,8,FALSE),"No")="Yes",H189,0)-N(I189))</f>
        <v/>
      </c>
      <c r="K189" s="42">
        <f>IFERROR(VLOOKUP(B189,'Co-Host Agreements'!$A$6:$K$20,5,FALSE),0)</f>
        <v/>
      </c>
      <c r="L189" s="41">
        <f>IF(B189="","",IFS(IFERROR(VLOOKUP(B189,'Co-Host Agreements'!$A$6:$K$20,4,FALSE),"")="% of NET",J189*K189,IFERROR(VLOOKUP(B189,'Co-Host Agreements'!$A$6:$K$20,4,FALSE),"")="% of GROSS",F189*K189,IFERROR(VLOOKUP(B189,'Co-Host Agreements'!$A$6:$K$20,4,FALSE),"")="Flat per booking",IFERROR(VLOOKUP(B189,'Co-Host Agreements'!$A$6:$K$20,6,FALSE),0),IFERROR(VLOOKUP(B189,'Co-Host Agreements'!$A$6:$K$20,4,FALSE),"")="Hybrid (Flat + % of NET)",IFERROR(VLOOKUP(B189,'Co-Host Agreements'!$A$6:$K$20,6,FALSE),0)+J189*K189,TRUE,0))</f>
        <v/>
      </c>
      <c r="M189" s="41">
        <f>IF(B189="","",J189-L189)</f>
        <v/>
      </c>
      <c r="N189" s="36" t="n"/>
      <c r="O189" s="36" t="n"/>
    </row>
    <row r="190" ht="16" customHeight="1">
      <c r="A190" s="39" t="n"/>
      <c r="B190" s="36" t="n"/>
      <c r="C190" s="36" t="n"/>
      <c r="D190" s="36" t="n"/>
      <c r="E190" s="36" t="n"/>
      <c r="F190" s="40" t="n"/>
      <c r="G190" s="40" t="n"/>
      <c r="H190" s="40" t="n"/>
      <c r="I190" s="40" t="n"/>
      <c r="J190" s="41">
        <f>IF(F190="","",F190-IF(IFERROR(VLOOKUP(B190,'Co-Host Agreements'!$A$6:$K$20,7,FALSE),"No")="Yes",G190,0)-IF(IFERROR(VLOOKUP(B190,'Co-Host Agreements'!$A$6:$K$20,8,FALSE),"No")="Yes",H190,0)-N(I190))</f>
        <v/>
      </c>
      <c r="K190" s="42">
        <f>IFERROR(VLOOKUP(B190,'Co-Host Agreements'!$A$6:$K$20,5,FALSE),0)</f>
        <v/>
      </c>
      <c r="L190" s="41">
        <f>IF(B190="","",IFS(IFERROR(VLOOKUP(B190,'Co-Host Agreements'!$A$6:$K$20,4,FALSE),"")="% of NET",J190*K190,IFERROR(VLOOKUP(B190,'Co-Host Agreements'!$A$6:$K$20,4,FALSE),"")="% of GROSS",F190*K190,IFERROR(VLOOKUP(B190,'Co-Host Agreements'!$A$6:$K$20,4,FALSE),"")="Flat per booking",IFERROR(VLOOKUP(B190,'Co-Host Agreements'!$A$6:$K$20,6,FALSE),0),IFERROR(VLOOKUP(B190,'Co-Host Agreements'!$A$6:$K$20,4,FALSE),"")="Hybrid (Flat + % of NET)",IFERROR(VLOOKUP(B190,'Co-Host Agreements'!$A$6:$K$20,6,FALSE),0)+J190*K190,TRUE,0))</f>
        <v/>
      </c>
      <c r="M190" s="41">
        <f>IF(B190="","",J190-L190)</f>
        <v/>
      </c>
      <c r="N190" s="36" t="n"/>
      <c r="O190" s="36" t="n"/>
    </row>
    <row r="191" ht="16" customHeight="1">
      <c r="A191" s="39" t="n"/>
      <c r="B191" s="36" t="n"/>
      <c r="C191" s="36" t="n"/>
      <c r="D191" s="36" t="n"/>
      <c r="E191" s="36" t="n"/>
      <c r="F191" s="40" t="n"/>
      <c r="G191" s="40" t="n"/>
      <c r="H191" s="40" t="n"/>
      <c r="I191" s="40" t="n"/>
      <c r="J191" s="41">
        <f>IF(F191="","",F191-IF(IFERROR(VLOOKUP(B191,'Co-Host Agreements'!$A$6:$K$20,7,FALSE),"No")="Yes",G191,0)-IF(IFERROR(VLOOKUP(B191,'Co-Host Agreements'!$A$6:$K$20,8,FALSE),"No")="Yes",H191,0)-N(I191))</f>
        <v/>
      </c>
      <c r="K191" s="42">
        <f>IFERROR(VLOOKUP(B191,'Co-Host Agreements'!$A$6:$K$20,5,FALSE),0)</f>
        <v/>
      </c>
      <c r="L191" s="41">
        <f>IF(B191="","",IFS(IFERROR(VLOOKUP(B191,'Co-Host Agreements'!$A$6:$K$20,4,FALSE),"")="% of NET",J191*K191,IFERROR(VLOOKUP(B191,'Co-Host Agreements'!$A$6:$K$20,4,FALSE),"")="% of GROSS",F191*K191,IFERROR(VLOOKUP(B191,'Co-Host Agreements'!$A$6:$K$20,4,FALSE),"")="Flat per booking",IFERROR(VLOOKUP(B191,'Co-Host Agreements'!$A$6:$K$20,6,FALSE),0),IFERROR(VLOOKUP(B191,'Co-Host Agreements'!$A$6:$K$20,4,FALSE),"")="Hybrid (Flat + % of NET)",IFERROR(VLOOKUP(B191,'Co-Host Agreements'!$A$6:$K$20,6,FALSE),0)+J191*K191,TRUE,0))</f>
        <v/>
      </c>
      <c r="M191" s="41">
        <f>IF(B191="","",J191-L191)</f>
        <v/>
      </c>
      <c r="N191" s="36" t="n"/>
      <c r="O191" s="36" t="n"/>
    </row>
    <row r="192" ht="16" customHeight="1">
      <c r="A192" s="39" t="n"/>
      <c r="B192" s="36" t="n"/>
      <c r="C192" s="36" t="n"/>
      <c r="D192" s="36" t="n"/>
      <c r="E192" s="36" t="n"/>
      <c r="F192" s="40" t="n"/>
      <c r="G192" s="40" t="n"/>
      <c r="H192" s="40" t="n"/>
      <c r="I192" s="40" t="n"/>
      <c r="J192" s="41">
        <f>IF(F192="","",F192-IF(IFERROR(VLOOKUP(B192,'Co-Host Agreements'!$A$6:$K$20,7,FALSE),"No")="Yes",G192,0)-IF(IFERROR(VLOOKUP(B192,'Co-Host Agreements'!$A$6:$K$20,8,FALSE),"No")="Yes",H192,0)-N(I192))</f>
        <v/>
      </c>
      <c r="K192" s="42">
        <f>IFERROR(VLOOKUP(B192,'Co-Host Agreements'!$A$6:$K$20,5,FALSE),0)</f>
        <v/>
      </c>
      <c r="L192" s="41">
        <f>IF(B192="","",IFS(IFERROR(VLOOKUP(B192,'Co-Host Agreements'!$A$6:$K$20,4,FALSE),"")="% of NET",J192*K192,IFERROR(VLOOKUP(B192,'Co-Host Agreements'!$A$6:$K$20,4,FALSE),"")="% of GROSS",F192*K192,IFERROR(VLOOKUP(B192,'Co-Host Agreements'!$A$6:$K$20,4,FALSE),"")="Flat per booking",IFERROR(VLOOKUP(B192,'Co-Host Agreements'!$A$6:$K$20,6,FALSE),0),IFERROR(VLOOKUP(B192,'Co-Host Agreements'!$A$6:$K$20,4,FALSE),"")="Hybrid (Flat + % of NET)",IFERROR(VLOOKUP(B192,'Co-Host Agreements'!$A$6:$K$20,6,FALSE),0)+J192*K192,TRUE,0))</f>
        <v/>
      </c>
      <c r="M192" s="41">
        <f>IF(B192="","",J192-L192)</f>
        <v/>
      </c>
      <c r="N192" s="36" t="n"/>
      <c r="O192" s="36" t="n"/>
    </row>
    <row r="193" ht="16" customHeight="1">
      <c r="A193" s="39" t="n"/>
      <c r="B193" s="36" t="n"/>
      <c r="C193" s="36" t="n"/>
      <c r="D193" s="36" t="n"/>
      <c r="E193" s="36" t="n"/>
      <c r="F193" s="40" t="n"/>
      <c r="G193" s="40" t="n"/>
      <c r="H193" s="40" t="n"/>
      <c r="I193" s="40" t="n"/>
      <c r="J193" s="41">
        <f>IF(F193="","",F193-IF(IFERROR(VLOOKUP(B193,'Co-Host Agreements'!$A$6:$K$20,7,FALSE),"No")="Yes",G193,0)-IF(IFERROR(VLOOKUP(B193,'Co-Host Agreements'!$A$6:$K$20,8,FALSE),"No")="Yes",H193,0)-N(I193))</f>
        <v/>
      </c>
      <c r="K193" s="42">
        <f>IFERROR(VLOOKUP(B193,'Co-Host Agreements'!$A$6:$K$20,5,FALSE),0)</f>
        <v/>
      </c>
      <c r="L193" s="41">
        <f>IF(B193="","",IFS(IFERROR(VLOOKUP(B193,'Co-Host Agreements'!$A$6:$K$20,4,FALSE),"")="% of NET",J193*K193,IFERROR(VLOOKUP(B193,'Co-Host Agreements'!$A$6:$K$20,4,FALSE),"")="% of GROSS",F193*K193,IFERROR(VLOOKUP(B193,'Co-Host Agreements'!$A$6:$K$20,4,FALSE),"")="Flat per booking",IFERROR(VLOOKUP(B193,'Co-Host Agreements'!$A$6:$K$20,6,FALSE),0),IFERROR(VLOOKUP(B193,'Co-Host Agreements'!$A$6:$K$20,4,FALSE),"")="Hybrid (Flat + % of NET)",IFERROR(VLOOKUP(B193,'Co-Host Agreements'!$A$6:$K$20,6,FALSE),0)+J193*K193,TRUE,0))</f>
        <v/>
      </c>
      <c r="M193" s="41">
        <f>IF(B193="","",J193-L193)</f>
        <v/>
      </c>
      <c r="N193" s="36" t="n"/>
      <c r="O193" s="36" t="n"/>
    </row>
    <row r="194" ht="16" customHeight="1">
      <c r="A194" s="39" t="n"/>
      <c r="B194" s="36" t="n"/>
      <c r="C194" s="36" t="n"/>
      <c r="D194" s="36" t="n"/>
      <c r="E194" s="36" t="n"/>
      <c r="F194" s="40" t="n"/>
      <c r="G194" s="40" t="n"/>
      <c r="H194" s="40" t="n"/>
      <c r="I194" s="40" t="n"/>
      <c r="J194" s="41">
        <f>IF(F194="","",F194-IF(IFERROR(VLOOKUP(B194,'Co-Host Agreements'!$A$6:$K$20,7,FALSE),"No")="Yes",G194,0)-IF(IFERROR(VLOOKUP(B194,'Co-Host Agreements'!$A$6:$K$20,8,FALSE),"No")="Yes",H194,0)-N(I194))</f>
        <v/>
      </c>
      <c r="K194" s="42">
        <f>IFERROR(VLOOKUP(B194,'Co-Host Agreements'!$A$6:$K$20,5,FALSE),0)</f>
        <v/>
      </c>
      <c r="L194" s="41">
        <f>IF(B194="","",IFS(IFERROR(VLOOKUP(B194,'Co-Host Agreements'!$A$6:$K$20,4,FALSE),"")="% of NET",J194*K194,IFERROR(VLOOKUP(B194,'Co-Host Agreements'!$A$6:$K$20,4,FALSE),"")="% of GROSS",F194*K194,IFERROR(VLOOKUP(B194,'Co-Host Agreements'!$A$6:$K$20,4,FALSE),"")="Flat per booking",IFERROR(VLOOKUP(B194,'Co-Host Agreements'!$A$6:$K$20,6,FALSE),0),IFERROR(VLOOKUP(B194,'Co-Host Agreements'!$A$6:$K$20,4,FALSE),"")="Hybrid (Flat + % of NET)",IFERROR(VLOOKUP(B194,'Co-Host Agreements'!$A$6:$K$20,6,FALSE),0)+J194*K194,TRUE,0))</f>
        <v/>
      </c>
      <c r="M194" s="41">
        <f>IF(B194="","",J194-L194)</f>
        <v/>
      </c>
      <c r="N194" s="36" t="n"/>
      <c r="O194" s="36" t="n"/>
    </row>
    <row r="195" ht="16" customHeight="1">
      <c r="A195" s="39" t="n"/>
      <c r="B195" s="36" t="n"/>
      <c r="C195" s="36" t="n"/>
      <c r="D195" s="36" t="n"/>
      <c r="E195" s="36" t="n"/>
      <c r="F195" s="40" t="n"/>
      <c r="G195" s="40" t="n"/>
      <c r="H195" s="40" t="n"/>
      <c r="I195" s="40" t="n"/>
      <c r="J195" s="41">
        <f>IF(F195="","",F195-IF(IFERROR(VLOOKUP(B195,'Co-Host Agreements'!$A$6:$K$20,7,FALSE),"No")="Yes",G195,0)-IF(IFERROR(VLOOKUP(B195,'Co-Host Agreements'!$A$6:$K$20,8,FALSE),"No")="Yes",H195,0)-N(I195))</f>
        <v/>
      </c>
      <c r="K195" s="42">
        <f>IFERROR(VLOOKUP(B195,'Co-Host Agreements'!$A$6:$K$20,5,FALSE),0)</f>
        <v/>
      </c>
      <c r="L195" s="41">
        <f>IF(B195="","",IFS(IFERROR(VLOOKUP(B195,'Co-Host Agreements'!$A$6:$K$20,4,FALSE),"")="% of NET",J195*K195,IFERROR(VLOOKUP(B195,'Co-Host Agreements'!$A$6:$K$20,4,FALSE),"")="% of GROSS",F195*K195,IFERROR(VLOOKUP(B195,'Co-Host Agreements'!$A$6:$K$20,4,FALSE),"")="Flat per booking",IFERROR(VLOOKUP(B195,'Co-Host Agreements'!$A$6:$K$20,6,FALSE),0),IFERROR(VLOOKUP(B195,'Co-Host Agreements'!$A$6:$K$20,4,FALSE),"")="Hybrid (Flat + % of NET)",IFERROR(VLOOKUP(B195,'Co-Host Agreements'!$A$6:$K$20,6,FALSE),0)+J195*K195,TRUE,0))</f>
        <v/>
      </c>
      <c r="M195" s="41">
        <f>IF(B195="","",J195-L195)</f>
        <v/>
      </c>
      <c r="N195" s="36" t="n"/>
      <c r="O195" s="36" t="n"/>
    </row>
    <row r="196" ht="16" customHeight="1">
      <c r="A196" s="39" t="n"/>
      <c r="B196" s="36" t="n"/>
      <c r="C196" s="36" t="n"/>
      <c r="D196" s="36" t="n"/>
      <c r="E196" s="36" t="n"/>
      <c r="F196" s="40" t="n"/>
      <c r="G196" s="40" t="n"/>
      <c r="H196" s="40" t="n"/>
      <c r="I196" s="40" t="n"/>
      <c r="J196" s="41">
        <f>IF(F196="","",F196-IF(IFERROR(VLOOKUP(B196,'Co-Host Agreements'!$A$6:$K$20,7,FALSE),"No")="Yes",G196,0)-IF(IFERROR(VLOOKUP(B196,'Co-Host Agreements'!$A$6:$K$20,8,FALSE),"No")="Yes",H196,0)-N(I196))</f>
        <v/>
      </c>
      <c r="K196" s="42">
        <f>IFERROR(VLOOKUP(B196,'Co-Host Agreements'!$A$6:$K$20,5,FALSE),0)</f>
        <v/>
      </c>
      <c r="L196" s="41">
        <f>IF(B196="","",IFS(IFERROR(VLOOKUP(B196,'Co-Host Agreements'!$A$6:$K$20,4,FALSE),"")="% of NET",J196*K196,IFERROR(VLOOKUP(B196,'Co-Host Agreements'!$A$6:$K$20,4,FALSE),"")="% of GROSS",F196*K196,IFERROR(VLOOKUP(B196,'Co-Host Agreements'!$A$6:$K$20,4,FALSE),"")="Flat per booking",IFERROR(VLOOKUP(B196,'Co-Host Agreements'!$A$6:$K$20,6,FALSE),0),IFERROR(VLOOKUP(B196,'Co-Host Agreements'!$A$6:$K$20,4,FALSE),"")="Hybrid (Flat + % of NET)",IFERROR(VLOOKUP(B196,'Co-Host Agreements'!$A$6:$K$20,6,FALSE),0)+J196*K196,TRUE,0))</f>
        <v/>
      </c>
      <c r="M196" s="41">
        <f>IF(B196="","",J196-L196)</f>
        <v/>
      </c>
      <c r="N196" s="36" t="n"/>
      <c r="O196" s="36" t="n"/>
    </row>
    <row r="197" ht="16" customHeight="1">
      <c r="A197" s="39" t="n"/>
      <c r="B197" s="36" t="n"/>
      <c r="C197" s="36" t="n"/>
      <c r="D197" s="36" t="n"/>
      <c r="E197" s="36" t="n"/>
      <c r="F197" s="40" t="n"/>
      <c r="G197" s="40" t="n"/>
      <c r="H197" s="40" t="n"/>
      <c r="I197" s="40" t="n"/>
      <c r="J197" s="41">
        <f>IF(F197="","",F197-IF(IFERROR(VLOOKUP(B197,'Co-Host Agreements'!$A$6:$K$20,7,FALSE),"No")="Yes",G197,0)-IF(IFERROR(VLOOKUP(B197,'Co-Host Agreements'!$A$6:$K$20,8,FALSE),"No")="Yes",H197,0)-N(I197))</f>
        <v/>
      </c>
      <c r="K197" s="42">
        <f>IFERROR(VLOOKUP(B197,'Co-Host Agreements'!$A$6:$K$20,5,FALSE),0)</f>
        <v/>
      </c>
      <c r="L197" s="41">
        <f>IF(B197="","",IFS(IFERROR(VLOOKUP(B197,'Co-Host Agreements'!$A$6:$K$20,4,FALSE),"")="% of NET",J197*K197,IFERROR(VLOOKUP(B197,'Co-Host Agreements'!$A$6:$K$20,4,FALSE),"")="% of GROSS",F197*K197,IFERROR(VLOOKUP(B197,'Co-Host Agreements'!$A$6:$K$20,4,FALSE),"")="Flat per booking",IFERROR(VLOOKUP(B197,'Co-Host Agreements'!$A$6:$K$20,6,FALSE),0),IFERROR(VLOOKUP(B197,'Co-Host Agreements'!$A$6:$K$20,4,FALSE),"")="Hybrid (Flat + % of NET)",IFERROR(VLOOKUP(B197,'Co-Host Agreements'!$A$6:$K$20,6,FALSE),0)+J197*K197,TRUE,0))</f>
        <v/>
      </c>
      <c r="M197" s="41">
        <f>IF(B197="","",J197-L197)</f>
        <v/>
      </c>
      <c r="N197" s="36" t="n"/>
      <c r="O197" s="36" t="n"/>
    </row>
    <row r="198" ht="16" customHeight="1">
      <c r="A198" s="39" t="n"/>
      <c r="B198" s="36" t="n"/>
      <c r="C198" s="36" t="n"/>
      <c r="D198" s="36" t="n"/>
      <c r="E198" s="36" t="n"/>
      <c r="F198" s="40" t="n"/>
      <c r="G198" s="40" t="n"/>
      <c r="H198" s="40" t="n"/>
      <c r="I198" s="40" t="n"/>
      <c r="J198" s="41">
        <f>IF(F198="","",F198-IF(IFERROR(VLOOKUP(B198,'Co-Host Agreements'!$A$6:$K$20,7,FALSE),"No")="Yes",G198,0)-IF(IFERROR(VLOOKUP(B198,'Co-Host Agreements'!$A$6:$K$20,8,FALSE),"No")="Yes",H198,0)-N(I198))</f>
        <v/>
      </c>
      <c r="K198" s="42">
        <f>IFERROR(VLOOKUP(B198,'Co-Host Agreements'!$A$6:$K$20,5,FALSE),0)</f>
        <v/>
      </c>
      <c r="L198" s="41">
        <f>IF(B198="","",IFS(IFERROR(VLOOKUP(B198,'Co-Host Agreements'!$A$6:$K$20,4,FALSE),"")="% of NET",J198*K198,IFERROR(VLOOKUP(B198,'Co-Host Agreements'!$A$6:$K$20,4,FALSE),"")="% of GROSS",F198*K198,IFERROR(VLOOKUP(B198,'Co-Host Agreements'!$A$6:$K$20,4,FALSE),"")="Flat per booking",IFERROR(VLOOKUP(B198,'Co-Host Agreements'!$A$6:$K$20,6,FALSE),0),IFERROR(VLOOKUP(B198,'Co-Host Agreements'!$A$6:$K$20,4,FALSE),"")="Hybrid (Flat + % of NET)",IFERROR(VLOOKUP(B198,'Co-Host Agreements'!$A$6:$K$20,6,FALSE),0)+J198*K198,TRUE,0))</f>
        <v/>
      </c>
      <c r="M198" s="41">
        <f>IF(B198="","",J198-L198)</f>
        <v/>
      </c>
      <c r="N198" s="36" t="n"/>
      <c r="O198" s="36" t="n"/>
    </row>
    <row r="199" ht="16" customHeight="1">
      <c r="A199" s="39" t="n"/>
      <c r="B199" s="36" t="n"/>
      <c r="C199" s="36" t="n"/>
      <c r="D199" s="36" t="n"/>
      <c r="E199" s="36" t="n"/>
      <c r="F199" s="40" t="n"/>
      <c r="G199" s="40" t="n"/>
      <c r="H199" s="40" t="n"/>
      <c r="I199" s="40" t="n"/>
      <c r="J199" s="41">
        <f>IF(F199="","",F199-IF(IFERROR(VLOOKUP(B199,'Co-Host Agreements'!$A$6:$K$20,7,FALSE),"No")="Yes",G199,0)-IF(IFERROR(VLOOKUP(B199,'Co-Host Agreements'!$A$6:$K$20,8,FALSE),"No")="Yes",H199,0)-N(I199))</f>
        <v/>
      </c>
      <c r="K199" s="42">
        <f>IFERROR(VLOOKUP(B199,'Co-Host Agreements'!$A$6:$K$20,5,FALSE),0)</f>
        <v/>
      </c>
      <c r="L199" s="41">
        <f>IF(B199="","",IFS(IFERROR(VLOOKUP(B199,'Co-Host Agreements'!$A$6:$K$20,4,FALSE),"")="% of NET",J199*K199,IFERROR(VLOOKUP(B199,'Co-Host Agreements'!$A$6:$K$20,4,FALSE),"")="% of GROSS",F199*K199,IFERROR(VLOOKUP(B199,'Co-Host Agreements'!$A$6:$K$20,4,FALSE),"")="Flat per booking",IFERROR(VLOOKUP(B199,'Co-Host Agreements'!$A$6:$K$20,6,FALSE),0),IFERROR(VLOOKUP(B199,'Co-Host Agreements'!$A$6:$K$20,4,FALSE),"")="Hybrid (Flat + % of NET)",IFERROR(VLOOKUP(B199,'Co-Host Agreements'!$A$6:$K$20,6,FALSE),0)+J199*K199,TRUE,0))</f>
        <v/>
      </c>
      <c r="M199" s="41">
        <f>IF(B199="","",J199-L199)</f>
        <v/>
      </c>
      <c r="N199" s="36" t="n"/>
      <c r="O199" s="36" t="n"/>
    </row>
    <row r="200" ht="16" customHeight="1">
      <c r="A200" s="39" t="n"/>
      <c r="B200" s="36" t="n"/>
      <c r="C200" s="36" t="n"/>
      <c r="D200" s="36" t="n"/>
      <c r="E200" s="36" t="n"/>
      <c r="F200" s="40" t="n"/>
      <c r="G200" s="40" t="n"/>
      <c r="H200" s="40" t="n"/>
      <c r="I200" s="40" t="n"/>
      <c r="J200" s="41">
        <f>IF(F200="","",F200-IF(IFERROR(VLOOKUP(B200,'Co-Host Agreements'!$A$6:$K$20,7,FALSE),"No")="Yes",G200,0)-IF(IFERROR(VLOOKUP(B200,'Co-Host Agreements'!$A$6:$K$20,8,FALSE),"No")="Yes",H200,0)-N(I200))</f>
        <v/>
      </c>
      <c r="K200" s="42">
        <f>IFERROR(VLOOKUP(B200,'Co-Host Agreements'!$A$6:$K$20,5,FALSE),0)</f>
        <v/>
      </c>
      <c r="L200" s="41">
        <f>IF(B200="","",IFS(IFERROR(VLOOKUP(B200,'Co-Host Agreements'!$A$6:$K$20,4,FALSE),"")="% of NET",J200*K200,IFERROR(VLOOKUP(B200,'Co-Host Agreements'!$A$6:$K$20,4,FALSE),"")="% of GROSS",F200*K200,IFERROR(VLOOKUP(B200,'Co-Host Agreements'!$A$6:$K$20,4,FALSE),"")="Flat per booking",IFERROR(VLOOKUP(B200,'Co-Host Agreements'!$A$6:$K$20,6,FALSE),0),IFERROR(VLOOKUP(B200,'Co-Host Agreements'!$A$6:$K$20,4,FALSE),"")="Hybrid (Flat + % of NET)",IFERROR(VLOOKUP(B200,'Co-Host Agreements'!$A$6:$K$20,6,FALSE),0)+J200*K200,TRUE,0))</f>
        <v/>
      </c>
      <c r="M200" s="41">
        <f>IF(B200="","",J200-L200)</f>
        <v/>
      </c>
      <c r="N200" s="36" t="n"/>
      <c r="O200" s="36" t="n"/>
    </row>
    <row r="201" ht="16" customHeight="1">
      <c r="A201" s="39" t="n"/>
      <c r="B201" s="36" t="n"/>
      <c r="C201" s="36" t="n"/>
      <c r="D201" s="36" t="n"/>
      <c r="E201" s="36" t="n"/>
      <c r="F201" s="40" t="n"/>
      <c r="G201" s="40" t="n"/>
      <c r="H201" s="40" t="n"/>
      <c r="I201" s="40" t="n"/>
      <c r="J201" s="41">
        <f>IF(F201="","",F201-IF(IFERROR(VLOOKUP(B201,'Co-Host Agreements'!$A$6:$K$20,7,FALSE),"No")="Yes",G201,0)-IF(IFERROR(VLOOKUP(B201,'Co-Host Agreements'!$A$6:$K$20,8,FALSE),"No")="Yes",H201,0)-N(I201))</f>
        <v/>
      </c>
      <c r="K201" s="42">
        <f>IFERROR(VLOOKUP(B201,'Co-Host Agreements'!$A$6:$K$20,5,FALSE),0)</f>
        <v/>
      </c>
      <c r="L201" s="41">
        <f>IF(B201="","",IFS(IFERROR(VLOOKUP(B201,'Co-Host Agreements'!$A$6:$K$20,4,FALSE),"")="% of NET",J201*K201,IFERROR(VLOOKUP(B201,'Co-Host Agreements'!$A$6:$K$20,4,FALSE),"")="% of GROSS",F201*K201,IFERROR(VLOOKUP(B201,'Co-Host Agreements'!$A$6:$K$20,4,FALSE),"")="Flat per booking",IFERROR(VLOOKUP(B201,'Co-Host Agreements'!$A$6:$K$20,6,FALSE),0),IFERROR(VLOOKUP(B201,'Co-Host Agreements'!$A$6:$K$20,4,FALSE),"")="Hybrid (Flat + % of NET)",IFERROR(VLOOKUP(B201,'Co-Host Agreements'!$A$6:$K$20,6,FALSE),0)+J201*K201,TRUE,0))</f>
        <v/>
      </c>
      <c r="M201" s="41">
        <f>IF(B201="","",J201-L201)</f>
        <v/>
      </c>
      <c r="N201" s="36" t="n"/>
      <c r="O201" s="36" t="n"/>
    </row>
    <row r="202" ht="16" customHeight="1">
      <c r="A202" s="39" t="n"/>
      <c r="B202" s="36" t="n"/>
      <c r="C202" s="36" t="n"/>
      <c r="D202" s="36" t="n"/>
      <c r="E202" s="36" t="n"/>
      <c r="F202" s="40" t="n"/>
      <c r="G202" s="40" t="n"/>
      <c r="H202" s="40" t="n"/>
      <c r="I202" s="40" t="n"/>
      <c r="J202" s="41">
        <f>IF(F202="","",F202-IF(IFERROR(VLOOKUP(B202,'Co-Host Agreements'!$A$6:$K$20,7,FALSE),"No")="Yes",G202,0)-IF(IFERROR(VLOOKUP(B202,'Co-Host Agreements'!$A$6:$K$20,8,FALSE),"No")="Yes",H202,0)-N(I202))</f>
        <v/>
      </c>
      <c r="K202" s="42">
        <f>IFERROR(VLOOKUP(B202,'Co-Host Agreements'!$A$6:$K$20,5,FALSE),0)</f>
        <v/>
      </c>
      <c r="L202" s="41">
        <f>IF(B202="","",IFS(IFERROR(VLOOKUP(B202,'Co-Host Agreements'!$A$6:$K$20,4,FALSE),"")="% of NET",J202*K202,IFERROR(VLOOKUP(B202,'Co-Host Agreements'!$A$6:$K$20,4,FALSE),"")="% of GROSS",F202*K202,IFERROR(VLOOKUP(B202,'Co-Host Agreements'!$A$6:$K$20,4,FALSE),"")="Flat per booking",IFERROR(VLOOKUP(B202,'Co-Host Agreements'!$A$6:$K$20,6,FALSE),0),IFERROR(VLOOKUP(B202,'Co-Host Agreements'!$A$6:$K$20,4,FALSE),"")="Hybrid (Flat + % of NET)",IFERROR(VLOOKUP(B202,'Co-Host Agreements'!$A$6:$K$20,6,FALSE),0)+J202*K202,TRUE,0))</f>
        <v/>
      </c>
      <c r="M202" s="41">
        <f>IF(B202="","",J202-L202)</f>
        <v/>
      </c>
      <c r="N202" s="36" t="n"/>
      <c r="O202" s="36" t="n"/>
    </row>
    <row r="203" ht="16" customHeight="1">
      <c r="A203" s="39" t="n"/>
      <c r="B203" s="36" t="n"/>
      <c r="C203" s="36" t="n"/>
      <c r="D203" s="36" t="n"/>
      <c r="E203" s="36" t="n"/>
      <c r="F203" s="40" t="n"/>
      <c r="G203" s="40" t="n"/>
      <c r="H203" s="40" t="n"/>
      <c r="I203" s="40" t="n"/>
      <c r="J203" s="41">
        <f>IF(F203="","",F203-IF(IFERROR(VLOOKUP(B203,'Co-Host Agreements'!$A$6:$K$20,7,FALSE),"No")="Yes",G203,0)-IF(IFERROR(VLOOKUP(B203,'Co-Host Agreements'!$A$6:$K$20,8,FALSE),"No")="Yes",H203,0)-N(I203))</f>
        <v/>
      </c>
      <c r="K203" s="42">
        <f>IFERROR(VLOOKUP(B203,'Co-Host Agreements'!$A$6:$K$20,5,FALSE),0)</f>
        <v/>
      </c>
      <c r="L203" s="41">
        <f>IF(B203="","",IFS(IFERROR(VLOOKUP(B203,'Co-Host Agreements'!$A$6:$K$20,4,FALSE),"")="% of NET",J203*K203,IFERROR(VLOOKUP(B203,'Co-Host Agreements'!$A$6:$K$20,4,FALSE),"")="% of GROSS",F203*K203,IFERROR(VLOOKUP(B203,'Co-Host Agreements'!$A$6:$K$20,4,FALSE),"")="Flat per booking",IFERROR(VLOOKUP(B203,'Co-Host Agreements'!$A$6:$K$20,6,FALSE),0),IFERROR(VLOOKUP(B203,'Co-Host Agreements'!$A$6:$K$20,4,FALSE),"")="Hybrid (Flat + % of NET)",IFERROR(VLOOKUP(B203,'Co-Host Agreements'!$A$6:$K$20,6,FALSE),0)+J203*K203,TRUE,0))</f>
        <v/>
      </c>
      <c r="M203" s="41">
        <f>IF(B203="","",J203-L203)</f>
        <v/>
      </c>
      <c r="N203" s="36" t="n"/>
      <c r="O203" s="36" t="n"/>
    </row>
    <row r="204" ht="16" customHeight="1">
      <c r="A204" s="39" t="n"/>
      <c r="B204" s="36" t="n"/>
      <c r="C204" s="36" t="n"/>
      <c r="D204" s="36" t="n"/>
      <c r="E204" s="36" t="n"/>
      <c r="F204" s="40" t="n"/>
      <c r="G204" s="40" t="n"/>
      <c r="H204" s="40" t="n"/>
      <c r="I204" s="40" t="n"/>
      <c r="J204" s="41">
        <f>IF(F204="","",F204-IF(IFERROR(VLOOKUP(B204,'Co-Host Agreements'!$A$6:$K$20,7,FALSE),"No")="Yes",G204,0)-IF(IFERROR(VLOOKUP(B204,'Co-Host Agreements'!$A$6:$K$20,8,FALSE),"No")="Yes",H204,0)-N(I204))</f>
        <v/>
      </c>
      <c r="K204" s="42">
        <f>IFERROR(VLOOKUP(B204,'Co-Host Agreements'!$A$6:$K$20,5,FALSE),0)</f>
        <v/>
      </c>
      <c r="L204" s="41">
        <f>IF(B204="","",IFS(IFERROR(VLOOKUP(B204,'Co-Host Agreements'!$A$6:$K$20,4,FALSE),"")="% of NET",J204*K204,IFERROR(VLOOKUP(B204,'Co-Host Agreements'!$A$6:$K$20,4,FALSE),"")="% of GROSS",F204*K204,IFERROR(VLOOKUP(B204,'Co-Host Agreements'!$A$6:$K$20,4,FALSE),"")="Flat per booking",IFERROR(VLOOKUP(B204,'Co-Host Agreements'!$A$6:$K$20,6,FALSE),0),IFERROR(VLOOKUP(B204,'Co-Host Agreements'!$A$6:$K$20,4,FALSE),"")="Hybrid (Flat + % of NET)",IFERROR(VLOOKUP(B204,'Co-Host Agreements'!$A$6:$K$20,6,FALSE),0)+J204*K204,TRUE,0))</f>
        <v/>
      </c>
      <c r="M204" s="41">
        <f>IF(B204="","",J204-L204)</f>
        <v/>
      </c>
      <c r="N204" s="36" t="n"/>
      <c r="O204" s="36" t="n"/>
    </row>
    <row r="205" ht="16" customHeight="1">
      <c r="A205" s="39" t="n"/>
      <c r="B205" s="36" t="n"/>
      <c r="C205" s="36" t="n"/>
      <c r="D205" s="36" t="n"/>
      <c r="E205" s="36" t="n"/>
      <c r="F205" s="40" t="n"/>
      <c r="G205" s="40" t="n"/>
      <c r="H205" s="40" t="n"/>
      <c r="I205" s="40" t="n"/>
      <c r="J205" s="41">
        <f>IF(F205="","",F205-IF(IFERROR(VLOOKUP(B205,'Co-Host Agreements'!$A$6:$K$20,7,FALSE),"No")="Yes",G205,0)-IF(IFERROR(VLOOKUP(B205,'Co-Host Agreements'!$A$6:$K$20,8,FALSE),"No")="Yes",H205,0)-N(I205))</f>
        <v/>
      </c>
      <c r="K205" s="42">
        <f>IFERROR(VLOOKUP(B205,'Co-Host Agreements'!$A$6:$K$20,5,FALSE),0)</f>
        <v/>
      </c>
      <c r="L205" s="41">
        <f>IF(B205="","",IFS(IFERROR(VLOOKUP(B205,'Co-Host Agreements'!$A$6:$K$20,4,FALSE),"")="% of NET",J205*K205,IFERROR(VLOOKUP(B205,'Co-Host Agreements'!$A$6:$K$20,4,FALSE),"")="% of GROSS",F205*K205,IFERROR(VLOOKUP(B205,'Co-Host Agreements'!$A$6:$K$20,4,FALSE),"")="Flat per booking",IFERROR(VLOOKUP(B205,'Co-Host Agreements'!$A$6:$K$20,6,FALSE),0),IFERROR(VLOOKUP(B205,'Co-Host Agreements'!$A$6:$K$20,4,FALSE),"")="Hybrid (Flat + % of NET)",IFERROR(VLOOKUP(B205,'Co-Host Agreements'!$A$6:$K$20,6,FALSE),0)+J205*K205,TRUE,0))</f>
        <v/>
      </c>
      <c r="M205" s="41">
        <f>IF(B205="","",J205-L205)</f>
        <v/>
      </c>
      <c r="N205" s="36" t="n"/>
      <c r="O205" s="36" t="n"/>
    </row>
    <row r="206" ht="16" customHeight="1">
      <c r="A206" s="39" t="n"/>
      <c r="B206" s="36" t="n"/>
      <c r="C206" s="36" t="n"/>
      <c r="D206" s="36" t="n"/>
      <c r="E206" s="36" t="n"/>
      <c r="F206" s="40" t="n"/>
      <c r="G206" s="40" t="n"/>
      <c r="H206" s="40" t="n"/>
      <c r="I206" s="40" t="n"/>
      <c r="J206" s="41">
        <f>IF(F206="","",F206-IF(IFERROR(VLOOKUP(B206,'Co-Host Agreements'!$A$6:$K$20,7,FALSE),"No")="Yes",G206,0)-IF(IFERROR(VLOOKUP(B206,'Co-Host Agreements'!$A$6:$K$20,8,FALSE),"No")="Yes",H206,0)-N(I206))</f>
        <v/>
      </c>
      <c r="K206" s="42">
        <f>IFERROR(VLOOKUP(B206,'Co-Host Agreements'!$A$6:$K$20,5,FALSE),0)</f>
        <v/>
      </c>
      <c r="L206" s="41">
        <f>IF(B206="","",IFS(IFERROR(VLOOKUP(B206,'Co-Host Agreements'!$A$6:$K$20,4,FALSE),"")="% of NET",J206*K206,IFERROR(VLOOKUP(B206,'Co-Host Agreements'!$A$6:$K$20,4,FALSE),"")="% of GROSS",F206*K206,IFERROR(VLOOKUP(B206,'Co-Host Agreements'!$A$6:$K$20,4,FALSE),"")="Flat per booking",IFERROR(VLOOKUP(B206,'Co-Host Agreements'!$A$6:$K$20,6,FALSE),0),IFERROR(VLOOKUP(B206,'Co-Host Agreements'!$A$6:$K$20,4,FALSE),"")="Hybrid (Flat + % of NET)",IFERROR(VLOOKUP(B206,'Co-Host Agreements'!$A$6:$K$20,6,FALSE),0)+J206*K206,TRUE,0))</f>
        <v/>
      </c>
      <c r="M206" s="41">
        <f>IF(B206="","",J206-L206)</f>
        <v/>
      </c>
      <c r="N206" s="36" t="n"/>
      <c r="O206" s="36" t="n"/>
    </row>
    <row r="207" ht="16" customHeight="1">
      <c r="A207" s="39" t="n"/>
      <c r="B207" s="36" t="n"/>
      <c r="C207" s="36" t="n"/>
      <c r="D207" s="36" t="n"/>
      <c r="E207" s="36" t="n"/>
      <c r="F207" s="40" t="n"/>
      <c r="G207" s="40" t="n"/>
      <c r="H207" s="40" t="n"/>
      <c r="I207" s="40" t="n"/>
      <c r="J207" s="41">
        <f>IF(F207="","",F207-IF(IFERROR(VLOOKUP(B207,'Co-Host Agreements'!$A$6:$K$20,7,FALSE),"No")="Yes",G207,0)-IF(IFERROR(VLOOKUP(B207,'Co-Host Agreements'!$A$6:$K$20,8,FALSE),"No")="Yes",H207,0)-N(I207))</f>
        <v/>
      </c>
      <c r="K207" s="42">
        <f>IFERROR(VLOOKUP(B207,'Co-Host Agreements'!$A$6:$K$20,5,FALSE),0)</f>
        <v/>
      </c>
      <c r="L207" s="41">
        <f>IF(B207="","",IFS(IFERROR(VLOOKUP(B207,'Co-Host Agreements'!$A$6:$K$20,4,FALSE),"")="% of NET",J207*K207,IFERROR(VLOOKUP(B207,'Co-Host Agreements'!$A$6:$K$20,4,FALSE),"")="% of GROSS",F207*K207,IFERROR(VLOOKUP(B207,'Co-Host Agreements'!$A$6:$K$20,4,FALSE),"")="Flat per booking",IFERROR(VLOOKUP(B207,'Co-Host Agreements'!$A$6:$K$20,6,FALSE),0),IFERROR(VLOOKUP(B207,'Co-Host Agreements'!$A$6:$K$20,4,FALSE),"")="Hybrid (Flat + % of NET)",IFERROR(VLOOKUP(B207,'Co-Host Agreements'!$A$6:$K$20,6,FALSE),0)+J207*K207,TRUE,0))</f>
        <v/>
      </c>
      <c r="M207" s="41">
        <f>IF(B207="","",J207-L207)</f>
        <v/>
      </c>
      <c r="N207" s="36" t="n"/>
      <c r="O207" s="36" t="n"/>
    </row>
    <row r="208" ht="16" customHeight="1">
      <c r="A208" s="39" t="n"/>
      <c r="B208" s="36" t="n"/>
      <c r="C208" s="36" t="n"/>
      <c r="D208" s="36" t="n"/>
      <c r="E208" s="36" t="n"/>
      <c r="F208" s="40" t="n"/>
      <c r="G208" s="40" t="n"/>
      <c r="H208" s="40" t="n"/>
      <c r="I208" s="40" t="n"/>
      <c r="J208" s="41">
        <f>IF(F208="","",F208-IF(IFERROR(VLOOKUP(B208,'Co-Host Agreements'!$A$6:$K$20,7,FALSE),"No")="Yes",G208,0)-IF(IFERROR(VLOOKUP(B208,'Co-Host Agreements'!$A$6:$K$20,8,FALSE),"No")="Yes",H208,0)-N(I208))</f>
        <v/>
      </c>
      <c r="K208" s="42">
        <f>IFERROR(VLOOKUP(B208,'Co-Host Agreements'!$A$6:$K$20,5,FALSE),0)</f>
        <v/>
      </c>
      <c r="L208" s="41">
        <f>IF(B208="","",IFS(IFERROR(VLOOKUP(B208,'Co-Host Agreements'!$A$6:$K$20,4,FALSE),"")="% of NET",J208*K208,IFERROR(VLOOKUP(B208,'Co-Host Agreements'!$A$6:$K$20,4,FALSE),"")="% of GROSS",F208*K208,IFERROR(VLOOKUP(B208,'Co-Host Agreements'!$A$6:$K$20,4,FALSE),"")="Flat per booking",IFERROR(VLOOKUP(B208,'Co-Host Agreements'!$A$6:$K$20,6,FALSE),0),IFERROR(VLOOKUP(B208,'Co-Host Agreements'!$A$6:$K$20,4,FALSE),"")="Hybrid (Flat + % of NET)",IFERROR(VLOOKUP(B208,'Co-Host Agreements'!$A$6:$K$20,6,FALSE),0)+J208*K208,TRUE,0))</f>
        <v/>
      </c>
      <c r="M208" s="41">
        <f>IF(B208="","",J208-L208)</f>
        <v/>
      </c>
      <c r="N208" s="36" t="n"/>
      <c r="O208" s="36" t="n"/>
    </row>
    <row r="209" ht="16" customHeight="1">
      <c r="A209" s="39" t="n"/>
      <c r="B209" s="36" t="n"/>
      <c r="C209" s="36" t="n"/>
      <c r="D209" s="36" t="n"/>
      <c r="E209" s="36" t="n"/>
      <c r="F209" s="40" t="n"/>
      <c r="G209" s="40" t="n"/>
      <c r="H209" s="40" t="n"/>
      <c r="I209" s="40" t="n"/>
      <c r="J209" s="41">
        <f>IF(F209="","",F209-IF(IFERROR(VLOOKUP(B209,'Co-Host Agreements'!$A$6:$K$20,7,FALSE),"No")="Yes",G209,0)-IF(IFERROR(VLOOKUP(B209,'Co-Host Agreements'!$A$6:$K$20,8,FALSE),"No")="Yes",H209,0)-N(I209))</f>
        <v/>
      </c>
      <c r="K209" s="42">
        <f>IFERROR(VLOOKUP(B209,'Co-Host Agreements'!$A$6:$K$20,5,FALSE),0)</f>
        <v/>
      </c>
      <c r="L209" s="41">
        <f>IF(B209="","",IFS(IFERROR(VLOOKUP(B209,'Co-Host Agreements'!$A$6:$K$20,4,FALSE),"")="% of NET",J209*K209,IFERROR(VLOOKUP(B209,'Co-Host Agreements'!$A$6:$K$20,4,FALSE),"")="% of GROSS",F209*K209,IFERROR(VLOOKUP(B209,'Co-Host Agreements'!$A$6:$K$20,4,FALSE),"")="Flat per booking",IFERROR(VLOOKUP(B209,'Co-Host Agreements'!$A$6:$K$20,6,FALSE),0),IFERROR(VLOOKUP(B209,'Co-Host Agreements'!$A$6:$K$20,4,FALSE),"")="Hybrid (Flat + % of NET)",IFERROR(VLOOKUP(B209,'Co-Host Agreements'!$A$6:$K$20,6,FALSE),0)+J209*K209,TRUE,0))</f>
        <v/>
      </c>
      <c r="M209" s="41">
        <f>IF(B209="","",J209-L209)</f>
        <v/>
      </c>
      <c r="N209" s="36" t="n"/>
      <c r="O209" s="36" t="n"/>
    </row>
    <row r="210" ht="16" customHeight="1">
      <c r="A210" s="39" t="n"/>
      <c r="B210" s="36" t="n"/>
      <c r="C210" s="36" t="n"/>
      <c r="D210" s="36" t="n"/>
      <c r="E210" s="36" t="n"/>
      <c r="F210" s="40" t="n"/>
      <c r="G210" s="40" t="n"/>
      <c r="H210" s="40" t="n"/>
      <c r="I210" s="40" t="n"/>
      <c r="J210" s="41">
        <f>IF(F210="","",F210-IF(IFERROR(VLOOKUP(B210,'Co-Host Agreements'!$A$6:$K$20,7,FALSE),"No")="Yes",G210,0)-IF(IFERROR(VLOOKUP(B210,'Co-Host Agreements'!$A$6:$K$20,8,FALSE),"No")="Yes",H210,0)-N(I210))</f>
        <v/>
      </c>
      <c r="K210" s="42">
        <f>IFERROR(VLOOKUP(B210,'Co-Host Agreements'!$A$6:$K$20,5,FALSE),0)</f>
        <v/>
      </c>
      <c r="L210" s="41">
        <f>IF(B210="","",IFS(IFERROR(VLOOKUP(B210,'Co-Host Agreements'!$A$6:$K$20,4,FALSE),"")="% of NET",J210*K210,IFERROR(VLOOKUP(B210,'Co-Host Agreements'!$A$6:$K$20,4,FALSE),"")="% of GROSS",F210*K210,IFERROR(VLOOKUP(B210,'Co-Host Agreements'!$A$6:$K$20,4,FALSE),"")="Flat per booking",IFERROR(VLOOKUP(B210,'Co-Host Agreements'!$A$6:$K$20,6,FALSE),0),IFERROR(VLOOKUP(B210,'Co-Host Agreements'!$A$6:$K$20,4,FALSE),"")="Hybrid (Flat + % of NET)",IFERROR(VLOOKUP(B210,'Co-Host Agreements'!$A$6:$K$20,6,FALSE),0)+J210*K210,TRUE,0))</f>
        <v/>
      </c>
      <c r="M210" s="41">
        <f>IF(B210="","",J210-L210)</f>
        <v/>
      </c>
      <c r="N210" s="36" t="n"/>
      <c r="O210" s="36" t="n"/>
    </row>
    <row r="211" ht="16" customHeight="1">
      <c r="A211" s="39" t="n"/>
      <c r="B211" s="36" t="n"/>
      <c r="C211" s="36" t="n"/>
      <c r="D211" s="36" t="n"/>
      <c r="E211" s="36" t="n"/>
      <c r="F211" s="40" t="n"/>
      <c r="G211" s="40" t="n"/>
      <c r="H211" s="40" t="n"/>
      <c r="I211" s="40" t="n"/>
      <c r="J211" s="41">
        <f>IF(F211="","",F211-IF(IFERROR(VLOOKUP(B211,'Co-Host Agreements'!$A$6:$K$20,7,FALSE),"No")="Yes",G211,0)-IF(IFERROR(VLOOKUP(B211,'Co-Host Agreements'!$A$6:$K$20,8,FALSE),"No")="Yes",H211,0)-N(I211))</f>
        <v/>
      </c>
      <c r="K211" s="42">
        <f>IFERROR(VLOOKUP(B211,'Co-Host Agreements'!$A$6:$K$20,5,FALSE),0)</f>
        <v/>
      </c>
      <c r="L211" s="41">
        <f>IF(B211="","",IFS(IFERROR(VLOOKUP(B211,'Co-Host Agreements'!$A$6:$K$20,4,FALSE),"")="% of NET",J211*K211,IFERROR(VLOOKUP(B211,'Co-Host Agreements'!$A$6:$K$20,4,FALSE),"")="% of GROSS",F211*K211,IFERROR(VLOOKUP(B211,'Co-Host Agreements'!$A$6:$K$20,4,FALSE),"")="Flat per booking",IFERROR(VLOOKUP(B211,'Co-Host Agreements'!$A$6:$K$20,6,FALSE),0),IFERROR(VLOOKUP(B211,'Co-Host Agreements'!$A$6:$K$20,4,FALSE),"")="Hybrid (Flat + % of NET)",IFERROR(VLOOKUP(B211,'Co-Host Agreements'!$A$6:$K$20,6,FALSE),0)+J211*K211,TRUE,0))</f>
        <v/>
      </c>
      <c r="M211" s="41">
        <f>IF(B211="","",J211-L211)</f>
        <v/>
      </c>
      <c r="N211" s="36" t="n"/>
      <c r="O211" s="36" t="n"/>
    </row>
    <row r="212" ht="16" customHeight="1">
      <c r="A212" s="39" t="n"/>
      <c r="B212" s="36" t="n"/>
      <c r="C212" s="36" t="n"/>
      <c r="D212" s="36" t="n"/>
      <c r="E212" s="36" t="n"/>
      <c r="F212" s="40" t="n"/>
      <c r="G212" s="40" t="n"/>
      <c r="H212" s="40" t="n"/>
      <c r="I212" s="40" t="n"/>
      <c r="J212" s="41">
        <f>IF(F212="","",F212-IF(IFERROR(VLOOKUP(B212,'Co-Host Agreements'!$A$6:$K$20,7,FALSE),"No")="Yes",G212,0)-IF(IFERROR(VLOOKUP(B212,'Co-Host Agreements'!$A$6:$K$20,8,FALSE),"No")="Yes",H212,0)-N(I212))</f>
        <v/>
      </c>
      <c r="K212" s="42">
        <f>IFERROR(VLOOKUP(B212,'Co-Host Agreements'!$A$6:$K$20,5,FALSE),0)</f>
        <v/>
      </c>
      <c r="L212" s="41">
        <f>IF(B212="","",IFS(IFERROR(VLOOKUP(B212,'Co-Host Agreements'!$A$6:$K$20,4,FALSE),"")="% of NET",J212*K212,IFERROR(VLOOKUP(B212,'Co-Host Agreements'!$A$6:$K$20,4,FALSE),"")="% of GROSS",F212*K212,IFERROR(VLOOKUP(B212,'Co-Host Agreements'!$A$6:$K$20,4,FALSE),"")="Flat per booking",IFERROR(VLOOKUP(B212,'Co-Host Agreements'!$A$6:$K$20,6,FALSE),0),IFERROR(VLOOKUP(B212,'Co-Host Agreements'!$A$6:$K$20,4,FALSE),"")="Hybrid (Flat + % of NET)",IFERROR(VLOOKUP(B212,'Co-Host Agreements'!$A$6:$K$20,6,FALSE),0)+J212*K212,TRUE,0))</f>
        <v/>
      </c>
      <c r="M212" s="41">
        <f>IF(B212="","",J212-L212)</f>
        <v/>
      </c>
      <c r="N212" s="36" t="n"/>
      <c r="O212" s="36" t="n"/>
    </row>
    <row r="213" ht="16" customHeight="1">
      <c r="A213" s="39" t="n"/>
      <c r="B213" s="36" t="n"/>
      <c r="C213" s="36" t="n"/>
      <c r="D213" s="36" t="n"/>
      <c r="E213" s="36" t="n"/>
      <c r="F213" s="40" t="n"/>
      <c r="G213" s="40" t="n"/>
      <c r="H213" s="40" t="n"/>
      <c r="I213" s="40" t="n"/>
      <c r="J213" s="41">
        <f>IF(F213="","",F213-IF(IFERROR(VLOOKUP(B213,'Co-Host Agreements'!$A$6:$K$20,7,FALSE),"No")="Yes",G213,0)-IF(IFERROR(VLOOKUP(B213,'Co-Host Agreements'!$A$6:$K$20,8,FALSE),"No")="Yes",H213,0)-N(I213))</f>
        <v/>
      </c>
      <c r="K213" s="42">
        <f>IFERROR(VLOOKUP(B213,'Co-Host Agreements'!$A$6:$K$20,5,FALSE),0)</f>
        <v/>
      </c>
      <c r="L213" s="41">
        <f>IF(B213="","",IFS(IFERROR(VLOOKUP(B213,'Co-Host Agreements'!$A$6:$K$20,4,FALSE),"")="% of NET",J213*K213,IFERROR(VLOOKUP(B213,'Co-Host Agreements'!$A$6:$K$20,4,FALSE),"")="% of GROSS",F213*K213,IFERROR(VLOOKUP(B213,'Co-Host Agreements'!$A$6:$K$20,4,FALSE),"")="Flat per booking",IFERROR(VLOOKUP(B213,'Co-Host Agreements'!$A$6:$K$20,6,FALSE),0),IFERROR(VLOOKUP(B213,'Co-Host Agreements'!$A$6:$K$20,4,FALSE),"")="Hybrid (Flat + % of NET)",IFERROR(VLOOKUP(B213,'Co-Host Agreements'!$A$6:$K$20,6,FALSE),0)+J213*K213,TRUE,0))</f>
        <v/>
      </c>
      <c r="M213" s="41">
        <f>IF(B213="","",J213-L213)</f>
        <v/>
      </c>
      <c r="N213" s="36" t="n"/>
      <c r="O213" s="36" t="n"/>
    </row>
    <row r="214" ht="16" customHeight="1">
      <c r="A214" s="39" t="n"/>
      <c r="B214" s="36" t="n"/>
      <c r="C214" s="36" t="n"/>
      <c r="D214" s="36" t="n"/>
      <c r="E214" s="36" t="n"/>
      <c r="F214" s="40" t="n"/>
      <c r="G214" s="40" t="n"/>
      <c r="H214" s="40" t="n"/>
      <c r="I214" s="40" t="n"/>
      <c r="J214" s="41">
        <f>IF(F214="","",F214-IF(IFERROR(VLOOKUP(B214,'Co-Host Agreements'!$A$6:$K$20,7,FALSE),"No")="Yes",G214,0)-IF(IFERROR(VLOOKUP(B214,'Co-Host Agreements'!$A$6:$K$20,8,FALSE),"No")="Yes",H214,0)-N(I214))</f>
        <v/>
      </c>
      <c r="K214" s="42">
        <f>IFERROR(VLOOKUP(B214,'Co-Host Agreements'!$A$6:$K$20,5,FALSE),0)</f>
        <v/>
      </c>
      <c r="L214" s="41">
        <f>IF(B214="","",IFS(IFERROR(VLOOKUP(B214,'Co-Host Agreements'!$A$6:$K$20,4,FALSE),"")="% of NET",J214*K214,IFERROR(VLOOKUP(B214,'Co-Host Agreements'!$A$6:$K$20,4,FALSE),"")="% of GROSS",F214*K214,IFERROR(VLOOKUP(B214,'Co-Host Agreements'!$A$6:$K$20,4,FALSE),"")="Flat per booking",IFERROR(VLOOKUP(B214,'Co-Host Agreements'!$A$6:$K$20,6,FALSE),0),IFERROR(VLOOKUP(B214,'Co-Host Agreements'!$A$6:$K$20,4,FALSE),"")="Hybrid (Flat + % of NET)",IFERROR(VLOOKUP(B214,'Co-Host Agreements'!$A$6:$K$20,6,FALSE),0)+J214*K214,TRUE,0))</f>
        <v/>
      </c>
      <c r="M214" s="41">
        <f>IF(B214="","",J214-L214)</f>
        <v/>
      </c>
      <c r="N214" s="36" t="n"/>
      <c r="O214" s="36" t="n"/>
    </row>
    <row r="215" ht="16" customHeight="1">
      <c r="A215" s="39" t="n"/>
      <c r="B215" s="36" t="n"/>
      <c r="C215" s="36" t="n"/>
      <c r="D215" s="36" t="n"/>
      <c r="E215" s="36" t="n"/>
      <c r="F215" s="40" t="n"/>
      <c r="G215" s="40" t="n"/>
      <c r="H215" s="40" t="n"/>
      <c r="I215" s="40" t="n"/>
      <c r="J215" s="41">
        <f>IF(F215="","",F215-IF(IFERROR(VLOOKUP(B215,'Co-Host Agreements'!$A$6:$K$20,7,FALSE),"No")="Yes",G215,0)-IF(IFERROR(VLOOKUP(B215,'Co-Host Agreements'!$A$6:$K$20,8,FALSE),"No")="Yes",H215,0)-N(I215))</f>
        <v/>
      </c>
      <c r="K215" s="42">
        <f>IFERROR(VLOOKUP(B215,'Co-Host Agreements'!$A$6:$K$20,5,FALSE),0)</f>
        <v/>
      </c>
      <c r="L215" s="41">
        <f>IF(B215="","",IFS(IFERROR(VLOOKUP(B215,'Co-Host Agreements'!$A$6:$K$20,4,FALSE),"")="% of NET",J215*K215,IFERROR(VLOOKUP(B215,'Co-Host Agreements'!$A$6:$K$20,4,FALSE),"")="% of GROSS",F215*K215,IFERROR(VLOOKUP(B215,'Co-Host Agreements'!$A$6:$K$20,4,FALSE),"")="Flat per booking",IFERROR(VLOOKUP(B215,'Co-Host Agreements'!$A$6:$K$20,6,FALSE),0),IFERROR(VLOOKUP(B215,'Co-Host Agreements'!$A$6:$K$20,4,FALSE),"")="Hybrid (Flat + % of NET)",IFERROR(VLOOKUP(B215,'Co-Host Agreements'!$A$6:$K$20,6,FALSE),0)+J215*K215,TRUE,0))</f>
        <v/>
      </c>
      <c r="M215" s="41">
        <f>IF(B215="","",J215-L215)</f>
        <v/>
      </c>
      <c r="N215" s="36" t="n"/>
      <c r="O215" s="36" t="n"/>
    </row>
    <row r="216" ht="16" customHeight="1">
      <c r="A216" s="39" t="n"/>
      <c r="B216" s="36" t="n"/>
      <c r="C216" s="36" t="n"/>
      <c r="D216" s="36" t="n"/>
      <c r="E216" s="36" t="n"/>
      <c r="F216" s="40" t="n"/>
      <c r="G216" s="40" t="n"/>
      <c r="H216" s="40" t="n"/>
      <c r="I216" s="40" t="n"/>
      <c r="J216" s="41">
        <f>IF(F216="","",F216-IF(IFERROR(VLOOKUP(B216,'Co-Host Agreements'!$A$6:$K$20,7,FALSE),"No")="Yes",G216,0)-IF(IFERROR(VLOOKUP(B216,'Co-Host Agreements'!$A$6:$K$20,8,FALSE),"No")="Yes",H216,0)-N(I216))</f>
        <v/>
      </c>
      <c r="K216" s="42">
        <f>IFERROR(VLOOKUP(B216,'Co-Host Agreements'!$A$6:$K$20,5,FALSE),0)</f>
        <v/>
      </c>
      <c r="L216" s="41">
        <f>IF(B216="","",IFS(IFERROR(VLOOKUP(B216,'Co-Host Agreements'!$A$6:$K$20,4,FALSE),"")="% of NET",J216*K216,IFERROR(VLOOKUP(B216,'Co-Host Agreements'!$A$6:$K$20,4,FALSE),"")="% of GROSS",F216*K216,IFERROR(VLOOKUP(B216,'Co-Host Agreements'!$A$6:$K$20,4,FALSE),"")="Flat per booking",IFERROR(VLOOKUP(B216,'Co-Host Agreements'!$A$6:$K$20,6,FALSE),0),IFERROR(VLOOKUP(B216,'Co-Host Agreements'!$A$6:$K$20,4,FALSE),"")="Hybrid (Flat + % of NET)",IFERROR(VLOOKUP(B216,'Co-Host Agreements'!$A$6:$K$20,6,FALSE),0)+J216*K216,TRUE,0))</f>
        <v/>
      </c>
      <c r="M216" s="41">
        <f>IF(B216="","",J216-L216)</f>
        <v/>
      </c>
      <c r="N216" s="36" t="n"/>
      <c r="O216" s="36" t="n"/>
    </row>
    <row r="217" ht="16" customHeight="1">
      <c r="A217" s="39" t="n"/>
      <c r="B217" s="36" t="n"/>
      <c r="C217" s="36" t="n"/>
      <c r="D217" s="36" t="n"/>
      <c r="E217" s="36" t="n"/>
      <c r="F217" s="40" t="n"/>
      <c r="G217" s="40" t="n"/>
      <c r="H217" s="40" t="n"/>
      <c r="I217" s="40" t="n"/>
      <c r="J217" s="41">
        <f>IF(F217="","",F217-IF(IFERROR(VLOOKUP(B217,'Co-Host Agreements'!$A$6:$K$20,7,FALSE),"No")="Yes",G217,0)-IF(IFERROR(VLOOKUP(B217,'Co-Host Agreements'!$A$6:$K$20,8,FALSE),"No")="Yes",H217,0)-N(I217))</f>
        <v/>
      </c>
      <c r="K217" s="42">
        <f>IFERROR(VLOOKUP(B217,'Co-Host Agreements'!$A$6:$K$20,5,FALSE),0)</f>
        <v/>
      </c>
      <c r="L217" s="41">
        <f>IF(B217="","",IFS(IFERROR(VLOOKUP(B217,'Co-Host Agreements'!$A$6:$K$20,4,FALSE),"")="% of NET",J217*K217,IFERROR(VLOOKUP(B217,'Co-Host Agreements'!$A$6:$K$20,4,FALSE),"")="% of GROSS",F217*K217,IFERROR(VLOOKUP(B217,'Co-Host Agreements'!$A$6:$K$20,4,FALSE),"")="Flat per booking",IFERROR(VLOOKUP(B217,'Co-Host Agreements'!$A$6:$K$20,6,FALSE),0),IFERROR(VLOOKUP(B217,'Co-Host Agreements'!$A$6:$K$20,4,FALSE),"")="Hybrid (Flat + % of NET)",IFERROR(VLOOKUP(B217,'Co-Host Agreements'!$A$6:$K$20,6,FALSE),0)+J217*K217,TRUE,0))</f>
        <v/>
      </c>
      <c r="M217" s="41">
        <f>IF(B217="","",J217-L217)</f>
        <v/>
      </c>
      <c r="N217" s="36" t="n"/>
      <c r="O217" s="36" t="n"/>
    </row>
    <row r="218" ht="16" customHeight="1">
      <c r="A218" s="39" t="n"/>
      <c r="B218" s="36" t="n"/>
      <c r="C218" s="36" t="n"/>
      <c r="D218" s="36" t="n"/>
      <c r="E218" s="36" t="n"/>
      <c r="F218" s="40" t="n"/>
      <c r="G218" s="40" t="n"/>
      <c r="H218" s="40" t="n"/>
      <c r="I218" s="40" t="n"/>
      <c r="J218" s="41">
        <f>IF(F218="","",F218-IF(IFERROR(VLOOKUP(B218,'Co-Host Agreements'!$A$6:$K$20,7,FALSE),"No")="Yes",G218,0)-IF(IFERROR(VLOOKUP(B218,'Co-Host Agreements'!$A$6:$K$20,8,FALSE),"No")="Yes",H218,0)-N(I218))</f>
        <v/>
      </c>
      <c r="K218" s="42">
        <f>IFERROR(VLOOKUP(B218,'Co-Host Agreements'!$A$6:$K$20,5,FALSE),0)</f>
        <v/>
      </c>
      <c r="L218" s="41">
        <f>IF(B218="","",IFS(IFERROR(VLOOKUP(B218,'Co-Host Agreements'!$A$6:$K$20,4,FALSE),"")="% of NET",J218*K218,IFERROR(VLOOKUP(B218,'Co-Host Agreements'!$A$6:$K$20,4,FALSE),"")="% of GROSS",F218*K218,IFERROR(VLOOKUP(B218,'Co-Host Agreements'!$A$6:$K$20,4,FALSE),"")="Flat per booking",IFERROR(VLOOKUP(B218,'Co-Host Agreements'!$A$6:$K$20,6,FALSE),0),IFERROR(VLOOKUP(B218,'Co-Host Agreements'!$A$6:$K$20,4,FALSE),"")="Hybrid (Flat + % of NET)",IFERROR(VLOOKUP(B218,'Co-Host Agreements'!$A$6:$K$20,6,FALSE),0)+J218*K218,TRUE,0))</f>
        <v/>
      </c>
      <c r="M218" s="41">
        <f>IF(B218="","",J218-L218)</f>
        <v/>
      </c>
      <c r="N218" s="36" t="n"/>
      <c r="O218" s="36" t="n"/>
    </row>
    <row r="219" ht="16" customHeight="1">
      <c r="A219" s="39" t="n"/>
      <c r="B219" s="36" t="n"/>
      <c r="C219" s="36" t="n"/>
      <c r="D219" s="36" t="n"/>
      <c r="E219" s="36" t="n"/>
      <c r="F219" s="40" t="n"/>
      <c r="G219" s="40" t="n"/>
      <c r="H219" s="40" t="n"/>
      <c r="I219" s="40" t="n"/>
      <c r="J219" s="41">
        <f>IF(F219="","",F219-IF(IFERROR(VLOOKUP(B219,'Co-Host Agreements'!$A$6:$K$20,7,FALSE),"No")="Yes",G219,0)-IF(IFERROR(VLOOKUP(B219,'Co-Host Agreements'!$A$6:$K$20,8,FALSE),"No")="Yes",H219,0)-N(I219))</f>
        <v/>
      </c>
      <c r="K219" s="42">
        <f>IFERROR(VLOOKUP(B219,'Co-Host Agreements'!$A$6:$K$20,5,FALSE),0)</f>
        <v/>
      </c>
      <c r="L219" s="41">
        <f>IF(B219="","",IFS(IFERROR(VLOOKUP(B219,'Co-Host Agreements'!$A$6:$K$20,4,FALSE),"")="% of NET",J219*K219,IFERROR(VLOOKUP(B219,'Co-Host Agreements'!$A$6:$K$20,4,FALSE),"")="% of GROSS",F219*K219,IFERROR(VLOOKUP(B219,'Co-Host Agreements'!$A$6:$K$20,4,FALSE),"")="Flat per booking",IFERROR(VLOOKUP(B219,'Co-Host Agreements'!$A$6:$K$20,6,FALSE),0),IFERROR(VLOOKUP(B219,'Co-Host Agreements'!$A$6:$K$20,4,FALSE),"")="Hybrid (Flat + % of NET)",IFERROR(VLOOKUP(B219,'Co-Host Agreements'!$A$6:$K$20,6,FALSE),0)+J219*K219,TRUE,0))</f>
        <v/>
      </c>
      <c r="M219" s="41">
        <f>IF(B219="","",J219-L219)</f>
        <v/>
      </c>
      <c r="N219" s="36" t="n"/>
      <c r="O219" s="36" t="n"/>
    </row>
    <row r="220" ht="16" customHeight="1">
      <c r="A220" s="39" t="n"/>
      <c r="B220" s="36" t="n"/>
      <c r="C220" s="36" t="n"/>
      <c r="D220" s="36" t="n"/>
      <c r="E220" s="36" t="n"/>
      <c r="F220" s="40" t="n"/>
      <c r="G220" s="40" t="n"/>
      <c r="H220" s="40" t="n"/>
      <c r="I220" s="40" t="n"/>
      <c r="J220" s="41">
        <f>IF(F220="","",F220-IF(IFERROR(VLOOKUP(B220,'Co-Host Agreements'!$A$6:$K$20,7,FALSE),"No")="Yes",G220,0)-IF(IFERROR(VLOOKUP(B220,'Co-Host Agreements'!$A$6:$K$20,8,FALSE),"No")="Yes",H220,0)-N(I220))</f>
        <v/>
      </c>
      <c r="K220" s="42">
        <f>IFERROR(VLOOKUP(B220,'Co-Host Agreements'!$A$6:$K$20,5,FALSE),0)</f>
        <v/>
      </c>
      <c r="L220" s="41">
        <f>IF(B220="","",IFS(IFERROR(VLOOKUP(B220,'Co-Host Agreements'!$A$6:$K$20,4,FALSE),"")="% of NET",J220*K220,IFERROR(VLOOKUP(B220,'Co-Host Agreements'!$A$6:$K$20,4,FALSE),"")="% of GROSS",F220*K220,IFERROR(VLOOKUP(B220,'Co-Host Agreements'!$A$6:$K$20,4,FALSE),"")="Flat per booking",IFERROR(VLOOKUP(B220,'Co-Host Agreements'!$A$6:$K$20,6,FALSE),0),IFERROR(VLOOKUP(B220,'Co-Host Agreements'!$A$6:$K$20,4,FALSE),"")="Hybrid (Flat + % of NET)",IFERROR(VLOOKUP(B220,'Co-Host Agreements'!$A$6:$K$20,6,FALSE),0)+J220*K220,TRUE,0))</f>
        <v/>
      </c>
      <c r="M220" s="41">
        <f>IF(B220="","",J220-L220)</f>
        <v/>
      </c>
      <c r="N220" s="36" t="n"/>
      <c r="O220" s="36" t="n"/>
    </row>
    <row r="221" ht="16" customHeight="1">
      <c r="A221" s="39" t="n"/>
      <c r="B221" s="36" t="n"/>
      <c r="C221" s="36" t="n"/>
      <c r="D221" s="36" t="n"/>
      <c r="E221" s="36" t="n"/>
      <c r="F221" s="40" t="n"/>
      <c r="G221" s="40" t="n"/>
      <c r="H221" s="40" t="n"/>
      <c r="I221" s="40" t="n"/>
      <c r="J221" s="41">
        <f>IF(F221="","",F221-IF(IFERROR(VLOOKUP(B221,'Co-Host Agreements'!$A$6:$K$20,7,FALSE),"No")="Yes",G221,0)-IF(IFERROR(VLOOKUP(B221,'Co-Host Agreements'!$A$6:$K$20,8,FALSE),"No")="Yes",H221,0)-N(I221))</f>
        <v/>
      </c>
      <c r="K221" s="42">
        <f>IFERROR(VLOOKUP(B221,'Co-Host Agreements'!$A$6:$K$20,5,FALSE),0)</f>
        <v/>
      </c>
      <c r="L221" s="41">
        <f>IF(B221="","",IFS(IFERROR(VLOOKUP(B221,'Co-Host Agreements'!$A$6:$K$20,4,FALSE),"")="% of NET",J221*K221,IFERROR(VLOOKUP(B221,'Co-Host Agreements'!$A$6:$K$20,4,FALSE),"")="% of GROSS",F221*K221,IFERROR(VLOOKUP(B221,'Co-Host Agreements'!$A$6:$K$20,4,FALSE),"")="Flat per booking",IFERROR(VLOOKUP(B221,'Co-Host Agreements'!$A$6:$K$20,6,FALSE),0),IFERROR(VLOOKUP(B221,'Co-Host Agreements'!$A$6:$K$20,4,FALSE),"")="Hybrid (Flat + % of NET)",IFERROR(VLOOKUP(B221,'Co-Host Agreements'!$A$6:$K$20,6,FALSE),0)+J221*K221,TRUE,0))</f>
        <v/>
      </c>
      <c r="M221" s="41">
        <f>IF(B221="","",J221-L221)</f>
        <v/>
      </c>
      <c r="N221" s="36" t="n"/>
      <c r="O221" s="36" t="n"/>
    </row>
    <row r="222" ht="16" customHeight="1">
      <c r="A222" s="39" t="n"/>
      <c r="B222" s="36" t="n"/>
      <c r="C222" s="36" t="n"/>
      <c r="D222" s="36" t="n"/>
      <c r="E222" s="36" t="n"/>
      <c r="F222" s="40" t="n"/>
      <c r="G222" s="40" t="n"/>
      <c r="H222" s="40" t="n"/>
      <c r="I222" s="40" t="n"/>
      <c r="J222" s="41">
        <f>IF(F222="","",F222-IF(IFERROR(VLOOKUP(B222,'Co-Host Agreements'!$A$6:$K$20,7,FALSE),"No")="Yes",G222,0)-IF(IFERROR(VLOOKUP(B222,'Co-Host Agreements'!$A$6:$K$20,8,FALSE),"No")="Yes",H222,0)-N(I222))</f>
        <v/>
      </c>
      <c r="K222" s="42">
        <f>IFERROR(VLOOKUP(B222,'Co-Host Agreements'!$A$6:$K$20,5,FALSE),0)</f>
        <v/>
      </c>
      <c r="L222" s="41">
        <f>IF(B222="","",IFS(IFERROR(VLOOKUP(B222,'Co-Host Agreements'!$A$6:$K$20,4,FALSE),"")="% of NET",J222*K222,IFERROR(VLOOKUP(B222,'Co-Host Agreements'!$A$6:$K$20,4,FALSE),"")="% of GROSS",F222*K222,IFERROR(VLOOKUP(B222,'Co-Host Agreements'!$A$6:$K$20,4,FALSE),"")="Flat per booking",IFERROR(VLOOKUP(B222,'Co-Host Agreements'!$A$6:$K$20,6,FALSE),0),IFERROR(VLOOKUP(B222,'Co-Host Agreements'!$A$6:$K$20,4,FALSE),"")="Hybrid (Flat + % of NET)",IFERROR(VLOOKUP(B222,'Co-Host Agreements'!$A$6:$K$20,6,FALSE),0)+J222*K222,TRUE,0))</f>
        <v/>
      </c>
      <c r="M222" s="41">
        <f>IF(B222="","",J222-L222)</f>
        <v/>
      </c>
      <c r="N222" s="36" t="n"/>
      <c r="O222" s="36" t="n"/>
    </row>
    <row r="223" ht="16" customHeight="1">
      <c r="A223" s="39" t="n"/>
      <c r="B223" s="36" t="n"/>
      <c r="C223" s="36" t="n"/>
      <c r="D223" s="36" t="n"/>
      <c r="E223" s="36" t="n"/>
      <c r="F223" s="40" t="n"/>
      <c r="G223" s="40" t="n"/>
      <c r="H223" s="40" t="n"/>
      <c r="I223" s="40" t="n"/>
      <c r="J223" s="41">
        <f>IF(F223="","",F223-IF(IFERROR(VLOOKUP(B223,'Co-Host Agreements'!$A$6:$K$20,7,FALSE),"No")="Yes",G223,0)-IF(IFERROR(VLOOKUP(B223,'Co-Host Agreements'!$A$6:$K$20,8,FALSE),"No")="Yes",H223,0)-N(I223))</f>
        <v/>
      </c>
      <c r="K223" s="42">
        <f>IFERROR(VLOOKUP(B223,'Co-Host Agreements'!$A$6:$K$20,5,FALSE),0)</f>
        <v/>
      </c>
      <c r="L223" s="41">
        <f>IF(B223="","",IFS(IFERROR(VLOOKUP(B223,'Co-Host Agreements'!$A$6:$K$20,4,FALSE),"")="% of NET",J223*K223,IFERROR(VLOOKUP(B223,'Co-Host Agreements'!$A$6:$K$20,4,FALSE),"")="% of GROSS",F223*K223,IFERROR(VLOOKUP(B223,'Co-Host Agreements'!$A$6:$K$20,4,FALSE),"")="Flat per booking",IFERROR(VLOOKUP(B223,'Co-Host Agreements'!$A$6:$K$20,6,FALSE),0),IFERROR(VLOOKUP(B223,'Co-Host Agreements'!$A$6:$K$20,4,FALSE),"")="Hybrid (Flat + % of NET)",IFERROR(VLOOKUP(B223,'Co-Host Agreements'!$A$6:$K$20,6,FALSE),0)+J223*K223,TRUE,0))</f>
        <v/>
      </c>
      <c r="M223" s="41">
        <f>IF(B223="","",J223-L223)</f>
        <v/>
      </c>
      <c r="N223" s="36" t="n"/>
      <c r="O223" s="36" t="n"/>
    </row>
    <row r="224" ht="16" customHeight="1">
      <c r="A224" s="39" t="n"/>
      <c r="B224" s="36" t="n"/>
      <c r="C224" s="36" t="n"/>
      <c r="D224" s="36" t="n"/>
      <c r="E224" s="36" t="n"/>
      <c r="F224" s="40" t="n"/>
      <c r="G224" s="40" t="n"/>
      <c r="H224" s="40" t="n"/>
      <c r="I224" s="40" t="n"/>
      <c r="J224" s="41">
        <f>IF(F224="","",F224-IF(IFERROR(VLOOKUP(B224,'Co-Host Agreements'!$A$6:$K$20,7,FALSE),"No")="Yes",G224,0)-IF(IFERROR(VLOOKUP(B224,'Co-Host Agreements'!$A$6:$K$20,8,FALSE),"No")="Yes",H224,0)-N(I224))</f>
        <v/>
      </c>
      <c r="K224" s="42">
        <f>IFERROR(VLOOKUP(B224,'Co-Host Agreements'!$A$6:$K$20,5,FALSE),0)</f>
        <v/>
      </c>
      <c r="L224" s="41">
        <f>IF(B224="","",IFS(IFERROR(VLOOKUP(B224,'Co-Host Agreements'!$A$6:$K$20,4,FALSE),"")="% of NET",J224*K224,IFERROR(VLOOKUP(B224,'Co-Host Agreements'!$A$6:$K$20,4,FALSE),"")="% of GROSS",F224*K224,IFERROR(VLOOKUP(B224,'Co-Host Agreements'!$A$6:$K$20,4,FALSE),"")="Flat per booking",IFERROR(VLOOKUP(B224,'Co-Host Agreements'!$A$6:$K$20,6,FALSE),0),IFERROR(VLOOKUP(B224,'Co-Host Agreements'!$A$6:$K$20,4,FALSE),"")="Hybrid (Flat + % of NET)",IFERROR(VLOOKUP(B224,'Co-Host Agreements'!$A$6:$K$20,6,FALSE),0)+J224*K224,TRUE,0))</f>
        <v/>
      </c>
      <c r="M224" s="41">
        <f>IF(B224="","",J224-L224)</f>
        <v/>
      </c>
      <c r="N224" s="36" t="n"/>
      <c r="O224" s="36" t="n"/>
    </row>
    <row r="225" ht="16" customHeight="1">
      <c r="A225" s="39" t="n"/>
      <c r="B225" s="36" t="n"/>
      <c r="C225" s="36" t="n"/>
      <c r="D225" s="36" t="n"/>
      <c r="E225" s="36" t="n"/>
      <c r="F225" s="40" t="n"/>
      <c r="G225" s="40" t="n"/>
      <c r="H225" s="40" t="n"/>
      <c r="I225" s="40" t="n"/>
      <c r="J225" s="41">
        <f>IF(F225="","",F225-IF(IFERROR(VLOOKUP(B225,'Co-Host Agreements'!$A$6:$K$20,7,FALSE),"No")="Yes",G225,0)-IF(IFERROR(VLOOKUP(B225,'Co-Host Agreements'!$A$6:$K$20,8,FALSE),"No")="Yes",H225,0)-N(I225))</f>
        <v/>
      </c>
      <c r="K225" s="42">
        <f>IFERROR(VLOOKUP(B225,'Co-Host Agreements'!$A$6:$K$20,5,FALSE),0)</f>
        <v/>
      </c>
      <c r="L225" s="41">
        <f>IF(B225="","",IFS(IFERROR(VLOOKUP(B225,'Co-Host Agreements'!$A$6:$K$20,4,FALSE),"")="% of NET",J225*K225,IFERROR(VLOOKUP(B225,'Co-Host Agreements'!$A$6:$K$20,4,FALSE),"")="% of GROSS",F225*K225,IFERROR(VLOOKUP(B225,'Co-Host Agreements'!$A$6:$K$20,4,FALSE),"")="Flat per booking",IFERROR(VLOOKUP(B225,'Co-Host Agreements'!$A$6:$K$20,6,FALSE),0),IFERROR(VLOOKUP(B225,'Co-Host Agreements'!$A$6:$K$20,4,FALSE),"")="Hybrid (Flat + % of NET)",IFERROR(VLOOKUP(B225,'Co-Host Agreements'!$A$6:$K$20,6,FALSE),0)+J225*K225,TRUE,0))</f>
        <v/>
      </c>
      <c r="M225" s="41">
        <f>IF(B225="","",J225-L225)</f>
        <v/>
      </c>
      <c r="N225" s="36" t="n"/>
      <c r="O225" s="36" t="n"/>
    </row>
    <row r="226" ht="16" customHeight="1">
      <c r="A226" s="39" t="n"/>
      <c r="B226" s="36" t="n"/>
      <c r="C226" s="36" t="n"/>
      <c r="D226" s="36" t="n"/>
      <c r="E226" s="36" t="n"/>
      <c r="F226" s="40" t="n"/>
      <c r="G226" s="40" t="n"/>
      <c r="H226" s="40" t="n"/>
      <c r="I226" s="40" t="n"/>
      <c r="J226" s="41">
        <f>IF(F226="","",F226-IF(IFERROR(VLOOKUP(B226,'Co-Host Agreements'!$A$6:$K$20,7,FALSE),"No")="Yes",G226,0)-IF(IFERROR(VLOOKUP(B226,'Co-Host Agreements'!$A$6:$K$20,8,FALSE),"No")="Yes",H226,0)-N(I226))</f>
        <v/>
      </c>
      <c r="K226" s="42">
        <f>IFERROR(VLOOKUP(B226,'Co-Host Agreements'!$A$6:$K$20,5,FALSE),0)</f>
        <v/>
      </c>
      <c r="L226" s="41">
        <f>IF(B226="","",IFS(IFERROR(VLOOKUP(B226,'Co-Host Agreements'!$A$6:$K$20,4,FALSE),"")="% of NET",J226*K226,IFERROR(VLOOKUP(B226,'Co-Host Agreements'!$A$6:$K$20,4,FALSE),"")="% of GROSS",F226*K226,IFERROR(VLOOKUP(B226,'Co-Host Agreements'!$A$6:$K$20,4,FALSE),"")="Flat per booking",IFERROR(VLOOKUP(B226,'Co-Host Agreements'!$A$6:$K$20,6,FALSE),0),IFERROR(VLOOKUP(B226,'Co-Host Agreements'!$A$6:$K$20,4,FALSE),"")="Hybrid (Flat + % of NET)",IFERROR(VLOOKUP(B226,'Co-Host Agreements'!$A$6:$K$20,6,FALSE),0)+J226*K226,TRUE,0))</f>
        <v/>
      </c>
      <c r="M226" s="41">
        <f>IF(B226="","",J226-L226)</f>
        <v/>
      </c>
      <c r="N226" s="36" t="n"/>
      <c r="O226" s="36" t="n"/>
    </row>
    <row r="227" ht="16" customHeight="1">
      <c r="A227" s="39" t="n"/>
      <c r="B227" s="36" t="n"/>
      <c r="C227" s="36" t="n"/>
      <c r="D227" s="36" t="n"/>
      <c r="E227" s="36" t="n"/>
      <c r="F227" s="40" t="n"/>
      <c r="G227" s="40" t="n"/>
      <c r="H227" s="40" t="n"/>
      <c r="I227" s="40" t="n"/>
      <c r="J227" s="41">
        <f>IF(F227="","",F227-IF(IFERROR(VLOOKUP(B227,'Co-Host Agreements'!$A$6:$K$20,7,FALSE),"No")="Yes",G227,0)-IF(IFERROR(VLOOKUP(B227,'Co-Host Agreements'!$A$6:$K$20,8,FALSE),"No")="Yes",H227,0)-N(I227))</f>
        <v/>
      </c>
      <c r="K227" s="42">
        <f>IFERROR(VLOOKUP(B227,'Co-Host Agreements'!$A$6:$K$20,5,FALSE),0)</f>
        <v/>
      </c>
      <c r="L227" s="41">
        <f>IF(B227="","",IFS(IFERROR(VLOOKUP(B227,'Co-Host Agreements'!$A$6:$K$20,4,FALSE),"")="% of NET",J227*K227,IFERROR(VLOOKUP(B227,'Co-Host Agreements'!$A$6:$K$20,4,FALSE),"")="% of GROSS",F227*K227,IFERROR(VLOOKUP(B227,'Co-Host Agreements'!$A$6:$K$20,4,FALSE),"")="Flat per booking",IFERROR(VLOOKUP(B227,'Co-Host Agreements'!$A$6:$K$20,6,FALSE),0),IFERROR(VLOOKUP(B227,'Co-Host Agreements'!$A$6:$K$20,4,FALSE),"")="Hybrid (Flat + % of NET)",IFERROR(VLOOKUP(B227,'Co-Host Agreements'!$A$6:$K$20,6,FALSE),0)+J227*K227,TRUE,0))</f>
        <v/>
      </c>
      <c r="M227" s="41">
        <f>IF(B227="","",J227-L227)</f>
        <v/>
      </c>
      <c r="N227" s="36" t="n"/>
      <c r="O227" s="36" t="n"/>
    </row>
    <row r="228" ht="16" customHeight="1">
      <c r="A228" s="39" t="n"/>
      <c r="B228" s="36" t="n"/>
      <c r="C228" s="36" t="n"/>
      <c r="D228" s="36" t="n"/>
      <c r="E228" s="36" t="n"/>
      <c r="F228" s="40" t="n"/>
      <c r="G228" s="40" t="n"/>
      <c r="H228" s="40" t="n"/>
      <c r="I228" s="40" t="n"/>
      <c r="J228" s="41">
        <f>IF(F228="","",F228-IF(IFERROR(VLOOKUP(B228,'Co-Host Agreements'!$A$6:$K$20,7,FALSE),"No")="Yes",G228,0)-IF(IFERROR(VLOOKUP(B228,'Co-Host Agreements'!$A$6:$K$20,8,FALSE),"No")="Yes",H228,0)-N(I228))</f>
        <v/>
      </c>
      <c r="K228" s="42">
        <f>IFERROR(VLOOKUP(B228,'Co-Host Agreements'!$A$6:$K$20,5,FALSE),0)</f>
        <v/>
      </c>
      <c r="L228" s="41">
        <f>IF(B228="","",IFS(IFERROR(VLOOKUP(B228,'Co-Host Agreements'!$A$6:$K$20,4,FALSE),"")="% of NET",J228*K228,IFERROR(VLOOKUP(B228,'Co-Host Agreements'!$A$6:$K$20,4,FALSE),"")="% of GROSS",F228*K228,IFERROR(VLOOKUP(B228,'Co-Host Agreements'!$A$6:$K$20,4,FALSE),"")="Flat per booking",IFERROR(VLOOKUP(B228,'Co-Host Agreements'!$A$6:$K$20,6,FALSE),0),IFERROR(VLOOKUP(B228,'Co-Host Agreements'!$A$6:$K$20,4,FALSE),"")="Hybrid (Flat + % of NET)",IFERROR(VLOOKUP(B228,'Co-Host Agreements'!$A$6:$K$20,6,FALSE),0)+J228*K228,TRUE,0))</f>
        <v/>
      </c>
      <c r="M228" s="41">
        <f>IF(B228="","",J228-L228)</f>
        <v/>
      </c>
      <c r="N228" s="36" t="n"/>
      <c r="O228" s="36" t="n"/>
    </row>
    <row r="229" ht="16" customHeight="1">
      <c r="A229" s="39" t="n"/>
      <c r="B229" s="36" t="n"/>
      <c r="C229" s="36" t="n"/>
      <c r="D229" s="36" t="n"/>
      <c r="E229" s="36" t="n"/>
      <c r="F229" s="40" t="n"/>
      <c r="G229" s="40" t="n"/>
      <c r="H229" s="40" t="n"/>
      <c r="I229" s="40" t="n"/>
      <c r="J229" s="41">
        <f>IF(F229="","",F229-IF(IFERROR(VLOOKUP(B229,'Co-Host Agreements'!$A$6:$K$20,7,FALSE),"No")="Yes",G229,0)-IF(IFERROR(VLOOKUP(B229,'Co-Host Agreements'!$A$6:$K$20,8,FALSE),"No")="Yes",H229,0)-N(I229))</f>
        <v/>
      </c>
      <c r="K229" s="42">
        <f>IFERROR(VLOOKUP(B229,'Co-Host Agreements'!$A$6:$K$20,5,FALSE),0)</f>
        <v/>
      </c>
      <c r="L229" s="41">
        <f>IF(B229="","",IFS(IFERROR(VLOOKUP(B229,'Co-Host Agreements'!$A$6:$K$20,4,FALSE),"")="% of NET",J229*K229,IFERROR(VLOOKUP(B229,'Co-Host Agreements'!$A$6:$K$20,4,FALSE),"")="% of GROSS",F229*K229,IFERROR(VLOOKUP(B229,'Co-Host Agreements'!$A$6:$K$20,4,FALSE),"")="Flat per booking",IFERROR(VLOOKUP(B229,'Co-Host Agreements'!$A$6:$K$20,6,FALSE),0),IFERROR(VLOOKUP(B229,'Co-Host Agreements'!$A$6:$K$20,4,FALSE),"")="Hybrid (Flat + % of NET)",IFERROR(VLOOKUP(B229,'Co-Host Agreements'!$A$6:$K$20,6,FALSE),0)+J229*K229,TRUE,0))</f>
        <v/>
      </c>
      <c r="M229" s="41">
        <f>IF(B229="","",J229-L229)</f>
        <v/>
      </c>
      <c r="N229" s="36" t="n"/>
      <c r="O229" s="36" t="n"/>
    </row>
    <row r="230" ht="16" customHeight="1">
      <c r="A230" s="39" t="n"/>
      <c r="B230" s="36" t="n"/>
      <c r="C230" s="36" t="n"/>
      <c r="D230" s="36" t="n"/>
      <c r="E230" s="36" t="n"/>
      <c r="F230" s="40" t="n"/>
      <c r="G230" s="40" t="n"/>
      <c r="H230" s="40" t="n"/>
      <c r="I230" s="40" t="n"/>
      <c r="J230" s="41">
        <f>IF(F230="","",F230-IF(IFERROR(VLOOKUP(B230,'Co-Host Agreements'!$A$6:$K$20,7,FALSE),"No")="Yes",G230,0)-IF(IFERROR(VLOOKUP(B230,'Co-Host Agreements'!$A$6:$K$20,8,FALSE),"No")="Yes",H230,0)-N(I230))</f>
        <v/>
      </c>
      <c r="K230" s="42">
        <f>IFERROR(VLOOKUP(B230,'Co-Host Agreements'!$A$6:$K$20,5,FALSE),0)</f>
        <v/>
      </c>
      <c r="L230" s="41">
        <f>IF(B230="","",IFS(IFERROR(VLOOKUP(B230,'Co-Host Agreements'!$A$6:$K$20,4,FALSE),"")="% of NET",J230*K230,IFERROR(VLOOKUP(B230,'Co-Host Agreements'!$A$6:$K$20,4,FALSE),"")="% of GROSS",F230*K230,IFERROR(VLOOKUP(B230,'Co-Host Agreements'!$A$6:$K$20,4,FALSE),"")="Flat per booking",IFERROR(VLOOKUP(B230,'Co-Host Agreements'!$A$6:$K$20,6,FALSE),0),IFERROR(VLOOKUP(B230,'Co-Host Agreements'!$A$6:$K$20,4,FALSE),"")="Hybrid (Flat + % of NET)",IFERROR(VLOOKUP(B230,'Co-Host Agreements'!$A$6:$K$20,6,FALSE),0)+J230*K230,TRUE,0))</f>
        <v/>
      </c>
      <c r="M230" s="41">
        <f>IF(B230="","",J230-L230)</f>
        <v/>
      </c>
      <c r="N230" s="36" t="n"/>
      <c r="O230" s="36" t="n"/>
    </row>
    <row r="231" ht="16" customHeight="1">
      <c r="A231" s="39" t="n"/>
      <c r="B231" s="36" t="n"/>
      <c r="C231" s="36" t="n"/>
      <c r="D231" s="36" t="n"/>
      <c r="E231" s="36" t="n"/>
      <c r="F231" s="40" t="n"/>
      <c r="G231" s="40" t="n"/>
      <c r="H231" s="40" t="n"/>
      <c r="I231" s="40" t="n"/>
      <c r="J231" s="41">
        <f>IF(F231="","",F231-IF(IFERROR(VLOOKUP(B231,'Co-Host Agreements'!$A$6:$K$20,7,FALSE),"No")="Yes",G231,0)-IF(IFERROR(VLOOKUP(B231,'Co-Host Agreements'!$A$6:$K$20,8,FALSE),"No")="Yes",H231,0)-N(I231))</f>
        <v/>
      </c>
      <c r="K231" s="42">
        <f>IFERROR(VLOOKUP(B231,'Co-Host Agreements'!$A$6:$K$20,5,FALSE),0)</f>
        <v/>
      </c>
      <c r="L231" s="41">
        <f>IF(B231="","",IFS(IFERROR(VLOOKUP(B231,'Co-Host Agreements'!$A$6:$K$20,4,FALSE),"")="% of NET",J231*K231,IFERROR(VLOOKUP(B231,'Co-Host Agreements'!$A$6:$K$20,4,FALSE),"")="% of GROSS",F231*K231,IFERROR(VLOOKUP(B231,'Co-Host Agreements'!$A$6:$K$20,4,FALSE),"")="Flat per booking",IFERROR(VLOOKUP(B231,'Co-Host Agreements'!$A$6:$K$20,6,FALSE),0),IFERROR(VLOOKUP(B231,'Co-Host Agreements'!$A$6:$K$20,4,FALSE),"")="Hybrid (Flat + % of NET)",IFERROR(VLOOKUP(B231,'Co-Host Agreements'!$A$6:$K$20,6,FALSE),0)+J231*K231,TRUE,0))</f>
        <v/>
      </c>
      <c r="M231" s="41">
        <f>IF(B231="","",J231-L231)</f>
        <v/>
      </c>
      <c r="N231" s="36" t="n"/>
      <c r="O231" s="36" t="n"/>
    </row>
    <row r="232" ht="16" customHeight="1">
      <c r="A232" s="39" t="n"/>
      <c r="B232" s="36" t="n"/>
      <c r="C232" s="36" t="n"/>
      <c r="D232" s="36" t="n"/>
      <c r="E232" s="36" t="n"/>
      <c r="F232" s="40" t="n"/>
      <c r="G232" s="40" t="n"/>
      <c r="H232" s="40" t="n"/>
      <c r="I232" s="40" t="n"/>
      <c r="J232" s="41">
        <f>IF(F232="","",F232-IF(IFERROR(VLOOKUP(B232,'Co-Host Agreements'!$A$6:$K$20,7,FALSE),"No")="Yes",G232,0)-IF(IFERROR(VLOOKUP(B232,'Co-Host Agreements'!$A$6:$K$20,8,FALSE),"No")="Yes",H232,0)-N(I232))</f>
        <v/>
      </c>
      <c r="K232" s="42">
        <f>IFERROR(VLOOKUP(B232,'Co-Host Agreements'!$A$6:$K$20,5,FALSE),0)</f>
        <v/>
      </c>
      <c r="L232" s="41">
        <f>IF(B232="","",IFS(IFERROR(VLOOKUP(B232,'Co-Host Agreements'!$A$6:$K$20,4,FALSE),"")="% of NET",J232*K232,IFERROR(VLOOKUP(B232,'Co-Host Agreements'!$A$6:$K$20,4,FALSE),"")="% of GROSS",F232*K232,IFERROR(VLOOKUP(B232,'Co-Host Agreements'!$A$6:$K$20,4,FALSE),"")="Flat per booking",IFERROR(VLOOKUP(B232,'Co-Host Agreements'!$A$6:$K$20,6,FALSE),0),IFERROR(VLOOKUP(B232,'Co-Host Agreements'!$A$6:$K$20,4,FALSE),"")="Hybrid (Flat + % of NET)",IFERROR(VLOOKUP(B232,'Co-Host Agreements'!$A$6:$K$20,6,FALSE),0)+J232*K232,TRUE,0))</f>
        <v/>
      </c>
      <c r="M232" s="41">
        <f>IF(B232="","",J232-L232)</f>
        <v/>
      </c>
      <c r="N232" s="36" t="n"/>
      <c r="O232" s="36" t="n"/>
    </row>
    <row r="233" ht="16" customHeight="1">
      <c r="A233" s="39" t="n"/>
      <c r="B233" s="36" t="n"/>
      <c r="C233" s="36" t="n"/>
      <c r="D233" s="36" t="n"/>
      <c r="E233" s="36" t="n"/>
      <c r="F233" s="40" t="n"/>
      <c r="G233" s="40" t="n"/>
      <c r="H233" s="40" t="n"/>
      <c r="I233" s="40" t="n"/>
      <c r="J233" s="41">
        <f>IF(F233="","",F233-IF(IFERROR(VLOOKUP(B233,'Co-Host Agreements'!$A$6:$K$20,7,FALSE),"No")="Yes",G233,0)-IF(IFERROR(VLOOKUP(B233,'Co-Host Agreements'!$A$6:$K$20,8,FALSE),"No")="Yes",H233,0)-N(I233))</f>
        <v/>
      </c>
      <c r="K233" s="42">
        <f>IFERROR(VLOOKUP(B233,'Co-Host Agreements'!$A$6:$K$20,5,FALSE),0)</f>
        <v/>
      </c>
      <c r="L233" s="41">
        <f>IF(B233="","",IFS(IFERROR(VLOOKUP(B233,'Co-Host Agreements'!$A$6:$K$20,4,FALSE),"")="% of NET",J233*K233,IFERROR(VLOOKUP(B233,'Co-Host Agreements'!$A$6:$K$20,4,FALSE),"")="% of GROSS",F233*K233,IFERROR(VLOOKUP(B233,'Co-Host Agreements'!$A$6:$K$20,4,FALSE),"")="Flat per booking",IFERROR(VLOOKUP(B233,'Co-Host Agreements'!$A$6:$K$20,6,FALSE),0),IFERROR(VLOOKUP(B233,'Co-Host Agreements'!$A$6:$K$20,4,FALSE),"")="Hybrid (Flat + % of NET)",IFERROR(VLOOKUP(B233,'Co-Host Agreements'!$A$6:$K$20,6,FALSE),0)+J233*K233,TRUE,0))</f>
        <v/>
      </c>
      <c r="M233" s="41">
        <f>IF(B233="","",J233-L233)</f>
        <v/>
      </c>
      <c r="N233" s="36" t="n"/>
      <c r="O233" s="36" t="n"/>
    </row>
    <row r="234" ht="16" customHeight="1">
      <c r="A234" s="39" t="n"/>
      <c r="B234" s="36" t="n"/>
      <c r="C234" s="36" t="n"/>
      <c r="D234" s="36" t="n"/>
      <c r="E234" s="36" t="n"/>
      <c r="F234" s="40" t="n"/>
      <c r="G234" s="40" t="n"/>
      <c r="H234" s="40" t="n"/>
      <c r="I234" s="40" t="n"/>
      <c r="J234" s="41">
        <f>IF(F234="","",F234-IF(IFERROR(VLOOKUP(B234,'Co-Host Agreements'!$A$6:$K$20,7,FALSE),"No")="Yes",G234,0)-IF(IFERROR(VLOOKUP(B234,'Co-Host Agreements'!$A$6:$K$20,8,FALSE),"No")="Yes",H234,0)-N(I234))</f>
        <v/>
      </c>
      <c r="K234" s="42">
        <f>IFERROR(VLOOKUP(B234,'Co-Host Agreements'!$A$6:$K$20,5,FALSE),0)</f>
        <v/>
      </c>
      <c r="L234" s="41">
        <f>IF(B234="","",IFS(IFERROR(VLOOKUP(B234,'Co-Host Agreements'!$A$6:$K$20,4,FALSE),"")="% of NET",J234*K234,IFERROR(VLOOKUP(B234,'Co-Host Agreements'!$A$6:$K$20,4,FALSE),"")="% of GROSS",F234*K234,IFERROR(VLOOKUP(B234,'Co-Host Agreements'!$A$6:$K$20,4,FALSE),"")="Flat per booking",IFERROR(VLOOKUP(B234,'Co-Host Agreements'!$A$6:$K$20,6,FALSE),0),IFERROR(VLOOKUP(B234,'Co-Host Agreements'!$A$6:$K$20,4,FALSE),"")="Hybrid (Flat + % of NET)",IFERROR(VLOOKUP(B234,'Co-Host Agreements'!$A$6:$K$20,6,FALSE),0)+J234*K234,TRUE,0))</f>
        <v/>
      </c>
      <c r="M234" s="41">
        <f>IF(B234="","",J234-L234)</f>
        <v/>
      </c>
      <c r="N234" s="36" t="n"/>
      <c r="O234" s="36" t="n"/>
    </row>
    <row r="235" ht="16" customHeight="1">
      <c r="A235" s="39" t="n"/>
      <c r="B235" s="36" t="n"/>
      <c r="C235" s="36" t="n"/>
      <c r="D235" s="36" t="n"/>
      <c r="E235" s="36" t="n"/>
      <c r="F235" s="40" t="n"/>
      <c r="G235" s="40" t="n"/>
      <c r="H235" s="40" t="n"/>
      <c r="I235" s="40" t="n"/>
      <c r="J235" s="41">
        <f>IF(F235="","",F235-IF(IFERROR(VLOOKUP(B235,'Co-Host Agreements'!$A$6:$K$20,7,FALSE),"No")="Yes",G235,0)-IF(IFERROR(VLOOKUP(B235,'Co-Host Agreements'!$A$6:$K$20,8,FALSE),"No")="Yes",H235,0)-N(I235))</f>
        <v/>
      </c>
      <c r="K235" s="42">
        <f>IFERROR(VLOOKUP(B235,'Co-Host Agreements'!$A$6:$K$20,5,FALSE),0)</f>
        <v/>
      </c>
      <c r="L235" s="41">
        <f>IF(B235="","",IFS(IFERROR(VLOOKUP(B235,'Co-Host Agreements'!$A$6:$K$20,4,FALSE),"")="% of NET",J235*K235,IFERROR(VLOOKUP(B235,'Co-Host Agreements'!$A$6:$K$20,4,FALSE),"")="% of GROSS",F235*K235,IFERROR(VLOOKUP(B235,'Co-Host Agreements'!$A$6:$K$20,4,FALSE),"")="Flat per booking",IFERROR(VLOOKUP(B235,'Co-Host Agreements'!$A$6:$K$20,6,FALSE),0),IFERROR(VLOOKUP(B235,'Co-Host Agreements'!$A$6:$K$20,4,FALSE),"")="Hybrid (Flat + % of NET)",IFERROR(VLOOKUP(B235,'Co-Host Agreements'!$A$6:$K$20,6,FALSE),0)+J235*K235,TRUE,0))</f>
        <v/>
      </c>
      <c r="M235" s="41">
        <f>IF(B235="","",J235-L235)</f>
        <v/>
      </c>
      <c r="N235" s="36" t="n"/>
      <c r="O235" s="36" t="n"/>
    </row>
    <row r="236" ht="16" customHeight="1">
      <c r="A236" s="39" t="n"/>
      <c r="B236" s="36" t="n"/>
      <c r="C236" s="36" t="n"/>
      <c r="D236" s="36" t="n"/>
      <c r="E236" s="36" t="n"/>
      <c r="F236" s="40" t="n"/>
      <c r="G236" s="40" t="n"/>
      <c r="H236" s="40" t="n"/>
      <c r="I236" s="40" t="n"/>
      <c r="J236" s="41">
        <f>IF(F236="","",F236-IF(IFERROR(VLOOKUP(B236,'Co-Host Agreements'!$A$6:$K$20,7,FALSE),"No")="Yes",G236,0)-IF(IFERROR(VLOOKUP(B236,'Co-Host Agreements'!$A$6:$K$20,8,FALSE),"No")="Yes",H236,0)-N(I236))</f>
        <v/>
      </c>
      <c r="K236" s="42">
        <f>IFERROR(VLOOKUP(B236,'Co-Host Agreements'!$A$6:$K$20,5,FALSE),0)</f>
        <v/>
      </c>
      <c r="L236" s="41">
        <f>IF(B236="","",IFS(IFERROR(VLOOKUP(B236,'Co-Host Agreements'!$A$6:$K$20,4,FALSE),"")="% of NET",J236*K236,IFERROR(VLOOKUP(B236,'Co-Host Agreements'!$A$6:$K$20,4,FALSE),"")="% of GROSS",F236*K236,IFERROR(VLOOKUP(B236,'Co-Host Agreements'!$A$6:$K$20,4,FALSE),"")="Flat per booking",IFERROR(VLOOKUP(B236,'Co-Host Agreements'!$A$6:$K$20,6,FALSE),0),IFERROR(VLOOKUP(B236,'Co-Host Agreements'!$A$6:$K$20,4,FALSE),"")="Hybrid (Flat + % of NET)",IFERROR(VLOOKUP(B236,'Co-Host Agreements'!$A$6:$K$20,6,FALSE),0)+J236*K236,TRUE,0))</f>
        <v/>
      </c>
      <c r="M236" s="41">
        <f>IF(B236="","",J236-L236)</f>
        <v/>
      </c>
      <c r="N236" s="36" t="n"/>
      <c r="O236" s="36" t="n"/>
    </row>
    <row r="237" ht="16" customHeight="1">
      <c r="A237" s="39" t="n"/>
      <c r="B237" s="36" t="n"/>
      <c r="C237" s="36" t="n"/>
      <c r="D237" s="36" t="n"/>
      <c r="E237" s="36" t="n"/>
      <c r="F237" s="40" t="n"/>
      <c r="G237" s="40" t="n"/>
      <c r="H237" s="40" t="n"/>
      <c r="I237" s="40" t="n"/>
      <c r="J237" s="41">
        <f>IF(F237="","",F237-IF(IFERROR(VLOOKUP(B237,'Co-Host Agreements'!$A$6:$K$20,7,FALSE),"No")="Yes",G237,0)-IF(IFERROR(VLOOKUP(B237,'Co-Host Agreements'!$A$6:$K$20,8,FALSE),"No")="Yes",H237,0)-N(I237))</f>
        <v/>
      </c>
      <c r="K237" s="42">
        <f>IFERROR(VLOOKUP(B237,'Co-Host Agreements'!$A$6:$K$20,5,FALSE),0)</f>
        <v/>
      </c>
      <c r="L237" s="41">
        <f>IF(B237="","",IFS(IFERROR(VLOOKUP(B237,'Co-Host Agreements'!$A$6:$K$20,4,FALSE),"")="% of NET",J237*K237,IFERROR(VLOOKUP(B237,'Co-Host Agreements'!$A$6:$K$20,4,FALSE),"")="% of GROSS",F237*K237,IFERROR(VLOOKUP(B237,'Co-Host Agreements'!$A$6:$K$20,4,FALSE),"")="Flat per booking",IFERROR(VLOOKUP(B237,'Co-Host Agreements'!$A$6:$K$20,6,FALSE),0),IFERROR(VLOOKUP(B237,'Co-Host Agreements'!$A$6:$K$20,4,FALSE),"")="Hybrid (Flat + % of NET)",IFERROR(VLOOKUP(B237,'Co-Host Agreements'!$A$6:$K$20,6,FALSE),0)+J237*K237,TRUE,0))</f>
        <v/>
      </c>
      <c r="M237" s="41">
        <f>IF(B237="","",J237-L237)</f>
        <v/>
      </c>
      <c r="N237" s="36" t="n"/>
      <c r="O237" s="36" t="n"/>
    </row>
    <row r="238" ht="16" customHeight="1">
      <c r="A238" s="39" t="n"/>
      <c r="B238" s="36" t="n"/>
      <c r="C238" s="36" t="n"/>
      <c r="D238" s="36" t="n"/>
      <c r="E238" s="36" t="n"/>
      <c r="F238" s="40" t="n"/>
      <c r="G238" s="40" t="n"/>
      <c r="H238" s="40" t="n"/>
      <c r="I238" s="40" t="n"/>
      <c r="J238" s="41">
        <f>IF(F238="","",F238-IF(IFERROR(VLOOKUP(B238,'Co-Host Agreements'!$A$6:$K$20,7,FALSE),"No")="Yes",G238,0)-IF(IFERROR(VLOOKUP(B238,'Co-Host Agreements'!$A$6:$K$20,8,FALSE),"No")="Yes",H238,0)-N(I238))</f>
        <v/>
      </c>
      <c r="K238" s="42">
        <f>IFERROR(VLOOKUP(B238,'Co-Host Agreements'!$A$6:$K$20,5,FALSE),0)</f>
        <v/>
      </c>
      <c r="L238" s="41">
        <f>IF(B238="","",IFS(IFERROR(VLOOKUP(B238,'Co-Host Agreements'!$A$6:$K$20,4,FALSE),"")="% of NET",J238*K238,IFERROR(VLOOKUP(B238,'Co-Host Agreements'!$A$6:$K$20,4,FALSE),"")="% of GROSS",F238*K238,IFERROR(VLOOKUP(B238,'Co-Host Agreements'!$A$6:$K$20,4,FALSE),"")="Flat per booking",IFERROR(VLOOKUP(B238,'Co-Host Agreements'!$A$6:$K$20,6,FALSE),0),IFERROR(VLOOKUP(B238,'Co-Host Agreements'!$A$6:$K$20,4,FALSE),"")="Hybrid (Flat + % of NET)",IFERROR(VLOOKUP(B238,'Co-Host Agreements'!$A$6:$K$20,6,FALSE),0)+J238*K238,TRUE,0))</f>
        <v/>
      </c>
      <c r="M238" s="41">
        <f>IF(B238="","",J238-L238)</f>
        <v/>
      </c>
      <c r="N238" s="36" t="n"/>
      <c r="O238" s="36" t="n"/>
    </row>
    <row r="239" ht="16" customHeight="1">
      <c r="A239" s="39" t="n"/>
      <c r="B239" s="36" t="n"/>
      <c r="C239" s="36" t="n"/>
      <c r="D239" s="36" t="n"/>
      <c r="E239" s="36" t="n"/>
      <c r="F239" s="40" t="n"/>
      <c r="G239" s="40" t="n"/>
      <c r="H239" s="40" t="n"/>
      <c r="I239" s="40" t="n"/>
      <c r="J239" s="41">
        <f>IF(F239="","",F239-IF(IFERROR(VLOOKUP(B239,'Co-Host Agreements'!$A$6:$K$20,7,FALSE),"No")="Yes",G239,0)-IF(IFERROR(VLOOKUP(B239,'Co-Host Agreements'!$A$6:$K$20,8,FALSE),"No")="Yes",H239,0)-N(I239))</f>
        <v/>
      </c>
      <c r="K239" s="42">
        <f>IFERROR(VLOOKUP(B239,'Co-Host Agreements'!$A$6:$K$20,5,FALSE),0)</f>
        <v/>
      </c>
      <c r="L239" s="41">
        <f>IF(B239="","",IFS(IFERROR(VLOOKUP(B239,'Co-Host Agreements'!$A$6:$K$20,4,FALSE),"")="% of NET",J239*K239,IFERROR(VLOOKUP(B239,'Co-Host Agreements'!$A$6:$K$20,4,FALSE),"")="% of GROSS",F239*K239,IFERROR(VLOOKUP(B239,'Co-Host Agreements'!$A$6:$K$20,4,FALSE),"")="Flat per booking",IFERROR(VLOOKUP(B239,'Co-Host Agreements'!$A$6:$K$20,6,FALSE),0),IFERROR(VLOOKUP(B239,'Co-Host Agreements'!$A$6:$K$20,4,FALSE),"")="Hybrid (Flat + % of NET)",IFERROR(VLOOKUP(B239,'Co-Host Agreements'!$A$6:$K$20,6,FALSE),0)+J239*K239,TRUE,0))</f>
        <v/>
      </c>
      <c r="M239" s="41">
        <f>IF(B239="","",J239-L239)</f>
        <v/>
      </c>
      <c r="N239" s="36" t="n"/>
      <c r="O239" s="36" t="n"/>
    </row>
    <row r="240" ht="16" customHeight="1">
      <c r="A240" s="39" t="n"/>
      <c r="B240" s="36" t="n"/>
      <c r="C240" s="36" t="n"/>
      <c r="D240" s="36" t="n"/>
      <c r="E240" s="36" t="n"/>
      <c r="F240" s="40" t="n"/>
      <c r="G240" s="40" t="n"/>
      <c r="H240" s="40" t="n"/>
      <c r="I240" s="40" t="n"/>
      <c r="J240" s="41">
        <f>IF(F240="","",F240-IF(IFERROR(VLOOKUP(B240,'Co-Host Agreements'!$A$6:$K$20,7,FALSE),"No")="Yes",G240,0)-IF(IFERROR(VLOOKUP(B240,'Co-Host Agreements'!$A$6:$K$20,8,FALSE),"No")="Yes",H240,0)-N(I240))</f>
        <v/>
      </c>
      <c r="K240" s="42">
        <f>IFERROR(VLOOKUP(B240,'Co-Host Agreements'!$A$6:$K$20,5,FALSE),0)</f>
        <v/>
      </c>
      <c r="L240" s="41">
        <f>IF(B240="","",IFS(IFERROR(VLOOKUP(B240,'Co-Host Agreements'!$A$6:$K$20,4,FALSE),"")="% of NET",J240*K240,IFERROR(VLOOKUP(B240,'Co-Host Agreements'!$A$6:$K$20,4,FALSE),"")="% of GROSS",F240*K240,IFERROR(VLOOKUP(B240,'Co-Host Agreements'!$A$6:$K$20,4,FALSE),"")="Flat per booking",IFERROR(VLOOKUP(B240,'Co-Host Agreements'!$A$6:$K$20,6,FALSE),0),IFERROR(VLOOKUP(B240,'Co-Host Agreements'!$A$6:$K$20,4,FALSE),"")="Hybrid (Flat + % of NET)",IFERROR(VLOOKUP(B240,'Co-Host Agreements'!$A$6:$K$20,6,FALSE),0)+J240*K240,TRUE,0))</f>
        <v/>
      </c>
      <c r="M240" s="41">
        <f>IF(B240="","",J240-L240)</f>
        <v/>
      </c>
      <c r="N240" s="36" t="n"/>
      <c r="O240" s="36" t="n"/>
    </row>
    <row r="241" ht="16" customHeight="1">
      <c r="A241" s="39" t="n"/>
      <c r="B241" s="36" t="n"/>
      <c r="C241" s="36" t="n"/>
      <c r="D241" s="36" t="n"/>
      <c r="E241" s="36" t="n"/>
      <c r="F241" s="40" t="n"/>
      <c r="G241" s="40" t="n"/>
      <c r="H241" s="40" t="n"/>
      <c r="I241" s="40" t="n"/>
      <c r="J241" s="41">
        <f>IF(F241="","",F241-IF(IFERROR(VLOOKUP(B241,'Co-Host Agreements'!$A$6:$K$20,7,FALSE),"No")="Yes",G241,0)-IF(IFERROR(VLOOKUP(B241,'Co-Host Agreements'!$A$6:$K$20,8,FALSE),"No")="Yes",H241,0)-N(I241))</f>
        <v/>
      </c>
      <c r="K241" s="42">
        <f>IFERROR(VLOOKUP(B241,'Co-Host Agreements'!$A$6:$K$20,5,FALSE),0)</f>
        <v/>
      </c>
      <c r="L241" s="41">
        <f>IF(B241="","",IFS(IFERROR(VLOOKUP(B241,'Co-Host Agreements'!$A$6:$K$20,4,FALSE),"")="% of NET",J241*K241,IFERROR(VLOOKUP(B241,'Co-Host Agreements'!$A$6:$K$20,4,FALSE),"")="% of GROSS",F241*K241,IFERROR(VLOOKUP(B241,'Co-Host Agreements'!$A$6:$K$20,4,FALSE),"")="Flat per booking",IFERROR(VLOOKUP(B241,'Co-Host Agreements'!$A$6:$K$20,6,FALSE),0),IFERROR(VLOOKUP(B241,'Co-Host Agreements'!$A$6:$K$20,4,FALSE),"")="Hybrid (Flat + % of NET)",IFERROR(VLOOKUP(B241,'Co-Host Agreements'!$A$6:$K$20,6,FALSE),0)+J241*K241,TRUE,0))</f>
        <v/>
      </c>
      <c r="M241" s="41">
        <f>IF(B241="","",J241-L241)</f>
        <v/>
      </c>
      <c r="N241" s="36" t="n"/>
      <c r="O241" s="36" t="n"/>
    </row>
    <row r="242" ht="16" customHeight="1">
      <c r="A242" s="39" t="n"/>
      <c r="B242" s="36" t="n"/>
      <c r="C242" s="36" t="n"/>
      <c r="D242" s="36" t="n"/>
      <c r="E242" s="36" t="n"/>
      <c r="F242" s="40" t="n"/>
      <c r="G242" s="40" t="n"/>
      <c r="H242" s="40" t="n"/>
      <c r="I242" s="40" t="n"/>
      <c r="J242" s="41">
        <f>IF(F242="","",F242-IF(IFERROR(VLOOKUP(B242,'Co-Host Agreements'!$A$6:$K$20,7,FALSE),"No")="Yes",G242,0)-IF(IFERROR(VLOOKUP(B242,'Co-Host Agreements'!$A$6:$K$20,8,FALSE),"No")="Yes",H242,0)-N(I242))</f>
        <v/>
      </c>
      <c r="K242" s="42">
        <f>IFERROR(VLOOKUP(B242,'Co-Host Agreements'!$A$6:$K$20,5,FALSE),0)</f>
        <v/>
      </c>
      <c r="L242" s="41">
        <f>IF(B242="","",IFS(IFERROR(VLOOKUP(B242,'Co-Host Agreements'!$A$6:$K$20,4,FALSE),"")="% of NET",J242*K242,IFERROR(VLOOKUP(B242,'Co-Host Agreements'!$A$6:$K$20,4,FALSE),"")="% of GROSS",F242*K242,IFERROR(VLOOKUP(B242,'Co-Host Agreements'!$A$6:$K$20,4,FALSE),"")="Flat per booking",IFERROR(VLOOKUP(B242,'Co-Host Agreements'!$A$6:$K$20,6,FALSE),0),IFERROR(VLOOKUP(B242,'Co-Host Agreements'!$A$6:$K$20,4,FALSE),"")="Hybrid (Flat + % of NET)",IFERROR(VLOOKUP(B242,'Co-Host Agreements'!$A$6:$K$20,6,FALSE),0)+J242*K242,TRUE,0))</f>
        <v/>
      </c>
      <c r="M242" s="41">
        <f>IF(B242="","",J242-L242)</f>
        <v/>
      </c>
      <c r="N242" s="36" t="n"/>
      <c r="O242" s="36" t="n"/>
    </row>
    <row r="243" ht="16" customHeight="1">
      <c r="A243" s="39" t="n"/>
      <c r="B243" s="36" t="n"/>
      <c r="C243" s="36" t="n"/>
      <c r="D243" s="36" t="n"/>
      <c r="E243" s="36" t="n"/>
      <c r="F243" s="40" t="n"/>
      <c r="G243" s="40" t="n"/>
      <c r="H243" s="40" t="n"/>
      <c r="I243" s="40" t="n"/>
      <c r="J243" s="41">
        <f>IF(F243="","",F243-IF(IFERROR(VLOOKUP(B243,'Co-Host Agreements'!$A$6:$K$20,7,FALSE),"No")="Yes",G243,0)-IF(IFERROR(VLOOKUP(B243,'Co-Host Agreements'!$A$6:$K$20,8,FALSE),"No")="Yes",H243,0)-N(I243))</f>
        <v/>
      </c>
      <c r="K243" s="42">
        <f>IFERROR(VLOOKUP(B243,'Co-Host Agreements'!$A$6:$K$20,5,FALSE),0)</f>
        <v/>
      </c>
      <c r="L243" s="41">
        <f>IF(B243="","",IFS(IFERROR(VLOOKUP(B243,'Co-Host Agreements'!$A$6:$K$20,4,FALSE),"")="% of NET",J243*K243,IFERROR(VLOOKUP(B243,'Co-Host Agreements'!$A$6:$K$20,4,FALSE),"")="% of GROSS",F243*K243,IFERROR(VLOOKUP(B243,'Co-Host Agreements'!$A$6:$K$20,4,FALSE),"")="Flat per booking",IFERROR(VLOOKUP(B243,'Co-Host Agreements'!$A$6:$K$20,6,FALSE),0),IFERROR(VLOOKUP(B243,'Co-Host Agreements'!$A$6:$K$20,4,FALSE),"")="Hybrid (Flat + % of NET)",IFERROR(VLOOKUP(B243,'Co-Host Agreements'!$A$6:$K$20,6,FALSE),0)+J243*K243,TRUE,0))</f>
        <v/>
      </c>
      <c r="M243" s="41">
        <f>IF(B243="","",J243-L243)</f>
        <v/>
      </c>
      <c r="N243" s="36" t="n"/>
      <c r="O243" s="36" t="n"/>
    </row>
    <row r="244" ht="16" customHeight="1">
      <c r="A244" s="39" t="n"/>
      <c r="B244" s="36" t="n"/>
      <c r="C244" s="36" t="n"/>
      <c r="D244" s="36" t="n"/>
      <c r="E244" s="36" t="n"/>
      <c r="F244" s="40" t="n"/>
      <c r="G244" s="40" t="n"/>
      <c r="H244" s="40" t="n"/>
      <c r="I244" s="40" t="n"/>
      <c r="J244" s="41">
        <f>IF(F244="","",F244-IF(IFERROR(VLOOKUP(B244,'Co-Host Agreements'!$A$6:$K$20,7,FALSE),"No")="Yes",G244,0)-IF(IFERROR(VLOOKUP(B244,'Co-Host Agreements'!$A$6:$K$20,8,FALSE),"No")="Yes",H244,0)-N(I244))</f>
        <v/>
      </c>
      <c r="K244" s="42">
        <f>IFERROR(VLOOKUP(B244,'Co-Host Agreements'!$A$6:$K$20,5,FALSE),0)</f>
        <v/>
      </c>
      <c r="L244" s="41">
        <f>IF(B244="","",IFS(IFERROR(VLOOKUP(B244,'Co-Host Agreements'!$A$6:$K$20,4,FALSE),"")="% of NET",J244*K244,IFERROR(VLOOKUP(B244,'Co-Host Agreements'!$A$6:$K$20,4,FALSE),"")="% of GROSS",F244*K244,IFERROR(VLOOKUP(B244,'Co-Host Agreements'!$A$6:$K$20,4,FALSE),"")="Flat per booking",IFERROR(VLOOKUP(B244,'Co-Host Agreements'!$A$6:$K$20,6,FALSE),0),IFERROR(VLOOKUP(B244,'Co-Host Agreements'!$A$6:$K$20,4,FALSE),"")="Hybrid (Flat + % of NET)",IFERROR(VLOOKUP(B244,'Co-Host Agreements'!$A$6:$K$20,6,FALSE),0)+J244*K244,TRUE,0))</f>
        <v/>
      </c>
      <c r="M244" s="41">
        <f>IF(B244="","",J244-L244)</f>
        <v/>
      </c>
      <c r="N244" s="36" t="n"/>
      <c r="O244" s="36" t="n"/>
    </row>
    <row r="245" ht="16" customHeight="1">
      <c r="A245" s="39" t="n"/>
      <c r="B245" s="36" t="n"/>
      <c r="C245" s="36" t="n"/>
      <c r="D245" s="36" t="n"/>
      <c r="E245" s="36" t="n"/>
      <c r="F245" s="40" t="n"/>
      <c r="G245" s="40" t="n"/>
      <c r="H245" s="40" t="n"/>
      <c r="I245" s="40" t="n"/>
      <c r="J245" s="41">
        <f>IF(F245="","",F245-IF(IFERROR(VLOOKUP(B245,'Co-Host Agreements'!$A$6:$K$20,7,FALSE),"No")="Yes",G245,0)-IF(IFERROR(VLOOKUP(B245,'Co-Host Agreements'!$A$6:$K$20,8,FALSE),"No")="Yes",H245,0)-N(I245))</f>
        <v/>
      </c>
      <c r="K245" s="42">
        <f>IFERROR(VLOOKUP(B245,'Co-Host Agreements'!$A$6:$K$20,5,FALSE),0)</f>
        <v/>
      </c>
      <c r="L245" s="41">
        <f>IF(B245="","",IFS(IFERROR(VLOOKUP(B245,'Co-Host Agreements'!$A$6:$K$20,4,FALSE),"")="% of NET",J245*K245,IFERROR(VLOOKUP(B245,'Co-Host Agreements'!$A$6:$K$20,4,FALSE),"")="% of GROSS",F245*K245,IFERROR(VLOOKUP(B245,'Co-Host Agreements'!$A$6:$K$20,4,FALSE),"")="Flat per booking",IFERROR(VLOOKUP(B245,'Co-Host Agreements'!$A$6:$K$20,6,FALSE),0),IFERROR(VLOOKUP(B245,'Co-Host Agreements'!$A$6:$K$20,4,FALSE),"")="Hybrid (Flat + % of NET)",IFERROR(VLOOKUP(B245,'Co-Host Agreements'!$A$6:$K$20,6,FALSE),0)+J245*K245,TRUE,0))</f>
        <v/>
      </c>
      <c r="M245" s="41">
        <f>IF(B245="","",J245-L245)</f>
        <v/>
      </c>
      <c r="N245" s="36" t="n"/>
      <c r="O245" s="36" t="n"/>
    </row>
    <row r="246" ht="16" customHeight="1">
      <c r="A246" s="39" t="n"/>
      <c r="B246" s="36" t="n"/>
      <c r="C246" s="36" t="n"/>
      <c r="D246" s="36" t="n"/>
      <c r="E246" s="36" t="n"/>
      <c r="F246" s="40" t="n"/>
      <c r="G246" s="40" t="n"/>
      <c r="H246" s="40" t="n"/>
      <c r="I246" s="40" t="n"/>
      <c r="J246" s="41">
        <f>IF(F246="","",F246-IF(IFERROR(VLOOKUP(B246,'Co-Host Agreements'!$A$6:$K$20,7,FALSE),"No")="Yes",G246,0)-IF(IFERROR(VLOOKUP(B246,'Co-Host Agreements'!$A$6:$K$20,8,FALSE),"No")="Yes",H246,0)-N(I246))</f>
        <v/>
      </c>
      <c r="K246" s="42">
        <f>IFERROR(VLOOKUP(B246,'Co-Host Agreements'!$A$6:$K$20,5,FALSE),0)</f>
        <v/>
      </c>
      <c r="L246" s="41">
        <f>IF(B246="","",IFS(IFERROR(VLOOKUP(B246,'Co-Host Agreements'!$A$6:$K$20,4,FALSE),"")="% of NET",J246*K246,IFERROR(VLOOKUP(B246,'Co-Host Agreements'!$A$6:$K$20,4,FALSE),"")="% of GROSS",F246*K246,IFERROR(VLOOKUP(B246,'Co-Host Agreements'!$A$6:$K$20,4,FALSE),"")="Flat per booking",IFERROR(VLOOKUP(B246,'Co-Host Agreements'!$A$6:$K$20,6,FALSE),0),IFERROR(VLOOKUP(B246,'Co-Host Agreements'!$A$6:$K$20,4,FALSE),"")="Hybrid (Flat + % of NET)",IFERROR(VLOOKUP(B246,'Co-Host Agreements'!$A$6:$K$20,6,FALSE),0)+J246*K246,TRUE,0))</f>
        <v/>
      </c>
      <c r="M246" s="41">
        <f>IF(B246="","",J246-L246)</f>
        <v/>
      </c>
      <c r="N246" s="36" t="n"/>
      <c r="O246" s="36" t="n"/>
    </row>
    <row r="247" ht="16" customHeight="1">
      <c r="A247" s="39" t="n"/>
      <c r="B247" s="36" t="n"/>
      <c r="C247" s="36" t="n"/>
      <c r="D247" s="36" t="n"/>
      <c r="E247" s="36" t="n"/>
      <c r="F247" s="40" t="n"/>
      <c r="G247" s="40" t="n"/>
      <c r="H247" s="40" t="n"/>
      <c r="I247" s="40" t="n"/>
      <c r="J247" s="41">
        <f>IF(F247="","",F247-IF(IFERROR(VLOOKUP(B247,'Co-Host Agreements'!$A$6:$K$20,7,FALSE),"No")="Yes",G247,0)-IF(IFERROR(VLOOKUP(B247,'Co-Host Agreements'!$A$6:$K$20,8,FALSE),"No")="Yes",H247,0)-N(I247))</f>
        <v/>
      </c>
      <c r="K247" s="42">
        <f>IFERROR(VLOOKUP(B247,'Co-Host Agreements'!$A$6:$K$20,5,FALSE),0)</f>
        <v/>
      </c>
      <c r="L247" s="41">
        <f>IF(B247="","",IFS(IFERROR(VLOOKUP(B247,'Co-Host Agreements'!$A$6:$K$20,4,FALSE),"")="% of NET",J247*K247,IFERROR(VLOOKUP(B247,'Co-Host Agreements'!$A$6:$K$20,4,FALSE),"")="% of GROSS",F247*K247,IFERROR(VLOOKUP(B247,'Co-Host Agreements'!$A$6:$K$20,4,FALSE),"")="Flat per booking",IFERROR(VLOOKUP(B247,'Co-Host Agreements'!$A$6:$K$20,6,FALSE),0),IFERROR(VLOOKUP(B247,'Co-Host Agreements'!$A$6:$K$20,4,FALSE),"")="Hybrid (Flat + % of NET)",IFERROR(VLOOKUP(B247,'Co-Host Agreements'!$A$6:$K$20,6,FALSE),0)+J247*K247,TRUE,0))</f>
        <v/>
      </c>
      <c r="M247" s="41">
        <f>IF(B247="","",J247-L247)</f>
        <v/>
      </c>
      <c r="N247" s="36" t="n"/>
      <c r="O247" s="36" t="n"/>
    </row>
    <row r="248" ht="16" customHeight="1">
      <c r="A248" s="39" t="n"/>
      <c r="B248" s="36" t="n"/>
      <c r="C248" s="36" t="n"/>
      <c r="D248" s="36" t="n"/>
      <c r="E248" s="36" t="n"/>
      <c r="F248" s="40" t="n"/>
      <c r="G248" s="40" t="n"/>
      <c r="H248" s="40" t="n"/>
      <c r="I248" s="40" t="n"/>
      <c r="J248" s="41">
        <f>IF(F248="","",F248-IF(IFERROR(VLOOKUP(B248,'Co-Host Agreements'!$A$6:$K$20,7,FALSE),"No")="Yes",G248,0)-IF(IFERROR(VLOOKUP(B248,'Co-Host Agreements'!$A$6:$K$20,8,FALSE),"No")="Yes",H248,0)-N(I248))</f>
        <v/>
      </c>
      <c r="K248" s="42">
        <f>IFERROR(VLOOKUP(B248,'Co-Host Agreements'!$A$6:$K$20,5,FALSE),0)</f>
        <v/>
      </c>
      <c r="L248" s="41">
        <f>IF(B248="","",IFS(IFERROR(VLOOKUP(B248,'Co-Host Agreements'!$A$6:$K$20,4,FALSE),"")="% of NET",J248*K248,IFERROR(VLOOKUP(B248,'Co-Host Agreements'!$A$6:$K$20,4,FALSE),"")="% of GROSS",F248*K248,IFERROR(VLOOKUP(B248,'Co-Host Agreements'!$A$6:$K$20,4,FALSE),"")="Flat per booking",IFERROR(VLOOKUP(B248,'Co-Host Agreements'!$A$6:$K$20,6,FALSE),0),IFERROR(VLOOKUP(B248,'Co-Host Agreements'!$A$6:$K$20,4,FALSE),"")="Hybrid (Flat + % of NET)",IFERROR(VLOOKUP(B248,'Co-Host Agreements'!$A$6:$K$20,6,FALSE),0)+J248*K248,TRUE,0))</f>
        <v/>
      </c>
      <c r="M248" s="41">
        <f>IF(B248="","",J248-L248)</f>
        <v/>
      </c>
      <c r="N248" s="36" t="n"/>
      <c r="O248" s="36" t="n"/>
    </row>
    <row r="249" ht="16" customHeight="1">
      <c r="A249" s="39" t="n"/>
      <c r="B249" s="36" t="n"/>
      <c r="C249" s="36" t="n"/>
      <c r="D249" s="36" t="n"/>
      <c r="E249" s="36" t="n"/>
      <c r="F249" s="40" t="n"/>
      <c r="G249" s="40" t="n"/>
      <c r="H249" s="40" t="n"/>
      <c r="I249" s="40" t="n"/>
      <c r="J249" s="41">
        <f>IF(F249="","",F249-IF(IFERROR(VLOOKUP(B249,'Co-Host Agreements'!$A$6:$K$20,7,FALSE),"No")="Yes",G249,0)-IF(IFERROR(VLOOKUP(B249,'Co-Host Agreements'!$A$6:$K$20,8,FALSE),"No")="Yes",H249,0)-N(I249))</f>
        <v/>
      </c>
      <c r="K249" s="42">
        <f>IFERROR(VLOOKUP(B249,'Co-Host Agreements'!$A$6:$K$20,5,FALSE),0)</f>
        <v/>
      </c>
      <c r="L249" s="41">
        <f>IF(B249="","",IFS(IFERROR(VLOOKUP(B249,'Co-Host Agreements'!$A$6:$K$20,4,FALSE),"")="% of NET",J249*K249,IFERROR(VLOOKUP(B249,'Co-Host Agreements'!$A$6:$K$20,4,FALSE),"")="% of GROSS",F249*K249,IFERROR(VLOOKUP(B249,'Co-Host Agreements'!$A$6:$K$20,4,FALSE),"")="Flat per booking",IFERROR(VLOOKUP(B249,'Co-Host Agreements'!$A$6:$K$20,6,FALSE),0),IFERROR(VLOOKUP(B249,'Co-Host Agreements'!$A$6:$K$20,4,FALSE),"")="Hybrid (Flat + % of NET)",IFERROR(VLOOKUP(B249,'Co-Host Agreements'!$A$6:$K$20,6,FALSE),0)+J249*K249,TRUE,0))</f>
        <v/>
      </c>
      <c r="M249" s="41">
        <f>IF(B249="","",J249-L249)</f>
        <v/>
      </c>
      <c r="N249" s="36" t="n"/>
      <c r="O249" s="36" t="n"/>
    </row>
    <row r="250" ht="16" customHeight="1">
      <c r="A250" s="39" t="n"/>
      <c r="B250" s="36" t="n"/>
      <c r="C250" s="36" t="n"/>
      <c r="D250" s="36" t="n"/>
      <c r="E250" s="36" t="n"/>
      <c r="F250" s="40" t="n"/>
      <c r="G250" s="40" t="n"/>
      <c r="H250" s="40" t="n"/>
      <c r="I250" s="40" t="n"/>
      <c r="J250" s="41">
        <f>IF(F250="","",F250-IF(IFERROR(VLOOKUP(B250,'Co-Host Agreements'!$A$6:$K$20,7,FALSE),"No")="Yes",G250,0)-IF(IFERROR(VLOOKUP(B250,'Co-Host Agreements'!$A$6:$K$20,8,FALSE),"No")="Yes",H250,0)-N(I250))</f>
        <v/>
      </c>
      <c r="K250" s="42">
        <f>IFERROR(VLOOKUP(B250,'Co-Host Agreements'!$A$6:$K$20,5,FALSE),0)</f>
        <v/>
      </c>
      <c r="L250" s="41">
        <f>IF(B250="","",IFS(IFERROR(VLOOKUP(B250,'Co-Host Agreements'!$A$6:$K$20,4,FALSE),"")="% of NET",J250*K250,IFERROR(VLOOKUP(B250,'Co-Host Agreements'!$A$6:$K$20,4,FALSE),"")="% of GROSS",F250*K250,IFERROR(VLOOKUP(B250,'Co-Host Agreements'!$A$6:$K$20,4,FALSE),"")="Flat per booking",IFERROR(VLOOKUP(B250,'Co-Host Agreements'!$A$6:$K$20,6,FALSE),0),IFERROR(VLOOKUP(B250,'Co-Host Agreements'!$A$6:$K$20,4,FALSE),"")="Hybrid (Flat + % of NET)",IFERROR(VLOOKUP(B250,'Co-Host Agreements'!$A$6:$K$20,6,FALSE),0)+J250*K250,TRUE,0))</f>
        <v/>
      </c>
      <c r="M250" s="41">
        <f>IF(B250="","",J250-L250)</f>
        <v/>
      </c>
      <c r="N250" s="36" t="n"/>
      <c r="O250" s="36" t="n"/>
    </row>
    <row r="251" ht="16" customHeight="1">
      <c r="A251" s="39" t="n"/>
      <c r="B251" s="36" t="n"/>
      <c r="C251" s="36" t="n"/>
      <c r="D251" s="36" t="n"/>
      <c r="E251" s="36" t="n"/>
      <c r="F251" s="40" t="n"/>
      <c r="G251" s="40" t="n"/>
      <c r="H251" s="40" t="n"/>
      <c r="I251" s="40" t="n"/>
      <c r="J251" s="41">
        <f>IF(F251="","",F251-IF(IFERROR(VLOOKUP(B251,'Co-Host Agreements'!$A$6:$K$20,7,FALSE),"No")="Yes",G251,0)-IF(IFERROR(VLOOKUP(B251,'Co-Host Agreements'!$A$6:$K$20,8,FALSE),"No")="Yes",H251,0)-N(I251))</f>
        <v/>
      </c>
      <c r="K251" s="42">
        <f>IFERROR(VLOOKUP(B251,'Co-Host Agreements'!$A$6:$K$20,5,FALSE),0)</f>
        <v/>
      </c>
      <c r="L251" s="41">
        <f>IF(B251="","",IFS(IFERROR(VLOOKUP(B251,'Co-Host Agreements'!$A$6:$K$20,4,FALSE),"")="% of NET",J251*K251,IFERROR(VLOOKUP(B251,'Co-Host Agreements'!$A$6:$K$20,4,FALSE),"")="% of GROSS",F251*K251,IFERROR(VLOOKUP(B251,'Co-Host Agreements'!$A$6:$K$20,4,FALSE),"")="Flat per booking",IFERROR(VLOOKUP(B251,'Co-Host Agreements'!$A$6:$K$20,6,FALSE),0),IFERROR(VLOOKUP(B251,'Co-Host Agreements'!$A$6:$K$20,4,FALSE),"")="Hybrid (Flat + % of NET)",IFERROR(VLOOKUP(B251,'Co-Host Agreements'!$A$6:$K$20,6,FALSE),0)+J251*K251,TRUE,0))</f>
        <v/>
      </c>
      <c r="M251" s="41">
        <f>IF(B251="","",J251-L251)</f>
        <v/>
      </c>
      <c r="N251" s="36" t="n"/>
      <c r="O251" s="36" t="n"/>
    </row>
    <row r="252" ht="16" customHeight="1">
      <c r="A252" s="39" t="n"/>
      <c r="B252" s="36" t="n"/>
      <c r="C252" s="36" t="n"/>
      <c r="D252" s="36" t="n"/>
      <c r="E252" s="36" t="n"/>
      <c r="F252" s="40" t="n"/>
      <c r="G252" s="40" t="n"/>
      <c r="H252" s="40" t="n"/>
      <c r="I252" s="40" t="n"/>
      <c r="J252" s="41">
        <f>IF(F252="","",F252-IF(IFERROR(VLOOKUP(B252,'Co-Host Agreements'!$A$6:$K$20,7,FALSE),"No")="Yes",G252,0)-IF(IFERROR(VLOOKUP(B252,'Co-Host Agreements'!$A$6:$K$20,8,FALSE),"No")="Yes",H252,0)-N(I252))</f>
        <v/>
      </c>
      <c r="K252" s="42">
        <f>IFERROR(VLOOKUP(B252,'Co-Host Agreements'!$A$6:$K$20,5,FALSE),0)</f>
        <v/>
      </c>
      <c r="L252" s="41">
        <f>IF(B252="","",IFS(IFERROR(VLOOKUP(B252,'Co-Host Agreements'!$A$6:$K$20,4,FALSE),"")="% of NET",J252*K252,IFERROR(VLOOKUP(B252,'Co-Host Agreements'!$A$6:$K$20,4,FALSE),"")="% of GROSS",F252*K252,IFERROR(VLOOKUP(B252,'Co-Host Agreements'!$A$6:$K$20,4,FALSE),"")="Flat per booking",IFERROR(VLOOKUP(B252,'Co-Host Agreements'!$A$6:$K$20,6,FALSE),0),IFERROR(VLOOKUP(B252,'Co-Host Agreements'!$A$6:$K$20,4,FALSE),"")="Hybrid (Flat + % of NET)",IFERROR(VLOOKUP(B252,'Co-Host Agreements'!$A$6:$K$20,6,FALSE),0)+J252*K252,TRUE,0))</f>
        <v/>
      </c>
      <c r="M252" s="41">
        <f>IF(B252="","",J252-L252)</f>
        <v/>
      </c>
      <c r="N252" s="36" t="n"/>
      <c r="O252" s="36" t="n"/>
    </row>
    <row r="253" ht="16" customHeight="1">
      <c r="A253" s="39" t="n"/>
      <c r="B253" s="36" t="n"/>
      <c r="C253" s="36" t="n"/>
      <c r="D253" s="36" t="n"/>
      <c r="E253" s="36" t="n"/>
      <c r="F253" s="40" t="n"/>
      <c r="G253" s="40" t="n"/>
      <c r="H253" s="40" t="n"/>
      <c r="I253" s="40" t="n"/>
      <c r="J253" s="41">
        <f>IF(F253="","",F253-IF(IFERROR(VLOOKUP(B253,'Co-Host Agreements'!$A$6:$K$20,7,FALSE),"No")="Yes",G253,0)-IF(IFERROR(VLOOKUP(B253,'Co-Host Agreements'!$A$6:$K$20,8,FALSE),"No")="Yes",H253,0)-N(I253))</f>
        <v/>
      </c>
      <c r="K253" s="42">
        <f>IFERROR(VLOOKUP(B253,'Co-Host Agreements'!$A$6:$K$20,5,FALSE),0)</f>
        <v/>
      </c>
      <c r="L253" s="41">
        <f>IF(B253="","",IFS(IFERROR(VLOOKUP(B253,'Co-Host Agreements'!$A$6:$K$20,4,FALSE),"")="% of NET",J253*K253,IFERROR(VLOOKUP(B253,'Co-Host Agreements'!$A$6:$K$20,4,FALSE),"")="% of GROSS",F253*K253,IFERROR(VLOOKUP(B253,'Co-Host Agreements'!$A$6:$K$20,4,FALSE),"")="Flat per booking",IFERROR(VLOOKUP(B253,'Co-Host Agreements'!$A$6:$K$20,6,FALSE),0),IFERROR(VLOOKUP(B253,'Co-Host Agreements'!$A$6:$K$20,4,FALSE),"")="Hybrid (Flat + % of NET)",IFERROR(VLOOKUP(B253,'Co-Host Agreements'!$A$6:$K$20,6,FALSE),0)+J253*K253,TRUE,0))</f>
        <v/>
      </c>
      <c r="M253" s="41">
        <f>IF(B253="","",J253-L253)</f>
        <v/>
      </c>
      <c r="N253" s="36" t="n"/>
      <c r="O253" s="36" t="n"/>
    </row>
    <row r="254" ht="16" customHeight="1">
      <c r="A254" s="39" t="n"/>
      <c r="B254" s="36" t="n"/>
      <c r="C254" s="36" t="n"/>
      <c r="D254" s="36" t="n"/>
      <c r="E254" s="36" t="n"/>
      <c r="F254" s="40" t="n"/>
      <c r="G254" s="40" t="n"/>
      <c r="H254" s="40" t="n"/>
      <c r="I254" s="40" t="n"/>
      <c r="J254" s="41">
        <f>IF(F254="","",F254-IF(IFERROR(VLOOKUP(B254,'Co-Host Agreements'!$A$6:$K$20,7,FALSE),"No")="Yes",G254,0)-IF(IFERROR(VLOOKUP(B254,'Co-Host Agreements'!$A$6:$K$20,8,FALSE),"No")="Yes",H254,0)-N(I254))</f>
        <v/>
      </c>
      <c r="K254" s="42">
        <f>IFERROR(VLOOKUP(B254,'Co-Host Agreements'!$A$6:$K$20,5,FALSE),0)</f>
        <v/>
      </c>
      <c r="L254" s="41">
        <f>IF(B254="","",IFS(IFERROR(VLOOKUP(B254,'Co-Host Agreements'!$A$6:$K$20,4,FALSE),"")="% of NET",J254*K254,IFERROR(VLOOKUP(B254,'Co-Host Agreements'!$A$6:$K$20,4,FALSE),"")="% of GROSS",F254*K254,IFERROR(VLOOKUP(B254,'Co-Host Agreements'!$A$6:$K$20,4,FALSE),"")="Flat per booking",IFERROR(VLOOKUP(B254,'Co-Host Agreements'!$A$6:$K$20,6,FALSE),0),IFERROR(VLOOKUP(B254,'Co-Host Agreements'!$A$6:$K$20,4,FALSE),"")="Hybrid (Flat + % of NET)",IFERROR(VLOOKUP(B254,'Co-Host Agreements'!$A$6:$K$20,6,FALSE),0)+J254*K254,TRUE,0))</f>
        <v/>
      </c>
      <c r="M254" s="41">
        <f>IF(B254="","",J254-L254)</f>
        <v/>
      </c>
      <c r="N254" s="36" t="n"/>
      <c r="O254" s="36" t="n"/>
    </row>
    <row r="255" ht="16" customHeight="1">
      <c r="A255" s="39" t="n"/>
      <c r="B255" s="36" t="n"/>
      <c r="C255" s="36" t="n"/>
      <c r="D255" s="36" t="n"/>
      <c r="E255" s="36" t="n"/>
      <c r="F255" s="40" t="n"/>
      <c r="G255" s="40" t="n"/>
      <c r="H255" s="40" t="n"/>
      <c r="I255" s="40" t="n"/>
      <c r="J255" s="41">
        <f>IF(F255="","",F255-IF(IFERROR(VLOOKUP(B255,'Co-Host Agreements'!$A$6:$K$20,7,FALSE),"No")="Yes",G255,0)-IF(IFERROR(VLOOKUP(B255,'Co-Host Agreements'!$A$6:$K$20,8,FALSE),"No")="Yes",H255,0)-N(I255))</f>
        <v/>
      </c>
      <c r="K255" s="42">
        <f>IFERROR(VLOOKUP(B255,'Co-Host Agreements'!$A$6:$K$20,5,FALSE),0)</f>
        <v/>
      </c>
      <c r="L255" s="41">
        <f>IF(B255="","",IFS(IFERROR(VLOOKUP(B255,'Co-Host Agreements'!$A$6:$K$20,4,FALSE),"")="% of NET",J255*K255,IFERROR(VLOOKUP(B255,'Co-Host Agreements'!$A$6:$K$20,4,FALSE),"")="% of GROSS",F255*K255,IFERROR(VLOOKUP(B255,'Co-Host Agreements'!$A$6:$K$20,4,FALSE),"")="Flat per booking",IFERROR(VLOOKUP(B255,'Co-Host Agreements'!$A$6:$K$20,6,FALSE),0),IFERROR(VLOOKUP(B255,'Co-Host Agreements'!$A$6:$K$20,4,FALSE),"")="Hybrid (Flat + % of NET)",IFERROR(VLOOKUP(B255,'Co-Host Agreements'!$A$6:$K$20,6,FALSE),0)+J255*K255,TRUE,0))</f>
        <v/>
      </c>
      <c r="M255" s="41">
        <f>IF(B255="","",J255-L255)</f>
        <v/>
      </c>
      <c r="N255" s="36" t="n"/>
      <c r="O255" s="36" t="n"/>
    </row>
    <row r="256" ht="16" customHeight="1">
      <c r="A256" s="39" t="n"/>
      <c r="B256" s="36" t="n"/>
      <c r="C256" s="36" t="n"/>
      <c r="D256" s="36" t="n"/>
      <c r="E256" s="36" t="n"/>
      <c r="F256" s="40" t="n"/>
      <c r="G256" s="40" t="n"/>
      <c r="H256" s="40" t="n"/>
      <c r="I256" s="40" t="n"/>
      <c r="J256" s="41">
        <f>IF(F256="","",F256-IF(IFERROR(VLOOKUP(B256,'Co-Host Agreements'!$A$6:$K$20,7,FALSE),"No")="Yes",G256,0)-IF(IFERROR(VLOOKUP(B256,'Co-Host Agreements'!$A$6:$K$20,8,FALSE),"No")="Yes",H256,0)-N(I256))</f>
        <v/>
      </c>
      <c r="K256" s="42">
        <f>IFERROR(VLOOKUP(B256,'Co-Host Agreements'!$A$6:$K$20,5,FALSE),0)</f>
        <v/>
      </c>
      <c r="L256" s="41">
        <f>IF(B256="","",IFS(IFERROR(VLOOKUP(B256,'Co-Host Agreements'!$A$6:$K$20,4,FALSE),"")="% of NET",J256*K256,IFERROR(VLOOKUP(B256,'Co-Host Agreements'!$A$6:$K$20,4,FALSE),"")="% of GROSS",F256*K256,IFERROR(VLOOKUP(B256,'Co-Host Agreements'!$A$6:$K$20,4,FALSE),"")="Flat per booking",IFERROR(VLOOKUP(B256,'Co-Host Agreements'!$A$6:$K$20,6,FALSE),0),IFERROR(VLOOKUP(B256,'Co-Host Agreements'!$A$6:$K$20,4,FALSE),"")="Hybrid (Flat + % of NET)",IFERROR(VLOOKUP(B256,'Co-Host Agreements'!$A$6:$K$20,6,FALSE),0)+J256*K256,TRUE,0))</f>
        <v/>
      </c>
      <c r="M256" s="41">
        <f>IF(B256="","",J256-L256)</f>
        <v/>
      </c>
      <c r="N256" s="36" t="n"/>
      <c r="O256" s="36" t="n"/>
    </row>
    <row r="257" ht="16" customHeight="1">
      <c r="A257" s="39" t="n"/>
      <c r="B257" s="36" t="n"/>
      <c r="C257" s="36" t="n"/>
      <c r="D257" s="36" t="n"/>
      <c r="E257" s="36" t="n"/>
      <c r="F257" s="40" t="n"/>
      <c r="G257" s="40" t="n"/>
      <c r="H257" s="40" t="n"/>
      <c r="I257" s="40" t="n"/>
      <c r="J257" s="41">
        <f>IF(F257="","",F257-IF(IFERROR(VLOOKUP(B257,'Co-Host Agreements'!$A$6:$K$20,7,FALSE),"No")="Yes",G257,0)-IF(IFERROR(VLOOKUP(B257,'Co-Host Agreements'!$A$6:$K$20,8,FALSE),"No")="Yes",H257,0)-N(I257))</f>
        <v/>
      </c>
      <c r="K257" s="42">
        <f>IFERROR(VLOOKUP(B257,'Co-Host Agreements'!$A$6:$K$20,5,FALSE),0)</f>
        <v/>
      </c>
      <c r="L257" s="41">
        <f>IF(B257="","",IFS(IFERROR(VLOOKUP(B257,'Co-Host Agreements'!$A$6:$K$20,4,FALSE),"")="% of NET",J257*K257,IFERROR(VLOOKUP(B257,'Co-Host Agreements'!$A$6:$K$20,4,FALSE),"")="% of GROSS",F257*K257,IFERROR(VLOOKUP(B257,'Co-Host Agreements'!$A$6:$K$20,4,FALSE),"")="Flat per booking",IFERROR(VLOOKUP(B257,'Co-Host Agreements'!$A$6:$K$20,6,FALSE),0),IFERROR(VLOOKUP(B257,'Co-Host Agreements'!$A$6:$K$20,4,FALSE),"")="Hybrid (Flat + % of NET)",IFERROR(VLOOKUP(B257,'Co-Host Agreements'!$A$6:$K$20,6,FALSE),0)+J257*K257,TRUE,0))</f>
        <v/>
      </c>
      <c r="M257" s="41">
        <f>IF(B257="","",J257-L257)</f>
        <v/>
      </c>
      <c r="N257" s="36" t="n"/>
      <c r="O257" s="36" t="n"/>
    </row>
    <row r="258" ht="16" customHeight="1">
      <c r="A258" s="39" t="n"/>
      <c r="B258" s="36" t="n"/>
      <c r="C258" s="36" t="n"/>
      <c r="D258" s="36" t="n"/>
      <c r="E258" s="36" t="n"/>
      <c r="F258" s="40" t="n"/>
      <c r="G258" s="40" t="n"/>
      <c r="H258" s="40" t="n"/>
      <c r="I258" s="40" t="n"/>
      <c r="J258" s="41">
        <f>IF(F258="","",F258-IF(IFERROR(VLOOKUP(B258,'Co-Host Agreements'!$A$6:$K$20,7,FALSE),"No")="Yes",G258,0)-IF(IFERROR(VLOOKUP(B258,'Co-Host Agreements'!$A$6:$K$20,8,FALSE),"No")="Yes",H258,0)-N(I258))</f>
        <v/>
      </c>
      <c r="K258" s="42">
        <f>IFERROR(VLOOKUP(B258,'Co-Host Agreements'!$A$6:$K$20,5,FALSE),0)</f>
        <v/>
      </c>
      <c r="L258" s="41">
        <f>IF(B258="","",IFS(IFERROR(VLOOKUP(B258,'Co-Host Agreements'!$A$6:$K$20,4,FALSE),"")="% of NET",J258*K258,IFERROR(VLOOKUP(B258,'Co-Host Agreements'!$A$6:$K$20,4,FALSE),"")="% of GROSS",F258*K258,IFERROR(VLOOKUP(B258,'Co-Host Agreements'!$A$6:$K$20,4,FALSE),"")="Flat per booking",IFERROR(VLOOKUP(B258,'Co-Host Agreements'!$A$6:$K$20,6,FALSE),0),IFERROR(VLOOKUP(B258,'Co-Host Agreements'!$A$6:$K$20,4,FALSE),"")="Hybrid (Flat + % of NET)",IFERROR(VLOOKUP(B258,'Co-Host Agreements'!$A$6:$K$20,6,FALSE),0)+J258*K258,TRUE,0))</f>
        <v/>
      </c>
      <c r="M258" s="41">
        <f>IF(B258="","",J258-L258)</f>
        <v/>
      </c>
      <c r="N258" s="36" t="n"/>
      <c r="O258" s="36" t="n"/>
    </row>
    <row r="259" ht="16" customHeight="1">
      <c r="A259" s="39" t="n"/>
      <c r="B259" s="36" t="n"/>
      <c r="C259" s="36" t="n"/>
      <c r="D259" s="36" t="n"/>
      <c r="E259" s="36" t="n"/>
      <c r="F259" s="40" t="n"/>
      <c r="G259" s="40" t="n"/>
      <c r="H259" s="40" t="n"/>
      <c r="I259" s="40" t="n"/>
      <c r="J259" s="41">
        <f>IF(F259="","",F259-IF(IFERROR(VLOOKUP(B259,'Co-Host Agreements'!$A$6:$K$20,7,FALSE),"No")="Yes",G259,0)-IF(IFERROR(VLOOKUP(B259,'Co-Host Agreements'!$A$6:$K$20,8,FALSE),"No")="Yes",H259,0)-N(I259))</f>
        <v/>
      </c>
      <c r="K259" s="42">
        <f>IFERROR(VLOOKUP(B259,'Co-Host Agreements'!$A$6:$K$20,5,FALSE),0)</f>
        <v/>
      </c>
      <c r="L259" s="41">
        <f>IF(B259="","",IFS(IFERROR(VLOOKUP(B259,'Co-Host Agreements'!$A$6:$K$20,4,FALSE),"")="% of NET",J259*K259,IFERROR(VLOOKUP(B259,'Co-Host Agreements'!$A$6:$K$20,4,FALSE),"")="% of GROSS",F259*K259,IFERROR(VLOOKUP(B259,'Co-Host Agreements'!$A$6:$K$20,4,FALSE),"")="Flat per booking",IFERROR(VLOOKUP(B259,'Co-Host Agreements'!$A$6:$K$20,6,FALSE),0),IFERROR(VLOOKUP(B259,'Co-Host Agreements'!$A$6:$K$20,4,FALSE),"")="Hybrid (Flat + % of NET)",IFERROR(VLOOKUP(B259,'Co-Host Agreements'!$A$6:$K$20,6,FALSE),0)+J259*K259,TRUE,0))</f>
        <v/>
      </c>
      <c r="M259" s="41">
        <f>IF(B259="","",J259-L259)</f>
        <v/>
      </c>
      <c r="N259" s="36" t="n"/>
      <c r="O259" s="36" t="n"/>
    </row>
    <row r="260" ht="16" customHeight="1">
      <c r="A260" s="39" t="n"/>
      <c r="B260" s="36" t="n"/>
      <c r="C260" s="36" t="n"/>
      <c r="D260" s="36" t="n"/>
      <c r="E260" s="36" t="n"/>
      <c r="F260" s="40" t="n"/>
      <c r="G260" s="40" t="n"/>
      <c r="H260" s="40" t="n"/>
      <c r="I260" s="40" t="n"/>
      <c r="J260" s="41">
        <f>IF(F260="","",F260-IF(IFERROR(VLOOKUP(B260,'Co-Host Agreements'!$A$6:$K$20,7,FALSE),"No")="Yes",G260,0)-IF(IFERROR(VLOOKUP(B260,'Co-Host Agreements'!$A$6:$K$20,8,FALSE),"No")="Yes",H260,0)-N(I260))</f>
        <v/>
      </c>
      <c r="K260" s="42">
        <f>IFERROR(VLOOKUP(B260,'Co-Host Agreements'!$A$6:$K$20,5,FALSE),0)</f>
        <v/>
      </c>
      <c r="L260" s="41">
        <f>IF(B260="","",IFS(IFERROR(VLOOKUP(B260,'Co-Host Agreements'!$A$6:$K$20,4,FALSE),"")="% of NET",J260*K260,IFERROR(VLOOKUP(B260,'Co-Host Agreements'!$A$6:$K$20,4,FALSE),"")="% of GROSS",F260*K260,IFERROR(VLOOKUP(B260,'Co-Host Agreements'!$A$6:$K$20,4,FALSE),"")="Flat per booking",IFERROR(VLOOKUP(B260,'Co-Host Agreements'!$A$6:$K$20,6,FALSE),0),IFERROR(VLOOKUP(B260,'Co-Host Agreements'!$A$6:$K$20,4,FALSE),"")="Hybrid (Flat + % of NET)",IFERROR(VLOOKUP(B260,'Co-Host Agreements'!$A$6:$K$20,6,FALSE),0)+J260*K260,TRUE,0))</f>
        <v/>
      </c>
      <c r="M260" s="41">
        <f>IF(B260="","",J260-L260)</f>
        <v/>
      </c>
      <c r="N260" s="36" t="n"/>
      <c r="O260" s="36" t="n"/>
    </row>
    <row r="261" ht="16" customHeight="1">
      <c r="A261" s="39" t="n"/>
      <c r="B261" s="36" t="n"/>
      <c r="C261" s="36" t="n"/>
      <c r="D261" s="36" t="n"/>
      <c r="E261" s="36" t="n"/>
      <c r="F261" s="40" t="n"/>
      <c r="G261" s="40" t="n"/>
      <c r="H261" s="40" t="n"/>
      <c r="I261" s="40" t="n"/>
      <c r="J261" s="41">
        <f>IF(F261="","",F261-IF(IFERROR(VLOOKUP(B261,'Co-Host Agreements'!$A$6:$K$20,7,FALSE),"No")="Yes",G261,0)-IF(IFERROR(VLOOKUP(B261,'Co-Host Agreements'!$A$6:$K$20,8,FALSE),"No")="Yes",H261,0)-N(I261))</f>
        <v/>
      </c>
      <c r="K261" s="42">
        <f>IFERROR(VLOOKUP(B261,'Co-Host Agreements'!$A$6:$K$20,5,FALSE),0)</f>
        <v/>
      </c>
      <c r="L261" s="41">
        <f>IF(B261="","",IFS(IFERROR(VLOOKUP(B261,'Co-Host Agreements'!$A$6:$K$20,4,FALSE),"")="% of NET",J261*K261,IFERROR(VLOOKUP(B261,'Co-Host Agreements'!$A$6:$K$20,4,FALSE),"")="% of GROSS",F261*K261,IFERROR(VLOOKUP(B261,'Co-Host Agreements'!$A$6:$K$20,4,FALSE),"")="Flat per booking",IFERROR(VLOOKUP(B261,'Co-Host Agreements'!$A$6:$K$20,6,FALSE),0),IFERROR(VLOOKUP(B261,'Co-Host Agreements'!$A$6:$K$20,4,FALSE),"")="Hybrid (Flat + % of NET)",IFERROR(VLOOKUP(B261,'Co-Host Agreements'!$A$6:$K$20,6,FALSE),0)+J261*K261,TRUE,0))</f>
        <v/>
      </c>
      <c r="M261" s="41">
        <f>IF(B261="","",J261-L261)</f>
        <v/>
      </c>
      <c r="N261" s="36" t="n"/>
      <c r="O261" s="36" t="n"/>
    </row>
    <row r="262" ht="16" customHeight="1">
      <c r="A262" s="39" t="n"/>
      <c r="B262" s="36" t="n"/>
      <c r="C262" s="36" t="n"/>
      <c r="D262" s="36" t="n"/>
      <c r="E262" s="36" t="n"/>
      <c r="F262" s="40" t="n"/>
      <c r="G262" s="40" t="n"/>
      <c r="H262" s="40" t="n"/>
      <c r="I262" s="40" t="n"/>
      <c r="J262" s="41">
        <f>IF(F262="","",F262-IF(IFERROR(VLOOKUP(B262,'Co-Host Agreements'!$A$6:$K$20,7,FALSE),"No")="Yes",G262,0)-IF(IFERROR(VLOOKUP(B262,'Co-Host Agreements'!$A$6:$K$20,8,FALSE),"No")="Yes",H262,0)-N(I262))</f>
        <v/>
      </c>
      <c r="K262" s="42">
        <f>IFERROR(VLOOKUP(B262,'Co-Host Agreements'!$A$6:$K$20,5,FALSE),0)</f>
        <v/>
      </c>
      <c r="L262" s="41">
        <f>IF(B262="","",IFS(IFERROR(VLOOKUP(B262,'Co-Host Agreements'!$A$6:$K$20,4,FALSE),"")="% of NET",J262*K262,IFERROR(VLOOKUP(B262,'Co-Host Agreements'!$A$6:$K$20,4,FALSE),"")="% of GROSS",F262*K262,IFERROR(VLOOKUP(B262,'Co-Host Agreements'!$A$6:$K$20,4,FALSE),"")="Flat per booking",IFERROR(VLOOKUP(B262,'Co-Host Agreements'!$A$6:$K$20,6,FALSE),0),IFERROR(VLOOKUP(B262,'Co-Host Agreements'!$A$6:$K$20,4,FALSE),"")="Hybrid (Flat + % of NET)",IFERROR(VLOOKUP(B262,'Co-Host Agreements'!$A$6:$K$20,6,FALSE),0)+J262*K262,TRUE,0))</f>
        <v/>
      </c>
      <c r="M262" s="41">
        <f>IF(B262="","",J262-L262)</f>
        <v/>
      </c>
      <c r="N262" s="36" t="n"/>
      <c r="O262" s="36" t="n"/>
    </row>
    <row r="263" ht="16" customHeight="1">
      <c r="A263" s="39" t="n"/>
      <c r="B263" s="36" t="n"/>
      <c r="C263" s="36" t="n"/>
      <c r="D263" s="36" t="n"/>
      <c r="E263" s="36" t="n"/>
      <c r="F263" s="40" t="n"/>
      <c r="G263" s="40" t="n"/>
      <c r="H263" s="40" t="n"/>
      <c r="I263" s="40" t="n"/>
      <c r="J263" s="41">
        <f>IF(F263="","",F263-IF(IFERROR(VLOOKUP(B263,'Co-Host Agreements'!$A$6:$K$20,7,FALSE),"No")="Yes",G263,0)-IF(IFERROR(VLOOKUP(B263,'Co-Host Agreements'!$A$6:$K$20,8,FALSE),"No")="Yes",H263,0)-N(I263))</f>
        <v/>
      </c>
      <c r="K263" s="42">
        <f>IFERROR(VLOOKUP(B263,'Co-Host Agreements'!$A$6:$K$20,5,FALSE),0)</f>
        <v/>
      </c>
      <c r="L263" s="41">
        <f>IF(B263="","",IFS(IFERROR(VLOOKUP(B263,'Co-Host Agreements'!$A$6:$K$20,4,FALSE),"")="% of NET",J263*K263,IFERROR(VLOOKUP(B263,'Co-Host Agreements'!$A$6:$K$20,4,FALSE),"")="% of GROSS",F263*K263,IFERROR(VLOOKUP(B263,'Co-Host Agreements'!$A$6:$K$20,4,FALSE),"")="Flat per booking",IFERROR(VLOOKUP(B263,'Co-Host Agreements'!$A$6:$K$20,6,FALSE),0),IFERROR(VLOOKUP(B263,'Co-Host Agreements'!$A$6:$K$20,4,FALSE),"")="Hybrid (Flat + % of NET)",IFERROR(VLOOKUP(B263,'Co-Host Agreements'!$A$6:$K$20,6,FALSE),0)+J263*K263,TRUE,0))</f>
        <v/>
      </c>
      <c r="M263" s="41">
        <f>IF(B263="","",J263-L263)</f>
        <v/>
      </c>
      <c r="N263" s="36" t="n"/>
      <c r="O263" s="36" t="n"/>
    </row>
    <row r="264" ht="16" customHeight="1">
      <c r="A264" s="39" t="n"/>
      <c r="B264" s="36" t="n"/>
      <c r="C264" s="36" t="n"/>
      <c r="D264" s="36" t="n"/>
      <c r="E264" s="36" t="n"/>
      <c r="F264" s="40" t="n"/>
      <c r="G264" s="40" t="n"/>
      <c r="H264" s="40" t="n"/>
      <c r="I264" s="40" t="n"/>
      <c r="J264" s="41">
        <f>IF(F264="","",F264-IF(IFERROR(VLOOKUP(B264,'Co-Host Agreements'!$A$6:$K$20,7,FALSE),"No")="Yes",G264,0)-IF(IFERROR(VLOOKUP(B264,'Co-Host Agreements'!$A$6:$K$20,8,FALSE),"No")="Yes",H264,0)-N(I264))</f>
        <v/>
      </c>
      <c r="K264" s="42">
        <f>IFERROR(VLOOKUP(B264,'Co-Host Agreements'!$A$6:$K$20,5,FALSE),0)</f>
        <v/>
      </c>
      <c r="L264" s="41">
        <f>IF(B264="","",IFS(IFERROR(VLOOKUP(B264,'Co-Host Agreements'!$A$6:$K$20,4,FALSE),"")="% of NET",J264*K264,IFERROR(VLOOKUP(B264,'Co-Host Agreements'!$A$6:$K$20,4,FALSE),"")="% of GROSS",F264*K264,IFERROR(VLOOKUP(B264,'Co-Host Agreements'!$A$6:$K$20,4,FALSE),"")="Flat per booking",IFERROR(VLOOKUP(B264,'Co-Host Agreements'!$A$6:$K$20,6,FALSE),0),IFERROR(VLOOKUP(B264,'Co-Host Agreements'!$A$6:$K$20,4,FALSE),"")="Hybrid (Flat + % of NET)",IFERROR(VLOOKUP(B264,'Co-Host Agreements'!$A$6:$K$20,6,FALSE),0)+J264*K264,TRUE,0))</f>
        <v/>
      </c>
      <c r="M264" s="41">
        <f>IF(B264="","",J264-L264)</f>
        <v/>
      </c>
      <c r="N264" s="36" t="n"/>
      <c r="O264" s="36" t="n"/>
    </row>
    <row r="265" ht="16" customHeight="1">
      <c r="A265" s="39" t="n"/>
      <c r="B265" s="36" t="n"/>
      <c r="C265" s="36" t="n"/>
      <c r="D265" s="36" t="n"/>
      <c r="E265" s="36" t="n"/>
      <c r="F265" s="40" t="n"/>
      <c r="G265" s="40" t="n"/>
      <c r="H265" s="40" t="n"/>
      <c r="I265" s="40" t="n"/>
      <c r="J265" s="41">
        <f>IF(F265="","",F265-IF(IFERROR(VLOOKUP(B265,'Co-Host Agreements'!$A$6:$K$20,7,FALSE),"No")="Yes",G265,0)-IF(IFERROR(VLOOKUP(B265,'Co-Host Agreements'!$A$6:$K$20,8,FALSE),"No")="Yes",H265,0)-N(I265))</f>
        <v/>
      </c>
      <c r="K265" s="42">
        <f>IFERROR(VLOOKUP(B265,'Co-Host Agreements'!$A$6:$K$20,5,FALSE),0)</f>
        <v/>
      </c>
      <c r="L265" s="41">
        <f>IF(B265="","",IFS(IFERROR(VLOOKUP(B265,'Co-Host Agreements'!$A$6:$K$20,4,FALSE),"")="% of NET",J265*K265,IFERROR(VLOOKUP(B265,'Co-Host Agreements'!$A$6:$K$20,4,FALSE),"")="% of GROSS",F265*K265,IFERROR(VLOOKUP(B265,'Co-Host Agreements'!$A$6:$K$20,4,FALSE),"")="Flat per booking",IFERROR(VLOOKUP(B265,'Co-Host Agreements'!$A$6:$K$20,6,FALSE),0),IFERROR(VLOOKUP(B265,'Co-Host Agreements'!$A$6:$K$20,4,FALSE),"")="Hybrid (Flat + % of NET)",IFERROR(VLOOKUP(B265,'Co-Host Agreements'!$A$6:$K$20,6,FALSE),0)+J265*K265,TRUE,0))</f>
        <v/>
      </c>
      <c r="M265" s="41">
        <f>IF(B265="","",J265-L265)</f>
        <v/>
      </c>
      <c r="N265" s="36" t="n"/>
      <c r="O265" s="36" t="n"/>
    </row>
    <row r="266" ht="16" customHeight="1">
      <c r="A266" s="39" t="n"/>
      <c r="B266" s="36" t="n"/>
      <c r="C266" s="36" t="n"/>
      <c r="D266" s="36" t="n"/>
      <c r="E266" s="36" t="n"/>
      <c r="F266" s="40" t="n"/>
      <c r="G266" s="40" t="n"/>
      <c r="H266" s="40" t="n"/>
      <c r="I266" s="40" t="n"/>
      <c r="J266" s="41">
        <f>IF(F266="","",F266-IF(IFERROR(VLOOKUP(B266,'Co-Host Agreements'!$A$6:$K$20,7,FALSE),"No")="Yes",G266,0)-IF(IFERROR(VLOOKUP(B266,'Co-Host Agreements'!$A$6:$K$20,8,FALSE),"No")="Yes",H266,0)-N(I266))</f>
        <v/>
      </c>
      <c r="K266" s="42">
        <f>IFERROR(VLOOKUP(B266,'Co-Host Agreements'!$A$6:$K$20,5,FALSE),0)</f>
        <v/>
      </c>
      <c r="L266" s="41">
        <f>IF(B266="","",IFS(IFERROR(VLOOKUP(B266,'Co-Host Agreements'!$A$6:$K$20,4,FALSE),"")="% of NET",J266*K266,IFERROR(VLOOKUP(B266,'Co-Host Agreements'!$A$6:$K$20,4,FALSE),"")="% of GROSS",F266*K266,IFERROR(VLOOKUP(B266,'Co-Host Agreements'!$A$6:$K$20,4,FALSE),"")="Flat per booking",IFERROR(VLOOKUP(B266,'Co-Host Agreements'!$A$6:$K$20,6,FALSE),0),IFERROR(VLOOKUP(B266,'Co-Host Agreements'!$A$6:$K$20,4,FALSE),"")="Hybrid (Flat + % of NET)",IFERROR(VLOOKUP(B266,'Co-Host Agreements'!$A$6:$K$20,6,FALSE),0)+J266*K266,TRUE,0))</f>
        <v/>
      </c>
      <c r="M266" s="41">
        <f>IF(B266="","",J266-L266)</f>
        <v/>
      </c>
      <c r="N266" s="36" t="n"/>
      <c r="O266" s="36" t="n"/>
    </row>
    <row r="267" ht="16" customHeight="1">
      <c r="A267" s="39" t="n"/>
      <c r="B267" s="36" t="n"/>
      <c r="C267" s="36" t="n"/>
      <c r="D267" s="36" t="n"/>
      <c r="E267" s="36" t="n"/>
      <c r="F267" s="40" t="n"/>
      <c r="G267" s="40" t="n"/>
      <c r="H267" s="40" t="n"/>
      <c r="I267" s="40" t="n"/>
      <c r="J267" s="41">
        <f>IF(F267="","",F267-IF(IFERROR(VLOOKUP(B267,'Co-Host Agreements'!$A$6:$K$20,7,FALSE),"No")="Yes",G267,0)-IF(IFERROR(VLOOKUP(B267,'Co-Host Agreements'!$A$6:$K$20,8,FALSE),"No")="Yes",H267,0)-N(I267))</f>
        <v/>
      </c>
      <c r="K267" s="42">
        <f>IFERROR(VLOOKUP(B267,'Co-Host Agreements'!$A$6:$K$20,5,FALSE),0)</f>
        <v/>
      </c>
      <c r="L267" s="41">
        <f>IF(B267="","",IFS(IFERROR(VLOOKUP(B267,'Co-Host Agreements'!$A$6:$K$20,4,FALSE),"")="% of NET",J267*K267,IFERROR(VLOOKUP(B267,'Co-Host Agreements'!$A$6:$K$20,4,FALSE),"")="% of GROSS",F267*K267,IFERROR(VLOOKUP(B267,'Co-Host Agreements'!$A$6:$K$20,4,FALSE),"")="Flat per booking",IFERROR(VLOOKUP(B267,'Co-Host Agreements'!$A$6:$K$20,6,FALSE),0),IFERROR(VLOOKUP(B267,'Co-Host Agreements'!$A$6:$K$20,4,FALSE),"")="Hybrid (Flat + % of NET)",IFERROR(VLOOKUP(B267,'Co-Host Agreements'!$A$6:$K$20,6,FALSE),0)+J267*K267,TRUE,0))</f>
        <v/>
      </c>
      <c r="M267" s="41">
        <f>IF(B267="","",J267-L267)</f>
        <v/>
      </c>
      <c r="N267" s="36" t="n"/>
      <c r="O267" s="36" t="n"/>
    </row>
    <row r="268" ht="16" customHeight="1">
      <c r="A268" s="39" t="n"/>
      <c r="B268" s="36" t="n"/>
      <c r="C268" s="36" t="n"/>
      <c r="D268" s="36" t="n"/>
      <c r="E268" s="36" t="n"/>
      <c r="F268" s="40" t="n"/>
      <c r="G268" s="40" t="n"/>
      <c r="H268" s="40" t="n"/>
      <c r="I268" s="40" t="n"/>
      <c r="J268" s="41">
        <f>IF(F268="","",F268-IF(IFERROR(VLOOKUP(B268,'Co-Host Agreements'!$A$6:$K$20,7,FALSE),"No")="Yes",G268,0)-IF(IFERROR(VLOOKUP(B268,'Co-Host Agreements'!$A$6:$K$20,8,FALSE),"No")="Yes",H268,0)-N(I268))</f>
        <v/>
      </c>
      <c r="K268" s="42">
        <f>IFERROR(VLOOKUP(B268,'Co-Host Agreements'!$A$6:$K$20,5,FALSE),0)</f>
        <v/>
      </c>
      <c r="L268" s="41">
        <f>IF(B268="","",IFS(IFERROR(VLOOKUP(B268,'Co-Host Agreements'!$A$6:$K$20,4,FALSE),"")="% of NET",J268*K268,IFERROR(VLOOKUP(B268,'Co-Host Agreements'!$A$6:$K$20,4,FALSE),"")="% of GROSS",F268*K268,IFERROR(VLOOKUP(B268,'Co-Host Agreements'!$A$6:$K$20,4,FALSE),"")="Flat per booking",IFERROR(VLOOKUP(B268,'Co-Host Agreements'!$A$6:$K$20,6,FALSE),0),IFERROR(VLOOKUP(B268,'Co-Host Agreements'!$A$6:$K$20,4,FALSE),"")="Hybrid (Flat + % of NET)",IFERROR(VLOOKUP(B268,'Co-Host Agreements'!$A$6:$K$20,6,FALSE),0)+J268*K268,TRUE,0))</f>
        <v/>
      </c>
      <c r="M268" s="41">
        <f>IF(B268="","",J268-L268)</f>
        <v/>
      </c>
      <c r="N268" s="36" t="n"/>
      <c r="O268" s="36" t="n"/>
    </row>
    <row r="269" ht="16" customHeight="1">
      <c r="A269" s="39" t="n"/>
      <c r="B269" s="36" t="n"/>
      <c r="C269" s="36" t="n"/>
      <c r="D269" s="36" t="n"/>
      <c r="E269" s="36" t="n"/>
      <c r="F269" s="40" t="n"/>
      <c r="G269" s="40" t="n"/>
      <c r="H269" s="40" t="n"/>
      <c r="I269" s="40" t="n"/>
      <c r="J269" s="41">
        <f>IF(F269="","",F269-IF(IFERROR(VLOOKUP(B269,'Co-Host Agreements'!$A$6:$K$20,7,FALSE),"No")="Yes",G269,0)-IF(IFERROR(VLOOKUP(B269,'Co-Host Agreements'!$A$6:$K$20,8,FALSE),"No")="Yes",H269,0)-N(I269))</f>
        <v/>
      </c>
      <c r="K269" s="42">
        <f>IFERROR(VLOOKUP(B269,'Co-Host Agreements'!$A$6:$K$20,5,FALSE),0)</f>
        <v/>
      </c>
      <c r="L269" s="41">
        <f>IF(B269="","",IFS(IFERROR(VLOOKUP(B269,'Co-Host Agreements'!$A$6:$K$20,4,FALSE),"")="% of NET",J269*K269,IFERROR(VLOOKUP(B269,'Co-Host Agreements'!$A$6:$K$20,4,FALSE),"")="% of GROSS",F269*K269,IFERROR(VLOOKUP(B269,'Co-Host Agreements'!$A$6:$K$20,4,FALSE),"")="Flat per booking",IFERROR(VLOOKUP(B269,'Co-Host Agreements'!$A$6:$K$20,6,FALSE),0),IFERROR(VLOOKUP(B269,'Co-Host Agreements'!$A$6:$K$20,4,FALSE),"")="Hybrid (Flat + % of NET)",IFERROR(VLOOKUP(B269,'Co-Host Agreements'!$A$6:$K$20,6,FALSE),0)+J269*K269,TRUE,0))</f>
        <v/>
      </c>
      <c r="M269" s="41">
        <f>IF(B269="","",J269-L269)</f>
        <v/>
      </c>
      <c r="N269" s="36" t="n"/>
      <c r="O269" s="36" t="n"/>
    </row>
    <row r="270" ht="16" customHeight="1">
      <c r="A270" s="39" t="n"/>
      <c r="B270" s="36" t="n"/>
      <c r="C270" s="36" t="n"/>
      <c r="D270" s="36" t="n"/>
      <c r="E270" s="36" t="n"/>
      <c r="F270" s="40" t="n"/>
      <c r="G270" s="40" t="n"/>
      <c r="H270" s="40" t="n"/>
      <c r="I270" s="40" t="n"/>
      <c r="J270" s="41">
        <f>IF(F270="","",F270-IF(IFERROR(VLOOKUP(B270,'Co-Host Agreements'!$A$6:$K$20,7,FALSE),"No")="Yes",G270,0)-IF(IFERROR(VLOOKUP(B270,'Co-Host Agreements'!$A$6:$K$20,8,FALSE),"No")="Yes",H270,0)-N(I270))</f>
        <v/>
      </c>
      <c r="K270" s="42">
        <f>IFERROR(VLOOKUP(B270,'Co-Host Agreements'!$A$6:$K$20,5,FALSE),0)</f>
        <v/>
      </c>
      <c r="L270" s="41">
        <f>IF(B270="","",IFS(IFERROR(VLOOKUP(B270,'Co-Host Agreements'!$A$6:$K$20,4,FALSE),"")="% of NET",J270*K270,IFERROR(VLOOKUP(B270,'Co-Host Agreements'!$A$6:$K$20,4,FALSE),"")="% of GROSS",F270*K270,IFERROR(VLOOKUP(B270,'Co-Host Agreements'!$A$6:$K$20,4,FALSE),"")="Flat per booking",IFERROR(VLOOKUP(B270,'Co-Host Agreements'!$A$6:$K$20,6,FALSE),0),IFERROR(VLOOKUP(B270,'Co-Host Agreements'!$A$6:$K$20,4,FALSE),"")="Hybrid (Flat + % of NET)",IFERROR(VLOOKUP(B270,'Co-Host Agreements'!$A$6:$K$20,6,FALSE),0)+J270*K270,TRUE,0))</f>
        <v/>
      </c>
      <c r="M270" s="41">
        <f>IF(B270="","",J270-L270)</f>
        <v/>
      </c>
      <c r="N270" s="36" t="n"/>
      <c r="O270" s="36" t="n"/>
    </row>
    <row r="271" ht="16" customHeight="1">
      <c r="A271" s="39" t="n"/>
      <c r="B271" s="36" t="n"/>
      <c r="C271" s="36" t="n"/>
      <c r="D271" s="36" t="n"/>
      <c r="E271" s="36" t="n"/>
      <c r="F271" s="40" t="n"/>
      <c r="G271" s="40" t="n"/>
      <c r="H271" s="40" t="n"/>
      <c r="I271" s="40" t="n"/>
      <c r="J271" s="41">
        <f>IF(F271="","",F271-IF(IFERROR(VLOOKUP(B271,'Co-Host Agreements'!$A$6:$K$20,7,FALSE),"No")="Yes",G271,0)-IF(IFERROR(VLOOKUP(B271,'Co-Host Agreements'!$A$6:$K$20,8,FALSE),"No")="Yes",H271,0)-N(I271))</f>
        <v/>
      </c>
      <c r="K271" s="42">
        <f>IFERROR(VLOOKUP(B271,'Co-Host Agreements'!$A$6:$K$20,5,FALSE),0)</f>
        <v/>
      </c>
      <c r="L271" s="41">
        <f>IF(B271="","",IFS(IFERROR(VLOOKUP(B271,'Co-Host Agreements'!$A$6:$K$20,4,FALSE),"")="% of NET",J271*K271,IFERROR(VLOOKUP(B271,'Co-Host Agreements'!$A$6:$K$20,4,FALSE),"")="% of GROSS",F271*K271,IFERROR(VLOOKUP(B271,'Co-Host Agreements'!$A$6:$K$20,4,FALSE),"")="Flat per booking",IFERROR(VLOOKUP(B271,'Co-Host Agreements'!$A$6:$K$20,6,FALSE),0),IFERROR(VLOOKUP(B271,'Co-Host Agreements'!$A$6:$K$20,4,FALSE),"")="Hybrid (Flat + % of NET)",IFERROR(VLOOKUP(B271,'Co-Host Agreements'!$A$6:$K$20,6,FALSE),0)+J271*K271,TRUE,0))</f>
        <v/>
      </c>
      <c r="M271" s="41">
        <f>IF(B271="","",J271-L271)</f>
        <v/>
      </c>
      <c r="N271" s="36" t="n"/>
      <c r="O271" s="36" t="n"/>
    </row>
    <row r="272" ht="16" customHeight="1">
      <c r="A272" s="39" t="n"/>
      <c r="B272" s="36" t="n"/>
      <c r="C272" s="36" t="n"/>
      <c r="D272" s="36" t="n"/>
      <c r="E272" s="36" t="n"/>
      <c r="F272" s="40" t="n"/>
      <c r="G272" s="40" t="n"/>
      <c r="H272" s="40" t="n"/>
      <c r="I272" s="40" t="n"/>
      <c r="J272" s="41">
        <f>IF(F272="","",F272-IF(IFERROR(VLOOKUP(B272,'Co-Host Agreements'!$A$6:$K$20,7,FALSE),"No")="Yes",G272,0)-IF(IFERROR(VLOOKUP(B272,'Co-Host Agreements'!$A$6:$K$20,8,FALSE),"No")="Yes",H272,0)-N(I272))</f>
        <v/>
      </c>
      <c r="K272" s="42">
        <f>IFERROR(VLOOKUP(B272,'Co-Host Agreements'!$A$6:$K$20,5,FALSE),0)</f>
        <v/>
      </c>
      <c r="L272" s="41">
        <f>IF(B272="","",IFS(IFERROR(VLOOKUP(B272,'Co-Host Agreements'!$A$6:$K$20,4,FALSE),"")="% of NET",J272*K272,IFERROR(VLOOKUP(B272,'Co-Host Agreements'!$A$6:$K$20,4,FALSE),"")="% of GROSS",F272*K272,IFERROR(VLOOKUP(B272,'Co-Host Agreements'!$A$6:$K$20,4,FALSE),"")="Flat per booking",IFERROR(VLOOKUP(B272,'Co-Host Agreements'!$A$6:$K$20,6,FALSE),0),IFERROR(VLOOKUP(B272,'Co-Host Agreements'!$A$6:$K$20,4,FALSE),"")="Hybrid (Flat + % of NET)",IFERROR(VLOOKUP(B272,'Co-Host Agreements'!$A$6:$K$20,6,FALSE),0)+J272*K272,TRUE,0))</f>
        <v/>
      </c>
      <c r="M272" s="41">
        <f>IF(B272="","",J272-L272)</f>
        <v/>
      </c>
      <c r="N272" s="36" t="n"/>
      <c r="O272" s="36" t="n"/>
    </row>
    <row r="273" ht="16" customHeight="1">
      <c r="A273" s="39" t="n"/>
      <c r="B273" s="36" t="n"/>
      <c r="C273" s="36" t="n"/>
      <c r="D273" s="36" t="n"/>
      <c r="E273" s="36" t="n"/>
      <c r="F273" s="40" t="n"/>
      <c r="G273" s="40" t="n"/>
      <c r="H273" s="40" t="n"/>
      <c r="I273" s="40" t="n"/>
      <c r="J273" s="41">
        <f>IF(F273="","",F273-IF(IFERROR(VLOOKUP(B273,'Co-Host Agreements'!$A$6:$K$20,7,FALSE),"No")="Yes",G273,0)-IF(IFERROR(VLOOKUP(B273,'Co-Host Agreements'!$A$6:$K$20,8,FALSE),"No")="Yes",H273,0)-N(I273))</f>
        <v/>
      </c>
      <c r="K273" s="42">
        <f>IFERROR(VLOOKUP(B273,'Co-Host Agreements'!$A$6:$K$20,5,FALSE),0)</f>
        <v/>
      </c>
      <c r="L273" s="41">
        <f>IF(B273="","",IFS(IFERROR(VLOOKUP(B273,'Co-Host Agreements'!$A$6:$K$20,4,FALSE),"")="% of NET",J273*K273,IFERROR(VLOOKUP(B273,'Co-Host Agreements'!$A$6:$K$20,4,FALSE),"")="% of GROSS",F273*K273,IFERROR(VLOOKUP(B273,'Co-Host Agreements'!$A$6:$K$20,4,FALSE),"")="Flat per booking",IFERROR(VLOOKUP(B273,'Co-Host Agreements'!$A$6:$K$20,6,FALSE),0),IFERROR(VLOOKUP(B273,'Co-Host Agreements'!$A$6:$K$20,4,FALSE),"")="Hybrid (Flat + % of NET)",IFERROR(VLOOKUP(B273,'Co-Host Agreements'!$A$6:$K$20,6,FALSE),0)+J273*K273,TRUE,0))</f>
        <v/>
      </c>
      <c r="M273" s="41">
        <f>IF(B273="","",J273-L273)</f>
        <v/>
      </c>
      <c r="N273" s="36" t="n"/>
      <c r="O273" s="36" t="n"/>
    </row>
    <row r="274" ht="16" customHeight="1">
      <c r="A274" s="39" t="n"/>
      <c r="B274" s="36" t="n"/>
      <c r="C274" s="36" t="n"/>
      <c r="D274" s="36" t="n"/>
      <c r="E274" s="36" t="n"/>
      <c r="F274" s="40" t="n"/>
      <c r="G274" s="40" t="n"/>
      <c r="H274" s="40" t="n"/>
      <c r="I274" s="40" t="n"/>
      <c r="J274" s="41">
        <f>IF(F274="","",F274-IF(IFERROR(VLOOKUP(B274,'Co-Host Agreements'!$A$6:$K$20,7,FALSE),"No")="Yes",G274,0)-IF(IFERROR(VLOOKUP(B274,'Co-Host Agreements'!$A$6:$K$20,8,FALSE),"No")="Yes",H274,0)-N(I274))</f>
        <v/>
      </c>
      <c r="K274" s="42">
        <f>IFERROR(VLOOKUP(B274,'Co-Host Agreements'!$A$6:$K$20,5,FALSE),0)</f>
        <v/>
      </c>
      <c r="L274" s="41">
        <f>IF(B274="","",IFS(IFERROR(VLOOKUP(B274,'Co-Host Agreements'!$A$6:$K$20,4,FALSE),"")="% of NET",J274*K274,IFERROR(VLOOKUP(B274,'Co-Host Agreements'!$A$6:$K$20,4,FALSE),"")="% of GROSS",F274*K274,IFERROR(VLOOKUP(B274,'Co-Host Agreements'!$A$6:$K$20,4,FALSE),"")="Flat per booking",IFERROR(VLOOKUP(B274,'Co-Host Agreements'!$A$6:$K$20,6,FALSE),0),IFERROR(VLOOKUP(B274,'Co-Host Agreements'!$A$6:$K$20,4,FALSE),"")="Hybrid (Flat + % of NET)",IFERROR(VLOOKUP(B274,'Co-Host Agreements'!$A$6:$K$20,6,FALSE),0)+J274*K274,TRUE,0))</f>
        <v/>
      </c>
      <c r="M274" s="41">
        <f>IF(B274="","",J274-L274)</f>
        <v/>
      </c>
      <c r="N274" s="36" t="n"/>
      <c r="O274" s="36" t="n"/>
    </row>
    <row r="275" ht="16" customHeight="1">
      <c r="A275" s="39" t="n"/>
      <c r="B275" s="36" t="n"/>
      <c r="C275" s="36" t="n"/>
      <c r="D275" s="36" t="n"/>
      <c r="E275" s="36" t="n"/>
      <c r="F275" s="40" t="n"/>
      <c r="G275" s="40" t="n"/>
      <c r="H275" s="40" t="n"/>
      <c r="I275" s="40" t="n"/>
      <c r="J275" s="41">
        <f>IF(F275="","",F275-IF(IFERROR(VLOOKUP(B275,'Co-Host Agreements'!$A$6:$K$20,7,FALSE),"No")="Yes",G275,0)-IF(IFERROR(VLOOKUP(B275,'Co-Host Agreements'!$A$6:$K$20,8,FALSE),"No")="Yes",H275,0)-N(I275))</f>
        <v/>
      </c>
      <c r="K275" s="42">
        <f>IFERROR(VLOOKUP(B275,'Co-Host Agreements'!$A$6:$K$20,5,FALSE),0)</f>
        <v/>
      </c>
      <c r="L275" s="41">
        <f>IF(B275="","",IFS(IFERROR(VLOOKUP(B275,'Co-Host Agreements'!$A$6:$K$20,4,FALSE),"")="% of NET",J275*K275,IFERROR(VLOOKUP(B275,'Co-Host Agreements'!$A$6:$K$20,4,FALSE),"")="% of GROSS",F275*K275,IFERROR(VLOOKUP(B275,'Co-Host Agreements'!$A$6:$K$20,4,FALSE),"")="Flat per booking",IFERROR(VLOOKUP(B275,'Co-Host Agreements'!$A$6:$K$20,6,FALSE),0),IFERROR(VLOOKUP(B275,'Co-Host Agreements'!$A$6:$K$20,4,FALSE),"")="Hybrid (Flat + % of NET)",IFERROR(VLOOKUP(B275,'Co-Host Agreements'!$A$6:$K$20,6,FALSE),0)+J275*K275,TRUE,0))</f>
        <v/>
      </c>
      <c r="M275" s="41">
        <f>IF(B275="","",J275-L275)</f>
        <v/>
      </c>
      <c r="N275" s="36" t="n"/>
      <c r="O275" s="36" t="n"/>
    </row>
    <row r="276" ht="16" customHeight="1">
      <c r="A276" s="39" t="n"/>
      <c r="B276" s="36" t="n"/>
      <c r="C276" s="36" t="n"/>
      <c r="D276" s="36" t="n"/>
      <c r="E276" s="36" t="n"/>
      <c r="F276" s="40" t="n"/>
      <c r="G276" s="40" t="n"/>
      <c r="H276" s="40" t="n"/>
      <c r="I276" s="40" t="n"/>
      <c r="J276" s="41">
        <f>IF(F276="","",F276-IF(IFERROR(VLOOKUP(B276,'Co-Host Agreements'!$A$6:$K$20,7,FALSE),"No")="Yes",G276,0)-IF(IFERROR(VLOOKUP(B276,'Co-Host Agreements'!$A$6:$K$20,8,FALSE),"No")="Yes",H276,0)-N(I276))</f>
        <v/>
      </c>
      <c r="K276" s="42">
        <f>IFERROR(VLOOKUP(B276,'Co-Host Agreements'!$A$6:$K$20,5,FALSE),0)</f>
        <v/>
      </c>
      <c r="L276" s="41">
        <f>IF(B276="","",IFS(IFERROR(VLOOKUP(B276,'Co-Host Agreements'!$A$6:$K$20,4,FALSE),"")="% of NET",J276*K276,IFERROR(VLOOKUP(B276,'Co-Host Agreements'!$A$6:$K$20,4,FALSE),"")="% of GROSS",F276*K276,IFERROR(VLOOKUP(B276,'Co-Host Agreements'!$A$6:$K$20,4,FALSE),"")="Flat per booking",IFERROR(VLOOKUP(B276,'Co-Host Agreements'!$A$6:$K$20,6,FALSE),0),IFERROR(VLOOKUP(B276,'Co-Host Agreements'!$A$6:$K$20,4,FALSE),"")="Hybrid (Flat + % of NET)",IFERROR(VLOOKUP(B276,'Co-Host Agreements'!$A$6:$K$20,6,FALSE),0)+J276*K276,TRUE,0))</f>
        <v/>
      </c>
      <c r="M276" s="41">
        <f>IF(B276="","",J276-L276)</f>
        <v/>
      </c>
      <c r="N276" s="36" t="n"/>
      <c r="O276" s="36" t="n"/>
    </row>
    <row r="277" ht="16" customHeight="1">
      <c r="A277" s="39" t="n"/>
      <c r="B277" s="36" t="n"/>
      <c r="C277" s="36" t="n"/>
      <c r="D277" s="36" t="n"/>
      <c r="E277" s="36" t="n"/>
      <c r="F277" s="40" t="n"/>
      <c r="G277" s="40" t="n"/>
      <c r="H277" s="40" t="n"/>
      <c r="I277" s="40" t="n"/>
      <c r="J277" s="41">
        <f>IF(F277="","",F277-IF(IFERROR(VLOOKUP(B277,'Co-Host Agreements'!$A$6:$K$20,7,FALSE),"No")="Yes",G277,0)-IF(IFERROR(VLOOKUP(B277,'Co-Host Agreements'!$A$6:$K$20,8,FALSE),"No")="Yes",H277,0)-N(I277))</f>
        <v/>
      </c>
      <c r="K277" s="42">
        <f>IFERROR(VLOOKUP(B277,'Co-Host Agreements'!$A$6:$K$20,5,FALSE),0)</f>
        <v/>
      </c>
      <c r="L277" s="41">
        <f>IF(B277="","",IFS(IFERROR(VLOOKUP(B277,'Co-Host Agreements'!$A$6:$K$20,4,FALSE),"")="% of NET",J277*K277,IFERROR(VLOOKUP(B277,'Co-Host Agreements'!$A$6:$K$20,4,FALSE),"")="% of GROSS",F277*K277,IFERROR(VLOOKUP(B277,'Co-Host Agreements'!$A$6:$K$20,4,FALSE),"")="Flat per booking",IFERROR(VLOOKUP(B277,'Co-Host Agreements'!$A$6:$K$20,6,FALSE),0),IFERROR(VLOOKUP(B277,'Co-Host Agreements'!$A$6:$K$20,4,FALSE),"")="Hybrid (Flat + % of NET)",IFERROR(VLOOKUP(B277,'Co-Host Agreements'!$A$6:$K$20,6,FALSE),0)+J277*K277,TRUE,0))</f>
        <v/>
      </c>
      <c r="M277" s="41">
        <f>IF(B277="","",J277-L277)</f>
        <v/>
      </c>
      <c r="N277" s="36" t="n"/>
      <c r="O277" s="36" t="n"/>
    </row>
    <row r="278" ht="16" customHeight="1">
      <c r="A278" s="39" t="n"/>
      <c r="B278" s="36" t="n"/>
      <c r="C278" s="36" t="n"/>
      <c r="D278" s="36" t="n"/>
      <c r="E278" s="36" t="n"/>
      <c r="F278" s="40" t="n"/>
      <c r="G278" s="40" t="n"/>
      <c r="H278" s="40" t="n"/>
      <c r="I278" s="40" t="n"/>
      <c r="J278" s="41">
        <f>IF(F278="","",F278-IF(IFERROR(VLOOKUP(B278,'Co-Host Agreements'!$A$6:$K$20,7,FALSE),"No")="Yes",G278,0)-IF(IFERROR(VLOOKUP(B278,'Co-Host Agreements'!$A$6:$K$20,8,FALSE),"No")="Yes",H278,0)-N(I278))</f>
        <v/>
      </c>
      <c r="K278" s="42">
        <f>IFERROR(VLOOKUP(B278,'Co-Host Agreements'!$A$6:$K$20,5,FALSE),0)</f>
        <v/>
      </c>
      <c r="L278" s="41">
        <f>IF(B278="","",IFS(IFERROR(VLOOKUP(B278,'Co-Host Agreements'!$A$6:$K$20,4,FALSE),"")="% of NET",J278*K278,IFERROR(VLOOKUP(B278,'Co-Host Agreements'!$A$6:$K$20,4,FALSE),"")="% of GROSS",F278*K278,IFERROR(VLOOKUP(B278,'Co-Host Agreements'!$A$6:$K$20,4,FALSE),"")="Flat per booking",IFERROR(VLOOKUP(B278,'Co-Host Agreements'!$A$6:$K$20,6,FALSE),0),IFERROR(VLOOKUP(B278,'Co-Host Agreements'!$A$6:$K$20,4,FALSE),"")="Hybrid (Flat + % of NET)",IFERROR(VLOOKUP(B278,'Co-Host Agreements'!$A$6:$K$20,6,FALSE),0)+J278*K278,TRUE,0))</f>
        <v/>
      </c>
      <c r="M278" s="41">
        <f>IF(B278="","",J278-L278)</f>
        <v/>
      </c>
      <c r="N278" s="36" t="n"/>
      <c r="O278" s="36" t="n"/>
    </row>
    <row r="279" ht="16" customHeight="1">
      <c r="A279" s="39" t="n"/>
      <c r="B279" s="36" t="n"/>
      <c r="C279" s="36" t="n"/>
      <c r="D279" s="36" t="n"/>
      <c r="E279" s="36" t="n"/>
      <c r="F279" s="40" t="n"/>
      <c r="G279" s="40" t="n"/>
      <c r="H279" s="40" t="n"/>
      <c r="I279" s="40" t="n"/>
      <c r="J279" s="41">
        <f>IF(F279="","",F279-IF(IFERROR(VLOOKUP(B279,'Co-Host Agreements'!$A$6:$K$20,7,FALSE),"No")="Yes",G279,0)-IF(IFERROR(VLOOKUP(B279,'Co-Host Agreements'!$A$6:$K$20,8,FALSE),"No")="Yes",H279,0)-N(I279))</f>
        <v/>
      </c>
      <c r="K279" s="42">
        <f>IFERROR(VLOOKUP(B279,'Co-Host Agreements'!$A$6:$K$20,5,FALSE),0)</f>
        <v/>
      </c>
      <c r="L279" s="41">
        <f>IF(B279="","",IFS(IFERROR(VLOOKUP(B279,'Co-Host Agreements'!$A$6:$K$20,4,FALSE),"")="% of NET",J279*K279,IFERROR(VLOOKUP(B279,'Co-Host Agreements'!$A$6:$K$20,4,FALSE),"")="% of GROSS",F279*K279,IFERROR(VLOOKUP(B279,'Co-Host Agreements'!$A$6:$K$20,4,FALSE),"")="Flat per booking",IFERROR(VLOOKUP(B279,'Co-Host Agreements'!$A$6:$K$20,6,FALSE),0),IFERROR(VLOOKUP(B279,'Co-Host Agreements'!$A$6:$K$20,4,FALSE),"")="Hybrid (Flat + % of NET)",IFERROR(VLOOKUP(B279,'Co-Host Agreements'!$A$6:$K$20,6,FALSE),0)+J279*K279,TRUE,0))</f>
        <v/>
      </c>
      <c r="M279" s="41">
        <f>IF(B279="","",J279-L279)</f>
        <v/>
      </c>
      <c r="N279" s="36" t="n"/>
      <c r="O279" s="36" t="n"/>
    </row>
    <row r="280" ht="16" customHeight="1">
      <c r="A280" s="39" t="n"/>
      <c r="B280" s="36" t="n"/>
      <c r="C280" s="36" t="n"/>
      <c r="D280" s="36" t="n"/>
      <c r="E280" s="36" t="n"/>
      <c r="F280" s="40" t="n"/>
      <c r="G280" s="40" t="n"/>
      <c r="H280" s="40" t="n"/>
      <c r="I280" s="40" t="n"/>
      <c r="J280" s="41">
        <f>IF(F280="","",F280-IF(IFERROR(VLOOKUP(B280,'Co-Host Agreements'!$A$6:$K$20,7,FALSE),"No")="Yes",G280,0)-IF(IFERROR(VLOOKUP(B280,'Co-Host Agreements'!$A$6:$K$20,8,FALSE),"No")="Yes",H280,0)-N(I280))</f>
        <v/>
      </c>
      <c r="K280" s="42">
        <f>IFERROR(VLOOKUP(B280,'Co-Host Agreements'!$A$6:$K$20,5,FALSE),0)</f>
        <v/>
      </c>
      <c r="L280" s="41">
        <f>IF(B280="","",IFS(IFERROR(VLOOKUP(B280,'Co-Host Agreements'!$A$6:$K$20,4,FALSE),"")="% of NET",J280*K280,IFERROR(VLOOKUP(B280,'Co-Host Agreements'!$A$6:$K$20,4,FALSE),"")="% of GROSS",F280*K280,IFERROR(VLOOKUP(B280,'Co-Host Agreements'!$A$6:$K$20,4,FALSE),"")="Flat per booking",IFERROR(VLOOKUP(B280,'Co-Host Agreements'!$A$6:$K$20,6,FALSE),0),IFERROR(VLOOKUP(B280,'Co-Host Agreements'!$A$6:$K$20,4,FALSE),"")="Hybrid (Flat + % of NET)",IFERROR(VLOOKUP(B280,'Co-Host Agreements'!$A$6:$K$20,6,FALSE),0)+J280*K280,TRUE,0))</f>
        <v/>
      </c>
      <c r="M280" s="41">
        <f>IF(B280="","",J280-L280)</f>
        <v/>
      </c>
      <c r="N280" s="36" t="n"/>
      <c r="O280" s="36" t="n"/>
    </row>
    <row r="281" ht="16" customHeight="1">
      <c r="A281" s="39" t="n"/>
      <c r="B281" s="36" t="n"/>
      <c r="C281" s="36" t="n"/>
      <c r="D281" s="36" t="n"/>
      <c r="E281" s="36" t="n"/>
      <c r="F281" s="40" t="n"/>
      <c r="G281" s="40" t="n"/>
      <c r="H281" s="40" t="n"/>
      <c r="I281" s="40" t="n"/>
      <c r="J281" s="41">
        <f>IF(F281="","",F281-IF(IFERROR(VLOOKUP(B281,'Co-Host Agreements'!$A$6:$K$20,7,FALSE),"No")="Yes",G281,0)-IF(IFERROR(VLOOKUP(B281,'Co-Host Agreements'!$A$6:$K$20,8,FALSE),"No")="Yes",H281,0)-N(I281))</f>
        <v/>
      </c>
      <c r="K281" s="42">
        <f>IFERROR(VLOOKUP(B281,'Co-Host Agreements'!$A$6:$K$20,5,FALSE),0)</f>
        <v/>
      </c>
      <c r="L281" s="41">
        <f>IF(B281="","",IFS(IFERROR(VLOOKUP(B281,'Co-Host Agreements'!$A$6:$K$20,4,FALSE),"")="% of NET",J281*K281,IFERROR(VLOOKUP(B281,'Co-Host Agreements'!$A$6:$K$20,4,FALSE),"")="% of GROSS",F281*K281,IFERROR(VLOOKUP(B281,'Co-Host Agreements'!$A$6:$K$20,4,FALSE),"")="Flat per booking",IFERROR(VLOOKUP(B281,'Co-Host Agreements'!$A$6:$K$20,6,FALSE),0),IFERROR(VLOOKUP(B281,'Co-Host Agreements'!$A$6:$K$20,4,FALSE),"")="Hybrid (Flat + % of NET)",IFERROR(VLOOKUP(B281,'Co-Host Agreements'!$A$6:$K$20,6,FALSE),0)+J281*K281,TRUE,0))</f>
        <v/>
      </c>
      <c r="M281" s="41">
        <f>IF(B281="","",J281-L281)</f>
        <v/>
      </c>
      <c r="N281" s="36" t="n"/>
      <c r="O281" s="36" t="n"/>
    </row>
    <row r="282" ht="16" customHeight="1">
      <c r="A282" s="39" t="n"/>
      <c r="B282" s="36" t="n"/>
      <c r="C282" s="36" t="n"/>
      <c r="D282" s="36" t="n"/>
      <c r="E282" s="36" t="n"/>
      <c r="F282" s="40" t="n"/>
      <c r="G282" s="40" t="n"/>
      <c r="H282" s="40" t="n"/>
      <c r="I282" s="40" t="n"/>
      <c r="J282" s="41">
        <f>IF(F282="","",F282-IF(IFERROR(VLOOKUP(B282,'Co-Host Agreements'!$A$6:$K$20,7,FALSE),"No")="Yes",G282,0)-IF(IFERROR(VLOOKUP(B282,'Co-Host Agreements'!$A$6:$K$20,8,FALSE),"No")="Yes",H282,0)-N(I282))</f>
        <v/>
      </c>
      <c r="K282" s="42">
        <f>IFERROR(VLOOKUP(B282,'Co-Host Agreements'!$A$6:$K$20,5,FALSE),0)</f>
        <v/>
      </c>
      <c r="L282" s="41">
        <f>IF(B282="","",IFS(IFERROR(VLOOKUP(B282,'Co-Host Agreements'!$A$6:$K$20,4,FALSE),"")="% of NET",J282*K282,IFERROR(VLOOKUP(B282,'Co-Host Agreements'!$A$6:$K$20,4,FALSE),"")="% of GROSS",F282*K282,IFERROR(VLOOKUP(B282,'Co-Host Agreements'!$A$6:$K$20,4,FALSE),"")="Flat per booking",IFERROR(VLOOKUP(B282,'Co-Host Agreements'!$A$6:$K$20,6,FALSE),0),IFERROR(VLOOKUP(B282,'Co-Host Agreements'!$A$6:$K$20,4,FALSE),"")="Hybrid (Flat + % of NET)",IFERROR(VLOOKUP(B282,'Co-Host Agreements'!$A$6:$K$20,6,FALSE),0)+J282*K282,TRUE,0))</f>
        <v/>
      </c>
      <c r="M282" s="41">
        <f>IF(B282="","",J282-L282)</f>
        <v/>
      </c>
      <c r="N282" s="36" t="n"/>
      <c r="O282" s="36" t="n"/>
    </row>
    <row r="283" ht="16" customHeight="1">
      <c r="A283" s="39" t="n"/>
      <c r="B283" s="36" t="n"/>
      <c r="C283" s="36" t="n"/>
      <c r="D283" s="36" t="n"/>
      <c r="E283" s="36" t="n"/>
      <c r="F283" s="40" t="n"/>
      <c r="G283" s="40" t="n"/>
      <c r="H283" s="40" t="n"/>
      <c r="I283" s="40" t="n"/>
      <c r="J283" s="41">
        <f>IF(F283="","",F283-IF(IFERROR(VLOOKUP(B283,'Co-Host Agreements'!$A$6:$K$20,7,FALSE),"No")="Yes",G283,0)-IF(IFERROR(VLOOKUP(B283,'Co-Host Agreements'!$A$6:$K$20,8,FALSE),"No")="Yes",H283,0)-N(I283))</f>
        <v/>
      </c>
      <c r="K283" s="42">
        <f>IFERROR(VLOOKUP(B283,'Co-Host Agreements'!$A$6:$K$20,5,FALSE),0)</f>
        <v/>
      </c>
      <c r="L283" s="41">
        <f>IF(B283="","",IFS(IFERROR(VLOOKUP(B283,'Co-Host Agreements'!$A$6:$K$20,4,FALSE),"")="% of NET",J283*K283,IFERROR(VLOOKUP(B283,'Co-Host Agreements'!$A$6:$K$20,4,FALSE),"")="% of GROSS",F283*K283,IFERROR(VLOOKUP(B283,'Co-Host Agreements'!$A$6:$K$20,4,FALSE),"")="Flat per booking",IFERROR(VLOOKUP(B283,'Co-Host Agreements'!$A$6:$K$20,6,FALSE),0),IFERROR(VLOOKUP(B283,'Co-Host Agreements'!$A$6:$K$20,4,FALSE),"")="Hybrid (Flat + % of NET)",IFERROR(VLOOKUP(B283,'Co-Host Agreements'!$A$6:$K$20,6,FALSE),0)+J283*K283,TRUE,0))</f>
        <v/>
      </c>
      <c r="M283" s="41">
        <f>IF(B283="","",J283-L283)</f>
        <v/>
      </c>
      <c r="N283" s="36" t="n"/>
      <c r="O283" s="36" t="n"/>
    </row>
    <row r="284" ht="16" customHeight="1">
      <c r="A284" s="39" t="n"/>
      <c r="B284" s="36" t="n"/>
      <c r="C284" s="36" t="n"/>
      <c r="D284" s="36" t="n"/>
      <c r="E284" s="36" t="n"/>
      <c r="F284" s="40" t="n"/>
      <c r="G284" s="40" t="n"/>
      <c r="H284" s="40" t="n"/>
      <c r="I284" s="40" t="n"/>
      <c r="J284" s="41">
        <f>IF(F284="","",F284-IF(IFERROR(VLOOKUP(B284,'Co-Host Agreements'!$A$6:$K$20,7,FALSE),"No")="Yes",G284,0)-IF(IFERROR(VLOOKUP(B284,'Co-Host Agreements'!$A$6:$K$20,8,FALSE),"No")="Yes",H284,0)-N(I284))</f>
        <v/>
      </c>
      <c r="K284" s="42">
        <f>IFERROR(VLOOKUP(B284,'Co-Host Agreements'!$A$6:$K$20,5,FALSE),0)</f>
        <v/>
      </c>
      <c r="L284" s="41">
        <f>IF(B284="","",IFS(IFERROR(VLOOKUP(B284,'Co-Host Agreements'!$A$6:$K$20,4,FALSE),"")="% of NET",J284*K284,IFERROR(VLOOKUP(B284,'Co-Host Agreements'!$A$6:$K$20,4,FALSE),"")="% of GROSS",F284*K284,IFERROR(VLOOKUP(B284,'Co-Host Agreements'!$A$6:$K$20,4,FALSE),"")="Flat per booking",IFERROR(VLOOKUP(B284,'Co-Host Agreements'!$A$6:$K$20,6,FALSE),0),IFERROR(VLOOKUP(B284,'Co-Host Agreements'!$A$6:$K$20,4,FALSE),"")="Hybrid (Flat + % of NET)",IFERROR(VLOOKUP(B284,'Co-Host Agreements'!$A$6:$K$20,6,FALSE),0)+J284*K284,TRUE,0))</f>
        <v/>
      </c>
      <c r="M284" s="41">
        <f>IF(B284="","",J284-L284)</f>
        <v/>
      </c>
      <c r="N284" s="36" t="n"/>
      <c r="O284" s="36" t="n"/>
    </row>
    <row r="285" ht="16" customHeight="1">
      <c r="A285" s="39" t="n"/>
      <c r="B285" s="36" t="n"/>
      <c r="C285" s="36" t="n"/>
      <c r="D285" s="36" t="n"/>
      <c r="E285" s="36" t="n"/>
      <c r="F285" s="40" t="n"/>
      <c r="G285" s="40" t="n"/>
      <c r="H285" s="40" t="n"/>
      <c r="I285" s="40" t="n"/>
      <c r="J285" s="41">
        <f>IF(F285="","",F285-IF(IFERROR(VLOOKUP(B285,'Co-Host Agreements'!$A$6:$K$20,7,FALSE),"No")="Yes",G285,0)-IF(IFERROR(VLOOKUP(B285,'Co-Host Agreements'!$A$6:$K$20,8,FALSE),"No")="Yes",H285,0)-N(I285))</f>
        <v/>
      </c>
      <c r="K285" s="42">
        <f>IFERROR(VLOOKUP(B285,'Co-Host Agreements'!$A$6:$K$20,5,FALSE),0)</f>
        <v/>
      </c>
      <c r="L285" s="41">
        <f>IF(B285="","",IFS(IFERROR(VLOOKUP(B285,'Co-Host Agreements'!$A$6:$K$20,4,FALSE),"")="% of NET",J285*K285,IFERROR(VLOOKUP(B285,'Co-Host Agreements'!$A$6:$K$20,4,FALSE),"")="% of GROSS",F285*K285,IFERROR(VLOOKUP(B285,'Co-Host Agreements'!$A$6:$K$20,4,FALSE),"")="Flat per booking",IFERROR(VLOOKUP(B285,'Co-Host Agreements'!$A$6:$K$20,6,FALSE),0),IFERROR(VLOOKUP(B285,'Co-Host Agreements'!$A$6:$K$20,4,FALSE),"")="Hybrid (Flat + % of NET)",IFERROR(VLOOKUP(B285,'Co-Host Agreements'!$A$6:$K$20,6,FALSE),0)+J285*K285,TRUE,0))</f>
        <v/>
      </c>
      <c r="M285" s="41">
        <f>IF(B285="","",J285-L285)</f>
        <v/>
      </c>
      <c r="N285" s="36" t="n"/>
      <c r="O285" s="36" t="n"/>
    </row>
    <row r="286" ht="16" customHeight="1">
      <c r="A286" s="39" t="n"/>
      <c r="B286" s="36" t="n"/>
      <c r="C286" s="36" t="n"/>
      <c r="D286" s="36" t="n"/>
      <c r="E286" s="36" t="n"/>
      <c r="F286" s="40" t="n"/>
      <c r="G286" s="40" t="n"/>
      <c r="H286" s="40" t="n"/>
      <c r="I286" s="40" t="n"/>
      <c r="J286" s="41">
        <f>IF(F286="","",F286-IF(IFERROR(VLOOKUP(B286,'Co-Host Agreements'!$A$6:$K$20,7,FALSE),"No")="Yes",G286,0)-IF(IFERROR(VLOOKUP(B286,'Co-Host Agreements'!$A$6:$K$20,8,FALSE),"No")="Yes",H286,0)-N(I286))</f>
        <v/>
      </c>
      <c r="K286" s="42">
        <f>IFERROR(VLOOKUP(B286,'Co-Host Agreements'!$A$6:$K$20,5,FALSE),0)</f>
        <v/>
      </c>
      <c r="L286" s="41">
        <f>IF(B286="","",IFS(IFERROR(VLOOKUP(B286,'Co-Host Agreements'!$A$6:$K$20,4,FALSE),"")="% of NET",J286*K286,IFERROR(VLOOKUP(B286,'Co-Host Agreements'!$A$6:$K$20,4,FALSE),"")="% of GROSS",F286*K286,IFERROR(VLOOKUP(B286,'Co-Host Agreements'!$A$6:$K$20,4,FALSE),"")="Flat per booking",IFERROR(VLOOKUP(B286,'Co-Host Agreements'!$A$6:$K$20,6,FALSE),0),IFERROR(VLOOKUP(B286,'Co-Host Agreements'!$A$6:$K$20,4,FALSE),"")="Hybrid (Flat + % of NET)",IFERROR(VLOOKUP(B286,'Co-Host Agreements'!$A$6:$K$20,6,FALSE),0)+J286*K286,TRUE,0))</f>
        <v/>
      </c>
      <c r="M286" s="41">
        <f>IF(B286="","",J286-L286)</f>
        <v/>
      </c>
      <c r="N286" s="36" t="n"/>
      <c r="O286" s="36" t="n"/>
    </row>
    <row r="287" ht="16" customHeight="1">
      <c r="A287" s="39" t="n"/>
      <c r="B287" s="36" t="n"/>
      <c r="C287" s="36" t="n"/>
      <c r="D287" s="36" t="n"/>
      <c r="E287" s="36" t="n"/>
      <c r="F287" s="40" t="n"/>
      <c r="G287" s="40" t="n"/>
      <c r="H287" s="40" t="n"/>
      <c r="I287" s="40" t="n"/>
      <c r="J287" s="41">
        <f>IF(F287="","",F287-IF(IFERROR(VLOOKUP(B287,'Co-Host Agreements'!$A$6:$K$20,7,FALSE),"No")="Yes",G287,0)-IF(IFERROR(VLOOKUP(B287,'Co-Host Agreements'!$A$6:$K$20,8,FALSE),"No")="Yes",H287,0)-N(I287))</f>
        <v/>
      </c>
      <c r="K287" s="42">
        <f>IFERROR(VLOOKUP(B287,'Co-Host Agreements'!$A$6:$K$20,5,FALSE),0)</f>
        <v/>
      </c>
      <c r="L287" s="41">
        <f>IF(B287="","",IFS(IFERROR(VLOOKUP(B287,'Co-Host Agreements'!$A$6:$K$20,4,FALSE),"")="% of NET",J287*K287,IFERROR(VLOOKUP(B287,'Co-Host Agreements'!$A$6:$K$20,4,FALSE),"")="% of GROSS",F287*K287,IFERROR(VLOOKUP(B287,'Co-Host Agreements'!$A$6:$K$20,4,FALSE),"")="Flat per booking",IFERROR(VLOOKUP(B287,'Co-Host Agreements'!$A$6:$K$20,6,FALSE),0),IFERROR(VLOOKUP(B287,'Co-Host Agreements'!$A$6:$K$20,4,FALSE),"")="Hybrid (Flat + % of NET)",IFERROR(VLOOKUP(B287,'Co-Host Agreements'!$A$6:$K$20,6,FALSE),0)+J287*K287,TRUE,0))</f>
        <v/>
      </c>
      <c r="M287" s="41">
        <f>IF(B287="","",J287-L287)</f>
        <v/>
      </c>
      <c r="N287" s="36" t="n"/>
      <c r="O287" s="36" t="n"/>
    </row>
    <row r="288" ht="16" customHeight="1">
      <c r="A288" s="39" t="n"/>
      <c r="B288" s="36" t="n"/>
      <c r="C288" s="36" t="n"/>
      <c r="D288" s="36" t="n"/>
      <c r="E288" s="36" t="n"/>
      <c r="F288" s="40" t="n"/>
      <c r="G288" s="40" t="n"/>
      <c r="H288" s="40" t="n"/>
      <c r="I288" s="40" t="n"/>
      <c r="J288" s="41">
        <f>IF(F288="","",F288-IF(IFERROR(VLOOKUP(B288,'Co-Host Agreements'!$A$6:$K$20,7,FALSE),"No")="Yes",G288,0)-IF(IFERROR(VLOOKUP(B288,'Co-Host Agreements'!$A$6:$K$20,8,FALSE),"No")="Yes",H288,0)-N(I288))</f>
        <v/>
      </c>
      <c r="K288" s="42">
        <f>IFERROR(VLOOKUP(B288,'Co-Host Agreements'!$A$6:$K$20,5,FALSE),0)</f>
        <v/>
      </c>
      <c r="L288" s="41">
        <f>IF(B288="","",IFS(IFERROR(VLOOKUP(B288,'Co-Host Agreements'!$A$6:$K$20,4,FALSE),"")="% of NET",J288*K288,IFERROR(VLOOKUP(B288,'Co-Host Agreements'!$A$6:$K$20,4,FALSE),"")="% of GROSS",F288*K288,IFERROR(VLOOKUP(B288,'Co-Host Agreements'!$A$6:$K$20,4,FALSE),"")="Flat per booking",IFERROR(VLOOKUP(B288,'Co-Host Agreements'!$A$6:$K$20,6,FALSE),0),IFERROR(VLOOKUP(B288,'Co-Host Agreements'!$A$6:$K$20,4,FALSE),"")="Hybrid (Flat + % of NET)",IFERROR(VLOOKUP(B288,'Co-Host Agreements'!$A$6:$K$20,6,FALSE),0)+J288*K288,TRUE,0))</f>
        <v/>
      </c>
      <c r="M288" s="41">
        <f>IF(B288="","",J288-L288)</f>
        <v/>
      </c>
      <c r="N288" s="36" t="n"/>
      <c r="O288" s="36" t="n"/>
    </row>
    <row r="289" ht="16" customHeight="1">
      <c r="A289" s="39" t="n"/>
      <c r="B289" s="36" t="n"/>
      <c r="C289" s="36" t="n"/>
      <c r="D289" s="36" t="n"/>
      <c r="E289" s="36" t="n"/>
      <c r="F289" s="40" t="n"/>
      <c r="G289" s="40" t="n"/>
      <c r="H289" s="40" t="n"/>
      <c r="I289" s="40" t="n"/>
      <c r="J289" s="41">
        <f>IF(F289="","",F289-IF(IFERROR(VLOOKUP(B289,'Co-Host Agreements'!$A$6:$K$20,7,FALSE),"No")="Yes",G289,0)-IF(IFERROR(VLOOKUP(B289,'Co-Host Agreements'!$A$6:$K$20,8,FALSE),"No")="Yes",H289,0)-N(I289))</f>
        <v/>
      </c>
      <c r="K289" s="42">
        <f>IFERROR(VLOOKUP(B289,'Co-Host Agreements'!$A$6:$K$20,5,FALSE),0)</f>
        <v/>
      </c>
      <c r="L289" s="41">
        <f>IF(B289="","",IFS(IFERROR(VLOOKUP(B289,'Co-Host Agreements'!$A$6:$K$20,4,FALSE),"")="% of NET",J289*K289,IFERROR(VLOOKUP(B289,'Co-Host Agreements'!$A$6:$K$20,4,FALSE),"")="% of GROSS",F289*K289,IFERROR(VLOOKUP(B289,'Co-Host Agreements'!$A$6:$K$20,4,FALSE),"")="Flat per booking",IFERROR(VLOOKUP(B289,'Co-Host Agreements'!$A$6:$K$20,6,FALSE),0),IFERROR(VLOOKUP(B289,'Co-Host Agreements'!$A$6:$K$20,4,FALSE),"")="Hybrid (Flat + % of NET)",IFERROR(VLOOKUP(B289,'Co-Host Agreements'!$A$6:$K$20,6,FALSE),0)+J289*K289,TRUE,0))</f>
        <v/>
      </c>
      <c r="M289" s="41">
        <f>IF(B289="","",J289-L289)</f>
        <v/>
      </c>
      <c r="N289" s="36" t="n"/>
      <c r="O289" s="36" t="n"/>
    </row>
    <row r="290" ht="16" customHeight="1">
      <c r="A290" s="39" t="n"/>
      <c r="B290" s="36" t="n"/>
      <c r="C290" s="36" t="n"/>
      <c r="D290" s="36" t="n"/>
      <c r="E290" s="36" t="n"/>
      <c r="F290" s="40" t="n"/>
      <c r="G290" s="40" t="n"/>
      <c r="H290" s="40" t="n"/>
      <c r="I290" s="40" t="n"/>
      <c r="J290" s="41">
        <f>IF(F290="","",F290-IF(IFERROR(VLOOKUP(B290,'Co-Host Agreements'!$A$6:$K$20,7,FALSE),"No")="Yes",G290,0)-IF(IFERROR(VLOOKUP(B290,'Co-Host Agreements'!$A$6:$K$20,8,FALSE),"No")="Yes",H290,0)-N(I290))</f>
        <v/>
      </c>
      <c r="K290" s="42">
        <f>IFERROR(VLOOKUP(B290,'Co-Host Agreements'!$A$6:$K$20,5,FALSE),0)</f>
        <v/>
      </c>
      <c r="L290" s="41">
        <f>IF(B290="","",IFS(IFERROR(VLOOKUP(B290,'Co-Host Agreements'!$A$6:$K$20,4,FALSE),"")="% of NET",J290*K290,IFERROR(VLOOKUP(B290,'Co-Host Agreements'!$A$6:$K$20,4,FALSE),"")="% of GROSS",F290*K290,IFERROR(VLOOKUP(B290,'Co-Host Agreements'!$A$6:$K$20,4,FALSE),"")="Flat per booking",IFERROR(VLOOKUP(B290,'Co-Host Agreements'!$A$6:$K$20,6,FALSE),0),IFERROR(VLOOKUP(B290,'Co-Host Agreements'!$A$6:$K$20,4,FALSE),"")="Hybrid (Flat + % of NET)",IFERROR(VLOOKUP(B290,'Co-Host Agreements'!$A$6:$K$20,6,FALSE),0)+J290*K290,TRUE,0))</f>
        <v/>
      </c>
      <c r="M290" s="41">
        <f>IF(B290="","",J290-L290)</f>
        <v/>
      </c>
      <c r="N290" s="36" t="n"/>
      <c r="O290" s="36" t="n"/>
    </row>
    <row r="291" ht="16" customHeight="1">
      <c r="A291" s="39" t="n"/>
      <c r="B291" s="36" t="n"/>
      <c r="C291" s="36" t="n"/>
      <c r="D291" s="36" t="n"/>
      <c r="E291" s="36" t="n"/>
      <c r="F291" s="40" t="n"/>
      <c r="G291" s="40" t="n"/>
      <c r="H291" s="40" t="n"/>
      <c r="I291" s="40" t="n"/>
      <c r="J291" s="41">
        <f>IF(F291="","",F291-IF(IFERROR(VLOOKUP(B291,'Co-Host Agreements'!$A$6:$K$20,7,FALSE),"No")="Yes",G291,0)-IF(IFERROR(VLOOKUP(B291,'Co-Host Agreements'!$A$6:$K$20,8,FALSE),"No")="Yes",H291,0)-N(I291))</f>
        <v/>
      </c>
      <c r="K291" s="42">
        <f>IFERROR(VLOOKUP(B291,'Co-Host Agreements'!$A$6:$K$20,5,FALSE),0)</f>
        <v/>
      </c>
      <c r="L291" s="41">
        <f>IF(B291="","",IFS(IFERROR(VLOOKUP(B291,'Co-Host Agreements'!$A$6:$K$20,4,FALSE),"")="% of NET",J291*K291,IFERROR(VLOOKUP(B291,'Co-Host Agreements'!$A$6:$K$20,4,FALSE),"")="% of GROSS",F291*K291,IFERROR(VLOOKUP(B291,'Co-Host Agreements'!$A$6:$K$20,4,FALSE),"")="Flat per booking",IFERROR(VLOOKUP(B291,'Co-Host Agreements'!$A$6:$K$20,6,FALSE),0),IFERROR(VLOOKUP(B291,'Co-Host Agreements'!$A$6:$K$20,4,FALSE),"")="Hybrid (Flat + % of NET)",IFERROR(VLOOKUP(B291,'Co-Host Agreements'!$A$6:$K$20,6,FALSE),0)+J291*K291,TRUE,0))</f>
        <v/>
      </c>
      <c r="M291" s="41">
        <f>IF(B291="","",J291-L291)</f>
        <v/>
      </c>
      <c r="N291" s="36" t="n"/>
      <c r="O291" s="36" t="n"/>
    </row>
    <row r="292" ht="16" customHeight="1">
      <c r="A292" s="39" t="n"/>
      <c r="B292" s="36" t="n"/>
      <c r="C292" s="36" t="n"/>
      <c r="D292" s="36" t="n"/>
      <c r="E292" s="36" t="n"/>
      <c r="F292" s="40" t="n"/>
      <c r="G292" s="40" t="n"/>
      <c r="H292" s="40" t="n"/>
      <c r="I292" s="40" t="n"/>
      <c r="J292" s="41">
        <f>IF(F292="","",F292-IF(IFERROR(VLOOKUP(B292,'Co-Host Agreements'!$A$6:$K$20,7,FALSE),"No")="Yes",G292,0)-IF(IFERROR(VLOOKUP(B292,'Co-Host Agreements'!$A$6:$K$20,8,FALSE),"No")="Yes",H292,0)-N(I292))</f>
        <v/>
      </c>
      <c r="K292" s="42">
        <f>IFERROR(VLOOKUP(B292,'Co-Host Agreements'!$A$6:$K$20,5,FALSE),0)</f>
        <v/>
      </c>
      <c r="L292" s="41">
        <f>IF(B292="","",IFS(IFERROR(VLOOKUP(B292,'Co-Host Agreements'!$A$6:$K$20,4,FALSE),"")="% of NET",J292*K292,IFERROR(VLOOKUP(B292,'Co-Host Agreements'!$A$6:$K$20,4,FALSE),"")="% of GROSS",F292*K292,IFERROR(VLOOKUP(B292,'Co-Host Agreements'!$A$6:$K$20,4,FALSE),"")="Flat per booking",IFERROR(VLOOKUP(B292,'Co-Host Agreements'!$A$6:$K$20,6,FALSE),0),IFERROR(VLOOKUP(B292,'Co-Host Agreements'!$A$6:$K$20,4,FALSE),"")="Hybrid (Flat + % of NET)",IFERROR(VLOOKUP(B292,'Co-Host Agreements'!$A$6:$K$20,6,FALSE),0)+J292*K292,TRUE,0))</f>
        <v/>
      </c>
      <c r="M292" s="41">
        <f>IF(B292="","",J292-L292)</f>
        <v/>
      </c>
      <c r="N292" s="36" t="n"/>
      <c r="O292" s="36" t="n"/>
    </row>
    <row r="293" ht="16" customHeight="1">
      <c r="A293" s="39" t="n"/>
      <c r="B293" s="36" t="n"/>
      <c r="C293" s="36" t="n"/>
      <c r="D293" s="36" t="n"/>
      <c r="E293" s="36" t="n"/>
      <c r="F293" s="40" t="n"/>
      <c r="G293" s="40" t="n"/>
      <c r="H293" s="40" t="n"/>
      <c r="I293" s="40" t="n"/>
      <c r="J293" s="41">
        <f>IF(F293="","",F293-IF(IFERROR(VLOOKUP(B293,'Co-Host Agreements'!$A$6:$K$20,7,FALSE),"No")="Yes",G293,0)-IF(IFERROR(VLOOKUP(B293,'Co-Host Agreements'!$A$6:$K$20,8,FALSE),"No")="Yes",H293,0)-N(I293))</f>
        <v/>
      </c>
      <c r="K293" s="42">
        <f>IFERROR(VLOOKUP(B293,'Co-Host Agreements'!$A$6:$K$20,5,FALSE),0)</f>
        <v/>
      </c>
      <c r="L293" s="41">
        <f>IF(B293="","",IFS(IFERROR(VLOOKUP(B293,'Co-Host Agreements'!$A$6:$K$20,4,FALSE),"")="% of NET",J293*K293,IFERROR(VLOOKUP(B293,'Co-Host Agreements'!$A$6:$K$20,4,FALSE),"")="% of GROSS",F293*K293,IFERROR(VLOOKUP(B293,'Co-Host Agreements'!$A$6:$K$20,4,FALSE),"")="Flat per booking",IFERROR(VLOOKUP(B293,'Co-Host Agreements'!$A$6:$K$20,6,FALSE),0),IFERROR(VLOOKUP(B293,'Co-Host Agreements'!$A$6:$K$20,4,FALSE),"")="Hybrid (Flat + % of NET)",IFERROR(VLOOKUP(B293,'Co-Host Agreements'!$A$6:$K$20,6,FALSE),0)+J293*K293,TRUE,0))</f>
        <v/>
      </c>
      <c r="M293" s="41">
        <f>IF(B293="","",J293-L293)</f>
        <v/>
      </c>
      <c r="N293" s="36" t="n"/>
      <c r="O293" s="36" t="n"/>
    </row>
    <row r="294" ht="16" customHeight="1">
      <c r="A294" s="39" t="n"/>
      <c r="B294" s="36" t="n"/>
      <c r="C294" s="36" t="n"/>
      <c r="D294" s="36" t="n"/>
      <c r="E294" s="36" t="n"/>
      <c r="F294" s="40" t="n"/>
      <c r="G294" s="40" t="n"/>
      <c r="H294" s="40" t="n"/>
      <c r="I294" s="40" t="n"/>
      <c r="J294" s="41">
        <f>IF(F294="","",F294-IF(IFERROR(VLOOKUP(B294,'Co-Host Agreements'!$A$6:$K$20,7,FALSE),"No")="Yes",G294,0)-IF(IFERROR(VLOOKUP(B294,'Co-Host Agreements'!$A$6:$K$20,8,FALSE),"No")="Yes",H294,0)-N(I294))</f>
        <v/>
      </c>
      <c r="K294" s="42">
        <f>IFERROR(VLOOKUP(B294,'Co-Host Agreements'!$A$6:$K$20,5,FALSE),0)</f>
        <v/>
      </c>
      <c r="L294" s="41">
        <f>IF(B294="","",IFS(IFERROR(VLOOKUP(B294,'Co-Host Agreements'!$A$6:$K$20,4,FALSE),"")="% of NET",J294*K294,IFERROR(VLOOKUP(B294,'Co-Host Agreements'!$A$6:$K$20,4,FALSE),"")="% of GROSS",F294*K294,IFERROR(VLOOKUP(B294,'Co-Host Agreements'!$A$6:$K$20,4,FALSE),"")="Flat per booking",IFERROR(VLOOKUP(B294,'Co-Host Agreements'!$A$6:$K$20,6,FALSE),0),IFERROR(VLOOKUP(B294,'Co-Host Agreements'!$A$6:$K$20,4,FALSE),"")="Hybrid (Flat + % of NET)",IFERROR(VLOOKUP(B294,'Co-Host Agreements'!$A$6:$K$20,6,FALSE),0)+J294*K294,TRUE,0))</f>
        <v/>
      </c>
      <c r="M294" s="41">
        <f>IF(B294="","",J294-L294)</f>
        <v/>
      </c>
      <c r="N294" s="36" t="n"/>
      <c r="O294" s="36" t="n"/>
    </row>
    <row r="295" ht="16" customHeight="1">
      <c r="A295" s="39" t="n"/>
      <c r="B295" s="36" t="n"/>
      <c r="C295" s="36" t="n"/>
      <c r="D295" s="36" t="n"/>
      <c r="E295" s="36" t="n"/>
      <c r="F295" s="40" t="n"/>
      <c r="G295" s="40" t="n"/>
      <c r="H295" s="40" t="n"/>
      <c r="I295" s="40" t="n"/>
      <c r="J295" s="41">
        <f>IF(F295="","",F295-IF(IFERROR(VLOOKUP(B295,'Co-Host Agreements'!$A$6:$K$20,7,FALSE),"No")="Yes",G295,0)-IF(IFERROR(VLOOKUP(B295,'Co-Host Agreements'!$A$6:$K$20,8,FALSE),"No")="Yes",H295,0)-N(I295))</f>
        <v/>
      </c>
      <c r="K295" s="42">
        <f>IFERROR(VLOOKUP(B295,'Co-Host Agreements'!$A$6:$K$20,5,FALSE),0)</f>
        <v/>
      </c>
      <c r="L295" s="41">
        <f>IF(B295="","",IFS(IFERROR(VLOOKUP(B295,'Co-Host Agreements'!$A$6:$K$20,4,FALSE),"")="% of NET",J295*K295,IFERROR(VLOOKUP(B295,'Co-Host Agreements'!$A$6:$K$20,4,FALSE),"")="% of GROSS",F295*K295,IFERROR(VLOOKUP(B295,'Co-Host Agreements'!$A$6:$K$20,4,FALSE),"")="Flat per booking",IFERROR(VLOOKUP(B295,'Co-Host Agreements'!$A$6:$K$20,6,FALSE),0),IFERROR(VLOOKUP(B295,'Co-Host Agreements'!$A$6:$K$20,4,FALSE),"")="Hybrid (Flat + % of NET)",IFERROR(VLOOKUP(B295,'Co-Host Agreements'!$A$6:$K$20,6,FALSE),0)+J295*K295,TRUE,0))</f>
        <v/>
      </c>
      <c r="M295" s="41">
        <f>IF(B295="","",J295-L295)</f>
        <v/>
      </c>
      <c r="N295" s="36" t="n"/>
      <c r="O295" s="36" t="n"/>
    </row>
    <row r="296" ht="16" customHeight="1">
      <c r="A296" s="39" t="n"/>
      <c r="B296" s="36" t="n"/>
      <c r="C296" s="36" t="n"/>
      <c r="D296" s="36" t="n"/>
      <c r="E296" s="36" t="n"/>
      <c r="F296" s="40" t="n"/>
      <c r="G296" s="40" t="n"/>
      <c r="H296" s="40" t="n"/>
      <c r="I296" s="40" t="n"/>
      <c r="J296" s="41">
        <f>IF(F296="","",F296-IF(IFERROR(VLOOKUP(B296,'Co-Host Agreements'!$A$6:$K$20,7,FALSE),"No")="Yes",G296,0)-IF(IFERROR(VLOOKUP(B296,'Co-Host Agreements'!$A$6:$K$20,8,FALSE),"No")="Yes",H296,0)-N(I296))</f>
        <v/>
      </c>
      <c r="K296" s="42">
        <f>IFERROR(VLOOKUP(B296,'Co-Host Agreements'!$A$6:$K$20,5,FALSE),0)</f>
        <v/>
      </c>
      <c r="L296" s="41">
        <f>IF(B296="","",IFS(IFERROR(VLOOKUP(B296,'Co-Host Agreements'!$A$6:$K$20,4,FALSE),"")="% of NET",J296*K296,IFERROR(VLOOKUP(B296,'Co-Host Agreements'!$A$6:$K$20,4,FALSE),"")="% of GROSS",F296*K296,IFERROR(VLOOKUP(B296,'Co-Host Agreements'!$A$6:$K$20,4,FALSE),"")="Flat per booking",IFERROR(VLOOKUP(B296,'Co-Host Agreements'!$A$6:$K$20,6,FALSE),0),IFERROR(VLOOKUP(B296,'Co-Host Agreements'!$A$6:$K$20,4,FALSE),"")="Hybrid (Flat + % of NET)",IFERROR(VLOOKUP(B296,'Co-Host Agreements'!$A$6:$K$20,6,FALSE),0)+J296*K296,TRUE,0))</f>
        <v/>
      </c>
      <c r="M296" s="41">
        <f>IF(B296="","",J296-L296)</f>
        <v/>
      </c>
      <c r="N296" s="36" t="n"/>
      <c r="O296" s="36" t="n"/>
    </row>
    <row r="297" ht="16" customHeight="1">
      <c r="A297" s="39" t="n"/>
      <c r="B297" s="36" t="n"/>
      <c r="C297" s="36" t="n"/>
      <c r="D297" s="36" t="n"/>
      <c r="E297" s="36" t="n"/>
      <c r="F297" s="40" t="n"/>
      <c r="G297" s="40" t="n"/>
      <c r="H297" s="40" t="n"/>
      <c r="I297" s="40" t="n"/>
      <c r="J297" s="41">
        <f>IF(F297="","",F297-IF(IFERROR(VLOOKUP(B297,'Co-Host Agreements'!$A$6:$K$20,7,FALSE),"No")="Yes",G297,0)-IF(IFERROR(VLOOKUP(B297,'Co-Host Agreements'!$A$6:$K$20,8,FALSE),"No")="Yes",H297,0)-N(I297))</f>
        <v/>
      </c>
      <c r="K297" s="42">
        <f>IFERROR(VLOOKUP(B297,'Co-Host Agreements'!$A$6:$K$20,5,FALSE),0)</f>
        <v/>
      </c>
      <c r="L297" s="41">
        <f>IF(B297="","",IFS(IFERROR(VLOOKUP(B297,'Co-Host Agreements'!$A$6:$K$20,4,FALSE),"")="% of NET",J297*K297,IFERROR(VLOOKUP(B297,'Co-Host Agreements'!$A$6:$K$20,4,FALSE),"")="% of GROSS",F297*K297,IFERROR(VLOOKUP(B297,'Co-Host Agreements'!$A$6:$K$20,4,FALSE),"")="Flat per booking",IFERROR(VLOOKUP(B297,'Co-Host Agreements'!$A$6:$K$20,6,FALSE),0),IFERROR(VLOOKUP(B297,'Co-Host Agreements'!$A$6:$K$20,4,FALSE),"")="Hybrid (Flat + % of NET)",IFERROR(VLOOKUP(B297,'Co-Host Agreements'!$A$6:$K$20,6,FALSE),0)+J297*K297,TRUE,0))</f>
        <v/>
      </c>
      <c r="M297" s="41">
        <f>IF(B297="","",J297-L297)</f>
        <v/>
      </c>
      <c r="N297" s="36" t="n"/>
      <c r="O297" s="36" t="n"/>
    </row>
    <row r="298" ht="16" customHeight="1">
      <c r="A298" s="39" t="n"/>
      <c r="B298" s="36" t="n"/>
      <c r="C298" s="36" t="n"/>
      <c r="D298" s="36" t="n"/>
      <c r="E298" s="36" t="n"/>
      <c r="F298" s="40" t="n"/>
      <c r="G298" s="40" t="n"/>
      <c r="H298" s="40" t="n"/>
      <c r="I298" s="40" t="n"/>
      <c r="J298" s="41">
        <f>IF(F298="","",F298-IF(IFERROR(VLOOKUP(B298,'Co-Host Agreements'!$A$6:$K$20,7,FALSE),"No")="Yes",G298,0)-IF(IFERROR(VLOOKUP(B298,'Co-Host Agreements'!$A$6:$K$20,8,FALSE),"No")="Yes",H298,0)-N(I298))</f>
        <v/>
      </c>
      <c r="K298" s="42">
        <f>IFERROR(VLOOKUP(B298,'Co-Host Agreements'!$A$6:$K$20,5,FALSE),0)</f>
        <v/>
      </c>
      <c r="L298" s="41">
        <f>IF(B298="","",IFS(IFERROR(VLOOKUP(B298,'Co-Host Agreements'!$A$6:$K$20,4,FALSE),"")="% of NET",J298*K298,IFERROR(VLOOKUP(B298,'Co-Host Agreements'!$A$6:$K$20,4,FALSE),"")="% of GROSS",F298*K298,IFERROR(VLOOKUP(B298,'Co-Host Agreements'!$A$6:$K$20,4,FALSE),"")="Flat per booking",IFERROR(VLOOKUP(B298,'Co-Host Agreements'!$A$6:$K$20,6,FALSE),0),IFERROR(VLOOKUP(B298,'Co-Host Agreements'!$A$6:$K$20,4,FALSE),"")="Hybrid (Flat + % of NET)",IFERROR(VLOOKUP(B298,'Co-Host Agreements'!$A$6:$K$20,6,FALSE),0)+J298*K298,TRUE,0))</f>
        <v/>
      </c>
      <c r="M298" s="41">
        <f>IF(B298="","",J298-L298)</f>
        <v/>
      </c>
      <c r="N298" s="36" t="n"/>
      <c r="O298" s="36" t="n"/>
    </row>
    <row r="299" ht="16" customHeight="1">
      <c r="A299" s="39" t="n"/>
      <c r="B299" s="36" t="n"/>
      <c r="C299" s="36" t="n"/>
      <c r="D299" s="36" t="n"/>
      <c r="E299" s="36" t="n"/>
      <c r="F299" s="40" t="n"/>
      <c r="G299" s="40" t="n"/>
      <c r="H299" s="40" t="n"/>
      <c r="I299" s="40" t="n"/>
      <c r="J299" s="41">
        <f>IF(F299="","",F299-IF(IFERROR(VLOOKUP(B299,'Co-Host Agreements'!$A$6:$K$20,7,FALSE),"No")="Yes",G299,0)-IF(IFERROR(VLOOKUP(B299,'Co-Host Agreements'!$A$6:$K$20,8,FALSE),"No")="Yes",H299,0)-N(I299))</f>
        <v/>
      </c>
      <c r="K299" s="42">
        <f>IFERROR(VLOOKUP(B299,'Co-Host Agreements'!$A$6:$K$20,5,FALSE),0)</f>
        <v/>
      </c>
      <c r="L299" s="41">
        <f>IF(B299="","",IFS(IFERROR(VLOOKUP(B299,'Co-Host Agreements'!$A$6:$K$20,4,FALSE),"")="% of NET",J299*K299,IFERROR(VLOOKUP(B299,'Co-Host Agreements'!$A$6:$K$20,4,FALSE),"")="% of GROSS",F299*K299,IFERROR(VLOOKUP(B299,'Co-Host Agreements'!$A$6:$K$20,4,FALSE),"")="Flat per booking",IFERROR(VLOOKUP(B299,'Co-Host Agreements'!$A$6:$K$20,6,FALSE),0),IFERROR(VLOOKUP(B299,'Co-Host Agreements'!$A$6:$K$20,4,FALSE),"")="Hybrid (Flat + % of NET)",IFERROR(VLOOKUP(B299,'Co-Host Agreements'!$A$6:$K$20,6,FALSE),0)+J299*K299,TRUE,0))</f>
        <v/>
      </c>
      <c r="M299" s="41">
        <f>IF(B299="","",J299-L299)</f>
        <v/>
      </c>
      <c r="N299" s="36" t="n"/>
      <c r="O299" s="36" t="n"/>
    </row>
    <row r="300" ht="16" customHeight="1">
      <c r="A300" s="39" t="n"/>
      <c r="B300" s="36" t="n"/>
      <c r="C300" s="36" t="n"/>
      <c r="D300" s="36" t="n"/>
      <c r="E300" s="36" t="n"/>
      <c r="F300" s="40" t="n"/>
      <c r="G300" s="40" t="n"/>
      <c r="H300" s="40" t="n"/>
      <c r="I300" s="40" t="n"/>
      <c r="J300" s="41">
        <f>IF(F300="","",F300-IF(IFERROR(VLOOKUP(B300,'Co-Host Agreements'!$A$6:$K$20,7,FALSE),"No")="Yes",G300,0)-IF(IFERROR(VLOOKUP(B300,'Co-Host Agreements'!$A$6:$K$20,8,FALSE),"No")="Yes",H300,0)-N(I300))</f>
        <v/>
      </c>
      <c r="K300" s="42">
        <f>IFERROR(VLOOKUP(B300,'Co-Host Agreements'!$A$6:$K$20,5,FALSE),0)</f>
        <v/>
      </c>
      <c r="L300" s="41">
        <f>IF(B300="","",IFS(IFERROR(VLOOKUP(B300,'Co-Host Agreements'!$A$6:$K$20,4,FALSE),"")="% of NET",J300*K300,IFERROR(VLOOKUP(B300,'Co-Host Agreements'!$A$6:$K$20,4,FALSE),"")="% of GROSS",F300*K300,IFERROR(VLOOKUP(B300,'Co-Host Agreements'!$A$6:$K$20,4,FALSE),"")="Flat per booking",IFERROR(VLOOKUP(B300,'Co-Host Agreements'!$A$6:$K$20,6,FALSE),0),IFERROR(VLOOKUP(B300,'Co-Host Agreements'!$A$6:$K$20,4,FALSE),"")="Hybrid (Flat + % of NET)",IFERROR(VLOOKUP(B300,'Co-Host Agreements'!$A$6:$K$20,6,FALSE),0)+J300*K300,TRUE,0))</f>
        <v/>
      </c>
      <c r="M300" s="41">
        <f>IF(B300="","",J300-L300)</f>
        <v/>
      </c>
      <c r="N300" s="36" t="n"/>
      <c r="O300" s="36" t="n"/>
    </row>
    <row r="301" ht="16" customHeight="1">
      <c r="A301" s="39" t="n"/>
      <c r="B301" s="36" t="n"/>
      <c r="C301" s="36" t="n"/>
      <c r="D301" s="36" t="n"/>
      <c r="E301" s="36" t="n"/>
      <c r="F301" s="40" t="n"/>
      <c r="G301" s="40" t="n"/>
      <c r="H301" s="40" t="n"/>
      <c r="I301" s="40" t="n"/>
      <c r="J301" s="41">
        <f>IF(F301="","",F301-IF(IFERROR(VLOOKUP(B301,'Co-Host Agreements'!$A$6:$K$20,7,FALSE),"No")="Yes",G301,0)-IF(IFERROR(VLOOKUP(B301,'Co-Host Agreements'!$A$6:$K$20,8,FALSE),"No")="Yes",H301,0)-N(I301))</f>
        <v/>
      </c>
      <c r="K301" s="42">
        <f>IFERROR(VLOOKUP(B301,'Co-Host Agreements'!$A$6:$K$20,5,FALSE),0)</f>
        <v/>
      </c>
      <c r="L301" s="41">
        <f>IF(B301="","",IFS(IFERROR(VLOOKUP(B301,'Co-Host Agreements'!$A$6:$K$20,4,FALSE),"")="% of NET",J301*K301,IFERROR(VLOOKUP(B301,'Co-Host Agreements'!$A$6:$K$20,4,FALSE),"")="% of GROSS",F301*K301,IFERROR(VLOOKUP(B301,'Co-Host Agreements'!$A$6:$K$20,4,FALSE),"")="Flat per booking",IFERROR(VLOOKUP(B301,'Co-Host Agreements'!$A$6:$K$20,6,FALSE),0),IFERROR(VLOOKUP(B301,'Co-Host Agreements'!$A$6:$K$20,4,FALSE),"")="Hybrid (Flat + % of NET)",IFERROR(VLOOKUP(B301,'Co-Host Agreements'!$A$6:$K$20,6,FALSE),0)+J301*K301,TRUE,0))</f>
        <v/>
      </c>
      <c r="M301" s="41">
        <f>IF(B301="","",J301-L301)</f>
        <v/>
      </c>
      <c r="N301" s="36" t="n"/>
      <c r="O301" s="36" t="n"/>
    </row>
    <row r="302" ht="16" customHeight="1">
      <c r="A302" s="39" t="n"/>
      <c r="B302" s="36" t="n"/>
      <c r="C302" s="36" t="n"/>
      <c r="D302" s="36" t="n"/>
      <c r="E302" s="36" t="n"/>
      <c r="F302" s="40" t="n"/>
      <c r="G302" s="40" t="n"/>
      <c r="H302" s="40" t="n"/>
      <c r="I302" s="40" t="n"/>
      <c r="J302" s="41">
        <f>IF(F302="","",F302-IF(IFERROR(VLOOKUP(B302,'Co-Host Agreements'!$A$6:$K$20,7,FALSE),"No")="Yes",G302,0)-IF(IFERROR(VLOOKUP(B302,'Co-Host Agreements'!$A$6:$K$20,8,FALSE),"No")="Yes",H302,0)-N(I302))</f>
        <v/>
      </c>
      <c r="K302" s="42">
        <f>IFERROR(VLOOKUP(B302,'Co-Host Agreements'!$A$6:$K$20,5,FALSE),0)</f>
        <v/>
      </c>
      <c r="L302" s="41">
        <f>IF(B302="","",IFS(IFERROR(VLOOKUP(B302,'Co-Host Agreements'!$A$6:$K$20,4,FALSE),"")="% of NET",J302*K302,IFERROR(VLOOKUP(B302,'Co-Host Agreements'!$A$6:$K$20,4,FALSE),"")="% of GROSS",F302*K302,IFERROR(VLOOKUP(B302,'Co-Host Agreements'!$A$6:$K$20,4,FALSE),"")="Flat per booking",IFERROR(VLOOKUP(B302,'Co-Host Agreements'!$A$6:$K$20,6,FALSE),0),IFERROR(VLOOKUP(B302,'Co-Host Agreements'!$A$6:$K$20,4,FALSE),"")="Hybrid (Flat + % of NET)",IFERROR(VLOOKUP(B302,'Co-Host Agreements'!$A$6:$K$20,6,FALSE),0)+J302*K302,TRUE,0))</f>
        <v/>
      </c>
      <c r="M302" s="41">
        <f>IF(B302="","",J302-L302)</f>
        <v/>
      </c>
      <c r="N302" s="36" t="n"/>
      <c r="O302" s="36" t="n"/>
    </row>
    <row r="303" ht="16" customHeight="1">
      <c r="A303" s="39" t="n"/>
      <c r="B303" s="36" t="n"/>
      <c r="C303" s="36" t="n"/>
      <c r="D303" s="36" t="n"/>
      <c r="E303" s="36" t="n"/>
      <c r="F303" s="40" t="n"/>
      <c r="G303" s="40" t="n"/>
      <c r="H303" s="40" t="n"/>
      <c r="I303" s="40" t="n"/>
      <c r="J303" s="41">
        <f>IF(F303="","",F303-IF(IFERROR(VLOOKUP(B303,'Co-Host Agreements'!$A$6:$K$20,7,FALSE),"No")="Yes",G303,0)-IF(IFERROR(VLOOKUP(B303,'Co-Host Agreements'!$A$6:$K$20,8,FALSE),"No")="Yes",H303,0)-N(I303))</f>
        <v/>
      </c>
      <c r="K303" s="42">
        <f>IFERROR(VLOOKUP(B303,'Co-Host Agreements'!$A$6:$K$20,5,FALSE),0)</f>
        <v/>
      </c>
      <c r="L303" s="41">
        <f>IF(B303="","",IFS(IFERROR(VLOOKUP(B303,'Co-Host Agreements'!$A$6:$K$20,4,FALSE),"")="% of NET",J303*K303,IFERROR(VLOOKUP(B303,'Co-Host Agreements'!$A$6:$K$20,4,FALSE),"")="% of GROSS",F303*K303,IFERROR(VLOOKUP(B303,'Co-Host Agreements'!$A$6:$K$20,4,FALSE),"")="Flat per booking",IFERROR(VLOOKUP(B303,'Co-Host Agreements'!$A$6:$K$20,6,FALSE),0),IFERROR(VLOOKUP(B303,'Co-Host Agreements'!$A$6:$K$20,4,FALSE),"")="Hybrid (Flat + % of NET)",IFERROR(VLOOKUP(B303,'Co-Host Agreements'!$A$6:$K$20,6,FALSE),0)+J303*K303,TRUE,0))</f>
        <v/>
      </c>
      <c r="M303" s="41">
        <f>IF(B303="","",J303-L303)</f>
        <v/>
      </c>
      <c r="N303" s="36" t="n"/>
      <c r="O303" s="36" t="n"/>
    </row>
    <row r="304" ht="16" customHeight="1">
      <c r="A304" s="39" t="n"/>
      <c r="B304" s="36" t="n"/>
      <c r="C304" s="36" t="n"/>
      <c r="D304" s="36" t="n"/>
      <c r="E304" s="36" t="n"/>
      <c r="F304" s="40" t="n"/>
      <c r="G304" s="40" t="n"/>
      <c r="H304" s="40" t="n"/>
      <c r="I304" s="40" t="n"/>
      <c r="J304" s="41">
        <f>IF(F304="","",F304-IF(IFERROR(VLOOKUP(B304,'Co-Host Agreements'!$A$6:$K$20,7,FALSE),"No")="Yes",G304,0)-IF(IFERROR(VLOOKUP(B304,'Co-Host Agreements'!$A$6:$K$20,8,FALSE),"No")="Yes",H304,0)-N(I304))</f>
        <v/>
      </c>
      <c r="K304" s="42">
        <f>IFERROR(VLOOKUP(B304,'Co-Host Agreements'!$A$6:$K$20,5,FALSE),0)</f>
        <v/>
      </c>
      <c r="L304" s="41">
        <f>IF(B304="","",IFS(IFERROR(VLOOKUP(B304,'Co-Host Agreements'!$A$6:$K$20,4,FALSE),"")="% of NET",J304*K304,IFERROR(VLOOKUP(B304,'Co-Host Agreements'!$A$6:$K$20,4,FALSE),"")="% of GROSS",F304*K304,IFERROR(VLOOKUP(B304,'Co-Host Agreements'!$A$6:$K$20,4,FALSE),"")="Flat per booking",IFERROR(VLOOKUP(B304,'Co-Host Agreements'!$A$6:$K$20,6,FALSE),0),IFERROR(VLOOKUP(B304,'Co-Host Agreements'!$A$6:$K$20,4,FALSE),"")="Hybrid (Flat + % of NET)",IFERROR(VLOOKUP(B304,'Co-Host Agreements'!$A$6:$K$20,6,FALSE),0)+J304*K304,TRUE,0))</f>
        <v/>
      </c>
      <c r="M304" s="41">
        <f>IF(B304="","",J304-L304)</f>
        <v/>
      </c>
      <c r="N304" s="36" t="n"/>
      <c r="O304" s="36" t="n"/>
    </row>
    <row r="305" ht="16" customHeight="1">
      <c r="A305" s="39" t="n"/>
      <c r="B305" s="36" t="n"/>
      <c r="C305" s="36" t="n"/>
      <c r="D305" s="36" t="n"/>
      <c r="E305" s="36" t="n"/>
      <c r="F305" s="40" t="n"/>
      <c r="G305" s="40" t="n"/>
      <c r="H305" s="40" t="n"/>
      <c r="I305" s="40" t="n"/>
      <c r="J305" s="41">
        <f>IF(F305="","",F305-IF(IFERROR(VLOOKUP(B305,'Co-Host Agreements'!$A$6:$K$20,7,FALSE),"No")="Yes",G305,0)-IF(IFERROR(VLOOKUP(B305,'Co-Host Agreements'!$A$6:$K$20,8,FALSE),"No")="Yes",H305,0)-N(I305))</f>
        <v/>
      </c>
      <c r="K305" s="42">
        <f>IFERROR(VLOOKUP(B305,'Co-Host Agreements'!$A$6:$K$20,5,FALSE),0)</f>
        <v/>
      </c>
      <c r="L305" s="41">
        <f>IF(B305="","",IFS(IFERROR(VLOOKUP(B305,'Co-Host Agreements'!$A$6:$K$20,4,FALSE),"")="% of NET",J305*K305,IFERROR(VLOOKUP(B305,'Co-Host Agreements'!$A$6:$K$20,4,FALSE),"")="% of GROSS",F305*K305,IFERROR(VLOOKUP(B305,'Co-Host Agreements'!$A$6:$K$20,4,FALSE),"")="Flat per booking",IFERROR(VLOOKUP(B305,'Co-Host Agreements'!$A$6:$K$20,6,FALSE),0),IFERROR(VLOOKUP(B305,'Co-Host Agreements'!$A$6:$K$20,4,FALSE),"")="Hybrid (Flat + % of NET)",IFERROR(VLOOKUP(B305,'Co-Host Agreements'!$A$6:$K$20,6,FALSE),0)+J305*K305,TRUE,0))</f>
        <v/>
      </c>
      <c r="M305" s="41">
        <f>IF(B305="","",J305-L305)</f>
        <v/>
      </c>
      <c r="N305" s="36" t="n"/>
      <c r="O305" s="36" t="n"/>
    </row>
    <row r="306" ht="16" customHeight="1">
      <c r="A306" s="39" t="n"/>
      <c r="B306" s="36" t="n"/>
      <c r="C306" s="36" t="n"/>
      <c r="D306" s="36" t="n"/>
      <c r="E306" s="36" t="n"/>
      <c r="F306" s="40" t="n"/>
      <c r="G306" s="40" t="n"/>
      <c r="H306" s="40" t="n"/>
      <c r="I306" s="40" t="n"/>
      <c r="J306" s="41">
        <f>IF(F306="","",F306-IF(IFERROR(VLOOKUP(B306,'Co-Host Agreements'!$A$6:$K$20,7,FALSE),"No")="Yes",G306,0)-IF(IFERROR(VLOOKUP(B306,'Co-Host Agreements'!$A$6:$K$20,8,FALSE),"No")="Yes",H306,0)-N(I306))</f>
        <v/>
      </c>
      <c r="K306" s="42">
        <f>IFERROR(VLOOKUP(B306,'Co-Host Agreements'!$A$6:$K$20,5,FALSE),0)</f>
        <v/>
      </c>
      <c r="L306" s="41">
        <f>IF(B306="","",IFS(IFERROR(VLOOKUP(B306,'Co-Host Agreements'!$A$6:$K$20,4,FALSE),"")="% of NET",J306*K306,IFERROR(VLOOKUP(B306,'Co-Host Agreements'!$A$6:$K$20,4,FALSE),"")="% of GROSS",F306*K306,IFERROR(VLOOKUP(B306,'Co-Host Agreements'!$A$6:$K$20,4,FALSE),"")="Flat per booking",IFERROR(VLOOKUP(B306,'Co-Host Agreements'!$A$6:$K$20,6,FALSE),0),IFERROR(VLOOKUP(B306,'Co-Host Agreements'!$A$6:$K$20,4,FALSE),"")="Hybrid (Flat + % of NET)",IFERROR(VLOOKUP(B306,'Co-Host Agreements'!$A$6:$K$20,6,FALSE),0)+J306*K306,TRUE,0))</f>
        <v/>
      </c>
      <c r="M306" s="41">
        <f>IF(B306="","",J306-L306)</f>
        <v/>
      </c>
      <c r="N306" s="36" t="n"/>
      <c r="O306" s="36" t="n"/>
    </row>
    <row r="307" ht="16" customHeight="1">
      <c r="A307" s="39" t="n"/>
      <c r="B307" s="36" t="n"/>
      <c r="C307" s="36" t="n"/>
      <c r="D307" s="36" t="n"/>
      <c r="E307" s="36" t="n"/>
      <c r="F307" s="40" t="n"/>
      <c r="G307" s="40" t="n"/>
      <c r="H307" s="40" t="n"/>
      <c r="I307" s="40" t="n"/>
      <c r="J307" s="41">
        <f>IF(F307="","",F307-IF(IFERROR(VLOOKUP(B307,'Co-Host Agreements'!$A$6:$K$20,7,FALSE),"No")="Yes",G307,0)-IF(IFERROR(VLOOKUP(B307,'Co-Host Agreements'!$A$6:$K$20,8,FALSE),"No")="Yes",H307,0)-N(I307))</f>
        <v/>
      </c>
      <c r="K307" s="42">
        <f>IFERROR(VLOOKUP(B307,'Co-Host Agreements'!$A$6:$K$20,5,FALSE),0)</f>
        <v/>
      </c>
      <c r="L307" s="41">
        <f>IF(B307="","",IFS(IFERROR(VLOOKUP(B307,'Co-Host Agreements'!$A$6:$K$20,4,FALSE),"")="% of NET",J307*K307,IFERROR(VLOOKUP(B307,'Co-Host Agreements'!$A$6:$K$20,4,FALSE),"")="% of GROSS",F307*K307,IFERROR(VLOOKUP(B307,'Co-Host Agreements'!$A$6:$K$20,4,FALSE),"")="Flat per booking",IFERROR(VLOOKUP(B307,'Co-Host Agreements'!$A$6:$K$20,6,FALSE),0),IFERROR(VLOOKUP(B307,'Co-Host Agreements'!$A$6:$K$20,4,FALSE),"")="Hybrid (Flat + % of NET)",IFERROR(VLOOKUP(B307,'Co-Host Agreements'!$A$6:$K$20,6,FALSE),0)+J307*K307,TRUE,0))</f>
        <v/>
      </c>
      <c r="M307" s="41">
        <f>IF(B307="","",J307-L307)</f>
        <v/>
      </c>
      <c r="N307" s="36" t="n"/>
      <c r="O307" s="36" t="n"/>
    </row>
    <row r="308" ht="16" customHeight="1">
      <c r="A308" s="39" t="n"/>
      <c r="B308" s="36" t="n"/>
      <c r="C308" s="36" t="n"/>
      <c r="D308" s="36" t="n"/>
      <c r="E308" s="36" t="n"/>
      <c r="F308" s="40" t="n"/>
      <c r="G308" s="40" t="n"/>
      <c r="H308" s="40" t="n"/>
      <c r="I308" s="40" t="n"/>
      <c r="J308" s="41">
        <f>IF(F308="","",F308-IF(IFERROR(VLOOKUP(B308,'Co-Host Agreements'!$A$6:$K$20,7,FALSE),"No")="Yes",G308,0)-IF(IFERROR(VLOOKUP(B308,'Co-Host Agreements'!$A$6:$K$20,8,FALSE),"No")="Yes",H308,0)-N(I308))</f>
        <v/>
      </c>
      <c r="K308" s="42">
        <f>IFERROR(VLOOKUP(B308,'Co-Host Agreements'!$A$6:$K$20,5,FALSE),0)</f>
        <v/>
      </c>
      <c r="L308" s="41">
        <f>IF(B308="","",IFS(IFERROR(VLOOKUP(B308,'Co-Host Agreements'!$A$6:$K$20,4,FALSE),"")="% of NET",J308*K308,IFERROR(VLOOKUP(B308,'Co-Host Agreements'!$A$6:$K$20,4,FALSE),"")="% of GROSS",F308*K308,IFERROR(VLOOKUP(B308,'Co-Host Agreements'!$A$6:$K$20,4,FALSE),"")="Flat per booking",IFERROR(VLOOKUP(B308,'Co-Host Agreements'!$A$6:$K$20,6,FALSE),0),IFERROR(VLOOKUP(B308,'Co-Host Agreements'!$A$6:$K$20,4,FALSE),"")="Hybrid (Flat + % of NET)",IFERROR(VLOOKUP(B308,'Co-Host Agreements'!$A$6:$K$20,6,FALSE),0)+J308*K308,TRUE,0))</f>
        <v/>
      </c>
      <c r="M308" s="41">
        <f>IF(B308="","",J308-L308)</f>
        <v/>
      </c>
      <c r="N308" s="36" t="n"/>
      <c r="O308" s="36" t="n"/>
    </row>
    <row r="309" ht="16" customHeight="1">
      <c r="A309" s="39" t="n"/>
      <c r="B309" s="36" t="n"/>
      <c r="C309" s="36" t="n"/>
      <c r="D309" s="36" t="n"/>
      <c r="E309" s="36" t="n"/>
      <c r="F309" s="40" t="n"/>
      <c r="G309" s="40" t="n"/>
      <c r="H309" s="40" t="n"/>
      <c r="I309" s="40" t="n"/>
      <c r="J309" s="41">
        <f>IF(F309="","",F309-IF(IFERROR(VLOOKUP(B309,'Co-Host Agreements'!$A$6:$K$20,7,FALSE),"No")="Yes",G309,0)-IF(IFERROR(VLOOKUP(B309,'Co-Host Agreements'!$A$6:$K$20,8,FALSE),"No")="Yes",H309,0)-N(I309))</f>
        <v/>
      </c>
      <c r="K309" s="42">
        <f>IFERROR(VLOOKUP(B309,'Co-Host Agreements'!$A$6:$K$20,5,FALSE),0)</f>
        <v/>
      </c>
      <c r="L309" s="41">
        <f>IF(B309="","",IFS(IFERROR(VLOOKUP(B309,'Co-Host Agreements'!$A$6:$K$20,4,FALSE),"")="% of NET",J309*K309,IFERROR(VLOOKUP(B309,'Co-Host Agreements'!$A$6:$K$20,4,FALSE),"")="% of GROSS",F309*K309,IFERROR(VLOOKUP(B309,'Co-Host Agreements'!$A$6:$K$20,4,FALSE),"")="Flat per booking",IFERROR(VLOOKUP(B309,'Co-Host Agreements'!$A$6:$K$20,6,FALSE),0),IFERROR(VLOOKUP(B309,'Co-Host Agreements'!$A$6:$K$20,4,FALSE),"")="Hybrid (Flat + % of NET)",IFERROR(VLOOKUP(B309,'Co-Host Agreements'!$A$6:$K$20,6,FALSE),0)+J309*K309,TRUE,0))</f>
        <v/>
      </c>
      <c r="M309" s="41">
        <f>IF(B309="","",J309-L309)</f>
        <v/>
      </c>
      <c r="N309" s="36" t="n"/>
      <c r="O309" s="36" t="n"/>
    </row>
    <row r="310" ht="16" customHeight="1">
      <c r="A310" s="39" t="n"/>
      <c r="B310" s="36" t="n"/>
      <c r="C310" s="36" t="n"/>
      <c r="D310" s="36" t="n"/>
      <c r="E310" s="36" t="n"/>
      <c r="F310" s="40" t="n"/>
      <c r="G310" s="40" t="n"/>
      <c r="H310" s="40" t="n"/>
      <c r="I310" s="40" t="n"/>
      <c r="J310" s="41">
        <f>IF(F310="","",F310-IF(IFERROR(VLOOKUP(B310,'Co-Host Agreements'!$A$6:$K$20,7,FALSE),"No")="Yes",G310,0)-IF(IFERROR(VLOOKUP(B310,'Co-Host Agreements'!$A$6:$K$20,8,FALSE),"No")="Yes",H310,0)-N(I310))</f>
        <v/>
      </c>
      <c r="K310" s="42">
        <f>IFERROR(VLOOKUP(B310,'Co-Host Agreements'!$A$6:$K$20,5,FALSE),0)</f>
        <v/>
      </c>
      <c r="L310" s="41">
        <f>IF(B310="","",IFS(IFERROR(VLOOKUP(B310,'Co-Host Agreements'!$A$6:$K$20,4,FALSE),"")="% of NET",J310*K310,IFERROR(VLOOKUP(B310,'Co-Host Agreements'!$A$6:$K$20,4,FALSE),"")="% of GROSS",F310*K310,IFERROR(VLOOKUP(B310,'Co-Host Agreements'!$A$6:$K$20,4,FALSE),"")="Flat per booking",IFERROR(VLOOKUP(B310,'Co-Host Agreements'!$A$6:$K$20,6,FALSE),0),IFERROR(VLOOKUP(B310,'Co-Host Agreements'!$A$6:$K$20,4,FALSE),"")="Hybrid (Flat + % of NET)",IFERROR(VLOOKUP(B310,'Co-Host Agreements'!$A$6:$K$20,6,FALSE),0)+J310*K310,TRUE,0))</f>
        <v/>
      </c>
      <c r="M310" s="41">
        <f>IF(B310="","",J310-L310)</f>
        <v/>
      </c>
      <c r="N310" s="36" t="n"/>
      <c r="O310" s="36" t="n"/>
    </row>
    <row r="311" ht="16" customHeight="1">
      <c r="A311" s="39" t="n"/>
      <c r="B311" s="36" t="n"/>
      <c r="C311" s="36" t="n"/>
      <c r="D311" s="36" t="n"/>
      <c r="E311" s="36" t="n"/>
      <c r="F311" s="40" t="n"/>
      <c r="G311" s="40" t="n"/>
      <c r="H311" s="40" t="n"/>
      <c r="I311" s="40" t="n"/>
      <c r="J311" s="41">
        <f>IF(F311="","",F311-IF(IFERROR(VLOOKUP(B311,'Co-Host Agreements'!$A$6:$K$20,7,FALSE),"No")="Yes",G311,0)-IF(IFERROR(VLOOKUP(B311,'Co-Host Agreements'!$A$6:$K$20,8,FALSE),"No")="Yes",H311,0)-N(I311))</f>
        <v/>
      </c>
      <c r="K311" s="42">
        <f>IFERROR(VLOOKUP(B311,'Co-Host Agreements'!$A$6:$K$20,5,FALSE),0)</f>
        <v/>
      </c>
      <c r="L311" s="41">
        <f>IF(B311="","",IFS(IFERROR(VLOOKUP(B311,'Co-Host Agreements'!$A$6:$K$20,4,FALSE),"")="% of NET",J311*K311,IFERROR(VLOOKUP(B311,'Co-Host Agreements'!$A$6:$K$20,4,FALSE),"")="% of GROSS",F311*K311,IFERROR(VLOOKUP(B311,'Co-Host Agreements'!$A$6:$K$20,4,FALSE),"")="Flat per booking",IFERROR(VLOOKUP(B311,'Co-Host Agreements'!$A$6:$K$20,6,FALSE),0),IFERROR(VLOOKUP(B311,'Co-Host Agreements'!$A$6:$K$20,4,FALSE),"")="Hybrid (Flat + % of NET)",IFERROR(VLOOKUP(B311,'Co-Host Agreements'!$A$6:$K$20,6,FALSE),0)+J311*K311,TRUE,0))</f>
        <v/>
      </c>
      <c r="M311" s="41">
        <f>IF(B311="","",J311-L311)</f>
        <v/>
      </c>
      <c r="N311" s="36" t="n"/>
      <c r="O311" s="36" t="n"/>
    </row>
    <row r="312" ht="16" customHeight="1">
      <c r="A312" s="39" t="n"/>
      <c r="B312" s="36" t="n"/>
      <c r="C312" s="36" t="n"/>
      <c r="D312" s="36" t="n"/>
      <c r="E312" s="36" t="n"/>
      <c r="F312" s="40" t="n"/>
      <c r="G312" s="40" t="n"/>
      <c r="H312" s="40" t="n"/>
      <c r="I312" s="40" t="n"/>
      <c r="J312" s="41">
        <f>IF(F312="","",F312-IF(IFERROR(VLOOKUP(B312,'Co-Host Agreements'!$A$6:$K$20,7,FALSE),"No")="Yes",G312,0)-IF(IFERROR(VLOOKUP(B312,'Co-Host Agreements'!$A$6:$K$20,8,FALSE),"No")="Yes",H312,0)-N(I312))</f>
        <v/>
      </c>
      <c r="K312" s="42">
        <f>IFERROR(VLOOKUP(B312,'Co-Host Agreements'!$A$6:$K$20,5,FALSE),0)</f>
        <v/>
      </c>
      <c r="L312" s="41">
        <f>IF(B312="","",IFS(IFERROR(VLOOKUP(B312,'Co-Host Agreements'!$A$6:$K$20,4,FALSE),"")="% of NET",J312*K312,IFERROR(VLOOKUP(B312,'Co-Host Agreements'!$A$6:$K$20,4,FALSE),"")="% of GROSS",F312*K312,IFERROR(VLOOKUP(B312,'Co-Host Agreements'!$A$6:$K$20,4,FALSE),"")="Flat per booking",IFERROR(VLOOKUP(B312,'Co-Host Agreements'!$A$6:$K$20,6,FALSE),0),IFERROR(VLOOKUP(B312,'Co-Host Agreements'!$A$6:$K$20,4,FALSE),"")="Hybrid (Flat + % of NET)",IFERROR(VLOOKUP(B312,'Co-Host Agreements'!$A$6:$K$20,6,FALSE),0)+J312*K312,TRUE,0))</f>
        <v/>
      </c>
      <c r="M312" s="41">
        <f>IF(B312="","",J312-L312)</f>
        <v/>
      </c>
      <c r="N312" s="36" t="n"/>
      <c r="O312" s="36" t="n"/>
    </row>
    <row r="313" ht="16" customHeight="1">
      <c r="A313" s="39" t="n"/>
      <c r="B313" s="36" t="n"/>
      <c r="C313" s="36" t="n"/>
      <c r="D313" s="36" t="n"/>
      <c r="E313" s="36" t="n"/>
      <c r="F313" s="40" t="n"/>
      <c r="G313" s="40" t="n"/>
      <c r="H313" s="40" t="n"/>
      <c r="I313" s="40" t="n"/>
      <c r="J313" s="41">
        <f>IF(F313="","",F313-IF(IFERROR(VLOOKUP(B313,'Co-Host Agreements'!$A$6:$K$20,7,FALSE),"No")="Yes",G313,0)-IF(IFERROR(VLOOKUP(B313,'Co-Host Agreements'!$A$6:$K$20,8,FALSE),"No")="Yes",H313,0)-N(I313))</f>
        <v/>
      </c>
      <c r="K313" s="42">
        <f>IFERROR(VLOOKUP(B313,'Co-Host Agreements'!$A$6:$K$20,5,FALSE),0)</f>
        <v/>
      </c>
      <c r="L313" s="41">
        <f>IF(B313="","",IFS(IFERROR(VLOOKUP(B313,'Co-Host Agreements'!$A$6:$K$20,4,FALSE),"")="% of NET",J313*K313,IFERROR(VLOOKUP(B313,'Co-Host Agreements'!$A$6:$K$20,4,FALSE),"")="% of GROSS",F313*K313,IFERROR(VLOOKUP(B313,'Co-Host Agreements'!$A$6:$K$20,4,FALSE),"")="Flat per booking",IFERROR(VLOOKUP(B313,'Co-Host Agreements'!$A$6:$K$20,6,FALSE),0),IFERROR(VLOOKUP(B313,'Co-Host Agreements'!$A$6:$K$20,4,FALSE),"")="Hybrid (Flat + % of NET)",IFERROR(VLOOKUP(B313,'Co-Host Agreements'!$A$6:$K$20,6,FALSE),0)+J313*K313,TRUE,0))</f>
        <v/>
      </c>
      <c r="M313" s="41">
        <f>IF(B313="","",J313-L313)</f>
        <v/>
      </c>
      <c r="N313" s="36" t="n"/>
      <c r="O313" s="36" t="n"/>
    </row>
    <row r="314" ht="16" customHeight="1">
      <c r="A314" s="39" t="n"/>
      <c r="B314" s="36" t="n"/>
      <c r="C314" s="36" t="n"/>
      <c r="D314" s="36" t="n"/>
      <c r="E314" s="36" t="n"/>
      <c r="F314" s="40" t="n"/>
      <c r="G314" s="40" t="n"/>
      <c r="H314" s="40" t="n"/>
      <c r="I314" s="40" t="n"/>
      <c r="J314" s="41">
        <f>IF(F314="","",F314-IF(IFERROR(VLOOKUP(B314,'Co-Host Agreements'!$A$6:$K$20,7,FALSE),"No")="Yes",G314,0)-IF(IFERROR(VLOOKUP(B314,'Co-Host Agreements'!$A$6:$K$20,8,FALSE),"No")="Yes",H314,0)-N(I314))</f>
        <v/>
      </c>
      <c r="K314" s="42">
        <f>IFERROR(VLOOKUP(B314,'Co-Host Agreements'!$A$6:$K$20,5,FALSE),0)</f>
        <v/>
      </c>
      <c r="L314" s="41">
        <f>IF(B314="","",IFS(IFERROR(VLOOKUP(B314,'Co-Host Agreements'!$A$6:$K$20,4,FALSE),"")="% of NET",J314*K314,IFERROR(VLOOKUP(B314,'Co-Host Agreements'!$A$6:$K$20,4,FALSE),"")="% of GROSS",F314*K314,IFERROR(VLOOKUP(B314,'Co-Host Agreements'!$A$6:$K$20,4,FALSE),"")="Flat per booking",IFERROR(VLOOKUP(B314,'Co-Host Agreements'!$A$6:$K$20,6,FALSE),0),IFERROR(VLOOKUP(B314,'Co-Host Agreements'!$A$6:$K$20,4,FALSE),"")="Hybrid (Flat + % of NET)",IFERROR(VLOOKUP(B314,'Co-Host Agreements'!$A$6:$K$20,6,FALSE),0)+J314*K314,TRUE,0))</f>
        <v/>
      </c>
      <c r="M314" s="41">
        <f>IF(B314="","",J314-L314)</f>
        <v/>
      </c>
      <c r="N314" s="36" t="n"/>
      <c r="O314" s="36" t="n"/>
    </row>
    <row r="315" ht="16" customHeight="1">
      <c r="A315" s="39" t="n"/>
      <c r="B315" s="36" t="n"/>
      <c r="C315" s="36" t="n"/>
      <c r="D315" s="36" t="n"/>
      <c r="E315" s="36" t="n"/>
      <c r="F315" s="40" t="n"/>
      <c r="G315" s="40" t="n"/>
      <c r="H315" s="40" t="n"/>
      <c r="I315" s="40" t="n"/>
      <c r="J315" s="41">
        <f>IF(F315="","",F315-IF(IFERROR(VLOOKUP(B315,'Co-Host Agreements'!$A$6:$K$20,7,FALSE),"No")="Yes",G315,0)-IF(IFERROR(VLOOKUP(B315,'Co-Host Agreements'!$A$6:$K$20,8,FALSE),"No")="Yes",H315,0)-N(I315))</f>
        <v/>
      </c>
      <c r="K315" s="42">
        <f>IFERROR(VLOOKUP(B315,'Co-Host Agreements'!$A$6:$K$20,5,FALSE),0)</f>
        <v/>
      </c>
      <c r="L315" s="41">
        <f>IF(B315="","",IFS(IFERROR(VLOOKUP(B315,'Co-Host Agreements'!$A$6:$K$20,4,FALSE),"")="% of NET",J315*K315,IFERROR(VLOOKUP(B315,'Co-Host Agreements'!$A$6:$K$20,4,FALSE),"")="% of GROSS",F315*K315,IFERROR(VLOOKUP(B315,'Co-Host Agreements'!$A$6:$K$20,4,FALSE),"")="Flat per booking",IFERROR(VLOOKUP(B315,'Co-Host Agreements'!$A$6:$K$20,6,FALSE),0),IFERROR(VLOOKUP(B315,'Co-Host Agreements'!$A$6:$K$20,4,FALSE),"")="Hybrid (Flat + % of NET)",IFERROR(VLOOKUP(B315,'Co-Host Agreements'!$A$6:$K$20,6,FALSE),0)+J315*K315,TRUE,0))</f>
        <v/>
      </c>
      <c r="M315" s="41">
        <f>IF(B315="","",J315-L315)</f>
        <v/>
      </c>
      <c r="N315" s="36" t="n"/>
      <c r="O315" s="36" t="n"/>
    </row>
    <row r="316" ht="16" customHeight="1">
      <c r="A316" s="39" t="n"/>
      <c r="B316" s="36" t="n"/>
      <c r="C316" s="36" t="n"/>
      <c r="D316" s="36" t="n"/>
      <c r="E316" s="36" t="n"/>
      <c r="F316" s="40" t="n"/>
      <c r="G316" s="40" t="n"/>
      <c r="H316" s="40" t="n"/>
      <c r="I316" s="40" t="n"/>
      <c r="J316" s="41">
        <f>IF(F316="","",F316-IF(IFERROR(VLOOKUP(B316,'Co-Host Agreements'!$A$6:$K$20,7,FALSE),"No")="Yes",G316,0)-IF(IFERROR(VLOOKUP(B316,'Co-Host Agreements'!$A$6:$K$20,8,FALSE),"No")="Yes",H316,0)-N(I316))</f>
        <v/>
      </c>
      <c r="K316" s="42">
        <f>IFERROR(VLOOKUP(B316,'Co-Host Agreements'!$A$6:$K$20,5,FALSE),0)</f>
        <v/>
      </c>
      <c r="L316" s="41">
        <f>IF(B316="","",IFS(IFERROR(VLOOKUP(B316,'Co-Host Agreements'!$A$6:$K$20,4,FALSE),"")="% of NET",J316*K316,IFERROR(VLOOKUP(B316,'Co-Host Agreements'!$A$6:$K$20,4,FALSE),"")="% of GROSS",F316*K316,IFERROR(VLOOKUP(B316,'Co-Host Agreements'!$A$6:$K$20,4,FALSE),"")="Flat per booking",IFERROR(VLOOKUP(B316,'Co-Host Agreements'!$A$6:$K$20,6,FALSE),0),IFERROR(VLOOKUP(B316,'Co-Host Agreements'!$A$6:$K$20,4,FALSE),"")="Hybrid (Flat + % of NET)",IFERROR(VLOOKUP(B316,'Co-Host Agreements'!$A$6:$K$20,6,FALSE),0)+J316*K316,TRUE,0))</f>
        <v/>
      </c>
      <c r="M316" s="41">
        <f>IF(B316="","",J316-L316)</f>
        <v/>
      </c>
      <c r="N316" s="36" t="n"/>
      <c r="O316" s="36" t="n"/>
    </row>
    <row r="317" ht="16" customHeight="1">
      <c r="A317" s="39" t="n"/>
      <c r="B317" s="36" t="n"/>
      <c r="C317" s="36" t="n"/>
      <c r="D317" s="36" t="n"/>
      <c r="E317" s="36" t="n"/>
      <c r="F317" s="40" t="n"/>
      <c r="G317" s="40" t="n"/>
      <c r="H317" s="40" t="n"/>
      <c r="I317" s="40" t="n"/>
      <c r="J317" s="41">
        <f>IF(F317="","",F317-IF(IFERROR(VLOOKUP(B317,'Co-Host Agreements'!$A$6:$K$20,7,FALSE),"No")="Yes",G317,0)-IF(IFERROR(VLOOKUP(B317,'Co-Host Agreements'!$A$6:$K$20,8,FALSE),"No")="Yes",H317,0)-N(I317))</f>
        <v/>
      </c>
      <c r="K317" s="42">
        <f>IFERROR(VLOOKUP(B317,'Co-Host Agreements'!$A$6:$K$20,5,FALSE),0)</f>
        <v/>
      </c>
      <c r="L317" s="41">
        <f>IF(B317="","",IFS(IFERROR(VLOOKUP(B317,'Co-Host Agreements'!$A$6:$K$20,4,FALSE),"")="% of NET",J317*K317,IFERROR(VLOOKUP(B317,'Co-Host Agreements'!$A$6:$K$20,4,FALSE),"")="% of GROSS",F317*K317,IFERROR(VLOOKUP(B317,'Co-Host Agreements'!$A$6:$K$20,4,FALSE),"")="Flat per booking",IFERROR(VLOOKUP(B317,'Co-Host Agreements'!$A$6:$K$20,6,FALSE),0),IFERROR(VLOOKUP(B317,'Co-Host Agreements'!$A$6:$K$20,4,FALSE),"")="Hybrid (Flat + % of NET)",IFERROR(VLOOKUP(B317,'Co-Host Agreements'!$A$6:$K$20,6,FALSE),0)+J317*K317,TRUE,0))</f>
        <v/>
      </c>
      <c r="M317" s="41">
        <f>IF(B317="","",J317-L317)</f>
        <v/>
      </c>
      <c r="N317" s="36" t="n"/>
      <c r="O317" s="36" t="n"/>
    </row>
    <row r="318" ht="16" customHeight="1">
      <c r="A318" s="39" t="n"/>
      <c r="B318" s="36" t="n"/>
      <c r="C318" s="36" t="n"/>
      <c r="D318" s="36" t="n"/>
      <c r="E318" s="36" t="n"/>
      <c r="F318" s="40" t="n"/>
      <c r="G318" s="40" t="n"/>
      <c r="H318" s="40" t="n"/>
      <c r="I318" s="40" t="n"/>
      <c r="J318" s="41">
        <f>IF(F318="","",F318-IF(IFERROR(VLOOKUP(B318,'Co-Host Agreements'!$A$6:$K$20,7,FALSE),"No")="Yes",G318,0)-IF(IFERROR(VLOOKUP(B318,'Co-Host Agreements'!$A$6:$K$20,8,FALSE),"No")="Yes",H318,0)-N(I318))</f>
        <v/>
      </c>
      <c r="K318" s="42">
        <f>IFERROR(VLOOKUP(B318,'Co-Host Agreements'!$A$6:$K$20,5,FALSE),0)</f>
        <v/>
      </c>
      <c r="L318" s="41">
        <f>IF(B318="","",IFS(IFERROR(VLOOKUP(B318,'Co-Host Agreements'!$A$6:$K$20,4,FALSE),"")="% of NET",J318*K318,IFERROR(VLOOKUP(B318,'Co-Host Agreements'!$A$6:$K$20,4,FALSE),"")="% of GROSS",F318*K318,IFERROR(VLOOKUP(B318,'Co-Host Agreements'!$A$6:$K$20,4,FALSE),"")="Flat per booking",IFERROR(VLOOKUP(B318,'Co-Host Agreements'!$A$6:$K$20,6,FALSE),0),IFERROR(VLOOKUP(B318,'Co-Host Agreements'!$A$6:$K$20,4,FALSE),"")="Hybrid (Flat + % of NET)",IFERROR(VLOOKUP(B318,'Co-Host Agreements'!$A$6:$K$20,6,FALSE),0)+J318*K318,TRUE,0))</f>
        <v/>
      </c>
      <c r="M318" s="41">
        <f>IF(B318="","",J318-L318)</f>
        <v/>
      </c>
      <c r="N318" s="36" t="n"/>
      <c r="O318" s="36" t="n"/>
    </row>
    <row r="319" ht="16" customHeight="1">
      <c r="A319" s="39" t="n"/>
      <c r="B319" s="36" t="n"/>
      <c r="C319" s="36" t="n"/>
      <c r="D319" s="36" t="n"/>
      <c r="E319" s="36" t="n"/>
      <c r="F319" s="40" t="n"/>
      <c r="G319" s="40" t="n"/>
      <c r="H319" s="40" t="n"/>
      <c r="I319" s="40" t="n"/>
      <c r="J319" s="41">
        <f>IF(F319="","",F319-IF(IFERROR(VLOOKUP(B319,'Co-Host Agreements'!$A$6:$K$20,7,FALSE),"No")="Yes",G319,0)-IF(IFERROR(VLOOKUP(B319,'Co-Host Agreements'!$A$6:$K$20,8,FALSE),"No")="Yes",H319,0)-N(I319))</f>
        <v/>
      </c>
      <c r="K319" s="42">
        <f>IFERROR(VLOOKUP(B319,'Co-Host Agreements'!$A$6:$K$20,5,FALSE),0)</f>
        <v/>
      </c>
      <c r="L319" s="41">
        <f>IF(B319="","",IFS(IFERROR(VLOOKUP(B319,'Co-Host Agreements'!$A$6:$K$20,4,FALSE),"")="% of NET",J319*K319,IFERROR(VLOOKUP(B319,'Co-Host Agreements'!$A$6:$K$20,4,FALSE),"")="% of GROSS",F319*K319,IFERROR(VLOOKUP(B319,'Co-Host Agreements'!$A$6:$K$20,4,FALSE),"")="Flat per booking",IFERROR(VLOOKUP(B319,'Co-Host Agreements'!$A$6:$K$20,6,FALSE),0),IFERROR(VLOOKUP(B319,'Co-Host Agreements'!$A$6:$K$20,4,FALSE),"")="Hybrid (Flat + % of NET)",IFERROR(VLOOKUP(B319,'Co-Host Agreements'!$A$6:$K$20,6,FALSE),0)+J319*K319,TRUE,0))</f>
        <v/>
      </c>
      <c r="M319" s="41">
        <f>IF(B319="","",J319-L319)</f>
        <v/>
      </c>
      <c r="N319" s="36" t="n"/>
      <c r="O319" s="36" t="n"/>
    </row>
    <row r="320" ht="16" customHeight="1">
      <c r="A320" s="39" t="n"/>
      <c r="B320" s="36" t="n"/>
      <c r="C320" s="36" t="n"/>
      <c r="D320" s="36" t="n"/>
      <c r="E320" s="36" t="n"/>
      <c r="F320" s="40" t="n"/>
      <c r="G320" s="40" t="n"/>
      <c r="H320" s="40" t="n"/>
      <c r="I320" s="40" t="n"/>
      <c r="J320" s="41">
        <f>IF(F320="","",F320-IF(IFERROR(VLOOKUP(B320,'Co-Host Agreements'!$A$6:$K$20,7,FALSE),"No")="Yes",G320,0)-IF(IFERROR(VLOOKUP(B320,'Co-Host Agreements'!$A$6:$K$20,8,FALSE),"No")="Yes",H320,0)-N(I320))</f>
        <v/>
      </c>
      <c r="K320" s="42">
        <f>IFERROR(VLOOKUP(B320,'Co-Host Agreements'!$A$6:$K$20,5,FALSE),0)</f>
        <v/>
      </c>
      <c r="L320" s="41">
        <f>IF(B320="","",IFS(IFERROR(VLOOKUP(B320,'Co-Host Agreements'!$A$6:$K$20,4,FALSE),"")="% of NET",J320*K320,IFERROR(VLOOKUP(B320,'Co-Host Agreements'!$A$6:$K$20,4,FALSE),"")="% of GROSS",F320*K320,IFERROR(VLOOKUP(B320,'Co-Host Agreements'!$A$6:$K$20,4,FALSE),"")="Flat per booking",IFERROR(VLOOKUP(B320,'Co-Host Agreements'!$A$6:$K$20,6,FALSE),0),IFERROR(VLOOKUP(B320,'Co-Host Agreements'!$A$6:$K$20,4,FALSE),"")="Hybrid (Flat + % of NET)",IFERROR(VLOOKUP(B320,'Co-Host Agreements'!$A$6:$K$20,6,FALSE),0)+J320*K320,TRUE,0))</f>
        <v/>
      </c>
      <c r="M320" s="41">
        <f>IF(B320="","",J320-L320)</f>
        <v/>
      </c>
      <c r="N320" s="36" t="n"/>
      <c r="O320" s="36" t="n"/>
    </row>
    <row r="321" ht="16" customHeight="1">
      <c r="A321" s="39" t="n"/>
      <c r="B321" s="36" t="n"/>
      <c r="C321" s="36" t="n"/>
      <c r="D321" s="36" t="n"/>
      <c r="E321" s="36" t="n"/>
      <c r="F321" s="40" t="n"/>
      <c r="G321" s="40" t="n"/>
      <c r="H321" s="40" t="n"/>
      <c r="I321" s="40" t="n"/>
      <c r="J321" s="41">
        <f>IF(F321="","",F321-IF(IFERROR(VLOOKUP(B321,'Co-Host Agreements'!$A$6:$K$20,7,FALSE),"No")="Yes",G321,0)-IF(IFERROR(VLOOKUP(B321,'Co-Host Agreements'!$A$6:$K$20,8,FALSE),"No")="Yes",H321,0)-N(I321))</f>
        <v/>
      </c>
      <c r="K321" s="42">
        <f>IFERROR(VLOOKUP(B321,'Co-Host Agreements'!$A$6:$K$20,5,FALSE),0)</f>
        <v/>
      </c>
      <c r="L321" s="41">
        <f>IF(B321="","",IFS(IFERROR(VLOOKUP(B321,'Co-Host Agreements'!$A$6:$K$20,4,FALSE),"")="% of NET",J321*K321,IFERROR(VLOOKUP(B321,'Co-Host Agreements'!$A$6:$K$20,4,FALSE),"")="% of GROSS",F321*K321,IFERROR(VLOOKUP(B321,'Co-Host Agreements'!$A$6:$K$20,4,FALSE),"")="Flat per booking",IFERROR(VLOOKUP(B321,'Co-Host Agreements'!$A$6:$K$20,6,FALSE),0),IFERROR(VLOOKUP(B321,'Co-Host Agreements'!$A$6:$K$20,4,FALSE),"")="Hybrid (Flat + % of NET)",IFERROR(VLOOKUP(B321,'Co-Host Agreements'!$A$6:$K$20,6,FALSE),0)+J321*K321,TRUE,0))</f>
        <v/>
      </c>
      <c r="M321" s="41">
        <f>IF(B321="","",J321-L321)</f>
        <v/>
      </c>
      <c r="N321" s="36" t="n"/>
      <c r="O321" s="36" t="n"/>
    </row>
    <row r="322" ht="16" customHeight="1">
      <c r="A322" s="39" t="n"/>
      <c r="B322" s="36" t="n"/>
      <c r="C322" s="36" t="n"/>
      <c r="D322" s="36" t="n"/>
      <c r="E322" s="36" t="n"/>
      <c r="F322" s="40" t="n"/>
      <c r="G322" s="40" t="n"/>
      <c r="H322" s="40" t="n"/>
      <c r="I322" s="40" t="n"/>
      <c r="J322" s="41">
        <f>IF(F322="","",F322-IF(IFERROR(VLOOKUP(B322,'Co-Host Agreements'!$A$6:$K$20,7,FALSE),"No")="Yes",G322,0)-IF(IFERROR(VLOOKUP(B322,'Co-Host Agreements'!$A$6:$K$20,8,FALSE),"No")="Yes",H322,0)-N(I322))</f>
        <v/>
      </c>
      <c r="K322" s="42">
        <f>IFERROR(VLOOKUP(B322,'Co-Host Agreements'!$A$6:$K$20,5,FALSE),0)</f>
        <v/>
      </c>
      <c r="L322" s="41">
        <f>IF(B322="","",IFS(IFERROR(VLOOKUP(B322,'Co-Host Agreements'!$A$6:$K$20,4,FALSE),"")="% of NET",J322*K322,IFERROR(VLOOKUP(B322,'Co-Host Agreements'!$A$6:$K$20,4,FALSE),"")="% of GROSS",F322*K322,IFERROR(VLOOKUP(B322,'Co-Host Agreements'!$A$6:$K$20,4,FALSE),"")="Flat per booking",IFERROR(VLOOKUP(B322,'Co-Host Agreements'!$A$6:$K$20,6,FALSE),0),IFERROR(VLOOKUP(B322,'Co-Host Agreements'!$A$6:$K$20,4,FALSE),"")="Hybrid (Flat + % of NET)",IFERROR(VLOOKUP(B322,'Co-Host Agreements'!$A$6:$K$20,6,FALSE),0)+J322*K322,TRUE,0))</f>
        <v/>
      </c>
      <c r="M322" s="41">
        <f>IF(B322="","",J322-L322)</f>
        <v/>
      </c>
      <c r="N322" s="36" t="n"/>
      <c r="O322" s="36" t="n"/>
    </row>
    <row r="323" ht="16" customHeight="1">
      <c r="A323" s="39" t="n"/>
      <c r="B323" s="36" t="n"/>
      <c r="C323" s="36" t="n"/>
      <c r="D323" s="36" t="n"/>
      <c r="E323" s="36" t="n"/>
      <c r="F323" s="40" t="n"/>
      <c r="G323" s="40" t="n"/>
      <c r="H323" s="40" t="n"/>
      <c r="I323" s="40" t="n"/>
      <c r="J323" s="41">
        <f>IF(F323="","",F323-IF(IFERROR(VLOOKUP(B323,'Co-Host Agreements'!$A$6:$K$20,7,FALSE),"No")="Yes",G323,0)-IF(IFERROR(VLOOKUP(B323,'Co-Host Agreements'!$A$6:$K$20,8,FALSE),"No")="Yes",H323,0)-N(I323))</f>
        <v/>
      </c>
      <c r="K323" s="42">
        <f>IFERROR(VLOOKUP(B323,'Co-Host Agreements'!$A$6:$K$20,5,FALSE),0)</f>
        <v/>
      </c>
      <c r="L323" s="41">
        <f>IF(B323="","",IFS(IFERROR(VLOOKUP(B323,'Co-Host Agreements'!$A$6:$K$20,4,FALSE),"")="% of NET",J323*K323,IFERROR(VLOOKUP(B323,'Co-Host Agreements'!$A$6:$K$20,4,FALSE),"")="% of GROSS",F323*K323,IFERROR(VLOOKUP(B323,'Co-Host Agreements'!$A$6:$K$20,4,FALSE),"")="Flat per booking",IFERROR(VLOOKUP(B323,'Co-Host Agreements'!$A$6:$K$20,6,FALSE),0),IFERROR(VLOOKUP(B323,'Co-Host Agreements'!$A$6:$K$20,4,FALSE),"")="Hybrid (Flat + % of NET)",IFERROR(VLOOKUP(B323,'Co-Host Agreements'!$A$6:$K$20,6,FALSE),0)+J323*K323,TRUE,0))</f>
        <v/>
      </c>
      <c r="M323" s="41">
        <f>IF(B323="","",J323-L323)</f>
        <v/>
      </c>
      <c r="N323" s="36" t="n"/>
      <c r="O323" s="36" t="n"/>
    </row>
    <row r="324" ht="16" customHeight="1">
      <c r="A324" s="39" t="n"/>
      <c r="B324" s="36" t="n"/>
      <c r="C324" s="36" t="n"/>
      <c r="D324" s="36" t="n"/>
      <c r="E324" s="36" t="n"/>
      <c r="F324" s="40" t="n"/>
      <c r="G324" s="40" t="n"/>
      <c r="H324" s="40" t="n"/>
      <c r="I324" s="40" t="n"/>
      <c r="J324" s="41">
        <f>IF(F324="","",F324-IF(IFERROR(VLOOKUP(B324,'Co-Host Agreements'!$A$6:$K$20,7,FALSE),"No")="Yes",G324,0)-IF(IFERROR(VLOOKUP(B324,'Co-Host Agreements'!$A$6:$K$20,8,FALSE),"No")="Yes",H324,0)-N(I324))</f>
        <v/>
      </c>
      <c r="K324" s="42">
        <f>IFERROR(VLOOKUP(B324,'Co-Host Agreements'!$A$6:$K$20,5,FALSE),0)</f>
        <v/>
      </c>
      <c r="L324" s="41">
        <f>IF(B324="","",IFS(IFERROR(VLOOKUP(B324,'Co-Host Agreements'!$A$6:$K$20,4,FALSE),"")="% of NET",J324*K324,IFERROR(VLOOKUP(B324,'Co-Host Agreements'!$A$6:$K$20,4,FALSE),"")="% of GROSS",F324*K324,IFERROR(VLOOKUP(B324,'Co-Host Agreements'!$A$6:$K$20,4,FALSE),"")="Flat per booking",IFERROR(VLOOKUP(B324,'Co-Host Agreements'!$A$6:$K$20,6,FALSE),0),IFERROR(VLOOKUP(B324,'Co-Host Agreements'!$A$6:$K$20,4,FALSE),"")="Hybrid (Flat + % of NET)",IFERROR(VLOOKUP(B324,'Co-Host Agreements'!$A$6:$K$20,6,FALSE),0)+J324*K324,TRUE,0))</f>
        <v/>
      </c>
      <c r="M324" s="41">
        <f>IF(B324="","",J324-L324)</f>
        <v/>
      </c>
      <c r="N324" s="36" t="n"/>
      <c r="O324" s="36" t="n"/>
    </row>
    <row r="325" ht="16" customHeight="1">
      <c r="A325" s="39" t="n"/>
      <c r="B325" s="36" t="n"/>
      <c r="C325" s="36" t="n"/>
      <c r="D325" s="36" t="n"/>
      <c r="E325" s="36" t="n"/>
      <c r="F325" s="40" t="n"/>
      <c r="G325" s="40" t="n"/>
      <c r="H325" s="40" t="n"/>
      <c r="I325" s="40" t="n"/>
      <c r="J325" s="41">
        <f>IF(F325="","",F325-IF(IFERROR(VLOOKUP(B325,'Co-Host Agreements'!$A$6:$K$20,7,FALSE),"No")="Yes",G325,0)-IF(IFERROR(VLOOKUP(B325,'Co-Host Agreements'!$A$6:$K$20,8,FALSE),"No")="Yes",H325,0)-N(I325))</f>
        <v/>
      </c>
      <c r="K325" s="42">
        <f>IFERROR(VLOOKUP(B325,'Co-Host Agreements'!$A$6:$K$20,5,FALSE),0)</f>
        <v/>
      </c>
      <c r="L325" s="41">
        <f>IF(B325="","",IFS(IFERROR(VLOOKUP(B325,'Co-Host Agreements'!$A$6:$K$20,4,FALSE),"")="% of NET",J325*K325,IFERROR(VLOOKUP(B325,'Co-Host Agreements'!$A$6:$K$20,4,FALSE),"")="% of GROSS",F325*K325,IFERROR(VLOOKUP(B325,'Co-Host Agreements'!$A$6:$K$20,4,FALSE),"")="Flat per booking",IFERROR(VLOOKUP(B325,'Co-Host Agreements'!$A$6:$K$20,6,FALSE),0),IFERROR(VLOOKUP(B325,'Co-Host Agreements'!$A$6:$K$20,4,FALSE),"")="Hybrid (Flat + % of NET)",IFERROR(VLOOKUP(B325,'Co-Host Agreements'!$A$6:$K$20,6,FALSE),0)+J325*K325,TRUE,0))</f>
        <v/>
      </c>
      <c r="M325" s="41">
        <f>IF(B325="","",J325-L325)</f>
        <v/>
      </c>
      <c r="N325" s="36" t="n"/>
      <c r="O325" s="36" t="n"/>
    </row>
    <row r="326" ht="16" customHeight="1">
      <c r="A326" s="39" t="n"/>
      <c r="B326" s="36" t="n"/>
      <c r="C326" s="36" t="n"/>
      <c r="D326" s="36" t="n"/>
      <c r="E326" s="36" t="n"/>
      <c r="F326" s="40" t="n"/>
      <c r="G326" s="40" t="n"/>
      <c r="H326" s="40" t="n"/>
      <c r="I326" s="40" t="n"/>
      <c r="J326" s="41">
        <f>IF(F326="","",F326-IF(IFERROR(VLOOKUP(B326,'Co-Host Agreements'!$A$6:$K$20,7,FALSE),"No")="Yes",G326,0)-IF(IFERROR(VLOOKUP(B326,'Co-Host Agreements'!$A$6:$K$20,8,FALSE),"No")="Yes",H326,0)-N(I326))</f>
        <v/>
      </c>
      <c r="K326" s="42">
        <f>IFERROR(VLOOKUP(B326,'Co-Host Agreements'!$A$6:$K$20,5,FALSE),0)</f>
        <v/>
      </c>
      <c r="L326" s="41">
        <f>IF(B326="","",IFS(IFERROR(VLOOKUP(B326,'Co-Host Agreements'!$A$6:$K$20,4,FALSE),"")="% of NET",J326*K326,IFERROR(VLOOKUP(B326,'Co-Host Agreements'!$A$6:$K$20,4,FALSE),"")="% of GROSS",F326*K326,IFERROR(VLOOKUP(B326,'Co-Host Agreements'!$A$6:$K$20,4,FALSE),"")="Flat per booking",IFERROR(VLOOKUP(B326,'Co-Host Agreements'!$A$6:$K$20,6,FALSE),0),IFERROR(VLOOKUP(B326,'Co-Host Agreements'!$A$6:$K$20,4,FALSE),"")="Hybrid (Flat + % of NET)",IFERROR(VLOOKUP(B326,'Co-Host Agreements'!$A$6:$K$20,6,FALSE),0)+J326*K326,TRUE,0))</f>
        <v/>
      </c>
      <c r="M326" s="41">
        <f>IF(B326="","",J326-L326)</f>
        <v/>
      </c>
      <c r="N326" s="36" t="n"/>
      <c r="O326" s="36" t="n"/>
    </row>
    <row r="327" ht="16" customHeight="1">
      <c r="A327" s="39" t="n"/>
      <c r="B327" s="36" t="n"/>
      <c r="C327" s="36" t="n"/>
      <c r="D327" s="36" t="n"/>
      <c r="E327" s="36" t="n"/>
      <c r="F327" s="40" t="n"/>
      <c r="G327" s="40" t="n"/>
      <c r="H327" s="40" t="n"/>
      <c r="I327" s="40" t="n"/>
      <c r="J327" s="41">
        <f>IF(F327="","",F327-IF(IFERROR(VLOOKUP(B327,'Co-Host Agreements'!$A$6:$K$20,7,FALSE),"No")="Yes",G327,0)-IF(IFERROR(VLOOKUP(B327,'Co-Host Agreements'!$A$6:$K$20,8,FALSE),"No")="Yes",H327,0)-N(I327))</f>
        <v/>
      </c>
      <c r="K327" s="42">
        <f>IFERROR(VLOOKUP(B327,'Co-Host Agreements'!$A$6:$K$20,5,FALSE),0)</f>
        <v/>
      </c>
      <c r="L327" s="41">
        <f>IF(B327="","",IFS(IFERROR(VLOOKUP(B327,'Co-Host Agreements'!$A$6:$K$20,4,FALSE),"")="% of NET",J327*K327,IFERROR(VLOOKUP(B327,'Co-Host Agreements'!$A$6:$K$20,4,FALSE),"")="% of GROSS",F327*K327,IFERROR(VLOOKUP(B327,'Co-Host Agreements'!$A$6:$K$20,4,FALSE),"")="Flat per booking",IFERROR(VLOOKUP(B327,'Co-Host Agreements'!$A$6:$K$20,6,FALSE),0),IFERROR(VLOOKUP(B327,'Co-Host Agreements'!$A$6:$K$20,4,FALSE),"")="Hybrid (Flat + % of NET)",IFERROR(VLOOKUP(B327,'Co-Host Agreements'!$A$6:$K$20,6,FALSE),0)+J327*K327,TRUE,0))</f>
        <v/>
      </c>
      <c r="M327" s="41">
        <f>IF(B327="","",J327-L327)</f>
        <v/>
      </c>
      <c r="N327" s="36" t="n"/>
      <c r="O327" s="36" t="n"/>
    </row>
    <row r="328" ht="16" customHeight="1">
      <c r="A328" s="39" t="n"/>
      <c r="B328" s="36" t="n"/>
      <c r="C328" s="36" t="n"/>
      <c r="D328" s="36" t="n"/>
      <c r="E328" s="36" t="n"/>
      <c r="F328" s="40" t="n"/>
      <c r="G328" s="40" t="n"/>
      <c r="H328" s="40" t="n"/>
      <c r="I328" s="40" t="n"/>
      <c r="J328" s="41">
        <f>IF(F328="","",F328-IF(IFERROR(VLOOKUP(B328,'Co-Host Agreements'!$A$6:$K$20,7,FALSE),"No")="Yes",G328,0)-IF(IFERROR(VLOOKUP(B328,'Co-Host Agreements'!$A$6:$K$20,8,FALSE),"No")="Yes",H328,0)-N(I328))</f>
        <v/>
      </c>
      <c r="K328" s="42">
        <f>IFERROR(VLOOKUP(B328,'Co-Host Agreements'!$A$6:$K$20,5,FALSE),0)</f>
        <v/>
      </c>
      <c r="L328" s="41">
        <f>IF(B328="","",IFS(IFERROR(VLOOKUP(B328,'Co-Host Agreements'!$A$6:$K$20,4,FALSE),"")="% of NET",J328*K328,IFERROR(VLOOKUP(B328,'Co-Host Agreements'!$A$6:$K$20,4,FALSE),"")="% of GROSS",F328*K328,IFERROR(VLOOKUP(B328,'Co-Host Agreements'!$A$6:$K$20,4,FALSE),"")="Flat per booking",IFERROR(VLOOKUP(B328,'Co-Host Agreements'!$A$6:$K$20,6,FALSE),0),IFERROR(VLOOKUP(B328,'Co-Host Agreements'!$A$6:$K$20,4,FALSE),"")="Hybrid (Flat + % of NET)",IFERROR(VLOOKUP(B328,'Co-Host Agreements'!$A$6:$K$20,6,FALSE),0)+J328*K328,TRUE,0))</f>
        <v/>
      </c>
      <c r="M328" s="41">
        <f>IF(B328="","",J328-L328)</f>
        <v/>
      </c>
      <c r="N328" s="36" t="n"/>
      <c r="O328" s="36" t="n"/>
    </row>
    <row r="329" ht="16" customHeight="1">
      <c r="A329" s="39" t="n"/>
      <c r="B329" s="36" t="n"/>
      <c r="C329" s="36" t="n"/>
      <c r="D329" s="36" t="n"/>
      <c r="E329" s="36" t="n"/>
      <c r="F329" s="40" t="n"/>
      <c r="G329" s="40" t="n"/>
      <c r="H329" s="40" t="n"/>
      <c r="I329" s="40" t="n"/>
      <c r="J329" s="41">
        <f>IF(F329="","",F329-IF(IFERROR(VLOOKUP(B329,'Co-Host Agreements'!$A$6:$K$20,7,FALSE),"No")="Yes",G329,0)-IF(IFERROR(VLOOKUP(B329,'Co-Host Agreements'!$A$6:$K$20,8,FALSE),"No")="Yes",H329,0)-N(I329))</f>
        <v/>
      </c>
      <c r="K329" s="42">
        <f>IFERROR(VLOOKUP(B329,'Co-Host Agreements'!$A$6:$K$20,5,FALSE),0)</f>
        <v/>
      </c>
      <c r="L329" s="41">
        <f>IF(B329="","",IFS(IFERROR(VLOOKUP(B329,'Co-Host Agreements'!$A$6:$K$20,4,FALSE),"")="% of NET",J329*K329,IFERROR(VLOOKUP(B329,'Co-Host Agreements'!$A$6:$K$20,4,FALSE),"")="% of GROSS",F329*K329,IFERROR(VLOOKUP(B329,'Co-Host Agreements'!$A$6:$K$20,4,FALSE),"")="Flat per booking",IFERROR(VLOOKUP(B329,'Co-Host Agreements'!$A$6:$K$20,6,FALSE),0),IFERROR(VLOOKUP(B329,'Co-Host Agreements'!$A$6:$K$20,4,FALSE),"")="Hybrid (Flat + % of NET)",IFERROR(VLOOKUP(B329,'Co-Host Agreements'!$A$6:$K$20,6,FALSE),0)+J329*K329,TRUE,0))</f>
        <v/>
      </c>
      <c r="M329" s="41">
        <f>IF(B329="","",J329-L329)</f>
        <v/>
      </c>
      <c r="N329" s="36" t="n"/>
      <c r="O329" s="36" t="n"/>
    </row>
    <row r="330" ht="16" customHeight="1">
      <c r="A330" s="39" t="n"/>
      <c r="B330" s="36" t="n"/>
      <c r="C330" s="36" t="n"/>
      <c r="D330" s="36" t="n"/>
      <c r="E330" s="36" t="n"/>
      <c r="F330" s="40" t="n"/>
      <c r="G330" s="40" t="n"/>
      <c r="H330" s="40" t="n"/>
      <c r="I330" s="40" t="n"/>
      <c r="J330" s="41">
        <f>IF(F330="","",F330-IF(IFERROR(VLOOKUP(B330,'Co-Host Agreements'!$A$6:$K$20,7,FALSE),"No")="Yes",G330,0)-IF(IFERROR(VLOOKUP(B330,'Co-Host Agreements'!$A$6:$K$20,8,FALSE),"No")="Yes",H330,0)-N(I330))</f>
        <v/>
      </c>
      <c r="K330" s="42">
        <f>IFERROR(VLOOKUP(B330,'Co-Host Agreements'!$A$6:$K$20,5,FALSE),0)</f>
        <v/>
      </c>
      <c r="L330" s="41">
        <f>IF(B330="","",IFS(IFERROR(VLOOKUP(B330,'Co-Host Agreements'!$A$6:$K$20,4,FALSE),"")="% of NET",J330*K330,IFERROR(VLOOKUP(B330,'Co-Host Agreements'!$A$6:$K$20,4,FALSE),"")="% of GROSS",F330*K330,IFERROR(VLOOKUP(B330,'Co-Host Agreements'!$A$6:$K$20,4,FALSE),"")="Flat per booking",IFERROR(VLOOKUP(B330,'Co-Host Agreements'!$A$6:$K$20,6,FALSE),0),IFERROR(VLOOKUP(B330,'Co-Host Agreements'!$A$6:$K$20,4,FALSE),"")="Hybrid (Flat + % of NET)",IFERROR(VLOOKUP(B330,'Co-Host Agreements'!$A$6:$K$20,6,FALSE),0)+J330*K330,TRUE,0))</f>
        <v/>
      </c>
      <c r="M330" s="41">
        <f>IF(B330="","",J330-L330)</f>
        <v/>
      </c>
      <c r="N330" s="36" t="n"/>
      <c r="O330" s="36" t="n"/>
    </row>
    <row r="331" ht="16" customHeight="1">
      <c r="A331" s="39" t="n"/>
      <c r="B331" s="36" t="n"/>
      <c r="C331" s="36" t="n"/>
      <c r="D331" s="36" t="n"/>
      <c r="E331" s="36" t="n"/>
      <c r="F331" s="40" t="n"/>
      <c r="G331" s="40" t="n"/>
      <c r="H331" s="40" t="n"/>
      <c r="I331" s="40" t="n"/>
      <c r="J331" s="41">
        <f>IF(F331="","",F331-IF(IFERROR(VLOOKUP(B331,'Co-Host Agreements'!$A$6:$K$20,7,FALSE),"No")="Yes",G331,0)-IF(IFERROR(VLOOKUP(B331,'Co-Host Agreements'!$A$6:$K$20,8,FALSE),"No")="Yes",H331,0)-N(I331))</f>
        <v/>
      </c>
      <c r="K331" s="42">
        <f>IFERROR(VLOOKUP(B331,'Co-Host Agreements'!$A$6:$K$20,5,FALSE),0)</f>
        <v/>
      </c>
      <c r="L331" s="41">
        <f>IF(B331="","",IFS(IFERROR(VLOOKUP(B331,'Co-Host Agreements'!$A$6:$K$20,4,FALSE),"")="% of NET",J331*K331,IFERROR(VLOOKUP(B331,'Co-Host Agreements'!$A$6:$K$20,4,FALSE),"")="% of GROSS",F331*K331,IFERROR(VLOOKUP(B331,'Co-Host Agreements'!$A$6:$K$20,4,FALSE),"")="Flat per booking",IFERROR(VLOOKUP(B331,'Co-Host Agreements'!$A$6:$K$20,6,FALSE),0),IFERROR(VLOOKUP(B331,'Co-Host Agreements'!$A$6:$K$20,4,FALSE),"")="Hybrid (Flat + % of NET)",IFERROR(VLOOKUP(B331,'Co-Host Agreements'!$A$6:$K$20,6,FALSE),0)+J331*K331,TRUE,0))</f>
        <v/>
      </c>
      <c r="M331" s="41">
        <f>IF(B331="","",J331-L331)</f>
        <v/>
      </c>
      <c r="N331" s="36" t="n"/>
      <c r="O331" s="36" t="n"/>
    </row>
    <row r="332" ht="16" customHeight="1">
      <c r="A332" s="39" t="n"/>
      <c r="B332" s="36" t="n"/>
      <c r="C332" s="36" t="n"/>
      <c r="D332" s="36" t="n"/>
      <c r="E332" s="36" t="n"/>
      <c r="F332" s="40" t="n"/>
      <c r="G332" s="40" t="n"/>
      <c r="H332" s="40" t="n"/>
      <c r="I332" s="40" t="n"/>
      <c r="J332" s="41">
        <f>IF(F332="","",F332-IF(IFERROR(VLOOKUP(B332,'Co-Host Agreements'!$A$6:$K$20,7,FALSE),"No")="Yes",G332,0)-IF(IFERROR(VLOOKUP(B332,'Co-Host Agreements'!$A$6:$K$20,8,FALSE),"No")="Yes",H332,0)-N(I332))</f>
        <v/>
      </c>
      <c r="K332" s="42">
        <f>IFERROR(VLOOKUP(B332,'Co-Host Agreements'!$A$6:$K$20,5,FALSE),0)</f>
        <v/>
      </c>
      <c r="L332" s="41">
        <f>IF(B332="","",IFS(IFERROR(VLOOKUP(B332,'Co-Host Agreements'!$A$6:$K$20,4,FALSE),"")="% of NET",J332*K332,IFERROR(VLOOKUP(B332,'Co-Host Agreements'!$A$6:$K$20,4,FALSE),"")="% of GROSS",F332*K332,IFERROR(VLOOKUP(B332,'Co-Host Agreements'!$A$6:$K$20,4,FALSE),"")="Flat per booking",IFERROR(VLOOKUP(B332,'Co-Host Agreements'!$A$6:$K$20,6,FALSE),0),IFERROR(VLOOKUP(B332,'Co-Host Agreements'!$A$6:$K$20,4,FALSE),"")="Hybrid (Flat + % of NET)",IFERROR(VLOOKUP(B332,'Co-Host Agreements'!$A$6:$K$20,6,FALSE),0)+J332*K332,TRUE,0))</f>
        <v/>
      </c>
      <c r="M332" s="41">
        <f>IF(B332="","",J332-L332)</f>
        <v/>
      </c>
      <c r="N332" s="36" t="n"/>
      <c r="O332" s="36" t="n"/>
    </row>
    <row r="333" ht="16" customHeight="1">
      <c r="A333" s="39" t="n"/>
      <c r="B333" s="36" t="n"/>
      <c r="C333" s="36" t="n"/>
      <c r="D333" s="36" t="n"/>
      <c r="E333" s="36" t="n"/>
      <c r="F333" s="40" t="n"/>
      <c r="G333" s="40" t="n"/>
      <c r="H333" s="40" t="n"/>
      <c r="I333" s="40" t="n"/>
      <c r="J333" s="41">
        <f>IF(F333="","",F333-IF(IFERROR(VLOOKUP(B333,'Co-Host Agreements'!$A$6:$K$20,7,FALSE),"No")="Yes",G333,0)-IF(IFERROR(VLOOKUP(B333,'Co-Host Agreements'!$A$6:$K$20,8,FALSE),"No")="Yes",H333,0)-N(I333))</f>
        <v/>
      </c>
      <c r="K333" s="42">
        <f>IFERROR(VLOOKUP(B333,'Co-Host Agreements'!$A$6:$K$20,5,FALSE),0)</f>
        <v/>
      </c>
      <c r="L333" s="41">
        <f>IF(B333="","",IFS(IFERROR(VLOOKUP(B333,'Co-Host Agreements'!$A$6:$K$20,4,FALSE),"")="% of NET",J333*K333,IFERROR(VLOOKUP(B333,'Co-Host Agreements'!$A$6:$K$20,4,FALSE),"")="% of GROSS",F333*K333,IFERROR(VLOOKUP(B333,'Co-Host Agreements'!$A$6:$K$20,4,FALSE),"")="Flat per booking",IFERROR(VLOOKUP(B333,'Co-Host Agreements'!$A$6:$K$20,6,FALSE),0),IFERROR(VLOOKUP(B333,'Co-Host Agreements'!$A$6:$K$20,4,FALSE),"")="Hybrid (Flat + % of NET)",IFERROR(VLOOKUP(B333,'Co-Host Agreements'!$A$6:$K$20,6,FALSE),0)+J333*K333,TRUE,0))</f>
        <v/>
      </c>
      <c r="M333" s="41">
        <f>IF(B333="","",J333-L333)</f>
        <v/>
      </c>
      <c r="N333" s="36" t="n"/>
      <c r="O333" s="36" t="n"/>
    </row>
    <row r="334" ht="16" customHeight="1">
      <c r="A334" s="39" t="n"/>
      <c r="B334" s="36" t="n"/>
      <c r="C334" s="36" t="n"/>
      <c r="D334" s="36" t="n"/>
      <c r="E334" s="36" t="n"/>
      <c r="F334" s="40" t="n"/>
      <c r="G334" s="40" t="n"/>
      <c r="H334" s="40" t="n"/>
      <c r="I334" s="40" t="n"/>
      <c r="J334" s="41">
        <f>IF(F334="","",F334-IF(IFERROR(VLOOKUP(B334,'Co-Host Agreements'!$A$6:$K$20,7,FALSE),"No")="Yes",G334,0)-IF(IFERROR(VLOOKUP(B334,'Co-Host Agreements'!$A$6:$K$20,8,FALSE),"No")="Yes",H334,0)-N(I334))</f>
        <v/>
      </c>
      <c r="K334" s="42">
        <f>IFERROR(VLOOKUP(B334,'Co-Host Agreements'!$A$6:$K$20,5,FALSE),0)</f>
        <v/>
      </c>
      <c r="L334" s="41">
        <f>IF(B334="","",IFS(IFERROR(VLOOKUP(B334,'Co-Host Agreements'!$A$6:$K$20,4,FALSE),"")="% of NET",J334*K334,IFERROR(VLOOKUP(B334,'Co-Host Agreements'!$A$6:$K$20,4,FALSE),"")="% of GROSS",F334*K334,IFERROR(VLOOKUP(B334,'Co-Host Agreements'!$A$6:$K$20,4,FALSE),"")="Flat per booking",IFERROR(VLOOKUP(B334,'Co-Host Agreements'!$A$6:$K$20,6,FALSE),0),IFERROR(VLOOKUP(B334,'Co-Host Agreements'!$A$6:$K$20,4,FALSE),"")="Hybrid (Flat + % of NET)",IFERROR(VLOOKUP(B334,'Co-Host Agreements'!$A$6:$K$20,6,FALSE),0)+J334*K334,TRUE,0))</f>
        <v/>
      </c>
      <c r="M334" s="41">
        <f>IF(B334="","",J334-L334)</f>
        <v/>
      </c>
      <c r="N334" s="36" t="n"/>
      <c r="O334" s="36" t="n"/>
    </row>
    <row r="335" ht="16" customHeight="1">
      <c r="A335" s="39" t="n"/>
      <c r="B335" s="36" t="n"/>
      <c r="C335" s="36" t="n"/>
      <c r="D335" s="36" t="n"/>
      <c r="E335" s="36" t="n"/>
      <c r="F335" s="40" t="n"/>
      <c r="G335" s="40" t="n"/>
      <c r="H335" s="40" t="n"/>
      <c r="I335" s="40" t="n"/>
      <c r="J335" s="41">
        <f>IF(F335="","",F335-IF(IFERROR(VLOOKUP(B335,'Co-Host Agreements'!$A$6:$K$20,7,FALSE),"No")="Yes",G335,0)-IF(IFERROR(VLOOKUP(B335,'Co-Host Agreements'!$A$6:$K$20,8,FALSE),"No")="Yes",H335,0)-N(I335))</f>
        <v/>
      </c>
      <c r="K335" s="42">
        <f>IFERROR(VLOOKUP(B335,'Co-Host Agreements'!$A$6:$K$20,5,FALSE),0)</f>
        <v/>
      </c>
      <c r="L335" s="41">
        <f>IF(B335="","",IFS(IFERROR(VLOOKUP(B335,'Co-Host Agreements'!$A$6:$K$20,4,FALSE),"")="% of NET",J335*K335,IFERROR(VLOOKUP(B335,'Co-Host Agreements'!$A$6:$K$20,4,FALSE),"")="% of GROSS",F335*K335,IFERROR(VLOOKUP(B335,'Co-Host Agreements'!$A$6:$K$20,4,FALSE),"")="Flat per booking",IFERROR(VLOOKUP(B335,'Co-Host Agreements'!$A$6:$K$20,6,FALSE),0),IFERROR(VLOOKUP(B335,'Co-Host Agreements'!$A$6:$K$20,4,FALSE),"")="Hybrid (Flat + % of NET)",IFERROR(VLOOKUP(B335,'Co-Host Agreements'!$A$6:$K$20,6,FALSE),0)+J335*K335,TRUE,0))</f>
        <v/>
      </c>
      <c r="M335" s="41">
        <f>IF(B335="","",J335-L335)</f>
        <v/>
      </c>
      <c r="N335" s="36" t="n"/>
      <c r="O335" s="36" t="n"/>
    </row>
    <row r="336" ht="16" customHeight="1">
      <c r="A336" s="39" t="n"/>
      <c r="B336" s="36" t="n"/>
      <c r="C336" s="36" t="n"/>
      <c r="D336" s="36" t="n"/>
      <c r="E336" s="36" t="n"/>
      <c r="F336" s="40" t="n"/>
      <c r="G336" s="40" t="n"/>
      <c r="H336" s="40" t="n"/>
      <c r="I336" s="40" t="n"/>
      <c r="J336" s="41">
        <f>IF(F336="","",F336-IF(IFERROR(VLOOKUP(B336,'Co-Host Agreements'!$A$6:$K$20,7,FALSE),"No")="Yes",G336,0)-IF(IFERROR(VLOOKUP(B336,'Co-Host Agreements'!$A$6:$K$20,8,FALSE),"No")="Yes",H336,0)-N(I336))</f>
        <v/>
      </c>
      <c r="K336" s="42">
        <f>IFERROR(VLOOKUP(B336,'Co-Host Agreements'!$A$6:$K$20,5,FALSE),0)</f>
        <v/>
      </c>
      <c r="L336" s="41">
        <f>IF(B336="","",IFS(IFERROR(VLOOKUP(B336,'Co-Host Agreements'!$A$6:$K$20,4,FALSE),"")="% of NET",J336*K336,IFERROR(VLOOKUP(B336,'Co-Host Agreements'!$A$6:$K$20,4,FALSE),"")="% of GROSS",F336*K336,IFERROR(VLOOKUP(B336,'Co-Host Agreements'!$A$6:$K$20,4,FALSE),"")="Flat per booking",IFERROR(VLOOKUP(B336,'Co-Host Agreements'!$A$6:$K$20,6,FALSE),0),IFERROR(VLOOKUP(B336,'Co-Host Agreements'!$A$6:$K$20,4,FALSE),"")="Hybrid (Flat + % of NET)",IFERROR(VLOOKUP(B336,'Co-Host Agreements'!$A$6:$K$20,6,FALSE),0)+J336*K336,TRUE,0))</f>
        <v/>
      </c>
      <c r="M336" s="41">
        <f>IF(B336="","",J336-L336)</f>
        <v/>
      </c>
      <c r="N336" s="36" t="n"/>
      <c r="O336" s="36" t="n"/>
    </row>
    <row r="337" ht="16" customHeight="1">
      <c r="A337" s="39" t="n"/>
      <c r="B337" s="36" t="n"/>
      <c r="C337" s="36" t="n"/>
      <c r="D337" s="36" t="n"/>
      <c r="E337" s="36" t="n"/>
      <c r="F337" s="40" t="n"/>
      <c r="G337" s="40" t="n"/>
      <c r="H337" s="40" t="n"/>
      <c r="I337" s="40" t="n"/>
      <c r="J337" s="41">
        <f>IF(F337="","",F337-IF(IFERROR(VLOOKUP(B337,'Co-Host Agreements'!$A$6:$K$20,7,FALSE),"No")="Yes",G337,0)-IF(IFERROR(VLOOKUP(B337,'Co-Host Agreements'!$A$6:$K$20,8,FALSE),"No")="Yes",H337,0)-N(I337))</f>
        <v/>
      </c>
      <c r="K337" s="42">
        <f>IFERROR(VLOOKUP(B337,'Co-Host Agreements'!$A$6:$K$20,5,FALSE),0)</f>
        <v/>
      </c>
      <c r="L337" s="41">
        <f>IF(B337="","",IFS(IFERROR(VLOOKUP(B337,'Co-Host Agreements'!$A$6:$K$20,4,FALSE),"")="% of NET",J337*K337,IFERROR(VLOOKUP(B337,'Co-Host Agreements'!$A$6:$K$20,4,FALSE),"")="% of GROSS",F337*K337,IFERROR(VLOOKUP(B337,'Co-Host Agreements'!$A$6:$K$20,4,FALSE),"")="Flat per booking",IFERROR(VLOOKUP(B337,'Co-Host Agreements'!$A$6:$K$20,6,FALSE),0),IFERROR(VLOOKUP(B337,'Co-Host Agreements'!$A$6:$K$20,4,FALSE),"")="Hybrid (Flat + % of NET)",IFERROR(VLOOKUP(B337,'Co-Host Agreements'!$A$6:$K$20,6,FALSE),0)+J337*K337,TRUE,0))</f>
        <v/>
      </c>
      <c r="M337" s="41">
        <f>IF(B337="","",J337-L337)</f>
        <v/>
      </c>
      <c r="N337" s="36" t="n"/>
      <c r="O337" s="36" t="n"/>
    </row>
    <row r="338" ht="16" customHeight="1">
      <c r="A338" s="39" t="n"/>
      <c r="B338" s="36" t="n"/>
      <c r="C338" s="36" t="n"/>
      <c r="D338" s="36" t="n"/>
      <c r="E338" s="36" t="n"/>
      <c r="F338" s="40" t="n"/>
      <c r="G338" s="40" t="n"/>
      <c r="H338" s="40" t="n"/>
      <c r="I338" s="40" t="n"/>
      <c r="J338" s="41">
        <f>IF(F338="","",F338-IF(IFERROR(VLOOKUP(B338,'Co-Host Agreements'!$A$6:$K$20,7,FALSE),"No")="Yes",G338,0)-IF(IFERROR(VLOOKUP(B338,'Co-Host Agreements'!$A$6:$K$20,8,FALSE),"No")="Yes",H338,0)-N(I338))</f>
        <v/>
      </c>
      <c r="K338" s="42">
        <f>IFERROR(VLOOKUP(B338,'Co-Host Agreements'!$A$6:$K$20,5,FALSE),0)</f>
        <v/>
      </c>
      <c r="L338" s="41">
        <f>IF(B338="","",IFS(IFERROR(VLOOKUP(B338,'Co-Host Agreements'!$A$6:$K$20,4,FALSE),"")="% of NET",J338*K338,IFERROR(VLOOKUP(B338,'Co-Host Agreements'!$A$6:$K$20,4,FALSE),"")="% of GROSS",F338*K338,IFERROR(VLOOKUP(B338,'Co-Host Agreements'!$A$6:$K$20,4,FALSE),"")="Flat per booking",IFERROR(VLOOKUP(B338,'Co-Host Agreements'!$A$6:$K$20,6,FALSE),0),IFERROR(VLOOKUP(B338,'Co-Host Agreements'!$A$6:$K$20,4,FALSE),"")="Hybrid (Flat + % of NET)",IFERROR(VLOOKUP(B338,'Co-Host Agreements'!$A$6:$K$20,6,FALSE),0)+J338*K338,TRUE,0))</f>
        <v/>
      </c>
      <c r="M338" s="41">
        <f>IF(B338="","",J338-L338)</f>
        <v/>
      </c>
      <c r="N338" s="36" t="n"/>
      <c r="O338" s="36" t="n"/>
    </row>
    <row r="339" ht="16" customHeight="1">
      <c r="A339" s="39" t="n"/>
      <c r="B339" s="36" t="n"/>
      <c r="C339" s="36" t="n"/>
      <c r="D339" s="36" t="n"/>
      <c r="E339" s="36" t="n"/>
      <c r="F339" s="40" t="n"/>
      <c r="G339" s="40" t="n"/>
      <c r="H339" s="40" t="n"/>
      <c r="I339" s="40" t="n"/>
      <c r="J339" s="41">
        <f>IF(F339="","",F339-IF(IFERROR(VLOOKUP(B339,'Co-Host Agreements'!$A$6:$K$20,7,FALSE),"No")="Yes",G339,0)-IF(IFERROR(VLOOKUP(B339,'Co-Host Agreements'!$A$6:$K$20,8,FALSE),"No")="Yes",H339,0)-N(I339))</f>
        <v/>
      </c>
      <c r="K339" s="42">
        <f>IFERROR(VLOOKUP(B339,'Co-Host Agreements'!$A$6:$K$20,5,FALSE),0)</f>
        <v/>
      </c>
      <c r="L339" s="41">
        <f>IF(B339="","",IFS(IFERROR(VLOOKUP(B339,'Co-Host Agreements'!$A$6:$K$20,4,FALSE),"")="% of NET",J339*K339,IFERROR(VLOOKUP(B339,'Co-Host Agreements'!$A$6:$K$20,4,FALSE),"")="% of GROSS",F339*K339,IFERROR(VLOOKUP(B339,'Co-Host Agreements'!$A$6:$K$20,4,FALSE),"")="Flat per booking",IFERROR(VLOOKUP(B339,'Co-Host Agreements'!$A$6:$K$20,6,FALSE),0),IFERROR(VLOOKUP(B339,'Co-Host Agreements'!$A$6:$K$20,4,FALSE),"")="Hybrid (Flat + % of NET)",IFERROR(VLOOKUP(B339,'Co-Host Agreements'!$A$6:$K$20,6,FALSE),0)+J339*K339,TRUE,0))</f>
        <v/>
      </c>
      <c r="M339" s="41">
        <f>IF(B339="","",J339-L339)</f>
        <v/>
      </c>
      <c r="N339" s="36" t="n"/>
      <c r="O339" s="36" t="n"/>
    </row>
    <row r="340" ht="16" customHeight="1">
      <c r="A340" s="39" t="n"/>
      <c r="B340" s="36" t="n"/>
      <c r="C340" s="36" t="n"/>
      <c r="D340" s="36" t="n"/>
      <c r="E340" s="36" t="n"/>
      <c r="F340" s="40" t="n"/>
      <c r="G340" s="40" t="n"/>
      <c r="H340" s="40" t="n"/>
      <c r="I340" s="40" t="n"/>
      <c r="J340" s="41">
        <f>IF(F340="","",F340-IF(IFERROR(VLOOKUP(B340,'Co-Host Agreements'!$A$6:$K$20,7,FALSE),"No")="Yes",G340,0)-IF(IFERROR(VLOOKUP(B340,'Co-Host Agreements'!$A$6:$K$20,8,FALSE),"No")="Yes",H340,0)-N(I340))</f>
        <v/>
      </c>
      <c r="K340" s="42">
        <f>IFERROR(VLOOKUP(B340,'Co-Host Agreements'!$A$6:$K$20,5,FALSE),0)</f>
        <v/>
      </c>
      <c r="L340" s="41">
        <f>IF(B340="","",IFS(IFERROR(VLOOKUP(B340,'Co-Host Agreements'!$A$6:$K$20,4,FALSE),"")="% of NET",J340*K340,IFERROR(VLOOKUP(B340,'Co-Host Agreements'!$A$6:$K$20,4,FALSE),"")="% of GROSS",F340*K340,IFERROR(VLOOKUP(B340,'Co-Host Agreements'!$A$6:$K$20,4,FALSE),"")="Flat per booking",IFERROR(VLOOKUP(B340,'Co-Host Agreements'!$A$6:$K$20,6,FALSE),0),IFERROR(VLOOKUP(B340,'Co-Host Agreements'!$A$6:$K$20,4,FALSE),"")="Hybrid (Flat + % of NET)",IFERROR(VLOOKUP(B340,'Co-Host Agreements'!$A$6:$K$20,6,FALSE),0)+J340*K340,TRUE,0))</f>
        <v/>
      </c>
      <c r="M340" s="41">
        <f>IF(B340="","",J340-L340)</f>
        <v/>
      </c>
      <c r="N340" s="36" t="n"/>
      <c r="O340" s="36" t="n"/>
    </row>
    <row r="341" ht="16" customHeight="1">
      <c r="A341" s="39" t="n"/>
      <c r="B341" s="36" t="n"/>
      <c r="C341" s="36" t="n"/>
      <c r="D341" s="36" t="n"/>
      <c r="E341" s="36" t="n"/>
      <c r="F341" s="40" t="n"/>
      <c r="G341" s="40" t="n"/>
      <c r="H341" s="40" t="n"/>
      <c r="I341" s="40" t="n"/>
      <c r="J341" s="41">
        <f>IF(F341="","",F341-IF(IFERROR(VLOOKUP(B341,'Co-Host Agreements'!$A$6:$K$20,7,FALSE),"No")="Yes",G341,0)-IF(IFERROR(VLOOKUP(B341,'Co-Host Agreements'!$A$6:$K$20,8,FALSE),"No")="Yes",H341,0)-N(I341))</f>
        <v/>
      </c>
      <c r="K341" s="42">
        <f>IFERROR(VLOOKUP(B341,'Co-Host Agreements'!$A$6:$K$20,5,FALSE),0)</f>
        <v/>
      </c>
      <c r="L341" s="41">
        <f>IF(B341="","",IFS(IFERROR(VLOOKUP(B341,'Co-Host Agreements'!$A$6:$K$20,4,FALSE),"")="% of NET",J341*K341,IFERROR(VLOOKUP(B341,'Co-Host Agreements'!$A$6:$K$20,4,FALSE),"")="% of GROSS",F341*K341,IFERROR(VLOOKUP(B341,'Co-Host Agreements'!$A$6:$K$20,4,FALSE),"")="Flat per booking",IFERROR(VLOOKUP(B341,'Co-Host Agreements'!$A$6:$K$20,6,FALSE),0),IFERROR(VLOOKUP(B341,'Co-Host Agreements'!$A$6:$K$20,4,FALSE),"")="Hybrid (Flat + % of NET)",IFERROR(VLOOKUP(B341,'Co-Host Agreements'!$A$6:$K$20,6,FALSE),0)+J341*K341,TRUE,0))</f>
        <v/>
      </c>
      <c r="M341" s="41">
        <f>IF(B341="","",J341-L341)</f>
        <v/>
      </c>
      <c r="N341" s="36" t="n"/>
      <c r="O341" s="36" t="n"/>
    </row>
    <row r="342" ht="16" customHeight="1">
      <c r="A342" s="39" t="n"/>
      <c r="B342" s="36" t="n"/>
      <c r="C342" s="36" t="n"/>
      <c r="D342" s="36" t="n"/>
      <c r="E342" s="36" t="n"/>
      <c r="F342" s="40" t="n"/>
      <c r="G342" s="40" t="n"/>
      <c r="H342" s="40" t="n"/>
      <c r="I342" s="40" t="n"/>
      <c r="J342" s="41">
        <f>IF(F342="","",F342-IF(IFERROR(VLOOKUP(B342,'Co-Host Agreements'!$A$6:$K$20,7,FALSE),"No")="Yes",G342,0)-IF(IFERROR(VLOOKUP(B342,'Co-Host Agreements'!$A$6:$K$20,8,FALSE),"No")="Yes",H342,0)-N(I342))</f>
        <v/>
      </c>
      <c r="K342" s="42">
        <f>IFERROR(VLOOKUP(B342,'Co-Host Agreements'!$A$6:$K$20,5,FALSE),0)</f>
        <v/>
      </c>
      <c r="L342" s="41">
        <f>IF(B342="","",IFS(IFERROR(VLOOKUP(B342,'Co-Host Agreements'!$A$6:$K$20,4,FALSE),"")="% of NET",J342*K342,IFERROR(VLOOKUP(B342,'Co-Host Agreements'!$A$6:$K$20,4,FALSE),"")="% of GROSS",F342*K342,IFERROR(VLOOKUP(B342,'Co-Host Agreements'!$A$6:$K$20,4,FALSE),"")="Flat per booking",IFERROR(VLOOKUP(B342,'Co-Host Agreements'!$A$6:$K$20,6,FALSE),0),IFERROR(VLOOKUP(B342,'Co-Host Agreements'!$A$6:$K$20,4,FALSE),"")="Hybrid (Flat + % of NET)",IFERROR(VLOOKUP(B342,'Co-Host Agreements'!$A$6:$K$20,6,FALSE),0)+J342*K342,TRUE,0))</f>
        <v/>
      </c>
      <c r="M342" s="41">
        <f>IF(B342="","",J342-L342)</f>
        <v/>
      </c>
      <c r="N342" s="36" t="n"/>
      <c r="O342" s="36" t="n"/>
    </row>
    <row r="343" ht="16" customHeight="1">
      <c r="A343" s="39" t="n"/>
      <c r="B343" s="36" t="n"/>
      <c r="C343" s="36" t="n"/>
      <c r="D343" s="36" t="n"/>
      <c r="E343" s="36" t="n"/>
      <c r="F343" s="40" t="n"/>
      <c r="G343" s="40" t="n"/>
      <c r="H343" s="40" t="n"/>
      <c r="I343" s="40" t="n"/>
      <c r="J343" s="41">
        <f>IF(F343="","",F343-IF(IFERROR(VLOOKUP(B343,'Co-Host Agreements'!$A$6:$K$20,7,FALSE),"No")="Yes",G343,0)-IF(IFERROR(VLOOKUP(B343,'Co-Host Agreements'!$A$6:$K$20,8,FALSE),"No")="Yes",H343,0)-N(I343))</f>
        <v/>
      </c>
      <c r="K343" s="42">
        <f>IFERROR(VLOOKUP(B343,'Co-Host Agreements'!$A$6:$K$20,5,FALSE),0)</f>
        <v/>
      </c>
      <c r="L343" s="41">
        <f>IF(B343="","",IFS(IFERROR(VLOOKUP(B343,'Co-Host Agreements'!$A$6:$K$20,4,FALSE),"")="% of NET",J343*K343,IFERROR(VLOOKUP(B343,'Co-Host Agreements'!$A$6:$K$20,4,FALSE),"")="% of GROSS",F343*K343,IFERROR(VLOOKUP(B343,'Co-Host Agreements'!$A$6:$K$20,4,FALSE),"")="Flat per booking",IFERROR(VLOOKUP(B343,'Co-Host Agreements'!$A$6:$K$20,6,FALSE),0),IFERROR(VLOOKUP(B343,'Co-Host Agreements'!$A$6:$K$20,4,FALSE),"")="Hybrid (Flat + % of NET)",IFERROR(VLOOKUP(B343,'Co-Host Agreements'!$A$6:$K$20,6,FALSE),0)+J343*K343,TRUE,0))</f>
        <v/>
      </c>
      <c r="M343" s="41">
        <f>IF(B343="","",J343-L343)</f>
        <v/>
      </c>
      <c r="N343" s="36" t="n"/>
      <c r="O343" s="36" t="n"/>
    </row>
    <row r="344" ht="16" customHeight="1">
      <c r="A344" s="39" t="n"/>
      <c r="B344" s="36" t="n"/>
      <c r="C344" s="36" t="n"/>
      <c r="D344" s="36" t="n"/>
      <c r="E344" s="36" t="n"/>
      <c r="F344" s="40" t="n"/>
      <c r="G344" s="40" t="n"/>
      <c r="H344" s="40" t="n"/>
      <c r="I344" s="40" t="n"/>
      <c r="J344" s="41">
        <f>IF(F344="","",F344-IF(IFERROR(VLOOKUP(B344,'Co-Host Agreements'!$A$6:$K$20,7,FALSE),"No")="Yes",G344,0)-IF(IFERROR(VLOOKUP(B344,'Co-Host Agreements'!$A$6:$K$20,8,FALSE),"No")="Yes",H344,0)-N(I344))</f>
        <v/>
      </c>
      <c r="K344" s="42">
        <f>IFERROR(VLOOKUP(B344,'Co-Host Agreements'!$A$6:$K$20,5,FALSE),0)</f>
        <v/>
      </c>
      <c r="L344" s="41">
        <f>IF(B344="","",IFS(IFERROR(VLOOKUP(B344,'Co-Host Agreements'!$A$6:$K$20,4,FALSE),"")="% of NET",J344*K344,IFERROR(VLOOKUP(B344,'Co-Host Agreements'!$A$6:$K$20,4,FALSE),"")="% of GROSS",F344*K344,IFERROR(VLOOKUP(B344,'Co-Host Agreements'!$A$6:$K$20,4,FALSE),"")="Flat per booking",IFERROR(VLOOKUP(B344,'Co-Host Agreements'!$A$6:$K$20,6,FALSE),0),IFERROR(VLOOKUP(B344,'Co-Host Agreements'!$A$6:$K$20,4,FALSE),"")="Hybrid (Flat + % of NET)",IFERROR(VLOOKUP(B344,'Co-Host Agreements'!$A$6:$K$20,6,FALSE),0)+J344*K344,TRUE,0))</f>
        <v/>
      </c>
      <c r="M344" s="41">
        <f>IF(B344="","",J344-L344)</f>
        <v/>
      </c>
      <c r="N344" s="36" t="n"/>
      <c r="O344" s="36" t="n"/>
    </row>
    <row r="345" ht="16" customHeight="1">
      <c r="A345" s="39" t="n"/>
      <c r="B345" s="36" t="n"/>
      <c r="C345" s="36" t="n"/>
      <c r="D345" s="36" t="n"/>
      <c r="E345" s="36" t="n"/>
      <c r="F345" s="40" t="n"/>
      <c r="G345" s="40" t="n"/>
      <c r="H345" s="40" t="n"/>
      <c r="I345" s="40" t="n"/>
      <c r="J345" s="41">
        <f>IF(F345="","",F345-IF(IFERROR(VLOOKUP(B345,'Co-Host Agreements'!$A$6:$K$20,7,FALSE),"No")="Yes",G345,0)-IF(IFERROR(VLOOKUP(B345,'Co-Host Agreements'!$A$6:$K$20,8,FALSE),"No")="Yes",H345,0)-N(I345))</f>
        <v/>
      </c>
      <c r="K345" s="42">
        <f>IFERROR(VLOOKUP(B345,'Co-Host Agreements'!$A$6:$K$20,5,FALSE),0)</f>
        <v/>
      </c>
      <c r="L345" s="41">
        <f>IF(B345="","",IFS(IFERROR(VLOOKUP(B345,'Co-Host Agreements'!$A$6:$K$20,4,FALSE),"")="% of NET",J345*K345,IFERROR(VLOOKUP(B345,'Co-Host Agreements'!$A$6:$K$20,4,FALSE),"")="% of GROSS",F345*K345,IFERROR(VLOOKUP(B345,'Co-Host Agreements'!$A$6:$K$20,4,FALSE),"")="Flat per booking",IFERROR(VLOOKUP(B345,'Co-Host Agreements'!$A$6:$K$20,6,FALSE),0),IFERROR(VLOOKUP(B345,'Co-Host Agreements'!$A$6:$K$20,4,FALSE),"")="Hybrid (Flat + % of NET)",IFERROR(VLOOKUP(B345,'Co-Host Agreements'!$A$6:$K$20,6,FALSE),0)+J345*K345,TRUE,0))</f>
        <v/>
      </c>
      <c r="M345" s="41">
        <f>IF(B345="","",J345-L345)</f>
        <v/>
      </c>
      <c r="N345" s="36" t="n"/>
      <c r="O345" s="36" t="n"/>
    </row>
    <row r="346" ht="16" customHeight="1">
      <c r="A346" s="39" t="n"/>
      <c r="B346" s="36" t="n"/>
      <c r="C346" s="36" t="n"/>
      <c r="D346" s="36" t="n"/>
      <c r="E346" s="36" t="n"/>
      <c r="F346" s="40" t="n"/>
      <c r="G346" s="40" t="n"/>
      <c r="H346" s="40" t="n"/>
      <c r="I346" s="40" t="n"/>
      <c r="J346" s="41">
        <f>IF(F346="","",F346-IF(IFERROR(VLOOKUP(B346,'Co-Host Agreements'!$A$6:$K$20,7,FALSE),"No")="Yes",G346,0)-IF(IFERROR(VLOOKUP(B346,'Co-Host Agreements'!$A$6:$K$20,8,FALSE),"No")="Yes",H346,0)-N(I346))</f>
        <v/>
      </c>
      <c r="K346" s="42">
        <f>IFERROR(VLOOKUP(B346,'Co-Host Agreements'!$A$6:$K$20,5,FALSE),0)</f>
        <v/>
      </c>
      <c r="L346" s="41">
        <f>IF(B346="","",IFS(IFERROR(VLOOKUP(B346,'Co-Host Agreements'!$A$6:$K$20,4,FALSE),"")="% of NET",J346*K346,IFERROR(VLOOKUP(B346,'Co-Host Agreements'!$A$6:$K$20,4,FALSE),"")="% of GROSS",F346*K346,IFERROR(VLOOKUP(B346,'Co-Host Agreements'!$A$6:$K$20,4,FALSE),"")="Flat per booking",IFERROR(VLOOKUP(B346,'Co-Host Agreements'!$A$6:$K$20,6,FALSE),0),IFERROR(VLOOKUP(B346,'Co-Host Agreements'!$A$6:$K$20,4,FALSE),"")="Hybrid (Flat + % of NET)",IFERROR(VLOOKUP(B346,'Co-Host Agreements'!$A$6:$K$20,6,FALSE),0)+J346*K346,TRUE,0))</f>
        <v/>
      </c>
      <c r="M346" s="41">
        <f>IF(B346="","",J346-L346)</f>
        <v/>
      </c>
      <c r="N346" s="36" t="n"/>
      <c r="O346" s="36" t="n"/>
    </row>
    <row r="347" ht="16" customHeight="1">
      <c r="A347" s="39" t="n"/>
      <c r="B347" s="36" t="n"/>
      <c r="C347" s="36" t="n"/>
      <c r="D347" s="36" t="n"/>
      <c r="E347" s="36" t="n"/>
      <c r="F347" s="40" t="n"/>
      <c r="G347" s="40" t="n"/>
      <c r="H347" s="40" t="n"/>
      <c r="I347" s="40" t="n"/>
      <c r="J347" s="41">
        <f>IF(F347="","",F347-IF(IFERROR(VLOOKUP(B347,'Co-Host Agreements'!$A$6:$K$20,7,FALSE),"No")="Yes",G347,0)-IF(IFERROR(VLOOKUP(B347,'Co-Host Agreements'!$A$6:$K$20,8,FALSE),"No")="Yes",H347,0)-N(I347))</f>
        <v/>
      </c>
      <c r="K347" s="42">
        <f>IFERROR(VLOOKUP(B347,'Co-Host Agreements'!$A$6:$K$20,5,FALSE),0)</f>
        <v/>
      </c>
      <c r="L347" s="41">
        <f>IF(B347="","",IFS(IFERROR(VLOOKUP(B347,'Co-Host Agreements'!$A$6:$K$20,4,FALSE),"")="% of NET",J347*K347,IFERROR(VLOOKUP(B347,'Co-Host Agreements'!$A$6:$K$20,4,FALSE),"")="% of GROSS",F347*K347,IFERROR(VLOOKUP(B347,'Co-Host Agreements'!$A$6:$K$20,4,FALSE),"")="Flat per booking",IFERROR(VLOOKUP(B347,'Co-Host Agreements'!$A$6:$K$20,6,FALSE),0),IFERROR(VLOOKUP(B347,'Co-Host Agreements'!$A$6:$K$20,4,FALSE),"")="Hybrid (Flat + % of NET)",IFERROR(VLOOKUP(B347,'Co-Host Agreements'!$A$6:$K$20,6,FALSE),0)+J347*K347,TRUE,0))</f>
        <v/>
      </c>
      <c r="M347" s="41">
        <f>IF(B347="","",J347-L347)</f>
        <v/>
      </c>
      <c r="N347" s="36" t="n"/>
      <c r="O347" s="36" t="n"/>
    </row>
    <row r="348" ht="16" customHeight="1">
      <c r="A348" s="39" t="n"/>
      <c r="B348" s="36" t="n"/>
      <c r="C348" s="36" t="n"/>
      <c r="D348" s="36" t="n"/>
      <c r="E348" s="36" t="n"/>
      <c r="F348" s="40" t="n"/>
      <c r="G348" s="40" t="n"/>
      <c r="H348" s="40" t="n"/>
      <c r="I348" s="40" t="n"/>
      <c r="J348" s="41">
        <f>IF(F348="","",F348-IF(IFERROR(VLOOKUP(B348,'Co-Host Agreements'!$A$6:$K$20,7,FALSE),"No")="Yes",G348,0)-IF(IFERROR(VLOOKUP(B348,'Co-Host Agreements'!$A$6:$K$20,8,FALSE),"No")="Yes",H348,0)-N(I348))</f>
        <v/>
      </c>
      <c r="K348" s="42">
        <f>IFERROR(VLOOKUP(B348,'Co-Host Agreements'!$A$6:$K$20,5,FALSE),0)</f>
        <v/>
      </c>
      <c r="L348" s="41">
        <f>IF(B348="","",IFS(IFERROR(VLOOKUP(B348,'Co-Host Agreements'!$A$6:$K$20,4,FALSE),"")="% of NET",J348*K348,IFERROR(VLOOKUP(B348,'Co-Host Agreements'!$A$6:$K$20,4,FALSE),"")="% of GROSS",F348*K348,IFERROR(VLOOKUP(B348,'Co-Host Agreements'!$A$6:$K$20,4,FALSE),"")="Flat per booking",IFERROR(VLOOKUP(B348,'Co-Host Agreements'!$A$6:$K$20,6,FALSE),0),IFERROR(VLOOKUP(B348,'Co-Host Agreements'!$A$6:$K$20,4,FALSE),"")="Hybrid (Flat + % of NET)",IFERROR(VLOOKUP(B348,'Co-Host Agreements'!$A$6:$K$20,6,FALSE),0)+J348*K348,TRUE,0))</f>
        <v/>
      </c>
      <c r="M348" s="41">
        <f>IF(B348="","",J348-L348)</f>
        <v/>
      </c>
      <c r="N348" s="36" t="n"/>
      <c r="O348" s="36" t="n"/>
    </row>
    <row r="349" ht="16" customHeight="1">
      <c r="A349" s="39" t="n"/>
      <c r="B349" s="36" t="n"/>
      <c r="C349" s="36" t="n"/>
      <c r="D349" s="36" t="n"/>
      <c r="E349" s="36" t="n"/>
      <c r="F349" s="40" t="n"/>
      <c r="G349" s="40" t="n"/>
      <c r="H349" s="40" t="n"/>
      <c r="I349" s="40" t="n"/>
      <c r="J349" s="41">
        <f>IF(F349="","",F349-IF(IFERROR(VLOOKUP(B349,'Co-Host Agreements'!$A$6:$K$20,7,FALSE),"No")="Yes",G349,0)-IF(IFERROR(VLOOKUP(B349,'Co-Host Agreements'!$A$6:$K$20,8,FALSE),"No")="Yes",H349,0)-N(I349))</f>
        <v/>
      </c>
      <c r="K349" s="42">
        <f>IFERROR(VLOOKUP(B349,'Co-Host Agreements'!$A$6:$K$20,5,FALSE),0)</f>
        <v/>
      </c>
      <c r="L349" s="41">
        <f>IF(B349="","",IFS(IFERROR(VLOOKUP(B349,'Co-Host Agreements'!$A$6:$K$20,4,FALSE),"")="% of NET",J349*K349,IFERROR(VLOOKUP(B349,'Co-Host Agreements'!$A$6:$K$20,4,FALSE),"")="% of GROSS",F349*K349,IFERROR(VLOOKUP(B349,'Co-Host Agreements'!$A$6:$K$20,4,FALSE),"")="Flat per booking",IFERROR(VLOOKUP(B349,'Co-Host Agreements'!$A$6:$K$20,6,FALSE),0),IFERROR(VLOOKUP(B349,'Co-Host Agreements'!$A$6:$K$20,4,FALSE),"")="Hybrid (Flat + % of NET)",IFERROR(VLOOKUP(B349,'Co-Host Agreements'!$A$6:$K$20,6,FALSE),0)+J349*K349,TRUE,0))</f>
        <v/>
      </c>
      <c r="M349" s="41">
        <f>IF(B349="","",J349-L349)</f>
        <v/>
      </c>
      <c r="N349" s="36" t="n"/>
      <c r="O349" s="36" t="n"/>
    </row>
    <row r="350" ht="16" customHeight="1">
      <c r="A350" s="39" t="n"/>
      <c r="B350" s="36" t="n"/>
      <c r="C350" s="36" t="n"/>
      <c r="D350" s="36" t="n"/>
      <c r="E350" s="36" t="n"/>
      <c r="F350" s="40" t="n"/>
      <c r="G350" s="40" t="n"/>
      <c r="H350" s="40" t="n"/>
      <c r="I350" s="40" t="n"/>
      <c r="J350" s="41">
        <f>IF(F350="","",F350-IF(IFERROR(VLOOKUP(B350,'Co-Host Agreements'!$A$6:$K$20,7,FALSE),"No")="Yes",G350,0)-IF(IFERROR(VLOOKUP(B350,'Co-Host Agreements'!$A$6:$K$20,8,FALSE),"No")="Yes",H350,0)-N(I350))</f>
        <v/>
      </c>
      <c r="K350" s="42">
        <f>IFERROR(VLOOKUP(B350,'Co-Host Agreements'!$A$6:$K$20,5,FALSE),0)</f>
        <v/>
      </c>
      <c r="L350" s="41">
        <f>IF(B350="","",IFS(IFERROR(VLOOKUP(B350,'Co-Host Agreements'!$A$6:$K$20,4,FALSE),"")="% of NET",J350*K350,IFERROR(VLOOKUP(B350,'Co-Host Agreements'!$A$6:$K$20,4,FALSE),"")="% of GROSS",F350*K350,IFERROR(VLOOKUP(B350,'Co-Host Agreements'!$A$6:$K$20,4,FALSE),"")="Flat per booking",IFERROR(VLOOKUP(B350,'Co-Host Agreements'!$A$6:$K$20,6,FALSE),0),IFERROR(VLOOKUP(B350,'Co-Host Agreements'!$A$6:$K$20,4,FALSE),"")="Hybrid (Flat + % of NET)",IFERROR(VLOOKUP(B350,'Co-Host Agreements'!$A$6:$K$20,6,FALSE),0)+J350*K350,TRUE,0))</f>
        <v/>
      </c>
      <c r="M350" s="41">
        <f>IF(B350="","",J350-L350)</f>
        <v/>
      </c>
      <c r="N350" s="36" t="n"/>
      <c r="O350" s="36" t="n"/>
    </row>
    <row r="351" ht="16" customHeight="1">
      <c r="A351" s="39" t="n"/>
      <c r="B351" s="36" t="n"/>
      <c r="C351" s="36" t="n"/>
      <c r="D351" s="36" t="n"/>
      <c r="E351" s="36" t="n"/>
      <c r="F351" s="40" t="n"/>
      <c r="G351" s="40" t="n"/>
      <c r="H351" s="40" t="n"/>
      <c r="I351" s="40" t="n"/>
      <c r="J351" s="41">
        <f>IF(F351="","",F351-IF(IFERROR(VLOOKUP(B351,'Co-Host Agreements'!$A$6:$K$20,7,FALSE),"No")="Yes",G351,0)-IF(IFERROR(VLOOKUP(B351,'Co-Host Agreements'!$A$6:$K$20,8,FALSE),"No")="Yes",H351,0)-N(I351))</f>
        <v/>
      </c>
      <c r="K351" s="42">
        <f>IFERROR(VLOOKUP(B351,'Co-Host Agreements'!$A$6:$K$20,5,FALSE),0)</f>
        <v/>
      </c>
      <c r="L351" s="41">
        <f>IF(B351="","",IFS(IFERROR(VLOOKUP(B351,'Co-Host Agreements'!$A$6:$K$20,4,FALSE),"")="% of NET",J351*K351,IFERROR(VLOOKUP(B351,'Co-Host Agreements'!$A$6:$K$20,4,FALSE),"")="% of GROSS",F351*K351,IFERROR(VLOOKUP(B351,'Co-Host Agreements'!$A$6:$K$20,4,FALSE),"")="Flat per booking",IFERROR(VLOOKUP(B351,'Co-Host Agreements'!$A$6:$K$20,6,FALSE),0),IFERROR(VLOOKUP(B351,'Co-Host Agreements'!$A$6:$K$20,4,FALSE),"")="Hybrid (Flat + % of NET)",IFERROR(VLOOKUP(B351,'Co-Host Agreements'!$A$6:$K$20,6,FALSE),0)+J351*K351,TRUE,0))</f>
        <v/>
      </c>
      <c r="M351" s="41">
        <f>IF(B351="","",J351-L351)</f>
        <v/>
      </c>
      <c r="N351" s="36" t="n"/>
      <c r="O351" s="36" t="n"/>
    </row>
    <row r="352" ht="16" customHeight="1">
      <c r="A352" s="39" t="n"/>
      <c r="B352" s="36" t="n"/>
      <c r="C352" s="36" t="n"/>
      <c r="D352" s="36" t="n"/>
      <c r="E352" s="36" t="n"/>
      <c r="F352" s="40" t="n"/>
      <c r="G352" s="40" t="n"/>
      <c r="H352" s="40" t="n"/>
      <c r="I352" s="40" t="n"/>
      <c r="J352" s="41">
        <f>IF(F352="","",F352-IF(IFERROR(VLOOKUP(B352,'Co-Host Agreements'!$A$6:$K$20,7,FALSE),"No")="Yes",G352,0)-IF(IFERROR(VLOOKUP(B352,'Co-Host Agreements'!$A$6:$K$20,8,FALSE),"No")="Yes",H352,0)-N(I352))</f>
        <v/>
      </c>
      <c r="K352" s="42">
        <f>IFERROR(VLOOKUP(B352,'Co-Host Agreements'!$A$6:$K$20,5,FALSE),0)</f>
        <v/>
      </c>
      <c r="L352" s="41">
        <f>IF(B352="","",IFS(IFERROR(VLOOKUP(B352,'Co-Host Agreements'!$A$6:$K$20,4,FALSE),"")="% of NET",J352*K352,IFERROR(VLOOKUP(B352,'Co-Host Agreements'!$A$6:$K$20,4,FALSE),"")="% of GROSS",F352*K352,IFERROR(VLOOKUP(B352,'Co-Host Agreements'!$A$6:$K$20,4,FALSE),"")="Flat per booking",IFERROR(VLOOKUP(B352,'Co-Host Agreements'!$A$6:$K$20,6,FALSE),0),IFERROR(VLOOKUP(B352,'Co-Host Agreements'!$A$6:$K$20,4,FALSE),"")="Hybrid (Flat + % of NET)",IFERROR(VLOOKUP(B352,'Co-Host Agreements'!$A$6:$K$20,6,FALSE),0)+J352*K352,TRUE,0))</f>
        <v/>
      </c>
      <c r="M352" s="41">
        <f>IF(B352="","",J352-L352)</f>
        <v/>
      </c>
      <c r="N352" s="36" t="n"/>
      <c r="O352" s="36" t="n"/>
    </row>
    <row r="353" ht="16" customHeight="1">
      <c r="A353" s="39" t="n"/>
      <c r="B353" s="36" t="n"/>
      <c r="C353" s="36" t="n"/>
      <c r="D353" s="36" t="n"/>
      <c r="E353" s="36" t="n"/>
      <c r="F353" s="40" t="n"/>
      <c r="G353" s="40" t="n"/>
      <c r="H353" s="40" t="n"/>
      <c r="I353" s="40" t="n"/>
      <c r="J353" s="41">
        <f>IF(F353="","",F353-IF(IFERROR(VLOOKUP(B353,'Co-Host Agreements'!$A$6:$K$20,7,FALSE),"No")="Yes",G353,0)-IF(IFERROR(VLOOKUP(B353,'Co-Host Agreements'!$A$6:$K$20,8,FALSE),"No")="Yes",H353,0)-N(I353))</f>
        <v/>
      </c>
      <c r="K353" s="42">
        <f>IFERROR(VLOOKUP(B353,'Co-Host Agreements'!$A$6:$K$20,5,FALSE),0)</f>
        <v/>
      </c>
      <c r="L353" s="41">
        <f>IF(B353="","",IFS(IFERROR(VLOOKUP(B353,'Co-Host Agreements'!$A$6:$K$20,4,FALSE),"")="% of NET",J353*K353,IFERROR(VLOOKUP(B353,'Co-Host Agreements'!$A$6:$K$20,4,FALSE),"")="% of GROSS",F353*K353,IFERROR(VLOOKUP(B353,'Co-Host Agreements'!$A$6:$K$20,4,FALSE),"")="Flat per booking",IFERROR(VLOOKUP(B353,'Co-Host Agreements'!$A$6:$K$20,6,FALSE),0),IFERROR(VLOOKUP(B353,'Co-Host Agreements'!$A$6:$K$20,4,FALSE),"")="Hybrid (Flat + % of NET)",IFERROR(VLOOKUP(B353,'Co-Host Agreements'!$A$6:$K$20,6,FALSE),0)+J353*K353,TRUE,0))</f>
        <v/>
      </c>
      <c r="M353" s="41">
        <f>IF(B353="","",J353-L353)</f>
        <v/>
      </c>
      <c r="N353" s="36" t="n"/>
      <c r="O353" s="36" t="n"/>
    </row>
    <row r="354" ht="16" customHeight="1">
      <c r="A354" s="39" t="n"/>
      <c r="B354" s="36" t="n"/>
      <c r="C354" s="36" t="n"/>
      <c r="D354" s="36" t="n"/>
      <c r="E354" s="36" t="n"/>
      <c r="F354" s="40" t="n"/>
      <c r="G354" s="40" t="n"/>
      <c r="H354" s="40" t="n"/>
      <c r="I354" s="40" t="n"/>
      <c r="J354" s="41">
        <f>IF(F354="","",F354-IF(IFERROR(VLOOKUP(B354,'Co-Host Agreements'!$A$6:$K$20,7,FALSE),"No")="Yes",G354,0)-IF(IFERROR(VLOOKUP(B354,'Co-Host Agreements'!$A$6:$K$20,8,FALSE),"No")="Yes",H354,0)-N(I354))</f>
        <v/>
      </c>
      <c r="K354" s="42">
        <f>IFERROR(VLOOKUP(B354,'Co-Host Agreements'!$A$6:$K$20,5,FALSE),0)</f>
        <v/>
      </c>
      <c r="L354" s="41">
        <f>IF(B354="","",IFS(IFERROR(VLOOKUP(B354,'Co-Host Agreements'!$A$6:$K$20,4,FALSE),"")="% of NET",J354*K354,IFERROR(VLOOKUP(B354,'Co-Host Agreements'!$A$6:$K$20,4,FALSE),"")="% of GROSS",F354*K354,IFERROR(VLOOKUP(B354,'Co-Host Agreements'!$A$6:$K$20,4,FALSE),"")="Flat per booking",IFERROR(VLOOKUP(B354,'Co-Host Agreements'!$A$6:$K$20,6,FALSE),0),IFERROR(VLOOKUP(B354,'Co-Host Agreements'!$A$6:$K$20,4,FALSE),"")="Hybrid (Flat + % of NET)",IFERROR(VLOOKUP(B354,'Co-Host Agreements'!$A$6:$K$20,6,FALSE),0)+J354*K354,TRUE,0))</f>
        <v/>
      </c>
      <c r="M354" s="41">
        <f>IF(B354="","",J354-L354)</f>
        <v/>
      </c>
      <c r="N354" s="36" t="n"/>
      <c r="O354" s="36" t="n"/>
    </row>
    <row r="355" ht="16" customHeight="1">
      <c r="A355" s="39" t="n"/>
      <c r="B355" s="36" t="n"/>
      <c r="C355" s="36" t="n"/>
      <c r="D355" s="36" t="n"/>
      <c r="E355" s="36" t="n"/>
      <c r="F355" s="40" t="n"/>
      <c r="G355" s="40" t="n"/>
      <c r="H355" s="40" t="n"/>
      <c r="I355" s="40" t="n"/>
      <c r="J355" s="41">
        <f>IF(F355="","",F355-IF(IFERROR(VLOOKUP(B355,'Co-Host Agreements'!$A$6:$K$20,7,FALSE),"No")="Yes",G355,0)-IF(IFERROR(VLOOKUP(B355,'Co-Host Agreements'!$A$6:$K$20,8,FALSE),"No")="Yes",H355,0)-N(I355))</f>
        <v/>
      </c>
      <c r="K355" s="42">
        <f>IFERROR(VLOOKUP(B355,'Co-Host Agreements'!$A$6:$K$20,5,FALSE),0)</f>
        <v/>
      </c>
      <c r="L355" s="41">
        <f>IF(B355="","",IFS(IFERROR(VLOOKUP(B355,'Co-Host Agreements'!$A$6:$K$20,4,FALSE),"")="% of NET",J355*K355,IFERROR(VLOOKUP(B355,'Co-Host Agreements'!$A$6:$K$20,4,FALSE),"")="% of GROSS",F355*K355,IFERROR(VLOOKUP(B355,'Co-Host Agreements'!$A$6:$K$20,4,FALSE),"")="Flat per booking",IFERROR(VLOOKUP(B355,'Co-Host Agreements'!$A$6:$K$20,6,FALSE),0),IFERROR(VLOOKUP(B355,'Co-Host Agreements'!$A$6:$K$20,4,FALSE),"")="Hybrid (Flat + % of NET)",IFERROR(VLOOKUP(B355,'Co-Host Agreements'!$A$6:$K$20,6,FALSE),0)+J355*K355,TRUE,0))</f>
        <v/>
      </c>
      <c r="M355" s="41">
        <f>IF(B355="","",J355-L355)</f>
        <v/>
      </c>
      <c r="N355" s="36" t="n"/>
      <c r="O355" s="36" t="n"/>
    </row>
    <row r="356" ht="16" customHeight="1">
      <c r="A356" s="39" t="n"/>
      <c r="B356" s="36" t="n"/>
      <c r="C356" s="36" t="n"/>
      <c r="D356" s="36" t="n"/>
      <c r="E356" s="36" t="n"/>
      <c r="F356" s="40" t="n"/>
      <c r="G356" s="40" t="n"/>
      <c r="H356" s="40" t="n"/>
      <c r="I356" s="40" t="n"/>
      <c r="J356" s="41">
        <f>IF(F356="","",F356-IF(IFERROR(VLOOKUP(B356,'Co-Host Agreements'!$A$6:$K$20,7,FALSE),"No")="Yes",G356,0)-IF(IFERROR(VLOOKUP(B356,'Co-Host Agreements'!$A$6:$K$20,8,FALSE),"No")="Yes",H356,0)-N(I356))</f>
        <v/>
      </c>
      <c r="K356" s="42">
        <f>IFERROR(VLOOKUP(B356,'Co-Host Agreements'!$A$6:$K$20,5,FALSE),0)</f>
        <v/>
      </c>
      <c r="L356" s="41">
        <f>IF(B356="","",IFS(IFERROR(VLOOKUP(B356,'Co-Host Agreements'!$A$6:$K$20,4,FALSE),"")="% of NET",J356*K356,IFERROR(VLOOKUP(B356,'Co-Host Agreements'!$A$6:$K$20,4,FALSE),"")="% of GROSS",F356*K356,IFERROR(VLOOKUP(B356,'Co-Host Agreements'!$A$6:$K$20,4,FALSE),"")="Flat per booking",IFERROR(VLOOKUP(B356,'Co-Host Agreements'!$A$6:$K$20,6,FALSE),0),IFERROR(VLOOKUP(B356,'Co-Host Agreements'!$A$6:$K$20,4,FALSE),"")="Hybrid (Flat + % of NET)",IFERROR(VLOOKUP(B356,'Co-Host Agreements'!$A$6:$K$20,6,FALSE),0)+J356*K356,TRUE,0))</f>
        <v/>
      </c>
      <c r="M356" s="41">
        <f>IF(B356="","",J356-L356)</f>
        <v/>
      </c>
      <c r="N356" s="36" t="n"/>
      <c r="O356" s="36" t="n"/>
    </row>
    <row r="357" ht="16" customHeight="1">
      <c r="A357" s="39" t="n"/>
      <c r="B357" s="36" t="n"/>
      <c r="C357" s="36" t="n"/>
      <c r="D357" s="36" t="n"/>
      <c r="E357" s="36" t="n"/>
      <c r="F357" s="40" t="n"/>
      <c r="G357" s="40" t="n"/>
      <c r="H357" s="40" t="n"/>
      <c r="I357" s="40" t="n"/>
      <c r="J357" s="41">
        <f>IF(F357="","",F357-IF(IFERROR(VLOOKUP(B357,'Co-Host Agreements'!$A$6:$K$20,7,FALSE),"No")="Yes",G357,0)-IF(IFERROR(VLOOKUP(B357,'Co-Host Agreements'!$A$6:$K$20,8,FALSE),"No")="Yes",H357,0)-N(I357))</f>
        <v/>
      </c>
      <c r="K357" s="42">
        <f>IFERROR(VLOOKUP(B357,'Co-Host Agreements'!$A$6:$K$20,5,FALSE),0)</f>
        <v/>
      </c>
      <c r="L357" s="41">
        <f>IF(B357="","",IFS(IFERROR(VLOOKUP(B357,'Co-Host Agreements'!$A$6:$K$20,4,FALSE),"")="% of NET",J357*K357,IFERROR(VLOOKUP(B357,'Co-Host Agreements'!$A$6:$K$20,4,FALSE),"")="% of GROSS",F357*K357,IFERROR(VLOOKUP(B357,'Co-Host Agreements'!$A$6:$K$20,4,FALSE),"")="Flat per booking",IFERROR(VLOOKUP(B357,'Co-Host Agreements'!$A$6:$K$20,6,FALSE),0),IFERROR(VLOOKUP(B357,'Co-Host Agreements'!$A$6:$K$20,4,FALSE),"")="Hybrid (Flat + % of NET)",IFERROR(VLOOKUP(B357,'Co-Host Agreements'!$A$6:$K$20,6,FALSE),0)+J357*K357,TRUE,0))</f>
        <v/>
      </c>
      <c r="M357" s="41">
        <f>IF(B357="","",J357-L357)</f>
        <v/>
      </c>
      <c r="N357" s="36" t="n"/>
      <c r="O357" s="36" t="n"/>
    </row>
    <row r="358" ht="16" customHeight="1">
      <c r="A358" s="39" t="n"/>
      <c r="B358" s="36" t="n"/>
      <c r="C358" s="36" t="n"/>
      <c r="D358" s="36" t="n"/>
      <c r="E358" s="36" t="n"/>
      <c r="F358" s="40" t="n"/>
      <c r="G358" s="40" t="n"/>
      <c r="H358" s="40" t="n"/>
      <c r="I358" s="40" t="n"/>
      <c r="J358" s="41">
        <f>IF(F358="","",F358-IF(IFERROR(VLOOKUP(B358,'Co-Host Agreements'!$A$6:$K$20,7,FALSE),"No")="Yes",G358,0)-IF(IFERROR(VLOOKUP(B358,'Co-Host Agreements'!$A$6:$K$20,8,FALSE),"No")="Yes",H358,0)-N(I358))</f>
        <v/>
      </c>
      <c r="K358" s="42">
        <f>IFERROR(VLOOKUP(B358,'Co-Host Agreements'!$A$6:$K$20,5,FALSE),0)</f>
        <v/>
      </c>
      <c r="L358" s="41">
        <f>IF(B358="","",IFS(IFERROR(VLOOKUP(B358,'Co-Host Agreements'!$A$6:$K$20,4,FALSE),"")="% of NET",J358*K358,IFERROR(VLOOKUP(B358,'Co-Host Agreements'!$A$6:$K$20,4,FALSE),"")="% of GROSS",F358*K358,IFERROR(VLOOKUP(B358,'Co-Host Agreements'!$A$6:$K$20,4,FALSE),"")="Flat per booking",IFERROR(VLOOKUP(B358,'Co-Host Agreements'!$A$6:$K$20,6,FALSE),0),IFERROR(VLOOKUP(B358,'Co-Host Agreements'!$A$6:$K$20,4,FALSE),"")="Hybrid (Flat + % of NET)",IFERROR(VLOOKUP(B358,'Co-Host Agreements'!$A$6:$K$20,6,FALSE),0)+J358*K358,TRUE,0))</f>
        <v/>
      </c>
      <c r="M358" s="41">
        <f>IF(B358="","",J358-L358)</f>
        <v/>
      </c>
      <c r="N358" s="36" t="n"/>
      <c r="O358" s="36" t="n"/>
    </row>
    <row r="359" ht="16" customHeight="1">
      <c r="A359" s="39" t="n"/>
      <c r="B359" s="36" t="n"/>
      <c r="C359" s="36" t="n"/>
      <c r="D359" s="36" t="n"/>
      <c r="E359" s="36" t="n"/>
      <c r="F359" s="40" t="n"/>
      <c r="G359" s="40" t="n"/>
      <c r="H359" s="40" t="n"/>
      <c r="I359" s="40" t="n"/>
      <c r="J359" s="41">
        <f>IF(F359="","",F359-IF(IFERROR(VLOOKUP(B359,'Co-Host Agreements'!$A$6:$K$20,7,FALSE),"No")="Yes",G359,0)-IF(IFERROR(VLOOKUP(B359,'Co-Host Agreements'!$A$6:$K$20,8,FALSE),"No")="Yes",H359,0)-N(I359))</f>
        <v/>
      </c>
      <c r="K359" s="42">
        <f>IFERROR(VLOOKUP(B359,'Co-Host Agreements'!$A$6:$K$20,5,FALSE),0)</f>
        <v/>
      </c>
      <c r="L359" s="41">
        <f>IF(B359="","",IFS(IFERROR(VLOOKUP(B359,'Co-Host Agreements'!$A$6:$K$20,4,FALSE),"")="% of NET",J359*K359,IFERROR(VLOOKUP(B359,'Co-Host Agreements'!$A$6:$K$20,4,FALSE),"")="% of GROSS",F359*K359,IFERROR(VLOOKUP(B359,'Co-Host Agreements'!$A$6:$K$20,4,FALSE),"")="Flat per booking",IFERROR(VLOOKUP(B359,'Co-Host Agreements'!$A$6:$K$20,6,FALSE),0),IFERROR(VLOOKUP(B359,'Co-Host Agreements'!$A$6:$K$20,4,FALSE),"")="Hybrid (Flat + % of NET)",IFERROR(VLOOKUP(B359,'Co-Host Agreements'!$A$6:$K$20,6,FALSE),0)+J359*K359,TRUE,0))</f>
        <v/>
      </c>
      <c r="M359" s="41">
        <f>IF(B359="","",J359-L359)</f>
        <v/>
      </c>
      <c r="N359" s="36" t="n"/>
      <c r="O359" s="36" t="n"/>
    </row>
    <row r="360" ht="16" customHeight="1">
      <c r="A360" s="39" t="n"/>
      <c r="B360" s="36" t="n"/>
      <c r="C360" s="36" t="n"/>
      <c r="D360" s="36" t="n"/>
      <c r="E360" s="36" t="n"/>
      <c r="F360" s="40" t="n"/>
      <c r="G360" s="40" t="n"/>
      <c r="H360" s="40" t="n"/>
      <c r="I360" s="40" t="n"/>
      <c r="J360" s="41">
        <f>IF(F360="","",F360-IF(IFERROR(VLOOKUP(B360,'Co-Host Agreements'!$A$6:$K$20,7,FALSE),"No")="Yes",G360,0)-IF(IFERROR(VLOOKUP(B360,'Co-Host Agreements'!$A$6:$K$20,8,FALSE),"No")="Yes",H360,0)-N(I360))</f>
        <v/>
      </c>
      <c r="K360" s="42">
        <f>IFERROR(VLOOKUP(B360,'Co-Host Agreements'!$A$6:$K$20,5,FALSE),0)</f>
        <v/>
      </c>
      <c r="L360" s="41">
        <f>IF(B360="","",IFS(IFERROR(VLOOKUP(B360,'Co-Host Agreements'!$A$6:$K$20,4,FALSE),"")="% of NET",J360*K360,IFERROR(VLOOKUP(B360,'Co-Host Agreements'!$A$6:$K$20,4,FALSE),"")="% of GROSS",F360*K360,IFERROR(VLOOKUP(B360,'Co-Host Agreements'!$A$6:$K$20,4,FALSE),"")="Flat per booking",IFERROR(VLOOKUP(B360,'Co-Host Agreements'!$A$6:$K$20,6,FALSE),0),IFERROR(VLOOKUP(B360,'Co-Host Agreements'!$A$6:$K$20,4,FALSE),"")="Hybrid (Flat + % of NET)",IFERROR(VLOOKUP(B360,'Co-Host Agreements'!$A$6:$K$20,6,FALSE),0)+J360*K360,TRUE,0))</f>
        <v/>
      </c>
      <c r="M360" s="41">
        <f>IF(B360="","",J360-L360)</f>
        <v/>
      </c>
      <c r="N360" s="36" t="n"/>
      <c r="O360" s="36" t="n"/>
    </row>
    <row r="361" ht="16" customHeight="1">
      <c r="A361" s="39" t="n"/>
      <c r="B361" s="36" t="n"/>
      <c r="C361" s="36" t="n"/>
      <c r="D361" s="36" t="n"/>
      <c r="E361" s="36" t="n"/>
      <c r="F361" s="40" t="n"/>
      <c r="G361" s="40" t="n"/>
      <c r="H361" s="40" t="n"/>
      <c r="I361" s="40" t="n"/>
      <c r="J361" s="41">
        <f>IF(F361="","",F361-IF(IFERROR(VLOOKUP(B361,'Co-Host Agreements'!$A$6:$K$20,7,FALSE),"No")="Yes",G361,0)-IF(IFERROR(VLOOKUP(B361,'Co-Host Agreements'!$A$6:$K$20,8,FALSE),"No")="Yes",H361,0)-N(I361))</f>
        <v/>
      </c>
      <c r="K361" s="42">
        <f>IFERROR(VLOOKUP(B361,'Co-Host Agreements'!$A$6:$K$20,5,FALSE),0)</f>
        <v/>
      </c>
      <c r="L361" s="41">
        <f>IF(B361="","",IFS(IFERROR(VLOOKUP(B361,'Co-Host Agreements'!$A$6:$K$20,4,FALSE),"")="% of NET",J361*K361,IFERROR(VLOOKUP(B361,'Co-Host Agreements'!$A$6:$K$20,4,FALSE),"")="% of GROSS",F361*K361,IFERROR(VLOOKUP(B361,'Co-Host Agreements'!$A$6:$K$20,4,FALSE),"")="Flat per booking",IFERROR(VLOOKUP(B361,'Co-Host Agreements'!$A$6:$K$20,6,FALSE),0),IFERROR(VLOOKUP(B361,'Co-Host Agreements'!$A$6:$K$20,4,FALSE),"")="Hybrid (Flat + % of NET)",IFERROR(VLOOKUP(B361,'Co-Host Agreements'!$A$6:$K$20,6,FALSE),0)+J361*K361,TRUE,0))</f>
        <v/>
      </c>
      <c r="M361" s="41">
        <f>IF(B361="","",J361-L361)</f>
        <v/>
      </c>
      <c r="N361" s="36" t="n"/>
      <c r="O361" s="36" t="n"/>
    </row>
    <row r="362" ht="16" customHeight="1">
      <c r="A362" s="39" t="n"/>
      <c r="B362" s="36" t="n"/>
      <c r="C362" s="36" t="n"/>
      <c r="D362" s="36" t="n"/>
      <c r="E362" s="36" t="n"/>
      <c r="F362" s="40" t="n"/>
      <c r="G362" s="40" t="n"/>
      <c r="H362" s="40" t="n"/>
      <c r="I362" s="40" t="n"/>
      <c r="J362" s="41">
        <f>IF(F362="","",F362-IF(IFERROR(VLOOKUP(B362,'Co-Host Agreements'!$A$6:$K$20,7,FALSE),"No")="Yes",G362,0)-IF(IFERROR(VLOOKUP(B362,'Co-Host Agreements'!$A$6:$K$20,8,FALSE),"No")="Yes",H362,0)-N(I362))</f>
        <v/>
      </c>
      <c r="K362" s="42">
        <f>IFERROR(VLOOKUP(B362,'Co-Host Agreements'!$A$6:$K$20,5,FALSE),0)</f>
        <v/>
      </c>
      <c r="L362" s="41">
        <f>IF(B362="","",IFS(IFERROR(VLOOKUP(B362,'Co-Host Agreements'!$A$6:$K$20,4,FALSE),"")="% of NET",J362*K362,IFERROR(VLOOKUP(B362,'Co-Host Agreements'!$A$6:$K$20,4,FALSE),"")="% of GROSS",F362*K362,IFERROR(VLOOKUP(B362,'Co-Host Agreements'!$A$6:$K$20,4,FALSE),"")="Flat per booking",IFERROR(VLOOKUP(B362,'Co-Host Agreements'!$A$6:$K$20,6,FALSE),0),IFERROR(VLOOKUP(B362,'Co-Host Agreements'!$A$6:$K$20,4,FALSE),"")="Hybrid (Flat + % of NET)",IFERROR(VLOOKUP(B362,'Co-Host Agreements'!$A$6:$K$20,6,FALSE),0)+J362*K362,TRUE,0))</f>
        <v/>
      </c>
      <c r="M362" s="41">
        <f>IF(B362="","",J362-L362)</f>
        <v/>
      </c>
      <c r="N362" s="36" t="n"/>
      <c r="O362" s="36" t="n"/>
    </row>
    <row r="363" ht="16" customHeight="1">
      <c r="A363" s="39" t="n"/>
      <c r="B363" s="36" t="n"/>
      <c r="C363" s="36" t="n"/>
      <c r="D363" s="36" t="n"/>
      <c r="E363" s="36" t="n"/>
      <c r="F363" s="40" t="n"/>
      <c r="G363" s="40" t="n"/>
      <c r="H363" s="40" t="n"/>
      <c r="I363" s="40" t="n"/>
      <c r="J363" s="41">
        <f>IF(F363="","",F363-IF(IFERROR(VLOOKUP(B363,'Co-Host Agreements'!$A$6:$K$20,7,FALSE),"No")="Yes",G363,0)-IF(IFERROR(VLOOKUP(B363,'Co-Host Agreements'!$A$6:$K$20,8,FALSE),"No")="Yes",H363,0)-N(I363))</f>
        <v/>
      </c>
      <c r="K363" s="42">
        <f>IFERROR(VLOOKUP(B363,'Co-Host Agreements'!$A$6:$K$20,5,FALSE),0)</f>
        <v/>
      </c>
      <c r="L363" s="41">
        <f>IF(B363="","",IFS(IFERROR(VLOOKUP(B363,'Co-Host Agreements'!$A$6:$K$20,4,FALSE),"")="% of NET",J363*K363,IFERROR(VLOOKUP(B363,'Co-Host Agreements'!$A$6:$K$20,4,FALSE),"")="% of GROSS",F363*K363,IFERROR(VLOOKUP(B363,'Co-Host Agreements'!$A$6:$K$20,4,FALSE),"")="Flat per booking",IFERROR(VLOOKUP(B363,'Co-Host Agreements'!$A$6:$K$20,6,FALSE),0),IFERROR(VLOOKUP(B363,'Co-Host Agreements'!$A$6:$K$20,4,FALSE),"")="Hybrid (Flat + % of NET)",IFERROR(VLOOKUP(B363,'Co-Host Agreements'!$A$6:$K$20,6,FALSE),0)+J363*K363,TRUE,0))</f>
        <v/>
      </c>
      <c r="M363" s="41">
        <f>IF(B363="","",J363-L363)</f>
        <v/>
      </c>
      <c r="N363" s="36" t="n"/>
      <c r="O363" s="36" t="n"/>
    </row>
    <row r="364" ht="16" customHeight="1">
      <c r="A364" s="39" t="n"/>
      <c r="B364" s="36" t="n"/>
      <c r="C364" s="36" t="n"/>
      <c r="D364" s="36" t="n"/>
      <c r="E364" s="36" t="n"/>
      <c r="F364" s="40" t="n"/>
      <c r="G364" s="40" t="n"/>
      <c r="H364" s="40" t="n"/>
      <c r="I364" s="40" t="n"/>
      <c r="J364" s="41">
        <f>IF(F364="","",F364-IF(IFERROR(VLOOKUP(B364,'Co-Host Agreements'!$A$6:$K$20,7,FALSE),"No")="Yes",G364,0)-IF(IFERROR(VLOOKUP(B364,'Co-Host Agreements'!$A$6:$K$20,8,FALSE),"No")="Yes",H364,0)-N(I364))</f>
        <v/>
      </c>
      <c r="K364" s="42">
        <f>IFERROR(VLOOKUP(B364,'Co-Host Agreements'!$A$6:$K$20,5,FALSE),0)</f>
        <v/>
      </c>
      <c r="L364" s="41">
        <f>IF(B364="","",IFS(IFERROR(VLOOKUP(B364,'Co-Host Agreements'!$A$6:$K$20,4,FALSE),"")="% of NET",J364*K364,IFERROR(VLOOKUP(B364,'Co-Host Agreements'!$A$6:$K$20,4,FALSE),"")="% of GROSS",F364*K364,IFERROR(VLOOKUP(B364,'Co-Host Agreements'!$A$6:$K$20,4,FALSE),"")="Flat per booking",IFERROR(VLOOKUP(B364,'Co-Host Agreements'!$A$6:$K$20,6,FALSE),0),IFERROR(VLOOKUP(B364,'Co-Host Agreements'!$A$6:$K$20,4,FALSE),"")="Hybrid (Flat + % of NET)",IFERROR(VLOOKUP(B364,'Co-Host Agreements'!$A$6:$K$20,6,FALSE),0)+J364*K364,TRUE,0))</f>
        <v/>
      </c>
      <c r="M364" s="41">
        <f>IF(B364="","",J364-L364)</f>
        <v/>
      </c>
      <c r="N364" s="36" t="n"/>
      <c r="O364" s="36" t="n"/>
    </row>
    <row r="365" ht="16" customHeight="1">
      <c r="A365" s="39" t="n"/>
      <c r="B365" s="36" t="n"/>
      <c r="C365" s="36" t="n"/>
      <c r="D365" s="36" t="n"/>
      <c r="E365" s="36" t="n"/>
      <c r="F365" s="40" t="n"/>
      <c r="G365" s="40" t="n"/>
      <c r="H365" s="40" t="n"/>
      <c r="I365" s="40" t="n"/>
      <c r="J365" s="41">
        <f>IF(F365="","",F365-IF(IFERROR(VLOOKUP(B365,'Co-Host Agreements'!$A$6:$K$20,7,FALSE),"No")="Yes",G365,0)-IF(IFERROR(VLOOKUP(B365,'Co-Host Agreements'!$A$6:$K$20,8,FALSE),"No")="Yes",H365,0)-N(I365))</f>
        <v/>
      </c>
      <c r="K365" s="42">
        <f>IFERROR(VLOOKUP(B365,'Co-Host Agreements'!$A$6:$K$20,5,FALSE),0)</f>
        <v/>
      </c>
      <c r="L365" s="41">
        <f>IF(B365="","",IFS(IFERROR(VLOOKUP(B365,'Co-Host Agreements'!$A$6:$K$20,4,FALSE),"")="% of NET",J365*K365,IFERROR(VLOOKUP(B365,'Co-Host Agreements'!$A$6:$K$20,4,FALSE),"")="% of GROSS",F365*K365,IFERROR(VLOOKUP(B365,'Co-Host Agreements'!$A$6:$K$20,4,FALSE),"")="Flat per booking",IFERROR(VLOOKUP(B365,'Co-Host Agreements'!$A$6:$K$20,6,FALSE),0),IFERROR(VLOOKUP(B365,'Co-Host Agreements'!$A$6:$K$20,4,FALSE),"")="Hybrid (Flat + % of NET)",IFERROR(VLOOKUP(B365,'Co-Host Agreements'!$A$6:$K$20,6,FALSE),0)+J365*K365,TRUE,0))</f>
        <v/>
      </c>
      <c r="M365" s="41">
        <f>IF(B365="","",J365-L365)</f>
        <v/>
      </c>
      <c r="N365" s="36" t="n"/>
      <c r="O365" s="36" t="n"/>
    </row>
    <row r="366" ht="16" customHeight="1">
      <c r="A366" s="39" t="n"/>
      <c r="B366" s="36" t="n"/>
      <c r="C366" s="36" t="n"/>
      <c r="D366" s="36" t="n"/>
      <c r="E366" s="36" t="n"/>
      <c r="F366" s="40" t="n"/>
      <c r="G366" s="40" t="n"/>
      <c r="H366" s="40" t="n"/>
      <c r="I366" s="40" t="n"/>
      <c r="J366" s="41">
        <f>IF(F366="","",F366-IF(IFERROR(VLOOKUP(B366,'Co-Host Agreements'!$A$6:$K$20,7,FALSE),"No")="Yes",G366,0)-IF(IFERROR(VLOOKUP(B366,'Co-Host Agreements'!$A$6:$K$20,8,FALSE),"No")="Yes",H366,0)-N(I366))</f>
        <v/>
      </c>
      <c r="K366" s="42">
        <f>IFERROR(VLOOKUP(B366,'Co-Host Agreements'!$A$6:$K$20,5,FALSE),0)</f>
        <v/>
      </c>
      <c r="L366" s="41">
        <f>IF(B366="","",IFS(IFERROR(VLOOKUP(B366,'Co-Host Agreements'!$A$6:$K$20,4,FALSE),"")="% of NET",J366*K366,IFERROR(VLOOKUP(B366,'Co-Host Agreements'!$A$6:$K$20,4,FALSE),"")="% of GROSS",F366*K366,IFERROR(VLOOKUP(B366,'Co-Host Agreements'!$A$6:$K$20,4,FALSE),"")="Flat per booking",IFERROR(VLOOKUP(B366,'Co-Host Agreements'!$A$6:$K$20,6,FALSE),0),IFERROR(VLOOKUP(B366,'Co-Host Agreements'!$A$6:$K$20,4,FALSE),"")="Hybrid (Flat + % of NET)",IFERROR(VLOOKUP(B366,'Co-Host Agreements'!$A$6:$K$20,6,FALSE),0)+J366*K366,TRUE,0))</f>
        <v/>
      </c>
      <c r="M366" s="41">
        <f>IF(B366="","",J366-L366)</f>
        <v/>
      </c>
      <c r="N366" s="36" t="n"/>
      <c r="O366" s="36" t="n"/>
    </row>
    <row r="367" ht="16" customHeight="1">
      <c r="A367" s="39" t="n"/>
      <c r="B367" s="36" t="n"/>
      <c r="C367" s="36" t="n"/>
      <c r="D367" s="36" t="n"/>
      <c r="E367" s="36" t="n"/>
      <c r="F367" s="40" t="n"/>
      <c r="G367" s="40" t="n"/>
      <c r="H367" s="40" t="n"/>
      <c r="I367" s="40" t="n"/>
      <c r="J367" s="41">
        <f>IF(F367="","",F367-IF(IFERROR(VLOOKUP(B367,'Co-Host Agreements'!$A$6:$K$20,7,FALSE),"No")="Yes",G367,0)-IF(IFERROR(VLOOKUP(B367,'Co-Host Agreements'!$A$6:$K$20,8,FALSE),"No")="Yes",H367,0)-N(I367))</f>
        <v/>
      </c>
      <c r="K367" s="42">
        <f>IFERROR(VLOOKUP(B367,'Co-Host Agreements'!$A$6:$K$20,5,FALSE),0)</f>
        <v/>
      </c>
      <c r="L367" s="41">
        <f>IF(B367="","",IFS(IFERROR(VLOOKUP(B367,'Co-Host Agreements'!$A$6:$K$20,4,FALSE),"")="% of NET",J367*K367,IFERROR(VLOOKUP(B367,'Co-Host Agreements'!$A$6:$K$20,4,FALSE),"")="% of GROSS",F367*K367,IFERROR(VLOOKUP(B367,'Co-Host Agreements'!$A$6:$K$20,4,FALSE),"")="Flat per booking",IFERROR(VLOOKUP(B367,'Co-Host Agreements'!$A$6:$K$20,6,FALSE),0),IFERROR(VLOOKUP(B367,'Co-Host Agreements'!$A$6:$K$20,4,FALSE),"")="Hybrid (Flat + % of NET)",IFERROR(VLOOKUP(B367,'Co-Host Agreements'!$A$6:$K$20,6,FALSE),0)+J367*K367,TRUE,0))</f>
        <v/>
      </c>
      <c r="M367" s="41">
        <f>IF(B367="","",J367-L367)</f>
        <v/>
      </c>
      <c r="N367" s="36" t="n"/>
      <c r="O367" s="36" t="n"/>
    </row>
    <row r="368" ht="16" customHeight="1">
      <c r="A368" s="39" t="n"/>
      <c r="B368" s="36" t="n"/>
      <c r="C368" s="36" t="n"/>
      <c r="D368" s="36" t="n"/>
      <c r="E368" s="36" t="n"/>
      <c r="F368" s="40" t="n"/>
      <c r="G368" s="40" t="n"/>
      <c r="H368" s="40" t="n"/>
      <c r="I368" s="40" t="n"/>
      <c r="J368" s="41">
        <f>IF(F368="","",F368-IF(IFERROR(VLOOKUP(B368,'Co-Host Agreements'!$A$6:$K$20,7,FALSE),"No")="Yes",G368,0)-IF(IFERROR(VLOOKUP(B368,'Co-Host Agreements'!$A$6:$K$20,8,FALSE),"No")="Yes",H368,0)-N(I368))</f>
        <v/>
      </c>
      <c r="K368" s="42">
        <f>IFERROR(VLOOKUP(B368,'Co-Host Agreements'!$A$6:$K$20,5,FALSE),0)</f>
        <v/>
      </c>
      <c r="L368" s="41">
        <f>IF(B368="","",IFS(IFERROR(VLOOKUP(B368,'Co-Host Agreements'!$A$6:$K$20,4,FALSE),"")="% of NET",J368*K368,IFERROR(VLOOKUP(B368,'Co-Host Agreements'!$A$6:$K$20,4,FALSE),"")="% of GROSS",F368*K368,IFERROR(VLOOKUP(B368,'Co-Host Agreements'!$A$6:$K$20,4,FALSE),"")="Flat per booking",IFERROR(VLOOKUP(B368,'Co-Host Agreements'!$A$6:$K$20,6,FALSE),0),IFERROR(VLOOKUP(B368,'Co-Host Agreements'!$A$6:$K$20,4,FALSE),"")="Hybrid (Flat + % of NET)",IFERROR(VLOOKUP(B368,'Co-Host Agreements'!$A$6:$K$20,6,FALSE),0)+J368*K368,TRUE,0))</f>
        <v/>
      </c>
      <c r="M368" s="41">
        <f>IF(B368="","",J368-L368)</f>
        <v/>
      </c>
      <c r="N368" s="36" t="n"/>
      <c r="O368" s="36" t="n"/>
    </row>
    <row r="369" ht="16" customHeight="1">
      <c r="A369" s="39" t="n"/>
      <c r="B369" s="36" t="n"/>
      <c r="C369" s="36" t="n"/>
      <c r="D369" s="36" t="n"/>
      <c r="E369" s="36" t="n"/>
      <c r="F369" s="40" t="n"/>
      <c r="G369" s="40" t="n"/>
      <c r="H369" s="40" t="n"/>
      <c r="I369" s="40" t="n"/>
      <c r="J369" s="41">
        <f>IF(F369="","",F369-IF(IFERROR(VLOOKUP(B369,'Co-Host Agreements'!$A$6:$K$20,7,FALSE),"No")="Yes",G369,0)-IF(IFERROR(VLOOKUP(B369,'Co-Host Agreements'!$A$6:$K$20,8,FALSE),"No")="Yes",H369,0)-N(I369))</f>
        <v/>
      </c>
      <c r="K369" s="42">
        <f>IFERROR(VLOOKUP(B369,'Co-Host Agreements'!$A$6:$K$20,5,FALSE),0)</f>
        <v/>
      </c>
      <c r="L369" s="41">
        <f>IF(B369="","",IFS(IFERROR(VLOOKUP(B369,'Co-Host Agreements'!$A$6:$K$20,4,FALSE),"")="% of NET",J369*K369,IFERROR(VLOOKUP(B369,'Co-Host Agreements'!$A$6:$K$20,4,FALSE),"")="% of GROSS",F369*K369,IFERROR(VLOOKUP(B369,'Co-Host Agreements'!$A$6:$K$20,4,FALSE),"")="Flat per booking",IFERROR(VLOOKUP(B369,'Co-Host Agreements'!$A$6:$K$20,6,FALSE),0),IFERROR(VLOOKUP(B369,'Co-Host Agreements'!$A$6:$K$20,4,FALSE),"")="Hybrid (Flat + % of NET)",IFERROR(VLOOKUP(B369,'Co-Host Agreements'!$A$6:$K$20,6,FALSE),0)+J369*K369,TRUE,0))</f>
        <v/>
      </c>
      <c r="M369" s="41">
        <f>IF(B369="","",J369-L369)</f>
        <v/>
      </c>
      <c r="N369" s="36" t="n"/>
      <c r="O369" s="36" t="n"/>
    </row>
    <row r="370" ht="16" customHeight="1">
      <c r="A370" s="39" t="n"/>
      <c r="B370" s="36" t="n"/>
      <c r="C370" s="36" t="n"/>
      <c r="D370" s="36" t="n"/>
      <c r="E370" s="36" t="n"/>
      <c r="F370" s="40" t="n"/>
      <c r="G370" s="40" t="n"/>
      <c r="H370" s="40" t="n"/>
      <c r="I370" s="40" t="n"/>
      <c r="J370" s="41">
        <f>IF(F370="","",F370-IF(IFERROR(VLOOKUP(B370,'Co-Host Agreements'!$A$6:$K$20,7,FALSE),"No")="Yes",G370,0)-IF(IFERROR(VLOOKUP(B370,'Co-Host Agreements'!$A$6:$K$20,8,FALSE),"No")="Yes",H370,0)-N(I370))</f>
        <v/>
      </c>
      <c r="K370" s="42">
        <f>IFERROR(VLOOKUP(B370,'Co-Host Agreements'!$A$6:$K$20,5,FALSE),0)</f>
        <v/>
      </c>
      <c r="L370" s="41">
        <f>IF(B370="","",IFS(IFERROR(VLOOKUP(B370,'Co-Host Agreements'!$A$6:$K$20,4,FALSE),"")="% of NET",J370*K370,IFERROR(VLOOKUP(B370,'Co-Host Agreements'!$A$6:$K$20,4,FALSE),"")="% of GROSS",F370*K370,IFERROR(VLOOKUP(B370,'Co-Host Agreements'!$A$6:$K$20,4,FALSE),"")="Flat per booking",IFERROR(VLOOKUP(B370,'Co-Host Agreements'!$A$6:$K$20,6,FALSE),0),IFERROR(VLOOKUP(B370,'Co-Host Agreements'!$A$6:$K$20,4,FALSE),"")="Hybrid (Flat + % of NET)",IFERROR(VLOOKUP(B370,'Co-Host Agreements'!$A$6:$K$20,6,FALSE),0)+J370*K370,TRUE,0))</f>
        <v/>
      </c>
      <c r="M370" s="41">
        <f>IF(B370="","",J370-L370)</f>
        <v/>
      </c>
      <c r="N370" s="36" t="n"/>
      <c r="O370" s="36" t="n"/>
    </row>
    <row r="371" ht="16" customHeight="1">
      <c r="A371" s="39" t="n"/>
      <c r="B371" s="36" t="n"/>
      <c r="C371" s="36" t="n"/>
      <c r="D371" s="36" t="n"/>
      <c r="E371" s="36" t="n"/>
      <c r="F371" s="40" t="n"/>
      <c r="G371" s="40" t="n"/>
      <c r="H371" s="40" t="n"/>
      <c r="I371" s="40" t="n"/>
      <c r="J371" s="41">
        <f>IF(F371="","",F371-IF(IFERROR(VLOOKUP(B371,'Co-Host Agreements'!$A$6:$K$20,7,FALSE),"No")="Yes",G371,0)-IF(IFERROR(VLOOKUP(B371,'Co-Host Agreements'!$A$6:$K$20,8,FALSE),"No")="Yes",H371,0)-N(I371))</f>
        <v/>
      </c>
      <c r="K371" s="42">
        <f>IFERROR(VLOOKUP(B371,'Co-Host Agreements'!$A$6:$K$20,5,FALSE),0)</f>
        <v/>
      </c>
      <c r="L371" s="41">
        <f>IF(B371="","",IFS(IFERROR(VLOOKUP(B371,'Co-Host Agreements'!$A$6:$K$20,4,FALSE),"")="% of NET",J371*K371,IFERROR(VLOOKUP(B371,'Co-Host Agreements'!$A$6:$K$20,4,FALSE),"")="% of GROSS",F371*K371,IFERROR(VLOOKUP(B371,'Co-Host Agreements'!$A$6:$K$20,4,FALSE),"")="Flat per booking",IFERROR(VLOOKUP(B371,'Co-Host Agreements'!$A$6:$K$20,6,FALSE),0),IFERROR(VLOOKUP(B371,'Co-Host Agreements'!$A$6:$K$20,4,FALSE),"")="Hybrid (Flat + % of NET)",IFERROR(VLOOKUP(B371,'Co-Host Agreements'!$A$6:$K$20,6,FALSE),0)+J371*K371,TRUE,0))</f>
        <v/>
      </c>
      <c r="M371" s="41">
        <f>IF(B371="","",J371-L371)</f>
        <v/>
      </c>
      <c r="N371" s="36" t="n"/>
      <c r="O371" s="36" t="n"/>
    </row>
    <row r="372" ht="16" customHeight="1">
      <c r="A372" s="39" t="n"/>
      <c r="B372" s="36" t="n"/>
      <c r="C372" s="36" t="n"/>
      <c r="D372" s="36" t="n"/>
      <c r="E372" s="36" t="n"/>
      <c r="F372" s="40" t="n"/>
      <c r="G372" s="40" t="n"/>
      <c r="H372" s="40" t="n"/>
      <c r="I372" s="40" t="n"/>
      <c r="J372" s="41">
        <f>IF(F372="","",F372-IF(IFERROR(VLOOKUP(B372,'Co-Host Agreements'!$A$6:$K$20,7,FALSE),"No")="Yes",G372,0)-IF(IFERROR(VLOOKUP(B372,'Co-Host Agreements'!$A$6:$K$20,8,FALSE),"No")="Yes",H372,0)-N(I372))</f>
        <v/>
      </c>
      <c r="K372" s="42">
        <f>IFERROR(VLOOKUP(B372,'Co-Host Agreements'!$A$6:$K$20,5,FALSE),0)</f>
        <v/>
      </c>
      <c r="L372" s="41">
        <f>IF(B372="","",IFS(IFERROR(VLOOKUP(B372,'Co-Host Agreements'!$A$6:$K$20,4,FALSE),"")="% of NET",J372*K372,IFERROR(VLOOKUP(B372,'Co-Host Agreements'!$A$6:$K$20,4,FALSE),"")="% of GROSS",F372*K372,IFERROR(VLOOKUP(B372,'Co-Host Agreements'!$A$6:$K$20,4,FALSE),"")="Flat per booking",IFERROR(VLOOKUP(B372,'Co-Host Agreements'!$A$6:$K$20,6,FALSE),0),IFERROR(VLOOKUP(B372,'Co-Host Agreements'!$A$6:$K$20,4,FALSE),"")="Hybrid (Flat + % of NET)",IFERROR(VLOOKUP(B372,'Co-Host Agreements'!$A$6:$K$20,6,FALSE),0)+J372*K372,TRUE,0))</f>
        <v/>
      </c>
      <c r="M372" s="41">
        <f>IF(B372="","",J372-L372)</f>
        <v/>
      </c>
      <c r="N372" s="36" t="n"/>
      <c r="O372" s="36" t="n"/>
    </row>
    <row r="373" ht="16" customHeight="1">
      <c r="A373" s="39" t="n"/>
      <c r="B373" s="36" t="n"/>
      <c r="C373" s="36" t="n"/>
      <c r="D373" s="36" t="n"/>
      <c r="E373" s="36" t="n"/>
      <c r="F373" s="40" t="n"/>
      <c r="G373" s="40" t="n"/>
      <c r="H373" s="40" t="n"/>
      <c r="I373" s="40" t="n"/>
      <c r="J373" s="41">
        <f>IF(F373="","",F373-IF(IFERROR(VLOOKUP(B373,'Co-Host Agreements'!$A$6:$K$20,7,FALSE),"No")="Yes",G373,0)-IF(IFERROR(VLOOKUP(B373,'Co-Host Agreements'!$A$6:$K$20,8,FALSE),"No")="Yes",H373,0)-N(I373))</f>
        <v/>
      </c>
      <c r="K373" s="42">
        <f>IFERROR(VLOOKUP(B373,'Co-Host Agreements'!$A$6:$K$20,5,FALSE),0)</f>
        <v/>
      </c>
      <c r="L373" s="41">
        <f>IF(B373="","",IFS(IFERROR(VLOOKUP(B373,'Co-Host Agreements'!$A$6:$K$20,4,FALSE),"")="% of NET",J373*K373,IFERROR(VLOOKUP(B373,'Co-Host Agreements'!$A$6:$K$20,4,FALSE),"")="% of GROSS",F373*K373,IFERROR(VLOOKUP(B373,'Co-Host Agreements'!$A$6:$K$20,4,FALSE),"")="Flat per booking",IFERROR(VLOOKUP(B373,'Co-Host Agreements'!$A$6:$K$20,6,FALSE),0),IFERROR(VLOOKUP(B373,'Co-Host Agreements'!$A$6:$K$20,4,FALSE),"")="Hybrid (Flat + % of NET)",IFERROR(VLOOKUP(B373,'Co-Host Agreements'!$A$6:$K$20,6,FALSE),0)+J373*K373,TRUE,0))</f>
        <v/>
      </c>
      <c r="M373" s="41">
        <f>IF(B373="","",J373-L373)</f>
        <v/>
      </c>
      <c r="N373" s="36" t="n"/>
      <c r="O373" s="36" t="n"/>
    </row>
    <row r="374" ht="16" customHeight="1">
      <c r="A374" s="39" t="n"/>
      <c r="B374" s="36" t="n"/>
      <c r="C374" s="36" t="n"/>
      <c r="D374" s="36" t="n"/>
      <c r="E374" s="36" t="n"/>
      <c r="F374" s="40" t="n"/>
      <c r="G374" s="40" t="n"/>
      <c r="H374" s="40" t="n"/>
      <c r="I374" s="40" t="n"/>
      <c r="J374" s="41">
        <f>IF(F374="","",F374-IF(IFERROR(VLOOKUP(B374,'Co-Host Agreements'!$A$6:$K$20,7,FALSE),"No")="Yes",G374,0)-IF(IFERROR(VLOOKUP(B374,'Co-Host Agreements'!$A$6:$K$20,8,FALSE),"No")="Yes",H374,0)-N(I374))</f>
        <v/>
      </c>
      <c r="K374" s="42">
        <f>IFERROR(VLOOKUP(B374,'Co-Host Agreements'!$A$6:$K$20,5,FALSE),0)</f>
        <v/>
      </c>
      <c r="L374" s="41">
        <f>IF(B374="","",IFS(IFERROR(VLOOKUP(B374,'Co-Host Agreements'!$A$6:$K$20,4,FALSE),"")="% of NET",J374*K374,IFERROR(VLOOKUP(B374,'Co-Host Agreements'!$A$6:$K$20,4,FALSE),"")="% of GROSS",F374*K374,IFERROR(VLOOKUP(B374,'Co-Host Agreements'!$A$6:$K$20,4,FALSE),"")="Flat per booking",IFERROR(VLOOKUP(B374,'Co-Host Agreements'!$A$6:$K$20,6,FALSE),0),IFERROR(VLOOKUP(B374,'Co-Host Agreements'!$A$6:$K$20,4,FALSE),"")="Hybrid (Flat + % of NET)",IFERROR(VLOOKUP(B374,'Co-Host Agreements'!$A$6:$K$20,6,FALSE),0)+J374*K374,TRUE,0))</f>
        <v/>
      </c>
      <c r="M374" s="41">
        <f>IF(B374="","",J374-L374)</f>
        <v/>
      </c>
      <c r="N374" s="36" t="n"/>
      <c r="O374" s="36" t="n"/>
    </row>
    <row r="375" ht="16" customHeight="1">
      <c r="A375" s="39" t="n"/>
      <c r="B375" s="36" t="n"/>
      <c r="C375" s="36" t="n"/>
      <c r="D375" s="36" t="n"/>
      <c r="E375" s="36" t="n"/>
      <c r="F375" s="40" t="n"/>
      <c r="G375" s="40" t="n"/>
      <c r="H375" s="40" t="n"/>
      <c r="I375" s="40" t="n"/>
      <c r="J375" s="41">
        <f>IF(F375="","",F375-IF(IFERROR(VLOOKUP(B375,'Co-Host Agreements'!$A$6:$K$20,7,FALSE),"No")="Yes",G375,0)-IF(IFERROR(VLOOKUP(B375,'Co-Host Agreements'!$A$6:$K$20,8,FALSE),"No")="Yes",H375,0)-N(I375))</f>
        <v/>
      </c>
      <c r="K375" s="42">
        <f>IFERROR(VLOOKUP(B375,'Co-Host Agreements'!$A$6:$K$20,5,FALSE),0)</f>
        <v/>
      </c>
      <c r="L375" s="41">
        <f>IF(B375="","",IFS(IFERROR(VLOOKUP(B375,'Co-Host Agreements'!$A$6:$K$20,4,FALSE),"")="% of NET",J375*K375,IFERROR(VLOOKUP(B375,'Co-Host Agreements'!$A$6:$K$20,4,FALSE),"")="% of GROSS",F375*K375,IFERROR(VLOOKUP(B375,'Co-Host Agreements'!$A$6:$K$20,4,FALSE),"")="Flat per booking",IFERROR(VLOOKUP(B375,'Co-Host Agreements'!$A$6:$K$20,6,FALSE),0),IFERROR(VLOOKUP(B375,'Co-Host Agreements'!$A$6:$K$20,4,FALSE),"")="Hybrid (Flat + % of NET)",IFERROR(VLOOKUP(B375,'Co-Host Agreements'!$A$6:$K$20,6,FALSE),0)+J375*K375,TRUE,0))</f>
        <v/>
      </c>
      <c r="M375" s="41">
        <f>IF(B375="","",J375-L375)</f>
        <v/>
      </c>
      <c r="N375" s="36" t="n"/>
      <c r="O375" s="36" t="n"/>
    </row>
    <row r="376" ht="16" customHeight="1">
      <c r="A376" s="39" t="n"/>
      <c r="B376" s="36" t="n"/>
      <c r="C376" s="36" t="n"/>
      <c r="D376" s="36" t="n"/>
      <c r="E376" s="36" t="n"/>
      <c r="F376" s="40" t="n"/>
      <c r="G376" s="40" t="n"/>
      <c r="H376" s="40" t="n"/>
      <c r="I376" s="40" t="n"/>
      <c r="J376" s="41">
        <f>IF(F376="","",F376-IF(IFERROR(VLOOKUP(B376,'Co-Host Agreements'!$A$6:$K$20,7,FALSE),"No")="Yes",G376,0)-IF(IFERROR(VLOOKUP(B376,'Co-Host Agreements'!$A$6:$K$20,8,FALSE),"No")="Yes",H376,0)-N(I376))</f>
        <v/>
      </c>
      <c r="K376" s="42">
        <f>IFERROR(VLOOKUP(B376,'Co-Host Agreements'!$A$6:$K$20,5,FALSE),0)</f>
        <v/>
      </c>
      <c r="L376" s="41">
        <f>IF(B376="","",IFS(IFERROR(VLOOKUP(B376,'Co-Host Agreements'!$A$6:$K$20,4,FALSE),"")="% of NET",J376*K376,IFERROR(VLOOKUP(B376,'Co-Host Agreements'!$A$6:$K$20,4,FALSE),"")="% of GROSS",F376*K376,IFERROR(VLOOKUP(B376,'Co-Host Agreements'!$A$6:$K$20,4,FALSE),"")="Flat per booking",IFERROR(VLOOKUP(B376,'Co-Host Agreements'!$A$6:$K$20,6,FALSE),0),IFERROR(VLOOKUP(B376,'Co-Host Agreements'!$A$6:$K$20,4,FALSE),"")="Hybrid (Flat + % of NET)",IFERROR(VLOOKUP(B376,'Co-Host Agreements'!$A$6:$K$20,6,FALSE),0)+J376*K376,TRUE,0))</f>
        <v/>
      </c>
      <c r="M376" s="41">
        <f>IF(B376="","",J376-L376)</f>
        <v/>
      </c>
      <c r="N376" s="36" t="n"/>
      <c r="O376" s="36" t="n"/>
    </row>
    <row r="377" ht="16" customHeight="1">
      <c r="A377" s="39" t="n"/>
      <c r="B377" s="36" t="n"/>
      <c r="C377" s="36" t="n"/>
      <c r="D377" s="36" t="n"/>
      <c r="E377" s="36" t="n"/>
      <c r="F377" s="40" t="n"/>
      <c r="G377" s="40" t="n"/>
      <c r="H377" s="40" t="n"/>
      <c r="I377" s="40" t="n"/>
      <c r="J377" s="41">
        <f>IF(F377="","",F377-IF(IFERROR(VLOOKUP(B377,'Co-Host Agreements'!$A$6:$K$20,7,FALSE),"No")="Yes",G377,0)-IF(IFERROR(VLOOKUP(B377,'Co-Host Agreements'!$A$6:$K$20,8,FALSE),"No")="Yes",H377,0)-N(I377))</f>
        <v/>
      </c>
      <c r="K377" s="42">
        <f>IFERROR(VLOOKUP(B377,'Co-Host Agreements'!$A$6:$K$20,5,FALSE),0)</f>
        <v/>
      </c>
      <c r="L377" s="41">
        <f>IF(B377="","",IFS(IFERROR(VLOOKUP(B377,'Co-Host Agreements'!$A$6:$K$20,4,FALSE),"")="% of NET",J377*K377,IFERROR(VLOOKUP(B377,'Co-Host Agreements'!$A$6:$K$20,4,FALSE),"")="% of GROSS",F377*K377,IFERROR(VLOOKUP(B377,'Co-Host Agreements'!$A$6:$K$20,4,FALSE),"")="Flat per booking",IFERROR(VLOOKUP(B377,'Co-Host Agreements'!$A$6:$K$20,6,FALSE),0),IFERROR(VLOOKUP(B377,'Co-Host Agreements'!$A$6:$K$20,4,FALSE),"")="Hybrid (Flat + % of NET)",IFERROR(VLOOKUP(B377,'Co-Host Agreements'!$A$6:$K$20,6,FALSE),0)+J377*K377,TRUE,0))</f>
        <v/>
      </c>
      <c r="M377" s="41">
        <f>IF(B377="","",J377-L377)</f>
        <v/>
      </c>
      <c r="N377" s="36" t="n"/>
      <c r="O377" s="36" t="n"/>
    </row>
    <row r="378" ht="16" customHeight="1">
      <c r="A378" s="39" t="n"/>
      <c r="B378" s="36" t="n"/>
      <c r="C378" s="36" t="n"/>
      <c r="D378" s="36" t="n"/>
      <c r="E378" s="36" t="n"/>
      <c r="F378" s="40" t="n"/>
      <c r="G378" s="40" t="n"/>
      <c r="H378" s="40" t="n"/>
      <c r="I378" s="40" t="n"/>
      <c r="J378" s="41">
        <f>IF(F378="","",F378-IF(IFERROR(VLOOKUP(B378,'Co-Host Agreements'!$A$6:$K$20,7,FALSE),"No")="Yes",G378,0)-IF(IFERROR(VLOOKUP(B378,'Co-Host Agreements'!$A$6:$K$20,8,FALSE),"No")="Yes",H378,0)-N(I378))</f>
        <v/>
      </c>
      <c r="K378" s="42">
        <f>IFERROR(VLOOKUP(B378,'Co-Host Agreements'!$A$6:$K$20,5,FALSE),0)</f>
        <v/>
      </c>
      <c r="L378" s="41">
        <f>IF(B378="","",IFS(IFERROR(VLOOKUP(B378,'Co-Host Agreements'!$A$6:$K$20,4,FALSE),"")="% of NET",J378*K378,IFERROR(VLOOKUP(B378,'Co-Host Agreements'!$A$6:$K$20,4,FALSE),"")="% of GROSS",F378*K378,IFERROR(VLOOKUP(B378,'Co-Host Agreements'!$A$6:$K$20,4,FALSE),"")="Flat per booking",IFERROR(VLOOKUP(B378,'Co-Host Agreements'!$A$6:$K$20,6,FALSE),0),IFERROR(VLOOKUP(B378,'Co-Host Agreements'!$A$6:$K$20,4,FALSE),"")="Hybrid (Flat + % of NET)",IFERROR(VLOOKUP(B378,'Co-Host Agreements'!$A$6:$K$20,6,FALSE),0)+J378*K378,TRUE,0))</f>
        <v/>
      </c>
      <c r="M378" s="41">
        <f>IF(B378="","",J378-L378)</f>
        <v/>
      </c>
      <c r="N378" s="36" t="n"/>
      <c r="O378" s="36" t="n"/>
    </row>
    <row r="379" ht="16" customHeight="1">
      <c r="A379" s="39" t="n"/>
      <c r="B379" s="36" t="n"/>
      <c r="C379" s="36" t="n"/>
      <c r="D379" s="36" t="n"/>
      <c r="E379" s="36" t="n"/>
      <c r="F379" s="40" t="n"/>
      <c r="G379" s="40" t="n"/>
      <c r="H379" s="40" t="n"/>
      <c r="I379" s="40" t="n"/>
      <c r="J379" s="41">
        <f>IF(F379="","",F379-IF(IFERROR(VLOOKUP(B379,'Co-Host Agreements'!$A$6:$K$20,7,FALSE),"No")="Yes",G379,0)-IF(IFERROR(VLOOKUP(B379,'Co-Host Agreements'!$A$6:$K$20,8,FALSE),"No")="Yes",H379,0)-N(I379))</f>
        <v/>
      </c>
      <c r="K379" s="42">
        <f>IFERROR(VLOOKUP(B379,'Co-Host Agreements'!$A$6:$K$20,5,FALSE),0)</f>
        <v/>
      </c>
      <c r="L379" s="41">
        <f>IF(B379="","",IFS(IFERROR(VLOOKUP(B379,'Co-Host Agreements'!$A$6:$K$20,4,FALSE),"")="% of NET",J379*K379,IFERROR(VLOOKUP(B379,'Co-Host Agreements'!$A$6:$K$20,4,FALSE),"")="% of GROSS",F379*K379,IFERROR(VLOOKUP(B379,'Co-Host Agreements'!$A$6:$K$20,4,FALSE),"")="Flat per booking",IFERROR(VLOOKUP(B379,'Co-Host Agreements'!$A$6:$K$20,6,FALSE),0),IFERROR(VLOOKUP(B379,'Co-Host Agreements'!$A$6:$K$20,4,FALSE),"")="Hybrid (Flat + % of NET)",IFERROR(VLOOKUP(B379,'Co-Host Agreements'!$A$6:$K$20,6,FALSE),0)+J379*K379,TRUE,0))</f>
        <v/>
      </c>
      <c r="M379" s="41">
        <f>IF(B379="","",J379-L379)</f>
        <v/>
      </c>
      <c r="N379" s="36" t="n"/>
      <c r="O379" s="36" t="n"/>
    </row>
    <row r="380" ht="16" customHeight="1">
      <c r="A380" s="39" t="n"/>
      <c r="B380" s="36" t="n"/>
      <c r="C380" s="36" t="n"/>
      <c r="D380" s="36" t="n"/>
      <c r="E380" s="36" t="n"/>
      <c r="F380" s="40" t="n"/>
      <c r="G380" s="40" t="n"/>
      <c r="H380" s="40" t="n"/>
      <c r="I380" s="40" t="n"/>
      <c r="J380" s="41">
        <f>IF(F380="","",F380-IF(IFERROR(VLOOKUP(B380,'Co-Host Agreements'!$A$6:$K$20,7,FALSE),"No")="Yes",G380,0)-IF(IFERROR(VLOOKUP(B380,'Co-Host Agreements'!$A$6:$K$20,8,FALSE),"No")="Yes",H380,0)-N(I380))</f>
        <v/>
      </c>
      <c r="K380" s="42">
        <f>IFERROR(VLOOKUP(B380,'Co-Host Agreements'!$A$6:$K$20,5,FALSE),0)</f>
        <v/>
      </c>
      <c r="L380" s="41">
        <f>IF(B380="","",IFS(IFERROR(VLOOKUP(B380,'Co-Host Agreements'!$A$6:$K$20,4,FALSE),"")="% of NET",J380*K380,IFERROR(VLOOKUP(B380,'Co-Host Agreements'!$A$6:$K$20,4,FALSE),"")="% of GROSS",F380*K380,IFERROR(VLOOKUP(B380,'Co-Host Agreements'!$A$6:$K$20,4,FALSE),"")="Flat per booking",IFERROR(VLOOKUP(B380,'Co-Host Agreements'!$A$6:$K$20,6,FALSE),0),IFERROR(VLOOKUP(B380,'Co-Host Agreements'!$A$6:$K$20,4,FALSE),"")="Hybrid (Flat + % of NET)",IFERROR(VLOOKUP(B380,'Co-Host Agreements'!$A$6:$K$20,6,FALSE),0)+J380*K380,TRUE,0))</f>
        <v/>
      </c>
      <c r="M380" s="41">
        <f>IF(B380="","",J380-L380)</f>
        <v/>
      </c>
      <c r="N380" s="36" t="n"/>
      <c r="O380" s="36" t="n"/>
    </row>
    <row r="381" ht="16" customHeight="1">
      <c r="A381" s="39" t="n"/>
      <c r="B381" s="36" t="n"/>
      <c r="C381" s="36" t="n"/>
      <c r="D381" s="36" t="n"/>
      <c r="E381" s="36" t="n"/>
      <c r="F381" s="40" t="n"/>
      <c r="G381" s="40" t="n"/>
      <c r="H381" s="40" t="n"/>
      <c r="I381" s="40" t="n"/>
      <c r="J381" s="41">
        <f>IF(F381="","",F381-IF(IFERROR(VLOOKUP(B381,'Co-Host Agreements'!$A$6:$K$20,7,FALSE),"No")="Yes",G381,0)-IF(IFERROR(VLOOKUP(B381,'Co-Host Agreements'!$A$6:$K$20,8,FALSE),"No")="Yes",H381,0)-N(I381))</f>
        <v/>
      </c>
      <c r="K381" s="42">
        <f>IFERROR(VLOOKUP(B381,'Co-Host Agreements'!$A$6:$K$20,5,FALSE),0)</f>
        <v/>
      </c>
      <c r="L381" s="41">
        <f>IF(B381="","",IFS(IFERROR(VLOOKUP(B381,'Co-Host Agreements'!$A$6:$K$20,4,FALSE),"")="% of NET",J381*K381,IFERROR(VLOOKUP(B381,'Co-Host Agreements'!$A$6:$K$20,4,FALSE),"")="% of GROSS",F381*K381,IFERROR(VLOOKUP(B381,'Co-Host Agreements'!$A$6:$K$20,4,FALSE),"")="Flat per booking",IFERROR(VLOOKUP(B381,'Co-Host Agreements'!$A$6:$K$20,6,FALSE),0),IFERROR(VLOOKUP(B381,'Co-Host Agreements'!$A$6:$K$20,4,FALSE),"")="Hybrid (Flat + % of NET)",IFERROR(VLOOKUP(B381,'Co-Host Agreements'!$A$6:$K$20,6,FALSE),0)+J381*K381,TRUE,0))</f>
        <v/>
      </c>
      <c r="M381" s="41">
        <f>IF(B381="","",J381-L381)</f>
        <v/>
      </c>
      <c r="N381" s="36" t="n"/>
      <c r="O381" s="36" t="n"/>
    </row>
    <row r="382" ht="16" customHeight="1">
      <c r="A382" s="39" t="n"/>
      <c r="B382" s="36" t="n"/>
      <c r="C382" s="36" t="n"/>
      <c r="D382" s="36" t="n"/>
      <c r="E382" s="36" t="n"/>
      <c r="F382" s="40" t="n"/>
      <c r="G382" s="40" t="n"/>
      <c r="H382" s="40" t="n"/>
      <c r="I382" s="40" t="n"/>
      <c r="J382" s="41">
        <f>IF(F382="","",F382-IF(IFERROR(VLOOKUP(B382,'Co-Host Agreements'!$A$6:$K$20,7,FALSE),"No")="Yes",G382,0)-IF(IFERROR(VLOOKUP(B382,'Co-Host Agreements'!$A$6:$K$20,8,FALSE),"No")="Yes",H382,0)-N(I382))</f>
        <v/>
      </c>
      <c r="K382" s="42">
        <f>IFERROR(VLOOKUP(B382,'Co-Host Agreements'!$A$6:$K$20,5,FALSE),0)</f>
        <v/>
      </c>
      <c r="L382" s="41">
        <f>IF(B382="","",IFS(IFERROR(VLOOKUP(B382,'Co-Host Agreements'!$A$6:$K$20,4,FALSE),"")="% of NET",J382*K382,IFERROR(VLOOKUP(B382,'Co-Host Agreements'!$A$6:$K$20,4,FALSE),"")="% of GROSS",F382*K382,IFERROR(VLOOKUP(B382,'Co-Host Agreements'!$A$6:$K$20,4,FALSE),"")="Flat per booking",IFERROR(VLOOKUP(B382,'Co-Host Agreements'!$A$6:$K$20,6,FALSE),0),IFERROR(VLOOKUP(B382,'Co-Host Agreements'!$A$6:$K$20,4,FALSE),"")="Hybrid (Flat + % of NET)",IFERROR(VLOOKUP(B382,'Co-Host Agreements'!$A$6:$K$20,6,FALSE),0)+J382*K382,TRUE,0))</f>
        <v/>
      </c>
      <c r="M382" s="41">
        <f>IF(B382="","",J382-L382)</f>
        <v/>
      </c>
      <c r="N382" s="36" t="n"/>
      <c r="O382" s="36" t="n"/>
    </row>
    <row r="383" ht="16" customHeight="1">
      <c r="A383" s="39" t="n"/>
      <c r="B383" s="36" t="n"/>
      <c r="C383" s="36" t="n"/>
      <c r="D383" s="36" t="n"/>
      <c r="E383" s="36" t="n"/>
      <c r="F383" s="40" t="n"/>
      <c r="G383" s="40" t="n"/>
      <c r="H383" s="40" t="n"/>
      <c r="I383" s="40" t="n"/>
      <c r="J383" s="41">
        <f>IF(F383="","",F383-IF(IFERROR(VLOOKUP(B383,'Co-Host Agreements'!$A$6:$K$20,7,FALSE),"No")="Yes",G383,0)-IF(IFERROR(VLOOKUP(B383,'Co-Host Agreements'!$A$6:$K$20,8,FALSE),"No")="Yes",H383,0)-N(I383))</f>
        <v/>
      </c>
      <c r="K383" s="42">
        <f>IFERROR(VLOOKUP(B383,'Co-Host Agreements'!$A$6:$K$20,5,FALSE),0)</f>
        <v/>
      </c>
      <c r="L383" s="41">
        <f>IF(B383="","",IFS(IFERROR(VLOOKUP(B383,'Co-Host Agreements'!$A$6:$K$20,4,FALSE),"")="% of NET",J383*K383,IFERROR(VLOOKUP(B383,'Co-Host Agreements'!$A$6:$K$20,4,FALSE),"")="% of GROSS",F383*K383,IFERROR(VLOOKUP(B383,'Co-Host Agreements'!$A$6:$K$20,4,FALSE),"")="Flat per booking",IFERROR(VLOOKUP(B383,'Co-Host Agreements'!$A$6:$K$20,6,FALSE),0),IFERROR(VLOOKUP(B383,'Co-Host Agreements'!$A$6:$K$20,4,FALSE),"")="Hybrid (Flat + % of NET)",IFERROR(VLOOKUP(B383,'Co-Host Agreements'!$A$6:$K$20,6,FALSE),0)+J383*K383,TRUE,0))</f>
        <v/>
      </c>
      <c r="M383" s="41">
        <f>IF(B383="","",J383-L383)</f>
        <v/>
      </c>
      <c r="N383" s="36" t="n"/>
      <c r="O383" s="36" t="n"/>
    </row>
    <row r="384" ht="16" customHeight="1">
      <c r="A384" s="39" t="n"/>
      <c r="B384" s="36" t="n"/>
      <c r="C384" s="36" t="n"/>
      <c r="D384" s="36" t="n"/>
      <c r="E384" s="36" t="n"/>
      <c r="F384" s="40" t="n"/>
      <c r="G384" s="40" t="n"/>
      <c r="H384" s="40" t="n"/>
      <c r="I384" s="40" t="n"/>
      <c r="J384" s="41">
        <f>IF(F384="","",F384-IF(IFERROR(VLOOKUP(B384,'Co-Host Agreements'!$A$6:$K$20,7,FALSE),"No")="Yes",G384,0)-IF(IFERROR(VLOOKUP(B384,'Co-Host Agreements'!$A$6:$K$20,8,FALSE),"No")="Yes",H384,0)-N(I384))</f>
        <v/>
      </c>
      <c r="K384" s="42">
        <f>IFERROR(VLOOKUP(B384,'Co-Host Agreements'!$A$6:$K$20,5,FALSE),0)</f>
        <v/>
      </c>
      <c r="L384" s="41">
        <f>IF(B384="","",IFS(IFERROR(VLOOKUP(B384,'Co-Host Agreements'!$A$6:$K$20,4,FALSE),"")="% of NET",J384*K384,IFERROR(VLOOKUP(B384,'Co-Host Agreements'!$A$6:$K$20,4,FALSE),"")="% of GROSS",F384*K384,IFERROR(VLOOKUP(B384,'Co-Host Agreements'!$A$6:$K$20,4,FALSE),"")="Flat per booking",IFERROR(VLOOKUP(B384,'Co-Host Agreements'!$A$6:$K$20,6,FALSE),0),IFERROR(VLOOKUP(B384,'Co-Host Agreements'!$A$6:$K$20,4,FALSE),"")="Hybrid (Flat + % of NET)",IFERROR(VLOOKUP(B384,'Co-Host Agreements'!$A$6:$K$20,6,FALSE),0)+J384*K384,TRUE,0))</f>
        <v/>
      </c>
      <c r="M384" s="41">
        <f>IF(B384="","",J384-L384)</f>
        <v/>
      </c>
      <c r="N384" s="36" t="n"/>
      <c r="O384" s="36" t="n"/>
    </row>
    <row r="385" ht="16" customHeight="1">
      <c r="A385" s="39" t="n"/>
      <c r="B385" s="36" t="n"/>
      <c r="C385" s="36" t="n"/>
      <c r="D385" s="36" t="n"/>
      <c r="E385" s="36" t="n"/>
      <c r="F385" s="40" t="n"/>
      <c r="G385" s="40" t="n"/>
      <c r="H385" s="40" t="n"/>
      <c r="I385" s="40" t="n"/>
      <c r="J385" s="41">
        <f>IF(F385="","",F385-IF(IFERROR(VLOOKUP(B385,'Co-Host Agreements'!$A$6:$K$20,7,FALSE),"No")="Yes",G385,0)-IF(IFERROR(VLOOKUP(B385,'Co-Host Agreements'!$A$6:$K$20,8,FALSE),"No")="Yes",H385,0)-N(I385))</f>
        <v/>
      </c>
      <c r="K385" s="42">
        <f>IFERROR(VLOOKUP(B385,'Co-Host Agreements'!$A$6:$K$20,5,FALSE),0)</f>
        <v/>
      </c>
      <c r="L385" s="41">
        <f>IF(B385="","",IFS(IFERROR(VLOOKUP(B385,'Co-Host Agreements'!$A$6:$K$20,4,FALSE),"")="% of NET",J385*K385,IFERROR(VLOOKUP(B385,'Co-Host Agreements'!$A$6:$K$20,4,FALSE),"")="% of GROSS",F385*K385,IFERROR(VLOOKUP(B385,'Co-Host Agreements'!$A$6:$K$20,4,FALSE),"")="Flat per booking",IFERROR(VLOOKUP(B385,'Co-Host Agreements'!$A$6:$K$20,6,FALSE),0),IFERROR(VLOOKUP(B385,'Co-Host Agreements'!$A$6:$K$20,4,FALSE),"")="Hybrid (Flat + % of NET)",IFERROR(VLOOKUP(B385,'Co-Host Agreements'!$A$6:$K$20,6,FALSE),0)+J385*K385,TRUE,0))</f>
        <v/>
      </c>
      <c r="M385" s="41">
        <f>IF(B385="","",J385-L385)</f>
        <v/>
      </c>
      <c r="N385" s="36" t="n"/>
      <c r="O385" s="36" t="n"/>
    </row>
    <row r="386" ht="16" customHeight="1">
      <c r="A386" s="39" t="n"/>
      <c r="B386" s="36" t="n"/>
      <c r="C386" s="36" t="n"/>
      <c r="D386" s="36" t="n"/>
      <c r="E386" s="36" t="n"/>
      <c r="F386" s="40" t="n"/>
      <c r="G386" s="40" t="n"/>
      <c r="H386" s="40" t="n"/>
      <c r="I386" s="40" t="n"/>
      <c r="J386" s="41">
        <f>IF(F386="","",F386-IF(IFERROR(VLOOKUP(B386,'Co-Host Agreements'!$A$6:$K$20,7,FALSE),"No")="Yes",G386,0)-IF(IFERROR(VLOOKUP(B386,'Co-Host Agreements'!$A$6:$K$20,8,FALSE),"No")="Yes",H386,0)-N(I386))</f>
        <v/>
      </c>
      <c r="K386" s="42">
        <f>IFERROR(VLOOKUP(B386,'Co-Host Agreements'!$A$6:$K$20,5,FALSE),0)</f>
        <v/>
      </c>
      <c r="L386" s="41">
        <f>IF(B386="","",IFS(IFERROR(VLOOKUP(B386,'Co-Host Agreements'!$A$6:$K$20,4,FALSE),"")="% of NET",J386*K386,IFERROR(VLOOKUP(B386,'Co-Host Agreements'!$A$6:$K$20,4,FALSE),"")="% of GROSS",F386*K386,IFERROR(VLOOKUP(B386,'Co-Host Agreements'!$A$6:$K$20,4,FALSE),"")="Flat per booking",IFERROR(VLOOKUP(B386,'Co-Host Agreements'!$A$6:$K$20,6,FALSE),0),IFERROR(VLOOKUP(B386,'Co-Host Agreements'!$A$6:$K$20,4,FALSE),"")="Hybrid (Flat + % of NET)",IFERROR(VLOOKUP(B386,'Co-Host Agreements'!$A$6:$K$20,6,FALSE),0)+J386*K386,TRUE,0))</f>
        <v/>
      </c>
      <c r="M386" s="41">
        <f>IF(B386="","",J386-L386)</f>
        <v/>
      </c>
      <c r="N386" s="36" t="n"/>
      <c r="O386" s="36" t="n"/>
    </row>
    <row r="387" ht="16" customHeight="1">
      <c r="A387" s="39" t="n"/>
      <c r="B387" s="36" t="n"/>
      <c r="C387" s="36" t="n"/>
      <c r="D387" s="36" t="n"/>
      <c r="E387" s="36" t="n"/>
      <c r="F387" s="40" t="n"/>
      <c r="G387" s="40" t="n"/>
      <c r="H387" s="40" t="n"/>
      <c r="I387" s="40" t="n"/>
      <c r="J387" s="41">
        <f>IF(F387="","",F387-IF(IFERROR(VLOOKUP(B387,'Co-Host Agreements'!$A$6:$K$20,7,FALSE),"No")="Yes",G387,0)-IF(IFERROR(VLOOKUP(B387,'Co-Host Agreements'!$A$6:$K$20,8,FALSE),"No")="Yes",H387,0)-N(I387))</f>
        <v/>
      </c>
      <c r="K387" s="42">
        <f>IFERROR(VLOOKUP(B387,'Co-Host Agreements'!$A$6:$K$20,5,FALSE),0)</f>
        <v/>
      </c>
      <c r="L387" s="41">
        <f>IF(B387="","",IFS(IFERROR(VLOOKUP(B387,'Co-Host Agreements'!$A$6:$K$20,4,FALSE),"")="% of NET",J387*K387,IFERROR(VLOOKUP(B387,'Co-Host Agreements'!$A$6:$K$20,4,FALSE),"")="% of GROSS",F387*K387,IFERROR(VLOOKUP(B387,'Co-Host Agreements'!$A$6:$K$20,4,FALSE),"")="Flat per booking",IFERROR(VLOOKUP(B387,'Co-Host Agreements'!$A$6:$K$20,6,FALSE),0),IFERROR(VLOOKUP(B387,'Co-Host Agreements'!$A$6:$K$20,4,FALSE),"")="Hybrid (Flat + % of NET)",IFERROR(VLOOKUP(B387,'Co-Host Agreements'!$A$6:$K$20,6,FALSE),0)+J387*K387,TRUE,0))</f>
        <v/>
      </c>
      <c r="M387" s="41">
        <f>IF(B387="","",J387-L387)</f>
        <v/>
      </c>
      <c r="N387" s="36" t="n"/>
      <c r="O387" s="36" t="n"/>
    </row>
    <row r="388" ht="16" customHeight="1">
      <c r="A388" s="39" t="n"/>
      <c r="B388" s="36" t="n"/>
      <c r="C388" s="36" t="n"/>
      <c r="D388" s="36" t="n"/>
      <c r="E388" s="36" t="n"/>
      <c r="F388" s="40" t="n"/>
      <c r="G388" s="40" t="n"/>
      <c r="H388" s="40" t="n"/>
      <c r="I388" s="40" t="n"/>
      <c r="J388" s="41">
        <f>IF(F388="","",F388-IF(IFERROR(VLOOKUP(B388,'Co-Host Agreements'!$A$6:$K$20,7,FALSE),"No")="Yes",G388,0)-IF(IFERROR(VLOOKUP(B388,'Co-Host Agreements'!$A$6:$K$20,8,FALSE),"No")="Yes",H388,0)-N(I388))</f>
        <v/>
      </c>
      <c r="K388" s="42">
        <f>IFERROR(VLOOKUP(B388,'Co-Host Agreements'!$A$6:$K$20,5,FALSE),0)</f>
        <v/>
      </c>
      <c r="L388" s="41">
        <f>IF(B388="","",IFS(IFERROR(VLOOKUP(B388,'Co-Host Agreements'!$A$6:$K$20,4,FALSE),"")="% of NET",J388*K388,IFERROR(VLOOKUP(B388,'Co-Host Agreements'!$A$6:$K$20,4,FALSE),"")="% of GROSS",F388*K388,IFERROR(VLOOKUP(B388,'Co-Host Agreements'!$A$6:$K$20,4,FALSE),"")="Flat per booking",IFERROR(VLOOKUP(B388,'Co-Host Agreements'!$A$6:$K$20,6,FALSE),0),IFERROR(VLOOKUP(B388,'Co-Host Agreements'!$A$6:$K$20,4,FALSE),"")="Hybrid (Flat + % of NET)",IFERROR(VLOOKUP(B388,'Co-Host Agreements'!$A$6:$K$20,6,FALSE),0)+J388*K388,TRUE,0))</f>
        <v/>
      </c>
      <c r="M388" s="41">
        <f>IF(B388="","",J388-L388)</f>
        <v/>
      </c>
      <c r="N388" s="36" t="n"/>
      <c r="O388" s="36" t="n"/>
    </row>
    <row r="389" ht="16" customHeight="1">
      <c r="A389" s="39" t="n"/>
      <c r="B389" s="36" t="n"/>
      <c r="C389" s="36" t="n"/>
      <c r="D389" s="36" t="n"/>
      <c r="E389" s="36" t="n"/>
      <c r="F389" s="40" t="n"/>
      <c r="G389" s="40" t="n"/>
      <c r="H389" s="40" t="n"/>
      <c r="I389" s="40" t="n"/>
      <c r="J389" s="41">
        <f>IF(F389="","",F389-IF(IFERROR(VLOOKUP(B389,'Co-Host Agreements'!$A$6:$K$20,7,FALSE),"No")="Yes",G389,0)-IF(IFERROR(VLOOKUP(B389,'Co-Host Agreements'!$A$6:$K$20,8,FALSE),"No")="Yes",H389,0)-N(I389))</f>
        <v/>
      </c>
      <c r="K389" s="42">
        <f>IFERROR(VLOOKUP(B389,'Co-Host Agreements'!$A$6:$K$20,5,FALSE),0)</f>
        <v/>
      </c>
      <c r="L389" s="41">
        <f>IF(B389="","",IFS(IFERROR(VLOOKUP(B389,'Co-Host Agreements'!$A$6:$K$20,4,FALSE),"")="% of NET",J389*K389,IFERROR(VLOOKUP(B389,'Co-Host Agreements'!$A$6:$K$20,4,FALSE),"")="% of GROSS",F389*K389,IFERROR(VLOOKUP(B389,'Co-Host Agreements'!$A$6:$K$20,4,FALSE),"")="Flat per booking",IFERROR(VLOOKUP(B389,'Co-Host Agreements'!$A$6:$K$20,6,FALSE),0),IFERROR(VLOOKUP(B389,'Co-Host Agreements'!$A$6:$K$20,4,FALSE),"")="Hybrid (Flat + % of NET)",IFERROR(VLOOKUP(B389,'Co-Host Agreements'!$A$6:$K$20,6,FALSE),0)+J389*K389,TRUE,0))</f>
        <v/>
      </c>
      <c r="M389" s="41">
        <f>IF(B389="","",J389-L389)</f>
        <v/>
      </c>
      <c r="N389" s="36" t="n"/>
      <c r="O389" s="36" t="n"/>
    </row>
    <row r="390" ht="16" customHeight="1">
      <c r="A390" s="39" t="n"/>
      <c r="B390" s="36" t="n"/>
      <c r="C390" s="36" t="n"/>
      <c r="D390" s="36" t="n"/>
      <c r="E390" s="36" t="n"/>
      <c r="F390" s="40" t="n"/>
      <c r="G390" s="40" t="n"/>
      <c r="H390" s="40" t="n"/>
      <c r="I390" s="40" t="n"/>
      <c r="J390" s="41">
        <f>IF(F390="","",F390-IF(IFERROR(VLOOKUP(B390,'Co-Host Agreements'!$A$6:$K$20,7,FALSE),"No")="Yes",G390,0)-IF(IFERROR(VLOOKUP(B390,'Co-Host Agreements'!$A$6:$K$20,8,FALSE),"No")="Yes",H390,0)-N(I390))</f>
        <v/>
      </c>
      <c r="K390" s="42">
        <f>IFERROR(VLOOKUP(B390,'Co-Host Agreements'!$A$6:$K$20,5,FALSE),0)</f>
        <v/>
      </c>
      <c r="L390" s="41">
        <f>IF(B390="","",IFS(IFERROR(VLOOKUP(B390,'Co-Host Agreements'!$A$6:$K$20,4,FALSE),"")="% of NET",J390*K390,IFERROR(VLOOKUP(B390,'Co-Host Agreements'!$A$6:$K$20,4,FALSE),"")="% of GROSS",F390*K390,IFERROR(VLOOKUP(B390,'Co-Host Agreements'!$A$6:$K$20,4,FALSE),"")="Flat per booking",IFERROR(VLOOKUP(B390,'Co-Host Agreements'!$A$6:$K$20,6,FALSE),0),IFERROR(VLOOKUP(B390,'Co-Host Agreements'!$A$6:$K$20,4,FALSE),"")="Hybrid (Flat + % of NET)",IFERROR(VLOOKUP(B390,'Co-Host Agreements'!$A$6:$K$20,6,FALSE),0)+J390*K390,TRUE,0))</f>
        <v/>
      </c>
      <c r="M390" s="41">
        <f>IF(B390="","",J390-L390)</f>
        <v/>
      </c>
      <c r="N390" s="36" t="n"/>
      <c r="O390" s="36" t="n"/>
    </row>
    <row r="391" ht="16" customHeight="1">
      <c r="A391" s="39" t="n"/>
      <c r="B391" s="36" t="n"/>
      <c r="C391" s="36" t="n"/>
      <c r="D391" s="36" t="n"/>
      <c r="E391" s="36" t="n"/>
      <c r="F391" s="40" t="n"/>
      <c r="G391" s="40" t="n"/>
      <c r="H391" s="40" t="n"/>
      <c r="I391" s="40" t="n"/>
      <c r="J391" s="41">
        <f>IF(F391="","",F391-IF(IFERROR(VLOOKUP(B391,'Co-Host Agreements'!$A$6:$K$20,7,FALSE),"No")="Yes",G391,0)-IF(IFERROR(VLOOKUP(B391,'Co-Host Agreements'!$A$6:$K$20,8,FALSE),"No")="Yes",H391,0)-N(I391))</f>
        <v/>
      </c>
      <c r="K391" s="42">
        <f>IFERROR(VLOOKUP(B391,'Co-Host Agreements'!$A$6:$K$20,5,FALSE),0)</f>
        <v/>
      </c>
      <c r="L391" s="41">
        <f>IF(B391="","",IFS(IFERROR(VLOOKUP(B391,'Co-Host Agreements'!$A$6:$K$20,4,FALSE),"")="% of NET",J391*K391,IFERROR(VLOOKUP(B391,'Co-Host Agreements'!$A$6:$K$20,4,FALSE),"")="% of GROSS",F391*K391,IFERROR(VLOOKUP(B391,'Co-Host Agreements'!$A$6:$K$20,4,FALSE),"")="Flat per booking",IFERROR(VLOOKUP(B391,'Co-Host Agreements'!$A$6:$K$20,6,FALSE),0),IFERROR(VLOOKUP(B391,'Co-Host Agreements'!$A$6:$K$20,4,FALSE),"")="Hybrid (Flat + % of NET)",IFERROR(VLOOKUP(B391,'Co-Host Agreements'!$A$6:$K$20,6,FALSE),0)+J391*K391,TRUE,0))</f>
        <v/>
      </c>
      <c r="M391" s="41">
        <f>IF(B391="","",J391-L391)</f>
        <v/>
      </c>
      <c r="N391" s="36" t="n"/>
      <c r="O391" s="36" t="n"/>
    </row>
    <row r="392" ht="16" customHeight="1">
      <c r="A392" s="39" t="n"/>
      <c r="B392" s="36" t="n"/>
      <c r="C392" s="36" t="n"/>
      <c r="D392" s="36" t="n"/>
      <c r="E392" s="36" t="n"/>
      <c r="F392" s="40" t="n"/>
      <c r="G392" s="40" t="n"/>
      <c r="H392" s="40" t="n"/>
      <c r="I392" s="40" t="n"/>
      <c r="J392" s="41">
        <f>IF(F392="","",F392-IF(IFERROR(VLOOKUP(B392,'Co-Host Agreements'!$A$6:$K$20,7,FALSE),"No")="Yes",G392,0)-IF(IFERROR(VLOOKUP(B392,'Co-Host Agreements'!$A$6:$K$20,8,FALSE),"No")="Yes",H392,0)-N(I392))</f>
        <v/>
      </c>
      <c r="K392" s="42">
        <f>IFERROR(VLOOKUP(B392,'Co-Host Agreements'!$A$6:$K$20,5,FALSE),0)</f>
        <v/>
      </c>
      <c r="L392" s="41">
        <f>IF(B392="","",IFS(IFERROR(VLOOKUP(B392,'Co-Host Agreements'!$A$6:$K$20,4,FALSE),"")="% of NET",J392*K392,IFERROR(VLOOKUP(B392,'Co-Host Agreements'!$A$6:$K$20,4,FALSE),"")="% of GROSS",F392*K392,IFERROR(VLOOKUP(B392,'Co-Host Agreements'!$A$6:$K$20,4,FALSE),"")="Flat per booking",IFERROR(VLOOKUP(B392,'Co-Host Agreements'!$A$6:$K$20,6,FALSE),0),IFERROR(VLOOKUP(B392,'Co-Host Agreements'!$A$6:$K$20,4,FALSE),"")="Hybrid (Flat + % of NET)",IFERROR(VLOOKUP(B392,'Co-Host Agreements'!$A$6:$K$20,6,FALSE),0)+J392*K392,TRUE,0))</f>
        <v/>
      </c>
      <c r="M392" s="41">
        <f>IF(B392="","",J392-L392)</f>
        <v/>
      </c>
      <c r="N392" s="36" t="n"/>
      <c r="O392" s="36" t="n"/>
    </row>
    <row r="393" ht="16" customHeight="1">
      <c r="A393" s="39" t="n"/>
      <c r="B393" s="36" t="n"/>
      <c r="C393" s="36" t="n"/>
      <c r="D393" s="36" t="n"/>
      <c r="E393" s="36" t="n"/>
      <c r="F393" s="40" t="n"/>
      <c r="G393" s="40" t="n"/>
      <c r="H393" s="40" t="n"/>
      <c r="I393" s="40" t="n"/>
      <c r="J393" s="41">
        <f>IF(F393="","",F393-IF(IFERROR(VLOOKUP(B393,'Co-Host Agreements'!$A$6:$K$20,7,FALSE),"No")="Yes",G393,0)-IF(IFERROR(VLOOKUP(B393,'Co-Host Agreements'!$A$6:$K$20,8,FALSE),"No")="Yes",H393,0)-N(I393))</f>
        <v/>
      </c>
      <c r="K393" s="42">
        <f>IFERROR(VLOOKUP(B393,'Co-Host Agreements'!$A$6:$K$20,5,FALSE),0)</f>
        <v/>
      </c>
      <c r="L393" s="41">
        <f>IF(B393="","",IFS(IFERROR(VLOOKUP(B393,'Co-Host Agreements'!$A$6:$K$20,4,FALSE),"")="% of NET",J393*K393,IFERROR(VLOOKUP(B393,'Co-Host Agreements'!$A$6:$K$20,4,FALSE),"")="% of GROSS",F393*K393,IFERROR(VLOOKUP(B393,'Co-Host Agreements'!$A$6:$K$20,4,FALSE),"")="Flat per booking",IFERROR(VLOOKUP(B393,'Co-Host Agreements'!$A$6:$K$20,6,FALSE),0),IFERROR(VLOOKUP(B393,'Co-Host Agreements'!$A$6:$K$20,4,FALSE),"")="Hybrid (Flat + % of NET)",IFERROR(VLOOKUP(B393,'Co-Host Agreements'!$A$6:$K$20,6,FALSE),0)+J393*K393,TRUE,0))</f>
        <v/>
      </c>
      <c r="M393" s="41">
        <f>IF(B393="","",J393-L393)</f>
        <v/>
      </c>
      <c r="N393" s="36" t="n"/>
      <c r="O393" s="36" t="n"/>
    </row>
    <row r="394" ht="16" customHeight="1">
      <c r="A394" s="39" t="n"/>
      <c r="B394" s="36" t="n"/>
      <c r="C394" s="36" t="n"/>
      <c r="D394" s="36" t="n"/>
      <c r="E394" s="36" t="n"/>
      <c r="F394" s="40" t="n"/>
      <c r="G394" s="40" t="n"/>
      <c r="H394" s="40" t="n"/>
      <c r="I394" s="40" t="n"/>
      <c r="J394" s="41">
        <f>IF(F394="","",F394-IF(IFERROR(VLOOKUP(B394,'Co-Host Agreements'!$A$6:$K$20,7,FALSE),"No")="Yes",G394,0)-IF(IFERROR(VLOOKUP(B394,'Co-Host Agreements'!$A$6:$K$20,8,FALSE),"No")="Yes",H394,0)-N(I394))</f>
        <v/>
      </c>
      <c r="K394" s="42">
        <f>IFERROR(VLOOKUP(B394,'Co-Host Agreements'!$A$6:$K$20,5,FALSE),0)</f>
        <v/>
      </c>
      <c r="L394" s="41">
        <f>IF(B394="","",IFS(IFERROR(VLOOKUP(B394,'Co-Host Agreements'!$A$6:$K$20,4,FALSE),"")="% of NET",J394*K394,IFERROR(VLOOKUP(B394,'Co-Host Agreements'!$A$6:$K$20,4,FALSE),"")="% of GROSS",F394*K394,IFERROR(VLOOKUP(B394,'Co-Host Agreements'!$A$6:$K$20,4,FALSE),"")="Flat per booking",IFERROR(VLOOKUP(B394,'Co-Host Agreements'!$A$6:$K$20,6,FALSE),0),IFERROR(VLOOKUP(B394,'Co-Host Agreements'!$A$6:$K$20,4,FALSE),"")="Hybrid (Flat + % of NET)",IFERROR(VLOOKUP(B394,'Co-Host Agreements'!$A$6:$K$20,6,FALSE),0)+J394*K394,TRUE,0))</f>
        <v/>
      </c>
      <c r="M394" s="41">
        <f>IF(B394="","",J394-L394)</f>
        <v/>
      </c>
      <c r="N394" s="36" t="n"/>
      <c r="O394" s="36" t="n"/>
    </row>
    <row r="395" ht="16" customHeight="1">
      <c r="A395" s="39" t="n"/>
      <c r="B395" s="36" t="n"/>
      <c r="C395" s="36" t="n"/>
      <c r="D395" s="36" t="n"/>
      <c r="E395" s="36" t="n"/>
      <c r="F395" s="40" t="n"/>
      <c r="G395" s="40" t="n"/>
      <c r="H395" s="40" t="n"/>
      <c r="I395" s="40" t="n"/>
      <c r="J395" s="41">
        <f>IF(F395="","",F395-IF(IFERROR(VLOOKUP(B395,'Co-Host Agreements'!$A$6:$K$20,7,FALSE),"No")="Yes",G395,0)-IF(IFERROR(VLOOKUP(B395,'Co-Host Agreements'!$A$6:$K$20,8,FALSE),"No")="Yes",H395,0)-N(I395))</f>
        <v/>
      </c>
      <c r="K395" s="42">
        <f>IFERROR(VLOOKUP(B395,'Co-Host Agreements'!$A$6:$K$20,5,FALSE),0)</f>
        <v/>
      </c>
      <c r="L395" s="41">
        <f>IF(B395="","",IFS(IFERROR(VLOOKUP(B395,'Co-Host Agreements'!$A$6:$K$20,4,FALSE),"")="% of NET",J395*K395,IFERROR(VLOOKUP(B395,'Co-Host Agreements'!$A$6:$K$20,4,FALSE),"")="% of GROSS",F395*K395,IFERROR(VLOOKUP(B395,'Co-Host Agreements'!$A$6:$K$20,4,FALSE),"")="Flat per booking",IFERROR(VLOOKUP(B395,'Co-Host Agreements'!$A$6:$K$20,6,FALSE),0),IFERROR(VLOOKUP(B395,'Co-Host Agreements'!$A$6:$K$20,4,FALSE),"")="Hybrid (Flat + % of NET)",IFERROR(VLOOKUP(B395,'Co-Host Agreements'!$A$6:$K$20,6,FALSE),0)+J395*K395,TRUE,0))</f>
        <v/>
      </c>
      <c r="M395" s="41">
        <f>IF(B395="","",J395-L395)</f>
        <v/>
      </c>
      <c r="N395" s="36" t="n"/>
      <c r="O395" s="36" t="n"/>
    </row>
    <row r="396" ht="16" customHeight="1">
      <c r="A396" s="39" t="n"/>
      <c r="B396" s="36" t="n"/>
      <c r="C396" s="36" t="n"/>
      <c r="D396" s="36" t="n"/>
      <c r="E396" s="36" t="n"/>
      <c r="F396" s="40" t="n"/>
      <c r="G396" s="40" t="n"/>
      <c r="H396" s="40" t="n"/>
      <c r="I396" s="40" t="n"/>
      <c r="J396" s="41">
        <f>IF(F396="","",F396-IF(IFERROR(VLOOKUP(B396,'Co-Host Agreements'!$A$6:$K$20,7,FALSE),"No")="Yes",G396,0)-IF(IFERROR(VLOOKUP(B396,'Co-Host Agreements'!$A$6:$K$20,8,FALSE),"No")="Yes",H396,0)-N(I396))</f>
        <v/>
      </c>
      <c r="K396" s="42">
        <f>IFERROR(VLOOKUP(B396,'Co-Host Agreements'!$A$6:$K$20,5,FALSE),0)</f>
        <v/>
      </c>
      <c r="L396" s="41">
        <f>IF(B396="","",IFS(IFERROR(VLOOKUP(B396,'Co-Host Agreements'!$A$6:$K$20,4,FALSE),"")="% of NET",J396*K396,IFERROR(VLOOKUP(B396,'Co-Host Agreements'!$A$6:$K$20,4,FALSE),"")="% of GROSS",F396*K396,IFERROR(VLOOKUP(B396,'Co-Host Agreements'!$A$6:$K$20,4,FALSE),"")="Flat per booking",IFERROR(VLOOKUP(B396,'Co-Host Agreements'!$A$6:$K$20,6,FALSE),0),IFERROR(VLOOKUP(B396,'Co-Host Agreements'!$A$6:$K$20,4,FALSE),"")="Hybrid (Flat + % of NET)",IFERROR(VLOOKUP(B396,'Co-Host Agreements'!$A$6:$K$20,6,FALSE),0)+J396*K396,TRUE,0))</f>
        <v/>
      </c>
      <c r="M396" s="41">
        <f>IF(B396="","",J396-L396)</f>
        <v/>
      </c>
      <c r="N396" s="36" t="n"/>
      <c r="O396" s="36" t="n"/>
    </row>
    <row r="397" ht="16" customHeight="1">
      <c r="A397" s="39" t="n"/>
      <c r="B397" s="36" t="n"/>
      <c r="C397" s="36" t="n"/>
      <c r="D397" s="36" t="n"/>
      <c r="E397" s="36" t="n"/>
      <c r="F397" s="40" t="n"/>
      <c r="G397" s="40" t="n"/>
      <c r="H397" s="40" t="n"/>
      <c r="I397" s="40" t="n"/>
      <c r="J397" s="41">
        <f>IF(F397="","",F397-IF(IFERROR(VLOOKUP(B397,'Co-Host Agreements'!$A$6:$K$20,7,FALSE),"No")="Yes",G397,0)-IF(IFERROR(VLOOKUP(B397,'Co-Host Agreements'!$A$6:$K$20,8,FALSE),"No")="Yes",H397,0)-N(I397))</f>
        <v/>
      </c>
      <c r="K397" s="42">
        <f>IFERROR(VLOOKUP(B397,'Co-Host Agreements'!$A$6:$K$20,5,FALSE),0)</f>
        <v/>
      </c>
      <c r="L397" s="41">
        <f>IF(B397="","",IFS(IFERROR(VLOOKUP(B397,'Co-Host Agreements'!$A$6:$K$20,4,FALSE),"")="% of NET",J397*K397,IFERROR(VLOOKUP(B397,'Co-Host Agreements'!$A$6:$K$20,4,FALSE),"")="% of GROSS",F397*K397,IFERROR(VLOOKUP(B397,'Co-Host Agreements'!$A$6:$K$20,4,FALSE),"")="Flat per booking",IFERROR(VLOOKUP(B397,'Co-Host Agreements'!$A$6:$K$20,6,FALSE),0),IFERROR(VLOOKUP(B397,'Co-Host Agreements'!$A$6:$K$20,4,FALSE),"")="Hybrid (Flat + % of NET)",IFERROR(VLOOKUP(B397,'Co-Host Agreements'!$A$6:$K$20,6,FALSE),0)+J397*K397,TRUE,0))</f>
        <v/>
      </c>
      <c r="M397" s="41">
        <f>IF(B397="","",J397-L397)</f>
        <v/>
      </c>
      <c r="N397" s="36" t="n"/>
      <c r="O397" s="36" t="n"/>
    </row>
    <row r="398" ht="16" customHeight="1">
      <c r="A398" s="39" t="n"/>
      <c r="B398" s="36" t="n"/>
      <c r="C398" s="36" t="n"/>
      <c r="D398" s="36" t="n"/>
      <c r="E398" s="36" t="n"/>
      <c r="F398" s="40" t="n"/>
      <c r="G398" s="40" t="n"/>
      <c r="H398" s="40" t="n"/>
      <c r="I398" s="40" t="n"/>
      <c r="J398" s="41">
        <f>IF(F398="","",F398-IF(IFERROR(VLOOKUP(B398,'Co-Host Agreements'!$A$6:$K$20,7,FALSE),"No")="Yes",G398,0)-IF(IFERROR(VLOOKUP(B398,'Co-Host Agreements'!$A$6:$K$20,8,FALSE),"No")="Yes",H398,0)-N(I398))</f>
        <v/>
      </c>
      <c r="K398" s="42">
        <f>IFERROR(VLOOKUP(B398,'Co-Host Agreements'!$A$6:$K$20,5,FALSE),0)</f>
        <v/>
      </c>
      <c r="L398" s="41">
        <f>IF(B398="","",IFS(IFERROR(VLOOKUP(B398,'Co-Host Agreements'!$A$6:$K$20,4,FALSE),"")="% of NET",J398*K398,IFERROR(VLOOKUP(B398,'Co-Host Agreements'!$A$6:$K$20,4,FALSE),"")="% of GROSS",F398*K398,IFERROR(VLOOKUP(B398,'Co-Host Agreements'!$A$6:$K$20,4,FALSE),"")="Flat per booking",IFERROR(VLOOKUP(B398,'Co-Host Agreements'!$A$6:$K$20,6,FALSE),0),IFERROR(VLOOKUP(B398,'Co-Host Agreements'!$A$6:$K$20,4,FALSE),"")="Hybrid (Flat + % of NET)",IFERROR(VLOOKUP(B398,'Co-Host Agreements'!$A$6:$K$20,6,FALSE),0)+J398*K398,TRUE,0))</f>
        <v/>
      </c>
      <c r="M398" s="41">
        <f>IF(B398="","",J398-L398)</f>
        <v/>
      </c>
      <c r="N398" s="36" t="n"/>
      <c r="O398" s="36" t="n"/>
    </row>
    <row r="399" ht="16" customHeight="1">
      <c r="A399" s="39" t="n"/>
      <c r="B399" s="36" t="n"/>
      <c r="C399" s="36" t="n"/>
      <c r="D399" s="36" t="n"/>
      <c r="E399" s="36" t="n"/>
      <c r="F399" s="40" t="n"/>
      <c r="G399" s="40" t="n"/>
      <c r="H399" s="40" t="n"/>
      <c r="I399" s="40" t="n"/>
      <c r="J399" s="41">
        <f>IF(F399="","",F399-IF(IFERROR(VLOOKUP(B399,'Co-Host Agreements'!$A$6:$K$20,7,FALSE),"No")="Yes",G399,0)-IF(IFERROR(VLOOKUP(B399,'Co-Host Agreements'!$A$6:$K$20,8,FALSE),"No")="Yes",H399,0)-N(I399))</f>
        <v/>
      </c>
      <c r="K399" s="42">
        <f>IFERROR(VLOOKUP(B399,'Co-Host Agreements'!$A$6:$K$20,5,FALSE),0)</f>
        <v/>
      </c>
      <c r="L399" s="41">
        <f>IF(B399="","",IFS(IFERROR(VLOOKUP(B399,'Co-Host Agreements'!$A$6:$K$20,4,FALSE),"")="% of NET",J399*K399,IFERROR(VLOOKUP(B399,'Co-Host Agreements'!$A$6:$K$20,4,FALSE),"")="% of GROSS",F399*K399,IFERROR(VLOOKUP(B399,'Co-Host Agreements'!$A$6:$K$20,4,FALSE),"")="Flat per booking",IFERROR(VLOOKUP(B399,'Co-Host Agreements'!$A$6:$K$20,6,FALSE),0),IFERROR(VLOOKUP(B399,'Co-Host Agreements'!$A$6:$K$20,4,FALSE),"")="Hybrid (Flat + % of NET)",IFERROR(VLOOKUP(B399,'Co-Host Agreements'!$A$6:$K$20,6,FALSE),0)+J399*K399,TRUE,0))</f>
        <v/>
      </c>
      <c r="M399" s="41">
        <f>IF(B399="","",J399-L399)</f>
        <v/>
      </c>
      <c r="N399" s="36" t="n"/>
      <c r="O399" s="36" t="n"/>
    </row>
    <row r="400" ht="16" customHeight="1">
      <c r="A400" s="39" t="n"/>
      <c r="B400" s="36" t="n"/>
      <c r="C400" s="36" t="n"/>
      <c r="D400" s="36" t="n"/>
      <c r="E400" s="36" t="n"/>
      <c r="F400" s="40" t="n"/>
      <c r="G400" s="40" t="n"/>
      <c r="H400" s="40" t="n"/>
      <c r="I400" s="40" t="n"/>
      <c r="J400" s="41">
        <f>IF(F400="","",F400-IF(IFERROR(VLOOKUP(B400,'Co-Host Agreements'!$A$6:$K$20,7,FALSE),"No")="Yes",G400,0)-IF(IFERROR(VLOOKUP(B400,'Co-Host Agreements'!$A$6:$K$20,8,FALSE),"No")="Yes",H400,0)-N(I400))</f>
        <v/>
      </c>
      <c r="K400" s="42">
        <f>IFERROR(VLOOKUP(B400,'Co-Host Agreements'!$A$6:$K$20,5,FALSE),0)</f>
        <v/>
      </c>
      <c r="L400" s="41">
        <f>IF(B400="","",IFS(IFERROR(VLOOKUP(B400,'Co-Host Agreements'!$A$6:$K$20,4,FALSE),"")="% of NET",J400*K400,IFERROR(VLOOKUP(B400,'Co-Host Agreements'!$A$6:$K$20,4,FALSE),"")="% of GROSS",F400*K400,IFERROR(VLOOKUP(B400,'Co-Host Agreements'!$A$6:$K$20,4,FALSE),"")="Flat per booking",IFERROR(VLOOKUP(B400,'Co-Host Agreements'!$A$6:$K$20,6,FALSE),0),IFERROR(VLOOKUP(B400,'Co-Host Agreements'!$A$6:$K$20,4,FALSE),"")="Hybrid (Flat + % of NET)",IFERROR(VLOOKUP(B400,'Co-Host Agreements'!$A$6:$K$20,6,FALSE),0)+J400*K400,TRUE,0))</f>
        <v/>
      </c>
      <c r="M400" s="41">
        <f>IF(B400="","",J400-L400)</f>
        <v/>
      </c>
      <c r="N400" s="36" t="n"/>
      <c r="O400" s="36" t="n"/>
    </row>
    <row r="401" ht="16" customHeight="1">
      <c r="A401" s="39" t="n"/>
      <c r="B401" s="36" t="n"/>
      <c r="C401" s="36" t="n"/>
      <c r="D401" s="36" t="n"/>
      <c r="E401" s="36" t="n"/>
      <c r="F401" s="40" t="n"/>
      <c r="G401" s="40" t="n"/>
      <c r="H401" s="40" t="n"/>
      <c r="I401" s="40" t="n"/>
      <c r="J401" s="41">
        <f>IF(F401="","",F401-IF(IFERROR(VLOOKUP(B401,'Co-Host Agreements'!$A$6:$K$20,7,FALSE),"No")="Yes",G401,0)-IF(IFERROR(VLOOKUP(B401,'Co-Host Agreements'!$A$6:$K$20,8,FALSE),"No")="Yes",H401,0)-N(I401))</f>
        <v/>
      </c>
      <c r="K401" s="42">
        <f>IFERROR(VLOOKUP(B401,'Co-Host Agreements'!$A$6:$K$20,5,FALSE),0)</f>
        <v/>
      </c>
      <c r="L401" s="41">
        <f>IF(B401="","",IFS(IFERROR(VLOOKUP(B401,'Co-Host Agreements'!$A$6:$K$20,4,FALSE),"")="% of NET",J401*K401,IFERROR(VLOOKUP(B401,'Co-Host Agreements'!$A$6:$K$20,4,FALSE),"")="% of GROSS",F401*K401,IFERROR(VLOOKUP(B401,'Co-Host Agreements'!$A$6:$K$20,4,FALSE),"")="Flat per booking",IFERROR(VLOOKUP(B401,'Co-Host Agreements'!$A$6:$K$20,6,FALSE),0),IFERROR(VLOOKUP(B401,'Co-Host Agreements'!$A$6:$K$20,4,FALSE),"")="Hybrid (Flat + % of NET)",IFERROR(VLOOKUP(B401,'Co-Host Agreements'!$A$6:$K$20,6,FALSE),0)+J401*K401,TRUE,0))</f>
        <v/>
      </c>
      <c r="M401" s="41">
        <f>IF(B401="","",J401-L401)</f>
        <v/>
      </c>
      <c r="N401" s="36" t="n"/>
      <c r="O401" s="36" t="n"/>
    </row>
    <row r="402" ht="16" customHeight="1">
      <c r="A402" s="39" t="n"/>
      <c r="B402" s="36" t="n"/>
      <c r="C402" s="36" t="n"/>
      <c r="D402" s="36" t="n"/>
      <c r="E402" s="36" t="n"/>
      <c r="F402" s="40" t="n"/>
      <c r="G402" s="40" t="n"/>
      <c r="H402" s="40" t="n"/>
      <c r="I402" s="40" t="n"/>
      <c r="J402" s="41">
        <f>IF(F402="","",F402-IF(IFERROR(VLOOKUP(B402,'Co-Host Agreements'!$A$6:$K$20,7,FALSE),"No")="Yes",G402,0)-IF(IFERROR(VLOOKUP(B402,'Co-Host Agreements'!$A$6:$K$20,8,FALSE),"No")="Yes",H402,0)-N(I402))</f>
        <v/>
      </c>
      <c r="K402" s="42">
        <f>IFERROR(VLOOKUP(B402,'Co-Host Agreements'!$A$6:$K$20,5,FALSE),0)</f>
        <v/>
      </c>
      <c r="L402" s="41">
        <f>IF(B402="","",IFS(IFERROR(VLOOKUP(B402,'Co-Host Agreements'!$A$6:$K$20,4,FALSE),"")="% of NET",J402*K402,IFERROR(VLOOKUP(B402,'Co-Host Agreements'!$A$6:$K$20,4,FALSE),"")="% of GROSS",F402*K402,IFERROR(VLOOKUP(B402,'Co-Host Agreements'!$A$6:$K$20,4,FALSE),"")="Flat per booking",IFERROR(VLOOKUP(B402,'Co-Host Agreements'!$A$6:$K$20,6,FALSE),0),IFERROR(VLOOKUP(B402,'Co-Host Agreements'!$A$6:$K$20,4,FALSE),"")="Hybrid (Flat + % of NET)",IFERROR(VLOOKUP(B402,'Co-Host Agreements'!$A$6:$K$20,6,FALSE),0)+J402*K402,TRUE,0))</f>
        <v/>
      </c>
      <c r="M402" s="41">
        <f>IF(B402="","",J402-L402)</f>
        <v/>
      </c>
      <c r="N402" s="36" t="n"/>
      <c r="O402" s="36" t="n"/>
    </row>
    <row r="403" ht="16" customHeight="1">
      <c r="A403" s="39" t="n"/>
      <c r="B403" s="36" t="n"/>
      <c r="C403" s="36" t="n"/>
      <c r="D403" s="36" t="n"/>
      <c r="E403" s="36" t="n"/>
      <c r="F403" s="40" t="n"/>
      <c r="G403" s="40" t="n"/>
      <c r="H403" s="40" t="n"/>
      <c r="I403" s="40" t="n"/>
      <c r="J403" s="41">
        <f>IF(F403="","",F403-IF(IFERROR(VLOOKUP(B403,'Co-Host Agreements'!$A$6:$K$20,7,FALSE),"No")="Yes",G403,0)-IF(IFERROR(VLOOKUP(B403,'Co-Host Agreements'!$A$6:$K$20,8,FALSE),"No")="Yes",H403,0)-N(I403))</f>
        <v/>
      </c>
      <c r="K403" s="42">
        <f>IFERROR(VLOOKUP(B403,'Co-Host Agreements'!$A$6:$K$20,5,FALSE),0)</f>
        <v/>
      </c>
      <c r="L403" s="41">
        <f>IF(B403="","",IFS(IFERROR(VLOOKUP(B403,'Co-Host Agreements'!$A$6:$K$20,4,FALSE),"")="% of NET",J403*K403,IFERROR(VLOOKUP(B403,'Co-Host Agreements'!$A$6:$K$20,4,FALSE),"")="% of GROSS",F403*K403,IFERROR(VLOOKUP(B403,'Co-Host Agreements'!$A$6:$K$20,4,FALSE),"")="Flat per booking",IFERROR(VLOOKUP(B403,'Co-Host Agreements'!$A$6:$K$20,6,FALSE),0),IFERROR(VLOOKUP(B403,'Co-Host Agreements'!$A$6:$K$20,4,FALSE),"")="Hybrid (Flat + % of NET)",IFERROR(VLOOKUP(B403,'Co-Host Agreements'!$A$6:$K$20,6,FALSE),0)+J403*K403,TRUE,0))</f>
        <v/>
      </c>
      <c r="M403" s="41">
        <f>IF(B403="","",J403-L403)</f>
        <v/>
      </c>
      <c r="N403" s="36" t="n"/>
      <c r="O403" s="36" t="n"/>
    </row>
    <row r="404" ht="16" customHeight="1">
      <c r="A404" s="39" t="n"/>
      <c r="B404" s="36" t="n"/>
      <c r="C404" s="36" t="n"/>
      <c r="D404" s="36" t="n"/>
      <c r="E404" s="36" t="n"/>
      <c r="F404" s="40" t="n"/>
      <c r="G404" s="40" t="n"/>
      <c r="H404" s="40" t="n"/>
      <c r="I404" s="40" t="n"/>
      <c r="J404" s="41">
        <f>IF(F404="","",F404-IF(IFERROR(VLOOKUP(B404,'Co-Host Agreements'!$A$6:$K$20,7,FALSE),"No")="Yes",G404,0)-IF(IFERROR(VLOOKUP(B404,'Co-Host Agreements'!$A$6:$K$20,8,FALSE),"No")="Yes",H404,0)-N(I404))</f>
        <v/>
      </c>
      <c r="K404" s="42">
        <f>IFERROR(VLOOKUP(B404,'Co-Host Agreements'!$A$6:$K$20,5,FALSE),0)</f>
        <v/>
      </c>
      <c r="L404" s="41">
        <f>IF(B404="","",IFS(IFERROR(VLOOKUP(B404,'Co-Host Agreements'!$A$6:$K$20,4,FALSE),"")="% of NET",J404*K404,IFERROR(VLOOKUP(B404,'Co-Host Agreements'!$A$6:$K$20,4,FALSE),"")="% of GROSS",F404*K404,IFERROR(VLOOKUP(B404,'Co-Host Agreements'!$A$6:$K$20,4,FALSE),"")="Flat per booking",IFERROR(VLOOKUP(B404,'Co-Host Agreements'!$A$6:$K$20,6,FALSE),0),IFERROR(VLOOKUP(B404,'Co-Host Agreements'!$A$6:$K$20,4,FALSE),"")="Hybrid (Flat + % of NET)",IFERROR(VLOOKUP(B404,'Co-Host Agreements'!$A$6:$K$20,6,FALSE),0)+J404*K404,TRUE,0))</f>
        <v/>
      </c>
      <c r="M404" s="41">
        <f>IF(B404="","",J404-L404)</f>
        <v/>
      </c>
      <c r="N404" s="36" t="n"/>
      <c r="O404" s="36" t="n"/>
    </row>
    <row r="405" ht="16" customHeight="1">
      <c r="A405" s="39" t="n"/>
      <c r="B405" s="36" t="n"/>
      <c r="C405" s="36" t="n"/>
      <c r="D405" s="36" t="n"/>
      <c r="E405" s="36" t="n"/>
      <c r="F405" s="40" t="n"/>
      <c r="G405" s="40" t="n"/>
      <c r="H405" s="40" t="n"/>
      <c r="I405" s="40" t="n"/>
      <c r="J405" s="41">
        <f>IF(F405="","",F405-IF(IFERROR(VLOOKUP(B405,'Co-Host Agreements'!$A$6:$K$20,7,FALSE),"No")="Yes",G405,0)-IF(IFERROR(VLOOKUP(B405,'Co-Host Agreements'!$A$6:$K$20,8,FALSE),"No")="Yes",H405,0)-N(I405))</f>
        <v/>
      </c>
      <c r="K405" s="42">
        <f>IFERROR(VLOOKUP(B405,'Co-Host Agreements'!$A$6:$K$20,5,FALSE),0)</f>
        <v/>
      </c>
      <c r="L405" s="41">
        <f>IF(B405="","",IFS(IFERROR(VLOOKUP(B405,'Co-Host Agreements'!$A$6:$K$20,4,FALSE),"")="% of NET",J405*K405,IFERROR(VLOOKUP(B405,'Co-Host Agreements'!$A$6:$K$20,4,FALSE),"")="% of GROSS",F405*K405,IFERROR(VLOOKUP(B405,'Co-Host Agreements'!$A$6:$K$20,4,FALSE),"")="Flat per booking",IFERROR(VLOOKUP(B405,'Co-Host Agreements'!$A$6:$K$20,6,FALSE),0),IFERROR(VLOOKUP(B405,'Co-Host Agreements'!$A$6:$K$20,4,FALSE),"")="Hybrid (Flat + % of NET)",IFERROR(VLOOKUP(B405,'Co-Host Agreements'!$A$6:$K$20,6,FALSE),0)+J405*K405,TRUE,0))</f>
        <v/>
      </c>
      <c r="M405" s="41">
        <f>IF(B405="","",J405-L405)</f>
        <v/>
      </c>
      <c r="N405" s="36" t="n"/>
      <c r="O405" s="36" t="n"/>
    </row>
    <row r="406" ht="16" customHeight="1">
      <c r="A406" s="39" t="n"/>
      <c r="B406" s="36" t="n"/>
      <c r="C406" s="36" t="n"/>
      <c r="D406" s="36" t="n"/>
      <c r="E406" s="36" t="n"/>
      <c r="F406" s="40" t="n"/>
      <c r="G406" s="40" t="n"/>
      <c r="H406" s="40" t="n"/>
      <c r="I406" s="40" t="n"/>
      <c r="J406" s="41">
        <f>IF(F406="","",F406-IF(IFERROR(VLOOKUP(B406,'Co-Host Agreements'!$A$6:$K$20,7,FALSE),"No")="Yes",G406,0)-IF(IFERROR(VLOOKUP(B406,'Co-Host Agreements'!$A$6:$K$20,8,FALSE),"No")="Yes",H406,0)-N(I406))</f>
        <v/>
      </c>
      <c r="K406" s="42">
        <f>IFERROR(VLOOKUP(B406,'Co-Host Agreements'!$A$6:$K$20,5,FALSE),0)</f>
        <v/>
      </c>
      <c r="L406" s="41">
        <f>IF(B406="","",IFS(IFERROR(VLOOKUP(B406,'Co-Host Agreements'!$A$6:$K$20,4,FALSE),"")="% of NET",J406*K406,IFERROR(VLOOKUP(B406,'Co-Host Agreements'!$A$6:$K$20,4,FALSE),"")="% of GROSS",F406*K406,IFERROR(VLOOKUP(B406,'Co-Host Agreements'!$A$6:$K$20,4,FALSE),"")="Flat per booking",IFERROR(VLOOKUP(B406,'Co-Host Agreements'!$A$6:$K$20,6,FALSE),0),IFERROR(VLOOKUP(B406,'Co-Host Agreements'!$A$6:$K$20,4,FALSE),"")="Hybrid (Flat + % of NET)",IFERROR(VLOOKUP(B406,'Co-Host Agreements'!$A$6:$K$20,6,FALSE),0)+J406*K406,TRUE,0))</f>
        <v/>
      </c>
      <c r="M406" s="41">
        <f>IF(B406="","",J406-L406)</f>
        <v/>
      </c>
      <c r="N406" s="36" t="n"/>
      <c r="O406" s="36" t="n"/>
    </row>
    <row r="407" ht="16" customHeight="1">
      <c r="A407" s="39" t="n"/>
      <c r="B407" s="36" t="n"/>
      <c r="C407" s="36" t="n"/>
      <c r="D407" s="36" t="n"/>
      <c r="E407" s="36" t="n"/>
      <c r="F407" s="40" t="n"/>
      <c r="G407" s="40" t="n"/>
      <c r="H407" s="40" t="n"/>
      <c r="I407" s="40" t="n"/>
      <c r="J407" s="41">
        <f>IF(F407="","",F407-IF(IFERROR(VLOOKUP(B407,'Co-Host Agreements'!$A$6:$K$20,7,FALSE),"No")="Yes",G407,0)-IF(IFERROR(VLOOKUP(B407,'Co-Host Agreements'!$A$6:$K$20,8,FALSE),"No")="Yes",H407,0)-N(I407))</f>
        <v/>
      </c>
      <c r="K407" s="42">
        <f>IFERROR(VLOOKUP(B407,'Co-Host Agreements'!$A$6:$K$20,5,FALSE),0)</f>
        <v/>
      </c>
      <c r="L407" s="41">
        <f>IF(B407="","",IFS(IFERROR(VLOOKUP(B407,'Co-Host Agreements'!$A$6:$K$20,4,FALSE),"")="% of NET",J407*K407,IFERROR(VLOOKUP(B407,'Co-Host Agreements'!$A$6:$K$20,4,FALSE),"")="% of GROSS",F407*K407,IFERROR(VLOOKUP(B407,'Co-Host Agreements'!$A$6:$K$20,4,FALSE),"")="Flat per booking",IFERROR(VLOOKUP(B407,'Co-Host Agreements'!$A$6:$K$20,6,FALSE),0),IFERROR(VLOOKUP(B407,'Co-Host Agreements'!$A$6:$K$20,4,FALSE),"")="Hybrid (Flat + % of NET)",IFERROR(VLOOKUP(B407,'Co-Host Agreements'!$A$6:$K$20,6,FALSE),0)+J407*K407,TRUE,0))</f>
        <v/>
      </c>
      <c r="M407" s="41">
        <f>IF(B407="","",J407-L407)</f>
        <v/>
      </c>
      <c r="N407" s="36" t="n"/>
      <c r="O407" s="36" t="n"/>
    </row>
    <row r="408" ht="16" customHeight="1">
      <c r="A408" s="39" t="n"/>
      <c r="B408" s="36" t="n"/>
      <c r="C408" s="36" t="n"/>
      <c r="D408" s="36" t="n"/>
      <c r="E408" s="36" t="n"/>
      <c r="F408" s="40" t="n"/>
      <c r="G408" s="40" t="n"/>
      <c r="H408" s="40" t="n"/>
      <c r="I408" s="40" t="n"/>
      <c r="J408" s="41">
        <f>IF(F408="","",F408-IF(IFERROR(VLOOKUP(B408,'Co-Host Agreements'!$A$6:$K$20,7,FALSE),"No")="Yes",G408,0)-IF(IFERROR(VLOOKUP(B408,'Co-Host Agreements'!$A$6:$K$20,8,FALSE),"No")="Yes",H408,0)-N(I408))</f>
        <v/>
      </c>
      <c r="K408" s="42">
        <f>IFERROR(VLOOKUP(B408,'Co-Host Agreements'!$A$6:$K$20,5,FALSE),0)</f>
        <v/>
      </c>
      <c r="L408" s="41">
        <f>IF(B408="","",IFS(IFERROR(VLOOKUP(B408,'Co-Host Agreements'!$A$6:$K$20,4,FALSE),"")="% of NET",J408*K408,IFERROR(VLOOKUP(B408,'Co-Host Agreements'!$A$6:$K$20,4,FALSE),"")="% of GROSS",F408*K408,IFERROR(VLOOKUP(B408,'Co-Host Agreements'!$A$6:$K$20,4,FALSE),"")="Flat per booking",IFERROR(VLOOKUP(B408,'Co-Host Agreements'!$A$6:$K$20,6,FALSE),0),IFERROR(VLOOKUP(B408,'Co-Host Agreements'!$A$6:$K$20,4,FALSE),"")="Hybrid (Flat + % of NET)",IFERROR(VLOOKUP(B408,'Co-Host Agreements'!$A$6:$K$20,6,FALSE),0)+J408*K408,TRUE,0))</f>
        <v/>
      </c>
      <c r="M408" s="41">
        <f>IF(B408="","",J408-L408)</f>
        <v/>
      </c>
      <c r="N408" s="36" t="n"/>
      <c r="O408" s="36" t="n"/>
    </row>
    <row r="409" ht="16" customHeight="1">
      <c r="A409" s="39" t="n"/>
      <c r="B409" s="36" t="n"/>
      <c r="C409" s="36" t="n"/>
      <c r="D409" s="36" t="n"/>
      <c r="E409" s="36" t="n"/>
      <c r="F409" s="40" t="n"/>
      <c r="G409" s="40" t="n"/>
      <c r="H409" s="40" t="n"/>
      <c r="I409" s="40" t="n"/>
      <c r="J409" s="41">
        <f>IF(F409="","",F409-IF(IFERROR(VLOOKUP(B409,'Co-Host Agreements'!$A$6:$K$20,7,FALSE),"No")="Yes",G409,0)-IF(IFERROR(VLOOKUP(B409,'Co-Host Agreements'!$A$6:$K$20,8,FALSE),"No")="Yes",H409,0)-N(I409))</f>
        <v/>
      </c>
      <c r="K409" s="42">
        <f>IFERROR(VLOOKUP(B409,'Co-Host Agreements'!$A$6:$K$20,5,FALSE),0)</f>
        <v/>
      </c>
      <c r="L409" s="41">
        <f>IF(B409="","",IFS(IFERROR(VLOOKUP(B409,'Co-Host Agreements'!$A$6:$K$20,4,FALSE),"")="% of NET",J409*K409,IFERROR(VLOOKUP(B409,'Co-Host Agreements'!$A$6:$K$20,4,FALSE),"")="% of GROSS",F409*K409,IFERROR(VLOOKUP(B409,'Co-Host Agreements'!$A$6:$K$20,4,FALSE),"")="Flat per booking",IFERROR(VLOOKUP(B409,'Co-Host Agreements'!$A$6:$K$20,6,FALSE),0),IFERROR(VLOOKUP(B409,'Co-Host Agreements'!$A$6:$K$20,4,FALSE),"")="Hybrid (Flat + % of NET)",IFERROR(VLOOKUP(B409,'Co-Host Agreements'!$A$6:$K$20,6,FALSE),0)+J409*K409,TRUE,0))</f>
        <v/>
      </c>
      <c r="M409" s="41">
        <f>IF(B409="","",J409-L409)</f>
        <v/>
      </c>
      <c r="N409" s="36" t="n"/>
      <c r="O409" s="36" t="n"/>
    </row>
    <row r="410" ht="16" customHeight="1">
      <c r="A410" s="39" t="n"/>
      <c r="B410" s="36" t="n"/>
      <c r="C410" s="36" t="n"/>
      <c r="D410" s="36" t="n"/>
      <c r="E410" s="36" t="n"/>
      <c r="F410" s="40" t="n"/>
      <c r="G410" s="40" t="n"/>
      <c r="H410" s="40" t="n"/>
      <c r="I410" s="40" t="n"/>
      <c r="J410" s="41">
        <f>IF(F410="","",F410-IF(IFERROR(VLOOKUP(B410,'Co-Host Agreements'!$A$6:$K$20,7,FALSE),"No")="Yes",G410,0)-IF(IFERROR(VLOOKUP(B410,'Co-Host Agreements'!$A$6:$K$20,8,FALSE),"No")="Yes",H410,0)-N(I410))</f>
        <v/>
      </c>
      <c r="K410" s="42">
        <f>IFERROR(VLOOKUP(B410,'Co-Host Agreements'!$A$6:$K$20,5,FALSE),0)</f>
        <v/>
      </c>
      <c r="L410" s="41">
        <f>IF(B410="","",IFS(IFERROR(VLOOKUP(B410,'Co-Host Agreements'!$A$6:$K$20,4,FALSE),"")="% of NET",J410*K410,IFERROR(VLOOKUP(B410,'Co-Host Agreements'!$A$6:$K$20,4,FALSE),"")="% of GROSS",F410*K410,IFERROR(VLOOKUP(B410,'Co-Host Agreements'!$A$6:$K$20,4,FALSE),"")="Flat per booking",IFERROR(VLOOKUP(B410,'Co-Host Agreements'!$A$6:$K$20,6,FALSE),0),IFERROR(VLOOKUP(B410,'Co-Host Agreements'!$A$6:$K$20,4,FALSE),"")="Hybrid (Flat + % of NET)",IFERROR(VLOOKUP(B410,'Co-Host Agreements'!$A$6:$K$20,6,FALSE),0)+J410*K410,TRUE,0))</f>
        <v/>
      </c>
      <c r="M410" s="41">
        <f>IF(B410="","",J410-L410)</f>
        <v/>
      </c>
      <c r="N410" s="36" t="n"/>
      <c r="O410" s="36" t="n"/>
    </row>
    <row r="411" ht="16" customHeight="1">
      <c r="A411" s="39" t="n"/>
      <c r="B411" s="36" t="n"/>
      <c r="C411" s="36" t="n"/>
      <c r="D411" s="36" t="n"/>
      <c r="E411" s="36" t="n"/>
      <c r="F411" s="40" t="n"/>
      <c r="G411" s="40" t="n"/>
      <c r="H411" s="40" t="n"/>
      <c r="I411" s="40" t="n"/>
      <c r="J411" s="41">
        <f>IF(F411="","",F411-IF(IFERROR(VLOOKUP(B411,'Co-Host Agreements'!$A$6:$K$20,7,FALSE),"No")="Yes",G411,0)-IF(IFERROR(VLOOKUP(B411,'Co-Host Agreements'!$A$6:$K$20,8,FALSE),"No")="Yes",H411,0)-N(I411))</f>
        <v/>
      </c>
      <c r="K411" s="42">
        <f>IFERROR(VLOOKUP(B411,'Co-Host Agreements'!$A$6:$K$20,5,FALSE),0)</f>
        <v/>
      </c>
      <c r="L411" s="41">
        <f>IF(B411="","",IFS(IFERROR(VLOOKUP(B411,'Co-Host Agreements'!$A$6:$K$20,4,FALSE),"")="% of NET",J411*K411,IFERROR(VLOOKUP(B411,'Co-Host Agreements'!$A$6:$K$20,4,FALSE),"")="% of GROSS",F411*K411,IFERROR(VLOOKUP(B411,'Co-Host Agreements'!$A$6:$K$20,4,FALSE),"")="Flat per booking",IFERROR(VLOOKUP(B411,'Co-Host Agreements'!$A$6:$K$20,6,FALSE),0),IFERROR(VLOOKUP(B411,'Co-Host Agreements'!$A$6:$K$20,4,FALSE),"")="Hybrid (Flat + % of NET)",IFERROR(VLOOKUP(B411,'Co-Host Agreements'!$A$6:$K$20,6,FALSE),0)+J411*K411,TRUE,0))</f>
        <v/>
      </c>
      <c r="M411" s="41">
        <f>IF(B411="","",J411-L411)</f>
        <v/>
      </c>
      <c r="N411" s="36" t="n"/>
      <c r="O411" s="36" t="n"/>
    </row>
    <row r="412" ht="16" customHeight="1">
      <c r="A412" s="39" t="n"/>
      <c r="B412" s="36" t="n"/>
      <c r="C412" s="36" t="n"/>
      <c r="D412" s="36" t="n"/>
      <c r="E412" s="36" t="n"/>
      <c r="F412" s="40" t="n"/>
      <c r="G412" s="40" t="n"/>
      <c r="H412" s="40" t="n"/>
      <c r="I412" s="40" t="n"/>
      <c r="J412" s="41">
        <f>IF(F412="","",F412-IF(IFERROR(VLOOKUP(B412,'Co-Host Agreements'!$A$6:$K$20,7,FALSE),"No")="Yes",G412,0)-IF(IFERROR(VLOOKUP(B412,'Co-Host Agreements'!$A$6:$K$20,8,FALSE),"No")="Yes",H412,0)-N(I412))</f>
        <v/>
      </c>
      <c r="K412" s="42">
        <f>IFERROR(VLOOKUP(B412,'Co-Host Agreements'!$A$6:$K$20,5,FALSE),0)</f>
        <v/>
      </c>
      <c r="L412" s="41">
        <f>IF(B412="","",IFS(IFERROR(VLOOKUP(B412,'Co-Host Agreements'!$A$6:$K$20,4,FALSE),"")="% of NET",J412*K412,IFERROR(VLOOKUP(B412,'Co-Host Agreements'!$A$6:$K$20,4,FALSE),"")="% of GROSS",F412*K412,IFERROR(VLOOKUP(B412,'Co-Host Agreements'!$A$6:$K$20,4,FALSE),"")="Flat per booking",IFERROR(VLOOKUP(B412,'Co-Host Agreements'!$A$6:$K$20,6,FALSE),0),IFERROR(VLOOKUP(B412,'Co-Host Agreements'!$A$6:$K$20,4,FALSE),"")="Hybrid (Flat + % of NET)",IFERROR(VLOOKUP(B412,'Co-Host Agreements'!$A$6:$K$20,6,FALSE),0)+J412*K412,TRUE,0))</f>
        <v/>
      </c>
      <c r="M412" s="41">
        <f>IF(B412="","",J412-L412)</f>
        <v/>
      </c>
      <c r="N412" s="36" t="n"/>
      <c r="O412" s="36" t="n"/>
    </row>
    <row r="413" ht="16" customHeight="1">
      <c r="A413" s="39" t="n"/>
      <c r="B413" s="36" t="n"/>
      <c r="C413" s="36" t="n"/>
      <c r="D413" s="36" t="n"/>
      <c r="E413" s="36" t="n"/>
      <c r="F413" s="40" t="n"/>
      <c r="G413" s="40" t="n"/>
      <c r="H413" s="40" t="n"/>
      <c r="I413" s="40" t="n"/>
      <c r="J413" s="41">
        <f>IF(F413="","",F413-IF(IFERROR(VLOOKUP(B413,'Co-Host Agreements'!$A$6:$K$20,7,FALSE),"No")="Yes",G413,0)-IF(IFERROR(VLOOKUP(B413,'Co-Host Agreements'!$A$6:$K$20,8,FALSE),"No")="Yes",H413,0)-N(I413))</f>
        <v/>
      </c>
      <c r="K413" s="42">
        <f>IFERROR(VLOOKUP(B413,'Co-Host Agreements'!$A$6:$K$20,5,FALSE),0)</f>
        <v/>
      </c>
      <c r="L413" s="41">
        <f>IF(B413="","",IFS(IFERROR(VLOOKUP(B413,'Co-Host Agreements'!$A$6:$K$20,4,FALSE),"")="% of NET",J413*K413,IFERROR(VLOOKUP(B413,'Co-Host Agreements'!$A$6:$K$20,4,FALSE),"")="% of GROSS",F413*K413,IFERROR(VLOOKUP(B413,'Co-Host Agreements'!$A$6:$K$20,4,FALSE),"")="Flat per booking",IFERROR(VLOOKUP(B413,'Co-Host Agreements'!$A$6:$K$20,6,FALSE),0),IFERROR(VLOOKUP(B413,'Co-Host Agreements'!$A$6:$K$20,4,FALSE),"")="Hybrid (Flat + % of NET)",IFERROR(VLOOKUP(B413,'Co-Host Agreements'!$A$6:$K$20,6,FALSE),0)+J413*K413,TRUE,0))</f>
        <v/>
      </c>
      <c r="M413" s="41">
        <f>IF(B413="","",J413-L413)</f>
        <v/>
      </c>
      <c r="N413" s="36" t="n"/>
      <c r="O413" s="36" t="n"/>
    </row>
    <row r="414" ht="16" customHeight="1">
      <c r="A414" s="39" t="n"/>
      <c r="B414" s="36" t="n"/>
      <c r="C414" s="36" t="n"/>
      <c r="D414" s="36" t="n"/>
      <c r="E414" s="36" t="n"/>
      <c r="F414" s="40" t="n"/>
      <c r="G414" s="40" t="n"/>
      <c r="H414" s="40" t="n"/>
      <c r="I414" s="40" t="n"/>
      <c r="J414" s="41">
        <f>IF(F414="","",F414-IF(IFERROR(VLOOKUP(B414,'Co-Host Agreements'!$A$6:$K$20,7,FALSE),"No")="Yes",G414,0)-IF(IFERROR(VLOOKUP(B414,'Co-Host Agreements'!$A$6:$K$20,8,FALSE),"No")="Yes",H414,0)-N(I414))</f>
        <v/>
      </c>
      <c r="K414" s="42">
        <f>IFERROR(VLOOKUP(B414,'Co-Host Agreements'!$A$6:$K$20,5,FALSE),0)</f>
        <v/>
      </c>
      <c r="L414" s="41">
        <f>IF(B414="","",IFS(IFERROR(VLOOKUP(B414,'Co-Host Agreements'!$A$6:$K$20,4,FALSE),"")="% of NET",J414*K414,IFERROR(VLOOKUP(B414,'Co-Host Agreements'!$A$6:$K$20,4,FALSE),"")="% of GROSS",F414*K414,IFERROR(VLOOKUP(B414,'Co-Host Agreements'!$A$6:$K$20,4,FALSE),"")="Flat per booking",IFERROR(VLOOKUP(B414,'Co-Host Agreements'!$A$6:$K$20,6,FALSE),0),IFERROR(VLOOKUP(B414,'Co-Host Agreements'!$A$6:$K$20,4,FALSE),"")="Hybrid (Flat + % of NET)",IFERROR(VLOOKUP(B414,'Co-Host Agreements'!$A$6:$K$20,6,FALSE),0)+J414*K414,TRUE,0))</f>
        <v/>
      </c>
      <c r="M414" s="41">
        <f>IF(B414="","",J414-L414)</f>
        <v/>
      </c>
      <c r="N414" s="36" t="n"/>
      <c r="O414" s="36" t="n"/>
    </row>
    <row r="415" ht="16" customHeight="1">
      <c r="A415" s="39" t="n"/>
      <c r="B415" s="36" t="n"/>
      <c r="C415" s="36" t="n"/>
      <c r="D415" s="36" t="n"/>
      <c r="E415" s="36" t="n"/>
      <c r="F415" s="40" t="n"/>
      <c r="G415" s="40" t="n"/>
      <c r="H415" s="40" t="n"/>
      <c r="I415" s="40" t="n"/>
      <c r="J415" s="41">
        <f>IF(F415="","",F415-IF(IFERROR(VLOOKUP(B415,'Co-Host Agreements'!$A$6:$K$20,7,FALSE),"No")="Yes",G415,0)-IF(IFERROR(VLOOKUP(B415,'Co-Host Agreements'!$A$6:$K$20,8,FALSE),"No")="Yes",H415,0)-N(I415))</f>
        <v/>
      </c>
      <c r="K415" s="42">
        <f>IFERROR(VLOOKUP(B415,'Co-Host Agreements'!$A$6:$K$20,5,FALSE),0)</f>
        <v/>
      </c>
      <c r="L415" s="41">
        <f>IF(B415="","",IFS(IFERROR(VLOOKUP(B415,'Co-Host Agreements'!$A$6:$K$20,4,FALSE),"")="% of NET",J415*K415,IFERROR(VLOOKUP(B415,'Co-Host Agreements'!$A$6:$K$20,4,FALSE),"")="% of GROSS",F415*K415,IFERROR(VLOOKUP(B415,'Co-Host Agreements'!$A$6:$K$20,4,FALSE),"")="Flat per booking",IFERROR(VLOOKUP(B415,'Co-Host Agreements'!$A$6:$K$20,6,FALSE),0),IFERROR(VLOOKUP(B415,'Co-Host Agreements'!$A$6:$K$20,4,FALSE),"")="Hybrid (Flat + % of NET)",IFERROR(VLOOKUP(B415,'Co-Host Agreements'!$A$6:$K$20,6,FALSE),0)+J415*K415,TRUE,0))</f>
        <v/>
      </c>
      <c r="M415" s="41">
        <f>IF(B415="","",J415-L415)</f>
        <v/>
      </c>
      <c r="N415" s="36" t="n"/>
      <c r="O415" s="36" t="n"/>
    </row>
    <row r="416" ht="16" customHeight="1">
      <c r="A416" s="39" t="n"/>
      <c r="B416" s="36" t="n"/>
      <c r="C416" s="36" t="n"/>
      <c r="D416" s="36" t="n"/>
      <c r="E416" s="36" t="n"/>
      <c r="F416" s="40" t="n"/>
      <c r="G416" s="40" t="n"/>
      <c r="H416" s="40" t="n"/>
      <c r="I416" s="40" t="n"/>
      <c r="J416" s="41">
        <f>IF(F416="","",F416-IF(IFERROR(VLOOKUP(B416,'Co-Host Agreements'!$A$6:$K$20,7,FALSE),"No")="Yes",G416,0)-IF(IFERROR(VLOOKUP(B416,'Co-Host Agreements'!$A$6:$K$20,8,FALSE),"No")="Yes",H416,0)-N(I416))</f>
        <v/>
      </c>
      <c r="K416" s="42">
        <f>IFERROR(VLOOKUP(B416,'Co-Host Agreements'!$A$6:$K$20,5,FALSE),0)</f>
        <v/>
      </c>
      <c r="L416" s="41">
        <f>IF(B416="","",IFS(IFERROR(VLOOKUP(B416,'Co-Host Agreements'!$A$6:$K$20,4,FALSE),"")="% of NET",J416*K416,IFERROR(VLOOKUP(B416,'Co-Host Agreements'!$A$6:$K$20,4,FALSE),"")="% of GROSS",F416*K416,IFERROR(VLOOKUP(B416,'Co-Host Agreements'!$A$6:$K$20,4,FALSE),"")="Flat per booking",IFERROR(VLOOKUP(B416,'Co-Host Agreements'!$A$6:$K$20,6,FALSE),0),IFERROR(VLOOKUP(B416,'Co-Host Agreements'!$A$6:$K$20,4,FALSE),"")="Hybrid (Flat + % of NET)",IFERROR(VLOOKUP(B416,'Co-Host Agreements'!$A$6:$K$20,6,FALSE),0)+J416*K416,TRUE,0))</f>
        <v/>
      </c>
      <c r="M416" s="41">
        <f>IF(B416="","",J416-L416)</f>
        <v/>
      </c>
      <c r="N416" s="36" t="n"/>
      <c r="O416" s="36" t="n"/>
    </row>
    <row r="417" ht="16" customHeight="1">
      <c r="A417" s="39" t="n"/>
      <c r="B417" s="36" t="n"/>
      <c r="C417" s="36" t="n"/>
      <c r="D417" s="36" t="n"/>
      <c r="E417" s="36" t="n"/>
      <c r="F417" s="40" t="n"/>
      <c r="G417" s="40" t="n"/>
      <c r="H417" s="40" t="n"/>
      <c r="I417" s="40" t="n"/>
      <c r="J417" s="41">
        <f>IF(F417="","",F417-IF(IFERROR(VLOOKUP(B417,'Co-Host Agreements'!$A$6:$K$20,7,FALSE),"No")="Yes",G417,0)-IF(IFERROR(VLOOKUP(B417,'Co-Host Agreements'!$A$6:$K$20,8,FALSE),"No")="Yes",H417,0)-N(I417))</f>
        <v/>
      </c>
      <c r="K417" s="42">
        <f>IFERROR(VLOOKUP(B417,'Co-Host Agreements'!$A$6:$K$20,5,FALSE),0)</f>
        <v/>
      </c>
      <c r="L417" s="41">
        <f>IF(B417="","",IFS(IFERROR(VLOOKUP(B417,'Co-Host Agreements'!$A$6:$K$20,4,FALSE),"")="% of NET",J417*K417,IFERROR(VLOOKUP(B417,'Co-Host Agreements'!$A$6:$K$20,4,FALSE),"")="% of GROSS",F417*K417,IFERROR(VLOOKUP(B417,'Co-Host Agreements'!$A$6:$K$20,4,FALSE),"")="Flat per booking",IFERROR(VLOOKUP(B417,'Co-Host Agreements'!$A$6:$K$20,6,FALSE),0),IFERROR(VLOOKUP(B417,'Co-Host Agreements'!$A$6:$K$20,4,FALSE),"")="Hybrid (Flat + % of NET)",IFERROR(VLOOKUP(B417,'Co-Host Agreements'!$A$6:$K$20,6,FALSE),0)+J417*K417,TRUE,0))</f>
        <v/>
      </c>
      <c r="M417" s="41">
        <f>IF(B417="","",J417-L417)</f>
        <v/>
      </c>
      <c r="N417" s="36" t="n"/>
      <c r="O417" s="36" t="n"/>
    </row>
    <row r="418" ht="16" customHeight="1">
      <c r="A418" s="39" t="n"/>
      <c r="B418" s="36" t="n"/>
      <c r="C418" s="36" t="n"/>
      <c r="D418" s="36" t="n"/>
      <c r="E418" s="36" t="n"/>
      <c r="F418" s="40" t="n"/>
      <c r="G418" s="40" t="n"/>
      <c r="H418" s="40" t="n"/>
      <c r="I418" s="40" t="n"/>
      <c r="J418" s="41">
        <f>IF(F418="","",F418-IF(IFERROR(VLOOKUP(B418,'Co-Host Agreements'!$A$6:$K$20,7,FALSE),"No")="Yes",G418,0)-IF(IFERROR(VLOOKUP(B418,'Co-Host Agreements'!$A$6:$K$20,8,FALSE),"No")="Yes",H418,0)-N(I418))</f>
        <v/>
      </c>
      <c r="K418" s="42">
        <f>IFERROR(VLOOKUP(B418,'Co-Host Agreements'!$A$6:$K$20,5,FALSE),0)</f>
        <v/>
      </c>
      <c r="L418" s="41">
        <f>IF(B418="","",IFS(IFERROR(VLOOKUP(B418,'Co-Host Agreements'!$A$6:$K$20,4,FALSE),"")="% of NET",J418*K418,IFERROR(VLOOKUP(B418,'Co-Host Agreements'!$A$6:$K$20,4,FALSE),"")="% of GROSS",F418*K418,IFERROR(VLOOKUP(B418,'Co-Host Agreements'!$A$6:$K$20,4,FALSE),"")="Flat per booking",IFERROR(VLOOKUP(B418,'Co-Host Agreements'!$A$6:$K$20,6,FALSE),0),IFERROR(VLOOKUP(B418,'Co-Host Agreements'!$A$6:$K$20,4,FALSE),"")="Hybrid (Flat + % of NET)",IFERROR(VLOOKUP(B418,'Co-Host Agreements'!$A$6:$K$20,6,FALSE),0)+J418*K418,TRUE,0))</f>
        <v/>
      </c>
      <c r="M418" s="41">
        <f>IF(B418="","",J418-L418)</f>
        <v/>
      </c>
      <c r="N418" s="36" t="n"/>
      <c r="O418" s="36" t="n"/>
    </row>
    <row r="419" ht="16" customHeight="1">
      <c r="A419" s="39" t="n"/>
      <c r="B419" s="36" t="n"/>
      <c r="C419" s="36" t="n"/>
      <c r="D419" s="36" t="n"/>
      <c r="E419" s="36" t="n"/>
      <c r="F419" s="40" t="n"/>
      <c r="G419" s="40" t="n"/>
      <c r="H419" s="40" t="n"/>
      <c r="I419" s="40" t="n"/>
      <c r="J419" s="41">
        <f>IF(F419="","",F419-IF(IFERROR(VLOOKUP(B419,'Co-Host Agreements'!$A$6:$K$20,7,FALSE),"No")="Yes",G419,0)-IF(IFERROR(VLOOKUP(B419,'Co-Host Agreements'!$A$6:$K$20,8,FALSE),"No")="Yes",H419,0)-N(I419))</f>
        <v/>
      </c>
      <c r="K419" s="42">
        <f>IFERROR(VLOOKUP(B419,'Co-Host Agreements'!$A$6:$K$20,5,FALSE),0)</f>
        <v/>
      </c>
      <c r="L419" s="41">
        <f>IF(B419="","",IFS(IFERROR(VLOOKUP(B419,'Co-Host Agreements'!$A$6:$K$20,4,FALSE),"")="% of NET",J419*K419,IFERROR(VLOOKUP(B419,'Co-Host Agreements'!$A$6:$K$20,4,FALSE),"")="% of GROSS",F419*K419,IFERROR(VLOOKUP(B419,'Co-Host Agreements'!$A$6:$K$20,4,FALSE),"")="Flat per booking",IFERROR(VLOOKUP(B419,'Co-Host Agreements'!$A$6:$K$20,6,FALSE),0),IFERROR(VLOOKUP(B419,'Co-Host Agreements'!$A$6:$K$20,4,FALSE),"")="Hybrid (Flat + % of NET)",IFERROR(VLOOKUP(B419,'Co-Host Agreements'!$A$6:$K$20,6,FALSE),0)+J419*K419,TRUE,0))</f>
        <v/>
      </c>
      <c r="M419" s="41">
        <f>IF(B419="","",J419-L419)</f>
        <v/>
      </c>
      <c r="N419" s="36" t="n"/>
      <c r="O419" s="36" t="n"/>
    </row>
    <row r="420" ht="16" customHeight="1">
      <c r="A420" s="39" t="n"/>
      <c r="B420" s="36" t="n"/>
      <c r="C420" s="36" t="n"/>
      <c r="D420" s="36" t="n"/>
      <c r="E420" s="36" t="n"/>
      <c r="F420" s="40" t="n"/>
      <c r="G420" s="40" t="n"/>
      <c r="H420" s="40" t="n"/>
      <c r="I420" s="40" t="n"/>
      <c r="J420" s="41">
        <f>IF(F420="","",F420-IF(IFERROR(VLOOKUP(B420,'Co-Host Agreements'!$A$6:$K$20,7,FALSE),"No")="Yes",G420,0)-IF(IFERROR(VLOOKUP(B420,'Co-Host Agreements'!$A$6:$K$20,8,FALSE),"No")="Yes",H420,0)-N(I420))</f>
        <v/>
      </c>
      <c r="K420" s="42">
        <f>IFERROR(VLOOKUP(B420,'Co-Host Agreements'!$A$6:$K$20,5,FALSE),0)</f>
        <v/>
      </c>
      <c r="L420" s="41">
        <f>IF(B420="","",IFS(IFERROR(VLOOKUP(B420,'Co-Host Agreements'!$A$6:$K$20,4,FALSE),"")="% of NET",J420*K420,IFERROR(VLOOKUP(B420,'Co-Host Agreements'!$A$6:$K$20,4,FALSE),"")="% of GROSS",F420*K420,IFERROR(VLOOKUP(B420,'Co-Host Agreements'!$A$6:$K$20,4,FALSE),"")="Flat per booking",IFERROR(VLOOKUP(B420,'Co-Host Agreements'!$A$6:$K$20,6,FALSE),0),IFERROR(VLOOKUP(B420,'Co-Host Agreements'!$A$6:$K$20,4,FALSE),"")="Hybrid (Flat + % of NET)",IFERROR(VLOOKUP(B420,'Co-Host Agreements'!$A$6:$K$20,6,FALSE),0)+J420*K420,TRUE,0))</f>
        <v/>
      </c>
      <c r="M420" s="41">
        <f>IF(B420="","",J420-L420)</f>
        <v/>
      </c>
      <c r="N420" s="36" t="n"/>
      <c r="O420" s="36" t="n"/>
    </row>
    <row r="421" ht="16" customHeight="1">
      <c r="A421" s="39" t="n"/>
      <c r="B421" s="36" t="n"/>
      <c r="C421" s="36" t="n"/>
      <c r="D421" s="36" t="n"/>
      <c r="E421" s="36" t="n"/>
      <c r="F421" s="40" t="n"/>
      <c r="G421" s="40" t="n"/>
      <c r="H421" s="40" t="n"/>
      <c r="I421" s="40" t="n"/>
      <c r="J421" s="41">
        <f>IF(F421="","",F421-IF(IFERROR(VLOOKUP(B421,'Co-Host Agreements'!$A$6:$K$20,7,FALSE),"No")="Yes",G421,0)-IF(IFERROR(VLOOKUP(B421,'Co-Host Agreements'!$A$6:$K$20,8,FALSE),"No")="Yes",H421,0)-N(I421))</f>
        <v/>
      </c>
      <c r="K421" s="42">
        <f>IFERROR(VLOOKUP(B421,'Co-Host Agreements'!$A$6:$K$20,5,FALSE),0)</f>
        <v/>
      </c>
      <c r="L421" s="41">
        <f>IF(B421="","",IFS(IFERROR(VLOOKUP(B421,'Co-Host Agreements'!$A$6:$K$20,4,FALSE),"")="% of NET",J421*K421,IFERROR(VLOOKUP(B421,'Co-Host Agreements'!$A$6:$K$20,4,FALSE),"")="% of GROSS",F421*K421,IFERROR(VLOOKUP(B421,'Co-Host Agreements'!$A$6:$K$20,4,FALSE),"")="Flat per booking",IFERROR(VLOOKUP(B421,'Co-Host Agreements'!$A$6:$K$20,6,FALSE),0),IFERROR(VLOOKUP(B421,'Co-Host Agreements'!$A$6:$K$20,4,FALSE),"")="Hybrid (Flat + % of NET)",IFERROR(VLOOKUP(B421,'Co-Host Agreements'!$A$6:$K$20,6,FALSE),0)+J421*K421,TRUE,0))</f>
        <v/>
      </c>
      <c r="M421" s="41">
        <f>IF(B421="","",J421-L421)</f>
        <v/>
      </c>
      <c r="N421" s="36" t="n"/>
      <c r="O421" s="36" t="n"/>
    </row>
    <row r="422" ht="16" customHeight="1">
      <c r="A422" s="39" t="n"/>
      <c r="B422" s="36" t="n"/>
      <c r="C422" s="36" t="n"/>
      <c r="D422" s="36" t="n"/>
      <c r="E422" s="36" t="n"/>
      <c r="F422" s="40" t="n"/>
      <c r="G422" s="40" t="n"/>
      <c r="H422" s="40" t="n"/>
      <c r="I422" s="40" t="n"/>
      <c r="J422" s="41">
        <f>IF(F422="","",F422-IF(IFERROR(VLOOKUP(B422,'Co-Host Agreements'!$A$6:$K$20,7,FALSE),"No")="Yes",G422,0)-IF(IFERROR(VLOOKUP(B422,'Co-Host Agreements'!$A$6:$K$20,8,FALSE),"No")="Yes",H422,0)-N(I422))</f>
        <v/>
      </c>
      <c r="K422" s="42">
        <f>IFERROR(VLOOKUP(B422,'Co-Host Agreements'!$A$6:$K$20,5,FALSE),0)</f>
        <v/>
      </c>
      <c r="L422" s="41">
        <f>IF(B422="","",IFS(IFERROR(VLOOKUP(B422,'Co-Host Agreements'!$A$6:$K$20,4,FALSE),"")="% of NET",J422*K422,IFERROR(VLOOKUP(B422,'Co-Host Agreements'!$A$6:$K$20,4,FALSE),"")="% of GROSS",F422*K422,IFERROR(VLOOKUP(B422,'Co-Host Agreements'!$A$6:$K$20,4,FALSE),"")="Flat per booking",IFERROR(VLOOKUP(B422,'Co-Host Agreements'!$A$6:$K$20,6,FALSE),0),IFERROR(VLOOKUP(B422,'Co-Host Agreements'!$A$6:$K$20,4,FALSE),"")="Hybrid (Flat + % of NET)",IFERROR(VLOOKUP(B422,'Co-Host Agreements'!$A$6:$K$20,6,FALSE),0)+J422*K422,TRUE,0))</f>
        <v/>
      </c>
      <c r="M422" s="41">
        <f>IF(B422="","",J422-L422)</f>
        <v/>
      </c>
      <c r="N422" s="36" t="n"/>
      <c r="O422" s="36" t="n"/>
    </row>
    <row r="423" ht="16" customHeight="1">
      <c r="A423" s="39" t="n"/>
      <c r="B423" s="36" t="n"/>
      <c r="C423" s="36" t="n"/>
      <c r="D423" s="36" t="n"/>
      <c r="E423" s="36" t="n"/>
      <c r="F423" s="40" t="n"/>
      <c r="G423" s="40" t="n"/>
      <c r="H423" s="40" t="n"/>
      <c r="I423" s="40" t="n"/>
      <c r="J423" s="41">
        <f>IF(F423="","",F423-IF(IFERROR(VLOOKUP(B423,'Co-Host Agreements'!$A$6:$K$20,7,FALSE),"No")="Yes",G423,0)-IF(IFERROR(VLOOKUP(B423,'Co-Host Agreements'!$A$6:$K$20,8,FALSE),"No")="Yes",H423,0)-N(I423))</f>
        <v/>
      </c>
      <c r="K423" s="42">
        <f>IFERROR(VLOOKUP(B423,'Co-Host Agreements'!$A$6:$K$20,5,FALSE),0)</f>
        <v/>
      </c>
      <c r="L423" s="41">
        <f>IF(B423="","",IFS(IFERROR(VLOOKUP(B423,'Co-Host Agreements'!$A$6:$K$20,4,FALSE),"")="% of NET",J423*K423,IFERROR(VLOOKUP(B423,'Co-Host Agreements'!$A$6:$K$20,4,FALSE),"")="% of GROSS",F423*K423,IFERROR(VLOOKUP(B423,'Co-Host Agreements'!$A$6:$K$20,4,FALSE),"")="Flat per booking",IFERROR(VLOOKUP(B423,'Co-Host Agreements'!$A$6:$K$20,6,FALSE),0),IFERROR(VLOOKUP(B423,'Co-Host Agreements'!$A$6:$K$20,4,FALSE),"")="Hybrid (Flat + % of NET)",IFERROR(VLOOKUP(B423,'Co-Host Agreements'!$A$6:$K$20,6,FALSE),0)+J423*K423,TRUE,0))</f>
        <v/>
      </c>
      <c r="M423" s="41">
        <f>IF(B423="","",J423-L423)</f>
        <v/>
      </c>
      <c r="N423" s="36" t="n"/>
      <c r="O423" s="36" t="n"/>
    </row>
    <row r="424" ht="16" customHeight="1">
      <c r="A424" s="39" t="n"/>
      <c r="B424" s="36" t="n"/>
      <c r="C424" s="36" t="n"/>
      <c r="D424" s="36" t="n"/>
      <c r="E424" s="36" t="n"/>
      <c r="F424" s="40" t="n"/>
      <c r="G424" s="40" t="n"/>
      <c r="H424" s="40" t="n"/>
      <c r="I424" s="40" t="n"/>
      <c r="J424" s="41">
        <f>IF(F424="","",F424-IF(IFERROR(VLOOKUP(B424,'Co-Host Agreements'!$A$6:$K$20,7,FALSE),"No")="Yes",G424,0)-IF(IFERROR(VLOOKUP(B424,'Co-Host Agreements'!$A$6:$K$20,8,FALSE),"No")="Yes",H424,0)-N(I424))</f>
        <v/>
      </c>
      <c r="K424" s="42">
        <f>IFERROR(VLOOKUP(B424,'Co-Host Agreements'!$A$6:$K$20,5,FALSE),0)</f>
        <v/>
      </c>
      <c r="L424" s="41">
        <f>IF(B424="","",IFS(IFERROR(VLOOKUP(B424,'Co-Host Agreements'!$A$6:$K$20,4,FALSE),"")="% of NET",J424*K424,IFERROR(VLOOKUP(B424,'Co-Host Agreements'!$A$6:$K$20,4,FALSE),"")="% of GROSS",F424*K424,IFERROR(VLOOKUP(B424,'Co-Host Agreements'!$A$6:$K$20,4,FALSE),"")="Flat per booking",IFERROR(VLOOKUP(B424,'Co-Host Agreements'!$A$6:$K$20,6,FALSE),0),IFERROR(VLOOKUP(B424,'Co-Host Agreements'!$A$6:$K$20,4,FALSE),"")="Hybrid (Flat + % of NET)",IFERROR(VLOOKUP(B424,'Co-Host Agreements'!$A$6:$K$20,6,FALSE),0)+J424*K424,TRUE,0))</f>
        <v/>
      </c>
      <c r="M424" s="41">
        <f>IF(B424="","",J424-L424)</f>
        <v/>
      </c>
      <c r="N424" s="36" t="n"/>
      <c r="O424" s="36" t="n"/>
    </row>
    <row r="425" ht="16" customHeight="1">
      <c r="A425" s="39" t="n"/>
      <c r="B425" s="36" t="n"/>
      <c r="C425" s="36" t="n"/>
      <c r="D425" s="36" t="n"/>
      <c r="E425" s="36" t="n"/>
      <c r="F425" s="40" t="n"/>
      <c r="G425" s="40" t="n"/>
      <c r="H425" s="40" t="n"/>
      <c r="I425" s="40" t="n"/>
      <c r="J425" s="41">
        <f>IF(F425="","",F425-IF(IFERROR(VLOOKUP(B425,'Co-Host Agreements'!$A$6:$K$20,7,FALSE),"No")="Yes",G425,0)-IF(IFERROR(VLOOKUP(B425,'Co-Host Agreements'!$A$6:$K$20,8,FALSE),"No")="Yes",H425,0)-N(I425))</f>
        <v/>
      </c>
      <c r="K425" s="42">
        <f>IFERROR(VLOOKUP(B425,'Co-Host Agreements'!$A$6:$K$20,5,FALSE),0)</f>
        <v/>
      </c>
      <c r="L425" s="41">
        <f>IF(B425="","",IFS(IFERROR(VLOOKUP(B425,'Co-Host Agreements'!$A$6:$K$20,4,FALSE),"")="% of NET",J425*K425,IFERROR(VLOOKUP(B425,'Co-Host Agreements'!$A$6:$K$20,4,FALSE),"")="% of GROSS",F425*K425,IFERROR(VLOOKUP(B425,'Co-Host Agreements'!$A$6:$K$20,4,FALSE),"")="Flat per booking",IFERROR(VLOOKUP(B425,'Co-Host Agreements'!$A$6:$K$20,6,FALSE),0),IFERROR(VLOOKUP(B425,'Co-Host Agreements'!$A$6:$K$20,4,FALSE),"")="Hybrid (Flat + % of NET)",IFERROR(VLOOKUP(B425,'Co-Host Agreements'!$A$6:$K$20,6,FALSE),0)+J425*K425,TRUE,0))</f>
        <v/>
      </c>
      <c r="M425" s="41">
        <f>IF(B425="","",J425-L425)</f>
        <v/>
      </c>
      <c r="N425" s="36" t="n"/>
      <c r="O425" s="36" t="n"/>
    </row>
    <row r="426" ht="16" customHeight="1">
      <c r="A426" s="39" t="n"/>
      <c r="B426" s="36" t="n"/>
      <c r="C426" s="36" t="n"/>
      <c r="D426" s="36" t="n"/>
      <c r="E426" s="36" t="n"/>
      <c r="F426" s="40" t="n"/>
      <c r="G426" s="40" t="n"/>
      <c r="H426" s="40" t="n"/>
      <c r="I426" s="40" t="n"/>
      <c r="J426" s="41">
        <f>IF(F426="","",F426-IF(IFERROR(VLOOKUP(B426,'Co-Host Agreements'!$A$6:$K$20,7,FALSE),"No")="Yes",G426,0)-IF(IFERROR(VLOOKUP(B426,'Co-Host Agreements'!$A$6:$K$20,8,FALSE),"No")="Yes",H426,0)-N(I426))</f>
        <v/>
      </c>
      <c r="K426" s="42">
        <f>IFERROR(VLOOKUP(B426,'Co-Host Agreements'!$A$6:$K$20,5,FALSE),0)</f>
        <v/>
      </c>
      <c r="L426" s="41">
        <f>IF(B426="","",IFS(IFERROR(VLOOKUP(B426,'Co-Host Agreements'!$A$6:$K$20,4,FALSE),"")="% of NET",J426*K426,IFERROR(VLOOKUP(B426,'Co-Host Agreements'!$A$6:$K$20,4,FALSE),"")="% of GROSS",F426*K426,IFERROR(VLOOKUP(B426,'Co-Host Agreements'!$A$6:$K$20,4,FALSE),"")="Flat per booking",IFERROR(VLOOKUP(B426,'Co-Host Agreements'!$A$6:$K$20,6,FALSE),0),IFERROR(VLOOKUP(B426,'Co-Host Agreements'!$A$6:$K$20,4,FALSE),"")="Hybrid (Flat + % of NET)",IFERROR(VLOOKUP(B426,'Co-Host Agreements'!$A$6:$K$20,6,FALSE),0)+J426*K426,TRUE,0))</f>
        <v/>
      </c>
      <c r="M426" s="41">
        <f>IF(B426="","",J426-L426)</f>
        <v/>
      </c>
      <c r="N426" s="36" t="n"/>
      <c r="O426" s="36" t="n"/>
    </row>
    <row r="427" ht="16" customHeight="1">
      <c r="A427" s="39" t="n"/>
      <c r="B427" s="36" t="n"/>
      <c r="C427" s="36" t="n"/>
      <c r="D427" s="36" t="n"/>
      <c r="E427" s="36" t="n"/>
      <c r="F427" s="40" t="n"/>
      <c r="G427" s="40" t="n"/>
      <c r="H427" s="40" t="n"/>
      <c r="I427" s="40" t="n"/>
      <c r="J427" s="41">
        <f>IF(F427="","",F427-IF(IFERROR(VLOOKUP(B427,'Co-Host Agreements'!$A$6:$K$20,7,FALSE),"No")="Yes",G427,0)-IF(IFERROR(VLOOKUP(B427,'Co-Host Agreements'!$A$6:$K$20,8,FALSE),"No")="Yes",H427,0)-N(I427))</f>
        <v/>
      </c>
      <c r="K427" s="42">
        <f>IFERROR(VLOOKUP(B427,'Co-Host Agreements'!$A$6:$K$20,5,FALSE),0)</f>
        <v/>
      </c>
      <c r="L427" s="41">
        <f>IF(B427="","",IFS(IFERROR(VLOOKUP(B427,'Co-Host Agreements'!$A$6:$K$20,4,FALSE),"")="% of NET",J427*K427,IFERROR(VLOOKUP(B427,'Co-Host Agreements'!$A$6:$K$20,4,FALSE),"")="% of GROSS",F427*K427,IFERROR(VLOOKUP(B427,'Co-Host Agreements'!$A$6:$K$20,4,FALSE),"")="Flat per booking",IFERROR(VLOOKUP(B427,'Co-Host Agreements'!$A$6:$K$20,6,FALSE),0),IFERROR(VLOOKUP(B427,'Co-Host Agreements'!$A$6:$K$20,4,FALSE),"")="Hybrid (Flat + % of NET)",IFERROR(VLOOKUP(B427,'Co-Host Agreements'!$A$6:$K$20,6,FALSE),0)+J427*K427,TRUE,0))</f>
        <v/>
      </c>
      <c r="M427" s="41">
        <f>IF(B427="","",J427-L427)</f>
        <v/>
      </c>
      <c r="N427" s="36" t="n"/>
      <c r="O427" s="36" t="n"/>
    </row>
    <row r="428" ht="16" customHeight="1">
      <c r="A428" s="39" t="n"/>
      <c r="B428" s="36" t="n"/>
      <c r="C428" s="36" t="n"/>
      <c r="D428" s="36" t="n"/>
      <c r="E428" s="36" t="n"/>
      <c r="F428" s="40" t="n"/>
      <c r="G428" s="40" t="n"/>
      <c r="H428" s="40" t="n"/>
      <c r="I428" s="40" t="n"/>
      <c r="J428" s="41">
        <f>IF(F428="","",F428-IF(IFERROR(VLOOKUP(B428,'Co-Host Agreements'!$A$6:$K$20,7,FALSE),"No")="Yes",G428,0)-IF(IFERROR(VLOOKUP(B428,'Co-Host Agreements'!$A$6:$K$20,8,FALSE),"No")="Yes",H428,0)-N(I428))</f>
        <v/>
      </c>
      <c r="K428" s="42">
        <f>IFERROR(VLOOKUP(B428,'Co-Host Agreements'!$A$6:$K$20,5,FALSE),0)</f>
        <v/>
      </c>
      <c r="L428" s="41">
        <f>IF(B428="","",IFS(IFERROR(VLOOKUP(B428,'Co-Host Agreements'!$A$6:$K$20,4,FALSE),"")="% of NET",J428*K428,IFERROR(VLOOKUP(B428,'Co-Host Agreements'!$A$6:$K$20,4,FALSE),"")="% of GROSS",F428*K428,IFERROR(VLOOKUP(B428,'Co-Host Agreements'!$A$6:$K$20,4,FALSE),"")="Flat per booking",IFERROR(VLOOKUP(B428,'Co-Host Agreements'!$A$6:$K$20,6,FALSE),0),IFERROR(VLOOKUP(B428,'Co-Host Agreements'!$A$6:$K$20,4,FALSE),"")="Hybrid (Flat + % of NET)",IFERROR(VLOOKUP(B428,'Co-Host Agreements'!$A$6:$K$20,6,FALSE),0)+J428*K428,TRUE,0))</f>
        <v/>
      </c>
      <c r="M428" s="41">
        <f>IF(B428="","",J428-L428)</f>
        <v/>
      </c>
      <c r="N428" s="36" t="n"/>
      <c r="O428" s="36" t="n"/>
    </row>
    <row r="429" ht="16" customHeight="1">
      <c r="A429" s="39" t="n"/>
      <c r="B429" s="36" t="n"/>
      <c r="C429" s="36" t="n"/>
      <c r="D429" s="36" t="n"/>
      <c r="E429" s="36" t="n"/>
      <c r="F429" s="40" t="n"/>
      <c r="G429" s="40" t="n"/>
      <c r="H429" s="40" t="n"/>
      <c r="I429" s="40" t="n"/>
      <c r="J429" s="41">
        <f>IF(F429="","",F429-IF(IFERROR(VLOOKUP(B429,'Co-Host Agreements'!$A$6:$K$20,7,FALSE),"No")="Yes",G429,0)-IF(IFERROR(VLOOKUP(B429,'Co-Host Agreements'!$A$6:$K$20,8,FALSE),"No")="Yes",H429,0)-N(I429))</f>
        <v/>
      </c>
      <c r="K429" s="42">
        <f>IFERROR(VLOOKUP(B429,'Co-Host Agreements'!$A$6:$K$20,5,FALSE),0)</f>
        <v/>
      </c>
      <c r="L429" s="41">
        <f>IF(B429="","",IFS(IFERROR(VLOOKUP(B429,'Co-Host Agreements'!$A$6:$K$20,4,FALSE),"")="% of NET",J429*K429,IFERROR(VLOOKUP(B429,'Co-Host Agreements'!$A$6:$K$20,4,FALSE),"")="% of GROSS",F429*K429,IFERROR(VLOOKUP(B429,'Co-Host Agreements'!$A$6:$K$20,4,FALSE),"")="Flat per booking",IFERROR(VLOOKUP(B429,'Co-Host Agreements'!$A$6:$K$20,6,FALSE),0),IFERROR(VLOOKUP(B429,'Co-Host Agreements'!$A$6:$K$20,4,FALSE),"")="Hybrid (Flat + % of NET)",IFERROR(VLOOKUP(B429,'Co-Host Agreements'!$A$6:$K$20,6,FALSE),0)+J429*K429,TRUE,0))</f>
        <v/>
      </c>
      <c r="M429" s="41">
        <f>IF(B429="","",J429-L429)</f>
        <v/>
      </c>
      <c r="N429" s="36" t="n"/>
      <c r="O429" s="36" t="n"/>
    </row>
    <row r="430" ht="16" customHeight="1">
      <c r="A430" s="39" t="n"/>
      <c r="B430" s="36" t="n"/>
      <c r="C430" s="36" t="n"/>
      <c r="D430" s="36" t="n"/>
      <c r="E430" s="36" t="n"/>
      <c r="F430" s="40" t="n"/>
      <c r="G430" s="40" t="n"/>
      <c r="H430" s="40" t="n"/>
      <c r="I430" s="40" t="n"/>
      <c r="J430" s="41">
        <f>IF(F430="","",F430-IF(IFERROR(VLOOKUP(B430,'Co-Host Agreements'!$A$6:$K$20,7,FALSE),"No")="Yes",G430,0)-IF(IFERROR(VLOOKUP(B430,'Co-Host Agreements'!$A$6:$K$20,8,FALSE),"No")="Yes",H430,0)-N(I430))</f>
        <v/>
      </c>
      <c r="K430" s="42">
        <f>IFERROR(VLOOKUP(B430,'Co-Host Agreements'!$A$6:$K$20,5,FALSE),0)</f>
        <v/>
      </c>
      <c r="L430" s="41">
        <f>IF(B430="","",IFS(IFERROR(VLOOKUP(B430,'Co-Host Agreements'!$A$6:$K$20,4,FALSE),"")="% of NET",J430*K430,IFERROR(VLOOKUP(B430,'Co-Host Agreements'!$A$6:$K$20,4,FALSE),"")="% of GROSS",F430*K430,IFERROR(VLOOKUP(B430,'Co-Host Agreements'!$A$6:$K$20,4,FALSE),"")="Flat per booking",IFERROR(VLOOKUP(B430,'Co-Host Agreements'!$A$6:$K$20,6,FALSE),0),IFERROR(VLOOKUP(B430,'Co-Host Agreements'!$A$6:$K$20,4,FALSE),"")="Hybrid (Flat + % of NET)",IFERROR(VLOOKUP(B430,'Co-Host Agreements'!$A$6:$K$20,6,FALSE),0)+J430*K430,TRUE,0))</f>
        <v/>
      </c>
      <c r="M430" s="41">
        <f>IF(B430="","",J430-L430)</f>
        <v/>
      </c>
      <c r="N430" s="36" t="n"/>
      <c r="O430" s="36" t="n"/>
    </row>
    <row r="431" ht="16" customHeight="1">
      <c r="A431" s="39" t="n"/>
      <c r="B431" s="36" t="n"/>
      <c r="C431" s="36" t="n"/>
      <c r="D431" s="36" t="n"/>
      <c r="E431" s="36" t="n"/>
      <c r="F431" s="40" t="n"/>
      <c r="G431" s="40" t="n"/>
      <c r="H431" s="40" t="n"/>
      <c r="I431" s="40" t="n"/>
      <c r="J431" s="41">
        <f>IF(F431="","",F431-IF(IFERROR(VLOOKUP(B431,'Co-Host Agreements'!$A$6:$K$20,7,FALSE),"No")="Yes",G431,0)-IF(IFERROR(VLOOKUP(B431,'Co-Host Agreements'!$A$6:$K$20,8,FALSE),"No")="Yes",H431,0)-N(I431))</f>
        <v/>
      </c>
      <c r="K431" s="42">
        <f>IFERROR(VLOOKUP(B431,'Co-Host Agreements'!$A$6:$K$20,5,FALSE),0)</f>
        <v/>
      </c>
      <c r="L431" s="41">
        <f>IF(B431="","",IFS(IFERROR(VLOOKUP(B431,'Co-Host Agreements'!$A$6:$K$20,4,FALSE),"")="% of NET",J431*K431,IFERROR(VLOOKUP(B431,'Co-Host Agreements'!$A$6:$K$20,4,FALSE),"")="% of GROSS",F431*K431,IFERROR(VLOOKUP(B431,'Co-Host Agreements'!$A$6:$K$20,4,FALSE),"")="Flat per booking",IFERROR(VLOOKUP(B431,'Co-Host Agreements'!$A$6:$K$20,6,FALSE),0),IFERROR(VLOOKUP(B431,'Co-Host Agreements'!$A$6:$K$20,4,FALSE),"")="Hybrid (Flat + % of NET)",IFERROR(VLOOKUP(B431,'Co-Host Agreements'!$A$6:$K$20,6,FALSE),0)+J431*K431,TRUE,0))</f>
        <v/>
      </c>
      <c r="M431" s="41">
        <f>IF(B431="","",J431-L431)</f>
        <v/>
      </c>
      <c r="N431" s="36" t="n"/>
      <c r="O431" s="36" t="n"/>
    </row>
    <row r="432" ht="16" customHeight="1">
      <c r="A432" s="39" t="n"/>
      <c r="B432" s="36" t="n"/>
      <c r="C432" s="36" t="n"/>
      <c r="D432" s="36" t="n"/>
      <c r="E432" s="36" t="n"/>
      <c r="F432" s="40" t="n"/>
      <c r="G432" s="40" t="n"/>
      <c r="H432" s="40" t="n"/>
      <c r="I432" s="40" t="n"/>
      <c r="J432" s="41">
        <f>IF(F432="","",F432-IF(IFERROR(VLOOKUP(B432,'Co-Host Agreements'!$A$6:$K$20,7,FALSE),"No")="Yes",G432,0)-IF(IFERROR(VLOOKUP(B432,'Co-Host Agreements'!$A$6:$K$20,8,FALSE),"No")="Yes",H432,0)-N(I432))</f>
        <v/>
      </c>
      <c r="K432" s="42">
        <f>IFERROR(VLOOKUP(B432,'Co-Host Agreements'!$A$6:$K$20,5,FALSE),0)</f>
        <v/>
      </c>
      <c r="L432" s="41">
        <f>IF(B432="","",IFS(IFERROR(VLOOKUP(B432,'Co-Host Agreements'!$A$6:$K$20,4,FALSE),"")="% of NET",J432*K432,IFERROR(VLOOKUP(B432,'Co-Host Agreements'!$A$6:$K$20,4,FALSE),"")="% of GROSS",F432*K432,IFERROR(VLOOKUP(B432,'Co-Host Agreements'!$A$6:$K$20,4,FALSE),"")="Flat per booking",IFERROR(VLOOKUP(B432,'Co-Host Agreements'!$A$6:$K$20,6,FALSE),0),IFERROR(VLOOKUP(B432,'Co-Host Agreements'!$A$6:$K$20,4,FALSE),"")="Hybrid (Flat + % of NET)",IFERROR(VLOOKUP(B432,'Co-Host Agreements'!$A$6:$K$20,6,FALSE),0)+J432*K432,TRUE,0))</f>
        <v/>
      </c>
      <c r="M432" s="41">
        <f>IF(B432="","",J432-L432)</f>
        <v/>
      </c>
      <c r="N432" s="36" t="n"/>
      <c r="O432" s="36" t="n"/>
    </row>
    <row r="433" ht="16" customHeight="1">
      <c r="A433" s="39" t="n"/>
      <c r="B433" s="36" t="n"/>
      <c r="C433" s="36" t="n"/>
      <c r="D433" s="36" t="n"/>
      <c r="E433" s="36" t="n"/>
      <c r="F433" s="40" t="n"/>
      <c r="G433" s="40" t="n"/>
      <c r="H433" s="40" t="n"/>
      <c r="I433" s="40" t="n"/>
      <c r="J433" s="41">
        <f>IF(F433="","",F433-IF(IFERROR(VLOOKUP(B433,'Co-Host Agreements'!$A$6:$K$20,7,FALSE),"No")="Yes",G433,0)-IF(IFERROR(VLOOKUP(B433,'Co-Host Agreements'!$A$6:$K$20,8,FALSE),"No")="Yes",H433,0)-N(I433))</f>
        <v/>
      </c>
      <c r="K433" s="42">
        <f>IFERROR(VLOOKUP(B433,'Co-Host Agreements'!$A$6:$K$20,5,FALSE),0)</f>
        <v/>
      </c>
      <c r="L433" s="41">
        <f>IF(B433="","",IFS(IFERROR(VLOOKUP(B433,'Co-Host Agreements'!$A$6:$K$20,4,FALSE),"")="% of NET",J433*K433,IFERROR(VLOOKUP(B433,'Co-Host Agreements'!$A$6:$K$20,4,FALSE),"")="% of GROSS",F433*K433,IFERROR(VLOOKUP(B433,'Co-Host Agreements'!$A$6:$K$20,4,FALSE),"")="Flat per booking",IFERROR(VLOOKUP(B433,'Co-Host Agreements'!$A$6:$K$20,6,FALSE),0),IFERROR(VLOOKUP(B433,'Co-Host Agreements'!$A$6:$K$20,4,FALSE),"")="Hybrid (Flat + % of NET)",IFERROR(VLOOKUP(B433,'Co-Host Agreements'!$A$6:$K$20,6,FALSE),0)+J433*K433,TRUE,0))</f>
        <v/>
      </c>
      <c r="M433" s="41">
        <f>IF(B433="","",J433-L433)</f>
        <v/>
      </c>
      <c r="N433" s="36" t="n"/>
      <c r="O433" s="36" t="n"/>
    </row>
    <row r="434" ht="16" customHeight="1">
      <c r="A434" s="39" t="n"/>
      <c r="B434" s="36" t="n"/>
      <c r="C434" s="36" t="n"/>
      <c r="D434" s="36" t="n"/>
      <c r="E434" s="36" t="n"/>
      <c r="F434" s="40" t="n"/>
      <c r="G434" s="40" t="n"/>
      <c r="H434" s="40" t="n"/>
      <c r="I434" s="40" t="n"/>
      <c r="J434" s="41">
        <f>IF(F434="","",F434-IF(IFERROR(VLOOKUP(B434,'Co-Host Agreements'!$A$6:$K$20,7,FALSE),"No")="Yes",G434,0)-IF(IFERROR(VLOOKUP(B434,'Co-Host Agreements'!$A$6:$K$20,8,FALSE),"No")="Yes",H434,0)-N(I434))</f>
        <v/>
      </c>
      <c r="K434" s="42">
        <f>IFERROR(VLOOKUP(B434,'Co-Host Agreements'!$A$6:$K$20,5,FALSE),0)</f>
        <v/>
      </c>
      <c r="L434" s="41">
        <f>IF(B434="","",IFS(IFERROR(VLOOKUP(B434,'Co-Host Agreements'!$A$6:$K$20,4,FALSE),"")="% of NET",J434*K434,IFERROR(VLOOKUP(B434,'Co-Host Agreements'!$A$6:$K$20,4,FALSE),"")="% of GROSS",F434*K434,IFERROR(VLOOKUP(B434,'Co-Host Agreements'!$A$6:$K$20,4,FALSE),"")="Flat per booking",IFERROR(VLOOKUP(B434,'Co-Host Agreements'!$A$6:$K$20,6,FALSE),0),IFERROR(VLOOKUP(B434,'Co-Host Agreements'!$A$6:$K$20,4,FALSE),"")="Hybrid (Flat + % of NET)",IFERROR(VLOOKUP(B434,'Co-Host Agreements'!$A$6:$K$20,6,FALSE),0)+J434*K434,TRUE,0))</f>
        <v/>
      </c>
      <c r="M434" s="41">
        <f>IF(B434="","",J434-L434)</f>
        <v/>
      </c>
      <c r="N434" s="36" t="n"/>
      <c r="O434" s="36" t="n"/>
    </row>
    <row r="435" ht="16" customHeight="1">
      <c r="A435" s="39" t="n"/>
      <c r="B435" s="36" t="n"/>
      <c r="C435" s="36" t="n"/>
      <c r="D435" s="36" t="n"/>
      <c r="E435" s="36" t="n"/>
      <c r="F435" s="40" t="n"/>
      <c r="G435" s="40" t="n"/>
      <c r="H435" s="40" t="n"/>
      <c r="I435" s="40" t="n"/>
      <c r="J435" s="41">
        <f>IF(F435="","",F435-IF(IFERROR(VLOOKUP(B435,'Co-Host Agreements'!$A$6:$K$20,7,FALSE),"No")="Yes",G435,0)-IF(IFERROR(VLOOKUP(B435,'Co-Host Agreements'!$A$6:$K$20,8,FALSE),"No")="Yes",H435,0)-N(I435))</f>
        <v/>
      </c>
      <c r="K435" s="42">
        <f>IFERROR(VLOOKUP(B435,'Co-Host Agreements'!$A$6:$K$20,5,FALSE),0)</f>
        <v/>
      </c>
      <c r="L435" s="41">
        <f>IF(B435="","",IFS(IFERROR(VLOOKUP(B435,'Co-Host Agreements'!$A$6:$K$20,4,FALSE),"")="% of NET",J435*K435,IFERROR(VLOOKUP(B435,'Co-Host Agreements'!$A$6:$K$20,4,FALSE),"")="% of GROSS",F435*K435,IFERROR(VLOOKUP(B435,'Co-Host Agreements'!$A$6:$K$20,4,FALSE),"")="Flat per booking",IFERROR(VLOOKUP(B435,'Co-Host Agreements'!$A$6:$K$20,6,FALSE),0),IFERROR(VLOOKUP(B435,'Co-Host Agreements'!$A$6:$K$20,4,FALSE),"")="Hybrid (Flat + % of NET)",IFERROR(VLOOKUP(B435,'Co-Host Agreements'!$A$6:$K$20,6,FALSE),0)+J435*K435,TRUE,0))</f>
        <v/>
      </c>
      <c r="M435" s="41">
        <f>IF(B435="","",J435-L435)</f>
        <v/>
      </c>
      <c r="N435" s="36" t="n"/>
      <c r="O435" s="36" t="n"/>
    </row>
    <row r="436" ht="16" customHeight="1">
      <c r="A436" s="39" t="n"/>
      <c r="B436" s="36" t="n"/>
      <c r="C436" s="36" t="n"/>
      <c r="D436" s="36" t="n"/>
      <c r="E436" s="36" t="n"/>
      <c r="F436" s="40" t="n"/>
      <c r="G436" s="40" t="n"/>
      <c r="H436" s="40" t="n"/>
      <c r="I436" s="40" t="n"/>
      <c r="J436" s="41">
        <f>IF(F436="","",F436-IF(IFERROR(VLOOKUP(B436,'Co-Host Agreements'!$A$6:$K$20,7,FALSE),"No")="Yes",G436,0)-IF(IFERROR(VLOOKUP(B436,'Co-Host Agreements'!$A$6:$K$20,8,FALSE),"No")="Yes",H436,0)-N(I436))</f>
        <v/>
      </c>
      <c r="K436" s="42">
        <f>IFERROR(VLOOKUP(B436,'Co-Host Agreements'!$A$6:$K$20,5,FALSE),0)</f>
        <v/>
      </c>
      <c r="L436" s="41">
        <f>IF(B436="","",IFS(IFERROR(VLOOKUP(B436,'Co-Host Agreements'!$A$6:$K$20,4,FALSE),"")="% of NET",J436*K436,IFERROR(VLOOKUP(B436,'Co-Host Agreements'!$A$6:$K$20,4,FALSE),"")="% of GROSS",F436*K436,IFERROR(VLOOKUP(B436,'Co-Host Agreements'!$A$6:$K$20,4,FALSE),"")="Flat per booking",IFERROR(VLOOKUP(B436,'Co-Host Agreements'!$A$6:$K$20,6,FALSE),0),IFERROR(VLOOKUP(B436,'Co-Host Agreements'!$A$6:$K$20,4,FALSE),"")="Hybrid (Flat + % of NET)",IFERROR(VLOOKUP(B436,'Co-Host Agreements'!$A$6:$K$20,6,FALSE),0)+J436*K436,TRUE,0))</f>
        <v/>
      </c>
      <c r="M436" s="41">
        <f>IF(B436="","",J436-L436)</f>
        <v/>
      </c>
      <c r="N436" s="36" t="n"/>
      <c r="O436" s="36" t="n"/>
    </row>
    <row r="437" ht="16" customHeight="1">
      <c r="A437" s="39" t="n"/>
      <c r="B437" s="36" t="n"/>
      <c r="C437" s="36" t="n"/>
      <c r="D437" s="36" t="n"/>
      <c r="E437" s="36" t="n"/>
      <c r="F437" s="40" t="n"/>
      <c r="G437" s="40" t="n"/>
      <c r="H437" s="40" t="n"/>
      <c r="I437" s="40" t="n"/>
      <c r="J437" s="41">
        <f>IF(F437="","",F437-IF(IFERROR(VLOOKUP(B437,'Co-Host Agreements'!$A$6:$K$20,7,FALSE),"No")="Yes",G437,0)-IF(IFERROR(VLOOKUP(B437,'Co-Host Agreements'!$A$6:$K$20,8,FALSE),"No")="Yes",H437,0)-N(I437))</f>
        <v/>
      </c>
      <c r="K437" s="42">
        <f>IFERROR(VLOOKUP(B437,'Co-Host Agreements'!$A$6:$K$20,5,FALSE),0)</f>
        <v/>
      </c>
      <c r="L437" s="41">
        <f>IF(B437="","",IFS(IFERROR(VLOOKUP(B437,'Co-Host Agreements'!$A$6:$K$20,4,FALSE),"")="% of NET",J437*K437,IFERROR(VLOOKUP(B437,'Co-Host Agreements'!$A$6:$K$20,4,FALSE),"")="% of GROSS",F437*K437,IFERROR(VLOOKUP(B437,'Co-Host Agreements'!$A$6:$K$20,4,FALSE),"")="Flat per booking",IFERROR(VLOOKUP(B437,'Co-Host Agreements'!$A$6:$K$20,6,FALSE),0),IFERROR(VLOOKUP(B437,'Co-Host Agreements'!$A$6:$K$20,4,FALSE),"")="Hybrid (Flat + % of NET)",IFERROR(VLOOKUP(B437,'Co-Host Agreements'!$A$6:$K$20,6,FALSE),0)+J437*K437,TRUE,0))</f>
        <v/>
      </c>
      <c r="M437" s="41">
        <f>IF(B437="","",J437-L437)</f>
        <v/>
      </c>
      <c r="N437" s="36" t="n"/>
      <c r="O437" s="36" t="n"/>
    </row>
    <row r="438" ht="16" customHeight="1">
      <c r="A438" s="39" t="n"/>
      <c r="B438" s="36" t="n"/>
      <c r="C438" s="36" t="n"/>
      <c r="D438" s="36" t="n"/>
      <c r="E438" s="36" t="n"/>
      <c r="F438" s="40" t="n"/>
      <c r="G438" s="40" t="n"/>
      <c r="H438" s="40" t="n"/>
      <c r="I438" s="40" t="n"/>
      <c r="J438" s="41">
        <f>IF(F438="","",F438-IF(IFERROR(VLOOKUP(B438,'Co-Host Agreements'!$A$6:$K$20,7,FALSE),"No")="Yes",G438,0)-IF(IFERROR(VLOOKUP(B438,'Co-Host Agreements'!$A$6:$K$20,8,FALSE),"No")="Yes",H438,0)-N(I438))</f>
        <v/>
      </c>
      <c r="K438" s="42">
        <f>IFERROR(VLOOKUP(B438,'Co-Host Agreements'!$A$6:$K$20,5,FALSE),0)</f>
        <v/>
      </c>
      <c r="L438" s="41">
        <f>IF(B438="","",IFS(IFERROR(VLOOKUP(B438,'Co-Host Agreements'!$A$6:$K$20,4,FALSE),"")="% of NET",J438*K438,IFERROR(VLOOKUP(B438,'Co-Host Agreements'!$A$6:$K$20,4,FALSE),"")="% of GROSS",F438*K438,IFERROR(VLOOKUP(B438,'Co-Host Agreements'!$A$6:$K$20,4,FALSE),"")="Flat per booking",IFERROR(VLOOKUP(B438,'Co-Host Agreements'!$A$6:$K$20,6,FALSE),0),IFERROR(VLOOKUP(B438,'Co-Host Agreements'!$A$6:$K$20,4,FALSE),"")="Hybrid (Flat + % of NET)",IFERROR(VLOOKUP(B438,'Co-Host Agreements'!$A$6:$K$20,6,FALSE),0)+J438*K438,TRUE,0))</f>
        <v/>
      </c>
      <c r="M438" s="41">
        <f>IF(B438="","",J438-L438)</f>
        <v/>
      </c>
      <c r="N438" s="36" t="n"/>
      <c r="O438" s="36" t="n"/>
    </row>
    <row r="439" ht="16" customHeight="1">
      <c r="A439" s="39" t="n"/>
      <c r="B439" s="36" t="n"/>
      <c r="C439" s="36" t="n"/>
      <c r="D439" s="36" t="n"/>
      <c r="E439" s="36" t="n"/>
      <c r="F439" s="40" t="n"/>
      <c r="G439" s="40" t="n"/>
      <c r="H439" s="40" t="n"/>
      <c r="I439" s="40" t="n"/>
      <c r="J439" s="41">
        <f>IF(F439="","",F439-IF(IFERROR(VLOOKUP(B439,'Co-Host Agreements'!$A$6:$K$20,7,FALSE),"No")="Yes",G439,0)-IF(IFERROR(VLOOKUP(B439,'Co-Host Agreements'!$A$6:$K$20,8,FALSE),"No")="Yes",H439,0)-N(I439))</f>
        <v/>
      </c>
      <c r="K439" s="42">
        <f>IFERROR(VLOOKUP(B439,'Co-Host Agreements'!$A$6:$K$20,5,FALSE),0)</f>
        <v/>
      </c>
      <c r="L439" s="41">
        <f>IF(B439="","",IFS(IFERROR(VLOOKUP(B439,'Co-Host Agreements'!$A$6:$K$20,4,FALSE),"")="% of NET",J439*K439,IFERROR(VLOOKUP(B439,'Co-Host Agreements'!$A$6:$K$20,4,FALSE),"")="% of GROSS",F439*K439,IFERROR(VLOOKUP(B439,'Co-Host Agreements'!$A$6:$K$20,4,FALSE),"")="Flat per booking",IFERROR(VLOOKUP(B439,'Co-Host Agreements'!$A$6:$K$20,6,FALSE),0),IFERROR(VLOOKUP(B439,'Co-Host Agreements'!$A$6:$K$20,4,FALSE),"")="Hybrid (Flat + % of NET)",IFERROR(VLOOKUP(B439,'Co-Host Agreements'!$A$6:$K$20,6,FALSE),0)+J439*K439,TRUE,0))</f>
        <v/>
      </c>
      <c r="M439" s="41">
        <f>IF(B439="","",J439-L439)</f>
        <v/>
      </c>
      <c r="N439" s="36" t="n"/>
      <c r="O439" s="36" t="n"/>
    </row>
    <row r="440" ht="16" customHeight="1">
      <c r="A440" s="39" t="n"/>
      <c r="B440" s="36" t="n"/>
      <c r="C440" s="36" t="n"/>
      <c r="D440" s="36" t="n"/>
      <c r="E440" s="36" t="n"/>
      <c r="F440" s="40" t="n"/>
      <c r="G440" s="40" t="n"/>
      <c r="H440" s="40" t="n"/>
      <c r="I440" s="40" t="n"/>
      <c r="J440" s="41">
        <f>IF(F440="","",F440-IF(IFERROR(VLOOKUP(B440,'Co-Host Agreements'!$A$6:$K$20,7,FALSE),"No")="Yes",G440,0)-IF(IFERROR(VLOOKUP(B440,'Co-Host Agreements'!$A$6:$K$20,8,FALSE),"No")="Yes",H440,0)-N(I440))</f>
        <v/>
      </c>
      <c r="K440" s="42">
        <f>IFERROR(VLOOKUP(B440,'Co-Host Agreements'!$A$6:$K$20,5,FALSE),0)</f>
        <v/>
      </c>
      <c r="L440" s="41">
        <f>IF(B440="","",IFS(IFERROR(VLOOKUP(B440,'Co-Host Agreements'!$A$6:$K$20,4,FALSE),"")="% of NET",J440*K440,IFERROR(VLOOKUP(B440,'Co-Host Agreements'!$A$6:$K$20,4,FALSE),"")="% of GROSS",F440*K440,IFERROR(VLOOKUP(B440,'Co-Host Agreements'!$A$6:$K$20,4,FALSE),"")="Flat per booking",IFERROR(VLOOKUP(B440,'Co-Host Agreements'!$A$6:$K$20,6,FALSE),0),IFERROR(VLOOKUP(B440,'Co-Host Agreements'!$A$6:$K$20,4,FALSE),"")="Hybrid (Flat + % of NET)",IFERROR(VLOOKUP(B440,'Co-Host Agreements'!$A$6:$K$20,6,FALSE),0)+J440*K440,TRUE,0))</f>
        <v/>
      </c>
      <c r="M440" s="41">
        <f>IF(B440="","",J440-L440)</f>
        <v/>
      </c>
      <c r="N440" s="36" t="n"/>
      <c r="O440" s="36" t="n"/>
    </row>
    <row r="441" ht="16" customHeight="1">
      <c r="A441" s="39" t="n"/>
      <c r="B441" s="36" t="n"/>
      <c r="C441" s="36" t="n"/>
      <c r="D441" s="36" t="n"/>
      <c r="E441" s="36" t="n"/>
      <c r="F441" s="40" t="n"/>
      <c r="G441" s="40" t="n"/>
      <c r="H441" s="40" t="n"/>
      <c r="I441" s="40" t="n"/>
      <c r="J441" s="41">
        <f>IF(F441="","",F441-IF(IFERROR(VLOOKUP(B441,'Co-Host Agreements'!$A$6:$K$20,7,FALSE),"No")="Yes",G441,0)-IF(IFERROR(VLOOKUP(B441,'Co-Host Agreements'!$A$6:$K$20,8,FALSE),"No")="Yes",H441,0)-N(I441))</f>
        <v/>
      </c>
      <c r="K441" s="42">
        <f>IFERROR(VLOOKUP(B441,'Co-Host Agreements'!$A$6:$K$20,5,FALSE),0)</f>
        <v/>
      </c>
      <c r="L441" s="41">
        <f>IF(B441="","",IFS(IFERROR(VLOOKUP(B441,'Co-Host Agreements'!$A$6:$K$20,4,FALSE),"")="% of NET",J441*K441,IFERROR(VLOOKUP(B441,'Co-Host Agreements'!$A$6:$K$20,4,FALSE),"")="% of GROSS",F441*K441,IFERROR(VLOOKUP(B441,'Co-Host Agreements'!$A$6:$K$20,4,FALSE),"")="Flat per booking",IFERROR(VLOOKUP(B441,'Co-Host Agreements'!$A$6:$K$20,6,FALSE),0),IFERROR(VLOOKUP(B441,'Co-Host Agreements'!$A$6:$K$20,4,FALSE),"")="Hybrid (Flat + % of NET)",IFERROR(VLOOKUP(B441,'Co-Host Agreements'!$A$6:$K$20,6,FALSE),0)+J441*K441,TRUE,0))</f>
        <v/>
      </c>
      <c r="M441" s="41">
        <f>IF(B441="","",J441-L441)</f>
        <v/>
      </c>
      <c r="N441" s="36" t="n"/>
      <c r="O441" s="36" t="n"/>
    </row>
    <row r="442" ht="16" customHeight="1">
      <c r="A442" s="39" t="n"/>
      <c r="B442" s="36" t="n"/>
      <c r="C442" s="36" t="n"/>
      <c r="D442" s="36" t="n"/>
      <c r="E442" s="36" t="n"/>
      <c r="F442" s="40" t="n"/>
      <c r="G442" s="40" t="n"/>
      <c r="H442" s="40" t="n"/>
      <c r="I442" s="40" t="n"/>
      <c r="J442" s="41">
        <f>IF(F442="","",F442-IF(IFERROR(VLOOKUP(B442,'Co-Host Agreements'!$A$6:$K$20,7,FALSE),"No")="Yes",G442,0)-IF(IFERROR(VLOOKUP(B442,'Co-Host Agreements'!$A$6:$K$20,8,FALSE),"No")="Yes",H442,0)-N(I442))</f>
        <v/>
      </c>
      <c r="K442" s="42">
        <f>IFERROR(VLOOKUP(B442,'Co-Host Agreements'!$A$6:$K$20,5,FALSE),0)</f>
        <v/>
      </c>
      <c r="L442" s="41">
        <f>IF(B442="","",IFS(IFERROR(VLOOKUP(B442,'Co-Host Agreements'!$A$6:$K$20,4,FALSE),"")="% of NET",J442*K442,IFERROR(VLOOKUP(B442,'Co-Host Agreements'!$A$6:$K$20,4,FALSE),"")="% of GROSS",F442*K442,IFERROR(VLOOKUP(B442,'Co-Host Agreements'!$A$6:$K$20,4,FALSE),"")="Flat per booking",IFERROR(VLOOKUP(B442,'Co-Host Agreements'!$A$6:$K$20,6,FALSE),0),IFERROR(VLOOKUP(B442,'Co-Host Agreements'!$A$6:$K$20,4,FALSE),"")="Hybrid (Flat + % of NET)",IFERROR(VLOOKUP(B442,'Co-Host Agreements'!$A$6:$K$20,6,FALSE),0)+J442*K442,TRUE,0))</f>
        <v/>
      </c>
      <c r="M442" s="41">
        <f>IF(B442="","",J442-L442)</f>
        <v/>
      </c>
      <c r="N442" s="36" t="n"/>
      <c r="O442" s="36" t="n"/>
    </row>
    <row r="443" ht="16" customHeight="1">
      <c r="A443" s="39" t="n"/>
      <c r="B443" s="36" t="n"/>
      <c r="C443" s="36" t="n"/>
      <c r="D443" s="36" t="n"/>
      <c r="E443" s="36" t="n"/>
      <c r="F443" s="40" t="n"/>
      <c r="G443" s="40" t="n"/>
      <c r="H443" s="40" t="n"/>
      <c r="I443" s="40" t="n"/>
      <c r="J443" s="41">
        <f>IF(F443="","",F443-IF(IFERROR(VLOOKUP(B443,'Co-Host Agreements'!$A$6:$K$20,7,FALSE),"No")="Yes",G443,0)-IF(IFERROR(VLOOKUP(B443,'Co-Host Agreements'!$A$6:$K$20,8,FALSE),"No")="Yes",H443,0)-N(I443))</f>
        <v/>
      </c>
      <c r="K443" s="42">
        <f>IFERROR(VLOOKUP(B443,'Co-Host Agreements'!$A$6:$K$20,5,FALSE),0)</f>
        <v/>
      </c>
      <c r="L443" s="41">
        <f>IF(B443="","",IFS(IFERROR(VLOOKUP(B443,'Co-Host Agreements'!$A$6:$K$20,4,FALSE),"")="% of NET",J443*K443,IFERROR(VLOOKUP(B443,'Co-Host Agreements'!$A$6:$K$20,4,FALSE),"")="% of GROSS",F443*K443,IFERROR(VLOOKUP(B443,'Co-Host Agreements'!$A$6:$K$20,4,FALSE),"")="Flat per booking",IFERROR(VLOOKUP(B443,'Co-Host Agreements'!$A$6:$K$20,6,FALSE),0),IFERROR(VLOOKUP(B443,'Co-Host Agreements'!$A$6:$K$20,4,FALSE),"")="Hybrid (Flat + % of NET)",IFERROR(VLOOKUP(B443,'Co-Host Agreements'!$A$6:$K$20,6,FALSE),0)+J443*K443,TRUE,0))</f>
        <v/>
      </c>
      <c r="M443" s="41">
        <f>IF(B443="","",J443-L443)</f>
        <v/>
      </c>
      <c r="N443" s="36" t="n"/>
      <c r="O443" s="36" t="n"/>
    </row>
    <row r="444" ht="16" customHeight="1">
      <c r="A444" s="39" t="n"/>
      <c r="B444" s="36" t="n"/>
      <c r="C444" s="36" t="n"/>
      <c r="D444" s="36" t="n"/>
      <c r="E444" s="36" t="n"/>
      <c r="F444" s="40" t="n"/>
      <c r="G444" s="40" t="n"/>
      <c r="H444" s="40" t="n"/>
      <c r="I444" s="40" t="n"/>
      <c r="J444" s="41">
        <f>IF(F444="","",F444-IF(IFERROR(VLOOKUP(B444,'Co-Host Agreements'!$A$6:$K$20,7,FALSE),"No")="Yes",G444,0)-IF(IFERROR(VLOOKUP(B444,'Co-Host Agreements'!$A$6:$K$20,8,FALSE),"No")="Yes",H444,0)-N(I444))</f>
        <v/>
      </c>
      <c r="K444" s="42">
        <f>IFERROR(VLOOKUP(B444,'Co-Host Agreements'!$A$6:$K$20,5,FALSE),0)</f>
        <v/>
      </c>
      <c r="L444" s="41">
        <f>IF(B444="","",IFS(IFERROR(VLOOKUP(B444,'Co-Host Agreements'!$A$6:$K$20,4,FALSE),"")="% of NET",J444*K444,IFERROR(VLOOKUP(B444,'Co-Host Agreements'!$A$6:$K$20,4,FALSE),"")="% of GROSS",F444*K444,IFERROR(VLOOKUP(B444,'Co-Host Agreements'!$A$6:$K$20,4,FALSE),"")="Flat per booking",IFERROR(VLOOKUP(B444,'Co-Host Agreements'!$A$6:$K$20,6,FALSE),0),IFERROR(VLOOKUP(B444,'Co-Host Agreements'!$A$6:$K$20,4,FALSE),"")="Hybrid (Flat + % of NET)",IFERROR(VLOOKUP(B444,'Co-Host Agreements'!$A$6:$K$20,6,FALSE),0)+J444*K444,TRUE,0))</f>
        <v/>
      </c>
      <c r="M444" s="41">
        <f>IF(B444="","",J444-L444)</f>
        <v/>
      </c>
      <c r="N444" s="36" t="n"/>
      <c r="O444" s="36" t="n"/>
    </row>
    <row r="445" ht="16" customHeight="1">
      <c r="A445" s="39" t="n"/>
      <c r="B445" s="36" t="n"/>
      <c r="C445" s="36" t="n"/>
      <c r="D445" s="36" t="n"/>
      <c r="E445" s="36" t="n"/>
      <c r="F445" s="40" t="n"/>
      <c r="G445" s="40" t="n"/>
      <c r="H445" s="40" t="n"/>
      <c r="I445" s="40" t="n"/>
      <c r="J445" s="41">
        <f>IF(F445="","",F445-IF(IFERROR(VLOOKUP(B445,'Co-Host Agreements'!$A$6:$K$20,7,FALSE),"No")="Yes",G445,0)-IF(IFERROR(VLOOKUP(B445,'Co-Host Agreements'!$A$6:$K$20,8,FALSE),"No")="Yes",H445,0)-N(I445))</f>
        <v/>
      </c>
      <c r="K445" s="42">
        <f>IFERROR(VLOOKUP(B445,'Co-Host Agreements'!$A$6:$K$20,5,FALSE),0)</f>
        <v/>
      </c>
      <c r="L445" s="41">
        <f>IF(B445="","",IFS(IFERROR(VLOOKUP(B445,'Co-Host Agreements'!$A$6:$K$20,4,FALSE),"")="% of NET",J445*K445,IFERROR(VLOOKUP(B445,'Co-Host Agreements'!$A$6:$K$20,4,FALSE),"")="% of GROSS",F445*K445,IFERROR(VLOOKUP(B445,'Co-Host Agreements'!$A$6:$K$20,4,FALSE),"")="Flat per booking",IFERROR(VLOOKUP(B445,'Co-Host Agreements'!$A$6:$K$20,6,FALSE),0),IFERROR(VLOOKUP(B445,'Co-Host Agreements'!$A$6:$K$20,4,FALSE),"")="Hybrid (Flat + % of NET)",IFERROR(VLOOKUP(B445,'Co-Host Agreements'!$A$6:$K$20,6,FALSE),0)+J445*K445,TRUE,0))</f>
        <v/>
      </c>
      <c r="M445" s="41">
        <f>IF(B445="","",J445-L445)</f>
        <v/>
      </c>
      <c r="N445" s="36" t="n"/>
      <c r="O445" s="36" t="n"/>
    </row>
    <row r="446" ht="16" customHeight="1">
      <c r="A446" s="39" t="n"/>
      <c r="B446" s="36" t="n"/>
      <c r="C446" s="36" t="n"/>
      <c r="D446" s="36" t="n"/>
      <c r="E446" s="36" t="n"/>
      <c r="F446" s="40" t="n"/>
      <c r="G446" s="40" t="n"/>
      <c r="H446" s="40" t="n"/>
      <c r="I446" s="40" t="n"/>
      <c r="J446" s="41">
        <f>IF(F446="","",F446-IF(IFERROR(VLOOKUP(B446,'Co-Host Agreements'!$A$6:$K$20,7,FALSE),"No")="Yes",G446,0)-IF(IFERROR(VLOOKUP(B446,'Co-Host Agreements'!$A$6:$K$20,8,FALSE),"No")="Yes",H446,0)-N(I446))</f>
        <v/>
      </c>
      <c r="K446" s="42">
        <f>IFERROR(VLOOKUP(B446,'Co-Host Agreements'!$A$6:$K$20,5,FALSE),0)</f>
        <v/>
      </c>
      <c r="L446" s="41">
        <f>IF(B446="","",IFS(IFERROR(VLOOKUP(B446,'Co-Host Agreements'!$A$6:$K$20,4,FALSE),"")="% of NET",J446*K446,IFERROR(VLOOKUP(B446,'Co-Host Agreements'!$A$6:$K$20,4,FALSE),"")="% of GROSS",F446*K446,IFERROR(VLOOKUP(B446,'Co-Host Agreements'!$A$6:$K$20,4,FALSE),"")="Flat per booking",IFERROR(VLOOKUP(B446,'Co-Host Agreements'!$A$6:$K$20,6,FALSE),0),IFERROR(VLOOKUP(B446,'Co-Host Agreements'!$A$6:$K$20,4,FALSE),"")="Hybrid (Flat + % of NET)",IFERROR(VLOOKUP(B446,'Co-Host Agreements'!$A$6:$K$20,6,FALSE),0)+J446*K446,TRUE,0))</f>
        <v/>
      </c>
      <c r="M446" s="41">
        <f>IF(B446="","",J446-L446)</f>
        <v/>
      </c>
      <c r="N446" s="36" t="n"/>
      <c r="O446" s="36" t="n"/>
    </row>
    <row r="447" ht="16" customHeight="1">
      <c r="A447" s="39" t="n"/>
      <c r="B447" s="36" t="n"/>
      <c r="C447" s="36" t="n"/>
      <c r="D447" s="36" t="n"/>
      <c r="E447" s="36" t="n"/>
      <c r="F447" s="40" t="n"/>
      <c r="G447" s="40" t="n"/>
      <c r="H447" s="40" t="n"/>
      <c r="I447" s="40" t="n"/>
      <c r="J447" s="41">
        <f>IF(F447="","",F447-IF(IFERROR(VLOOKUP(B447,'Co-Host Agreements'!$A$6:$K$20,7,FALSE),"No")="Yes",G447,0)-IF(IFERROR(VLOOKUP(B447,'Co-Host Agreements'!$A$6:$K$20,8,FALSE),"No")="Yes",H447,0)-N(I447))</f>
        <v/>
      </c>
      <c r="K447" s="42">
        <f>IFERROR(VLOOKUP(B447,'Co-Host Agreements'!$A$6:$K$20,5,FALSE),0)</f>
        <v/>
      </c>
      <c r="L447" s="41">
        <f>IF(B447="","",IFS(IFERROR(VLOOKUP(B447,'Co-Host Agreements'!$A$6:$K$20,4,FALSE),"")="% of NET",J447*K447,IFERROR(VLOOKUP(B447,'Co-Host Agreements'!$A$6:$K$20,4,FALSE),"")="% of GROSS",F447*K447,IFERROR(VLOOKUP(B447,'Co-Host Agreements'!$A$6:$K$20,4,FALSE),"")="Flat per booking",IFERROR(VLOOKUP(B447,'Co-Host Agreements'!$A$6:$K$20,6,FALSE),0),IFERROR(VLOOKUP(B447,'Co-Host Agreements'!$A$6:$K$20,4,FALSE),"")="Hybrid (Flat + % of NET)",IFERROR(VLOOKUP(B447,'Co-Host Agreements'!$A$6:$K$20,6,FALSE),0)+J447*K447,TRUE,0))</f>
        <v/>
      </c>
      <c r="M447" s="41">
        <f>IF(B447="","",J447-L447)</f>
        <v/>
      </c>
      <c r="N447" s="36" t="n"/>
      <c r="O447" s="36" t="n"/>
    </row>
    <row r="448" ht="16" customHeight="1">
      <c r="A448" s="39" t="n"/>
      <c r="B448" s="36" t="n"/>
      <c r="C448" s="36" t="n"/>
      <c r="D448" s="36" t="n"/>
      <c r="E448" s="36" t="n"/>
      <c r="F448" s="40" t="n"/>
      <c r="G448" s="40" t="n"/>
      <c r="H448" s="40" t="n"/>
      <c r="I448" s="40" t="n"/>
      <c r="J448" s="41">
        <f>IF(F448="","",F448-IF(IFERROR(VLOOKUP(B448,'Co-Host Agreements'!$A$6:$K$20,7,FALSE),"No")="Yes",G448,0)-IF(IFERROR(VLOOKUP(B448,'Co-Host Agreements'!$A$6:$K$20,8,FALSE),"No")="Yes",H448,0)-N(I448))</f>
        <v/>
      </c>
      <c r="K448" s="42">
        <f>IFERROR(VLOOKUP(B448,'Co-Host Agreements'!$A$6:$K$20,5,FALSE),0)</f>
        <v/>
      </c>
      <c r="L448" s="41">
        <f>IF(B448="","",IFS(IFERROR(VLOOKUP(B448,'Co-Host Agreements'!$A$6:$K$20,4,FALSE),"")="% of NET",J448*K448,IFERROR(VLOOKUP(B448,'Co-Host Agreements'!$A$6:$K$20,4,FALSE),"")="% of GROSS",F448*K448,IFERROR(VLOOKUP(B448,'Co-Host Agreements'!$A$6:$K$20,4,FALSE),"")="Flat per booking",IFERROR(VLOOKUP(B448,'Co-Host Agreements'!$A$6:$K$20,6,FALSE),0),IFERROR(VLOOKUP(B448,'Co-Host Agreements'!$A$6:$K$20,4,FALSE),"")="Hybrid (Flat + % of NET)",IFERROR(VLOOKUP(B448,'Co-Host Agreements'!$A$6:$K$20,6,FALSE),0)+J448*K448,TRUE,0))</f>
        <v/>
      </c>
      <c r="M448" s="41">
        <f>IF(B448="","",J448-L448)</f>
        <v/>
      </c>
      <c r="N448" s="36" t="n"/>
      <c r="O448" s="36" t="n"/>
    </row>
    <row r="449" ht="16" customHeight="1">
      <c r="A449" s="39" t="n"/>
      <c r="B449" s="36" t="n"/>
      <c r="C449" s="36" t="n"/>
      <c r="D449" s="36" t="n"/>
      <c r="E449" s="36" t="n"/>
      <c r="F449" s="40" t="n"/>
      <c r="G449" s="40" t="n"/>
      <c r="H449" s="40" t="n"/>
      <c r="I449" s="40" t="n"/>
      <c r="J449" s="41">
        <f>IF(F449="","",F449-IF(IFERROR(VLOOKUP(B449,'Co-Host Agreements'!$A$6:$K$20,7,FALSE),"No")="Yes",G449,0)-IF(IFERROR(VLOOKUP(B449,'Co-Host Agreements'!$A$6:$K$20,8,FALSE),"No")="Yes",H449,0)-N(I449))</f>
        <v/>
      </c>
      <c r="K449" s="42">
        <f>IFERROR(VLOOKUP(B449,'Co-Host Agreements'!$A$6:$K$20,5,FALSE),0)</f>
        <v/>
      </c>
      <c r="L449" s="41">
        <f>IF(B449="","",IFS(IFERROR(VLOOKUP(B449,'Co-Host Agreements'!$A$6:$K$20,4,FALSE),"")="% of NET",J449*K449,IFERROR(VLOOKUP(B449,'Co-Host Agreements'!$A$6:$K$20,4,FALSE),"")="% of GROSS",F449*K449,IFERROR(VLOOKUP(B449,'Co-Host Agreements'!$A$6:$K$20,4,FALSE),"")="Flat per booking",IFERROR(VLOOKUP(B449,'Co-Host Agreements'!$A$6:$K$20,6,FALSE),0),IFERROR(VLOOKUP(B449,'Co-Host Agreements'!$A$6:$K$20,4,FALSE),"")="Hybrid (Flat + % of NET)",IFERROR(VLOOKUP(B449,'Co-Host Agreements'!$A$6:$K$20,6,FALSE),0)+J449*K449,TRUE,0))</f>
        <v/>
      </c>
      <c r="M449" s="41">
        <f>IF(B449="","",J449-L449)</f>
        <v/>
      </c>
      <c r="N449" s="36" t="n"/>
      <c r="O449" s="36" t="n"/>
    </row>
    <row r="450" ht="16" customHeight="1">
      <c r="A450" s="39" t="n"/>
      <c r="B450" s="36" t="n"/>
      <c r="C450" s="36" t="n"/>
      <c r="D450" s="36" t="n"/>
      <c r="E450" s="36" t="n"/>
      <c r="F450" s="40" t="n"/>
      <c r="G450" s="40" t="n"/>
      <c r="H450" s="40" t="n"/>
      <c r="I450" s="40" t="n"/>
      <c r="J450" s="41">
        <f>IF(F450="","",F450-IF(IFERROR(VLOOKUP(B450,'Co-Host Agreements'!$A$6:$K$20,7,FALSE),"No")="Yes",G450,0)-IF(IFERROR(VLOOKUP(B450,'Co-Host Agreements'!$A$6:$K$20,8,FALSE),"No")="Yes",H450,0)-N(I450))</f>
        <v/>
      </c>
      <c r="K450" s="42">
        <f>IFERROR(VLOOKUP(B450,'Co-Host Agreements'!$A$6:$K$20,5,FALSE),0)</f>
        <v/>
      </c>
      <c r="L450" s="41">
        <f>IF(B450="","",IFS(IFERROR(VLOOKUP(B450,'Co-Host Agreements'!$A$6:$K$20,4,FALSE),"")="% of NET",J450*K450,IFERROR(VLOOKUP(B450,'Co-Host Agreements'!$A$6:$K$20,4,FALSE),"")="% of GROSS",F450*K450,IFERROR(VLOOKUP(B450,'Co-Host Agreements'!$A$6:$K$20,4,FALSE),"")="Flat per booking",IFERROR(VLOOKUP(B450,'Co-Host Agreements'!$A$6:$K$20,6,FALSE),0),IFERROR(VLOOKUP(B450,'Co-Host Agreements'!$A$6:$K$20,4,FALSE),"")="Hybrid (Flat + % of NET)",IFERROR(VLOOKUP(B450,'Co-Host Agreements'!$A$6:$K$20,6,FALSE),0)+J450*K450,TRUE,0))</f>
        <v/>
      </c>
      <c r="M450" s="41">
        <f>IF(B450="","",J450-L450)</f>
        <v/>
      </c>
      <c r="N450" s="36" t="n"/>
      <c r="O450" s="36" t="n"/>
    </row>
    <row r="451" ht="16" customHeight="1">
      <c r="A451" s="39" t="n"/>
      <c r="B451" s="36" t="n"/>
      <c r="C451" s="36" t="n"/>
      <c r="D451" s="36" t="n"/>
      <c r="E451" s="36" t="n"/>
      <c r="F451" s="40" t="n"/>
      <c r="G451" s="40" t="n"/>
      <c r="H451" s="40" t="n"/>
      <c r="I451" s="40" t="n"/>
      <c r="J451" s="41">
        <f>IF(F451="","",F451-IF(IFERROR(VLOOKUP(B451,'Co-Host Agreements'!$A$6:$K$20,7,FALSE),"No")="Yes",G451,0)-IF(IFERROR(VLOOKUP(B451,'Co-Host Agreements'!$A$6:$K$20,8,FALSE),"No")="Yes",H451,0)-N(I451))</f>
        <v/>
      </c>
      <c r="K451" s="42">
        <f>IFERROR(VLOOKUP(B451,'Co-Host Agreements'!$A$6:$K$20,5,FALSE),0)</f>
        <v/>
      </c>
      <c r="L451" s="41">
        <f>IF(B451="","",IFS(IFERROR(VLOOKUP(B451,'Co-Host Agreements'!$A$6:$K$20,4,FALSE),"")="% of NET",J451*K451,IFERROR(VLOOKUP(B451,'Co-Host Agreements'!$A$6:$K$20,4,FALSE),"")="% of GROSS",F451*K451,IFERROR(VLOOKUP(B451,'Co-Host Agreements'!$A$6:$K$20,4,FALSE),"")="Flat per booking",IFERROR(VLOOKUP(B451,'Co-Host Agreements'!$A$6:$K$20,6,FALSE),0),IFERROR(VLOOKUP(B451,'Co-Host Agreements'!$A$6:$K$20,4,FALSE),"")="Hybrid (Flat + % of NET)",IFERROR(VLOOKUP(B451,'Co-Host Agreements'!$A$6:$K$20,6,FALSE),0)+J451*K451,TRUE,0))</f>
        <v/>
      </c>
      <c r="M451" s="41">
        <f>IF(B451="","",J451-L451)</f>
        <v/>
      </c>
      <c r="N451" s="36" t="n"/>
      <c r="O451" s="36" t="n"/>
    </row>
    <row r="452" ht="16" customHeight="1">
      <c r="A452" s="39" t="n"/>
      <c r="B452" s="36" t="n"/>
      <c r="C452" s="36" t="n"/>
      <c r="D452" s="36" t="n"/>
      <c r="E452" s="36" t="n"/>
      <c r="F452" s="40" t="n"/>
      <c r="G452" s="40" t="n"/>
      <c r="H452" s="40" t="n"/>
      <c r="I452" s="40" t="n"/>
      <c r="J452" s="41">
        <f>IF(F452="","",F452-IF(IFERROR(VLOOKUP(B452,'Co-Host Agreements'!$A$6:$K$20,7,FALSE),"No")="Yes",G452,0)-IF(IFERROR(VLOOKUP(B452,'Co-Host Agreements'!$A$6:$K$20,8,FALSE),"No")="Yes",H452,0)-N(I452))</f>
        <v/>
      </c>
      <c r="K452" s="42">
        <f>IFERROR(VLOOKUP(B452,'Co-Host Agreements'!$A$6:$K$20,5,FALSE),0)</f>
        <v/>
      </c>
      <c r="L452" s="41">
        <f>IF(B452="","",IFS(IFERROR(VLOOKUP(B452,'Co-Host Agreements'!$A$6:$K$20,4,FALSE),"")="% of NET",J452*K452,IFERROR(VLOOKUP(B452,'Co-Host Agreements'!$A$6:$K$20,4,FALSE),"")="% of GROSS",F452*K452,IFERROR(VLOOKUP(B452,'Co-Host Agreements'!$A$6:$K$20,4,FALSE),"")="Flat per booking",IFERROR(VLOOKUP(B452,'Co-Host Agreements'!$A$6:$K$20,6,FALSE),0),IFERROR(VLOOKUP(B452,'Co-Host Agreements'!$A$6:$K$20,4,FALSE),"")="Hybrid (Flat + % of NET)",IFERROR(VLOOKUP(B452,'Co-Host Agreements'!$A$6:$K$20,6,FALSE),0)+J452*K452,TRUE,0))</f>
        <v/>
      </c>
      <c r="M452" s="41">
        <f>IF(B452="","",J452-L452)</f>
        <v/>
      </c>
      <c r="N452" s="36" t="n"/>
      <c r="O452" s="36" t="n"/>
    </row>
    <row r="453" ht="16" customHeight="1">
      <c r="A453" s="39" t="n"/>
      <c r="B453" s="36" t="n"/>
      <c r="C453" s="36" t="n"/>
      <c r="D453" s="36" t="n"/>
      <c r="E453" s="36" t="n"/>
      <c r="F453" s="40" t="n"/>
      <c r="G453" s="40" t="n"/>
      <c r="H453" s="40" t="n"/>
      <c r="I453" s="40" t="n"/>
      <c r="J453" s="41">
        <f>IF(F453="","",F453-IF(IFERROR(VLOOKUP(B453,'Co-Host Agreements'!$A$6:$K$20,7,FALSE),"No")="Yes",G453,0)-IF(IFERROR(VLOOKUP(B453,'Co-Host Agreements'!$A$6:$K$20,8,FALSE),"No")="Yes",H453,0)-N(I453))</f>
        <v/>
      </c>
      <c r="K453" s="42">
        <f>IFERROR(VLOOKUP(B453,'Co-Host Agreements'!$A$6:$K$20,5,FALSE),0)</f>
        <v/>
      </c>
      <c r="L453" s="41">
        <f>IF(B453="","",IFS(IFERROR(VLOOKUP(B453,'Co-Host Agreements'!$A$6:$K$20,4,FALSE),"")="% of NET",J453*K453,IFERROR(VLOOKUP(B453,'Co-Host Agreements'!$A$6:$K$20,4,FALSE),"")="% of GROSS",F453*K453,IFERROR(VLOOKUP(B453,'Co-Host Agreements'!$A$6:$K$20,4,FALSE),"")="Flat per booking",IFERROR(VLOOKUP(B453,'Co-Host Agreements'!$A$6:$K$20,6,FALSE),0),IFERROR(VLOOKUP(B453,'Co-Host Agreements'!$A$6:$K$20,4,FALSE),"")="Hybrid (Flat + % of NET)",IFERROR(VLOOKUP(B453,'Co-Host Agreements'!$A$6:$K$20,6,FALSE),0)+J453*K453,TRUE,0))</f>
        <v/>
      </c>
      <c r="M453" s="41">
        <f>IF(B453="","",J453-L453)</f>
        <v/>
      </c>
      <c r="N453" s="36" t="n"/>
      <c r="O453" s="36" t="n"/>
    </row>
    <row r="454" ht="16" customHeight="1">
      <c r="A454" s="39" t="n"/>
      <c r="B454" s="36" t="n"/>
      <c r="C454" s="36" t="n"/>
      <c r="D454" s="36" t="n"/>
      <c r="E454" s="36" t="n"/>
      <c r="F454" s="40" t="n"/>
      <c r="G454" s="40" t="n"/>
      <c r="H454" s="40" t="n"/>
      <c r="I454" s="40" t="n"/>
      <c r="J454" s="41">
        <f>IF(F454="","",F454-IF(IFERROR(VLOOKUP(B454,'Co-Host Agreements'!$A$6:$K$20,7,FALSE),"No")="Yes",G454,0)-IF(IFERROR(VLOOKUP(B454,'Co-Host Agreements'!$A$6:$K$20,8,FALSE),"No")="Yes",H454,0)-N(I454))</f>
        <v/>
      </c>
      <c r="K454" s="42">
        <f>IFERROR(VLOOKUP(B454,'Co-Host Agreements'!$A$6:$K$20,5,FALSE),0)</f>
        <v/>
      </c>
      <c r="L454" s="41">
        <f>IF(B454="","",IFS(IFERROR(VLOOKUP(B454,'Co-Host Agreements'!$A$6:$K$20,4,FALSE),"")="% of NET",J454*K454,IFERROR(VLOOKUP(B454,'Co-Host Agreements'!$A$6:$K$20,4,FALSE),"")="% of GROSS",F454*K454,IFERROR(VLOOKUP(B454,'Co-Host Agreements'!$A$6:$K$20,4,FALSE),"")="Flat per booking",IFERROR(VLOOKUP(B454,'Co-Host Agreements'!$A$6:$K$20,6,FALSE),0),IFERROR(VLOOKUP(B454,'Co-Host Agreements'!$A$6:$K$20,4,FALSE),"")="Hybrid (Flat + % of NET)",IFERROR(VLOOKUP(B454,'Co-Host Agreements'!$A$6:$K$20,6,FALSE),0)+J454*K454,TRUE,0))</f>
        <v/>
      </c>
      <c r="M454" s="41">
        <f>IF(B454="","",J454-L454)</f>
        <v/>
      </c>
      <c r="N454" s="36" t="n"/>
      <c r="O454" s="36" t="n"/>
    </row>
    <row r="455" ht="16" customHeight="1">
      <c r="A455" s="39" t="n"/>
      <c r="B455" s="36" t="n"/>
      <c r="C455" s="36" t="n"/>
      <c r="D455" s="36" t="n"/>
      <c r="E455" s="36" t="n"/>
      <c r="F455" s="40" t="n"/>
      <c r="G455" s="40" t="n"/>
      <c r="H455" s="40" t="n"/>
      <c r="I455" s="40" t="n"/>
      <c r="J455" s="41">
        <f>IF(F455="","",F455-IF(IFERROR(VLOOKUP(B455,'Co-Host Agreements'!$A$6:$K$20,7,FALSE),"No")="Yes",G455,0)-IF(IFERROR(VLOOKUP(B455,'Co-Host Agreements'!$A$6:$K$20,8,FALSE),"No")="Yes",H455,0)-N(I455))</f>
        <v/>
      </c>
      <c r="K455" s="42">
        <f>IFERROR(VLOOKUP(B455,'Co-Host Agreements'!$A$6:$K$20,5,FALSE),0)</f>
        <v/>
      </c>
      <c r="L455" s="41">
        <f>IF(B455="","",IFS(IFERROR(VLOOKUP(B455,'Co-Host Agreements'!$A$6:$K$20,4,FALSE),"")="% of NET",J455*K455,IFERROR(VLOOKUP(B455,'Co-Host Agreements'!$A$6:$K$20,4,FALSE),"")="% of GROSS",F455*K455,IFERROR(VLOOKUP(B455,'Co-Host Agreements'!$A$6:$K$20,4,FALSE),"")="Flat per booking",IFERROR(VLOOKUP(B455,'Co-Host Agreements'!$A$6:$K$20,6,FALSE),0),IFERROR(VLOOKUP(B455,'Co-Host Agreements'!$A$6:$K$20,4,FALSE),"")="Hybrid (Flat + % of NET)",IFERROR(VLOOKUP(B455,'Co-Host Agreements'!$A$6:$K$20,6,FALSE),0)+J455*K455,TRUE,0))</f>
        <v/>
      </c>
      <c r="M455" s="41">
        <f>IF(B455="","",J455-L455)</f>
        <v/>
      </c>
      <c r="N455" s="36" t="n"/>
      <c r="O455" s="36" t="n"/>
    </row>
    <row r="456" ht="16" customHeight="1">
      <c r="A456" s="39" t="n"/>
      <c r="B456" s="36" t="n"/>
      <c r="C456" s="36" t="n"/>
      <c r="D456" s="36" t="n"/>
      <c r="E456" s="36" t="n"/>
      <c r="F456" s="40" t="n"/>
      <c r="G456" s="40" t="n"/>
      <c r="H456" s="40" t="n"/>
      <c r="I456" s="40" t="n"/>
      <c r="J456" s="41">
        <f>IF(F456="","",F456-IF(IFERROR(VLOOKUP(B456,'Co-Host Agreements'!$A$6:$K$20,7,FALSE),"No")="Yes",G456,0)-IF(IFERROR(VLOOKUP(B456,'Co-Host Agreements'!$A$6:$K$20,8,FALSE),"No")="Yes",H456,0)-N(I456))</f>
        <v/>
      </c>
      <c r="K456" s="42">
        <f>IFERROR(VLOOKUP(B456,'Co-Host Agreements'!$A$6:$K$20,5,FALSE),0)</f>
        <v/>
      </c>
      <c r="L456" s="41">
        <f>IF(B456="","",IFS(IFERROR(VLOOKUP(B456,'Co-Host Agreements'!$A$6:$K$20,4,FALSE),"")="% of NET",J456*K456,IFERROR(VLOOKUP(B456,'Co-Host Agreements'!$A$6:$K$20,4,FALSE),"")="% of GROSS",F456*K456,IFERROR(VLOOKUP(B456,'Co-Host Agreements'!$A$6:$K$20,4,FALSE),"")="Flat per booking",IFERROR(VLOOKUP(B456,'Co-Host Agreements'!$A$6:$K$20,6,FALSE),0),IFERROR(VLOOKUP(B456,'Co-Host Agreements'!$A$6:$K$20,4,FALSE),"")="Hybrid (Flat + % of NET)",IFERROR(VLOOKUP(B456,'Co-Host Agreements'!$A$6:$K$20,6,FALSE),0)+J456*K456,TRUE,0))</f>
        <v/>
      </c>
      <c r="M456" s="41">
        <f>IF(B456="","",J456-L456)</f>
        <v/>
      </c>
      <c r="N456" s="36" t="n"/>
      <c r="O456" s="36" t="n"/>
    </row>
    <row r="457" ht="16" customHeight="1">
      <c r="A457" s="39" t="n"/>
      <c r="B457" s="36" t="n"/>
      <c r="C457" s="36" t="n"/>
      <c r="D457" s="36" t="n"/>
      <c r="E457" s="36" t="n"/>
      <c r="F457" s="40" t="n"/>
      <c r="G457" s="40" t="n"/>
      <c r="H457" s="40" t="n"/>
      <c r="I457" s="40" t="n"/>
      <c r="J457" s="41">
        <f>IF(F457="","",F457-IF(IFERROR(VLOOKUP(B457,'Co-Host Agreements'!$A$6:$K$20,7,FALSE),"No")="Yes",G457,0)-IF(IFERROR(VLOOKUP(B457,'Co-Host Agreements'!$A$6:$K$20,8,FALSE),"No")="Yes",H457,0)-N(I457))</f>
        <v/>
      </c>
      <c r="K457" s="42">
        <f>IFERROR(VLOOKUP(B457,'Co-Host Agreements'!$A$6:$K$20,5,FALSE),0)</f>
        <v/>
      </c>
      <c r="L457" s="41">
        <f>IF(B457="","",IFS(IFERROR(VLOOKUP(B457,'Co-Host Agreements'!$A$6:$K$20,4,FALSE),"")="% of NET",J457*K457,IFERROR(VLOOKUP(B457,'Co-Host Agreements'!$A$6:$K$20,4,FALSE),"")="% of GROSS",F457*K457,IFERROR(VLOOKUP(B457,'Co-Host Agreements'!$A$6:$K$20,4,FALSE),"")="Flat per booking",IFERROR(VLOOKUP(B457,'Co-Host Agreements'!$A$6:$K$20,6,FALSE),0),IFERROR(VLOOKUP(B457,'Co-Host Agreements'!$A$6:$K$20,4,FALSE),"")="Hybrid (Flat + % of NET)",IFERROR(VLOOKUP(B457,'Co-Host Agreements'!$A$6:$K$20,6,FALSE),0)+J457*K457,TRUE,0))</f>
        <v/>
      </c>
      <c r="M457" s="41">
        <f>IF(B457="","",J457-L457)</f>
        <v/>
      </c>
      <c r="N457" s="36" t="n"/>
      <c r="O457" s="36" t="n"/>
    </row>
    <row r="458" ht="16" customHeight="1">
      <c r="A458" s="39" t="n"/>
      <c r="B458" s="36" t="n"/>
      <c r="C458" s="36" t="n"/>
      <c r="D458" s="36" t="n"/>
      <c r="E458" s="36" t="n"/>
      <c r="F458" s="40" t="n"/>
      <c r="G458" s="40" t="n"/>
      <c r="H458" s="40" t="n"/>
      <c r="I458" s="40" t="n"/>
      <c r="J458" s="41">
        <f>IF(F458="","",F458-IF(IFERROR(VLOOKUP(B458,'Co-Host Agreements'!$A$6:$K$20,7,FALSE),"No")="Yes",G458,0)-IF(IFERROR(VLOOKUP(B458,'Co-Host Agreements'!$A$6:$K$20,8,FALSE),"No")="Yes",H458,0)-N(I458))</f>
        <v/>
      </c>
      <c r="K458" s="42">
        <f>IFERROR(VLOOKUP(B458,'Co-Host Agreements'!$A$6:$K$20,5,FALSE),0)</f>
        <v/>
      </c>
      <c r="L458" s="41">
        <f>IF(B458="","",IFS(IFERROR(VLOOKUP(B458,'Co-Host Agreements'!$A$6:$K$20,4,FALSE),"")="% of NET",J458*K458,IFERROR(VLOOKUP(B458,'Co-Host Agreements'!$A$6:$K$20,4,FALSE),"")="% of GROSS",F458*K458,IFERROR(VLOOKUP(B458,'Co-Host Agreements'!$A$6:$K$20,4,FALSE),"")="Flat per booking",IFERROR(VLOOKUP(B458,'Co-Host Agreements'!$A$6:$K$20,6,FALSE),0),IFERROR(VLOOKUP(B458,'Co-Host Agreements'!$A$6:$K$20,4,FALSE),"")="Hybrid (Flat + % of NET)",IFERROR(VLOOKUP(B458,'Co-Host Agreements'!$A$6:$K$20,6,FALSE),0)+J458*K458,TRUE,0))</f>
        <v/>
      </c>
      <c r="M458" s="41">
        <f>IF(B458="","",J458-L458)</f>
        <v/>
      </c>
      <c r="N458" s="36" t="n"/>
      <c r="O458" s="36" t="n"/>
    </row>
    <row r="459" ht="16" customHeight="1">
      <c r="A459" s="39" t="n"/>
      <c r="B459" s="36" t="n"/>
      <c r="C459" s="36" t="n"/>
      <c r="D459" s="36" t="n"/>
      <c r="E459" s="36" t="n"/>
      <c r="F459" s="40" t="n"/>
      <c r="G459" s="40" t="n"/>
      <c r="H459" s="40" t="n"/>
      <c r="I459" s="40" t="n"/>
      <c r="J459" s="41">
        <f>IF(F459="","",F459-IF(IFERROR(VLOOKUP(B459,'Co-Host Agreements'!$A$6:$K$20,7,FALSE),"No")="Yes",G459,0)-IF(IFERROR(VLOOKUP(B459,'Co-Host Agreements'!$A$6:$K$20,8,FALSE),"No")="Yes",H459,0)-N(I459))</f>
        <v/>
      </c>
      <c r="K459" s="42">
        <f>IFERROR(VLOOKUP(B459,'Co-Host Agreements'!$A$6:$K$20,5,FALSE),0)</f>
        <v/>
      </c>
      <c r="L459" s="41">
        <f>IF(B459="","",IFS(IFERROR(VLOOKUP(B459,'Co-Host Agreements'!$A$6:$K$20,4,FALSE),"")="% of NET",J459*K459,IFERROR(VLOOKUP(B459,'Co-Host Agreements'!$A$6:$K$20,4,FALSE),"")="% of GROSS",F459*K459,IFERROR(VLOOKUP(B459,'Co-Host Agreements'!$A$6:$K$20,4,FALSE),"")="Flat per booking",IFERROR(VLOOKUP(B459,'Co-Host Agreements'!$A$6:$K$20,6,FALSE),0),IFERROR(VLOOKUP(B459,'Co-Host Agreements'!$A$6:$K$20,4,FALSE),"")="Hybrid (Flat + % of NET)",IFERROR(VLOOKUP(B459,'Co-Host Agreements'!$A$6:$K$20,6,FALSE),0)+J459*K459,TRUE,0))</f>
        <v/>
      </c>
      <c r="M459" s="41">
        <f>IF(B459="","",J459-L459)</f>
        <v/>
      </c>
      <c r="N459" s="36" t="n"/>
      <c r="O459" s="36" t="n"/>
    </row>
    <row r="460" ht="16" customHeight="1">
      <c r="A460" s="39" t="n"/>
      <c r="B460" s="36" t="n"/>
      <c r="C460" s="36" t="n"/>
      <c r="D460" s="36" t="n"/>
      <c r="E460" s="36" t="n"/>
      <c r="F460" s="40" t="n"/>
      <c r="G460" s="40" t="n"/>
      <c r="H460" s="40" t="n"/>
      <c r="I460" s="40" t="n"/>
      <c r="J460" s="41">
        <f>IF(F460="","",F460-IF(IFERROR(VLOOKUP(B460,'Co-Host Agreements'!$A$6:$K$20,7,FALSE),"No")="Yes",G460,0)-IF(IFERROR(VLOOKUP(B460,'Co-Host Agreements'!$A$6:$K$20,8,FALSE),"No")="Yes",H460,0)-N(I460))</f>
        <v/>
      </c>
      <c r="K460" s="42">
        <f>IFERROR(VLOOKUP(B460,'Co-Host Agreements'!$A$6:$K$20,5,FALSE),0)</f>
        <v/>
      </c>
      <c r="L460" s="41">
        <f>IF(B460="","",IFS(IFERROR(VLOOKUP(B460,'Co-Host Agreements'!$A$6:$K$20,4,FALSE),"")="% of NET",J460*K460,IFERROR(VLOOKUP(B460,'Co-Host Agreements'!$A$6:$K$20,4,FALSE),"")="% of GROSS",F460*K460,IFERROR(VLOOKUP(B460,'Co-Host Agreements'!$A$6:$K$20,4,FALSE),"")="Flat per booking",IFERROR(VLOOKUP(B460,'Co-Host Agreements'!$A$6:$K$20,6,FALSE),0),IFERROR(VLOOKUP(B460,'Co-Host Agreements'!$A$6:$K$20,4,FALSE),"")="Hybrid (Flat + % of NET)",IFERROR(VLOOKUP(B460,'Co-Host Agreements'!$A$6:$K$20,6,FALSE),0)+J460*K460,TRUE,0))</f>
        <v/>
      </c>
      <c r="M460" s="41">
        <f>IF(B460="","",J460-L460)</f>
        <v/>
      </c>
      <c r="N460" s="36" t="n"/>
      <c r="O460" s="36" t="n"/>
    </row>
    <row r="461" ht="16" customHeight="1">
      <c r="A461" s="39" t="n"/>
      <c r="B461" s="36" t="n"/>
      <c r="C461" s="36" t="n"/>
      <c r="D461" s="36" t="n"/>
      <c r="E461" s="36" t="n"/>
      <c r="F461" s="40" t="n"/>
      <c r="G461" s="40" t="n"/>
      <c r="H461" s="40" t="n"/>
      <c r="I461" s="40" t="n"/>
      <c r="J461" s="41">
        <f>IF(F461="","",F461-IF(IFERROR(VLOOKUP(B461,'Co-Host Agreements'!$A$6:$K$20,7,FALSE),"No")="Yes",G461,0)-IF(IFERROR(VLOOKUP(B461,'Co-Host Agreements'!$A$6:$K$20,8,FALSE),"No")="Yes",H461,0)-N(I461))</f>
        <v/>
      </c>
      <c r="K461" s="42">
        <f>IFERROR(VLOOKUP(B461,'Co-Host Agreements'!$A$6:$K$20,5,FALSE),0)</f>
        <v/>
      </c>
      <c r="L461" s="41">
        <f>IF(B461="","",IFS(IFERROR(VLOOKUP(B461,'Co-Host Agreements'!$A$6:$K$20,4,FALSE),"")="% of NET",J461*K461,IFERROR(VLOOKUP(B461,'Co-Host Agreements'!$A$6:$K$20,4,FALSE),"")="% of GROSS",F461*K461,IFERROR(VLOOKUP(B461,'Co-Host Agreements'!$A$6:$K$20,4,FALSE),"")="Flat per booking",IFERROR(VLOOKUP(B461,'Co-Host Agreements'!$A$6:$K$20,6,FALSE),0),IFERROR(VLOOKUP(B461,'Co-Host Agreements'!$A$6:$K$20,4,FALSE),"")="Hybrid (Flat + % of NET)",IFERROR(VLOOKUP(B461,'Co-Host Agreements'!$A$6:$K$20,6,FALSE),0)+J461*K461,TRUE,0))</f>
        <v/>
      </c>
      <c r="M461" s="41">
        <f>IF(B461="","",J461-L461)</f>
        <v/>
      </c>
      <c r="N461" s="36" t="n"/>
      <c r="O461" s="36" t="n"/>
    </row>
    <row r="462" ht="16" customHeight="1">
      <c r="A462" s="39" t="n"/>
      <c r="B462" s="36" t="n"/>
      <c r="C462" s="36" t="n"/>
      <c r="D462" s="36" t="n"/>
      <c r="E462" s="36" t="n"/>
      <c r="F462" s="40" t="n"/>
      <c r="G462" s="40" t="n"/>
      <c r="H462" s="40" t="n"/>
      <c r="I462" s="40" t="n"/>
      <c r="J462" s="41">
        <f>IF(F462="","",F462-IF(IFERROR(VLOOKUP(B462,'Co-Host Agreements'!$A$6:$K$20,7,FALSE),"No")="Yes",G462,0)-IF(IFERROR(VLOOKUP(B462,'Co-Host Agreements'!$A$6:$K$20,8,FALSE),"No")="Yes",H462,0)-N(I462))</f>
        <v/>
      </c>
      <c r="K462" s="42">
        <f>IFERROR(VLOOKUP(B462,'Co-Host Agreements'!$A$6:$K$20,5,FALSE),0)</f>
        <v/>
      </c>
      <c r="L462" s="41">
        <f>IF(B462="","",IFS(IFERROR(VLOOKUP(B462,'Co-Host Agreements'!$A$6:$K$20,4,FALSE),"")="% of NET",J462*K462,IFERROR(VLOOKUP(B462,'Co-Host Agreements'!$A$6:$K$20,4,FALSE),"")="% of GROSS",F462*K462,IFERROR(VLOOKUP(B462,'Co-Host Agreements'!$A$6:$K$20,4,FALSE),"")="Flat per booking",IFERROR(VLOOKUP(B462,'Co-Host Agreements'!$A$6:$K$20,6,FALSE),0),IFERROR(VLOOKUP(B462,'Co-Host Agreements'!$A$6:$K$20,4,FALSE),"")="Hybrid (Flat + % of NET)",IFERROR(VLOOKUP(B462,'Co-Host Agreements'!$A$6:$K$20,6,FALSE),0)+J462*K462,TRUE,0))</f>
        <v/>
      </c>
      <c r="M462" s="41">
        <f>IF(B462="","",J462-L462)</f>
        <v/>
      </c>
      <c r="N462" s="36" t="n"/>
      <c r="O462" s="36" t="n"/>
    </row>
    <row r="463" ht="16" customHeight="1">
      <c r="A463" s="39" t="n"/>
      <c r="B463" s="36" t="n"/>
      <c r="C463" s="36" t="n"/>
      <c r="D463" s="36" t="n"/>
      <c r="E463" s="36" t="n"/>
      <c r="F463" s="40" t="n"/>
      <c r="G463" s="40" t="n"/>
      <c r="H463" s="40" t="n"/>
      <c r="I463" s="40" t="n"/>
      <c r="J463" s="41">
        <f>IF(F463="","",F463-IF(IFERROR(VLOOKUP(B463,'Co-Host Agreements'!$A$6:$K$20,7,FALSE),"No")="Yes",G463,0)-IF(IFERROR(VLOOKUP(B463,'Co-Host Agreements'!$A$6:$K$20,8,FALSE),"No")="Yes",H463,0)-N(I463))</f>
        <v/>
      </c>
      <c r="K463" s="42">
        <f>IFERROR(VLOOKUP(B463,'Co-Host Agreements'!$A$6:$K$20,5,FALSE),0)</f>
        <v/>
      </c>
      <c r="L463" s="41">
        <f>IF(B463="","",IFS(IFERROR(VLOOKUP(B463,'Co-Host Agreements'!$A$6:$K$20,4,FALSE),"")="% of NET",J463*K463,IFERROR(VLOOKUP(B463,'Co-Host Agreements'!$A$6:$K$20,4,FALSE),"")="% of GROSS",F463*K463,IFERROR(VLOOKUP(B463,'Co-Host Agreements'!$A$6:$K$20,4,FALSE),"")="Flat per booking",IFERROR(VLOOKUP(B463,'Co-Host Agreements'!$A$6:$K$20,6,FALSE),0),IFERROR(VLOOKUP(B463,'Co-Host Agreements'!$A$6:$K$20,4,FALSE),"")="Hybrid (Flat + % of NET)",IFERROR(VLOOKUP(B463,'Co-Host Agreements'!$A$6:$K$20,6,FALSE),0)+J463*K463,TRUE,0))</f>
        <v/>
      </c>
      <c r="M463" s="41">
        <f>IF(B463="","",J463-L463)</f>
        <v/>
      </c>
      <c r="N463" s="36" t="n"/>
      <c r="O463" s="36" t="n"/>
    </row>
    <row r="464" ht="16" customHeight="1">
      <c r="A464" s="39" t="n"/>
      <c r="B464" s="36" t="n"/>
      <c r="C464" s="36" t="n"/>
      <c r="D464" s="36" t="n"/>
      <c r="E464" s="36" t="n"/>
      <c r="F464" s="40" t="n"/>
      <c r="G464" s="40" t="n"/>
      <c r="H464" s="40" t="n"/>
      <c r="I464" s="40" t="n"/>
      <c r="J464" s="41">
        <f>IF(F464="","",F464-IF(IFERROR(VLOOKUP(B464,'Co-Host Agreements'!$A$6:$K$20,7,FALSE),"No")="Yes",G464,0)-IF(IFERROR(VLOOKUP(B464,'Co-Host Agreements'!$A$6:$K$20,8,FALSE),"No")="Yes",H464,0)-N(I464))</f>
        <v/>
      </c>
      <c r="K464" s="42">
        <f>IFERROR(VLOOKUP(B464,'Co-Host Agreements'!$A$6:$K$20,5,FALSE),0)</f>
        <v/>
      </c>
      <c r="L464" s="41">
        <f>IF(B464="","",IFS(IFERROR(VLOOKUP(B464,'Co-Host Agreements'!$A$6:$K$20,4,FALSE),"")="% of NET",J464*K464,IFERROR(VLOOKUP(B464,'Co-Host Agreements'!$A$6:$K$20,4,FALSE),"")="% of GROSS",F464*K464,IFERROR(VLOOKUP(B464,'Co-Host Agreements'!$A$6:$K$20,4,FALSE),"")="Flat per booking",IFERROR(VLOOKUP(B464,'Co-Host Agreements'!$A$6:$K$20,6,FALSE),0),IFERROR(VLOOKUP(B464,'Co-Host Agreements'!$A$6:$K$20,4,FALSE),"")="Hybrid (Flat + % of NET)",IFERROR(VLOOKUP(B464,'Co-Host Agreements'!$A$6:$K$20,6,FALSE),0)+J464*K464,TRUE,0))</f>
        <v/>
      </c>
      <c r="M464" s="41">
        <f>IF(B464="","",J464-L464)</f>
        <v/>
      </c>
      <c r="N464" s="36" t="n"/>
      <c r="O464" s="36" t="n"/>
    </row>
    <row r="465" ht="16" customHeight="1">
      <c r="A465" s="39" t="n"/>
      <c r="B465" s="36" t="n"/>
      <c r="C465" s="36" t="n"/>
      <c r="D465" s="36" t="n"/>
      <c r="E465" s="36" t="n"/>
      <c r="F465" s="40" t="n"/>
      <c r="G465" s="40" t="n"/>
      <c r="H465" s="40" t="n"/>
      <c r="I465" s="40" t="n"/>
      <c r="J465" s="41">
        <f>IF(F465="","",F465-IF(IFERROR(VLOOKUP(B465,'Co-Host Agreements'!$A$6:$K$20,7,FALSE),"No")="Yes",G465,0)-IF(IFERROR(VLOOKUP(B465,'Co-Host Agreements'!$A$6:$K$20,8,FALSE),"No")="Yes",H465,0)-N(I465))</f>
        <v/>
      </c>
      <c r="K465" s="42">
        <f>IFERROR(VLOOKUP(B465,'Co-Host Agreements'!$A$6:$K$20,5,FALSE),0)</f>
        <v/>
      </c>
      <c r="L465" s="41">
        <f>IF(B465="","",IFS(IFERROR(VLOOKUP(B465,'Co-Host Agreements'!$A$6:$K$20,4,FALSE),"")="% of NET",J465*K465,IFERROR(VLOOKUP(B465,'Co-Host Agreements'!$A$6:$K$20,4,FALSE),"")="% of GROSS",F465*K465,IFERROR(VLOOKUP(B465,'Co-Host Agreements'!$A$6:$K$20,4,FALSE),"")="Flat per booking",IFERROR(VLOOKUP(B465,'Co-Host Agreements'!$A$6:$K$20,6,FALSE),0),IFERROR(VLOOKUP(B465,'Co-Host Agreements'!$A$6:$K$20,4,FALSE),"")="Hybrid (Flat + % of NET)",IFERROR(VLOOKUP(B465,'Co-Host Agreements'!$A$6:$K$20,6,FALSE),0)+J465*K465,TRUE,0))</f>
        <v/>
      </c>
      <c r="M465" s="41">
        <f>IF(B465="","",J465-L465)</f>
        <v/>
      </c>
      <c r="N465" s="36" t="n"/>
      <c r="O465" s="36" t="n"/>
    </row>
    <row r="466" ht="16" customHeight="1">
      <c r="A466" s="39" t="n"/>
      <c r="B466" s="36" t="n"/>
      <c r="C466" s="36" t="n"/>
      <c r="D466" s="36" t="n"/>
      <c r="E466" s="36" t="n"/>
      <c r="F466" s="40" t="n"/>
      <c r="G466" s="40" t="n"/>
      <c r="H466" s="40" t="n"/>
      <c r="I466" s="40" t="n"/>
      <c r="J466" s="41">
        <f>IF(F466="","",F466-IF(IFERROR(VLOOKUP(B466,'Co-Host Agreements'!$A$6:$K$20,7,FALSE),"No")="Yes",G466,0)-IF(IFERROR(VLOOKUP(B466,'Co-Host Agreements'!$A$6:$K$20,8,FALSE),"No")="Yes",H466,0)-N(I466))</f>
        <v/>
      </c>
      <c r="K466" s="42">
        <f>IFERROR(VLOOKUP(B466,'Co-Host Agreements'!$A$6:$K$20,5,FALSE),0)</f>
        <v/>
      </c>
      <c r="L466" s="41">
        <f>IF(B466="","",IFS(IFERROR(VLOOKUP(B466,'Co-Host Agreements'!$A$6:$K$20,4,FALSE),"")="% of NET",J466*K466,IFERROR(VLOOKUP(B466,'Co-Host Agreements'!$A$6:$K$20,4,FALSE),"")="% of GROSS",F466*K466,IFERROR(VLOOKUP(B466,'Co-Host Agreements'!$A$6:$K$20,4,FALSE),"")="Flat per booking",IFERROR(VLOOKUP(B466,'Co-Host Agreements'!$A$6:$K$20,6,FALSE),0),IFERROR(VLOOKUP(B466,'Co-Host Agreements'!$A$6:$K$20,4,FALSE),"")="Hybrid (Flat + % of NET)",IFERROR(VLOOKUP(B466,'Co-Host Agreements'!$A$6:$K$20,6,FALSE),0)+J466*K466,TRUE,0))</f>
        <v/>
      </c>
      <c r="M466" s="41">
        <f>IF(B466="","",J466-L466)</f>
        <v/>
      </c>
      <c r="N466" s="36" t="n"/>
      <c r="O466" s="36" t="n"/>
    </row>
    <row r="467" ht="16" customHeight="1">
      <c r="A467" s="39" t="n"/>
      <c r="B467" s="36" t="n"/>
      <c r="C467" s="36" t="n"/>
      <c r="D467" s="36" t="n"/>
      <c r="E467" s="36" t="n"/>
      <c r="F467" s="40" t="n"/>
      <c r="G467" s="40" t="n"/>
      <c r="H467" s="40" t="n"/>
      <c r="I467" s="40" t="n"/>
      <c r="J467" s="41">
        <f>IF(F467="","",F467-IF(IFERROR(VLOOKUP(B467,'Co-Host Agreements'!$A$6:$K$20,7,FALSE),"No")="Yes",G467,0)-IF(IFERROR(VLOOKUP(B467,'Co-Host Agreements'!$A$6:$K$20,8,FALSE),"No")="Yes",H467,0)-N(I467))</f>
        <v/>
      </c>
      <c r="K467" s="42">
        <f>IFERROR(VLOOKUP(B467,'Co-Host Agreements'!$A$6:$K$20,5,FALSE),0)</f>
        <v/>
      </c>
      <c r="L467" s="41">
        <f>IF(B467="","",IFS(IFERROR(VLOOKUP(B467,'Co-Host Agreements'!$A$6:$K$20,4,FALSE),"")="% of NET",J467*K467,IFERROR(VLOOKUP(B467,'Co-Host Agreements'!$A$6:$K$20,4,FALSE),"")="% of GROSS",F467*K467,IFERROR(VLOOKUP(B467,'Co-Host Agreements'!$A$6:$K$20,4,FALSE),"")="Flat per booking",IFERROR(VLOOKUP(B467,'Co-Host Agreements'!$A$6:$K$20,6,FALSE),0),IFERROR(VLOOKUP(B467,'Co-Host Agreements'!$A$6:$K$20,4,FALSE),"")="Hybrid (Flat + % of NET)",IFERROR(VLOOKUP(B467,'Co-Host Agreements'!$A$6:$K$20,6,FALSE),0)+J467*K467,TRUE,0))</f>
        <v/>
      </c>
      <c r="M467" s="41">
        <f>IF(B467="","",J467-L467)</f>
        <v/>
      </c>
      <c r="N467" s="36" t="n"/>
      <c r="O467" s="36" t="n"/>
    </row>
    <row r="468" ht="16" customHeight="1">
      <c r="A468" s="39" t="n"/>
      <c r="B468" s="36" t="n"/>
      <c r="C468" s="36" t="n"/>
      <c r="D468" s="36" t="n"/>
      <c r="E468" s="36" t="n"/>
      <c r="F468" s="40" t="n"/>
      <c r="G468" s="40" t="n"/>
      <c r="H468" s="40" t="n"/>
      <c r="I468" s="40" t="n"/>
      <c r="J468" s="41">
        <f>IF(F468="","",F468-IF(IFERROR(VLOOKUP(B468,'Co-Host Agreements'!$A$6:$K$20,7,FALSE),"No")="Yes",G468,0)-IF(IFERROR(VLOOKUP(B468,'Co-Host Agreements'!$A$6:$K$20,8,FALSE),"No")="Yes",H468,0)-N(I468))</f>
        <v/>
      </c>
      <c r="K468" s="42">
        <f>IFERROR(VLOOKUP(B468,'Co-Host Agreements'!$A$6:$K$20,5,FALSE),0)</f>
        <v/>
      </c>
      <c r="L468" s="41">
        <f>IF(B468="","",IFS(IFERROR(VLOOKUP(B468,'Co-Host Agreements'!$A$6:$K$20,4,FALSE),"")="% of NET",J468*K468,IFERROR(VLOOKUP(B468,'Co-Host Agreements'!$A$6:$K$20,4,FALSE),"")="% of GROSS",F468*K468,IFERROR(VLOOKUP(B468,'Co-Host Agreements'!$A$6:$K$20,4,FALSE),"")="Flat per booking",IFERROR(VLOOKUP(B468,'Co-Host Agreements'!$A$6:$K$20,6,FALSE),0),IFERROR(VLOOKUP(B468,'Co-Host Agreements'!$A$6:$K$20,4,FALSE),"")="Hybrid (Flat + % of NET)",IFERROR(VLOOKUP(B468,'Co-Host Agreements'!$A$6:$K$20,6,FALSE),0)+J468*K468,TRUE,0))</f>
        <v/>
      </c>
      <c r="M468" s="41">
        <f>IF(B468="","",J468-L468)</f>
        <v/>
      </c>
      <c r="N468" s="36" t="n"/>
      <c r="O468" s="36" t="n"/>
    </row>
    <row r="469" ht="16" customHeight="1">
      <c r="A469" s="39" t="n"/>
      <c r="B469" s="36" t="n"/>
      <c r="C469" s="36" t="n"/>
      <c r="D469" s="36" t="n"/>
      <c r="E469" s="36" t="n"/>
      <c r="F469" s="40" t="n"/>
      <c r="G469" s="40" t="n"/>
      <c r="H469" s="40" t="n"/>
      <c r="I469" s="40" t="n"/>
      <c r="J469" s="41">
        <f>IF(F469="","",F469-IF(IFERROR(VLOOKUP(B469,'Co-Host Agreements'!$A$6:$K$20,7,FALSE),"No")="Yes",G469,0)-IF(IFERROR(VLOOKUP(B469,'Co-Host Agreements'!$A$6:$K$20,8,FALSE),"No")="Yes",H469,0)-N(I469))</f>
        <v/>
      </c>
      <c r="K469" s="42">
        <f>IFERROR(VLOOKUP(B469,'Co-Host Agreements'!$A$6:$K$20,5,FALSE),0)</f>
        <v/>
      </c>
      <c r="L469" s="41">
        <f>IF(B469="","",IFS(IFERROR(VLOOKUP(B469,'Co-Host Agreements'!$A$6:$K$20,4,FALSE),"")="% of NET",J469*K469,IFERROR(VLOOKUP(B469,'Co-Host Agreements'!$A$6:$K$20,4,FALSE),"")="% of GROSS",F469*K469,IFERROR(VLOOKUP(B469,'Co-Host Agreements'!$A$6:$K$20,4,FALSE),"")="Flat per booking",IFERROR(VLOOKUP(B469,'Co-Host Agreements'!$A$6:$K$20,6,FALSE),0),IFERROR(VLOOKUP(B469,'Co-Host Agreements'!$A$6:$K$20,4,FALSE),"")="Hybrid (Flat + % of NET)",IFERROR(VLOOKUP(B469,'Co-Host Agreements'!$A$6:$K$20,6,FALSE),0)+J469*K469,TRUE,0))</f>
        <v/>
      </c>
      <c r="M469" s="41">
        <f>IF(B469="","",J469-L469)</f>
        <v/>
      </c>
      <c r="N469" s="36" t="n"/>
      <c r="O469" s="36" t="n"/>
    </row>
    <row r="470" ht="16" customHeight="1">
      <c r="A470" s="39" t="n"/>
      <c r="B470" s="36" t="n"/>
      <c r="C470" s="36" t="n"/>
      <c r="D470" s="36" t="n"/>
      <c r="E470" s="36" t="n"/>
      <c r="F470" s="40" t="n"/>
      <c r="G470" s="40" t="n"/>
      <c r="H470" s="40" t="n"/>
      <c r="I470" s="40" t="n"/>
      <c r="J470" s="41">
        <f>IF(F470="","",F470-IF(IFERROR(VLOOKUP(B470,'Co-Host Agreements'!$A$6:$K$20,7,FALSE),"No")="Yes",G470,0)-IF(IFERROR(VLOOKUP(B470,'Co-Host Agreements'!$A$6:$K$20,8,FALSE),"No")="Yes",H470,0)-N(I470))</f>
        <v/>
      </c>
      <c r="K470" s="42">
        <f>IFERROR(VLOOKUP(B470,'Co-Host Agreements'!$A$6:$K$20,5,FALSE),0)</f>
        <v/>
      </c>
      <c r="L470" s="41">
        <f>IF(B470="","",IFS(IFERROR(VLOOKUP(B470,'Co-Host Agreements'!$A$6:$K$20,4,FALSE),"")="% of NET",J470*K470,IFERROR(VLOOKUP(B470,'Co-Host Agreements'!$A$6:$K$20,4,FALSE),"")="% of GROSS",F470*K470,IFERROR(VLOOKUP(B470,'Co-Host Agreements'!$A$6:$K$20,4,FALSE),"")="Flat per booking",IFERROR(VLOOKUP(B470,'Co-Host Agreements'!$A$6:$K$20,6,FALSE),0),IFERROR(VLOOKUP(B470,'Co-Host Agreements'!$A$6:$K$20,4,FALSE),"")="Hybrid (Flat + % of NET)",IFERROR(VLOOKUP(B470,'Co-Host Agreements'!$A$6:$K$20,6,FALSE),0)+J470*K470,TRUE,0))</f>
        <v/>
      </c>
      <c r="M470" s="41">
        <f>IF(B470="","",J470-L470)</f>
        <v/>
      </c>
      <c r="N470" s="36" t="n"/>
      <c r="O470" s="36" t="n"/>
    </row>
    <row r="471" ht="16" customHeight="1">
      <c r="A471" s="39" t="n"/>
      <c r="B471" s="36" t="n"/>
      <c r="C471" s="36" t="n"/>
      <c r="D471" s="36" t="n"/>
      <c r="E471" s="36" t="n"/>
      <c r="F471" s="40" t="n"/>
      <c r="G471" s="40" t="n"/>
      <c r="H471" s="40" t="n"/>
      <c r="I471" s="40" t="n"/>
      <c r="J471" s="41">
        <f>IF(F471="","",F471-IF(IFERROR(VLOOKUP(B471,'Co-Host Agreements'!$A$6:$K$20,7,FALSE),"No")="Yes",G471,0)-IF(IFERROR(VLOOKUP(B471,'Co-Host Agreements'!$A$6:$K$20,8,FALSE),"No")="Yes",H471,0)-N(I471))</f>
        <v/>
      </c>
      <c r="K471" s="42">
        <f>IFERROR(VLOOKUP(B471,'Co-Host Agreements'!$A$6:$K$20,5,FALSE),0)</f>
        <v/>
      </c>
      <c r="L471" s="41">
        <f>IF(B471="","",IFS(IFERROR(VLOOKUP(B471,'Co-Host Agreements'!$A$6:$K$20,4,FALSE),"")="% of NET",J471*K471,IFERROR(VLOOKUP(B471,'Co-Host Agreements'!$A$6:$K$20,4,FALSE),"")="% of GROSS",F471*K471,IFERROR(VLOOKUP(B471,'Co-Host Agreements'!$A$6:$K$20,4,FALSE),"")="Flat per booking",IFERROR(VLOOKUP(B471,'Co-Host Agreements'!$A$6:$K$20,6,FALSE),0),IFERROR(VLOOKUP(B471,'Co-Host Agreements'!$A$6:$K$20,4,FALSE),"")="Hybrid (Flat + % of NET)",IFERROR(VLOOKUP(B471,'Co-Host Agreements'!$A$6:$K$20,6,FALSE),0)+J471*K471,TRUE,0))</f>
        <v/>
      </c>
      <c r="M471" s="41">
        <f>IF(B471="","",J471-L471)</f>
        <v/>
      </c>
      <c r="N471" s="36" t="n"/>
      <c r="O471" s="36" t="n"/>
    </row>
    <row r="472" ht="16" customHeight="1">
      <c r="A472" s="39" t="n"/>
      <c r="B472" s="36" t="n"/>
      <c r="C472" s="36" t="n"/>
      <c r="D472" s="36" t="n"/>
      <c r="E472" s="36" t="n"/>
      <c r="F472" s="40" t="n"/>
      <c r="G472" s="40" t="n"/>
      <c r="H472" s="40" t="n"/>
      <c r="I472" s="40" t="n"/>
      <c r="J472" s="41">
        <f>IF(F472="","",F472-IF(IFERROR(VLOOKUP(B472,'Co-Host Agreements'!$A$6:$K$20,7,FALSE),"No")="Yes",G472,0)-IF(IFERROR(VLOOKUP(B472,'Co-Host Agreements'!$A$6:$K$20,8,FALSE),"No")="Yes",H472,0)-N(I472))</f>
        <v/>
      </c>
      <c r="K472" s="42">
        <f>IFERROR(VLOOKUP(B472,'Co-Host Agreements'!$A$6:$K$20,5,FALSE),0)</f>
        <v/>
      </c>
      <c r="L472" s="41">
        <f>IF(B472="","",IFS(IFERROR(VLOOKUP(B472,'Co-Host Agreements'!$A$6:$K$20,4,FALSE),"")="% of NET",J472*K472,IFERROR(VLOOKUP(B472,'Co-Host Agreements'!$A$6:$K$20,4,FALSE),"")="% of GROSS",F472*K472,IFERROR(VLOOKUP(B472,'Co-Host Agreements'!$A$6:$K$20,4,FALSE),"")="Flat per booking",IFERROR(VLOOKUP(B472,'Co-Host Agreements'!$A$6:$K$20,6,FALSE),0),IFERROR(VLOOKUP(B472,'Co-Host Agreements'!$A$6:$K$20,4,FALSE),"")="Hybrid (Flat + % of NET)",IFERROR(VLOOKUP(B472,'Co-Host Agreements'!$A$6:$K$20,6,FALSE),0)+J472*K472,TRUE,0))</f>
        <v/>
      </c>
      <c r="M472" s="41">
        <f>IF(B472="","",J472-L472)</f>
        <v/>
      </c>
      <c r="N472" s="36" t="n"/>
      <c r="O472" s="36" t="n"/>
    </row>
    <row r="473" ht="16" customHeight="1">
      <c r="A473" s="39" t="n"/>
      <c r="B473" s="36" t="n"/>
      <c r="C473" s="36" t="n"/>
      <c r="D473" s="36" t="n"/>
      <c r="E473" s="36" t="n"/>
      <c r="F473" s="40" t="n"/>
      <c r="G473" s="40" t="n"/>
      <c r="H473" s="40" t="n"/>
      <c r="I473" s="40" t="n"/>
      <c r="J473" s="41">
        <f>IF(F473="","",F473-IF(IFERROR(VLOOKUP(B473,'Co-Host Agreements'!$A$6:$K$20,7,FALSE),"No")="Yes",G473,0)-IF(IFERROR(VLOOKUP(B473,'Co-Host Agreements'!$A$6:$K$20,8,FALSE),"No")="Yes",H473,0)-N(I473))</f>
        <v/>
      </c>
      <c r="K473" s="42">
        <f>IFERROR(VLOOKUP(B473,'Co-Host Agreements'!$A$6:$K$20,5,FALSE),0)</f>
        <v/>
      </c>
      <c r="L473" s="41">
        <f>IF(B473="","",IFS(IFERROR(VLOOKUP(B473,'Co-Host Agreements'!$A$6:$K$20,4,FALSE),"")="% of NET",J473*K473,IFERROR(VLOOKUP(B473,'Co-Host Agreements'!$A$6:$K$20,4,FALSE),"")="% of GROSS",F473*K473,IFERROR(VLOOKUP(B473,'Co-Host Agreements'!$A$6:$K$20,4,FALSE),"")="Flat per booking",IFERROR(VLOOKUP(B473,'Co-Host Agreements'!$A$6:$K$20,6,FALSE),0),IFERROR(VLOOKUP(B473,'Co-Host Agreements'!$A$6:$K$20,4,FALSE),"")="Hybrid (Flat + % of NET)",IFERROR(VLOOKUP(B473,'Co-Host Agreements'!$A$6:$K$20,6,FALSE),0)+J473*K473,TRUE,0))</f>
        <v/>
      </c>
      <c r="M473" s="41">
        <f>IF(B473="","",J473-L473)</f>
        <v/>
      </c>
      <c r="N473" s="36" t="n"/>
      <c r="O473" s="36" t="n"/>
    </row>
    <row r="474" ht="16" customHeight="1">
      <c r="A474" s="39" t="n"/>
      <c r="B474" s="36" t="n"/>
      <c r="C474" s="36" t="n"/>
      <c r="D474" s="36" t="n"/>
      <c r="E474" s="36" t="n"/>
      <c r="F474" s="40" t="n"/>
      <c r="G474" s="40" t="n"/>
      <c r="H474" s="40" t="n"/>
      <c r="I474" s="40" t="n"/>
      <c r="J474" s="41">
        <f>IF(F474="","",F474-IF(IFERROR(VLOOKUP(B474,'Co-Host Agreements'!$A$6:$K$20,7,FALSE),"No")="Yes",G474,0)-IF(IFERROR(VLOOKUP(B474,'Co-Host Agreements'!$A$6:$K$20,8,FALSE),"No")="Yes",H474,0)-N(I474))</f>
        <v/>
      </c>
      <c r="K474" s="42">
        <f>IFERROR(VLOOKUP(B474,'Co-Host Agreements'!$A$6:$K$20,5,FALSE),0)</f>
        <v/>
      </c>
      <c r="L474" s="41">
        <f>IF(B474="","",IFS(IFERROR(VLOOKUP(B474,'Co-Host Agreements'!$A$6:$K$20,4,FALSE),"")="% of NET",J474*K474,IFERROR(VLOOKUP(B474,'Co-Host Agreements'!$A$6:$K$20,4,FALSE),"")="% of GROSS",F474*K474,IFERROR(VLOOKUP(B474,'Co-Host Agreements'!$A$6:$K$20,4,FALSE),"")="Flat per booking",IFERROR(VLOOKUP(B474,'Co-Host Agreements'!$A$6:$K$20,6,FALSE),0),IFERROR(VLOOKUP(B474,'Co-Host Agreements'!$A$6:$K$20,4,FALSE),"")="Hybrid (Flat + % of NET)",IFERROR(VLOOKUP(B474,'Co-Host Agreements'!$A$6:$K$20,6,FALSE),0)+J474*K474,TRUE,0))</f>
        <v/>
      </c>
      <c r="M474" s="41">
        <f>IF(B474="","",J474-L474)</f>
        <v/>
      </c>
      <c r="N474" s="36" t="n"/>
      <c r="O474" s="36" t="n"/>
    </row>
    <row r="475" ht="16" customHeight="1">
      <c r="A475" s="39" t="n"/>
      <c r="B475" s="36" t="n"/>
      <c r="C475" s="36" t="n"/>
      <c r="D475" s="36" t="n"/>
      <c r="E475" s="36" t="n"/>
      <c r="F475" s="40" t="n"/>
      <c r="G475" s="40" t="n"/>
      <c r="H475" s="40" t="n"/>
      <c r="I475" s="40" t="n"/>
      <c r="J475" s="41">
        <f>IF(F475="","",F475-IF(IFERROR(VLOOKUP(B475,'Co-Host Agreements'!$A$6:$K$20,7,FALSE),"No")="Yes",G475,0)-IF(IFERROR(VLOOKUP(B475,'Co-Host Agreements'!$A$6:$K$20,8,FALSE),"No")="Yes",H475,0)-N(I475))</f>
        <v/>
      </c>
      <c r="K475" s="42">
        <f>IFERROR(VLOOKUP(B475,'Co-Host Agreements'!$A$6:$K$20,5,FALSE),0)</f>
        <v/>
      </c>
      <c r="L475" s="41">
        <f>IF(B475="","",IFS(IFERROR(VLOOKUP(B475,'Co-Host Agreements'!$A$6:$K$20,4,FALSE),"")="% of NET",J475*K475,IFERROR(VLOOKUP(B475,'Co-Host Agreements'!$A$6:$K$20,4,FALSE),"")="% of GROSS",F475*K475,IFERROR(VLOOKUP(B475,'Co-Host Agreements'!$A$6:$K$20,4,FALSE),"")="Flat per booking",IFERROR(VLOOKUP(B475,'Co-Host Agreements'!$A$6:$K$20,6,FALSE),0),IFERROR(VLOOKUP(B475,'Co-Host Agreements'!$A$6:$K$20,4,FALSE),"")="Hybrid (Flat + % of NET)",IFERROR(VLOOKUP(B475,'Co-Host Agreements'!$A$6:$K$20,6,FALSE),0)+J475*K475,TRUE,0))</f>
        <v/>
      </c>
      <c r="M475" s="41">
        <f>IF(B475="","",J475-L475)</f>
        <v/>
      </c>
      <c r="N475" s="36" t="n"/>
      <c r="O475" s="36" t="n"/>
    </row>
    <row r="476" ht="16" customHeight="1">
      <c r="A476" s="39" t="n"/>
      <c r="B476" s="36" t="n"/>
      <c r="C476" s="36" t="n"/>
      <c r="D476" s="36" t="n"/>
      <c r="E476" s="36" t="n"/>
      <c r="F476" s="40" t="n"/>
      <c r="G476" s="40" t="n"/>
      <c r="H476" s="40" t="n"/>
      <c r="I476" s="40" t="n"/>
      <c r="J476" s="41">
        <f>IF(F476="","",F476-IF(IFERROR(VLOOKUP(B476,'Co-Host Agreements'!$A$6:$K$20,7,FALSE),"No")="Yes",G476,0)-IF(IFERROR(VLOOKUP(B476,'Co-Host Agreements'!$A$6:$K$20,8,FALSE),"No")="Yes",H476,0)-N(I476))</f>
        <v/>
      </c>
      <c r="K476" s="42">
        <f>IFERROR(VLOOKUP(B476,'Co-Host Agreements'!$A$6:$K$20,5,FALSE),0)</f>
        <v/>
      </c>
      <c r="L476" s="41">
        <f>IF(B476="","",IFS(IFERROR(VLOOKUP(B476,'Co-Host Agreements'!$A$6:$K$20,4,FALSE),"")="% of NET",J476*K476,IFERROR(VLOOKUP(B476,'Co-Host Agreements'!$A$6:$K$20,4,FALSE),"")="% of GROSS",F476*K476,IFERROR(VLOOKUP(B476,'Co-Host Agreements'!$A$6:$K$20,4,FALSE),"")="Flat per booking",IFERROR(VLOOKUP(B476,'Co-Host Agreements'!$A$6:$K$20,6,FALSE),0),IFERROR(VLOOKUP(B476,'Co-Host Agreements'!$A$6:$K$20,4,FALSE),"")="Hybrid (Flat + % of NET)",IFERROR(VLOOKUP(B476,'Co-Host Agreements'!$A$6:$K$20,6,FALSE),0)+J476*K476,TRUE,0))</f>
        <v/>
      </c>
      <c r="M476" s="41">
        <f>IF(B476="","",J476-L476)</f>
        <v/>
      </c>
      <c r="N476" s="36" t="n"/>
      <c r="O476" s="36" t="n"/>
    </row>
    <row r="477" ht="16" customHeight="1">
      <c r="A477" s="39" t="n"/>
      <c r="B477" s="36" t="n"/>
      <c r="C477" s="36" t="n"/>
      <c r="D477" s="36" t="n"/>
      <c r="E477" s="36" t="n"/>
      <c r="F477" s="40" t="n"/>
      <c r="G477" s="40" t="n"/>
      <c r="H477" s="40" t="n"/>
      <c r="I477" s="40" t="n"/>
      <c r="J477" s="41">
        <f>IF(F477="","",F477-IF(IFERROR(VLOOKUP(B477,'Co-Host Agreements'!$A$6:$K$20,7,FALSE),"No")="Yes",G477,0)-IF(IFERROR(VLOOKUP(B477,'Co-Host Agreements'!$A$6:$K$20,8,FALSE),"No")="Yes",H477,0)-N(I477))</f>
        <v/>
      </c>
      <c r="K477" s="42">
        <f>IFERROR(VLOOKUP(B477,'Co-Host Agreements'!$A$6:$K$20,5,FALSE),0)</f>
        <v/>
      </c>
      <c r="L477" s="41">
        <f>IF(B477="","",IFS(IFERROR(VLOOKUP(B477,'Co-Host Agreements'!$A$6:$K$20,4,FALSE),"")="% of NET",J477*K477,IFERROR(VLOOKUP(B477,'Co-Host Agreements'!$A$6:$K$20,4,FALSE),"")="% of GROSS",F477*K477,IFERROR(VLOOKUP(B477,'Co-Host Agreements'!$A$6:$K$20,4,FALSE),"")="Flat per booking",IFERROR(VLOOKUP(B477,'Co-Host Agreements'!$A$6:$K$20,6,FALSE),0),IFERROR(VLOOKUP(B477,'Co-Host Agreements'!$A$6:$K$20,4,FALSE),"")="Hybrid (Flat + % of NET)",IFERROR(VLOOKUP(B477,'Co-Host Agreements'!$A$6:$K$20,6,FALSE),0)+J477*K477,TRUE,0))</f>
        <v/>
      </c>
      <c r="M477" s="41">
        <f>IF(B477="","",J477-L477)</f>
        <v/>
      </c>
      <c r="N477" s="36" t="n"/>
      <c r="O477" s="36" t="n"/>
    </row>
    <row r="478" ht="16" customHeight="1">
      <c r="A478" s="39" t="n"/>
      <c r="B478" s="36" t="n"/>
      <c r="C478" s="36" t="n"/>
      <c r="D478" s="36" t="n"/>
      <c r="E478" s="36" t="n"/>
      <c r="F478" s="40" t="n"/>
      <c r="G478" s="40" t="n"/>
      <c r="H478" s="40" t="n"/>
      <c r="I478" s="40" t="n"/>
      <c r="J478" s="41">
        <f>IF(F478="","",F478-IF(IFERROR(VLOOKUP(B478,'Co-Host Agreements'!$A$6:$K$20,7,FALSE),"No")="Yes",G478,0)-IF(IFERROR(VLOOKUP(B478,'Co-Host Agreements'!$A$6:$K$20,8,FALSE),"No")="Yes",H478,0)-N(I478))</f>
        <v/>
      </c>
      <c r="K478" s="42">
        <f>IFERROR(VLOOKUP(B478,'Co-Host Agreements'!$A$6:$K$20,5,FALSE),0)</f>
        <v/>
      </c>
      <c r="L478" s="41">
        <f>IF(B478="","",IFS(IFERROR(VLOOKUP(B478,'Co-Host Agreements'!$A$6:$K$20,4,FALSE),"")="% of NET",J478*K478,IFERROR(VLOOKUP(B478,'Co-Host Agreements'!$A$6:$K$20,4,FALSE),"")="% of GROSS",F478*K478,IFERROR(VLOOKUP(B478,'Co-Host Agreements'!$A$6:$K$20,4,FALSE),"")="Flat per booking",IFERROR(VLOOKUP(B478,'Co-Host Agreements'!$A$6:$K$20,6,FALSE),0),IFERROR(VLOOKUP(B478,'Co-Host Agreements'!$A$6:$K$20,4,FALSE),"")="Hybrid (Flat + % of NET)",IFERROR(VLOOKUP(B478,'Co-Host Agreements'!$A$6:$K$20,6,FALSE),0)+J478*K478,TRUE,0))</f>
        <v/>
      </c>
      <c r="M478" s="41">
        <f>IF(B478="","",J478-L478)</f>
        <v/>
      </c>
      <c r="N478" s="36" t="n"/>
      <c r="O478" s="36" t="n"/>
    </row>
    <row r="479" ht="16" customHeight="1">
      <c r="A479" s="39" t="n"/>
      <c r="B479" s="36" t="n"/>
      <c r="C479" s="36" t="n"/>
      <c r="D479" s="36" t="n"/>
      <c r="E479" s="36" t="n"/>
      <c r="F479" s="40" t="n"/>
      <c r="G479" s="40" t="n"/>
      <c r="H479" s="40" t="n"/>
      <c r="I479" s="40" t="n"/>
      <c r="J479" s="41">
        <f>IF(F479="","",F479-IF(IFERROR(VLOOKUP(B479,'Co-Host Agreements'!$A$6:$K$20,7,FALSE),"No")="Yes",G479,0)-IF(IFERROR(VLOOKUP(B479,'Co-Host Agreements'!$A$6:$K$20,8,FALSE),"No")="Yes",H479,0)-N(I479))</f>
        <v/>
      </c>
      <c r="K479" s="42">
        <f>IFERROR(VLOOKUP(B479,'Co-Host Agreements'!$A$6:$K$20,5,FALSE),0)</f>
        <v/>
      </c>
      <c r="L479" s="41">
        <f>IF(B479="","",IFS(IFERROR(VLOOKUP(B479,'Co-Host Agreements'!$A$6:$K$20,4,FALSE),"")="% of NET",J479*K479,IFERROR(VLOOKUP(B479,'Co-Host Agreements'!$A$6:$K$20,4,FALSE),"")="% of GROSS",F479*K479,IFERROR(VLOOKUP(B479,'Co-Host Agreements'!$A$6:$K$20,4,FALSE),"")="Flat per booking",IFERROR(VLOOKUP(B479,'Co-Host Agreements'!$A$6:$K$20,6,FALSE),0),IFERROR(VLOOKUP(B479,'Co-Host Agreements'!$A$6:$K$20,4,FALSE),"")="Hybrid (Flat + % of NET)",IFERROR(VLOOKUP(B479,'Co-Host Agreements'!$A$6:$K$20,6,FALSE),0)+J479*K479,TRUE,0))</f>
        <v/>
      </c>
      <c r="M479" s="41">
        <f>IF(B479="","",J479-L479)</f>
        <v/>
      </c>
      <c r="N479" s="36" t="n"/>
      <c r="O479" s="36" t="n"/>
    </row>
    <row r="480" ht="16" customHeight="1">
      <c r="A480" s="39" t="n"/>
      <c r="B480" s="36" t="n"/>
      <c r="C480" s="36" t="n"/>
      <c r="D480" s="36" t="n"/>
      <c r="E480" s="36" t="n"/>
      <c r="F480" s="40" t="n"/>
      <c r="G480" s="40" t="n"/>
      <c r="H480" s="40" t="n"/>
      <c r="I480" s="40" t="n"/>
      <c r="J480" s="41">
        <f>IF(F480="","",F480-IF(IFERROR(VLOOKUP(B480,'Co-Host Agreements'!$A$6:$K$20,7,FALSE),"No")="Yes",G480,0)-IF(IFERROR(VLOOKUP(B480,'Co-Host Agreements'!$A$6:$K$20,8,FALSE),"No")="Yes",H480,0)-N(I480))</f>
        <v/>
      </c>
      <c r="K480" s="42">
        <f>IFERROR(VLOOKUP(B480,'Co-Host Agreements'!$A$6:$K$20,5,FALSE),0)</f>
        <v/>
      </c>
      <c r="L480" s="41">
        <f>IF(B480="","",IFS(IFERROR(VLOOKUP(B480,'Co-Host Agreements'!$A$6:$K$20,4,FALSE),"")="% of NET",J480*K480,IFERROR(VLOOKUP(B480,'Co-Host Agreements'!$A$6:$K$20,4,FALSE),"")="% of GROSS",F480*K480,IFERROR(VLOOKUP(B480,'Co-Host Agreements'!$A$6:$K$20,4,FALSE),"")="Flat per booking",IFERROR(VLOOKUP(B480,'Co-Host Agreements'!$A$6:$K$20,6,FALSE),0),IFERROR(VLOOKUP(B480,'Co-Host Agreements'!$A$6:$K$20,4,FALSE),"")="Hybrid (Flat + % of NET)",IFERROR(VLOOKUP(B480,'Co-Host Agreements'!$A$6:$K$20,6,FALSE),0)+J480*K480,TRUE,0))</f>
        <v/>
      </c>
      <c r="M480" s="41">
        <f>IF(B480="","",J480-L480)</f>
        <v/>
      </c>
      <c r="N480" s="36" t="n"/>
      <c r="O480" s="36" t="n"/>
    </row>
    <row r="481" ht="16" customHeight="1">
      <c r="A481" s="39" t="n"/>
      <c r="B481" s="36" t="n"/>
      <c r="C481" s="36" t="n"/>
      <c r="D481" s="36" t="n"/>
      <c r="E481" s="36" t="n"/>
      <c r="F481" s="40" t="n"/>
      <c r="G481" s="40" t="n"/>
      <c r="H481" s="40" t="n"/>
      <c r="I481" s="40" t="n"/>
      <c r="J481" s="41">
        <f>IF(F481="","",F481-IF(IFERROR(VLOOKUP(B481,'Co-Host Agreements'!$A$6:$K$20,7,FALSE),"No")="Yes",G481,0)-IF(IFERROR(VLOOKUP(B481,'Co-Host Agreements'!$A$6:$K$20,8,FALSE),"No")="Yes",H481,0)-N(I481))</f>
        <v/>
      </c>
      <c r="K481" s="42">
        <f>IFERROR(VLOOKUP(B481,'Co-Host Agreements'!$A$6:$K$20,5,FALSE),0)</f>
        <v/>
      </c>
      <c r="L481" s="41">
        <f>IF(B481="","",IFS(IFERROR(VLOOKUP(B481,'Co-Host Agreements'!$A$6:$K$20,4,FALSE),"")="% of NET",J481*K481,IFERROR(VLOOKUP(B481,'Co-Host Agreements'!$A$6:$K$20,4,FALSE),"")="% of GROSS",F481*K481,IFERROR(VLOOKUP(B481,'Co-Host Agreements'!$A$6:$K$20,4,FALSE),"")="Flat per booking",IFERROR(VLOOKUP(B481,'Co-Host Agreements'!$A$6:$K$20,6,FALSE),0),IFERROR(VLOOKUP(B481,'Co-Host Agreements'!$A$6:$K$20,4,FALSE),"")="Hybrid (Flat + % of NET)",IFERROR(VLOOKUP(B481,'Co-Host Agreements'!$A$6:$K$20,6,FALSE),0)+J481*K481,TRUE,0))</f>
        <v/>
      </c>
      <c r="M481" s="41">
        <f>IF(B481="","",J481-L481)</f>
        <v/>
      </c>
      <c r="N481" s="36" t="n"/>
      <c r="O481" s="36" t="n"/>
    </row>
    <row r="482" ht="16" customHeight="1">
      <c r="A482" s="39" t="n"/>
      <c r="B482" s="36" t="n"/>
      <c r="C482" s="36" t="n"/>
      <c r="D482" s="36" t="n"/>
      <c r="E482" s="36" t="n"/>
      <c r="F482" s="40" t="n"/>
      <c r="G482" s="40" t="n"/>
      <c r="H482" s="40" t="n"/>
      <c r="I482" s="40" t="n"/>
      <c r="J482" s="41">
        <f>IF(F482="","",F482-IF(IFERROR(VLOOKUP(B482,'Co-Host Agreements'!$A$6:$K$20,7,FALSE),"No")="Yes",G482,0)-IF(IFERROR(VLOOKUP(B482,'Co-Host Agreements'!$A$6:$K$20,8,FALSE),"No")="Yes",H482,0)-N(I482))</f>
        <v/>
      </c>
      <c r="K482" s="42">
        <f>IFERROR(VLOOKUP(B482,'Co-Host Agreements'!$A$6:$K$20,5,FALSE),0)</f>
        <v/>
      </c>
      <c r="L482" s="41">
        <f>IF(B482="","",IFS(IFERROR(VLOOKUP(B482,'Co-Host Agreements'!$A$6:$K$20,4,FALSE),"")="% of NET",J482*K482,IFERROR(VLOOKUP(B482,'Co-Host Agreements'!$A$6:$K$20,4,FALSE),"")="% of GROSS",F482*K482,IFERROR(VLOOKUP(B482,'Co-Host Agreements'!$A$6:$K$20,4,FALSE),"")="Flat per booking",IFERROR(VLOOKUP(B482,'Co-Host Agreements'!$A$6:$K$20,6,FALSE),0),IFERROR(VLOOKUP(B482,'Co-Host Agreements'!$A$6:$K$20,4,FALSE),"")="Hybrid (Flat + % of NET)",IFERROR(VLOOKUP(B482,'Co-Host Agreements'!$A$6:$K$20,6,FALSE),0)+J482*K482,TRUE,0))</f>
        <v/>
      </c>
      <c r="M482" s="41">
        <f>IF(B482="","",J482-L482)</f>
        <v/>
      </c>
      <c r="N482" s="36" t="n"/>
      <c r="O482" s="36" t="n"/>
    </row>
    <row r="483" ht="16" customHeight="1">
      <c r="A483" s="39" t="n"/>
      <c r="B483" s="36" t="n"/>
      <c r="C483" s="36" t="n"/>
      <c r="D483" s="36" t="n"/>
      <c r="E483" s="36" t="n"/>
      <c r="F483" s="40" t="n"/>
      <c r="G483" s="40" t="n"/>
      <c r="H483" s="40" t="n"/>
      <c r="I483" s="40" t="n"/>
      <c r="J483" s="41">
        <f>IF(F483="","",F483-IF(IFERROR(VLOOKUP(B483,'Co-Host Agreements'!$A$6:$K$20,7,FALSE),"No")="Yes",G483,0)-IF(IFERROR(VLOOKUP(B483,'Co-Host Agreements'!$A$6:$K$20,8,FALSE),"No")="Yes",H483,0)-N(I483))</f>
        <v/>
      </c>
      <c r="K483" s="42">
        <f>IFERROR(VLOOKUP(B483,'Co-Host Agreements'!$A$6:$K$20,5,FALSE),0)</f>
        <v/>
      </c>
      <c r="L483" s="41">
        <f>IF(B483="","",IFS(IFERROR(VLOOKUP(B483,'Co-Host Agreements'!$A$6:$K$20,4,FALSE),"")="% of NET",J483*K483,IFERROR(VLOOKUP(B483,'Co-Host Agreements'!$A$6:$K$20,4,FALSE),"")="% of GROSS",F483*K483,IFERROR(VLOOKUP(B483,'Co-Host Agreements'!$A$6:$K$20,4,FALSE),"")="Flat per booking",IFERROR(VLOOKUP(B483,'Co-Host Agreements'!$A$6:$K$20,6,FALSE),0),IFERROR(VLOOKUP(B483,'Co-Host Agreements'!$A$6:$K$20,4,FALSE),"")="Hybrid (Flat + % of NET)",IFERROR(VLOOKUP(B483,'Co-Host Agreements'!$A$6:$K$20,6,FALSE),0)+J483*K483,TRUE,0))</f>
        <v/>
      </c>
      <c r="M483" s="41">
        <f>IF(B483="","",J483-L483)</f>
        <v/>
      </c>
      <c r="N483" s="36" t="n"/>
      <c r="O483" s="36" t="n"/>
    </row>
    <row r="484" ht="16" customHeight="1">
      <c r="A484" s="39" t="n"/>
      <c r="B484" s="36" t="n"/>
      <c r="C484" s="36" t="n"/>
      <c r="D484" s="36" t="n"/>
      <c r="E484" s="36" t="n"/>
      <c r="F484" s="40" t="n"/>
      <c r="G484" s="40" t="n"/>
      <c r="H484" s="40" t="n"/>
      <c r="I484" s="40" t="n"/>
      <c r="J484" s="41">
        <f>IF(F484="","",F484-IF(IFERROR(VLOOKUP(B484,'Co-Host Agreements'!$A$6:$K$20,7,FALSE),"No")="Yes",G484,0)-IF(IFERROR(VLOOKUP(B484,'Co-Host Agreements'!$A$6:$K$20,8,FALSE),"No")="Yes",H484,0)-N(I484))</f>
        <v/>
      </c>
      <c r="K484" s="42">
        <f>IFERROR(VLOOKUP(B484,'Co-Host Agreements'!$A$6:$K$20,5,FALSE),0)</f>
        <v/>
      </c>
      <c r="L484" s="41">
        <f>IF(B484="","",IFS(IFERROR(VLOOKUP(B484,'Co-Host Agreements'!$A$6:$K$20,4,FALSE),"")="% of NET",J484*K484,IFERROR(VLOOKUP(B484,'Co-Host Agreements'!$A$6:$K$20,4,FALSE),"")="% of GROSS",F484*K484,IFERROR(VLOOKUP(B484,'Co-Host Agreements'!$A$6:$K$20,4,FALSE),"")="Flat per booking",IFERROR(VLOOKUP(B484,'Co-Host Agreements'!$A$6:$K$20,6,FALSE),0),IFERROR(VLOOKUP(B484,'Co-Host Agreements'!$A$6:$K$20,4,FALSE),"")="Hybrid (Flat + % of NET)",IFERROR(VLOOKUP(B484,'Co-Host Agreements'!$A$6:$K$20,6,FALSE),0)+J484*K484,TRUE,0))</f>
        <v/>
      </c>
      <c r="M484" s="41">
        <f>IF(B484="","",J484-L484)</f>
        <v/>
      </c>
      <c r="N484" s="36" t="n"/>
      <c r="O484" s="36" t="n"/>
    </row>
    <row r="485" ht="16" customHeight="1">
      <c r="A485" s="39" t="n"/>
      <c r="B485" s="36" t="n"/>
      <c r="C485" s="36" t="n"/>
      <c r="D485" s="36" t="n"/>
      <c r="E485" s="36" t="n"/>
      <c r="F485" s="40" t="n"/>
      <c r="G485" s="40" t="n"/>
      <c r="H485" s="40" t="n"/>
      <c r="I485" s="40" t="n"/>
      <c r="J485" s="41">
        <f>IF(F485="","",F485-IF(IFERROR(VLOOKUP(B485,'Co-Host Agreements'!$A$6:$K$20,7,FALSE),"No")="Yes",G485,0)-IF(IFERROR(VLOOKUP(B485,'Co-Host Agreements'!$A$6:$K$20,8,FALSE),"No")="Yes",H485,0)-N(I485))</f>
        <v/>
      </c>
      <c r="K485" s="42">
        <f>IFERROR(VLOOKUP(B485,'Co-Host Agreements'!$A$6:$K$20,5,FALSE),0)</f>
        <v/>
      </c>
      <c r="L485" s="41">
        <f>IF(B485="","",IFS(IFERROR(VLOOKUP(B485,'Co-Host Agreements'!$A$6:$K$20,4,FALSE),"")="% of NET",J485*K485,IFERROR(VLOOKUP(B485,'Co-Host Agreements'!$A$6:$K$20,4,FALSE),"")="% of GROSS",F485*K485,IFERROR(VLOOKUP(B485,'Co-Host Agreements'!$A$6:$K$20,4,FALSE),"")="Flat per booking",IFERROR(VLOOKUP(B485,'Co-Host Agreements'!$A$6:$K$20,6,FALSE),0),IFERROR(VLOOKUP(B485,'Co-Host Agreements'!$A$6:$K$20,4,FALSE),"")="Hybrid (Flat + % of NET)",IFERROR(VLOOKUP(B485,'Co-Host Agreements'!$A$6:$K$20,6,FALSE),0)+J485*K485,TRUE,0))</f>
        <v/>
      </c>
      <c r="M485" s="41">
        <f>IF(B485="","",J485-L485)</f>
        <v/>
      </c>
      <c r="N485" s="36" t="n"/>
      <c r="O485" s="36" t="n"/>
    </row>
    <row r="486" ht="16" customHeight="1">
      <c r="A486" s="39" t="n"/>
      <c r="B486" s="36" t="n"/>
      <c r="C486" s="36" t="n"/>
      <c r="D486" s="36" t="n"/>
      <c r="E486" s="36" t="n"/>
      <c r="F486" s="40" t="n"/>
      <c r="G486" s="40" t="n"/>
      <c r="H486" s="40" t="n"/>
      <c r="I486" s="40" t="n"/>
      <c r="J486" s="41">
        <f>IF(F486="","",F486-IF(IFERROR(VLOOKUP(B486,'Co-Host Agreements'!$A$6:$K$20,7,FALSE),"No")="Yes",G486,0)-IF(IFERROR(VLOOKUP(B486,'Co-Host Agreements'!$A$6:$K$20,8,FALSE),"No")="Yes",H486,0)-N(I486))</f>
        <v/>
      </c>
      <c r="K486" s="42">
        <f>IFERROR(VLOOKUP(B486,'Co-Host Agreements'!$A$6:$K$20,5,FALSE),0)</f>
        <v/>
      </c>
      <c r="L486" s="41">
        <f>IF(B486="","",IFS(IFERROR(VLOOKUP(B486,'Co-Host Agreements'!$A$6:$K$20,4,FALSE),"")="% of NET",J486*K486,IFERROR(VLOOKUP(B486,'Co-Host Agreements'!$A$6:$K$20,4,FALSE),"")="% of GROSS",F486*K486,IFERROR(VLOOKUP(B486,'Co-Host Agreements'!$A$6:$K$20,4,FALSE),"")="Flat per booking",IFERROR(VLOOKUP(B486,'Co-Host Agreements'!$A$6:$K$20,6,FALSE),0),IFERROR(VLOOKUP(B486,'Co-Host Agreements'!$A$6:$K$20,4,FALSE),"")="Hybrid (Flat + % of NET)",IFERROR(VLOOKUP(B486,'Co-Host Agreements'!$A$6:$K$20,6,FALSE),0)+J486*K486,TRUE,0))</f>
        <v/>
      </c>
      <c r="M486" s="41">
        <f>IF(B486="","",J486-L486)</f>
        <v/>
      </c>
      <c r="N486" s="36" t="n"/>
      <c r="O486" s="36" t="n"/>
    </row>
    <row r="487" ht="16" customHeight="1">
      <c r="A487" s="39" t="n"/>
      <c r="B487" s="36" t="n"/>
      <c r="C487" s="36" t="n"/>
      <c r="D487" s="36" t="n"/>
      <c r="E487" s="36" t="n"/>
      <c r="F487" s="40" t="n"/>
      <c r="G487" s="40" t="n"/>
      <c r="H487" s="40" t="n"/>
      <c r="I487" s="40" t="n"/>
      <c r="J487" s="41">
        <f>IF(F487="","",F487-IF(IFERROR(VLOOKUP(B487,'Co-Host Agreements'!$A$6:$K$20,7,FALSE),"No")="Yes",G487,0)-IF(IFERROR(VLOOKUP(B487,'Co-Host Agreements'!$A$6:$K$20,8,FALSE),"No")="Yes",H487,0)-N(I487))</f>
        <v/>
      </c>
      <c r="K487" s="42">
        <f>IFERROR(VLOOKUP(B487,'Co-Host Agreements'!$A$6:$K$20,5,FALSE),0)</f>
        <v/>
      </c>
      <c r="L487" s="41">
        <f>IF(B487="","",IFS(IFERROR(VLOOKUP(B487,'Co-Host Agreements'!$A$6:$K$20,4,FALSE),"")="% of NET",J487*K487,IFERROR(VLOOKUP(B487,'Co-Host Agreements'!$A$6:$K$20,4,FALSE),"")="% of GROSS",F487*K487,IFERROR(VLOOKUP(B487,'Co-Host Agreements'!$A$6:$K$20,4,FALSE),"")="Flat per booking",IFERROR(VLOOKUP(B487,'Co-Host Agreements'!$A$6:$K$20,6,FALSE),0),IFERROR(VLOOKUP(B487,'Co-Host Agreements'!$A$6:$K$20,4,FALSE),"")="Hybrid (Flat + % of NET)",IFERROR(VLOOKUP(B487,'Co-Host Agreements'!$A$6:$K$20,6,FALSE),0)+J487*K487,TRUE,0))</f>
        <v/>
      </c>
      <c r="M487" s="41">
        <f>IF(B487="","",J487-L487)</f>
        <v/>
      </c>
      <c r="N487" s="36" t="n"/>
      <c r="O487" s="36" t="n"/>
    </row>
    <row r="488" ht="16" customHeight="1">
      <c r="A488" s="39" t="n"/>
      <c r="B488" s="36" t="n"/>
      <c r="C488" s="36" t="n"/>
      <c r="D488" s="36" t="n"/>
      <c r="E488" s="36" t="n"/>
      <c r="F488" s="40" t="n"/>
      <c r="G488" s="40" t="n"/>
      <c r="H488" s="40" t="n"/>
      <c r="I488" s="40" t="n"/>
      <c r="J488" s="41">
        <f>IF(F488="","",F488-IF(IFERROR(VLOOKUP(B488,'Co-Host Agreements'!$A$6:$K$20,7,FALSE),"No")="Yes",G488,0)-IF(IFERROR(VLOOKUP(B488,'Co-Host Agreements'!$A$6:$K$20,8,FALSE),"No")="Yes",H488,0)-N(I488))</f>
        <v/>
      </c>
      <c r="K488" s="42">
        <f>IFERROR(VLOOKUP(B488,'Co-Host Agreements'!$A$6:$K$20,5,FALSE),0)</f>
        <v/>
      </c>
      <c r="L488" s="41">
        <f>IF(B488="","",IFS(IFERROR(VLOOKUP(B488,'Co-Host Agreements'!$A$6:$K$20,4,FALSE),"")="% of NET",J488*K488,IFERROR(VLOOKUP(B488,'Co-Host Agreements'!$A$6:$K$20,4,FALSE),"")="% of GROSS",F488*K488,IFERROR(VLOOKUP(B488,'Co-Host Agreements'!$A$6:$K$20,4,FALSE),"")="Flat per booking",IFERROR(VLOOKUP(B488,'Co-Host Agreements'!$A$6:$K$20,6,FALSE),0),IFERROR(VLOOKUP(B488,'Co-Host Agreements'!$A$6:$K$20,4,FALSE),"")="Hybrid (Flat + % of NET)",IFERROR(VLOOKUP(B488,'Co-Host Agreements'!$A$6:$K$20,6,FALSE),0)+J488*K488,TRUE,0))</f>
        <v/>
      </c>
      <c r="M488" s="41">
        <f>IF(B488="","",J488-L488)</f>
        <v/>
      </c>
      <c r="N488" s="36" t="n"/>
      <c r="O488" s="36" t="n"/>
    </row>
    <row r="489" ht="16" customHeight="1">
      <c r="A489" s="39" t="n"/>
      <c r="B489" s="36" t="n"/>
      <c r="C489" s="36" t="n"/>
      <c r="D489" s="36" t="n"/>
      <c r="E489" s="36" t="n"/>
      <c r="F489" s="40" t="n"/>
      <c r="G489" s="40" t="n"/>
      <c r="H489" s="40" t="n"/>
      <c r="I489" s="40" t="n"/>
      <c r="J489" s="41">
        <f>IF(F489="","",F489-IF(IFERROR(VLOOKUP(B489,'Co-Host Agreements'!$A$6:$K$20,7,FALSE),"No")="Yes",G489,0)-IF(IFERROR(VLOOKUP(B489,'Co-Host Agreements'!$A$6:$K$20,8,FALSE),"No")="Yes",H489,0)-N(I489))</f>
        <v/>
      </c>
      <c r="K489" s="42">
        <f>IFERROR(VLOOKUP(B489,'Co-Host Agreements'!$A$6:$K$20,5,FALSE),0)</f>
        <v/>
      </c>
      <c r="L489" s="41">
        <f>IF(B489="","",IFS(IFERROR(VLOOKUP(B489,'Co-Host Agreements'!$A$6:$K$20,4,FALSE),"")="% of NET",J489*K489,IFERROR(VLOOKUP(B489,'Co-Host Agreements'!$A$6:$K$20,4,FALSE),"")="% of GROSS",F489*K489,IFERROR(VLOOKUP(B489,'Co-Host Agreements'!$A$6:$K$20,4,FALSE),"")="Flat per booking",IFERROR(VLOOKUP(B489,'Co-Host Agreements'!$A$6:$K$20,6,FALSE),0),IFERROR(VLOOKUP(B489,'Co-Host Agreements'!$A$6:$K$20,4,FALSE),"")="Hybrid (Flat + % of NET)",IFERROR(VLOOKUP(B489,'Co-Host Agreements'!$A$6:$K$20,6,FALSE),0)+J489*K489,TRUE,0))</f>
        <v/>
      </c>
      <c r="M489" s="41">
        <f>IF(B489="","",J489-L489)</f>
        <v/>
      </c>
      <c r="N489" s="36" t="n"/>
      <c r="O489" s="36" t="n"/>
    </row>
    <row r="490" ht="16" customHeight="1">
      <c r="A490" s="39" t="n"/>
      <c r="B490" s="36" t="n"/>
      <c r="C490" s="36" t="n"/>
      <c r="D490" s="36" t="n"/>
      <c r="E490" s="36" t="n"/>
      <c r="F490" s="40" t="n"/>
      <c r="G490" s="40" t="n"/>
      <c r="H490" s="40" t="n"/>
      <c r="I490" s="40" t="n"/>
      <c r="J490" s="41">
        <f>IF(F490="","",F490-IF(IFERROR(VLOOKUP(B490,'Co-Host Agreements'!$A$6:$K$20,7,FALSE),"No")="Yes",G490,0)-IF(IFERROR(VLOOKUP(B490,'Co-Host Agreements'!$A$6:$K$20,8,FALSE),"No")="Yes",H490,0)-N(I490))</f>
        <v/>
      </c>
      <c r="K490" s="42">
        <f>IFERROR(VLOOKUP(B490,'Co-Host Agreements'!$A$6:$K$20,5,FALSE),0)</f>
        <v/>
      </c>
      <c r="L490" s="41">
        <f>IF(B490="","",IFS(IFERROR(VLOOKUP(B490,'Co-Host Agreements'!$A$6:$K$20,4,FALSE),"")="% of NET",J490*K490,IFERROR(VLOOKUP(B490,'Co-Host Agreements'!$A$6:$K$20,4,FALSE),"")="% of GROSS",F490*K490,IFERROR(VLOOKUP(B490,'Co-Host Agreements'!$A$6:$K$20,4,FALSE),"")="Flat per booking",IFERROR(VLOOKUP(B490,'Co-Host Agreements'!$A$6:$K$20,6,FALSE),0),IFERROR(VLOOKUP(B490,'Co-Host Agreements'!$A$6:$K$20,4,FALSE),"")="Hybrid (Flat + % of NET)",IFERROR(VLOOKUP(B490,'Co-Host Agreements'!$A$6:$K$20,6,FALSE),0)+J490*K490,TRUE,0))</f>
        <v/>
      </c>
      <c r="M490" s="41">
        <f>IF(B490="","",J490-L490)</f>
        <v/>
      </c>
      <c r="N490" s="36" t="n"/>
      <c r="O490" s="36" t="n"/>
    </row>
    <row r="491" ht="16" customHeight="1">
      <c r="A491" s="39" t="n"/>
      <c r="B491" s="36" t="n"/>
      <c r="C491" s="36" t="n"/>
      <c r="D491" s="36" t="n"/>
      <c r="E491" s="36" t="n"/>
      <c r="F491" s="40" t="n"/>
      <c r="G491" s="40" t="n"/>
      <c r="H491" s="40" t="n"/>
      <c r="I491" s="40" t="n"/>
      <c r="J491" s="41">
        <f>IF(F491="","",F491-IF(IFERROR(VLOOKUP(B491,'Co-Host Agreements'!$A$6:$K$20,7,FALSE),"No")="Yes",G491,0)-IF(IFERROR(VLOOKUP(B491,'Co-Host Agreements'!$A$6:$K$20,8,FALSE),"No")="Yes",H491,0)-N(I491))</f>
        <v/>
      </c>
      <c r="K491" s="42">
        <f>IFERROR(VLOOKUP(B491,'Co-Host Agreements'!$A$6:$K$20,5,FALSE),0)</f>
        <v/>
      </c>
      <c r="L491" s="41">
        <f>IF(B491="","",IFS(IFERROR(VLOOKUP(B491,'Co-Host Agreements'!$A$6:$K$20,4,FALSE),"")="% of NET",J491*K491,IFERROR(VLOOKUP(B491,'Co-Host Agreements'!$A$6:$K$20,4,FALSE),"")="% of GROSS",F491*K491,IFERROR(VLOOKUP(B491,'Co-Host Agreements'!$A$6:$K$20,4,FALSE),"")="Flat per booking",IFERROR(VLOOKUP(B491,'Co-Host Agreements'!$A$6:$K$20,6,FALSE),0),IFERROR(VLOOKUP(B491,'Co-Host Agreements'!$A$6:$K$20,4,FALSE),"")="Hybrid (Flat + % of NET)",IFERROR(VLOOKUP(B491,'Co-Host Agreements'!$A$6:$K$20,6,FALSE),0)+J491*K491,TRUE,0))</f>
        <v/>
      </c>
      <c r="M491" s="41">
        <f>IF(B491="","",J491-L491)</f>
        <v/>
      </c>
      <c r="N491" s="36" t="n"/>
      <c r="O491" s="36" t="n"/>
    </row>
    <row r="492" ht="16" customHeight="1">
      <c r="A492" s="39" t="n"/>
      <c r="B492" s="36" t="n"/>
      <c r="C492" s="36" t="n"/>
      <c r="D492" s="36" t="n"/>
      <c r="E492" s="36" t="n"/>
      <c r="F492" s="40" t="n"/>
      <c r="G492" s="40" t="n"/>
      <c r="H492" s="40" t="n"/>
      <c r="I492" s="40" t="n"/>
      <c r="J492" s="41">
        <f>IF(F492="","",F492-IF(IFERROR(VLOOKUP(B492,'Co-Host Agreements'!$A$6:$K$20,7,FALSE),"No")="Yes",G492,0)-IF(IFERROR(VLOOKUP(B492,'Co-Host Agreements'!$A$6:$K$20,8,FALSE),"No")="Yes",H492,0)-N(I492))</f>
        <v/>
      </c>
      <c r="K492" s="42">
        <f>IFERROR(VLOOKUP(B492,'Co-Host Agreements'!$A$6:$K$20,5,FALSE),0)</f>
        <v/>
      </c>
      <c r="L492" s="41">
        <f>IF(B492="","",IFS(IFERROR(VLOOKUP(B492,'Co-Host Agreements'!$A$6:$K$20,4,FALSE),"")="% of NET",J492*K492,IFERROR(VLOOKUP(B492,'Co-Host Agreements'!$A$6:$K$20,4,FALSE),"")="% of GROSS",F492*K492,IFERROR(VLOOKUP(B492,'Co-Host Agreements'!$A$6:$K$20,4,FALSE),"")="Flat per booking",IFERROR(VLOOKUP(B492,'Co-Host Agreements'!$A$6:$K$20,6,FALSE),0),IFERROR(VLOOKUP(B492,'Co-Host Agreements'!$A$6:$K$20,4,FALSE),"")="Hybrid (Flat + % of NET)",IFERROR(VLOOKUP(B492,'Co-Host Agreements'!$A$6:$K$20,6,FALSE),0)+J492*K492,TRUE,0))</f>
        <v/>
      </c>
      <c r="M492" s="41">
        <f>IF(B492="","",J492-L492)</f>
        <v/>
      </c>
      <c r="N492" s="36" t="n"/>
      <c r="O492" s="36" t="n"/>
    </row>
    <row r="493" ht="16" customHeight="1">
      <c r="A493" s="39" t="n"/>
      <c r="B493" s="36" t="n"/>
      <c r="C493" s="36" t="n"/>
      <c r="D493" s="36" t="n"/>
      <c r="E493" s="36" t="n"/>
      <c r="F493" s="40" t="n"/>
      <c r="G493" s="40" t="n"/>
      <c r="H493" s="40" t="n"/>
      <c r="I493" s="40" t="n"/>
      <c r="J493" s="41">
        <f>IF(F493="","",F493-IF(IFERROR(VLOOKUP(B493,'Co-Host Agreements'!$A$6:$K$20,7,FALSE),"No")="Yes",G493,0)-IF(IFERROR(VLOOKUP(B493,'Co-Host Agreements'!$A$6:$K$20,8,FALSE),"No")="Yes",H493,0)-N(I493))</f>
        <v/>
      </c>
      <c r="K493" s="42">
        <f>IFERROR(VLOOKUP(B493,'Co-Host Agreements'!$A$6:$K$20,5,FALSE),0)</f>
        <v/>
      </c>
      <c r="L493" s="41">
        <f>IF(B493="","",IFS(IFERROR(VLOOKUP(B493,'Co-Host Agreements'!$A$6:$K$20,4,FALSE),"")="% of NET",J493*K493,IFERROR(VLOOKUP(B493,'Co-Host Agreements'!$A$6:$K$20,4,FALSE),"")="% of GROSS",F493*K493,IFERROR(VLOOKUP(B493,'Co-Host Agreements'!$A$6:$K$20,4,FALSE),"")="Flat per booking",IFERROR(VLOOKUP(B493,'Co-Host Agreements'!$A$6:$K$20,6,FALSE),0),IFERROR(VLOOKUP(B493,'Co-Host Agreements'!$A$6:$K$20,4,FALSE),"")="Hybrid (Flat + % of NET)",IFERROR(VLOOKUP(B493,'Co-Host Agreements'!$A$6:$K$20,6,FALSE),0)+J493*K493,TRUE,0))</f>
        <v/>
      </c>
      <c r="M493" s="41">
        <f>IF(B493="","",J493-L493)</f>
        <v/>
      </c>
      <c r="N493" s="36" t="n"/>
      <c r="O493" s="36" t="n"/>
    </row>
    <row r="494" ht="16" customHeight="1">
      <c r="A494" s="39" t="n"/>
      <c r="B494" s="36" t="n"/>
      <c r="C494" s="36" t="n"/>
      <c r="D494" s="36" t="n"/>
      <c r="E494" s="36" t="n"/>
      <c r="F494" s="40" t="n"/>
      <c r="G494" s="40" t="n"/>
      <c r="H494" s="40" t="n"/>
      <c r="I494" s="40" t="n"/>
      <c r="J494" s="41">
        <f>IF(F494="","",F494-IF(IFERROR(VLOOKUP(B494,'Co-Host Agreements'!$A$6:$K$20,7,FALSE),"No")="Yes",G494,0)-IF(IFERROR(VLOOKUP(B494,'Co-Host Agreements'!$A$6:$K$20,8,FALSE),"No")="Yes",H494,0)-N(I494))</f>
        <v/>
      </c>
      <c r="K494" s="42">
        <f>IFERROR(VLOOKUP(B494,'Co-Host Agreements'!$A$6:$K$20,5,FALSE),0)</f>
        <v/>
      </c>
      <c r="L494" s="41">
        <f>IF(B494="","",IFS(IFERROR(VLOOKUP(B494,'Co-Host Agreements'!$A$6:$K$20,4,FALSE),"")="% of NET",J494*K494,IFERROR(VLOOKUP(B494,'Co-Host Agreements'!$A$6:$K$20,4,FALSE),"")="% of GROSS",F494*K494,IFERROR(VLOOKUP(B494,'Co-Host Agreements'!$A$6:$K$20,4,FALSE),"")="Flat per booking",IFERROR(VLOOKUP(B494,'Co-Host Agreements'!$A$6:$K$20,6,FALSE),0),IFERROR(VLOOKUP(B494,'Co-Host Agreements'!$A$6:$K$20,4,FALSE),"")="Hybrid (Flat + % of NET)",IFERROR(VLOOKUP(B494,'Co-Host Agreements'!$A$6:$K$20,6,FALSE),0)+J494*K494,TRUE,0))</f>
        <v/>
      </c>
      <c r="M494" s="41">
        <f>IF(B494="","",J494-L494)</f>
        <v/>
      </c>
      <c r="N494" s="36" t="n"/>
      <c r="O494" s="36" t="n"/>
    </row>
    <row r="495" ht="16" customHeight="1">
      <c r="A495" s="39" t="n"/>
      <c r="B495" s="36" t="n"/>
      <c r="C495" s="36" t="n"/>
      <c r="D495" s="36" t="n"/>
      <c r="E495" s="36" t="n"/>
      <c r="F495" s="40" t="n"/>
      <c r="G495" s="40" t="n"/>
      <c r="H495" s="40" t="n"/>
      <c r="I495" s="40" t="n"/>
      <c r="J495" s="41">
        <f>IF(F495="","",F495-IF(IFERROR(VLOOKUP(B495,'Co-Host Agreements'!$A$6:$K$20,7,FALSE),"No")="Yes",G495,0)-IF(IFERROR(VLOOKUP(B495,'Co-Host Agreements'!$A$6:$K$20,8,FALSE),"No")="Yes",H495,0)-N(I495))</f>
        <v/>
      </c>
      <c r="K495" s="42">
        <f>IFERROR(VLOOKUP(B495,'Co-Host Agreements'!$A$6:$K$20,5,FALSE),0)</f>
        <v/>
      </c>
      <c r="L495" s="41">
        <f>IF(B495="","",IFS(IFERROR(VLOOKUP(B495,'Co-Host Agreements'!$A$6:$K$20,4,FALSE),"")="% of NET",J495*K495,IFERROR(VLOOKUP(B495,'Co-Host Agreements'!$A$6:$K$20,4,FALSE),"")="% of GROSS",F495*K495,IFERROR(VLOOKUP(B495,'Co-Host Agreements'!$A$6:$K$20,4,FALSE),"")="Flat per booking",IFERROR(VLOOKUP(B495,'Co-Host Agreements'!$A$6:$K$20,6,FALSE),0),IFERROR(VLOOKUP(B495,'Co-Host Agreements'!$A$6:$K$20,4,FALSE),"")="Hybrid (Flat + % of NET)",IFERROR(VLOOKUP(B495,'Co-Host Agreements'!$A$6:$K$20,6,FALSE),0)+J495*K495,TRUE,0))</f>
        <v/>
      </c>
      <c r="M495" s="41">
        <f>IF(B495="","",J495-L495)</f>
        <v/>
      </c>
      <c r="N495" s="36" t="n"/>
      <c r="O495" s="36" t="n"/>
    </row>
    <row r="496" ht="16" customHeight="1">
      <c r="A496" s="39" t="n"/>
      <c r="B496" s="36" t="n"/>
      <c r="C496" s="36" t="n"/>
      <c r="D496" s="36" t="n"/>
      <c r="E496" s="36" t="n"/>
      <c r="F496" s="40" t="n"/>
      <c r="G496" s="40" t="n"/>
      <c r="H496" s="40" t="n"/>
      <c r="I496" s="40" t="n"/>
      <c r="J496" s="41">
        <f>IF(F496="","",F496-IF(IFERROR(VLOOKUP(B496,'Co-Host Agreements'!$A$6:$K$20,7,FALSE),"No")="Yes",G496,0)-IF(IFERROR(VLOOKUP(B496,'Co-Host Agreements'!$A$6:$K$20,8,FALSE),"No")="Yes",H496,0)-N(I496))</f>
        <v/>
      </c>
      <c r="K496" s="42">
        <f>IFERROR(VLOOKUP(B496,'Co-Host Agreements'!$A$6:$K$20,5,FALSE),0)</f>
        <v/>
      </c>
      <c r="L496" s="41">
        <f>IF(B496="","",IFS(IFERROR(VLOOKUP(B496,'Co-Host Agreements'!$A$6:$K$20,4,FALSE),"")="% of NET",J496*K496,IFERROR(VLOOKUP(B496,'Co-Host Agreements'!$A$6:$K$20,4,FALSE),"")="% of GROSS",F496*K496,IFERROR(VLOOKUP(B496,'Co-Host Agreements'!$A$6:$K$20,4,FALSE),"")="Flat per booking",IFERROR(VLOOKUP(B496,'Co-Host Agreements'!$A$6:$K$20,6,FALSE),0),IFERROR(VLOOKUP(B496,'Co-Host Agreements'!$A$6:$K$20,4,FALSE),"")="Hybrid (Flat + % of NET)",IFERROR(VLOOKUP(B496,'Co-Host Agreements'!$A$6:$K$20,6,FALSE),0)+J496*K496,TRUE,0))</f>
        <v/>
      </c>
      <c r="M496" s="41">
        <f>IF(B496="","",J496-L496)</f>
        <v/>
      </c>
      <c r="N496" s="36" t="n"/>
      <c r="O496" s="36" t="n"/>
    </row>
    <row r="497" ht="16" customHeight="1">
      <c r="A497" s="39" t="n"/>
      <c r="B497" s="36" t="n"/>
      <c r="C497" s="36" t="n"/>
      <c r="D497" s="36" t="n"/>
      <c r="E497" s="36" t="n"/>
      <c r="F497" s="40" t="n"/>
      <c r="G497" s="40" t="n"/>
      <c r="H497" s="40" t="n"/>
      <c r="I497" s="40" t="n"/>
      <c r="J497" s="41">
        <f>IF(F497="","",F497-IF(IFERROR(VLOOKUP(B497,'Co-Host Agreements'!$A$6:$K$20,7,FALSE),"No")="Yes",G497,0)-IF(IFERROR(VLOOKUP(B497,'Co-Host Agreements'!$A$6:$K$20,8,FALSE),"No")="Yes",H497,0)-N(I497))</f>
        <v/>
      </c>
      <c r="K497" s="42">
        <f>IFERROR(VLOOKUP(B497,'Co-Host Agreements'!$A$6:$K$20,5,FALSE),0)</f>
        <v/>
      </c>
      <c r="L497" s="41">
        <f>IF(B497="","",IFS(IFERROR(VLOOKUP(B497,'Co-Host Agreements'!$A$6:$K$20,4,FALSE),"")="% of NET",J497*K497,IFERROR(VLOOKUP(B497,'Co-Host Agreements'!$A$6:$K$20,4,FALSE),"")="% of GROSS",F497*K497,IFERROR(VLOOKUP(B497,'Co-Host Agreements'!$A$6:$K$20,4,FALSE),"")="Flat per booking",IFERROR(VLOOKUP(B497,'Co-Host Agreements'!$A$6:$K$20,6,FALSE),0),IFERROR(VLOOKUP(B497,'Co-Host Agreements'!$A$6:$K$20,4,FALSE),"")="Hybrid (Flat + % of NET)",IFERROR(VLOOKUP(B497,'Co-Host Agreements'!$A$6:$K$20,6,FALSE),0)+J497*K497,TRUE,0))</f>
        <v/>
      </c>
      <c r="M497" s="41">
        <f>IF(B497="","",J497-L497)</f>
        <v/>
      </c>
      <c r="N497" s="36" t="n"/>
      <c r="O497" s="36" t="n"/>
    </row>
    <row r="498" ht="16" customHeight="1">
      <c r="A498" s="39" t="n"/>
      <c r="B498" s="36" t="n"/>
      <c r="C498" s="36" t="n"/>
      <c r="D498" s="36" t="n"/>
      <c r="E498" s="36" t="n"/>
      <c r="F498" s="40" t="n"/>
      <c r="G498" s="40" t="n"/>
      <c r="H498" s="40" t="n"/>
      <c r="I498" s="40" t="n"/>
      <c r="J498" s="41">
        <f>IF(F498="","",F498-IF(IFERROR(VLOOKUP(B498,'Co-Host Agreements'!$A$6:$K$20,7,FALSE),"No")="Yes",G498,0)-IF(IFERROR(VLOOKUP(B498,'Co-Host Agreements'!$A$6:$K$20,8,FALSE),"No")="Yes",H498,0)-N(I498))</f>
        <v/>
      </c>
      <c r="K498" s="42">
        <f>IFERROR(VLOOKUP(B498,'Co-Host Agreements'!$A$6:$K$20,5,FALSE),0)</f>
        <v/>
      </c>
      <c r="L498" s="41">
        <f>IF(B498="","",IFS(IFERROR(VLOOKUP(B498,'Co-Host Agreements'!$A$6:$K$20,4,FALSE),"")="% of NET",J498*K498,IFERROR(VLOOKUP(B498,'Co-Host Agreements'!$A$6:$K$20,4,FALSE),"")="% of GROSS",F498*K498,IFERROR(VLOOKUP(B498,'Co-Host Agreements'!$A$6:$K$20,4,FALSE),"")="Flat per booking",IFERROR(VLOOKUP(B498,'Co-Host Agreements'!$A$6:$K$20,6,FALSE),0),IFERROR(VLOOKUP(B498,'Co-Host Agreements'!$A$6:$K$20,4,FALSE),"")="Hybrid (Flat + % of NET)",IFERROR(VLOOKUP(B498,'Co-Host Agreements'!$A$6:$K$20,6,FALSE),0)+J498*K498,TRUE,0))</f>
        <v/>
      </c>
      <c r="M498" s="41">
        <f>IF(B498="","",J498-L498)</f>
        <v/>
      </c>
      <c r="N498" s="36" t="n"/>
      <c r="O498" s="36" t="n"/>
    </row>
    <row r="499" ht="16" customHeight="1">
      <c r="A499" s="39" t="n"/>
      <c r="B499" s="36" t="n"/>
      <c r="C499" s="36" t="n"/>
      <c r="D499" s="36" t="n"/>
      <c r="E499" s="36" t="n"/>
      <c r="F499" s="40" t="n"/>
      <c r="G499" s="40" t="n"/>
      <c r="H499" s="40" t="n"/>
      <c r="I499" s="40" t="n"/>
      <c r="J499" s="41">
        <f>IF(F499="","",F499-IF(IFERROR(VLOOKUP(B499,'Co-Host Agreements'!$A$6:$K$20,7,FALSE),"No")="Yes",G499,0)-IF(IFERROR(VLOOKUP(B499,'Co-Host Agreements'!$A$6:$K$20,8,FALSE),"No")="Yes",H499,0)-N(I499))</f>
        <v/>
      </c>
      <c r="K499" s="42">
        <f>IFERROR(VLOOKUP(B499,'Co-Host Agreements'!$A$6:$K$20,5,FALSE),0)</f>
        <v/>
      </c>
      <c r="L499" s="41">
        <f>IF(B499="","",IFS(IFERROR(VLOOKUP(B499,'Co-Host Agreements'!$A$6:$K$20,4,FALSE),"")="% of NET",J499*K499,IFERROR(VLOOKUP(B499,'Co-Host Agreements'!$A$6:$K$20,4,FALSE),"")="% of GROSS",F499*K499,IFERROR(VLOOKUP(B499,'Co-Host Agreements'!$A$6:$K$20,4,FALSE),"")="Flat per booking",IFERROR(VLOOKUP(B499,'Co-Host Agreements'!$A$6:$K$20,6,FALSE),0),IFERROR(VLOOKUP(B499,'Co-Host Agreements'!$A$6:$K$20,4,FALSE),"")="Hybrid (Flat + % of NET)",IFERROR(VLOOKUP(B499,'Co-Host Agreements'!$A$6:$K$20,6,FALSE),0)+J499*K499,TRUE,0))</f>
        <v/>
      </c>
      <c r="M499" s="41">
        <f>IF(B499="","",J499-L499)</f>
        <v/>
      </c>
      <c r="N499" s="36" t="n"/>
      <c r="O499" s="36" t="n"/>
    </row>
    <row r="500" ht="16" customHeight="1">
      <c r="A500" s="39" t="n"/>
      <c r="B500" s="36" t="n"/>
      <c r="C500" s="36" t="n"/>
      <c r="D500" s="36" t="n"/>
      <c r="E500" s="36" t="n"/>
      <c r="F500" s="40" t="n"/>
      <c r="G500" s="40" t="n"/>
      <c r="H500" s="40" t="n"/>
      <c r="I500" s="40" t="n"/>
      <c r="J500" s="41">
        <f>IF(F500="","",F500-IF(IFERROR(VLOOKUP(B500,'Co-Host Agreements'!$A$6:$K$20,7,FALSE),"No")="Yes",G500,0)-IF(IFERROR(VLOOKUP(B500,'Co-Host Agreements'!$A$6:$K$20,8,FALSE),"No")="Yes",H500,0)-N(I500))</f>
        <v/>
      </c>
      <c r="K500" s="42">
        <f>IFERROR(VLOOKUP(B500,'Co-Host Agreements'!$A$6:$K$20,5,FALSE),0)</f>
        <v/>
      </c>
      <c r="L500" s="41">
        <f>IF(B500="","",IFS(IFERROR(VLOOKUP(B500,'Co-Host Agreements'!$A$6:$K$20,4,FALSE),"")="% of NET",J500*K500,IFERROR(VLOOKUP(B500,'Co-Host Agreements'!$A$6:$K$20,4,FALSE),"")="% of GROSS",F500*K500,IFERROR(VLOOKUP(B500,'Co-Host Agreements'!$A$6:$K$20,4,FALSE),"")="Flat per booking",IFERROR(VLOOKUP(B500,'Co-Host Agreements'!$A$6:$K$20,6,FALSE),0),IFERROR(VLOOKUP(B500,'Co-Host Agreements'!$A$6:$K$20,4,FALSE),"")="Hybrid (Flat + % of NET)",IFERROR(VLOOKUP(B500,'Co-Host Agreements'!$A$6:$K$20,6,FALSE),0)+J500*K500,TRUE,0))</f>
        <v/>
      </c>
      <c r="M500" s="41">
        <f>IF(B500="","",J500-L500)</f>
        <v/>
      </c>
      <c r="N500" s="36" t="n"/>
      <c r="O500" s="36" t="n"/>
    </row>
    <row r="501" ht="16" customHeight="1">
      <c r="A501" s="39" t="n"/>
      <c r="B501" s="36" t="n"/>
      <c r="C501" s="36" t="n"/>
      <c r="D501" s="36" t="n"/>
      <c r="E501" s="36" t="n"/>
      <c r="F501" s="40" t="n"/>
      <c r="G501" s="40" t="n"/>
      <c r="H501" s="40" t="n"/>
      <c r="I501" s="40" t="n"/>
      <c r="J501" s="41">
        <f>IF(F501="","",F501-IF(IFERROR(VLOOKUP(B501,'Co-Host Agreements'!$A$6:$K$20,7,FALSE),"No")="Yes",G501,0)-IF(IFERROR(VLOOKUP(B501,'Co-Host Agreements'!$A$6:$K$20,8,FALSE),"No")="Yes",H501,0)-N(I501))</f>
        <v/>
      </c>
      <c r="K501" s="42">
        <f>IFERROR(VLOOKUP(B501,'Co-Host Agreements'!$A$6:$K$20,5,FALSE),0)</f>
        <v/>
      </c>
      <c r="L501" s="41">
        <f>IF(B501="","",IFS(IFERROR(VLOOKUP(B501,'Co-Host Agreements'!$A$6:$K$20,4,FALSE),"")="% of NET",J501*K501,IFERROR(VLOOKUP(B501,'Co-Host Agreements'!$A$6:$K$20,4,FALSE),"")="% of GROSS",F501*K501,IFERROR(VLOOKUP(B501,'Co-Host Agreements'!$A$6:$K$20,4,FALSE),"")="Flat per booking",IFERROR(VLOOKUP(B501,'Co-Host Agreements'!$A$6:$K$20,6,FALSE),0),IFERROR(VLOOKUP(B501,'Co-Host Agreements'!$A$6:$K$20,4,FALSE),"")="Hybrid (Flat + % of NET)",IFERROR(VLOOKUP(B501,'Co-Host Agreements'!$A$6:$K$20,6,FALSE),0)+J501*K501,TRUE,0))</f>
        <v/>
      </c>
      <c r="M501" s="41">
        <f>IF(B501="","",J501-L501)</f>
        <v/>
      </c>
      <c r="N501" s="36" t="n"/>
      <c r="O501" s="36" t="n"/>
    </row>
    <row r="502" ht="16" customHeight="1">
      <c r="A502" s="39" t="n"/>
      <c r="B502" s="36" t="n"/>
      <c r="C502" s="36" t="n"/>
      <c r="D502" s="36" t="n"/>
      <c r="E502" s="36" t="n"/>
      <c r="F502" s="40" t="n"/>
      <c r="G502" s="40" t="n"/>
      <c r="H502" s="40" t="n"/>
      <c r="I502" s="40" t="n"/>
      <c r="J502" s="41">
        <f>IF(F502="","",F502-IF(IFERROR(VLOOKUP(B502,'Co-Host Agreements'!$A$6:$K$20,7,FALSE),"No")="Yes",G502,0)-IF(IFERROR(VLOOKUP(B502,'Co-Host Agreements'!$A$6:$K$20,8,FALSE),"No")="Yes",H502,0)-N(I502))</f>
        <v/>
      </c>
      <c r="K502" s="42">
        <f>IFERROR(VLOOKUP(B502,'Co-Host Agreements'!$A$6:$K$20,5,FALSE),0)</f>
        <v/>
      </c>
      <c r="L502" s="41">
        <f>IF(B502="","",IFS(IFERROR(VLOOKUP(B502,'Co-Host Agreements'!$A$6:$K$20,4,FALSE),"")="% of NET",J502*K502,IFERROR(VLOOKUP(B502,'Co-Host Agreements'!$A$6:$K$20,4,FALSE),"")="% of GROSS",F502*K502,IFERROR(VLOOKUP(B502,'Co-Host Agreements'!$A$6:$K$20,4,FALSE),"")="Flat per booking",IFERROR(VLOOKUP(B502,'Co-Host Agreements'!$A$6:$K$20,6,FALSE),0),IFERROR(VLOOKUP(B502,'Co-Host Agreements'!$A$6:$K$20,4,FALSE),"")="Hybrid (Flat + % of NET)",IFERROR(VLOOKUP(B502,'Co-Host Agreements'!$A$6:$K$20,6,FALSE),0)+J502*K502,TRUE,0))</f>
        <v/>
      </c>
      <c r="M502" s="41">
        <f>IF(B502="","",J502-L502)</f>
        <v/>
      </c>
      <c r="N502" s="36" t="n"/>
      <c r="O502" s="36" t="n"/>
    </row>
    <row r="503" ht="16" customHeight="1">
      <c r="A503" s="39" t="n"/>
      <c r="B503" s="36" t="n"/>
      <c r="C503" s="36" t="n"/>
      <c r="D503" s="36" t="n"/>
      <c r="E503" s="36" t="n"/>
      <c r="F503" s="40" t="n"/>
      <c r="G503" s="40" t="n"/>
      <c r="H503" s="40" t="n"/>
      <c r="I503" s="40" t="n"/>
      <c r="J503" s="41">
        <f>IF(F503="","",F503-IF(IFERROR(VLOOKUP(B503,'Co-Host Agreements'!$A$6:$K$20,7,FALSE),"No")="Yes",G503,0)-IF(IFERROR(VLOOKUP(B503,'Co-Host Agreements'!$A$6:$K$20,8,FALSE),"No")="Yes",H503,0)-N(I503))</f>
        <v/>
      </c>
      <c r="K503" s="42">
        <f>IFERROR(VLOOKUP(B503,'Co-Host Agreements'!$A$6:$K$20,5,FALSE),0)</f>
        <v/>
      </c>
      <c r="L503" s="41">
        <f>IF(B503="","",IFS(IFERROR(VLOOKUP(B503,'Co-Host Agreements'!$A$6:$K$20,4,FALSE),"")="% of NET",J503*K503,IFERROR(VLOOKUP(B503,'Co-Host Agreements'!$A$6:$K$20,4,FALSE),"")="% of GROSS",F503*K503,IFERROR(VLOOKUP(B503,'Co-Host Agreements'!$A$6:$K$20,4,FALSE),"")="Flat per booking",IFERROR(VLOOKUP(B503,'Co-Host Agreements'!$A$6:$K$20,6,FALSE),0),IFERROR(VLOOKUP(B503,'Co-Host Agreements'!$A$6:$K$20,4,FALSE),"")="Hybrid (Flat + % of NET)",IFERROR(VLOOKUP(B503,'Co-Host Agreements'!$A$6:$K$20,6,FALSE),0)+J503*K503,TRUE,0))</f>
        <v/>
      </c>
      <c r="M503" s="41">
        <f>IF(B503="","",J503-L503)</f>
        <v/>
      </c>
      <c r="N503" s="36" t="n"/>
      <c r="O503" s="36" t="n"/>
    </row>
    <row r="504" ht="16" customHeight="1">
      <c r="A504" s="39" t="n"/>
      <c r="B504" s="36" t="n"/>
      <c r="C504" s="36" t="n"/>
      <c r="D504" s="36" t="n"/>
      <c r="E504" s="36" t="n"/>
      <c r="F504" s="40" t="n"/>
      <c r="G504" s="40" t="n"/>
      <c r="H504" s="40" t="n"/>
      <c r="I504" s="40" t="n"/>
      <c r="J504" s="41">
        <f>IF(F504="","",F504-IF(IFERROR(VLOOKUP(B504,'Co-Host Agreements'!$A$6:$K$20,7,FALSE),"No")="Yes",G504,0)-IF(IFERROR(VLOOKUP(B504,'Co-Host Agreements'!$A$6:$K$20,8,FALSE),"No")="Yes",H504,0)-N(I504))</f>
        <v/>
      </c>
      <c r="K504" s="42">
        <f>IFERROR(VLOOKUP(B504,'Co-Host Agreements'!$A$6:$K$20,5,FALSE),0)</f>
        <v/>
      </c>
      <c r="L504" s="41">
        <f>IF(B504="","",IFS(IFERROR(VLOOKUP(B504,'Co-Host Agreements'!$A$6:$K$20,4,FALSE),"")="% of NET",J504*K504,IFERROR(VLOOKUP(B504,'Co-Host Agreements'!$A$6:$K$20,4,FALSE),"")="% of GROSS",F504*K504,IFERROR(VLOOKUP(B504,'Co-Host Agreements'!$A$6:$K$20,4,FALSE),"")="Flat per booking",IFERROR(VLOOKUP(B504,'Co-Host Agreements'!$A$6:$K$20,6,FALSE),0),IFERROR(VLOOKUP(B504,'Co-Host Agreements'!$A$6:$K$20,4,FALSE),"")="Hybrid (Flat + % of NET)",IFERROR(VLOOKUP(B504,'Co-Host Agreements'!$A$6:$K$20,6,FALSE),0)+J504*K504,TRUE,0))</f>
        <v/>
      </c>
      <c r="M504" s="41">
        <f>IF(B504="","",J504-L504)</f>
        <v/>
      </c>
      <c r="N504" s="36" t="n"/>
      <c r="O504" s="36" t="n"/>
    </row>
    <row r="505" ht="16" customHeight="1">
      <c r="A505" s="39" t="n"/>
      <c r="B505" s="36" t="n"/>
      <c r="C505" s="36" t="n"/>
      <c r="D505" s="36" t="n"/>
      <c r="E505" s="36" t="n"/>
      <c r="F505" s="40" t="n"/>
      <c r="G505" s="40" t="n"/>
      <c r="H505" s="40" t="n"/>
      <c r="I505" s="40" t="n"/>
      <c r="J505" s="41">
        <f>IF(F505="","",F505-IF(IFERROR(VLOOKUP(B505,'Co-Host Agreements'!$A$6:$K$20,7,FALSE),"No")="Yes",G505,0)-IF(IFERROR(VLOOKUP(B505,'Co-Host Agreements'!$A$6:$K$20,8,FALSE),"No")="Yes",H505,0)-N(I505))</f>
        <v/>
      </c>
      <c r="K505" s="42">
        <f>IFERROR(VLOOKUP(B505,'Co-Host Agreements'!$A$6:$K$20,5,FALSE),0)</f>
        <v/>
      </c>
      <c r="L505" s="41">
        <f>IF(B505="","",IFS(IFERROR(VLOOKUP(B505,'Co-Host Agreements'!$A$6:$K$20,4,FALSE),"")="% of NET",J505*K505,IFERROR(VLOOKUP(B505,'Co-Host Agreements'!$A$6:$K$20,4,FALSE),"")="% of GROSS",F505*K505,IFERROR(VLOOKUP(B505,'Co-Host Agreements'!$A$6:$K$20,4,FALSE),"")="Flat per booking",IFERROR(VLOOKUP(B505,'Co-Host Agreements'!$A$6:$K$20,6,FALSE),0),IFERROR(VLOOKUP(B505,'Co-Host Agreements'!$A$6:$K$20,4,FALSE),"")="Hybrid (Flat + % of NET)",IFERROR(VLOOKUP(B505,'Co-Host Agreements'!$A$6:$K$20,6,FALSE),0)+J505*K505,TRUE,0))</f>
        <v/>
      </c>
      <c r="M505" s="41">
        <f>IF(B505="","",J505-L505)</f>
        <v/>
      </c>
      <c r="N505" s="36" t="n"/>
      <c r="O505" s="36" t="n"/>
    </row>
  </sheetData>
  <mergeCells count="4">
    <mergeCell ref="J2:L2"/>
    <mergeCell ref="D2:I2"/>
    <mergeCell ref="A2:C2"/>
    <mergeCell ref="A4:L4"/>
  </mergeCells>
  <conditionalFormatting sqref="A6:O505">
    <cfRule type="expression" priority="1" dxfId="0">
      <formula>AND($N6="Pending",ISNUMBER($A6),TODAY()-$A6&gt;30)</formula>
    </cfRule>
  </conditionalFormatting>
  <dataValidations count="3">
    <dataValidation sqref="B6:B505" showDropDown="0" showInputMessage="0" showErrorMessage="0" allowBlank="1" type="list">
      <formula1>='Co-Host Agreements'!$A$6:$A$20</formula1>
    </dataValidation>
    <dataValidation sqref="E6:E505" showDropDown="0" showInputMessage="0" showErrorMessage="0" allowBlank="1" type="list">
      <formula1>"Airbnb,VRBO,Booking.com,Direct,Other"</formula1>
    </dataValidation>
    <dataValidation sqref="N6:N505" showDropDown="0" showInputMessage="0" showErrorMessage="0" allowBlank="1" type="list">
      <formula1>"Pending,Paid,Disputed"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B1:G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6" customHeight="1">
      <c r="B1" s="27">
        <f>HYPERLINK("#'Start'!A1", "&lt;- back to dashboard")</f>
        <v/>
      </c>
      <c r="C1" s="28" t="n"/>
    </row>
    <row r="2" ht="12" customHeight="1"/>
    <row r="3" ht="32" customHeight="1">
      <c r="B3" s="43" t="inlineStr">
        <is>
          <t>MONTHLY COMMISSION STATEMENT</t>
        </is>
      </c>
    </row>
    <row r="4" ht="6" customHeight="1">
      <c r="B4" s="30" t="n"/>
      <c r="C4" s="30" t="n"/>
      <c r="D4" s="30" t="n"/>
      <c r="E4" s="30" t="n"/>
      <c r="F4" s="30" t="n"/>
      <c r="G4" s="30" t="n"/>
    </row>
    <row r="6" ht="26" customHeight="1">
      <c r="B6" s="44" t="inlineStr">
        <is>
          <t>Property:</t>
        </is>
      </c>
      <c r="C6" s="45" t="inlineStr">
        <is>
          <t>Smokies Ridge</t>
        </is>
      </c>
    </row>
    <row r="7" ht="24" customHeight="1">
      <c r="B7" s="44" t="inlineStr">
        <is>
          <t>Period:</t>
        </is>
      </c>
      <c r="C7" s="46" t="n">
        <v>3</v>
      </c>
      <c r="D7" s="47" t="inlineStr">
        <is>
          <t>month</t>
        </is>
      </c>
      <c r="E7" s="48">
        <f>Settings!B5</f>
        <v/>
      </c>
      <c r="F7" s="47" t="inlineStr">
        <is>
          <t>year (Settings)</t>
        </is>
      </c>
    </row>
    <row r="9" ht="20" customHeight="1">
      <c r="B9" s="44" t="inlineStr">
        <is>
          <t>Owner:</t>
        </is>
      </c>
      <c r="C9" s="49">
        <f>IFERROR(VLOOKUP($C$6,'Co-Host Agreements'!$A$6:$K$20,2,FALSE)&amp;"  -  "&amp;VLOOKUP($C$6,'Co-Host Agreements'!$A$6:$K$20,3,FALSE),"")</f>
        <v/>
      </c>
    </row>
    <row r="10" ht="18" customHeight="1">
      <c r="B10" s="50" t="inlineStr">
        <is>
          <t>Agreement:</t>
        </is>
      </c>
      <c r="C10" s="51">
        <f>IFERROR(VLOOKUP($C$6,'Co-Host Agreements'!$A$6:$K$20,4,FALSE),"")</f>
        <v/>
      </c>
    </row>
    <row r="12" ht="22" customHeight="1">
      <c r="B12" s="52" t="inlineStr">
        <is>
          <t>BOOKINGS THIS MONTH</t>
        </is>
      </c>
    </row>
    <row r="13" ht="22" customHeight="1">
      <c r="B13" s="53" t="inlineStr">
        <is>
          <t>Date</t>
        </is>
      </c>
      <c r="C13" s="53" t="inlineStr">
        <is>
          <t>Guest</t>
        </is>
      </c>
      <c r="D13" s="53" t="inlineStr">
        <is>
          <t>Gross</t>
        </is>
      </c>
      <c r="E13" s="53" t="inlineStr">
        <is>
          <t>Deductions</t>
        </is>
      </c>
      <c r="F13" s="53" t="inlineStr">
        <is>
          <t>NET</t>
        </is>
      </c>
      <c r="G13" s="53" t="inlineStr">
        <is>
          <t>Commission</t>
        </is>
      </c>
    </row>
    <row r="14" ht="16" customHeight="1">
      <c r="B14" s="54">
        <f>IFERROR(INDEX('Bookings Log'!$A$6:$A$505,IFERROR(SMALL(IF((MONTH('Bookings Log'!$A$6:$A$505)=$C$7)*(YEAR('Bookings Log'!$A$6:$A$505)=$E$7)*('Bookings Log'!$B$6:$B$505=$C$6),ROW('Bookings Log'!$A$6:$A$505)-5),1),"")),"")</f>
        <v/>
      </c>
      <c r="C14" s="55">
        <f>IFERROR(INDEX('Bookings Log'!$C$6:$C$505,IFERROR(SMALL(IF((MONTH('Bookings Log'!$A$6:$A$505)=$C$7)*(YEAR('Bookings Log'!$A$6:$A$505)=$E$7)*('Bookings Log'!$B$6:$B$505=$C$6),ROW('Bookings Log'!$A$6:$A$505)-5),1),"")),"")</f>
        <v/>
      </c>
      <c r="D14" s="56">
        <f>IFERROR(INDEX('Bookings Log'!$F$6:$F$505,IFERROR(SMALL(IF((MONTH('Bookings Log'!$A$6:$A$505)=$C$7)*(YEAR('Bookings Log'!$A$6:$A$505)=$E$7)*('Bookings Log'!$B$6:$B$505=$C$6),ROW('Bookings Log'!$A$6:$A$505)-5),1),"")),"")</f>
        <v/>
      </c>
      <c r="E14" s="57">
        <f>IFERROR(INDEX('Bookings Log'!$F$6:$F$505,IFERROR(SMALL(IF((MONTH('Bookings Log'!$A$6:$A$505)=$C$7)*(YEAR('Bookings Log'!$A$6:$A$505)=$E$7)*('Bookings Log'!$B$6:$B$505=$C$6),ROW('Bookings Log'!$A$6:$A$505)-5),1),""))-INDEX('Bookings Log'!$J$6:$J$505,IFERROR(SMALL(IF((MONTH('Bookings Log'!$A$6:$A$505)=$C$7)*(YEAR('Bookings Log'!$A$6:$A$505)=$E$7)*('Bookings Log'!$B$6:$B$505=$C$6),ROW('Bookings Log'!$A$6:$A$505)-5),1),"")),"")</f>
        <v/>
      </c>
      <c r="F14" s="56">
        <f>IFERROR(INDEX('Bookings Log'!$J$6:$J$505,IFERROR(SMALL(IF((MONTH('Bookings Log'!$A$6:$A$505)=$C$7)*(YEAR('Bookings Log'!$A$6:$A$505)=$E$7)*('Bookings Log'!$B$6:$B$505=$C$6),ROW('Bookings Log'!$A$6:$A$505)-5),1),"")),"")</f>
        <v/>
      </c>
      <c r="G14" s="58">
        <f>IFERROR(INDEX('Bookings Log'!$L$6:$L$505,IFERROR(SMALL(IF((MONTH('Bookings Log'!$A$6:$A$505)=$C$7)*(YEAR('Bookings Log'!$A$6:$A$505)=$E$7)*('Bookings Log'!$B$6:$B$505=$C$6),ROW('Bookings Log'!$A$6:$A$505)-5),1),"")),"")</f>
        <v/>
      </c>
    </row>
    <row r="15" ht="16" customHeight="1">
      <c r="B15" s="54">
        <f>IFERROR(INDEX('Bookings Log'!$A$6:$A$505,IFERROR(SMALL(IF((MONTH('Bookings Log'!$A$6:$A$505)=$C$7)*(YEAR('Bookings Log'!$A$6:$A$505)=$E$7)*('Bookings Log'!$B$6:$B$505=$C$6),ROW('Bookings Log'!$A$6:$A$505)-5),2),"")),"")</f>
        <v/>
      </c>
      <c r="C15" s="55">
        <f>IFERROR(INDEX('Bookings Log'!$C$6:$C$505,IFERROR(SMALL(IF((MONTH('Bookings Log'!$A$6:$A$505)=$C$7)*(YEAR('Bookings Log'!$A$6:$A$505)=$E$7)*('Bookings Log'!$B$6:$B$505=$C$6),ROW('Bookings Log'!$A$6:$A$505)-5),2),"")),"")</f>
        <v/>
      </c>
      <c r="D15" s="56">
        <f>IFERROR(INDEX('Bookings Log'!$F$6:$F$505,IFERROR(SMALL(IF((MONTH('Bookings Log'!$A$6:$A$505)=$C$7)*(YEAR('Bookings Log'!$A$6:$A$505)=$E$7)*('Bookings Log'!$B$6:$B$505=$C$6),ROW('Bookings Log'!$A$6:$A$505)-5),2),"")),"")</f>
        <v/>
      </c>
      <c r="E15" s="57">
        <f>IFERROR(INDEX('Bookings Log'!$F$6:$F$505,IFERROR(SMALL(IF((MONTH('Bookings Log'!$A$6:$A$505)=$C$7)*(YEAR('Bookings Log'!$A$6:$A$505)=$E$7)*('Bookings Log'!$B$6:$B$505=$C$6),ROW('Bookings Log'!$A$6:$A$505)-5),2),""))-INDEX('Bookings Log'!$J$6:$J$505,IFERROR(SMALL(IF((MONTH('Bookings Log'!$A$6:$A$505)=$C$7)*(YEAR('Bookings Log'!$A$6:$A$505)=$E$7)*('Bookings Log'!$B$6:$B$505=$C$6),ROW('Bookings Log'!$A$6:$A$505)-5),2),"")),"")</f>
        <v/>
      </c>
      <c r="F15" s="56">
        <f>IFERROR(INDEX('Bookings Log'!$J$6:$J$505,IFERROR(SMALL(IF((MONTH('Bookings Log'!$A$6:$A$505)=$C$7)*(YEAR('Bookings Log'!$A$6:$A$505)=$E$7)*('Bookings Log'!$B$6:$B$505=$C$6),ROW('Bookings Log'!$A$6:$A$505)-5),2),"")),"")</f>
        <v/>
      </c>
      <c r="G15" s="58">
        <f>IFERROR(INDEX('Bookings Log'!$L$6:$L$505,IFERROR(SMALL(IF((MONTH('Bookings Log'!$A$6:$A$505)=$C$7)*(YEAR('Bookings Log'!$A$6:$A$505)=$E$7)*('Bookings Log'!$B$6:$B$505=$C$6),ROW('Bookings Log'!$A$6:$A$505)-5),2),"")),"")</f>
        <v/>
      </c>
    </row>
    <row r="16" ht="16" customHeight="1">
      <c r="B16" s="54">
        <f>IFERROR(INDEX('Bookings Log'!$A$6:$A$505,IFERROR(SMALL(IF((MONTH('Bookings Log'!$A$6:$A$505)=$C$7)*(YEAR('Bookings Log'!$A$6:$A$505)=$E$7)*('Bookings Log'!$B$6:$B$505=$C$6),ROW('Bookings Log'!$A$6:$A$505)-5),3),"")),"")</f>
        <v/>
      </c>
      <c r="C16" s="55">
        <f>IFERROR(INDEX('Bookings Log'!$C$6:$C$505,IFERROR(SMALL(IF((MONTH('Bookings Log'!$A$6:$A$505)=$C$7)*(YEAR('Bookings Log'!$A$6:$A$505)=$E$7)*('Bookings Log'!$B$6:$B$505=$C$6),ROW('Bookings Log'!$A$6:$A$505)-5),3),"")),"")</f>
        <v/>
      </c>
      <c r="D16" s="56">
        <f>IFERROR(INDEX('Bookings Log'!$F$6:$F$505,IFERROR(SMALL(IF((MONTH('Bookings Log'!$A$6:$A$505)=$C$7)*(YEAR('Bookings Log'!$A$6:$A$505)=$E$7)*('Bookings Log'!$B$6:$B$505=$C$6),ROW('Bookings Log'!$A$6:$A$505)-5),3),"")),"")</f>
        <v/>
      </c>
      <c r="E16" s="57">
        <f>IFERROR(INDEX('Bookings Log'!$F$6:$F$505,IFERROR(SMALL(IF((MONTH('Bookings Log'!$A$6:$A$505)=$C$7)*(YEAR('Bookings Log'!$A$6:$A$505)=$E$7)*('Bookings Log'!$B$6:$B$505=$C$6),ROW('Bookings Log'!$A$6:$A$505)-5),3),""))-INDEX('Bookings Log'!$J$6:$J$505,IFERROR(SMALL(IF((MONTH('Bookings Log'!$A$6:$A$505)=$C$7)*(YEAR('Bookings Log'!$A$6:$A$505)=$E$7)*('Bookings Log'!$B$6:$B$505=$C$6),ROW('Bookings Log'!$A$6:$A$505)-5),3),"")),"")</f>
        <v/>
      </c>
      <c r="F16" s="56">
        <f>IFERROR(INDEX('Bookings Log'!$J$6:$J$505,IFERROR(SMALL(IF((MONTH('Bookings Log'!$A$6:$A$505)=$C$7)*(YEAR('Bookings Log'!$A$6:$A$505)=$E$7)*('Bookings Log'!$B$6:$B$505=$C$6),ROW('Bookings Log'!$A$6:$A$505)-5),3),"")),"")</f>
        <v/>
      </c>
      <c r="G16" s="58">
        <f>IFERROR(INDEX('Bookings Log'!$L$6:$L$505,IFERROR(SMALL(IF((MONTH('Bookings Log'!$A$6:$A$505)=$C$7)*(YEAR('Bookings Log'!$A$6:$A$505)=$E$7)*('Bookings Log'!$B$6:$B$505=$C$6),ROW('Bookings Log'!$A$6:$A$505)-5),3),"")),"")</f>
        <v/>
      </c>
    </row>
    <row r="17" ht="16" customHeight="1">
      <c r="B17" s="54">
        <f>IFERROR(INDEX('Bookings Log'!$A$6:$A$505,IFERROR(SMALL(IF((MONTH('Bookings Log'!$A$6:$A$505)=$C$7)*(YEAR('Bookings Log'!$A$6:$A$505)=$E$7)*('Bookings Log'!$B$6:$B$505=$C$6),ROW('Bookings Log'!$A$6:$A$505)-5),4),"")),"")</f>
        <v/>
      </c>
      <c r="C17" s="55">
        <f>IFERROR(INDEX('Bookings Log'!$C$6:$C$505,IFERROR(SMALL(IF((MONTH('Bookings Log'!$A$6:$A$505)=$C$7)*(YEAR('Bookings Log'!$A$6:$A$505)=$E$7)*('Bookings Log'!$B$6:$B$505=$C$6),ROW('Bookings Log'!$A$6:$A$505)-5),4),"")),"")</f>
        <v/>
      </c>
      <c r="D17" s="56">
        <f>IFERROR(INDEX('Bookings Log'!$F$6:$F$505,IFERROR(SMALL(IF((MONTH('Bookings Log'!$A$6:$A$505)=$C$7)*(YEAR('Bookings Log'!$A$6:$A$505)=$E$7)*('Bookings Log'!$B$6:$B$505=$C$6),ROW('Bookings Log'!$A$6:$A$505)-5),4),"")),"")</f>
        <v/>
      </c>
      <c r="E17" s="57">
        <f>IFERROR(INDEX('Bookings Log'!$F$6:$F$505,IFERROR(SMALL(IF((MONTH('Bookings Log'!$A$6:$A$505)=$C$7)*(YEAR('Bookings Log'!$A$6:$A$505)=$E$7)*('Bookings Log'!$B$6:$B$505=$C$6),ROW('Bookings Log'!$A$6:$A$505)-5),4),""))-INDEX('Bookings Log'!$J$6:$J$505,IFERROR(SMALL(IF((MONTH('Bookings Log'!$A$6:$A$505)=$C$7)*(YEAR('Bookings Log'!$A$6:$A$505)=$E$7)*('Bookings Log'!$B$6:$B$505=$C$6),ROW('Bookings Log'!$A$6:$A$505)-5),4),"")),"")</f>
        <v/>
      </c>
      <c r="F17" s="56">
        <f>IFERROR(INDEX('Bookings Log'!$J$6:$J$505,IFERROR(SMALL(IF((MONTH('Bookings Log'!$A$6:$A$505)=$C$7)*(YEAR('Bookings Log'!$A$6:$A$505)=$E$7)*('Bookings Log'!$B$6:$B$505=$C$6),ROW('Bookings Log'!$A$6:$A$505)-5),4),"")),"")</f>
        <v/>
      </c>
      <c r="G17" s="58">
        <f>IFERROR(INDEX('Bookings Log'!$L$6:$L$505,IFERROR(SMALL(IF((MONTH('Bookings Log'!$A$6:$A$505)=$C$7)*(YEAR('Bookings Log'!$A$6:$A$505)=$E$7)*('Bookings Log'!$B$6:$B$505=$C$6),ROW('Bookings Log'!$A$6:$A$505)-5),4),"")),"")</f>
        <v/>
      </c>
    </row>
    <row r="18" ht="16" customHeight="1">
      <c r="B18" s="54">
        <f>IFERROR(INDEX('Bookings Log'!$A$6:$A$505,IFERROR(SMALL(IF((MONTH('Bookings Log'!$A$6:$A$505)=$C$7)*(YEAR('Bookings Log'!$A$6:$A$505)=$E$7)*('Bookings Log'!$B$6:$B$505=$C$6),ROW('Bookings Log'!$A$6:$A$505)-5),5),"")),"")</f>
        <v/>
      </c>
      <c r="C18" s="55">
        <f>IFERROR(INDEX('Bookings Log'!$C$6:$C$505,IFERROR(SMALL(IF((MONTH('Bookings Log'!$A$6:$A$505)=$C$7)*(YEAR('Bookings Log'!$A$6:$A$505)=$E$7)*('Bookings Log'!$B$6:$B$505=$C$6),ROW('Bookings Log'!$A$6:$A$505)-5),5),"")),"")</f>
        <v/>
      </c>
      <c r="D18" s="56">
        <f>IFERROR(INDEX('Bookings Log'!$F$6:$F$505,IFERROR(SMALL(IF((MONTH('Bookings Log'!$A$6:$A$505)=$C$7)*(YEAR('Bookings Log'!$A$6:$A$505)=$E$7)*('Bookings Log'!$B$6:$B$505=$C$6),ROW('Bookings Log'!$A$6:$A$505)-5),5),"")),"")</f>
        <v/>
      </c>
      <c r="E18" s="57">
        <f>IFERROR(INDEX('Bookings Log'!$F$6:$F$505,IFERROR(SMALL(IF((MONTH('Bookings Log'!$A$6:$A$505)=$C$7)*(YEAR('Bookings Log'!$A$6:$A$505)=$E$7)*('Bookings Log'!$B$6:$B$505=$C$6),ROW('Bookings Log'!$A$6:$A$505)-5),5),""))-INDEX('Bookings Log'!$J$6:$J$505,IFERROR(SMALL(IF((MONTH('Bookings Log'!$A$6:$A$505)=$C$7)*(YEAR('Bookings Log'!$A$6:$A$505)=$E$7)*('Bookings Log'!$B$6:$B$505=$C$6),ROW('Bookings Log'!$A$6:$A$505)-5),5),"")),"")</f>
        <v/>
      </c>
      <c r="F18" s="56">
        <f>IFERROR(INDEX('Bookings Log'!$J$6:$J$505,IFERROR(SMALL(IF((MONTH('Bookings Log'!$A$6:$A$505)=$C$7)*(YEAR('Bookings Log'!$A$6:$A$505)=$E$7)*('Bookings Log'!$B$6:$B$505=$C$6),ROW('Bookings Log'!$A$6:$A$505)-5),5),"")),"")</f>
        <v/>
      </c>
      <c r="G18" s="58">
        <f>IFERROR(INDEX('Bookings Log'!$L$6:$L$505,IFERROR(SMALL(IF((MONTH('Bookings Log'!$A$6:$A$505)=$C$7)*(YEAR('Bookings Log'!$A$6:$A$505)=$E$7)*('Bookings Log'!$B$6:$B$505=$C$6),ROW('Bookings Log'!$A$6:$A$505)-5),5),"")),"")</f>
        <v/>
      </c>
    </row>
    <row r="19" ht="16" customHeight="1">
      <c r="B19" s="54">
        <f>IFERROR(INDEX('Bookings Log'!$A$6:$A$505,IFERROR(SMALL(IF((MONTH('Bookings Log'!$A$6:$A$505)=$C$7)*(YEAR('Bookings Log'!$A$6:$A$505)=$E$7)*('Bookings Log'!$B$6:$B$505=$C$6),ROW('Bookings Log'!$A$6:$A$505)-5),6),"")),"")</f>
        <v/>
      </c>
      <c r="C19" s="55">
        <f>IFERROR(INDEX('Bookings Log'!$C$6:$C$505,IFERROR(SMALL(IF((MONTH('Bookings Log'!$A$6:$A$505)=$C$7)*(YEAR('Bookings Log'!$A$6:$A$505)=$E$7)*('Bookings Log'!$B$6:$B$505=$C$6),ROW('Bookings Log'!$A$6:$A$505)-5),6),"")),"")</f>
        <v/>
      </c>
      <c r="D19" s="56">
        <f>IFERROR(INDEX('Bookings Log'!$F$6:$F$505,IFERROR(SMALL(IF((MONTH('Bookings Log'!$A$6:$A$505)=$C$7)*(YEAR('Bookings Log'!$A$6:$A$505)=$E$7)*('Bookings Log'!$B$6:$B$505=$C$6),ROW('Bookings Log'!$A$6:$A$505)-5),6),"")),"")</f>
        <v/>
      </c>
      <c r="E19" s="57">
        <f>IFERROR(INDEX('Bookings Log'!$F$6:$F$505,IFERROR(SMALL(IF((MONTH('Bookings Log'!$A$6:$A$505)=$C$7)*(YEAR('Bookings Log'!$A$6:$A$505)=$E$7)*('Bookings Log'!$B$6:$B$505=$C$6),ROW('Bookings Log'!$A$6:$A$505)-5),6),""))-INDEX('Bookings Log'!$J$6:$J$505,IFERROR(SMALL(IF((MONTH('Bookings Log'!$A$6:$A$505)=$C$7)*(YEAR('Bookings Log'!$A$6:$A$505)=$E$7)*('Bookings Log'!$B$6:$B$505=$C$6),ROW('Bookings Log'!$A$6:$A$505)-5),6),"")),"")</f>
        <v/>
      </c>
      <c r="F19" s="56">
        <f>IFERROR(INDEX('Bookings Log'!$J$6:$J$505,IFERROR(SMALL(IF((MONTH('Bookings Log'!$A$6:$A$505)=$C$7)*(YEAR('Bookings Log'!$A$6:$A$505)=$E$7)*('Bookings Log'!$B$6:$B$505=$C$6),ROW('Bookings Log'!$A$6:$A$505)-5),6),"")),"")</f>
        <v/>
      </c>
      <c r="G19" s="58">
        <f>IFERROR(INDEX('Bookings Log'!$L$6:$L$505,IFERROR(SMALL(IF((MONTH('Bookings Log'!$A$6:$A$505)=$C$7)*(YEAR('Bookings Log'!$A$6:$A$505)=$E$7)*('Bookings Log'!$B$6:$B$505=$C$6),ROW('Bookings Log'!$A$6:$A$505)-5),6),"")),"")</f>
        <v/>
      </c>
    </row>
    <row r="20" ht="16" customHeight="1">
      <c r="B20" s="54">
        <f>IFERROR(INDEX('Bookings Log'!$A$6:$A$505,IFERROR(SMALL(IF((MONTH('Bookings Log'!$A$6:$A$505)=$C$7)*(YEAR('Bookings Log'!$A$6:$A$505)=$E$7)*('Bookings Log'!$B$6:$B$505=$C$6),ROW('Bookings Log'!$A$6:$A$505)-5),7),"")),"")</f>
        <v/>
      </c>
      <c r="C20" s="55">
        <f>IFERROR(INDEX('Bookings Log'!$C$6:$C$505,IFERROR(SMALL(IF((MONTH('Bookings Log'!$A$6:$A$505)=$C$7)*(YEAR('Bookings Log'!$A$6:$A$505)=$E$7)*('Bookings Log'!$B$6:$B$505=$C$6),ROW('Bookings Log'!$A$6:$A$505)-5),7),"")),"")</f>
        <v/>
      </c>
      <c r="D20" s="56">
        <f>IFERROR(INDEX('Bookings Log'!$F$6:$F$505,IFERROR(SMALL(IF((MONTH('Bookings Log'!$A$6:$A$505)=$C$7)*(YEAR('Bookings Log'!$A$6:$A$505)=$E$7)*('Bookings Log'!$B$6:$B$505=$C$6),ROW('Bookings Log'!$A$6:$A$505)-5),7),"")),"")</f>
        <v/>
      </c>
      <c r="E20" s="57">
        <f>IFERROR(INDEX('Bookings Log'!$F$6:$F$505,IFERROR(SMALL(IF((MONTH('Bookings Log'!$A$6:$A$505)=$C$7)*(YEAR('Bookings Log'!$A$6:$A$505)=$E$7)*('Bookings Log'!$B$6:$B$505=$C$6),ROW('Bookings Log'!$A$6:$A$505)-5),7),""))-INDEX('Bookings Log'!$J$6:$J$505,IFERROR(SMALL(IF((MONTH('Bookings Log'!$A$6:$A$505)=$C$7)*(YEAR('Bookings Log'!$A$6:$A$505)=$E$7)*('Bookings Log'!$B$6:$B$505=$C$6),ROW('Bookings Log'!$A$6:$A$505)-5),7),"")),"")</f>
        <v/>
      </c>
      <c r="F20" s="56">
        <f>IFERROR(INDEX('Bookings Log'!$J$6:$J$505,IFERROR(SMALL(IF((MONTH('Bookings Log'!$A$6:$A$505)=$C$7)*(YEAR('Bookings Log'!$A$6:$A$505)=$E$7)*('Bookings Log'!$B$6:$B$505=$C$6),ROW('Bookings Log'!$A$6:$A$505)-5),7),"")),"")</f>
        <v/>
      </c>
      <c r="G20" s="58">
        <f>IFERROR(INDEX('Bookings Log'!$L$6:$L$505,IFERROR(SMALL(IF((MONTH('Bookings Log'!$A$6:$A$505)=$C$7)*(YEAR('Bookings Log'!$A$6:$A$505)=$E$7)*('Bookings Log'!$B$6:$B$505=$C$6),ROW('Bookings Log'!$A$6:$A$505)-5),7),"")),"")</f>
        <v/>
      </c>
    </row>
    <row r="21" ht="16" customHeight="1">
      <c r="B21" s="54">
        <f>IFERROR(INDEX('Bookings Log'!$A$6:$A$505,IFERROR(SMALL(IF((MONTH('Bookings Log'!$A$6:$A$505)=$C$7)*(YEAR('Bookings Log'!$A$6:$A$505)=$E$7)*('Bookings Log'!$B$6:$B$505=$C$6),ROW('Bookings Log'!$A$6:$A$505)-5),8),"")),"")</f>
        <v/>
      </c>
      <c r="C21" s="55">
        <f>IFERROR(INDEX('Bookings Log'!$C$6:$C$505,IFERROR(SMALL(IF((MONTH('Bookings Log'!$A$6:$A$505)=$C$7)*(YEAR('Bookings Log'!$A$6:$A$505)=$E$7)*('Bookings Log'!$B$6:$B$505=$C$6),ROW('Bookings Log'!$A$6:$A$505)-5),8),"")),"")</f>
        <v/>
      </c>
      <c r="D21" s="56">
        <f>IFERROR(INDEX('Bookings Log'!$F$6:$F$505,IFERROR(SMALL(IF((MONTH('Bookings Log'!$A$6:$A$505)=$C$7)*(YEAR('Bookings Log'!$A$6:$A$505)=$E$7)*('Bookings Log'!$B$6:$B$505=$C$6),ROW('Bookings Log'!$A$6:$A$505)-5),8),"")),"")</f>
        <v/>
      </c>
      <c r="E21" s="57">
        <f>IFERROR(INDEX('Bookings Log'!$F$6:$F$505,IFERROR(SMALL(IF((MONTH('Bookings Log'!$A$6:$A$505)=$C$7)*(YEAR('Bookings Log'!$A$6:$A$505)=$E$7)*('Bookings Log'!$B$6:$B$505=$C$6),ROW('Bookings Log'!$A$6:$A$505)-5),8),""))-INDEX('Bookings Log'!$J$6:$J$505,IFERROR(SMALL(IF((MONTH('Bookings Log'!$A$6:$A$505)=$C$7)*(YEAR('Bookings Log'!$A$6:$A$505)=$E$7)*('Bookings Log'!$B$6:$B$505=$C$6),ROW('Bookings Log'!$A$6:$A$505)-5),8),"")),"")</f>
        <v/>
      </c>
      <c r="F21" s="56">
        <f>IFERROR(INDEX('Bookings Log'!$J$6:$J$505,IFERROR(SMALL(IF((MONTH('Bookings Log'!$A$6:$A$505)=$C$7)*(YEAR('Bookings Log'!$A$6:$A$505)=$E$7)*('Bookings Log'!$B$6:$B$505=$C$6),ROW('Bookings Log'!$A$6:$A$505)-5),8),"")),"")</f>
        <v/>
      </c>
      <c r="G21" s="58">
        <f>IFERROR(INDEX('Bookings Log'!$L$6:$L$505,IFERROR(SMALL(IF((MONTH('Bookings Log'!$A$6:$A$505)=$C$7)*(YEAR('Bookings Log'!$A$6:$A$505)=$E$7)*('Bookings Log'!$B$6:$B$505=$C$6),ROW('Bookings Log'!$A$6:$A$505)-5),8),"")),"")</f>
        <v/>
      </c>
    </row>
    <row r="22" ht="16" customHeight="1">
      <c r="B22" s="54">
        <f>IFERROR(INDEX('Bookings Log'!$A$6:$A$505,IFERROR(SMALL(IF((MONTH('Bookings Log'!$A$6:$A$505)=$C$7)*(YEAR('Bookings Log'!$A$6:$A$505)=$E$7)*('Bookings Log'!$B$6:$B$505=$C$6),ROW('Bookings Log'!$A$6:$A$505)-5),9),"")),"")</f>
        <v/>
      </c>
      <c r="C22" s="55">
        <f>IFERROR(INDEX('Bookings Log'!$C$6:$C$505,IFERROR(SMALL(IF((MONTH('Bookings Log'!$A$6:$A$505)=$C$7)*(YEAR('Bookings Log'!$A$6:$A$505)=$E$7)*('Bookings Log'!$B$6:$B$505=$C$6),ROW('Bookings Log'!$A$6:$A$505)-5),9),"")),"")</f>
        <v/>
      </c>
      <c r="D22" s="56">
        <f>IFERROR(INDEX('Bookings Log'!$F$6:$F$505,IFERROR(SMALL(IF((MONTH('Bookings Log'!$A$6:$A$505)=$C$7)*(YEAR('Bookings Log'!$A$6:$A$505)=$E$7)*('Bookings Log'!$B$6:$B$505=$C$6),ROW('Bookings Log'!$A$6:$A$505)-5),9),"")),"")</f>
        <v/>
      </c>
      <c r="E22" s="57">
        <f>IFERROR(INDEX('Bookings Log'!$F$6:$F$505,IFERROR(SMALL(IF((MONTH('Bookings Log'!$A$6:$A$505)=$C$7)*(YEAR('Bookings Log'!$A$6:$A$505)=$E$7)*('Bookings Log'!$B$6:$B$505=$C$6),ROW('Bookings Log'!$A$6:$A$505)-5),9),""))-INDEX('Bookings Log'!$J$6:$J$505,IFERROR(SMALL(IF((MONTH('Bookings Log'!$A$6:$A$505)=$C$7)*(YEAR('Bookings Log'!$A$6:$A$505)=$E$7)*('Bookings Log'!$B$6:$B$505=$C$6),ROW('Bookings Log'!$A$6:$A$505)-5),9),"")),"")</f>
        <v/>
      </c>
      <c r="F22" s="56">
        <f>IFERROR(INDEX('Bookings Log'!$J$6:$J$505,IFERROR(SMALL(IF((MONTH('Bookings Log'!$A$6:$A$505)=$C$7)*(YEAR('Bookings Log'!$A$6:$A$505)=$E$7)*('Bookings Log'!$B$6:$B$505=$C$6),ROW('Bookings Log'!$A$6:$A$505)-5),9),"")),"")</f>
        <v/>
      </c>
      <c r="G22" s="58">
        <f>IFERROR(INDEX('Bookings Log'!$L$6:$L$505,IFERROR(SMALL(IF((MONTH('Bookings Log'!$A$6:$A$505)=$C$7)*(YEAR('Bookings Log'!$A$6:$A$505)=$E$7)*('Bookings Log'!$B$6:$B$505=$C$6),ROW('Bookings Log'!$A$6:$A$505)-5),9),"")),"")</f>
        <v/>
      </c>
    </row>
    <row r="23" ht="16" customHeight="1">
      <c r="B23" s="54">
        <f>IFERROR(INDEX('Bookings Log'!$A$6:$A$505,IFERROR(SMALL(IF((MONTH('Bookings Log'!$A$6:$A$505)=$C$7)*(YEAR('Bookings Log'!$A$6:$A$505)=$E$7)*('Bookings Log'!$B$6:$B$505=$C$6),ROW('Bookings Log'!$A$6:$A$505)-5),10),"")),"")</f>
        <v/>
      </c>
      <c r="C23" s="55">
        <f>IFERROR(INDEX('Bookings Log'!$C$6:$C$505,IFERROR(SMALL(IF((MONTH('Bookings Log'!$A$6:$A$505)=$C$7)*(YEAR('Bookings Log'!$A$6:$A$505)=$E$7)*('Bookings Log'!$B$6:$B$505=$C$6),ROW('Bookings Log'!$A$6:$A$505)-5),10),"")),"")</f>
        <v/>
      </c>
      <c r="D23" s="56">
        <f>IFERROR(INDEX('Bookings Log'!$F$6:$F$505,IFERROR(SMALL(IF((MONTH('Bookings Log'!$A$6:$A$505)=$C$7)*(YEAR('Bookings Log'!$A$6:$A$505)=$E$7)*('Bookings Log'!$B$6:$B$505=$C$6),ROW('Bookings Log'!$A$6:$A$505)-5),10),"")),"")</f>
        <v/>
      </c>
      <c r="E23" s="57">
        <f>IFERROR(INDEX('Bookings Log'!$F$6:$F$505,IFERROR(SMALL(IF((MONTH('Bookings Log'!$A$6:$A$505)=$C$7)*(YEAR('Bookings Log'!$A$6:$A$505)=$E$7)*('Bookings Log'!$B$6:$B$505=$C$6),ROW('Bookings Log'!$A$6:$A$505)-5),10),""))-INDEX('Bookings Log'!$J$6:$J$505,IFERROR(SMALL(IF((MONTH('Bookings Log'!$A$6:$A$505)=$C$7)*(YEAR('Bookings Log'!$A$6:$A$505)=$E$7)*('Bookings Log'!$B$6:$B$505=$C$6),ROW('Bookings Log'!$A$6:$A$505)-5),10),"")),"")</f>
        <v/>
      </c>
      <c r="F23" s="56">
        <f>IFERROR(INDEX('Bookings Log'!$J$6:$J$505,IFERROR(SMALL(IF((MONTH('Bookings Log'!$A$6:$A$505)=$C$7)*(YEAR('Bookings Log'!$A$6:$A$505)=$E$7)*('Bookings Log'!$B$6:$B$505=$C$6),ROW('Bookings Log'!$A$6:$A$505)-5),10),"")),"")</f>
        <v/>
      </c>
      <c r="G23" s="58">
        <f>IFERROR(INDEX('Bookings Log'!$L$6:$L$505,IFERROR(SMALL(IF((MONTH('Bookings Log'!$A$6:$A$505)=$C$7)*(YEAR('Bookings Log'!$A$6:$A$505)=$E$7)*('Bookings Log'!$B$6:$B$505=$C$6),ROW('Bookings Log'!$A$6:$A$505)-5),10),"")),"")</f>
        <v/>
      </c>
    </row>
    <row r="24" ht="16" customHeight="1">
      <c r="B24" s="54">
        <f>IFERROR(INDEX('Bookings Log'!$A$6:$A$505,IFERROR(SMALL(IF((MONTH('Bookings Log'!$A$6:$A$505)=$C$7)*(YEAR('Bookings Log'!$A$6:$A$505)=$E$7)*('Bookings Log'!$B$6:$B$505=$C$6),ROW('Bookings Log'!$A$6:$A$505)-5),11),"")),"")</f>
        <v/>
      </c>
      <c r="C24" s="55">
        <f>IFERROR(INDEX('Bookings Log'!$C$6:$C$505,IFERROR(SMALL(IF((MONTH('Bookings Log'!$A$6:$A$505)=$C$7)*(YEAR('Bookings Log'!$A$6:$A$505)=$E$7)*('Bookings Log'!$B$6:$B$505=$C$6),ROW('Bookings Log'!$A$6:$A$505)-5),11),"")),"")</f>
        <v/>
      </c>
      <c r="D24" s="56">
        <f>IFERROR(INDEX('Bookings Log'!$F$6:$F$505,IFERROR(SMALL(IF((MONTH('Bookings Log'!$A$6:$A$505)=$C$7)*(YEAR('Bookings Log'!$A$6:$A$505)=$E$7)*('Bookings Log'!$B$6:$B$505=$C$6),ROW('Bookings Log'!$A$6:$A$505)-5),11),"")),"")</f>
        <v/>
      </c>
      <c r="E24" s="57">
        <f>IFERROR(INDEX('Bookings Log'!$F$6:$F$505,IFERROR(SMALL(IF((MONTH('Bookings Log'!$A$6:$A$505)=$C$7)*(YEAR('Bookings Log'!$A$6:$A$505)=$E$7)*('Bookings Log'!$B$6:$B$505=$C$6),ROW('Bookings Log'!$A$6:$A$505)-5),11),""))-INDEX('Bookings Log'!$J$6:$J$505,IFERROR(SMALL(IF((MONTH('Bookings Log'!$A$6:$A$505)=$C$7)*(YEAR('Bookings Log'!$A$6:$A$505)=$E$7)*('Bookings Log'!$B$6:$B$505=$C$6),ROW('Bookings Log'!$A$6:$A$505)-5),11),"")),"")</f>
        <v/>
      </c>
      <c r="F24" s="56">
        <f>IFERROR(INDEX('Bookings Log'!$J$6:$J$505,IFERROR(SMALL(IF((MONTH('Bookings Log'!$A$6:$A$505)=$C$7)*(YEAR('Bookings Log'!$A$6:$A$505)=$E$7)*('Bookings Log'!$B$6:$B$505=$C$6),ROW('Bookings Log'!$A$6:$A$505)-5),11),"")),"")</f>
        <v/>
      </c>
      <c r="G24" s="58">
        <f>IFERROR(INDEX('Bookings Log'!$L$6:$L$505,IFERROR(SMALL(IF((MONTH('Bookings Log'!$A$6:$A$505)=$C$7)*(YEAR('Bookings Log'!$A$6:$A$505)=$E$7)*('Bookings Log'!$B$6:$B$505=$C$6),ROW('Bookings Log'!$A$6:$A$505)-5),11),"")),"")</f>
        <v/>
      </c>
    </row>
    <row r="25" ht="16" customHeight="1">
      <c r="B25" s="54">
        <f>IFERROR(INDEX('Bookings Log'!$A$6:$A$505,IFERROR(SMALL(IF((MONTH('Bookings Log'!$A$6:$A$505)=$C$7)*(YEAR('Bookings Log'!$A$6:$A$505)=$E$7)*('Bookings Log'!$B$6:$B$505=$C$6),ROW('Bookings Log'!$A$6:$A$505)-5),12),"")),"")</f>
        <v/>
      </c>
      <c r="C25" s="55">
        <f>IFERROR(INDEX('Bookings Log'!$C$6:$C$505,IFERROR(SMALL(IF((MONTH('Bookings Log'!$A$6:$A$505)=$C$7)*(YEAR('Bookings Log'!$A$6:$A$505)=$E$7)*('Bookings Log'!$B$6:$B$505=$C$6),ROW('Bookings Log'!$A$6:$A$505)-5),12),"")),"")</f>
        <v/>
      </c>
      <c r="D25" s="56">
        <f>IFERROR(INDEX('Bookings Log'!$F$6:$F$505,IFERROR(SMALL(IF((MONTH('Bookings Log'!$A$6:$A$505)=$C$7)*(YEAR('Bookings Log'!$A$6:$A$505)=$E$7)*('Bookings Log'!$B$6:$B$505=$C$6),ROW('Bookings Log'!$A$6:$A$505)-5),12),"")),"")</f>
        <v/>
      </c>
      <c r="E25" s="57">
        <f>IFERROR(INDEX('Bookings Log'!$F$6:$F$505,IFERROR(SMALL(IF((MONTH('Bookings Log'!$A$6:$A$505)=$C$7)*(YEAR('Bookings Log'!$A$6:$A$505)=$E$7)*('Bookings Log'!$B$6:$B$505=$C$6),ROW('Bookings Log'!$A$6:$A$505)-5),12),""))-INDEX('Bookings Log'!$J$6:$J$505,IFERROR(SMALL(IF((MONTH('Bookings Log'!$A$6:$A$505)=$C$7)*(YEAR('Bookings Log'!$A$6:$A$505)=$E$7)*('Bookings Log'!$B$6:$B$505=$C$6),ROW('Bookings Log'!$A$6:$A$505)-5),12),"")),"")</f>
        <v/>
      </c>
      <c r="F25" s="56">
        <f>IFERROR(INDEX('Bookings Log'!$J$6:$J$505,IFERROR(SMALL(IF((MONTH('Bookings Log'!$A$6:$A$505)=$C$7)*(YEAR('Bookings Log'!$A$6:$A$505)=$E$7)*('Bookings Log'!$B$6:$B$505=$C$6),ROW('Bookings Log'!$A$6:$A$505)-5),12),"")),"")</f>
        <v/>
      </c>
      <c r="G25" s="58">
        <f>IFERROR(INDEX('Bookings Log'!$L$6:$L$505,IFERROR(SMALL(IF((MONTH('Bookings Log'!$A$6:$A$505)=$C$7)*(YEAR('Bookings Log'!$A$6:$A$505)=$E$7)*('Bookings Log'!$B$6:$B$505=$C$6),ROW('Bookings Log'!$A$6:$A$505)-5),12),"")),"")</f>
        <v/>
      </c>
    </row>
    <row r="26" ht="16" customHeight="1">
      <c r="B26" s="54">
        <f>IFERROR(INDEX('Bookings Log'!$A$6:$A$505,IFERROR(SMALL(IF((MONTH('Bookings Log'!$A$6:$A$505)=$C$7)*(YEAR('Bookings Log'!$A$6:$A$505)=$E$7)*('Bookings Log'!$B$6:$B$505=$C$6),ROW('Bookings Log'!$A$6:$A$505)-5),13),"")),"")</f>
        <v/>
      </c>
      <c r="C26" s="55">
        <f>IFERROR(INDEX('Bookings Log'!$C$6:$C$505,IFERROR(SMALL(IF((MONTH('Bookings Log'!$A$6:$A$505)=$C$7)*(YEAR('Bookings Log'!$A$6:$A$505)=$E$7)*('Bookings Log'!$B$6:$B$505=$C$6),ROW('Bookings Log'!$A$6:$A$505)-5),13),"")),"")</f>
        <v/>
      </c>
      <c r="D26" s="56">
        <f>IFERROR(INDEX('Bookings Log'!$F$6:$F$505,IFERROR(SMALL(IF((MONTH('Bookings Log'!$A$6:$A$505)=$C$7)*(YEAR('Bookings Log'!$A$6:$A$505)=$E$7)*('Bookings Log'!$B$6:$B$505=$C$6),ROW('Bookings Log'!$A$6:$A$505)-5),13),"")),"")</f>
        <v/>
      </c>
      <c r="E26" s="57">
        <f>IFERROR(INDEX('Bookings Log'!$F$6:$F$505,IFERROR(SMALL(IF((MONTH('Bookings Log'!$A$6:$A$505)=$C$7)*(YEAR('Bookings Log'!$A$6:$A$505)=$E$7)*('Bookings Log'!$B$6:$B$505=$C$6),ROW('Bookings Log'!$A$6:$A$505)-5),13),""))-INDEX('Bookings Log'!$J$6:$J$505,IFERROR(SMALL(IF((MONTH('Bookings Log'!$A$6:$A$505)=$C$7)*(YEAR('Bookings Log'!$A$6:$A$505)=$E$7)*('Bookings Log'!$B$6:$B$505=$C$6),ROW('Bookings Log'!$A$6:$A$505)-5),13),"")),"")</f>
        <v/>
      </c>
      <c r="F26" s="56">
        <f>IFERROR(INDEX('Bookings Log'!$J$6:$J$505,IFERROR(SMALL(IF((MONTH('Bookings Log'!$A$6:$A$505)=$C$7)*(YEAR('Bookings Log'!$A$6:$A$505)=$E$7)*('Bookings Log'!$B$6:$B$505=$C$6),ROW('Bookings Log'!$A$6:$A$505)-5),13),"")),"")</f>
        <v/>
      </c>
      <c r="G26" s="58">
        <f>IFERROR(INDEX('Bookings Log'!$L$6:$L$505,IFERROR(SMALL(IF((MONTH('Bookings Log'!$A$6:$A$505)=$C$7)*(YEAR('Bookings Log'!$A$6:$A$505)=$E$7)*('Bookings Log'!$B$6:$B$505=$C$6),ROW('Bookings Log'!$A$6:$A$505)-5),13),"")),"")</f>
        <v/>
      </c>
    </row>
    <row r="27" ht="16" customHeight="1">
      <c r="B27" s="54">
        <f>IFERROR(INDEX('Bookings Log'!$A$6:$A$505,IFERROR(SMALL(IF((MONTH('Bookings Log'!$A$6:$A$505)=$C$7)*(YEAR('Bookings Log'!$A$6:$A$505)=$E$7)*('Bookings Log'!$B$6:$B$505=$C$6),ROW('Bookings Log'!$A$6:$A$505)-5),14),"")),"")</f>
        <v/>
      </c>
      <c r="C27" s="55">
        <f>IFERROR(INDEX('Bookings Log'!$C$6:$C$505,IFERROR(SMALL(IF((MONTH('Bookings Log'!$A$6:$A$505)=$C$7)*(YEAR('Bookings Log'!$A$6:$A$505)=$E$7)*('Bookings Log'!$B$6:$B$505=$C$6),ROW('Bookings Log'!$A$6:$A$505)-5),14),"")),"")</f>
        <v/>
      </c>
      <c r="D27" s="56">
        <f>IFERROR(INDEX('Bookings Log'!$F$6:$F$505,IFERROR(SMALL(IF((MONTH('Bookings Log'!$A$6:$A$505)=$C$7)*(YEAR('Bookings Log'!$A$6:$A$505)=$E$7)*('Bookings Log'!$B$6:$B$505=$C$6),ROW('Bookings Log'!$A$6:$A$505)-5),14),"")),"")</f>
        <v/>
      </c>
      <c r="E27" s="57">
        <f>IFERROR(INDEX('Bookings Log'!$F$6:$F$505,IFERROR(SMALL(IF((MONTH('Bookings Log'!$A$6:$A$505)=$C$7)*(YEAR('Bookings Log'!$A$6:$A$505)=$E$7)*('Bookings Log'!$B$6:$B$505=$C$6),ROW('Bookings Log'!$A$6:$A$505)-5),14),""))-INDEX('Bookings Log'!$J$6:$J$505,IFERROR(SMALL(IF((MONTH('Bookings Log'!$A$6:$A$505)=$C$7)*(YEAR('Bookings Log'!$A$6:$A$505)=$E$7)*('Bookings Log'!$B$6:$B$505=$C$6),ROW('Bookings Log'!$A$6:$A$505)-5),14),"")),"")</f>
        <v/>
      </c>
      <c r="F27" s="56">
        <f>IFERROR(INDEX('Bookings Log'!$J$6:$J$505,IFERROR(SMALL(IF((MONTH('Bookings Log'!$A$6:$A$505)=$C$7)*(YEAR('Bookings Log'!$A$6:$A$505)=$E$7)*('Bookings Log'!$B$6:$B$505=$C$6),ROW('Bookings Log'!$A$6:$A$505)-5),14),"")),"")</f>
        <v/>
      </c>
      <c r="G27" s="58">
        <f>IFERROR(INDEX('Bookings Log'!$L$6:$L$505,IFERROR(SMALL(IF((MONTH('Bookings Log'!$A$6:$A$505)=$C$7)*(YEAR('Bookings Log'!$A$6:$A$505)=$E$7)*('Bookings Log'!$B$6:$B$505=$C$6),ROW('Bookings Log'!$A$6:$A$505)-5),14),"")),"")</f>
        <v/>
      </c>
    </row>
    <row r="28" ht="16" customHeight="1">
      <c r="B28" s="54">
        <f>IFERROR(INDEX('Bookings Log'!$A$6:$A$505,IFERROR(SMALL(IF((MONTH('Bookings Log'!$A$6:$A$505)=$C$7)*(YEAR('Bookings Log'!$A$6:$A$505)=$E$7)*('Bookings Log'!$B$6:$B$505=$C$6),ROW('Bookings Log'!$A$6:$A$505)-5),15),"")),"")</f>
        <v/>
      </c>
      <c r="C28" s="55">
        <f>IFERROR(INDEX('Bookings Log'!$C$6:$C$505,IFERROR(SMALL(IF((MONTH('Bookings Log'!$A$6:$A$505)=$C$7)*(YEAR('Bookings Log'!$A$6:$A$505)=$E$7)*('Bookings Log'!$B$6:$B$505=$C$6),ROW('Bookings Log'!$A$6:$A$505)-5),15),"")),"")</f>
        <v/>
      </c>
      <c r="D28" s="56">
        <f>IFERROR(INDEX('Bookings Log'!$F$6:$F$505,IFERROR(SMALL(IF((MONTH('Bookings Log'!$A$6:$A$505)=$C$7)*(YEAR('Bookings Log'!$A$6:$A$505)=$E$7)*('Bookings Log'!$B$6:$B$505=$C$6),ROW('Bookings Log'!$A$6:$A$505)-5),15),"")),"")</f>
        <v/>
      </c>
      <c r="E28" s="57">
        <f>IFERROR(INDEX('Bookings Log'!$F$6:$F$505,IFERROR(SMALL(IF((MONTH('Bookings Log'!$A$6:$A$505)=$C$7)*(YEAR('Bookings Log'!$A$6:$A$505)=$E$7)*('Bookings Log'!$B$6:$B$505=$C$6),ROW('Bookings Log'!$A$6:$A$505)-5),15),""))-INDEX('Bookings Log'!$J$6:$J$505,IFERROR(SMALL(IF((MONTH('Bookings Log'!$A$6:$A$505)=$C$7)*(YEAR('Bookings Log'!$A$6:$A$505)=$E$7)*('Bookings Log'!$B$6:$B$505=$C$6),ROW('Bookings Log'!$A$6:$A$505)-5),15),"")),"")</f>
        <v/>
      </c>
      <c r="F28" s="56">
        <f>IFERROR(INDEX('Bookings Log'!$J$6:$J$505,IFERROR(SMALL(IF((MONTH('Bookings Log'!$A$6:$A$505)=$C$7)*(YEAR('Bookings Log'!$A$6:$A$505)=$E$7)*('Bookings Log'!$B$6:$B$505=$C$6),ROW('Bookings Log'!$A$6:$A$505)-5),15),"")),"")</f>
        <v/>
      </c>
      <c r="G28" s="58">
        <f>IFERROR(INDEX('Bookings Log'!$L$6:$L$505,IFERROR(SMALL(IF((MONTH('Bookings Log'!$A$6:$A$505)=$C$7)*(YEAR('Bookings Log'!$A$6:$A$505)=$E$7)*('Bookings Log'!$B$6:$B$505=$C$6),ROW('Bookings Log'!$A$6:$A$505)-5),15),"")),"")</f>
        <v/>
      </c>
    </row>
    <row r="30" ht="24" customHeight="1">
      <c r="B30" s="59" t="inlineStr">
        <is>
          <t>Subtotals:</t>
        </is>
      </c>
      <c r="D30" s="60">
        <f>SUMPRODUCT((MONTH('Bookings Log'!$A$6:$A$505)=$C$7)*(YEAR('Bookings Log'!$A$6:$A$505)=$E$7)*('Bookings Log'!$B$6:$B$505=$C$6)*'Bookings Log'!$F$6:$F$505)</f>
        <v/>
      </c>
      <c r="E30" s="61">
        <f>D30-F30</f>
        <v/>
      </c>
      <c r="F30" s="60">
        <f>SUMPRODUCT((MONTH('Bookings Log'!$A$6:$A$505)=$C$7)*(YEAR('Bookings Log'!$A$6:$A$505)=$E$7)*('Bookings Log'!$B$6:$B$505=$C$6)*'Bookings Log'!$J$6:$J$505)</f>
        <v/>
      </c>
      <c r="G30" s="62">
        <f>SUMPRODUCT((MONTH('Bookings Log'!$A$6:$A$505)=$C$7)*(YEAR('Bookings Log'!$A$6:$A$505)=$E$7)*('Bookings Log'!$B$6:$B$505=$C$6)*'Bookings Log'!$L$6:$L$505)</f>
        <v/>
      </c>
    </row>
    <row r="32" ht="22" customHeight="1">
      <c r="B32" s="52" t="inlineStr">
        <is>
          <t>COMMISSION DETAIL</t>
        </is>
      </c>
    </row>
    <row r="33" ht="18" customHeight="1">
      <c r="B33" s="51">
        <f>"Per agreement: "&amp;IFERROR(VLOOKUP($C$6,'Co-Host Agreements'!$A$6:$K$20,4,FALSE),"")&amp;"   |   "&amp;TEXT(IFERROR(VLOOKUP($C$6,'Co-Host Agreements'!$A$6:$K$20,5,FALSE),0),"0.0%")&amp;" + $"&amp;TEXT(IFERROR(VLOOKUP($C$6,'Co-Host Agreements'!$A$6:$K$20,6,FALSE),0),"0")&amp;" flat per booking"</f>
        <v/>
      </c>
    </row>
    <row r="35" ht="6" customHeight="1">
      <c r="B35" s="63" t="n"/>
      <c r="C35" s="63" t="n"/>
      <c r="D35" s="63" t="n"/>
      <c r="E35" s="63" t="n"/>
      <c r="F35" s="63" t="n"/>
      <c r="G35" s="63" t="n"/>
    </row>
    <row r="36" ht="28" customHeight="1">
      <c r="B36" s="64" t="inlineStr">
        <is>
          <t>TOTAL TO CO-HOST</t>
        </is>
      </c>
      <c r="G36" s="65">
        <f>G30</f>
        <v/>
      </c>
    </row>
    <row r="37" ht="28" customHeight="1">
      <c r="B37" s="64" t="inlineStr">
        <is>
          <t>TOTAL TO OWNER</t>
        </is>
      </c>
      <c r="G37" s="66">
        <f>F30-G30</f>
        <v/>
      </c>
    </row>
    <row r="39" ht="18" customHeight="1">
      <c r="B39" s="67" t="inlineStr">
        <is>
          <t>PAYMENT INSTRUCTIONS</t>
        </is>
      </c>
    </row>
    <row r="40" ht="16" customHeight="1">
      <c r="B40" s="68" t="inlineStr">
        <is>
          <t>Please remit the TOTAL TO CO-HOST amount above via your preferred payment method by the 10th of the following month. Receipts and supporting documentation available on request.</t>
        </is>
      </c>
    </row>
    <row r="41" ht="16" customHeight="1"/>
    <row r="43" ht="16" customHeight="1">
      <c r="B43" s="69">
        <f>"Generated "&amp;TEXT(TODAY(),"mmmm d, yyyy")</f>
        <v/>
      </c>
    </row>
  </sheetData>
  <mergeCells count="13">
    <mergeCell ref="B3:G3"/>
    <mergeCell ref="B39:G39"/>
    <mergeCell ref="B40:G41"/>
    <mergeCell ref="C6:G6"/>
    <mergeCell ref="C10:G10"/>
    <mergeCell ref="B33:F33"/>
    <mergeCell ref="B32:G32"/>
    <mergeCell ref="B43:G43"/>
    <mergeCell ref="B12:G12"/>
    <mergeCell ref="B37:E37"/>
    <mergeCell ref="B1:C1"/>
    <mergeCell ref="C9:G9"/>
    <mergeCell ref="B36:E36"/>
  </mergeCells>
  <dataValidations count="2">
    <dataValidation sqref="C6" showDropDown="0" showInputMessage="0" showErrorMessage="0" allowBlank="1" type="list">
      <formula1>='Co-Host Agreements'!$A$6:$A$20</formula1>
    </dataValidation>
    <dataValidation sqref="C7" showDropDown="0" showInputMessage="0" showErrorMessage="0" allowBlank="1" type="list">
      <formula1>"1,2,3,4,5,6,7,8,9,10,11,12"</formula1>
    </dataValidation>
  </dataValidations>
  <pageMargins left="0.6" right="0.6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HYPERLINK("#'Monthly Statements'!A1", "← BACK")</f>
        <v/>
      </c>
      <c r="B2" s="24" t="n"/>
      <c r="C2" s="24" t="n"/>
      <c r="D2" s="33" t="inlineStr">
        <is>
          <t>YEAR-END SUMMARY</t>
        </is>
      </c>
      <c r="J2" s="25">
        <f>HYPERLINK("#'Settings'!A1",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Per-property totals for the active tax year (set on Settings B5). Properties at &gt;= 1099 threshold flag for 1099-NEC issuance.</t>
        </is>
      </c>
    </row>
    <row r="5" ht="24" customHeight="1">
      <c r="A5" s="44" t="inlineStr">
        <is>
          <t>Tax year (from Settings):</t>
        </is>
      </c>
      <c r="B5" s="70">
        <f>Settings!B5</f>
        <v/>
      </c>
    </row>
    <row r="7" ht="28" customHeight="1">
      <c r="A7" s="35" t="inlineStr">
        <is>
          <t>Property</t>
        </is>
      </c>
      <c r="B7" s="35" t="inlineStr">
        <is>
          <t>Owner</t>
        </is>
      </c>
      <c r="C7" s="35" t="inlineStr">
        <is>
          <t>Bookings</t>
        </is>
      </c>
      <c r="D7" s="35" t="inlineStr">
        <is>
          <t>Total gross</t>
        </is>
      </c>
      <c r="E7" s="35" t="inlineStr">
        <is>
          <t>Total deductions</t>
        </is>
      </c>
      <c r="F7" s="35" t="inlineStr">
        <is>
          <t>Total NET</t>
        </is>
      </c>
      <c r="G7" s="35" t="inlineStr">
        <is>
          <t>Commission paid</t>
        </is>
      </c>
      <c r="H7" s="35" t="inlineStr">
        <is>
          <t>1099-NEC required?</t>
        </is>
      </c>
    </row>
    <row r="8" ht="20" customHeight="1">
      <c r="A8" s="49">
        <f>IF('Co-Host Agreements'!A6="","",'Co-Host Agreements'!A6)</f>
        <v/>
      </c>
      <c r="B8" s="49">
        <f>IF(A8="","",'Co-Host Agreements'!B6)</f>
        <v/>
      </c>
      <c r="C8" s="71">
        <f>IF(A8="","",SUMPRODUCT((YEAR('Bookings Log'!$A$6:$A$505)=$B$5)*('Bookings Log'!$B$6:$B$505=A8)*1))</f>
        <v/>
      </c>
      <c r="D8" s="41">
        <f>IF(A8="","",SUMPRODUCT((YEAR('Bookings Log'!$A$6:$A$505)=$B$5)*('Bookings Log'!$B$6:$B$505=A8)*'Bookings Log'!$F$6:$F$505))</f>
        <v/>
      </c>
      <c r="E8" s="72">
        <f>IF(A8="","",D8-F8)</f>
        <v/>
      </c>
      <c r="F8" s="41">
        <f>IF(A8="","",SUMPRODUCT((YEAR('Bookings Log'!$A$6:$A$505)=$B$5)*('Bookings Log'!$B$6:$B$505=A8)*'Bookings Log'!$J$6:$J$505))</f>
        <v/>
      </c>
      <c r="G8" s="73">
        <f>IF(A8="","",SUMPRODUCT((YEAR('Bookings Log'!$A$6:$A$505)=$B$5)*('Bookings Log'!$B$6:$B$505=A8)*'Bookings Log'!$L$6:$L$505))</f>
        <v/>
      </c>
      <c r="H8" s="74">
        <f>IF(A8="","",IF(G8&gt;=Settings!$B$29,"Yes","No"))</f>
        <v/>
      </c>
    </row>
    <row r="9" ht="20" customHeight="1">
      <c r="A9" s="49">
        <f>IF('Co-Host Agreements'!A7="","",'Co-Host Agreements'!A7)</f>
        <v/>
      </c>
      <c r="B9" s="49">
        <f>IF(A9="","",'Co-Host Agreements'!B7)</f>
        <v/>
      </c>
      <c r="C9" s="71">
        <f>IF(A9="","",SUMPRODUCT((YEAR('Bookings Log'!$A$6:$A$505)=$B$5)*('Bookings Log'!$B$6:$B$505=A9)*1))</f>
        <v/>
      </c>
      <c r="D9" s="41">
        <f>IF(A9="","",SUMPRODUCT((YEAR('Bookings Log'!$A$6:$A$505)=$B$5)*('Bookings Log'!$B$6:$B$505=A9)*'Bookings Log'!$F$6:$F$505))</f>
        <v/>
      </c>
      <c r="E9" s="72">
        <f>IF(A9="","",D9-F9)</f>
        <v/>
      </c>
      <c r="F9" s="41">
        <f>IF(A9="","",SUMPRODUCT((YEAR('Bookings Log'!$A$6:$A$505)=$B$5)*('Bookings Log'!$B$6:$B$505=A9)*'Bookings Log'!$J$6:$J$505))</f>
        <v/>
      </c>
      <c r="G9" s="73">
        <f>IF(A9="","",SUMPRODUCT((YEAR('Bookings Log'!$A$6:$A$505)=$B$5)*('Bookings Log'!$B$6:$B$505=A9)*'Bookings Log'!$L$6:$L$505))</f>
        <v/>
      </c>
      <c r="H9" s="74">
        <f>IF(A9="","",IF(G9&gt;=Settings!$B$29,"Yes","No"))</f>
        <v/>
      </c>
    </row>
    <row r="10" ht="20" customHeight="1">
      <c r="A10" s="49">
        <f>IF('Co-Host Agreements'!A8="","",'Co-Host Agreements'!A8)</f>
        <v/>
      </c>
      <c r="B10" s="49">
        <f>IF(A10="","",'Co-Host Agreements'!B8)</f>
        <v/>
      </c>
      <c r="C10" s="71">
        <f>IF(A10="","",SUMPRODUCT((YEAR('Bookings Log'!$A$6:$A$505)=$B$5)*('Bookings Log'!$B$6:$B$505=A10)*1))</f>
        <v/>
      </c>
      <c r="D10" s="41">
        <f>IF(A10="","",SUMPRODUCT((YEAR('Bookings Log'!$A$6:$A$505)=$B$5)*('Bookings Log'!$B$6:$B$505=A10)*'Bookings Log'!$F$6:$F$505))</f>
        <v/>
      </c>
      <c r="E10" s="72">
        <f>IF(A10="","",D10-F10)</f>
        <v/>
      </c>
      <c r="F10" s="41">
        <f>IF(A10="","",SUMPRODUCT((YEAR('Bookings Log'!$A$6:$A$505)=$B$5)*('Bookings Log'!$B$6:$B$505=A10)*'Bookings Log'!$J$6:$J$505))</f>
        <v/>
      </c>
      <c r="G10" s="73">
        <f>IF(A10="","",SUMPRODUCT((YEAR('Bookings Log'!$A$6:$A$505)=$B$5)*('Bookings Log'!$B$6:$B$505=A10)*'Bookings Log'!$L$6:$L$505))</f>
        <v/>
      </c>
      <c r="H10" s="74">
        <f>IF(A10="","",IF(G10&gt;=Settings!$B$29,"Yes","No"))</f>
        <v/>
      </c>
    </row>
    <row r="11" ht="20" customHeight="1">
      <c r="A11" s="49">
        <f>IF('Co-Host Agreements'!A9="","",'Co-Host Agreements'!A9)</f>
        <v/>
      </c>
      <c r="B11" s="49">
        <f>IF(A11="","",'Co-Host Agreements'!B9)</f>
        <v/>
      </c>
      <c r="C11" s="71">
        <f>IF(A11="","",SUMPRODUCT((YEAR('Bookings Log'!$A$6:$A$505)=$B$5)*('Bookings Log'!$B$6:$B$505=A11)*1))</f>
        <v/>
      </c>
      <c r="D11" s="41">
        <f>IF(A11="","",SUMPRODUCT((YEAR('Bookings Log'!$A$6:$A$505)=$B$5)*('Bookings Log'!$B$6:$B$505=A11)*'Bookings Log'!$F$6:$F$505))</f>
        <v/>
      </c>
      <c r="E11" s="72">
        <f>IF(A11="","",D11-F11)</f>
        <v/>
      </c>
      <c r="F11" s="41">
        <f>IF(A11="","",SUMPRODUCT((YEAR('Bookings Log'!$A$6:$A$505)=$B$5)*('Bookings Log'!$B$6:$B$505=A11)*'Bookings Log'!$J$6:$J$505))</f>
        <v/>
      </c>
      <c r="G11" s="73">
        <f>IF(A11="","",SUMPRODUCT((YEAR('Bookings Log'!$A$6:$A$505)=$B$5)*('Bookings Log'!$B$6:$B$505=A11)*'Bookings Log'!$L$6:$L$505))</f>
        <v/>
      </c>
      <c r="H11" s="74">
        <f>IF(A11="","",IF(G11&gt;=Settings!$B$29,"Yes","No"))</f>
        <v/>
      </c>
    </row>
    <row r="12" ht="20" customHeight="1">
      <c r="A12" s="49">
        <f>IF('Co-Host Agreements'!A10="","",'Co-Host Agreements'!A10)</f>
        <v/>
      </c>
      <c r="B12" s="49">
        <f>IF(A12="","",'Co-Host Agreements'!B10)</f>
        <v/>
      </c>
      <c r="C12" s="71">
        <f>IF(A12="","",SUMPRODUCT((YEAR('Bookings Log'!$A$6:$A$505)=$B$5)*('Bookings Log'!$B$6:$B$505=A12)*1))</f>
        <v/>
      </c>
      <c r="D12" s="41">
        <f>IF(A12="","",SUMPRODUCT((YEAR('Bookings Log'!$A$6:$A$505)=$B$5)*('Bookings Log'!$B$6:$B$505=A12)*'Bookings Log'!$F$6:$F$505))</f>
        <v/>
      </c>
      <c r="E12" s="72">
        <f>IF(A12="","",D12-F12)</f>
        <v/>
      </c>
      <c r="F12" s="41">
        <f>IF(A12="","",SUMPRODUCT((YEAR('Bookings Log'!$A$6:$A$505)=$B$5)*('Bookings Log'!$B$6:$B$505=A12)*'Bookings Log'!$J$6:$J$505))</f>
        <v/>
      </c>
      <c r="G12" s="73">
        <f>IF(A12="","",SUMPRODUCT((YEAR('Bookings Log'!$A$6:$A$505)=$B$5)*('Bookings Log'!$B$6:$B$505=A12)*'Bookings Log'!$L$6:$L$505))</f>
        <v/>
      </c>
      <c r="H12" s="74">
        <f>IF(A12="","",IF(G12&gt;=Settings!$B$29,"Yes","No"))</f>
        <v/>
      </c>
    </row>
    <row r="13" ht="20" customHeight="1">
      <c r="A13" s="49">
        <f>IF('Co-Host Agreements'!A11="","",'Co-Host Agreements'!A11)</f>
        <v/>
      </c>
      <c r="B13" s="49">
        <f>IF(A13="","",'Co-Host Agreements'!B11)</f>
        <v/>
      </c>
      <c r="C13" s="71">
        <f>IF(A13="","",SUMPRODUCT((YEAR('Bookings Log'!$A$6:$A$505)=$B$5)*('Bookings Log'!$B$6:$B$505=A13)*1))</f>
        <v/>
      </c>
      <c r="D13" s="41">
        <f>IF(A13="","",SUMPRODUCT((YEAR('Bookings Log'!$A$6:$A$505)=$B$5)*('Bookings Log'!$B$6:$B$505=A13)*'Bookings Log'!$F$6:$F$505))</f>
        <v/>
      </c>
      <c r="E13" s="72">
        <f>IF(A13="","",D13-F13)</f>
        <v/>
      </c>
      <c r="F13" s="41">
        <f>IF(A13="","",SUMPRODUCT((YEAR('Bookings Log'!$A$6:$A$505)=$B$5)*('Bookings Log'!$B$6:$B$505=A13)*'Bookings Log'!$J$6:$J$505))</f>
        <v/>
      </c>
      <c r="G13" s="73">
        <f>IF(A13="","",SUMPRODUCT((YEAR('Bookings Log'!$A$6:$A$505)=$B$5)*('Bookings Log'!$B$6:$B$505=A13)*'Bookings Log'!$L$6:$L$505))</f>
        <v/>
      </c>
      <c r="H13" s="74">
        <f>IF(A13="","",IF(G13&gt;=Settings!$B$29,"Yes","No"))</f>
        <v/>
      </c>
    </row>
    <row r="14" ht="20" customHeight="1">
      <c r="A14" s="49">
        <f>IF('Co-Host Agreements'!A12="","",'Co-Host Agreements'!A12)</f>
        <v/>
      </c>
      <c r="B14" s="49">
        <f>IF(A14="","",'Co-Host Agreements'!B12)</f>
        <v/>
      </c>
      <c r="C14" s="71">
        <f>IF(A14="","",SUMPRODUCT((YEAR('Bookings Log'!$A$6:$A$505)=$B$5)*('Bookings Log'!$B$6:$B$505=A14)*1))</f>
        <v/>
      </c>
      <c r="D14" s="41">
        <f>IF(A14="","",SUMPRODUCT((YEAR('Bookings Log'!$A$6:$A$505)=$B$5)*('Bookings Log'!$B$6:$B$505=A14)*'Bookings Log'!$F$6:$F$505))</f>
        <v/>
      </c>
      <c r="E14" s="72">
        <f>IF(A14="","",D14-F14)</f>
        <v/>
      </c>
      <c r="F14" s="41">
        <f>IF(A14="","",SUMPRODUCT((YEAR('Bookings Log'!$A$6:$A$505)=$B$5)*('Bookings Log'!$B$6:$B$505=A14)*'Bookings Log'!$J$6:$J$505))</f>
        <v/>
      </c>
      <c r="G14" s="73">
        <f>IF(A14="","",SUMPRODUCT((YEAR('Bookings Log'!$A$6:$A$505)=$B$5)*('Bookings Log'!$B$6:$B$505=A14)*'Bookings Log'!$L$6:$L$505))</f>
        <v/>
      </c>
      <c r="H14" s="74">
        <f>IF(A14="","",IF(G14&gt;=Settings!$B$29,"Yes","No"))</f>
        <v/>
      </c>
    </row>
    <row r="15" ht="20" customHeight="1">
      <c r="A15" s="49">
        <f>IF('Co-Host Agreements'!A13="","",'Co-Host Agreements'!A13)</f>
        <v/>
      </c>
      <c r="B15" s="49">
        <f>IF(A15="","",'Co-Host Agreements'!B13)</f>
        <v/>
      </c>
      <c r="C15" s="71">
        <f>IF(A15="","",SUMPRODUCT((YEAR('Bookings Log'!$A$6:$A$505)=$B$5)*('Bookings Log'!$B$6:$B$505=A15)*1))</f>
        <v/>
      </c>
      <c r="D15" s="41">
        <f>IF(A15="","",SUMPRODUCT((YEAR('Bookings Log'!$A$6:$A$505)=$B$5)*('Bookings Log'!$B$6:$B$505=A15)*'Bookings Log'!$F$6:$F$505))</f>
        <v/>
      </c>
      <c r="E15" s="72">
        <f>IF(A15="","",D15-F15)</f>
        <v/>
      </c>
      <c r="F15" s="41">
        <f>IF(A15="","",SUMPRODUCT((YEAR('Bookings Log'!$A$6:$A$505)=$B$5)*('Bookings Log'!$B$6:$B$505=A15)*'Bookings Log'!$J$6:$J$505))</f>
        <v/>
      </c>
      <c r="G15" s="73">
        <f>IF(A15="","",SUMPRODUCT((YEAR('Bookings Log'!$A$6:$A$505)=$B$5)*('Bookings Log'!$B$6:$B$505=A15)*'Bookings Log'!$L$6:$L$505))</f>
        <v/>
      </c>
      <c r="H15" s="74">
        <f>IF(A15="","",IF(G15&gt;=Settings!$B$29,"Yes","No"))</f>
        <v/>
      </c>
    </row>
    <row r="16" ht="20" customHeight="1">
      <c r="A16" s="49">
        <f>IF('Co-Host Agreements'!A14="","",'Co-Host Agreements'!A14)</f>
        <v/>
      </c>
      <c r="B16" s="49">
        <f>IF(A16="","",'Co-Host Agreements'!B14)</f>
        <v/>
      </c>
      <c r="C16" s="71">
        <f>IF(A16="","",SUMPRODUCT((YEAR('Bookings Log'!$A$6:$A$505)=$B$5)*('Bookings Log'!$B$6:$B$505=A16)*1))</f>
        <v/>
      </c>
      <c r="D16" s="41">
        <f>IF(A16="","",SUMPRODUCT((YEAR('Bookings Log'!$A$6:$A$505)=$B$5)*('Bookings Log'!$B$6:$B$505=A16)*'Bookings Log'!$F$6:$F$505))</f>
        <v/>
      </c>
      <c r="E16" s="72">
        <f>IF(A16="","",D16-F16)</f>
        <v/>
      </c>
      <c r="F16" s="41">
        <f>IF(A16="","",SUMPRODUCT((YEAR('Bookings Log'!$A$6:$A$505)=$B$5)*('Bookings Log'!$B$6:$B$505=A16)*'Bookings Log'!$J$6:$J$505))</f>
        <v/>
      </c>
      <c r="G16" s="73">
        <f>IF(A16="","",SUMPRODUCT((YEAR('Bookings Log'!$A$6:$A$505)=$B$5)*('Bookings Log'!$B$6:$B$505=A16)*'Bookings Log'!$L$6:$L$505))</f>
        <v/>
      </c>
      <c r="H16" s="74">
        <f>IF(A16="","",IF(G16&gt;=Settings!$B$29,"Yes","No"))</f>
        <v/>
      </c>
    </row>
    <row r="17" ht="20" customHeight="1">
      <c r="A17" s="49">
        <f>IF('Co-Host Agreements'!A15="","",'Co-Host Agreements'!A15)</f>
        <v/>
      </c>
      <c r="B17" s="49">
        <f>IF(A17="","",'Co-Host Agreements'!B15)</f>
        <v/>
      </c>
      <c r="C17" s="71">
        <f>IF(A17="","",SUMPRODUCT((YEAR('Bookings Log'!$A$6:$A$505)=$B$5)*('Bookings Log'!$B$6:$B$505=A17)*1))</f>
        <v/>
      </c>
      <c r="D17" s="41">
        <f>IF(A17="","",SUMPRODUCT((YEAR('Bookings Log'!$A$6:$A$505)=$B$5)*('Bookings Log'!$B$6:$B$505=A17)*'Bookings Log'!$F$6:$F$505))</f>
        <v/>
      </c>
      <c r="E17" s="72">
        <f>IF(A17="","",D17-F17)</f>
        <v/>
      </c>
      <c r="F17" s="41">
        <f>IF(A17="","",SUMPRODUCT((YEAR('Bookings Log'!$A$6:$A$505)=$B$5)*('Bookings Log'!$B$6:$B$505=A17)*'Bookings Log'!$J$6:$J$505))</f>
        <v/>
      </c>
      <c r="G17" s="73">
        <f>IF(A17="","",SUMPRODUCT((YEAR('Bookings Log'!$A$6:$A$505)=$B$5)*('Bookings Log'!$B$6:$B$505=A17)*'Bookings Log'!$L$6:$L$505))</f>
        <v/>
      </c>
      <c r="H17" s="74">
        <f>IF(A17="","",IF(G17&gt;=Settings!$B$29,"Yes","No"))</f>
        <v/>
      </c>
    </row>
    <row r="18" ht="20" customHeight="1">
      <c r="A18" s="49">
        <f>IF('Co-Host Agreements'!A16="","",'Co-Host Agreements'!A16)</f>
        <v/>
      </c>
      <c r="B18" s="49">
        <f>IF(A18="","",'Co-Host Agreements'!B16)</f>
        <v/>
      </c>
      <c r="C18" s="71">
        <f>IF(A18="","",SUMPRODUCT((YEAR('Bookings Log'!$A$6:$A$505)=$B$5)*('Bookings Log'!$B$6:$B$505=A18)*1))</f>
        <v/>
      </c>
      <c r="D18" s="41">
        <f>IF(A18="","",SUMPRODUCT((YEAR('Bookings Log'!$A$6:$A$505)=$B$5)*('Bookings Log'!$B$6:$B$505=A18)*'Bookings Log'!$F$6:$F$505))</f>
        <v/>
      </c>
      <c r="E18" s="72">
        <f>IF(A18="","",D18-F18)</f>
        <v/>
      </c>
      <c r="F18" s="41">
        <f>IF(A18="","",SUMPRODUCT((YEAR('Bookings Log'!$A$6:$A$505)=$B$5)*('Bookings Log'!$B$6:$B$505=A18)*'Bookings Log'!$J$6:$J$505))</f>
        <v/>
      </c>
      <c r="G18" s="73">
        <f>IF(A18="","",SUMPRODUCT((YEAR('Bookings Log'!$A$6:$A$505)=$B$5)*('Bookings Log'!$B$6:$B$505=A18)*'Bookings Log'!$L$6:$L$505))</f>
        <v/>
      </c>
      <c r="H18" s="74">
        <f>IF(A18="","",IF(G18&gt;=Settings!$B$29,"Yes","No"))</f>
        <v/>
      </c>
    </row>
    <row r="19" ht="20" customHeight="1">
      <c r="A19" s="49">
        <f>IF('Co-Host Agreements'!A17="","",'Co-Host Agreements'!A17)</f>
        <v/>
      </c>
      <c r="B19" s="49">
        <f>IF(A19="","",'Co-Host Agreements'!B17)</f>
        <v/>
      </c>
      <c r="C19" s="71">
        <f>IF(A19="","",SUMPRODUCT((YEAR('Bookings Log'!$A$6:$A$505)=$B$5)*('Bookings Log'!$B$6:$B$505=A19)*1))</f>
        <v/>
      </c>
      <c r="D19" s="41">
        <f>IF(A19="","",SUMPRODUCT((YEAR('Bookings Log'!$A$6:$A$505)=$B$5)*('Bookings Log'!$B$6:$B$505=A19)*'Bookings Log'!$F$6:$F$505))</f>
        <v/>
      </c>
      <c r="E19" s="72">
        <f>IF(A19="","",D19-F19)</f>
        <v/>
      </c>
      <c r="F19" s="41">
        <f>IF(A19="","",SUMPRODUCT((YEAR('Bookings Log'!$A$6:$A$505)=$B$5)*('Bookings Log'!$B$6:$B$505=A19)*'Bookings Log'!$J$6:$J$505))</f>
        <v/>
      </c>
      <c r="G19" s="73">
        <f>IF(A19="","",SUMPRODUCT((YEAR('Bookings Log'!$A$6:$A$505)=$B$5)*('Bookings Log'!$B$6:$B$505=A19)*'Bookings Log'!$L$6:$L$505))</f>
        <v/>
      </c>
      <c r="H19" s="74">
        <f>IF(A19="","",IF(G19&gt;=Settings!$B$29,"Yes","No"))</f>
        <v/>
      </c>
    </row>
    <row r="20" ht="20" customHeight="1">
      <c r="A20" s="49">
        <f>IF('Co-Host Agreements'!A18="","",'Co-Host Agreements'!A18)</f>
        <v/>
      </c>
      <c r="B20" s="49">
        <f>IF(A20="","",'Co-Host Agreements'!B18)</f>
        <v/>
      </c>
      <c r="C20" s="71">
        <f>IF(A20="","",SUMPRODUCT((YEAR('Bookings Log'!$A$6:$A$505)=$B$5)*('Bookings Log'!$B$6:$B$505=A20)*1))</f>
        <v/>
      </c>
      <c r="D20" s="41">
        <f>IF(A20="","",SUMPRODUCT((YEAR('Bookings Log'!$A$6:$A$505)=$B$5)*('Bookings Log'!$B$6:$B$505=A20)*'Bookings Log'!$F$6:$F$505))</f>
        <v/>
      </c>
      <c r="E20" s="72">
        <f>IF(A20="","",D20-F20)</f>
        <v/>
      </c>
      <c r="F20" s="41">
        <f>IF(A20="","",SUMPRODUCT((YEAR('Bookings Log'!$A$6:$A$505)=$B$5)*('Bookings Log'!$B$6:$B$505=A20)*'Bookings Log'!$J$6:$J$505))</f>
        <v/>
      </c>
      <c r="G20" s="73">
        <f>IF(A20="","",SUMPRODUCT((YEAR('Bookings Log'!$A$6:$A$505)=$B$5)*('Bookings Log'!$B$6:$B$505=A20)*'Bookings Log'!$L$6:$L$505))</f>
        <v/>
      </c>
      <c r="H20" s="74">
        <f>IF(A20="","",IF(G20&gt;=Settings!$B$29,"Yes","No"))</f>
        <v/>
      </c>
    </row>
    <row r="21" ht="20" customHeight="1">
      <c r="A21" s="49">
        <f>IF('Co-Host Agreements'!A19="","",'Co-Host Agreements'!A19)</f>
        <v/>
      </c>
      <c r="B21" s="49">
        <f>IF(A21="","",'Co-Host Agreements'!B19)</f>
        <v/>
      </c>
      <c r="C21" s="71">
        <f>IF(A21="","",SUMPRODUCT((YEAR('Bookings Log'!$A$6:$A$505)=$B$5)*('Bookings Log'!$B$6:$B$505=A21)*1))</f>
        <v/>
      </c>
      <c r="D21" s="41">
        <f>IF(A21="","",SUMPRODUCT((YEAR('Bookings Log'!$A$6:$A$505)=$B$5)*('Bookings Log'!$B$6:$B$505=A21)*'Bookings Log'!$F$6:$F$505))</f>
        <v/>
      </c>
      <c r="E21" s="72">
        <f>IF(A21="","",D21-F21)</f>
        <v/>
      </c>
      <c r="F21" s="41">
        <f>IF(A21="","",SUMPRODUCT((YEAR('Bookings Log'!$A$6:$A$505)=$B$5)*('Bookings Log'!$B$6:$B$505=A21)*'Bookings Log'!$J$6:$J$505))</f>
        <v/>
      </c>
      <c r="G21" s="73">
        <f>IF(A21="","",SUMPRODUCT((YEAR('Bookings Log'!$A$6:$A$505)=$B$5)*('Bookings Log'!$B$6:$B$505=A21)*'Bookings Log'!$L$6:$L$505))</f>
        <v/>
      </c>
      <c r="H21" s="74">
        <f>IF(A21="","",IF(G21&gt;=Settings!$B$29,"Yes","No"))</f>
        <v/>
      </c>
    </row>
    <row r="22" ht="20" customHeight="1">
      <c r="A22" s="49">
        <f>IF('Co-Host Agreements'!A20="","",'Co-Host Agreements'!A20)</f>
        <v/>
      </c>
      <c r="B22" s="49">
        <f>IF(A22="","",'Co-Host Agreements'!B20)</f>
        <v/>
      </c>
      <c r="C22" s="71">
        <f>IF(A22="","",SUMPRODUCT((YEAR('Bookings Log'!$A$6:$A$505)=$B$5)*('Bookings Log'!$B$6:$B$505=A22)*1))</f>
        <v/>
      </c>
      <c r="D22" s="41">
        <f>IF(A22="","",SUMPRODUCT((YEAR('Bookings Log'!$A$6:$A$505)=$B$5)*('Bookings Log'!$B$6:$B$505=A22)*'Bookings Log'!$F$6:$F$505))</f>
        <v/>
      </c>
      <c r="E22" s="72">
        <f>IF(A22="","",D22-F22)</f>
        <v/>
      </c>
      <c r="F22" s="41">
        <f>IF(A22="","",SUMPRODUCT((YEAR('Bookings Log'!$A$6:$A$505)=$B$5)*('Bookings Log'!$B$6:$B$505=A22)*'Bookings Log'!$J$6:$J$505))</f>
        <v/>
      </c>
      <c r="G22" s="73">
        <f>IF(A22="","",SUMPRODUCT((YEAR('Bookings Log'!$A$6:$A$505)=$B$5)*('Bookings Log'!$B$6:$B$505=A22)*'Bookings Log'!$L$6:$L$505))</f>
        <v/>
      </c>
      <c r="H22" s="74">
        <f>IF(A22="","",IF(G22&gt;=Settings!$B$29,"Yes","No"))</f>
        <v/>
      </c>
    </row>
    <row r="24" ht="26" customHeight="1">
      <c r="A24" s="75" t="inlineStr">
        <is>
          <t>TOTALS</t>
        </is>
      </c>
      <c r="C24" s="76">
        <f>SUM(C8:C22)</f>
        <v/>
      </c>
      <c r="D24" s="60">
        <f>SUM(D8:D22)</f>
        <v/>
      </c>
      <c r="E24" s="61">
        <f>SUM(E8:E22)</f>
        <v/>
      </c>
      <c r="F24" s="60">
        <f>SUM(F8:F22)</f>
        <v/>
      </c>
      <c r="G24" s="77">
        <f>SUM(G8:G22)</f>
        <v/>
      </c>
    </row>
    <row r="26" ht="16" customHeight="1">
      <c r="A26" s="78" t="inlineStr">
        <is>
          <t>1099-NEC reminder: when a payor (the property owner / LLC) pays a non-corporate co-host &gt;= $600 in commissions during the tax year, the payor must issue Form 1099-NEC by January 31. The threshold lives on Settings B29. Adjust if the IRS changes it. Consult your CPA -- this worksheet is a prep tool, not legal advice.</t>
        </is>
      </c>
    </row>
    <row r="27" ht="16" customHeight="1"/>
    <row r="28" ht="16" customHeight="1"/>
    <row r="29" ht="16" customHeight="1"/>
  </sheetData>
  <mergeCells count="5">
    <mergeCell ref="A26:H29"/>
    <mergeCell ref="J2:L2"/>
    <mergeCell ref="D2:I2"/>
    <mergeCell ref="A2:C2"/>
    <mergeCell ref="A4:L4"/>
  </mergeCells>
  <conditionalFormatting sqref="H8:H22">
    <cfRule type="cellIs" priority="1" operator="equal" dxfId="1">
      <formula>"Yes"</formula>
    </cfRule>
  </conditionalFormatting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12304E"/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HYPERLINK("#'Year-End Summary'!A1", "← BACK")</f>
        <v/>
      </c>
      <c r="B2" s="24" t="n"/>
      <c r="C2" s="24" t="n"/>
      <c r="D2" s="3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Active tax year drives every YTD formula. Property + Owner lists drive every dropdown across the workbook.</t>
        </is>
      </c>
    </row>
    <row r="5" ht="32" customHeight="1">
      <c r="A5" s="79" t="inlineStr">
        <is>
          <t>Active tax year:</t>
        </is>
      </c>
      <c r="B5" s="80" t="n">
        <v>2026</v>
      </c>
    </row>
    <row r="6" ht="24" customHeight="1">
      <c r="A6" s="81" t="inlineStr">
        <is>
          <t>PROPERTY LIST  (B7:B16, drives dropdowns)</t>
        </is>
      </c>
    </row>
    <row r="7" ht="18" customHeight="1">
      <c r="B7" s="36" t="inlineStr">
        <is>
          <t>Smokies Ridge</t>
        </is>
      </c>
    </row>
    <row r="8" ht="18" customHeight="1">
      <c r="B8" s="36" t="inlineStr">
        <is>
          <t>Lakehouse</t>
        </is>
      </c>
    </row>
    <row r="9" ht="18" customHeight="1">
      <c r="B9" s="36" t="inlineStr">
        <is>
          <t>Creek Side</t>
        </is>
      </c>
    </row>
    <row r="10" ht="18" customHeight="1">
      <c r="B10" s="36" t="inlineStr">
        <is>
          <t>Ridge Top</t>
        </is>
      </c>
    </row>
    <row r="11" ht="18" customHeight="1">
      <c r="B11" s="36" t="n"/>
    </row>
    <row r="12" ht="18" customHeight="1">
      <c r="B12" s="36" t="n"/>
    </row>
    <row r="13" ht="18" customHeight="1">
      <c r="B13" s="36" t="n"/>
    </row>
    <row r="14" ht="18" customHeight="1">
      <c r="B14" s="36" t="n"/>
    </row>
    <row r="15" ht="18" customHeight="1">
      <c r="B15" s="36" t="n"/>
    </row>
    <row r="16" ht="18" customHeight="1">
      <c r="B16" s="36" t="n"/>
    </row>
    <row r="17" ht="24" customHeight="1">
      <c r="A17" s="81" t="inlineStr">
        <is>
          <t>OWNER LIST  (B18:B27, drives dropdowns)</t>
        </is>
      </c>
    </row>
    <row r="18" ht="18" customHeight="1">
      <c r="B18" s="36" t="inlineStr">
        <is>
          <t>Lakeside Holdings LLC</t>
        </is>
      </c>
    </row>
    <row r="19" ht="18" customHeight="1">
      <c r="B19" s="36" t="inlineStr">
        <is>
          <t>Maddox Trust</t>
        </is>
      </c>
    </row>
    <row r="20" ht="18" customHeight="1">
      <c r="B20" s="36" t="n"/>
    </row>
    <row r="21" ht="18" customHeight="1">
      <c r="B21" s="36" t="n"/>
    </row>
    <row r="22" ht="18" customHeight="1">
      <c r="B22" s="36" t="n"/>
    </row>
    <row r="23" ht="18" customHeight="1">
      <c r="B23" s="36" t="n"/>
    </row>
    <row r="24" ht="18" customHeight="1">
      <c r="B24" s="36" t="n"/>
    </row>
    <row r="25" ht="18" customHeight="1">
      <c r="B25" s="36" t="n"/>
    </row>
    <row r="26" ht="18" customHeight="1">
      <c r="B26" s="36" t="n"/>
    </row>
    <row r="27" ht="18" customHeight="1">
      <c r="B27" s="36" t="n"/>
    </row>
    <row r="28" ht="24" customHeight="1">
      <c r="A28" s="81" t="inlineStr">
        <is>
          <t>1099-NEC THRESHOLD</t>
        </is>
      </c>
    </row>
    <row r="29" ht="22" customHeight="1">
      <c r="A29" s="44" t="inlineStr">
        <is>
          <t>1099 threshold ($):</t>
        </is>
      </c>
      <c r="B29" s="82" t="n">
        <v>600</v>
      </c>
    </row>
    <row r="31" ht="18" customHeight="1">
      <c r="A31" s="83" t="inlineStr">
        <is>
          <t>Tip: type each property exactly as you'll use it in the Bookings Log (spelling and capitalization must match). The agreement type, %, and flat amount are configured on the Co-Host Agreements tab.</t>
        </is>
      </c>
    </row>
    <row r="32" ht="18" customHeight="1"/>
    <row r="33" ht="18" customHeight="1"/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</row>
    <row r="36" ht="18" customHeight="1">
      <c r="A36" s="31" t="inlineStr">
        <is>
          <t>Questions? hello@thestrledger.com</t>
        </is>
      </c>
    </row>
    <row r="37" ht="18" customHeight="1">
      <c r="A37" s="32" t="inlineStr">
        <is>
          <t>PAM-003 - v1.0 - DEMO - Free updates forever</t>
        </is>
      </c>
    </row>
  </sheetData>
  <mergeCells count="9">
    <mergeCell ref="D2:L2"/>
    <mergeCell ref="A31:C33"/>
    <mergeCell ref="A28:L28"/>
    <mergeCell ref="A37:L37"/>
    <mergeCell ref="A36:L36"/>
    <mergeCell ref="A6:L6"/>
    <mergeCell ref="A17:L1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Commission / Split Calculator -- The STR Ledger</dc:title>
  <dc:description xmlns:dc="http://purl.org/dc/elements/1.1/">Co-host commission and split calculator for STR property managers.</dc:description>
  <dcterms:created xmlns:dcterms="http://purl.org/dc/terms/" xmlns:xsi="http://www.w3.org/2001/XMLSchema-instance" xsi:type="dcterms:W3CDTF">2026-05-03T19:04:26Z</dcterms:created>
  <dcterms:modified xmlns:dcterms="http://purl.org/dc/terms/" xmlns:xsi="http://www.w3.org/2001/XMLSchema-instance" xsi:type="dcterms:W3CDTF">2026-05-03T19:04:27Z</dcterms:modified>
</cp:coreProperties>
</file>