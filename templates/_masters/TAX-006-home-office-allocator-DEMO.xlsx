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Space Allocation" sheetId="3" state="visible" r:id="rId3"/>
    <sheet xmlns:r="http://schemas.openxmlformats.org/officeDocument/2006/relationships" name="Method Election" sheetId="4" state="visible" r:id="rId4"/>
    <sheet xmlns:r="http://schemas.openxmlformats.org/officeDocument/2006/relationships" name="Actual Expenses" sheetId="5" state="visible" r:id="rId5"/>
    <sheet xmlns:r="http://schemas.openxmlformats.org/officeDocument/2006/relationships" name="STR Routing" sheetId="6" state="visible" r:id="rId6"/>
    <sheet xmlns:r="http://schemas.openxmlformats.org/officeDocument/2006/relationships" name="Form 8829 Map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'Start'!$A$1:$L$49</definedName>
    <definedName name="_xlnm.Print_Titles" localSheetId="6">'Form 8829 Map'!$1:$5</definedName>
    <definedName name="_xlnm.Print_Area" localSheetId="6">'Form 8829 Map'!$A$1:$C$22</definedName>
    <definedName name="_xlnm.Print_Area" localSheetId="7">'Launch'!$A$1:$L$27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 sqft&quot;"/>
    <numFmt numFmtId="165" formatCode="&quot;$&quot;#,##0"/>
    <numFmt numFmtId="166" formatCode="&quot;$&quot;0.00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alibri"/>
      <i val="1"/>
      <color rgb="0012304E"/>
      <sz val="10"/>
    </font>
    <font>
      <name val="Calibri"/>
      <i val="1"/>
      <color rgb="002B2B2B"/>
      <sz val="11"/>
    </font>
    <font>
      <name val="Calibri"/>
      <b val="1"/>
      <color rgb="00FFFFFF"/>
      <sz val="11"/>
    </font>
    <font>
      <name val="Consolas"/>
      <b val="1"/>
      <color rgb="00C9A24B"/>
      <sz val="10"/>
    </font>
    <font>
      <name val="Georgia"/>
      <b val="1"/>
      <color rgb="00F6EFE2"/>
      <sz val="12"/>
    </font>
    <font>
      <name val="Georgia"/>
      <b val="1"/>
      <color rgb="00F6EFE2"/>
      <sz val="32"/>
    </font>
    <font>
      <name val="Georgia"/>
      <b val="1"/>
      <color rgb="00C9A24B"/>
      <sz val="28"/>
    </font>
    <font>
      <name val="Calibri"/>
      <color rgb="006B7280"/>
      <sz val="9"/>
    </font>
    <font>
      <name val="Consolas"/>
      <b val="1"/>
      <color rgb="0012304E"/>
      <sz val="9"/>
    </font>
    <font>
      <name val="Georgia"/>
      <b val="1"/>
      <color rgb="0012304E"/>
      <sz val="22"/>
    </font>
    <font>
      <name val="Georgia"/>
      <b val="1"/>
      <color rgb="0012304E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22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/>
      <right/>
      <top/>
      <bottom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2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left" vertical="center" indent="1"/>
    </xf>
    <xf numFmtId="0" fontId="21" fillId="3" borderId="5" applyAlignment="1" pivotButton="0" quotePrefix="0" xfId="0">
      <alignment horizontal="right" vertical="center" indent="1"/>
    </xf>
    <xf numFmtId="0" fontId="8" fillId="7" borderId="6" applyAlignment="1" pivotButton="0" quotePrefix="0" xfId="0">
      <alignment horizontal="left" vertical="center" wrapText="1" indent="1"/>
    </xf>
    <xf numFmtId="0" fontId="0" fillId="3" borderId="6" pivotButton="0" quotePrefix="0" xfId="0"/>
    <xf numFmtId="0" fontId="0" fillId="3" borderId="7" pivotButton="0" quotePrefix="0" xfId="0"/>
    <xf numFmtId="0" fontId="21" fillId="3" borderId="11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wrapText="1" indent="1"/>
    </xf>
    <xf numFmtId="0" fontId="0" fillId="3" borderId="12" pivotButton="0" quotePrefix="0" xfId="0"/>
    <xf numFmtId="0" fontId="21" fillId="3" borderId="8" applyAlignment="1" pivotButton="0" quotePrefix="0" xfId="0">
      <alignment horizontal="right" vertical="center" indent="1"/>
    </xf>
    <xf numFmtId="0" fontId="8" fillId="7" borderId="9" applyAlignment="1" pivotButton="0" quotePrefix="0" xfId="0">
      <alignment horizontal="left" vertical="center" wrapText="1" indent="1"/>
    </xf>
    <xf numFmtId="0" fontId="0" fillId="3" borderId="9" pivotButton="0" quotePrefix="0" xfId="0"/>
    <xf numFmtId="0" fontId="0" fillId="3" borderId="10" pivotButton="0" quotePrefix="0" xfId="0"/>
    <xf numFmtId="0" fontId="22" fillId="6" borderId="0" applyAlignment="1" pivotButton="0" quotePrefix="0" xfId="0">
      <alignment horizontal="left" vertical="center" wrapText="1" indent="2"/>
    </xf>
    <xf numFmtId="0" fontId="16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164" fontId="8" fillId="7" borderId="6" applyAlignment="1" pivotButton="0" quotePrefix="0" xfId="0">
      <alignment horizontal="right" vertical="center" indent="1"/>
    </xf>
    <xf numFmtId="164" fontId="8" fillId="7" borderId="0" applyAlignment="1" pivotButton="0" quotePrefix="0" xfId="0">
      <alignment horizontal="right" vertical="center" indent="1"/>
    </xf>
    <xf numFmtId="1" fontId="8" fillId="7" borderId="0" applyAlignment="1" pivotButton="0" quotePrefix="0" xfId="0">
      <alignment horizontal="right" vertical="center" indent="1"/>
    </xf>
    <xf numFmtId="1" fontId="8" fillId="7" borderId="9" applyAlignment="1" pivotButton="0" quotePrefix="0" xfId="0">
      <alignment horizontal="right" vertical="center" indent="1"/>
    </xf>
    <xf numFmtId="0" fontId="10" fillId="6" borderId="0" applyAlignment="1" pivotButton="0" quotePrefix="0" xfId="0">
      <alignment horizontal="right" vertical="center" indent="1"/>
    </xf>
    <xf numFmtId="10" fontId="11" fillId="6" borderId="0" applyAlignment="1" pivotButton="0" quotePrefix="0" xfId="0">
      <alignment horizontal="right" vertical="center"/>
    </xf>
    <xf numFmtId="0" fontId="21" fillId="3" borderId="14" applyAlignment="1" pivotButton="0" quotePrefix="0" xfId="0">
      <alignment horizontal="right" vertical="center" indent="1"/>
    </xf>
    <xf numFmtId="0" fontId="8" fillId="7" borderId="15" applyAlignment="1" pivotButton="0" quotePrefix="0" xfId="0">
      <alignment horizontal="left" vertical="center" wrapText="1" indent="1"/>
    </xf>
    <xf numFmtId="0" fontId="0" fillId="3" borderId="15" pivotButton="0" quotePrefix="0" xfId="0"/>
    <xf numFmtId="0" fontId="0" fillId="3" borderId="16" pivotButton="0" quotePrefix="0" xfId="0"/>
    <xf numFmtId="0" fontId="24" fillId="2" borderId="17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5" fontId="10" fillId="6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165" fontId="8" fillId="7" borderId="6" applyAlignment="1" pivotButton="0" quotePrefix="0" xfId="0">
      <alignment horizontal="right" vertical="center" indent="1"/>
    </xf>
    <xf numFmtId="165" fontId="8" fillId="7" borderId="0" applyAlignment="1" pivotButton="0" quotePrefix="0" xfId="0">
      <alignment horizontal="right" vertical="center" indent="1"/>
    </xf>
    <xf numFmtId="165" fontId="8" fillId="7" borderId="9" applyAlignment="1" pivotButton="0" quotePrefix="0" xfId="0">
      <alignment horizontal="right" vertical="center" indent="1"/>
    </xf>
    <xf numFmtId="165" fontId="23" fillId="8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 indent="2"/>
    </xf>
    <xf numFmtId="0" fontId="25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6" fillId="2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164" fontId="23" fillId="8" borderId="0" applyAlignment="1" pivotButton="0" quotePrefix="0" xfId="0">
      <alignment horizontal="right" vertical="center"/>
    </xf>
    <xf numFmtId="10" fontId="23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 indent="1"/>
    </xf>
    <xf numFmtId="165" fontId="10" fillId="6" borderId="0" applyAlignment="1" pivotButton="0" quotePrefix="0" xfId="0">
      <alignment horizontal="right" vertical="center"/>
    </xf>
    <xf numFmtId="0" fontId="23" fillId="8" borderId="0" applyAlignment="1" pivotButton="0" quotePrefix="0" xfId="0">
      <alignment horizontal="right" vertical="center"/>
    </xf>
    <xf numFmtId="0" fontId="27" fillId="2" borderId="0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30" fillId="3" borderId="18" applyAlignment="1" pivotButton="0" quotePrefix="0" xfId="0">
      <alignment horizontal="center"/>
    </xf>
    <xf numFmtId="165" fontId="28" fillId="3" borderId="1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2" pivotButton="0" quotePrefix="0" xfId="0"/>
    <xf numFmtId="0" fontId="31" fillId="3" borderId="11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9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24" fillId="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 vertical="center"/>
    </xf>
    <xf numFmtId="1" fontId="8" fillId="7" borderId="0" applyAlignment="1" pivotButton="0" quotePrefix="0" xfId="0">
      <alignment horizontal="left" vertical="center"/>
    </xf>
    <xf numFmtId="166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8" fillId="0" borderId="0" pivotButton="0" quotePrefix="0" xfId="0"/>
    <xf numFmtId="165" fontId="8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Home Office Allocator</t>
        </is>
      </c>
    </row>
    <row r="5" ht="22" customHeight="1">
      <c r="A5" s="4" t="inlineStr">
        <is>
          <t>Make your laundry room pay you back.</t>
        </is>
      </c>
    </row>
    <row r="6" ht="32" customHeight="1">
      <c r="A6" s="5">
        <f>IF(IFERROR('Launch'!A10,0)&gt;0,"✅  Home-office deduction = "&amp;TEXT('Launch'!A10,"$#,##0")&amp;"  ·  "&amp;'Launch'!E10&amp;" method.","📊  Fill Eligibility + Space Allocation to see your deduction.")</f>
        <v/>
      </c>
    </row>
    <row r="7" ht="22" customHeight="1">
      <c r="A7" s="6" t="inlineStr">
        <is>
          <t>TAX-006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What you'll get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📐 BUSINESS-USE %</t>
        </is>
      </c>
      <c r="E13" s="9" t="inlineStr">
        <is>
          <t>⚖ METHOD COMPARE</t>
        </is>
      </c>
      <c r="I13" s="9" t="inlineStr">
        <is>
          <t>📄 FORM 8829</t>
        </is>
      </c>
    </row>
    <row r="14" ht="22" customHeight="1">
      <c r="A14" s="10" t="inlineStr">
        <is>
          <t>Your office sqft as a % of total home — drives every indirect expense.</t>
        </is>
      </c>
      <c r="E14" s="10" t="inlineStr">
        <is>
          <t>Simplified ($5/sqft, max $1,500) vs Actual side-by-side, recommend the better one.</t>
        </is>
      </c>
      <c r="I14" s="10" t="inlineStr">
        <is>
          <t>Print-ready Form 8829 mirror — Schedule E line 18a or Schedule C line 30.</t>
        </is>
      </c>
    </row>
    <row r="15" ht="22" customHeight="1"/>
    <row r="16" ht="22" customHeight="1"/>
    <row r="17" ht="22" customHeight="1"/>
    <row r="18" ht="22" customHeight="1"/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4" customHeight="1">
      <c r="A23" s="12" t="inlineStr">
        <is>
          <t>Quick Start — be done in 10 minutes</t>
        </is>
      </c>
    </row>
    <row r="24">
      <c r="A24" s="11" t="n"/>
      <c r="B24" s="13" t="inlineStr">
        <is>
          <t>① Eligibility: regular + exclusive + principal place tests</t>
        </is>
      </c>
      <c r="G24" s="11" t="n"/>
      <c r="H24" s="13" t="inlineStr">
        <is>
          <t>④ Actual expenses: utilities, insurance, mortgage int., depreciation</t>
        </is>
      </c>
    </row>
    <row r="25">
      <c r="A25" s="11" t="n"/>
      <c r="B25" s="13" t="inlineStr">
        <is>
          <t>② Measure: total home sqft, office sqft</t>
        </is>
      </c>
      <c r="G25" s="11" t="n"/>
      <c r="H25" s="13" t="inlineStr">
        <is>
          <t>⑤ Routing: Schedule E or Schedule C</t>
        </is>
      </c>
    </row>
    <row r="26">
      <c r="A26" s="11" t="n"/>
      <c r="B26" s="13" t="inlineStr">
        <is>
          <t>③ Method: Simplified or Actual</t>
        </is>
      </c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30" ht="22" customHeight="1">
      <c r="A30" s="14">
        <f>HYPERLINK("#'Eligibility'!A5", "GET STARTED — CHECK ELIGIBILITY  →")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2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6">
      <c r="A36" s="16" t="inlineStr">
        <is>
          <t>Progress:</t>
        </is>
      </c>
      <c r="G36" s="17">
        <f>TEXT((COUNTA('Eligibility'!B8:B12) + COUNTA('Space Allocation'!B8:B11) + COUNTA('Method Election'!B8) + COUNTA('Actual Expenses'!B8:B17) + COUNTA('STR Routing'!B8))/21,"0%") &amp; " complete"</f>
        <v/>
      </c>
    </row>
    <row r="38" ht="18" customHeight="1">
      <c r="A38" s="18" t="inlineStr">
        <is>
          <t>① Eligibility</t>
        </is>
      </c>
      <c r="G38" s="19">
        <f>IF(COUNTA('Eligibility'!B8:B12)=5,"✅ Done",IF(COUNTA('Eligibility'!B8:B12)=0,"⏳ Empty","⏳ "&amp;COUNTA('Eligibility'!B8:B12)&amp;" of 5"))</f>
        <v/>
      </c>
      <c r="K38" s="20">
        <f>HYPERLINK("#'Eligibility'!A5","→ go")</f>
        <v/>
      </c>
    </row>
    <row r="39" ht="18" customHeight="1">
      <c r="A39" s="18" t="inlineStr">
        <is>
          <t>② Space Allocation</t>
        </is>
      </c>
      <c r="G39" s="19">
        <f>IF(COUNTA('Space Allocation'!B8:B11)=4,"✅ Done",IF(COUNTA('Space Allocation'!B8:B11)=0,"⏳ Empty","⏳ "&amp;COUNTA('Space Allocation'!B8:B11)&amp;" of 4"))</f>
        <v/>
      </c>
      <c r="K39" s="20">
        <f>HYPERLINK("#'Space Allocation'!A5","→ go")</f>
        <v/>
      </c>
    </row>
    <row r="40" ht="18" customHeight="1">
      <c r="A40" s="18" t="inlineStr">
        <is>
          <t>③ Method Election</t>
        </is>
      </c>
      <c r="G40" s="19">
        <f>IF(COUNTA('Method Election'!B8)=1,"✅ Done",IF(COUNTA('Method Election'!B8)=0,"⏳ Empty","⏳ "&amp;COUNTA('Method Election'!B8)&amp;" of 1"))</f>
        <v/>
      </c>
      <c r="K40" s="20">
        <f>HYPERLINK("#'Method Election'!A5","→ go")</f>
        <v/>
      </c>
    </row>
    <row r="41" ht="18" customHeight="1">
      <c r="A41" s="18" t="inlineStr">
        <is>
          <t>④ Actual Expenses</t>
        </is>
      </c>
      <c r="G41" s="19">
        <f>IF(COUNTA('Actual Expenses'!B8:B17)=10,"✅ Done",IF(COUNTA('Actual Expenses'!B8:B17)=0,"⏳ Empty","⏳ "&amp;COUNTA('Actual Expenses'!B8:B17)&amp;" of 10"))</f>
        <v/>
      </c>
      <c r="K41" s="20">
        <f>HYPERLINK("#'Actual Expenses'!A5","→ go")</f>
        <v/>
      </c>
    </row>
    <row r="42" ht="18" customHeight="1">
      <c r="A42" s="18" t="inlineStr">
        <is>
          <t>⑤ STR Routing</t>
        </is>
      </c>
      <c r="G42" s="19">
        <f>IF(COUNTA('STR Routing'!B8)=1,"✅ Done",IF(COUNTA('STR Routing'!B8)=0,"⏳ Empty","⏳ "&amp;COUNTA('STR Routing'!B8)&amp;" of 1"))</f>
        <v/>
      </c>
      <c r="K42" s="20">
        <f>HYPERLINK("#'STR Routing'!A5","→ go")</f>
        <v/>
      </c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</row>
    <row r="48" ht="18" customHeight="1">
      <c r="A48" s="22" t="inlineStr">
        <is>
          <t>Questions? hello@thestrledger.com</t>
        </is>
      </c>
    </row>
    <row r="49" ht="18" customHeight="1">
      <c r="A49" s="23" t="inlineStr">
        <is>
          <t>TAX-006 · v2.2 · Free updates forever</t>
        </is>
      </c>
    </row>
  </sheetData>
  <mergeCells count="38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5:L5"/>
    <mergeCell ref="A23:L23"/>
    <mergeCell ref="K41:L41"/>
    <mergeCell ref="K40:L40"/>
    <mergeCell ref="A4:L4"/>
    <mergeCell ref="G42:J42"/>
    <mergeCell ref="A38:F38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A49:L49"/>
    <mergeCell ref="H24:L24"/>
    <mergeCell ref="A6:L6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START")</f>
        <v/>
      </c>
      <c r="B2" s="15" t="n"/>
      <c r="C2" s="15" t="n"/>
      <c r="D2" s="24" t="inlineStr">
        <is>
          <t>SECTION 1 OF 5</t>
        </is>
      </c>
      <c r="J2" s="25">
        <f>HYPERLINK("#'Space Allocation'!A5",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Eligibility</t>
        </is>
      </c>
    </row>
    <row r="5" ht="18" customHeight="1">
      <c r="A5" s="28" t="inlineStr">
        <is>
          <t>IRC §280A — pass all three core tests, or the deduction is zero.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ELIGIBILITY</t>
        </is>
      </c>
    </row>
    <row r="8" ht="22" customHeight="1">
      <c r="A8" s="31" t="inlineStr">
        <is>
          <t>Office space used REGULARLY for STR business?</t>
        </is>
      </c>
      <c r="B8" s="32" t="inlineStr">
        <is>
          <t>Y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Office space used EXCLUSIVELY for business?</t>
        </is>
      </c>
      <c r="B9" s="36" t="inlineStr">
        <is>
          <t>Y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5" t="inlineStr">
        <is>
          <t>Is this your PRINCIPAL PLACE of STR business?</t>
        </is>
      </c>
      <c r="B10" s="36" t="inlineStr">
        <is>
          <t>Y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37" t="n"/>
    </row>
    <row r="11" ht="22" customHeight="1">
      <c r="A11" s="35" t="inlineStr">
        <is>
          <t>Used for storage of inventory/samples (alt qualifier)?</t>
        </is>
      </c>
      <c r="B11" s="36" t="inlineStr">
        <is>
          <t>N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37" t="n"/>
    </row>
    <row r="12" ht="22" customHeight="1">
      <c r="A12" s="38" t="inlineStr">
        <is>
          <t>Used for day-care services (alt qualifier)?</t>
        </is>
      </c>
      <c r="B12" s="39" t="inlineStr">
        <is>
          <t>N</t>
        </is>
      </c>
      <c r="C12" s="40" t="n"/>
      <c r="D12" s="40" t="n"/>
      <c r="E12" s="40" t="n"/>
      <c r="F12" s="40" t="n"/>
      <c r="G12" s="40" t="n"/>
      <c r="H12" s="40" t="n"/>
      <c r="I12" s="40" t="n"/>
      <c r="J12" s="40" t="n"/>
      <c r="K12" s="40" t="n"/>
      <c r="L12" s="41" t="n"/>
    </row>
    <row r="14" ht="36" customHeight="1">
      <c r="A14" s="42" t="inlineStr">
        <is>
          <t>ⓘ Three-test rule (IRC §280A): the office must be used (1) regularly, (2) exclusively, and (3) as your principal place of business OR a place where you meet clients/customers OR a separate structure. STR managers typically qualify under 'principal place of business' if substantial admin work happens there and there's no other fixed location.</t>
        </is>
      </c>
    </row>
    <row r="16" ht="22" customHeight="1">
      <c r="A16" s="43">
        <f>HYPERLINK("#'Start'!A1", "← Back: Start")</f>
        <v/>
      </c>
      <c r="B16" s="44" t="n"/>
      <c r="C16" s="44" t="n"/>
      <c r="D16" s="44" t="n"/>
      <c r="E16" s="44" t="n"/>
      <c r="F16" s="44" t="n"/>
      <c r="G16" s="43">
        <f>HYPERLINK("#'Space Allocation'!A5", "Next: Space Allocation →")</f>
        <v/>
      </c>
      <c r="H16" s="44" t="n"/>
      <c r="I16" s="44" t="n"/>
      <c r="J16" s="44" t="n"/>
      <c r="K16" s="44" t="n"/>
      <c r="L16" s="44" t="n"/>
    </row>
    <row r="17" ht="22" customHeight="1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</row>
  </sheetData>
  <mergeCells count="15">
    <mergeCell ref="G16:L17"/>
    <mergeCell ref="J2:L2"/>
    <mergeCell ref="D2:I2"/>
    <mergeCell ref="A7:L7"/>
    <mergeCell ref="B12:L12"/>
    <mergeCell ref="A16:F17"/>
    <mergeCell ref="B9:L9"/>
    <mergeCell ref="A5:L5"/>
    <mergeCell ref="B11:L11"/>
    <mergeCell ref="A14:L14"/>
    <mergeCell ref="A6:L6"/>
    <mergeCell ref="B10:L10"/>
    <mergeCell ref="A2:C2"/>
    <mergeCell ref="A4:L4"/>
    <mergeCell ref="B8:L8"/>
  </mergeCells>
  <dataValidations count="5">
    <dataValidation sqref="B8" showDropDown="0" showInputMessage="0" showErrorMessage="0" allowBlank="1" type="list">
      <formula1>"Y,N"</formula1>
    </dataValidation>
    <dataValidation sqref="B9" showDropDown="0" showInputMessage="0" showErrorMessage="0" allowBlank="1" type="list">
      <formula1>"Y,N"</formula1>
    </dataValidation>
    <dataValidation sqref="B10" showDropDown="0" showInputMessage="0" showErrorMessage="0" allowBlank="1" type="list">
      <formula1>"Y,N"</formula1>
    </dataValidation>
    <dataValidation sqref="B11" showDropDown="0" showInputMessage="0" showErrorMessage="0" allowBlank="1" type="list">
      <formula1>"Y,N"</formula1>
    </dataValidation>
    <dataValidation sqref="B1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HYPERLINK("#'Eligibility'!A5", "← BACK")</f>
        <v/>
      </c>
      <c r="B2" s="15" t="n"/>
      <c r="C2" s="15" t="n"/>
      <c r="D2" s="24" t="inlineStr">
        <is>
          <t>SECTION 2 OF 5</t>
        </is>
      </c>
      <c r="J2" s="25">
        <f>HYPERLINK("#'Method Election'!A5",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Space Allocation</t>
        </is>
      </c>
    </row>
    <row r="5" ht="18" customHeight="1">
      <c r="A5" s="28" t="inlineStr">
        <is>
          <t>Square footage drives the indirect-expense allocation.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SPACE ALLOCATION</t>
        </is>
      </c>
    </row>
    <row r="8" ht="22" customHeight="1">
      <c r="A8" s="31" t="inlineStr">
        <is>
          <t>Total home square footage:</t>
        </is>
      </c>
      <c r="B8" s="45" t="n">
        <v>2400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Office square footage (regular + exclusive):</t>
        </is>
      </c>
      <c r="B9" s="46" t="n">
        <v>110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5" t="inlineStr">
        <is>
          <t>Total rooms in home (alt method):</t>
        </is>
      </c>
      <c r="B10" s="47" t="n">
        <v>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37" t="n"/>
    </row>
    <row r="11" ht="22" customHeight="1">
      <c r="A11" s="38" t="inlineStr">
        <is>
          <t>Rooms used for business (alt method):</t>
        </is>
      </c>
      <c r="B11" s="48" t="n">
        <v>1</v>
      </c>
      <c r="C11" s="40" t="n"/>
      <c r="D11" s="40" t="n"/>
      <c r="E11" s="40" t="n"/>
      <c r="F11" s="40" t="n"/>
      <c r="G11" s="40" t="n"/>
      <c r="H11" s="40" t="n"/>
      <c r="I11" s="40" t="n"/>
      <c r="J11" s="40" t="n"/>
      <c r="K11" s="40" t="n"/>
      <c r="L11" s="41" t="n"/>
    </row>
    <row r="13" ht="24" customHeight="1">
      <c r="A13" s="49" t="inlineStr">
        <is>
          <t>Business-use % (computed):</t>
        </is>
      </c>
      <c r="B13" s="50">
        <f>IF(B8&gt;0,B9/B8,0)</f>
        <v/>
      </c>
    </row>
    <row r="15" ht="36" customHeight="1">
      <c r="A15" s="42" t="inlineStr">
        <is>
          <t>Business-use % above = office sqft ÷ total home sqft. The IRS also accepts rooms-based allocation if all rooms are roughly equal in size — less common for STR. When in doubt, use sqft.</t>
        </is>
      </c>
    </row>
    <row r="17" ht="22" customHeight="1">
      <c r="A17" s="43">
        <f>HYPERLINK("#'Eligibility'!A5", "← Back: Eligibility")</f>
        <v/>
      </c>
      <c r="B17" s="44" t="n"/>
      <c r="C17" s="44" t="n"/>
      <c r="D17" s="44" t="n"/>
      <c r="E17" s="44" t="n"/>
      <c r="F17" s="44" t="n"/>
      <c r="G17" s="43">
        <f>HYPERLINK("#'Method Election'!A5", "Next: Method Election →")</f>
        <v/>
      </c>
      <c r="H17" s="44" t="n"/>
      <c r="I17" s="44" t="n"/>
      <c r="J17" s="44" t="n"/>
      <c r="K17" s="44" t="n"/>
      <c r="L17" s="44" t="n"/>
    </row>
    <row r="18" ht="22" customHeight="1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</row>
  </sheetData>
  <mergeCells count="10">
    <mergeCell ref="J2:L2"/>
    <mergeCell ref="D2:I2"/>
    <mergeCell ref="A7:L7"/>
    <mergeCell ref="A15:L15"/>
    <mergeCell ref="A5:L5"/>
    <mergeCell ref="A17:F18"/>
    <mergeCell ref="A6:L6"/>
    <mergeCell ref="G17:L18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HYPERLINK("#'Space Allocation'!A5", "← BACK")</f>
        <v/>
      </c>
      <c r="B2" s="15" t="n"/>
      <c r="C2" s="15" t="n"/>
      <c r="D2" s="24" t="inlineStr">
        <is>
          <t>SECTION 3 OF 5</t>
        </is>
      </c>
      <c r="J2" s="25">
        <f>HYPERLINK("#'Actual Expenses'!A5",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Method Election</t>
        </is>
      </c>
    </row>
    <row r="5" ht="18" customHeight="1">
      <c r="A5" s="28" t="inlineStr">
        <is>
          <t>Simplified ($5/sqft cap $1,500) vs Actual.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METHOD ELECTION</t>
        </is>
      </c>
    </row>
    <row r="8" ht="22" customHeight="1">
      <c r="A8" s="51" t="inlineStr">
        <is>
          <t>Method:</t>
        </is>
      </c>
      <c r="B8" s="52" t="inlineStr">
        <is>
          <t>Actual</t>
        </is>
      </c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4" t="n"/>
    </row>
    <row r="11" ht="20" customHeight="1">
      <c r="A11" s="55" t="inlineStr"/>
      <c r="B11" s="55" t="inlineStr">
        <is>
          <t>Simplified</t>
        </is>
      </c>
      <c r="C11" s="55" t="inlineStr">
        <is>
          <t>Actual</t>
        </is>
      </c>
      <c r="D11" s="55" t="inlineStr">
        <is>
          <t>Difference</t>
        </is>
      </c>
    </row>
    <row r="12" ht="20" customHeight="1">
      <c r="A12" s="56" t="inlineStr">
        <is>
          <t>Deduction this year</t>
        </is>
      </c>
      <c r="B12" s="57">
        <f>MIN('Space Allocation'!B9,300)*5</f>
        <v/>
      </c>
      <c r="C12" s="57">
        <f>IF(B8="Actual",'Actual Expenses'!B22,0)</f>
        <v/>
      </c>
      <c r="D12" s="57">
        <f>C12-B12</f>
        <v/>
      </c>
    </row>
    <row r="13" ht="20" customHeight="1">
      <c r="A13" s="56" t="inlineStr">
        <is>
          <t>Depreciation recapture risk?</t>
        </is>
      </c>
      <c r="B13" s="58" t="inlineStr">
        <is>
          <t>"None"</t>
        </is>
      </c>
      <c r="C13" s="58" t="inlineStr">
        <is>
          <t>"Yes (Sec 1250)"</t>
        </is>
      </c>
      <c r="D13" s="58" t="inlineStr">
        <is>
          <t>""</t>
        </is>
      </c>
    </row>
    <row r="14" ht="20" customHeight="1">
      <c r="A14" s="56" t="inlineStr">
        <is>
          <t>Loss carryover allowed?</t>
        </is>
      </c>
      <c r="B14" s="58" t="inlineStr">
        <is>
          <t>"No"</t>
        </is>
      </c>
      <c r="C14" s="58" t="inlineStr">
        <is>
          <t>"Yes"</t>
        </is>
      </c>
      <c r="D14" s="58" t="inlineStr">
        <is>
          <t>""</t>
        </is>
      </c>
    </row>
    <row r="15" ht="20" customHeight="1">
      <c r="A15" s="56" t="inlineStr">
        <is>
          <t>Recommended?</t>
        </is>
      </c>
      <c r="B15" s="58">
        <f>IF(B12&gt;=C12,"✅ Pick this","")</f>
        <v/>
      </c>
      <c r="C15" s="58">
        <f>IF(C12&gt;B12,"✅ Pick this","")</f>
        <v/>
      </c>
      <c r="D15" s="58" t="inlineStr">
        <is>
          <t>""</t>
        </is>
      </c>
    </row>
    <row r="17" ht="36" customHeight="1">
      <c r="A17" s="42" t="inlineStr">
        <is>
          <t>⚠ Actual-method depreciation locks the home's office-portion into Section 1250 unrecaptured-gain treatment if you sell — taxed at up to 25% on the depreciation recapture. Simplified avoids this. If you plan to sell the home within 5 years, the math often favors Simplified.</t>
        </is>
      </c>
    </row>
    <row r="19" ht="22" customHeight="1">
      <c r="A19" s="43">
        <f>HYPERLINK("#'Space Allocation'!A5", "← Back: Space Allocation")</f>
        <v/>
      </c>
      <c r="B19" s="44" t="n"/>
      <c r="C19" s="44" t="n"/>
      <c r="D19" s="44" t="n"/>
      <c r="E19" s="44" t="n"/>
      <c r="F19" s="44" t="n"/>
      <c r="G19" s="43">
        <f>HYPERLINK("#'Actual Expenses'!A5", "Next: Actual Expenses →")</f>
        <v/>
      </c>
      <c r="H19" s="44" t="n"/>
      <c r="I19" s="44" t="n"/>
      <c r="J19" s="44" t="n"/>
      <c r="K19" s="44" t="n"/>
      <c r="L19" s="44" t="n"/>
    </row>
    <row r="20" ht="22" customHeight="1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</row>
  </sheetData>
  <mergeCells count="11">
    <mergeCell ref="J2:L2"/>
    <mergeCell ref="D2:I2"/>
    <mergeCell ref="A7:L7"/>
    <mergeCell ref="A19:F20"/>
    <mergeCell ref="G19:L20"/>
    <mergeCell ref="A5:L5"/>
    <mergeCell ref="A6:L6"/>
    <mergeCell ref="A17:L17"/>
    <mergeCell ref="A2:C2"/>
    <mergeCell ref="A4:L4"/>
    <mergeCell ref="B8:L8"/>
  </mergeCells>
  <dataValidations count="1">
    <dataValidation sqref="B8" showDropDown="0" showInputMessage="0" showErrorMessage="0" allowBlank="1" type="list">
      <formula1>"Simplified,Actual"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HYPERLINK("#'Method Election'!A5", "← BACK")</f>
        <v/>
      </c>
      <c r="B2" s="15" t="n"/>
      <c r="C2" s="15" t="n"/>
      <c r="D2" s="24" t="inlineStr">
        <is>
          <t>SECTION 4 OF 5</t>
        </is>
      </c>
      <c r="J2" s="25">
        <f>HYPERLINK("#'STR Routing'!A5",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Actual Expenses</t>
        </is>
      </c>
    </row>
    <row r="5" ht="18" customHeight="1">
      <c r="A5" s="28" t="inlineStr">
        <is>
          <t>Direct + indirect + depreciation. Indirect is allocated by business-use %.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ACTUAL EXPENSES</t>
        </is>
      </c>
    </row>
    <row r="8" ht="22" customHeight="1">
      <c r="A8" s="31" t="inlineStr">
        <is>
          <t>Direct repairs (only-office, 100% deductible):</t>
        </is>
      </c>
      <c r="B8" s="59" t="n">
        <v>0</v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4" t="n"/>
    </row>
    <row r="9" ht="22" customHeight="1">
      <c r="A9" s="35" t="inlineStr">
        <is>
          <t>Indirect — Electric ($/yr):</t>
        </is>
      </c>
      <c r="B9" s="60" t="n">
        <v>2400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37" t="n"/>
    </row>
    <row r="10" ht="22" customHeight="1">
      <c r="A10" s="35" t="inlineStr">
        <is>
          <t>Indirect — Gas ($/yr):</t>
        </is>
      </c>
      <c r="B10" s="60" t="n">
        <v>980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37" t="n"/>
    </row>
    <row r="11" ht="22" customHeight="1">
      <c r="A11" s="35" t="inlineStr">
        <is>
          <t>Indirect — Water ($/yr):</t>
        </is>
      </c>
      <c r="B11" s="60" t="n">
        <v>420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37" t="n"/>
    </row>
    <row r="12" ht="22" customHeight="1">
      <c r="A12" s="35" t="inlineStr">
        <is>
          <t>Indirect — Internet ($/yr):</t>
        </is>
      </c>
      <c r="B12" s="60" t="n">
        <v>720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37" t="n"/>
    </row>
    <row r="13" ht="22" customHeight="1">
      <c r="A13" s="35" t="inlineStr">
        <is>
          <t>Indirect — Insurance ($/yr):</t>
        </is>
      </c>
      <c r="B13" s="60" t="n">
        <v>1840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37" t="n"/>
    </row>
    <row r="14" ht="22" customHeight="1">
      <c r="A14" s="35" t="inlineStr">
        <is>
          <t>Indirect — Repairs (whole house):</t>
        </is>
      </c>
      <c r="B14" s="60" t="n">
        <v>620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37" t="n"/>
    </row>
    <row r="15" ht="22" customHeight="1">
      <c r="A15" s="35" t="inlineStr">
        <is>
          <t>Indirect — Real estate tax:</t>
        </is>
      </c>
      <c r="B15" s="60" t="n">
        <v>4800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37" t="n"/>
    </row>
    <row r="16" ht="22" customHeight="1">
      <c r="A16" s="35" t="inlineStr">
        <is>
          <t>Indirect — Mortgage interest:</t>
        </is>
      </c>
      <c r="B16" s="60" t="n">
        <v>9800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37" t="n"/>
    </row>
    <row r="17" ht="22" customHeight="1">
      <c r="A17" s="38" t="inlineStr">
        <is>
          <t>Home depreciable basis (building only):</t>
        </is>
      </c>
      <c r="B17" s="61" t="n">
        <v>312000</v>
      </c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 t="n"/>
    </row>
    <row r="19" ht="20" customHeight="1">
      <c r="A19" s="56" t="inlineStr">
        <is>
          <t>Total indirect (sum):</t>
        </is>
      </c>
      <c r="B19" s="62">
        <f>SUM(B9:B16)</f>
        <v/>
      </c>
    </row>
    <row r="20" ht="20" customHeight="1">
      <c r="A20" s="56" t="inlineStr">
        <is>
          <t>Indirect × business-use % (Form 8829 Line 22):</t>
        </is>
      </c>
      <c r="B20" s="62">
        <f>B19*'Space Allocation'!B13</f>
        <v/>
      </c>
    </row>
    <row r="21" ht="20" customHeight="1">
      <c r="A21" s="56" t="inlineStr">
        <is>
          <t>Annual depreciation (basis × biz % ÷ 39):</t>
        </is>
      </c>
      <c r="B21" s="62">
        <f>B17*'Space Allocation'!B13/39</f>
        <v/>
      </c>
    </row>
    <row r="22" ht="20" customHeight="1">
      <c r="A22" s="49" t="inlineStr">
        <is>
          <t>Direct + Indirect × biz% + Depreciation:</t>
        </is>
      </c>
      <c r="B22" s="63">
        <f>B8+B20+B21</f>
        <v/>
      </c>
    </row>
    <row r="24" ht="36" customHeight="1">
      <c r="A24" s="42" t="inlineStr">
        <is>
          <t>ⓘ Direct expenses (only the office) are 100% deductible. Indirect expenses (whole house) are deductible at the business-use % from the Space Allocation tab. Home depreciation = (basis × business-use %) ÷ 39 yrs.</t>
        </is>
      </c>
    </row>
    <row r="26" ht="22" customHeight="1">
      <c r="A26" s="43">
        <f>HYPERLINK("#'Method Election'!A5", "← Back: Method Election")</f>
        <v/>
      </c>
      <c r="B26" s="44" t="n"/>
      <c r="C26" s="44" t="n"/>
      <c r="D26" s="44" t="n"/>
      <c r="E26" s="44" t="n"/>
      <c r="F26" s="44" t="n"/>
      <c r="G26" s="43">
        <f>HYPERLINK("#'STR Routing'!A5", "Next: STR Routing →")</f>
        <v/>
      </c>
      <c r="H26" s="44" t="n"/>
      <c r="I26" s="44" t="n"/>
      <c r="J26" s="44" t="n"/>
      <c r="K26" s="44" t="n"/>
      <c r="L26" s="44" t="n"/>
    </row>
    <row r="27" ht="22" customHeight="1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</row>
  </sheetData>
  <mergeCells count="10">
    <mergeCell ref="A24:L24"/>
    <mergeCell ref="J2:L2"/>
    <mergeCell ref="D2:I2"/>
    <mergeCell ref="A7:L7"/>
    <mergeCell ref="A5:L5"/>
    <mergeCell ref="G26:L27"/>
    <mergeCell ref="A6:L6"/>
    <mergeCell ref="A26:F27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HYPERLINK("#'Actual Expenses'!A5", "← BACK")</f>
        <v/>
      </c>
      <c r="B2" s="15" t="n"/>
      <c r="C2" s="15" t="n"/>
      <c r="D2" s="24" t="inlineStr">
        <is>
          <t>SECTION 5 OF 5</t>
        </is>
      </c>
      <c r="J2" s="25">
        <f>HYPERLINK("#'Form 8829 Map'!A5",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7" t="inlineStr">
        <is>
          <t>STR Routing</t>
        </is>
      </c>
    </row>
    <row r="5" ht="18" customHeight="1">
      <c r="A5" s="28" t="inlineStr">
        <is>
          <t>Where the deduction lands on your tax return.</t>
        </is>
      </c>
    </row>
    <row r="6" ht="22" customHeight="1">
      <c r="A6" s="29" t="inlineStr">
        <is>
          <t>Fill the highlighted fields below.</t>
        </is>
      </c>
    </row>
    <row r="7" ht="20" customHeight="1">
      <c r="A7" s="30" t="inlineStr">
        <is>
          <t>STR ROUTING</t>
        </is>
      </c>
    </row>
    <row r="8" ht="22" customHeight="1">
      <c r="A8" s="51" t="inlineStr">
        <is>
          <t>Schedule classification:</t>
        </is>
      </c>
      <c r="B8" s="52" t="inlineStr">
        <is>
          <t>Schedule E (passive)</t>
        </is>
      </c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4" t="n"/>
    </row>
    <row r="10" ht="24" customHeight="1">
      <c r="A10" s="49" t="inlineStr">
        <is>
          <t>Form line for your deduction:</t>
        </is>
      </c>
      <c r="B10" s="64">
        <f>IF(B8="Schedule E (passive)","Schedule E Line 18a (Other) — describe as ""Home office""",IF(B8="Schedule C (active)","Schedule C Line 30 (via Form 8829)","Set classification above"))</f>
        <v/>
      </c>
    </row>
    <row r="12" ht="36" customHeight="1">
      <c r="A12" s="42" t="inlineStr">
        <is>
          <t>Schedule E filers: deduction lands on Line 18a (Other) of Schedule E. Schedule C filers: deduction lands on Form 8829 → Line 30 of Schedule C. Both methods (Simplified and Actual) work for both Schedule E and C.</t>
        </is>
      </c>
    </row>
    <row r="14" ht="22" customHeight="1">
      <c r="A14" s="43">
        <f>HYPERLINK("#'Actual Expenses'!A5", "← Back: Actual Expenses")</f>
        <v/>
      </c>
      <c r="B14" s="44" t="n"/>
      <c r="C14" s="44" t="n"/>
      <c r="D14" s="44" t="n"/>
      <c r="E14" s="44" t="n"/>
      <c r="F14" s="44" t="n"/>
      <c r="G14" s="43">
        <f>HYPERLINK("#'Form 8829 Map'!A5", "Next: Form 8829 Map →")</f>
        <v/>
      </c>
      <c r="H14" s="44" t="n"/>
      <c r="I14" s="44" t="n"/>
      <c r="J14" s="44" t="n"/>
      <c r="K14" s="44" t="n"/>
      <c r="L14" s="44" t="n"/>
    </row>
    <row r="15" ht="22" customHeight="1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</row>
  </sheetData>
  <mergeCells count="12">
    <mergeCell ref="J2:L2"/>
    <mergeCell ref="D2:I2"/>
    <mergeCell ref="A7:L7"/>
    <mergeCell ref="A12:L12"/>
    <mergeCell ref="A14:F15"/>
    <mergeCell ref="A5:L5"/>
    <mergeCell ref="G14:L15"/>
    <mergeCell ref="A6:L6"/>
    <mergeCell ref="B10:L10"/>
    <mergeCell ref="A2:C2"/>
    <mergeCell ref="A4:L4"/>
    <mergeCell ref="B8:L8"/>
  </mergeCells>
  <dataValidations count="1">
    <dataValidation sqref="B8" showDropDown="0" showInputMessage="0" showErrorMessage="0" allowBlank="1" type="list">
      <formula1>"Schedule E (passive),Schedule C (active)"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HYPERLINK("#'STR Routing'!A1", "← BACK")</f>
        <v/>
      </c>
      <c r="B2" s="15" t="n"/>
      <c r="C2" s="15" t="n"/>
      <c r="D2" s="65" t="inlineStr">
        <is>
          <t>FORM 8829 MAP</t>
        </is>
      </c>
      <c r="J2" s="25">
        <f>HYPERLINK("#'Launch'!A1",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Print this tab — mirror of Form 8829 (Expenses for Business Use of Your Home).</t>
        </is>
      </c>
    </row>
    <row r="5" ht="20" customHeight="1">
      <c r="A5" s="55" t="inlineStr">
        <is>
          <t>Line</t>
        </is>
      </c>
      <c r="B5" s="55" t="inlineStr">
        <is>
          <t>Description</t>
        </is>
      </c>
      <c r="C5" s="55" t="inlineStr">
        <is>
          <t>Amount</t>
        </is>
      </c>
    </row>
    <row r="6" ht="22" customHeight="1">
      <c r="A6" s="67" t="inlineStr">
        <is>
          <t xml:space="preserve">  Part I — BUSINESS-USE %</t>
        </is>
      </c>
    </row>
    <row r="7" ht="18" customHeight="1">
      <c r="A7" s="68" t="inlineStr">
        <is>
          <t>1</t>
        </is>
      </c>
      <c r="B7" s="69" t="inlineStr">
        <is>
          <t>Office area (sqft)</t>
        </is>
      </c>
      <c r="C7" s="70">
        <f>'Space Allocation'!B9</f>
        <v/>
      </c>
    </row>
    <row r="8" ht="18" customHeight="1">
      <c r="A8" s="68" t="inlineStr">
        <is>
          <t>2</t>
        </is>
      </c>
      <c r="B8" s="69" t="inlineStr">
        <is>
          <t>Total home area (sqft)</t>
        </is>
      </c>
      <c r="C8" s="70">
        <f>'Space Allocation'!B8</f>
        <v/>
      </c>
    </row>
    <row r="9" ht="18" customHeight="1">
      <c r="A9" s="68" t="inlineStr">
        <is>
          <t>3</t>
        </is>
      </c>
      <c r="B9" s="69" t="inlineStr">
        <is>
          <t>Business-use percentage</t>
        </is>
      </c>
      <c r="C9" s="71">
        <f>'Space Allocation'!B13</f>
        <v/>
      </c>
    </row>
    <row r="10" ht="22" customHeight="1">
      <c r="A10" s="67" t="inlineStr">
        <is>
          <t xml:space="preserve">  Part II — EXPENSES</t>
        </is>
      </c>
    </row>
    <row r="11" ht="18" customHeight="1">
      <c r="A11" s="68" t="inlineStr">
        <is>
          <t>8</t>
        </is>
      </c>
      <c r="B11" s="69" t="inlineStr">
        <is>
          <t>Direct expenses</t>
        </is>
      </c>
      <c r="C11" s="62">
        <f>'Actual Expenses'!B8</f>
        <v/>
      </c>
    </row>
    <row r="12" ht="18" customHeight="1">
      <c r="A12" s="68" t="inlineStr">
        <is>
          <t>9-13</t>
        </is>
      </c>
      <c r="B12" s="69" t="inlineStr">
        <is>
          <t>Indirect (utilities + ins. + repairs + RE tax + mortgage int.)</t>
        </is>
      </c>
      <c r="C12" s="62">
        <f>'Actual Expenses'!B19</f>
        <v/>
      </c>
    </row>
    <row r="13" ht="18" customHeight="1">
      <c r="A13" s="68" t="inlineStr">
        <is>
          <t>14</t>
        </is>
      </c>
      <c r="B13" s="69" t="inlineStr">
        <is>
          <t>Indirect × business-use %</t>
        </is>
      </c>
      <c r="C13" s="62">
        <f>'Actual Expenses'!B20</f>
        <v/>
      </c>
    </row>
    <row r="14" ht="18" customHeight="1">
      <c r="A14" s="68" t="inlineStr">
        <is>
          <t>15</t>
        </is>
      </c>
      <c r="B14" s="69" t="inlineStr">
        <is>
          <t>Add lines 8 + 14 (operating exp.)</t>
        </is>
      </c>
      <c r="C14" s="62">
        <f>C12+C14</f>
        <v/>
      </c>
    </row>
    <row r="15" ht="22" customHeight="1">
      <c r="A15" s="67" t="inlineStr">
        <is>
          <t xml:space="preserve">  Part III — DEPRECIATION</t>
        </is>
      </c>
    </row>
    <row r="16" ht="18" customHeight="1">
      <c r="A16" s="68" t="inlineStr">
        <is>
          <t>36</t>
        </is>
      </c>
      <c r="B16" s="69" t="inlineStr">
        <is>
          <t>Annual depreciation (39-yr SL × biz %)</t>
        </is>
      </c>
      <c r="C16" s="62">
        <f>'Actual Expenses'!B21</f>
        <v/>
      </c>
    </row>
    <row r="17" ht="22" customHeight="1">
      <c r="A17" s="67" t="inlineStr">
        <is>
          <t xml:space="preserve">  Part IV — TOTAL</t>
        </is>
      </c>
    </row>
    <row r="18" ht="18" customHeight="1">
      <c r="A18" s="68" t="inlineStr"/>
      <c r="B18" s="72" t="inlineStr">
        <is>
          <t>TOTAL ACTUAL DEDUCTION</t>
        </is>
      </c>
      <c r="C18" s="73">
        <f>'Actual Expenses'!B22</f>
        <v/>
      </c>
    </row>
    <row r="19" ht="18" customHeight="1">
      <c r="A19" s="68" t="inlineStr"/>
      <c r="B19" s="72" t="inlineStr">
        <is>
          <t>TOTAL SIMPLIFIED DEDUCTION</t>
        </is>
      </c>
      <c r="C19" s="73">
        <f>MIN('Space Allocation'!B9,300)*5</f>
        <v/>
      </c>
    </row>
    <row r="20" ht="18" customHeight="1">
      <c r="A20" s="68" t="inlineStr"/>
      <c r="B20" s="69" t="inlineStr">
        <is>
          <t>ELECTED METHOD</t>
        </is>
      </c>
      <c r="C20" s="74">
        <f>'Method Election'!B8</f>
        <v/>
      </c>
    </row>
    <row r="21" ht="18" customHeight="1">
      <c r="A21" s="68" t="inlineStr"/>
      <c r="B21" s="72" t="inlineStr">
        <is>
          <t>FINAL DEDUCTION</t>
        </is>
      </c>
      <c r="C21" s="73">
        <f>IF('Method Election'!B8="Simplified",MIN('Space Allocation'!B9,300)*5,IF('Method Election'!B8="Actual",'Actual Expenses'!B22,0))</f>
        <v/>
      </c>
    </row>
  </sheetData>
  <mergeCells count="8">
    <mergeCell ref="A10:C10"/>
    <mergeCell ref="J2:L2"/>
    <mergeCell ref="D2:I2"/>
    <mergeCell ref="A6:C6"/>
    <mergeCell ref="A17:C17"/>
    <mergeCell ref="A15:C15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HYPERLINK("#'Form 8829 Map'!A1", "← BACK")</f>
        <v/>
      </c>
      <c r="B2" s="15" t="n"/>
      <c r="C2" s="15" t="n"/>
      <c r="D2" s="65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75" t="inlineStr">
        <is>
          <t>Your home-office deduction</t>
        </is>
      </c>
    </row>
    <row r="5" ht="20" customHeight="1">
      <c r="A5" s="28" t="inlineStr">
        <is>
          <t>Print the Form 8829 Map and route per your filing schedule.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6" t="inlineStr">
        <is>
          <t>FINAL DEDUCTION</t>
        </is>
      </c>
      <c r="B9" s="77" t="n"/>
      <c r="C9" s="77" t="n"/>
      <c r="D9" s="78" t="n"/>
      <c r="E9" s="79" t="inlineStr">
        <is>
          <t>METHOD</t>
        </is>
      </c>
      <c r="F9" s="77" t="n"/>
      <c r="G9" s="77" t="n"/>
      <c r="H9" s="78" t="n"/>
      <c r="I9" s="79" t="inlineStr">
        <is>
          <t>SCHEDULE</t>
        </is>
      </c>
      <c r="J9" s="77" t="n"/>
      <c r="K9" s="77" t="n"/>
      <c r="L9" s="78" t="n"/>
    </row>
    <row r="10">
      <c r="A10" s="80">
        <f>IF('Method Election'!B8="Simplified",MIN('Space Allocation'!B9,300)*5,IF('Method Election'!B8="Actual",'Actual Expenses'!B22,0))</f>
        <v/>
      </c>
      <c r="B10" s="81" t="n"/>
      <c r="C10" s="81" t="n"/>
      <c r="D10" s="82" t="n"/>
      <c r="E10" s="83">
        <f>'Method Election'!B8</f>
        <v/>
      </c>
      <c r="F10" s="81" t="n"/>
      <c r="G10" s="81" t="n"/>
      <c r="H10" s="82" t="n"/>
      <c r="I10" s="84">
        <f>'STR Routing'!B8</f>
        <v/>
      </c>
      <c r="J10" s="81" t="n"/>
      <c r="K10" s="81" t="n"/>
      <c r="L10" s="82" t="n"/>
    </row>
    <row r="11">
      <c r="A11" s="85" t="n"/>
      <c r="B11" s="81" t="n"/>
      <c r="C11" s="81" t="n"/>
      <c r="D11" s="82" t="n"/>
      <c r="E11" s="85" t="n"/>
      <c r="F11" s="81" t="n"/>
      <c r="G11" s="81" t="n"/>
      <c r="H11" s="82" t="n"/>
      <c r="I11" s="85" t="n"/>
      <c r="J11" s="81" t="n"/>
      <c r="K11" s="81" t="n"/>
      <c r="L11" s="82" t="n"/>
    </row>
    <row r="12">
      <c r="A12" s="86" t="inlineStr">
        <is>
          <t>this tax year</t>
        </is>
      </c>
      <c r="B12" s="87" t="n"/>
      <c r="C12" s="87" t="n"/>
      <c r="D12" s="88" t="n"/>
      <c r="E12" s="86" t="inlineStr">
        <is>
          <t>elected for this year</t>
        </is>
      </c>
      <c r="F12" s="87" t="n"/>
      <c r="G12" s="87" t="n"/>
      <c r="H12" s="88" t="n"/>
      <c r="I12" s="86" t="inlineStr">
        <is>
          <t>where it lands</t>
        </is>
      </c>
      <c r="J12" s="87" t="n"/>
      <c r="K12" s="87" t="n"/>
      <c r="L12" s="8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6" ht="24" customHeight="1">
      <c r="A16" s="14">
        <f>HYPERLINK("#'Form 8829 Map'!A1", "📄  PRINT FORM 8829 MAP  →")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3" ht="36" customHeight="1">
      <c r="A23" s="89" t="inlineStr">
        <is>
          <t>💡 Upgrade to the Tax Season Bundle ($147) at thestrledger.com/tax-bundle.</t>
        </is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18" customHeight="1">
      <c r="A26" s="22" t="inlineStr">
        <is>
          <t>Questions? hello@thestrledger.com</t>
        </is>
      </c>
    </row>
    <row r="27" ht="18" customHeight="1">
      <c r="A27" s="23" t="inlineStr">
        <is>
          <t>TAX-006 · v2.2 · Free updates forever</t>
        </is>
      </c>
    </row>
  </sheetData>
  <mergeCells count="17">
    <mergeCell ref="A26:L26"/>
    <mergeCell ref="D2:L2"/>
    <mergeCell ref="A9:D9"/>
    <mergeCell ref="E9:H9"/>
    <mergeCell ref="I9:L9"/>
    <mergeCell ref="A12:D12"/>
    <mergeCell ref="A16:L20"/>
    <mergeCell ref="E12:H12"/>
    <mergeCell ref="A5:L5"/>
    <mergeCell ref="I12:L12"/>
    <mergeCell ref="A23:L23"/>
    <mergeCell ref="E10:H11"/>
    <mergeCell ref="A27:L27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F6EFE2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HYPERLINK("#'Launch'!A1", "← BACK")</f>
        <v/>
      </c>
      <c r="B2" s="15" t="n"/>
      <c r="C2" s="15" t="n"/>
      <c r="D2" s="6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66" t="inlineStr">
        <is>
          <t>Active tax year · references</t>
        </is>
      </c>
    </row>
    <row r="5" ht="18" customHeight="1">
      <c r="A5" s="90" t="inlineStr">
        <is>
          <t>Active tax year:</t>
        </is>
      </c>
      <c r="B5" s="91" t="n">
        <v>2026</v>
      </c>
    </row>
    <row r="6" ht="18" customHeight="1">
      <c r="A6" s="90" t="inlineStr">
        <is>
          <t>Simplified-method rate ($/sqft):</t>
        </is>
      </c>
      <c r="B6" s="92" t="n">
        <v>5</v>
      </c>
    </row>
    <row r="7" ht="18" customHeight="1">
      <c r="A7" s="90" t="inlineStr">
        <is>
          <t>Simplified-method sqft cap:</t>
        </is>
      </c>
      <c r="B7" s="93" t="n">
        <v>300</v>
      </c>
    </row>
    <row r="8" ht="18" customHeight="1">
      <c r="A8" s="90" t="inlineStr">
        <is>
          <t>Home depreciation life (yr):</t>
        </is>
      </c>
      <c r="B8" s="94" t="n">
        <v>39</v>
      </c>
    </row>
    <row r="10" ht="8" customHeight="1"/>
    <row r="11" ht="22" customHeight="1">
      <c r="A11" s="95" t="inlineStr">
        <is>
          <t>Year-end Archive</t>
        </is>
      </c>
    </row>
    <row r="12" ht="18" customHeight="1">
      <c r="A12" s="55" t="inlineStr">
        <is>
          <t>Year</t>
        </is>
      </c>
      <c r="B12" s="55" t="inlineStr">
        <is>
          <t>Method</t>
        </is>
      </c>
      <c r="C12" s="55" t="inlineStr">
        <is>
          <t>Deduction ($)</t>
        </is>
      </c>
    </row>
    <row r="13" ht="16" customHeight="1">
      <c r="A13" s="96" t="n">
        <v>2024</v>
      </c>
      <c r="B13" s="94" t="n"/>
      <c r="C13" s="97" t="n"/>
    </row>
    <row r="14" ht="16" customHeight="1">
      <c r="A14" s="96" t="n">
        <v>2025</v>
      </c>
      <c r="B14" s="94" t="n"/>
      <c r="C14" s="97" t="n"/>
    </row>
    <row r="15" ht="16" customHeight="1">
      <c r="A15" s="96" t="n">
        <v>2026</v>
      </c>
      <c r="B15" s="94" t="n"/>
      <c r="C15" s="97" t="n"/>
    </row>
    <row r="16" ht="16" customHeight="1">
      <c r="A16" s="96" t="n">
        <v>2027</v>
      </c>
      <c r="B16" s="94" t="n"/>
      <c r="C16" s="97" t="n"/>
    </row>
    <row r="17" ht="16" customHeight="1">
      <c r="A17" s="96" t="n">
        <v>2028</v>
      </c>
      <c r="B17" s="94" t="n"/>
      <c r="C17" s="97" t="n"/>
    </row>
    <row r="18" ht="16" customHeight="1">
      <c r="A18" s="96" t="n">
        <v>2029</v>
      </c>
      <c r="B18" s="94" t="n"/>
      <c r="C18" s="97" t="n"/>
    </row>
    <row r="19" ht="16" customHeight="1">
      <c r="A19" s="96" t="n">
        <v>2030</v>
      </c>
      <c r="B19" s="94" t="n"/>
      <c r="C19" s="97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18" customHeight="1">
      <c r="A23" s="22" t="inlineStr">
        <is>
          <t>Questions? hello@thestrledger.com</t>
        </is>
      </c>
    </row>
    <row r="24" ht="18" customHeight="1">
      <c r="A24" s="23" t="inlineStr">
        <is>
          <t>TAX-006 · v2.2 · Free updates forever</t>
        </is>
      </c>
    </row>
  </sheetData>
  <mergeCells count="5">
    <mergeCell ref="D2:L2"/>
    <mergeCell ref="A24:L24"/>
    <mergeCell ref="A23:L23"/>
    <mergeCell ref="A2:C2"/>
    <mergeCell ref="A4:L4"/>
  </mergeCells>
  <dataValidations count="1">
    <dataValidation sqref="B13:B19" showDropDown="0" showInputMessage="0" showErrorMessage="0" allowBlank="1" type="list">
      <formula1>"Simplified,Actual"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Home Office Deduction Allocator — The STR Ledger</dc:title>
  <dc:description xmlns:dc="http://purl.org/dc/elements/1.1/">IRS-compliant home-office deduction allocator (Simplified vs Actual, Form 8829).</dc:description>
  <dcterms:created xmlns:dcterms="http://purl.org/dc/terms/" xmlns:xsi="http://www.w3.org/2001/XMLSchema-instance" xsi:type="dcterms:W3CDTF">2026-05-03T19:04:46Z</dcterms:created>
  <dcterms:modified xmlns:dcterms="http://purl.org/dc/terms/" xmlns:xsi="http://www.w3.org/2001/XMLSchema-instance" xsi:type="dcterms:W3CDTF">2026-05-03T19:04:46Z</dcterms:modified>
</cp:coreProperties>
</file>