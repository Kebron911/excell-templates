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Net SE Income" sheetId="2" state="visible" r:id="rId2"/>
    <sheet xmlns:r="http://schemas.openxmlformats.org/officeDocument/2006/relationships" name="Wage Base &amp; W-2" sheetId="3" state="visible" r:id="rId3"/>
    <sheet xmlns:r="http://schemas.openxmlformats.org/officeDocument/2006/relationships" name="Adjustments" sheetId="4" state="visible" r:id="rId4"/>
    <sheet xmlns:r="http://schemas.openxmlformats.org/officeDocument/2006/relationships" name="SE Tax Calc" sheetId="5" state="visible" r:id="rId5"/>
    <sheet xmlns:r="http://schemas.openxmlformats.org/officeDocument/2006/relationships" name="Schedule SE Map" sheetId="6" state="visible" r:id="rId6"/>
    <sheet xmlns:r="http://schemas.openxmlformats.org/officeDocument/2006/relationships" name="Launch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'Start'!$A$1:$L$47</definedName>
    <definedName name="_xlnm.Print_Titles" localSheetId="4">'SE Tax Calc'!$1:$4</definedName>
    <definedName name="_xlnm.Print_Area" localSheetId="4">'SE Tax Calc'!$A$1:$L$24</definedName>
    <definedName name="_xlnm.Print_Titles" localSheetId="5">'Schedule SE Map'!$1:$5</definedName>
    <definedName name="_xlnm.Print_Area" localSheetId="5">'Schedule SE Map'!$A$1:$C$21</definedName>
    <definedName name="_xlnm.Print_Area" localSheetId="6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;[Red](&quot;$&quot;#,##0)"/>
    <numFmt numFmtId="166" formatCode="0.0%"/>
  </numFmts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12304E"/>
      <sz val="10"/>
    </font>
    <font>
      <name val="Consolas"/>
      <b val="1"/>
      <color rgb="00C9A24B"/>
      <sz val="10"/>
    </font>
    <font>
      <name val="Calibri"/>
      <b val="1"/>
      <color rgb="00FFFFFF"/>
      <sz val="11"/>
    </font>
    <font>
      <name val="Georgia"/>
      <b val="1"/>
      <color rgb="00F6EFE2"/>
      <sz val="12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color rgb="006B7280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164" fontId="7" fillId="7" borderId="6" applyAlignment="1" pivotButton="0" quotePrefix="0" xfId="0">
      <alignment horizontal="right" vertical="center" indent="1"/>
    </xf>
    <xf numFmtId="0" fontId="0" fillId="3" borderId="6" pivotButton="0" quotePrefix="0" xfId="0"/>
    <xf numFmtId="0" fontId="0" fillId="3" borderId="7" pivotButton="0" quotePrefix="0" xfId="0"/>
    <xf numFmtId="0" fontId="20" fillId="3" borderId="11" applyAlignment="1" pivotButton="0" quotePrefix="0" xfId="0">
      <alignment horizontal="right" vertical="center" indent="1"/>
    </xf>
    <xf numFmtId="164" fontId="7" fillId="7" borderId="0" applyAlignment="1" pivotButton="0" quotePrefix="0" xfId="0">
      <alignment horizontal="right" vertical="center" indent="1"/>
    </xf>
    <xf numFmtId="0" fontId="0" fillId="3" borderId="12" pivotButton="0" quotePrefix="0" xfId="0"/>
    <xf numFmtId="0" fontId="20" fillId="3" borderId="8" applyAlignment="1" pivotButton="0" quotePrefix="0" xfId="0">
      <alignment horizontal="right" vertical="center" indent="1"/>
    </xf>
    <xf numFmtId="164" fontId="7" fillId="7" borderId="9" applyAlignment="1" pivotButton="0" quotePrefix="0" xfId="0">
      <alignment horizontal="right" vertical="center" indent="1"/>
    </xf>
    <xf numFmtId="0" fontId="0" fillId="3" borderId="9" pivotButton="0" quotePrefix="0" xfId="0"/>
    <xf numFmtId="0" fontId="0" fillId="3" borderId="10" pivotButton="0" quotePrefix="0" xfId="0"/>
    <xf numFmtId="0" fontId="9" fillId="6" borderId="0" applyAlignment="1" pivotButton="0" quotePrefix="0" xfId="0">
      <alignment horizontal="right" vertical="center" indent="1"/>
    </xf>
    <xf numFmtId="164" fontId="10" fillId="6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 wrapText="1" indent="2"/>
    </xf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right" vertical="center" indent="1"/>
    </xf>
    <xf numFmtId="164" fontId="21" fillId="8" borderId="0" applyAlignment="1" pivotButton="0" quotePrefix="0" xfId="0">
      <alignment horizontal="right" vertical="center"/>
    </xf>
    <xf numFmtId="0" fontId="20" fillId="3" borderId="14" applyAlignment="1" pivotButton="0" quotePrefix="0" xfId="0">
      <alignment horizontal="right" vertical="center" indent="1"/>
    </xf>
    <xf numFmtId="0" fontId="7" fillId="7" borderId="15" applyAlignment="1" pivotButton="0" quotePrefix="0" xfId="0">
      <alignment horizontal="left" vertical="center" indent="1"/>
    </xf>
    <xf numFmtId="0" fontId="0" fillId="3" borderId="15" pivotButton="0" quotePrefix="0" xfId="0"/>
    <xf numFmtId="0" fontId="0" fillId="3" borderId="16" pivotButton="0" quotePrefix="0" xfId="0"/>
    <xf numFmtId="0" fontId="23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165" fontId="21" fillId="8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0" fontId="24" fillId="2" borderId="17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165" fontId="9" fillId="6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center" vertical="center"/>
    </xf>
    <xf numFmtId="0" fontId="14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29" fillId="3" borderId="18" applyAlignment="1" pivotButton="0" quotePrefix="0" xfId="0">
      <alignment horizontal="center"/>
    </xf>
    <xf numFmtId="164" fontId="27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164" fontId="30" fillId="3" borderId="11" applyAlignment="1" pivotButton="0" quotePrefix="0" xfId="0">
      <alignment horizontal="center" vertical="center"/>
    </xf>
    <xf numFmtId="164" fontId="31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8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4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10" fontId="7" fillId="7" borderId="0" applyAlignment="1" pivotButton="0" quotePrefix="0" xfId="0">
      <alignment horizontal="left" vertical="center"/>
    </xf>
    <xf numFmtId="0" fontId="32" fillId="0" borderId="0" pivotButton="0" quotePrefix="0" xfId="0"/>
    <xf numFmtId="0" fontId="7" fillId="0" borderId="0" pivotButton="0" quotePrefix="0" xfId="0"/>
    <xf numFmtId="164" fontId="33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SE Tax Calculator</t>
        </is>
      </c>
    </row>
    <row r="5" ht="22" customHeight="1">
      <c r="A5" s="4" t="inlineStr">
        <is>
          <t>Compute your 15.3% SE tax. Know what you owe.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TAX-008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get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💰 SE TAX $</t>
        </is>
      </c>
      <c r="E13" s="8" t="inlineStr">
        <is>
          <t>📉 ½ ADJUSTMENT</t>
        </is>
      </c>
      <c r="I13" s="8" t="inlineStr">
        <is>
          <t>📄 SCHEDULE SE</t>
        </is>
      </c>
    </row>
    <row r="14" ht="22" customHeight="1">
      <c r="A14" s="9" t="inlineStr">
        <is>
          <t>Your total Schedule SE Line 12 with SS + Medicare + Addl Medicare.</t>
        </is>
      </c>
      <c r="E14" s="9" t="inlineStr">
        <is>
          <t>Schedule 1 Line 15 — 50% of SE tax deductible above the line.</t>
        </is>
      </c>
      <c r="I14" s="9" t="inlineStr">
        <is>
          <t>Print-ready Schedule SE Part I + Part II mirror for your CPA.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Net SE income (Schedule C / F / K-1)</t>
        </is>
      </c>
      <c r="G24" s="10" t="n"/>
      <c r="H24" s="12" t="inlineStr">
        <is>
          <t>④ Review SE Tax Calc — auto-computed</t>
        </is>
      </c>
    </row>
    <row r="25">
      <c r="A25" s="10" t="n"/>
      <c r="B25" s="12" t="inlineStr">
        <is>
          <t>② W-2 wages this year (yours + spouse if MFJ)</t>
        </is>
      </c>
      <c r="G25" s="10" t="n"/>
      <c r="H25" s="12" t="inlineStr">
        <is>
          <t>⑤ Print Schedule SE Map for your CPA</t>
        </is>
      </c>
    </row>
    <row r="26">
      <c r="A26" s="10" t="n"/>
      <c r="B26" s="12" t="inlineStr">
        <is>
          <t>③ Filing status (drives Additional Medicare threshold)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HYPERLINK("#'Net SE Income'!A5", "GET STARTED — ENTER NET SE INCOME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TEXT((COUNTA('Net SE Income'!B8:B10) + COUNTA('Wage Base &amp; W-2'!B8:B9) + COUNTA('Adjustments'!B8))/6,"0%") &amp; " complete"</f>
        <v/>
      </c>
    </row>
    <row r="38" ht="18" customHeight="1">
      <c r="A38" s="17" t="inlineStr">
        <is>
          <t>① Net SE Income</t>
        </is>
      </c>
      <c r="G38" s="18">
        <f>IF(COUNTA('Net SE Income'!B8:B10)=3,"✅ Done",IF(COUNTA('Net SE Income'!B8:B10)=0,"⏳ Empty","⏳ "&amp;COUNTA('Net SE Income'!B8:B10)&amp;" of 3"))</f>
        <v/>
      </c>
      <c r="K38" s="19">
        <f>HYPERLINK("#'Net SE Income'!A5","→ go")</f>
        <v/>
      </c>
    </row>
    <row r="39" ht="18" customHeight="1">
      <c r="A39" s="17" t="inlineStr">
        <is>
          <t>② Wage Base &amp; W-2</t>
        </is>
      </c>
      <c r="G39" s="18">
        <f>IF(COUNTA('Wage Base &amp; W-2'!B8:B9)=2,"✅ Done",IF(COUNTA('Wage Base &amp; W-2'!B8:B9)=0,"⏳ Empty","⏳ "&amp;COUNTA('Wage Base &amp; W-2'!B8:B9)&amp;" of 2"))</f>
        <v/>
      </c>
      <c r="K39" s="19">
        <f>HYPERLINK("#'Wage Base &amp; W-2'!A5","→ go")</f>
        <v/>
      </c>
    </row>
    <row r="40" ht="18" customHeight="1">
      <c r="A40" s="17" t="inlineStr">
        <is>
          <t>③ Adjustments</t>
        </is>
      </c>
      <c r="G40" s="18">
        <f>IF(COUNTA('Adjustments'!B8)=1,"✅ Done",IF(COUNTA('Adjustments'!B8)=0,"⏳ Empty","⏳ "&amp;COUNTA('Adjustments'!B8)&amp;" of 1"))</f>
        <v/>
      </c>
      <c r="K40" s="19">
        <f>HYPERLINK("#'Adjustments'!A5","→ go")</f>
        <v/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18" customHeight="1">
      <c r="A46" s="21" t="inlineStr">
        <is>
          <t>Questions? hello@thestrledger.com</t>
        </is>
      </c>
    </row>
    <row r="47" ht="18" customHeight="1">
      <c r="A47" s="22" t="inlineStr">
        <is>
          <t>TAX-008 · v2.2 · Free updates forever</t>
        </is>
      </c>
    </row>
  </sheetData>
  <mergeCells count="31">
    <mergeCell ref="A7:L7"/>
    <mergeCell ref="B25:F25"/>
    <mergeCell ref="A46:L46"/>
    <mergeCell ref="A14:D18"/>
    <mergeCell ref="A13:D13"/>
    <mergeCell ref="I14:L18"/>
    <mergeCell ref="A2:F2"/>
    <mergeCell ref="I13:L13"/>
    <mergeCell ref="G40:J40"/>
    <mergeCell ref="H25:L25"/>
    <mergeCell ref="A47:L47"/>
    <mergeCell ref="A5:L5"/>
    <mergeCell ref="A23:L23"/>
    <mergeCell ref="K40:L40"/>
    <mergeCell ref="A4:L4"/>
    <mergeCell ref="A38:F38"/>
    <mergeCell ref="G39:J39"/>
    <mergeCell ref="A30:L33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3</t>
        </is>
      </c>
      <c r="J2" s="24">
        <f>HYPERLINK("#'Wage Base &amp; W-2'!A5",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Net SE Income</t>
        </is>
      </c>
    </row>
    <row r="5" ht="18" customHeight="1">
      <c r="A5" s="27" t="inlineStr">
        <is>
          <t>Schedule C / F / K-1 — IRS Schedule SE Lines 1a, 1b, 2.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NET SE INCOME</t>
        </is>
      </c>
    </row>
    <row r="8" ht="22" customHeight="1">
      <c r="A8" s="30" t="inlineStr">
        <is>
          <t>Schedule C net profit ($):</t>
        </is>
      </c>
      <c r="B8" s="31" t="n">
        <v>43000</v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Schedule F net farm profit ($):</t>
        </is>
      </c>
      <c r="B9" s="35" t="n">
        <v>0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7" t="inlineStr">
        <is>
          <t>Partnership SE income (K-1 Box 14A):</t>
        </is>
      </c>
      <c r="B10" s="38" t="n">
        <v>0</v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2" ht="24" customHeight="1">
      <c r="A12" s="41" t="inlineStr">
        <is>
          <t>Total net SE income (Line 3):</t>
        </is>
      </c>
      <c r="B12" s="42">
        <f>SUM(B8:B10)</f>
        <v/>
      </c>
    </row>
    <row r="14" ht="36" customHeight="1">
      <c r="A14" s="43" t="inlineStr">
        <is>
          <t>ⓘ De minimis exception (IRC §1402(a)): if total Net SE Income is &lt; $400, no SE tax owed. Schedule E rental income is NOT subject to SE tax — only Schedule C (active business) and Schedule F (farm) income.</t>
        </is>
      </c>
    </row>
    <row r="16" ht="22" customHeight="1">
      <c r="A16" s="44">
        <f>HYPERLINK("#'Start'!A1", "← Back: Start")</f>
        <v/>
      </c>
      <c r="B16" s="45" t="n"/>
      <c r="C16" s="45" t="n"/>
      <c r="D16" s="45" t="n"/>
      <c r="E16" s="45" t="n"/>
      <c r="F16" s="45" t="n"/>
      <c r="G16" s="44">
        <f>HYPERLINK("#'Wage Base &amp; W-2'!A5", "Next: Wage Base &amp; W-2 →")</f>
        <v/>
      </c>
      <c r="H16" s="45" t="n"/>
      <c r="I16" s="45" t="n"/>
      <c r="J16" s="45" t="n"/>
      <c r="K16" s="45" t="n"/>
      <c r="L16" s="45" t="n"/>
    </row>
    <row r="17" ht="22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</sheetData>
  <mergeCells count="10">
    <mergeCell ref="G16:L17"/>
    <mergeCell ref="J2:L2"/>
    <mergeCell ref="D2:I2"/>
    <mergeCell ref="A7:L7"/>
    <mergeCell ref="A16:F17"/>
    <mergeCell ref="A5:L5"/>
    <mergeCell ref="A14:L14"/>
    <mergeCell ref="A6:L6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HYPERLINK("#'Net SE Income'!A5", "← BACK")</f>
        <v/>
      </c>
      <c r="B2" s="14" t="n"/>
      <c r="C2" s="14" t="n"/>
      <c r="D2" s="23" t="inlineStr">
        <is>
          <t>SECTION 2 OF 3</t>
        </is>
      </c>
      <c r="J2" s="24">
        <f>HYPERLINK("#'Adjustments'!A5",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Wage Base &amp; W-2</t>
        </is>
      </c>
    </row>
    <row r="5" ht="18" customHeight="1">
      <c r="A5" s="27" t="inlineStr">
        <is>
          <t>W-2 wages count toward the SS wage base — Schedule SE Line 8a.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WAGE BASE &amp; W-2</t>
        </is>
      </c>
    </row>
    <row r="8" ht="22" customHeight="1">
      <c r="A8" s="30" t="inlineStr">
        <is>
          <t>Your W-2 wages this year ($):</t>
        </is>
      </c>
      <c r="B8" s="31" t="n">
        <v>0</v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7" t="inlineStr">
        <is>
          <t>Spouse W-2 wages this year ($, MFJ):</t>
        </is>
      </c>
      <c r="B9" s="38" t="n">
        <v>88000</v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1" ht="18" customHeight="1">
      <c r="A11" s="46" t="inlineStr">
        <is>
          <t>Social Security wage base (Settings):</t>
        </is>
      </c>
      <c r="B11" s="47">
        <f>Settings!B6</f>
        <v/>
      </c>
    </row>
    <row r="13" ht="36" customHeight="1">
      <c r="A13" s="43" t="inlineStr">
        <is>
          <t>ⓘ The Social Security portion of SE tax (12.4%) only applies to income up to the wage base. Your W-2 wages this year fill that base first; SE income above what's left of the base owes only the 2.9% Medicare portion. If you've already maxed your W-2 above the wage base, NO SS portion of SE tax applies.</t>
        </is>
      </c>
    </row>
    <row r="15" ht="22" customHeight="1">
      <c r="A15" s="44">
        <f>HYPERLINK("#'Net SE Income'!A5", "← Back: Net SE Income")</f>
        <v/>
      </c>
      <c r="B15" s="45" t="n"/>
      <c r="C15" s="45" t="n"/>
      <c r="D15" s="45" t="n"/>
      <c r="E15" s="45" t="n"/>
      <c r="F15" s="45" t="n"/>
      <c r="G15" s="44">
        <f>HYPERLINK("#'Adjustments'!A5", "Next: Adjustments →")</f>
        <v/>
      </c>
      <c r="H15" s="45" t="n"/>
      <c r="I15" s="45" t="n"/>
      <c r="J15" s="45" t="n"/>
      <c r="K15" s="45" t="n"/>
      <c r="L15" s="45" t="n"/>
    </row>
    <row r="16" ht="22" customHeight="1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</row>
  </sheetData>
  <mergeCells count="10">
    <mergeCell ref="J2:L2"/>
    <mergeCell ref="D2:I2"/>
    <mergeCell ref="A7:L7"/>
    <mergeCell ref="G15:L16"/>
    <mergeCell ref="A5:L5"/>
    <mergeCell ref="A13:L13"/>
    <mergeCell ref="A6:L6"/>
    <mergeCell ref="A2:C2"/>
    <mergeCell ref="A4:L4"/>
    <mergeCell ref="A15:F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HYPERLINK("#'Wage Base &amp; W-2'!A5", "← BACK")</f>
        <v/>
      </c>
      <c r="B2" s="14" t="n"/>
      <c r="C2" s="14" t="n"/>
      <c r="D2" s="23" t="inlineStr">
        <is>
          <t>SECTION 3 OF 3</t>
        </is>
      </c>
      <c r="J2" s="24">
        <f>HYPERLINK("#'SE Tax Calc'!A5",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Adjustments</t>
        </is>
      </c>
    </row>
    <row r="5" ht="18" customHeight="1">
      <c r="A5" s="27" t="inlineStr">
        <is>
          <t>Filing status — drives Additional Medicare 0.9% threshold.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ADJUSTMENTS</t>
        </is>
      </c>
    </row>
    <row r="8" ht="22" customHeight="1">
      <c r="A8" s="48" t="inlineStr">
        <is>
          <t>Filing status:</t>
        </is>
      </c>
      <c r="B8" s="49" t="inlineStr">
        <is>
          <t>MFJ</t>
        </is>
      </c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1" t="n"/>
    </row>
    <row r="10" ht="18" customHeight="1">
      <c r="A10" s="46" t="inlineStr">
        <is>
          <t>Additional Medicare 0.9% threshold:</t>
        </is>
      </c>
      <c r="B10" s="47">
        <f>IF(B8="MFJ",250000,IF(B8="MFS",125000,200000))</f>
        <v/>
      </c>
    </row>
    <row r="12" ht="36" customHeight="1">
      <c r="A12" s="43" t="inlineStr">
        <is>
          <t>ⓘ Additional Medicare tax (IRC §1401(b)(2)): 0.9% applies to Medicare wages + SE income above $200K (Single/HoH), $250K (MFJ), or $125K (MFS). Combined with the regular 2.9% Medicare, this stacks to 3.8% on income above the threshold.</t>
        </is>
      </c>
    </row>
    <row r="14" ht="22" customHeight="1">
      <c r="A14" s="44">
        <f>HYPERLINK("#'Wage Base &amp; W-2'!A5", "← Back: Wage Base &amp; W-2")</f>
        <v/>
      </c>
      <c r="B14" s="45" t="n"/>
      <c r="C14" s="45" t="n"/>
      <c r="D14" s="45" t="n"/>
      <c r="E14" s="45" t="n"/>
      <c r="F14" s="45" t="n"/>
      <c r="G14" s="44">
        <f>HYPERLINK("#'SE Tax Calc'!A5", "Next: SE Tax Calc →")</f>
        <v/>
      </c>
      <c r="H14" s="45" t="n"/>
      <c r="I14" s="45" t="n"/>
      <c r="J14" s="45" t="n"/>
      <c r="K14" s="45" t="n"/>
      <c r="L14" s="45" t="n"/>
    </row>
    <row r="15" ht="22" customHeight="1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</row>
  </sheetData>
  <mergeCells count="10">
    <mergeCell ref="J2:L2"/>
    <mergeCell ref="D2:I2"/>
    <mergeCell ref="A7:L7"/>
    <mergeCell ref="A12:L12"/>
    <mergeCell ref="A14:F15"/>
    <mergeCell ref="A5:L5"/>
    <mergeCell ref="G14:L15"/>
    <mergeCell ref="A6:L6"/>
    <mergeCell ref="A2:C2"/>
    <mergeCell ref="A4:L4"/>
  </mergeCells>
  <dataValidations count="1">
    <dataValidation sqref="B8" showDropDown="0" showInputMessage="0" showErrorMessage="0" allowBlank="1" type="list">
      <formula1>"Single,MFJ,HoH,MFS"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HYPERLINK("#'Adjustments'!A1", "← BACK")</f>
        <v/>
      </c>
      <c r="B2" s="14" t="n"/>
      <c r="C2" s="14" t="n"/>
      <c r="D2" s="52" t="inlineStr">
        <is>
          <t>SE TAX CALC</t>
        </is>
      </c>
      <c r="J2" s="24">
        <f>HYPERLINK("#'Schedule SE Map'!A1",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Step-by-step SE tax computation — Schedule SE Lines 3-12.</t>
        </is>
      </c>
    </row>
    <row r="5" ht="18" customHeight="1">
      <c r="A5" s="46" t="inlineStr">
        <is>
          <t>Net SE income (from Net SE Income tab):</t>
        </is>
      </c>
      <c r="B5" s="54">
        <f>'Net SE Income'!B12</f>
        <v/>
      </c>
    </row>
    <row r="6" ht="18" customHeight="1">
      <c r="A6" s="46" t="inlineStr">
        <is>
          <t>× 92.35% (employer-equivalent factor):</t>
        </is>
      </c>
      <c r="B6" s="54">
        <f>B5*0.9235</f>
        <v/>
      </c>
    </row>
    <row r="7" ht="18" customHeight="1">
      <c r="A7" s="46" t="inlineStr">
        <is>
          <t>Net Earnings from SE (NESE) — Line 4a:</t>
        </is>
      </c>
      <c r="B7" s="54">
        <f>B6</f>
        <v/>
      </c>
    </row>
    <row r="8" ht="18" customHeight="1">
      <c r="A8" s="46" t="inlineStr">
        <is>
          <t>Your W-2 wages this year:</t>
        </is>
      </c>
      <c r="B8" s="54">
        <f>'Wage Base &amp; W-2'!B8</f>
        <v/>
      </c>
    </row>
    <row r="9" ht="18" customHeight="1">
      <c r="A9" s="46" t="inlineStr">
        <is>
          <t>Social Security wage base (Settings):</t>
        </is>
      </c>
      <c r="B9" s="54">
        <f>Settings!B6</f>
        <v/>
      </c>
    </row>
    <row r="10" ht="18" customHeight="1">
      <c r="A10" s="46" t="inlineStr">
        <is>
          <t>Wage-base headroom (= base − W-2):</t>
        </is>
      </c>
      <c r="B10" s="54">
        <f>MAX(B9-B8,0)</f>
        <v/>
      </c>
    </row>
    <row r="11" ht="18" customHeight="1">
      <c r="A11" s="46" t="inlineStr">
        <is>
          <t>SS-portion subject to 12.4%:</t>
        </is>
      </c>
      <c r="B11" s="54">
        <f>MIN(B7,B10)</f>
        <v/>
      </c>
    </row>
    <row r="12" ht="18" customHeight="1">
      <c r="A12" s="46" t="inlineStr">
        <is>
          <t>Social Security tax (Line 10):</t>
        </is>
      </c>
      <c r="B12" s="54">
        <f>B11*0.124</f>
        <v/>
      </c>
    </row>
    <row r="13" ht="18" customHeight="1">
      <c r="A13" s="46" t="inlineStr">
        <is>
          <t>Medicare tax (Line 11) — 2.9% × NESE:</t>
        </is>
      </c>
      <c r="B13" s="54">
        <f>B7*0.029</f>
        <v/>
      </c>
    </row>
    <row r="14" ht="18" customHeight="1">
      <c r="A14" s="46" t="inlineStr">
        <is>
          <t>Combined NESE + W-2 (for Addl Medicare check):</t>
        </is>
      </c>
      <c r="B14" s="54">
        <f>B7+B8+'Wage Base &amp; W-2'!B9</f>
        <v/>
      </c>
    </row>
    <row r="15" ht="18" customHeight="1">
      <c r="A15" s="46" t="inlineStr">
        <is>
          <t>Additional Medicare threshold (filing-status):</t>
        </is>
      </c>
      <c r="B15" s="54">
        <f>IF('Adjustments'!B8="MFJ",250000,IF('Adjustments'!B8="MFS",125000,200000))</f>
        <v/>
      </c>
    </row>
    <row r="16" ht="18" customHeight="1">
      <c r="A16" s="46" t="inlineStr">
        <is>
          <t>Additional Medicare tax (0.9% × excess):</t>
        </is>
      </c>
      <c r="B16" s="54">
        <f>MAX(B14-B15,0)*0.009</f>
        <v/>
      </c>
    </row>
    <row r="17" ht="18" customHeight="1">
      <c r="A17" s="41" t="inlineStr">
        <is>
          <t>TOTAL SE TAX (Line 12) — to Sched 2 Line 4:</t>
        </is>
      </c>
      <c r="B17" s="55">
        <f>B12+B13+B16</f>
        <v/>
      </c>
    </row>
    <row r="18" ht="18" customHeight="1">
      <c r="A18" s="46" t="inlineStr">
        <is>
          <t>½ SE tax adjustment (Sched 1 Line 15):</t>
        </is>
      </c>
      <c r="B18" s="54">
        <f>B17/2</f>
        <v/>
      </c>
    </row>
    <row r="20" ht="36" customHeight="1">
      <c r="A20" s="43" t="inlineStr">
        <is>
          <t>ⓘ Half-SE-tax adjustment is deductible above the line on Schedule 1 Line 15 — it reduces AGI directly. The other half is what you actually pay. If you have a spouse with separate SE income (MFJ), each spouse computes their own SE tax separately — they DO NOT combine.</t>
        </is>
      </c>
    </row>
    <row r="22" ht="22" customHeight="1">
      <c r="A22" s="44">
        <f>HYPERLINK("#'Adjustments'!A5", "← Back: Adjustments")</f>
        <v/>
      </c>
      <c r="B22" s="45" t="n"/>
      <c r="C22" s="45" t="n"/>
      <c r="D22" s="45" t="n"/>
      <c r="E22" s="45" t="n"/>
      <c r="F22" s="45" t="n"/>
      <c r="G22" s="44">
        <f>HYPERLINK("#'Schedule SE Map'!A1", "Next: Schedule SE Map →")</f>
        <v/>
      </c>
      <c r="H22" s="45" t="n"/>
      <c r="I22" s="45" t="n"/>
      <c r="J22" s="45" t="n"/>
      <c r="K22" s="45" t="n"/>
      <c r="L22" s="45" t="n"/>
    </row>
    <row r="23" ht="22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</sheetData>
  <mergeCells count="7">
    <mergeCell ref="A20:L20"/>
    <mergeCell ref="J2:L2"/>
    <mergeCell ref="D2:I2"/>
    <mergeCell ref="G22:L23"/>
    <mergeCell ref="A22:F23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0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HYPERLINK("#'SE Tax Calc'!A1", "← BACK")</f>
        <v/>
      </c>
      <c r="B2" s="14" t="n"/>
      <c r="C2" s="14" t="n"/>
      <c r="D2" s="52" t="inlineStr">
        <is>
          <t>SCHEDULE SE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Print this — IRS Schedule SE Part I + Part II mirror.</t>
        </is>
      </c>
    </row>
    <row r="5" ht="20" customHeight="1">
      <c r="A5" s="56" t="inlineStr">
        <is>
          <t>Line</t>
        </is>
      </c>
      <c r="B5" s="56" t="inlineStr">
        <is>
          <t>Description</t>
        </is>
      </c>
      <c r="C5" s="56" t="inlineStr">
        <is>
          <t>Amount</t>
        </is>
      </c>
    </row>
    <row r="6" ht="22" customHeight="1">
      <c r="A6" s="57" t="inlineStr">
        <is>
          <t xml:space="preserve">  PART I — PART I — SELF-EMPLOYMENT TAX</t>
        </is>
      </c>
    </row>
    <row r="7" ht="18" customHeight="1">
      <c r="A7" s="58" t="inlineStr">
        <is>
          <t>1a</t>
        </is>
      </c>
      <c r="B7" s="59" t="inlineStr">
        <is>
          <t>Net farm profit</t>
        </is>
      </c>
      <c r="C7" s="54">
        <f>'Net SE Income'!B9</f>
        <v/>
      </c>
    </row>
    <row r="8" ht="18" customHeight="1">
      <c r="A8" s="58" t="inlineStr">
        <is>
          <t>2</t>
        </is>
      </c>
      <c r="B8" s="59" t="inlineStr">
        <is>
          <t>Net Schedule C profit</t>
        </is>
      </c>
      <c r="C8" s="54">
        <f>'Net SE Income'!B8</f>
        <v/>
      </c>
    </row>
    <row r="9" ht="18" customHeight="1">
      <c r="A9" s="58" t="inlineStr"/>
      <c r="B9" s="59" t="inlineStr">
        <is>
          <t>Partnership SE (K-1 Box 14A)</t>
        </is>
      </c>
      <c r="C9" s="54">
        <f>'Net SE Income'!B10</f>
        <v/>
      </c>
    </row>
    <row r="10" ht="18" customHeight="1">
      <c r="A10" s="58" t="inlineStr">
        <is>
          <t>3</t>
        </is>
      </c>
      <c r="B10" s="59" t="inlineStr">
        <is>
          <t>Combined (sum)</t>
        </is>
      </c>
      <c r="C10" s="54">
        <f>C7+C8+C9</f>
        <v/>
      </c>
    </row>
    <row r="11" ht="18" customHeight="1">
      <c r="A11" s="58" t="inlineStr">
        <is>
          <t>4a</t>
        </is>
      </c>
      <c r="B11" s="59" t="inlineStr">
        <is>
          <t>Multiply Line 3 by 92.35%</t>
        </is>
      </c>
      <c r="C11" s="54">
        <f>C10*0.9235</f>
        <v/>
      </c>
    </row>
    <row r="12" ht="18" customHeight="1">
      <c r="A12" s="58" t="inlineStr">
        <is>
          <t>8a</t>
        </is>
      </c>
      <c r="B12" s="59" t="inlineStr">
        <is>
          <t>Total SS wages this year (W-2)</t>
        </is>
      </c>
      <c r="C12" s="54">
        <f>'Wage Base &amp; W-2'!B8</f>
        <v/>
      </c>
    </row>
    <row r="13" ht="18" customHeight="1">
      <c r="A13" s="58" t="inlineStr">
        <is>
          <t>8d</t>
        </is>
      </c>
      <c r="B13" s="59" t="inlineStr">
        <is>
          <t>Subtotal (W-2 entered for wage base):</t>
        </is>
      </c>
      <c r="C13" s="54">
        <f>C12</f>
        <v/>
      </c>
    </row>
    <row r="14" ht="18" customHeight="1">
      <c r="A14" s="58" t="inlineStr">
        <is>
          <t>9</t>
        </is>
      </c>
      <c r="B14" s="59" t="inlineStr">
        <is>
          <t>Subtract: SS wage base − W-2:</t>
        </is>
      </c>
      <c r="C14" s="54">
        <f>MAX(Settings!B6-C12,0)</f>
        <v/>
      </c>
    </row>
    <row r="15" ht="18" customHeight="1">
      <c r="A15" s="58" t="inlineStr">
        <is>
          <t>10</t>
        </is>
      </c>
      <c r="B15" s="59" t="inlineStr">
        <is>
          <t>SS portion (smaller of 4a or 9 × 12.4%):</t>
        </is>
      </c>
      <c r="C15" s="54">
        <f>MIN(C11,C14)*0.124</f>
        <v/>
      </c>
    </row>
    <row r="16" ht="18" customHeight="1">
      <c r="A16" s="58" t="inlineStr">
        <is>
          <t>11</t>
        </is>
      </c>
      <c r="B16" s="59" t="inlineStr">
        <is>
          <t>Medicare portion (Line 4a × 2.9%):</t>
        </is>
      </c>
      <c r="C16" s="54">
        <f>C11*0.029</f>
        <v/>
      </c>
    </row>
    <row r="17" ht="18" customHeight="1">
      <c r="A17" s="58" t="inlineStr">
        <is>
          <t>12</t>
        </is>
      </c>
      <c r="B17" s="60" t="inlineStr">
        <is>
          <t>Total SE tax (Line 10 + 11)</t>
        </is>
      </c>
      <c r="C17" s="61">
        <f>C15+C16</f>
        <v/>
      </c>
    </row>
    <row r="18" ht="18" customHeight="1">
      <c r="A18" s="58" t="inlineStr">
        <is>
          <t>13</t>
        </is>
      </c>
      <c r="B18" s="59" t="inlineStr">
        <is>
          <t>½ SE tax adjustment</t>
        </is>
      </c>
      <c r="C18" s="54">
        <f>C17/2</f>
        <v/>
      </c>
    </row>
    <row r="19" ht="22" customHeight="1">
      <c r="A19" s="57" t="inlineStr">
        <is>
          <t xml:space="preserve">  PART II — PART II — OPTIONAL METHODS</t>
        </is>
      </c>
    </row>
    <row r="20" ht="18" customHeight="1">
      <c r="A20" s="58" t="inlineStr"/>
      <c r="B20" s="59" t="inlineStr">
        <is>
          <t>(Not commonly used — see Sched SE for farm/non-farm methods)</t>
        </is>
      </c>
      <c r="C20" s="62" t="inlineStr">
        <is>
          <t>""</t>
        </is>
      </c>
    </row>
  </sheetData>
  <mergeCells count="6">
    <mergeCell ref="J2:L2"/>
    <mergeCell ref="D2:I2"/>
    <mergeCell ref="A19:C19"/>
    <mergeCell ref="A6:C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HYPERLINK("#'Schedule SE Map'!A1", "← BACK")</f>
        <v/>
      </c>
      <c r="B2" s="14" t="n"/>
      <c r="C2" s="14" t="n"/>
      <c r="D2" s="52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3" t="inlineStr">
        <is>
          <t>Your SE tax for the year</t>
        </is>
      </c>
    </row>
    <row r="5" ht="20" customHeight="1">
      <c r="A5" s="27" t="inlineStr">
        <is>
          <t>Schedule 2 Line 4 + Schedule 1 Line 15.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4" t="inlineStr">
        <is>
          <t>TOTAL SE TAX</t>
        </is>
      </c>
      <c r="B9" s="65" t="n"/>
      <c r="C9" s="65" t="n"/>
      <c r="D9" s="66" t="n"/>
      <c r="E9" s="67" t="inlineStr">
        <is>
          <t>½ ADJUSTMENT</t>
        </is>
      </c>
      <c r="F9" s="65" t="n"/>
      <c r="G9" s="65" t="n"/>
      <c r="H9" s="66" t="n"/>
      <c r="I9" s="67" t="inlineStr">
        <is>
          <t>NESE (Line 4a)</t>
        </is>
      </c>
      <c r="J9" s="65" t="n"/>
      <c r="K9" s="65" t="n"/>
      <c r="L9" s="66" t="n"/>
    </row>
    <row r="10">
      <c r="A10" s="68">
        <f>'SE Tax Calc'!B17</f>
        <v/>
      </c>
      <c r="B10" s="69" t="n"/>
      <c r="C10" s="69" t="n"/>
      <c r="D10" s="70" t="n"/>
      <c r="E10" s="71">
        <f>'SE Tax Calc'!B18</f>
        <v/>
      </c>
      <c r="F10" s="69" t="n"/>
      <c r="G10" s="69" t="n"/>
      <c r="H10" s="70" t="n"/>
      <c r="I10" s="72">
        <f>'SE Tax Calc'!B7</f>
        <v/>
      </c>
      <c r="J10" s="69" t="n"/>
      <c r="K10" s="69" t="n"/>
      <c r="L10" s="70" t="n"/>
    </row>
    <row r="11">
      <c r="A11" s="73" t="n"/>
      <c r="B11" s="69" t="n"/>
      <c r="C11" s="69" t="n"/>
      <c r="D11" s="70" t="n"/>
      <c r="E11" s="73" t="n"/>
      <c r="F11" s="69" t="n"/>
      <c r="G11" s="69" t="n"/>
      <c r="H11" s="70" t="n"/>
      <c r="I11" s="73" t="n"/>
      <c r="J11" s="69" t="n"/>
      <c r="K11" s="69" t="n"/>
      <c r="L11" s="70" t="n"/>
    </row>
    <row r="12">
      <c r="A12" s="74" t="inlineStr">
        <is>
          <t>to Schedule 2 Line 4</t>
        </is>
      </c>
      <c r="B12" s="75" t="n"/>
      <c r="C12" s="75" t="n"/>
      <c r="D12" s="76" t="n"/>
      <c r="E12" s="74" t="inlineStr">
        <is>
          <t>to Schedule 1 Line 15</t>
        </is>
      </c>
      <c r="F12" s="75" t="n"/>
      <c r="G12" s="75" t="n"/>
      <c r="H12" s="76" t="n"/>
      <c r="I12" s="74" t="inlineStr">
        <is>
          <t>net earnings from SE</t>
        </is>
      </c>
      <c r="J12" s="75" t="n"/>
      <c r="K12" s="75" t="n"/>
      <c r="L12" s="7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HYPERLINK("#'Schedule SE Map'!A1", "📄  PRINT SCHEDULE SE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3" ht="36" customHeight="1">
      <c r="A23" s="77" t="inlineStr">
        <is>
          <t>💡 Upgrade to the Tax Season Bundle ($147).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TAX-008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5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Active tax year · SS wage base · rates.</t>
        </is>
      </c>
    </row>
    <row r="5" ht="18" customHeight="1">
      <c r="A5" s="78" t="inlineStr">
        <is>
          <t>Active tax year:</t>
        </is>
      </c>
      <c r="B5" s="79" t="n">
        <v>2026</v>
      </c>
    </row>
    <row r="6" ht="18" customHeight="1">
      <c r="A6" s="78" t="inlineStr">
        <is>
          <t>SS wage base ($):</t>
        </is>
      </c>
      <c r="B6" s="80" t="n">
        <v>176100</v>
      </c>
    </row>
    <row r="7" ht="18" customHeight="1">
      <c r="A7" s="78" t="inlineStr">
        <is>
          <t>SS rate (12.4%):</t>
        </is>
      </c>
      <c r="B7" s="81" t="n">
        <v>0.124</v>
      </c>
    </row>
    <row r="8" ht="18" customHeight="1">
      <c r="A8" s="78" t="inlineStr">
        <is>
          <t>Medicare rate (2.9%):</t>
        </is>
      </c>
      <c r="B8" s="81" t="n">
        <v>0.029</v>
      </c>
    </row>
    <row r="9" ht="18" customHeight="1">
      <c r="A9" s="78" t="inlineStr">
        <is>
          <t>Additional Medicare rate (0.9%):</t>
        </is>
      </c>
      <c r="B9" s="82" t="n">
        <v>0.008999999999999999</v>
      </c>
    </row>
    <row r="10" ht="18" customHeight="1">
      <c r="A10" s="78" t="inlineStr">
        <is>
          <t>NESE factor (92.35%):</t>
        </is>
      </c>
      <c r="B10" s="82" t="n">
        <v>0.9235</v>
      </c>
    </row>
    <row r="11" ht="8" customHeight="1"/>
    <row r="12">
      <c r="A12" s="83" t="inlineStr">
        <is>
          <t>Historical wage bases:</t>
        </is>
      </c>
    </row>
    <row r="13">
      <c r="A13" s="84" t="inlineStr">
        <is>
          <t>2023:</t>
        </is>
      </c>
      <c r="B13" s="85" t="n">
        <v>160200</v>
      </c>
    </row>
    <row r="14">
      <c r="A14" s="84" t="inlineStr">
        <is>
          <t>2024:</t>
        </is>
      </c>
      <c r="B14" s="85" t="n">
        <v>168600</v>
      </c>
    </row>
    <row r="15">
      <c r="A15" s="84" t="inlineStr">
        <is>
          <t>2025:</t>
        </is>
      </c>
      <c r="B15" s="85" t="n">
        <v>176100</v>
      </c>
    </row>
    <row r="16" ht="8" customHeight="1"/>
    <row r="17" ht="22" customHeight="1">
      <c r="A17" s="86" t="inlineStr">
        <is>
          <t>Year-end Archive</t>
        </is>
      </c>
    </row>
    <row r="18" ht="18" customHeight="1">
      <c r="A18" s="56" t="inlineStr">
        <is>
          <t>Year</t>
        </is>
      </c>
      <c r="B18" s="56" t="inlineStr">
        <is>
          <t>NESE</t>
        </is>
      </c>
      <c r="C18" s="56" t="inlineStr">
        <is>
          <t>SE Tax</t>
        </is>
      </c>
      <c r="D18" s="56" t="inlineStr">
        <is>
          <t>½ Adjustment</t>
        </is>
      </c>
    </row>
    <row r="19" ht="16" customHeight="1">
      <c r="A19" s="84" t="n">
        <v>2024</v>
      </c>
      <c r="B19" s="80" t="n"/>
      <c r="C19" s="80" t="n"/>
      <c r="D19" s="80" t="n"/>
    </row>
    <row r="20" ht="16" customHeight="1">
      <c r="A20" s="84" t="n">
        <v>2025</v>
      </c>
      <c r="B20" s="80" t="n"/>
      <c r="C20" s="80" t="n"/>
      <c r="D20" s="80" t="n"/>
    </row>
    <row r="21" ht="16" customHeight="1">
      <c r="A21" s="84" t="n">
        <v>2026</v>
      </c>
      <c r="B21" s="80" t="n"/>
      <c r="C21" s="80" t="n"/>
      <c r="D21" s="80" t="n"/>
    </row>
    <row r="22" ht="16" customHeight="1">
      <c r="A22" s="84" t="n">
        <v>2027</v>
      </c>
      <c r="B22" s="80" t="n"/>
      <c r="C22" s="80" t="n"/>
      <c r="D22" s="80" t="n"/>
    </row>
    <row r="23" ht="16" customHeight="1">
      <c r="A23" s="84" t="n">
        <v>2028</v>
      </c>
      <c r="B23" s="80" t="n"/>
      <c r="C23" s="80" t="n"/>
      <c r="D23" s="80" t="n"/>
    </row>
    <row r="24" ht="16" customHeight="1">
      <c r="A24" s="84" t="n">
        <v>2029</v>
      </c>
      <c r="B24" s="80" t="n"/>
      <c r="C24" s="80" t="n"/>
      <c r="D24" s="80" t="n"/>
    </row>
    <row r="25" ht="16" customHeight="1">
      <c r="A25" s="84" t="n">
        <v>2030</v>
      </c>
      <c r="B25" s="80" t="n"/>
      <c r="C25" s="80" t="n"/>
      <c r="D25" s="80" t="n"/>
    </row>
  </sheetData>
  <mergeCells count="3">
    <mergeCell ref="D2:L2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Self-Employment Tax Calculator — The STR Ledger</dc:title>
  <dc:description xmlns:dc="http://purl.org/dc/elements/1.1/">IRS Schedule SE calculator (15.3% SE tax) for STR hosts on Schedule C.</dc:description>
  <dcterms:created xmlns:dcterms="http://purl.org/dc/terms/" xmlns:xsi="http://www.w3.org/2001/XMLSchema-instance" xsi:type="dcterms:W3CDTF">2026-04-26T03:38:49Z</dcterms:created>
  <dcterms:modified xmlns:dcterms="http://purl.org/dc/terms/" xmlns:xsi="http://www.w3.org/2001/XMLSchema-instance" xsi:type="dcterms:W3CDTF">2026-04-26T03:38:49Z</dcterms:modified>
</cp:coreProperties>
</file>