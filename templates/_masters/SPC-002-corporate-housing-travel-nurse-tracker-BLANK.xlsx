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Tenants" sheetId="2" state="visible" r:id="rId2"/>
    <sheet xmlns:r="http://schemas.openxmlformats.org/officeDocument/2006/relationships" name="Lease Calendar" sheetId="3" state="visible" r:id="rId3"/>
    <sheet xmlns:r="http://schemas.openxmlformats.org/officeDocument/2006/relationships" name="Monthly Revenue" sheetId="4" state="visible" r:id="rId4"/>
    <sheet xmlns:r="http://schemas.openxmlformats.org/officeDocument/2006/relationships" name="Pipeline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'Start'!$A$1:$L$40</definedName>
    <definedName name="_xlnm.Print_Titles" localSheetId="1">'Tenants'!$1:$5</definedName>
    <definedName name="_xlnm.Print_Titles" localSheetId="2">'Lease Calendar'!$1:$5</definedName>
    <definedName name="_xlnm.Print_Area" localSheetId="2">'Lease Calendar'!$A$1:$N$21</definedName>
    <definedName name="_xlnm.Print_Titles" localSheetId="3">'Monthly Revenue'!$1:$5</definedName>
    <definedName name="_xlnm.Print_Area" localSheetId="3">'Monthly Revenue'!$A$1:$N$18</definedName>
    <definedName name="_xlnm.Print_Titles" localSheetId="4">'Pipeline'!$1:$5</definedName>
    <definedName name="_xlnm.Print_Area" localSheetId="4">'Pipeline'!$A$1:$I$22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"/>
  </numFmts>
  <fonts count="3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28"/>
    </font>
    <font>
      <name val="Georgia"/>
      <i val="1"/>
      <color rgb="00C9A24B"/>
      <sz val="13"/>
    </font>
    <font>
      <name val="Consolas"/>
      <color rgb="00C9A24B"/>
      <sz val="9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Consolas"/>
      <b val="1"/>
      <color rgb="002A4867"/>
      <sz val="9"/>
    </font>
    <font>
      <name val="Georgia"/>
      <b val="1"/>
      <color rgb="002A4867"/>
      <sz val="28"/>
    </font>
    <font>
      <name val="Consolas"/>
      <b val="1"/>
      <color rgb="00B5725E"/>
      <sz val="9"/>
    </font>
    <font>
      <name val="Georgia"/>
      <b val="1"/>
      <color rgb="00B5725E"/>
      <sz val="28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color rgb="002B2B2B"/>
      <sz val="9"/>
    </font>
    <font>
      <name val="Calibri"/>
      <b val="1"/>
      <i val="1"/>
      <color rgb="0012304E"/>
      <sz val="11"/>
    </font>
    <font>
      <name val="Calibri"/>
      <i val="1"/>
      <color rgb="006B7280"/>
      <sz val="10"/>
    </font>
    <font>
      <name val="Calibri"/>
      <i val="1"/>
      <color rgb="0012304E"/>
      <sz val="10"/>
    </font>
    <font>
      <name val="Georgia"/>
      <b val="1"/>
      <color rgb="0012304E"/>
      <sz val="12"/>
    </font>
    <font>
      <name val="Calibri"/>
      <b val="1"/>
      <i val="1"/>
      <color rgb="0012304E"/>
      <sz val="12"/>
    </font>
    <font>
      <name val="Calibri"/>
      <b val="1"/>
      <color rgb="002B2B2B"/>
      <sz val="11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1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9" fillId="3" borderId="4" applyAlignment="1" pivotButton="0" quotePrefix="0" xfId="0">
      <alignment horizontal="center" vertical="center"/>
    </xf>
    <xf numFmtId="1" fontId="11" fillId="3" borderId="4" applyAlignment="1" pivotButton="0" quotePrefix="0" xfId="0">
      <alignment horizontal="center" vertical="center"/>
    </xf>
    <xf numFmtId="1" fontId="13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7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3" borderId="0" pivotButton="0" quotePrefix="0" xfId="0"/>
    <xf numFmtId="0" fontId="14" fillId="4" borderId="0" applyAlignment="1" pivotButton="0" quotePrefix="0" xfId="0">
      <alignment horizontal="left" vertical="center" indent="2"/>
    </xf>
    <xf numFmtId="0" fontId="15" fillId="3" borderId="0" applyAlignment="1" pivotButton="0" quotePrefix="0" xfId="0">
      <alignment horizontal="left" vertical="center" wrapText="1" indent="2"/>
    </xf>
    <xf numFmtId="0" fontId="16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7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8" fillId="4" borderId="0" applyAlignment="1" pivotButton="0" quotePrefix="0" xfId="0">
      <alignment horizontal="center" vertical="center" wrapText="1"/>
    </xf>
    <xf numFmtId="0" fontId="19" fillId="5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right" vertical="center" indent="2"/>
    </xf>
    <xf numFmtId="0" fontId="23" fillId="3" borderId="0" applyAlignment="1" pivotButton="0" quotePrefix="0" xfId="0">
      <alignment horizontal="left" vertical="center" indent="1"/>
    </xf>
    <xf numFmtId="0" fontId="19" fillId="2" borderId="14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/>
    </xf>
    <xf numFmtId="165" fontId="15" fillId="6" borderId="0" applyAlignment="1" pivotButton="0" quotePrefix="0" xfId="0">
      <alignment horizontal="left" vertical="center"/>
    </xf>
    <xf numFmtId="164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center"/>
    </xf>
    <xf numFmtId="0" fontId="25" fillId="7" borderId="0" applyAlignment="1" pivotButton="0" quotePrefix="0" xfId="0">
      <alignment horizontal="left" vertical="center" indent="1"/>
    </xf>
    <xf numFmtId="49" fontId="26" fillId="7" borderId="0" applyAlignment="1" pivotButton="0" quotePrefix="0" xfId="0">
      <alignment horizontal="center" vertical="center" wrapText="1"/>
    </xf>
    <xf numFmtId="0" fontId="27" fillId="7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164" fontId="24" fillId="7" borderId="0" applyAlignment="1" pivotButton="0" quotePrefix="0" xfId="0">
      <alignment horizontal="right" vertical="center"/>
    </xf>
    <xf numFmtId="164" fontId="27" fillId="7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64" fontId="31" fillId="7" borderId="0" applyAlignment="1" pivotButton="0" quotePrefix="0" xfId="0">
      <alignment horizontal="right" vertical="center"/>
    </xf>
    <xf numFmtId="0" fontId="25" fillId="6" borderId="0" applyAlignment="1" pivotButton="0" quotePrefix="0" xfId="0">
      <alignment horizontal="left" vertical="center" indent="1"/>
    </xf>
    <xf numFmtId="1" fontId="15" fillId="6" borderId="0" applyAlignment="1" pivotButton="0" quotePrefix="0" xfId="0">
      <alignment horizontal="center" vertical="center"/>
    </xf>
    <xf numFmtId="9" fontId="24" fillId="7" borderId="0" applyAlignment="1" pivotButton="0" quotePrefix="0" xfId="0">
      <alignment horizontal="center" vertical="center"/>
    </xf>
    <xf numFmtId="9" fontId="25" fillId="7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 indent="1"/>
    </xf>
    <xf numFmtId="1" fontId="31" fillId="7" borderId="0" applyAlignment="1" pivotButton="0" quotePrefix="0" xfId="0">
      <alignment horizontal="center" vertical="center"/>
    </xf>
    <xf numFmtId="9" fontId="31" fillId="7" borderId="0" applyAlignment="1" pivotButton="0" quotePrefix="0" xfId="0">
      <alignment horizontal="center" vertical="center"/>
    </xf>
    <xf numFmtId="0" fontId="30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1" fontId="24" fillId="7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right" vertical="center"/>
    </xf>
    <xf numFmtId="1" fontId="15" fillId="6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wrapText="1"/>
    </xf>
    <xf numFmtId="0" fontId="15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C7EFCF"/>
        </patternFill>
      </fill>
    </dxf>
    <dxf>
      <fill>
        <patternFill patternType="solid">
          <fgColor rgb="00FFF3BF"/>
        </patternFill>
      </fill>
    </dxf>
    <dxf>
      <fill>
        <patternFill patternType="solid">
          <fgColor rgb="00E0E7FF"/>
        </patternFill>
      </fill>
    </dxf>
    <dxf>
      <fill>
        <patternFill patternType="solid">
          <fgColor rgb="00FFE4CC"/>
        </patternFill>
      </fill>
    </dxf>
    <dxf>
      <fill>
        <patternFill patternType="solid">
          <fgColor rgb="00FFD6D6"/>
        </patternFill>
      </fill>
    </dxf>
    <dxf>
      <fill>
        <patternFill patternType="solid">
          <fgColor rgb="00EDEDED"/>
        </patternFill>
      </fill>
    </dxf>
    <dxf>
      <font>
        <name val="Calibri"/>
        <b val="1"/>
        <color rgb="0012304E"/>
        <sz val="9"/>
      </font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MRR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Revenue'!$B$17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Revenue'!$C$17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Revenue'!$D$17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Revenue'!$E$17</f>
            </numRef>
          </val>
        </ser>
        <ser>
          <idx val="4"/>
          <order val="4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Revenue'!$F$17</f>
            </numRef>
          </val>
        </ser>
        <ser>
          <idx val="5"/>
          <order val="5"/>
          <spPr>
            <a:solidFill xmlns:a="http://schemas.openxmlformats.org/drawingml/2006/main">
              <a:srgbClr val="0A1F35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Revenue'!$G$17</f>
            </numRef>
          </val>
        </ser>
        <ser>
          <idx val="6"/>
          <order val="6"/>
          <spPr>
            <a:solidFill xmlns:a="http://schemas.openxmlformats.org/drawingml/2006/main">
              <a:srgbClr val="EFE5D0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Revenue'!$H$17</f>
            </numRef>
          </val>
        </ser>
        <ser>
          <idx val="7"/>
          <order val="7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Revenue'!$I$17</f>
            </numRef>
          </val>
        </ser>
        <ser>
          <idx val="8"/>
          <order val="8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Revenue'!$J$17</f>
            </numRef>
          </val>
        </ser>
        <ser>
          <idx val="9"/>
          <order val="9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Revenue'!$K$17</f>
            </numRef>
          </val>
        </ser>
        <ser>
          <idx val="10"/>
          <order val="10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Revenue'!$L$17</f>
            </numRef>
          </val>
        </ser>
        <ser>
          <idx val="11"/>
          <order val="11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Revenue'!$B$5:$M$5</f>
            </numRef>
          </cat>
          <val>
            <numRef>
              <f>'Monthly Revenue'!$M$17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Monthly Rent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Funnel (All Channels)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'Pipeline'!$A$15:$A$18</f>
            </numRef>
          </cat>
          <val>
            <numRef>
              <f>'Pipeline'!$B$15:$B$18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Corporate Housing &amp; Travel-Nurse Tracker</t>
        </is>
      </c>
    </row>
    <row r="5" ht="22" customHeight="1">
      <c r="A5" s="4" t="inlineStr">
        <is>
          <t>Mid-term hosting is a different game — gap days are the killer metric.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SPC-002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ACTIVE TENANTS</t>
        </is>
      </c>
      <c r="B10" s="7" t="n"/>
      <c r="C10" s="8" t="n"/>
      <c r="D10" s="9" t="inlineStr">
        <is>
          <t>MRR (PORTFOLIO)</t>
        </is>
      </c>
      <c r="E10" s="7" t="n"/>
      <c r="F10" s="8" t="n"/>
      <c r="G10" s="10" t="inlineStr">
        <is>
          <t>TENANTS YTD</t>
        </is>
      </c>
      <c r="H10" s="7" t="n"/>
      <c r="I10" s="8" t="n"/>
      <c r="J10" s="11" t="inlineStr">
        <is>
          <t>FUTURE-SIGNED</t>
        </is>
      </c>
      <c r="K10" s="7" t="n"/>
      <c r="L10" s="8" t="n"/>
    </row>
    <row r="11">
      <c r="A11" s="12">
        <f>COUNTIF(Tenants!N6:N105,"Active")</f>
        <v/>
      </c>
      <c r="B11" s="13" t="n"/>
      <c r="C11" s="14" t="n"/>
      <c r="D11" s="15">
        <f>SUMIFS(Tenants!K6:K105,Tenants!N6:N105,"Active")</f>
        <v/>
      </c>
      <c r="E11" s="13" t="n"/>
      <c r="F11" s="14" t="n"/>
      <c r="G11" s="16">
        <f>COUNTA(Tenants!A6:A105)</f>
        <v/>
      </c>
      <c r="H11" s="13" t="n"/>
      <c r="I11" s="14" t="n"/>
      <c r="J11" s="17">
        <f>COUNTIF(Tenants!N6:N105,"Approved")</f>
        <v/>
      </c>
      <c r="K11" s="13" t="n"/>
      <c r="L11" s="14" t="n"/>
    </row>
    <row r="12">
      <c r="A12" s="18" t="n"/>
      <c r="B12" s="13" t="n"/>
      <c r="C12" s="14" t="n"/>
      <c r="D12" s="18" t="n"/>
      <c r="E12" s="13" t="n"/>
      <c r="F12" s="14" t="n"/>
      <c r="G12" s="18" t="n"/>
      <c r="H12" s="13" t="n"/>
      <c r="I12" s="14" t="n"/>
      <c r="J12" s="18" t="n"/>
      <c r="K12" s="13" t="n"/>
      <c r="L12" s="14" t="n"/>
    </row>
    <row r="13">
      <c r="A13" s="18" t="n"/>
      <c r="B13" s="13" t="n"/>
      <c r="C13" s="14" t="n"/>
      <c r="D13" s="18" t="n"/>
      <c r="E13" s="13" t="n"/>
      <c r="F13" s="14" t="n"/>
      <c r="G13" s="18" t="n"/>
      <c r="H13" s="13" t="n"/>
      <c r="I13" s="14" t="n"/>
      <c r="J13" s="18" t="n"/>
      <c r="K13" s="13" t="n"/>
      <c r="L13" s="14" t="n"/>
    </row>
    <row r="14">
      <c r="A14" s="19" t="inlineStr">
        <is>
          <t>currently in residence</t>
        </is>
      </c>
      <c r="B14" s="20" t="n"/>
      <c r="C14" s="21" t="n"/>
      <c r="D14" s="19" t="inlineStr">
        <is>
          <t>monthly recurring revenue</t>
        </is>
      </c>
      <c r="E14" s="20" t="n"/>
      <c r="F14" s="21" t="n"/>
      <c r="G14" s="19" t="inlineStr">
        <is>
          <t>all leases logged</t>
        </is>
      </c>
      <c r="H14" s="20" t="n"/>
      <c r="I14" s="21" t="n"/>
      <c r="J14" s="19" t="inlineStr">
        <is>
          <t>approved but not yet active</t>
        </is>
      </c>
      <c r="K14" s="20" t="n"/>
      <c r="L14" s="21" t="n"/>
    </row>
    <row r="15" ht="8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</row>
    <row r="17" ht="20" customHeight="1">
      <c r="A17" s="23" t="inlineStr">
        <is>
          <t>WHAT THIS DOES</t>
        </is>
      </c>
    </row>
    <row r="18">
      <c r="A18" s="24" t="inlineStr">
        <is>
          <t>Mid-term hosts (30-day+ stays on Furnished Finder, Blueground, or direct with corporate clients/travel nurses) need to track tenant pipeline, monthly recurring revenue, and the gap days that quietly eat margin between leases. This workbook is a CRM + revenue matrix + pipeline funnel — purpose-built for the mid-term model.</t>
        </is>
      </c>
    </row>
    <row r="19"/>
    <row r="20"/>
    <row r="21"/>
    <row r="22"/>
    <row r="24" ht="22" customHeight="1">
      <c r="A24" s="25">
        <f>HYPERLINK("#'Tenants'!A6", "→  ADD A TENANT  (OPEN TENANTS)")</f>
        <v/>
      </c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</row>
    <row r="25" ht="22" customHeight="1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</row>
    <row r="26" ht="22" customHeight="1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</row>
    <row r="27" ht="22" customHeight="1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</row>
    <row r="29" ht="22" customHeight="1">
      <c r="A29" s="27">
        <f>HYPERLINK("#'Lease Calendar'!A1", "Lease Calendar")</f>
        <v/>
      </c>
      <c r="B29" s="28" t="n"/>
      <c r="C29" s="28" t="n"/>
      <c r="D29" s="27">
        <f>HYPERLINK("#'Monthly Revenue'!A1", "Monthly Revenue")</f>
        <v/>
      </c>
      <c r="E29" s="28" t="n"/>
      <c r="F29" s="28" t="n"/>
      <c r="G29" s="29">
        <f>HYPERLINK("#'Pipeline'!A1", "Pipeline")</f>
        <v/>
      </c>
      <c r="H29" s="30" t="n"/>
      <c r="I29" s="30" t="n"/>
      <c r="J29" s="27">
        <f>HYPERLINK("#'Settings'!A1", "Settings")</f>
        <v/>
      </c>
      <c r="K29" s="28" t="n"/>
      <c r="L29" s="28" t="n"/>
    </row>
    <row r="30" ht="22" customHeight="1">
      <c r="A30" s="28" t="n"/>
      <c r="B30" s="28" t="n"/>
      <c r="C30" s="28" t="n"/>
      <c r="D30" s="28" t="n"/>
      <c r="E30" s="28" t="n"/>
      <c r="F30" s="28" t="n"/>
      <c r="G30" s="30" t="n"/>
      <c r="H30" s="30" t="n"/>
      <c r="I30" s="30" t="n"/>
      <c r="J30" s="28" t="n"/>
      <c r="K30" s="28" t="n"/>
      <c r="L30" s="28" t="n"/>
    </row>
    <row r="32" ht="36" customHeight="1">
      <c r="A32" s="31" t="inlineStr">
        <is>
          <t>💡 MID-TERM RULE OF THUMB: a 1-week gap on a $3,000/mo unit costs $700 in lost rent. Future-signed leases beat backfilling. Watch the Pipeline tab — your inquiry-to-signed conversion is your true occupancy lever.</t>
        </is>
      </c>
    </row>
    <row r="35" ht="30" customHeight="1">
      <c r="A35" s="32" t="inlineStr">
        <is>
          <t>💡 Upgrade to the Full version at thestrledger.com/upgrade — multi-property, depreciation, multi-LLC support.</t>
        </is>
      </c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 ht="18" customHeight="1">
      <c r="A38" s="34" t="inlineStr">
        <is>
          <t>Questions? hello@thestrledger.com</t>
        </is>
      </c>
    </row>
    <row r="39" ht="18" customHeight="1">
      <c r="A39" s="35" t="inlineStr">
        <is>
          <t>SPC-002 · v2.3 · Free updates forever</t>
        </is>
      </c>
    </row>
  </sheetData>
  <mergeCells count="26">
    <mergeCell ref="A7:L7"/>
    <mergeCell ref="G10:I10"/>
    <mergeCell ref="D29:F30"/>
    <mergeCell ref="D11:F13"/>
    <mergeCell ref="A2:F2"/>
    <mergeCell ref="J29:L30"/>
    <mergeCell ref="J11:L13"/>
    <mergeCell ref="G14:I14"/>
    <mergeCell ref="A24:L27"/>
    <mergeCell ref="A14:C14"/>
    <mergeCell ref="A5:L5"/>
    <mergeCell ref="A32:L32"/>
    <mergeCell ref="A18:L22"/>
    <mergeCell ref="A17:L17"/>
    <mergeCell ref="A4:L4"/>
    <mergeCell ref="A10:C10"/>
    <mergeCell ref="A38:L38"/>
    <mergeCell ref="D14:F14"/>
    <mergeCell ref="A39:L39"/>
    <mergeCell ref="D10:F10"/>
    <mergeCell ref="J14:L14"/>
    <mergeCell ref="J10:L10"/>
    <mergeCell ref="G29:I30"/>
    <mergeCell ref="A29:C30"/>
    <mergeCell ref="A11:C13"/>
    <mergeCell ref="G11:I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4" customWidth="1" min="4" max="4"/>
    <col width="22" customWidth="1" min="5" max="5"/>
    <col width="16" customWidth="1" min="6" max="6"/>
    <col width="26" customWidth="1" min="7" max="7"/>
    <col width="18" customWidth="1" min="8" max="8"/>
    <col width="12" customWidth="1" min="9" max="9"/>
    <col width="12" customWidth="1" min="10" max="10"/>
    <col width="11" customWidth="1" min="11" max="11"/>
    <col width="12" customWidth="1" min="12" max="12"/>
    <col width="9" customWidth="1" min="13" max="13"/>
    <col width="13" customWidth="1" min="14" max="14"/>
    <col width="32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HYPERLINK("#'Start'!A1", "← BACK")</f>
        <v/>
      </c>
      <c r="B2" s="26" t="n"/>
      <c r="C2" s="26" t="n"/>
      <c r="D2" s="36" t="inlineStr">
        <is>
          <t>TENANTS</t>
        </is>
      </c>
      <c r="J2" s="29">
        <f>HYPERLINK("#'Lease Calendar'!A1",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One row per tenant — past, current, future. Pipeline (Lead → Past) tracked in Status.</t>
        </is>
      </c>
    </row>
    <row r="5" ht="20" customHeight="1">
      <c r="A5" s="38" t="inlineStr">
        <is>
          <t>Tenant ID</t>
        </is>
      </c>
      <c r="B5" s="38" t="inlineStr">
        <is>
          <t>Name</t>
        </is>
      </c>
      <c r="C5" s="38" t="inlineStr">
        <is>
          <t>Email</t>
        </is>
      </c>
      <c r="D5" s="38" t="inlineStr">
        <is>
          <t>Phone</t>
        </is>
      </c>
      <c r="E5" s="38" t="inlineStr">
        <is>
          <t>Employer / Agency</t>
        </is>
      </c>
      <c r="F5" s="38" t="inlineStr">
        <is>
          <t>Profession</t>
        </is>
      </c>
      <c r="G5" s="38" t="inlineStr">
        <is>
          <t>Property Assigned</t>
        </is>
      </c>
      <c r="H5" s="38" t="inlineStr">
        <is>
          <t>Channel</t>
        </is>
      </c>
      <c r="I5" s="38" t="inlineStr">
        <is>
          <t>Lease Start</t>
        </is>
      </c>
      <c r="J5" s="38" t="inlineStr">
        <is>
          <t>Lease End</t>
        </is>
      </c>
      <c r="K5" s="38" t="inlineStr">
        <is>
          <t>Monthly Rent</t>
        </is>
      </c>
      <c r="L5" s="38" t="inlineStr">
        <is>
          <t>Deposit</t>
        </is>
      </c>
      <c r="M5" s="38" t="inlineStr">
        <is>
          <t>Util Incl?</t>
        </is>
      </c>
      <c r="N5" s="38" t="inlineStr">
        <is>
          <t>Status</t>
        </is>
      </c>
      <c r="O5" s="38" t="inlineStr">
        <is>
          <t>Notes</t>
        </is>
      </c>
    </row>
    <row r="6" ht="16" customHeight="1">
      <c r="A6" s="39" t="n"/>
      <c r="B6" s="39" t="n"/>
      <c r="C6" s="39" t="n"/>
      <c r="D6" s="39" t="n"/>
      <c r="E6" s="39" t="n"/>
      <c r="F6" s="39" t="n"/>
      <c r="G6" s="39" t="n"/>
      <c r="H6" s="39" t="n"/>
      <c r="I6" s="40" t="n"/>
      <c r="J6" s="40" t="n"/>
      <c r="K6" s="41" t="n"/>
      <c r="L6" s="41" t="n"/>
      <c r="M6" s="42" t="n"/>
      <c r="N6" s="42" t="n"/>
      <c r="O6" s="39" t="n"/>
    </row>
    <row r="7" ht="16" customHeight="1">
      <c r="A7" s="39" t="n"/>
      <c r="B7" s="39" t="n"/>
      <c r="C7" s="39" t="n"/>
      <c r="D7" s="39" t="n"/>
      <c r="E7" s="39" t="n"/>
      <c r="F7" s="39" t="n"/>
      <c r="G7" s="39" t="n"/>
      <c r="H7" s="39" t="n"/>
      <c r="I7" s="40" t="n"/>
      <c r="J7" s="40" t="n"/>
      <c r="K7" s="41" t="n"/>
      <c r="L7" s="41" t="n"/>
      <c r="M7" s="42" t="n"/>
      <c r="N7" s="42" t="n"/>
      <c r="O7" s="39" t="n"/>
    </row>
    <row r="8" ht="16" customHeight="1">
      <c r="A8" s="39" t="n"/>
      <c r="B8" s="39" t="n"/>
      <c r="C8" s="39" t="n"/>
      <c r="D8" s="39" t="n"/>
      <c r="E8" s="39" t="n"/>
      <c r="F8" s="39" t="n"/>
      <c r="G8" s="39" t="n"/>
      <c r="H8" s="39" t="n"/>
      <c r="I8" s="40" t="n"/>
      <c r="J8" s="40" t="n"/>
      <c r="K8" s="41" t="n"/>
      <c r="L8" s="41" t="n"/>
      <c r="M8" s="42" t="n"/>
      <c r="N8" s="42" t="n"/>
      <c r="O8" s="39" t="n"/>
    </row>
    <row r="9" ht="16" customHeight="1">
      <c r="A9" s="39" t="n"/>
      <c r="B9" s="39" t="n"/>
      <c r="C9" s="39" t="n"/>
      <c r="D9" s="39" t="n"/>
      <c r="E9" s="39" t="n"/>
      <c r="F9" s="39" t="n"/>
      <c r="G9" s="39" t="n"/>
      <c r="H9" s="39" t="n"/>
      <c r="I9" s="40" t="n"/>
      <c r="J9" s="40" t="n"/>
      <c r="K9" s="41" t="n"/>
      <c r="L9" s="41" t="n"/>
      <c r="M9" s="42" t="n"/>
      <c r="N9" s="42" t="n"/>
      <c r="O9" s="39" t="n"/>
    </row>
    <row r="10" ht="16" customHeight="1">
      <c r="A10" s="39" t="n"/>
      <c r="B10" s="39" t="n"/>
      <c r="C10" s="39" t="n"/>
      <c r="D10" s="39" t="n"/>
      <c r="E10" s="39" t="n"/>
      <c r="F10" s="39" t="n"/>
      <c r="G10" s="39" t="n"/>
      <c r="H10" s="39" t="n"/>
      <c r="I10" s="40" t="n"/>
      <c r="J10" s="40" t="n"/>
      <c r="K10" s="41" t="n"/>
      <c r="L10" s="41" t="n"/>
      <c r="M10" s="42" t="n"/>
      <c r="N10" s="42" t="n"/>
      <c r="O10" s="39" t="n"/>
    </row>
    <row r="11" ht="16" customHeight="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40" t="n"/>
      <c r="J11" s="40" t="n"/>
      <c r="K11" s="41" t="n"/>
      <c r="L11" s="41" t="n"/>
      <c r="M11" s="42" t="n"/>
      <c r="N11" s="42" t="n"/>
      <c r="O11" s="39" t="n"/>
    </row>
    <row r="12" ht="16" customHeight="1">
      <c r="A12" s="39" t="n"/>
      <c r="B12" s="39" t="n"/>
      <c r="C12" s="39" t="n"/>
      <c r="D12" s="39" t="n"/>
      <c r="E12" s="39" t="n"/>
      <c r="F12" s="39" t="n"/>
      <c r="G12" s="39" t="n"/>
      <c r="H12" s="39" t="n"/>
      <c r="I12" s="40" t="n"/>
      <c r="J12" s="40" t="n"/>
      <c r="K12" s="41" t="n"/>
      <c r="L12" s="41" t="n"/>
      <c r="M12" s="42" t="n"/>
      <c r="N12" s="42" t="n"/>
      <c r="O12" s="39" t="n"/>
    </row>
    <row r="13" ht="16" customHeight="1">
      <c r="A13" s="39" t="n"/>
      <c r="B13" s="39" t="n"/>
      <c r="C13" s="39" t="n"/>
      <c r="D13" s="39" t="n"/>
      <c r="E13" s="39" t="n"/>
      <c r="F13" s="39" t="n"/>
      <c r="G13" s="39" t="n"/>
      <c r="H13" s="39" t="n"/>
      <c r="I13" s="40" t="n"/>
      <c r="J13" s="40" t="n"/>
      <c r="K13" s="41" t="n"/>
      <c r="L13" s="41" t="n"/>
      <c r="M13" s="42" t="n"/>
      <c r="N13" s="42" t="n"/>
      <c r="O13" s="39" t="n"/>
    </row>
    <row r="14" ht="16" customHeight="1">
      <c r="A14" s="39" t="n"/>
      <c r="B14" s="39" t="n"/>
      <c r="C14" s="39" t="n"/>
      <c r="D14" s="39" t="n"/>
      <c r="E14" s="39" t="n"/>
      <c r="F14" s="39" t="n"/>
      <c r="G14" s="39" t="n"/>
      <c r="H14" s="39" t="n"/>
      <c r="I14" s="40" t="n"/>
      <c r="J14" s="40" t="n"/>
      <c r="K14" s="41" t="n"/>
      <c r="L14" s="41" t="n"/>
      <c r="M14" s="42" t="n"/>
      <c r="N14" s="42" t="n"/>
      <c r="O14" s="39" t="n"/>
    </row>
    <row r="15" ht="16" customHeight="1">
      <c r="A15" s="39" t="n"/>
      <c r="B15" s="39" t="n"/>
      <c r="C15" s="39" t="n"/>
      <c r="D15" s="39" t="n"/>
      <c r="E15" s="39" t="n"/>
      <c r="F15" s="39" t="n"/>
      <c r="G15" s="39" t="n"/>
      <c r="H15" s="39" t="n"/>
      <c r="I15" s="40" t="n"/>
      <c r="J15" s="40" t="n"/>
      <c r="K15" s="41" t="n"/>
      <c r="L15" s="41" t="n"/>
      <c r="M15" s="42" t="n"/>
      <c r="N15" s="42" t="n"/>
      <c r="O15" s="39" t="n"/>
    </row>
    <row r="16" ht="16" customHeight="1">
      <c r="A16" s="39" t="n"/>
      <c r="B16" s="39" t="n"/>
      <c r="C16" s="39" t="n"/>
      <c r="D16" s="39" t="n"/>
      <c r="E16" s="39" t="n"/>
      <c r="F16" s="39" t="n"/>
      <c r="G16" s="39" t="n"/>
      <c r="H16" s="39" t="n"/>
      <c r="I16" s="40" t="n"/>
      <c r="J16" s="40" t="n"/>
      <c r="K16" s="41" t="n"/>
      <c r="L16" s="41" t="n"/>
      <c r="M16" s="42" t="n"/>
      <c r="N16" s="42" t="n"/>
      <c r="O16" s="39" t="n"/>
    </row>
    <row r="17" ht="16" customHeight="1">
      <c r="A17" s="39" t="n"/>
      <c r="B17" s="39" t="n"/>
      <c r="C17" s="39" t="n"/>
      <c r="D17" s="39" t="n"/>
      <c r="E17" s="39" t="n"/>
      <c r="F17" s="39" t="n"/>
      <c r="G17" s="39" t="n"/>
      <c r="H17" s="39" t="n"/>
      <c r="I17" s="40" t="n"/>
      <c r="J17" s="40" t="n"/>
      <c r="K17" s="41" t="n"/>
      <c r="L17" s="41" t="n"/>
      <c r="M17" s="42" t="n"/>
      <c r="N17" s="42" t="n"/>
      <c r="O17" s="39" t="n"/>
    </row>
    <row r="18" ht="16" customHeight="1">
      <c r="A18" s="39" t="n"/>
      <c r="B18" s="39" t="n"/>
      <c r="C18" s="39" t="n"/>
      <c r="D18" s="39" t="n"/>
      <c r="E18" s="39" t="n"/>
      <c r="F18" s="39" t="n"/>
      <c r="G18" s="39" t="n"/>
      <c r="H18" s="39" t="n"/>
      <c r="I18" s="40" t="n"/>
      <c r="J18" s="40" t="n"/>
      <c r="K18" s="41" t="n"/>
      <c r="L18" s="41" t="n"/>
      <c r="M18" s="42" t="n"/>
      <c r="N18" s="42" t="n"/>
      <c r="O18" s="39" t="n"/>
    </row>
    <row r="19" ht="16" customHeight="1">
      <c r="A19" s="39" t="n"/>
      <c r="B19" s="39" t="n"/>
      <c r="C19" s="39" t="n"/>
      <c r="D19" s="39" t="n"/>
      <c r="E19" s="39" t="n"/>
      <c r="F19" s="39" t="n"/>
      <c r="G19" s="39" t="n"/>
      <c r="H19" s="39" t="n"/>
      <c r="I19" s="40" t="n"/>
      <c r="J19" s="40" t="n"/>
      <c r="K19" s="41" t="n"/>
      <c r="L19" s="41" t="n"/>
      <c r="M19" s="42" t="n"/>
      <c r="N19" s="42" t="n"/>
      <c r="O19" s="39" t="n"/>
    </row>
    <row r="20" ht="16" customHeight="1">
      <c r="A20" s="39" t="n"/>
      <c r="B20" s="39" t="n"/>
      <c r="C20" s="39" t="n"/>
      <c r="D20" s="39" t="n"/>
      <c r="E20" s="39" t="n"/>
      <c r="F20" s="39" t="n"/>
      <c r="G20" s="39" t="n"/>
      <c r="H20" s="39" t="n"/>
      <c r="I20" s="40" t="n"/>
      <c r="J20" s="40" t="n"/>
      <c r="K20" s="41" t="n"/>
      <c r="L20" s="41" t="n"/>
      <c r="M20" s="42" t="n"/>
      <c r="N20" s="42" t="n"/>
      <c r="O20" s="39" t="n"/>
    </row>
    <row r="21" ht="16" customHeight="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40" t="n"/>
      <c r="J21" s="40" t="n"/>
      <c r="K21" s="41" t="n"/>
      <c r="L21" s="41" t="n"/>
      <c r="M21" s="42" t="n"/>
      <c r="N21" s="42" t="n"/>
      <c r="O21" s="39" t="n"/>
    </row>
    <row r="22" ht="16" customHeight="1">
      <c r="A22" s="39" t="n"/>
      <c r="B22" s="39" t="n"/>
      <c r="C22" s="39" t="n"/>
      <c r="D22" s="39" t="n"/>
      <c r="E22" s="39" t="n"/>
      <c r="F22" s="39" t="n"/>
      <c r="G22" s="39" t="n"/>
      <c r="H22" s="39" t="n"/>
      <c r="I22" s="40" t="n"/>
      <c r="J22" s="40" t="n"/>
      <c r="K22" s="41" t="n"/>
      <c r="L22" s="41" t="n"/>
      <c r="M22" s="42" t="n"/>
      <c r="N22" s="42" t="n"/>
      <c r="O22" s="39" t="n"/>
    </row>
    <row r="23" ht="16" customHeight="1">
      <c r="A23" s="39" t="n"/>
      <c r="B23" s="39" t="n"/>
      <c r="C23" s="39" t="n"/>
      <c r="D23" s="39" t="n"/>
      <c r="E23" s="39" t="n"/>
      <c r="F23" s="39" t="n"/>
      <c r="G23" s="39" t="n"/>
      <c r="H23" s="39" t="n"/>
      <c r="I23" s="40" t="n"/>
      <c r="J23" s="40" t="n"/>
      <c r="K23" s="41" t="n"/>
      <c r="L23" s="41" t="n"/>
      <c r="M23" s="42" t="n"/>
      <c r="N23" s="42" t="n"/>
      <c r="O23" s="39" t="n"/>
    </row>
    <row r="24" ht="16" customHeight="1">
      <c r="A24" s="39" t="n"/>
      <c r="B24" s="39" t="n"/>
      <c r="C24" s="39" t="n"/>
      <c r="D24" s="39" t="n"/>
      <c r="E24" s="39" t="n"/>
      <c r="F24" s="39" t="n"/>
      <c r="G24" s="39" t="n"/>
      <c r="H24" s="39" t="n"/>
      <c r="I24" s="40" t="n"/>
      <c r="J24" s="40" t="n"/>
      <c r="K24" s="41" t="n"/>
      <c r="L24" s="41" t="n"/>
      <c r="M24" s="42" t="n"/>
      <c r="N24" s="42" t="n"/>
      <c r="O24" s="39" t="n"/>
    </row>
    <row r="25" ht="16" customHeight="1">
      <c r="A25" s="39" t="n"/>
      <c r="B25" s="39" t="n"/>
      <c r="C25" s="39" t="n"/>
      <c r="D25" s="39" t="n"/>
      <c r="E25" s="39" t="n"/>
      <c r="F25" s="39" t="n"/>
      <c r="G25" s="39" t="n"/>
      <c r="H25" s="39" t="n"/>
      <c r="I25" s="40" t="n"/>
      <c r="J25" s="40" t="n"/>
      <c r="K25" s="41" t="n"/>
      <c r="L25" s="41" t="n"/>
      <c r="M25" s="42" t="n"/>
      <c r="N25" s="42" t="n"/>
      <c r="O25" s="39" t="n"/>
    </row>
    <row r="26" ht="16" customHeight="1">
      <c r="A26" s="39" t="n"/>
      <c r="B26" s="39" t="n"/>
      <c r="C26" s="39" t="n"/>
      <c r="D26" s="39" t="n"/>
      <c r="E26" s="39" t="n"/>
      <c r="F26" s="39" t="n"/>
      <c r="G26" s="39" t="n"/>
      <c r="H26" s="39" t="n"/>
      <c r="I26" s="40" t="n"/>
      <c r="J26" s="40" t="n"/>
      <c r="K26" s="41" t="n"/>
      <c r="L26" s="41" t="n"/>
      <c r="M26" s="42" t="n"/>
      <c r="N26" s="42" t="n"/>
      <c r="O26" s="39" t="n"/>
    </row>
    <row r="27" ht="16" customHeight="1">
      <c r="A27" s="39" t="n"/>
      <c r="B27" s="39" t="n"/>
      <c r="C27" s="39" t="n"/>
      <c r="D27" s="39" t="n"/>
      <c r="E27" s="39" t="n"/>
      <c r="F27" s="39" t="n"/>
      <c r="G27" s="39" t="n"/>
      <c r="H27" s="39" t="n"/>
      <c r="I27" s="40" t="n"/>
      <c r="J27" s="40" t="n"/>
      <c r="K27" s="41" t="n"/>
      <c r="L27" s="41" t="n"/>
      <c r="M27" s="42" t="n"/>
      <c r="N27" s="42" t="n"/>
      <c r="O27" s="39" t="n"/>
    </row>
    <row r="28" ht="16" customHeight="1">
      <c r="A28" s="39" t="n"/>
      <c r="B28" s="39" t="n"/>
      <c r="C28" s="39" t="n"/>
      <c r="D28" s="39" t="n"/>
      <c r="E28" s="39" t="n"/>
      <c r="F28" s="39" t="n"/>
      <c r="G28" s="39" t="n"/>
      <c r="H28" s="39" t="n"/>
      <c r="I28" s="40" t="n"/>
      <c r="J28" s="40" t="n"/>
      <c r="K28" s="41" t="n"/>
      <c r="L28" s="41" t="n"/>
      <c r="M28" s="42" t="n"/>
      <c r="N28" s="42" t="n"/>
      <c r="O28" s="39" t="n"/>
    </row>
    <row r="29" ht="16" customHeight="1">
      <c r="A29" s="39" t="n"/>
      <c r="B29" s="39" t="n"/>
      <c r="C29" s="39" t="n"/>
      <c r="D29" s="39" t="n"/>
      <c r="E29" s="39" t="n"/>
      <c r="F29" s="39" t="n"/>
      <c r="G29" s="39" t="n"/>
      <c r="H29" s="39" t="n"/>
      <c r="I29" s="40" t="n"/>
      <c r="J29" s="40" t="n"/>
      <c r="K29" s="41" t="n"/>
      <c r="L29" s="41" t="n"/>
      <c r="M29" s="42" t="n"/>
      <c r="N29" s="42" t="n"/>
      <c r="O29" s="39" t="n"/>
    </row>
    <row r="30" ht="16" customHeight="1">
      <c r="A30" s="39" t="n"/>
      <c r="B30" s="39" t="n"/>
      <c r="C30" s="39" t="n"/>
      <c r="D30" s="39" t="n"/>
      <c r="E30" s="39" t="n"/>
      <c r="F30" s="39" t="n"/>
      <c r="G30" s="39" t="n"/>
      <c r="H30" s="39" t="n"/>
      <c r="I30" s="40" t="n"/>
      <c r="J30" s="40" t="n"/>
      <c r="K30" s="41" t="n"/>
      <c r="L30" s="41" t="n"/>
      <c r="M30" s="42" t="n"/>
      <c r="N30" s="42" t="n"/>
      <c r="O30" s="39" t="n"/>
    </row>
    <row r="31" ht="16" customHeight="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40" t="n"/>
      <c r="J31" s="40" t="n"/>
      <c r="K31" s="41" t="n"/>
      <c r="L31" s="41" t="n"/>
      <c r="M31" s="42" t="n"/>
      <c r="N31" s="42" t="n"/>
      <c r="O31" s="39" t="n"/>
    </row>
    <row r="32" ht="16" customHeight="1">
      <c r="A32" s="39" t="n"/>
      <c r="B32" s="39" t="n"/>
      <c r="C32" s="39" t="n"/>
      <c r="D32" s="39" t="n"/>
      <c r="E32" s="39" t="n"/>
      <c r="F32" s="39" t="n"/>
      <c r="G32" s="39" t="n"/>
      <c r="H32" s="39" t="n"/>
      <c r="I32" s="40" t="n"/>
      <c r="J32" s="40" t="n"/>
      <c r="K32" s="41" t="n"/>
      <c r="L32" s="41" t="n"/>
      <c r="M32" s="42" t="n"/>
      <c r="N32" s="42" t="n"/>
      <c r="O32" s="39" t="n"/>
    </row>
    <row r="33" ht="16" customHeight="1">
      <c r="A33" s="39" t="n"/>
      <c r="B33" s="39" t="n"/>
      <c r="C33" s="39" t="n"/>
      <c r="D33" s="39" t="n"/>
      <c r="E33" s="39" t="n"/>
      <c r="F33" s="39" t="n"/>
      <c r="G33" s="39" t="n"/>
      <c r="H33" s="39" t="n"/>
      <c r="I33" s="40" t="n"/>
      <c r="J33" s="40" t="n"/>
      <c r="K33" s="41" t="n"/>
      <c r="L33" s="41" t="n"/>
      <c r="M33" s="42" t="n"/>
      <c r="N33" s="42" t="n"/>
      <c r="O33" s="39" t="n"/>
    </row>
    <row r="34" ht="16" customHeight="1">
      <c r="A34" s="39" t="n"/>
      <c r="B34" s="39" t="n"/>
      <c r="C34" s="39" t="n"/>
      <c r="D34" s="39" t="n"/>
      <c r="E34" s="39" t="n"/>
      <c r="F34" s="39" t="n"/>
      <c r="G34" s="39" t="n"/>
      <c r="H34" s="39" t="n"/>
      <c r="I34" s="40" t="n"/>
      <c r="J34" s="40" t="n"/>
      <c r="K34" s="41" t="n"/>
      <c r="L34" s="41" t="n"/>
      <c r="M34" s="42" t="n"/>
      <c r="N34" s="42" t="n"/>
      <c r="O34" s="39" t="n"/>
    </row>
    <row r="35" ht="16" customHeight="1">
      <c r="A35" s="39" t="n"/>
      <c r="B35" s="39" t="n"/>
      <c r="C35" s="39" t="n"/>
      <c r="D35" s="39" t="n"/>
      <c r="E35" s="39" t="n"/>
      <c r="F35" s="39" t="n"/>
      <c r="G35" s="39" t="n"/>
      <c r="H35" s="39" t="n"/>
      <c r="I35" s="40" t="n"/>
      <c r="J35" s="40" t="n"/>
      <c r="K35" s="41" t="n"/>
      <c r="L35" s="41" t="n"/>
      <c r="M35" s="42" t="n"/>
      <c r="N35" s="42" t="n"/>
      <c r="O35" s="39" t="n"/>
    </row>
    <row r="36" ht="16" customHeight="1">
      <c r="A36" s="39" t="n"/>
      <c r="B36" s="39" t="n"/>
      <c r="C36" s="39" t="n"/>
      <c r="D36" s="39" t="n"/>
      <c r="E36" s="39" t="n"/>
      <c r="F36" s="39" t="n"/>
      <c r="G36" s="39" t="n"/>
      <c r="H36" s="39" t="n"/>
      <c r="I36" s="40" t="n"/>
      <c r="J36" s="40" t="n"/>
      <c r="K36" s="41" t="n"/>
      <c r="L36" s="41" t="n"/>
      <c r="M36" s="42" t="n"/>
      <c r="N36" s="42" t="n"/>
      <c r="O36" s="39" t="n"/>
    </row>
    <row r="37" ht="16" customHeight="1">
      <c r="A37" s="39" t="n"/>
      <c r="B37" s="39" t="n"/>
      <c r="C37" s="39" t="n"/>
      <c r="D37" s="39" t="n"/>
      <c r="E37" s="39" t="n"/>
      <c r="F37" s="39" t="n"/>
      <c r="G37" s="39" t="n"/>
      <c r="H37" s="39" t="n"/>
      <c r="I37" s="40" t="n"/>
      <c r="J37" s="40" t="n"/>
      <c r="K37" s="41" t="n"/>
      <c r="L37" s="41" t="n"/>
      <c r="M37" s="42" t="n"/>
      <c r="N37" s="42" t="n"/>
      <c r="O37" s="39" t="n"/>
    </row>
    <row r="38" ht="16" customHeight="1">
      <c r="A38" s="39" t="n"/>
      <c r="B38" s="39" t="n"/>
      <c r="C38" s="39" t="n"/>
      <c r="D38" s="39" t="n"/>
      <c r="E38" s="39" t="n"/>
      <c r="F38" s="39" t="n"/>
      <c r="G38" s="39" t="n"/>
      <c r="H38" s="39" t="n"/>
      <c r="I38" s="40" t="n"/>
      <c r="J38" s="40" t="n"/>
      <c r="K38" s="41" t="n"/>
      <c r="L38" s="41" t="n"/>
      <c r="M38" s="42" t="n"/>
      <c r="N38" s="42" t="n"/>
      <c r="O38" s="39" t="n"/>
    </row>
    <row r="39" ht="16" customHeight="1">
      <c r="A39" s="39" t="n"/>
      <c r="B39" s="39" t="n"/>
      <c r="C39" s="39" t="n"/>
      <c r="D39" s="39" t="n"/>
      <c r="E39" s="39" t="n"/>
      <c r="F39" s="39" t="n"/>
      <c r="G39" s="39" t="n"/>
      <c r="H39" s="39" t="n"/>
      <c r="I39" s="40" t="n"/>
      <c r="J39" s="40" t="n"/>
      <c r="K39" s="41" t="n"/>
      <c r="L39" s="41" t="n"/>
      <c r="M39" s="42" t="n"/>
      <c r="N39" s="42" t="n"/>
      <c r="O39" s="39" t="n"/>
    </row>
    <row r="40" ht="16" customHeight="1">
      <c r="A40" s="39" t="n"/>
      <c r="B40" s="39" t="n"/>
      <c r="C40" s="39" t="n"/>
      <c r="D40" s="39" t="n"/>
      <c r="E40" s="39" t="n"/>
      <c r="F40" s="39" t="n"/>
      <c r="G40" s="39" t="n"/>
      <c r="H40" s="39" t="n"/>
      <c r="I40" s="40" t="n"/>
      <c r="J40" s="40" t="n"/>
      <c r="K40" s="41" t="n"/>
      <c r="L40" s="41" t="n"/>
      <c r="M40" s="42" t="n"/>
      <c r="N40" s="42" t="n"/>
      <c r="O40" s="39" t="n"/>
    </row>
    <row r="41" ht="16" customHeight="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40" t="n"/>
      <c r="J41" s="40" t="n"/>
      <c r="K41" s="41" t="n"/>
      <c r="L41" s="41" t="n"/>
      <c r="M41" s="42" t="n"/>
      <c r="N41" s="42" t="n"/>
      <c r="O41" s="39" t="n"/>
    </row>
    <row r="42" ht="16" customHeight="1">
      <c r="A42" s="39" t="n"/>
      <c r="B42" s="39" t="n"/>
      <c r="C42" s="39" t="n"/>
      <c r="D42" s="39" t="n"/>
      <c r="E42" s="39" t="n"/>
      <c r="F42" s="39" t="n"/>
      <c r="G42" s="39" t="n"/>
      <c r="H42" s="39" t="n"/>
      <c r="I42" s="40" t="n"/>
      <c r="J42" s="40" t="n"/>
      <c r="K42" s="41" t="n"/>
      <c r="L42" s="41" t="n"/>
      <c r="M42" s="42" t="n"/>
      <c r="N42" s="42" t="n"/>
      <c r="O42" s="39" t="n"/>
    </row>
    <row r="43" ht="16" customHeight="1">
      <c r="A43" s="39" t="n"/>
      <c r="B43" s="39" t="n"/>
      <c r="C43" s="39" t="n"/>
      <c r="D43" s="39" t="n"/>
      <c r="E43" s="39" t="n"/>
      <c r="F43" s="39" t="n"/>
      <c r="G43" s="39" t="n"/>
      <c r="H43" s="39" t="n"/>
      <c r="I43" s="40" t="n"/>
      <c r="J43" s="40" t="n"/>
      <c r="K43" s="41" t="n"/>
      <c r="L43" s="41" t="n"/>
      <c r="M43" s="42" t="n"/>
      <c r="N43" s="42" t="n"/>
      <c r="O43" s="39" t="n"/>
    </row>
    <row r="44" ht="16" customHeight="1">
      <c r="A44" s="39" t="n"/>
      <c r="B44" s="39" t="n"/>
      <c r="C44" s="39" t="n"/>
      <c r="D44" s="39" t="n"/>
      <c r="E44" s="39" t="n"/>
      <c r="F44" s="39" t="n"/>
      <c r="G44" s="39" t="n"/>
      <c r="H44" s="39" t="n"/>
      <c r="I44" s="40" t="n"/>
      <c r="J44" s="40" t="n"/>
      <c r="K44" s="41" t="n"/>
      <c r="L44" s="41" t="n"/>
      <c r="M44" s="42" t="n"/>
      <c r="N44" s="42" t="n"/>
      <c r="O44" s="39" t="n"/>
    </row>
    <row r="45" ht="16" customHeight="1">
      <c r="A45" s="39" t="n"/>
      <c r="B45" s="39" t="n"/>
      <c r="C45" s="39" t="n"/>
      <c r="D45" s="39" t="n"/>
      <c r="E45" s="39" t="n"/>
      <c r="F45" s="39" t="n"/>
      <c r="G45" s="39" t="n"/>
      <c r="H45" s="39" t="n"/>
      <c r="I45" s="40" t="n"/>
      <c r="J45" s="40" t="n"/>
      <c r="K45" s="41" t="n"/>
      <c r="L45" s="41" t="n"/>
      <c r="M45" s="42" t="n"/>
      <c r="N45" s="42" t="n"/>
      <c r="O45" s="39" t="n"/>
    </row>
    <row r="46" ht="16" customHeight="1">
      <c r="A46" s="39" t="n"/>
      <c r="B46" s="39" t="n"/>
      <c r="C46" s="39" t="n"/>
      <c r="D46" s="39" t="n"/>
      <c r="E46" s="39" t="n"/>
      <c r="F46" s="39" t="n"/>
      <c r="G46" s="39" t="n"/>
      <c r="H46" s="39" t="n"/>
      <c r="I46" s="40" t="n"/>
      <c r="J46" s="40" t="n"/>
      <c r="K46" s="41" t="n"/>
      <c r="L46" s="41" t="n"/>
      <c r="M46" s="42" t="n"/>
      <c r="N46" s="42" t="n"/>
      <c r="O46" s="39" t="n"/>
    </row>
    <row r="47" ht="16" customHeight="1">
      <c r="A47" s="39" t="n"/>
      <c r="B47" s="39" t="n"/>
      <c r="C47" s="39" t="n"/>
      <c r="D47" s="39" t="n"/>
      <c r="E47" s="39" t="n"/>
      <c r="F47" s="39" t="n"/>
      <c r="G47" s="39" t="n"/>
      <c r="H47" s="39" t="n"/>
      <c r="I47" s="40" t="n"/>
      <c r="J47" s="40" t="n"/>
      <c r="K47" s="41" t="n"/>
      <c r="L47" s="41" t="n"/>
      <c r="M47" s="42" t="n"/>
      <c r="N47" s="42" t="n"/>
      <c r="O47" s="39" t="n"/>
    </row>
    <row r="48" ht="16" customHeight="1">
      <c r="A48" s="39" t="n"/>
      <c r="B48" s="39" t="n"/>
      <c r="C48" s="39" t="n"/>
      <c r="D48" s="39" t="n"/>
      <c r="E48" s="39" t="n"/>
      <c r="F48" s="39" t="n"/>
      <c r="G48" s="39" t="n"/>
      <c r="H48" s="39" t="n"/>
      <c r="I48" s="40" t="n"/>
      <c r="J48" s="40" t="n"/>
      <c r="K48" s="41" t="n"/>
      <c r="L48" s="41" t="n"/>
      <c r="M48" s="42" t="n"/>
      <c r="N48" s="42" t="n"/>
      <c r="O48" s="39" t="n"/>
    </row>
    <row r="49" ht="16" customHeight="1">
      <c r="A49" s="39" t="n"/>
      <c r="B49" s="39" t="n"/>
      <c r="C49" s="39" t="n"/>
      <c r="D49" s="39" t="n"/>
      <c r="E49" s="39" t="n"/>
      <c r="F49" s="39" t="n"/>
      <c r="G49" s="39" t="n"/>
      <c r="H49" s="39" t="n"/>
      <c r="I49" s="40" t="n"/>
      <c r="J49" s="40" t="n"/>
      <c r="K49" s="41" t="n"/>
      <c r="L49" s="41" t="n"/>
      <c r="M49" s="42" t="n"/>
      <c r="N49" s="42" t="n"/>
      <c r="O49" s="39" t="n"/>
    </row>
    <row r="50" ht="16" customHeight="1">
      <c r="A50" s="39" t="n"/>
      <c r="B50" s="39" t="n"/>
      <c r="C50" s="39" t="n"/>
      <c r="D50" s="39" t="n"/>
      <c r="E50" s="39" t="n"/>
      <c r="F50" s="39" t="n"/>
      <c r="G50" s="39" t="n"/>
      <c r="H50" s="39" t="n"/>
      <c r="I50" s="40" t="n"/>
      <c r="J50" s="40" t="n"/>
      <c r="K50" s="41" t="n"/>
      <c r="L50" s="41" t="n"/>
      <c r="M50" s="42" t="n"/>
      <c r="N50" s="42" t="n"/>
      <c r="O50" s="39" t="n"/>
    </row>
    <row r="51" ht="16" customHeight="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40" t="n"/>
      <c r="J51" s="40" t="n"/>
      <c r="K51" s="41" t="n"/>
      <c r="L51" s="41" t="n"/>
      <c r="M51" s="42" t="n"/>
      <c r="N51" s="42" t="n"/>
      <c r="O51" s="39" t="n"/>
    </row>
    <row r="52" ht="16" customHeight="1">
      <c r="A52" s="39" t="n"/>
      <c r="B52" s="39" t="n"/>
      <c r="C52" s="39" t="n"/>
      <c r="D52" s="39" t="n"/>
      <c r="E52" s="39" t="n"/>
      <c r="F52" s="39" t="n"/>
      <c r="G52" s="39" t="n"/>
      <c r="H52" s="39" t="n"/>
      <c r="I52" s="40" t="n"/>
      <c r="J52" s="40" t="n"/>
      <c r="K52" s="41" t="n"/>
      <c r="L52" s="41" t="n"/>
      <c r="M52" s="42" t="n"/>
      <c r="N52" s="42" t="n"/>
      <c r="O52" s="39" t="n"/>
    </row>
    <row r="53" ht="16" customHeight="1">
      <c r="A53" s="39" t="n"/>
      <c r="B53" s="39" t="n"/>
      <c r="C53" s="39" t="n"/>
      <c r="D53" s="39" t="n"/>
      <c r="E53" s="39" t="n"/>
      <c r="F53" s="39" t="n"/>
      <c r="G53" s="39" t="n"/>
      <c r="H53" s="39" t="n"/>
      <c r="I53" s="40" t="n"/>
      <c r="J53" s="40" t="n"/>
      <c r="K53" s="41" t="n"/>
      <c r="L53" s="41" t="n"/>
      <c r="M53" s="42" t="n"/>
      <c r="N53" s="42" t="n"/>
      <c r="O53" s="39" t="n"/>
    </row>
    <row r="54" ht="16" customHeight="1">
      <c r="A54" s="39" t="n"/>
      <c r="B54" s="39" t="n"/>
      <c r="C54" s="39" t="n"/>
      <c r="D54" s="39" t="n"/>
      <c r="E54" s="39" t="n"/>
      <c r="F54" s="39" t="n"/>
      <c r="G54" s="39" t="n"/>
      <c r="H54" s="39" t="n"/>
      <c r="I54" s="40" t="n"/>
      <c r="J54" s="40" t="n"/>
      <c r="K54" s="41" t="n"/>
      <c r="L54" s="41" t="n"/>
      <c r="M54" s="42" t="n"/>
      <c r="N54" s="42" t="n"/>
      <c r="O54" s="39" t="n"/>
    </row>
    <row r="55" ht="16" customHeight="1">
      <c r="A55" s="39" t="n"/>
      <c r="B55" s="39" t="n"/>
      <c r="C55" s="39" t="n"/>
      <c r="D55" s="39" t="n"/>
      <c r="E55" s="39" t="n"/>
      <c r="F55" s="39" t="n"/>
      <c r="G55" s="39" t="n"/>
      <c r="H55" s="39" t="n"/>
      <c r="I55" s="40" t="n"/>
      <c r="J55" s="40" t="n"/>
      <c r="K55" s="41" t="n"/>
      <c r="L55" s="41" t="n"/>
      <c r="M55" s="42" t="n"/>
      <c r="N55" s="42" t="n"/>
      <c r="O55" s="39" t="n"/>
    </row>
    <row r="56" ht="16" customHeight="1">
      <c r="A56" s="39" t="n"/>
      <c r="B56" s="39" t="n"/>
      <c r="C56" s="39" t="n"/>
      <c r="D56" s="39" t="n"/>
      <c r="E56" s="39" t="n"/>
      <c r="F56" s="39" t="n"/>
      <c r="G56" s="39" t="n"/>
      <c r="H56" s="39" t="n"/>
      <c r="I56" s="40" t="n"/>
      <c r="J56" s="40" t="n"/>
      <c r="K56" s="41" t="n"/>
      <c r="L56" s="41" t="n"/>
      <c r="M56" s="42" t="n"/>
      <c r="N56" s="42" t="n"/>
      <c r="O56" s="39" t="n"/>
    </row>
    <row r="57" ht="16" customHeight="1">
      <c r="A57" s="39" t="n"/>
      <c r="B57" s="39" t="n"/>
      <c r="C57" s="39" t="n"/>
      <c r="D57" s="39" t="n"/>
      <c r="E57" s="39" t="n"/>
      <c r="F57" s="39" t="n"/>
      <c r="G57" s="39" t="n"/>
      <c r="H57" s="39" t="n"/>
      <c r="I57" s="40" t="n"/>
      <c r="J57" s="40" t="n"/>
      <c r="K57" s="41" t="n"/>
      <c r="L57" s="41" t="n"/>
      <c r="M57" s="42" t="n"/>
      <c r="N57" s="42" t="n"/>
      <c r="O57" s="39" t="n"/>
    </row>
    <row r="58" ht="16" customHeight="1">
      <c r="A58" s="39" t="n"/>
      <c r="B58" s="39" t="n"/>
      <c r="C58" s="39" t="n"/>
      <c r="D58" s="39" t="n"/>
      <c r="E58" s="39" t="n"/>
      <c r="F58" s="39" t="n"/>
      <c r="G58" s="39" t="n"/>
      <c r="H58" s="39" t="n"/>
      <c r="I58" s="40" t="n"/>
      <c r="J58" s="40" t="n"/>
      <c r="K58" s="41" t="n"/>
      <c r="L58" s="41" t="n"/>
      <c r="M58" s="42" t="n"/>
      <c r="N58" s="42" t="n"/>
      <c r="O58" s="39" t="n"/>
    </row>
    <row r="59" ht="16" customHeight="1">
      <c r="A59" s="39" t="n"/>
      <c r="B59" s="39" t="n"/>
      <c r="C59" s="39" t="n"/>
      <c r="D59" s="39" t="n"/>
      <c r="E59" s="39" t="n"/>
      <c r="F59" s="39" t="n"/>
      <c r="G59" s="39" t="n"/>
      <c r="H59" s="39" t="n"/>
      <c r="I59" s="40" t="n"/>
      <c r="J59" s="40" t="n"/>
      <c r="K59" s="41" t="n"/>
      <c r="L59" s="41" t="n"/>
      <c r="M59" s="42" t="n"/>
      <c r="N59" s="42" t="n"/>
      <c r="O59" s="39" t="n"/>
    </row>
    <row r="60" ht="16" customHeight="1">
      <c r="A60" s="39" t="n"/>
      <c r="B60" s="39" t="n"/>
      <c r="C60" s="39" t="n"/>
      <c r="D60" s="39" t="n"/>
      <c r="E60" s="39" t="n"/>
      <c r="F60" s="39" t="n"/>
      <c r="G60" s="39" t="n"/>
      <c r="H60" s="39" t="n"/>
      <c r="I60" s="40" t="n"/>
      <c r="J60" s="40" t="n"/>
      <c r="K60" s="41" t="n"/>
      <c r="L60" s="41" t="n"/>
      <c r="M60" s="42" t="n"/>
      <c r="N60" s="42" t="n"/>
      <c r="O60" s="39" t="n"/>
    </row>
    <row r="61" ht="16" customHeight="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40" t="n"/>
      <c r="J61" s="40" t="n"/>
      <c r="K61" s="41" t="n"/>
      <c r="L61" s="41" t="n"/>
      <c r="M61" s="42" t="n"/>
      <c r="N61" s="42" t="n"/>
      <c r="O61" s="39" t="n"/>
    </row>
    <row r="62" ht="16" customHeight="1">
      <c r="A62" s="39" t="n"/>
      <c r="B62" s="39" t="n"/>
      <c r="C62" s="39" t="n"/>
      <c r="D62" s="39" t="n"/>
      <c r="E62" s="39" t="n"/>
      <c r="F62" s="39" t="n"/>
      <c r="G62" s="39" t="n"/>
      <c r="H62" s="39" t="n"/>
      <c r="I62" s="40" t="n"/>
      <c r="J62" s="40" t="n"/>
      <c r="K62" s="41" t="n"/>
      <c r="L62" s="41" t="n"/>
      <c r="M62" s="42" t="n"/>
      <c r="N62" s="42" t="n"/>
      <c r="O62" s="39" t="n"/>
    </row>
    <row r="63" ht="16" customHeight="1">
      <c r="A63" s="39" t="n"/>
      <c r="B63" s="39" t="n"/>
      <c r="C63" s="39" t="n"/>
      <c r="D63" s="39" t="n"/>
      <c r="E63" s="39" t="n"/>
      <c r="F63" s="39" t="n"/>
      <c r="G63" s="39" t="n"/>
      <c r="H63" s="39" t="n"/>
      <c r="I63" s="40" t="n"/>
      <c r="J63" s="40" t="n"/>
      <c r="K63" s="41" t="n"/>
      <c r="L63" s="41" t="n"/>
      <c r="M63" s="42" t="n"/>
      <c r="N63" s="42" t="n"/>
      <c r="O63" s="39" t="n"/>
    </row>
    <row r="64" ht="16" customHeight="1">
      <c r="A64" s="39" t="n"/>
      <c r="B64" s="39" t="n"/>
      <c r="C64" s="39" t="n"/>
      <c r="D64" s="39" t="n"/>
      <c r="E64" s="39" t="n"/>
      <c r="F64" s="39" t="n"/>
      <c r="G64" s="39" t="n"/>
      <c r="H64" s="39" t="n"/>
      <c r="I64" s="40" t="n"/>
      <c r="J64" s="40" t="n"/>
      <c r="K64" s="41" t="n"/>
      <c r="L64" s="41" t="n"/>
      <c r="M64" s="42" t="n"/>
      <c r="N64" s="42" t="n"/>
      <c r="O64" s="39" t="n"/>
    </row>
    <row r="65" ht="16" customHeight="1">
      <c r="A65" s="39" t="n"/>
      <c r="B65" s="39" t="n"/>
      <c r="C65" s="39" t="n"/>
      <c r="D65" s="39" t="n"/>
      <c r="E65" s="39" t="n"/>
      <c r="F65" s="39" t="n"/>
      <c r="G65" s="39" t="n"/>
      <c r="H65" s="39" t="n"/>
      <c r="I65" s="40" t="n"/>
      <c r="J65" s="40" t="n"/>
      <c r="K65" s="41" t="n"/>
      <c r="L65" s="41" t="n"/>
      <c r="M65" s="42" t="n"/>
      <c r="N65" s="42" t="n"/>
      <c r="O65" s="39" t="n"/>
    </row>
    <row r="66" ht="16" customHeight="1">
      <c r="A66" s="39" t="n"/>
      <c r="B66" s="39" t="n"/>
      <c r="C66" s="39" t="n"/>
      <c r="D66" s="39" t="n"/>
      <c r="E66" s="39" t="n"/>
      <c r="F66" s="39" t="n"/>
      <c r="G66" s="39" t="n"/>
      <c r="H66" s="39" t="n"/>
      <c r="I66" s="40" t="n"/>
      <c r="J66" s="40" t="n"/>
      <c r="K66" s="41" t="n"/>
      <c r="L66" s="41" t="n"/>
      <c r="M66" s="42" t="n"/>
      <c r="N66" s="42" t="n"/>
      <c r="O66" s="39" t="n"/>
    </row>
    <row r="67" ht="16" customHeight="1">
      <c r="A67" s="39" t="n"/>
      <c r="B67" s="39" t="n"/>
      <c r="C67" s="39" t="n"/>
      <c r="D67" s="39" t="n"/>
      <c r="E67" s="39" t="n"/>
      <c r="F67" s="39" t="n"/>
      <c r="G67" s="39" t="n"/>
      <c r="H67" s="39" t="n"/>
      <c r="I67" s="40" t="n"/>
      <c r="J67" s="40" t="n"/>
      <c r="K67" s="41" t="n"/>
      <c r="L67" s="41" t="n"/>
      <c r="M67" s="42" t="n"/>
      <c r="N67" s="42" t="n"/>
      <c r="O67" s="39" t="n"/>
    </row>
    <row r="68" ht="16" customHeight="1">
      <c r="A68" s="39" t="n"/>
      <c r="B68" s="39" t="n"/>
      <c r="C68" s="39" t="n"/>
      <c r="D68" s="39" t="n"/>
      <c r="E68" s="39" t="n"/>
      <c r="F68" s="39" t="n"/>
      <c r="G68" s="39" t="n"/>
      <c r="H68" s="39" t="n"/>
      <c r="I68" s="40" t="n"/>
      <c r="J68" s="40" t="n"/>
      <c r="K68" s="41" t="n"/>
      <c r="L68" s="41" t="n"/>
      <c r="M68" s="42" t="n"/>
      <c r="N68" s="42" t="n"/>
      <c r="O68" s="39" t="n"/>
    </row>
    <row r="69" ht="16" customHeight="1">
      <c r="A69" s="39" t="n"/>
      <c r="B69" s="39" t="n"/>
      <c r="C69" s="39" t="n"/>
      <c r="D69" s="39" t="n"/>
      <c r="E69" s="39" t="n"/>
      <c r="F69" s="39" t="n"/>
      <c r="G69" s="39" t="n"/>
      <c r="H69" s="39" t="n"/>
      <c r="I69" s="40" t="n"/>
      <c r="J69" s="40" t="n"/>
      <c r="K69" s="41" t="n"/>
      <c r="L69" s="41" t="n"/>
      <c r="M69" s="42" t="n"/>
      <c r="N69" s="42" t="n"/>
      <c r="O69" s="39" t="n"/>
    </row>
    <row r="70" ht="16" customHeight="1">
      <c r="A70" s="39" t="n"/>
      <c r="B70" s="39" t="n"/>
      <c r="C70" s="39" t="n"/>
      <c r="D70" s="39" t="n"/>
      <c r="E70" s="39" t="n"/>
      <c r="F70" s="39" t="n"/>
      <c r="G70" s="39" t="n"/>
      <c r="H70" s="39" t="n"/>
      <c r="I70" s="40" t="n"/>
      <c r="J70" s="40" t="n"/>
      <c r="K70" s="41" t="n"/>
      <c r="L70" s="41" t="n"/>
      <c r="M70" s="42" t="n"/>
      <c r="N70" s="42" t="n"/>
      <c r="O70" s="39" t="n"/>
    </row>
    <row r="71" ht="16" customHeight="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40" t="n"/>
      <c r="J71" s="40" t="n"/>
      <c r="K71" s="41" t="n"/>
      <c r="L71" s="41" t="n"/>
      <c r="M71" s="42" t="n"/>
      <c r="N71" s="42" t="n"/>
      <c r="O71" s="39" t="n"/>
    </row>
    <row r="72" ht="16" customHeight="1">
      <c r="A72" s="39" t="n"/>
      <c r="B72" s="39" t="n"/>
      <c r="C72" s="39" t="n"/>
      <c r="D72" s="39" t="n"/>
      <c r="E72" s="39" t="n"/>
      <c r="F72" s="39" t="n"/>
      <c r="G72" s="39" t="n"/>
      <c r="H72" s="39" t="n"/>
      <c r="I72" s="40" t="n"/>
      <c r="J72" s="40" t="n"/>
      <c r="K72" s="41" t="n"/>
      <c r="L72" s="41" t="n"/>
      <c r="M72" s="42" t="n"/>
      <c r="N72" s="42" t="n"/>
      <c r="O72" s="39" t="n"/>
    </row>
    <row r="73" ht="16" customHeight="1">
      <c r="A73" s="39" t="n"/>
      <c r="B73" s="39" t="n"/>
      <c r="C73" s="39" t="n"/>
      <c r="D73" s="39" t="n"/>
      <c r="E73" s="39" t="n"/>
      <c r="F73" s="39" t="n"/>
      <c r="G73" s="39" t="n"/>
      <c r="H73" s="39" t="n"/>
      <c r="I73" s="40" t="n"/>
      <c r="J73" s="40" t="n"/>
      <c r="K73" s="41" t="n"/>
      <c r="L73" s="41" t="n"/>
      <c r="M73" s="42" t="n"/>
      <c r="N73" s="42" t="n"/>
      <c r="O73" s="39" t="n"/>
    </row>
    <row r="74" ht="16" customHeight="1">
      <c r="A74" s="39" t="n"/>
      <c r="B74" s="39" t="n"/>
      <c r="C74" s="39" t="n"/>
      <c r="D74" s="39" t="n"/>
      <c r="E74" s="39" t="n"/>
      <c r="F74" s="39" t="n"/>
      <c r="G74" s="39" t="n"/>
      <c r="H74" s="39" t="n"/>
      <c r="I74" s="40" t="n"/>
      <c r="J74" s="40" t="n"/>
      <c r="K74" s="41" t="n"/>
      <c r="L74" s="41" t="n"/>
      <c r="M74" s="42" t="n"/>
      <c r="N74" s="42" t="n"/>
      <c r="O74" s="39" t="n"/>
    </row>
    <row r="75" ht="16" customHeight="1">
      <c r="A75" s="39" t="n"/>
      <c r="B75" s="39" t="n"/>
      <c r="C75" s="39" t="n"/>
      <c r="D75" s="39" t="n"/>
      <c r="E75" s="39" t="n"/>
      <c r="F75" s="39" t="n"/>
      <c r="G75" s="39" t="n"/>
      <c r="H75" s="39" t="n"/>
      <c r="I75" s="40" t="n"/>
      <c r="J75" s="40" t="n"/>
      <c r="K75" s="41" t="n"/>
      <c r="L75" s="41" t="n"/>
      <c r="M75" s="42" t="n"/>
      <c r="N75" s="42" t="n"/>
      <c r="O75" s="39" t="n"/>
    </row>
    <row r="76" ht="16" customHeight="1">
      <c r="A76" s="39" t="n"/>
      <c r="B76" s="39" t="n"/>
      <c r="C76" s="39" t="n"/>
      <c r="D76" s="39" t="n"/>
      <c r="E76" s="39" t="n"/>
      <c r="F76" s="39" t="n"/>
      <c r="G76" s="39" t="n"/>
      <c r="H76" s="39" t="n"/>
      <c r="I76" s="40" t="n"/>
      <c r="J76" s="40" t="n"/>
      <c r="K76" s="41" t="n"/>
      <c r="L76" s="41" t="n"/>
      <c r="M76" s="42" t="n"/>
      <c r="N76" s="42" t="n"/>
      <c r="O76" s="39" t="n"/>
    </row>
    <row r="77" ht="16" customHeight="1">
      <c r="A77" s="39" t="n"/>
      <c r="B77" s="39" t="n"/>
      <c r="C77" s="39" t="n"/>
      <c r="D77" s="39" t="n"/>
      <c r="E77" s="39" t="n"/>
      <c r="F77" s="39" t="n"/>
      <c r="G77" s="39" t="n"/>
      <c r="H77" s="39" t="n"/>
      <c r="I77" s="40" t="n"/>
      <c r="J77" s="40" t="n"/>
      <c r="K77" s="41" t="n"/>
      <c r="L77" s="41" t="n"/>
      <c r="M77" s="42" t="n"/>
      <c r="N77" s="42" t="n"/>
      <c r="O77" s="39" t="n"/>
    </row>
    <row r="78" ht="16" customHeight="1">
      <c r="A78" s="39" t="n"/>
      <c r="B78" s="39" t="n"/>
      <c r="C78" s="39" t="n"/>
      <c r="D78" s="39" t="n"/>
      <c r="E78" s="39" t="n"/>
      <c r="F78" s="39" t="n"/>
      <c r="G78" s="39" t="n"/>
      <c r="H78" s="39" t="n"/>
      <c r="I78" s="40" t="n"/>
      <c r="J78" s="40" t="n"/>
      <c r="K78" s="41" t="n"/>
      <c r="L78" s="41" t="n"/>
      <c r="M78" s="42" t="n"/>
      <c r="N78" s="42" t="n"/>
      <c r="O78" s="39" t="n"/>
    </row>
    <row r="79" ht="16" customHeight="1">
      <c r="A79" s="39" t="n"/>
      <c r="B79" s="39" t="n"/>
      <c r="C79" s="39" t="n"/>
      <c r="D79" s="39" t="n"/>
      <c r="E79" s="39" t="n"/>
      <c r="F79" s="39" t="n"/>
      <c r="G79" s="39" t="n"/>
      <c r="H79" s="39" t="n"/>
      <c r="I79" s="40" t="n"/>
      <c r="J79" s="40" t="n"/>
      <c r="K79" s="41" t="n"/>
      <c r="L79" s="41" t="n"/>
      <c r="M79" s="42" t="n"/>
      <c r="N79" s="42" t="n"/>
      <c r="O79" s="39" t="n"/>
    </row>
    <row r="80" ht="16" customHeight="1">
      <c r="A80" s="39" t="n"/>
      <c r="B80" s="39" t="n"/>
      <c r="C80" s="39" t="n"/>
      <c r="D80" s="39" t="n"/>
      <c r="E80" s="39" t="n"/>
      <c r="F80" s="39" t="n"/>
      <c r="G80" s="39" t="n"/>
      <c r="H80" s="39" t="n"/>
      <c r="I80" s="40" t="n"/>
      <c r="J80" s="40" t="n"/>
      <c r="K80" s="41" t="n"/>
      <c r="L80" s="41" t="n"/>
      <c r="M80" s="42" t="n"/>
      <c r="N80" s="42" t="n"/>
      <c r="O80" s="39" t="n"/>
    </row>
    <row r="81" ht="16" customHeight="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40" t="n"/>
      <c r="J81" s="40" t="n"/>
      <c r="K81" s="41" t="n"/>
      <c r="L81" s="41" t="n"/>
      <c r="M81" s="42" t="n"/>
      <c r="N81" s="42" t="n"/>
      <c r="O81" s="39" t="n"/>
    </row>
    <row r="82" ht="16" customHeight="1">
      <c r="A82" s="39" t="n"/>
      <c r="B82" s="39" t="n"/>
      <c r="C82" s="39" t="n"/>
      <c r="D82" s="39" t="n"/>
      <c r="E82" s="39" t="n"/>
      <c r="F82" s="39" t="n"/>
      <c r="G82" s="39" t="n"/>
      <c r="H82" s="39" t="n"/>
      <c r="I82" s="40" t="n"/>
      <c r="J82" s="40" t="n"/>
      <c r="K82" s="41" t="n"/>
      <c r="L82" s="41" t="n"/>
      <c r="M82" s="42" t="n"/>
      <c r="N82" s="42" t="n"/>
      <c r="O82" s="39" t="n"/>
    </row>
    <row r="83" ht="16" customHeight="1">
      <c r="A83" s="39" t="n"/>
      <c r="B83" s="39" t="n"/>
      <c r="C83" s="39" t="n"/>
      <c r="D83" s="39" t="n"/>
      <c r="E83" s="39" t="n"/>
      <c r="F83" s="39" t="n"/>
      <c r="G83" s="39" t="n"/>
      <c r="H83" s="39" t="n"/>
      <c r="I83" s="40" t="n"/>
      <c r="J83" s="40" t="n"/>
      <c r="K83" s="41" t="n"/>
      <c r="L83" s="41" t="n"/>
      <c r="M83" s="42" t="n"/>
      <c r="N83" s="42" t="n"/>
      <c r="O83" s="39" t="n"/>
    </row>
    <row r="84" ht="16" customHeight="1">
      <c r="A84" s="39" t="n"/>
      <c r="B84" s="39" t="n"/>
      <c r="C84" s="39" t="n"/>
      <c r="D84" s="39" t="n"/>
      <c r="E84" s="39" t="n"/>
      <c r="F84" s="39" t="n"/>
      <c r="G84" s="39" t="n"/>
      <c r="H84" s="39" t="n"/>
      <c r="I84" s="40" t="n"/>
      <c r="J84" s="40" t="n"/>
      <c r="K84" s="41" t="n"/>
      <c r="L84" s="41" t="n"/>
      <c r="M84" s="42" t="n"/>
      <c r="N84" s="42" t="n"/>
      <c r="O84" s="39" t="n"/>
    </row>
    <row r="85" ht="16" customHeight="1">
      <c r="A85" s="39" t="n"/>
      <c r="B85" s="39" t="n"/>
      <c r="C85" s="39" t="n"/>
      <c r="D85" s="39" t="n"/>
      <c r="E85" s="39" t="n"/>
      <c r="F85" s="39" t="n"/>
      <c r="G85" s="39" t="n"/>
      <c r="H85" s="39" t="n"/>
      <c r="I85" s="40" t="n"/>
      <c r="J85" s="40" t="n"/>
      <c r="K85" s="41" t="n"/>
      <c r="L85" s="41" t="n"/>
      <c r="M85" s="42" t="n"/>
      <c r="N85" s="42" t="n"/>
      <c r="O85" s="39" t="n"/>
    </row>
    <row r="86" ht="16" customHeight="1">
      <c r="A86" s="39" t="n"/>
      <c r="B86" s="39" t="n"/>
      <c r="C86" s="39" t="n"/>
      <c r="D86" s="39" t="n"/>
      <c r="E86" s="39" t="n"/>
      <c r="F86" s="39" t="n"/>
      <c r="G86" s="39" t="n"/>
      <c r="H86" s="39" t="n"/>
      <c r="I86" s="40" t="n"/>
      <c r="J86" s="40" t="n"/>
      <c r="K86" s="41" t="n"/>
      <c r="L86" s="41" t="n"/>
      <c r="M86" s="42" t="n"/>
      <c r="N86" s="42" t="n"/>
      <c r="O86" s="39" t="n"/>
    </row>
    <row r="87" ht="16" customHeight="1">
      <c r="A87" s="39" t="n"/>
      <c r="B87" s="39" t="n"/>
      <c r="C87" s="39" t="n"/>
      <c r="D87" s="39" t="n"/>
      <c r="E87" s="39" t="n"/>
      <c r="F87" s="39" t="n"/>
      <c r="G87" s="39" t="n"/>
      <c r="H87" s="39" t="n"/>
      <c r="I87" s="40" t="n"/>
      <c r="J87" s="40" t="n"/>
      <c r="K87" s="41" t="n"/>
      <c r="L87" s="41" t="n"/>
      <c r="M87" s="42" t="n"/>
      <c r="N87" s="42" t="n"/>
      <c r="O87" s="39" t="n"/>
    </row>
    <row r="88" ht="16" customHeight="1">
      <c r="A88" s="39" t="n"/>
      <c r="B88" s="39" t="n"/>
      <c r="C88" s="39" t="n"/>
      <c r="D88" s="39" t="n"/>
      <c r="E88" s="39" t="n"/>
      <c r="F88" s="39" t="n"/>
      <c r="G88" s="39" t="n"/>
      <c r="H88" s="39" t="n"/>
      <c r="I88" s="40" t="n"/>
      <c r="J88" s="40" t="n"/>
      <c r="K88" s="41" t="n"/>
      <c r="L88" s="41" t="n"/>
      <c r="M88" s="42" t="n"/>
      <c r="N88" s="42" t="n"/>
      <c r="O88" s="39" t="n"/>
    </row>
    <row r="89" ht="16" customHeight="1">
      <c r="A89" s="39" t="n"/>
      <c r="B89" s="39" t="n"/>
      <c r="C89" s="39" t="n"/>
      <c r="D89" s="39" t="n"/>
      <c r="E89" s="39" t="n"/>
      <c r="F89" s="39" t="n"/>
      <c r="G89" s="39" t="n"/>
      <c r="H89" s="39" t="n"/>
      <c r="I89" s="40" t="n"/>
      <c r="J89" s="40" t="n"/>
      <c r="K89" s="41" t="n"/>
      <c r="L89" s="41" t="n"/>
      <c r="M89" s="42" t="n"/>
      <c r="N89" s="42" t="n"/>
      <c r="O89" s="39" t="n"/>
    </row>
    <row r="90" ht="16" customHeight="1">
      <c r="A90" s="39" t="n"/>
      <c r="B90" s="39" t="n"/>
      <c r="C90" s="39" t="n"/>
      <c r="D90" s="39" t="n"/>
      <c r="E90" s="39" t="n"/>
      <c r="F90" s="39" t="n"/>
      <c r="G90" s="39" t="n"/>
      <c r="H90" s="39" t="n"/>
      <c r="I90" s="40" t="n"/>
      <c r="J90" s="40" t="n"/>
      <c r="K90" s="41" t="n"/>
      <c r="L90" s="41" t="n"/>
      <c r="M90" s="42" t="n"/>
      <c r="N90" s="42" t="n"/>
      <c r="O90" s="39" t="n"/>
    </row>
    <row r="91" ht="16" customHeight="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40" t="n"/>
      <c r="J91" s="40" t="n"/>
      <c r="K91" s="41" t="n"/>
      <c r="L91" s="41" t="n"/>
      <c r="M91" s="42" t="n"/>
      <c r="N91" s="42" t="n"/>
      <c r="O91" s="39" t="n"/>
    </row>
    <row r="92" ht="16" customHeight="1">
      <c r="A92" s="39" t="n"/>
      <c r="B92" s="39" t="n"/>
      <c r="C92" s="39" t="n"/>
      <c r="D92" s="39" t="n"/>
      <c r="E92" s="39" t="n"/>
      <c r="F92" s="39" t="n"/>
      <c r="G92" s="39" t="n"/>
      <c r="H92" s="39" t="n"/>
      <c r="I92" s="40" t="n"/>
      <c r="J92" s="40" t="n"/>
      <c r="K92" s="41" t="n"/>
      <c r="L92" s="41" t="n"/>
      <c r="M92" s="42" t="n"/>
      <c r="N92" s="42" t="n"/>
      <c r="O92" s="39" t="n"/>
    </row>
    <row r="93" ht="16" customHeight="1">
      <c r="A93" s="39" t="n"/>
      <c r="B93" s="39" t="n"/>
      <c r="C93" s="39" t="n"/>
      <c r="D93" s="39" t="n"/>
      <c r="E93" s="39" t="n"/>
      <c r="F93" s="39" t="n"/>
      <c r="G93" s="39" t="n"/>
      <c r="H93" s="39" t="n"/>
      <c r="I93" s="40" t="n"/>
      <c r="J93" s="40" t="n"/>
      <c r="K93" s="41" t="n"/>
      <c r="L93" s="41" t="n"/>
      <c r="M93" s="42" t="n"/>
      <c r="N93" s="42" t="n"/>
      <c r="O93" s="39" t="n"/>
    </row>
    <row r="94" ht="16" customHeight="1">
      <c r="A94" s="39" t="n"/>
      <c r="B94" s="39" t="n"/>
      <c r="C94" s="39" t="n"/>
      <c r="D94" s="39" t="n"/>
      <c r="E94" s="39" t="n"/>
      <c r="F94" s="39" t="n"/>
      <c r="G94" s="39" t="n"/>
      <c r="H94" s="39" t="n"/>
      <c r="I94" s="40" t="n"/>
      <c r="J94" s="40" t="n"/>
      <c r="K94" s="41" t="n"/>
      <c r="L94" s="41" t="n"/>
      <c r="M94" s="42" t="n"/>
      <c r="N94" s="42" t="n"/>
      <c r="O94" s="39" t="n"/>
    </row>
    <row r="95" ht="16" customHeight="1">
      <c r="A95" s="39" t="n"/>
      <c r="B95" s="39" t="n"/>
      <c r="C95" s="39" t="n"/>
      <c r="D95" s="39" t="n"/>
      <c r="E95" s="39" t="n"/>
      <c r="F95" s="39" t="n"/>
      <c r="G95" s="39" t="n"/>
      <c r="H95" s="39" t="n"/>
      <c r="I95" s="40" t="n"/>
      <c r="J95" s="40" t="n"/>
      <c r="K95" s="41" t="n"/>
      <c r="L95" s="41" t="n"/>
      <c r="M95" s="42" t="n"/>
      <c r="N95" s="42" t="n"/>
      <c r="O95" s="39" t="n"/>
    </row>
    <row r="96" ht="16" customHeight="1">
      <c r="A96" s="39" t="n"/>
      <c r="B96" s="39" t="n"/>
      <c r="C96" s="39" t="n"/>
      <c r="D96" s="39" t="n"/>
      <c r="E96" s="39" t="n"/>
      <c r="F96" s="39" t="n"/>
      <c r="G96" s="39" t="n"/>
      <c r="H96" s="39" t="n"/>
      <c r="I96" s="40" t="n"/>
      <c r="J96" s="40" t="n"/>
      <c r="K96" s="41" t="n"/>
      <c r="L96" s="41" t="n"/>
      <c r="M96" s="42" t="n"/>
      <c r="N96" s="42" t="n"/>
      <c r="O96" s="39" t="n"/>
    </row>
    <row r="97" ht="16" customHeight="1">
      <c r="A97" s="39" t="n"/>
      <c r="B97" s="39" t="n"/>
      <c r="C97" s="39" t="n"/>
      <c r="D97" s="39" t="n"/>
      <c r="E97" s="39" t="n"/>
      <c r="F97" s="39" t="n"/>
      <c r="G97" s="39" t="n"/>
      <c r="H97" s="39" t="n"/>
      <c r="I97" s="40" t="n"/>
      <c r="J97" s="40" t="n"/>
      <c r="K97" s="41" t="n"/>
      <c r="L97" s="41" t="n"/>
      <c r="M97" s="42" t="n"/>
      <c r="N97" s="42" t="n"/>
      <c r="O97" s="39" t="n"/>
    </row>
    <row r="98" ht="16" customHeight="1">
      <c r="A98" s="39" t="n"/>
      <c r="B98" s="39" t="n"/>
      <c r="C98" s="39" t="n"/>
      <c r="D98" s="39" t="n"/>
      <c r="E98" s="39" t="n"/>
      <c r="F98" s="39" t="n"/>
      <c r="G98" s="39" t="n"/>
      <c r="H98" s="39" t="n"/>
      <c r="I98" s="40" t="n"/>
      <c r="J98" s="40" t="n"/>
      <c r="K98" s="41" t="n"/>
      <c r="L98" s="41" t="n"/>
      <c r="M98" s="42" t="n"/>
      <c r="N98" s="42" t="n"/>
      <c r="O98" s="39" t="n"/>
    </row>
    <row r="99" ht="16" customHeight="1">
      <c r="A99" s="39" t="n"/>
      <c r="B99" s="39" t="n"/>
      <c r="C99" s="39" t="n"/>
      <c r="D99" s="39" t="n"/>
      <c r="E99" s="39" t="n"/>
      <c r="F99" s="39" t="n"/>
      <c r="G99" s="39" t="n"/>
      <c r="H99" s="39" t="n"/>
      <c r="I99" s="40" t="n"/>
      <c r="J99" s="40" t="n"/>
      <c r="K99" s="41" t="n"/>
      <c r="L99" s="41" t="n"/>
      <c r="M99" s="42" t="n"/>
      <c r="N99" s="42" t="n"/>
      <c r="O99" s="39" t="n"/>
    </row>
    <row r="100" ht="16" customHeight="1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40" t="n"/>
      <c r="J100" s="40" t="n"/>
      <c r="K100" s="41" t="n"/>
      <c r="L100" s="41" t="n"/>
      <c r="M100" s="42" t="n"/>
      <c r="N100" s="42" t="n"/>
      <c r="O100" s="39" t="n"/>
    </row>
    <row r="101" ht="16" customHeight="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40" t="n"/>
      <c r="J101" s="40" t="n"/>
      <c r="K101" s="41" t="n"/>
      <c r="L101" s="41" t="n"/>
      <c r="M101" s="42" t="n"/>
      <c r="N101" s="42" t="n"/>
      <c r="O101" s="39" t="n"/>
    </row>
    <row r="102" ht="16" customHeight="1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40" t="n"/>
      <c r="J102" s="40" t="n"/>
      <c r="K102" s="41" t="n"/>
      <c r="L102" s="41" t="n"/>
      <c r="M102" s="42" t="n"/>
      <c r="N102" s="42" t="n"/>
      <c r="O102" s="39" t="n"/>
    </row>
    <row r="103" ht="16" customHeight="1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40" t="n"/>
      <c r="J103" s="40" t="n"/>
      <c r="K103" s="41" t="n"/>
      <c r="L103" s="41" t="n"/>
      <c r="M103" s="42" t="n"/>
      <c r="N103" s="42" t="n"/>
      <c r="O103" s="39" t="n"/>
    </row>
    <row r="104" ht="16" customHeight="1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40" t="n"/>
      <c r="J104" s="40" t="n"/>
      <c r="K104" s="41" t="n"/>
      <c r="L104" s="41" t="n"/>
      <c r="M104" s="42" t="n"/>
      <c r="N104" s="42" t="n"/>
      <c r="O104" s="39" t="n"/>
    </row>
    <row r="105" ht="16" customHeight="1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40" t="n"/>
      <c r="J105" s="40" t="n"/>
      <c r="K105" s="41" t="n"/>
      <c r="L105" s="41" t="n"/>
      <c r="M105" s="42" t="n"/>
      <c r="N105" s="42" t="n"/>
      <c r="O105" s="39" t="n"/>
    </row>
  </sheetData>
  <mergeCells count="4">
    <mergeCell ref="J2:L2"/>
    <mergeCell ref="D2:I2"/>
    <mergeCell ref="A2:C2"/>
    <mergeCell ref="A4:L4"/>
  </mergeCells>
  <conditionalFormatting sqref="N6:N105">
    <cfRule type="expression" priority="1" dxfId="0">
      <formula>N6="Active"</formula>
    </cfRule>
    <cfRule type="expression" priority="2" dxfId="1">
      <formula>N6="Approved"</formula>
    </cfRule>
    <cfRule type="expression" priority="3" dxfId="2">
      <formula>N6="Lead"</formula>
    </cfRule>
    <cfRule type="expression" priority="4" dxfId="3">
      <formula>N6="Application"</formula>
    </cfRule>
    <cfRule type="expression" priority="5" dxfId="4">
      <formula>N6="Move-out"</formula>
    </cfRule>
    <cfRule type="expression" priority="6" dxfId="5">
      <formula>N6="Past"</formula>
    </cfRule>
  </conditionalFormatting>
  <dataValidations count="5">
    <dataValidation sqref="F6:F105" showDropDown="0" showInputMessage="0" showErrorMessage="0" allowBlank="1" type="list">
      <formula1>"Travel nurse,Corporate exec,Locum doctor,Insurance adjuster,Construction,Film crew,Other"</formula1>
    </dataValidation>
    <dataValidation sqref="G6:G105" showDropDown="0" showInputMessage="0" showErrorMessage="0" allowBlank="1" type="list">
      <formula1>=Settings!$B$7:$B$16</formula1>
    </dataValidation>
    <dataValidation sqref="H6:H105" showDropDown="0" showInputMessage="0" showErrorMessage="0" allowBlank="1" type="list">
      <formula1>"Furnished Finder,Blueground,AnyPlace,Direct,Referral,Other"</formula1>
    </dataValidation>
    <dataValidation sqref="M6:M105" showDropDown="0" showInputMessage="0" showErrorMessage="0" allowBlank="1" type="list">
      <formula1>"Y,N"</formula1>
    </dataValidation>
    <dataValidation sqref="N6:N105" showDropDown="0" showInputMessage="0" showErrorMessage="0" allowBlank="1" type="list">
      <formula1>"Lead,Application,Approved,Active,Move-out,Past"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HYPERLINK("#'Tenants'!A1", "← BACK")</f>
        <v/>
      </c>
      <c r="B2" s="26" t="n"/>
      <c r="C2" s="26" t="n"/>
      <c r="D2" s="36" t="inlineStr">
        <is>
          <t>LEASE CALENDAR</t>
        </is>
      </c>
      <c r="J2" s="29">
        <f>HYPERLINK("#'Monthly Revenue'!A1",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12-month Gantt grid — rows = properties, columns = months. Cells colored by tenant status.</t>
        </is>
      </c>
    </row>
    <row r="5" ht="20" customHeight="1">
      <c r="A5" s="38" t="inlineStr">
        <is>
          <t>Property</t>
        </is>
      </c>
      <c r="B5" s="38" t="inlineStr">
        <is>
          <t>Jan</t>
        </is>
      </c>
      <c r="C5" s="38" t="inlineStr">
        <is>
          <t>Feb</t>
        </is>
      </c>
      <c r="D5" s="38" t="inlineStr">
        <is>
          <t>Mar</t>
        </is>
      </c>
      <c r="E5" s="38" t="inlineStr">
        <is>
          <t>Apr</t>
        </is>
      </c>
      <c r="F5" s="38" t="inlineStr">
        <is>
          <t>May</t>
        </is>
      </c>
      <c r="G5" s="38" t="inlineStr">
        <is>
          <t>Jun</t>
        </is>
      </c>
      <c r="H5" s="38" t="inlineStr">
        <is>
          <t>Jul</t>
        </is>
      </c>
      <c r="I5" s="38" t="inlineStr">
        <is>
          <t>Aug</t>
        </is>
      </c>
      <c r="J5" s="38" t="inlineStr">
        <is>
          <t>Sep</t>
        </is>
      </c>
      <c r="K5" s="38" t="inlineStr">
        <is>
          <t>Oct</t>
        </is>
      </c>
      <c r="L5" s="38" t="inlineStr">
        <is>
          <t>Nov</t>
        </is>
      </c>
      <c r="M5" s="38" t="inlineStr">
        <is>
          <t>Dec</t>
        </is>
      </c>
      <c r="N5" s="38" t="inlineStr">
        <is>
          <t>Active Months</t>
        </is>
      </c>
    </row>
    <row r="6" ht="22" customHeight="1">
      <c r="A6" s="43">
        <f>IF(Settings!$B$7="","",Settings!$B$7)</f>
        <v/>
      </c>
      <c r="B6" s="44">
        <f>IF($A6="","",IFERROR(INDEX(Tenants!$B$6:$B$105,MATCH(1,(Tenants!$G$6:$G$105=$A6)*(Tenants!$I$6:$I$105&lt;=DATE(Settings!$B$5,2,1)-1)*(Tenants!$J$6:$J$105&gt;=DATE(Settings!$B$5,1,1)),0)),""))</f>
        <v/>
      </c>
      <c r="C6" s="44">
        <f>IF($A6="","",IFERROR(INDEX(Tenants!$B$6:$B$105,MATCH(1,(Tenants!$G$6:$G$105=$A6)*(Tenants!$I$6:$I$105&lt;=DATE(Settings!$B$5,3,1)-1)*(Tenants!$J$6:$J$105&gt;=DATE(Settings!$B$5,2,1)),0)),""))</f>
        <v/>
      </c>
      <c r="D6" s="44">
        <f>IF($A6="","",IFERROR(INDEX(Tenants!$B$6:$B$105,MATCH(1,(Tenants!$G$6:$G$105=$A6)*(Tenants!$I$6:$I$105&lt;=DATE(Settings!$B$5,4,1)-1)*(Tenants!$J$6:$J$105&gt;=DATE(Settings!$B$5,3,1)),0)),""))</f>
        <v/>
      </c>
      <c r="E6" s="44">
        <f>IF($A6="","",IFERROR(INDEX(Tenants!$B$6:$B$105,MATCH(1,(Tenants!$G$6:$G$105=$A6)*(Tenants!$I$6:$I$105&lt;=DATE(Settings!$B$5,5,1)-1)*(Tenants!$J$6:$J$105&gt;=DATE(Settings!$B$5,4,1)),0)),""))</f>
        <v/>
      </c>
      <c r="F6" s="44">
        <f>IF($A6="","",IFERROR(INDEX(Tenants!$B$6:$B$105,MATCH(1,(Tenants!$G$6:$G$105=$A6)*(Tenants!$I$6:$I$105&lt;=DATE(Settings!$B$5,6,1)-1)*(Tenants!$J$6:$J$105&gt;=DATE(Settings!$B$5,5,1)),0)),""))</f>
        <v/>
      </c>
      <c r="G6" s="44">
        <f>IF($A6="","",IFERROR(INDEX(Tenants!$B$6:$B$105,MATCH(1,(Tenants!$G$6:$G$105=$A6)*(Tenants!$I$6:$I$105&lt;=DATE(Settings!$B$5,7,1)-1)*(Tenants!$J$6:$J$105&gt;=DATE(Settings!$B$5,6,1)),0)),""))</f>
        <v/>
      </c>
      <c r="H6" s="44">
        <f>IF($A6="","",IFERROR(INDEX(Tenants!$B$6:$B$105,MATCH(1,(Tenants!$G$6:$G$105=$A6)*(Tenants!$I$6:$I$105&lt;=DATE(Settings!$B$5,8,1)-1)*(Tenants!$J$6:$J$105&gt;=DATE(Settings!$B$5,7,1)),0)),""))</f>
        <v/>
      </c>
      <c r="I6" s="44">
        <f>IF($A6="","",IFERROR(INDEX(Tenants!$B$6:$B$105,MATCH(1,(Tenants!$G$6:$G$105=$A6)*(Tenants!$I$6:$I$105&lt;=DATE(Settings!$B$5,9,1)-1)*(Tenants!$J$6:$J$105&gt;=DATE(Settings!$B$5,8,1)),0)),""))</f>
        <v/>
      </c>
      <c r="J6" s="44">
        <f>IF($A6="","",IFERROR(INDEX(Tenants!$B$6:$B$105,MATCH(1,(Tenants!$G$6:$G$105=$A6)*(Tenants!$I$6:$I$105&lt;=DATE(Settings!$B$5,10,1)-1)*(Tenants!$J$6:$J$105&gt;=DATE(Settings!$B$5,9,1)),0)),""))</f>
        <v/>
      </c>
      <c r="K6" s="44">
        <f>IF($A6="","",IFERROR(INDEX(Tenants!$B$6:$B$105,MATCH(1,(Tenants!$G$6:$G$105=$A6)*(Tenants!$I$6:$I$105&lt;=DATE(Settings!$B$5,11,1)-1)*(Tenants!$J$6:$J$105&gt;=DATE(Settings!$B$5,10,1)),0)),""))</f>
        <v/>
      </c>
      <c r="L6" s="44">
        <f>IF($A6="","",IFERROR(INDEX(Tenants!$B$6:$B$105,MATCH(1,(Tenants!$G$6:$G$105=$A6)*(Tenants!$I$6:$I$105&lt;=DATE(Settings!$B$5,12,1)-1)*(Tenants!$J$6:$J$105&gt;=DATE(Settings!$B$5,11,1)),0)),""))</f>
        <v/>
      </c>
      <c r="M6" s="44">
        <f>IF($A6="","",IFERROR(INDEX(Tenants!$B$6:$B$105,MATCH(1,(Tenants!$G$6:$G$105=$A6)*(Tenants!$I$6:$I$105&lt;=DATE(Settings!$B$5+1,1,1)-1)*(Tenants!$J$6:$J$105&gt;=DATE(Settings!$B$5,12,1)),0)),""))</f>
        <v/>
      </c>
      <c r="N6" s="45">
        <f>COUNTIF(B6:M6,"?*")</f>
        <v/>
      </c>
    </row>
    <row r="7" ht="22" customHeight="1">
      <c r="A7" s="43">
        <f>IF(Settings!$B$8="","",Settings!$B$8)</f>
        <v/>
      </c>
      <c r="B7" s="44">
        <f>IF($A7="","",IFERROR(INDEX(Tenants!$B$6:$B$105,MATCH(1,(Tenants!$G$6:$G$105=$A7)*(Tenants!$I$6:$I$105&lt;=DATE(Settings!$B$5,2,1)-1)*(Tenants!$J$6:$J$105&gt;=DATE(Settings!$B$5,1,1)),0)),""))</f>
        <v/>
      </c>
      <c r="C7" s="44">
        <f>IF($A7="","",IFERROR(INDEX(Tenants!$B$6:$B$105,MATCH(1,(Tenants!$G$6:$G$105=$A7)*(Tenants!$I$6:$I$105&lt;=DATE(Settings!$B$5,3,1)-1)*(Tenants!$J$6:$J$105&gt;=DATE(Settings!$B$5,2,1)),0)),""))</f>
        <v/>
      </c>
      <c r="D7" s="44">
        <f>IF($A7="","",IFERROR(INDEX(Tenants!$B$6:$B$105,MATCH(1,(Tenants!$G$6:$G$105=$A7)*(Tenants!$I$6:$I$105&lt;=DATE(Settings!$B$5,4,1)-1)*(Tenants!$J$6:$J$105&gt;=DATE(Settings!$B$5,3,1)),0)),""))</f>
        <v/>
      </c>
      <c r="E7" s="44">
        <f>IF($A7="","",IFERROR(INDEX(Tenants!$B$6:$B$105,MATCH(1,(Tenants!$G$6:$G$105=$A7)*(Tenants!$I$6:$I$105&lt;=DATE(Settings!$B$5,5,1)-1)*(Tenants!$J$6:$J$105&gt;=DATE(Settings!$B$5,4,1)),0)),""))</f>
        <v/>
      </c>
      <c r="F7" s="44">
        <f>IF($A7="","",IFERROR(INDEX(Tenants!$B$6:$B$105,MATCH(1,(Tenants!$G$6:$G$105=$A7)*(Tenants!$I$6:$I$105&lt;=DATE(Settings!$B$5,6,1)-1)*(Tenants!$J$6:$J$105&gt;=DATE(Settings!$B$5,5,1)),0)),""))</f>
        <v/>
      </c>
      <c r="G7" s="44">
        <f>IF($A7="","",IFERROR(INDEX(Tenants!$B$6:$B$105,MATCH(1,(Tenants!$G$6:$G$105=$A7)*(Tenants!$I$6:$I$105&lt;=DATE(Settings!$B$5,7,1)-1)*(Tenants!$J$6:$J$105&gt;=DATE(Settings!$B$5,6,1)),0)),""))</f>
        <v/>
      </c>
      <c r="H7" s="44">
        <f>IF($A7="","",IFERROR(INDEX(Tenants!$B$6:$B$105,MATCH(1,(Tenants!$G$6:$G$105=$A7)*(Tenants!$I$6:$I$105&lt;=DATE(Settings!$B$5,8,1)-1)*(Tenants!$J$6:$J$105&gt;=DATE(Settings!$B$5,7,1)),0)),""))</f>
        <v/>
      </c>
      <c r="I7" s="44">
        <f>IF($A7="","",IFERROR(INDEX(Tenants!$B$6:$B$105,MATCH(1,(Tenants!$G$6:$G$105=$A7)*(Tenants!$I$6:$I$105&lt;=DATE(Settings!$B$5,9,1)-1)*(Tenants!$J$6:$J$105&gt;=DATE(Settings!$B$5,8,1)),0)),""))</f>
        <v/>
      </c>
      <c r="J7" s="44">
        <f>IF($A7="","",IFERROR(INDEX(Tenants!$B$6:$B$105,MATCH(1,(Tenants!$G$6:$G$105=$A7)*(Tenants!$I$6:$I$105&lt;=DATE(Settings!$B$5,10,1)-1)*(Tenants!$J$6:$J$105&gt;=DATE(Settings!$B$5,9,1)),0)),""))</f>
        <v/>
      </c>
      <c r="K7" s="44">
        <f>IF($A7="","",IFERROR(INDEX(Tenants!$B$6:$B$105,MATCH(1,(Tenants!$G$6:$G$105=$A7)*(Tenants!$I$6:$I$105&lt;=DATE(Settings!$B$5,11,1)-1)*(Tenants!$J$6:$J$105&gt;=DATE(Settings!$B$5,10,1)),0)),""))</f>
        <v/>
      </c>
      <c r="L7" s="44">
        <f>IF($A7="","",IFERROR(INDEX(Tenants!$B$6:$B$105,MATCH(1,(Tenants!$G$6:$G$105=$A7)*(Tenants!$I$6:$I$105&lt;=DATE(Settings!$B$5,12,1)-1)*(Tenants!$J$6:$J$105&gt;=DATE(Settings!$B$5,11,1)),0)),""))</f>
        <v/>
      </c>
      <c r="M7" s="44">
        <f>IF($A7="","",IFERROR(INDEX(Tenants!$B$6:$B$105,MATCH(1,(Tenants!$G$6:$G$105=$A7)*(Tenants!$I$6:$I$105&lt;=DATE(Settings!$B$5+1,1,1)-1)*(Tenants!$J$6:$J$105&gt;=DATE(Settings!$B$5,12,1)),0)),""))</f>
        <v/>
      </c>
      <c r="N7" s="45">
        <f>COUNTIF(B7:M7,"?*")</f>
        <v/>
      </c>
    </row>
    <row r="8" ht="22" customHeight="1">
      <c r="A8" s="43">
        <f>IF(Settings!$B$9="","",Settings!$B$9)</f>
        <v/>
      </c>
      <c r="B8" s="44">
        <f>IF($A8="","",IFERROR(INDEX(Tenants!$B$6:$B$105,MATCH(1,(Tenants!$G$6:$G$105=$A8)*(Tenants!$I$6:$I$105&lt;=DATE(Settings!$B$5,2,1)-1)*(Tenants!$J$6:$J$105&gt;=DATE(Settings!$B$5,1,1)),0)),""))</f>
        <v/>
      </c>
      <c r="C8" s="44">
        <f>IF($A8="","",IFERROR(INDEX(Tenants!$B$6:$B$105,MATCH(1,(Tenants!$G$6:$G$105=$A8)*(Tenants!$I$6:$I$105&lt;=DATE(Settings!$B$5,3,1)-1)*(Tenants!$J$6:$J$105&gt;=DATE(Settings!$B$5,2,1)),0)),""))</f>
        <v/>
      </c>
      <c r="D8" s="44">
        <f>IF($A8="","",IFERROR(INDEX(Tenants!$B$6:$B$105,MATCH(1,(Tenants!$G$6:$G$105=$A8)*(Tenants!$I$6:$I$105&lt;=DATE(Settings!$B$5,4,1)-1)*(Tenants!$J$6:$J$105&gt;=DATE(Settings!$B$5,3,1)),0)),""))</f>
        <v/>
      </c>
      <c r="E8" s="44">
        <f>IF($A8="","",IFERROR(INDEX(Tenants!$B$6:$B$105,MATCH(1,(Tenants!$G$6:$G$105=$A8)*(Tenants!$I$6:$I$105&lt;=DATE(Settings!$B$5,5,1)-1)*(Tenants!$J$6:$J$105&gt;=DATE(Settings!$B$5,4,1)),0)),""))</f>
        <v/>
      </c>
      <c r="F8" s="44">
        <f>IF($A8="","",IFERROR(INDEX(Tenants!$B$6:$B$105,MATCH(1,(Tenants!$G$6:$G$105=$A8)*(Tenants!$I$6:$I$105&lt;=DATE(Settings!$B$5,6,1)-1)*(Tenants!$J$6:$J$105&gt;=DATE(Settings!$B$5,5,1)),0)),""))</f>
        <v/>
      </c>
      <c r="G8" s="44">
        <f>IF($A8="","",IFERROR(INDEX(Tenants!$B$6:$B$105,MATCH(1,(Tenants!$G$6:$G$105=$A8)*(Tenants!$I$6:$I$105&lt;=DATE(Settings!$B$5,7,1)-1)*(Tenants!$J$6:$J$105&gt;=DATE(Settings!$B$5,6,1)),0)),""))</f>
        <v/>
      </c>
      <c r="H8" s="44">
        <f>IF($A8="","",IFERROR(INDEX(Tenants!$B$6:$B$105,MATCH(1,(Tenants!$G$6:$G$105=$A8)*(Tenants!$I$6:$I$105&lt;=DATE(Settings!$B$5,8,1)-1)*(Tenants!$J$6:$J$105&gt;=DATE(Settings!$B$5,7,1)),0)),""))</f>
        <v/>
      </c>
      <c r="I8" s="44">
        <f>IF($A8="","",IFERROR(INDEX(Tenants!$B$6:$B$105,MATCH(1,(Tenants!$G$6:$G$105=$A8)*(Tenants!$I$6:$I$105&lt;=DATE(Settings!$B$5,9,1)-1)*(Tenants!$J$6:$J$105&gt;=DATE(Settings!$B$5,8,1)),0)),""))</f>
        <v/>
      </c>
      <c r="J8" s="44">
        <f>IF($A8="","",IFERROR(INDEX(Tenants!$B$6:$B$105,MATCH(1,(Tenants!$G$6:$G$105=$A8)*(Tenants!$I$6:$I$105&lt;=DATE(Settings!$B$5,10,1)-1)*(Tenants!$J$6:$J$105&gt;=DATE(Settings!$B$5,9,1)),0)),""))</f>
        <v/>
      </c>
      <c r="K8" s="44">
        <f>IF($A8="","",IFERROR(INDEX(Tenants!$B$6:$B$105,MATCH(1,(Tenants!$G$6:$G$105=$A8)*(Tenants!$I$6:$I$105&lt;=DATE(Settings!$B$5,11,1)-1)*(Tenants!$J$6:$J$105&gt;=DATE(Settings!$B$5,10,1)),0)),""))</f>
        <v/>
      </c>
      <c r="L8" s="44">
        <f>IF($A8="","",IFERROR(INDEX(Tenants!$B$6:$B$105,MATCH(1,(Tenants!$G$6:$G$105=$A8)*(Tenants!$I$6:$I$105&lt;=DATE(Settings!$B$5,12,1)-1)*(Tenants!$J$6:$J$105&gt;=DATE(Settings!$B$5,11,1)),0)),""))</f>
        <v/>
      </c>
      <c r="M8" s="44">
        <f>IF($A8="","",IFERROR(INDEX(Tenants!$B$6:$B$105,MATCH(1,(Tenants!$G$6:$G$105=$A8)*(Tenants!$I$6:$I$105&lt;=DATE(Settings!$B$5+1,1,1)-1)*(Tenants!$J$6:$J$105&gt;=DATE(Settings!$B$5,12,1)),0)),""))</f>
        <v/>
      </c>
      <c r="N8" s="45">
        <f>COUNTIF(B8:M8,"?*")</f>
        <v/>
      </c>
    </row>
    <row r="9" ht="22" customHeight="1">
      <c r="A9" s="43">
        <f>IF(Settings!$B$10="","",Settings!$B$10)</f>
        <v/>
      </c>
      <c r="B9" s="44">
        <f>IF($A9="","",IFERROR(INDEX(Tenants!$B$6:$B$105,MATCH(1,(Tenants!$G$6:$G$105=$A9)*(Tenants!$I$6:$I$105&lt;=DATE(Settings!$B$5,2,1)-1)*(Tenants!$J$6:$J$105&gt;=DATE(Settings!$B$5,1,1)),0)),""))</f>
        <v/>
      </c>
      <c r="C9" s="44">
        <f>IF($A9="","",IFERROR(INDEX(Tenants!$B$6:$B$105,MATCH(1,(Tenants!$G$6:$G$105=$A9)*(Tenants!$I$6:$I$105&lt;=DATE(Settings!$B$5,3,1)-1)*(Tenants!$J$6:$J$105&gt;=DATE(Settings!$B$5,2,1)),0)),""))</f>
        <v/>
      </c>
      <c r="D9" s="44">
        <f>IF($A9="","",IFERROR(INDEX(Tenants!$B$6:$B$105,MATCH(1,(Tenants!$G$6:$G$105=$A9)*(Tenants!$I$6:$I$105&lt;=DATE(Settings!$B$5,4,1)-1)*(Tenants!$J$6:$J$105&gt;=DATE(Settings!$B$5,3,1)),0)),""))</f>
        <v/>
      </c>
      <c r="E9" s="44">
        <f>IF($A9="","",IFERROR(INDEX(Tenants!$B$6:$B$105,MATCH(1,(Tenants!$G$6:$G$105=$A9)*(Tenants!$I$6:$I$105&lt;=DATE(Settings!$B$5,5,1)-1)*(Tenants!$J$6:$J$105&gt;=DATE(Settings!$B$5,4,1)),0)),""))</f>
        <v/>
      </c>
      <c r="F9" s="44">
        <f>IF($A9="","",IFERROR(INDEX(Tenants!$B$6:$B$105,MATCH(1,(Tenants!$G$6:$G$105=$A9)*(Tenants!$I$6:$I$105&lt;=DATE(Settings!$B$5,6,1)-1)*(Tenants!$J$6:$J$105&gt;=DATE(Settings!$B$5,5,1)),0)),""))</f>
        <v/>
      </c>
      <c r="G9" s="44">
        <f>IF($A9="","",IFERROR(INDEX(Tenants!$B$6:$B$105,MATCH(1,(Tenants!$G$6:$G$105=$A9)*(Tenants!$I$6:$I$105&lt;=DATE(Settings!$B$5,7,1)-1)*(Tenants!$J$6:$J$105&gt;=DATE(Settings!$B$5,6,1)),0)),""))</f>
        <v/>
      </c>
      <c r="H9" s="44">
        <f>IF($A9="","",IFERROR(INDEX(Tenants!$B$6:$B$105,MATCH(1,(Tenants!$G$6:$G$105=$A9)*(Tenants!$I$6:$I$105&lt;=DATE(Settings!$B$5,8,1)-1)*(Tenants!$J$6:$J$105&gt;=DATE(Settings!$B$5,7,1)),0)),""))</f>
        <v/>
      </c>
      <c r="I9" s="44">
        <f>IF($A9="","",IFERROR(INDEX(Tenants!$B$6:$B$105,MATCH(1,(Tenants!$G$6:$G$105=$A9)*(Tenants!$I$6:$I$105&lt;=DATE(Settings!$B$5,9,1)-1)*(Tenants!$J$6:$J$105&gt;=DATE(Settings!$B$5,8,1)),0)),""))</f>
        <v/>
      </c>
      <c r="J9" s="44">
        <f>IF($A9="","",IFERROR(INDEX(Tenants!$B$6:$B$105,MATCH(1,(Tenants!$G$6:$G$105=$A9)*(Tenants!$I$6:$I$105&lt;=DATE(Settings!$B$5,10,1)-1)*(Tenants!$J$6:$J$105&gt;=DATE(Settings!$B$5,9,1)),0)),""))</f>
        <v/>
      </c>
      <c r="K9" s="44">
        <f>IF($A9="","",IFERROR(INDEX(Tenants!$B$6:$B$105,MATCH(1,(Tenants!$G$6:$G$105=$A9)*(Tenants!$I$6:$I$105&lt;=DATE(Settings!$B$5,11,1)-1)*(Tenants!$J$6:$J$105&gt;=DATE(Settings!$B$5,10,1)),0)),""))</f>
        <v/>
      </c>
      <c r="L9" s="44">
        <f>IF($A9="","",IFERROR(INDEX(Tenants!$B$6:$B$105,MATCH(1,(Tenants!$G$6:$G$105=$A9)*(Tenants!$I$6:$I$105&lt;=DATE(Settings!$B$5,12,1)-1)*(Tenants!$J$6:$J$105&gt;=DATE(Settings!$B$5,11,1)),0)),""))</f>
        <v/>
      </c>
      <c r="M9" s="44">
        <f>IF($A9="","",IFERROR(INDEX(Tenants!$B$6:$B$105,MATCH(1,(Tenants!$G$6:$G$105=$A9)*(Tenants!$I$6:$I$105&lt;=DATE(Settings!$B$5+1,1,1)-1)*(Tenants!$J$6:$J$105&gt;=DATE(Settings!$B$5,12,1)),0)),""))</f>
        <v/>
      </c>
      <c r="N9" s="45">
        <f>COUNTIF(B9:M9,"?*")</f>
        <v/>
      </c>
    </row>
    <row r="10" ht="22" customHeight="1">
      <c r="A10" s="43">
        <f>IF(Settings!$B$11="","",Settings!$B$11)</f>
        <v/>
      </c>
      <c r="B10" s="44">
        <f>IF($A10="","",IFERROR(INDEX(Tenants!$B$6:$B$105,MATCH(1,(Tenants!$G$6:$G$105=$A10)*(Tenants!$I$6:$I$105&lt;=DATE(Settings!$B$5,2,1)-1)*(Tenants!$J$6:$J$105&gt;=DATE(Settings!$B$5,1,1)),0)),""))</f>
        <v/>
      </c>
      <c r="C10" s="44">
        <f>IF($A10="","",IFERROR(INDEX(Tenants!$B$6:$B$105,MATCH(1,(Tenants!$G$6:$G$105=$A10)*(Tenants!$I$6:$I$105&lt;=DATE(Settings!$B$5,3,1)-1)*(Tenants!$J$6:$J$105&gt;=DATE(Settings!$B$5,2,1)),0)),""))</f>
        <v/>
      </c>
      <c r="D10" s="44">
        <f>IF($A10="","",IFERROR(INDEX(Tenants!$B$6:$B$105,MATCH(1,(Tenants!$G$6:$G$105=$A10)*(Tenants!$I$6:$I$105&lt;=DATE(Settings!$B$5,4,1)-1)*(Tenants!$J$6:$J$105&gt;=DATE(Settings!$B$5,3,1)),0)),""))</f>
        <v/>
      </c>
      <c r="E10" s="44">
        <f>IF($A10="","",IFERROR(INDEX(Tenants!$B$6:$B$105,MATCH(1,(Tenants!$G$6:$G$105=$A10)*(Tenants!$I$6:$I$105&lt;=DATE(Settings!$B$5,5,1)-1)*(Tenants!$J$6:$J$105&gt;=DATE(Settings!$B$5,4,1)),0)),""))</f>
        <v/>
      </c>
      <c r="F10" s="44">
        <f>IF($A10="","",IFERROR(INDEX(Tenants!$B$6:$B$105,MATCH(1,(Tenants!$G$6:$G$105=$A10)*(Tenants!$I$6:$I$105&lt;=DATE(Settings!$B$5,6,1)-1)*(Tenants!$J$6:$J$105&gt;=DATE(Settings!$B$5,5,1)),0)),""))</f>
        <v/>
      </c>
      <c r="G10" s="44">
        <f>IF($A10="","",IFERROR(INDEX(Tenants!$B$6:$B$105,MATCH(1,(Tenants!$G$6:$G$105=$A10)*(Tenants!$I$6:$I$105&lt;=DATE(Settings!$B$5,7,1)-1)*(Tenants!$J$6:$J$105&gt;=DATE(Settings!$B$5,6,1)),0)),""))</f>
        <v/>
      </c>
      <c r="H10" s="44">
        <f>IF($A10="","",IFERROR(INDEX(Tenants!$B$6:$B$105,MATCH(1,(Tenants!$G$6:$G$105=$A10)*(Tenants!$I$6:$I$105&lt;=DATE(Settings!$B$5,8,1)-1)*(Tenants!$J$6:$J$105&gt;=DATE(Settings!$B$5,7,1)),0)),""))</f>
        <v/>
      </c>
      <c r="I10" s="44">
        <f>IF($A10="","",IFERROR(INDEX(Tenants!$B$6:$B$105,MATCH(1,(Tenants!$G$6:$G$105=$A10)*(Tenants!$I$6:$I$105&lt;=DATE(Settings!$B$5,9,1)-1)*(Tenants!$J$6:$J$105&gt;=DATE(Settings!$B$5,8,1)),0)),""))</f>
        <v/>
      </c>
      <c r="J10" s="44">
        <f>IF($A10="","",IFERROR(INDEX(Tenants!$B$6:$B$105,MATCH(1,(Tenants!$G$6:$G$105=$A10)*(Tenants!$I$6:$I$105&lt;=DATE(Settings!$B$5,10,1)-1)*(Tenants!$J$6:$J$105&gt;=DATE(Settings!$B$5,9,1)),0)),""))</f>
        <v/>
      </c>
      <c r="K10" s="44">
        <f>IF($A10="","",IFERROR(INDEX(Tenants!$B$6:$B$105,MATCH(1,(Tenants!$G$6:$G$105=$A10)*(Tenants!$I$6:$I$105&lt;=DATE(Settings!$B$5,11,1)-1)*(Tenants!$J$6:$J$105&gt;=DATE(Settings!$B$5,10,1)),0)),""))</f>
        <v/>
      </c>
      <c r="L10" s="44">
        <f>IF($A10="","",IFERROR(INDEX(Tenants!$B$6:$B$105,MATCH(1,(Tenants!$G$6:$G$105=$A10)*(Tenants!$I$6:$I$105&lt;=DATE(Settings!$B$5,12,1)-1)*(Tenants!$J$6:$J$105&gt;=DATE(Settings!$B$5,11,1)),0)),""))</f>
        <v/>
      </c>
      <c r="M10" s="44">
        <f>IF($A10="","",IFERROR(INDEX(Tenants!$B$6:$B$105,MATCH(1,(Tenants!$G$6:$G$105=$A10)*(Tenants!$I$6:$I$105&lt;=DATE(Settings!$B$5+1,1,1)-1)*(Tenants!$J$6:$J$105&gt;=DATE(Settings!$B$5,12,1)),0)),""))</f>
        <v/>
      </c>
      <c r="N10" s="45">
        <f>COUNTIF(B10:M10,"?*")</f>
        <v/>
      </c>
    </row>
    <row r="11" ht="22" customHeight="1">
      <c r="A11" s="43">
        <f>IF(Settings!$B$12="","",Settings!$B$12)</f>
        <v/>
      </c>
      <c r="B11" s="44">
        <f>IF($A11="","",IFERROR(INDEX(Tenants!$B$6:$B$105,MATCH(1,(Tenants!$G$6:$G$105=$A11)*(Tenants!$I$6:$I$105&lt;=DATE(Settings!$B$5,2,1)-1)*(Tenants!$J$6:$J$105&gt;=DATE(Settings!$B$5,1,1)),0)),""))</f>
        <v/>
      </c>
      <c r="C11" s="44">
        <f>IF($A11="","",IFERROR(INDEX(Tenants!$B$6:$B$105,MATCH(1,(Tenants!$G$6:$G$105=$A11)*(Tenants!$I$6:$I$105&lt;=DATE(Settings!$B$5,3,1)-1)*(Tenants!$J$6:$J$105&gt;=DATE(Settings!$B$5,2,1)),0)),""))</f>
        <v/>
      </c>
      <c r="D11" s="44">
        <f>IF($A11="","",IFERROR(INDEX(Tenants!$B$6:$B$105,MATCH(1,(Tenants!$G$6:$G$105=$A11)*(Tenants!$I$6:$I$105&lt;=DATE(Settings!$B$5,4,1)-1)*(Tenants!$J$6:$J$105&gt;=DATE(Settings!$B$5,3,1)),0)),""))</f>
        <v/>
      </c>
      <c r="E11" s="44">
        <f>IF($A11="","",IFERROR(INDEX(Tenants!$B$6:$B$105,MATCH(1,(Tenants!$G$6:$G$105=$A11)*(Tenants!$I$6:$I$105&lt;=DATE(Settings!$B$5,5,1)-1)*(Tenants!$J$6:$J$105&gt;=DATE(Settings!$B$5,4,1)),0)),""))</f>
        <v/>
      </c>
      <c r="F11" s="44">
        <f>IF($A11="","",IFERROR(INDEX(Tenants!$B$6:$B$105,MATCH(1,(Tenants!$G$6:$G$105=$A11)*(Tenants!$I$6:$I$105&lt;=DATE(Settings!$B$5,6,1)-1)*(Tenants!$J$6:$J$105&gt;=DATE(Settings!$B$5,5,1)),0)),""))</f>
        <v/>
      </c>
      <c r="G11" s="44">
        <f>IF($A11="","",IFERROR(INDEX(Tenants!$B$6:$B$105,MATCH(1,(Tenants!$G$6:$G$105=$A11)*(Tenants!$I$6:$I$105&lt;=DATE(Settings!$B$5,7,1)-1)*(Tenants!$J$6:$J$105&gt;=DATE(Settings!$B$5,6,1)),0)),""))</f>
        <v/>
      </c>
      <c r="H11" s="44">
        <f>IF($A11="","",IFERROR(INDEX(Tenants!$B$6:$B$105,MATCH(1,(Tenants!$G$6:$G$105=$A11)*(Tenants!$I$6:$I$105&lt;=DATE(Settings!$B$5,8,1)-1)*(Tenants!$J$6:$J$105&gt;=DATE(Settings!$B$5,7,1)),0)),""))</f>
        <v/>
      </c>
      <c r="I11" s="44">
        <f>IF($A11="","",IFERROR(INDEX(Tenants!$B$6:$B$105,MATCH(1,(Tenants!$G$6:$G$105=$A11)*(Tenants!$I$6:$I$105&lt;=DATE(Settings!$B$5,9,1)-1)*(Tenants!$J$6:$J$105&gt;=DATE(Settings!$B$5,8,1)),0)),""))</f>
        <v/>
      </c>
      <c r="J11" s="44">
        <f>IF($A11="","",IFERROR(INDEX(Tenants!$B$6:$B$105,MATCH(1,(Tenants!$G$6:$G$105=$A11)*(Tenants!$I$6:$I$105&lt;=DATE(Settings!$B$5,10,1)-1)*(Tenants!$J$6:$J$105&gt;=DATE(Settings!$B$5,9,1)),0)),""))</f>
        <v/>
      </c>
      <c r="K11" s="44">
        <f>IF($A11="","",IFERROR(INDEX(Tenants!$B$6:$B$105,MATCH(1,(Tenants!$G$6:$G$105=$A11)*(Tenants!$I$6:$I$105&lt;=DATE(Settings!$B$5,11,1)-1)*(Tenants!$J$6:$J$105&gt;=DATE(Settings!$B$5,10,1)),0)),""))</f>
        <v/>
      </c>
      <c r="L11" s="44">
        <f>IF($A11="","",IFERROR(INDEX(Tenants!$B$6:$B$105,MATCH(1,(Tenants!$G$6:$G$105=$A11)*(Tenants!$I$6:$I$105&lt;=DATE(Settings!$B$5,12,1)-1)*(Tenants!$J$6:$J$105&gt;=DATE(Settings!$B$5,11,1)),0)),""))</f>
        <v/>
      </c>
      <c r="M11" s="44">
        <f>IF($A11="","",IFERROR(INDEX(Tenants!$B$6:$B$105,MATCH(1,(Tenants!$G$6:$G$105=$A11)*(Tenants!$I$6:$I$105&lt;=DATE(Settings!$B$5+1,1,1)-1)*(Tenants!$J$6:$J$105&gt;=DATE(Settings!$B$5,12,1)),0)),""))</f>
        <v/>
      </c>
      <c r="N11" s="45">
        <f>COUNTIF(B11:M11,"?*")</f>
        <v/>
      </c>
    </row>
    <row r="12" ht="22" customHeight="1">
      <c r="A12" s="43">
        <f>IF(Settings!$B$13="","",Settings!$B$13)</f>
        <v/>
      </c>
      <c r="B12" s="44">
        <f>IF($A12="","",IFERROR(INDEX(Tenants!$B$6:$B$105,MATCH(1,(Tenants!$G$6:$G$105=$A12)*(Tenants!$I$6:$I$105&lt;=DATE(Settings!$B$5,2,1)-1)*(Tenants!$J$6:$J$105&gt;=DATE(Settings!$B$5,1,1)),0)),""))</f>
        <v/>
      </c>
      <c r="C12" s="44">
        <f>IF($A12="","",IFERROR(INDEX(Tenants!$B$6:$B$105,MATCH(1,(Tenants!$G$6:$G$105=$A12)*(Tenants!$I$6:$I$105&lt;=DATE(Settings!$B$5,3,1)-1)*(Tenants!$J$6:$J$105&gt;=DATE(Settings!$B$5,2,1)),0)),""))</f>
        <v/>
      </c>
      <c r="D12" s="44">
        <f>IF($A12="","",IFERROR(INDEX(Tenants!$B$6:$B$105,MATCH(1,(Tenants!$G$6:$G$105=$A12)*(Tenants!$I$6:$I$105&lt;=DATE(Settings!$B$5,4,1)-1)*(Tenants!$J$6:$J$105&gt;=DATE(Settings!$B$5,3,1)),0)),""))</f>
        <v/>
      </c>
      <c r="E12" s="44">
        <f>IF($A12="","",IFERROR(INDEX(Tenants!$B$6:$B$105,MATCH(1,(Tenants!$G$6:$G$105=$A12)*(Tenants!$I$6:$I$105&lt;=DATE(Settings!$B$5,5,1)-1)*(Tenants!$J$6:$J$105&gt;=DATE(Settings!$B$5,4,1)),0)),""))</f>
        <v/>
      </c>
      <c r="F12" s="44">
        <f>IF($A12="","",IFERROR(INDEX(Tenants!$B$6:$B$105,MATCH(1,(Tenants!$G$6:$G$105=$A12)*(Tenants!$I$6:$I$105&lt;=DATE(Settings!$B$5,6,1)-1)*(Tenants!$J$6:$J$105&gt;=DATE(Settings!$B$5,5,1)),0)),""))</f>
        <v/>
      </c>
      <c r="G12" s="44">
        <f>IF($A12="","",IFERROR(INDEX(Tenants!$B$6:$B$105,MATCH(1,(Tenants!$G$6:$G$105=$A12)*(Tenants!$I$6:$I$105&lt;=DATE(Settings!$B$5,7,1)-1)*(Tenants!$J$6:$J$105&gt;=DATE(Settings!$B$5,6,1)),0)),""))</f>
        <v/>
      </c>
      <c r="H12" s="44">
        <f>IF($A12="","",IFERROR(INDEX(Tenants!$B$6:$B$105,MATCH(1,(Tenants!$G$6:$G$105=$A12)*(Tenants!$I$6:$I$105&lt;=DATE(Settings!$B$5,8,1)-1)*(Tenants!$J$6:$J$105&gt;=DATE(Settings!$B$5,7,1)),0)),""))</f>
        <v/>
      </c>
      <c r="I12" s="44">
        <f>IF($A12="","",IFERROR(INDEX(Tenants!$B$6:$B$105,MATCH(1,(Tenants!$G$6:$G$105=$A12)*(Tenants!$I$6:$I$105&lt;=DATE(Settings!$B$5,9,1)-1)*(Tenants!$J$6:$J$105&gt;=DATE(Settings!$B$5,8,1)),0)),""))</f>
        <v/>
      </c>
      <c r="J12" s="44">
        <f>IF($A12="","",IFERROR(INDEX(Tenants!$B$6:$B$105,MATCH(1,(Tenants!$G$6:$G$105=$A12)*(Tenants!$I$6:$I$105&lt;=DATE(Settings!$B$5,10,1)-1)*(Tenants!$J$6:$J$105&gt;=DATE(Settings!$B$5,9,1)),0)),""))</f>
        <v/>
      </c>
      <c r="K12" s="44">
        <f>IF($A12="","",IFERROR(INDEX(Tenants!$B$6:$B$105,MATCH(1,(Tenants!$G$6:$G$105=$A12)*(Tenants!$I$6:$I$105&lt;=DATE(Settings!$B$5,11,1)-1)*(Tenants!$J$6:$J$105&gt;=DATE(Settings!$B$5,10,1)),0)),""))</f>
        <v/>
      </c>
      <c r="L12" s="44">
        <f>IF($A12="","",IFERROR(INDEX(Tenants!$B$6:$B$105,MATCH(1,(Tenants!$G$6:$G$105=$A12)*(Tenants!$I$6:$I$105&lt;=DATE(Settings!$B$5,12,1)-1)*(Tenants!$J$6:$J$105&gt;=DATE(Settings!$B$5,11,1)),0)),""))</f>
        <v/>
      </c>
      <c r="M12" s="44">
        <f>IF($A12="","",IFERROR(INDEX(Tenants!$B$6:$B$105,MATCH(1,(Tenants!$G$6:$G$105=$A12)*(Tenants!$I$6:$I$105&lt;=DATE(Settings!$B$5+1,1,1)-1)*(Tenants!$J$6:$J$105&gt;=DATE(Settings!$B$5,12,1)),0)),""))</f>
        <v/>
      </c>
      <c r="N12" s="45">
        <f>COUNTIF(B12:M12,"?*")</f>
        <v/>
      </c>
    </row>
    <row r="13" ht="22" customHeight="1">
      <c r="A13" s="43">
        <f>IF(Settings!$B$14="","",Settings!$B$14)</f>
        <v/>
      </c>
      <c r="B13" s="44">
        <f>IF($A13="","",IFERROR(INDEX(Tenants!$B$6:$B$105,MATCH(1,(Tenants!$G$6:$G$105=$A13)*(Tenants!$I$6:$I$105&lt;=DATE(Settings!$B$5,2,1)-1)*(Tenants!$J$6:$J$105&gt;=DATE(Settings!$B$5,1,1)),0)),""))</f>
        <v/>
      </c>
      <c r="C13" s="44">
        <f>IF($A13="","",IFERROR(INDEX(Tenants!$B$6:$B$105,MATCH(1,(Tenants!$G$6:$G$105=$A13)*(Tenants!$I$6:$I$105&lt;=DATE(Settings!$B$5,3,1)-1)*(Tenants!$J$6:$J$105&gt;=DATE(Settings!$B$5,2,1)),0)),""))</f>
        <v/>
      </c>
      <c r="D13" s="44">
        <f>IF($A13="","",IFERROR(INDEX(Tenants!$B$6:$B$105,MATCH(1,(Tenants!$G$6:$G$105=$A13)*(Tenants!$I$6:$I$105&lt;=DATE(Settings!$B$5,4,1)-1)*(Tenants!$J$6:$J$105&gt;=DATE(Settings!$B$5,3,1)),0)),""))</f>
        <v/>
      </c>
      <c r="E13" s="44">
        <f>IF($A13="","",IFERROR(INDEX(Tenants!$B$6:$B$105,MATCH(1,(Tenants!$G$6:$G$105=$A13)*(Tenants!$I$6:$I$105&lt;=DATE(Settings!$B$5,5,1)-1)*(Tenants!$J$6:$J$105&gt;=DATE(Settings!$B$5,4,1)),0)),""))</f>
        <v/>
      </c>
      <c r="F13" s="44">
        <f>IF($A13="","",IFERROR(INDEX(Tenants!$B$6:$B$105,MATCH(1,(Tenants!$G$6:$G$105=$A13)*(Tenants!$I$6:$I$105&lt;=DATE(Settings!$B$5,6,1)-1)*(Tenants!$J$6:$J$105&gt;=DATE(Settings!$B$5,5,1)),0)),""))</f>
        <v/>
      </c>
      <c r="G13" s="44">
        <f>IF($A13="","",IFERROR(INDEX(Tenants!$B$6:$B$105,MATCH(1,(Tenants!$G$6:$G$105=$A13)*(Tenants!$I$6:$I$105&lt;=DATE(Settings!$B$5,7,1)-1)*(Tenants!$J$6:$J$105&gt;=DATE(Settings!$B$5,6,1)),0)),""))</f>
        <v/>
      </c>
      <c r="H13" s="44">
        <f>IF($A13="","",IFERROR(INDEX(Tenants!$B$6:$B$105,MATCH(1,(Tenants!$G$6:$G$105=$A13)*(Tenants!$I$6:$I$105&lt;=DATE(Settings!$B$5,8,1)-1)*(Tenants!$J$6:$J$105&gt;=DATE(Settings!$B$5,7,1)),0)),""))</f>
        <v/>
      </c>
      <c r="I13" s="44">
        <f>IF($A13="","",IFERROR(INDEX(Tenants!$B$6:$B$105,MATCH(1,(Tenants!$G$6:$G$105=$A13)*(Tenants!$I$6:$I$105&lt;=DATE(Settings!$B$5,9,1)-1)*(Tenants!$J$6:$J$105&gt;=DATE(Settings!$B$5,8,1)),0)),""))</f>
        <v/>
      </c>
      <c r="J13" s="44">
        <f>IF($A13="","",IFERROR(INDEX(Tenants!$B$6:$B$105,MATCH(1,(Tenants!$G$6:$G$105=$A13)*(Tenants!$I$6:$I$105&lt;=DATE(Settings!$B$5,10,1)-1)*(Tenants!$J$6:$J$105&gt;=DATE(Settings!$B$5,9,1)),0)),""))</f>
        <v/>
      </c>
      <c r="K13" s="44">
        <f>IF($A13="","",IFERROR(INDEX(Tenants!$B$6:$B$105,MATCH(1,(Tenants!$G$6:$G$105=$A13)*(Tenants!$I$6:$I$105&lt;=DATE(Settings!$B$5,11,1)-1)*(Tenants!$J$6:$J$105&gt;=DATE(Settings!$B$5,10,1)),0)),""))</f>
        <v/>
      </c>
      <c r="L13" s="44">
        <f>IF($A13="","",IFERROR(INDEX(Tenants!$B$6:$B$105,MATCH(1,(Tenants!$G$6:$G$105=$A13)*(Tenants!$I$6:$I$105&lt;=DATE(Settings!$B$5,12,1)-1)*(Tenants!$J$6:$J$105&gt;=DATE(Settings!$B$5,11,1)),0)),""))</f>
        <v/>
      </c>
      <c r="M13" s="44">
        <f>IF($A13="","",IFERROR(INDEX(Tenants!$B$6:$B$105,MATCH(1,(Tenants!$G$6:$G$105=$A13)*(Tenants!$I$6:$I$105&lt;=DATE(Settings!$B$5+1,1,1)-1)*(Tenants!$J$6:$J$105&gt;=DATE(Settings!$B$5,12,1)),0)),""))</f>
        <v/>
      </c>
      <c r="N13" s="45">
        <f>COUNTIF(B13:M13,"?*")</f>
        <v/>
      </c>
    </row>
    <row r="14" ht="22" customHeight="1">
      <c r="A14" s="43">
        <f>IF(Settings!$B$15="","",Settings!$B$15)</f>
        <v/>
      </c>
      <c r="B14" s="44">
        <f>IF($A14="","",IFERROR(INDEX(Tenants!$B$6:$B$105,MATCH(1,(Tenants!$G$6:$G$105=$A14)*(Tenants!$I$6:$I$105&lt;=DATE(Settings!$B$5,2,1)-1)*(Tenants!$J$6:$J$105&gt;=DATE(Settings!$B$5,1,1)),0)),""))</f>
        <v/>
      </c>
      <c r="C14" s="44">
        <f>IF($A14="","",IFERROR(INDEX(Tenants!$B$6:$B$105,MATCH(1,(Tenants!$G$6:$G$105=$A14)*(Tenants!$I$6:$I$105&lt;=DATE(Settings!$B$5,3,1)-1)*(Tenants!$J$6:$J$105&gt;=DATE(Settings!$B$5,2,1)),0)),""))</f>
        <v/>
      </c>
      <c r="D14" s="44">
        <f>IF($A14="","",IFERROR(INDEX(Tenants!$B$6:$B$105,MATCH(1,(Tenants!$G$6:$G$105=$A14)*(Tenants!$I$6:$I$105&lt;=DATE(Settings!$B$5,4,1)-1)*(Tenants!$J$6:$J$105&gt;=DATE(Settings!$B$5,3,1)),0)),""))</f>
        <v/>
      </c>
      <c r="E14" s="44">
        <f>IF($A14="","",IFERROR(INDEX(Tenants!$B$6:$B$105,MATCH(1,(Tenants!$G$6:$G$105=$A14)*(Tenants!$I$6:$I$105&lt;=DATE(Settings!$B$5,5,1)-1)*(Tenants!$J$6:$J$105&gt;=DATE(Settings!$B$5,4,1)),0)),""))</f>
        <v/>
      </c>
      <c r="F14" s="44">
        <f>IF($A14="","",IFERROR(INDEX(Tenants!$B$6:$B$105,MATCH(1,(Tenants!$G$6:$G$105=$A14)*(Tenants!$I$6:$I$105&lt;=DATE(Settings!$B$5,6,1)-1)*(Tenants!$J$6:$J$105&gt;=DATE(Settings!$B$5,5,1)),0)),""))</f>
        <v/>
      </c>
      <c r="G14" s="44">
        <f>IF($A14="","",IFERROR(INDEX(Tenants!$B$6:$B$105,MATCH(1,(Tenants!$G$6:$G$105=$A14)*(Tenants!$I$6:$I$105&lt;=DATE(Settings!$B$5,7,1)-1)*(Tenants!$J$6:$J$105&gt;=DATE(Settings!$B$5,6,1)),0)),""))</f>
        <v/>
      </c>
      <c r="H14" s="44">
        <f>IF($A14="","",IFERROR(INDEX(Tenants!$B$6:$B$105,MATCH(1,(Tenants!$G$6:$G$105=$A14)*(Tenants!$I$6:$I$105&lt;=DATE(Settings!$B$5,8,1)-1)*(Tenants!$J$6:$J$105&gt;=DATE(Settings!$B$5,7,1)),0)),""))</f>
        <v/>
      </c>
      <c r="I14" s="44">
        <f>IF($A14="","",IFERROR(INDEX(Tenants!$B$6:$B$105,MATCH(1,(Tenants!$G$6:$G$105=$A14)*(Tenants!$I$6:$I$105&lt;=DATE(Settings!$B$5,9,1)-1)*(Tenants!$J$6:$J$105&gt;=DATE(Settings!$B$5,8,1)),0)),""))</f>
        <v/>
      </c>
      <c r="J14" s="44">
        <f>IF($A14="","",IFERROR(INDEX(Tenants!$B$6:$B$105,MATCH(1,(Tenants!$G$6:$G$105=$A14)*(Tenants!$I$6:$I$105&lt;=DATE(Settings!$B$5,10,1)-1)*(Tenants!$J$6:$J$105&gt;=DATE(Settings!$B$5,9,1)),0)),""))</f>
        <v/>
      </c>
      <c r="K14" s="44">
        <f>IF($A14="","",IFERROR(INDEX(Tenants!$B$6:$B$105,MATCH(1,(Tenants!$G$6:$G$105=$A14)*(Tenants!$I$6:$I$105&lt;=DATE(Settings!$B$5,11,1)-1)*(Tenants!$J$6:$J$105&gt;=DATE(Settings!$B$5,10,1)),0)),""))</f>
        <v/>
      </c>
      <c r="L14" s="44">
        <f>IF($A14="","",IFERROR(INDEX(Tenants!$B$6:$B$105,MATCH(1,(Tenants!$G$6:$G$105=$A14)*(Tenants!$I$6:$I$105&lt;=DATE(Settings!$B$5,12,1)-1)*(Tenants!$J$6:$J$105&gt;=DATE(Settings!$B$5,11,1)),0)),""))</f>
        <v/>
      </c>
      <c r="M14" s="44">
        <f>IF($A14="","",IFERROR(INDEX(Tenants!$B$6:$B$105,MATCH(1,(Tenants!$G$6:$G$105=$A14)*(Tenants!$I$6:$I$105&lt;=DATE(Settings!$B$5+1,1,1)-1)*(Tenants!$J$6:$J$105&gt;=DATE(Settings!$B$5,12,1)),0)),""))</f>
        <v/>
      </c>
      <c r="N14" s="45">
        <f>COUNTIF(B14:M14,"?*")</f>
        <v/>
      </c>
    </row>
    <row r="15" ht="22" customHeight="1">
      <c r="A15" s="43">
        <f>IF(Settings!$B$16="","",Settings!$B$16)</f>
        <v/>
      </c>
      <c r="B15" s="44">
        <f>IF($A15="","",IFERROR(INDEX(Tenants!$B$6:$B$105,MATCH(1,(Tenants!$G$6:$G$105=$A15)*(Tenants!$I$6:$I$105&lt;=DATE(Settings!$B$5,2,1)-1)*(Tenants!$J$6:$J$105&gt;=DATE(Settings!$B$5,1,1)),0)),""))</f>
        <v/>
      </c>
      <c r="C15" s="44">
        <f>IF($A15="","",IFERROR(INDEX(Tenants!$B$6:$B$105,MATCH(1,(Tenants!$G$6:$G$105=$A15)*(Tenants!$I$6:$I$105&lt;=DATE(Settings!$B$5,3,1)-1)*(Tenants!$J$6:$J$105&gt;=DATE(Settings!$B$5,2,1)),0)),""))</f>
        <v/>
      </c>
      <c r="D15" s="44">
        <f>IF($A15="","",IFERROR(INDEX(Tenants!$B$6:$B$105,MATCH(1,(Tenants!$G$6:$G$105=$A15)*(Tenants!$I$6:$I$105&lt;=DATE(Settings!$B$5,4,1)-1)*(Tenants!$J$6:$J$105&gt;=DATE(Settings!$B$5,3,1)),0)),""))</f>
        <v/>
      </c>
      <c r="E15" s="44">
        <f>IF($A15="","",IFERROR(INDEX(Tenants!$B$6:$B$105,MATCH(1,(Tenants!$G$6:$G$105=$A15)*(Tenants!$I$6:$I$105&lt;=DATE(Settings!$B$5,5,1)-1)*(Tenants!$J$6:$J$105&gt;=DATE(Settings!$B$5,4,1)),0)),""))</f>
        <v/>
      </c>
      <c r="F15" s="44">
        <f>IF($A15="","",IFERROR(INDEX(Tenants!$B$6:$B$105,MATCH(1,(Tenants!$G$6:$G$105=$A15)*(Tenants!$I$6:$I$105&lt;=DATE(Settings!$B$5,6,1)-1)*(Tenants!$J$6:$J$105&gt;=DATE(Settings!$B$5,5,1)),0)),""))</f>
        <v/>
      </c>
      <c r="G15" s="44">
        <f>IF($A15="","",IFERROR(INDEX(Tenants!$B$6:$B$105,MATCH(1,(Tenants!$G$6:$G$105=$A15)*(Tenants!$I$6:$I$105&lt;=DATE(Settings!$B$5,7,1)-1)*(Tenants!$J$6:$J$105&gt;=DATE(Settings!$B$5,6,1)),0)),""))</f>
        <v/>
      </c>
      <c r="H15" s="44">
        <f>IF($A15="","",IFERROR(INDEX(Tenants!$B$6:$B$105,MATCH(1,(Tenants!$G$6:$G$105=$A15)*(Tenants!$I$6:$I$105&lt;=DATE(Settings!$B$5,8,1)-1)*(Tenants!$J$6:$J$105&gt;=DATE(Settings!$B$5,7,1)),0)),""))</f>
        <v/>
      </c>
      <c r="I15" s="44">
        <f>IF($A15="","",IFERROR(INDEX(Tenants!$B$6:$B$105,MATCH(1,(Tenants!$G$6:$G$105=$A15)*(Tenants!$I$6:$I$105&lt;=DATE(Settings!$B$5,9,1)-1)*(Tenants!$J$6:$J$105&gt;=DATE(Settings!$B$5,8,1)),0)),""))</f>
        <v/>
      </c>
      <c r="J15" s="44">
        <f>IF($A15="","",IFERROR(INDEX(Tenants!$B$6:$B$105,MATCH(1,(Tenants!$G$6:$G$105=$A15)*(Tenants!$I$6:$I$105&lt;=DATE(Settings!$B$5,10,1)-1)*(Tenants!$J$6:$J$105&gt;=DATE(Settings!$B$5,9,1)),0)),""))</f>
        <v/>
      </c>
      <c r="K15" s="44">
        <f>IF($A15="","",IFERROR(INDEX(Tenants!$B$6:$B$105,MATCH(1,(Tenants!$G$6:$G$105=$A15)*(Tenants!$I$6:$I$105&lt;=DATE(Settings!$B$5,11,1)-1)*(Tenants!$J$6:$J$105&gt;=DATE(Settings!$B$5,10,1)),0)),""))</f>
        <v/>
      </c>
      <c r="L15" s="44">
        <f>IF($A15="","",IFERROR(INDEX(Tenants!$B$6:$B$105,MATCH(1,(Tenants!$G$6:$G$105=$A15)*(Tenants!$I$6:$I$105&lt;=DATE(Settings!$B$5,12,1)-1)*(Tenants!$J$6:$J$105&gt;=DATE(Settings!$B$5,11,1)),0)),""))</f>
        <v/>
      </c>
      <c r="M15" s="44">
        <f>IF($A15="","",IFERROR(INDEX(Tenants!$B$6:$B$105,MATCH(1,(Tenants!$G$6:$G$105=$A15)*(Tenants!$I$6:$I$105&lt;=DATE(Settings!$B$5+1,1,1)-1)*(Tenants!$J$6:$J$105&gt;=DATE(Settings!$B$5,12,1)),0)),""))</f>
        <v/>
      </c>
      <c r="N15" s="45">
        <f>COUNTIF(B15:M15,"?*")</f>
        <v/>
      </c>
    </row>
    <row r="17" ht="8" customHeight="1"/>
    <row r="18" ht="24" customHeight="1">
      <c r="A18" s="46" t="inlineStr">
        <is>
          <t>Legend: GREEN cell = occupied month (tenant name shown)   ·   RED cell = gap month (no tenant covers this month — backfill or raise on Pipeline tab)</t>
        </is>
      </c>
    </row>
    <row r="20">
      <c r="A20" s="47">
        <f>"Showing year "&amp;Settings!$B$5&amp;". Change Active Year on Settings to switch the calendar to a different year."</f>
        <v/>
      </c>
    </row>
  </sheetData>
  <mergeCells count="6">
    <mergeCell ref="J2:L2"/>
    <mergeCell ref="D2:I2"/>
    <mergeCell ref="A18:M18"/>
    <mergeCell ref="A20:M20"/>
    <mergeCell ref="A2:C2"/>
    <mergeCell ref="A4:L4"/>
  </mergeCells>
  <conditionalFormatting sqref="B6:M15">
    <cfRule type="expression" priority="1" dxfId="6">
      <formula>LEN(B6)&gt;0</formula>
    </cfRule>
    <cfRule type="expression" priority="2" dxfId="4">
      <formula>AND(LEN(B6)=0,LEN($A6)&gt;0)</formula>
    </cfRule>
  </conditionalFormatting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HYPERLINK("#'Lease Calendar'!A1", "← BACK")</f>
        <v/>
      </c>
      <c r="B2" s="26" t="n"/>
      <c r="C2" s="26" t="n"/>
      <c r="D2" s="36" t="inlineStr">
        <is>
          <t>MONTHLY REVENUE</t>
        </is>
      </c>
      <c r="J2" s="29">
        <f>HYPERLINK("#'Pipeline'!A1",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Per-property monthly rent collected — bump Active Year on Settings to switch.</t>
        </is>
      </c>
    </row>
    <row r="5" ht="20" customHeight="1">
      <c r="A5" s="38" t="inlineStr">
        <is>
          <t>Property</t>
        </is>
      </c>
      <c r="B5" s="38" t="inlineStr">
        <is>
          <t>Jan</t>
        </is>
      </c>
      <c r="C5" s="38" t="inlineStr">
        <is>
          <t>Feb</t>
        </is>
      </c>
      <c r="D5" s="38" t="inlineStr">
        <is>
          <t>Mar</t>
        </is>
      </c>
      <c r="E5" s="38" t="inlineStr">
        <is>
          <t>Apr</t>
        </is>
      </c>
      <c r="F5" s="38" t="inlineStr">
        <is>
          <t>May</t>
        </is>
      </c>
      <c r="G5" s="38" t="inlineStr">
        <is>
          <t>Jun</t>
        </is>
      </c>
      <c r="H5" s="38" t="inlineStr">
        <is>
          <t>Jul</t>
        </is>
      </c>
      <c r="I5" s="38" t="inlineStr">
        <is>
          <t>Aug</t>
        </is>
      </c>
      <c r="J5" s="38" t="inlineStr">
        <is>
          <t>Sep</t>
        </is>
      </c>
      <c r="K5" s="38" t="inlineStr">
        <is>
          <t>Oct</t>
        </is>
      </c>
      <c r="L5" s="38" t="inlineStr">
        <is>
          <t>Nov</t>
        </is>
      </c>
      <c r="M5" s="38" t="inlineStr">
        <is>
          <t>Dec</t>
        </is>
      </c>
      <c r="N5" s="38" t="inlineStr">
        <is>
          <t>YTD</t>
        </is>
      </c>
    </row>
    <row r="6" ht="18" customHeight="1">
      <c r="A6" s="43">
        <f>IF(Settings!$B$7="","",Settings!$B$7)</f>
        <v/>
      </c>
      <c r="B6" s="48">
        <f>IF($A6="","",SUMPRODUCT((Tenants!$G$6:$G$105=$A6)*(Tenants!$I$6:$I$105&lt;=DATE(Settings!$B$5,2,1)-1)*(Tenants!$J$6:$J$105&gt;=DATE(Settings!$B$5,1,1))*Tenants!$K$6:$K$105))</f>
        <v/>
      </c>
      <c r="C6" s="48">
        <f>IF($A6="","",SUMPRODUCT((Tenants!$G$6:$G$105=$A6)*(Tenants!$I$6:$I$105&lt;=DATE(Settings!$B$5,3,1)-1)*(Tenants!$J$6:$J$105&gt;=DATE(Settings!$B$5,2,1))*Tenants!$K$6:$K$105))</f>
        <v/>
      </c>
      <c r="D6" s="48">
        <f>IF($A6="","",SUMPRODUCT((Tenants!$G$6:$G$105=$A6)*(Tenants!$I$6:$I$105&lt;=DATE(Settings!$B$5,4,1)-1)*(Tenants!$J$6:$J$105&gt;=DATE(Settings!$B$5,3,1))*Tenants!$K$6:$K$105))</f>
        <v/>
      </c>
      <c r="E6" s="48">
        <f>IF($A6="","",SUMPRODUCT((Tenants!$G$6:$G$105=$A6)*(Tenants!$I$6:$I$105&lt;=DATE(Settings!$B$5,5,1)-1)*(Tenants!$J$6:$J$105&gt;=DATE(Settings!$B$5,4,1))*Tenants!$K$6:$K$105))</f>
        <v/>
      </c>
      <c r="F6" s="48">
        <f>IF($A6="","",SUMPRODUCT((Tenants!$G$6:$G$105=$A6)*(Tenants!$I$6:$I$105&lt;=DATE(Settings!$B$5,6,1)-1)*(Tenants!$J$6:$J$105&gt;=DATE(Settings!$B$5,5,1))*Tenants!$K$6:$K$105))</f>
        <v/>
      </c>
      <c r="G6" s="48">
        <f>IF($A6="","",SUMPRODUCT((Tenants!$G$6:$G$105=$A6)*(Tenants!$I$6:$I$105&lt;=DATE(Settings!$B$5,7,1)-1)*(Tenants!$J$6:$J$105&gt;=DATE(Settings!$B$5,6,1))*Tenants!$K$6:$K$105))</f>
        <v/>
      </c>
      <c r="H6" s="48">
        <f>IF($A6="","",SUMPRODUCT((Tenants!$G$6:$G$105=$A6)*(Tenants!$I$6:$I$105&lt;=DATE(Settings!$B$5,8,1)-1)*(Tenants!$J$6:$J$105&gt;=DATE(Settings!$B$5,7,1))*Tenants!$K$6:$K$105))</f>
        <v/>
      </c>
      <c r="I6" s="48">
        <f>IF($A6="","",SUMPRODUCT((Tenants!$G$6:$G$105=$A6)*(Tenants!$I$6:$I$105&lt;=DATE(Settings!$B$5,9,1)-1)*(Tenants!$J$6:$J$105&gt;=DATE(Settings!$B$5,8,1))*Tenants!$K$6:$K$105))</f>
        <v/>
      </c>
      <c r="J6" s="48">
        <f>IF($A6="","",SUMPRODUCT((Tenants!$G$6:$G$105=$A6)*(Tenants!$I$6:$I$105&lt;=DATE(Settings!$B$5,10,1)-1)*(Tenants!$J$6:$J$105&gt;=DATE(Settings!$B$5,9,1))*Tenants!$K$6:$K$105))</f>
        <v/>
      </c>
      <c r="K6" s="48">
        <f>IF($A6="","",SUMPRODUCT((Tenants!$G$6:$G$105=$A6)*(Tenants!$I$6:$I$105&lt;=DATE(Settings!$B$5,11,1)-1)*(Tenants!$J$6:$J$105&gt;=DATE(Settings!$B$5,10,1))*Tenants!$K$6:$K$105))</f>
        <v/>
      </c>
      <c r="L6" s="48">
        <f>IF($A6="","",SUMPRODUCT((Tenants!$G$6:$G$105=$A6)*(Tenants!$I$6:$I$105&lt;=DATE(Settings!$B$5,12,1)-1)*(Tenants!$J$6:$J$105&gt;=DATE(Settings!$B$5,11,1))*Tenants!$K$6:$K$105))</f>
        <v/>
      </c>
      <c r="M6" s="48">
        <f>IF($A6="","",SUMPRODUCT((Tenants!$G$6:$G$105=$A6)*(Tenants!$I$6:$I$105&lt;=DATE(Settings!$B$5+1,1,1)-1)*(Tenants!$J$6:$J$105&gt;=DATE(Settings!$B$5,12,1))*Tenants!$K$6:$K$105))</f>
        <v/>
      </c>
      <c r="N6" s="49">
        <f>IF($A6="","",SUM(B6:M6))</f>
        <v/>
      </c>
    </row>
    <row r="7" ht="18" customHeight="1">
      <c r="A7" s="43">
        <f>IF(Settings!$B$8="","",Settings!$B$8)</f>
        <v/>
      </c>
      <c r="B7" s="48">
        <f>IF($A7="","",SUMPRODUCT((Tenants!$G$6:$G$105=$A7)*(Tenants!$I$6:$I$105&lt;=DATE(Settings!$B$5,2,1)-1)*(Tenants!$J$6:$J$105&gt;=DATE(Settings!$B$5,1,1))*Tenants!$K$6:$K$105))</f>
        <v/>
      </c>
      <c r="C7" s="48">
        <f>IF($A7="","",SUMPRODUCT((Tenants!$G$6:$G$105=$A7)*(Tenants!$I$6:$I$105&lt;=DATE(Settings!$B$5,3,1)-1)*(Tenants!$J$6:$J$105&gt;=DATE(Settings!$B$5,2,1))*Tenants!$K$6:$K$105))</f>
        <v/>
      </c>
      <c r="D7" s="48">
        <f>IF($A7="","",SUMPRODUCT((Tenants!$G$6:$G$105=$A7)*(Tenants!$I$6:$I$105&lt;=DATE(Settings!$B$5,4,1)-1)*(Tenants!$J$6:$J$105&gt;=DATE(Settings!$B$5,3,1))*Tenants!$K$6:$K$105))</f>
        <v/>
      </c>
      <c r="E7" s="48">
        <f>IF($A7="","",SUMPRODUCT((Tenants!$G$6:$G$105=$A7)*(Tenants!$I$6:$I$105&lt;=DATE(Settings!$B$5,5,1)-1)*(Tenants!$J$6:$J$105&gt;=DATE(Settings!$B$5,4,1))*Tenants!$K$6:$K$105))</f>
        <v/>
      </c>
      <c r="F7" s="48">
        <f>IF($A7="","",SUMPRODUCT((Tenants!$G$6:$G$105=$A7)*(Tenants!$I$6:$I$105&lt;=DATE(Settings!$B$5,6,1)-1)*(Tenants!$J$6:$J$105&gt;=DATE(Settings!$B$5,5,1))*Tenants!$K$6:$K$105))</f>
        <v/>
      </c>
      <c r="G7" s="48">
        <f>IF($A7="","",SUMPRODUCT((Tenants!$G$6:$G$105=$A7)*(Tenants!$I$6:$I$105&lt;=DATE(Settings!$B$5,7,1)-1)*(Tenants!$J$6:$J$105&gt;=DATE(Settings!$B$5,6,1))*Tenants!$K$6:$K$105))</f>
        <v/>
      </c>
      <c r="H7" s="48">
        <f>IF($A7="","",SUMPRODUCT((Tenants!$G$6:$G$105=$A7)*(Tenants!$I$6:$I$105&lt;=DATE(Settings!$B$5,8,1)-1)*(Tenants!$J$6:$J$105&gt;=DATE(Settings!$B$5,7,1))*Tenants!$K$6:$K$105))</f>
        <v/>
      </c>
      <c r="I7" s="48">
        <f>IF($A7="","",SUMPRODUCT((Tenants!$G$6:$G$105=$A7)*(Tenants!$I$6:$I$105&lt;=DATE(Settings!$B$5,9,1)-1)*(Tenants!$J$6:$J$105&gt;=DATE(Settings!$B$5,8,1))*Tenants!$K$6:$K$105))</f>
        <v/>
      </c>
      <c r="J7" s="48">
        <f>IF($A7="","",SUMPRODUCT((Tenants!$G$6:$G$105=$A7)*(Tenants!$I$6:$I$105&lt;=DATE(Settings!$B$5,10,1)-1)*(Tenants!$J$6:$J$105&gt;=DATE(Settings!$B$5,9,1))*Tenants!$K$6:$K$105))</f>
        <v/>
      </c>
      <c r="K7" s="48">
        <f>IF($A7="","",SUMPRODUCT((Tenants!$G$6:$G$105=$A7)*(Tenants!$I$6:$I$105&lt;=DATE(Settings!$B$5,11,1)-1)*(Tenants!$J$6:$J$105&gt;=DATE(Settings!$B$5,10,1))*Tenants!$K$6:$K$105))</f>
        <v/>
      </c>
      <c r="L7" s="48">
        <f>IF($A7="","",SUMPRODUCT((Tenants!$G$6:$G$105=$A7)*(Tenants!$I$6:$I$105&lt;=DATE(Settings!$B$5,12,1)-1)*(Tenants!$J$6:$J$105&gt;=DATE(Settings!$B$5,11,1))*Tenants!$K$6:$K$105))</f>
        <v/>
      </c>
      <c r="M7" s="48">
        <f>IF($A7="","",SUMPRODUCT((Tenants!$G$6:$G$105=$A7)*(Tenants!$I$6:$I$105&lt;=DATE(Settings!$B$5+1,1,1)-1)*(Tenants!$J$6:$J$105&gt;=DATE(Settings!$B$5,12,1))*Tenants!$K$6:$K$105))</f>
        <v/>
      </c>
      <c r="N7" s="49">
        <f>IF($A7="","",SUM(B7:M7))</f>
        <v/>
      </c>
    </row>
    <row r="8" ht="18" customHeight="1">
      <c r="A8" s="43">
        <f>IF(Settings!$B$9="","",Settings!$B$9)</f>
        <v/>
      </c>
      <c r="B8" s="48">
        <f>IF($A8="","",SUMPRODUCT((Tenants!$G$6:$G$105=$A8)*(Tenants!$I$6:$I$105&lt;=DATE(Settings!$B$5,2,1)-1)*(Tenants!$J$6:$J$105&gt;=DATE(Settings!$B$5,1,1))*Tenants!$K$6:$K$105))</f>
        <v/>
      </c>
      <c r="C8" s="48">
        <f>IF($A8="","",SUMPRODUCT((Tenants!$G$6:$G$105=$A8)*(Tenants!$I$6:$I$105&lt;=DATE(Settings!$B$5,3,1)-1)*(Tenants!$J$6:$J$105&gt;=DATE(Settings!$B$5,2,1))*Tenants!$K$6:$K$105))</f>
        <v/>
      </c>
      <c r="D8" s="48">
        <f>IF($A8="","",SUMPRODUCT((Tenants!$G$6:$G$105=$A8)*(Tenants!$I$6:$I$105&lt;=DATE(Settings!$B$5,4,1)-1)*(Tenants!$J$6:$J$105&gt;=DATE(Settings!$B$5,3,1))*Tenants!$K$6:$K$105))</f>
        <v/>
      </c>
      <c r="E8" s="48">
        <f>IF($A8="","",SUMPRODUCT((Tenants!$G$6:$G$105=$A8)*(Tenants!$I$6:$I$105&lt;=DATE(Settings!$B$5,5,1)-1)*(Tenants!$J$6:$J$105&gt;=DATE(Settings!$B$5,4,1))*Tenants!$K$6:$K$105))</f>
        <v/>
      </c>
      <c r="F8" s="48">
        <f>IF($A8="","",SUMPRODUCT((Tenants!$G$6:$G$105=$A8)*(Tenants!$I$6:$I$105&lt;=DATE(Settings!$B$5,6,1)-1)*(Tenants!$J$6:$J$105&gt;=DATE(Settings!$B$5,5,1))*Tenants!$K$6:$K$105))</f>
        <v/>
      </c>
      <c r="G8" s="48">
        <f>IF($A8="","",SUMPRODUCT((Tenants!$G$6:$G$105=$A8)*(Tenants!$I$6:$I$105&lt;=DATE(Settings!$B$5,7,1)-1)*(Tenants!$J$6:$J$105&gt;=DATE(Settings!$B$5,6,1))*Tenants!$K$6:$K$105))</f>
        <v/>
      </c>
      <c r="H8" s="48">
        <f>IF($A8="","",SUMPRODUCT((Tenants!$G$6:$G$105=$A8)*(Tenants!$I$6:$I$105&lt;=DATE(Settings!$B$5,8,1)-1)*(Tenants!$J$6:$J$105&gt;=DATE(Settings!$B$5,7,1))*Tenants!$K$6:$K$105))</f>
        <v/>
      </c>
      <c r="I8" s="48">
        <f>IF($A8="","",SUMPRODUCT((Tenants!$G$6:$G$105=$A8)*(Tenants!$I$6:$I$105&lt;=DATE(Settings!$B$5,9,1)-1)*(Tenants!$J$6:$J$105&gt;=DATE(Settings!$B$5,8,1))*Tenants!$K$6:$K$105))</f>
        <v/>
      </c>
      <c r="J8" s="48">
        <f>IF($A8="","",SUMPRODUCT((Tenants!$G$6:$G$105=$A8)*(Tenants!$I$6:$I$105&lt;=DATE(Settings!$B$5,10,1)-1)*(Tenants!$J$6:$J$105&gt;=DATE(Settings!$B$5,9,1))*Tenants!$K$6:$K$105))</f>
        <v/>
      </c>
      <c r="K8" s="48">
        <f>IF($A8="","",SUMPRODUCT((Tenants!$G$6:$G$105=$A8)*(Tenants!$I$6:$I$105&lt;=DATE(Settings!$B$5,11,1)-1)*(Tenants!$J$6:$J$105&gt;=DATE(Settings!$B$5,10,1))*Tenants!$K$6:$K$105))</f>
        <v/>
      </c>
      <c r="L8" s="48">
        <f>IF($A8="","",SUMPRODUCT((Tenants!$G$6:$G$105=$A8)*(Tenants!$I$6:$I$105&lt;=DATE(Settings!$B$5,12,1)-1)*(Tenants!$J$6:$J$105&gt;=DATE(Settings!$B$5,11,1))*Tenants!$K$6:$K$105))</f>
        <v/>
      </c>
      <c r="M8" s="48">
        <f>IF($A8="","",SUMPRODUCT((Tenants!$G$6:$G$105=$A8)*(Tenants!$I$6:$I$105&lt;=DATE(Settings!$B$5+1,1,1)-1)*(Tenants!$J$6:$J$105&gt;=DATE(Settings!$B$5,12,1))*Tenants!$K$6:$K$105))</f>
        <v/>
      </c>
      <c r="N8" s="49">
        <f>IF($A8="","",SUM(B8:M8))</f>
        <v/>
      </c>
    </row>
    <row r="9" ht="18" customHeight="1">
      <c r="A9" s="43">
        <f>IF(Settings!$B$10="","",Settings!$B$10)</f>
        <v/>
      </c>
      <c r="B9" s="48">
        <f>IF($A9="","",SUMPRODUCT((Tenants!$G$6:$G$105=$A9)*(Tenants!$I$6:$I$105&lt;=DATE(Settings!$B$5,2,1)-1)*(Tenants!$J$6:$J$105&gt;=DATE(Settings!$B$5,1,1))*Tenants!$K$6:$K$105))</f>
        <v/>
      </c>
      <c r="C9" s="48">
        <f>IF($A9="","",SUMPRODUCT((Tenants!$G$6:$G$105=$A9)*(Tenants!$I$6:$I$105&lt;=DATE(Settings!$B$5,3,1)-1)*(Tenants!$J$6:$J$105&gt;=DATE(Settings!$B$5,2,1))*Tenants!$K$6:$K$105))</f>
        <v/>
      </c>
      <c r="D9" s="48">
        <f>IF($A9="","",SUMPRODUCT((Tenants!$G$6:$G$105=$A9)*(Tenants!$I$6:$I$105&lt;=DATE(Settings!$B$5,4,1)-1)*(Tenants!$J$6:$J$105&gt;=DATE(Settings!$B$5,3,1))*Tenants!$K$6:$K$105))</f>
        <v/>
      </c>
      <c r="E9" s="48">
        <f>IF($A9="","",SUMPRODUCT((Tenants!$G$6:$G$105=$A9)*(Tenants!$I$6:$I$105&lt;=DATE(Settings!$B$5,5,1)-1)*(Tenants!$J$6:$J$105&gt;=DATE(Settings!$B$5,4,1))*Tenants!$K$6:$K$105))</f>
        <v/>
      </c>
      <c r="F9" s="48">
        <f>IF($A9="","",SUMPRODUCT((Tenants!$G$6:$G$105=$A9)*(Tenants!$I$6:$I$105&lt;=DATE(Settings!$B$5,6,1)-1)*(Tenants!$J$6:$J$105&gt;=DATE(Settings!$B$5,5,1))*Tenants!$K$6:$K$105))</f>
        <v/>
      </c>
      <c r="G9" s="48">
        <f>IF($A9="","",SUMPRODUCT((Tenants!$G$6:$G$105=$A9)*(Tenants!$I$6:$I$105&lt;=DATE(Settings!$B$5,7,1)-1)*(Tenants!$J$6:$J$105&gt;=DATE(Settings!$B$5,6,1))*Tenants!$K$6:$K$105))</f>
        <v/>
      </c>
      <c r="H9" s="48">
        <f>IF($A9="","",SUMPRODUCT((Tenants!$G$6:$G$105=$A9)*(Tenants!$I$6:$I$105&lt;=DATE(Settings!$B$5,8,1)-1)*(Tenants!$J$6:$J$105&gt;=DATE(Settings!$B$5,7,1))*Tenants!$K$6:$K$105))</f>
        <v/>
      </c>
      <c r="I9" s="48">
        <f>IF($A9="","",SUMPRODUCT((Tenants!$G$6:$G$105=$A9)*(Tenants!$I$6:$I$105&lt;=DATE(Settings!$B$5,9,1)-1)*(Tenants!$J$6:$J$105&gt;=DATE(Settings!$B$5,8,1))*Tenants!$K$6:$K$105))</f>
        <v/>
      </c>
      <c r="J9" s="48">
        <f>IF($A9="","",SUMPRODUCT((Tenants!$G$6:$G$105=$A9)*(Tenants!$I$6:$I$105&lt;=DATE(Settings!$B$5,10,1)-1)*(Tenants!$J$6:$J$105&gt;=DATE(Settings!$B$5,9,1))*Tenants!$K$6:$K$105))</f>
        <v/>
      </c>
      <c r="K9" s="48">
        <f>IF($A9="","",SUMPRODUCT((Tenants!$G$6:$G$105=$A9)*(Tenants!$I$6:$I$105&lt;=DATE(Settings!$B$5,11,1)-1)*(Tenants!$J$6:$J$105&gt;=DATE(Settings!$B$5,10,1))*Tenants!$K$6:$K$105))</f>
        <v/>
      </c>
      <c r="L9" s="48">
        <f>IF($A9="","",SUMPRODUCT((Tenants!$G$6:$G$105=$A9)*(Tenants!$I$6:$I$105&lt;=DATE(Settings!$B$5,12,1)-1)*(Tenants!$J$6:$J$105&gt;=DATE(Settings!$B$5,11,1))*Tenants!$K$6:$K$105))</f>
        <v/>
      </c>
      <c r="M9" s="48">
        <f>IF($A9="","",SUMPRODUCT((Tenants!$G$6:$G$105=$A9)*(Tenants!$I$6:$I$105&lt;=DATE(Settings!$B$5+1,1,1)-1)*(Tenants!$J$6:$J$105&gt;=DATE(Settings!$B$5,12,1))*Tenants!$K$6:$K$105))</f>
        <v/>
      </c>
      <c r="N9" s="49">
        <f>IF($A9="","",SUM(B9:M9))</f>
        <v/>
      </c>
    </row>
    <row r="10" ht="18" customHeight="1">
      <c r="A10" s="43">
        <f>IF(Settings!$B$11="","",Settings!$B$11)</f>
        <v/>
      </c>
      <c r="B10" s="48">
        <f>IF($A10="","",SUMPRODUCT((Tenants!$G$6:$G$105=$A10)*(Tenants!$I$6:$I$105&lt;=DATE(Settings!$B$5,2,1)-1)*(Tenants!$J$6:$J$105&gt;=DATE(Settings!$B$5,1,1))*Tenants!$K$6:$K$105))</f>
        <v/>
      </c>
      <c r="C10" s="48">
        <f>IF($A10="","",SUMPRODUCT((Tenants!$G$6:$G$105=$A10)*(Tenants!$I$6:$I$105&lt;=DATE(Settings!$B$5,3,1)-1)*(Tenants!$J$6:$J$105&gt;=DATE(Settings!$B$5,2,1))*Tenants!$K$6:$K$105))</f>
        <v/>
      </c>
      <c r="D10" s="48">
        <f>IF($A10="","",SUMPRODUCT((Tenants!$G$6:$G$105=$A10)*(Tenants!$I$6:$I$105&lt;=DATE(Settings!$B$5,4,1)-1)*(Tenants!$J$6:$J$105&gt;=DATE(Settings!$B$5,3,1))*Tenants!$K$6:$K$105))</f>
        <v/>
      </c>
      <c r="E10" s="48">
        <f>IF($A10="","",SUMPRODUCT((Tenants!$G$6:$G$105=$A10)*(Tenants!$I$6:$I$105&lt;=DATE(Settings!$B$5,5,1)-1)*(Tenants!$J$6:$J$105&gt;=DATE(Settings!$B$5,4,1))*Tenants!$K$6:$K$105))</f>
        <v/>
      </c>
      <c r="F10" s="48">
        <f>IF($A10="","",SUMPRODUCT((Tenants!$G$6:$G$105=$A10)*(Tenants!$I$6:$I$105&lt;=DATE(Settings!$B$5,6,1)-1)*(Tenants!$J$6:$J$105&gt;=DATE(Settings!$B$5,5,1))*Tenants!$K$6:$K$105))</f>
        <v/>
      </c>
      <c r="G10" s="48">
        <f>IF($A10="","",SUMPRODUCT((Tenants!$G$6:$G$105=$A10)*(Tenants!$I$6:$I$105&lt;=DATE(Settings!$B$5,7,1)-1)*(Tenants!$J$6:$J$105&gt;=DATE(Settings!$B$5,6,1))*Tenants!$K$6:$K$105))</f>
        <v/>
      </c>
      <c r="H10" s="48">
        <f>IF($A10="","",SUMPRODUCT((Tenants!$G$6:$G$105=$A10)*(Tenants!$I$6:$I$105&lt;=DATE(Settings!$B$5,8,1)-1)*(Tenants!$J$6:$J$105&gt;=DATE(Settings!$B$5,7,1))*Tenants!$K$6:$K$105))</f>
        <v/>
      </c>
      <c r="I10" s="48">
        <f>IF($A10="","",SUMPRODUCT((Tenants!$G$6:$G$105=$A10)*(Tenants!$I$6:$I$105&lt;=DATE(Settings!$B$5,9,1)-1)*(Tenants!$J$6:$J$105&gt;=DATE(Settings!$B$5,8,1))*Tenants!$K$6:$K$105))</f>
        <v/>
      </c>
      <c r="J10" s="48">
        <f>IF($A10="","",SUMPRODUCT((Tenants!$G$6:$G$105=$A10)*(Tenants!$I$6:$I$105&lt;=DATE(Settings!$B$5,10,1)-1)*(Tenants!$J$6:$J$105&gt;=DATE(Settings!$B$5,9,1))*Tenants!$K$6:$K$105))</f>
        <v/>
      </c>
      <c r="K10" s="48">
        <f>IF($A10="","",SUMPRODUCT((Tenants!$G$6:$G$105=$A10)*(Tenants!$I$6:$I$105&lt;=DATE(Settings!$B$5,11,1)-1)*(Tenants!$J$6:$J$105&gt;=DATE(Settings!$B$5,10,1))*Tenants!$K$6:$K$105))</f>
        <v/>
      </c>
      <c r="L10" s="48">
        <f>IF($A10="","",SUMPRODUCT((Tenants!$G$6:$G$105=$A10)*(Tenants!$I$6:$I$105&lt;=DATE(Settings!$B$5,12,1)-1)*(Tenants!$J$6:$J$105&gt;=DATE(Settings!$B$5,11,1))*Tenants!$K$6:$K$105))</f>
        <v/>
      </c>
      <c r="M10" s="48">
        <f>IF($A10="","",SUMPRODUCT((Tenants!$G$6:$G$105=$A10)*(Tenants!$I$6:$I$105&lt;=DATE(Settings!$B$5+1,1,1)-1)*(Tenants!$J$6:$J$105&gt;=DATE(Settings!$B$5,12,1))*Tenants!$K$6:$K$105))</f>
        <v/>
      </c>
      <c r="N10" s="49">
        <f>IF($A10="","",SUM(B10:M10))</f>
        <v/>
      </c>
    </row>
    <row r="11" ht="18" customHeight="1">
      <c r="A11" s="43">
        <f>IF(Settings!$B$12="","",Settings!$B$12)</f>
        <v/>
      </c>
      <c r="B11" s="48">
        <f>IF($A11="","",SUMPRODUCT((Tenants!$G$6:$G$105=$A11)*(Tenants!$I$6:$I$105&lt;=DATE(Settings!$B$5,2,1)-1)*(Tenants!$J$6:$J$105&gt;=DATE(Settings!$B$5,1,1))*Tenants!$K$6:$K$105))</f>
        <v/>
      </c>
      <c r="C11" s="48">
        <f>IF($A11="","",SUMPRODUCT((Tenants!$G$6:$G$105=$A11)*(Tenants!$I$6:$I$105&lt;=DATE(Settings!$B$5,3,1)-1)*(Tenants!$J$6:$J$105&gt;=DATE(Settings!$B$5,2,1))*Tenants!$K$6:$K$105))</f>
        <v/>
      </c>
      <c r="D11" s="48">
        <f>IF($A11="","",SUMPRODUCT((Tenants!$G$6:$G$105=$A11)*(Tenants!$I$6:$I$105&lt;=DATE(Settings!$B$5,4,1)-1)*(Tenants!$J$6:$J$105&gt;=DATE(Settings!$B$5,3,1))*Tenants!$K$6:$K$105))</f>
        <v/>
      </c>
      <c r="E11" s="48">
        <f>IF($A11="","",SUMPRODUCT((Tenants!$G$6:$G$105=$A11)*(Tenants!$I$6:$I$105&lt;=DATE(Settings!$B$5,5,1)-1)*(Tenants!$J$6:$J$105&gt;=DATE(Settings!$B$5,4,1))*Tenants!$K$6:$K$105))</f>
        <v/>
      </c>
      <c r="F11" s="48">
        <f>IF($A11="","",SUMPRODUCT((Tenants!$G$6:$G$105=$A11)*(Tenants!$I$6:$I$105&lt;=DATE(Settings!$B$5,6,1)-1)*(Tenants!$J$6:$J$105&gt;=DATE(Settings!$B$5,5,1))*Tenants!$K$6:$K$105))</f>
        <v/>
      </c>
      <c r="G11" s="48">
        <f>IF($A11="","",SUMPRODUCT((Tenants!$G$6:$G$105=$A11)*(Tenants!$I$6:$I$105&lt;=DATE(Settings!$B$5,7,1)-1)*(Tenants!$J$6:$J$105&gt;=DATE(Settings!$B$5,6,1))*Tenants!$K$6:$K$105))</f>
        <v/>
      </c>
      <c r="H11" s="48">
        <f>IF($A11="","",SUMPRODUCT((Tenants!$G$6:$G$105=$A11)*(Tenants!$I$6:$I$105&lt;=DATE(Settings!$B$5,8,1)-1)*(Tenants!$J$6:$J$105&gt;=DATE(Settings!$B$5,7,1))*Tenants!$K$6:$K$105))</f>
        <v/>
      </c>
      <c r="I11" s="48">
        <f>IF($A11="","",SUMPRODUCT((Tenants!$G$6:$G$105=$A11)*(Tenants!$I$6:$I$105&lt;=DATE(Settings!$B$5,9,1)-1)*(Tenants!$J$6:$J$105&gt;=DATE(Settings!$B$5,8,1))*Tenants!$K$6:$K$105))</f>
        <v/>
      </c>
      <c r="J11" s="48">
        <f>IF($A11="","",SUMPRODUCT((Tenants!$G$6:$G$105=$A11)*(Tenants!$I$6:$I$105&lt;=DATE(Settings!$B$5,10,1)-1)*(Tenants!$J$6:$J$105&gt;=DATE(Settings!$B$5,9,1))*Tenants!$K$6:$K$105))</f>
        <v/>
      </c>
      <c r="K11" s="48">
        <f>IF($A11="","",SUMPRODUCT((Tenants!$G$6:$G$105=$A11)*(Tenants!$I$6:$I$105&lt;=DATE(Settings!$B$5,11,1)-1)*(Tenants!$J$6:$J$105&gt;=DATE(Settings!$B$5,10,1))*Tenants!$K$6:$K$105))</f>
        <v/>
      </c>
      <c r="L11" s="48">
        <f>IF($A11="","",SUMPRODUCT((Tenants!$G$6:$G$105=$A11)*(Tenants!$I$6:$I$105&lt;=DATE(Settings!$B$5,12,1)-1)*(Tenants!$J$6:$J$105&gt;=DATE(Settings!$B$5,11,1))*Tenants!$K$6:$K$105))</f>
        <v/>
      </c>
      <c r="M11" s="48">
        <f>IF($A11="","",SUMPRODUCT((Tenants!$G$6:$G$105=$A11)*(Tenants!$I$6:$I$105&lt;=DATE(Settings!$B$5+1,1,1)-1)*(Tenants!$J$6:$J$105&gt;=DATE(Settings!$B$5,12,1))*Tenants!$K$6:$K$105))</f>
        <v/>
      </c>
      <c r="N11" s="49">
        <f>IF($A11="","",SUM(B11:M11))</f>
        <v/>
      </c>
    </row>
    <row r="12" ht="18" customHeight="1">
      <c r="A12" s="43">
        <f>IF(Settings!$B$13="","",Settings!$B$13)</f>
        <v/>
      </c>
      <c r="B12" s="48">
        <f>IF($A12="","",SUMPRODUCT((Tenants!$G$6:$G$105=$A12)*(Tenants!$I$6:$I$105&lt;=DATE(Settings!$B$5,2,1)-1)*(Tenants!$J$6:$J$105&gt;=DATE(Settings!$B$5,1,1))*Tenants!$K$6:$K$105))</f>
        <v/>
      </c>
      <c r="C12" s="48">
        <f>IF($A12="","",SUMPRODUCT((Tenants!$G$6:$G$105=$A12)*(Tenants!$I$6:$I$105&lt;=DATE(Settings!$B$5,3,1)-1)*(Tenants!$J$6:$J$105&gt;=DATE(Settings!$B$5,2,1))*Tenants!$K$6:$K$105))</f>
        <v/>
      </c>
      <c r="D12" s="48">
        <f>IF($A12="","",SUMPRODUCT((Tenants!$G$6:$G$105=$A12)*(Tenants!$I$6:$I$105&lt;=DATE(Settings!$B$5,4,1)-1)*(Tenants!$J$6:$J$105&gt;=DATE(Settings!$B$5,3,1))*Tenants!$K$6:$K$105))</f>
        <v/>
      </c>
      <c r="E12" s="48">
        <f>IF($A12="","",SUMPRODUCT((Tenants!$G$6:$G$105=$A12)*(Tenants!$I$6:$I$105&lt;=DATE(Settings!$B$5,5,1)-1)*(Tenants!$J$6:$J$105&gt;=DATE(Settings!$B$5,4,1))*Tenants!$K$6:$K$105))</f>
        <v/>
      </c>
      <c r="F12" s="48">
        <f>IF($A12="","",SUMPRODUCT((Tenants!$G$6:$G$105=$A12)*(Tenants!$I$6:$I$105&lt;=DATE(Settings!$B$5,6,1)-1)*(Tenants!$J$6:$J$105&gt;=DATE(Settings!$B$5,5,1))*Tenants!$K$6:$K$105))</f>
        <v/>
      </c>
      <c r="G12" s="48">
        <f>IF($A12="","",SUMPRODUCT((Tenants!$G$6:$G$105=$A12)*(Tenants!$I$6:$I$105&lt;=DATE(Settings!$B$5,7,1)-1)*(Tenants!$J$6:$J$105&gt;=DATE(Settings!$B$5,6,1))*Tenants!$K$6:$K$105))</f>
        <v/>
      </c>
      <c r="H12" s="48">
        <f>IF($A12="","",SUMPRODUCT((Tenants!$G$6:$G$105=$A12)*(Tenants!$I$6:$I$105&lt;=DATE(Settings!$B$5,8,1)-1)*(Tenants!$J$6:$J$105&gt;=DATE(Settings!$B$5,7,1))*Tenants!$K$6:$K$105))</f>
        <v/>
      </c>
      <c r="I12" s="48">
        <f>IF($A12="","",SUMPRODUCT((Tenants!$G$6:$G$105=$A12)*(Tenants!$I$6:$I$105&lt;=DATE(Settings!$B$5,9,1)-1)*(Tenants!$J$6:$J$105&gt;=DATE(Settings!$B$5,8,1))*Tenants!$K$6:$K$105))</f>
        <v/>
      </c>
      <c r="J12" s="48">
        <f>IF($A12="","",SUMPRODUCT((Tenants!$G$6:$G$105=$A12)*(Tenants!$I$6:$I$105&lt;=DATE(Settings!$B$5,10,1)-1)*(Tenants!$J$6:$J$105&gt;=DATE(Settings!$B$5,9,1))*Tenants!$K$6:$K$105))</f>
        <v/>
      </c>
      <c r="K12" s="48">
        <f>IF($A12="","",SUMPRODUCT((Tenants!$G$6:$G$105=$A12)*(Tenants!$I$6:$I$105&lt;=DATE(Settings!$B$5,11,1)-1)*(Tenants!$J$6:$J$105&gt;=DATE(Settings!$B$5,10,1))*Tenants!$K$6:$K$105))</f>
        <v/>
      </c>
      <c r="L12" s="48">
        <f>IF($A12="","",SUMPRODUCT((Tenants!$G$6:$G$105=$A12)*(Tenants!$I$6:$I$105&lt;=DATE(Settings!$B$5,12,1)-1)*(Tenants!$J$6:$J$105&gt;=DATE(Settings!$B$5,11,1))*Tenants!$K$6:$K$105))</f>
        <v/>
      </c>
      <c r="M12" s="48">
        <f>IF($A12="","",SUMPRODUCT((Tenants!$G$6:$G$105=$A12)*(Tenants!$I$6:$I$105&lt;=DATE(Settings!$B$5+1,1,1)-1)*(Tenants!$J$6:$J$105&gt;=DATE(Settings!$B$5,12,1))*Tenants!$K$6:$K$105))</f>
        <v/>
      </c>
      <c r="N12" s="49">
        <f>IF($A12="","",SUM(B12:M12))</f>
        <v/>
      </c>
    </row>
    <row r="13" ht="18" customHeight="1">
      <c r="A13" s="43">
        <f>IF(Settings!$B$14="","",Settings!$B$14)</f>
        <v/>
      </c>
      <c r="B13" s="48">
        <f>IF($A13="","",SUMPRODUCT((Tenants!$G$6:$G$105=$A13)*(Tenants!$I$6:$I$105&lt;=DATE(Settings!$B$5,2,1)-1)*(Tenants!$J$6:$J$105&gt;=DATE(Settings!$B$5,1,1))*Tenants!$K$6:$K$105))</f>
        <v/>
      </c>
      <c r="C13" s="48">
        <f>IF($A13="","",SUMPRODUCT((Tenants!$G$6:$G$105=$A13)*(Tenants!$I$6:$I$105&lt;=DATE(Settings!$B$5,3,1)-1)*(Tenants!$J$6:$J$105&gt;=DATE(Settings!$B$5,2,1))*Tenants!$K$6:$K$105))</f>
        <v/>
      </c>
      <c r="D13" s="48">
        <f>IF($A13="","",SUMPRODUCT((Tenants!$G$6:$G$105=$A13)*(Tenants!$I$6:$I$105&lt;=DATE(Settings!$B$5,4,1)-1)*(Tenants!$J$6:$J$105&gt;=DATE(Settings!$B$5,3,1))*Tenants!$K$6:$K$105))</f>
        <v/>
      </c>
      <c r="E13" s="48">
        <f>IF($A13="","",SUMPRODUCT((Tenants!$G$6:$G$105=$A13)*(Tenants!$I$6:$I$105&lt;=DATE(Settings!$B$5,5,1)-1)*(Tenants!$J$6:$J$105&gt;=DATE(Settings!$B$5,4,1))*Tenants!$K$6:$K$105))</f>
        <v/>
      </c>
      <c r="F13" s="48">
        <f>IF($A13="","",SUMPRODUCT((Tenants!$G$6:$G$105=$A13)*(Tenants!$I$6:$I$105&lt;=DATE(Settings!$B$5,6,1)-1)*(Tenants!$J$6:$J$105&gt;=DATE(Settings!$B$5,5,1))*Tenants!$K$6:$K$105))</f>
        <v/>
      </c>
      <c r="G13" s="48">
        <f>IF($A13="","",SUMPRODUCT((Tenants!$G$6:$G$105=$A13)*(Tenants!$I$6:$I$105&lt;=DATE(Settings!$B$5,7,1)-1)*(Tenants!$J$6:$J$105&gt;=DATE(Settings!$B$5,6,1))*Tenants!$K$6:$K$105))</f>
        <v/>
      </c>
      <c r="H13" s="48">
        <f>IF($A13="","",SUMPRODUCT((Tenants!$G$6:$G$105=$A13)*(Tenants!$I$6:$I$105&lt;=DATE(Settings!$B$5,8,1)-1)*(Tenants!$J$6:$J$105&gt;=DATE(Settings!$B$5,7,1))*Tenants!$K$6:$K$105))</f>
        <v/>
      </c>
      <c r="I13" s="48">
        <f>IF($A13="","",SUMPRODUCT((Tenants!$G$6:$G$105=$A13)*(Tenants!$I$6:$I$105&lt;=DATE(Settings!$B$5,9,1)-1)*(Tenants!$J$6:$J$105&gt;=DATE(Settings!$B$5,8,1))*Tenants!$K$6:$K$105))</f>
        <v/>
      </c>
      <c r="J13" s="48">
        <f>IF($A13="","",SUMPRODUCT((Tenants!$G$6:$G$105=$A13)*(Tenants!$I$6:$I$105&lt;=DATE(Settings!$B$5,10,1)-1)*(Tenants!$J$6:$J$105&gt;=DATE(Settings!$B$5,9,1))*Tenants!$K$6:$K$105))</f>
        <v/>
      </c>
      <c r="K13" s="48">
        <f>IF($A13="","",SUMPRODUCT((Tenants!$G$6:$G$105=$A13)*(Tenants!$I$6:$I$105&lt;=DATE(Settings!$B$5,11,1)-1)*(Tenants!$J$6:$J$105&gt;=DATE(Settings!$B$5,10,1))*Tenants!$K$6:$K$105))</f>
        <v/>
      </c>
      <c r="L13" s="48">
        <f>IF($A13="","",SUMPRODUCT((Tenants!$G$6:$G$105=$A13)*(Tenants!$I$6:$I$105&lt;=DATE(Settings!$B$5,12,1)-1)*(Tenants!$J$6:$J$105&gt;=DATE(Settings!$B$5,11,1))*Tenants!$K$6:$K$105))</f>
        <v/>
      </c>
      <c r="M13" s="48">
        <f>IF($A13="","",SUMPRODUCT((Tenants!$G$6:$G$105=$A13)*(Tenants!$I$6:$I$105&lt;=DATE(Settings!$B$5+1,1,1)-1)*(Tenants!$J$6:$J$105&gt;=DATE(Settings!$B$5,12,1))*Tenants!$K$6:$K$105))</f>
        <v/>
      </c>
      <c r="N13" s="49">
        <f>IF($A13="","",SUM(B13:M13))</f>
        <v/>
      </c>
    </row>
    <row r="14" ht="18" customHeight="1">
      <c r="A14" s="43">
        <f>IF(Settings!$B$15="","",Settings!$B$15)</f>
        <v/>
      </c>
      <c r="B14" s="48">
        <f>IF($A14="","",SUMPRODUCT((Tenants!$G$6:$G$105=$A14)*(Tenants!$I$6:$I$105&lt;=DATE(Settings!$B$5,2,1)-1)*(Tenants!$J$6:$J$105&gt;=DATE(Settings!$B$5,1,1))*Tenants!$K$6:$K$105))</f>
        <v/>
      </c>
      <c r="C14" s="48">
        <f>IF($A14="","",SUMPRODUCT((Tenants!$G$6:$G$105=$A14)*(Tenants!$I$6:$I$105&lt;=DATE(Settings!$B$5,3,1)-1)*(Tenants!$J$6:$J$105&gt;=DATE(Settings!$B$5,2,1))*Tenants!$K$6:$K$105))</f>
        <v/>
      </c>
      <c r="D14" s="48">
        <f>IF($A14="","",SUMPRODUCT((Tenants!$G$6:$G$105=$A14)*(Tenants!$I$6:$I$105&lt;=DATE(Settings!$B$5,4,1)-1)*(Tenants!$J$6:$J$105&gt;=DATE(Settings!$B$5,3,1))*Tenants!$K$6:$K$105))</f>
        <v/>
      </c>
      <c r="E14" s="48">
        <f>IF($A14="","",SUMPRODUCT((Tenants!$G$6:$G$105=$A14)*(Tenants!$I$6:$I$105&lt;=DATE(Settings!$B$5,5,1)-1)*(Tenants!$J$6:$J$105&gt;=DATE(Settings!$B$5,4,1))*Tenants!$K$6:$K$105))</f>
        <v/>
      </c>
      <c r="F14" s="48">
        <f>IF($A14="","",SUMPRODUCT((Tenants!$G$6:$G$105=$A14)*(Tenants!$I$6:$I$105&lt;=DATE(Settings!$B$5,6,1)-1)*(Tenants!$J$6:$J$105&gt;=DATE(Settings!$B$5,5,1))*Tenants!$K$6:$K$105))</f>
        <v/>
      </c>
      <c r="G14" s="48">
        <f>IF($A14="","",SUMPRODUCT((Tenants!$G$6:$G$105=$A14)*(Tenants!$I$6:$I$105&lt;=DATE(Settings!$B$5,7,1)-1)*(Tenants!$J$6:$J$105&gt;=DATE(Settings!$B$5,6,1))*Tenants!$K$6:$K$105))</f>
        <v/>
      </c>
      <c r="H14" s="48">
        <f>IF($A14="","",SUMPRODUCT((Tenants!$G$6:$G$105=$A14)*(Tenants!$I$6:$I$105&lt;=DATE(Settings!$B$5,8,1)-1)*(Tenants!$J$6:$J$105&gt;=DATE(Settings!$B$5,7,1))*Tenants!$K$6:$K$105))</f>
        <v/>
      </c>
      <c r="I14" s="48">
        <f>IF($A14="","",SUMPRODUCT((Tenants!$G$6:$G$105=$A14)*(Tenants!$I$6:$I$105&lt;=DATE(Settings!$B$5,9,1)-1)*(Tenants!$J$6:$J$105&gt;=DATE(Settings!$B$5,8,1))*Tenants!$K$6:$K$105))</f>
        <v/>
      </c>
      <c r="J14" s="48">
        <f>IF($A14="","",SUMPRODUCT((Tenants!$G$6:$G$105=$A14)*(Tenants!$I$6:$I$105&lt;=DATE(Settings!$B$5,10,1)-1)*(Tenants!$J$6:$J$105&gt;=DATE(Settings!$B$5,9,1))*Tenants!$K$6:$K$105))</f>
        <v/>
      </c>
      <c r="K14" s="48">
        <f>IF($A14="","",SUMPRODUCT((Tenants!$G$6:$G$105=$A14)*(Tenants!$I$6:$I$105&lt;=DATE(Settings!$B$5,11,1)-1)*(Tenants!$J$6:$J$105&gt;=DATE(Settings!$B$5,10,1))*Tenants!$K$6:$K$105))</f>
        <v/>
      </c>
      <c r="L14" s="48">
        <f>IF($A14="","",SUMPRODUCT((Tenants!$G$6:$G$105=$A14)*(Tenants!$I$6:$I$105&lt;=DATE(Settings!$B$5,12,1)-1)*(Tenants!$J$6:$J$105&gt;=DATE(Settings!$B$5,11,1))*Tenants!$K$6:$K$105))</f>
        <v/>
      </c>
      <c r="M14" s="48">
        <f>IF($A14="","",SUMPRODUCT((Tenants!$G$6:$G$105=$A14)*(Tenants!$I$6:$I$105&lt;=DATE(Settings!$B$5+1,1,1)-1)*(Tenants!$J$6:$J$105&gt;=DATE(Settings!$B$5,12,1))*Tenants!$K$6:$K$105))</f>
        <v/>
      </c>
      <c r="N14" s="49">
        <f>IF($A14="","",SUM(B14:M14))</f>
        <v/>
      </c>
    </row>
    <row r="15" ht="18" customHeight="1">
      <c r="A15" s="43">
        <f>IF(Settings!$B$16="","",Settings!$B$16)</f>
        <v/>
      </c>
      <c r="B15" s="48">
        <f>IF($A15="","",SUMPRODUCT((Tenants!$G$6:$G$105=$A15)*(Tenants!$I$6:$I$105&lt;=DATE(Settings!$B$5,2,1)-1)*(Tenants!$J$6:$J$105&gt;=DATE(Settings!$B$5,1,1))*Tenants!$K$6:$K$105))</f>
        <v/>
      </c>
      <c r="C15" s="48">
        <f>IF($A15="","",SUMPRODUCT((Tenants!$G$6:$G$105=$A15)*(Tenants!$I$6:$I$105&lt;=DATE(Settings!$B$5,3,1)-1)*(Tenants!$J$6:$J$105&gt;=DATE(Settings!$B$5,2,1))*Tenants!$K$6:$K$105))</f>
        <v/>
      </c>
      <c r="D15" s="48">
        <f>IF($A15="","",SUMPRODUCT((Tenants!$G$6:$G$105=$A15)*(Tenants!$I$6:$I$105&lt;=DATE(Settings!$B$5,4,1)-1)*(Tenants!$J$6:$J$105&gt;=DATE(Settings!$B$5,3,1))*Tenants!$K$6:$K$105))</f>
        <v/>
      </c>
      <c r="E15" s="48">
        <f>IF($A15="","",SUMPRODUCT((Tenants!$G$6:$G$105=$A15)*(Tenants!$I$6:$I$105&lt;=DATE(Settings!$B$5,5,1)-1)*(Tenants!$J$6:$J$105&gt;=DATE(Settings!$B$5,4,1))*Tenants!$K$6:$K$105))</f>
        <v/>
      </c>
      <c r="F15" s="48">
        <f>IF($A15="","",SUMPRODUCT((Tenants!$G$6:$G$105=$A15)*(Tenants!$I$6:$I$105&lt;=DATE(Settings!$B$5,6,1)-1)*(Tenants!$J$6:$J$105&gt;=DATE(Settings!$B$5,5,1))*Tenants!$K$6:$K$105))</f>
        <v/>
      </c>
      <c r="G15" s="48">
        <f>IF($A15="","",SUMPRODUCT((Tenants!$G$6:$G$105=$A15)*(Tenants!$I$6:$I$105&lt;=DATE(Settings!$B$5,7,1)-1)*(Tenants!$J$6:$J$105&gt;=DATE(Settings!$B$5,6,1))*Tenants!$K$6:$K$105))</f>
        <v/>
      </c>
      <c r="H15" s="48">
        <f>IF($A15="","",SUMPRODUCT((Tenants!$G$6:$G$105=$A15)*(Tenants!$I$6:$I$105&lt;=DATE(Settings!$B$5,8,1)-1)*(Tenants!$J$6:$J$105&gt;=DATE(Settings!$B$5,7,1))*Tenants!$K$6:$K$105))</f>
        <v/>
      </c>
      <c r="I15" s="48">
        <f>IF($A15="","",SUMPRODUCT((Tenants!$G$6:$G$105=$A15)*(Tenants!$I$6:$I$105&lt;=DATE(Settings!$B$5,9,1)-1)*(Tenants!$J$6:$J$105&gt;=DATE(Settings!$B$5,8,1))*Tenants!$K$6:$K$105))</f>
        <v/>
      </c>
      <c r="J15" s="48">
        <f>IF($A15="","",SUMPRODUCT((Tenants!$G$6:$G$105=$A15)*(Tenants!$I$6:$I$105&lt;=DATE(Settings!$B$5,10,1)-1)*(Tenants!$J$6:$J$105&gt;=DATE(Settings!$B$5,9,1))*Tenants!$K$6:$K$105))</f>
        <v/>
      </c>
      <c r="K15" s="48">
        <f>IF($A15="","",SUMPRODUCT((Tenants!$G$6:$G$105=$A15)*(Tenants!$I$6:$I$105&lt;=DATE(Settings!$B$5,11,1)-1)*(Tenants!$J$6:$J$105&gt;=DATE(Settings!$B$5,10,1))*Tenants!$K$6:$K$105))</f>
        <v/>
      </c>
      <c r="L15" s="48">
        <f>IF($A15="","",SUMPRODUCT((Tenants!$G$6:$G$105=$A15)*(Tenants!$I$6:$I$105&lt;=DATE(Settings!$B$5,12,1)-1)*(Tenants!$J$6:$J$105&gt;=DATE(Settings!$B$5,11,1))*Tenants!$K$6:$K$105))</f>
        <v/>
      </c>
      <c r="M15" s="48">
        <f>IF($A15="","",SUMPRODUCT((Tenants!$G$6:$G$105=$A15)*(Tenants!$I$6:$I$105&lt;=DATE(Settings!$B$5+1,1,1)-1)*(Tenants!$J$6:$J$105&gt;=DATE(Settings!$B$5,12,1))*Tenants!$K$6:$K$105))</f>
        <v/>
      </c>
      <c r="N15" s="49">
        <f>IF($A15="","",SUM(B15:M15))</f>
        <v/>
      </c>
    </row>
    <row r="16" ht="8" customHeight="1"/>
    <row r="17" ht="22" customHeight="1">
      <c r="A17" s="50" t="inlineStr">
        <is>
          <t>PORTFOLIO TOTAL</t>
        </is>
      </c>
      <c r="B17" s="51">
        <f>SUM(B6:B15)</f>
        <v/>
      </c>
      <c r="C17" s="51">
        <f>SUM(C6:C15)</f>
        <v/>
      </c>
      <c r="D17" s="51">
        <f>SUM(D6:D15)</f>
        <v/>
      </c>
      <c r="E17" s="51">
        <f>SUM(E6:E15)</f>
        <v/>
      </c>
      <c r="F17" s="51">
        <f>SUM(F6:F15)</f>
        <v/>
      </c>
      <c r="G17" s="51">
        <f>SUM(G6:G15)</f>
        <v/>
      </c>
      <c r="H17" s="51">
        <f>SUM(H6:H15)</f>
        <v/>
      </c>
      <c r="I17" s="51">
        <f>SUM(I6:I15)</f>
        <v/>
      </c>
      <c r="J17" s="51">
        <f>SUM(J6:J15)</f>
        <v/>
      </c>
      <c r="K17" s="51">
        <f>SUM(K6:K15)</f>
        <v/>
      </c>
      <c r="L17" s="51">
        <f>SUM(L6:L15)</f>
        <v/>
      </c>
      <c r="M17" s="51">
        <f>SUM(M6:M15)</f>
        <v/>
      </c>
      <c r="N17" s="51">
        <f>SUM(N6:N15)</f>
        <v/>
      </c>
    </row>
  </sheetData>
  <mergeCells count="4"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3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HYPERLINK("#'Monthly Revenue'!A1", "← BACK")</f>
        <v/>
      </c>
      <c r="B2" s="26" t="n"/>
      <c r="C2" s="26" t="n"/>
      <c r="D2" s="36" t="inlineStr">
        <is>
          <t>PIPELINE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Inquiry-to-signed conversion funnel by channel — find your strongest acquisition lever.</t>
        </is>
      </c>
    </row>
    <row r="5" ht="20" customHeight="1">
      <c r="A5" s="38" t="inlineStr">
        <is>
          <t>Channel</t>
        </is>
      </c>
      <c r="B5" s="38" t="inlineStr">
        <is>
          <t>Inquiries</t>
        </is>
      </c>
      <c r="C5" s="38" t="inlineStr">
        <is>
          <t>Applications</t>
        </is>
      </c>
      <c r="D5" s="38" t="inlineStr">
        <is>
          <t>Approved</t>
        </is>
      </c>
      <c r="E5" s="38" t="inlineStr">
        <is>
          <t>Signed</t>
        </is>
      </c>
      <c r="F5" s="38" t="inlineStr">
        <is>
          <t>Inq → App %</t>
        </is>
      </c>
      <c r="G5" s="38" t="inlineStr">
        <is>
          <t>App → Apv %</t>
        </is>
      </c>
      <c r="H5" s="38" t="inlineStr">
        <is>
          <t>Apv → Sign %</t>
        </is>
      </c>
      <c r="I5" s="38" t="inlineStr">
        <is>
          <t>Inq → Sign %</t>
        </is>
      </c>
    </row>
    <row r="6" ht="18" customHeight="1">
      <c r="A6" s="52" t="inlineStr">
        <is>
          <t>Furnished Finder</t>
        </is>
      </c>
      <c r="B6" s="53" t="n"/>
      <c r="C6" s="53" t="n"/>
      <c r="D6" s="53" t="n"/>
      <c r="E6" s="53" t="n"/>
      <c r="F6" s="54">
        <f>IFERROR(C6/B6,0)</f>
        <v/>
      </c>
      <c r="G6" s="54">
        <f>IFERROR(D6/C6,0)</f>
        <v/>
      </c>
      <c r="H6" s="54">
        <f>IFERROR(E6/D6,0)</f>
        <v/>
      </c>
      <c r="I6" s="55">
        <f>IFERROR(E6/B6,0)</f>
        <v/>
      </c>
    </row>
    <row r="7" ht="18" customHeight="1">
      <c r="A7" s="52" t="inlineStr">
        <is>
          <t>Blueground</t>
        </is>
      </c>
      <c r="B7" s="53" t="n"/>
      <c r="C7" s="53" t="n"/>
      <c r="D7" s="53" t="n"/>
      <c r="E7" s="53" t="n"/>
      <c r="F7" s="54">
        <f>IFERROR(C7/B7,0)</f>
        <v/>
      </c>
      <c r="G7" s="54">
        <f>IFERROR(D7/C7,0)</f>
        <v/>
      </c>
      <c r="H7" s="54">
        <f>IFERROR(E7/D7,0)</f>
        <v/>
      </c>
      <c r="I7" s="55">
        <f>IFERROR(E7/B7,0)</f>
        <v/>
      </c>
    </row>
    <row r="8" ht="18" customHeight="1">
      <c r="A8" s="52" t="inlineStr">
        <is>
          <t>AnyPlace</t>
        </is>
      </c>
      <c r="B8" s="53" t="n"/>
      <c r="C8" s="53" t="n"/>
      <c r="D8" s="53" t="n"/>
      <c r="E8" s="53" t="n"/>
      <c r="F8" s="54">
        <f>IFERROR(C8/B8,0)</f>
        <v/>
      </c>
      <c r="G8" s="54">
        <f>IFERROR(D8/C8,0)</f>
        <v/>
      </c>
      <c r="H8" s="54">
        <f>IFERROR(E8/D8,0)</f>
        <v/>
      </c>
      <c r="I8" s="55">
        <f>IFERROR(E8/B8,0)</f>
        <v/>
      </c>
    </row>
    <row r="9" ht="18" customHeight="1">
      <c r="A9" s="52" t="inlineStr">
        <is>
          <t>Direct</t>
        </is>
      </c>
      <c r="B9" s="53" t="n"/>
      <c r="C9" s="53" t="n"/>
      <c r="D9" s="53" t="n"/>
      <c r="E9" s="53" t="n"/>
      <c r="F9" s="54">
        <f>IFERROR(C9/B9,0)</f>
        <v/>
      </c>
      <c r="G9" s="54">
        <f>IFERROR(D9/C9,0)</f>
        <v/>
      </c>
      <c r="H9" s="54">
        <f>IFERROR(E9/D9,0)</f>
        <v/>
      </c>
      <c r="I9" s="55">
        <f>IFERROR(E9/B9,0)</f>
        <v/>
      </c>
    </row>
    <row r="10" ht="18" customHeight="1">
      <c r="A10" s="52" t="inlineStr">
        <is>
          <t>Referral</t>
        </is>
      </c>
      <c r="B10" s="53" t="n"/>
      <c r="C10" s="53" t="n"/>
      <c r="D10" s="53" t="n"/>
      <c r="E10" s="53" t="n"/>
      <c r="F10" s="54">
        <f>IFERROR(C10/B10,0)</f>
        <v/>
      </c>
      <c r="G10" s="54">
        <f>IFERROR(D10/C10,0)</f>
        <v/>
      </c>
      <c r="H10" s="54">
        <f>IFERROR(E10/D10,0)</f>
        <v/>
      </c>
      <c r="I10" s="55">
        <f>IFERROR(E10/B10,0)</f>
        <v/>
      </c>
    </row>
    <row r="11" ht="8" customHeight="1">
      <c r="A11" s="52" t="inlineStr">
        <is>
          <t>Other</t>
        </is>
      </c>
      <c r="B11" s="53" t="n"/>
      <c r="C11" s="53" t="n"/>
      <c r="D11" s="53" t="n"/>
      <c r="E11" s="53" t="n"/>
      <c r="F11" s="54">
        <f>IFERROR(C11/B11,0)</f>
        <v/>
      </c>
      <c r="G11" s="54">
        <f>IFERROR(D11/C11,0)</f>
        <v/>
      </c>
      <c r="H11" s="54">
        <f>IFERROR(E11/D11,0)</f>
        <v/>
      </c>
      <c r="I11" s="55">
        <f>IFERROR(E11/B11,0)</f>
        <v/>
      </c>
    </row>
    <row r="12" ht="22" customHeight="1">
      <c r="A12" s="56" t="inlineStr">
        <is>
          <t>TOTAL</t>
        </is>
      </c>
      <c r="B12" s="57">
        <f>SUM(B6:B10)</f>
        <v/>
      </c>
      <c r="C12" s="57">
        <f>SUM(C6:C10)</f>
        <v/>
      </c>
      <c r="D12" s="57">
        <f>SUM(D6:D10)</f>
        <v/>
      </c>
      <c r="E12" s="57">
        <f>SUM(E6:E10)</f>
        <v/>
      </c>
      <c r="F12" s="58">
        <f>IFERROR(C12/B12,0)</f>
        <v/>
      </c>
      <c r="G12" s="58">
        <f>IFERROR(D12/C12,0)</f>
        <v/>
      </c>
      <c r="H12" s="58">
        <f>IFERROR(E12/D12,0)</f>
        <v/>
      </c>
      <c r="I12" s="58">
        <f>IFERROR(E12/B12,0)</f>
        <v/>
      </c>
    </row>
    <row r="13" ht="8" customHeight="1"/>
    <row r="14" ht="22" customHeight="1">
      <c r="A14" s="59" t="inlineStr">
        <is>
          <t>Funnel Stage (totals)</t>
        </is>
      </c>
    </row>
    <row r="15" ht="18" customHeight="1">
      <c r="A15" s="60" t="inlineStr">
        <is>
          <t>Inquiries</t>
        </is>
      </c>
      <c r="B15" s="61">
        <f>B12</f>
        <v/>
      </c>
    </row>
    <row r="16" ht="18" customHeight="1">
      <c r="A16" s="60" t="inlineStr">
        <is>
          <t>Applications</t>
        </is>
      </c>
      <c r="B16" s="61">
        <f>C12</f>
        <v/>
      </c>
    </row>
    <row r="17" ht="18" customHeight="1">
      <c r="A17" s="60" t="inlineStr">
        <is>
          <t>Approved</t>
        </is>
      </c>
      <c r="B17" s="61">
        <f>D12</f>
        <v/>
      </c>
    </row>
    <row r="18" ht="18" customHeight="1">
      <c r="A18" s="60" t="inlineStr">
        <is>
          <t>Signed</t>
        </is>
      </c>
      <c r="B18" s="61">
        <f>E12</f>
        <v/>
      </c>
    </row>
  </sheetData>
  <mergeCells count="4">
    <mergeCell ref="J2:L2"/>
    <mergeCell ref="D2:I2"/>
    <mergeCell ref="A2:C2"/>
    <mergeCell ref="A4:L4"/>
  </mergeCells>
  <conditionalFormatting sqref="I6:I10">
    <cfRule type="cellIs" priority="1" operator="greaterThanOrEqual" dxfId="0">
      <formula>0.25</formula>
    </cfRule>
    <cfRule type="cellIs" priority="2" operator="lessThan" dxfId="4">
      <formula>0.10</formula>
    </cfRule>
  </conditionalFormatting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HYPERLINK("#'Pipeline'!A1", "← BACK")</f>
        <v/>
      </c>
      <c r="B2" s="26" t="n"/>
      <c r="C2" s="26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Active year · property list · channel list · lease type list</t>
        </is>
      </c>
    </row>
    <row r="5" ht="18" customHeight="1">
      <c r="A5" s="62" t="inlineStr">
        <is>
          <t>Active year:</t>
        </is>
      </c>
      <c r="B5" s="63" t="n">
        <v>2026</v>
      </c>
    </row>
    <row r="6" ht="6" customHeight="1"/>
    <row r="7" ht="16" customHeight="1">
      <c r="A7" s="64" t="inlineStr">
        <is>
          <t>Property list (10 max)</t>
        </is>
      </c>
      <c r="B7" s="39" t="n"/>
    </row>
    <row r="8" ht="16" customHeight="1">
      <c r="B8" s="39" t="n"/>
    </row>
    <row r="9" ht="16" customHeight="1">
      <c r="B9" s="39" t="n"/>
    </row>
    <row r="10" ht="16" customHeight="1">
      <c r="B10" s="39" t="n"/>
    </row>
    <row r="11" ht="16" customHeight="1">
      <c r="B11" s="39" t="n"/>
    </row>
    <row r="12" ht="16" customHeight="1">
      <c r="B12" s="39" t="n"/>
    </row>
    <row r="13" ht="16" customHeight="1">
      <c r="B13" s="39" t="n"/>
    </row>
    <row r="14" ht="16" customHeight="1">
      <c r="B14" s="39" t="n"/>
    </row>
    <row r="15" ht="16" customHeight="1">
      <c r="B15" s="39" t="n"/>
    </row>
    <row r="16" ht="16" customHeight="1">
      <c r="B16" s="39" t="n"/>
    </row>
    <row r="17" ht="6" customHeight="1"/>
    <row r="18" ht="16" customHeight="1">
      <c r="A18" s="64" t="inlineStr">
        <is>
          <t>Channel list</t>
        </is>
      </c>
      <c r="B18" s="65" t="inlineStr">
        <is>
          <t>Furnished Finder</t>
        </is>
      </c>
    </row>
    <row r="19" ht="16" customHeight="1">
      <c r="B19" s="65" t="inlineStr">
        <is>
          <t>Blueground</t>
        </is>
      </c>
    </row>
    <row r="20" ht="16" customHeight="1">
      <c r="B20" s="65" t="inlineStr">
        <is>
          <t>AnyPlace</t>
        </is>
      </c>
    </row>
    <row r="21" ht="16" customHeight="1">
      <c r="B21" s="65" t="inlineStr">
        <is>
          <t>Direct</t>
        </is>
      </c>
    </row>
    <row r="22" ht="16" customHeight="1">
      <c r="B22" s="65" t="inlineStr">
        <is>
          <t>Referral</t>
        </is>
      </c>
    </row>
    <row r="23" ht="16" customHeight="1">
      <c r="B23" s="65" t="inlineStr">
        <is>
          <t>Other</t>
        </is>
      </c>
    </row>
    <row r="26" ht="6" customHeight="1"/>
    <row r="27" ht="16" customHeight="1">
      <c r="A27" s="64" t="inlineStr">
        <is>
          <t>Lease type list</t>
        </is>
      </c>
      <c r="B27" s="65" t="inlineStr">
        <is>
          <t>3-month</t>
        </is>
      </c>
    </row>
    <row r="28" ht="16" customHeight="1">
      <c r="B28" s="65" t="inlineStr">
        <is>
          <t>6-month</t>
        </is>
      </c>
    </row>
    <row r="29" ht="16" customHeight="1">
      <c r="B29" s="65" t="inlineStr">
        <is>
          <t>Month-to-month</t>
        </is>
      </c>
    </row>
    <row r="30" ht="16" customHeight="1">
      <c r="B30" s="65" t="inlineStr">
        <is>
          <t>Corporate negotiated</t>
        </is>
      </c>
    </row>
    <row r="31" ht="16" customHeight="1">
      <c r="B31" s="65" t="inlineStr">
        <is>
          <t>Travel nurse contract</t>
        </is>
      </c>
    </row>
    <row r="32" ht="16" customHeight="1">
      <c r="B32" s="65" t="inlineStr">
        <is>
          <t>Other</t>
        </is>
      </c>
    </row>
    <row r="35" ht="8" customHeight="1"/>
    <row r="36" ht="22" customHeight="1">
      <c r="A36" s="50" t="inlineStr">
        <is>
          <t>Year-end archive</t>
        </is>
      </c>
    </row>
    <row r="37" ht="28" customHeight="1">
      <c r="A37" s="66" t="inlineStr">
        <is>
          <t>Each January, log YTD totals for the closing year, then bump Active year above and clear past tenants from the Tenants tab (or archive separately).</t>
        </is>
      </c>
    </row>
    <row r="38" ht="18" customHeight="1">
      <c r="A38" s="38" t="inlineStr">
        <is>
          <t>Year</t>
        </is>
      </c>
      <c r="B38" s="38" t="inlineStr">
        <is>
          <t>Tenants Hosted</t>
        </is>
      </c>
      <c r="C38" s="38" t="inlineStr">
        <is>
          <t>Total MRR Collected</t>
        </is>
      </c>
      <c r="D38" s="38" t="inlineStr">
        <is>
          <t>Gap Days</t>
        </is>
      </c>
    </row>
    <row r="39" ht="16" customHeight="1">
      <c r="A39" s="67" t="n">
        <v>2024</v>
      </c>
      <c r="B39" s="63" t="n"/>
      <c r="C39" s="41" t="n"/>
      <c r="D39" s="63" t="n"/>
    </row>
    <row r="40" ht="16" customHeight="1">
      <c r="A40" s="67" t="n">
        <v>2025</v>
      </c>
      <c r="B40" s="63" t="n"/>
      <c r="C40" s="41" t="n"/>
      <c r="D40" s="63" t="n"/>
    </row>
    <row r="41" ht="16" customHeight="1">
      <c r="A41" s="67" t="n">
        <v>2026</v>
      </c>
      <c r="B41" s="63" t="n"/>
      <c r="C41" s="41" t="n"/>
      <c r="D41" s="63" t="n"/>
    </row>
    <row r="42" ht="16" customHeight="1">
      <c r="A42" s="67" t="n">
        <v>2027</v>
      </c>
      <c r="B42" s="63" t="n"/>
      <c r="C42" s="41" t="n"/>
      <c r="D42" s="63" t="n"/>
    </row>
    <row r="43" ht="16" customHeight="1">
      <c r="A43" s="67" t="n">
        <v>2028</v>
      </c>
      <c r="B43" s="63" t="n"/>
      <c r="C43" s="41" t="n"/>
      <c r="D43" s="63" t="n"/>
    </row>
    <row r="44" ht="16" customHeight="1">
      <c r="A44" s="67" t="n">
        <v>2029</v>
      </c>
      <c r="B44" s="63" t="n"/>
      <c r="C44" s="41" t="n"/>
      <c r="D44" s="63" t="n"/>
    </row>
    <row r="45" ht="16" customHeight="1">
      <c r="A45" s="67" t="n">
        <v>2030</v>
      </c>
      <c r="B45" s="63" t="n"/>
      <c r="C45" s="41" t="n"/>
      <c r="D45" s="63" t="n"/>
    </row>
  </sheetData>
  <mergeCells count="4">
    <mergeCell ref="D2:L2"/>
    <mergeCell ref="A37:D37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Corporate Housing &amp; Travel-Nurse Tracker (BLANK) — The STR Ledger</dc:title>
  <dc:description xmlns:dc="http://purl.org/dc/elements/1.1/">Mid-term rental (30+ day) tenant CRM, lease calendar, MRR matrix, and pipeline funnel for Furnished Finder / Blueground / corporate-direct hosts (v2.3).</dc:description>
  <dcterms:created xmlns:dcterms="http://purl.org/dc/terms/" xmlns:xsi="http://www.w3.org/2001/XMLSchema-instance" xsi:type="dcterms:W3CDTF">2026-05-03T12:39:00Z</dcterms:created>
  <dcterms:modified xmlns:dcterms="http://purl.org/dc/terms/" xmlns:xsi="http://www.w3.org/2001/XMLSchema-instance" xsi:type="dcterms:W3CDTF">2026-05-03T12:39:01Z</dcterms:modified>
</cp:coreProperties>
</file>