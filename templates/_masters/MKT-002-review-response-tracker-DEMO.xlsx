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Reviews Log" sheetId="2" state="visible" r:id="rId2"/>
    <sheet xmlns:r="http://schemas.openxmlformats.org/officeDocument/2006/relationships" name="Reply Templates" sheetId="3" state="visible" r:id="rId3"/>
    <sheet xmlns:r="http://schemas.openxmlformats.org/officeDocument/2006/relationships" name="Lessons Learned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'Start'!$A$1:$L$50</definedName>
    <definedName name="_xlnm.Print_Titles" localSheetId="1">'Reviews Log'!$1:$5</definedName>
    <definedName name="_xlnm.Print_Titles" localSheetId="2">'Reply Templates'!$1:$4</definedName>
    <definedName name="_xlnm.Print_Area" localSheetId="2">'Reply Templates'!$A$1:$L$98</definedName>
    <definedName name="_xlnm.Print_Titles" localSheetId="3">'Lessons Learned'!$1:$5</definedName>
    <definedName name="_xlnm.Print_Area" localSheetId="3">'Lessons Learned'!$A$1:$H$30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7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4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C9A24B"/>
      <sz val="9"/>
    </font>
    <font>
      <name val="Georgia"/>
      <b val="1"/>
      <color rgb="00C9A24B"/>
      <sz val="32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i val="1"/>
      <color rgb="00B91C1C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i val="1"/>
      <color rgb="002B2B2B"/>
      <sz val="11"/>
    </font>
    <font>
      <name val="Calibri"/>
      <i val="1"/>
      <color rgb="006B7280"/>
      <sz val="10"/>
    </font>
    <font>
      <name val="Georgia"/>
      <b val="1"/>
      <color rgb="0012304E"/>
      <sz val="14"/>
    </font>
    <font>
      <name val="Calibri"/>
      <b val="1"/>
      <color rgb="002B2B2B"/>
      <sz val="11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8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2"/>
    </xf>
    <xf numFmtId="0" fontId="6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6" fillId="5" borderId="0" applyAlignment="1" pivotButton="0" quotePrefix="0" xfId="0">
      <alignment horizontal="left" vertical="center" wrapText="1" indent="2"/>
    </xf>
    <xf numFmtId="0" fontId="0" fillId="5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3" borderId="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1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2" fontId="9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12" fillId="3" borderId="5" applyAlignment="1" pivotButton="0" quotePrefix="0" xfId="0">
      <alignment horizontal="center" vertical="center"/>
    </xf>
    <xf numFmtId="9" fontId="14" fillId="3" borderId="5" applyAlignment="1" pivotButton="0" quotePrefix="0" xfId="0">
      <alignment horizontal="center" vertical="center"/>
    </xf>
    <xf numFmtId="0" fontId="0" fillId="0" borderId="5" pivotButton="0" quotePrefix="0" xfId="0"/>
    <xf numFmtId="0" fontId="10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5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5" fillId="6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6" fillId="4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8" fillId="6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2" borderId="0" applyAlignment="1" pivotButton="0" quotePrefix="0" xfId="0">
      <alignment horizontal="right" vertical="center" indent="2"/>
    </xf>
    <xf numFmtId="0" fontId="22" fillId="3" borderId="0" applyAlignment="1" pivotButton="0" quotePrefix="0" xfId="0">
      <alignment horizontal="left" vertical="center" indent="1"/>
    </xf>
    <xf numFmtId="0" fontId="18" fillId="2" borderId="14" applyAlignment="1" pivotButton="0" quotePrefix="0" xfId="0">
      <alignment horizontal="center" vertical="center"/>
    </xf>
    <xf numFmtId="164" fontId="6" fillId="7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left" vertical="top" wrapText="1"/>
    </xf>
    <xf numFmtId="1" fontId="23" fillId="8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1"/>
    </xf>
    <xf numFmtId="0" fontId="24" fillId="3" borderId="15" applyAlignment="1" pivotButton="0" quotePrefix="0" xfId="0">
      <alignment horizontal="left" vertical="center" wrapText="1" indent="1"/>
    </xf>
    <xf numFmtId="0" fontId="0" fillId="3" borderId="16" pivotButton="0" quotePrefix="0" xfId="0"/>
    <xf numFmtId="0" fontId="0" fillId="3" borderId="17" pivotButton="0" quotePrefix="0" xfId="0"/>
    <xf numFmtId="0" fontId="5" fillId="3" borderId="5" applyAlignment="1" pivotButton="0" quotePrefix="0" xfId="0">
      <alignment horizontal="left" vertical="center" indent="1"/>
    </xf>
    <xf numFmtId="0" fontId="0" fillId="3" borderId="7" pivotButton="0" quotePrefix="0" xfId="0"/>
    <xf numFmtId="0" fontId="6" fillId="3" borderId="5" applyAlignment="1" pivotButton="0" quotePrefix="0" xfId="0">
      <alignment horizontal="left" vertical="top" wrapText="1" indent="2"/>
    </xf>
    <xf numFmtId="0" fontId="0" fillId="3" borderId="5" pivotButton="0" quotePrefix="0" xfId="0"/>
    <xf numFmtId="0" fontId="0" fillId="3" borderId="8" pivotButton="0" quotePrefix="0" xfId="0"/>
    <xf numFmtId="0" fontId="0" fillId="3" borderId="9" pivotButton="0" quotePrefix="0" xfId="0"/>
    <xf numFmtId="0" fontId="0" fillId="3" borderId="10" pivotButton="0" quotePrefix="0" xfId="0"/>
    <xf numFmtId="0" fontId="25" fillId="0" borderId="0" pivotButton="0" quotePrefix="0" xfId="0"/>
    <xf numFmtId="0" fontId="23" fillId="8" borderId="0" applyAlignment="1" pivotButton="0" quotePrefix="0" xfId="0">
      <alignment horizontal="left" vertical="center"/>
    </xf>
    <xf numFmtId="2" fontId="23" fillId="8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right" vertical="center"/>
    </xf>
    <xf numFmtId="1" fontId="6" fillId="7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 indent="1"/>
    </xf>
    <xf numFmtId="0" fontId="15" fillId="0" borderId="0" pivotButton="0" quotePrefix="0" xfId="0"/>
    <xf numFmtId="0" fontId="24" fillId="0" borderId="0" applyAlignment="1" pivotButton="0" quotePrefix="0" xfId="0">
      <alignment horizontal="left" vertical="center" wrapText="1"/>
    </xf>
    <xf numFmtId="0" fontId="6" fillId="0" borderId="0" pivotButton="0" quotePrefix="0" xfId="0"/>
    <xf numFmtId="2" fontId="6" fillId="7" borderId="0" applyAlignment="1" pivotButton="0" quotePrefix="0" xfId="0">
      <alignment horizontal="left" vertical="center"/>
    </xf>
    <xf numFmtId="9" fontId="6" fillId="7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ont>
        <b val="1"/>
        <color rgb="002B2B2B"/>
      </font>
      <fill>
        <patternFill patternType="solid">
          <fgColor rgb="00C7EFCF"/>
        </patternFill>
      </fill>
    </dxf>
    <dxf>
      <font>
        <color rgb="002B2B2B"/>
      </font>
      <fill>
        <patternFill patternType="solid">
          <fgColor rgb="00F6EFE2"/>
        </patternFill>
      </fill>
    </dxf>
    <dxf>
      <font>
        <b val="1"/>
        <color rgb="002B2B2B"/>
      </font>
      <fill>
        <patternFill patternType="solid">
          <fgColor rgb="00E2C884"/>
        </patternFill>
      </fill>
    </dxf>
    <dxf>
      <font>
        <b val="1"/>
        <color rgb="00B91C1C"/>
      </font>
      <fill>
        <patternFill patternType="solid">
          <fgColor rgb="00FFCCCC"/>
        </patternFill>
      </fill>
    </dxf>
    <dxf>
      <fill>
        <patternFill patternType="solid">
          <fgColor rgb="00C7EF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6" customHeight="1">
      <c r="A4" s="3" t="inlineStr">
        <is>
          <t>Review Response Tracker</t>
        </is>
      </c>
    </row>
    <row r="5" ht="22" customHeight="1">
      <c r="A5" s="4" t="inlineStr">
        <is>
          <t>Reply with grace in 3 minutes — not 15.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MKT-002 · v2.3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6" t="inlineStr">
        <is>
          <t>WHAT THIS DOES</t>
        </is>
      </c>
    </row>
    <row r="11">
      <c r="A11" s="7" t="inlineStr">
        <is>
          <t>Logs every guest review (rating, content, sentiment), tracks whether you responded and how fast, and stores 8 reply templates organized by review tone. Cuts response time from 15 minutes to 3, and prevents the "I forgot to reply to that 3-star" failure mode that quietly drags your ranking. Lessons-Learned auto-aggregates the tags you assign so themes (wifi, cleaning, comms) surface before they sink an average.</t>
        </is>
      </c>
    </row>
    <row r="12"/>
    <row r="13"/>
    <row r="14"/>
    <row r="15"/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8" ht="20" customHeight="1">
      <c r="A18" s="6" t="inlineStr">
        <is>
          <t>HOW TO USE</t>
        </is>
      </c>
    </row>
    <row r="19" ht="22" customHeight="1">
      <c r="A19" s="9" t="inlineStr">
        <is>
          <t>① Reviews Log: log every review the day it lands — date, stars, public text, sentiment.</t>
        </is>
      </c>
    </row>
    <row r="20" ht="22" customHeight="1">
      <c r="A20" s="9" t="inlineStr">
        <is>
          <t>② Reply Templates: pick the template that matches the tone — copy, swap [BRACKETS], paste.</t>
        </is>
      </c>
    </row>
    <row r="21" ht="22" customHeight="1">
      <c r="A21" s="9" t="inlineStr">
        <is>
          <t>③ Tag each review (cleaning, wifi, noise, comms) so Lessons Learned can find patterns.</t>
        </is>
      </c>
    </row>
    <row r="22" ht="22" customHeight="1">
      <c r="A22" s="9" t="inlineStr">
        <is>
          <t>④ Mark Response sent? = Y and date stamped — Days-to-respond auto-calculates.</t>
        </is>
      </c>
    </row>
    <row r="23" ht="22" customHeight="1">
      <c r="A23" s="9" t="inlineStr">
        <is>
          <t>⑤ Lessons Learned: scan the top tags monthly. The recurring ones are property fixes.</t>
        </is>
      </c>
    </row>
    <row r="24" ht="22" customHeight="1">
      <c r="A24" s="9" t="inlineStr">
        <is>
          <t>⑥ Settings: update property + channel lists once a year. Active year drives KPIs.</t>
        </is>
      </c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</row>
    <row r="27" ht="22" customHeight="1">
      <c r="A27" s="11">
        <f>HYPERLINK("#'Reviews Log'!A6", "→  ADD A NEW REVIEW  (OPEN REVIEWS LOG)")</f>
        <v/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</row>
    <row r="28" ht="22" customHeight="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</row>
    <row r="29" ht="22" customHeight="1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</row>
    <row r="30" ht="22" customHeight="1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</row>
    <row r="32">
      <c r="A32" s="13" t="inlineStr">
        <is>
          <t>AVG RATING (ACTIVE YR)</t>
        </is>
      </c>
      <c r="B32" s="14" t="n"/>
      <c r="C32" s="14" t="n"/>
      <c r="D32" s="15" t="n"/>
      <c r="E32" s="16" t="inlineStr">
        <is>
          <t>REVIEWS LOGGED</t>
        </is>
      </c>
      <c r="F32" s="14" t="n"/>
      <c r="G32" s="14" t="n"/>
      <c r="H32" s="15" t="n"/>
      <c r="I32" s="17" t="inlineStr">
        <is>
          <t>RESPONSE RATE</t>
        </is>
      </c>
      <c r="J32" s="14" t="n"/>
      <c r="K32" s="14" t="n"/>
      <c r="L32" s="15" t="n"/>
    </row>
    <row r="33">
      <c r="A33" s="18">
        <f>IFERROR(AVERAGEIFS('Reviews Log'!F6:F305,'Reviews Log'!A6:A305,"&gt;="&amp;DATE(Settings!$B$5,1,1),'Reviews Log'!A6:A305,"&lt;="&amp;DATE(Settings!$B$5,12,31)),0)</f>
        <v/>
      </c>
      <c r="B33" s="19" t="n"/>
      <c r="C33" s="19" t="n"/>
      <c r="D33" s="20" t="n"/>
      <c r="E33" s="21">
        <f>COUNTIFS('Reviews Log'!A6:A305,"&gt;="&amp;DATE(Settings!$B$5,1,1),'Reviews Log'!A6:A305,"&lt;="&amp;DATE(Settings!$B$5,12,31))</f>
        <v/>
      </c>
      <c r="F33" s="19" t="n"/>
      <c r="G33" s="19" t="n"/>
      <c r="H33" s="20" t="n"/>
      <c r="I33" s="22">
        <f>IFERROR(COUNTIFS('Reviews Log'!J6:J305,"Y",'Reviews Log'!A6:A305,"&gt;="&amp;DATE(Settings!$B$5,1,1),'Reviews Log'!A6:A305,"&lt;="&amp;DATE(Settings!$B$5,12,31))/COUNTIFS('Reviews Log'!A6:A305,"&gt;="&amp;DATE(Settings!$B$5,1,1),'Reviews Log'!A6:A305,"&lt;="&amp;DATE(Settings!$B$5,12,31)),0)</f>
        <v/>
      </c>
      <c r="J33" s="19" t="n"/>
      <c r="K33" s="19" t="n"/>
      <c r="L33" s="20" t="n"/>
    </row>
    <row r="34">
      <c r="A34" s="23" t="n"/>
      <c r="B34" s="19" t="n"/>
      <c r="C34" s="19" t="n"/>
      <c r="D34" s="20" t="n"/>
      <c r="E34" s="23" t="n"/>
      <c r="F34" s="19" t="n"/>
      <c r="G34" s="19" t="n"/>
      <c r="H34" s="20" t="n"/>
      <c r="I34" s="23" t="n"/>
      <c r="J34" s="19" t="n"/>
      <c r="K34" s="19" t="n"/>
      <c r="L34" s="20" t="n"/>
    </row>
    <row r="35">
      <c r="A35" s="24" t="inlineStr">
        <is>
          <t>stars · all properties</t>
        </is>
      </c>
      <c r="B35" s="25" t="n"/>
      <c r="C35" s="25" t="n"/>
      <c r="D35" s="26" t="n"/>
      <c r="E35" s="24" t="inlineStr">
        <is>
          <t>in active year</t>
        </is>
      </c>
      <c r="F35" s="25" t="n"/>
      <c r="G35" s="25" t="n"/>
      <c r="H35" s="26" t="n"/>
      <c r="I35" s="24" t="inlineStr">
        <is>
          <t>responses / reviews</t>
        </is>
      </c>
      <c r="J35" s="25" t="n"/>
      <c r="K35" s="25" t="n"/>
      <c r="L35" s="26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9" ht="22" customHeight="1">
      <c r="A39" s="27">
        <f>HYPERLINK("#'Reply Templates'!A1", "Reply Templates")</f>
        <v/>
      </c>
      <c r="B39" s="28" t="n"/>
      <c r="C39" s="28" t="n"/>
      <c r="D39" s="27">
        <f>HYPERLINK("#'Lessons Learned'!A1", "Lessons Learned")</f>
        <v/>
      </c>
      <c r="E39" s="28" t="n"/>
      <c r="F39" s="28" t="n"/>
      <c r="G39" s="29">
        <f>HYPERLINK("#'Lessons Learned'!A1", "📄 Print Lessons")</f>
        <v/>
      </c>
      <c r="H39" s="30" t="n"/>
      <c r="I39" s="30" t="n"/>
      <c r="J39" s="27">
        <f>HYPERLINK("#'Settings'!A1", "Settings")</f>
        <v/>
      </c>
      <c r="K39" s="28" t="n"/>
      <c r="L39" s="28" t="n"/>
    </row>
    <row r="40" ht="22" customHeight="1">
      <c r="A40" s="28" t="n"/>
      <c r="B40" s="28" t="n"/>
      <c r="C40" s="28" t="n"/>
      <c r="D40" s="28" t="n"/>
      <c r="E40" s="28" t="n"/>
      <c r="F40" s="28" t="n"/>
      <c r="G40" s="30" t="n"/>
      <c r="H40" s="30" t="n"/>
      <c r="I40" s="30" t="n"/>
      <c r="J40" s="28" t="n"/>
      <c r="K40" s="28" t="n"/>
      <c r="L40" s="28" t="n"/>
    </row>
    <row r="42" ht="36" customHeight="1">
      <c r="A42" s="31" t="inlineStr">
        <is>
          <t>⏱ Respond within 48 hours. Future guests scroll past your replies before they book — silence reads louder than the review itself.</t>
        </is>
      </c>
    </row>
    <row r="44" ht="28" customHeight="1">
      <c r="A44" s="32" t="inlineStr">
        <is>
          <t>⚠ Never apologize on a 1-star false claim — that reads as admission. Use TPL-07 for hostile reviews and let the documented facts speak.</t>
        </is>
      </c>
    </row>
    <row r="46" ht="30" customHeight="1">
      <c r="A46" s="33" t="inlineStr">
        <is>
          <t>💡 Upgrade to the Full version at thestrledger.com/upgrade — multi-property, depreciation, multi-LLC support.</t>
        </is>
      </c>
    </row>
    <row r="48">
      <c r="A48" s="34" t="n"/>
      <c r="B48" s="34" t="n"/>
      <c r="C48" s="34" t="n"/>
      <c r="D48" s="34" t="n"/>
      <c r="E48" s="34" t="n"/>
      <c r="F48" s="34" t="n"/>
      <c r="G48" s="34" t="n"/>
      <c r="H48" s="34" t="n"/>
      <c r="I48" s="34" t="n"/>
      <c r="J48" s="34" t="n"/>
      <c r="K48" s="34" t="n"/>
      <c r="L48" s="34" t="n"/>
    </row>
    <row r="49" ht="18" customHeight="1">
      <c r="A49" s="35" t="inlineStr">
        <is>
          <t>Questions? hello@thestrledger.com</t>
        </is>
      </c>
    </row>
    <row r="50" ht="18" customHeight="1">
      <c r="A50" s="36" t="inlineStr">
        <is>
          <t>MKT-002 · v2.3 · Free updates forever</t>
        </is>
      </c>
    </row>
  </sheetData>
  <mergeCells count="31">
    <mergeCell ref="A7:L7"/>
    <mergeCell ref="A11:L15"/>
    <mergeCell ref="A35:D35"/>
    <mergeCell ref="E33:H34"/>
    <mergeCell ref="D39:F40"/>
    <mergeCell ref="I35:L35"/>
    <mergeCell ref="A18:L18"/>
    <mergeCell ref="A39:C40"/>
    <mergeCell ref="E32:H32"/>
    <mergeCell ref="A21:L21"/>
    <mergeCell ref="A50:L50"/>
    <mergeCell ref="A2:F2"/>
    <mergeCell ref="J39:L40"/>
    <mergeCell ref="A42:L42"/>
    <mergeCell ref="A5:L5"/>
    <mergeCell ref="A23:L23"/>
    <mergeCell ref="A22:L22"/>
    <mergeCell ref="I33:L34"/>
    <mergeCell ref="A4:L4"/>
    <mergeCell ref="A20:L20"/>
    <mergeCell ref="G39:I40"/>
    <mergeCell ref="A10:L10"/>
    <mergeCell ref="A19:L19"/>
    <mergeCell ref="A33:D34"/>
    <mergeCell ref="E35:H35"/>
    <mergeCell ref="A44:L44"/>
    <mergeCell ref="I32:L32"/>
    <mergeCell ref="A24:L24"/>
    <mergeCell ref="A49:L49"/>
    <mergeCell ref="A27:L30"/>
    <mergeCell ref="A32:D32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N30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1" customWidth="1" min="3" max="3"/>
    <col width="14" customWidth="1" min="4" max="4"/>
    <col width="12" customWidth="1" min="5" max="5"/>
    <col width="7" customWidth="1" min="6" max="6"/>
    <col width="40" customWidth="1" min="7" max="7"/>
    <col width="28" customWidth="1" min="8" max="8"/>
    <col width="11" customWidth="1" min="9" max="9"/>
    <col width="8" customWidth="1" min="10" max="10"/>
    <col width="12" customWidth="1" min="11" max="11"/>
    <col width="9" customWidth="1" min="12" max="12"/>
    <col width="22" customWidth="1" min="13" max="13"/>
    <col width="22" customWidth="1" min="14" max="14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HYPERLINK("#'Start'!A1", "← BACK")</f>
        <v/>
      </c>
      <c r="B2" s="12" t="n"/>
      <c r="C2" s="12" t="n"/>
      <c r="D2" s="37" t="inlineStr">
        <is>
          <t>REVIEWS LOG</t>
        </is>
      </c>
      <c r="J2" s="29">
        <f>HYPERLINK("#'Reply Templates'!A1",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Log every review the day it arrives — stars + sentiment + tags drive everything else</t>
        </is>
      </c>
    </row>
    <row r="5" ht="20" customHeight="1">
      <c r="A5" s="39" t="inlineStr">
        <is>
          <t>Date Received</t>
        </is>
      </c>
      <c r="B5" s="39" t="inlineStr">
        <is>
          <t>Property</t>
        </is>
      </c>
      <c r="C5" s="39" t="inlineStr">
        <is>
          <t>Channel</t>
        </is>
      </c>
      <c r="D5" s="39" t="inlineStr">
        <is>
          <t>Guest</t>
        </is>
      </c>
      <c r="E5" s="39" t="inlineStr">
        <is>
          <t>Booking ID</t>
        </is>
      </c>
      <c r="F5" s="39" t="inlineStr">
        <is>
          <t>Stars</t>
        </is>
      </c>
      <c r="G5" s="39" t="inlineStr">
        <is>
          <t>Public Review Text</t>
        </is>
      </c>
      <c r="H5" s="39" t="inlineStr">
        <is>
          <t>Private Feedback</t>
        </is>
      </c>
      <c r="I5" s="39" t="inlineStr">
        <is>
          <t>Sentiment</t>
        </is>
      </c>
      <c r="J5" s="39" t="inlineStr">
        <is>
          <t>Sent?</t>
        </is>
      </c>
      <c r="K5" s="39" t="inlineStr">
        <is>
          <t>Response Date</t>
        </is>
      </c>
      <c r="L5" s="39" t="inlineStr">
        <is>
          <t>Days</t>
        </is>
      </c>
      <c r="M5" s="39" t="inlineStr">
        <is>
          <t>Tags</t>
        </is>
      </c>
      <c r="N5" s="39" t="inlineStr">
        <is>
          <t>Notes</t>
        </is>
      </c>
    </row>
    <row r="6" ht="32" customHeight="1">
      <c r="A6" s="40" t="n">
        <v>46026</v>
      </c>
      <c r="B6" s="41" t="inlineStr">
        <is>
          <t>Smokies Ridge</t>
        </is>
      </c>
      <c r="C6" s="41" t="inlineStr">
        <is>
          <t>Airbnb</t>
        </is>
      </c>
      <c r="D6" s="41" t="inlineStr">
        <is>
          <t>Megan</t>
        </is>
      </c>
      <c r="E6" s="41" t="inlineStr">
        <is>
          <t>HM4F2K</t>
        </is>
      </c>
      <c r="F6" s="42" t="n">
        <v>5</v>
      </c>
      <c r="G6" s="43" t="inlineStr">
        <is>
          <t>Spotless cabin, hot tub was perfect after a snowy hike. Will be back!</t>
        </is>
      </c>
      <c r="H6" s="43" t="n"/>
      <c r="I6" s="41" t="inlineStr">
        <is>
          <t>Glowing</t>
        </is>
      </c>
      <c r="J6" s="42" t="inlineStr">
        <is>
          <t>Y</t>
        </is>
      </c>
      <c r="K6" s="40" t="n">
        <v>46027</v>
      </c>
      <c r="L6" s="44">
        <f>IF(OR(A6="",K6=""),"",K6-A6)</f>
        <v/>
      </c>
      <c r="M6" s="41" t="inlineStr">
        <is>
          <t>cleaning, comms</t>
        </is>
      </c>
      <c r="N6" s="43" t="n"/>
    </row>
    <row r="7" ht="32" customHeight="1">
      <c r="A7" s="40" t="n">
        <v>46030</v>
      </c>
      <c r="B7" s="41" t="inlineStr">
        <is>
          <t>Creek Side</t>
        </is>
      </c>
      <c r="C7" s="41" t="inlineStr">
        <is>
          <t>Airbnb</t>
        </is>
      </c>
      <c r="D7" s="41" t="inlineStr">
        <is>
          <t>David</t>
        </is>
      </c>
      <c r="E7" s="41" t="inlineStr">
        <is>
          <t>HM4G7L</t>
        </is>
      </c>
      <c r="F7" s="42" t="n">
        <v>5</v>
      </c>
      <c r="G7" s="43" t="inlineStr">
        <is>
          <t>Communication was instant, check-in seamless. Beautiful views.</t>
        </is>
      </c>
      <c r="H7" s="43" t="n"/>
      <c r="I7" s="41" t="inlineStr">
        <is>
          <t>Glowing</t>
        </is>
      </c>
      <c r="J7" s="42" t="inlineStr">
        <is>
          <t>Y</t>
        </is>
      </c>
      <c r="K7" s="40" t="n">
        <v>46031</v>
      </c>
      <c r="L7" s="44">
        <f>IF(OR(A7="",K7=""),"",K7-A7)</f>
        <v/>
      </c>
      <c r="M7" s="41" t="inlineStr">
        <is>
          <t>comms, location</t>
        </is>
      </c>
      <c r="N7" s="43" t="n"/>
    </row>
    <row r="8" ht="32" customHeight="1">
      <c r="A8" s="40" t="n">
        <v>46033</v>
      </c>
      <c r="B8" s="41" t="inlineStr">
        <is>
          <t>Lakehouse A</t>
        </is>
      </c>
      <c r="C8" s="41" t="inlineStr">
        <is>
          <t>VRBO</t>
        </is>
      </c>
      <c r="D8" s="41" t="inlineStr">
        <is>
          <t>Sarah</t>
        </is>
      </c>
      <c r="E8" s="41" t="inlineStr">
        <is>
          <t>VR2218</t>
        </is>
      </c>
      <c r="F8" s="42" t="n">
        <v>4</v>
      </c>
      <c r="G8" s="43" t="inlineStr">
        <is>
          <t>Great place — wifi was a little slow for video calls though.</t>
        </is>
      </c>
      <c r="H8" s="43" t="inlineStr">
        <is>
          <t>Wifi router seemed old.</t>
        </is>
      </c>
      <c r="I8" s="41" t="inlineStr">
        <is>
          <t>Positive</t>
        </is>
      </c>
      <c r="J8" s="42" t="inlineStr">
        <is>
          <t>Y</t>
        </is>
      </c>
      <c r="K8" s="40" t="n">
        <v>46034</v>
      </c>
      <c r="L8" s="44">
        <f>IF(OR(A8="",K8=""),"",K8-A8)</f>
        <v/>
      </c>
      <c r="M8" s="41" t="inlineStr">
        <is>
          <t>wifi</t>
        </is>
      </c>
      <c r="N8" s="43" t="n"/>
    </row>
    <row r="9" ht="32" customHeight="1">
      <c r="A9" s="40" t="n">
        <v>46037</v>
      </c>
      <c r="B9" s="41" t="inlineStr">
        <is>
          <t>Smokies Ridge</t>
        </is>
      </c>
      <c r="C9" s="41" t="inlineStr">
        <is>
          <t>Airbnb</t>
        </is>
      </c>
      <c r="D9" s="41" t="inlineStr">
        <is>
          <t>Tom</t>
        </is>
      </c>
      <c r="E9" s="41" t="inlineStr">
        <is>
          <t>HM4J9P</t>
        </is>
      </c>
      <c r="F9" s="42" t="n">
        <v>5</v>
      </c>
      <c r="G9" s="43" t="inlineStr">
        <is>
          <t>Linens felt like a hotel. Loved it.</t>
        </is>
      </c>
      <c r="H9" s="43" t="n"/>
      <c r="I9" s="41" t="inlineStr">
        <is>
          <t>Glowing</t>
        </is>
      </c>
      <c r="J9" s="42" t="inlineStr">
        <is>
          <t>Y</t>
        </is>
      </c>
      <c r="K9" s="40" t="n">
        <v>46038</v>
      </c>
      <c r="L9" s="44">
        <f>IF(OR(A9="",K9=""),"",K9-A9)</f>
        <v/>
      </c>
      <c r="M9" s="41" t="inlineStr">
        <is>
          <t>linens, cleaning</t>
        </is>
      </c>
      <c r="N9" s="43" t="n"/>
    </row>
    <row r="10" ht="32" customHeight="1">
      <c r="A10" s="40" t="n">
        <v>46041</v>
      </c>
      <c r="B10" s="41" t="inlineStr">
        <is>
          <t>Creek Side</t>
        </is>
      </c>
      <c r="C10" s="41" t="inlineStr">
        <is>
          <t>Booking</t>
        </is>
      </c>
      <c r="D10" s="41" t="inlineStr">
        <is>
          <t>Rachel</t>
        </is>
      </c>
      <c r="E10" s="41" t="inlineStr">
        <is>
          <t>BK7791</t>
        </is>
      </c>
      <c r="F10" s="42" t="n">
        <v>5</v>
      </c>
      <c r="G10" s="43" t="inlineStr">
        <is>
          <t>Perfect for a quiet weekend. Spotless.</t>
        </is>
      </c>
      <c r="H10" s="43" t="n"/>
      <c r="I10" s="41" t="inlineStr">
        <is>
          <t>Glowing</t>
        </is>
      </c>
      <c r="J10" s="42" t="inlineStr">
        <is>
          <t>Y</t>
        </is>
      </c>
      <c r="K10" s="40" t="n">
        <v>46042</v>
      </c>
      <c r="L10" s="44">
        <f>IF(OR(A10="",K10=""),"",K10-A10)</f>
        <v/>
      </c>
      <c r="M10" s="41" t="inlineStr">
        <is>
          <t>cleaning</t>
        </is>
      </c>
      <c r="N10" s="43" t="n"/>
    </row>
    <row r="11" ht="32" customHeight="1">
      <c r="A11" s="40" t="n">
        <v>46045</v>
      </c>
      <c r="B11" s="41" t="inlineStr">
        <is>
          <t>Lakehouse A</t>
        </is>
      </c>
      <c r="C11" s="41" t="inlineStr">
        <is>
          <t>Airbnb</t>
        </is>
      </c>
      <c r="D11" s="41" t="inlineStr">
        <is>
          <t>Marcus</t>
        </is>
      </c>
      <c r="E11" s="41" t="inlineStr">
        <is>
          <t>HM4M2X</t>
        </is>
      </c>
      <c r="F11" s="42" t="n">
        <v>5</v>
      </c>
      <c r="G11" s="43" t="inlineStr">
        <is>
          <t>Host was amazing — answered every question within minutes.</t>
        </is>
      </c>
      <c r="H11" s="43" t="n"/>
      <c r="I11" s="41" t="inlineStr">
        <is>
          <t>Glowing</t>
        </is>
      </c>
      <c r="J11" s="42" t="inlineStr">
        <is>
          <t>Y</t>
        </is>
      </c>
      <c r="K11" s="40" t="n">
        <v>46046</v>
      </c>
      <c r="L11" s="44">
        <f>IF(OR(A11="",K11=""),"",K11-A11)</f>
        <v/>
      </c>
      <c r="M11" s="41" t="inlineStr">
        <is>
          <t>comms</t>
        </is>
      </c>
      <c r="N11" s="43" t="n"/>
    </row>
    <row r="12" ht="32" customHeight="1">
      <c r="A12" s="40" t="n">
        <v>46049</v>
      </c>
      <c r="B12" s="41" t="inlineStr">
        <is>
          <t>Smokies Ridge</t>
        </is>
      </c>
      <c r="C12" s="41" t="inlineStr">
        <is>
          <t>Airbnb</t>
        </is>
      </c>
      <c r="D12" s="41" t="inlineStr">
        <is>
          <t>Lin</t>
        </is>
      </c>
      <c r="E12" s="41" t="inlineStr">
        <is>
          <t>HM4P4D</t>
        </is>
      </c>
      <c r="F12" s="42" t="n">
        <v>4</v>
      </c>
      <c r="G12" s="43" t="inlineStr">
        <is>
          <t>Cute cabin. Driveway was slick — needed more salt.</t>
        </is>
      </c>
      <c r="H12" s="43" t="n"/>
      <c r="I12" s="41" t="inlineStr">
        <is>
          <t>Positive</t>
        </is>
      </c>
      <c r="J12" s="42" t="inlineStr">
        <is>
          <t>Y</t>
        </is>
      </c>
      <c r="K12" s="40" t="n">
        <v>46050</v>
      </c>
      <c r="L12" s="44">
        <f>IF(OR(A12="",K12=""),"",K12-A12)</f>
        <v/>
      </c>
      <c r="M12" s="41" t="inlineStr">
        <is>
          <t>amenities</t>
        </is>
      </c>
      <c r="N12" s="43" t="n"/>
    </row>
    <row r="13" ht="32" customHeight="1">
      <c r="A13" s="40" t="n">
        <v>46052</v>
      </c>
      <c r="B13" s="41" t="inlineStr">
        <is>
          <t>Creek Side</t>
        </is>
      </c>
      <c r="C13" s="41" t="inlineStr">
        <is>
          <t>Direct</t>
        </is>
      </c>
      <c r="D13" s="41" t="inlineStr">
        <is>
          <t>Jenny</t>
        </is>
      </c>
      <c r="E13" s="41" t="inlineStr">
        <is>
          <t>DIR-014</t>
        </is>
      </c>
      <c r="F13" s="42" t="n">
        <v>5</v>
      </c>
      <c r="G13" s="43" t="inlineStr">
        <is>
          <t>Booked direct, got a great rate. Cabin was perfect.</t>
        </is>
      </c>
      <c r="H13" s="43" t="n"/>
      <c r="I13" s="41" t="inlineStr">
        <is>
          <t>Glowing</t>
        </is>
      </c>
      <c r="J13" s="42" t="inlineStr">
        <is>
          <t>Y</t>
        </is>
      </c>
      <c r="K13" s="40" t="n">
        <v>46053</v>
      </c>
      <c r="L13" s="44">
        <f>IF(OR(A13="",K13=""),"",K13-A13)</f>
        <v/>
      </c>
      <c r="M13" s="41" t="inlineStr">
        <is>
          <t>value, cleaning</t>
        </is>
      </c>
      <c r="N13" s="43" t="n"/>
    </row>
    <row r="14" ht="32" customHeight="1">
      <c r="A14" s="40" t="n">
        <v>46056</v>
      </c>
      <c r="B14" s="41" t="inlineStr">
        <is>
          <t>Lakehouse A</t>
        </is>
      </c>
      <c r="C14" s="41" t="inlineStr">
        <is>
          <t>VRBO</t>
        </is>
      </c>
      <c r="D14" s="41" t="inlineStr">
        <is>
          <t>Greg</t>
        </is>
      </c>
      <c r="E14" s="41" t="inlineStr">
        <is>
          <t>VR2244</t>
        </is>
      </c>
      <c r="F14" s="42" t="n">
        <v>5</v>
      </c>
      <c r="G14" s="43" t="inlineStr">
        <is>
          <t>Best lake view in the area. Worth every penny.</t>
        </is>
      </c>
      <c r="H14" s="43" t="n"/>
      <c r="I14" s="41" t="inlineStr">
        <is>
          <t>Glowing</t>
        </is>
      </c>
      <c r="J14" s="42" t="inlineStr">
        <is>
          <t>Y</t>
        </is>
      </c>
      <c r="K14" s="40" t="n">
        <v>46057</v>
      </c>
      <c r="L14" s="44">
        <f>IF(OR(A14="",K14=""),"",K14-A14)</f>
        <v/>
      </c>
      <c r="M14" s="41" t="inlineStr">
        <is>
          <t>location</t>
        </is>
      </c>
      <c r="N14" s="43" t="n"/>
    </row>
    <row r="15" ht="32" customHeight="1">
      <c r="A15" s="40" t="n">
        <v>46060</v>
      </c>
      <c r="B15" s="41" t="inlineStr">
        <is>
          <t>Smokies Ridge</t>
        </is>
      </c>
      <c r="C15" s="41" t="inlineStr">
        <is>
          <t>Airbnb</t>
        </is>
      </c>
      <c r="D15" s="41" t="inlineStr">
        <is>
          <t>Priya</t>
        </is>
      </c>
      <c r="E15" s="41" t="inlineStr">
        <is>
          <t>HM4S7T</t>
        </is>
      </c>
      <c r="F15" s="42" t="n">
        <v>5</v>
      </c>
      <c r="G15" s="43" t="inlineStr">
        <is>
          <t>Hot tub, fireplace, cozy linens. 10/10.</t>
        </is>
      </c>
      <c r="H15" s="43" t="n"/>
      <c r="I15" s="41" t="inlineStr">
        <is>
          <t>Glowing</t>
        </is>
      </c>
      <c r="J15" s="42" t="inlineStr">
        <is>
          <t>Y</t>
        </is>
      </c>
      <c r="K15" s="40" t="n">
        <v>46061</v>
      </c>
      <c r="L15" s="44">
        <f>IF(OR(A15="",K15=""),"",K15-A15)</f>
        <v/>
      </c>
      <c r="M15" s="41" t="inlineStr">
        <is>
          <t>comfort, linens</t>
        </is>
      </c>
      <c r="N15" s="43" t="n"/>
    </row>
    <row r="16" ht="32" customHeight="1">
      <c r="A16" s="40" t="n">
        <v>46063</v>
      </c>
      <c r="B16" s="41" t="inlineStr">
        <is>
          <t>Creek Side</t>
        </is>
      </c>
      <c r="C16" s="41" t="inlineStr">
        <is>
          <t>Airbnb</t>
        </is>
      </c>
      <c r="D16" s="41" t="inlineStr">
        <is>
          <t>Eli</t>
        </is>
      </c>
      <c r="E16" s="41" t="inlineStr">
        <is>
          <t>HM4T1A</t>
        </is>
      </c>
      <c r="F16" s="42" t="n">
        <v>3</v>
      </c>
      <c r="G16" s="43" t="inlineStr">
        <is>
          <t>Wifi was unusable. I work remote and had to drive into town.</t>
        </is>
      </c>
      <c r="H16" s="43" t="inlineStr">
        <is>
          <t>Speed test = 4 Mbps down. Spec says 100.</t>
        </is>
      </c>
      <c r="I16" s="41" t="inlineStr">
        <is>
          <t>Critical</t>
        </is>
      </c>
      <c r="J16" s="42" t="inlineStr">
        <is>
          <t>Y</t>
        </is>
      </c>
      <c r="K16" s="40" t="n">
        <v>46064</v>
      </c>
      <c r="L16" s="44">
        <f>IF(OR(A16="",K16=""),"",K16-A16)</f>
        <v/>
      </c>
      <c r="M16" s="41" t="inlineStr">
        <is>
          <t>wifi</t>
        </is>
      </c>
      <c r="N16" s="43" t="inlineStr">
        <is>
          <t>ESCALATED — replaced router 2/14</t>
        </is>
      </c>
    </row>
    <row r="17" ht="32" customHeight="1">
      <c r="A17" s="40" t="n">
        <v>46067</v>
      </c>
      <c r="B17" s="41" t="inlineStr">
        <is>
          <t>Lakehouse A</t>
        </is>
      </c>
      <c r="C17" s="41" t="inlineStr">
        <is>
          <t>Airbnb</t>
        </is>
      </c>
      <c r="D17" s="41" t="inlineStr">
        <is>
          <t>Anna</t>
        </is>
      </c>
      <c r="E17" s="41" t="inlineStr">
        <is>
          <t>HM4U2B</t>
        </is>
      </c>
      <c r="F17" s="42" t="n">
        <v>5</v>
      </c>
      <c r="G17" s="43" t="inlineStr">
        <is>
          <t>Beautiful, well-stocked. Will recommend.</t>
        </is>
      </c>
      <c r="H17" s="43" t="n"/>
      <c r="I17" s="41" t="inlineStr">
        <is>
          <t>Glowing</t>
        </is>
      </c>
      <c r="J17" s="42" t="inlineStr">
        <is>
          <t>Y</t>
        </is>
      </c>
      <c r="K17" s="40" t="n">
        <v>46068</v>
      </c>
      <c r="L17" s="44">
        <f>IF(OR(A17="",K17=""),"",K17-A17)</f>
        <v/>
      </c>
      <c r="M17" s="41" t="inlineStr">
        <is>
          <t>amenities, cleaning</t>
        </is>
      </c>
      <c r="N17" s="43" t="n"/>
    </row>
    <row r="18" ht="32" customHeight="1">
      <c r="A18" s="40" t="n">
        <v>46070</v>
      </c>
      <c r="B18" s="41" t="inlineStr">
        <is>
          <t>Smokies Ridge</t>
        </is>
      </c>
      <c r="C18" s="41" t="inlineStr">
        <is>
          <t>Booking</t>
        </is>
      </c>
      <c r="D18" s="41" t="inlineStr">
        <is>
          <t>Carlos</t>
        </is>
      </c>
      <c r="E18" s="41" t="inlineStr">
        <is>
          <t>BK7822</t>
        </is>
      </c>
      <c r="F18" s="42" t="n">
        <v>4</v>
      </c>
      <c r="G18" s="43" t="inlineStr">
        <is>
          <t>Lovely. A bit of road noise at night but minor.</t>
        </is>
      </c>
      <c r="H18" s="43" t="n"/>
      <c r="I18" s="41" t="inlineStr">
        <is>
          <t>Positive</t>
        </is>
      </c>
      <c r="J18" s="42" t="inlineStr">
        <is>
          <t>Y</t>
        </is>
      </c>
      <c r="K18" s="40" t="n">
        <v>46071</v>
      </c>
      <c r="L18" s="44">
        <f>IF(OR(A18="",K18=""),"",K18-A18)</f>
        <v/>
      </c>
      <c r="M18" s="41" t="inlineStr">
        <is>
          <t>noise</t>
        </is>
      </c>
      <c r="N18" s="43" t="n"/>
    </row>
    <row r="19" ht="32" customHeight="1">
      <c r="A19" s="40" t="n">
        <v>46073</v>
      </c>
      <c r="B19" s="41" t="inlineStr">
        <is>
          <t>Creek Side</t>
        </is>
      </c>
      <c r="C19" s="41" t="inlineStr">
        <is>
          <t>Airbnb</t>
        </is>
      </c>
      <c r="D19" s="41" t="inlineStr">
        <is>
          <t>Hannah</t>
        </is>
      </c>
      <c r="E19" s="41" t="inlineStr">
        <is>
          <t>HM4W6E</t>
        </is>
      </c>
      <c r="F19" s="42" t="n">
        <v>5</v>
      </c>
      <c r="G19" s="43" t="inlineStr">
        <is>
          <t>Spotless. Felt new even though it isn't.</t>
        </is>
      </c>
      <c r="H19" s="43" t="n"/>
      <c r="I19" s="41" t="inlineStr">
        <is>
          <t>Glowing</t>
        </is>
      </c>
      <c r="J19" s="42" t="inlineStr">
        <is>
          <t>Y</t>
        </is>
      </c>
      <c r="K19" s="40" t="n">
        <v>46074</v>
      </c>
      <c r="L19" s="44">
        <f>IF(OR(A19="",K19=""),"",K19-A19)</f>
        <v/>
      </c>
      <c r="M19" s="41" t="inlineStr">
        <is>
          <t>cleaning</t>
        </is>
      </c>
      <c r="N19" s="43" t="n"/>
    </row>
    <row r="20" ht="32" customHeight="1">
      <c r="A20" s="40" t="n">
        <v>46077</v>
      </c>
      <c r="B20" s="41" t="inlineStr">
        <is>
          <t>Lakehouse A</t>
        </is>
      </c>
      <c r="C20" s="41" t="inlineStr">
        <is>
          <t>Airbnb</t>
        </is>
      </c>
      <c r="D20" s="41" t="inlineStr">
        <is>
          <t>Kev</t>
        </is>
      </c>
      <c r="E20" s="41" t="inlineStr">
        <is>
          <t>HM4X3F</t>
        </is>
      </c>
      <c r="F20" s="42" t="n">
        <v>5</v>
      </c>
      <c r="G20" s="43" t="inlineStr">
        <is>
          <t>Easy check-in, great host. Already planning the next trip.</t>
        </is>
      </c>
      <c r="H20" s="43" t="n"/>
      <c r="I20" s="41" t="inlineStr">
        <is>
          <t>Glowing</t>
        </is>
      </c>
      <c r="J20" s="42" t="inlineStr">
        <is>
          <t>Y</t>
        </is>
      </c>
      <c r="K20" s="40" t="n">
        <v>46078</v>
      </c>
      <c r="L20" s="44">
        <f>IF(OR(A20="",K20=""),"",K20-A20)</f>
        <v/>
      </c>
      <c r="M20" s="41" t="inlineStr">
        <is>
          <t>checkin, comms</t>
        </is>
      </c>
      <c r="N20" s="43" t="n"/>
    </row>
    <row r="21" ht="32" customHeight="1">
      <c r="A21" s="40" t="n">
        <v>46080</v>
      </c>
      <c r="B21" s="41" t="inlineStr">
        <is>
          <t>Smokies Ridge</t>
        </is>
      </c>
      <c r="C21" s="41" t="inlineStr">
        <is>
          <t>Airbnb</t>
        </is>
      </c>
      <c r="D21" s="41" t="inlineStr">
        <is>
          <t>Maria</t>
        </is>
      </c>
      <c r="E21" s="41" t="inlineStr">
        <is>
          <t>HM4Y8G</t>
        </is>
      </c>
      <c r="F21" s="42" t="n">
        <v>4</v>
      </c>
      <c r="G21" s="43" t="inlineStr">
        <is>
          <t>Loved the cabin. Wifi could be faster.</t>
        </is>
      </c>
      <c r="H21" s="43" t="n"/>
      <c r="I21" s="41" t="inlineStr">
        <is>
          <t>Positive</t>
        </is>
      </c>
      <c r="J21" s="42" t="inlineStr">
        <is>
          <t>Y</t>
        </is>
      </c>
      <c r="K21" s="40" t="n">
        <v>46081</v>
      </c>
      <c r="L21" s="44">
        <f>IF(OR(A21="",K21=""),"",K21-A21)</f>
        <v/>
      </c>
      <c r="M21" s="41" t="inlineStr">
        <is>
          <t>wifi</t>
        </is>
      </c>
      <c r="N21" s="43" t="n"/>
    </row>
    <row r="22" ht="32" customHeight="1">
      <c r="A22" s="40" t="n">
        <v>46083</v>
      </c>
      <c r="B22" s="41" t="inlineStr">
        <is>
          <t>Creek Side</t>
        </is>
      </c>
      <c r="C22" s="41" t="inlineStr">
        <is>
          <t>VRBO</t>
        </is>
      </c>
      <c r="D22" s="41" t="inlineStr">
        <is>
          <t>Tony</t>
        </is>
      </c>
      <c r="E22" s="41" t="inlineStr">
        <is>
          <t>VR2301</t>
        </is>
      </c>
      <c r="F22" s="42" t="n">
        <v>5</v>
      </c>
      <c r="G22" s="43" t="inlineStr">
        <is>
          <t>Communication was outstanding. Place was immaculate.</t>
        </is>
      </c>
      <c r="H22" s="43" t="n"/>
      <c r="I22" s="41" t="inlineStr">
        <is>
          <t>Glowing</t>
        </is>
      </c>
      <c r="J22" s="42" t="inlineStr">
        <is>
          <t>Y</t>
        </is>
      </c>
      <c r="K22" s="40" t="n">
        <v>46084</v>
      </c>
      <c r="L22" s="44">
        <f>IF(OR(A22="",K22=""),"",K22-A22)</f>
        <v/>
      </c>
      <c r="M22" s="41" t="inlineStr">
        <is>
          <t>comms, cleaning</t>
        </is>
      </c>
      <c r="N22" s="43" t="n"/>
    </row>
    <row r="23" ht="32" customHeight="1">
      <c r="A23" s="40" t="n">
        <v>46086</v>
      </c>
      <c r="B23" s="41" t="inlineStr">
        <is>
          <t>Lakehouse A</t>
        </is>
      </c>
      <c r="C23" s="41" t="inlineStr">
        <is>
          <t>Airbnb</t>
        </is>
      </c>
      <c r="D23" s="41" t="inlineStr">
        <is>
          <t>Jess</t>
        </is>
      </c>
      <c r="E23" s="41" t="inlineStr">
        <is>
          <t>HM5B2H</t>
        </is>
      </c>
      <c r="F23" s="42" t="n">
        <v>5</v>
      </c>
      <c r="G23" s="43" t="inlineStr">
        <is>
          <t>Stayed for 5 nights — never wanted to leave.</t>
        </is>
      </c>
      <c r="H23" s="43" t="n"/>
      <c r="I23" s="41" t="inlineStr">
        <is>
          <t>Glowing</t>
        </is>
      </c>
      <c r="J23" s="42" t="inlineStr">
        <is>
          <t>Y</t>
        </is>
      </c>
      <c r="K23" s="40" t="n">
        <v>46087</v>
      </c>
      <c r="L23" s="44">
        <f>IF(OR(A23="",K23=""),"",K23-A23)</f>
        <v/>
      </c>
      <c r="M23" s="41" t="inlineStr">
        <is>
          <t>comfort</t>
        </is>
      </c>
      <c r="N23" s="43" t="n"/>
    </row>
    <row r="24" ht="32" customHeight="1">
      <c r="A24" s="40" t="n">
        <v>46090</v>
      </c>
      <c r="B24" s="41" t="inlineStr">
        <is>
          <t>Smokies Ridge</t>
        </is>
      </c>
      <c r="C24" s="41" t="inlineStr">
        <is>
          <t>Airbnb</t>
        </is>
      </c>
      <c r="D24" s="41" t="inlineStr">
        <is>
          <t>Brad</t>
        </is>
      </c>
      <c r="E24" s="41" t="inlineStr">
        <is>
          <t>HM5D5J</t>
        </is>
      </c>
      <c r="F24" s="42" t="n">
        <v>5</v>
      </c>
      <c r="G24" s="43" t="inlineStr">
        <is>
          <t>Better than the photos. Hot tub was 102 — perfect.</t>
        </is>
      </c>
      <c r="H24" s="43" t="n"/>
      <c r="I24" s="41" t="inlineStr">
        <is>
          <t>Glowing</t>
        </is>
      </c>
      <c r="J24" s="42" t="inlineStr">
        <is>
          <t>Y</t>
        </is>
      </c>
      <c r="K24" s="40" t="n">
        <v>46091</v>
      </c>
      <c r="L24" s="44">
        <f>IF(OR(A24="",K24=""),"",K24-A24)</f>
        <v/>
      </c>
      <c r="M24" s="41" t="inlineStr">
        <is>
          <t>amenities</t>
        </is>
      </c>
      <c r="N24" s="43" t="n"/>
    </row>
    <row r="25" ht="32" customHeight="1">
      <c r="A25" s="40" t="n">
        <v>46093</v>
      </c>
      <c r="B25" s="41" t="inlineStr">
        <is>
          <t>Creek Side</t>
        </is>
      </c>
      <c r="C25" s="41" t="inlineStr">
        <is>
          <t>Airbnb</t>
        </is>
      </c>
      <c r="D25" s="41" t="inlineStr">
        <is>
          <t>Nora</t>
        </is>
      </c>
      <c r="E25" s="41" t="inlineStr">
        <is>
          <t>HM5E1K</t>
        </is>
      </c>
      <c r="F25" s="42" t="n">
        <v>1</v>
      </c>
      <c r="G25" s="43" t="inlineStr">
        <is>
          <t>Smelled like mold the entire stay. Health hazard.</t>
        </is>
      </c>
      <c r="H25" s="43" t="inlineStr">
        <is>
          <t>Photos taken — looks like ordinary cabin smell, not mold. Cleaner reported no issues.</t>
        </is>
      </c>
      <c r="I25" s="41" t="inlineStr">
        <is>
          <t>Hostile</t>
        </is>
      </c>
      <c r="J25" s="42" t="inlineStr">
        <is>
          <t>Y</t>
        </is>
      </c>
      <c r="K25" s="40" t="n">
        <v>46095</v>
      </c>
      <c r="L25" s="44">
        <f>IF(OR(A25="",K25=""),"",K25-A25)</f>
        <v/>
      </c>
      <c r="M25" s="41" t="inlineStr">
        <is>
          <t>cleaning</t>
        </is>
      </c>
      <c r="N25" s="43" t="inlineStr">
        <is>
          <t>False mold claim — disputed via Airbnb. No refund issued.</t>
        </is>
      </c>
    </row>
    <row r="26" ht="32" customHeight="1">
      <c r="A26" s="40" t="n">
        <v>46096</v>
      </c>
      <c r="B26" s="41" t="inlineStr">
        <is>
          <t>Lakehouse A</t>
        </is>
      </c>
      <c r="C26" s="41" t="inlineStr">
        <is>
          <t>Booking</t>
        </is>
      </c>
      <c r="D26" s="41" t="inlineStr">
        <is>
          <t>Will</t>
        </is>
      </c>
      <c r="E26" s="41" t="inlineStr">
        <is>
          <t>BK7901</t>
        </is>
      </c>
      <c r="F26" s="42" t="n">
        <v>5</v>
      </c>
      <c r="G26" s="43" t="inlineStr">
        <is>
          <t>Top-notch in every way.</t>
        </is>
      </c>
      <c r="H26" s="43" t="n"/>
      <c r="I26" s="41" t="inlineStr">
        <is>
          <t>Glowing</t>
        </is>
      </c>
      <c r="J26" s="42" t="inlineStr">
        <is>
          <t>Y</t>
        </is>
      </c>
      <c r="K26" s="40" t="n">
        <v>46097</v>
      </c>
      <c r="L26" s="44">
        <f>IF(OR(A26="",K26=""),"",K26-A26)</f>
        <v/>
      </c>
      <c r="M26" s="41" t="inlineStr">
        <is>
          <t>cleaning, comms</t>
        </is>
      </c>
      <c r="N26" s="43" t="n"/>
    </row>
    <row r="27" ht="32" customHeight="1">
      <c r="A27" s="40" t="n">
        <v>46099</v>
      </c>
      <c r="B27" s="41" t="inlineStr">
        <is>
          <t>Smokies Ridge</t>
        </is>
      </c>
      <c r="C27" s="41" t="inlineStr">
        <is>
          <t>Airbnb</t>
        </is>
      </c>
      <c r="D27" s="41" t="inlineStr">
        <is>
          <t>Tara</t>
        </is>
      </c>
      <c r="E27" s="41" t="inlineStr">
        <is>
          <t>HM5G7L</t>
        </is>
      </c>
      <c r="F27" s="42" t="n">
        <v>5</v>
      </c>
      <c r="G27" s="43" t="inlineStr">
        <is>
          <t>Cleaning was hotel-grade. Linens smelled like fresh laundry.</t>
        </is>
      </c>
      <c r="H27" s="43" t="n"/>
      <c r="I27" s="41" t="inlineStr">
        <is>
          <t>Glowing</t>
        </is>
      </c>
      <c r="J27" s="42" t="inlineStr">
        <is>
          <t>Y</t>
        </is>
      </c>
      <c r="K27" s="40" t="n">
        <v>46100</v>
      </c>
      <c r="L27" s="44">
        <f>IF(OR(A27="",K27=""),"",K27-A27)</f>
        <v/>
      </c>
      <c r="M27" s="41" t="inlineStr">
        <is>
          <t>cleaning, linens</t>
        </is>
      </c>
      <c r="N27" s="43" t="n"/>
    </row>
    <row r="28" ht="32" customHeight="1">
      <c r="A28" s="40" t="n">
        <v>46102</v>
      </c>
      <c r="B28" s="41" t="inlineStr">
        <is>
          <t>Creek Side</t>
        </is>
      </c>
      <c r="C28" s="41" t="inlineStr">
        <is>
          <t>Airbnb</t>
        </is>
      </c>
      <c r="D28" s="41" t="inlineStr">
        <is>
          <t>Dan</t>
        </is>
      </c>
      <c r="E28" s="41" t="inlineStr">
        <is>
          <t>HM5H9M</t>
        </is>
      </c>
      <c r="F28" s="42" t="n">
        <v>4</v>
      </c>
      <c r="G28" s="43" t="inlineStr">
        <is>
          <t>Great spot. Wifi a bit slow but workable now.</t>
        </is>
      </c>
      <c r="H28" s="43" t="n"/>
      <c r="I28" s="41" t="inlineStr">
        <is>
          <t>Positive</t>
        </is>
      </c>
      <c r="J28" s="42" t="inlineStr">
        <is>
          <t>Y</t>
        </is>
      </c>
      <c r="K28" s="40" t="n">
        <v>46103</v>
      </c>
      <c r="L28" s="44">
        <f>IF(OR(A28="",K28=""),"",K28-A28)</f>
        <v/>
      </c>
      <c r="M28" s="41" t="inlineStr">
        <is>
          <t>wifi</t>
        </is>
      </c>
      <c r="N28" s="43" t="n"/>
    </row>
    <row r="29" ht="32" customHeight="1">
      <c r="A29" s="40" t="n">
        <v>46105</v>
      </c>
      <c r="B29" s="41" t="inlineStr">
        <is>
          <t>Lakehouse A</t>
        </is>
      </c>
      <c r="C29" s="41" t="inlineStr">
        <is>
          <t>Direct</t>
        </is>
      </c>
      <c r="D29" s="41" t="inlineStr">
        <is>
          <t>Liz</t>
        </is>
      </c>
      <c r="E29" s="41" t="inlineStr">
        <is>
          <t>DIR-022</t>
        </is>
      </c>
      <c r="F29" s="42" t="n">
        <v>5</v>
      </c>
      <c r="G29" s="43" t="inlineStr">
        <is>
          <t>Booked direct — best decision. Spotless place, easy host.</t>
        </is>
      </c>
      <c r="H29" s="43" t="n"/>
      <c r="I29" s="41" t="inlineStr">
        <is>
          <t>Glowing</t>
        </is>
      </c>
      <c r="J29" s="42" t="inlineStr">
        <is>
          <t>Y</t>
        </is>
      </c>
      <c r="K29" s="40" t="n">
        <v>46106</v>
      </c>
      <c r="L29" s="44">
        <f>IF(OR(A29="",K29=""),"",K29-A29)</f>
        <v/>
      </c>
      <c r="M29" s="41" t="inlineStr">
        <is>
          <t>value, comms</t>
        </is>
      </c>
      <c r="N29" s="43" t="n"/>
    </row>
    <row r="30" ht="32" customHeight="1">
      <c r="A30" s="40" t="n">
        <v>46107</v>
      </c>
      <c r="B30" s="41" t="inlineStr">
        <is>
          <t>Smokies Ridge</t>
        </is>
      </c>
      <c r="C30" s="41" t="inlineStr">
        <is>
          <t>Airbnb</t>
        </is>
      </c>
      <c r="D30" s="41" t="inlineStr">
        <is>
          <t>Kim</t>
        </is>
      </c>
      <c r="E30" s="41" t="inlineStr">
        <is>
          <t>HM5K4N</t>
        </is>
      </c>
      <c r="F30" s="42" t="n">
        <v>5</v>
      </c>
      <c r="G30" s="43" t="inlineStr">
        <is>
          <t>Quiet, clean, gorgeous. Loved it.</t>
        </is>
      </c>
      <c r="H30" s="43" t="n"/>
      <c r="I30" s="41" t="inlineStr">
        <is>
          <t>Glowing</t>
        </is>
      </c>
      <c r="J30" s="42" t="inlineStr">
        <is>
          <t>Y</t>
        </is>
      </c>
      <c r="K30" s="40" t="n">
        <v>46108</v>
      </c>
      <c r="L30" s="44">
        <f>IF(OR(A30="",K30=""),"",K30-A30)</f>
        <v/>
      </c>
      <c r="M30" s="41" t="inlineStr">
        <is>
          <t>cleaning, location</t>
        </is>
      </c>
      <c r="N30" s="43" t="n"/>
    </row>
    <row r="31" ht="32" customHeight="1">
      <c r="A31" s="40" t="n">
        <v>46109</v>
      </c>
      <c r="B31" s="41" t="inlineStr">
        <is>
          <t>Creek Side</t>
        </is>
      </c>
      <c r="C31" s="41" t="inlineStr">
        <is>
          <t>VRBO</t>
        </is>
      </c>
      <c r="D31" s="41" t="inlineStr">
        <is>
          <t>Sam</t>
        </is>
      </c>
      <c r="E31" s="41" t="inlineStr">
        <is>
          <t>VR2334</t>
        </is>
      </c>
      <c r="F31" s="42" t="n">
        <v>5</v>
      </c>
      <c r="G31" s="43" t="inlineStr">
        <is>
          <t>Amazing host. Place was perfect.</t>
        </is>
      </c>
      <c r="H31" s="43" t="n"/>
      <c r="I31" s="41" t="inlineStr">
        <is>
          <t>Glowing</t>
        </is>
      </c>
      <c r="J31" s="42" t="inlineStr">
        <is>
          <t>N</t>
        </is>
      </c>
      <c r="K31" s="40" t="n"/>
      <c r="L31" s="44">
        <f>IF(OR(A31="",K31=""),"",K31-A31)</f>
        <v/>
      </c>
      <c r="M31" s="41" t="inlineStr">
        <is>
          <t>comms</t>
        </is>
      </c>
      <c r="N31" s="43" t="inlineStr">
        <is>
          <t>Reminder: respond by 4/4</t>
        </is>
      </c>
    </row>
    <row r="32" ht="32" customHeight="1">
      <c r="A32" s="40" t="n">
        <v>46110</v>
      </c>
      <c r="B32" s="41" t="inlineStr">
        <is>
          <t>Lakehouse A</t>
        </is>
      </c>
      <c r="C32" s="41" t="inlineStr">
        <is>
          <t>Airbnb</t>
        </is>
      </c>
      <c r="D32" s="41" t="inlineStr">
        <is>
          <t>Owen</t>
        </is>
      </c>
      <c r="E32" s="41" t="inlineStr">
        <is>
          <t>HM5L5P</t>
        </is>
      </c>
      <c r="F32" s="42" t="n">
        <v>5</v>
      </c>
      <c r="G32" s="43" t="inlineStr">
        <is>
          <t>Will absolutely book again next year.</t>
        </is>
      </c>
      <c r="H32" s="43" t="n"/>
      <c r="I32" s="41" t="inlineStr">
        <is>
          <t>Glowing</t>
        </is>
      </c>
      <c r="J32" s="42" t="inlineStr">
        <is>
          <t>Y</t>
        </is>
      </c>
      <c r="K32" s="40" t="n">
        <v>46111</v>
      </c>
      <c r="L32" s="44">
        <f>IF(OR(A32="",K32=""),"",K32-A32)</f>
        <v/>
      </c>
      <c r="M32" s="41" t="inlineStr">
        <is>
          <t>comfort, location</t>
        </is>
      </c>
      <c r="N32" s="43" t="n"/>
    </row>
    <row r="33" ht="32" customHeight="1">
      <c r="A33" s="40" t="n">
        <v>46111</v>
      </c>
      <c r="B33" s="41" t="inlineStr">
        <is>
          <t>Smokies Ridge</t>
        </is>
      </c>
      <c r="C33" s="41" t="inlineStr">
        <is>
          <t>Airbnb</t>
        </is>
      </c>
      <c r="D33" s="41" t="inlineStr">
        <is>
          <t>Ruth</t>
        </is>
      </c>
      <c r="E33" s="41" t="inlineStr">
        <is>
          <t>HM5N1Q</t>
        </is>
      </c>
      <c r="F33" s="42" t="n">
        <v>4</v>
      </c>
      <c r="G33" s="43" t="inlineStr">
        <is>
          <t>Cute place. Light fixture in bathroom was loose.</t>
        </is>
      </c>
      <c r="H33" s="43" t="inlineStr">
        <is>
          <t>Reported privately — owner thanked us.</t>
        </is>
      </c>
      <c r="I33" s="41" t="inlineStr">
        <is>
          <t>Positive</t>
        </is>
      </c>
      <c r="J33" s="42" t="inlineStr">
        <is>
          <t>N</t>
        </is>
      </c>
      <c r="K33" s="40" t="n"/>
      <c r="L33" s="44">
        <f>IF(OR(A33="",K33=""),"",K33-A33)</f>
        <v/>
      </c>
      <c r="M33" s="41" t="inlineStr">
        <is>
          <t>amenities</t>
        </is>
      </c>
      <c r="N33" s="43" t="inlineStr">
        <is>
          <t>Reminder: respond by 4/6</t>
        </is>
      </c>
    </row>
    <row r="34" ht="18" customHeight="1">
      <c r="A34" s="40" t="n"/>
      <c r="B34" s="41" t="n"/>
      <c r="C34" s="41" t="n"/>
      <c r="D34" s="41" t="n"/>
      <c r="E34" s="41" t="n"/>
      <c r="F34" s="42" t="n"/>
      <c r="G34" s="43" t="n"/>
      <c r="H34" s="43" t="n"/>
      <c r="I34" s="41" t="n"/>
      <c r="J34" s="42" t="n"/>
      <c r="K34" s="40" t="n"/>
      <c r="L34" s="44">
        <f>IF(OR(A34="",K34=""),"",K34-A34)</f>
        <v/>
      </c>
      <c r="M34" s="41" t="n"/>
      <c r="N34" s="43" t="n"/>
    </row>
    <row r="35" ht="18" customHeight="1">
      <c r="A35" s="40" t="n"/>
      <c r="B35" s="41" t="n"/>
      <c r="C35" s="41" t="n"/>
      <c r="D35" s="41" t="n"/>
      <c r="E35" s="41" t="n"/>
      <c r="F35" s="42" t="n"/>
      <c r="G35" s="43" t="n"/>
      <c r="H35" s="43" t="n"/>
      <c r="I35" s="41" t="n"/>
      <c r="J35" s="42" t="n"/>
      <c r="K35" s="40" t="n"/>
      <c r="L35" s="44">
        <f>IF(OR(A35="",K35=""),"",K35-A35)</f>
        <v/>
      </c>
      <c r="M35" s="41" t="n"/>
      <c r="N35" s="43" t="n"/>
    </row>
    <row r="36" ht="18" customHeight="1">
      <c r="A36" s="40" t="n"/>
      <c r="B36" s="41" t="n"/>
      <c r="C36" s="41" t="n"/>
      <c r="D36" s="41" t="n"/>
      <c r="E36" s="41" t="n"/>
      <c r="F36" s="42" t="n"/>
      <c r="G36" s="43" t="n"/>
      <c r="H36" s="43" t="n"/>
      <c r="I36" s="41" t="n"/>
      <c r="J36" s="42" t="n"/>
      <c r="K36" s="40" t="n"/>
      <c r="L36" s="44">
        <f>IF(OR(A36="",K36=""),"",K36-A36)</f>
        <v/>
      </c>
      <c r="M36" s="41" t="n"/>
      <c r="N36" s="43" t="n"/>
    </row>
    <row r="37" ht="18" customHeight="1">
      <c r="A37" s="40" t="n"/>
      <c r="B37" s="41" t="n"/>
      <c r="C37" s="41" t="n"/>
      <c r="D37" s="41" t="n"/>
      <c r="E37" s="41" t="n"/>
      <c r="F37" s="42" t="n"/>
      <c r="G37" s="43" t="n"/>
      <c r="H37" s="43" t="n"/>
      <c r="I37" s="41" t="n"/>
      <c r="J37" s="42" t="n"/>
      <c r="K37" s="40" t="n"/>
      <c r="L37" s="44">
        <f>IF(OR(A37="",K37=""),"",K37-A37)</f>
        <v/>
      </c>
      <c r="M37" s="41" t="n"/>
      <c r="N37" s="43" t="n"/>
    </row>
    <row r="38" ht="18" customHeight="1">
      <c r="A38" s="40" t="n"/>
      <c r="B38" s="41" t="n"/>
      <c r="C38" s="41" t="n"/>
      <c r="D38" s="41" t="n"/>
      <c r="E38" s="41" t="n"/>
      <c r="F38" s="42" t="n"/>
      <c r="G38" s="43" t="n"/>
      <c r="H38" s="43" t="n"/>
      <c r="I38" s="41" t="n"/>
      <c r="J38" s="42" t="n"/>
      <c r="K38" s="40" t="n"/>
      <c r="L38" s="44">
        <f>IF(OR(A38="",K38=""),"",K38-A38)</f>
        <v/>
      </c>
      <c r="M38" s="41" t="n"/>
      <c r="N38" s="43" t="n"/>
    </row>
    <row r="39" ht="18" customHeight="1">
      <c r="A39" s="40" t="n"/>
      <c r="B39" s="41" t="n"/>
      <c r="C39" s="41" t="n"/>
      <c r="D39" s="41" t="n"/>
      <c r="E39" s="41" t="n"/>
      <c r="F39" s="42" t="n"/>
      <c r="G39" s="43" t="n"/>
      <c r="H39" s="43" t="n"/>
      <c r="I39" s="41" t="n"/>
      <c r="J39" s="42" t="n"/>
      <c r="K39" s="40" t="n"/>
      <c r="L39" s="44">
        <f>IF(OR(A39="",K39=""),"",K39-A39)</f>
        <v/>
      </c>
      <c r="M39" s="41" t="n"/>
      <c r="N39" s="43" t="n"/>
    </row>
    <row r="40" ht="18" customHeight="1">
      <c r="A40" s="40" t="n"/>
      <c r="B40" s="41" t="n"/>
      <c r="C40" s="41" t="n"/>
      <c r="D40" s="41" t="n"/>
      <c r="E40" s="41" t="n"/>
      <c r="F40" s="42" t="n"/>
      <c r="G40" s="43" t="n"/>
      <c r="H40" s="43" t="n"/>
      <c r="I40" s="41" t="n"/>
      <c r="J40" s="42" t="n"/>
      <c r="K40" s="40" t="n"/>
      <c r="L40" s="44">
        <f>IF(OR(A40="",K40=""),"",K40-A40)</f>
        <v/>
      </c>
      <c r="M40" s="41" t="n"/>
      <c r="N40" s="43" t="n"/>
    </row>
    <row r="41" ht="18" customHeight="1">
      <c r="A41" s="40" t="n"/>
      <c r="B41" s="41" t="n"/>
      <c r="C41" s="41" t="n"/>
      <c r="D41" s="41" t="n"/>
      <c r="E41" s="41" t="n"/>
      <c r="F41" s="42" t="n"/>
      <c r="G41" s="43" t="n"/>
      <c r="H41" s="43" t="n"/>
      <c r="I41" s="41" t="n"/>
      <c r="J41" s="42" t="n"/>
      <c r="K41" s="40" t="n"/>
      <c r="L41" s="44">
        <f>IF(OR(A41="",K41=""),"",K41-A41)</f>
        <v/>
      </c>
      <c r="M41" s="41" t="n"/>
      <c r="N41" s="43" t="n"/>
    </row>
    <row r="42" ht="18" customHeight="1">
      <c r="A42" s="40" t="n"/>
      <c r="B42" s="41" t="n"/>
      <c r="C42" s="41" t="n"/>
      <c r="D42" s="41" t="n"/>
      <c r="E42" s="41" t="n"/>
      <c r="F42" s="42" t="n"/>
      <c r="G42" s="43" t="n"/>
      <c r="H42" s="43" t="n"/>
      <c r="I42" s="41" t="n"/>
      <c r="J42" s="42" t="n"/>
      <c r="K42" s="40" t="n"/>
      <c r="L42" s="44">
        <f>IF(OR(A42="",K42=""),"",K42-A42)</f>
        <v/>
      </c>
      <c r="M42" s="41" t="n"/>
      <c r="N42" s="43" t="n"/>
    </row>
    <row r="43" ht="18" customHeight="1">
      <c r="A43" s="40" t="n"/>
      <c r="B43" s="41" t="n"/>
      <c r="C43" s="41" t="n"/>
      <c r="D43" s="41" t="n"/>
      <c r="E43" s="41" t="n"/>
      <c r="F43" s="42" t="n"/>
      <c r="G43" s="43" t="n"/>
      <c r="H43" s="43" t="n"/>
      <c r="I43" s="41" t="n"/>
      <c r="J43" s="42" t="n"/>
      <c r="K43" s="40" t="n"/>
      <c r="L43" s="44">
        <f>IF(OR(A43="",K43=""),"",K43-A43)</f>
        <v/>
      </c>
      <c r="M43" s="41" t="n"/>
      <c r="N43" s="43" t="n"/>
    </row>
    <row r="44" ht="18" customHeight="1">
      <c r="A44" s="40" t="n"/>
      <c r="B44" s="41" t="n"/>
      <c r="C44" s="41" t="n"/>
      <c r="D44" s="41" t="n"/>
      <c r="E44" s="41" t="n"/>
      <c r="F44" s="42" t="n"/>
      <c r="G44" s="43" t="n"/>
      <c r="H44" s="43" t="n"/>
      <c r="I44" s="41" t="n"/>
      <c r="J44" s="42" t="n"/>
      <c r="K44" s="40" t="n"/>
      <c r="L44" s="44">
        <f>IF(OR(A44="",K44=""),"",K44-A44)</f>
        <v/>
      </c>
      <c r="M44" s="41" t="n"/>
      <c r="N44" s="43" t="n"/>
    </row>
    <row r="45" ht="18" customHeight="1">
      <c r="A45" s="40" t="n"/>
      <c r="B45" s="41" t="n"/>
      <c r="C45" s="41" t="n"/>
      <c r="D45" s="41" t="n"/>
      <c r="E45" s="41" t="n"/>
      <c r="F45" s="42" t="n"/>
      <c r="G45" s="43" t="n"/>
      <c r="H45" s="43" t="n"/>
      <c r="I45" s="41" t="n"/>
      <c r="J45" s="42" t="n"/>
      <c r="K45" s="40" t="n"/>
      <c r="L45" s="44">
        <f>IF(OR(A45="",K45=""),"",K45-A45)</f>
        <v/>
      </c>
      <c r="M45" s="41" t="n"/>
      <c r="N45" s="43" t="n"/>
    </row>
    <row r="46" ht="18" customHeight="1">
      <c r="A46" s="40" t="n"/>
      <c r="B46" s="41" t="n"/>
      <c r="C46" s="41" t="n"/>
      <c r="D46" s="41" t="n"/>
      <c r="E46" s="41" t="n"/>
      <c r="F46" s="42" t="n"/>
      <c r="G46" s="43" t="n"/>
      <c r="H46" s="43" t="n"/>
      <c r="I46" s="41" t="n"/>
      <c r="J46" s="42" t="n"/>
      <c r="K46" s="40" t="n"/>
      <c r="L46" s="44">
        <f>IF(OR(A46="",K46=""),"",K46-A46)</f>
        <v/>
      </c>
      <c r="M46" s="41" t="n"/>
      <c r="N46" s="43" t="n"/>
    </row>
    <row r="47" ht="18" customHeight="1">
      <c r="A47" s="40" t="n"/>
      <c r="B47" s="41" t="n"/>
      <c r="C47" s="41" t="n"/>
      <c r="D47" s="41" t="n"/>
      <c r="E47" s="41" t="n"/>
      <c r="F47" s="42" t="n"/>
      <c r="G47" s="43" t="n"/>
      <c r="H47" s="43" t="n"/>
      <c r="I47" s="41" t="n"/>
      <c r="J47" s="42" t="n"/>
      <c r="K47" s="40" t="n"/>
      <c r="L47" s="44">
        <f>IF(OR(A47="",K47=""),"",K47-A47)</f>
        <v/>
      </c>
      <c r="M47" s="41" t="n"/>
      <c r="N47" s="43" t="n"/>
    </row>
    <row r="48" ht="18" customHeight="1">
      <c r="A48" s="40" t="n"/>
      <c r="B48" s="41" t="n"/>
      <c r="C48" s="41" t="n"/>
      <c r="D48" s="41" t="n"/>
      <c r="E48" s="41" t="n"/>
      <c r="F48" s="42" t="n"/>
      <c r="G48" s="43" t="n"/>
      <c r="H48" s="43" t="n"/>
      <c r="I48" s="41" t="n"/>
      <c r="J48" s="42" t="n"/>
      <c r="K48" s="40" t="n"/>
      <c r="L48" s="44">
        <f>IF(OR(A48="",K48=""),"",K48-A48)</f>
        <v/>
      </c>
      <c r="M48" s="41" t="n"/>
      <c r="N48" s="43" t="n"/>
    </row>
    <row r="49" ht="18" customHeight="1">
      <c r="A49" s="40" t="n"/>
      <c r="B49" s="41" t="n"/>
      <c r="C49" s="41" t="n"/>
      <c r="D49" s="41" t="n"/>
      <c r="E49" s="41" t="n"/>
      <c r="F49" s="42" t="n"/>
      <c r="G49" s="43" t="n"/>
      <c r="H49" s="43" t="n"/>
      <c r="I49" s="41" t="n"/>
      <c r="J49" s="42" t="n"/>
      <c r="K49" s="40" t="n"/>
      <c r="L49" s="44">
        <f>IF(OR(A49="",K49=""),"",K49-A49)</f>
        <v/>
      </c>
      <c r="M49" s="41" t="n"/>
      <c r="N49" s="43" t="n"/>
    </row>
    <row r="50" ht="18" customHeight="1">
      <c r="A50" s="40" t="n"/>
      <c r="B50" s="41" t="n"/>
      <c r="C50" s="41" t="n"/>
      <c r="D50" s="41" t="n"/>
      <c r="E50" s="41" t="n"/>
      <c r="F50" s="42" t="n"/>
      <c r="G50" s="43" t="n"/>
      <c r="H50" s="43" t="n"/>
      <c r="I50" s="41" t="n"/>
      <c r="J50" s="42" t="n"/>
      <c r="K50" s="40" t="n"/>
      <c r="L50" s="44">
        <f>IF(OR(A50="",K50=""),"",K50-A50)</f>
        <v/>
      </c>
      <c r="M50" s="41" t="n"/>
      <c r="N50" s="43" t="n"/>
    </row>
    <row r="51" ht="18" customHeight="1">
      <c r="A51" s="40" t="n"/>
      <c r="B51" s="41" t="n"/>
      <c r="C51" s="41" t="n"/>
      <c r="D51" s="41" t="n"/>
      <c r="E51" s="41" t="n"/>
      <c r="F51" s="42" t="n"/>
      <c r="G51" s="43" t="n"/>
      <c r="H51" s="43" t="n"/>
      <c r="I51" s="41" t="n"/>
      <c r="J51" s="42" t="n"/>
      <c r="K51" s="40" t="n"/>
      <c r="L51" s="44">
        <f>IF(OR(A51="",K51=""),"",K51-A51)</f>
        <v/>
      </c>
      <c r="M51" s="41" t="n"/>
      <c r="N51" s="43" t="n"/>
    </row>
    <row r="52" ht="18" customHeight="1">
      <c r="A52" s="40" t="n"/>
      <c r="B52" s="41" t="n"/>
      <c r="C52" s="41" t="n"/>
      <c r="D52" s="41" t="n"/>
      <c r="E52" s="41" t="n"/>
      <c r="F52" s="42" t="n"/>
      <c r="G52" s="43" t="n"/>
      <c r="H52" s="43" t="n"/>
      <c r="I52" s="41" t="n"/>
      <c r="J52" s="42" t="n"/>
      <c r="K52" s="40" t="n"/>
      <c r="L52" s="44">
        <f>IF(OR(A52="",K52=""),"",K52-A52)</f>
        <v/>
      </c>
      <c r="M52" s="41" t="n"/>
      <c r="N52" s="43" t="n"/>
    </row>
    <row r="53" ht="18" customHeight="1">
      <c r="A53" s="40" t="n"/>
      <c r="B53" s="41" t="n"/>
      <c r="C53" s="41" t="n"/>
      <c r="D53" s="41" t="n"/>
      <c r="E53" s="41" t="n"/>
      <c r="F53" s="42" t="n"/>
      <c r="G53" s="43" t="n"/>
      <c r="H53" s="43" t="n"/>
      <c r="I53" s="41" t="n"/>
      <c r="J53" s="42" t="n"/>
      <c r="K53" s="40" t="n"/>
      <c r="L53" s="44">
        <f>IF(OR(A53="",K53=""),"",K53-A53)</f>
        <v/>
      </c>
      <c r="M53" s="41" t="n"/>
      <c r="N53" s="43" t="n"/>
    </row>
    <row r="54" ht="18" customHeight="1">
      <c r="A54" s="40" t="n"/>
      <c r="B54" s="41" t="n"/>
      <c r="C54" s="41" t="n"/>
      <c r="D54" s="41" t="n"/>
      <c r="E54" s="41" t="n"/>
      <c r="F54" s="42" t="n"/>
      <c r="G54" s="43" t="n"/>
      <c r="H54" s="43" t="n"/>
      <c r="I54" s="41" t="n"/>
      <c r="J54" s="42" t="n"/>
      <c r="K54" s="40" t="n"/>
      <c r="L54" s="44">
        <f>IF(OR(A54="",K54=""),"",K54-A54)</f>
        <v/>
      </c>
      <c r="M54" s="41" t="n"/>
      <c r="N54" s="43" t="n"/>
    </row>
    <row r="55" ht="18" customHeight="1">
      <c r="A55" s="40" t="n"/>
      <c r="B55" s="41" t="n"/>
      <c r="C55" s="41" t="n"/>
      <c r="D55" s="41" t="n"/>
      <c r="E55" s="41" t="n"/>
      <c r="F55" s="42" t="n"/>
      <c r="G55" s="43" t="n"/>
      <c r="H55" s="43" t="n"/>
      <c r="I55" s="41" t="n"/>
      <c r="J55" s="42" t="n"/>
      <c r="K55" s="40" t="n"/>
      <c r="L55" s="44">
        <f>IF(OR(A55="",K55=""),"",K55-A55)</f>
        <v/>
      </c>
      <c r="M55" s="41" t="n"/>
      <c r="N55" s="43" t="n"/>
    </row>
    <row r="56" ht="18" customHeight="1">
      <c r="A56" s="40" t="n"/>
      <c r="B56" s="41" t="n"/>
      <c r="C56" s="41" t="n"/>
      <c r="D56" s="41" t="n"/>
      <c r="E56" s="41" t="n"/>
      <c r="F56" s="42" t="n"/>
      <c r="G56" s="43" t="n"/>
      <c r="H56" s="43" t="n"/>
      <c r="I56" s="41" t="n"/>
      <c r="J56" s="42" t="n"/>
      <c r="K56" s="40" t="n"/>
      <c r="L56" s="44">
        <f>IF(OR(A56="",K56=""),"",K56-A56)</f>
        <v/>
      </c>
      <c r="M56" s="41" t="n"/>
      <c r="N56" s="43" t="n"/>
    </row>
    <row r="57" ht="18" customHeight="1">
      <c r="A57" s="40" t="n"/>
      <c r="B57" s="41" t="n"/>
      <c r="C57" s="41" t="n"/>
      <c r="D57" s="41" t="n"/>
      <c r="E57" s="41" t="n"/>
      <c r="F57" s="42" t="n"/>
      <c r="G57" s="43" t="n"/>
      <c r="H57" s="43" t="n"/>
      <c r="I57" s="41" t="n"/>
      <c r="J57" s="42" t="n"/>
      <c r="K57" s="40" t="n"/>
      <c r="L57" s="44">
        <f>IF(OR(A57="",K57=""),"",K57-A57)</f>
        <v/>
      </c>
      <c r="M57" s="41" t="n"/>
      <c r="N57" s="43" t="n"/>
    </row>
    <row r="58" ht="18" customHeight="1">
      <c r="A58" s="40" t="n"/>
      <c r="B58" s="41" t="n"/>
      <c r="C58" s="41" t="n"/>
      <c r="D58" s="41" t="n"/>
      <c r="E58" s="41" t="n"/>
      <c r="F58" s="42" t="n"/>
      <c r="G58" s="43" t="n"/>
      <c r="H58" s="43" t="n"/>
      <c r="I58" s="41" t="n"/>
      <c r="J58" s="42" t="n"/>
      <c r="K58" s="40" t="n"/>
      <c r="L58" s="44">
        <f>IF(OR(A58="",K58=""),"",K58-A58)</f>
        <v/>
      </c>
      <c r="M58" s="41" t="n"/>
      <c r="N58" s="43" t="n"/>
    </row>
    <row r="59" ht="18" customHeight="1">
      <c r="A59" s="40" t="n"/>
      <c r="B59" s="41" t="n"/>
      <c r="C59" s="41" t="n"/>
      <c r="D59" s="41" t="n"/>
      <c r="E59" s="41" t="n"/>
      <c r="F59" s="42" t="n"/>
      <c r="G59" s="43" t="n"/>
      <c r="H59" s="43" t="n"/>
      <c r="I59" s="41" t="n"/>
      <c r="J59" s="42" t="n"/>
      <c r="K59" s="40" t="n"/>
      <c r="L59" s="44">
        <f>IF(OR(A59="",K59=""),"",K59-A59)</f>
        <v/>
      </c>
      <c r="M59" s="41" t="n"/>
      <c r="N59" s="43" t="n"/>
    </row>
    <row r="60" ht="18" customHeight="1">
      <c r="A60" s="40" t="n"/>
      <c r="B60" s="41" t="n"/>
      <c r="C60" s="41" t="n"/>
      <c r="D60" s="41" t="n"/>
      <c r="E60" s="41" t="n"/>
      <c r="F60" s="42" t="n"/>
      <c r="G60" s="43" t="n"/>
      <c r="H60" s="43" t="n"/>
      <c r="I60" s="41" t="n"/>
      <c r="J60" s="42" t="n"/>
      <c r="K60" s="40" t="n"/>
      <c r="L60" s="44">
        <f>IF(OR(A60="",K60=""),"",K60-A60)</f>
        <v/>
      </c>
      <c r="M60" s="41" t="n"/>
      <c r="N60" s="43" t="n"/>
    </row>
    <row r="61" ht="18" customHeight="1">
      <c r="A61" s="40" t="n"/>
      <c r="B61" s="41" t="n"/>
      <c r="C61" s="41" t="n"/>
      <c r="D61" s="41" t="n"/>
      <c r="E61" s="41" t="n"/>
      <c r="F61" s="42" t="n"/>
      <c r="G61" s="43" t="n"/>
      <c r="H61" s="43" t="n"/>
      <c r="I61" s="41" t="n"/>
      <c r="J61" s="42" t="n"/>
      <c r="K61" s="40" t="n"/>
      <c r="L61" s="44">
        <f>IF(OR(A61="",K61=""),"",K61-A61)</f>
        <v/>
      </c>
      <c r="M61" s="41" t="n"/>
      <c r="N61" s="43" t="n"/>
    </row>
    <row r="62" ht="18" customHeight="1">
      <c r="A62" s="40" t="n"/>
      <c r="B62" s="41" t="n"/>
      <c r="C62" s="41" t="n"/>
      <c r="D62" s="41" t="n"/>
      <c r="E62" s="41" t="n"/>
      <c r="F62" s="42" t="n"/>
      <c r="G62" s="43" t="n"/>
      <c r="H62" s="43" t="n"/>
      <c r="I62" s="41" t="n"/>
      <c r="J62" s="42" t="n"/>
      <c r="K62" s="40" t="n"/>
      <c r="L62" s="44">
        <f>IF(OR(A62="",K62=""),"",K62-A62)</f>
        <v/>
      </c>
      <c r="M62" s="41" t="n"/>
      <c r="N62" s="43" t="n"/>
    </row>
    <row r="63" ht="18" customHeight="1">
      <c r="A63" s="40" t="n"/>
      <c r="B63" s="41" t="n"/>
      <c r="C63" s="41" t="n"/>
      <c r="D63" s="41" t="n"/>
      <c r="E63" s="41" t="n"/>
      <c r="F63" s="42" t="n"/>
      <c r="G63" s="43" t="n"/>
      <c r="H63" s="43" t="n"/>
      <c r="I63" s="41" t="n"/>
      <c r="J63" s="42" t="n"/>
      <c r="K63" s="40" t="n"/>
      <c r="L63" s="44">
        <f>IF(OR(A63="",K63=""),"",K63-A63)</f>
        <v/>
      </c>
      <c r="M63" s="41" t="n"/>
      <c r="N63" s="43" t="n"/>
    </row>
    <row r="64" ht="18" customHeight="1">
      <c r="A64" s="40" t="n"/>
      <c r="B64" s="41" t="n"/>
      <c r="C64" s="41" t="n"/>
      <c r="D64" s="41" t="n"/>
      <c r="E64" s="41" t="n"/>
      <c r="F64" s="42" t="n"/>
      <c r="G64" s="43" t="n"/>
      <c r="H64" s="43" t="n"/>
      <c r="I64" s="41" t="n"/>
      <c r="J64" s="42" t="n"/>
      <c r="K64" s="40" t="n"/>
      <c r="L64" s="44">
        <f>IF(OR(A64="",K64=""),"",K64-A64)</f>
        <v/>
      </c>
      <c r="M64" s="41" t="n"/>
      <c r="N64" s="43" t="n"/>
    </row>
    <row r="65" ht="18" customHeight="1">
      <c r="A65" s="40" t="n"/>
      <c r="B65" s="41" t="n"/>
      <c r="C65" s="41" t="n"/>
      <c r="D65" s="41" t="n"/>
      <c r="E65" s="41" t="n"/>
      <c r="F65" s="42" t="n"/>
      <c r="G65" s="43" t="n"/>
      <c r="H65" s="43" t="n"/>
      <c r="I65" s="41" t="n"/>
      <c r="J65" s="42" t="n"/>
      <c r="K65" s="40" t="n"/>
      <c r="L65" s="44">
        <f>IF(OR(A65="",K65=""),"",K65-A65)</f>
        <v/>
      </c>
      <c r="M65" s="41" t="n"/>
      <c r="N65" s="43" t="n"/>
    </row>
    <row r="66" ht="18" customHeight="1">
      <c r="A66" s="40" t="n"/>
      <c r="B66" s="41" t="n"/>
      <c r="C66" s="41" t="n"/>
      <c r="D66" s="41" t="n"/>
      <c r="E66" s="41" t="n"/>
      <c r="F66" s="42" t="n"/>
      <c r="G66" s="43" t="n"/>
      <c r="H66" s="43" t="n"/>
      <c r="I66" s="41" t="n"/>
      <c r="J66" s="42" t="n"/>
      <c r="K66" s="40" t="n"/>
      <c r="L66" s="44">
        <f>IF(OR(A66="",K66=""),"",K66-A66)</f>
        <v/>
      </c>
      <c r="M66" s="41" t="n"/>
      <c r="N66" s="43" t="n"/>
    </row>
    <row r="67" ht="18" customHeight="1">
      <c r="A67" s="40" t="n"/>
      <c r="B67" s="41" t="n"/>
      <c r="C67" s="41" t="n"/>
      <c r="D67" s="41" t="n"/>
      <c r="E67" s="41" t="n"/>
      <c r="F67" s="42" t="n"/>
      <c r="G67" s="43" t="n"/>
      <c r="H67" s="43" t="n"/>
      <c r="I67" s="41" t="n"/>
      <c r="J67" s="42" t="n"/>
      <c r="K67" s="40" t="n"/>
      <c r="L67" s="44">
        <f>IF(OR(A67="",K67=""),"",K67-A67)</f>
        <v/>
      </c>
      <c r="M67" s="41" t="n"/>
      <c r="N67" s="43" t="n"/>
    </row>
    <row r="68" ht="18" customHeight="1">
      <c r="A68" s="40" t="n"/>
      <c r="B68" s="41" t="n"/>
      <c r="C68" s="41" t="n"/>
      <c r="D68" s="41" t="n"/>
      <c r="E68" s="41" t="n"/>
      <c r="F68" s="42" t="n"/>
      <c r="G68" s="43" t="n"/>
      <c r="H68" s="43" t="n"/>
      <c r="I68" s="41" t="n"/>
      <c r="J68" s="42" t="n"/>
      <c r="K68" s="40" t="n"/>
      <c r="L68" s="44">
        <f>IF(OR(A68="",K68=""),"",K68-A68)</f>
        <v/>
      </c>
      <c r="M68" s="41" t="n"/>
      <c r="N68" s="43" t="n"/>
    </row>
    <row r="69" ht="18" customHeight="1">
      <c r="A69" s="40" t="n"/>
      <c r="B69" s="41" t="n"/>
      <c r="C69" s="41" t="n"/>
      <c r="D69" s="41" t="n"/>
      <c r="E69" s="41" t="n"/>
      <c r="F69" s="42" t="n"/>
      <c r="G69" s="43" t="n"/>
      <c r="H69" s="43" t="n"/>
      <c r="I69" s="41" t="n"/>
      <c r="J69" s="42" t="n"/>
      <c r="K69" s="40" t="n"/>
      <c r="L69" s="44">
        <f>IF(OR(A69="",K69=""),"",K69-A69)</f>
        <v/>
      </c>
      <c r="M69" s="41" t="n"/>
      <c r="N69" s="43" t="n"/>
    </row>
    <row r="70" ht="18" customHeight="1">
      <c r="A70" s="40" t="n"/>
      <c r="B70" s="41" t="n"/>
      <c r="C70" s="41" t="n"/>
      <c r="D70" s="41" t="n"/>
      <c r="E70" s="41" t="n"/>
      <c r="F70" s="42" t="n"/>
      <c r="G70" s="43" t="n"/>
      <c r="H70" s="43" t="n"/>
      <c r="I70" s="41" t="n"/>
      <c r="J70" s="42" t="n"/>
      <c r="K70" s="40" t="n"/>
      <c r="L70" s="44">
        <f>IF(OR(A70="",K70=""),"",K70-A70)</f>
        <v/>
      </c>
      <c r="M70" s="41" t="n"/>
      <c r="N70" s="43" t="n"/>
    </row>
    <row r="71" ht="18" customHeight="1">
      <c r="A71" s="40" t="n"/>
      <c r="B71" s="41" t="n"/>
      <c r="C71" s="41" t="n"/>
      <c r="D71" s="41" t="n"/>
      <c r="E71" s="41" t="n"/>
      <c r="F71" s="42" t="n"/>
      <c r="G71" s="43" t="n"/>
      <c r="H71" s="43" t="n"/>
      <c r="I71" s="41" t="n"/>
      <c r="J71" s="42" t="n"/>
      <c r="K71" s="40" t="n"/>
      <c r="L71" s="44">
        <f>IF(OR(A71="",K71=""),"",K71-A71)</f>
        <v/>
      </c>
      <c r="M71" s="41" t="n"/>
      <c r="N71" s="43" t="n"/>
    </row>
    <row r="72" ht="18" customHeight="1">
      <c r="A72" s="40" t="n"/>
      <c r="B72" s="41" t="n"/>
      <c r="C72" s="41" t="n"/>
      <c r="D72" s="41" t="n"/>
      <c r="E72" s="41" t="n"/>
      <c r="F72" s="42" t="n"/>
      <c r="G72" s="43" t="n"/>
      <c r="H72" s="43" t="n"/>
      <c r="I72" s="41" t="n"/>
      <c r="J72" s="42" t="n"/>
      <c r="K72" s="40" t="n"/>
      <c r="L72" s="44">
        <f>IF(OR(A72="",K72=""),"",K72-A72)</f>
        <v/>
      </c>
      <c r="M72" s="41" t="n"/>
      <c r="N72" s="43" t="n"/>
    </row>
    <row r="73" ht="18" customHeight="1">
      <c r="A73" s="40" t="n"/>
      <c r="B73" s="41" t="n"/>
      <c r="C73" s="41" t="n"/>
      <c r="D73" s="41" t="n"/>
      <c r="E73" s="41" t="n"/>
      <c r="F73" s="42" t="n"/>
      <c r="G73" s="43" t="n"/>
      <c r="H73" s="43" t="n"/>
      <c r="I73" s="41" t="n"/>
      <c r="J73" s="42" t="n"/>
      <c r="K73" s="40" t="n"/>
      <c r="L73" s="44">
        <f>IF(OR(A73="",K73=""),"",K73-A73)</f>
        <v/>
      </c>
      <c r="M73" s="41" t="n"/>
      <c r="N73" s="43" t="n"/>
    </row>
    <row r="74" ht="18" customHeight="1">
      <c r="A74" s="40" t="n"/>
      <c r="B74" s="41" t="n"/>
      <c r="C74" s="41" t="n"/>
      <c r="D74" s="41" t="n"/>
      <c r="E74" s="41" t="n"/>
      <c r="F74" s="42" t="n"/>
      <c r="G74" s="43" t="n"/>
      <c r="H74" s="43" t="n"/>
      <c r="I74" s="41" t="n"/>
      <c r="J74" s="42" t="n"/>
      <c r="K74" s="40" t="n"/>
      <c r="L74" s="44">
        <f>IF(OR(A74="",K74=""),"",K74-A74)</f>
        <v/>
      </c>
      <c r="M74" s="41" t="n"/>
      <c r="N74" s="43" t="n"/>
    </row>
    <row r="75" ht="18" customHeight="1">
      <c r="A75" s="40" t="n"/>
      <c r="B75" s="41" t="n"/>
      <c r="C75" s="41" t="n"/>
      <c r="D75" s="41" t="n"/>
      <c r="E75" s="41" t="n"/>
      <c r="F75" s="42" t="n"/>
      <c r="G75" s="43" t="n"/>
      <c r="H75" s="43" t="n"/>
      <c r="I75" s="41" t="n"/>
      <c r="J75" s="42" t="n"/>
      <c r="K75" s="40" t="n"/>
      <c r="L75" s="44">
        <f>IF(OR(A75="",K75=""),"",K75-A75)</f>
        <v/>
      </c>
      <c r="M75" s="41" t="n"/>
      <c r="N75" s="43" t="n"/>
    </row>
    <row r="76" ht="18" customHeight="1">
      <c r="A76" s="40" t="n"/>
      <c r="B76" s="41" t="n"/>
      <c r="C76" s="41" t="n"/>
      <c r="D76" s="41" t="n"/>
      <c r="E76" s="41" t="n"/>
      <c r="F76" s="42" t="n"/>
      <c r="G76" s="43" t="n"/>
      <c r="H76" s="43" t="n"/>
      <c r="I76" s="41" t="n"/>
      <c r="J76" s="42" t="n"/>
      <c r="K76" s="40" t="n"/>
      <c r="L76" s="44">
        <f>IF(OR(A76="",K76=""),"",K76-A76)</f>
        <v/>
      </c>
      <c r="M76" s="41" t="n"/>
      <c r="N76" s="43" t="n"/>
    </row>
    <row r="77" ht="18" customHeight="1">
      <c r="A77" s="40" t="n"/>
      <c r="B77" s="41" t="n"/>
      <c r="C77" s="41" t="n"/>
      <c r="D77" s="41" t="n"/>
      <c r="E77" s="41" t="n"/>
      <c r="F77" s="42" t="n"/>
      <c r="G77" s="43" t="n"/>
      <c r="H77" s="43" t="n"/>
      <c r="I77" s="41" t="n"/>
      <c r="J77" s="42" t="n"/>
      <c r="K77" s="40" t="n"/>
      <c r="L77" s="44">
        <f>IF(OR(A77="",K77=""),"",K77-A77)</f>
        <v/>
      </c>
      <c r="M77" s="41" t="n"/>
      <c r="N77" s="43" t="n"/>
    </row>
    <row r="78" ht="18" customHeight="1">
      <c r="A78" s="40" t="n"/>
      <c r="B78" s="41" t="n"/>
      <c r="C78" s="41" t="n"/>
      <c r="D78" s="41" t="n"/>
      <c r="E78" s="41" t="n"/>
      <c r="F78" s="42" t="n"/>
      <c r="G78" s="43" t="n"/>
      <c r="H78" s="43" t="n"/>
      <c r="I78" s="41" t="n"/>
      <c r="J78" s="42" t="n"/>
      <c r="K78" s="40" t="n"/>
      <c r="L78" s="44">
        <f>IF(OR(A78="",K78=""),"",K78-A78)</f>
        <v/>
      </c>
      <c r="M78" s="41" t="n"/>
      <c r="N78" s="43" t="n"/>
    </row>
    <row r="79" ht="18" customHeight="1">
      <c r="A79" s="40" t="n"/>
      <c r="B79" s="41" t="n"/>
      <c r="C79" s="41" t="n"/>
      <c r="D79" s="41" t="n"/>
      <c r="E79" s="41" t="n"/>
      <c r="F79" s="42" t="n"/>
      <c r="G79" s="43" t="n"/>
      <c r="H79" s="43" t="n"/>
      <c r="I79" s="41" t="n"/>
      <c r="J79" s="42" t="n"/>
      <c r="K79" s="40" t="n"/>
      <c r="L79" s="44">
        <f>IF(OR(A79="",K79=""),"",K79-A79)</f>
        <v/>
      </c>
      <c r="M79" s="41" t="n"/>
      <c r="N79" s="43" t="n"/>
    </row>
    <row r="80" ht="18" customHeight="1">
      <c r="A80" s="40" t="n"/>
      <c r="B80" s="41" t="n"/>
      <c r="C80" s="41" t="n"/>
      <c r="D80" s="41" t="n"/>
      <c r="E80" s="41" t="n"/>
      <c r="F80" s="42" t="n"/>
      <c r="G80" s="43" t="n"/>
      <c r="H80" s="43" t="n"/>
      <c r="I80" s="41" t="n"/>
      <c r="J80" s="42" t="n"/>
      <c r="K80" s="40" t="n"/>
      <c r="L80" s="44">
        <f>IF(OR(A80="",K80=""),"",K80-A80)</f>
        <v/>
      </c>
      <c r="M80" s="41" t="n"/>
      <c r="N80" s="43" t="n"/>
    </row>
    <row r="81" ht="18" customHeight="1">
      <c r="A81" s="40" t="n"/>
      <c r="B81" s="41" t="n"/>
      <c r="C81" s="41" t="n"/>
      <c r="D81" s="41" t="n"/>
      <c r="E81" s="41" t="n"/>
      <c r="F81" s="42" t="n"/>
      <c r="G81" s="43" t="n"/>
      <c r="H81" s="43" t="n"/>
      <c r="I81" s="41" t="n"/>
      <c r="J81" s="42" t="n"/>
      <c r="K81" s="40" t="n"/>
      <c r="L81" s="44">
        <f>IF(OR(A81="",K81=""),"",K81-A81)</f>
        <v/>
      </c>
      <c r="M81" s="41" t="n"/>
      <c r="N81" s="43" t="n"/>
    </row>
    <row r="82" ht="18" customHeight="1">
      <c r="A82" s="40" t="n"/>
      <c r="B82" s="41" t="n"/>
      <c r="C82" s="41" t="n"/>
      <c r="D82" s="41" t="n"/>
      <c r="E82" s="41" t="n"/>
      <c r="F82" s="42" t="n"/>
      <c r="G82" s="43" t="n"/>
      <c r="H82" s="43" t="n"/>
      <c r="I82" s="41" t="n"/>
      <c r="J82" s="42" t="n"/>
      <c r="K82" s="40" t="n"/>
      <c r="L82" s="44">
        <f>IF(OR(A82="",K82=""),"",K82-A82)</f>
        <v/>
      </c>
      <c r="M82" s="41" t="n"/>
      <c r="N82" s="43" t="n"/>
    </row>
    <row r="83" ht="18" customHeight="1">
      <c r="A83" s="40" t="n"/>
      <c r="B83" s="41" t="n"/>
      <c r="C83" s="41" t="n"/>
      <c r="D83" s="41" t="n"/>
      <c r="E83" s="41" t="n"/>
      <c r="F83" s="42" t="n"/>
      <c r="G83" s="43" t="n"/>
      <c r="H83" s="43" t="n"/>
      <c r="I83" s="41" t="n"/>
      <c r="J83" s="42" t="n"/>
      <c r="K83" s="40" t="n"/>
      <c r="L83" s="44">
        <f>IF(OR(A83="",K83=""),"",K83-A83)</f>
        <v/>
      </c>
      <c r="M83" s="41" t="n"/>
      <c r="N83" s="43" t="n"/>
    </row>
    <row r="84" ht="18" customHeight="1">
      <c r="A84" s="40" t="n"/>
      <c r="B84" s="41" t="n"/>
      <c r="C84" s="41" t="n"/>
      <c r="D84" s="41" t="n"/>
      <c r="E84" s="41" t="n"/>
      <c r="F84" s="42" t="n"/>
      <c r="G84" s="43" t="n"/>
      <c r="H84" s="43" t="n"/>
      <c r="I84" s="41" t="n"/>
      <c r="J84" s="42" t="n"/>
      <c r="K84" s="40" t="n"/>
      <c r="L84" s="44">
        <f>IF(OR(A84="",K84=""),"",K84-A84)</f>
        <v/>
      </c>
      <c r="M84" s="41" t="n"/>
      <c r="N84" s="43" t="n"/>
    </row>
    <row r="85" ht="18" customHeight="1">
      <c r="A85" s="40" t="n"/>
      <c r="B85" s="41" t="n"/>
      <c r="C85" s="41" t="n"/>
      <c r="D85" s="41" t="n"/>
      <c r="E85" s="41" t="n"/>
      <c r="F85" s="42" t="n"/>
      <c r="G85" s="43" t="n"/>
      <c r="H85" s="43" t="n"/>
      <c r="I85" s="41" t="n"/>
      <c r="J85" s="42" t="n"/>
      <c r="K85" s="40" t="n"/>
      <c r="L85" s="44">
        <f>IF(OR(A85="",K85=""),"",K85-A85)</f>
        <v/>
      </c>
      <c r="M85" s="41" t="n"/>
      <c r="N85" s="43" t="n"/>
    </row>
    <row r="86" ht="18" customHeight="1">
      <c r="A86" s="40" t="n"/>
      <c r="B86" s="41" t="n"/>
      <c r="C86" s="41" t="n"/>
      <c r="D86" s="41" t="n"/>
      <c r="E86" s="41" t="n"/>
      <c r="F86" s="42" t="n"/>
      <c r="G86" s="43" t="n"/>
      <c r="H86" s="43" t="n"/>
      <c r="I86" s="41" t="n"/>
      <c r="J86" s="42" t="n"/>
      <c r="K86" s="40" t="n"/>
      <c r="L86" s="44">
        <f>IF(OR(A86="",K86=""),"",K86-A86)</f>
        <v/>
      </c>
      <c r="M86" s="41" t="n"/>
      <c r="N86" s="43" t="n"/>
    </row>
    <row r="87" ht="18" customHeight="1">
      <c r="A87" s="40" t="n"/>
      <c r="B87" s="41" t="n"/>
      <c r="C87" s="41" t="n"/>
      <c r="D87" s="41" t="n"/>
      <c r="E87" s="41" t="n"/>
      <c r="F87" s="42" t="n"/>
      <c r="G87" s="43" t="n"/>
      <c r="H87" s="43" t="n"/>
      <c r="I87" s="41" t="n"/>
      <c r="J87" s="42" t="n"/>
      <c r="K87" s="40" t="n"/>
      <c r="L87" s="44">
        <f>IF(OR(A87="",K87=""),"",K87-A87)</f>
        <v/>
      </c>
      <c r="M87" s="41" t="n"/>
      <c r="N87" s="43" t="n"/>
    </row>
    <row r="88" ht="18" customHeight="1">
      <c r="A88" s="40" t="n"/>
      <c r="B88" s="41" t="n"/>
      <c r="C88" s="41" t="n"/>
      <c r="D88" s="41" t="n"/>
      <c r="E88" s="41" t="n"/>
      <c r="F88" s="42" t="n"/>
      <c r="G88" s="43" t="n"/>
      <c r="H88" s="43" t="n"/>
      <c r="I88" s="41" t="n"/>
      <c r="J88" s="42" t="n"/>
      <c r="K88" s="40" t="n"/>
      <c r="L88" s="44">
        <f>IF(OR(A88="",K88=""),"",K88-A88)</f>
        <v/>
      </c>
      <c r="M88" s="41" t="n"/>
      <c r="N88" s="43" t="n"/>
    </row>
    <row r="89" ht="18" customHeight="1">
      <c r="A89" s="40" t="n"/>
      <c r="B89" s="41" t="n"/>
      <c r="C89" s="41" t="n"/>
      <c r="D89" s="41" t="n"/>
      <c r="E89" s="41" t="n"/>
      <c r="F89" s="42" t="n"/>
      <c r="G89" s="43" t="n"/>
      <c r="H89" s="43" t="n"/>
      <c r="I89" s="41" t="n"/>
      <c r="J89" s="42" t="n"/>
      <c r="K89" s="40" t="n"/>
      <c r="L89" s="44">
        <f>IF(OR(A89="",K89=""),"",K89-A89)</f>
        <v/>
      </c>
      <c r="M89" s="41" t="n"/>
      <c r="N89" s="43" t="n"/>
    </row>
    <row r="90" ht="18" customHeight="1">
      <c r="A90" s="40" t="n"/>
      <c r="B90" s="41" t="n"/>
      <c r="C90" s="41" t="n"/>
      <c r="D90" s="41" t="n"/>
      <c r="E90" s="41" t="n"/>
      <c r="F90" s="42" t="n"/>
      <c r="G90" s="43" t="n"/>
      <c r="H90" s="43" t="n"/>
      <c r="I90" s="41" t="n"/>
      <c r="J90" s="42" t="n"/>
      <c r="K90" s="40" t="n"/>
      <c r="L90" s="44">
        <f>IF(OR(A90="",K90=""),"",K90-A90)</f>
        <v/>
      </c>
      <c r="M90" s="41" t="n"/>
      <c r="N90" s="43" t="n"/>
    </row>
    <row r="91" ht="18" customHeight="1">
      <c r="A91" s="40" t="n"/>
      <c r="B91" s="41" t="n"/>
      <c r="C91" s="41" t="n"/>
      <c r="D91" s="41" t="n"/>
      <c r="E91" s="41" t="n"/>
      <c r="F91" s="42" t="n"/>
      <c r="G91" s="43" t="n"/>
      <c r="H91" s="43" t="n"/>
      <c r="I91" s="41" t="n"/>
      <c r="J91" s="42" t="n"/>
      <c r="K91" s="40" t="n"/>
      <c r="L91" s="44">
        <f>IF(OR(A91="",K91=""),"",K91-A91)</f>
        <v/>
      </c>
      <c r="M91" s="41" t="n"/>
      <c r="N91" s="43" t="n"/>
    </row>
    <row r="92" ht="18" customHeight="1">
      <c r="A92" s="40" t="n"/>
      <c r="B92" s="41" t="n"/>
      <c r="C92" s="41" t="n"/>
      <c r="D92" s="41" t="n"/>
      <c r="E92" s="41" t="n"/>
      <c r="F92" s="42" t="n"/>
      <c r="G92" s="43" t="n"/>
      <c r="H92" s="43" t="n"/>
      <c r="I92" s="41" t="n"/>
      <c r="J92" s="42" t="n"/>
      <c r="K92" s="40" t="n"/>
      <c r="L92" s="44">
        <f>IF(OR(A92="",K92=""),"",K92-A92)</f>
        <v/>
      </c>
      <c r="M92" s="41" t="n"/>
      <c r="N92" s="43" t="n"/>
    </row>
    <row r="93" ht="18" customHeight="1">
      <c r="A93" s="40" t="n"/>
      <c r="B93" s="41" t="n"/>
      <c r="C93" s="41" t="n"/>
      <c r="D93" s="41" t="n"/>
      <c r="E93" s="41" t="n"/>
      <c r="F93" s="42" t="n"/>
      <c r="G93" s="43" t="n"/>
      <c r="H93" s="43" t="n"/>
      <c r="I93" s="41" t="n"/>
      <c r="J93" s="42" t="n"/>
      <c r="K93" s="40" t="n"/>
      <c r="L93" s="44">
        <f>IF(OR(A93="",K93=""),"",K93-A93)</f>
        <v/>
      </c>
      <c r="M93" s="41" t="n"/>
      <c r="N93" s="43" t="n"/>
    </row>
    <row r="94" ht="18" customHeight="1">
      <c r="A94" s="40" t="n"/>
      <c r="B94" s="41" t="n"/>
      <c r="C94" s="41" t="n"/>
      <c r="D94" s="41" t="n"/>
      <c r="E94" s="41" t="n"/>
      <c r="F94" s="42" t="n"/>
      <c r="G94" s="43" t="n"/>
      <c r="H94" s="43" t="n"/>
      <c r="I94" s="41" t="n"/>
      <c r="J94" s="42" t="n"/>
      <c r="K94" s="40" t="n"/>
      <c r="L94" s="44">
        <f>IF(OR(A94="",K94=""),"",K94-A94)</f>
        <v/>
      </c>
      <c r="M94" s="41" t="n"/>
      <c r="N94" s="43" t="n"/>
    </row>
    <row r="95" ht="18" customHeight="1">
      <c r="A95" s="40" t="n"/>
      <c r="B95" s="41" t="n"/>
      <c r="C95" s="41" t="n"/>
      <c r="D95" s="41" t="n"/>
      <c r="E95" s="41" t="n"/>
      <c r="F95" s="42" t="n"/>
      <c r="G95" s="43" t="n"/>
      <c r="H95" s="43" t="n"/>
      <c r="I95" s="41" t="n"/>
      <c r="J95" s="42" t="n"/>
      <c r="K95" s="40" t="n"/>
      <c r="L95" s="44">
        <f>IF(OR(A95="",K95=""),"",K95-A95)</f>
        <v/>
      </c>
      <c r="M95" s="41" t="n"/>
      <c r="N95" s="43" t="n"/>
    </row>
    <row r="96" ht="18" customHeight="1">
      <c r="A96" s="40" t="n"/>
      <c r="B96" s="41" t="n"/>
      <c r="C96" s="41" t="n"/>
      <c r="D96" s="41" t="n"/>
      <c r="E96" s="41" t="n"/>
      <c r="F96" s="42" t="n"/>
      <c r="G96" s="43" t="n"/>
      <c r="H96" s="43" t="n"/>
      <c r="I96" s="41" t="n"/>
      <c r="J96" s="42" t="n"/>
      <c r="K96" s="40" t="n"/>
      <c r="L96" s="44">
        <f>IF(OR(A96="",K96=""),"",K96-A96)</f>
        <v/>
      </c>
      <c r="M96" s="41" t="n"/>
      <c r="N96" s="43" t="n"/>
    </row>
    <row r="97" ht="18" customHeight="1">
      <c r="A97" s="40" t="n"/>
      <c r="B97" s="41" t="n"/>
      <c r="C97" s="41" t="n"/>
      <c r="D97" s="41" t="n"/>
      <c r="E97" s="41" t="n"/>
      <c r="F97" s="42" t="n"/>
      <c r="G97" s="43" t="n"/>
      <c r="H97" s="43" t="n"/>
      <c r="I97" s="41" t="n"/>
      <c r="J97" s="42" t="n"/>
      <c r="K97" s="40" t="n"/>
      <c r="L97" s="44">
        <f>IF(OR(A97="",K97=""),"",K97-A97)</f>
        <v/>
      </c>
      <c r="M97" s="41" t="n"/>
      <c r="N97" s="43" t="n"/>
    </row>
    <row r="98" ht="18" customHeight="1">
      <c r="A98" s="40" t="n"/>
      <c r="B98" s="41" t="n"/>
      <c r="C98" s="41" t="n"/>
      <c r="D98" s="41" t="n"/>
      <c r="E98" s="41" t="n"/>
      <c r="F98" s="42" t="n"/>
      <c r="G98" s="43" t="n"/>
      <c r="H98" s="43" t="n"/>
      <c r="I98" s="41" t="n"/>
      <c r="J98" s="42" t="n"/>
      <c r="K98" s="40" t="n"/>
      <c r="L98" s="44">
        <f>IF(OR(A98="",K98=""),"",K98-A98)</f>
        <v/>
      </c>
      <c r="M98" s="41" t="n"/>
      <c r="N98" s="43" t="n"/>
    </row>
    <row r="99" ht="18" customHeight="1">
      <c r="A99" s="40" t="n"/>
      <c r="B99" s="41" t="n"/>
      <c r="C99" s="41" t="n"/>
      <c r="D99" s="41" t="n"/>
      <c r="E99" s="41" t="n"/>
      <c r="F99" s="42" t="n"/>
      <c r="G99" s="43" t="n"/>
      <c r="H99" s="43" t="n"/>
      <c r="I99" s="41" t="n"/>
      <c r="J99" s="42" t="n"/>
      <c r="K99" s="40" t="n"/>
      <c r="L99" s="44">
        <f>IF(OR(A99="",K99=""),"",K99-A99)</f>
        <v/>
      </c>
      <c r="M99" s="41" t="n"/>
      <c r="N99" s="43" t="n"/>
    </row>
    <row r="100" ht="18" customHeight="1">
      <c r="A100" s="40" t="n"/>
      <c r="B100" s="41" t="n"/>
      <c r="C100" s="41" t="n"/>
      <c r="D100" s="41" t="n"/>
      <c r="E100" s="41" t="n"/>
      <c r="F100" s="42" t="n"/>
      <c r="G100" s="43" t="n"/>
      <c r="H100" s="43" t="n"/>
      <c r="I100" s="41" t="n"/>
      <c r="J100" s="42" t="n"/>
      <c r="K100" s="40" t="n"/>
      <c r="L100" s="44">
        <f>IF(OR(A100="",K100=""),"",K100-A100)</f>
        <v/>
      </c>
      <c r="M100" s="41" t="n"/>
      <c r="N100" s="43" t="n"/>
    </row>
    <row r="101" ht="18" customHeight="1">
      <c r="A101" s="40" t="n"/>
      <c r="B101" s="41" t="n"/>
      <c r="C101" s="41" t="n"/>
      <c r="D101" s="41" t="n"/>
      <c r="E101" s="41" t="n"/>
      <c r="F101" s="42" t="n"/>
      <c r="G101" s="43" t="n"/>
      <c r="H101" s="43" t="n"/>
      <c r="I101" s="41" t="n"/>
      <c r="J101" s="42" t="n"/>
      <c r="K101" s="40" t="n"/>
      <c r="L101" s="44">
        <f>IF(OR(A101="",K101=""),"",K101-A101)</f>
        <v/>
      </c>
      <c r="M101" s="41" t="n"/>
      <c r="N101" s="43" t="n"/>
    </row>
    <row r="102" ht="18" customHeight="1">
      <c r="A102" s="40" t="n"/>
      <c r="B102" s="41" t="n"/>
      <c r="C102" s="41" t="n"/>
      <c r="D102" s="41" t="n"/>
      <c r="E102" s="41" t="n"/>
      <c r="F102" s="42" t="n"/>
      <c r="G102" s="43" t="n"/>
      <c r="H102" s="43" t="n"/>
      <c r="I102" s="41" t="n"/>
      <c r="J102" s="42" t="n"/>
      <c r="K102" s="40" t="n"/>
      <c r="L102" s="44">
        <f>IF(OR(A102="",K102=""),"",K102-A102)</f>
        <v/>
      </c>
      <c r="M102" s="41" t="n"/>
      <c r="N102" s="43" t="n"/>
    </row>
    <row r="103" ht="18" customHeight="1">
      <c r="A103" s="40" t="n"/>
      <c r="B103" s="41" t="n"/>
      <c r="C103" s="41" t="n"/>
      <c r="D103" s="41" t="n"/>
      <c r="E103" s="41" t="n"/>
      <c r="F103" s="42" t="n"/>
      <c r="G103" s="43" t="n"/>
      <c r="H103" s="43" t="n"/>
      <c r="I103" s="41" t="n"/>
      <c r="J103" s="42" t="n"/>
      <c r="K103" s="40" t="n"/>
      <c r="L103" s="44">
        <f>IF(OR(A103="",K103=""),"",K103-A103)</f>
        <v/>
      </c>
      <c r="M103" s="41" t="n"/>
      <c r="N103" s="43" t="n"/>
    </row>
    <row r="104" ht="18" customHeight="1">
      <c r="A104" s="40" t="n"/>
      <c r="B104" s="41" t="n"/>
      <c r="C104" s="41" t="n"/>
      <c r="D104" s="41" t="n"/>
      <c r="E104" s="41" t="n"/>
      <c r="F104" s="42" t="n"/>
      <c r="G104" s="43" t="n"/>
      <c r="H104" s="43" t="n"/>
      <c r="I104" s="41" t="n"/>
      <c r="J104" s="42" t="n"/>
      <c r="K104" s="40" t="n"/>
      <c r="L104" s="44">
        <f>IF(OR(A104="",K104=""),"",K104-A104)</f>
        <v/>
      </c>
      <c r="M104" s="41" t="n"/>
      <c r="N104" s="43" t="n"/>
    </row>
    <row r="105" ht="18" customHeight="1">
      <c r="A105" s="40" t="n"/>
      <c r="B105" s="41" t="n"/>
      <c r="C105" s="41" t="n"/>
      <c r="D105" s="41" t="n"/>
      <c r="E105" s="41" t="n"/>
      <c r="F105" s="42" t="n"/>
      <c r="G105" s="43" t="n"/>
      <c r="H105" s="43" t="n"/>
      <c r="I105" s="41" t="n"/>
      <c r="J105" s="42" t="n"/>
      <c r="K105" s="40" t="n"/>
      <c r="L105" s="44">
        <f>IF(OR(A105="",K105=""),"",K105-A105)</f>
        <v/>
      </c>
      <c r="M105" s="41" t="n"/>
      <c r="N105" s="43" t="n"/>
    </row>
    <row r="106" ht="18" customHeight="1">
      <c r="A106" s="40" t="n"/>
      <c r="B106" s="41" t="n"/>
      <c r="C106" s="41" t="n"/>
      <c r="D106" s="41" t="n"/>
      <c r="E106" s="41" t="n"/>
      <c r="F106" s="42" t="n"/>
      <c r="G106" s="43" t="n"/>
      <c r="H106" s="43" t="n"/>
      <c r="I106" s="41" t="n"/>
      <c r="J106" s="42" t="n"/>
      <c r="K106" s="40" t="n"/>
      <c r="L106" s="44">
        <f>IF(OR(A106="",K106=""),"",K106-A106)</f>
        <v/>
      </c>
      <c r="M106" s="41" t="n"/>
      <c r="N106" s="43" t="n"/>
    </row>
    <row r="107" ht="18" customHeight="1">
      <c r="A107" s="40" t="n"/>
      <c r="B107" s="41" t="n"/>
      <c r="C107" s="41" t="n"/>
      <c r="D107" s="41" t="n"/>
      <c r="E107" s="41" t="n"/>
      <c r="F107" s="42" t="n"/>
      <c r="G107" s="43" t="n"/>
      <c r="H107" s="43" t="n"/>
      <c r="I107" s="41" t="n"/>
      <c r="J107" s="42" t="n"/>
      <c r="K107" s="40" t="n"/>
      <c r="L107" s="44">
        <f>IF(OR(A107="",K107=""),"",K107-A107)</f>
        <v/>
      </c>
      <c r="M107" s="41" t="n"/>
      <c r="N107" s="43" t="n"/>
    </row>
    <row r="108" ht="18" customHeight="1">
      <c r="A108" s="40" t="n"/>
      <c r="B108" s="41" t="n"/>
      <c r="C108" s="41" t="n"/>
      <c r="D108" s="41" t="n"/>
      <c r="E108" s="41" t="n"/>
      <c r="F108" s="42" t="n"/>
      <c r="G108" s="43" t="n"/>
      <c r="H108" s="43" t="n"/>
      <c r="I108" s="41" t="n"/>
      <c r="J108" s="42" t="n"/>
      <c r="K108" s="40" t="n"/>
      <c r="L108" s="44">
        <f>IF(OR(A108="",K108=""),"",K108-A108)</f>
        <v/>
      </c>
      <c r="M108" s="41" t="n"/>
      <c r="N108" s="43" t="n"/>
    </row>
    <row r="109" ht="18" customHeight="1">
      <c r="A109" s="40" t="n"/>
      <c r="B109" s="41" t="n"/>
      <c r="C109" s="41" t="n"/>
      <c r="D109" s="41" t="n"/>
      <c r="E109" s="41" t="n"/>
      <c r="F109" s="42" t="n"/>
      <c r="G109" s="43" t="n"/>
      <c r="H109" s="43" t="n"/>
      <c r="I109" s="41" t="n"/>
      <c r="J109" s="42" t="n"/>
      <c r="K109" s="40" t="n"/>
      <c r="L109" s="44">
        <f>IF(OR(A109="",K109=""),"",K109-A109)</f>
        <v/>
      </c>
      <c r="M109" s="41" t="n"/>
      <c r="N109" s="43" t="n"/>
    </row>
    <row r="110" ht="18" customHeight="1">
      <c r="A110" s="40" t="n"/>
      <c r="B110" s="41" t="n"/>
      <c r="C110" s="41" t="n"/>
      <c r="D110" s="41" t="n"/>
      <c r="E110" s="41" t="n"/>
      <c r="F110" s="42" t="n"/>
      <c r="G110" s="43" t="n"/>
      <c r="H110" s="43" t="n"/>
      <c r="I110" s="41" t="n"/>
      <c r="J110" s="42" t="n"/>
      <c r="K110" s="40" t="n"/>
      <c r="L110" s="44">
        <f>IF(OR(A110="",K110=""),"",K110-A110)</f>
        <v/>
      </c>
      <c r="M110" s="41" t="n"/>
      <c r="N110" s="43" t="n"/>
    </row>
    <row r="111" ht="18" customHeight="1">
      <c r="A111" s="40" t="n"/>
      <c r="B111" s="41" t="n"/>
      <c r="C111" s="41" t="n"/>
      <c r="D111" s="41" t="n"/>
      <c r="E111" s="41" t="n"/>
      <c r="F111" s="42" t="n"/>
      <c r="G111" s="43" t="n"/>
      <c r="H111" s="43" t="n"/>
      <c r="I111" s="41" t="n"/>
      <c r="J111" s="42" t="n"/>
      <c r="K111" s="40" t="n"/>
      <c r="L111" s="44">
        <f>IF(OR(A111="",K111=""),"",K111-A111)</f>
        <v/>
      </c>
      <c r="M111" s="41" t="n"/>
      <c r="N111" s="43" t="n"/>
    </row>
    <row r="112" ht="18" customHeight="1">
      <c r="A112" s="40" t="n"/>
      <c r="B112" s="41" t="n"/>
      <c r="C112" s="41" t="n"/>
      <c r="D112" s="41" t="n"/>
      <c r="E112" s="41" t="n"/>
      <c r="F112" s="42" t="n"/>
      <c r="G112" s="43" t="n"/>
      <c r="H112" s="43" t="n"/>
      <c r="I112" s="41" t="n"/>
      <c r="J112" s="42" t="n"/>
      <c r="K112" s="40" t="n"/>
      <c r="L112" s="44">
        <f>IF(OR(A112="",K112=""),"",K112-A112)</f>
        <v/>
      </c>
      <c r="M112" s="41" t="n"/>
      <c r="N112" s="43" t="n"/>
    </row>
    <row r="113" ht="18" customHeight="1">
      <c r="A113" s="40" t="n"/>
      <c r="B113" s="41" t="n"/>
      <c r="C113" s="41" t="n"/>
      <c r="D113" s="41" t="n"/>
      <c r="E113" s="41" t="n"/>
      <c r="F113" s="42" t="n"/>
      <c r="G113" s="43" t="n"/>
      <c r="H113" s="43" t="n"/>
      <c r="I113" s="41" t="n"/>
      <c r="J113" s="42" t="n"/>
      <c r="K113" s="40" t="n"/>
      <c r="L113" s="44">
        <f>IF(OR(A113="",K113=""),"",K113-A113)</f>
        <v/>
      </c>
      <c r="M113" s="41" t="n"/>
      <c r="N113" s="43" t="n"/>
    </row>
    <row r="114" ht="18" customHeight="1">
      <c r="A114" s="40" t="n"/>
      <c r="B114" s="41" t="n"/>
      <c r="C114" s="41" t="n"/>
      <c r="D114" s="41" t="n"/>
      <c r="E114" s="41" t="n"/>
      <c r="F114" s="42" t="n"/>
      <c r="G114" s="43" t="n"/>
      <c r="H114" s="43" t="n"/>
      <c r="I114" s="41" t="n"/>
      <c r="J114" s="42" t="n"/>
      <c r="K114" s="40" t="n"/>
      <c r="L114" s="44">
        <f>IF(OR(A114="",K114=""),"",K114-A114)</f>
        <v/>
      </c>
      <c r="M114" s="41" t="n"/>
      <c r="N114" s="43" t="n"/>
    </row>
    <row r="115" ht="18" customHeight="1">
      <c r="A115" s="40" t="n"/>
      <c r="B115" s="41" t="n"/>
      <c r="C115" s="41" t="n"/>
      <c r="D115" s="41" t="n"/>
      <c r="E115" s="41" t="n"/>
      <c r="F115" s="42" t="n"/>
      <c r="G115" s="43" t="n"/>
      <c r="H115" s="43" t="n"/>
      <c r="I115" s="41" t="n"/>
      <c r="J115" s="42" t="n"/>
      <c r="K115" s="40" t="n"/>
      <c r="L115" s="44">
        <f>IF(OR(A115="",K115=""),"",K115-A115)</f>
        <v/>
      </c>
      <c r="M115" s="41" t="n"/>
      <c r="N115" s="43" t="n"/>
    </row>
    <row r="116" ht="18" customHeight="1">
      <c r="A116" s="40" t="n"/>
      <c r="B116" s="41" t="n"/>
      <c r="C116" s="41" t="n"/>
      <c r="D116" s="41" t="n"/>
      <c r="E116" s="41" t="n"/>
      <c r="F116" s="42" t="n"/>
      <c r="G116" s="43" t="n"/>
      <c r="H116" s="43" t="n"/>
      <c r="I116" s="41" t="n"/>
      <c r="J116" s="42" t="n"/>
      <c r="K116" s="40" t="n"/>
      <c r="L116" s="44">
        <f>IF(OR(A116="",K116=""),"",K116-A116)</f>
        <v/>
      </c>
      <c r="M116" s="41" t="n"/>
      <c r="N116" s="43" t="n"/>
    </row>
    <row r="117" ht="18" customHeight="1">
      <c r="A117" s="40" t="n"/>
      <c r="B117" s="41" t="n"/>
      <c r="C117" s="41" t="n"/>
      <c r="D117" s="41" t="n"/>
      <c r="E117" s="41" t="n"/>
      <c r="F117" s="42" t="n"/>
      <c r="G117" s="43" t="n"/>
      <c r="H117" s="43" t="n"/>
      <c r="I117" s="41" t="n"/>
      <c r="J117" s="42" t="n"/>
      <c r="K117" s="40" t="n"/>
      <c r="L117" s="44">
        <f>IF(OR(A117="",K117=""),"",K117-A117)</f>
        <v/>
      </c>
      <c r="M117" s="41" t="n"/>
      <c r="N117" s="43" t="n"/>
    </row>
    <row r="118" ht="18" customHeight="1">
      <c r="A118" s="40" t="n"/>
      <c r="B118" s="41" t="n"/>
      <c r="C118" s="41" t="n"/>
      <c r="D118" s="41" t="n"/>
      <c r="E118" s="41" t="n"/>
      <c r="F118" s="42" t="n"/>
      <c r="G118" s="43" t="n"/>
      <c r="H118" s="43" t="n"/>
      <c r="I118" s="41" t="n"/>
      <c r="J118" s="42" t="n"/>
      <c r="K118" s="40" t="n"/>
      <c r="L118" s="44">
        <f>IF(OR(A118="",K118=""),"",K118-A118)</f>
        <v/>
      </c>
      <c r="M118" s="41" t="n"/>
      <c r="N118" s="43" t="n"/>
    </row>
    <row r="119" ht="18" customHeight="1">
      <c r="A119" s="40" t="n"/>
      <c r="B119" s="41" t="n"/>
      <c r="C119" s="41" t="n"/>
      <c r="D119" s="41" t="n"/>
      <c r="E119" s="41" t="n"/>
      <c r="F119" s="42" t="n"/>
      <c r="G119" s="43" t="n"/>
      <c r="H119" s="43" t="n"/>
      <c r="I119" s="41" t="n"/>
      <c r="J119" s="42" t="n"/>
      <c r="K119" s="40" t="n"/>
      <c r="L119" s="44">
        <f>IF(OR(A119="",K119=""),"",K119-A119)</f>
        <v/>
      </c>
      <c r="M119" s="41" t="n"/>
      <c r="N119" s="43" t="n"/>
    </row>
    <row r="120" ht="18" customHeight="1">
      <c r="A120" s="40" t="n"/>
      <c r="B120" s="41" t="n"/>
      <c r="C120" s="41" t="n"/>
      <c r="D120" s="41" t="n"/>
      <c r="E120" s="41" t="n"/>
      <c r="F120" s="42" t="n"/>
      <c r="G120" s="43" t="n"/>
      <c r="H120" s="43" t="n"/>
      <c r="I120" s="41" t="n"/>
      <c r="J120" s="42" t="n"/>
      <c r="K120" s="40" t="n"/>
      <c r="L120" s="44">
        <f>IF(OR(A120="",K120=""),"",K120-A120)</f>
        <v/>
      </c>
      <c r="M120" s="41" t="n"/>
      <c r="N120" s="43" t="n"/>
    </row>
    <row r="121" ht="18" customHeight="1">
      <c r="A121" s="40" t="n"/>
      <c r="B121" s="41" t="n"/>
      <c r="C121" s="41" t="n"/>
      <c r="D121" s="41" t="n"/>
      <c r="E121" s="41" t="n"/>
      <c r="F121" s="42" t="n"/>
      <c r="G121" s="43" t="n"/>
      <c r="H121" s="43" t="n"/>
      <c r="I121" s="41" t="n"/>
      <c r="J121" s="42" t="n"/>
      <c r="K121" s="40" t="n"/>
      <c r="L121" s="44">
        <f>IF(OR(A121="",K121=""),"",K121-A121)</f>
        <v/>
      </c>
      <c r="M121" s="41" t="n"/>
      <c r="N121" s="43" t="n"/>
    </row>
    <row r="122" ht="18" customHeight="1">
      <c r="A122" s="40" t="n"/>
      <c r="B122" s="41" t="n"/>
      <c r="C122" s="41" t="n"/>
      <c r="D122" s="41" t="n"/>
      <c r="E122" s="41" t="n"/>
      <c r="F122" s="42" t="n"/>
      <c r="G122" s="43" t="n"/>
      <c r="H122" s="43" t="n"/>
      <c r="I122" s="41" t="n"/>
      <c r="J122" s="42" t="n"/>
      <c r="K122" s="40" t="n"/>
      <c r="L122" s="44">
        <f>IF(OR(A122="",K122=""),"",K122-A122)</f>
        <v/>
      </c>
      <c r="M122" s="41" t="n"/>
      <c r="N122" s="43" t="n"/>
    </row>
    <row r="123" ht="18" customHeight="1">
      <c r="A123" s="40" t="n"/>
      <c r="B123" s="41" t="n"/>
      <c r="C123" s="41" t="n"/>
      <c r="D123" s="41" t="n"/>
      <c r="E123" s="41" t="n"/>
      <c r="F123" s="42" t="n"/>
      <c r="G123" s="43" t="n"/>
      <c r="H123" s="43" t="n"/>
      <c r="I123" s="41" t="n"/>
      <c r="J123" s="42" t="n"/>
      <c r="K123" s="40" t="n"/>
      <c r="L123" s="44">
        <f>IF(OR(A123="",K123=""),"",K123-A123)</f>
        <v/>
      </c>
      <c r="M123" s="41" t="n"/>
      <c r="N123" s="43" t="n"/>
    </row>
    <row r="124" ht="18" customHeight="1">
      <c r="A124" s="40" t="n"/>
      <c r="B124" s="41" t="n"/>
      <c r="C124" s="41" t="n"/>
      <c r="D124" s="41" t="n"/>
      <c r="E124" s="41" t="n"/>
      <c r="F124" s="42" t="n"/>
      <c r="G124" s="43" t="n"/>
      <c r="H124" s="43" t="n"/>
      <c r="I124" s="41" t="n"/>
      <c r="J124" s="42" t="n"/>
      <c r="K124" s="40" t="n"/>
      <c r="L124" s="44">
        <f>IF(OR(A124="",K124=""),"",K124-A124)</f>
        <v/>
      </c>
      <c r="M124" s="41" t="n"/>
      <c r="N124" s="43" t="n"/>
    </row>
    <row r="125" ht="18" customHeight="1">
      <c r="A125" s="40" t="n"/>
      <c r="B125" s="41" t="n"/>
      <c r="C125" s="41" t="n"/>
      <c r="D125" s="41" t="n"/>
      <c r="E125" s="41" t="n"/>
      <c r="F125" s="42" t="n"/>
      <c r="G125" s="43" t="n"/>
      <c r="H125" s="43" t="n"/>
      <c r="I125" s="41" t="n"/>
      <c r="J125" s="42" t="n"/>
      <c r="K125" s="40" t="n"/>
      <c r="L125" s="44">
        <f>IF(OR(A125="",K125=""),"",K125-A125)</f>
        <v/>
      </c>
      <c r="M125" s="41" t="n"/>
      <c r="N125" s="43" t="n"/>
    </row>
    <row r="126" ht="18" customHeight="1">
      <c r="A126" s="40" t="n"/>
      <c r="B126" s="41" t="n"/>
      <c r="C126" s="41" t="n"/>
      <c r="D126" s="41" t="n"/>
      <c r="E126" s="41" t="n"/>
      <c r="F126" s="42" t="n"/>
      <c r="G126" s="43" t="n"/>
      <c r="H126" s="43" t="n"/>
      <c r="I126" s="41" t="n"/>
      <c r="J126" s="42" t="n"/>
      <c r="K126" s="40" t="n"/>
      <c r="L126" s="44">
        <f>IF(OR(A126="",K126=""),"",K126-A126)</f>
        <v/>
      </c>
      <c r="M126" s="41" t="n"/>
      <c r="N126" s="43" t="n"/>
    </row>
    <row r="127" ht="18" customHeight="1">
      <c r="A127" s="40" t="n"/>
      <c r="B127" s="41" t="n"/>
      <c r="C127" s="41" t="n"/>
      <c r="D127" s="41" t="n"/>
      <c r="E127" s="41" t="n"/>
      <c r="F127" s="42" t="n"/>
      <c r="G127" s="43" t="n"/>
      <c r="H127" s="43" t="n"/>
      <c r="I127" s="41" t="n"/>
      <c r="J127" s="42" t="n"/>
      <c r="K127" s="40" t="n"/>
      <c r="L127" s="44">
        <f>IF(OR(A127="",K127=""),"",K127-A127)</f>
        <v/>
      </c>
      <c r="M127" s="41" t="n"/>
      <c r="N127" s="43" t="n"/>
    </row>
    <row r="128" ht="18" customHeight="1">
      <c r="A128" s="40" t="n"/>
      <c r="B128" s="41" t="n"/>
      <c r="C128" s="41" t="n"/>
      <c r="D128" s="41" t="n"/>
      <c r="E128" s="41" t="n"/>
      <c r="F128" s="42" t="n"/>
      <c r="G128" s="43" t="n"/>
      <c r="H128" s="43" t="n"/>
      <c r="I128" s="41" t="n"/>
      <c r="J128" s="42" t="n"/>
      <c r="K128" s="40" t="n"/>
      <c r="L128" s="44">
        <f>IF(OR(A128="",K128=""),"",K128-A128)</f>
        <v/>
      </c>
      <c r="M128" s="41" t="n"/>
      <c r="N128" s="43" t="n"/>
    </row>
    <row r="129" ht="18" customHeight="1">
      <c r="A129" s="40" t="n"/>
      <c r="B129" s="41" t="n"/>
      <c r="C129" s="41" t="n"/>
      <c r="D129" s="41" t="n"/>
      <c r="E129" s="41" t="n"/>
      <c r="F129" s="42" t="n"/>
      <c r="G129" s="43" t="n"/>
      <c r="H129" s="43" t="n"/>
      <c r="I129" s="41" t="n"/>
      <c r="J129" s="42" t="n"/>
      <c r="K129" s="40" t="n"/>
      <c r="L129" s="44">
        <f>IF(OR(A129="",K129=""),"",K129-A129)</f>
        <v/>
      </c>
      <c r="M129" s="41" t="n"/>
      <c r="N129" s="43" t="n"/>
    </row>
    <row r="130" ht="18" customHeight="1">
      <c r="A130" s="40" t="n"/>
      <c r="B130" s="41" t="n"/>
      <c r="C130" s="41" t="n"/>
      <c r="D130" s="41" t="n"/>
      <c r="E130" s="41" t="n"/>
      <c r="F130" s="42" t="n"/>
      <c r="G130" s="43" t="n"/>
      <c r="H130" s="43" t="n"/>
      <c r="I130" s="41" t="n"/>
      <c r="J130" s="42" t="n"/>
      <c r="K130" s="40" t="n"/>
      <c r="L130" s="44">
        <f>IF(OR(A130="",K130=""),"",K130-A130)</f>
        <v/>
      </c>
      <c r="M130" s="41" t="n"/>
      <c r="N130" s="43" t="n"/>
    </row>
    <row r="131" ht="18" customHeight="1">
      <c r="A131" s="40" t="n"/>
      <c r="B131" s="41" t="n"/>
      <c r="C131" s="41" t="n"/>
      <c r="D131" s="41" t="n"/>
      <c r="E131" s="41" t="n"/>
      <c r="F131" s="42" t="n"/>
      <c r="G131" s="43" t="n"/>
      <c r="H131" s="43" t="n"/>
      <c r="I131" s="41" t="n"/>
      <c r="J131" s="42" t="n"/>
      <c r="K131" s="40" t="n"/>
      <c r="L131" s="44">
        <f>IF(OR(A131="",K131=""),"",K131-A131)</f>
        <v/>
      </c>
      <c r="M131" s="41" t="n"/>
      <c r="N131" s="43" t="n"/>
    </row>
    <row r="132" ht="18" customHeight="1">
      <c r="A132" s="40" t="n"/>
      <c r="B132" s="41" t="n"/>
      <c r="C132" s="41" t="n"/>
      <c r="D132" s="41" t="n"/>
      <c r="E132" s="41" t="n"/>
      <c r="F132" s="42" t="n"/>
      <c r="G132" s="43" t="n"/>
      <c r="H132" s="43" t="n"/>
      <c r="I132" s="41" t="n"/>
      <c r="J132" s="42" t="n"/>
      <c r="K132" s="40" t="n"/>
      <c r="L132" s="44">
        <f>IF(OR(A132="",K132=""),"",K132-A132)</f>
        <v/>
      </c>
      <c r="M132" s="41" t="n"/>
      <c r="N132" s="43" t="n"/>
    </row>
    <row r="133" ht="18" customHeight="1">
      <c r="A133" s="40" t="n"/>
      <c r="B133" s="41" t="n"/>
      <c r="C133" s="41" t="n"/>
      <c r="D133" s="41" t="n"/>
      <c r="E133" s="41" t="n"/>
      <c r="F133" s="42" t="n"/>
      <c r="G133" s="43" t="n"/>
      <c r="H133" s="43" t="n"/>
      <c r="I133" s="41" t="n"/>
      <c r="J133" s="42" t="n"/>
      <c r="K133" s="40" t="n"/>
      <c r="L133" s="44">
        <f>IF(OR(A133="",K133=""),"",K133-A133)</f>
        <v/>
      </c>
      <c r="M133" s="41" t="n"/>
      <c r="N133" s="43" t="n"/>
    </row>
    <row r="134" ht="18" customHeight="1">
      <c r="A134" s="40" t="n"/>
      <c r="B134" s="41" t="n"/>
      <c r="C134" s="41" t="n"/>
      <c r="D134" s="41" t="n"/>
      <c r="E134" s="41" t="n"/>
      <c r="F134" s="42" t="n"/>
      <c r="G134" s="43" t="n"/>
      <c r="H134" s="43" t="n"/>
      <c r="I134" s="41" t="n"/>
      <c r="J134" s="42" t="n"/>
      <c r="K134" s="40" t="n"/>
      <c r="L134" s="44">
        <f>IF(OR(A134="",K134=""),"",K134-A134)</f>
        <v/>
      </c>
      <c r="M134" s="41" t="n"/>
      <c r="N134" s="43" t="n"/>
    </row>
    <row r="135" ht="18" customHeight="1">
      <c r="A135" s="40" t="n"/>
      <c r="B135" s="41" t="n"/>
      <c r="C135" s="41" t="n"/>
      <c r="D135" s="41" t="n"/>
      <c r="E135" s="41" t="n"/>
      <c r="F135" s="42" t="n"/>
      <c r="G135" s="43" t="n"/>
      <c r="H135" s="43" t="n"/>
      <c r="I135" s="41" t="n"/>
      <c r="J135" s="42" t="n"/>
      <c r="K135" s="40" t="n"/>
      <c r="L135" s="44">
        <f>IF(OR(A135="",K135=""),"",K135-A135)</f>
        <v/>
      </c>
      <c r="M135" s="41" t="n"/>
      <c r="N135" s="43" t="n"/>
    </row>
    <row r="136" ht="18" customHeight="1">
      <c r="A136" s="40" t="n"/>
      <c r="B136" s="41" t="n"/>
      <c r="C136" s="41" t="n"/>
      <c r="D136" s="41" t="n"/>
      <c r="E136" s="41" t="n"/>
      <c r="F136" s="42" t="n"/>
      <c r="G136" s="43" t="n"/>
      <c r="H136" s="43" t="n"/>
      <c r="I136" s="41" t="n"/>
      <c r="J136" s="42" t="n"/>
      <c r="K136" s="40" t="n"/>
      <c r="L136" s="44">
        <f>IF(OR(A136="",K136=""),"",K136-A136)</f>
        <v/>
      </c>
      <c r="M136" s="41" t="n"/>
      <c r="N136" s="43" t="n"/>
    </row>
    <row r="137" ht="18" customHeight="1">
      <c r="A137" s="40" t="n"/>
      <c r="B137" s="41" t="n"/>
      <c r="C137" s="41" t="n"/>
      <c r="D137" s="41" t="n"/>
      <c r="E137" s="41" t="n"/>
      <c r="F137" s="42" t="n"/>
      <c r="G137" s="43" t="n"/>
      <c r="H137" s="43" t="n"/>
      <c r="I137" s="41" t="n"/>
      <c r="J137" s="42" t="n"/>
      <c r="K137" s="40" t="n"/>
      <c r="L137" s="44">
        <f>IF(OR(A137="",K137=""),"",K137-A137)</f>
        <v/>
      </c>
      <c r="M137" s="41" t="n"/>
      <c r="N137" s="43" t="n"/>
    </row>
    <row r="138" ht="18" customHeight="1">
      <c r="A138" s="40" t="n"/>
      <c r="B138" s="41" t="n"/>
      <c r="C138" s="41" t="n"/>
      <c r="D138" s="41" t="n"/>
      <c r="E138" s="41" t="n"/>
      <c r="F138" s="42" t="n"/>
      <c r="G138" s="43" t="n"/>
      <c r="H138" s="43" t="n"/>
      <c r="I138" s="41" t="n"/>
      <c r="J138" s="42" t="n"/>
      <c r="K138" s="40" t="n"/>
      <c r="L138" s="44">
        <f>IF(OR(A138="",K138=""),"",K138-A138)</f>
        <v/>
      </c>
      <c r="M138" s="41" t="n"/>
      <c r="N138" s="43" t="n"/>
    </row>
    <row r="139" ht="18" customHeight="1">
      <c r="A139" s="40" t="n"/>
      <c r="B139" s="41" t="n"/>
      <c r="C139" s="41" t="n"/>
      <c r="D139" s="41" t="n"/>
      <c r="E139" s="41" t="n"/>
      <c r="F139" s="42" t="n"/>
      <c r="G139" s="43" t="n"/>
      <c r="H139" s="43" t="n"/>
      <c r="I139" s="41" t="n"/>
      <c r="J139" s="42" t="n"/>
      <c r="K139" s="40" t="n"/>
      <c r="L139" s="44">
        <f>IF(OR(A139="",K139=""),"",K139-A139)</f>
        <v/>
      </c>
      <c r="M139" s="41" t="n"/>
      <c r="N139" s="43" t="n"/>
    </row>
    <row r="140" ht="18" customHeight="1">
      <c r="A140" s="40" t="n"/>
      <c r="B140" s="41" t="n"/>
      <c r="C140" s="41" t="n"/>
      <c r="D140" s="41" t="n"/>
      <c r="E140" s="41" t="n"/>
      <c r="F140" s="42" t="n"/>
      <c r="G140" s="43" t="n"/>
      <c r="H140" s="43" t="n"/>
      <c r="I140" s="41" t="n"/>
      <c r="J140" s="42" t="n"/>
      <c r="K140" s="40" t="n"/>
      <c r="L140" s="44">
        <f>IF(OR(A140="",K140=""),"",K140-A140)</f>
        <v/>
      </c>
      <c r="M140" s="41" t="n"/>
      <c r="N140" s="43" t="n"/>
    </row>
    <row r="141" ht="18" customHeight="1">
      <c r="A141" s="40" t="n"/>
      <c r="B141" s="41" t="n"/>
      <c r="C141" s="41" t="n"/>
      <c r="D141" s="41" t="n"/>
      <c r="E141" s="41" t="n"/>
      <c r="F141" s="42" t="n"/>
      <c r="G141" s="43" t="n"/>
      <c r="H141" s="43" t="n"/>
      <c r="I141" s="41" t="n"/>
      <c r="J141" s="42" t="n"/>
      <c r="K141" s="40" t="n"/>
      <c r="L141" s="44">
        <f>IF(OR(A141="",K141=""),"",K141-A141)</f>
        <v/>
      </c>
      <c r="M141" s="41" t="n"/>
      <c r="N141" s="43" t="n"/>
    </row>
    <row r="142" ht="18" customHeight="1">
      <c r="A142" s="40" t="n"/>
      <c r="B142" s="41" t="n"/>
      <c r="C142" s="41" t="n"/>
      <c r="D142" s="41" t="n"/>
      <c r="E142" s="41" t="n"/>
      <c r="F142" s="42" t="n"/>
      <c r="G142" s="43" t="n"/>
      <c r="H142" s="43" t="n"/>
      <c r="I142" s="41" t="n"/>
      <c r="J142" s="42" t="n"/>
      <c r="K142" s="40" t="n"/>
      <c r="L142" s="44">
        <f>IF(OR(A142="",K142=""),"",K142-A142)</f>
        <v/>
      </c>
      <c r="M142" s="41" t="n"/>
      <c r="N142" s="43" t="n"/>
    </row>
    <row r="143" ht="18" customHeight="1">
      <c r="A143" s="40" t="n"/>
      <c r="B143" s="41" t="n"/>
      <c r="C143" s="41" t="n"/>
      <c r="D143" s="41" t="n"/>
      <c r="E143" s="41" t="n"/>
      <c r="F143" s="42" t="n"/>
      <c r="G143" s="43" t="n"/>
      <c r="H143" s="43" t="n"/>
      <c r="I143" s="41" t="n"/>
      <c r="J143" s="42" t="n"/>
      <c r="K143" s="40" t="n"/>
      <c r="L143" s="44">
        <f>IF(OR(A143="",K143=""),"",K143-A143)</f>
        <v/>
      </c>
      <c r="M143" s="41" t="n"/>
      <c r="N143" s="43" t="n"/>
    </row>
    <row r="144" ht="18" customHeight="1">
      <c r="A144" s="40" t="n"/>
      <c r="B144" s="41" t="n"/>
      <c r="C144" s="41" t="n"/>
      <c r="D144" s="41" t="n"/>
      <c r="E144" s="41" t="n"/>
      <c r="F144" s="42" t="n"/>
      <c r="G144" s="43" t="n"/>
      <c r="H144" s="43" t="n"/>
      <c r="I144" s="41" t="n"/>
      <c r="J144" s="42" t="n"/>
      <c r="K144" s="40" t="n"/>
      <c r="L144" s="44">
        <f>IF(OR(A144="",K144=""),"",K144-A144)</f>
        <v/>
      </c>
      <c r="M144" s="41" t="n"/>
      <c r="N144" s="43" t="n"/>
    </row>
    <row r="145" ht="18" customHeight="1">
      <c r="A145" s="40" t="n"/>
      <c r="B145" s="41" t="n"/>
      <c r="C145" s="41" t="n"/>
      <c r="D145" s="41" t="n"/>
      <c r="E145" s="41" t="n"/>
      <c r="F145" s="42" t="n"/>
      <c r="G145" s="43" t="n"/>
      <c r="H145" s="43" t="n"/>
      <c r="I145" s="41" t="n"/>
      <c r="J145" s="42" t="n"/>
      <c r="K145" s="40" t="n"/>
      <c r="L145" s="44">
        <f>IF(OR(A145="",K145=""),"",K145-A145)</f>
        <v/>
      </c>
      <c r="M145" s="41" t="n"/>
      <c r="N145" s="43" t="n"/>
    </row>
    <row r="146" ht="18" customHeight="1">
      <c r="A146" s="40" t="n"/>
      <c r="B146" s="41" t="n"/>
      <c r="C146" s="41" t="n"/>
      <c r="D146" s="41" t="n"/>
      <c r="E146" s="41" t="n"/>
      <c r="F146" s="42" t="n"/>
      <c r="G146" s="43" t="n"/>
      <c r="H146" s="43" t="n"/>
      <c r="I146" s="41" t="n"/>
      <c r="J146" s="42" t="n"/>
      <c r="K146" s="40" t="n"/>
      <c r="L146" s="44">
        <f>IF(OR(A146="",K146=""),"",K146-A146)</f>
        <v/>
      </c>
      <c r="M146" s="41" t="n"/>
      <c r="N146" s="43" t="n"/>
    </row>
    <row r="147" ht="18" customHeight="1">
      <c r="A147" s="40" t="n"/>
      <c r="B147" s="41" t="n"/>
      <c r="C147" s="41" t="n"/>
      <c r="D147" s="41" t="n"/>
      <c r="E147" s="41" t="n"/>
      <c r="F147" s="42" t="n"/>
      <c r="G147" s="43" t="n"/>
      <c r="H147" s="43" t="n"/>
      <c r="I147" s="41" t="n"/>
      <c r="J147" s="42" t="n"/>
      <c r="K147" s="40" t="n"/>
      <c r="L147" s="44">
        <f>IF(OR(A147="",K147=""),"",K147-A147)</f>
        <v/>
      </c>
      <c r="M147" s="41" t="n"/>
      <c r="N147" s="43" t="n"/>
    </row>
    <row r="148" ht="18" customHeight="1">
      <c r="A148" s="40" t="n"/>
      <c r="B148" s="41" t="n"/>
      <c r="C148" s="41" t="n"/>
      <c r="D148" s="41" t="n"/>
      <c r="E148" s="41" t="n"/>
      <c r="F148" s="42" t="n"/>
      <c r="G148" s="43" t="n"/>
      <c r="H148" s="43" t="n"/>
      <c r="I148" s="41" t="n"/>
      <c r="J148" s="42" t="n"/>
      <c r="K148" s="40" t="n"/>
      <c r="L148" s="44">
        <f>IF(OR(A148="",K148=""),"",K148-A148)</f>
        <v/>
      </c>
      <c r="M148" s="41" t="n"/>
      <c r="N148" s="43" t="n"/>
    </row>
    <row r="149" ht="18" customHeight="1">
      <c r="A149" s="40" t="n"/>
      <c r="B149" s="41" t="n"/>
      <c r="C149" s="41" t="n"/>
      <c r="D149" s="41" t="n"/>
      <c r="E149" s="41" t="n"/>
      <c r="F149" s="42" t="n"/>
      <c r="G149" s="43" t="n"/>
      <c r="H149" s="43" t="n"/>
      <c r="I149" s="41" t="n"/>
      <c r="J149" s="42" t="n"/>
      <c r="K149" s="40" t="n"/>
      <c r="L149" s="44">
        <f>IF(OR(A149="",K149=""),"",K149-A149)</f>
        <v/>
      </c>
      <c r="M149" s="41" t="n"/>
      <c r="N149" s="43" t="n"/>
    </row>
    <row r="150" ht="18" customHeight="1">
      <c r="A150" s="40" t="n"/>
      <c r="B150" s="41" t="n"/>
      <c r="C150" s="41" t="n"/>
      <c r="D150" s="41" t="n"/>
      <c r="E150" s="41" t="n"/>
      <c r="F150" s="42" t="n"/>
      <c r="G150" s="43" t="n"/>
      <c r="H150" s="43" t="n"/>
      <c r="I150" s="41" t="n"/>
      <c r="J150" s="42" t="n"/>
      <c r="K150" s="40" t="n"/>
      <c r="L150" s="44">
        <f>IF(OR(A150="",K150=""),"",K150-A150)</f>
        <v/>
      </c>
      <c r="M150" s="41" t="n"/>
      <c r="N150" s="43" t="n"/>
    </row>
    <row r="151" ht="18" customHeight="1">
      <c r="A151" s="40" t="n"/>
      <c r="B151" s="41" t="n"/>
      <c r="C151" s="41" t="n"/>
      <c r="D151" s="41" t="n"/>
      <c r="E151" s="41" t="n"/>
      <c r="F151" s="42" t="n"/>
      <c r="G151" s="43" t="n"/>
      <c r="H151" s="43" t="n"/>
      <c r="I151" s="41" t="n"/>
      <c r="J151" s="42" t="n"/>
      <c r="K151" s="40" t="n"/>
      <c r="L151" s="44">
        <f>IF(OR(A151="",K151=""),"",K151-A151)</f>
        <v/>
      </c>
      <c r="M151" s="41" t="n"/>
      <c r="N151" s="43" t="n"/>
    </row>
    <row r="152" ht="18" customHeight="1">
      <c r="A152" s="40" t="n"/>
      <c r="B152" s="41" t="n"/>
      <c r="C152" s="41" t="n"/>
      <c r="D152" s="41" t="n"/>
      <c r="E152" s="41" t="n"/>
      <c r="F152" s="42" t="n"/>
      <c r="G152" s="43" t="n"/>
      <c r="H152" s="43" t="n"/>
      <c r="I152" s="41" t="n"/>
      <c r="J152" s="42" t="n"/>
      <c r="K152" s="40" t="n"/>
      <c r="L152" s="44">
        <f>IF(OR(A152="",K152=""),"",K152-A152)</f>
        <v/>
      </c>
      <c r="M152" s="41" t="n"/>
      <c r="N152" s="43" t="n"/>
    </row>
    <row r="153" ht="18" customHeight="1">
      <c r="A153" s="40" t="n"/>
      <c r="B153" s="41" t="n"/>
      <c r="C153" s="41" t="n"/>
      <c r="D153" s="41" t="n"/>
      <c r="E153" s="41" t="n"/>
      <c r="F153" s="42" t="n"/>
      <c r="G153" s="43" t="n"/>
      <c r="H153" s="43" t="n"/>
      <c r="I153" s="41" t="n"/>
      <c r="J153" s="42" t="n"/>
      <c r="K153" s="40" t="n"/>
      <c r="L153" s="44">
        <f>IF(OR(A153="",K153=""),"",K153-A153)</f>
        <v/>
      </c>
      <c r="M153" s="41" t="n"/>
      <c r="N153" s="43" t="n"/>
    </row>
    <row r="154" ht="18" customHeight="1">
      <c r="A154" s="40" t="n"/>
      <c r="B154" s="41" t="n"/>
      <c r="C154" s="41" t="n"/>
      <c r="D154" s="41" t="n"/>
      <c r="E154" s="41" t="n"/>
      <c r="F154" s="42" t="n"/>
      <c r="G154" s="43" t="n"/>
      <c r="H154" s="43" t="n"/>
      <c r="I154" s="41" t="n"/>
      <c r="J154" s="42" t="n"/>
      <c r="K154" s="40" t="n"/>
      <c r="L154" s="44">
        <f>IF(OR(A154="",K154=""),"",K154-A154)</f>
        <v/>
      </c>
      <c r="M154" s="41" t="n"/>
      <c r="N154" s="43" t="n"/>
    </row>
    <row r="155" ht="18" customHeight="1">
      <c r="A155" s="40" t="n"/>
      <c r="B155" s="41" t="n"/>
      <c r="C155" s="41" t="n"/>
      <c r="D155" s="41" t="n"/>
      <c r="E155" s="41" t="n"/>
      <c r="F155" s="42" t="n"/>
      <c r="G155" s="43" t="n"/>
      <c r="H155" s="43" t="n"/>
      <c r="I155" s="41" t="n"/>
      <c r="J155" s="42" t="n"/>
      <c r="K155" s="40" t="n"/>
      <c r="L155" s="44">
        <f>IF(OR(A155="",K155=""),"",K155-A155)</f>
        <v/>
      </c>
      <c r="M155" s="41" t="n"/>
      <c r="N155" s="43" t="n"/>
    </row>
    <row r="156" ht="18" customHeight="1">
      <c r="A156" s="40" t="n"/>
      <c r="B156" s="41" t="n"/>
      <c r="C156" s="41" t="n"/>
      <c r="D156" s="41" t="n"/>
      <c r="E156" s="41" t="n"/>
      <c r="F156" s="42" t="n"/>
      <c r="G156" s="43" t="n"/>
      <c r="H156" s="43" t="n"/>
      <c r="I156" s="41" t="n"/>
      <c r="J156" s="42" t="n"/>
      <c r="K156" s="40" t="n"/>
      <c r="L156" s="44">
        <f>IF(OR(A156="",K156=""),"",K156-A156)</f>
        <v/>
      </c>
      <c r="M156" s="41" t="n"/>
      <c r="N156" s="43" t="n"/>
    </row>
    <row r="157" ht="18" customHeight="1">
      <c r="A157" s="40" t="n"/>
      <c r="B157" s="41" t="n"/>
      <c r="C157" s="41" t="n"/>
      <c r="D157" s="41" t="n"/>
      <c r="E157" s="41" t="n"/>
      <c r="F157" s="42" t="n"/>
      <c r="G157" s="43" t="n"/>
      <c r="H157" s="43" t="n"/>
      <c r="I157" s="41" t="n"/>
      <c r="J157" s="42" t="n"/>
      <c r="K157" s="40" t="n"/>
      <c r="L157" s="44">
        <f>IF(OR(A157="",K157=""),"",K157-A157)</f>
        <v/>
      </c>
      <c r="M157" s="41" t="n"/>
      <c r="N157" s="43" t="n"/>
    </row>
    <row r="158" ht="18" customHeight="1">
      <c r="A158" s="40" t="n"/>
      <c r="B158" s="41" t="n"/>
      <c r="C158" s="41" t="n"/>
      <c r="D158" s="41" t="n"/>
      <c r="E158" s="41" t="n"/>
      <c r="F158" s="42" t="n"/>
      <c r="G158" s="43" t="n"/>
      <c r="H158" s="43" t="n"/>
      <c r="I158" s="41" t="n"/>
      <c r="J158" s="42" t="n"/>
      <c r="K158" s="40" t="n"/>
      <c r="L158" s="44">
        <f>IF(OR(A158="",K158=""),"",K158-A158)</f>
        <v/>
      </c>
      <c r="M158" s="41" t="n"/>
      <c r="N158" s="43" t="n"/>
    </row>
    <row r="159" ht="18" customHeight="1">
      <c r="A159" s="40" t="n"/>
      <c r="B159" s="41" t="n"/>
      <c r="C159" s="41" t="n"/>
      <c r="D159" s="41" t="n"/>
      <c r="E159" s="41" t="n"/>
      <c r="F159" s="42" t="n"/>
      <c r="G159" s="43" t="n"/>
      <c r="H159" s="43" t="n"/>
      <c r="I159" s="41" t="n"/>
      <c r="J159" s="42" t="n"/>
      <c r="K159" s="40" t="n"/>
      <c r="L159" s="44">
        <f>IF(OR(A159="",K159=""),"",K159-A159)</f>
        <v/>
      </c>
      <c r="M159" s="41" t="n"/>
      <c r="N159" s="43" t="n"/>
    </row>
    <row r="160" ht="18" customHeight="1">
      <c r="A160" s="40" t="n"/>
      <c r="B160" s="41" t="n"/>
      <c r="C160" s="41" t="n"/>
      <c r="D160" s="41" t="n"/>
      <c r="E160" s="41" t="n"/>
      <c r="F160" s="42" t="n"/>
      <c r="G160" s="43" t="n"/>
      <c r="H160" s="43" t="n"/>
      <c r="I160" s="41" t="n"/>
      <c r="J160" s="42" t="n"/>
      <c r="K160" s="40" t="n"/>
      <c r="L160" s="44">
        <f>IF(OR(A160="",K160=""),"",K160-A160)</f>
        <v/>
      </c>
      <c r="M160" s="41" t="n"/>
      <c r="N160" s="43" t="n"/>
    </row>
    <row r="161" ht="18" customHeight="1">
      <c r="A161" s="40" t="n"/>
      <c r="B161" s="41" t="n"/>
      <c r="C161" s="41" t="n"/>
      <c r="D161" s="41" t="n"/>
      <c r="E161" s="41" t="n"/>
      <c r="F161" s="42" t="n"/>
      <c r="G161" s="43" t="n"/>
      <c r="H161" s="43" t="n"/>
      <c r="I161" s="41" t="n"/>
      <c r="J161" s="42" t="n"/>
      <c r="K161" s="40" t="n"/>
      <c r="L161" s="44">
        <f>IF(OR(A161="",K161=""),"",K161-A161)</f>
        <v/>
      </c>
      <c r="M161" s="41" t="n"/>
      <c r="N161" s="43" t="n"/>
    </row>
    <row r="162" ht="18" customHeight="1">
      <c r="A162" s="40" t="n"/>
      <c r="B162" s="41" t="n"/>
      <c r="C162" s="41" t="n"/>
      <c r="D162" s="41" t="n"/>
      <c r="E162" s="41" t="n"/>
      <c r="F162" s="42" t="n"/>
      <c r="G162" s="43" t="n"/>
      <c r="H162" s="43" t="n"/>
      <c r="I162" s="41" t="n"/>
      <c r="J162" s="42" t="n"/>
      <c r="K162" s="40" t="n"/>
      <c r="L162" s="44">
        <f>IF(OR(A162="",K162=""),"",K162-A162)</f>
        <v/>
      </c>
      <c r="M162" s="41" t="n"/>
      <c r="N162" s="43" t="n"/>
    </row>
    <row r="163" ht="18" customHeight="1">
      <c r="A163" s="40" t="n"/>
      <c r="B163" s="41" t="n"/>
      <c r="C163" s="41" t="n"/>
      <c r="D163" s="41" t="n"/>
      <c r="E163" s="41" t="n"/>
      <c r="F163" s="42" t="n"/>
      <c r="G163" s="43" t="n"/>
      <c r="H163" s="43" t="n"/>
      <c r="I163" s="41" t="n"/>
      <c r="J163" s="42" t="n"/>
      <c r="K163" s="40" t="n"/>
      <c r="L163" s="44">
        <f>IF(OR(A163="",K163=""),"",K163-A163)</f>
        <v/>
      </c>
      <c r="M163" s="41" t="n"/>
      <c r="N163" s="43" t="n"/>
    </row>
    <row r="164" ht="18" customHeight="1">
      <c r="A164" s="40" t="n"/>
      <c r="B164" s="41" t="n"/>
      <c r="C164" s="41" t="n"/>
      <c r="D164" s="41" t="n"/>
      <c r="E164" s="41" t="n"/>
      <c r="F164" s="42" t="n"/>
      <c r="G164" s="43" t="n"/>
      <c r="H164" s="43" t="n"/>
      <c r="I164" s="41" t="n"/>
      <c r="J164" s="42" t="n"/>
      <c r="K164" s="40" t="n"/>
      <c r="L164" s="44">
        <f>IF(OR(A164="",K164=""),"",K164-A164)</f>
        <v/>
      </c>
      <c r="M164" s="41" t="n"/>
      <c r="N164" s="43" t="n"/>
    </row>
    <row r="165" ht="18" customHeight="1">
      <c r="A165" s="40" t="n"/>
      <c r="B165" s="41" t="n"/>
      <c r="C165" s="41" t="n"/>
      <c r="D165" s="41" t="n"/>
      <c r="E165" s="41" t="n"/>
      <c r="F165" s="42" t="n"/>
      <c r="G165" s="43" t="n"/>
      <c r="H165" s="43" t="n"/>
      <c r="I165" s="41" t="n"/>
      <c r="J165" s="42" t="n"/>
      <c r="K165" s="40" t="n"/>
      <c r="L165" s="44">
        <f>IF(OR(A165="",K165=""),"",K165-A165)</f>
        <v/>
      </c>
      <c r="M165" s="41" t="n"/>
      <c r="N165" s="43" t="n"/>
    </row>
    <row r="166" ht="18" customHeight="1">
      <c r="A166" s="40" t="n"/>
      <c r="B166" s="41" t="n"/>
      <c r="C166" s="41" t="n"/>
      <c r="D166" s="41" t="n"/>
      <c r="E166" s="41" t="n"/>
      <c r="F166" s="42" t="n"/>
      <c r="G166" s="43" t="n"/>
      <c r="H166" s="43" t="n"/>
      <c r="I166" s="41" t="n"/>
      <c r="J166" s="42" t="n"/>
      <c r="K166" s="40" t="n"/>
      <c r="L166" s="44">
        <f>IF(OR(A166="",K166=""),"",K166-A166)</f>
        <v/>
      </c>
      <c r="M166" s="41" t="n"/>
      <c r="N166" s="43" t="n"/>
    </row>
    <row r="167" ht="18" customHeight="1">
      <c r="A167" s="40" t="n"/>
      <c r="B167" s="41" t="n"/>
      <c r="C167" s="41" t="n"/>
      <c r="D167" s="41" t="n"/>
      <c r="E167" s="41" t="n"/>
      <c r="F167" s="42" t="n"/>
      <c r="G167" s="43" t="n"/>
      <c r="H167" s="43" t="n"/>
      <c r="I167" s="41" t="n"/>
      <c r="J167" s="42" t="n"/>
      <c r="K167" s="40" t="n"/>
      <c r="L167" s="44">
        <f>IF(OR(A167="",K167=""),"",K167-A167)</f>
        <v/>
      </c>
      <c r="M167" s="41" t="n"/>
      <c r="N167" s="43" t="n"/>
    </row>
    <row r="168" ht="18" customHeight="1">
      <c r="A168" s="40" t="n"/>
      <c r="B168" s="41" t="n"/>
      <c r="C168" s="41" t="n"/>
      <c r="D168" s="41" t="n"/>
      <c r="E168" s="41" t="n"/>
      <c r="F168" s="42" t="n"/>
      <c r="G168" s="43" t="n"/>
      <c r="H168" s="43" t="n"/>
      <c r="I168" s="41" t="n"/>
      <c r="J168" s="42" t="n"/>
      <c r="K168" s="40" t="n"/>
      <c r="L168" s="44">
        <f>IF(OR(A168="",K168=""),"",K168-A168)</f>
        <v/>
      </c>
      <c r="M168" s="41" t="n"/>
      <c r="N168" s="43" t="n"/>
    </row>
    <row r="169" ht="18" customHeight="1">
      <c r="A169" s="40" t="n"/>
      <c r="B169" s="41" t="n"/>
      <c r="C169" s="41" t="n"/>
      <c r="D169" s="41" t="n"/>
      <c r="E169" s="41" t="n"/>
      <c r="F169" s="42" t="n"/>
      <c r="G169" s="43" t="n"/>
      <c r="H169" s="43" t="n"/>
      <c r="I169" s="41" t="n"/>
      <c r="J169" s="42" t="n"/>
      <c r="K169" s="40" t="n"/>
      <c r="L169" s="44">
        <f>IF(OR(A169="",K169=""),"",K169-A169)</f>
        <v/>
      </c>
      <c r="M169" s="41" t="n"/>
      <c r="N169" s="43" t="n"/>
    </row>
    <row r="170" ht="18" customHeight="1">
      <c r="A170" s="40" t="n"/>
      <c r="B170" s="41" t="n"/>
      <c r="C170" s="41" t="n"/>
      <c r="D170" s="41" t="n"/>
      <c r="E170" s="41" t="n"/>
      <c r="F170" s="42" t="n"/>
      <c r="G170" s="43" t="n"/>
      <c r="H170" s="43" t="n"/>
      <c r="I170" s="41" t="n"/>
      <c r="J170" s="42" t="n"/>
      <c r="K170" s="40" t="n"/>
      <c r="L170" s="44">
        <f>IF(OR(A170="",K170=""),"",K170-A170)</f>
        <v/>
      </c>
      <c r="M170" s="41" t="n"/>
      <c r="N170" s="43" t="n"/>
    </row>
    <row r="171" ht="18" customHeight="1">
      <c r="A171" s="40" t="n"/>
      <c r="B171" s="41" t="n"/>
      <c r="C171" s="41" t="n"/>
      <c r="D171" s="41" t="n"/>
      <c r="E171" s="41" t="n"/>
      <c r="F171" s="42" t="n"/>
      <c r="G171" s="43" t="n"/>
      <c r="H171" s="43" t="n"/>
      <c r="I171" s="41" t="n"/>
      <c r="J171" s="42" t="n"/>
      <c r="K171" s="40" t="n"/>
      <c r="L171" s="44">
        <f>IF(OR(A171="",K171=""),"",K171-A171)</f>
        <v/>
      </c>
      <c r="M171" s="41" t="n"/>
      <c r="N171" s="43" t="n"/>
    </row>
    <row r="172" ht="18" customHeight="1">
      <c r="A172" s="40" t="n"/>
      <c r="B172" s="41" t="n"/>
      <c r="C172" s="41" t="n"/>
      <c r="D172" s="41" t="n"/>
      <c r="E172" s="41" t="n"/>
      <c r="F172" s="42" t="n"/>
      <c r="G172" s="43" t="n"/>
      <c r="H172" s="43" t="n"/>
      <c r="I172" s="41" t="n"/>
      <c r="J172" s="42" t="n"/>
      <c r="K172" s="40" t="n"/>
      <c r="L172" s="44">
        <f>IF(OR(A172="",K172=""),"",K172-A172)</f>
        <v/>
      </c>
      <c r="M172" s="41" t="n"/>
      <c r="N172" s="43" t="n"/>
    </row>
    <row r="173" ht="18" customHeight="1">
      <c r="A173" s="40" t="n"/>
      <c r="B173" s="41" t="n"/>
      <c r="C173" s="41" t="n"/>
      <c r="D173" s="41" t="n"/>
      <c r="E173" s="41" t="n"/>
      <c r="F173" s="42" t="n"/>
      <c r="G173" s="43" t="n"/>
      <c r="H173" s="43" t="n"/>
      <c r="I173" s="41" t="n"/>
      <c r="J173" s="42" t="n"/>
      <c r="K173" s="40" t="n"/>
      <c r="L173" s="44">
        <f>IF(OR(A173="",K173=""),"",K173-A173)</f>
        <v/>
      </c>
      <c r="M173" s="41" t="n"/>
      <c r="N173" s="43" t="n"/>
    </row>
    <row r="174" ht="18" customHeight="1">
      <c r="A174" s="40" t="n"/>
      <c r="B174" s="41" t="n"/>
      <c r="C174" s="41" t="n"/>
      <c r="D174" s="41" t="n"/>
      <c r="E174" s="41" t="n"/>
      <c r="F174" s="42" t="n"/>
      <c r="G174" s="43" t="n"/>
      <c r="H174" s="43" t="n"/>
      <c r="I174" s="41" t="n"/>
      <c r="J174" s="42" t="n"/>
      <c r="K174" s="40" t="n"/>
      <c r="L174" s="44">
        <f>IF(OR(A174="",K174=""),"",K174-A174)</f>
        <v/>
      </c>
      <c r="M174" s="41" t="n"/>
      <c r="N174" s="43" t="n"/>
    </row>
    <row r="175" ht="18" customHeight="1">
      <c r="A175" s="40" t="n"/>
      <c r="B175" s="41" t="n"/>
      <c r="C175" s="41" t="n"/>
      <c r="D175" s="41" t="n"/>
      <c r="E175" s="41" t="n"/>
      <c r="F175" s="42" t="n"/>
      <c r="G175" s="43" t="n"/>
      <c r="H175" s="43" t="n"/>
      <c r="I175" s="41" t="n"/>
      <c r="J175" s="42" t="n"/>
      <c r="K175" s="40" t="n"/>
      <c r="L175" s="44">
        <f>IF(OR(A175="",K175=""),"",K175-A175)</f>
        <v/>
      </c>
      <c r="M175" s="41" t="n"/>
      <c r="N175" s="43" t="n"/>
    </row>
    <row r="176" ht="18" customHeight="1">
      <c r="A176" s="40" t="n"/>
      <c r="B176" s="41" t="n"/>
      <c r="C176" s="41" t="n"/>
      <c r="D176" s="41" t="n"/>
      <c r="E176" s="41" t="n"/>
      <c r="F176" s="42" t="n"/>
      <c r="G176" s="43" t="n"/>
      <c r="H176" s="43" t="n"/>
      <c r="I176" s="41" t="n"/>
      <c r="J176" s="42" t="n"/>
      <c r="K176" s="40" t="n"/>
      <c r="L176" s="44">
        <f>IF(OR(A176="",K176=""),"",K176-A176)</f>
        <v/>
      </c>
      <c r="M176" s="41" t="n"/>
      <c r="N176" s="43" t="n"/>
    </row>
    <row r="177" ht="18" customHeight="1">
      <c r="A177" s="40" t="n"/>
      <c r="B177" s="41" t="n"/>
      <c r="C177" s="41" t="n"/>
      <c r="D177" s="41" t="n"/>
      <c r="E177" s="41" t="n"/>
      <c r="F177" s="42" t="n"/>
      <c r="G177" s="43" t="n"/>
      <c r="H177" s="43" t="n"/>
      <c r="I177" s="41" t="n"/>
      <c r="J177" s="42" t="n"/>
      <c r="K177" s="40" t="n"/>
      <c r="L177" s="44">
        <f>IF(OR(A177="",K177=""),"",K177-A177)</f>
        <v/>
      </c>
      <c r="M177" s="41" t="n"/>
      <c r="N177" s="43" t="n"/>
    </row>
    <row r="178" ht="18" customHeight="1">
      <c r="A178" s="40" t="n"/>
      <c r="B178" s="41" t="n"/>
      <c r="C178" s="41" t="n"/>
      <c r="D178" s="41" t="n"/>
      <c r="E178" s="41" t="n"/>
      <c r="F178" s="42" t="n"/>
      <c r="G178" s="43" t="n"/>
      <c r="H178" s="43" t="n"/>
      <c r="I178" s="41" t="n"/>
      <c r="J178" s="42" t="n"/>
      <c r="K178" s="40" t="n"/>
      <c r="L178" s="44">
        <f>IF(OR(A178="",K178=""),"",K178-A178)</f>
        <v/>
      </c>
      <c r="M178" s="41" t="n"/>
      <c r="N178" s="43" t="n"/>
    </row>
    <row r="179" ht="18" customHeight="1">
      <c r="A179" s="40" t="n"/>
      <c r="B179" s="41" t="n"/>
      <c r="C179" s="41" t="n"/>
      <c r="D179" s="41" t="n"/>
      <c r="E179" s="41" t="n"/>
      <c r="F179" s="42" t="n"/>
      <c r="G179" s="43" t="n"/>
      <c r="H179" s="43" t="n"/>
      <c r="I179" s="41" t="n"/>
      <c r="J179" s="42" t="n"/>
      <c r="K179" s="40" t="n"/>
      <c r="L179" s="44">
        <f>IF(OR(A179="",K179=""),"",K179-A179)</f>
        <v/>
      </c>
      <c r="M179" s="41" t="n"/>
      <c r="N179" s="43" t="n"/>
    </row>
    <row r="180" ht="18" customHeight="1">
      <c r="A180" s="40" t="n"/>
      <c r="B180" s="41" t="n"/>
      <c r="C180" s="41" t="n"/>
      <c r="D180" s="41" t="n"/>
      <c r="E180" s="41" t="n"/>
      <c r="F180" s="42" t="n"/>
      <c r="G180" s="43" t="n"/>
      <c r="H180" s="43" t="n"/>
      <c r="I180" s="41" t="n"/>
      <c r="J180" s="42" t="n"/>
      <c r="K180" s="40" t="n"/>
      <c r="L180" s="44">
        <f>IF(OR(A180="",K180=""),"",K180-A180)</f>
        <v/>
      </c>
      <c r="M180" s="41" t="n"/>
      <c r="N180" s="43" t="n"/>
    </row>
    <row r="181" ht="18" customHeight="1">
      <c r="A181" s="40" t="n"/>
      <c r="B181" s="41" t="n"/>
      <c r="C181" s="41" t="n"/>
      <c r="D181" s="41" t="n"/>
      <c r="E181" s="41" t="n"/>
      <c r="F181" s="42" t="n"/>
      <c r="G181" s="43" t="n"/>
      <c r="H181" s="43" t="n"/>
      <c r="I181" s="41" t="n"/>
      <c r="J181" s="42" t="n"/>
      <c r="K181" s="40" t="n"/>
      <c r="L181" s="44">
        <f>IF(OR(A181="",K181=""),"",K181-A181)</f>
        <v/>
      </c>
      <c r="M181" s="41" t="n"/>
      <c r="N181" s="43" t="n"/>
    </row>
    <row r="182" ht="18" customHeight="1">
      <c r="A182" s="40" t="n"/>
      <c r="B182" s="41" t="n"/>
      <c r="C182" s="41" t="n"/>
      <c r="D182" s="41" t="n"/>
      <c r="E182" s="41" t="n"/>
      <c r="F182" s="42" t="n"/>
      <c r="G182" s="43" t="n"/>
      <c r="H182" s="43" t="n"/>
      <c r="I182" s="41" t="n"/>
      <c r="J182" s="42" t="n"/>
      <c r="K182" s="40" t="n"/>
      <c r="L182" s="44">
        <f>IF(OR(A182="",K182=""),"",K182-A182)</f>
        <v/>
      </c>
      <c r="M182" s="41" t="n"/>
      <c r="N182" s="43" t="n"/>
    </row>
    <row r="183" ht="18" customHeight="1">
      <c r="A183" s="40" t="n"/>
      <c r="B183" s="41" t="n"/>
      <c r="C183" s="41" t="n"/>
      <c r="D183" s="41" t="n"/>
      <c r="E183" s="41" t="n"/>
      <c r="F183" s="42" t="n"/>
      <c r="G183" s="43" t="n"/>
      <c r="H183" s="43" t="n"/>
      <c r="I183" s="41" t="n"/>
      <c r="J183" s="42" t="n"/>
      <c r="K183" s="40" t="n"/>
      <c r="L183" s="44">
        <f>IF(OR(A183="",K183=""),"",K183-A183)</f>
        <v/>
      </c>
      <c r="M183" s="41" t="n"/>
      <c r="N183" s="43" t="n"/>
    </row>
    <row r="184" ht="18" customHeight="1">
      <c r="A184" s="40" t="n"/>
      <c r="B184" s="41" t="n"/>
      <c r="C184" s="41" t="n"/>
      <c r="D184" s="41" t="n"/>
      <c r="E184" s="41" t="n"/>
      <c r="F184" s="42" t="n"/>
      <c r="G184" s="43" t="n"/>
      <c r="H184" s="43" t="n"/>
      <c r="I184" s="41" t="n"/>
      <c r="J184" s="42" t="n"/>
      <c r="K184" s="40" t="n"/>
      <c r="L184" s="44">
        <f>IF(OR(A184="",K184=""),"",K184-A184)</f>
        <v/>
      </c>
      <c r="M184" s="41" t="n"/>
      <c r="N184" s="43" t="n"/>
    </row>
    <row r="185" ht="18" customHeight="1">
      <c r="A185" s="40" t="n"/>
      <c r="B185" s="41" t="n"/>
      <c r="C185" s="41" t="n"/>
      <c r="D185" s="41" t="n"/>
      <c r="E185" s="41" t="n"/>
      <c r="F185" s="42" t="n"/>
      <c r="G185" s="43" t="n"/>
      <c r="H185" s="43" t="n"/>
      <c r="I185" s="41" t="n"/>
      <c r="J185" s="42" t="n"/>
      <c r="K185" s="40" t="n"/>
      <c r="L185" s="44">
        <f>IF(OR(A185="",K185=""),"",K185-A185)</f>
        <v/>
      </c>
      <c r="M185" s="41" t="n"/>
      <c r="N185" s="43" t="n"/>
    </row>
    <row r="186" ht="18" customHeight="1">
      <c r="A186" s="40" t="n"/>
      <c r="B186" s="41" t="n"/>
      <c r="C186" s="41" t="n"/>
      <c r="D186" s="41" t="n"/>
      <c r="E186" s="41" t="n"/>
      <c r="F186" s="42" t="n"/>
      <c r="G186" s="43" t="n"/>
      <c r="H186" s="43" t="n"/>
      <c r="I186" s="41" t="n"/>
      <c r="J186" s="42" t="n"/>
      <c r="K186" s="40" t="n"/>
      <c r="L186" s="44">
        <f>IF(OR(A186="",K186=""),"",K186-A186)</f>
        <v/>
      </c>
      <c r="M186" s="41" t="n"/>
      <c r="N186" s="43" t="n"/>
    </row>
    <row r="187" ht="18" customHeight="1">
      <c r="A187" s="40" t="n"/>
      <c r="B187" s="41" t="n"/>
      <c r="C187" s="41" t="n"/>
      <c r="D187" s="41" t="n"/>
      <c r="E187" s="41" t="n"/>
      <c r="F187" s="42" t="n"/>
      <c r="G187" s="43" t="n"/>
      <c r="H187" s="43" t="n"/>
      <c r="I187" s="41" t="n"/>
      <c r="J187" s="42" t="n"/>
      <c r="K187" s="40" t="n"/>
      <c r="L187" s="44">
        <f>IF(OR(A187="",K187=""),"",K187-A187)</f>
        <v/>
      </c>
      <c r="M187" s="41" t="n"/>
      <c r="N187" s="43" t="n"/>
    </row>
    <row r="188" ht="18" customHeight="1">
      <c r="A188" s="40" t="n"/>
      <c r="B188" s="41" t="n"/>
      <c r="C188" s="41" t="n"/>
      <c r="D188" s="41" t="n"/>
      <c r="E188" s="41" t="n"/>
      <c r="F188" s="42" t="n"/>
      <c r="G188" s="43" t="n"/>
      <c r="H188" s="43" t="n"/>
      <c r="I188" s="41" t="n"/>
      <c r="J188" s="42" t="n"/>
      <c r="K188" s="40" t="n"/>
      <c r="L188" s="44">
        <f>IF(OR(A188="",K188=""),"",K188-A188)</f>
        <v/>
      </c>
      <c r="M188" s="41" t="n"/>
      <c r="N188" s="43" t="n"/>
    </row>
    <row r="189" ht="18" customHeight="1">
      <c r="A189" s="40" t="n"/>
      <c r="B189" s="41" t="n"/>
      <c r="C189" s="41" t="n"/>
      <c r="D189" s="41" t="n"/>
      <c r="E189" s="41" t="n"/>
      <c r="F189" s="42" t="n"/>
      <c r="G189" s="43" t="n"/>
      <c r="H189" s="43" t="n"/>
      <c r="I189" s="41" t="n"/>
      <c r="J189" s="42" t="n"/>
      <c r="K189" s="40" t="n"/>
      <c r="L189" s="44">
        <f>IF(OR(A189="",K189=""),"",K189-A189)</f>
        <v/>
      </c>
      <c r="M189" s="41" t="n"/>
      <c r="N189" s="43" t="n"/>
    </row>
    <row r="190" ht="18" customHeight="1">
      <c r="A190" s="40" t="n"/>
      <c r="B190" s="41" t="n"/>
      <c r="C190" s="41" t="n"/>
      <c r="D190" s="41" t="n"/>
      <c r="E190" s="41" t="n"/>
      <c r="F190" s="42" t="n"/>
      <c r="G190" s="43" t="n"/>
      <c r="H190" s="43" t="n"/>
      <c r="I190" s="41" t="n"/>
      <c r="J190" s="42" t="n"/>
      <c r="K190" s="40" t="n"/>
      <c r="L190" s="44">
        <f>IF(OR(A190="",K190=""),"",K190-A190)</f>
        <v/>
      </c>
      <c r="M190" s="41" t="n"/>
      <c r="N190" s="43" t="n"/>
    </row>
    <row r="191" ht="18" customHeight="1">
      <c r="A191" s="40" t="n"/>
      <c r="B191" s="41" t="n"/>
      <c r="C191" s="41" t="n"/>
      <c r="D191" s="41" t="n"/>
      <c r="E191" s="41" t="n"/>
      <c r="F191" s="42" t="n"/>
      <c r="G191" s="43" t="n"/>
      <c r="H191" s="43" t="n"/>
      <c r="I191" s="41" t="n"/>
      <c r="J191" s="42" t="n"/>
      <c r="K191" s="40" t="n"/>
      <c r="L191" s="44">
        <f>IF(OR(A191="",K191=""),"",K191-A191)</f>
        <v/>
      </c>
      <c r="M191" s="41" t="n"/>
      <c r="N191" s="43" t="n"/>
    </row>
    <row r="192" ht="18" customHeight="1">
      <c r="A192" s="40" t="n"/>
      <c r="B192" s="41" t="n"/>
      <c r="C192" s="41" t="n"/>
      <c r="D192" s="41" t="n"/>
      <c r="E192" s="41" t="n"/>
      <c r="F192" s="42" t="n"/>
      <c r="G192" s="43" t="n"/>
      <c r="H192" s="43" t="n"/>
      <c r="I192" s="41" t="n"/>
      <c r="J192" s="42" t="n"/>
      <c r="K192" s="40" t="n"/>
      <c r="L192" s="44">
        <f>IF(OR(A192="",K192=""),"",K192-A192)</f>
        <v/>
      </c>
      <c r="M192" s="41" t="n"/>
      <c r="N192" s="43" t="n"/>
    </row>
    <row r="193" ht="18" customHeight="1">
      <c r="A193" s="40" t="n"/>
      <c r="B193" s="41" t="n"/>
      <c r="C193" s="41" t="n"/>
      <c r="D193" s="41" t="n"/>
      <c r="E193" s="41" t="n"/>
      <c r="F193" s="42" t="n"/>
      <c r="G193" s="43" t="n"/>
      <c r="H193" s="43" t="n"/>
      <c r="I193" s="41" t="n"/>
      <c r="J193" s="42" t="n"/>
      <c r="K193" s="40" t="n"/>
      <c r="L193" s="44">
        <f>IF(OR(A193="",K193=""),"",K193-A193)</f>
        <v/>
      </c>
      <c r="M193" s="41" t="n"/>
      <c r="N193" s="43" t="n"/>
    </row>
    <row r="194" ht="18" customHeight="1">
      <c r="A194" s="40" t="n"/>
      <c r="B194" s="41" t="n"/>
      <c r="C194" s="41" t="n"/>
      <c r="D194" s="41" t="n"/>
      <c r="E194" s="41" t="n"/>
      <c r="F194" s="42" t="n"/>
      <c r="G194" s="43" t="n"/>
      <c r="H194" s="43" t="n"/>
      <c r="I194" s="41" t="n"/>
      <c r="J194" s="42" t="n"/>
      <c r="K194" s="40" t="n"/>
      <c r="L194" s="44">
        <f>IF(OR(A194="",K194=""),"",K194-A194)</f>
        <v/>
      </c>
      <c r="M194" s="41" t="n"/>
      <c r="N194" s="43" t="n"/>
    </row>
    <row r="195" ht="18" customHeight="1">
      <c r="A195" s="40" t="n"/>
      <c r="B195" s="41" t="n"/>
      <c r="C195" s="41" t="n"/>
      <c r="D195" s="41" t="n"/>
      <c r="E195" s="41" t="n"/>
      <c r="F195" s="42" t="n"/>
      <c r="G195" s="43" t="n"/>
      <c r="H195" s="43" t="n"/>
      <c r="I195" s="41" t="n"/>
      <c r="J195" s="42" t="n"/>
      <c r="K195" s="40" t="n"/>
      <c r="L195" s="44">
        <f>IF(OR(A195="",K195=""),"",K195-A195)</f>
        <v/>
      </c>
      <c r="M195" s="41" t="n"/>
      <c r="N195" s="43" t="n"/>
    </row>
    <row r="196" ht="18" customHeight="1">
      <c r="A196" s="40" t="n"/>
      <c r="B196" s="41" t="n"/>
      <c r="C196" s="41" t="n"/>
      <c r="D196" s="41" t="n"/>
      <c r="E196" s="41" t="n"/>
      <c r="F196" s="42" t="n"/>
      <c r="G196" s="43" t="n"/>
      <c r="H196" s="43" t="n"/>
      <c r="I196" s="41" t="n"/>
      <c r="J196" s="42" t="n"/>
      <c r="K196" s="40" t="n"/>
      <c r="L196" s="44">
        <f>IF(OR(A196="",K196=""),"",K196-A196)</f>
        <v/>
      </c>
      <c r="M196" s="41" t="n"/>
      <c r="N196" s="43" t="n"/>
    </row>
    <row r="197" ht="18" customHeight="1">
      <c r="A197" s="40" t="n"/>
      <c r="B197" s="41" t="n"/>
      <c r="C197" s="41" t="n"/>
      <c r="D197" s="41" t="n"/>
      <c r="E197" s="41" t="n"/>
      <c r="F197" s="42" t="n"/>
      <c r="G197" s="43" t="n"/>
      <c r="H197" s="43" t="n"/>
      <c r="I197" s="41" t="n"/>
      <c r="J197" s="42" t="n"/>
      <c r="K197" s="40" t="n"/>
      <c r="L197" s="44">
        <f>IF(OR(A197="",K197=""),"",K197-A197)</f>
        <v/>
      </c>
      <c r="M197" s="41" t="n"/>
      <c r="N197" s="43" t="n"/>
    </row>
    <row r="198" ht="18" customHeight="1">
      <c r="A198" s="40" t="n"/>
      <c r="B198" s="41" t="n"/>
      <c r="C198" s="41" t="n"/>
      <c r="D198" s="41" t="n"/>
      <c r="E198" s="41" t="n"/>
      <c r="F198" s="42" t="n"/>
      <c r="G198" s="43" t="n"/>
      <c r="H198" s="43" t="n"/>
      <c r="I198" s="41" t="n"/>
      <c r="J198" s="42" t="n"/>
      <c r="K198" s="40" t="n"/>
      <c r="L198" s="44">
        <f>IF(OR(A198="",K198=""),"",K198-A198)</f>
        <v/>
      </c>
      <c r="M198" s="41" t="n"/>
      <c r="N198" s="43" t="n"/>
    </row>
    <row r="199" ht="18" customHeight="1">
      <c r="A199" s="40" t="n"/>
      <c r="B199" s="41" t="n"/>
      <c r="C199" s="41" t="n"/>
      <c r="D199" s="41" t="n"/>
      <c r="E199" s="41" t="n"/>
      <c r="F199" s="42" t="n"/>
      <c r="G199" s="43" t="n"/>
      <c r="H199" s="43" t="n"/>
      <c r="I199" s="41" t="n"/>
      <c r="J199" s="42" t="n"/>
      <c r="K199" s="40" t="n"/>
      <c r="L199" s="44">
        <f>IF(OR(A199="",K199=""),"",K199-A199)</f>
        <v/>
      </c>
      <c r="M199" s="41" t="n"/>
      <c r="N199" s="43" t="n"/>
    </row>
    <row r="200" ht="18" customHeight="1">
      <c r="A200" s="40" t="n"/>
      <c r="B200" s="41" t="n"/>
      <c r="C200" s="41" t="n"/>
      <c r="D200" s="41" t="n"/>
      <c r="E200" s="41" t="n"/>
      <c r="F200" s="42" t="n"/>
      <c r="G200" s="43" t="n"/>
      <c r="H200" s="43" t="n"/>
      <c r="I200" s="41" t="n"/>
      <c r="J200" s="42" t="n"/>
      <c r="K200" s="40" t="n"/>
      <c r="L200" s="44">
        <f>IF(OR(A200="",K200=""),"",K200-A200)</f>
        <v/>
      </c>
      <c r="M200" s="41" t="n"/>
      <c r="N200" s="43" t="n"/>
    </row>
    <row r="201" ht="18" customHeight="1">
      <c r="A201" s="40" t="n"/>
      <c r="B201" s="41" t="n"/>
      <c r="C201" s="41" t="n"/>
      <c r="D201" s="41" t="n"/>
      <c r="E201" s="41" t="n"/>
      <c r="F201" s="42" t="n"/>
      <c r="G201" s="43" t="n"/>
      <c r="H201" s="43" t="n"/>
      <c r="I201" s="41" t="n"/>
      <c r="J201" s="42" t="n"/>
      <c r="K201" s="40" t="n"/>
      <c r="L201" s="44">
        <f>IF(OR(A201="",K201=""),"",K201-A201)</f>
        <v/>
      </c>
      <c r="M201" s="41" t="n"/>
      <c r="N201" s="43" t="n"/>
    </row>
    <row r="202" ht="18" customHeight="1">
      <c r="A202" s="40" t="n"/>
      <c r="B202" s="41" t="n"/>
      <c r="C202" s="41" t="n"/>
      <c r="D202" s="41" t="n"/>
      <c r="E202" s="41" t="n"/>
      <c r="F202" s="42" t="n"/>
      <c r="G202" s="43" t="n"/>
      <c r="H202" s="43" t="n"/>
      <c r="I202" s="41" t="n"/>
      <c r="J202" s="42" t="n"/>
      <c r="K202" s="40" t="n"/>
      <c r="L202" s="44">
        <f>IF(OR(A202="",K202=""),"",K202-A202)</f>
        <v/>
      </c>
      <c r="M202" s="41" t="n"/>
      <c r="N202" s="43" t="n"/>
    </row>
    <row r="203" ht="18" customHeight="1">
      <c r="A203" s="40" t="n"/>
      <c r="B203" s="41" t="n"/>
      <c r="C203" s="41" t="n"/>
      <c r="D203" s="41" t="n"/>
      <c r="E203" s="41" t="n"/>
      <c r="F203" s="42" t="n"/>
      <c r="G203" s="43" t="n"/>
      <c r="H203" s="43" t="n"/>
      <c r="I203" s="41" t="n"/>
      <c r="J203" s="42" t="n"/>
      <c r="K203" s="40" t="n"/>
      <c r="L203" s="44">
        <f>IF(OR(A203="",K203=""),"",K203-A203)</f>
        <v/>
      </c>
      <c r="M203" s="41" t="n"/>
      <c r="N203" s="43" t="n"/>
    </row>
    <row r="204" ht="18" customHeight="1">
      <c r="A204" s="40" t="n"/>
      <c r="B204" s="41" t="n"/>
      <c r="C204" s="41" t="n"/>
      <c r="D204" s="41" t="n"/>
      <c r="E204" s="41" t="n"/>
      <c r="F204" s="42" t="n"/>
      <c r="G204" s="43" t="n"/>
      <c r="H204" s="43" t="n"/>
      <c r="I204" s="41" t="n"/>
      <c r="J204" s="42" t="n"/>
      <c r="K204" s="40" t="n"/>
      <c r="L204" s="44">
        <f>IF(OR(A204="",K204=""),"",K204-A204)</f>
        <v/>
      </c>
      <c r="M204" s="41" t="n"/>
      <c r="N204" s="43" t="n"/>
    </row>
    <row r="205" ht="18" customHeight="1">
      <c r="A205" s="40" t="n"/>
      <c r="B205" s="41" t="n"/>
      <c r="C205" s="41" t="n"/>
      <c r="D205" s="41" t="n"/>
      <c r="E205" s="41" t="n"/>
      <c r="F205" s="42" t="n"/>
      <c r="G205" s="43" t="n"/>
      <c r="H205" s="43" t="n"/>
      <c r="I205" s="41" t="n"/>
      <c r="J205" s="42" t="n"/>
      <c r="K205" s="40" t="n"/>
      <c r="L205" s="44">
        <f>IF(OR(A205="",K205=""),"",K205-A205)</f>
        <v/>
      </c>
      <c r="M205" s="41" t="n"/>
      <c r="N205" s="43" t="n"/>
    </row>
    <row r="206" ht="18" customHeight="1">
      <c r="A206" s="40" t="n"/>
      <c r="B206" s="41" t="n"/>
      <c r="C206" s="41" t="n"/>
      <c r="D206" s="41" t="n"/>
      <c r="E206" s="41" t="n"/>
      <c r="F206" s="42" t="n"/>
      <c r="G206" s="43" t="n"/>
      <c r="H206" s="43" t="n"/>
      <c r="I206" s="41" t="n"/>
      <c r="J206" s="42" t="n"/>
      <c r="K206" s="40" t="n"/>
      <c r="L206" s="44">
        <f>IF(OR(A206="",K206=""),"",K206-A206)</f>
        <v/>
      </c>
      <c r="M206" s="41" t="n"/>
      <c r="N206" s="43" t="n"/>
    </row>
    <row r="207" ht="18" customHeight="1">
      <c r="A207" s="40" t="n"/>
      <c r="B207" s="41" t="n"/>
      <c r="C207" s="41" t="n"/>
      <c r="D207" s="41" t="n"/>
      <c r="E207" s="41" t="n"/>
      <c r="F207" s="42" t="n"/>
      <c r="G207" s="43" t="n"/>
      <c r="H207" s="43" t="n"/>
      <c r="I207" s="41" t="n"/>
      <c r="J207" s="42" t="n"/>
      <c r="K207" s="40" t="n"/>
      <c r="L207" s="44">
        <f>IF(OR(A207="",K207=""),"",K207-A207)</f>
        <v/>
      </c>
      <c r="M207" s="41" t="n"/>
      <c r="N207" s="43" t="n"/>
    </row>
    <row r="208" ht="18" customHeight="1">
      <c r="A208" s="40" t="n"/>
      <c r="B208" s="41" t="n"/>
      <c r="C208" s="41" t="n"/>
      <c r="D208" s="41" t="n"/>
      <c r="E208" s="41" t="n"/>
      <c r="F208" s="42" t="n"/>
      <c r="G208" s="43" t="n"/>
      <c r="H208" s="43" t="n"/>
      <c r="I208" s="41" t="n"/>
      <c r="J208" s="42" t="n"/>
      <c r="K208" s="40" t="n"/>
      <c r="L208" s="44">
        <f>IF(OR(A208="",K208=""),"",K208-A208)</f>
        <v/>
      </c>
      <c r="M208" s="41" t="n"/>
      <c r="N208" s="43" t="n"/>
    </row>
    <row r="209" ht="18" customHeight="1">
      <c r="A209" s="40" t="n"/>
      <c r="B209" s="41" t="n"/>
      <c r="C209" s="41" t="n"/>
      <c r="D209" s="41" t="n"/>
      <c r="E209" s="41" t="n"/>
      <c r="F209" s="42" t="n"/>
      <c r="G209" s="43" t="n"/>
      <c r="H209" s="43" t="n"/>
      <c r="I209" s="41" t="n"/>
      <c r="J209" s="42" t="n"/>
      <c r="K209" s="40" t="n"/>
      <c r="L209" s="44">
        <f>IF(OR(A209="",K209=""),"",K209-A209)</f>
        <v/>
      </c>
      <c r="M209" s="41" t="n"/>
      <c r="N209" s="43" t="n"/>
    </row>
    <row r="210" ht="18" customHeight="1">
      <c r="A210" s="40" t="n"/>
      <c r="B210" s="41" t="n"/>
      <c r="C210" s="41" t="n"/>
      <c r="D210" s="41" t="n"/>
      <c r="E210" s="41" t="n"/>
      <c r="F210" s="42" t="n"/>
      <c r="G210" s="43" t="n"/>
      <c r="H210" s="43" t="n"/>
      <c r="I210" s="41" t="n"/>
      <c r="J210" s="42" t="n"/>
      <c r="K210" s="40" t="n"/>
      <c r="L210" s="44">
        <f>IF(OR(A210="",K210=""),"",K210-A210)</f>
        <v/>
      </c>
      <c r="M210" s="41" t="n"/>
      <c r="N210" s="43" t="n"/>
    </row>
    <row r="211" ht="18" customHeight="1">
      <c r="A211" s="40" t="n"/>
      <c r="B211" s="41" t="n"/>
      <c r="C211" s="41" t="n"/>
      <c r="D211" s="41" t="n"/>
      <c r="E211" s="41" t="n"/>
      <c r="F211" s="42" t="n"/>
      <c r="G211" s="43" t="n"/>
      <c r="H211" s="43" t="n"/>
      <c r="I211" s="41" t="n"/>
      <c r="J211" s="42" t="n"/>
      <c r="K211" s="40" t="n"/>
      <c r="L211" s="44">
        <f>IF(OR(A211="",K211=""),"",K211-A211)</f>
        <v/>
      </c>
      <c r="M211" s="41" t="n"/>
      <c r="N211" s="43" t="n"/>
    </row>
    <row r="212" ht="18" customHeight="1">
      <c r="A212" s="40" t="n"/>
      <c r="B212" s="41" t="n"/>
      <c r="C212" s="41" t="n"/>
      <c r="D212" s="41" t="n"/>
      <c r="E212" s="41" t="n"/>
      <c r="F212" s="42" t="n"/>
      <c r="G212" s="43" t="n"/>
      <c r="H212" s="43" t="n"/>
      <c r="I212" s="41" t="n"/>
      <c r="J212" s="42" t="n"/>
      <c r="K212" s="40" t="n"/>
      <c r="L212" s="44">
        <f>IF(OR(A212="",K212=""),"",K212-A212)</f>
        <v/>
      </c>
      <c r="M212" s="41" t="n"/>
      <c r="N212" s="43" t="n"/>
    </row>
    <row r="213" ht="18" customHeight="1">
      <c r="A213" s="40" t="n"/>
      <c r="B213" s="41" t="n"/>
      <c r="C213" s="41" t="n"/>
      <c r="D213" s="41" t="n"/>
      <c r="E213" s="41" t="n"/>
      <c r="F213" s="42" t="n"/>
      <c r="G213" s="43" t="n"/>
      <c r="H213" s="43" t="n"/>
      <c r="I213" s="41" t="n"/>
      <c r="J213" s="42" t="n"/>
      <c r="K213" s="40" t="n"/>
      <c r="L213" s="44">
        <f>IF(OR(A213="",K213=""),"",K213-A213)</f>
        <v/>
      </c>
      <c r="M213" s="41" t="n"/>
      <c r="N213" s="43" t="n"/>
    </row>
    <row r="214" ht="18" customHeight="1">
      <c r="A214" s="40" t="n"/>
      <c r="B214" s="41" t="n"/>
      <c r="C214" s="41" t="n"/>
      <c r="D214" s="41" t="n"/>
      <c r="E214" s="41" t="n"/>
      <c r="F214" s="42" t="n"/>
      <c r="G214" s="43" t="n"/>
      <c r="H214" s="43" t="n"/>
      <c r="I214" s="41" t="n"/>
      <c r="J214" s="42" t="n"/>
      <c r="K214" s="40" t="n"/>
      <c r="L214" s="44">
        <f>IF(OR(A214="",K214=""),"",K214-A214)</f>
        <v/>
      </c>
      <c r="M214" s="41" t="n"/>
      <c r="N214" s="43" t="n"/>
    </row>
    <row r="215" ht="18" customHeight="1">
      <c r="A215" s="40" t="n"/>
      <c r="B215" s="41" t="n"/>
      <c r="C215" s="41" t="n"/>
      <c r="D215" s="41" t="n"/>
      <c r="E215" s="41" t="n"/>
      <c r="F215" s="42" t="n"/>
      <c r="G215" s="43" t="n"/>
      <c r="H215" s="43" t="n"/>
      <c r="I215" s="41" t="n"/>
      <c r="J215" s="42" t="n"/>
      <c r="K215" s="40" t="n"/>
      <c r="L215" s="44">
        <f>IF(OR(A215="",K215=""),"",K215-A215)</f>
        <v/>
      </c>
      <c r="M215" s="41" t="n"/>
      <c r="N215" s="43" t="n"/>
    </row>
    <row r="216" ht="18" customHeight="1">
      <c r="A216" s="40" t="n"/>
      <c r="B216" s="41" t="n"/>
      <c r="C216" s="41" t="n"/>
      <c r="D216" s="41" t="n"/>
      <c r="E216" s="41" t="n"/>
      <c r="F216" s="42" t="n"/>
      <c r="G216" s="43" t="n"/>
      <c r="H216" s="43" t="n"/>
      <c r="I216" s="41" t="n"/>
      <c r="J216" s="42" t="n"/>
      <c r="K216" s="40" t="n"/>
      <c r="L216" s="44">
        <f>IF(OR(A216="",K216=""),"",K216-A216)</f>
        <v/>
      </c>
      <c r="M216" s="41" t="n"/>
      <c r="N216" s="43" t="n"/>
    </row>
    <row r="217" ht="18" customHeight="1">
      <c r="A217" s="40" t="n"/>
      <c r="B217" s="41" t="n"/>
      <c r="C217" s="41" t="n"/>
      <c r="D217" s="41" t="n"/>
      <c r="E217" s="41" t="n"/>
      <c r="F217" s="42" t="n"/>
      <c r="G217" s="43" t="n"/>
      <c r="H217" s="43" t="n"/>
      <c r="I217" s="41" t="n"/>
      <c r="J217" s="42" t="n"/>
      <c r="K217" s="40" t="n"/>
      <c r="L217" s="44">
        <f>IF(OR(A217="",K217=""),"",K217-A217)</f>
        <v/>
      </c>
      <c r="M217" s="41" t="n"/>
      <c r="N217" s="43" t="n"/>
    </row>
    <row r="218" ht="18" customHeight="1">
      <c r="A218" s="40" t="n"/>
      <c r="B218" s="41" t="n"/>
      <c r="C218" s="41" t="n"/>
      <c r="D218" s="41" t="n"/>
      <c r="E218" s="41" t="n"/>
      <c r="F218" s="42" t="n"/>
      <c r="G218" s="43" t="n"/>
      <c r="H218" s="43" t="n"/>
      <c r="I218" s="41" t="n"/>
      <c r="J218" s="42" t="n"/>
      <c r="K218" s="40" t="n"/>
      <c r="L218" s="44">
        <f>IF(OR(A218="",K218=""),"",K218-A218)</f>
        <v/>
      </c>
      <c r="M218" s="41" t="n"/>
      <c r="N218" s="43" t="n"/>
    </row>
    <row r="219" ht="18" customHeight="1">
      <c r="A219" s="40" t="n"/>
      <c r="B219" s="41" t="n"/>
      <c r="C219" s="41" t="n"/>
      <c r="D219" s="41" t="n"/>
      <c r="E219" s="41" t="n"/>
      <c r="F219" s="42" t="n"/>
      <c r="G219" s="43" t="n"/>
      <c r="H219" s="43" t="n"/>
      <c r="I219" s="41" t="n"/>
      <c r="J219" s="42" t="n"/>
      <c r="K219" s="40" t="n"/>
      <c r="L219" s="44">
        <f>IF(OR(A219="",K219=""),"",K219-A219)</f>
        <v/>
      </c>
      <c r="M219" s="41" t="n"/>
      <c r="N219" s="43" t="n"/>
    </row>
    <row r="220" ht="18" customHeight="1">
      <c r="A220" s="40" t="n"/>
      <c r="B220" s="41" t="n"/>
      <c r="C220" s="41" t="n"/>
      <c r="D220" s="41" t="n"/>
      <c r="E220" s="41" t="n"/>
      <c r="F220" s="42" t="n"/>
      <c r="G220" s="43" t="n"/>
      <c r="H220" s="43" t="n"/>
      <c r="I220" s="41" t="n"/>
      <c r="J220" s="42" t="n"/>
      <c r="K220" s="40" t="n"/>
      <c r="L220" s="44">
        <f>IF(OR(A220="",K220=""),"",K220-A220)</f>
        <v/>
      </c>
      <c r="M220" s="41" t="n"/>
      <c r="N220" s="43" t="n"/>
    </row>
    <row r="221" ht="18" customHeight="1">
      <c r="A221" s="40" t="n"/>
      <c r="B221" s="41" t="n"/>
      <c r="C221" s="41" t="n"/>
      <c r="D221" s="41" t="n"/>
      <c r="E221" s="41" t="n"/>
      <c r="F221" s="42" t="n"/>
      <c r="G221" s="43" t="n"/>
      <c r="H221" s="43" t="n"/>
      <c r="I221" s="41" t="n"/>
      <c r="J221" s="42" t="n"/>
      <c r="K221" s="40" t="n"/>
      <c r="L221" s="44">
        <f>IF(OR(A221="",K221=""),"",K221-A221)</f>
        <v/>
      </c>
      <c r="M221" s="41" t="n"/>
      <c r="N221" s="43" t="n"/>
    </row>
    <row r="222" ht="18" customHeight="1">
      <c r="A222" s="40" t="n"/>
      <c r="B222" s="41" t="n"/>
      <c r="C222" s="41" t="n"/>
      <c r="D222" s="41" t="n"/>
      <c r="E222" s="41" t="n"/>
      <c r="F222" s="42" t="n"/>
      <c r="G222" s="43" t="n"/>
      <c r="H222" s="43" t="n"/>
      <c r="I222" s="41" t="n"/>
      <c r="J222" s="42" t="n"/>
      <c r="K222" s="40" t="n"/>
      <c r="L222" s="44">
        <f>IF(OR(A222="",K222=""),"",K222-A222)</f>
        <v/>
      </c>
      <c r="M222" s="41" t="n"/>
      <c r="N222" s="43" t="n"/>
    </row>
    <row r="223" ht="18" customHeight="1">
      <c r="A223" s="40" t="n"/>
      <c r="B223" s="41" t="n"/>
      <c r="C223" s="41" t="n"/>
      <c r="D223" s="41" t="n"/>
      <c r="E223" s="41" t="n"/>
      <c r="F223" s="42" t="n"/>
      <c r="G223" s="43" t="n"/>
      <c r="H223" s="43" t="n"/>
      <c r="I223" s="41" t="n"/>
      <c r="J223" s="42" t="n"/>
      <c r="K223" s="40" t="n"/>
      <c r="L223" s="44">
        <f>IF(OR(A223="",K223=""),"",K223-A223)</f>
        <v/>
      </c>
      <c r="M223" s="41" t="n"/>
      <c r="N223" s="43" t="n"/>
    </row>
    <row r="224" ht="18" customHeight="1">
      <c r="A224" s="40" t="n"/>
      <c r="B224" s="41" t="n"/>
      <c r="C224" s="41" t="n"/>
      <c r="D224" s="41" t="n"/>
      <c r="E224" s="41" t="n"/>
      <c r="F224" s="42" t="n"/>
      <c r="G224" s="43" t="n"/>
      <c r="H224" s="43" t="n"/>
      <c r="I224" s="41" t="n"/>
      <c r="J224" s="42" t="n"/>
      <c r="K224" s="40" t="n"/>
      <c r="L224" s="44">
        <f>IF(OR(A224="",K224=""),"",K224-A224)</f>
        <v/>
      </c>
      <c r="M224" s="41" t="n"/>
      <c r="N224" s="43" t="n"/>
    </row>
    <row r="225" ht="18" customHeight="1">
      <c r="A225" s="40" t="n"/>
      <c r="B225" s="41" t="n"/>
      <c r="C225" s="41" t="n"/>
      <c r="D225" s="41" t="n"/>
      <c r="E225" s="41" t="n"/>
      <c r="F225" s="42" t="n"/>
      <c r="G225" s="43" t="n"/>
      <c r="H225" s="43" t="n"/>
      <c r="I225" s="41" t="n"/>
      <c r="J225" s="42" t="n"/>
      <c r="K225" s="40" t="n"/>
      <c r="L225" s="44">
        <f>IF(OR(A225="",K225=""),"",K225-A225)</f>
        <v/>
      </c>
      <c r="M225" s="41" t="n"/>
      <c r="N225" s="43" t="n"/>
    </row>
    <row r="226" ht="18" customHeight="1">
      <c r="A226" s="40" t="n"/>
      <c r="B226" s="41" t="n"/>
      <c r="C226" s="41" t="n"/>
      <c r="D226" s="41" t="n"/>
      <c r="E226" s="41" t="n"/>
      <c r="F226" s="42" t="n"/>
      <c r="G226" s="43" t="n"/>
      <c r="H226" s="43" t="n"/>
      <c r="I226" s="41" t="n"/>
      <c r="J226" s="42" t="n"/>
      <c r="K226" s="40" t="n"/>
      <c r="L226" s="44">
        <f>IF(OR(A226="",K226=""),"",K226-A226)</f>
        <v/>
      </c>
      <c r="M226" s="41" t="n"/>
      <c r="N226" s="43" t="n"/>
    </row>
    <row r="227" ht="18" customHeight="1">
      <c r="A227" s="40" t="n"/>
      <c r="B227" s="41" t="n"/>
      <c r="C227" s="41" t="n"/>
      <c r="D227" s="41" t="n"/>
      <c r="E227" s="41" t="n"/>
      <c r="F227" s="42" t="n"/>
      <c r="G227" s="43" t="n"/>
      <c r="H227" s="43" t="n"/>
      <c r="I227" s="41" t="n"/>
      <c r="J227" s="42" t="n"/>
      <c r="K227" s="40" t="n"/>
      <c r="L227" s="44">
        <f>IF(OR(A227="",K227=""),"",K227-A227)</f>
        <v/>
      </c>
      <c r="M227" s="41" t="n"/>
      <c r="N227" s="43" t="n"/>
    </row>
    <row r="228" ht="18" customHeight="1">
      <c r="A228" s="40" t="n"/>
      <c r="B228" s="41" t="n"/>
      <c r="C228" s="41" t="n"/>
      <c r="D228" s="41" t="n"/>
      <c r="E228" s="41" t="n"/>
      <c r="F228" s="42" t="n"/>
      <c r="G228" s="43" t="n"/>
      <c r="H228" s="43" t="n"/>
      <c r="I228" s="41" t="n"/>
      <c r="J228" s="42" t="n"/>
      <c r="K228" s="40" t="n"/>
      <c r="L228" s="44">
        <f>IF(OR(A228="",K228=""),"",K228-A228)</f>
        <v/>
      </c>
      <c r="M228" s="41" t="n"/>
      <c r="N228" s="43" t="n"/>
    </row>
    <row r="229" ht="18" customHeight="1">
      <c r="A229" s="40" t="n"/>
      <c r="B229" s="41" t="n"/>
      <c r="C229" s="41" t="n"/>
      <c r="D229" s="41" t="n"/>
      <c r="E229" s="41" t="n"/>
      <c r="F229" s="42" t="n"/>
      <c r="G229" s="43" t="n"/>
      <c r="H229" s="43" t="n"/>
      <c r="I229" s="41" t="n"/>
      <c r="J229" s="42" t="n"/>
      <c r="K229" s="40" t="n"/>
      <c r="L229" s="44">
        <f>IF(OR(A229="",K229=""),"",K229-A229)</f>
        <v/>
      </c>
      <c r="M229" s="41" t="n"/>
      <c r="N229" s="43" t="n"/>
    </row>
    <row r="230" ht="18" customHeight="1">
      <c r="A230" s="40" t="n"/>
      <c r="B230" s="41" t="n"/>
      <c r="C230" s="41" t="n"/>
      <c r="D230" s="41" t="n"/>
      <c r="E230" s="41" t="n"/>
      <c r="F230" s="42" t="n"/>
      <c r="G230" s="43" t="n"/>
      <c r="H230" s="43" t="n"/>
      <c r="I230" s="41" t="n"/>
      <c r="J230" s="42" t="n"/>
      <c r="K230" s="40" t="n"/>
      <c r="L230" s="44">
        <f>IF(OR(A230="",K230=""),"",K230-A230)</f>
        <v/>
      </c>
      <c r="M230" s="41" t="n"/>
      <c r="N230" s="43" t="n"/>
    </row>
    <row r="231" ht="18" customHeight="1">
      <c r="A231" s="40" t="n"/>
      <c r="B231" s="41" t="n"/>
      <c r="C231" s="41" t="n"/>
      <c r="D231" s="41" t="n"/>
      <c r="E231" s="41" t="n"/>
      <c r="F231" s="42" t="n"/>
      <c r="G231" s="43" t="n"/>
      <c r="H231" s="43" t="n"/>
      <c r="I231" s="41" t="n"/>
      <c r="J231" s="42" t="n"/>
      <c r="K231" s="40" t="n"/>
      <c r="L231" s="44">
        <f>IF(OR(A231="",K231=""),"",K231-A231)</f>
        <v/>
      </c>
      <c r="M231" s="41" t="n"/>
      <c r="N231" s="43" t="n"/>
    </row>
    <row r="232" ht="18" customHeight="1">
      <c r="A232" s="40" t="n"/>
      <c r="B232" s="41" t="n"/>
      <c r="C232" s="41" t="n"/>
      <c r="D232" s="41" t="n"/>
      <c r="E232" s="41" t="n"/>
      <c r="F232" s="42" t="n"/>
      <c r="G232" s="43" t="n"/>
      <c r="H232" s="43" t="n"/>
      <c r="I232" s="41" t="n"/>
      <c r="J232" s="42" t="n"/>
      <c r="K232" s="40" t="n"/>
      <c r="L232" s="44">
        <f>IF(OR(A232="",K232=""),"",K232-A232)</f>
        <v/>
      </c>
      <c r="M232" s="41" t="n"/>
      <c r="N232" s="43" t="n"/>
    </row>
    <row r="233" ht="18" customHeight="1">
      <c r="A233" s="40" t="n"/>
      <c r="B233" s="41" t="n"/>
      <c r="C233" s="41" t="n"/>
      <c r="D233" s="41" t="n"/>
      <c r="E233" s="41" t="n"/>
      <c r="F233" s="42" t="n"/>
      <c r="G233" s="43" t="n"/>
      <c r="H233" s="43" t="n"/>
      <c r="I233" s="41" t="n"/>
      <c r="J233" s="42" t="n"/>
      <c r="K233" s="40" t="n"/>
      <c r="L233" s="44">
        <f>IF(OR(A233="",K233=""),"",K233-A233)</f>
        <v/>
      </c>
      <c r="M233" s="41" t="n"/>
      <c r="N233" s="43" t="n"/>
    </row>
    <row r="234" ht="18" customHeight="1">
      <c r="A234" s="40" t="n"/>
      <c r="B234" s="41" t="n"/>
      <c r="C234" s="41" t="n"/>
      <c r="D234" s="41" t="n"/>
      <c r="E234" s="41" t="n"/>
      <c r="F234" s="42" t="n"/>
      <c r="G234" s="43" t="n"/>
      <c r="H234" s="43" t="n"/>
      <c r="I234" s="41" t="n"/>
      <c r="J234" s="42" t="n"/>
      <c r="K234" s="40" t="n"/>
      <c r="L234" s="44">
        <f>IF(OR(A234="",K234=""),"",K234-A234)</f>
        <v/>
      </c>
      <c r="M234" s="41" t="n"/>
      <c r="N234" s="43" t="n"/>
    </row>
    <row r="235" ht="18" customHeight="1">
      <c r="A235" s="40" t="n"/>
      <c r="B235" s="41" t="n"/>
      <c r="C235" s="41" t="n"/>
      <c r="D235" s="41" t="n"/>
      <c r="E235" s="41" t="n"/>
      <c r="F235" s="42" t="n"/>
      <c r="G235" s="43" t="n"/>
      <c r="H235" s="43" t="n"/>
      <c r="I235" s="41" t="n"/>
      <c r="J235" s="42" t="n"/>
      <c r="K235" s="40" t="n"/>
      <c r="L235" s="44">
        <f>IF(OR(A235="",K235=""),"",K235-A235)</f>
        <v/>
      </c>
      <c r="M235" s="41" t="n"/>
      <c r="N235" s="43" t="n"/>
    </row>
    <row r="236" ht="18" customHeight="1">
      <c r="A236" s="40" t="n"/>
      <c r="B236" s="41" t="n"/>
      <c r="C236" s="41" t="n"/>
      <c r="D236" s="41" t="n"/>
      <c r="E236" s="41" t="n"/>
      <c r="F236" s="42" t="n"/>
      <c r="G236" s="43" t="n"/>
      <c r="H236" s="43" t="n"/>
      <c r="I236" s="41" t="n"/>
      <c r="J236" s="42" t="n"/>
      <c r="K236" s="40" t="n"/>
      <c r="L236" s="44">
        <f>IF(OR(A236="",K236=""),"",K236-A236)</f>
        <v/>
      </c>
      <c r="M236" s="41" t="n"/>
      <c r="N236" s="43" t="n"/>
    </row>
    <row r="237" ht="18" customHeight="1">
      <c r="A237" s="40" t="n"/>
      <c r="B237" s="41" t="n"/>
      <c r="C237" s="41" t="n"/>
      <c r="D237" s="41" t="n"/>
      <c r="E237" s="41" t="n"/>
      <c r="F237" s="42" t="n"/>
      <c r="G237" s="43" t="n"/>
      <c r="H237" s="43" t="n"/>
      <c r="I237" s="41" t="n"/>
      <c r="J237" s="42" t="n"/>
      <c r="K237" s="40" t="n"/>
      <c r="L237" s="44">
        <f>IF(OR(A237="",K237=""),"",K237-A237)</f>
        <v/>
      </c>
      <c r="M237" s="41" t="n"/>
      <c r="N237" s="43" t="n"/>
    </row>
    <row r="238" ht="18" customHeight="1">
      <c r="A238" s="40" t="n"/>
      <c r="B238" s="41" t="n"/>
      <c r="C238" s="41" t="n"/>
      <c r="D238" s="41" t="n"/>
      <c r="E238" s="41" t="n"/>
      <c r="F238" s="42" t="n"/>
      <c r="G238" s="43" t="n"/>
      <c r="H238" s="43" t="n"/>
      <c r="I238" s="41" t="n"/>
      <c r="J238" s="42" t="n"/>
      <c r="K238" s="40" t="n"/>
      <c r="L238" s="44">
        <f>IF(OR(A238="",K238=""),"",K238-A238)</f>
        <v/>
      </c>
      <c r="M238" s="41" t="n"/>
      <c r="N238" s="43" t="n"/>
    </row>
    <row r="239" ht="18" customHeight="1">
      <c r="A239" s="40" t="n"/>
      <c r="B239" s="41" t="n"/>
      <c r="C239" s="41" t="n"/>
      <c r="D239" s="41" t="n"/>
      <c r="E239" s="41" t="n"/>
      <c r="F239" s="42" t="n"/>
      <c r="G239" s="43" t="n"/>
      <c r="H239" s="43" t="n"/>
      <c r="I239" s="41" t="n"/>
      <c r="J239" s="42" t="n"/>
      <c r="K239" s="40" t="n"/>
      <c r="L239" s="44">
        <f>IF(OR(A239="",K239=""),"",K239-A239)</f>
        <v/>
      </c>
      <c r="M239" s="41" t="n"/>
      <c r="N239" s="43" t="n"/>
    </row>
    <row r="240" ht="18" customHeight="1">
      <c r="A240" s="40" t="n"/>
      <c r="B240" s="41" t="n"/>
      <c r="C240" s="41" t="n"/>
      <c r="D240" s="41" t="n"/>
      <c r="E240" s="41" t="n"/>
      <c r="F240" s="42" t="n"/>
      <c r="G240" s="43" t="n"/>
      <c r="H240" s="43" t="n"/>
      <c r="I240" s="41" t="n"/>
      <c r="J240" s="42" t="n"/>
      <c r="K240" s="40" t="n"/>
      <c r="L240" s="44">
        <f>IF(OR(A240="",K240=""),"",K240-A240)</f>
        <v/>
      </c>
      <c r="M240" s="41" t="n"/>
      <c r="N240" s="43" t="n"/>
    </row>
    <row r="241" ht="18" customHeight="1">
      <c r="A241" s="40" t="n"/>
      <c r="B241" s="41" t="n"/>
      <c r="C241" s="41" t="n"/>
      <c r="D241" s="41" t="n"/>
      <c r="E241" s="41" t="n"/>
      <c r="F241" s="42" t="n"/>
      <c r="G241" s="43" t="n"/>
      <c r="H241" s="43" t="n"/>
      <c r="I241" s="41" t="n"/>
      <c r="J241" s="42" t="n"/>
      <c r="K241" s="40" t="n"/>
      <c r="L241" s="44">
        <f>IF(OR(A241="",K241=""),"",K241-A241)</f>
        <v/>
      </c>
      <c r="M241" s="41" t="n"/>
      <c r="N241" s="43" t="n"/>
    </row>
    <row r="242" ht="18" customHeight="1">
      <c r="A242" s="40" t="n"/>
      <c r="B242" s="41" t="n"/>
      <c r="C242" s="41" t="n"/>
      <c r="D242" s="41" t="n"/>
      <c r="E242" s="41" t="n"/>
      <c r="F242" s="42" t="n"/>
      <c r="G242" s="43" t="n"/>
      <c r="H242" s="43" t="n"/>
      <c r="I242" s="41" t="n"/>
      <c r="J242" s="42" t="n"/>
      <c r="K242" s="40" t="n"/>
      <c r="L242" s="44">
        <f>IF(OR(A242="",K242=""),"",K242-A242)</f>
        <v/>
      </c>
      <c r="M242" s="41" t="n"/>
      <c r="N242" s="43" t="n"/>
    </row>
    <row r="243" ht="18" customHeight="1">
      <c r="A243" s="40" t="n"/>
      <c r="B243" s="41" t="n"/>
      <c r="C243" s="41" t="n"/>
      <c r="D243" s="41" t="n"/>
      <c r="E243" s="41" t="n"/>
      <c r="F243" s="42" t="n"/>
      <c r="G243" s="43" t="n"/>
      <c r="H243" s="43" t="n"/>
      <c r="I243" s="41" t="n"/>
      <c r="J243" s="42" t="n"/>
      <c r="K243" s="40" t="n"/>
      <c r="L243" s="44">
        <f>IF(OR(A243="",K243=""),"",K243-A243)</f>
        <v/>
      </c>
      <c r="M243" s="41" t="n"/>
      <c r="N243" s="43" t="n"/>
    </row>
    <row r="244" ht="18" customHeight="1">
      <c r="A244" s="40" t="n"/>
      <c r="B244" s="41" t="n"/>
      <c r="C244" s="41" t="n"/>
      <c r="D244" s="41" t="n"/>
      <c r="E244" s="41" t="n"/>
      <c r="F244" s="42" t="n"/>
      <c r="G244" s="43" t="n"/>
      <c r="H244" s="43" t="n"/>
      <c r="I244" s="41" t="n"/>
      <c r="J244" s="42" t="n"/>
      <c r="K244" s="40" t="n"/>
      <c r="L244" s="44">
        <f>IF(OR(A244="",K244=""),"",K244-A244)</f>
        <v/>
      </c>
      <c r="M244" s="41" t="n"/>
      <c r="N244" s="43" t="n"/>
    </row>
    <row r="245" ht="18" customHeight="1">
      <c r="A245" s="40" t="n"/>
      <c r="B245" s="41" t="n"/>
      <c r="C245" s="41" t="n"/>
      <c r="D245" s="41" t="n"/>
      <c r="E245" s="41" t="n"/>
      <c r="F245" s="42" t="n"/>
      <c r="G245" s="43" t="n"/>
      <c r="H245" s="43" t="n"/>
      <c r="I245" s="41" t="n"/>
      <c r="J245" s="42" t="n"/>
      <c r="K245" s="40" t="n"/>
      <c r="L245" s="44">
        <f>IF(OR(A245="",K245=""),"",K245-A245)</f>
        <v/>
      </c>
      <c r="M245" s="41" t="n"/>
      <c r="N245" s="43" t="n"/>
    </row>
    <row r="246" ht="18" customHeight="1">
      <c r="A246" s="40" t="n"/>
      <c r="B246" s="41" t="n"/>
      <c r="C246" s="41" t="n"/>
      <c r="D246" s="41" t="n"/>
      <c r="E246" s="41" t="n"/>
      <c r="F246" s="42" t="n"/>
      <c r="G246" s="43" t="n"/>
      <c r="H246" s="43" t="n"/>
      <c r="I246" s="41" t="n"/>
      <c r="J246" s="42" t="n"/>
      <c r="K246" s="40" t="n"/>
      <c r="L246" s="44">
        <f>IF(OR(A246="",K246=""),"",K246-A246)</f>
        <v/>
      </c>
      <c r="M246" s="41" t="n"/>
      <c r="N246" s="43" t="n"/>
    </row>
    <row r="247" ht="18" customHeight="1">
      <c r="A247" s="40" t="n"/>
      <c r="B247" s="41" t="n"/>
      <c r="C247" s="41" t="n"/>
      <c r="D247" s="41" t="n"/>
      <c r="E247" s="41" t="n"/>
      <c r="F247" s="42" t="n"/>
      <c r="G247" s="43" t="n"/>
      <c r="H247" s="43" t="n"/>
      <c r="I247" s="41" t="n"/>
      <c r="J247" s="42" t="n"/>
      <c r="K247" s="40" t="n"/>
      <c r="L247" s="44">
        <f>IF(OR(A247="",K247=""),"",K247-A247)</f>
        <v/>
      </c>
      <c r="M247" s="41" t="n"/>
      <c r="N247" s="43" t="n"/>
    </row>
    <row r="248" ht="18" customHeight="1">
      <c r="A248" s="40" t="n"/>
      <c r="B248" s="41" t="n"/>
      <c r="C248" s="41" t="n"/>
      <c r="D248" s="41" t="n"/>
      <c r="E248" s="41" t="n"/>
      <c r="F248" s="42" t="n"/>
      <c r="G248" s="43" t="n"/>
      <c r="H248" s="43" t="n"/>
      <c r="I248" s="41" t="n"/>
      <c r="J248" s="42" t="n"/>
      <c r="K248" s="40" t="n"/>
      <c r="L248" s="44">
        <f>IF(OR(A248="",K248=""),"",K248-A248)</f>
        <v/>
      </c>
      <c r="M248" s="41" t="n"/>
      <c r="N248" s="43" t="n"/>
    </row>
    <row r="249" ht="18" customHeight="1">
      <c r="A249" s="40" t="n"/>
      <c r="B249" s="41" t="n"/>
      <c r="C249" s="41" t="n"/>
      <c r="D249" s="41" t="n"/>
      <c r="E249" s="41" t="n"/>
      <c r="F249" s="42" t="n"/>
      <c r="G249" s="43" t="n"/>
      <c r="H249" s="43" t="n"/>
      <c r="I249" s="41" t="n"/>
      <c r="J249" s="42" t="n"/>
      <c r="K249" s="40" t="n"/>
      <c r="L249" s="44">
        <f>IF(OR(A249="",K249=""),"",K249-A249)</f>
        <v/>
      </c>
      <c r="M249" s="41" t="n"/>
      <c r="N249" s="43" t="n"/>
    </row>
    <row r="250" ht="18" customHeight="1">
      <c r="A250" s="40" t="n"/>
      <c r="B250" s="41" t="n"/>
      <c r="C250" s="41" t="n"/>
      <c r="D250" s="41" t="n"/>
      <c r="E250" s="41" t="n"/>
      <c r="F250" s="42" t="n"/>
      <c r="G250" s="43" t="n"/>
      <c r="H250" s="43" t="n"/>
      <c r="I250" s="41" t="n"/>
      <c r="J250" s="42" t="n"/>
      <c r="K250" s="40" t="n"/>
      <c r="L250" s="44">
        <f>IF(OR(A250="",K250=""),"",K250-A250)</f>
        <v/>
      </c>
      <c r="M250" s="41" t="n"/>
      <c r="N250" s="43" t="n"/>
    </row>
    <row r="251" ht="18" customHeight="1">
      <c r="A251" s="40" t="n"/>
      <c r="B251" s="41" t="n"/>
      <c r="C251" s="41" t="n"/>
      <c r="D251" s="41" t="n"/>
      <c r="E251" s="41" t="n"/>
      <c r="F251" s="42" t="n"/>
      <c r="G251" s="43" t="n"/>
      <c r="H251" s="43" t="n"/>
      <c r="I251" s="41" t="n"/>
      <c r="J251" s="42" t="n"/>
      <c r="K251" s="40" t="n"/>
      <c r="L251" s="44">
        <f>IF(OR(A251="",K251=""),"",K251-A251)</f>
        <v/>
      </c>
      <c r="M251" s="41" t="n"/>
      <c r="N251" s="43" t="n"/>
    </row>
    <row r="252" ht="18" customHeight="1">
      <c r="A252" s="40" t="n"/>
      <c r="B252" s="41" t="n"/>
      <c r="C252" s="41" t="n"/>
      <c r="D252" s="41" t="n"/>
      <c r="E252" s="41" t="n"/>
      <c r="F252" s="42" t="n"/>
      <c r="G252" s="43" t="n"/>
      <c r="H252" s="43" t="n"/>
      <c r="I252" s="41" t="n"/>
      <c r="J252" s="42" t="n"/>
      <c r="K252" s="40" t="n"/>
      <c r="L252" s="44">
        <f>IF(OR(A252="",K252=""),"",K252-A252)</f>
        <v/>
      </c>
      <c r="M252" s="41" t="n"/>
      <c r="N252" s="43" t="n"/>
    </row>
    <row r="253" ht="18" customHeight="1">
      <c r="A253" s="40" t="n"/>
      <c r="B253" s="41" t="n"/>
      <c r="C253" s="41" t="n"/>
      <c r="D253" s="41" t="n"/>
      <c r="E253" s="41" t="n"/>
      <c r="F253" s="42" t="n"/>
      <c r="G253" s="43" t="n"/>
      <c r="H253" s="43" t="n"/>
      <c r="I253" s="41" t="n"/>
      <c r="J253" s="42" t="n"/>
      <c r="K253" s="40" t="n"/>
      <c r="L253" s="44">
        <f>IF(OR(A253="",K253=""),"",K253-A253)</f>
        <v/>
      </c>
      <c r="M253" s="41" t="n"/>
      <c r="N253" s="43" t="n"/>
    </row>
    <row r="254" ht="18" customHeight="1">
      <c r="A254" s="40" t="n"/>
      <c r="B254" s="41" t="n"/>
      <c r="C254" s="41" t="n"/>
      <c r="D254" s="41" t="n"/>
      <c r="E254" s="41" t="n"/>
      <c r="F254" s="42" t="n"/>
      <c r="G254" s="43" t="n"/>
      <c r="H254" s="43" t="n"/>
      <c r="I254" s="41" t="n"/>
      <c r="J254" s="42" t="n"/>
      <c r="K254" s="40" t="n"/>
      <c r="L254" s="44">
        <f>IF(OR(A254="",K254=""),"",K254-A254)</f>
        <v/>
      </c>
      <c r="M254" s="41" t="n"/>
      <c r="N254" s="43" t="n"/>
    </row>
    <row r="255" ht="18" customHeight="1">
      <c r="A255" s="40" t="n"/>
      <c r="B255" s="41" t="n"/>
      <c r="C255" s="41" t="n"/>
      <c r="D255" s="41" t="n"/>
      <c r="E255" s="41" t="n"/>
      <c r="F255" s="42" t="n"/>
      <c r="G255" s="43" t="n"/>
      <c r="H255" s="43" t="n"/>
      <c r="I255" s="41" t="n"/>
      <c r="J255" s="42" t="n"/>
      <c r="K255" s="40" t="n"/>
      <c r="L255" s="44">
        <f>IF(OR(A255="",K255=""),"",K255-A255)</f>
        <v/>
      </c>
      <c r="M255" s="41" t="n"/>
      <c r="N255" s="43" t="n"/>
    </row>
    <row r="256" ht="18" customHeight="1">
      <c r="A256" s="40" t="n"/>
      <c r="B256" s="41" t="n"/>
      <c r="C256" s="41" t="n"/>
      <c r="D256" s="41" t="n"/>
      <c r="E256" s="41" t="n"/>
      <c r="F256" s="42" t="n"/>
      <c r="G256" s="43" t="n"/>
      <c r="H256" s="43" t="n"/>
      <c r="I256" s="41" t="n"/>
      <c r="J256" s="42" t="n"/>
      <c r="K256" s="40" t="n"/>
      <c r="L256" s="44">
        <f>IF(OR(A256="",K256=""),"",K256-A256)</f>
        <v/>
      </c>
      <c r="M256" s="41" t="n"/>
      <c r="N256" s="43" t="n"/>
    </row>
    <row r="257" ht="18" customHeight="1">
      <c r="A257" s="40" t="n"/>
      <c r="B257" s="41" t="n"/>
      <c r="C257" s="41" t="n"/>
      <c r="D257" s="41" t="n"/>
      <c r="E257" s="41" t="n"/>
      <c r="F257" s="42" t="n"/>
      <c r="G257" s="43" t="n"/>
      <c r="H257" s="43" t="n"/>
      <c r="I257" s="41" t="n"/>
      <c r="J257" s="42" t="n"/>
      <c r="K257" s="40" t="n"/>
      <c r="L257" s="44">
        <f>IF(OR(A257="",K257=""),"",K257-A257)</f>
        <v/>
      </c>
      <c r="M257" s="41" t="n"/>
      <c r="N257" s="43" t="n"/>
    </row>
    <row r="258" ht="18" customHeight="1">
      <c r="A258" s="40" t="n"/>
      <c r="B258" s="41" t="n"/>
      <c r="C258" s="41" t="n"/>
      <c r="D258" s="41" t="n"/>
      <c r="E258" s="41" t="n"/>
      <c r="F258" s="42" t="n"/>
      <c r="G258" s="43" t="n"/>
      <c r="H258" s="43" t="n"/>
      <c r="I258" s="41" t="n"/>
      <c r="J258" s="42" t="n"/>
      <c r="K258" s="40" t="n"/>
      <c r="L258" s="44">
        <f>IF(OR(A258="",K258=""),"",K258-A258)</f>
        <v/>
      </c>
      <c r="M258" s="41" t="n"/>
      <c r="N258" s="43" t="n"/>
    </row>
    <row r="259" ht="18" customHeight="1">
      <c r="A259" s="40" t="n"/>
      <c r="B259" s="41" t="n"/>
      <c r="C259" s="41" t="n"/>
      <c r="D259" s="41" t="n"/>
      <c r="E259" s="41" t="n"/>
      <c r="F259" s="42" t="n"/>
      <c r="G259" s="43" t="n"/>
      <c r="H259" s="43" t="n"/>
      <c r="I259" s="41" t="n"/>
      <c r="J259" s="42" t="n"/>
      <c r="K259" s="40" t="n"/>
      <c r="L259" s="44">
        <f>IF(OR(A259="",K259=""),"",K259-A259)</f>
        <v/>
      </c>
      <c r="M259" s="41" t="n"/>
      <c r="N259" s="43" t="n"/>
    </row>
    <row r="260" ht="18" customHeight="1">
      <c r="A260" s="40" t="n"/>
      <c r="B260" s="41" t="n"/>
      <c r="C260" s="41" t="n"/>
      <c r="D260" s="41" t="n"/>
      <c r="E260" s="41" t="n"/>
      <c r="F260" s="42" t="n"/>
      <c r="G260" s="43" t="n"/>
      <c r="H260" s="43" t="n"/>
      <c r="I260" s="41" t="n"/>
      <c r="J260" s="42" t="n"/>
      <c r="K260" s="40" t="n"/>
      <c r="L260" s="44">
        <f>IF(OR(A260="",K260=""),"",K260-A260)</f>
        <v/>
      </c>
      <c r="M260" s="41" t="n"/>
      <c r="N260" s="43" t="n"/>
    </row>
    <row r="261" ht="18" customHeight="1">
      <c r="A261" s="40" t="n"/>
      <c r="B261" s="41" t="n"/>
      <c r="C261" s="41" t="n"/>
      <c r="D261" s="41" t="n"/>
      <c r="E261" s="41" t="n"/>
      <c r="F261" s="42" t="n"/>
      <c r="G261" s="43" t="n"/>
      <c r="H261" s="43" t="n"/>
      <c r="I261" s="41" t="n"/>
      <c r="J261" s="42" t="n"/>
      <c r="K261" s="40" t="n"/>
      <c r="L261" s="44">
        <f>IF(OR(A261="",K261=""),"",K261-A261)</f>
        <v/>
      </c>
      <c r="M261" s="41" t="n"/>
      <c r="N261" s="43" t="n"/>
    </row>
    <row r="262" ht="18" customHeight="1">
      <c r="A262" s="40" t="n"/>
      <c r="B262" s="41" t="n"/>
      <c r="C262" s="41" t="n"/>
      <c r="D262" s="41" t="n"/>
      <c r="E262" s="41" t="n"/>
      <c r="F262" s="42" t="n"/>
      <c r="G262" s="43" t="n"/>
      <c r="H262" s="43" t="n"/>
      <c r="I262" s="41" t="n"/>
      <c r="J262" s="42" t="n"/>
      <c r="K262" s="40" t="n"/>
      <c r="L262" s="44">
        <f>IF(OR(A262="",K262=""),"",K262-A262)</f>
        <v/>
      </c>
      <c r="M262" s="41" t="n"/>
      <c r="N262" s="43" t="n"/>
    </row>
    <row r="263" ht="18" customHeight="1">
      <c r="A263" s="40" t="n"/>
      <c r="B263" s="41" t="n"/>
      <c r="C263" s="41" t="n"/>
      <c r="D263" s="41" t="n"/>
      <c r="E263" s="41" t="n"/>
      <c r="F263" s="42" t="n"/>
      <c r="G263" s="43" t="n"/>
      <c r="H263" s="43" t="n"/>
      <c r="I263" s="41" t="n"/>
      <c r="J263" s="42" t="n"/>
      <c r="K263" s="40" t="n"/>
      <c r="L263" s="44">
        <f>IF(OR(A263="",K263=""),"",K263-A263)</f>
        <v/>
      </c>
      <c r="M263" s="41" t="n"/>
      <c r="N263" s="43" t="n"/>
    </row>
    <row r="264" ht="18" customHeight="1">
      <c r="A264" s="40" t="n"/>
      <c r="B264" s="41" t="n"/>
      <c r="C264" s="41" t="n"/>
      <c r="D264" s="41" t="n"/>
      <c r="E264" s="41" t="n"/>
      <c r="F264" s="42" t="n"/>
      <c r="G264" s="43" t="n"/>
      <c r="H264" s="43" t="n"/>
      <c r="I264" s="41" t="n"/>
      <c r="J264" s="42" t="n"/>
      <c r="K264" s="40" t="n"/>
      <c r="L264" s="44">
        <f>IF(OR(A264="",K264=""),"",K264-A264)</f>
        <v/>
      </c>
      <c r="M264" s="41" t="n"/>
      <c r="N264" s="43" t="n"/>
    </row>
    <row r="265" ht="18" customHeight="1">
      <c r="A265" s="40" t="n"/>
      <c r="B265" s="41" t="n"/>
      <c r="C265" s="41" t="n"/>
      <c r="D265" s="41" t="n"/>
      <c r="E265" s="41" t="n"/>
      <c r="F265" s="42" t="n"/>
      <c r="G265" s="43" t="n"/>
      <c r="H265" s="43" t="n"/>
      <c r="I265" s="41" t="n"/>
      <c r="J265" s="42" t="n"/>
      <c r="K265" s="40" t="n"/>
      <c r="L265" s="44">
        <f>IF(OR(A265="",K265=""),"",K265-A265)</f>
        <v/>
      </c>
      <c r="M265" s="41" t="n"/>
      <c r="N265" s="43" t="n"/>
    </row>
    <row r="266" ht="18" customHeight="1">
      <c r="A266" s="40" t="n"/>
      <c r="B266" s="41" t="n"/>
      <c r="C266" s="41" t="n"/>
      <c r="D266" s="41" t="n"/>
      <c r="E266" s="41" t="n"/>
      <c r="F266" s="42" t="n"/>
      <c r="G266" s="43" t="n"/>
      <c r="H266" s="43" t="n"/>
      <c r="I266" s="41" t="n"/>
      <c r="J266" s="42" t="n"/>
      <c r="K266" s="40" t="n"/>
      <c r="L266" s="44">
        <f>IF(OR(A266="",K266=""),"",K266-A266)</f>
        <v/>
      </c>
      <c r="M266" s="41" t="n"/>
      <c r="N266" s="43" t="n"/>
    </row>
    <row r="267" ht="18" customHeight="1">
      <c r="A267" s="40" t="n"/>
      <c r="B267" s="41" t="n"/>
      <c r="C267" s="41" t="n"/>
      <c r="D267" s="41" t="n"/>
      <c r="E267" s="41" t="n"/>
      <c r="F267" s="42" t="n"/>
      <c r="G267" s="43" t="n"/>
      <c r="H267" s="43" t="n"/>
      <c r="I267" s="41" t="n"/>
      <c r="J267" s="42" t="n"/>
      <c r="K267" s="40" t="n"/>
      <c r="L267" s="44">
        <f>IF(OR(A267="",K267=""),"",K267-A267)</f>
        <v/>
      </c>
      <c r="M267" s="41" t="n"/>
      <c r="N267" s="43" t="n"/>
    </row>
    <row r="268" ht="18" customHeight="1">
      <c r="A268" s="40" t="n"/>
      <c r="B268" s="41" t="n"/>
      <c r="C268" s="41" t="n"/>
      <c r="D268" s="41" t="n"/>
      <c r="E268" s="41" t="n"/>
      <c r="F268" s="42" t="n"/>
      <c r="G268" s="43" t="n"/>
      <c r="H268" s="43" t="n"/>
      <c r="I268" s="41" t="n"/>
      <c r="J268" s="42" t="n"/>
      <c r="K268" s="40" t="n"/>
      <c r="L268" s="44">
        <f>IF(OR(A268="",K268=""),"",K268-A268)</f>
        <v/>
      </c>
      <c r="M268" s="41" t="n"/>
      <c r="N268" s="43" t="n"/>
    </row>
    <row r="269" ht="18" customHeight="1">
      <c r="A269" s="40" t="n"/>
      <c r="B269" s="41" t="n"/>
      <c r="C269" s="41" t="n"/>
      <c r="D269" s="41" t="n"/>
      <c r="E269" s="41" t="n"/>
      <c r="F269" s="42" t="n"/>
      <c r="G269" s="43" t="n"/>
      <c r="H269" s="43" t="n"/>
      <c r="I269" s="41" t="n"/>
      <c r="J269" s="42" t="n"/>
      <c r="K269" s="40" t="n"/>
      <c r="L269" s="44">
        <f>IF(OR(A269="",K269=""),"",K269-A269)</f>
        <v/>
      </c>
      <c r="M269" s="41" t="n"/>
      <c r="N269" s="43" t="n"/>
    </row>
    <row r="270" ht="18" customHeight="1">
      <c r="A270" s="40" t="n"/>
      <c r="B270" s="41" t="n"/>
      <c r="C270" s="41" t="n"/>
      <c r="D270" s="41" t="n"/>
      <c r="E270" s="41" t="n"/>
      <c r="F270" s="42" t="n"/>
      <c r="G270" s="43" t="n"/>
      <c r="H270" s="43" t="n"/>
      <c r="I270" s="41" t="n"/>
      <c r="J270" s="42" t="n"/>
      <c r="K270" s="40" t="n"/>
      <c r="L270" s="44">
        <f>IF(OR(A270="",K270=""),"",K270-A270)</f>
        <v/>
      </c>
      <c r="M270" s="41" t="n"/>
      <c r="N270" s="43" t="n"/>
    </row>
    <row r="271" ht="18" customHeight="1">
      <c r="A271" s="40" t="n"/>
      <c r="B271" s="41" t="n"/>
      <c r="C271" s="41" t="n"/>
      <c r="D271" s="41" t="n"/>
      <c r="E271" s="41" t="n"/>
      <c r="F271" s="42" t="n"/>
      <c r="G271" s="43" t="n"/>
      <c r="H271" s="43" t="n"/>
      <c r="I271" s="41" t="n"/>
      <c r="J271" s="42" t="n"/>
      <c r="K271" s="40" t="n"/>
      <c r="L271" s="44">
        <f>IF(OR(A271="",K271=""),"",K271-A271)</f>
        <v/>
      </c>
      <c r="M271" s="41" t="n"/>
      <c r="N271" s="43" t="n"/>
    </row>
    <row r="272" ht="18" customHeight="1">
      <c r="A272" s="40" t="n"/>
      <c r="B272" s="41" t="n"/>
      <c r="C272" s="41" t="n"/>
      <c r="D272" s="41" t="n"/>
      <c r="E272" s="41" t="n"/>
      <c r="F272" s="42" t="n"/>
      <c r="G272" s="43" t="n"/>
      <c r="H272" s="43" t="n"/>
      <c r="I272" s="41" t="n"/>
      <c r="J272" s="42" t="n"/>
      <c r="K272" s="40" t="n"/>
      <c r="L272" s="44">
        <f>IF(OR(A272="",K272=""),"",K272-A272)</f>
        <v/>
      </c>
      <c r="M272" s="41" t="n"/>
      <c r="N272" s="43" t="n"/>
    </row>
    <row r="273" ht="18" customHeight="1">
      <c r="A273" s="40" t="n"/>
      <c r="B273" s="41" t="n"/>
      <c r="C273" s="41" t="n"/>
      <c r="D273" s="41" t="n"/>
      <c r="E273" s="41" t="n"/>
      <c r="F273" s="42" t="n"/>
      <c r="G273" s="43" t="n"/>
      <c r="H273" s="43" t="n"/>
      <c r="I273" s="41" t="n"/>
      <c r="J273" s="42" t="n"/>
      <c r="K273" s="40" t="n"/>
      <c r="L273" s="44">
        <f>IF(OR(A273="",K273=""),"",K273-A273)</f>
        <v/>
      </c>
      <c r="M273" s="41" t="n"/>
      <c r="N273" s="43" t="n"/>
    </row>
    <row r="274" ht="18" customHeight="1">
      <c r="A274" s="40" t="n"/>
      <c r="B274" s="41" t="n"/>
      <c r="C274" s="41" t="n"/>
      <c r="D274" s="41" t="n"/>
      <c r="E274" s="41" t="n"/>
      <c r="F274" s="42" t="n"/>
      <c r="G274" s="43" t="n"/>
      <c r="H274" s="43" t="n"/>
      <c r="I274" s="41" t="n"/>
      <c r="J274" s="42" t="n"/>
      <c r="K274" s="40" t="n"/>
      <c r="L274" s="44">
        <f>IF(OR(A274="",K274=""),"",K274-A274)</f>
        <v/>
      </c>
      <c r="M274" s="41" t="n"/>
      <c r="N274" s="43" t="n"/>
    </row>
    <row r="275" ht="18" customHeight="1">
      <c r="A275" s="40" t="n"/>
      <c r="B275" s="41" t="n"/>
      <c r="C275" s="41" t="n"/>
      <c r="D275" s="41" t="n"/>
      <c r="E275" s="41" t="n"/>
      <c r="F275" s="42" t="n"/>
      <c r="G275" s="43" t="n"/>
      <c r="H275" s="43" t="n"/>
      <c r="I275" s="41" t="n"/>
      <c r="J275" s="42" t="n"/>
      <c r="K275" s="40" t="n"/>
      <c r="L275" s="44">
        <f>IF(OR(A275="",K275=""),"",K275-A275)</f>
        <v/>
      </c>
      <c r="M275" s="41" t="n"/>
      <c r="N275" s="43" t="n"/>
    </row>
    <row r="276" ht="18" customHeight="1">
      <c r="A276" s="40" t="n"/>
      <c r="B276" s="41" t="n"/>
      <c r="C276" s="41" t="n"/>
      <c r="D276" s="41" t="n"/>
      <c r="E276" s="41" t="n"/>
      <c r="F276" s="42" t="n"/>
      <c r="G276" s="43" t="n"/>
      <c r="H276" s="43" t="n"/>
      <c r="I276" s="41" t="n"/>
      <c r="J276" s="42" t="n"/>
      <c r="K276" s="40" t="n"/>
      <c r="L276" s="44">
        <f>IF(OR(A276="",K276=""),"",K276-A276)</f>
        <v/>
      </c>
      <c r="M276" s="41" t="n"/>
      <c r="N276" s="43" t="n"/>
    </row>
    <row r="277" ht="18" customHeight="1">
      <c r="A277" s="40" t="n"/>
      <c r="B277" s="41" t="n"/>
      <c r="C277" s="41" t="n"/>
      <c r="D277" s="41" t="n"/>
      <c r="E277" s="41" t="n"/>
      <c r="F277" s="42" t="n"/>
      <c r="G277" s="43" t="n"/>
      <c r="H277" s="43" t="n"/>
      <c r="I277" s="41" t="n"/>
      <c r="J277" s="42" t="n"/>
      <c r="K277" s="40" t="n"/>
      <c r="L277" s="44">
        <f>IF(OR(A277="",K277=""),"",K277-A277)</f>
        <v/>
      </c>
      <c r="M277" s="41" t="n"/>
      <c r="N277" s="43" t="n"/>
    </row>
    <row r="278" ht="18" customHeight="1">
      <c r="A278" s="40" t="n"/>
      <c r="B278" s="41" t="n"/>
      <c r="C278" s="41" t="n"/>
      <c r="D278" s="41" t="n"/>
      <c r="E278" s="41" t="n"/>
      <c r="F278" s="42" t="n"/>
      <c r="G278" s="43" t="n"/>
      <c r="H278" s="43" t="n"/>
      <c r="I278" s="41" t="n"/>
      <c r="J278" s="42" t="n"/>
      <c r="K278" s="40" t="n"/>
      <c r="L278" s="44">
        <f>IF(OR(A278="",K278=""),"",K278-A278)</f>
        <v/>
      </c>
      <c r="M278" s="41" t="n"/>
      <c r="N278" s="43" t="n"/>
    </row>
    <row r="279" ht="18" customHeight="1">
      <c r="A279" s="40" t="n"/>
      <c r="B279" s="41" t="n"/>
      <c r="C279" s="41" t="n"/>
      <c r="D279" s="41" t="n"/>
      <c r="E279" s="41" t="n"/>
      <c r="F279" s="42" t="n"/>
      <c r="G279" s="43" t="n"/>
      <c r="H279" s="43" t="n"/>
      <c r="I279" s="41" t="n"/>
      <c r="J279" s="42" t="n"/>
      <c r="K279" s="40" t="n"/>
      <c r="L279" s="44">
        <f>IF(OR(A279="",K279=""),"",K279-A279)</f>
        <v/>
      </c>
      <c r="M279" s="41" t="n"/>
      <c r="N279" s="43" t="n"/>
    </row>
    <row r="280" ht="18" customHeight="1">
      <c r="A280" s="40" t="n"/>
      <c r="B280" s="41" t="n"/>
      <c r="C280" s="41" t="n"/>
      <c r="D280" s="41" t="n"/>
      <c r="E280" s="41" t="n"/>
      <c r="F280" s="42" t="n"/>
      <c r="G280" s="43" t="n"/>
      <c r="H280" s="43" t="n"/>
      <c r="I280" s="41" t="n"/>
      <c r="J280" s="42" t="n"/>
      <c r="K280" s="40" t="n"/>
      <c r="L280" s="44">
        <f>IF(OR(A280="",K280=""),"",K280-A280)</f>
        <v/>
      </c>
      <c r="M280" s="41" t="n"/>
      <c r="N280" s="43" t="n"/>
    </row>
    <row r="281" ht="18" customHeight="1">
      <c r="A281" s="40" t="n"/>
      <c r="B281" s="41" t="n"/>
      <c r="C281" s="41" t="n"/>
      <c r="D281" s="41" t="n"/>
      <c r="E281" s="41" t="n"/>
      <c r="F281" s="42" t="n"/>
      <c r="G281" s="43" t="n"/>
      <c r="H281" s="43" t="n"/>
      <c r="I281" s="41" t="n"/>
      <c r="J281" s="42" t="n"/>
      <c r="K281" s="40" t="n"/>
      <c r="L281" s="44">
        <f>IF(OR(A281="",K281=""),"",K281-A281)</f>
        <v/>
      </c>
      <c r="M281" s="41" t="n"/>
      <c r="N281" s="43" t="n"/>
    </row>
    <row r="282" ht="18" customHeight="1">
      <c r="A282" s="40" t="n"/>
      <c r="B282" s="41" t="n"/>
      <c r="C282" s="41" t="n"/>
      <c r="D282" s="41" t="n"/>
      <c r="E282" s="41" t="n"/>
      <c r="F282" s="42" t="n"/>
      <c r="G282" s="43" t="n"/>
      <c r="H282" s="43" t="n"/>
      <c r="I282" s="41" t="n"/>
      <c r="J282" s="42" t="n"/>
      <c r="K282" s="40" t="n"/>
      <c r="L282" s="44">
        <f>IF(OR(A282="",K282=""),"",K282-A282)</f>
        <v/>
      </c>
      <c r="M282" s="41" t="n"/>
      <c r="N282" s="43" t="n"/>
    </row>
    <row r="283" ht="18" customHeight="1">
      <c r="A283" s="40" t="n"/>
      <c r="B283" s="41" t="n"/>
      <c r="C283" s="41" t="n"/>
      <c r="D283" s="41" t="n"/>
      <c r="E283" s="41" t="n"/>
      <c r="F283" s="42" t="n"/>
      <c r="G283" s="43" t="n"/>
      <c r="H283" s="43" t="n"/>
      <c r="I283" s="41" t="n"/>
      <c r="J283" s="42" t="n"/>
      <c r="K283" s="40" t="n"/>
      <c r="L283" s="44">
        <f>IF(OR(A283="",K283=""),"",K283-A283)</f>
        <v/>
      </c>
      <c r="M283" s="41" t="n"/>
      <c r="N283" s="43" t="n"/>
    </row>
    <row r="284" ht="18" customHeight="1">
      <c r="A284" s="40" t="n"/>
      <c r="B284" s="41" t="n"/>
      <c r="C284" s="41" t="n"/>
      <c r="D284" s="41" t="n"/>
      <c r="E284" s="41" t="n"/>
      <c r="F284" s="42" t="n"/>
      <c r="G284" s="43" t="n"/>
      <c r="H284" s="43" t="n"/>
      <c r="I284" s="41" t="n"/>
      <c r="J284" s="42" t="n"/>
      <c r="K284" s="40" t="n"/>
      <c r="L284" s="44">
        <f>IF(OR(A284="",K284=""),"",K284-A284)</f>
        <v/>
      </c>
      <c r="M284" s="41" t="n"/>
      <c r="N284" s="43" t="n"/>
    </row>
    <row r="285" ht="18" customHeight="1">
      <c r="A285" s="40" t="n"/>
      <c r="B285" s="41" t="n"/>
      <c r="C285" s="41" t="n"/>
      <c r="D285" s="41" t="n"/>
      <c r="E285" s="41" t="n"/>
      <c r="F285" s="42" t="n"/>
      <c r="G285" s="43" t="n"/>
      <c r="H285" s="43" t="n"/>
      <c r="I285" s="41" t="n"/>
      <c r="J285" s="42" t="n"/>
      <c r="K285" s="40" t="n"/>
      <c r="L285" s="44">
        <f>IF(OR(A285="",K285=""),"",K285-A285)</f>
        <v/>
      </c>
      <c r="M285" s="41" t="n"/>
      <c r="N285" s="43" t="n"/>
    </row>
    <row r="286" ht="18" customHeight="1">
      <c r="A286" s="40" t="n"/>
      <c r="B286" s="41" t="n"/>
      <c r="C286" s="41" t="n"/>
      <c r="D286" s="41" t="n"/>
      <c r="E286" s="41" t="n"/>
      <c r="F286" s="42" t="n"/>
      <c r="G286" s="43" t="n"/>
      <c r="H286" s="43" t="n"/>
      <c r="I286" s="41" t="n"/>
      <c r="J286" s="42" t="n"/>
      <c r="K286" s="40" t="n"/>
      <c r="L286" s="44">
        <f>IF(OR(A286="",K286=""),"",K286-A286)</f>
        <v/>
      </c>
      <c r="M286" s="41" t="n"/>
      <c r="N286" s="43" t="n"/>
    </row>
    <row r="287" ht="18" customHeight="1">
      <c r="A287" s="40" t="n"/>
      <c r="B287" s="41" t="n"/>
      <c r="C287" s="41" t="n"/>
      <c r="D287" s="41" t="n"/>
      <c r="E287" s="41" t="n"/>
      <c r="F287" s="42" t="n"/>
      <c r="G287" s="43" t="n"/>
      <c r="H287" s="43" t="n"/>
      <c r="I287" s="41" t="n"/>
      <c r="J287" s="42" t="n"/>
      <c r="K287" s="40" t="n"/>
      <c r="L287" s="44">
        <f>IF(OR(A287="",K287=""),"",K287-A287)</f>
        <v/>
      </c>
      <c r="M287" s="41" t="n"/>
      <c r="N287" s="43" t="n"/>
    </row>
    <row r="288" ht="18" customHeight="1">
      <c r="A288" s="40" t="n"/>
      <c r="B288" s="41" t="n"/>
      <c r="C288" s="41" t="n"/>
      <c r="D288" s="41" t="n"/>
      <c r="E288" s="41" t="n"/>
      <c r="F288" s="42" t="n"/>
      <c r="G288" s="43" t="n"/>
      <c r="H288" s="43" t="n"/>
      <c r="I288" s="41" t="n"/>
      <c r="J288" s="42" t="n"/>
      <c r="K288" s="40" t="n"/>
      <c r="L288" s="44">
        <f>IF(OR(A288="",K288=""),"",K288-A288)</f>
        <v/>
      </c>
      <c r="M288" s="41" t="n"/>
      <c r="N288" s="43" t="n"/>
    </row>
    <row r="289" ht="18" customHeight="1">
      <c r="A289" s="40" t="n"/>
      <c r="B289" s="41" t="n"/>
      <c r="C289" s="41" t="n"/>
      <c r="D289" s="41" t="n"/>
      <c r="E289" s="41" t="n"/>
      <c r="F289" s="42" t="n"/>
      <c r="G289" s="43" t="n"/>
      <c r="H289" s="43" t="n"/>
      <c r="I289" s="41" t="n"/>
      <c r="J289" s="42" t="n"/>
      <c r="K289" s="40" t="n"/>
      <c r="L289" s="44">
        <f>IF(OR(A289="",K289=""),"",K289-A289)</f>
        <v/>
      </c>
      <c r="M289" s="41" t="n"/>
      <c r="N289" s="43" t="n"/>
    </row>
    <row r="290" ht="18" customHeight="1">
      <c r="A290" s="40" t="n"/>
      <c r="B290" s="41" t="n"/>
      <c r="C290" s="41" t="n"/>
      <c r="D290" s="41" t="n"/>
      <c r="E290" s="41" t="n"/>
      <c r="F290" s="42" t="n"/>
      <c r="G290" s="43" t="n"/>
      <c r="H290" s="43" t="n"/>
      <c r="I290" s="41" t="n"/>
      <c r="J290" s="42" t="n"/>
      <c r="K290" s="40" t="n"/>
      <c r="L290" s="44">
        <f>IF(OR(A290="",K290=""),"",K290-A290)</f>
        <v/>
      </c>
      <c r="M290" s="41" t="n"/>
      <c r="N290" s="43" t="n"/>
    </row>
    <row r="291" ht="18" customHeight="1">
      <c r="A291" s="40" t="n"/>
      <c r="B291" s="41" t="n"/>
      <c r="C291" s="41" t="n"/>
      <c r="D291" s="41" t="n"/>
      <c r="E291" s="41" t="n"/>
      <c r="F291" s="42" t="n"/>
      <c r="G291" s="43" t="n"/>
      <c r="H291" s="43" t="n"/>
      <c r="I291" s="41" t="n"/>
      <c r="J291" s="42" t="n"/>
      <c r="K291" s="40" t="n"/>
      <c r="L291" s="44">
        <f>IF(OR(A291="",K291=""),"",K291-A291)</f>
        <v/>
      </c>
      <c r="M291" s="41" t="n"/>
      <c r="N291" s="43" t="n"/>
    </row>
    <row r="292" ht="18" customHeight="1">
      <c r="A292" s="40" t="n"/>
      <c r="B292" s="41" t="n"/>
      <c r="C292" s="41" t="n"/>
      <c r="D292" s="41" t="n"/>
      <c r="E292" s="41" t="n"/>
      <c r="F292" s="42" t="n"/>
      <c r="G292" s="43" t="n"/>
      <c r="H292" s="43" t="n"/>
      <c r="I292" s="41" t="n"/>
      <c r="J292" s="42" t="n"/>
      <c r="K292" s="40" t="n"/>
      <c r="L292" s="44">
        <f>IF(OR(A292="",K292=""),"",K292-A292)</f>
        <v/>
      </c>
      <c r="M292" s="41" t="n"/>
      <c r="N292" s="43" t="n"/>
    </row>
    <row r="293" ht="18" customHeight="1">
      <c r="A293" s="40" t="n"/>
      <c r="B293" s="41" t="n"/>
      <c r="C293" s="41" t="n"/>
      <c r="D293" s="41" t="n"/>
      <c r="E293" s="41" t="n"/>
      <c r="F293" s="42" t="n"/>
      <c r="G293" s="43" t="n"/>
      <c r="H293" s="43" t="n"/>
      <c r="I293" s="41" t="n"/>
      <c r="J293" s="42" t="n"/>
      <c r="K293" s="40" t="n"/>
      <c r="L293" s="44">
        <f>IF(OR(A293="",K293=""),"",K293-A293)</f>
        <v/>
      </c>
      <c r="M293" s="41" t="n"/>
      <c r="N293" s="43" t="n"/>
    </row>
    <row r="294" ht="18" customHeight="1">
      <c r="A294" s="40" t="n"/>
      <c r="B294" s="41" t="n"/>
      <c r="C294" s="41" t="n"/>
      <c r="D294" s="41" t="n"/>
      <c r="E294" s="41" t="n"/>
      <c r="F294" s="42" t="n"/>
      <c r="G294" s="43" t="n"/>
      <c r="H294" s="43" t="n"/>
      <c r="I294" s="41" t="n"/>
      <c r="J294" s="42" t="n"/>
      <c r="K294" s="40" t="n"/>
      <c r="L294" s="44">
        <f>IF(OR(A294="",K294=""),"",K294-A294)</f>
        <v/>
      </c>
      <c r="M294" s="41" t="n"/>
      <c r="N294" s="43" t="n"/>
    </row>
    <row r="295" ht="18" customHeight="1">
      <c r="A295" s="40" t="n"/>
      <c r="B295" s="41" t="n"/>
      <c r="C295" s="41" t="n"/>
      <c r="D295" s="41" t="n"/>
      <c r="E295" s="41" t="n"/>
      <c r="F295" s="42" t="n"/>
      <c r="G295" s="43" t="n"/>
      <c r="H295" s="43" t="n"/>
      <c r="I295" s="41" t="n"/>
      <c r="J295" s="42" t="n"/>
      <c r="K295" s="40" t="n"/>
      <c r="L295" s="44">
        <f>IF(OR(A295="",K295=""),"",K295-A295)</f>
        <v/>
      </c>
      <c r="M295" s="41" t="n"/>
      <c r="N295" s="43" t="n"/>
    </row>
    <row r="296" ht="18" customHeight="1">
      <c r="A296" s="40" t="n"/>
      <c r="B296" s="41" t="n"/>
      <c r="C296" s="41" t="n"/>
      <c r="D296" s="41" t="n"/>
      <c r="E296" s="41" t="n"/>
      <c r="F296" s="42" t="n"/>
      <c r="G296" s="43" t="n"/>
      <c r="H296" s="43" t="n"/>
      <c r="I296" s="41" t="n"/>
      <c r="J296" s="42" t="n"/>
      <c r="K296" s="40" t="n"/>
      <c r="L296" s="44">
        <f>IF(OR(A296="",K296=""),"",K296-A296)</f>
        <v/>
      </c>
      <c r="M296" s="41" t="n"/>
      <c r="N296" s="43" t="n"/>
    </row>
    <row r="297" ht="18" customHeight="1">
      <c r="A297" s="40" t="n"/>
      <c r="B297" s="41" t="n"/>
      <c r="C297" s="41" t="n"/>
      <c r="D297" s="41" t="n"/>
      <c r="E297" s="41" t="n"/>
      <c r="F297" s="42" t="n"/>
      <c r="G297" s="43" t="n"/>
      <c r="H297" s="43" t="n"/>
      <c r="I297" s="41" t="n"/>
      <c r="J297" s="42" t="n"/>
      <c r="K297" s="40" t="n"/>
      <c r="L297" s="44">
        <f>IF(OR(A297="",K297=""),"",K297-A297)</f>
        <v/>
      </c>
      <c r="M297" s="41" t="n"/>
      <c r="N297" s="43" t="n"/>
    </row>
    <row r="298" ht="18" customHeight="1">
      <c r="A298" s="40" t="n"/>
      <c r="B298" s="41" t="n"/>
      <c r="C298" s="41" t="n"/>
      <c r="D298" s="41" t="n"/>
      <c r="E298" s="41" t="n"/>
      <c r="F298" s="42" t="n"/>
      <c r="G298" s="43" t="n"/>
      <c r="H298" s="43" t="n"/>
      <c r="I298" s="41" t="n"/>
      <c r="J298" s="42" t="n"/>
      <c r="K298" s="40" t="n"/>
      <c r="L298" s="44">
        <f>IF(OR(A298="",K298=""),"",K298-A298)</f>
        <v/>
      </c>
      <c r="M298" s="41" t="n"/>
      <c r="N298" s="43" t="n"/>
    </row>
    <row r="299" ht="18" customHeight="1">
      <c r="A299" s="40" t="n"/>
      <c r="B299" s="41" t="n"/>
      <c r="C299" s="41" t="n"/>
      <c r="D299" s="41" t="n"/>
      <c r="E299" s="41" t="n"/>
      <c r="F299" s="42" t="n"/>
      <c r="G299" s="43" t="n"/>
      <c r="H299" s="43" t="n"/>
      <c r="I299" s="41" t="n"/>
      <c r="J299" s="42" t="n"/>
      <c r="K299" s="40" t="n"/>
      <c r="L299" s="44">
        <f>IF(OR(A299="",K299=""),"",K299-A299)</f>
        <v/>
      </c>
      <c r="M299" s="41" t="n"/>
      <c r="N299" s="43" t="n"/>
    </row>
    <row r="300" ht="18" customHeight="1">
      <c r="A300" s="40" t="n"/>
      <c r="B300" s="41" t="n"/>
      <c r="C300" s="41" t="n"/>
      <c r="D300" s="41" t="n"/>
      <c r="E300" s="41" t="n"/>
      <c r="F300" s="42" t="n"/>
      <c r="G300" s="43" t="n"/>
      <c r="H300" s="43" t="n"/>
      <c r="I300" s="41" t="n"/>
      <c r="J300" s="42" t="n"/>
      <c r="K300" s="40" t="n"/>
      <c r="L300" s="44">
        <f>IF(OR(A300="",K300=""),"",K300-A300)</f>
        <v/>
      </c>
      <c r="M300" s="41" t="n"/>
      <c r="N300" s="43" t="n"/>
    </row>
    <row r="301" ht="18" customHeight="1">
      <c r="A301" s="40" t="n"/>
      <c r="B301" s="41" t="n"/>
      <c r="C301" s="41" t="n"/>
      <c r="D301" s="41" t="n"/>
      <c r="E301" s="41" t="n"/>
      <c r="F301" s="42" t="n"/>
      <c r="G301" s="43" t="n"/>
      <c r="H301" s="43" t="n"/>
      <c r="I301" s="41" t="n"/>
      <c r="J301" s="42" t="n"/>
      <c r="K301" s="40" t="n"/>
      <c r="L301" s="44">
        <f>IF(OR(A301="",K301=""),"",K301-A301)</f>
        <v/>
      </c>
      <c r="M301" s="41" t="n"/>
      <c r="N301" s="43" t="n"/>
    </row>
    <row r="302" ht="18" customHeight="1">
      <c r="A302" s="40" t="n"/>
      <c r="B302" s="41" t="n"/>
      <c r="C302" s="41" t="n"/>
      <c r="D302" s="41" t="n"/>
      <c r="E302" s="41" t="n"/>
      <c r="F302" s="42" t="n"/>
      <c r="G302" s="43" t="n"/>
      <c r="H302" s="43" t="n"/>
      <c r="I302" s="41" t="n"/>
      <c r="J302" s="42" t="n"/>
      <c r="K302" s="40" t="n"/>
      <c r="L302" s="44">
        <f>IF(OR(A302="",K302=""),"",K302-A302)</f>
        <v/>
      </c>
      <c r="M302" s="41" t="n"/>
      <c r="N302" s="43" t="n"/>
    </row>
    <row r="303" ht="18" customHeight="1">
      <c r="A303" s="40" t="n"/>
      <c r="B303" s="41" t="n"/>
      <c r="C303" s="41" t="n"/>
      <c r="D303" s="41" t="n"/>
      <c r="E303" s="41" t="n"/>
      <c r="F303" s="42" t="n"/>
      <c r="G303" s="43" t="n"/>
      <c r="H303" s="43" t="n"/>
      <c r="I303" s="41" t="n"/>
      <c r="J303" s="42" t="n"/>
      <c r="K303" s="40" t="n"/>
      <c r="L303" s="44">
        <f>IF(OR(A303="",K303=""),"",K303-A303)</f>
        <v/>
      </c>
      <c r="M303" s="41" t="n"/>
      <c r="N303" s="43" t="n"/>
    </row>
    <row r="304" ht="18" customHeight="1">
      <c r="A304" s="40" t="n"/>
      <c r="B304" s="41" t="n"/>
      <c r="C304" s="41" t="n"/>
      <c r="D304" s="41" t="n"/>
      <c r="E304" s="41" t="n"/>
      <c r="F304" s="42" t="n"/>
      <c r="G304" s="43" t="n"/>
      <c r="H304" s="43" t="n"/>
      <c r="I304" s="41" t="n"/>
      <c r="J304" s="42" t="n"/>
      <c r="K304" s="40" t="n"/>
      <c r="L304" s="44">
        <f>IF(OR(A304="",K304=""),"",K304-A304)</f>
        <v/>
      </c>
      <c r="M304" s="41" t="n"/>
      <c r="N304" s="43" t="n"/>
    </row>
    <row r="305" ht="18" customHeight="1">
      <c r="A305" s="40" t="n"/>
      <c r="B305" s="41" t="n"/>
      <c r="C305" s="41" t="n"/>
      <c r="D305" s="41" t="n"/>
      <c r="E305" s="41" t="n"/>
      <c r="F305" s="42" t="n"/>
      <c r="G305" s="43" t="n"/>
      <c r="H305" s="43" t="n"/>
      <c r="I305" s="41" t="n"/>
      <c r="J305" s="42" t="n"/>
      <c r="K305" s="40" t="n"/>
      <c r="L305" s="44">
        <f>IF(OR(A305="",K305=""),"",K305-A305)</f>
        <v/>
      </c>
      <c r="M305" s="41" t="n"/>
      <c r="N305" s="43" t="n"/>
    </row>
  </sheetData>
  <mergeCells count="4">
    <mergeCell ref="J2:L2"/>
    <mergeCell ref="D2:I2"/>
    <mergeCell ref="A2:C2"/>
    <mergeCell ref="A4:L4"/>
  </mergeCells>
  <conditionalFormatting sqref="F6:F305">
    <cfRule type="expression" priority="1" dxfId="0">
      <formula>F6=5</formula>
    </cfRule>
    <cfRule type="expression" priority="2" dxfId="1">
      <formula>F6=4</formula>
    </cfRule>
    <cfRule type="expression" priority="3" dxfId="2">
      <formula>F6=3</formula>
    </cfRule>
    <cfRule type="expression" priority="4" dxfId="3">
      <formula>AND(F6&gt;=1,F6&lt;=2)</formula>
    </cfRule>
  </conditionalFormatting>
  <conditionalFormatting sqref="J6:J305">
    <cfRule type="expression" priority="5" dxfId="3">
      <formula>AND(J6="N",A6&lt;&gt;"",TODAY()-A6&gt;7)</formula>
    </cfRule>
  </conditionalFormatting>
  <dataValidations count="4">
    <dataValidation sqref="B6:B305" showDropDown="0" showInputMessage="0" showErrorMessage="0" allowBlank="1" type="list">
      <formula1>=Settings!$B$7:$B$16</formula1>
    </dataValidation>
    <dataValidation sqref="C6:C305" showDropDown="0" showInputMessage="0" showErrorMessage="0" allowBlank="1" type="list">
      <formula1>=Settings!$B$18:$B$25</formula1>
    </dataValidation>
    <dataValidation sqref="I6:I305" showDropDown="0" showInputMessage="0" showErrorMessage="0" allowBlank="1" type="list">
      <formula1>"Glowing,Positive,Mixed,Critical,Hostile"</formula1>
    </dataValidation>
    <dataValidation sqref="J6:J305" showDropDown="0" showInputMessage="0" showErrorMessage="0" allowBlank="1" type="list">
      <formula1>"Y,N"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9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HYPERLINK("#'Reviews Log'!A1", "← BACK")</f>
        <v/>
      </c>
      <c r="B2" s="12" t="n"/>
      <c r="C2" s="12" t="n"/>
      <c r="D2" s="37" t="inlineStr">
        <is>
          <t>REPLY TEMPLATES</t>
        </is>
      </c>
      <c r="J2" s="29">
        <f>HYPERLINK("#'Lessons Learned'!A1",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8 templates · pick the tone · copy · swap [BRACKETS] · paste</t>
        </is>
      </c>
    </row>
    <row r="6" ht="22" customHeight="1">
      <c r="A6" s="45" t="inlineStr">
        <is>
          <t>TPL-01  ·  5★ GLOWING — GRACIOUS + INVITE-BACK</t>
        </is>
      </c>
    </row>
    <row r="7" ht="32" customHeight="1">
      <c r="A7" s="46" t="inlineStr">
        <is>
          <t>WHEN TO USE  ·  Use for unambiguously glowing 5-star reviews where the guest mentioned specifics (cleanliness, view, communication). Match their warmth.</t>
        </is>
      </c>
      <c r="B7" s="47" t="n"/>
      <c r="C7" s="47" t="n"/>
      <c r="D7" s="47" t="n"/>
      <c r="E7" s="47" t="n"/>
      <c r="F7" s="47" t="n"/>
      <c r="G7" s="47" t="n"/>
      <c r="H7" s="47" t="n"/>
      <c r="I7" s="47" t="n"/>
      <c r="J7" s="47" t="n"/>
      <c r="K7" s="47" t="n"/>
      <c r="L7" s="48" t="n"/>
    </row>
    <row r="8" ht="18" customHeight="1">
      <c r="A8" s="49" t="inlineStr">
        <is>
          <t>SUGGESTED SUBJECT  ·  Thank you so much, [GUEST FIRST NAME]!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50" t="n"/>
    </row>
    <row r="9" ht="18" customHeight="1">
      <c r="A9" s="51" t="inlineStr">
        <is>
          <t>[GUEST FIRST NAME], thank you so much for the kind words — they genuinely made our day.
We're thrilled the [SPECIFIC DETAIL — hot tub / view / linens] lived up to expectations. Hosts like to think the small touches matter, and reviews like yours confirm it.
You'd be welcome back any time. If you ever return to [CITY/AREA], reach out directly and we'll take care of you.
Safe travels,
[HOST NAME]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50" t="n"/>
    </row>
    <row r="10" ht="18" customHeight="1">
      <c r="A10" s="52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50" t="n"/>
    </row>
    <row r="11" ht="18" customHeight="1">
      <c r="A11" s="52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50" t="n"/>
    </row>
    <row r="12" ht="18" customHeight="1">
      <c r="A12" s="52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50" t="n"/>
    </row>
    <row r="13" ht="18" customHeight="1">
      <c r="A13" s="52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50" t="n"/>
    </row>
    <row r="14" ht="18" customHeight="1">
      <c r="A14" s="52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50" t="n"/>
    </row>
    <row r="15" ht="18" customHeight="1">
      <c r="A15" s="53" t="n"/>
      <c r="B15" s="54" t="n"/>
      <c r="C15" s="54" t="n"/>
      <c r="D15" s="54" t="n"/>
      <c r="E15" s="54" t="n"/>
      <c r="F15" s="54" t="n"/>
      <c r="G15" s="54" t="n"/>
      <c r="H15" s="54" t="n"/>
      <c r="I15" s="54" t="n"/>
      <c r="J15" s="54" t="n"/>
      <c r="K15" s="54" t="n"/>
      <c r="L15" s="55" t="n"/>
    </row>
    <row r="16" ht="8" customHeight="1"/>
    <row r="17" ht="22" customHeight="1">
      <c r="A17" s="45" t="inlineStr">
        <is>
          <t>TPL-02  ·  5★ GENERIC POSITIVE — GRACIOUS + SPECIFIC CALLBACK</t>
        </is>
      </c>
    </row>
    <row r="18" ht="32" customHeight="1">
      <c r="A18" s="46" t="inlineStr">
        <is>
          <t>WHEN TO USE  ·  Use for short 5-star reviews with little detail. Pull a specific from the booking (length of stay, season, party size) so the reply doesn't feel canned.</t>
        </is>
      </c>
      <c r="B18" s="47" t="n"/>
      <c r="C18" s="47" t="n"/>
      <c r="D18" s="47" t="n"/>
      <c r="E18" s="47" t="n"/>
      <c r="F18" s="47" t="n"/>
      <c r="G18" s="47" t="n"/>
      <c r="H18" s="47" t="n"/>
      <c r="I18" s="47" t="n"/>
      <c r="J18" s="47" t="n"/>
      <c r="K18" s="47" t="n"/>
      <c r="L18" s="48" t="n"/>
    </row>
    <row r="19" ht="18" customHeight="1">
      <c r="A19" s="49" t="inlineStr">
        <is>
          <t>SUGGESTED SUBJECT  ·  Thank you, [GUEST FIRST NAME]!</t>
        </is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50" t="n"/>
    </row>
    <row r="20" ht="18" customHeight="1">
      <c r="A20" s="51" t="inlineStr">
        <is>
          <t>[GUEST FIRST NAME], thank you for the 5 stars — we really appreciate it.
It was a pleasure hosting you for [LENGTH] in [MONTH]. [SEASON DETAIL — hope you got to see the leaves change / glad the snow held off / etc.].
We'd love to host you again. Safe travels,
[HOST NAME]</t>
        </is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50" t="n"/>
    </row>
    <row r="21" ht="18" customHeight="1">
      <c r="A21" s="52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50" t="n"/>
    </row>
    <row r="22" ht="18" customHeight="1">
      <c r="A22" s="52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50" t="n"/>
    </row>
    <row r="23" ht="18" customHeight="1">
      <c r="A23" s="52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50" t="n"/>
    </row>
    <row r="24" ht="18" customHeight="1">
      <c r="A24" s="52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50" t="n"/>
    </row>
    <row r="25" ht="18" customHeight="1">
      <c r="A25" s="52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50" t="n"/>
    </row>
    <row r="26" ht="18" customHeight="1">
      <c r="A26" s="53" t="n"/>
      <c r="B26" s="54" t="n"/>
      <c r="C26" s="54" t="n"/>
      <c r="D26" s="54" t="n"/>
      <c r="E26" s="54" t="n"/>
      <c r="F26" s="54" t="n"/>
      <c r="G26" s="54" t="n"/>
      <c r="H26" s="54" t="n"/>
      <c r="I26" s="54" t="n"/>
      <c r="J26" s="54" t="n"/>
      <c r="K26" s="54" t="n"/>
      <c r="L26" s="55" t="n"/>
    </row>
    <row r="27" ht="8" customHeight="1"/>
    <row r="28" ht="22" customHeight="1">
      <c r="A28" s="45" t="inlineStr">
        <is>
          <t>TPL-03  ·  4★ MIXED-POSITIVE — APPRECIATE + SOFT ACKNOWLEDGMENT</t>
        </is>
      </c>
    </row>
    <row r="29" ht="32" customHeight="1">
      <c r="A29" s="46" t="inlineStr">
        <is>
          <t>WHEN TO USE  ·  Use for 4-star reviews with mostly-positive content and one small complaint. Acknowledge the issue briefly, don't over-apologize.</t>
        </is>
      </c>
      <c r="B29" s="47" t="n"/>
      <c r="C29" s="47" t="n"/>
      <c r="D29" s="47" t="n"/>
      <c r="E29" s="47" t="n"/>
      <c r="F29" s="47" t="n"/>
      <c r="G29" s="47" t="n"/>
      <c r="H29" s="47" t="n"/>
      <c r="I29" s="47" t="n"/>
      <c r="J29" s="47" t="n"/>
      <c r="K29" s="47" t="n"/>
      <c r="L29" s="48" t="n"/>
    </row>
    <row r="30" ht="18" customHeight="1">
      <c r="A30" s="49" t="inlineStr">
        <is>
          <t>SUGGESTED SUBJECT  ·  Thanks for the honest feedback, [GUEST FIRST NAME]</t>
        </is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50" t="n"/>
    </row>
    <row r="31" ht="18" customHeight="1">
      <c r="A31" s="51" t="inlineStr">
        <is>
          <t>[GUEST FIRST NAME], thank you for staying with us and for the thoughtful review.
We're really glad you enjoyed [POSITIVE DETAIL]. You're right about [ISSUE] — that's good feedback, and we [FIX TAKEN OR PLANNED].
Hope to host you again. — [HOST NAME]</t>
        </is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50" t="n"/>
    </row>
    <row r="32" ht="18" customHeight="1">
      <c r="A32" s="52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50" t="n"/>
    </row>
    <row r="33" ht="18" customHeight="1">
      <c r="A33" s="52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50" t="n"/>
    </row>
    <row r="34" ht="18" customHeight="1">
      <c r="A34" s="52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50" t="n"/>
    </row>
    <row r="35" ht="18" customHeight="1">
      <c r="A35" s="52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50" t="n"/>
    </row>
    <row r="36" ht="18" customHeight="1">
      <c r="A36" s="52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50" t="n"/>
    </row>
    <row r="37" ht="18" customHeight="1">
      <c r="A37" s="53" t="n"/>
      <c r="B37" s="54" t="n"/>
      <c r="C37" s="54" t="n"/>
      <c r="D37" s="54" t="n"/>
      <c r="E37" s="54" t="n"/>
      <c r="F37" s="54" t="n"/>
      <c r="G37" s="54" t="n"/>
      <c r="H37" s="54" t="n"/>
      <c r="I37" s="54" t="n"/>
      <c r="J37" s="54" t="n"/>
      <c r="K37" s="54" t="n"/>
      <c r="L37" s="55" t="n"/>
    </row>
    <row r="38" ht="8" customHeight="1"/>
    <row r="39" ht="22" customHeight="1">
      <c r="A39" s="45" t="inlineStr">
        <is>
          <t>TPL-04  ·  3★ MIXED — ACKNOWLEDGE + IMPROVEMENT NOTE + INVITE BACK</t>
        </is>
      </c>
    </row>
    <row r="40" ht="32" customHeight="1">
      <c r="A40" s="46" t="inlineStr">
        <is>
          <t>WHEN TO USE  ·  Use for 3-star reviews where the complaint is real and fixable. Show ownership without grovelling. Future guests read this.</t>
        </is>
      </c>
      <c r="B40" s="47" t="n"/>
      <c r="C40" s="47" t="n"/>
      <c r="D40" s="47" t="n"/>
      <c r="E40" s="47" t="n"/>
      <c r="F40" s="47" t="n"/>
      <c r="G40" s="47" t="n"/>
      <c r="H40" s="47" t="n"/>
      <c r="I40" s="47" t="n"/>
      <c r="J40" s="47" t="n"/>
      <c r="K40" s="47" t="n"/>
      <c r="L40" s="48" t="n"/>
    </row>
    <row r="41" ht="18" customHeight="1">
      <c r="A41" s="49" t="inlineStr">
        <is>
          <t>SUGGESTED SUBJECT  ·  Thank you for the feedback, [GUEST FIRST NAME]</t>
        </is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50" t="n"/>
    </row>
    <row r="42" ht="18" customHeight="1">
      <c r="A42" s="51" t="inlineStr">
        <is>
          <t>[GUEST FIRST NAME], thank you for the candid review. Honest feedback is the only way we improve.
You're absolutely right about [ISSUE]. We [SPECIFIC ACTION — replaced the router / brought in a deep cleaner / scheduled the repair]. It shouldn't have been an issue during your stay, and we own that.
We'd appreciate the chance to host you again under better circumstances. — [HOST NAME]</t>
        </is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50" t="n"/>
    </row>
    <row r="43" ht="18" customHeight="1">
      <c r="A43" s="52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50" t="n"/>
    </row>
    <row r="44" ht="18" customHeight="1">
      <c r="A44" s="52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50" t="n"/>
    </row>
    <row r="45" ht="18" customHeight="1">
      <c r="A45" s="52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50" t="n"/>
    </row>
    <row r="46" ht="18" customHeight="1">
      <c r="A46" s="52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50" t="n"/>
    </row>
    <row r="47" ht="18" customHeight="1">
      <c r="A47" s="52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50" t="n"/>
    </row>
    <row r="48" ht="18" customHeight="1">
      <c r="A48" s="53" t="n"/>
      <c r="B48" s="54" t="n"/>
      <c r="C48" s="54" t="n"/>
      <c r="D48" s="54" t="n"/>
      <c r="E48" s="54" t="n"/>
      <c r="F48" s="54" t="n"/>
      <c r="G48" s="54" t="n"/>
      <c r="H48" s="54" t="n"/>
      <c r="I48" s="54" t="n"/>
      <c r="J48" s="54" t="n"/>
      <c r="K48" s="54" t="n"/>
      <c r="L48" s="55" t="n"/>
    </row>
    <row r="49" ht="8" customHeight="1"/>
    <row r="50" ht="22" customHeight="1">
      <c r="A50" s="45" t="inlineStr">
        <is>
          <t>TPL-05  ·  2★ NEGATIVE-JUSTIFIED — ACKNOWLEDGE + CORRECTIVE ACTION</t>
        </is>
      </c>
    </row>
    <row r="51" ht="32" customHeight="1">
      <c r="A51" s="46" t="inlineStr">
        <is>
          <t>WHEN TO USE  ·  Use when the negative review is fair. Apologize once, state what changed, do not over-explain. Future guests need to see ownership.</t>
        </is>
      </c>
      <c r="B51" s="47" t="n"/>
      <c r="C51" s="47" t="n"/>
      <c r="D51" s="47" t="n"/>
      <c r="E51" s="47" t="n"/>
      <c r="F51" s="47" t="n"/>
      <c r="G51" s="47" t="n"/>
      <c r="H51" s="47" t="n"/>
      <c r="I51" s="47" t="n"/>
      <c r="J51" s="47" t="n"/>
      <c r="K51" s="47" t="n"/>
      <c r="L51" s="48" t="n"/>
    </row>
    <row r="52" ht="18" customHeight="1">
      <c r="A52" s="49" t="inlineStr">
        <is>
          <t>SUGGESTED SUBJECT  ·  Thank you for the feedback, [GUEST FIRST NAME]</t>
        </is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50" t="n"/>
    </row>
    <row r="53" ht="18" customHeight="1">
      <c r="A53" s="51" t="inlineStr">
        <is>
          <t>[GUEST FIRST NAME], I'm sorry your stay fell short. The issues you described — [ISSUE 1] and [ISSUE 2] — are not the experience we want any guest to have.
Here is what changed since you left: [SPECIFIC FIX 1]. [SPECIFIC FIX 2].
Thank you for taking the time to write — it's how we get better. — [HOST NAME]</t>
        </is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50" t="n"/>
    </row>
    <row r="54" ht="18" customHeight="1">
      <c r="A54" s="52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50" t="n"/>
    </row>
    <row r="55" ht="18" customHeight="1">
      <c r="A55" s="52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50" t="n"/>
    </row>
    <row r="56" ht="18" customHeight="1">
      <c r="A56" s="52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50" t="n"/>
    </row>
    <row r="57" ht="18" customHeight="1">
      <c r="A57" s="52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50" t="n"/>
    </row>
    <row r="58" ht="18" customHeight="1">
      <c r="A58" s="52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50" t="n"/>
    </row>
    <row r="59" ht="18" customHeight="1">
      <c r="A59" s="53" t="n"/>
      <c r="B59" s="54" t="n"/>
      <c r="C59" s="54" t="n"/>
      <c r="D59" s="54" t="n"/>
      <c r="E59" s="54" t="n"/>
      <c r="F59" s="54" t="n"/>
      <c r="G59" s="54" t="n"/>
      <c r="H59" s="54" t="n"/>
      <c r="I59" s="54" t="n"/>
      <c r="J59" s="54" t="n"/>
      <c r="K59" s="54" t="n"/>
      <c r="L59" s="55" t="n"/>
    </row>
    <row r="60" ht="8" customHeight="1"/>
    <row r="61" ht="22" customHeight="1">
      <c r="A61" s="45" t="inlineStr">
        <is>
          <t>TPL-06  ·  2★ NEGATIVE-UNJUSTIFIED — CALM CORRECTION + FACTS</t>
        </is>
      </c>
    </row>
    <row r="62" ht="32" customHeight="1">
      <c r="A62" s="46" t="inlineStr">
        <is>
          <t>WHEN TO USE  ·  Use when a negative review misstates facts. Stay calm, state facts, no defensiveness. Future guests judge tone, not who's right.</t>
        </is>
      </c>
      <c r="B62" s="47" t="n"/>
      <c r="C62" s="47" t="n"/>
      <c r="D62" s="47" t="n"/>
      <c r="E62" s="47" t="n"/>
      <c r="F62" s="47" t="n"/>
      <c r="G62" s="47" t="n"/>
      <c r="H62" s="47" t="n"/>
      <c r="I62" s="47" t="n"/>
      <c r="J62" s="47" t="n"/>
      <c r="K62" s="47" t="n"/>
      <c r="L62" s="48" t="n"/>
    </row>
    <row r="63" ht="18" customHeight="1">
      <c r="A63" s="49" t="inlineStr">
        <is>
          <t>SUGGESTED SUBJECT  ·  Thank you for the feedback, [GUEST FIRST NAME]</t>
        </is>
      </c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50" t="n"/>
    </row>
    <row r="64" ht="18" customHeight="1">
      <c r="A64" s="51" t="inlineStr">
        <is>
          <t>[GUEST FIRST NAME], thank you for the review. We always appreciate honest feedback, and we'd like to add some context for future guests.
Regarding [POINT]: [FACTUAL CORRECTION — receipts / logs / what was actually communicated]. We were happy to [WHAT YOU DID] when you raised it during the stay.
We hope your travels going forward are better. — [HOST NAME]</t>
        </is>
      </c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50" t="n"/>
    </row>
    <row r="65" ht="18" customHeight="1">
      <c r="A65" s="52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50" t="n"/>
    </row>
    <row r="66" ht="18" customHeight="1">
      <c r="A66" s="52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50" t="n"/>
    </row>
    <row r="67" ht="18" customHeight="1">
      <c r="A67" s="52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50" t="n"/>
    </row>
    <row r="68" ht="18" customHeight="1">
      <c r="A68" s="52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50" t="n"/>
    </row>
    <row r="69" ht="18" customHeight="1">
      <c r="A69" s="52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50" t="n"/>
    </row>
    <row r="70" ht="18" customHeight="1">
      <c r="A70" s="53" t="n"/>
      <c r="B70" s="54" t="n"/>
      <c r="C70" s="54" t="n"/>
      <c r="D70" s="54" t="n"/>
      <c r="E70" s="54" t="n"/>
      <c r="F70" s="54" t="n"/>
      <c r="G70" s="54" t="n"/>
      <c r="H70" s="54" t="n"/>
      <c r="I70" s="54" t="n"/>
      <c r="J70" s="54" t="n"/>
      <c r="K70" s="54" t="n"/>
      <c r="L70" s="55" t="n"/>
    </row>
    <row r="71" ht="8" customHeight="1"/>
    <row r="72" ht="22" customHeight="1">
      <c r="A72" s="45" t="inlineStr">
        <is>
          <t>TPL-07  ·  1★ HOSTILE/FALSE — MEASURED FACTUAL CORRECTION (NO APOLOGY)</t>
        </is>
      </c>
    </row>
    <row r="73" ht="32" customHeight="1">
      <c r="A73" s="46" t="inlineStr">
        <is>
          <t>WHEN TO USE  ·  Use only when the review is hostile, false, or alleges something serious (mold, pests, safety) without merit. No apology — that reads as admission. Stick to documented facts.</t>
        </is>
      </c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  <c r="L73" s="48" t="n"/>
    </row>
    <row r="74" ht="18" customHeight="1">
      <c r="A74" s="49" t="inlineStr">
        <is>
          <t>SUGGESTED SUBJECT  ·  Response to [GUEST FIRST NAME]'s review</t>
        </is>
      </c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50" t="n"/>
    </row>
    <row r="75" ht="18" customHeight="1">
      <c r="A75" s="51" t="inlineStr">
        <is>
          <t>[GUEST FIRST NAME] — we want to address the claims in this review for any future guests reading.
[CLAIM 1] is not accurate. [DOCUMENTED FACT — cleaner checklist on date / inspection log / photo timestamp].
We attempted to address concerns during the stay by [WHAT YOU OFFERED]; the offer was [DECLINED / NOT RESPONDED TO].
We host hundreds of guests a year and stand by the home and the cleaning standard. Future guests are welcome to read the [N] reviews above this one. — [HOST NAME]</t>
        </is>
      </c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50" t="n"/>
    </row>
    <row r="76" ht="18" customHeight="1">
      <c r="A76" s="52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50" t="n"/>
    </row>
    <row r="77" ht="18" customHeight="1">
      <c r="A77" s="52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50" t="n"/>
    </row>
    <row r="78" ht="18" customHeight="1">
      <c r="A78" s="52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50" t="n"/>
    </row>
    <row r="79" ht="18" customHeight="1">
      <c r="A79" s="52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50" t="n"/>
    </row>
    <row r="80" ht="18" customHeight="1">
      <c r="A80" s="52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50" t="n"/>
    </row>
    <row r="81" ht="18" customHeight="1">
      <c r="A81" s="53" t="n"/>
      <c r="B81" s="54" t="n"/>
      <c r="C81" s="54" t="n"/>
      <c r="D81" s="54" t="n"/>
      <c r="E81" s="54" t="n"/>
      <c r="F81" s="54" t="n"/>
      <c r="G81" s="54" t="n"/>
      <c r="H81" s="54" t="n"/>
      <c r="I81" s="54" t="n"/>
      <c r="J81" s="54" t="n"/>
      <c r="K81" s="54" t="n"/>
      <c r="L81" s="55" t="n"/>
    </row>
    <row r="82" ht="8" customHeight="1"/>
    <row r="83" ht="22" customHeight="1">
      <c r="A83" s="45" t="inlineStr">
        <is>
          <t>TPL-08  ·  LATE-CHECKOUT / DAMAGE-CLAIM GUEST REVIEW (DELICATE)</t>
        </is>
      </c>
    </row>
    <row r="84" ht="32" customHeight="1">
      <c r="A84" s="46" t="inlineStr">
        <is>
          <t>WHEN TO USE  ·  Use when a guest who was late-checking-out or had a damage claim leaves a defensive negative review. Tone is the whole game — professional, not petty.</t>
        </is>
      </c>
      <c r="B84" s="47" t="n"/>
      <c r="C84" s="47" t="n"/>
      <c r="D84" s="47" t="n"/>
      <c r="E84" s="47" t="n"/>
      <c r="F84" s="47" t="n"/>
      <c r="G84" s="47" t="n"/>
      <c r="H84" s="47" t="n"/>
      <c r="I84" s="47" t="n"/>
      <c r="J84" s="47" t="n"/>
      <c r="K84" s="47" t="n"/>
      <c r="L84" s="48" t="n"/>
    </row>
    <row r="85" ht="18" customHeight="1">
      <c r="A85" s="49" t="inlineStr">
        <is>
          <t>SUGGESTED SUBJECT  ·  Thank you for staying, [GUEST FIRST NAME]</t>
        </is>
      </c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50" t="n"/>
    </row>
    <row r="86" ht="18" customHeight="1">
      <c r="A86" s="51" t="inlineStr">
        <is>
          <t>[GUEST FIRST NAME], thank you for staying with us.
We're sorry the end of your stay didn't go smoothly. For transparency to future guests: our checkout time is [CHECKOUT TIME], clearly stated in the listing and the house manual, and [WHAT HAPPENED — late checkout fee / damage claim] followed our standard policy.
We wish you safe travels and would welcome you back under different terms. — [HOST NAME]</t>
        </is>
      </c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50" t="n"/>
    </row>
    <row r="87" ht="18" customHeight="1">
      <c r="A87" s="52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50" t="n"/>
    </row>
    <row r="88" ht="18" customHeight="1">
      <c r="A88" s="52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50" t="n"/>
    </row>
    <row r="89" ht="18" customHeight="1">
      <c r="A89" s="52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50" t="n"/>
    </row>
    <row r="90" ht="18" customHeight="1">
      <c r="A90" s="52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50" t="n"/>
    </row>
    <row r="91" ht="18" customHeight="1">
      <c r="A91" s="52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50" t="n"/>
    </row>
    <row r="92" ht="18" customHeight="1">
      <c r="A92" s="53" t="n"/>
      <c r="B92" s="54" t="n"/>
      <c r="C92" s="54" t="n"/>
      <c r="D92" s="54" t="n"/>
      <c r="E92" s="54" t="n"/>
      <c r="F92" s="54" t="n"/>
      <c r="G92" s="54" t="n"/>
      <c r="H92" s="54" t="n"/>
      <c r="I92" s="54" t="n"/>
      <c r="J92" s="54" t="n"/>
      <c r="K92" s="54" t="n"/>
      <c r="L92" s="55" t="n"/>
    </row>
    <row r="93" ht="8" customHeight="1"/>
    <row r="95">
      <c r="A95" s="34" t="n"/>
      <c r="B95" s="34" t="n"/>
      <c r="C95" s="34" t="n"/>
      <c r="D95" s="34" t="n"/>
      <c r="E95" s="34" t="n"/>
      <c r="F95" s="34" t="n"/>
      <c r="G95" s="34" t="n"/>
      <c r="H95" s="34" t="n"/>
      <c r="I95" s="34" t="n"/>
      <c r="J95" s="34" t="n"/>
      <c r="K95" s="34" t="n"/>
      <c r="L95" s="34" t="n"/>
    </row>
    <row r="96" ht="18" customHeight="1">
      <c r="A96" s="35" t="inlineStr">
        <is>
          <t>Questions? hello@thestrledger.com</t>
        </is>
      </c>
    </row>
    <row r="97" ht="18" customHeight="1">
      <c r="A97" s="36" t="inlineStr">
        <is>
          <t>MKT-002 · v2.3 · Free updates forever</t>
        </is>
      </c>
    </row>
  </sheetData>
  <mergeCells count="38">
    <mergeCell ref="D2:I2"/>
    <mergeCell ref="A7:L7"/>
    <mergeCell ref="A64:L70"/>
    <mergeCell ref="A41:L41"/>
    <mergeCell ref="A31:L37"/>
    <mergeCell ref="A84:L84"/>
    <mergeCell ref="A74:L74"/>
    <mergeCell ref="A18:L18"/>
    <mergeCell ref="A2:C2"/>
    <mergeCell ref="A50:L50"/>
    <mergeCell ref="A85:L85"/>
    <mergeCell ref="A86:L92"/>
    <mergeCell ref="A75:L81"/>
    <mergeCell ref="A8:L8"/>
    <mergeCell ref="A97:L97"/>
    <mergeCell ref="A17:L17"/>
    <mergeCell ref="A4:L4"/>
    <mergeCell ref="A62:L62"/>
    <mergeCell ref="A96:L96"/>
    <mergeCell ref="A72:L72"/>
    <mergeCell ref="J2:L2"/>
    <mergeCell ref="A29:L29"/>
    <mergeCell ref="A52:L52"/>
    <mergeCell ref="A19:L19"/>
    <mergeCell ref="A63:L63"/>
    <mergeCell ref="A28:L28"/>
    <mergeCell ref="A20:L26"/>
    <mergeCell ref="A40:L40"/>
    <mergeCell ref="A39:L39"/>
    <mergeCell ref="A83:L83"/>
    <mergeCell ref="A42:L48"/>
    <mergeCell ref="A30:L30"/>
    <mergeCell ref="A73:L73"/>
    <mergeCell ref="A51:L51"/>
    <mergeCell ref="A53:L59"/>
    <mergeCell ref="A61:L61"/>
    <mergeCell ref="A6:L6"/>
    <mergeCell ref="A9:L15"/>
  </mergeCells>
  <pageMargins left="0.5" right="0.5" top="0.5" bottom="0.5" header="0.5" footer="0.5"/>
  <pageSetup orientation="portrait" paperSize="1" fitToHeight="0" fitToWidth="1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30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4" customWidth="1" min="5" max="5"/>
    <col width="30" customWidth="1" min="6" max="6"/>
    <col width="14" customWidth="1" min="7" max="7"/>
    <col width="16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HYPERLINK("#'Reply Templates'!A1", "← BACK")</f>
        <v/>
      </c>
      <c r="B2" s="12" t="n"/>
      <c r="C2" s="12" t="n"/>
      <c r="D2" s="37" t="inlineStr">
        <is>
          <t>LESSONS LEARNED</t>
        </is>
      </c>
      <c r="J2" s="29">
        <f>HYPERLINK("#'Settings'!A1", "NEXT →")</f>
        <v/>
      </c>
      <c r="K2" s="30" t="n"/>
      <c r="L2" s="30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Themes that recur · which tags drag the score · what to fix on the property</t>
        </is>
      </c>
    </row>
    <row r="6" ht="22" customHeight="1">
      <c r="A6" s="56" t="inlineStr">
        <is>
          <t>Tag Frequency · Active Year</t>
        </is>
      </c>
      <c r="F6" s="56" t="inlineStr">
        <is>
          <t>Action Items · Property Fixes</t>
        </is>
      </c>
    </row>
    <row r="7" ht="18" customHeight="1">
      <c r="A7" s="39" t="inlineStr">
        <is>
          <t>Tag</t>
        </is>
      </c>
      <c r="B7" s="39" t="inlineStr">
        <is>
          <t>Mentions</t>
        </is>
      </c>
      <c r="C7" s="39" t="inlineStr">
        <is>
          <t>Avg Stars</t>
        </is>
      </c>
      <c r="D7" s="39" t="inlineStr">
        <is>
          <t>Drag?</t>
        </is>
      </c>
      <c r="F7" s="39" t="inlineStr">
        <is>
          <t>Issue / Theme</t>
        </is>
      </c>
      <c r="G7" s="39" t="inlineStr">
        <is>
          <t>Priority</t>
        </is>
      </c>
      <c r="H7" s="39" t="inlineStr">
        <is>
          <t>Status</t>
        </is>
      </c>
    </row>
    <row r="8" ht="22" customHeight="1">
      <c r="A8" s="57">
        <f>IF(Settings!B27="","",Settings!B27)</f>
        <v/>
      </c>
      <c r="B8" s="44">
        <f>IF(A8="","",SUMPRODUCT(('Reviews Log'!$A$6:$A$305&gt;=DATE(Settings!$B$5,1,1))*('Reviews Log'!$A$6:$A$305&lt;=DATE(Settings!$B$5,12,31))*ISNUMBER(SEARCH(A8,'Reviews Log'!$M$6:$M$305))))</f>
        <v/>
      </c>
      <c r="C8" s="58">
        <f>IFERROR(SUMPRODUCT(('Reviews Log'!$A$6:$A$305&gt;=DATE(Settings!$B$5,1,1))*('Reviews Log'!$A$6:$A$305&lt;=DATE(Settings!$B$5,12,31))*ISNUMBER(SEARCH(A8,'Reviews Log'!$M$6:$M$305))*'Reviews Log'!$F$6:$F$305)/B8,"")</f>
        <v/>
      </c>
      <c r="D8" s="59">
        <f>IF(OR(A8="",B8=0),"",IF(C8&lt;4.5,"⚠ drag","ok"))</f>
        <v/>
      </c>
      <c r="F8" s="60" t="inlineStr">
        <is>
          <t>Replace wifi router at Lakehouse A + Creek Side</t>
        </is>
      </c>
      <c r="G8" s="42" t="inlineStr">
        <is>
          <t>High</t>
        </is>
      </c>
      <c r="H8" s="42" t="inlineStr">
        <is>
          <t>Done</t>
        </is>
      </c>
    </row>
    <row r="9" ht="22" customHeight="1">
      <c r="A9" s="57">
        <f>IF(Settings!B28="","",Settings!B28)</f>
        <v/>
      </c>
      <c r="B9" s="44">
        <f>IF(A9="","",SUMPRODUCT(('Reviews Log'!$A$6:$A$305&gt;=DATE(Settings!$B$5,1,1))*('Reviews Log'!$A$6:$A$305&lt;=DATE(Settings!$B$5,12,31))*ISNUMBER(SEARCH(A9,'Reviews Log'!$M$6:$M$305))))</f>
        <v/>
      </c>
      <c r="C9" s="58">
        <f>IFERROR(SUMPRODUCT(('Reviews Log'!$A$6:$A$305&gt;=DATE(Settings!$B$5,1,1))*('Reviews Log'!$A$6:$A$305&lt;=DATE(Settings!$B$5,12,31))*ISNUMBER(SEARCH(A9,'Reviews Log'!$M$6:$M$305))*'Reviews Log'!$F$6:$F$305)/B9,"")</f>
        <v/>
      </c>
      <c r="D9" s="59">
        <f>IF(OR(A9="",B9=0),"",IF(C9&lt;4.5,"⚠ drag","ok"))</f>
        <v/>
      </c>
      <c r="F9" s="60" t="inlineStr">
        <is>
          <t>Add salt bin to Smokies Ridge driveway by Nov</t>
        </is>
      </c>
      <c r="G9" s="42" t="inlineStr">
        <is>
          <t>Med</t>
        </is>
      </c>
      <c r="H9" s="42" t="inlineStr">
        <is>
          <t>Open</t>
        </is>
      </c>
    </row>
    <row r="10" ht="18" customHeight="1">
      <c r="A10" s="57">
        <f>IF(Settings!B29="","",Settings!B29)</f>
        <v/>
      </c>
      <c r="B10" s="44">
        <f>IF(A10="","",SUMPRODUCT(('Reviews Log'!$A$6:$A$305&gt;=DATE(Settings!$B$5,1,1))*('Reviews Log'!$A$6:$A$305&lt;=DATE(Settings!$B$5,12,31))*ISNUMBER(SEARCH(A10,'Reviews Log'!$M$6:$M$305))))</f>
        <v/>
      </c>
      <c r="C10" s="58">
        <f>IFERROR(SUMPRODUCT(('Reviews Log'!$A$6:$A$305&gt;=DATE(Settings!$B$5,1,1))*('Reviews Log'!$A$6:$A$305&lt;=DATE(Settings!$B$5,12,31))*ISNUMBER(SEARCH(A10,'Reviews Log'!$M$6:$M$305))*'Reviews Log'!$F$6:$F$305)/B10,"")</f>
        <v/>
      </c>
      <c r="D10" s="59">
        <f>IF(OR(A10="",B10=0),"",IF(C10&lt;4.5,"⚠ drag","ok"))</f>
        <v/>
      </c>
      <c r="F10" s="60" t="n"/>
      <c r="G10" s="42" t="n"/>
      <c r="H10" s="42" t="n"/>
    </row>
    <row r="11" ht="18" customHeight="1">
      <c r="A11" s="57">
        <f>IF(Settings!B30="","",Settings!B30)</f>
        <v/>
      </c>
      <c r="B11" s="44">
        <f>IF(A11="","",SUMPRODUCT(('Reviews Log'!$A$6:$A$305&gt;=DATE(Settings!$B$5,1,1))*('Reviews Log'!$A$6:$A$305&lt;=DATE(Settings!$B$5,12,31))*ISNUMBER(SEARCH(A11,'Reviews Log'!$M$6:$M$305))))</f>
        <v/>
      </c>
      <c r="C11" s="58">
        <f>IFERROR(SUMPRODUCT(('Reviews Log'!$A$6:$A$305&gt;=DATE(Settings!$B$5,1,1))*('Reviews Log'!$A$6:$A$305&lt;=DATE(Settings!$B$5,12,31))*ISNUMBER(SEARCH(A11,'Reviews Log'!$M$6:$M$305))*'Reviews Log'!$F$6:$F$305)/B11,"")</f>
        <v/>
      </c>
      <c r="D11" s="59">
        <f>IF(OR(A11="",B11=0),"",IF(C11&lt;4.5,"⚠ drag","ok"))</f>
        <v/>
      </c>
      <c r="F11" s="60" t="n"/>
      <c r="G11" s="42" t="n"/>
      <c r="H11" s="42" t="n"/>
    </row>
    <row r="12" ht="18" customHeight="1">
      <c r="A12" s="57">
        <f>IF(Settings!B31="","",Settings!B31)</f>
        <v/>
      </c>
      <c r="B12" s="44">
        <f>IF(A12="","",SUMPRODUCT(('Reviews Log'!$A$6:$A$305&gt;=DATE(Settings!$B$5,1,1))*('Reviews Log'!$A$6:$A$305&lt;=DATE(Settings!$B$5,12,31))*ISNUMBER(SEARCH(A12,'Reviews Log'!$M$6:$M$305))))</f>
        <v/>
      </c>
      <c r="C12" s="58">
        <f>IFERROR(SUMPRODUCT(('Reviews Log'!$A$6:$A$305&gt;=DATE(Settings!$B$5,1,1))*('Reviews Log'!$A$6:$A$305&lt;=DATE(Settings!$B$5,12,31))*ISNUMBER(SEARCH(A12,'Reviews Log'!$M$6:$M$305))*'Reviews Log'!$F$6:$F$305)/B12,"")</f>
        <v/>
      </c>
      <c r="D12" s="59">
        <f>IF(OR(A12="",B12=0),"",IF(C12&lt;4.5,"⚠ drag","ok"))</f>
        <v/>
      </c>
      <c r="F12" s="60" t="n"/>
      <c r="G12" s="42" t="n"/>
      <c r="H12" s="42" t="n"/>
    </row>
    <row r="13" ht="18" customHeight="1">
      <c r="A13" s="57">
        <f>IF(Settings!B32="","",Settings!B32)</f>
        <v/>
      </c>
      <c r="B13" s="44">
        <f>IF(A13="","",SUMPRODUCT(('Reviews Log'!$A$6:$A$305&gt;=DATE(Settings!$B$5,1,1))*('Reviews Log'!$A$6:$A$305&lt;=DATE(Settings!$B$5,12,31))*ISNUMBER(SEARCH(A13,'Reviews Log'!$M$6:$M$305))))</f>
        <v/>
      </c>
      <c r="C13" s="58">
        <f>IFERROR(SUMPRODUCT(('Reviews Log'!$A$6:$A$305&gt;=DATE(Settings!$B$5,1,1))*('Reviews Log'!$A$6:$A$305&lt;=DATE(Settings!$B$5,12,31))*ISNUMBER(SEARCH(A13,'Reviews Log'!$M$6:$M$305))*'Reviews Log'!$F$6:$F$305)/B13,"")</f>
        <v/>
      </c>
      <c r="D13" s="59">
        <f>IF(OR(A13="",B13=0),"",IF(C13&lt;4.5,"⚠ drag","ok"))</f>
        <v/>
      </c>
      <c r="F13" s="60" t="n"/>
      <c r="G13" s="42" t="n"/>
      <c r="H13" s="42" t="n"/>
    </row>
    <row r="14" ht="18" customHeight="1">
      <c r="A14" s="57">
        <f>IF(Settings!B33="","",Settings!B33)</f>
        <v/>
      </c>
      <c r="B14" s="44">
        <f>IF(A14="","",SUMPRODUCT(('Reviews Log'!$A$6:$A$305&gt;=DATE(Settings!$B$5,1,1))*('Reviews Log'!$A$6:$A$305&lt;=DATE(Settings!$B$5,12,31))*ISNUMBER(SEARCH(A14,'Reviews Log'!$M$6:$M$305))))</f>
        <v/>
      </c>
      <c r="C14" s="58">
        <f>IFERROR(SUMPRODUCT(('Reviews Log'!$A$6:$A$305&gt;=DATE(Settings!$B$5,1,1))*('Reviews Log'!$A$6:$A$305&lt;=DATE(Settings!$B$5,12,31))*ISNUMBER(SEARCH(A14,'Reviews Log'!$M$6:$M$305))*'Reviews Log'!$F$6:$F$305)/B14,"")</f>
        <v/>
      </c>
      <c r="D14" s="59">
        <f>IF(OR(A14="",B14=0),"",IF(C14&lt;4.5,"⚠ drag","ok"))</f>
        <v/>
      </c>
      <c r="F14" s="60" t="n"/>
      <c r="G14" s="42" t="n"/>
      <c r="H14" s="42" t="n"/>
    </row>
    <row r="15" ht="18" customHeight="1">
      <c r="A15" s="57">
        <f>IF(Settings!B34="","",Settings!B34)</f>
        <v/>
      </c>
      <c r="B15" s="44">
        <f>IF(A15="","",SUMPRODUCT(('Reviews Log'!$A$6:$A$305&gt;=DATE(Settings!$B$5,1,1))*('Reviews Log'!$A$6:$A$305&lt;=DATE(Settings!$B$5,12,31))*ISNUMBER(SEARCH(A15,'Reviews Log'!$M$6:$M$305))))</f>
        <v/>
      </c>
      <c r="C15" s="58">
        <f>IFERROR(SUMPRODUCT(('Reviews Log'!$A$6:$A$305&gt;=DATE(Settings!$B$5,1,1))*('Reviews Log'!$A$6:$A$305&lt;=DATE(Settings!$B$5,12,31))*ISNUMBER(SEARCH(A15,'Reviews Log'!$M$6:$M$305))*'Reviews Log'!$F$6:$F$305)/B15,"")</f>
        <v/>
      </c>
      <c r="D15" s="59">
        <f>IF(OR(A15="",B15=0),"",IF(C15&lt;4.5,"⚠ drag","ok"))</f>
        <v/>
      </c>
      <c r="F15" s="60" t="n"/>
      <c r="G15" s="42" t="n"/>
      <c r="H15" s="42" t="n"/>
    </row>
    <row r="16" ht="18" customHeight="1">
      <c r="A16" s="57">
        <f>IF(Settings!B35="","",Settings!B35)</f>
        <v/>
      </c>
      <c r="B16" s="44">
        <f>IF(A16="","",SUMPRODUCT(('Reviews Log'!$A$6:$A$305&gt;=DATE(Settings!$B$5,1,1))*('Reviews Log'!$A$6:$A$305&lt;=DATE(Settings!$B$5,12,31))*ISNUMBER(SEARCH(A16,'Reviews Log'!$M$6:$M$305))))</f>
        <v/>
      </c>
      <c r="C16" s="58">
        <f>IFERROR(SUMPRODUCT(('Reviews Log'!$A$6:$A$305&gt;=DATE(Settings!$B$5,1,1))*('Reviews Log'!$A$6:$A$305&lt;=DATE(Settings!$B$5,12,31))*ISNUMBER(SEARCH(A16,'Reviews Log'!$M$6:$M$305))*'Reviews Log'!$F$6:$F$305)/B16,"")</f>
        <v/>
      </c>
      <c r="D16" s="59">
        <f>IF(OR(A16="",B16=0),"",IF(C16&lt;4.5,"⚠ drag","ok"))</f>
        <v/>
      </c>
      <c r="F16" s="60" t="n"/>
      <c r="G16" s="42" t="n"/>
      <c r="H16" s="42" t="n"/>
    </row>
    <row r="17" ht="18" customHeight="1">
      <c r="A17" s="57">
        <f>IF(Settings!B36="","",Settings!B36)</f>
        <v/>
      </c>
      <c r="B17" s="44">
        <f>IF(A17="","",SUMPRODUCT(('Reviews Log'!$A$6:$A$305&gt;=DATE(Settings!$B$5,1,1))*('Reviews Log'!$A$6:$A$305&lt;=DATE(Settings!$B$5,12,31))*ISNUMBER(SEARCH(A17,'Reviews Log'!$M$6:$M$305))))</f>
        <v/>
      </c>
      <c r="C17" s="58">
        <f>IFERROR(SUMPRODUCT(('Reviews Log'!$A$6:$A$305&gt;=DATE(Settings!$B$5,1,1))*('Reviews Log'!$A$6:$A$305&lt;=DATE(Settings!$B$5,12,31))*ISNUMBER(SEARCH(A17,'Reviews Log'!$M$6:$M$305))*'Reviews Log'!$F$6:$F$305)/B17,"")</f>
        <v/>
      </c>
      <c r="D17" s="59">
        <f>IF(OR(A17="",B17=0),"",IF(C17&lt;4.5,"⚠ drag","ok"))</f>
        <v/>
      </c>
      <c r="F17" s="60" t="n"/>
      <c r="G17" s="42" t="n"/>
      <c r="H17" s="42" t="n"/>
    </row>
    <row r="18" ht="18" customHeight="1">
      <c r="F18" s="60" t="n"/>
      <c r="G18" s="42" t="n"/>
      <c r="H18" s="42" t="n"/>
    </row>
    <row r="19" ht="18" customHeight="1">
      <c r="F19" s="60" t="n"/>
      <c r="G19" s="42" t="n"/>
      <c r="H19" s="42" t="n"/>
    </row>
    <row r="20" ht="18" customHeight="1">
      <c r="F20" s="60" t="n"/>
      <c r="G20" s="42" t="n"/>
      <c r="H20" s="42" t="n"/>
    </row>
    <row r="21" ht="18" customHeight="1">
      <c r="F21" s="60" t="n"/>
      <c r="G21" s="42" t="n"/>
      <c r="H21" s="42" t="n"/>
    </row>
    <row r="22" ht="18" customHeight="1">
      <c r="F22" s="60" t="n"/>
      <c r="G22" s="42" t="n"/>
      <c r="H22" s="42" t="n"/>
    </row>
    <row r="23" ht="18" customHeight="1">
      <c r="F23" s="60" t="n"/>
      <c r="G23" s="42" t="n"/>
      <c r="H23" s="42" t="n"/>
    </row>
    <row r="24" ht="18" customHeight="1">
      <c r="F24" s="60" t="n"/>
      <c r="G24" s="42" t="n"/>
      <c r="H24" s="42" t="n"/>
    </row>
    <row r="25" ht="18" customHeight="1">
      <c r="F25" s="60" t="n"/>
      <c r="G25" s="42" t="n"/>
      <c r="H25" s="42" t="n"/>
    </row>
    <row r="28">
      <c r="A28" s="34" t="n"/>
      <c r="B28" s="34" t="n"/>
      <c r="C28" s="34" t="n"/>
      <c r="D28" s="34" t="n"/>
      <c r="E28" s="34" t="n"/>
      <c r="F28" s="34" t="n"/>
      <c r="G28" s="34" t="n"/>
      <c r="H28" s="34" t="n"/>
      <c r="I28" s="34" t="n"/>
      <c r="J28" s="34" t="n"/>
      <c r="K28" s="34" t="n"/>
      <c r="L28" s="34" t="n"/>
    </row>
    <row r="29" ht="18" customHeight="1">
      <c r="A29" s="35" t="inlineStr">
        <is>
          <t>Questions? hello@thestrledger.com</t>
        </is>
      </c>
    </row>
    <row r="30" ht="18" customHeight="1">
      <c r="A30" s="36" t="inlineStr">
        <is>
          <t>MKT-002 · v2.3 · Free updates forever</t>
        </is>
      </c>
    </row>
  </sheetData>
  <mergeCells count="6">
    <mergeCell ref="A30:L30"/>
    <mergeCell ref="J2:L2"/>
    <mergeCell ref="D2:I2"/>
    <mergeCell ref="A29:L29"/>
    <mergeCell ref="A2:C2"/>
    <mergeCell ref="A4:L4"/>
  </mergeCells>
  <conditionalFormatting sqref="D8:D17">
    <cfRule type="expression" priority="1" dxfId="3">
      <formula>D8="⚠ drag"</formula>
    </cfRule>
    <cfRule type="expression" priority="2" dxfId="4">
      <formula>D8="ok"</formula>
    </cfRule>
  </conditionalFormatting>
  <dataValidations count="2">
    <dataValidation sqref="G8:G25" showDropDown="0" showInputMessage="0" showErrorMessage="0" allowBlank="1" type="list">
      <formula1>"High,Med,Low"</formula1>
    </dataValidation>
    <dataValidation sqref="H8:H25" showDropDown="0" showInputMessage="0" showErrorMessage="0" allowBlank="1" type="list">
      <formula1>"Open,In Progress,Done,Deferred"</formula1>
    </dataValidation>
  </dataValidations>
  <pageMargins left="0.4" right="0.4" top="0.5" bottom="0.5" header="0.5" footer="0.5"/>
  <pageSetup orientation="landscape" paperSize="1" fitToHeight="1" fitToWidth="1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6" customWidth="1" min="3" max="3"/>
    <col width="16" customWidth="1" min="4" max="4"/>
    <col width="16" customWidth="1" min="5" max="5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HYPERLINK("#'Lessons Learned'!A1", "← BACK")</f>
        <v/>
      </c>
      <c r="B2" s="12" t="n"/>
      <c r="C2" s="12" t="n"/>
      <c r="D2" s="37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Active year · property list · channel list · tag suggestions · year-end archive</t>
        </is>
      </c>
    </row>
    <row r="5" ht="18" customHeight="1">
      <c r="A5" s="61" t="inlineStr">
        <is>
          <t>Active year:</t>
        </is>
      </c>
      <c r="B5" s="62" t="n">
        <v>2026</v>
      </c>
    </row>
    <row r="6" ht="24" customHeight="1">
      <c r="A6" s="63" t="inlineStr">
        <is>
          <t>Drives the Start tab KPIs and Lessons Learned tag aggregation. Bump in January after archiving last year's totals below.</t>
        </is>
      </c>
    </row>
    <row r="7" ht="16" customHeight="1">
      <c r="A7" s="61" t="inlineStr">
        <is>
          <t>Properties (used by Reviews Log dropdown):</t>
        </is>
      </c>
      <c r="B7" s="41" t="inlineStr">
        <is>
          <t>Smokies Ridge</t>
        </is>
      </c>
    </row>
    <row r="8" ht="16" customHeight="1">
      <c r="B8" s="41" t="inlineStr">
        <is>
          <t>Creek Side</t>
        </is>
      </c>
    </row>
    <row r="9" ht="16" customHeight="1">
      <c r="B9" s="41" t="inlineStr">
        <is>
          <t>Lakehouse A</t>
        </is>
      </c>
    </row>
    <row r="10" ht="16" customHeight="1">
      <c r="B10" s="41" t="n"/>
    </row>
    <row r="11" ht="16" customHeight="1">
      <c r="B11" s="41" t="n"/>
    </row>
    <row r="12" ht="16" customHeight="1">
      <c r="B12" s="41" t="n"/>
    </row>
    <row r="13" ht="16" customHeight="1">
      <c r="B13" s="41" t="n"/>
    </row>
    <row r="14" ht="16" customHeight="1">
      <c r="B14" s="41" t="n"/>
    </row>
    <row r="15" ht="16" customHeight="1">
      <c r="B15" s="41" t="n"/>
    </row>
    <row r="16" ht="16" customHeight="1">
      <c r="B16" s="41" t="n"/>
    </row>
    <row r="18" ht="16" customHeight="1">
      <c r="A18" s="61" t="inlineStr">
        <is>
          <t>Channels (used by Reviews Log dropdown):</t>
        </is>
      </c>
      <c r="B18" s="41" t="inlineStr">
        <is>
          <t>Airbnb</t>
        </is>
      </c>
    </row>
    <row r="19" ht="16" customHeight="1">
      <c r="B19" s="41" t="inlineStr">
        <is>
          <t>VRBO</t>
        </is>
      </c>
    </row>
    <row r="20" ht="16" customHeight="1">
      <c r="B20" s="41" t="inlineStr">
        <is>
          <t>Booking</t>
        </is>
      </c>
    </row>
    <row r="21" ht="16" customHeight="1">
      <c r="B21" s="41" t="inlineStr">
        <is>
          <t>Direct</t>
        </is>
      </c>
    </row>
    <row r="22" ht="16" customHeight="1">
      <c r="B22" s="41" t="n"/>
    </row>
    <row r="23" ht="16" customHeight="1">
      <c r="B23" s="41" t="n"/>
    </row>
    <row r="24" ht="16" customHeight="1">
      <c r="B24" s="41" t="n"/>
    </row>
    <row r="25" ht="16" customHeight="1">
      <c r="B25" s="41" t="n"/>
    </row>
    <row r="27" ht="16" customHeight="1">
      <c r="A27" s="61" t="inlineStr">
        <is>
          <t>Tag suggestions (used by Lessons Learned):</t>
        </is>
      </c>
      <c r="B27" s="41" t="inlineStr">
        <is>
          <t>cleaning</t>
        </is>
      </c>
    </row>
    <row r="28" ht="16" customHeight="1">
      <c r="B28" s="41" t="inlineStr">
        <is>
          <t>wifi</t>
        </is>
      </c>
    </row>
    <row r="29" ht="16" customHeight="1">
      <c r="B29" s="41" t="inlineStr">
        <is>
          <t>noise</t>
        </is>
      </c>
    </row>
    <row r="30" ht="16" customHeight="1">
      <c r="B30" s="41" t="inlineStr">
        <is>
          <t>comms</t>
        </is>
      </c>
    </row>
    <row r="31" ht="16" customHeight="1">
      <c r="B31" s="41" t="inlineStr">
        <is>
          <t>checkin</t>
        </is>
      </c>
    </row>
    <row r="32" ht="16" customHeight="1">
      <c r="B32" s="41" t="inlineStr">
        <is>
          <t>amenities</t>
        </is>
      </c>
    </row>
    <row r="33" ht="16" customHeight="1">
      <c r="B33" s="41" t="inlineStr">
        <is>
          <t>location</t>
        </is>
      </c>
    </row>
    <row r="34" ht="16" customHeight="1">
      <c r="B34" s="41" t="inlineStr">
        <is>
          <t>value</t>
        </is>
      </c>
    </row>
    <row r="35" ht="16" customHeight="1">
      <c r="B35" s="41" t="inlineStr">
        <is>
          <t>linens</t>
        </is>
      </c>
    </row>
    <row r="36" ht="16" customHeight="1">
      <c r="B36" s="41" t="inlineStr">
        <is>
          <t>comfort</t>
        </is>
      </c>
    </row>
    <row r="38" ht="22" customHeight="1">
      <c r="A38" s="64" t="inlineStr">
        <is>
          <t>Year-end Archive</t>
        </is>
      </c>
    </row>
    <row r="39" ht="28" customHeight="1">
      <c r="A39" s="65" t="inlineStr">
        <is>
          <t>Each January, copy YTD totals into the row for the closing year, bump Active year (B5), and clear the Reviews Log for the new year.</t>
        </is>
      </c>
    </row>
    <row r="40" ht="18" customHeight="1">
      <c r="A40" s="39" t="inlineStr">
        <is>
          <t>Year</t>
        </is>
      </c>
      <c r="B40" s="39" t="inlineStr">
        <is>
          <t>Reviews</t>
        </is>
      </c>
      <c r="C40" s="39" t="inlineStr">
        <is>
          <t>Avg Stars</t>
        </is>
      </c>
      <c r="D40" s="39" t="inlineStr">
        <is>
          <t>Response %</t>
        </is>
      </c>
      <c r="E40" s="39" t="inlineStr">
        <is>
          <t>5★ Count</t>
        </is>
      </c>
    </row>
    <row r="41" ht="16" customHeight="1">
      <c r="A41" s="66" t="n">
        <v>2024</v>
      </c>
      <c r="B41" s="62" t="n"/>
      <c r="C41" s="67" t="n"/>
      <c r="D41" s="68" t="n"/>
      <c r="E41" s="62" t="n"/>
    </row>
    <row r="42" ht="16" customHeight="1">
      <c r="A42" s="66" t="n">
        <v>2025</v>
      </c>
      <c r="B42" s="62" t="n"/>
      <c r="C42" s="67" t="n"/>
      <c r="D42" s="68" t="n"/>
      <c r="E42" s="62" t="n"/>
    </row>
    <row r="43" ht="16" customHeight="1">
      <c r="A43" s="66" t="n">
        <v>2026</v>
      </c>
      <c r="B43" s="62" t="n"/>
      <c r="C43" s="67" t="n"/>
      <c r="D43" s="68" t="n"/>
      <c r="E43" s="62" t="n"/>
    </row>
    <row r="44" ht="16" customHeight="1">
      <c r="A44" s="66" t="n">
        <v>2027</v>
      </c>
      <c r="B44" s="62" t="n"/>
      <c r="C44" s="67" t="n"/>
      <c r="D44" s="68" t="n"/>
      <c r="E44" s="62" t="n"/>
    </row>
    <row r="45" ht="16" customHeight="1">
      <c r="A45" s="66" t="n">
        <v>2028</v>
      </c>
      <c r="B45" s="62" t="n"/>
      <c r="C45" s="67" t="n"/>
      <c r="D45" s="68" t="n"/>
      <c r="E45" s="62" t="n"/>
    </row>
    <row r="46" ht="16" customHeight="1">
      <c r="A46" s="66" t="n">
        <v>2029</v>
      </c>
      <c r="B46" s="62" t="n"/>
      <c r="C46" s="67" t="n"/>
      <c r="D46" s="68" t="n"/>
      <c r="E46" s="62" t="n"/>
    </row>
    <row r="47" ht="16" customHeight="1">
      <c r="A47" s="66" t="n">
        <v>2030</v>
      </c>
      <c r="B47" s="62" t="n"/>
      <c r="C47" s="67" t="n"/>
      <c r="D47" s="68" t="n"/>
      <c r="E47" s="62" t="n"/>
    </row>
  </sheetData>
  <mergeCells count="5">
    <mergeCell ref="D2:L2"/>
    <mergeCell ref="A39:E39"/>
    <mergeCell ref="A6:E6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Review Response Tracker (DEMO) — The STR Ledger</dc:title>
  <dc:description xmlns:dc="http://purl.org/dc/elements/1.1/">Review tracker + 8 reply-template library for STR hosts. Cuts response time 15min -&gt; 3min (v2.3).</dc:description>
  <dcterms:created xmlns:dcterms="http://purl.org/dc/terms/" xmlns:xsi="http://www.w3.org/2001/XMLSchema-instance" xsi:type="dcterms:W3CDTF">2026-05-03T12:26:08Z</dcterms:created>
  <dcterms:modified xmlns:dcterms="http://purl.org/dc/terms/" xmlns:xsi="http://www.w3.org/2001/XMLSchema-instance" xsi:type="dcterms:W3CDTF">2026-05-03T12:26:09Z</dcterms:modified>
</cp:coreProperties>
</file>