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sheetId="1" state="visible" r:id="rId1"/>
    <sheet xmlns:r="http://schemas.openxmlformats.org/officeDocument/2006/relationships" name="AirDNA Paste" sheetId="2" state="visible" r:id="rId2"/>
    <sheet xmlns:r="http://schemas.openxmlformats.org/officeDocument/2006/relationships" name="Quality Adjuster" sheetId="3" state="visible" r:id="rId3"/>
    <sheet xmlns:r="http://schemas.openxmlformats.org/officeDocument/2006/relationships" name="Adjusted Underwriting" sheetId="4" state="visible" r:id="rId4"/>
    <sheet xmlns:r="http://schemas.openxmlformats.org/officeDocument/2006/relationships" name="Settings" sheetId="5" state="visible" r:id="rId5"/>
  </sheets>
  <definedNames>
    <definedName name="_xlnm.Print_Area" localSheetId="0">'Start'!$A$1:$L$37</definedName>
    <definedName name="_xlnm.Print_Titles" localSheetId="1">'AirDNA Paste'!$1:$3</definedName>
    <definedName name="_xlnm.Print_Area" localSheetId="1">'AirDNA Paste'!$A$1:$L$38</definedName>
    <definedName name="_xlnm.Print_Area" localSheetId="2">'Quality Adjuster'!$A$1:$L$27</definedName>
    <definedName name="_xlnm.Print_Titles" localSheetId="3">'Adjusted Underwriting'!$1:$3</definedName>
    <definedName name="_xlnm.Print_Area" localSheetId="3">'Adjusted Underwriting'!$A$1:$L$31</definedName>
    <definedName name="_xlnm.Print_Area" localSheetId="4">'Settings'!$A$1:$L$30</definedName>
  </definedNames>
  <calcPr calcId="124519" fullCalcOnLoad="1"/>
</workbook>
</file>

<file path=xl/styles.xml><?xml version="1.0" encoding="utf-8"?>
<styleSheet xmlns="http://schemas.openxmlformats.org/spreadsheetml/2006/main">
  <numFmts count="4">
    <numFmt numFmtId="164" formatCode="&quot;$&quot;#,##0"/>
    <numFmt numFmtId="165" formatCode="0.0%"/>
    <numFmt numFmtId="166" formatCode="0.000"/>
    <numFmt numFmtId="167" formatCode="yyyy-mm-dd"/>
  </numFmts>
  <fonts count="25">
    <font>
      <name val="Calibri"/>
      <family val="2"/>
      <color theme="1"/>
      <sz val="11"/>
      <scheme val="minor"/>
    </font>
    <font>
      <name val="Georgia"/>
      <color rgb="00F6EFE2"/>
      <sz val="14"/>
    </font>
    <font>
      <name val="Georgia"/>
      <b val="1"/>
      <color rgb="00F6EFE2"/>
      <sz val="30"/>
    </font>
    <font>
      <name val="Georgia"/>
      <i val="1"/>
      <color rgb="00C9A24B"/>
      <sz val="14"/>
    </font>
    <font>
      <name val="Consolas"/>
      <color rgb="00C9A24B"/>
      <sz val="9"/>
    </font>
    <font>
      <name val="Consolas"/>
      <b val="1"/>
      <color rgb="0012304E"/>
      <sz val="10"/>
    </font>
    <font>
      <name val="Calibri"/>
      <color rgb="002B2B2B"/>
      <sz val="11"/>
    </font>
    <font>
      <name val="Georgia"/>
      <b val="1"/>
      <color rgb="00F6EFE2"/>
      <sz val="13"/>
    </font>
    <font>
      <name val="Georgia"/>
      <b val="1"/>
      <color rgb="0012304E"/>
      <sz val="13"/>
    </font>
    <font>
      <name val="Calibri"/>
      <i val="1"/>
      <color rgb="002B2B2B"/>
      <sz val="10"/>
    </font>
    <font>
      <name val="Calibri"/>
      <color rgb="006B7280"/>
      <sz val="10"/>
    </font>
    <font>
      <name val="Calibri"/>
      <i val="1"/>
      <color rgb="00C9A24B"/>
      <sz val="10"/>
    </font>
    <font>
      <name val="Consolas"/>
      <b val="1"/>
      <color rgb="00C9A24B"/>
      <sz val="10"/>
    </font>
    <font>
      <name val="Calibri"/>
      <i val="1"/>
      <color rgb="0012304E"/>
      <sz val="10"/>
    </font>
    <font>
      <name val="Georgia"/>
      <b val="1"/>
      <color rgb="00F6EFE2"/>
      <sz val="12"/>
    </font>
    <font>
      <name val="Calibri"/>
      <b val="1"/>
      <color rgb="002B2B2B"/>
      <sz val="11"/>
    </font>
    <font>
      <name val="Calibri"/>
      <i val="1"/>
      <color rgb="006B7280"/>
      <sz val="9"/>
    </font>
    <font>
      <name val="Calibri"/>
      <i val="1"/>
      <color rgb="002B2B2B"/>
      <sz val="11"/>
    </font>
    <font>
      <name val="Calibri"/>
      <b val="1"/>
      <color rgb="00FFFFFF"/>
      <sz val="11"/>
    </font>
    <font>
      <name val="Georgia"/>
      <b val="1"/>
      <color rgb="0012304E"/>
      <sz val="11"/>
    </font>
    <font>
      <name val="Georgia"/>
      <b val="1"/>
      <color rgb="0012304E"/>
      <sz val="12"/>
    </font>
    <font>
      <name val="Georgia"/>
      <b val="1"/>
      <color rgb="00C9A24B"/>
      <sz val="14"/>
    </font>
    <font>
      <name val="Calibri"/>
      <i val="1"/>
      <color rgb="006B7280"/>
      <sz val="11"/>
    </font>
    <font>
      <name val="Georgia"/>
      <b val="1"/>
      <color rgb="00C9A24B"/>
      <sz val="20"/>
    </font>
    <font>
      <name val="Calibri"/>
      <i val="1"/>
      <color rgb="0012304E"/>
      <sz val="11"/>
    </font>
  </fonts>
  <fills count="9">
    <fill>
      <patternFill/>
    </fill>
    <fill>
      <patternFill patternType="gray125"/>
    </fill>
    <fill>
      <patternFill patternType="solid">
        <fgColor rgb="0012304E"/>
      </patternFill>
    </fill>
    <fill>
      <patternFill patternType="solid">
        <fgColor rgb="00E2C884"/>
      </patternFill>
    </fill>
    <fill>
      <patternFill patternType="solid">
        <fgColor rgb="00F6EFE2"/>
      </patternFill>
    </fill>
    <fill>
      <patternFill patternType="solid">
        <fgColor rgb="00C9A24B"/>
      </patternFill>
    </fill>
    <fill>
      <patternFill patternType="solid">
        <fgColor rgb="00EFE5D0"/>
      </patternFill>
    </fill>
    <fill>
      <patternFill patternType="solid">
        <fgColor rgb="00FFF7D6"/>
      </patternFill>
    </fill>
    <fill>
      <patternFill patternType="solid">
        <fgColor rgb="00EDEDED"/>
      </patternFill>
    </fill>
  </fills>
  <borders count="14">
    <border>
      <left/>
      <right/>
      <top/>
      <bottom/>
      <diagonal/>
    </border>
    <border>
      <left style="thin">
        <color rgb="00C9A24B"/>
      </left>
      <right/>
      <top style="thin">
        <color rgb="00C9A24B"/>
      </top>
    </border>
    <border>
      <left/>
      <right/>
      <top style="thin">
        <color rgb="00C9A24B"/>
      </top>
    </border>
    <border>
      <left/>
      <right style="thin">
        <color rgb="00C9A24B"/>
      </right>
      <top style="thin">
        <color rgb="00C9A24B"/>
      </top>
    </border>
    <border>
      <left style="thin">
        <color rgb="00C9A24B"/>
      </left>
      <right/>
      <top/>
      <bottom style="thin">
        <color rgb="00C9A24B"/>
      </bottom>
    </border>
    <border>
      <left/>
      <right/>
      <top/>
      <bottom style="thin">
        <color rgb="00C9A24B"/>
      </bottom>
    </border>
    <border>
      <left/>
      <right style="thin">
        <color rgb="00C9A24B"/>
      </right>
      <top/>
      <bottom style="thin">
        <color rgb="00C9A24B"/>
      </bottom>
    </border>
    <border>
      <left style="thin">
        <color rgb="00C9A24B"/>
      </left>
      <right/>
      <top/>
      <bottom/>
    </border>
    <border>
      <left/>
      <right style="thin">
        <color rgb="00C9A24B"/>
      </right>
      <top/>
      <bottom/>
    </border>
    <border>
      <left style="medium">
        <color rgb="00C9A24B"/>
      </left>
      <right style="medium">
        <color rgb="00C9A24B"/>
      </right>
      <top style="medium">
        <color rgb="00C9A24B"/>
      </top>
      <bottom style="medium">
        <color rgb="00C9A24B"/>
      </bottom>
    </border>
    <border>
      <left style="medium">
        <color rgb="0012304E"/>
      </left>
      <right style="medium">
        <color rgb="0012304E"/>
      </right>
      <top style="medium">
        <color rgb="0012304E"/>
      </top>
      <bottom style="medium">
        <color rgb="0012304E"/>
      </bottom>
    </border>
    <border>
      <left style="thin">
        <color rgb="00C9A24B"/>
      </left>
      <right style="thin">
        <color rgb="00C9A24B"/>
      </right>
      <top style="thin">
        <color rgb="00C9A24B"/>
      </top>
      <bottom style="thin">
        <color rgb="00C9A24B"/>
      </bottom>
    </border>
    <border>
      <top style="thin">
        <color rgb="00C9A24B"/>
      </top>
    </border>
    <border>
      <left style="thin">
        <color rgb="0012304E"/>
      </left>
      <right style="thin">
        <color rgb="0012304E"/>
      </right>
      <top style="thin">
        <color rgb="0012304E"/>
      </top>
      <bottom style="thin">
        <color rgb="0012304E"/>
      </bottom>
    </border>
  </borders>
  <cellStyleXfs count="1">
    <xf numFmtId="0" fontId="0" fillId="0" borderId="0"/>
  </cellStyleXfs>
  <cellXfs count="73">
    <xf numFmtId="0" fontId="0" fillId="0" borderId="0" pivotButton="0" quotePrefix="0" xfId="0"/>
    <xf numFmtId="0" fontId="0" fillId="2" borderId="0" pivotButton="0" quotePrefix="0" xfId="0"/>
    <xf numFmtId="0" fontId="1" fillId="2" borderId="0" applyAlignment="1" pivotButton="0" quotePrefix="0" xfId="0">
      <alignment horizontal="left" vertical="center" indent="2"/>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applyAlignment="1" pivotButton="0" quotePrefix="0" xfId="0">
      <alignment horizontal="center" vertical="center"/>
    </xf>
    <xf numFmtId="0" fontId="5" fillId="3" borderId="0" applyAlignment="1" pivotButton="0" quotePrefix="0" xfId="0">
      <alignment horizontal="left" vertical="center" indent="1"/>
    </xf>
    <xf numFmtId="0" fontId="6" fillId="4" borderId="1" applyAlignment="1" pivotButton="0" quotePrefix="0" xfId="0">
      <alignment horizontal="left" vertical="top" wrapText="1" indent="2"/>
    </xf>
    <xf numFmtId="0" fontId="0" fillId="4" borderId="2" pivotButton="0" quotePrefix="0" xfId="0"/>
    <xf numFmtId="0" fontId="0" fillId="4" borderId="3" pivotButton="0" quotePrefix="0" xfId="0"/>
    <xf numFmtId="0" fontId="0" fillId="4" borderId="7" pivotButton="0" quotePrefix="0" xfId="0"/>
    <xf numFmtId="0" fontId="0" fillId="4" borderId="0" pivotButton="0" quotePrefix="0" xfId="0"/>
    <xf numFmtId="0" fontId="0" fillId="4" borderId="8" pivotButton="0" quotePrefix="0" xfId="0"/>
    <xf numFmtId="0" fontId="0" fillId="4" borderId="4" pivotButton="0" quotePrefix="0" xfId="0"/>
    <xf numFmtId="0" fontId="0" fillId="4" borderId="5" pivotButton="0" quotePrefix="0" xfId="0"/>
    <xf numFmtId="0" fontId="0" fillId="4" borderId="6" pivotButton="0" quotePrefix="0" xfId="0"/>
    <xf numFmtId="0" fontId="6" fillId="4" borderId="1" applyAlignment="1" pivotButton="0" quotePrefix="0" xfId="0">
      <alignment horizontal="left" vertical="center" wrapText="1" indent="2"/>
    </xf>
    <xf numFmtId="0" fontId="6" fillId="4" borderId="7" applyAlignment="1" pivotButton="0" quotePrefix="0" xfId="0">
      <alignment horizontal="left" vertical="center" wrapText="1" indent="2"/>
    </xf>
    <xf numFmtId="0" fontId="7" fillId="2" borderId="9" applyAlignment="1" pivotButton="0" quotePrefix="0" xfId="0">
      <alignment horizontal="center" vertical="center" wrapText="1"/>
    </xf>
    <xf numFmtId="0" fontId="0" fillId="0" borderId="9" pivotButton="0" quotePrefix="0" xfId="0"/>
    <xf numFmtId="0" fontId="8" fillId="5" borderId="10" applyAlignment="1" pivotButton="0" quotePrefix="0" xfId="0">
      <alignment horizontal="center" vertical="center" wrapText="1"/>
    </xf>
    <xf numFmtId="0" fontId="0" fillId="0" borderId="10" pivotButton="0" quotePrefix="0" xfId="0"/>
    <xf numFmtId="0" fontId="8" fillId="4" borderId="11" applyAlignment="1" pivotButton="0" quotePrefix="0" xfId="0">
      <alignment horizontal="center" vertical="center" wrapText="1"/>
    </xf>
    <xf numFmtId="0" fontId="0" fillId="0" borderId="11" pivotButton="0" quotePrefix="0" xfId="0"/>
    <xf numFmtId="0" fontId="5" fillId="3" borderId="0" applyAlignment="1" pivotButton="0" quotePrefix="0" xfId="0">
      <alignment horizontal="left" vertical="center" indent="2"/>
    </xf>
    <xf numFmtId="0" fontId="9" fillId="6" borderId="0" applyAlignment="1" pivotButton="0" quotePrefix="0" xfId="0">
      <alignment horizontal="left" vertical="top" wrapText="1" indent="2"/>
    </xf>
    <xf numFmtId="0" fontId="0" fillId="0" borderId="12" pivotButton="0" quotePrefix="0" xfId="0"/>
    <xf numFmtId="0" fontId="10" fillId="0" borderId="0" applyAlignment="1" pivotButton="0" quotePrefix="0" xfId="0">
      <alignment horizontal="center" vertical="center"/>
    </xf>
    <xf numFmtId="0" fontId="11" fillId="0" borderId="0" applyAlignment="1" pivotButton="0" quotePrefix="0" xfId="0">
      <alignment horizontal="center" vertical="center"/>
    </xf>
    <xf numFmtId="0" fontId="12" fillId="2" borderId="0" applyAlignment="1" pivotButton="0" quotePrefix="0" xfId="0">
      <alignment horizontal="right" vertical="center" indent="2"/>
    </xf>
    <xf numFmtId="0" fontId="13" fillId="4" borderId="0" applyAlignment="1" pivotButton="0" quotePrefix="0" xfId="0">
      <alignment horizontal="left" vertical="center" indent="2"/>
    </xf>
    <xf numFmtId="0" fontId="14" fillId="2" borderId="0" applyAlignment="1" pivotButton="0" quotePrefix="0" xfId="0">
      <alignment horizontal="left" vertical="center" indent="2"/>
    </xf>
    <xf numFmtId="0" fontId="15" fillId="0" borderId="0" applyAlignment="1" pivotButton="0" quotePrefix="0" xfId="0">
      <alignment horizontal="right" vertical="center" indent="1"/>
    </xf>
    <xf numFmtId="164" fontId="6" fillId="7" borderId="0" applyAlignment="1" pivotButton="0" quotePrefix="0" xfId="0">
      <alignment horizontal="center" vertical="center"/>
    </xf>
    <xf numFmtId="0" fontId="16" fillId="0" borderId="0" applyAlignment="1" pivotButton="0" quotePrefix="0" xfId="0">
      <alignment horizontal="left" vertical="center" indent="1"/>
    </xf>
    <xf numFmtId="165" fontId="6" fillId="7" borderId="0" applyAlignment="1" pivotButton="0" quotePrefix="0" xfId="0">
      <alignment horizontal="center" vertical="center"/>
    </xf>
    <xf numFmtId="1" fontId="6" fillId="7" borderId="0" applyAlignment="1" pivotButton="0" quotePrefix="0" xfId="0">
      <alignment horizontal="center" vertical="center"/>
    </xf>
    <xf numFmtId="0" fontId="6" fillId="7" borderId="0" applyAlignment="1" pivotButton="0" quotePrefix="0" xfId="0">
      <alignment horizontal="center" vertical="center"/>
    </xf>
    <xf numFmtId="164" fontId="17" fillId="8" borderId="0" applyAlignment="1" pivotButton="0" quotePrefix="0" xfId="0">
      <alignment horizontal="center" vertical="center"/>
    </xf>
    <xf numFmtId="165" fontId="17" fillId="8" borderId="0" applyAlignment="1" pivotButton="0" quotePrefix="0" xfId="0">
      <alignment horizontal="center" vertical="center"/>
    </xf>
    <xf numFmtId="0" fontId="18" fillId="2" borderId="13" applyAlignment="1" pivotButton="0" quotePrefix="0" xfId="0">
      <alignment horizontal="center" vertical="center"/>
    </xf>
    <xf numFmtId="0" fontId="15" fillId="6" borderId="0" applyAlignment="1" pivotButton="0" quotePrefix="0" xfId="0">
      <alignment horizontal="right" vertical="center" indent="1"/>
    </xf>
    <xf numFmtId="164" fontId="6" fillId="6" borderId="0" applyAlignment="1" pivotButton="0" quotePrefix="0" xfId="0">
      <alignment horizontal="center" vertical="center"/>
    </xf>
    <xf numFmtId="0" fontId="0" fillId="6" borderId="0" pivotButton="0" quotePrefix="0" xfId="0"/>
    <xf numFmtId="165" fontId="17" fillId="6" borderId="0" applyAlignment="1" pivotButton="0" quotePrefix="0" xfId="0">
      <alignment horizontal="center" vertical="center"/>
    </xf>
    <xf numFmtId="0" fontId="19" fillId="0" borderId="0" applyAlignment="1" pivotButton="0" quotePrefix="0" xfId="0">
      <alignment horizontal="right" vertical="center" indent="1"/>
    </xf>
    <xf numFmtId="164" fontId="20" fillId="3" borderId="0" applyAlignment="1" pivotButton="0" quotePrefix="0" xfId="0">
      <alignment horizontal="center" vertical="center"/>
    </xf>
    <xf numFmtId="0" fontId="9" fillId="4" borderId="0" applyAlignment="1" pivotButton="0" quotePrefix="0" xfId="0">
      <alignment horizontal="left" vertical="center" wrapText="1" indent="2"/>
    </xf>
    <xf numFmtId="2" fontId="17" fillId="8" borderId="0" applyAlignment="1" pivotButton="0" quotePrefix="0" xfId="0">
      <alignment horizontal="center" vertical="center"/>
    </xf>
    <xf numFmtId="2" fontId="20" fillId="7" borderId="0" applyAlignment="1" pivotButton="0" quotePrefix="0" xfId="0">
      <alignment horizontal="center" vertical="center"/>
    </xf>
    <xf numFmtId="0" fontId="6" fillId="7" borderId="0" applyAlignment="1" pivotButton="0" quotePrefix="0" xfId="0">
      <alignment horizontal="left" vertical="center" wrapText="1" indent="1"/>
    </xf>
    <xf numFmtId="2" fontId="17" fillId="6" borderId="0" applyAlignment="1" pivotButton="0" quotePrefix="0" xfId="0">
      <alignment horizontal="center" vertical="center"/>
    </xf>
    <xf numFmtId="2" fontId="20" fillId="6" borderId="0" applyAlignment="1" pivotButton="0" quotePrefix="0" xfId="0">
      <alignment horizontal="center" vertical="center"/>
    </xf>
    <xf numFmtId="0" fontId="6" fillId="6" borderId="0" applyAlignment="1" pivotButton="0" quotePrefix="0" xfId="0">
      <alignment horizontal="left" vertical="center" wrapText="1" indent="1"/>
    </xf>
    <xf numFmtId="0" fontId="20" fillId="0" borderId="0" applyAlignment="1" pivotButton="0" quotePrefix="0" xfId="0">
      <alignment horizontal="right" vertical="center" indent="1"/>
    </xf>
    <xf numFmtId="166" fontId="21" fillId="3" borderId="0" applyAlignment="1" pivotButton="0" quotePrefix="0" xfId="0">
      <alignment horizontal="center" vertical="center"/>
    </xf>
    <xf numFmtId="0" fontId="22" fillId="0" borderId="0" applyAlignment="1" pivotButton="0" quotePrefix="0" xfId="0">
      <alignment horizontal="right" vertical="center" indent="1"/>
    </xf>
    <xf numFmtId="166" fontId="17" fillId="8" borderId="0" applyAlignment="1" pivotButton="0" quotePrefix="0" xfId="0">
      <alignment horizontal="center" vertical="center"/>
    </xf>
    <xf numFmtId="0" fontId="17" fillId="6" borderId="0" applyAlignment="1" pivotButton="0" quotePrefix="0" xfId="0">
      <alignment horizontal="left" vertical="top" wrapText="1" indent="2"/>
    </xf>
    <xf numFmtId="164" fontId="21" fillId="3" borderId="0" applyAlignment="1" pivotButton="0" quotePrefix="0" xfId="0">
      <alignment horizontal="center" vertical="center"/>
    </xf>
    <xf numFmtId="0" fontId="6" fillId="6" borderId="0" applyAlignment="1" pivotButton="0" quotePrefix="0" xfId="0">
      <alignment horizontal="right" vertical="center" indent="1"/>
    </xf>
    <xf numFmtId="166" fontId="17" fillId="6" borderId="0" applyAlignment="1" pivotButton="0" quotePrefix="0" xfId="0">
      <alignment horizontal="center" vertical="center"/>
    </xf>
    <xf numFmtId="0" fontId="6" fillId="0" borderId="0" applyAlignment="1" pivotButton="0" quotePrefix="0" xfId="0">
      <alignment horizontal="right" vertical="center" indent="1"/>
    </xf>
    <xf numFmtId="164" fontId="17" fillId="6" borderId="0" applyAlignment="1" pivotButton="0" quotePrefix="0" xfId="0">
      <alignment horizontal="center" vertical="center"/>
    </xf>
    <xf numFmtId="1" fontId="17" fillId="8" borderId="0" applyAlignment="1" pivotButton="0" quotePrefix="0" xfId="0">
      <alignment horizontal="center" vertical="center"/>
    </xf>
    <xf numFmtId="0" fontId="23" fillId="3" borderId="0" applyAlignment="1" pivotButton="0" quotePrefix="0" xfId="0">
      <alignment horizontal="center" vertical="center"/>
    </xf>
    <xf numFmtId="0" fontId="24" fillId="6" borderId="0" applyAlignment="1" pivotButton="0" quotePrefix="0" xfId="0">
      <alignment horizontal="center" vertical="center" wrapText="1"/>
    </xf>
    <xf numFmtId="0" fontId="9" fillId="4" borderId="0" applyAlignment="1" pivotButton="0" quotePrefix="0" xfId="0">
      <alignment horizontal="left" vertical="center" indent="2"/>
    </xf>
    <xf numFmtId="0" fontId="16" fillId="4" borderId="0" applyAlignment="1" pivotButton="0" quotePrefix="0" xfId="0">
      <alignment horizontal="left" vertical="center" indent="1"/>
    </xf>
    <xf numFmtId="167" fontId="6" fillId="7" borderId="0" applyAlignment="1" pivotButton="0" quotePrefix="0" xfId="0">
      <alignment horizontal="center" vertical="center"/>
    </xf>
    <xf numFmtId="166" fontId="6" fillId="7" borderId="0" applyAlignment="1" pivotButton="0" quotePrefix="0" xfId="0">
      <alignment horizontal="center" vertical="center"/>
    </xf>
    <xf numFmtId="1" fontId="17" fillId="6" borderId="0" applyAlignment="1" pivotButton="0" quotePrefix="0" xfId="0">
      <alignment horizontal="center" vertical="center"/>
    </xf>
    <xf numFmtId="0" fontId="16" fillId="0" borderId="0" applyAlignment="1" pivotButton="0" quotePrefix="0" xfId="0">
      <alignment horizontal="left" vertical="top" wrapText="1" indent="2"/>
    </xf>
  </cellXfs>
  <cellStyles count="1">
    <cellStyle name="Normal" xfId="0" builtinId="0" hidden="0"/>
  </cellStyles>
  <dxfs count="3">
    <dxf>
      <font>
        <name val="Calibri"/>
        <b val="1"/>
        <color rgb="00B91C1C"/>
        <sz val="11"/>
      </font>
    </dxf>
    <dxf>
      <font>
        <name val="Calibri"/>
        <b val="1"/>
        <color rgb="00B91C1C"/>
        <sz val="12"/>
      </font>
      <fill>
        <patternFill patternType="solid">
          <fgColor rgb="00E2C884"/>
        </patternFill>
      </fill>
    </dxf>
    <dxf>
      <font>
        <name val="Calibri"/>
        <b val="1"/>
        <color rgb="0012304E"/>
        <sz val="11"/>
      </font>
      <fill>
        <patternFill patternType="solid">
          <fgColor rgb="00E2C884"/>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2304E"/>
    <outlinePr summaryBelow="1" summaryRight="1"/>
    <pageSetUpPr fitToPage="1"/>
  </sheetPr>
  <dimension ref="A1:L37"/>
  <sheetViews>
    <sheetView workbookViewId="0">
      <selection activeCell="A1" sqref="A1"/>
    </sheetView>
  </sheetViews>
  <sheetFormatPr baseColWidth="8" defaultRowHeight="15"/>
  <cols>
    <col width="8" customWidth="1" min="1" max="1"/>
    <col width="8" customWidth="1" min="2" max="2"/>
    <col width="8" customWidth="1" min="3" max="3"/>
    <col width="8" customWidth="1" min="4" max="4"/>
    <col width="8" customWidth="1" min="5" max="5"/>
    <col width="8" customWidth="1" min="6" max="6"/>
    <col width="8" customWidth="1" min="7" max="7"/>
    <col width="8" customWidth="1" min="8" max="8"/>
    <col width="8" customWidth="1" min="9" max="9"/>
    <col width="8" customWidth="1" min="10" max="10"/>
    <col width="8" customWidth="1" min="11" max="11"/>
    <col width="8" customWidth="1" min="12" max="12"/>
  </cols>
  <sheetData>
    <row r="1" ht="22" customHeight="1">
      <c r="A1" s="1" t="n"/>
      <c r="B1" s="1" t="n"/>
      <c r="C1" s="1" t="n"/>
      <c r="D1" s="1" t="n"/>
      <c r="E1" s="1" t="n"/>
      <c r="F1" s="1" t="n"/>
      <c r="G1" s="1" t="n"/>
      <c r="H1" s="1" t="n"/>
      <c r="I1" s="1" t="n"/>
      <c r="J1" s="1" t="n"/>
      <c r="K1" s="1" t="n"/>
      <c r="L1" s="1" t="n"/>
    </row>
    <row r="2" ht="22" customHeight="1">
      <c r="A2" s="2" t="inlineStr">
        <is>
          <t>The STR Ledger</t>
        </is>
      </c>
      <c r="G2" s="1" t="n"/>
      <c r="H2" s="1" t="n"/>
      <c r="I2" s="1" t="n"/>
      <c r="J2" s="1" t="n"/>
      <c r="K2" s="1" t="n"/>
      <c r="L2" s="1" t="n"/>
    </row>
    <row r="3" ht="22" customHeight="1">
      <c r="A3" s="1" t="n"/>
      <c r="B3" s="1" t="n"/>
      <c r="C3" s="1" t="n"/>
      <c r="D3" s="1" t="n"/>
      <c r="E3" s="1" t="n"/>
      <c r="F3" s="1" t="n"/>
      <c r="G3" s="1" t="n"/>
      <c r="H3" s="1" t="n"/>
      <c r="I3" s="1" t="n"/>
      <c r="J3" s="1" t="n"/>
      <c r="K3" s="1" t="n"/>
      <c r="L3" s="1" t="n"/>
    </row>
    <row r="4" ht="44" customHeight="1">
      <c r="A4" s="3" t="inlineStr">
        <is>
          <t>AirDNA Data Integrator</t>
        </is>
      </c>
    </row>
    <row r="5" ht="22" customHeight="1">
      <c r="A5" s="4" t="inlineStr">
        <is>
          <t>Translate "AirDNA says $87K" into what your deal will actually do.</t>
        </is>
      </c>
    </row>
    <row r="6" ht="22" customHeight="1">
      <c r="A6" s="1" t="n"/>
      <c r="B6" s="1" t="n"/>
      <c r="C6" s="1" t="n"/>
      <c r="D6" s="1" t="n"/>
      <c r="E6" s="1" t="n"/>
      <c r="F6" s="1" t="n"/>
      <c r="G6" s="1" t="n"/>
      <c r="H6" s="1" t="n"/>
      <c r="I6" s="1" t="n"/>
      <c r="J6" s="1" t="n"/>
      <c r="K6" s="1" t="n"/>
      <c r="L6" s="1" t="n"/>
    </row>
    <row r="7" ht="22" customHeight="1">
      <c r="A7" s="5" t="inlineStr">
        <is>
          <t>ACQ-005 · v1.0 · BLANK</t>
        </is>
      </c>
    </row>
    <row r="8" ht="22" customHeight="1">
      <c r="A8" s="1" t="n"/>
      <c r="B8" s="1" t="n"/>
      <c r="C8" s="1" t="n"/>
      <c r="D8" s="1" t="n"/>
      <c r="E8" s="1" t="n"/>
      <c r="F8" s="1" t="n"/>
      <c r="G8" s="1" t="n"/>
      <c r="H8" s="1" t="n"/>
      <c r="I8" s="1" t="n"/>
      <c r="J8" s="1" t="n"/>
      <c r="K8" s="1" t="n"/>
      <c r="L8" s="1" t="n"/>
    </row>
    <row r="10" ht="20" customHeight="1">
      <c r="A10" s="6" t="inlineStr">
        <is>
          <t>WHAT THIS DOES</t>
        </is>
      </c>
    </row>
    <row r="11" ht="18" customHeight="1">
      <c r="A11" s="7" t="inlineStr">
        <is>
          <t>Paste AirDNA Rentalizer output (annual + monthly revenue, occupancy, ADR, RevPAR, market score). The Quality Adjuster lets you mark each dimension above or below market — pro photos, hot tub, decor, review history, pricing strategy. Output: an adjusted revenue projection and a mini-underwriting verdict (NOI, CoC, DSCR) tuned to YOUR property, not the market median.</t>
        </is>
      </c>
      <c r="B11" s="8" t="n"/>
      <c r="C11" s="8" t="n"/>
      <c r="D11" s="8" t="n"/>
      <c r="E11" s="8" t="n"/>
      <c r="F11" s="8" t="n"/>
      <c r="G11" s="8" t="n"/>
      <c r="H11" s="8" t="n"/>
      <c r="I11" s="8" t="n"/>
      <c r="J11" s="8" t="n"/>
      <c r="K11" s="8" t="n"/>
      <c r="L11" s="9" t="n"/>
    </row>
    <row r="12" ht="18" customHeight="1">
      <c r="A12" s="10" t="n"/>
      <c r="B12" s="11" t="n"/>
      <c r="C12" s="11" t="n"/>
      <c r="D12" s="11" t="n"/>
      <c r="E12" s="11" t="n"/>
      <c r="F12" s="11" t="n"/>
      <c r="G12" s="11" t="n"/>
      <c r="H12" s="11" t="n"/>
      <c r="I12" s="11" t="n"/>
      <c r="J12" s="11" t="n"/>
      <c r="K12" s="11" t="n"/>
      <c r="L12" s="12" t="n"/>
    </row>
    <row r="13" ht="18" customHeight="1">
      <c r="A13" s="10" t="n"/>
      <c r="B13" s="11" t="n"/>
      <c r="C13" s="11" t="n"/>
      <c r="D13" s="11" t="n"/>
      <c r="E13" s="11" t="n"/>
      <c r="F13" s="11" t="n"/>
      <c r="G13" s="11" t="n"/>
      <c r="H13" s="11" t="n"/>
      <c r="I13" s="11" t="n"/>
      <c r="J13" s="11" t="n"/>
      <c r="K13" s="11" t="n"/>
      <c r="L13" s="12" t="n"/>
    </row>
    <row r="14" ht="18" customHeight="1">
      <c r="A14" s="13" t="n"/>
      <c r="B14" s="14" t="n"/>
      <c r="C14" s="14" t="n"/>
      <c r="D14" s="14" t="n"/>
      <c r="E14" s="14" t="n"/>
      <c r="F14" s="14" t="n"/>
      <c r="G14" s="14" t="n"/>
      <c r="H14" s="14" t="n"/>
      <c r="I14" s="14" t="n"/>
      <c r="J14" s="14" t="n"/>
      <c r="K14" s="14" t="n"/>
      <c r="L14" s="15" t="n"/>
    </row>
    <row r="17" ht="20" customHeight="1">
      <c r="A17" s="6" t="inlineStr">
        <is>
          <t>HOW TO USE — 3 STEPS</t>
        </is>
      </c>
    </row>
    <row r="18" ht="20" customHeight="1">
      <c r="A18" s="16" t="inlineStr">
        <is>
          <t>1.  Open AirDNA Rentalizer for your target address. Export CSV (or copy values).</t>
        </is>
      </c>
      <c r="B18" s="8" t="n"/>
      <c r="C18" s="8" t="n"/>
      <c r="D18" s="8" t="n"/>
      <c r="E18" s="8" t="n"/>
      <c r="F18" s="8" t="n"/>
      <c r="G18" s="8" t="n"/>
      <c r="H18" s="8" t="n"/>
      <c r="I18" s="8" t="n"/>
      <c r="J18" s="8" t="n"/>
      <c r="K18" s="8" t="n"/>
      <c r="L18" s="9" t="n"/>
    </row>
    <row r="19" ht="20" customHeight="1">
      <c r="A19" s="17" t="inlineStr">
        <is>
          <t>2.  Paste annual + monthly figures into the AirDNA Paste tab.</t>
        </is>
      </c>
      <c r="B19" s="11" t="n"/>
      <c r="C19" s="11" t="n"/>
      <c r="D19" s="11" t="n"/>
      <c r="E19" s="11" t="n"/>
      <c r="F19" s="11" t="n"/>
      <c r="G19" s="11" t="n"/>
      <c r="H19" s="11" t="n"/>
      <c r="I19" s="11" t="n"/>
      <c r="J19" s="11" t="n"/>
      <c r="K19" s="11" t="n"/>
      <c r="L19" s="12" t="n"/>
    </row>
    <row r="20" ht="20" customHeight="1">
      <c r="A20" s="17" t="inlineStr">
        <is>
          <t>3.  Mark your property quality on the Quality Adjuster tab — read the verdict.</t>
        </is>
      </c>
      <c r="B20" s="11" t="n"/>
      <c r="C20" s="11" t="n"/>
      <c r="D20" s="11" t="n"/>
      <c r="E20" s="11" t="n"/>
      <c r="F20" s="11" t="n"/>
      <c r="G20" s="11" t="n"/>
      <c r="H20" s="11" t="n"/>
      <c r="I20" s="11" t="n"/>
      <c r="J20" s="11" t="n"/>
      <c r="K20" s="11" t="n"/>
      <c r="L20" s="12" t="n"/>
    </row>
    <row r="21">
      <c r="A21" s="13" t="n"/>
      <c r="B21" s="14" t="n"/>
      <c r="C21" s="14" t="n"/>
      <c r="D21" s="14" t="n"/>
      <c r="E21" s="14" t="n"/>
      <c r="F21" s="14" t="n"/>
      <c r="G21" s="14" t="n"/>
      <c r="H21" s="14" t="n"/>
      <c r="I21" s="14" t="n"/>
      <c r="J21" s="14" t="n"/>
      <c r="K21" s="14" t="n"/>
      <c r="L21" s="15" t="n"/>
    </row>
    <row r="24" ht="22" customHeight="1">
      <c r="A24" s="18">
        <f>HYPERLINK("#'AirDNA Paste'!A1", "1. Paste AirDNA")</f>
        <v/>
      </c>
      <c r="B24" s="19" t="n"/>
      <c r="C24" s="19" t="n"/>
      <c r="D24" s="18">
        <f>HYPERLINK("#'Quality Adjuster'!A1", "2. Quality Adjuster")</f>
        <v/>
      </c>
      <c r="E24" s="19" t="n"/>
      <c r="F24" s="19" t="n"/>
      <c r="G24" s="20">
        <f>HYPERLINK("#'Adjusted Underwriting'!A1", "3. Adjusted Underwriting")</f>
        <v/>
      </c>
      <c r="H24" s="21" t="n"/>
      <c r="I24" s="21" t="n"/>
      <c r="J24" s="22">
        <f>HYPERLINK("#'Settings'!A1", "Settings")</f>
        <v/>
      </c>
      <c r="K24" s="23" t="n"/>
      <c r="L24" s="23" t="n"/>
    </row>
    <row r="25" ht="22" customHeight="1">
      <c r="A25" s="19" t="n"/>
      <c r="B25" s="19" t="n"/>
      <c r="C25" s="19" t="n"/>
      <c r="D25" s="19" t="n"/>
      <c r="E25" s="19" t="n"/>
      <c r="F25" s="19" t="n"/>
      <c r="G25" s="21" t="n"/>
      <c r="H25" s="21" t="n"/>
      <c r="I25" s="21" t="n"/>
      <c r="J25" s="23" t="n"/>
      <c r="K25" s="23" t="n"/>
      <c r="L25" s="23" t="n"/>
    </row>
    <row r="26" ht="22" customHeight="1">
      <c r="A26" s="19" t="n"/>
      <c r="B26" s="19" t="n"/>
      <c r="C26" s="19" t="n"/>
      <c r="D26" s="19" t="n"/>
      <c r="E26" s="19" t="n"/>
      <c r="F26" s="19" t="n"/>
      <c r="G26" s="21" t="n"/>
      <c r="H26" s="21" t="n"/>
      <c r="I26" s="21" t="n"/>
      <c r="J26" s="23" t="n"/>
      <c r="K26" s="23" t="n"/>
      <c r="L26" s="23" t="n"/>
    </row>
    <row r="29" ht="20" customHeight="1">
      <c r="A29" s="24" t="inlineStr">
        <is>
          <t>⚠  IMPORTANT — AIRDNA TERMS OF SERVICE</t>
        </is>
      </c>
    </row>
    <row r="30" ht="18" customHeight="1">
      <c r="A30" s="25" t="inlineStr">
        <is>
          <t>AirDNA is a paid product. This workbook does NOT scrape, automate, or download their data — that violates their Terms of Service. You must export or copy the data manually from your authorized AirDNA account. This template only translates what you've already paid for into your underwriting model.</t>
        </is>
      </c>
    </row>
    <row r="31" ht="18" customHeight="1"/>
    <row r="32" ht="18" customHeight="1"/>
    <row r="35">
      <c r="A35" s="26" t="n"/>
      <c r="B35" s="26" t="n"/>
      <c r="C35" s="26" t="n"/>
      <c r="D35" s="26" t="n"/>
      <c r="E35" s="26" t="n"/>
      <c r="F35" s="26" t="n"/>
      <c r="G35" s="26" t="n"/>
      <c r="H35" s="26" t="n"/>
      <c r="I35" s="26" t="n"/>
      <c r="J35" s="26" t="n"/>
      <c r="K35" s="26" t="n"/>
      <c r="L35" s="26" t="n"/>
    </row>
    <row r="36" ht="18" customHeight="1">
      <c r="A36" s="27" t="inlineStr">
        <is>
          <t>Questions? hello@thestrledger.com</t>
        </is>
      </c>
    </row>
    <row r="37" ht="18" customHeight="1">
      <c r="A37" s="28" t="inlineStr">
        <is>
          <t>ACQ-005 · v1.0 · BLANK · Free updates forever</t>
        </is>
      </c>
    </row>
  </sheetData>
  <mergeCells count="18">
    <mergeCell ref="A20:L20"/>
    <mergeCell ref="A2:F2"/>
    <mergeCell ref="A24:C26"/>
    <mergeCell ref="A11:L14"/>
    <mergeCell ref="A10:L10"/>
    <mergeCell ref="A7:L7"/>
    <mergeCell ref="D24:F26"/>
    <mergeCell ref="G24:I26"/>
    <mergeCell ref="A19:L19"/>
    <mergeCell ref="A29:L29"/>
    <mergeCell ref="A5:L5"/>
    <mergeCell ref="A37:L37"/>
    <mergeCell ref="A36:L36"/>
    <mergeCell ref="A17:L17"/>
    <mergeCell ref="A18:L18"/>
    <mergeCell ref="A30:L32"/>
    <mergeCell ref="J24:L26"/>
    <mergeCell ref="A4:L4"/>
  </mergeCells>
  <pageMargins left="0.5" right="0.5" top="0.5" bottom="0.5" header="0.5" footer="0.5"/>
  <pageSetup orientation="portrait" paperSize="1" fitToHeight="1" fitToWidth="1"/>
</worksheet>
</file>

<file path=xl/worksheets/sheet2.xml><?xml version="1.0" encoding="utf-8"?>
<worksheet xmlns="http://schemas.openxmlformats.org/spreadsheetml/2006/main">
  <sheetPr>
    <tabColor rgb="00B5725E"/>
    <outlinePr summaryBelow="1" summaryRight="1"/>
    <pageSetUpPr fitToPage="1"/>
  </sheetPr>
  <dimension ref="A1:L38"/>
  <sheetViews>
    <sheetView workbookViewId="0">
      <pane ySplit="20" topLeftCell="A21" activePane="bottomLeft" state="frozen"/>
      <selection pane="bottomLeft" activeCell="A1" sqref="A1"/>
    </sheetView>
  </sheetViews>
  <sheetFormatPr baseColWidth="8" defaultRowHeight="15"/>
  <cols>
    <col width="4" customWidth="1" min="1" max="1"/>
    <col width="32" customWidth="1" min="2" max="2"/>
    <col width="22" customWidth="1" min="3" max="3"/>
    <col width="4" customWidth="1" min="4" max="4"/>
    <col width="36" customWidth="1" min="5" max="5"/>
    <col width="8" customWidth="1" min="6" max="6"/>
    <col width="8" customWidth="1" min="7" max="7"/>
    <col width="8" customWidth="1" min="8" max="8"/>
    <col width="8" customWidth="1" min="9" max="9"/>
    <col width="8" customWidth="1" min="10" max="10"/>
    <col width="8" customWidth="1" min="11" max="11"/>
    <col width="8" customWidth="1" min="12" max="12"/>
  </cols>
  <sheetData>
    <row r="1" ht="8" customHeight="1">
      <c r="A1" s="1" t="n"/>
      <c r="B1" s="1" t="n"/>
      <c r="C1" s="1" t="n"/>
      <c r="D1" s="1" t="n"/>
      <c r="E1" s="1" t="n"/>
      <c r="F1" s="1" t="n"/>
      <c r="G1" s="1" t="n"/>
      <c r="H1" s="1" t="n"/>
      <c r="I1" s="1" t="n"/>
      <c r="J1" s="1" t="n"/>
      <c r="K1" s="1" t="n"/>
      <c r="L1" s="1" t="n"/>
    </row>
    <row r="2" ht="28" customHeight="1">
      <c r="A2" s="18">
        <f>HYPERLINK("#'Start'!A1", "← BACK")</f>
        <v/>
      </c>
      <c r="B2" s="19" t="n"/>
      <c r="C2" s="19" t="n"/>
      <c r="D2" s="29" t="inlineStr">
        <is>
          <t>AIRDNA PASTE</t>
        </is>
      </c>
      <c r="J2" s="20">
        <f>HYPERLINK("#'Quality Adjuster'!A1", "NEXT →")</f>
        <v/>
      </c>
      <c r="K2" s="21" t="n"/>
      <c r="L2" s="21" t="n"/>
    </row>
    <row r="3" ht="6" customHeight="1">
      <c r="A3" s="1" t="n"/>
      <c r="B3" s="1" t="n"/>
      <c r="C3" s="1" t="n"/>
      <c r="D3" s="1" t="n"/>
      <c r="E3" s="1" t="n"/>
      <c r="F3" s="1" t="n"/>
      <c r="G3" s="1" t="n"/>
      <c r="H3" s="1" t="n"/>
      <c r="I3" s="1" t="n"/>
      <c r="J3" s="1" t="n"/>
      <c r="K3" s="1" t="n"/>
      <c r="L3" s="1" t="n"/>
    </row>
    <row r="4" ht="20" customHeight="1">
      <c r="A4" s="30">
        <f>"Source data as of: "&amp;TEXT(Settings!B7,"yyyy-mm-dd")&amp;"   ·   Market: "&amp;Settings!B9</f>
        <v/>
      </c>
    </row>
    <row r="6" ht="24" customHeight="1">
      <c r="A6" s="31" t="inlineStr">
        <is>
          <t>ANNUAL SUMMARY  (paste from AirDNA Rentalizer)</t>
        </is>
      </c>
    </row>
    <row r="7" ht="18" customHeight="1">
      <c r="B7" s="32" t="inlineStr">
        <is>
          <t>Annual revenue ($):</t>
        </is>
      </c>
      <c r="C7" s="33" t="n"/>
      <c r="E7" s="34" t="inlineStr">
        <is>
          <t>AirDNA Rentalizer 'Projected Revenue'</t>
        </is>
      </c>
    </row>
    <row r="8" ht="18" customHeight="1">
      <c r="B8" s="32" t="inlineStr">
        <is>
          <t>Occupancy (%):</t>
        </is>
      </c>
      <c r="C8" s="35" t="n"/>
      <c r="E8" s="34" t="inlineStr">
        <is>
          <t>AirDNA Rentalizer 'Projected Occupancy'</t>
        </is>
      </c>
    </row>
    <row r="9" ht="18" customHeight="1">
      <c r="B9" s="32" t="inlineStr">
        <is>
          <t>ADR ($):</t>
        </is>
      </c>
      <c r="C9" s="33" t="n"/>
      <c r="E9" s="34" t="inlineStr">
        <is>
          <t>AirDNA Rentalizer 'Projected ADR'</t>
        </is>
      </c>
    </row>
    <row r="10" ht="18" customHeight="1">
      <c r="B10" s="32" t="inlineStr">
        <is>
          <t>RevPAR ($):</t>
        </is>
      </c>
      <c r="C10" s="33" t="n"/>
      <c r="E10" s="34" t="inlineStr">
        <is>
          <t>Revenue per available night</t>
        </is>
      </c>
    </row>
    <row r="11" ht="18" customHeight="1">
      <c r="B11" s="32" t="inlineStr">
        <is>
          <t>Market Score (0-100):</t>
        </is>
      </c>
      <c r="C11" s="36" t="n"/>
      <c r="E11" s="34" t="inlineStr">
        <is>
          <t>AirDNA Market Score (higher = stronger)</t>
        </is>
      </c>
    </row>
    <row r="12" ht="18" customHeight="1">
      <c r="B12" s="32" t="inlineStr">
        <is>
          <t>Comparables count:</t>
        </is>
      </c>
      <c r="C12" s="36" t="n"/>
      <c r="E12" s="34" t="inlineStr">
        <is>
          <t>How many comps AirDNA used</t>
        </is>
      </c>
    </row>
    <row r="13" ht="18" customHeight="1">
      <c r="B13" s="32" t="inlineStr">
        <is>
          <t>Source listing URL:</t>
        </is>
      </c>
      <c r="C13" s="37" t="n"/>
      <c r="E13" s="34" t="inlineStr">
        <is>
          <t>Optional — paste AirDNA Rentalizer URL</t>
        </is>
      </c>
    </row>
    <row r="15" ht="24" customHeight="1">
      <c r="A15" s="31" t="inlineStr">
        <is>
          <t>SANITY CHECK</t>
        </is>
      </c>
    </row>
    <row r="16" ht="18" customHeight="1">
      <c r="B16" s="32" t="inlineStr">
        <is>
          <t>Implied annual rev (ADR × Occ × 365):</t>
        </is>
      </c>
      <c r="C16" s="38">
        <f>IFERROR(C9*C8*365,0)</f>
        <v/>
      </c>
    </row>
    <row r="17" ht="18" customHeight="1">
      <c r="B17" s="32" t="inlineStr">
        <is>
          <t>Variance vs AirDNA annual:</t>
        </is>
      </c>
      <c r="C17" s="39">
        <f>IFERROR((C7-C16)/C16,0)</f>
        <v/>
      </c>
    </row>
    <row r="19" ht="24" customHeight="1">
      <c r="A19" s="31" t="inlineStr">
        <is>
          <t>MONTHLY REVENUE BREAKDOWN</t>
        </is>
      </c>
    </row>
    <row r="20" ht="22" customHeight="1">
      <c r="B20" s="40" t="inlineStr">
        <is>
          <t>Month</t>
        </is>
      </c>
      <c r="C20" s="40" t="inlineStr">
        <is>
          <t>AirDNA Revenue</t>
        </is>
      </c>
      <c r="E20" s="40" t="inlineStr">
        <is>
          <t>% of Year</t>
        </is>
      </c>
    </row>
    <row r="21" ht="17" customHeight="1">
      <c r="B21" s="32" t="inlineStr">
        <is>
          <t>January</t>
        </is>
      </c>
      <c r="C21" s="33" t="n"/>
      <c r="E21" s="39">
        <f>IFERROR(C21/SUM($C$21:$C$32),0)</f>
        <v/>
      </c>
    </row>
    <row r="22" ht="17" customHeight="1">
      <c r="B22" s="41" t="inlineStr">
        <is>
          <t>February</t>
        </is>
      </c>
      <c r="C22" s="42" t="n"/>
      <c r="D22" s="43" t="n"/>
      <c r="E22" s="44">
        <f>IFERROR(C22/SUM($C$21:$C$32),0)</f>
        <v/>
      </c>
    </row>
    <row r="23" ht="17" customHeight="1">
      <c r="B23" s="32" t="inlineStr">
        <is>
          <t>March</t>
        </is>
      </c>
      <c r="C23" s="33" t="n"/>
      <c r="E23" s="39">
        <f>IFERROR(C23/SUM($C$21:$C$32),0)</f>
        <v/>
      </c>
    </row>
    <row r="24" ht="17" customHeight="1">
      <c r="B24" s="41" t="inlineStr">
        <is>
          <t>April</t>
        </is>
      </c>
      <c r="C24" s="42" t="n"/>
      <c r="D24" s="43" t="n"/>
      <c r="E24" s="44">
        <f>IFERROR(C24/SUM($C$21:$C$32),0)</f>
        <v/>
      </c>
    </row>
    <row r="25" ht="17" customHeight="1">
      <c r="B25" s="32" t="inlineStr">
        <is>
          <t>May</t>
        </is>
      </c>
      <c r="C25" s="33" t="n"/>
      <c r="E25" s="39">
        <f>IFERROR(C25/SUM($C$21:$C$32),0)</f>
        <v/>
      </c>
    </row>
    <row r="26" ht="17" customHeight="1">
      <c r="B26" s="41" t="inlineStr">
        <is>
          <t>June</t>
        </is>
      </c>
      <c r="C26" s="42" t="n"/>
      <c r="D26" s="43" t="n"/>
      <c r="E26" s="44">
        <f>IFERROR(C26/SUM($C$21:$C$32),0)</f>
        <v/>
      </c>
    </row>
    <row r="27" ht="17" customHeight="1">
      <c r="B27" s="32" t="inlineStr">
        <is>
          <t>July</t>
        </is>
      </c>
      <c r="C27" s="33" t="n"/>
      <c r="E27" s="39">
        <f>IFERROR(C27/SUM($C$21:$C$32),0)</f>
        <v/>
      </c>
    </row>
    <row r="28" ht="17" customHeight="1">
      <c r="B28" s="41" t="inlineStr">
        <is>
          <t>August</t>
        </is>
      </c>
      <c r="C28" s="42" t="n"/>
      <c r="D28" s="43" t="n"/>
      <c r="E28" s="44">
        <f>IFERROR(C28/SUM($C$21:$C$32),0)</f>
        <v/>
      </c>
    </row>
    <row r="29" ht="17" customHeight="1">
      <c r="B29" s="32" t="inlineStr">
        <is>
          <t>September</t>
        </is>
      </c>
      <c r="C29" s="33" t="n"/>
      <c r="E29" s="39">
        <f>IFERROR(C29/SUM($C$21:$C$32),0)</f>
        <v/>
      </c>
    </row>
    <row r="30" ht="17" customHeight="1">
      <c r="B30" s="41" t="inlineStr">
        <is>
          <t>October</t>
        </is>
      </c>
      <c r="C30" s="42" t="n"/>
      <c r="D30" s="43" t="n"/>
      <c r="E30" s="44">
        <f>IFERROR(C30/SUM($C$21:$C$32),0)</f>
        <v/>
      </c>
    </row>
    <row r="31" ht="17" customHeight="1">
      <c r="B31" s="32" t="inlineStr">
        <is>
          <t>November</t>
        </is>
      </c>
      <c r="C31" s="33" t="n"/>
      <c r="E31" s="39">
        <f>IFERROR(C31/SUM($C$21:$C$32),0)</f>
        <v/>
      </c>
    </row>
    <row r="32" ht="17" customHeight="1">
      <c r="B32" s="41" t="inlineStr">
        <is>
          <t>December</t>
        </is>
      </c>
      <c r="C32" s="42" t="n"/>
      <c r="D32" s="43" t="n"/>
      <c r="E32" s="44">
        <f>IFERROR(C32/SUM($C$21:$C$32),0)</f>
        <v/>
      </c>
    </row>
    <row r="33" ht="22" customHeight="1">
      <c r="B33" s="45" t="inlineStr">
        <is>
          <t>Total monthly:</t>
        </is>
      </c>
      <c r="C33" s="46">
        <f>SUM(C21:C32)</f>
        <v/>
      </c>
      <c r="E33" s="39">
        <f>IFERROR((C33-C7)/C7,0)</f>
        <v/>
      </c>
    </row>
    <row r="36">
      <c r="A36" s="26" t="n"/>
      <c r="B36" s="26" t="n"/>
      <c r="C36" s="26" t="n"/>
      <c r="D36" s="26" t="n"/>
      <c r="E36" s="26" t="n"/>
      <c r="F36" s="26" t="n"/>
      <c r="G36" s="26" t="n"/>
      <c r="H36" s="26" t="n"/>
      <c r="I36" s="26" t="n"/>
      <c r="J36" s="26" t="n"/>
      <c r="K36" s="26" t="n"/>
      <c r="L36" s="26" t="n"/>
    </row>
    <row r="37" ht="18" customHeight="1">
      <c r="A37" s="27" t="inlineStr">
        <is>
          <t>Questions? hello@thestrledger.com</t>
        </is>
      </c>
    </row>
    <row r="38" ht="18" customHeight="1">
      <c r="A38" s="28" t="inlineStr">
        <is>
          <t>ACQ-005 · AirDNA Paste</t>
        </is>
      </c>
    </row>
  </sheetData>
  <mergeCells count="16">
    <mergeCell ref="A38:L38"/>
    <mergeCell ref="E9:L9"/>
    <mergeCell ref="E12:L12"/>
    <mergeCell ref="J2:L2"/>
    <mergeCell ref="D2:I2"/>
    <mergeCell ref="A15:L15"/>
    <mergeCell ref="A19:L19"/>
    <mergeCell ref="E7:L7"/>
    <mergeCell ref="A37:L37"/>
    <mergeCell ref="E11:L11"/>
    <mergeCell ref="E10:L10"/>
    <mergeCell ref="A6:L6"/>
    <mergeCell ref="E13:L13"/>
    <mergeCell ref="E8:L8"/>
    <mergeCell ref="A2:C2"/>
    <mergeCell ref="A4:L4"/>
  </mergeCells>
  <conditionalFormatting sqref="C17">
    <cfRule type="expression" priority="1" dxfId="0">
      <formula>ABS(C17)&gt;0.10</formula>
    </cfRule>
  </conditionalFormatting>
  <conditionalFormatting sqref="E33">
    <cfRule type="expression" priority="2" dxfId="0">
      <formula>ABS(E33)&gt;0.05</formula>
    </cfRule>
  </conditionalFormatting>
  <pageMargins left="0.5" right="0.5" top="0.5" bottom="0.5" header="0.5" footer="0.5"/>
  <pageSetup orientation="portrait" paperSize="1" fitToHeight="1" fitToWidth="1"/>
</worksheet>
</file>

<file path=xl/worksheets/sheet3.xml><?xml version="1.0" encoding="utf-8"?>
<worksheet xmlns="http://schemas.openxmlformats.org/spreadsheetml/2006/main">
  <sheetPr>
    <tabColor rgb="00B5725E"/>
    <outlinePr summaryBelow="1" summaryRight="1"/>
    <pageSetUpPr fitToPage="1"/>
  </sheetPr>
  <dimension ref="A1:L27"/>
  <sheetViews>
    <sheetView workbookViewId="0">
      <selection activeCell="A1" sqref="A1"/>
    </sheetView>
  </sheetViews>
  <sheetFormatPr baseColWidth="8" defaultRowHeight="15"/>
  <cols>
    <col width="4" customWidth="1" min="1" max="1"/>
    <col width="32" customWidth="1" min="2" max="2"/>
    <col width="14" customWidth="1" min="3" max="3"/>
    <col width="14" customWidth="1" min="4" max="4"/>
    <col width="14" customWidth="1" min="5" max="5"/>
    <col width="44" customWidth="1" min="6" max="6"/>
    <col width="8" customWidth="1" min="7" max="7"/>
    <col width="8" customWidth="1" min="8" max="8"/>
    <col width="8" customWidth="1" min="9" max="9"/>
    <col width="8" customWidth="1" min="10" max="10"/>
    <col width="8" customWidth="1" min="11" max="11"/>
    <col width="8" customWidth="1" min="12" max="12"/>
  </cols>
  <sheetData>
    <row r="1" ht="8" customHeight="1">
      <c r="A1" s="1" t="n"/>
      <c r="B1" s="1" t="n"/>
      <c r="C1" s="1" t="n"/>
      <c r="D1" s="1" t="n"/>
      <c r="E1" s="1" t="n"/>
      <c r="F1" s="1" t="n"/>
      <c r="G1" s="1" t="n"/>
      <c r="H1" s="1" t="n"/>
      <c r="I1" s="1" t="n"/>
      <c r="J1" s="1" t="n"/>
      <c r="K1" s="1" t="n"/>
      <c r="L1" s="1" t="n"/>
    </row>
    <row r="2" ht="28" customHeight="1">
      <c r="A2" s="18">
        <f>HYPERLINK("#'AirDNA Paste'!A1", "← BACK")</f>
        <v/>
      </c>
      <c r="B2" s="19" t="n"/>
      <c r="C2" s="19" t="n"/>
      <c r="D2" s="29" t="inlineStr">
        <is>
          <t>QUALITY ADJUSTER</t>
        </is>
      </c>
      <c r="J2" s="20">
        <f>HYPERLINK("#'Adjusted Underwriting'!A1", "NEXT →")</f>
        <v/>
      </c>
      <c r="K2" s="21" t="n"/>
      <c r="L2" s="21" t="n"/>
    </row>
    <row r="3" ht="6" customHeight="1">
      <c r="A3" s="1" t="n"/>
      <c r="B3" s="1" t="n"/>
      <c r="C3" s="1" t="n"/>
      <c r="D3" s="1" t="n"/>
      <c r="E3" s="1" t="n"/>
      <c r="F3" s="1" t="n"/>
      <c r="G3" s="1" t="n"/>
      <c r="H3" s="1" t="n"/>
      <c r="I3" s="1" t="n"/>
      <c r="J3" s="1" t="n"/>
      <c r="K3" s="1" t="n"/>
      <c r="L3" s="1" t="n"/>
    </row>
    <row r="4" ht="28" customHeight="1">
      <c r="A4" s="47" t="inlineStr">
        <is>
          <t>AirDNA reports the median listing in your market. Your property is NOT the median. Adjust each dimension below — 1.00 = market average, &lt;1.00 = below market, &gt;1.00 = above.</t>
        </is>
      </c>
    </row>
    <row r="6" ht="24" customHeight="1">
      <c r="A6" s="31" t="inlineStr">
        <is>
          <t>QUALITY MULTIPLIERS  (1.00 = market median)</t>
        </is>
      </c>
    </row>
    <row r="7" ht="22" customHeight="1">
      <c r="B7" s="40" t="inlineStr">
        <is>
          <t>Dimension</t>
        </is>
      </c>
      <c r="C7" s="40" t="inlineStr">
        <is>
          <t>Min</t>
        </is>
      </c>
      <c r="D7" s="40" t="inlineStr">
        <is>
          <t>Your Mult</t>
        </is>
      </c>
      <c r="E7" s="40" t="inlineStr">
        <is>
          <t>Max</t>
        </is>
      </c>
      <c r="F7" s="40" t="inlineStr">
        <is>
          <t>Justification / notes</t>
        </is>
      </c>
    </row>
    <row r="8" ht="22" customHeight="1">
      <c r="B8" s="32" t="inlineStr">
        <is>
          <t>Listing photos quality</t>
        </is>
      </c>
      <c r="C8" s="48" t="n">
        <v>0.85</v>
      </c>
      <c r="D8" s="49" t="n"/>
      <c r="E8" s="48" t="n">
        <v>1.2</v>
      </c>
      <c r="F8" s="50" t="n"/>
    </row>
    <row r="9" ht="22" customHeight="1">
      <c r="B9" s="41" t="inlineStr">
        <is>
          <t>Amenities (hot tub / pool / view)</t>
        </is>
      </c>
      <c r="C9" s="51" t="n">
        <v>0.9</v>
      </c>
      <c r="D9" s="52" t="n"/>
      <c r="E9" s="51" t="n">
        <v>1.3</v>
      </c>
      <c r="F9" s="53" t="n"/>
    </row>
    <row r="10" ht="22" customHeight="1">
      <c r="B10" s="32" t="inlineStr">
        <is>
          <t>Decor / staging</t>
        </is>
      </c>
      <c r="C10" s="48" t="n">
        <v>0.85</v>
      </c>
      <c r="D10" s="49" t="n"/>
      <c r="E10" s="48" t="n">
        <v>1.15</v>
      </c>
      <c r="F10" s="50" t="n"/>
    </row>
    <row r="11" ht="22" customHeight="1">
      <c r="B11" s="41" t="inlineStr">
        <is>
          <t>Reviews target (10+ at 4.8★)</t>
        </is>
      </c>
      <c r="C11" s="51" t="n">
        <v>0.7</v>
      </c>
      <c r="D11" s="52" t="n"/>
      <c r="E11" s="51" t="n">
        <v>1</v>
      </c>
      <c r="F11" s="53" t="n"/>
    </row>
    <row r="12" ht="22" customHeight="1">
      <c r="B12" s="32" t="inlineStr">
        <is>
          <t>Pricing strategy</t>
        </is>
      </c>
      <c r="C12" s="48" t="n">
        <v>0.95</v>
      </c>
      <c r="D12" s="49" t="n"/>
      <c r="E12" s="48" t="n">
        <v>1.1</v>
      </c>
      <c r="F12" s="50" t="n"/>
    </row>
    <row r="14" ht="28" customHeight="1">
      <c r="B14" s="54" t="inlineStr">
        <is>
          <t>TOTAL QUALITY MULTIPLIER:</t>
        </is>
      </c>
      <c r="D14" s="55">
        <f>PRODUCT(D8:D12)</f>
        <v/>
      </c>
    </row>
    <row r="15" ht="18" customHeight="1">
      <c r="B15" s="56" t="inlineStr">
        <is>
          <t>× Conservative-mode mult (Settings):</t>
        </is>
      </c>
      <c r="D15" s="57">
        <f>Settings!B11</f>
        <v/>
      </c>
    </row>
    <row r="16" ht="28" customHeight="1">
      <c r="B16" s="54" t="inlineStr">
        <is>
          <t>EFFECTIVE MULTIPLIER:</t>
        </is>
      </c>
      <c r="D16" s="55">
        <f>D14*D15</f>
        <v/>
      </c>
    </row>
    <row r="18" ht="24" customHeight="1">
      <c r="A18" s="31" t="inlineStr">
        <is>
          <t>INTERPRETATION</t>
        </is>
      </c>
    </row>
    <row r="19" ht="18" customHeight="1">
      <c r="B19" s="58">
        <f>IF(D16&gt;=1.10,"Above-market property — your photos, amenities, or pricing strategy should outperform the AirDNA median. Reasonable to expect "&amp;TEXT(D16-1,"0.0%")&amp;" lift.",IF(D16&gt;=0.95,"Roughly market — you should land near AirDNAs median projection.","Below-market property — expect "&amp;TEXT(1-D16,"0.0%")&amp;" haircut. Consider whether reviews ramp + decor refresh can pull you back to neutral by Year 2."))</f>
        <v/>
      </c>
    </row>
    <row r="20" ht="18" customHeight="1"/>
    <row r="21" ht="18" customHeight="1"/>
    <row r="22" ht="18" customHeight="1"/>
    <row r="25">
      <c r="A25" s="26" t="n"/>
      <c r="B25" s="26" t="n"/>
      <c r="C25" s="26" t="n"/>
      <c r="D25" s="26" t="n"/>
      <c r="E25" s="26" t="n"/>
      <c r="F25" s="26" t="n"/>
      <c r="G25" s="26" t="n"/>
      <c r="H25" s="26" t="n"/>
      <c r="I25" s="26" t="n"/>
      <c r="J25" s="26" t="n"/>
      <c r="K25" s="26" t="n"/>
      <c r="L25" s="26" t="n"/>
    </row>
    <row r="26" ht="18" customHeight="1">
      <c r="A26" s="27" t="inlineStr">
        <is>
          <t>Questions? hello@thestrledger.com</t>
        </is>
      </c>
    </row>
    <row r="27" ht="18" customHeight="1">
      <c r="A27" s="28" t="inlineStr">
        <is>
          <t>ACQ-005 · Quality Adjuster</t>
        </is>
      </c>
    </row>
  </sheetData>
  <mergeCells count="9">
    <mergeCell ref="A26:L26"/>
    <mergeCell ref="J2:L2"/>
    <mergeCell ref="D2:I2"/>
    <mergeCell ref="A6:L6"/>
    <mergeCell ref="A18:L18"/>
    <mergeCell ref="A27:L27"/>
    <mergeCell ref="B19:L22"/>
    <mergeCell ref="A2:C2"/>
    <mergeCell ref="A4:L4"/>
  </mergeCells>
  <conditionalFormatting sqref="D8">
    <cfRule type="expression" priority="1" dxfId="1">
      <formula>OR(D8&lt;C8,D8&gt;E8)</formula>
    </cfRule>
  </conditionalFormatting>
  <conditionalFormatting sqref="D9">
    <cfRule type="expression" priority="2" dxfId="1">
      <formula>OR(D9&lt;C9,D9&gt;E9)</formula>
    </cfRule>
  </conditionalFormatting>
  <conditionalFormatting sqref="D10">
    <cfRule type="expression" priority="3" dxfId="1">
      <formula>OR(D10&lt;C10,D10&gt;E10)</formula>
    </cfRule>
  </conditionalFormatting>
  <conditionalFormatting sqref="D11">
    <cfRule type="expression" priority="4" dxfId="1">
      <formula>OR(D11&lt;C11,D11&gt;E11)</formula>
    </cfRule>
  </conditionalFormatting>
  <conditionalFormatting sqref="D12">
    <cfRule type="expression" priority="5" dxfId="1">
      <formula>OR(D12&lt;C12,D12&gt;E12)</formula>
    </cfRule>
  </conditionalFormatting>
  <pageMargins left="0.5" right="0.5" top="0.5" bottom="0.5" header="0.5" footer="0.5"/>
  <pageSetup orientation="landscape" paperSize="1" fitToHeight="1" fitToWidth="1"/>
</worksheet>
</file>

<file path=xl/worksheets/sheet4.xml><?xml version="1.0" encoding="utf-8"?>
<worksheet xmlns="http://schemas.openxmlformats.org/spreadsheetml/2006/main">
  <sheetPr>
    <tabColor rgb="00C9A24B"/>
    <outlinePr summaryBelow="1" summaryRight="1"/>
    <pageSetUpPr fitToPage="1"/>
  </sheetPr>
  <dimension ref="A1:L31"/>
  <sheetViews>
    <sheetView workbookViewId="0">
      <selection activeCell="A1" sqref="A1"/>
    </sheetView>
  </sheetViews>
  <sheetFormatPr baseColWidth="8" defaultRowHeight="15"/>
  <cols>
    <col width="4" customWidth="1" min="1" max="1"/>
    <col width="36" customWidth="1" min="2" max="2"/>
    <col width="18" customWidth="1" min="3" max="3"/>
    <col width="18" customWidth="1" min="4" max="4"/>
    <col width="18" customWidth="1" min="5" max="5"/>
    <col width="8" customWidth="1" min="6" max="6"/>
    <col width="8" customWidth="1" min="7" max="7"/>
    <col width="8" customWidth="1" min="8" max="8"/>
    <col width="8" customWidth="1" min="9" max="9"/>
    <col width="8" customWidth="1" min="10" max="10"/>
    <col width="8" customWidth="1" min="11" max="11"/>
    <col width="8" customWidth="1" min="12" max="12"/>
  </cols>
  <sheetData>
    <row r="1" ht="8" customHeight="1">
      <c r="A1" s="1" t="n"/>
      <c r="B1" s="1" t="n"/>
      <c r="C1" s="1" t="n"/>
      <c r="D1" s="1" t="n"/>
      <c r="E1" s="1" t="n"/>
      <c r="F1" s="1" t="n"/>
      <c r="G1" s="1" t="n"/>
      <c r="H1" s="1" t="n"/>
      <c r="I1" s="1" t="n"/>
      <c r="J1" s="1" t="n"/>
      <c r="K1" s="1" t="n"/>
      <c r="L1" s="1" t="n"/>
    </row>
    <row r="2" ht="28" customHeight="1">
      <c r="A2" s="18">
        <f>HYPERLINK("#'Quality Adjuster'!A1", "← BACK")</f>
        <v/>
      </c>
      <c r="B2" s="19" t="n"/>
      <c r="C2" s="19" t="n"/>
      <c r="D2" s="29" t="inlineStr">
        <is>
          <t>ADJUSTED UNDERWRITING</t>
        </is>
      </c>
      <c r="J2" s="20">
        <f>HYPERLINK("#'Settings'!A1", "NEXT →")</f>
        <v/>
      </c>
      <c r="K2" s="21" t="n"/>
      <c r="L2" s="21" t="n"/>
    </row>
    <row r="3" ht="6" customHeight="1">
      <c r="A3" s="1" t="n"/>
      <c r="B3" s="1" t="n"/>
      <c r="C3" s="1" t="n"/>
      <c r="D3" s="1" t="n"/>
      <c r="E3" s="1" t="n"/>
      <c r="F3" s="1" t="n"/>
      <c r="G3" s="1" t="n"/>
      <c r="H3" s="1" t="n"/>
      <c r="I3" s="1" t="n"/>
      <c r="J3" s="1" t="n"/>
      <c r="K3" s="1" t="n"/>
      <c r="L3" s="1" t="n"/>
    </row>
    <row r="4" ht="22" customHeight="1">
      <c r="A4" s="47" t="inlineStr">
        <is>
          <t>AirDNA projection × your effective quality multiplier = adjusted underwriting. Compare AirDNA-as-paid against what you should ACTUALLY underwrite.</t>
        </is>
      </c>
    </row>
    <row r="6" ht="24" customHeight="1">
      <c r="A6" s="31" t="inlineStr">
        <is>
          <t>REVENUE / OCCUPANCY / ADR  —  AirDNA vs Adjusted</t>
        </is>
      </c>
    </row>
    <row r="7" ht="22" customHeight="1">
      <c r="B7" s="40" t="inlineStr">
        <is>
          <t>Metric</t>
        </is>
      </c>
      <c r="C7" s="40" t="inlineStr">
        <is>
          <t>AirDNA</t>
        </is>
      </c>
      <c r="D7" s="40" t="inlineStr">
        <is>
          <t>× Mult</t>
        </is>
      </c>
      <c r="E7" s="40" t="inlineStr">
        <is>
          <t>Adjusted</t>
        </is>
      </c>
    </row>
    <row r="8" ht="20" customHeight="1">
      <c r="B8" s="32" t="inlineStr">
        <is>
          <t>Annual revenue:</t>
        </is>
      </c>
      <c r="C8" s="38">
        <f>'AirDNA Paste'!C7</f>
        <v/>
      </c>
      <c r="D8" s="57">
        <f>'Quality Adjuster'!D16</f>
        <v/>
      </c>
      <c r="E8" s="59">
        <f>C8*D8</f>
        <v/>
      </c>
    </row>
    <row r="9" ht="20" customHeight="1">
      <c r="B9" s="60" t="inlineStr">
        <is>
          <t>Occupancy:</t>
        </is>
      </c>
      <c r="C9" s="44">
        <f>'AirDNA Paste'!C8</f>
        <v/>
      </c>
      <c r="D9" s="61">
        <f>'Quality Adjuster'!D16</f>
        <v/>
      </c>
      <c r="E9" s="39">
        <f>C9*D9</f>
        <v/>
      </c>
    </row>
    <row r="10" ht="20" customHeight="1">
      <c r="B10" s="62" t="inlineStr">
        <is>
          <t>ADR:</t>
        </is>
      </c>
      <c r="C10" s="38">
        <f>'AirDNA Paste'!C9</f>
        <v/>
      </c>
      <c r="D10" s="57">
        <f>'Quality Adjuster'!D16</f>
        <v/>
      </c>
      <c r="E10" s="38">
        <f>C10*D10</f>
        <v/>
      </c>
    </row>
    <row r="11" ht="20" customHeight="1">
      <c r="B11" s="60" t="inlineStr">
        <is>
          <t>RevPAR:</t>
        </is>
      </c>
      <c r="C11" s="63">
        <f>'AirDNA Paste'!C10</f>
        <v/>
      </c>
      <c r="D11" s="61">
        <f>'Quality Adjuster'!D16</f>
        <v/>
      </c>
      <c r="E11" s="38">
        <f>C11*D11</f>
        <v/>
      </c>
    </row>
    <row r="12" ht="20" customHeight="1">
      <c r="B12" s="62" t="inlineStr">
        <is>
          <t>Booked nights:</t>
        </is>
      </c>
      <c r="C12" s="64">
        <f>'AirDNA Paste'!C8*365</f>
        <v/>
      </c>
      <c r="D12" s="57">
        <f>'Quality Adjuster'!D16</f>
        <v/>
      </c>
      <c r="E12" s="64">
        <f>C12*D12</f>
        <v/>
      </c>
    </row>
    <row r="14" ht="24" customHeight="1">
      <c r="A14" s="31" t="inlineStr">
        <is>
          <t>MINI UNDERWRITING  —  inputs (yellow) + verdict</t>
        </is>
      </c>
    </row>
    <row r="15" ht="18" customHeight="1">
      <c r="B15" s="32" t="inlineStr">
        <is>
          <t>Annual operating expenses ($):</t>
        </is>
      </c>
      <c r="C15" s="33" t="n"/>
      <c r="E15" s="34" t="inlineStr">
        <is>
          <t>Property tax + insurance + utilities + cleaning reserve + mgmt + capex</t>
        </is>
      </c>
    </row>
    <row r="16" ht="18" customHeight="1">
      <c r="B16" s="32" t="inlineStr">
        <is>
          <t>Annual debt service ($):</t>
        </is>
      </c>
      <c r="C16" s="33" t="n"/>
      <c r="E16" s="34" t="inlineStr">
        <is>
          <t>P&amp;I × 12 — pull from your loan calc or ACQ-001</t>
        </is>
      </c>
    </row>
    <row r="17" ht="18" customHeight="1">
      <c r="B17" s="32" t="inlineStr">
        <is>
          <t>Total cash invested ($):</t>
        </is>
      </c>
      <c r="C17" s="33" t="n"/>
      <c r="E17" s="34" t="inlineStr">
        <is>
          <t>Down + closing + rehab + furnishing</t>
        </is>
      </c>
    </row>
    <row r="19" ht="22" customHeight="1">
      <c r="B19" s="54" t="inlineStr">
        <is>
          <t>Adjusted NOI:</t>
        </is>
      </c>
      <c r="C19" s="59">
        <f>E8-C15</f>
        <v/>
      </c>
    </row>
    <row r="20" ht="22" customHeight="1">
      <c r="B20" s="54" t="inlineStr">
        <is>
          <t>Annual cash flow:</t>
        </is>
      </c>
      <c r="C20" s="59">
        <f>E8-C15-C16</f>
        <v/>
      </c>
    </row>
    <row r="21" ht="18" customHeight="1">
      <c r="B21" s="32" t="inlineStr">
        <is>
          <t>Cash-on-cash return:</t>
        </is>
      </c>
      <c r="C21" s="39">
        <f>IFERROR((E8-C15-C16)/C17,0)</f>
        <v/>
      </c>
    </row>
    <row r="22" ht="18" customHeight="1">
      <c r="B22" s="32" t="inlineStr">
        <is>
          <t>DSCR:</t>
        </is>
      </c>
      <c r="C22" s="48">
        <f>IFERROR((E8-C15)/C16,0)</f>
        <v/>
      </c>
    </row>
    <row r="24" ht="38" customHeight="1">
      <c r="A24" s="65">
        <f>IF(AND(C21&gt;0.08,C22&gt;1.25),"✅  STRONG DEAL  —  AirDNA-adjusted COC + DSCR pass",IF(OR(C21&lt;0.04,C22&lt;1.05),"❌  PASS  —  even AirDNA cant save it after adjusters","⚠  MARGINAL  —  needs a margin-of-safety sanity check"))</f>
        <v/>
      </c>
    </row>
    <row r="26" ht="32" customHeight="1">
      <c r="A26" s="66">
        <f>"If you underwrote at AirDNA face value, you would have projected $"&amp;TEXT(C8-C15-C16,"#,##0")&amp;" cash flow. Adjusted to YOUR property: $"&amp;TEXT(E8-C15-C16,"#,##0")&amp;".   Δ "&amp;TEXT(E8-C8,"+$#,##0;-$#,##0")</f>
        <v/>
      </c>
    </row>
    <row r="29">
      <c r="A29" s="26" t="n"/>
      <c r="B29" s="26" t="n"/>
      <c r="C29" s="26" t="n"/>
      <c r="D29" s="26" t="n"/>
      <c r="E29" s="26" t="n"/>
      <c r="F29" s="26" t="n"/>
      <c r="G29" s="26" t="n"/>
      <c r="H29" s="26" t="n"/>
      <c r="I29" s="26" t="n"/>
      <c r="J29" s="26" t="n"/>
      <c r="K29" s="26" t="n"/>
      <c r="L29" s="26" t="n"/>
    </row>
    <row r="30" ht="18" customHeight="1">
      <c r="A30" s="27" t="inlineStr">
        <is>
          <t>Questions? hello@thestrledger.com</t>
        </is>
      </c>
    </row>
    <row r="31" ht="18" customHeight="1">
      <c r="A31" s="28" t="inlineStr">
        <is>
          <t>ACQ-005 · Adjusted Underwriting</t>
        </is>
      </c>
    </row>
  </sheetData>
  <mergeCells count="13">
    <mergeCell ref="A26:L26"/>
    <mergeCell ref="E17:L17"/>
    <mergeCell ref="A24:L24"/>
    <mergeCell ref="A30:L30"/>
    <mergeCell ref="J2:L2"/>
    <mergeCell ref="D2:I2"/>
    <mergeCell ref="E15:L15"/>
    <mergeCell ref="E16:L16"/>
    <mergeCell ref="A14:L14"/>
    <mergeCell ref="A31:L31"/>
    <mergeCell ref="A6:L6"/>
    <mergeCell ref="A2:C2"/>
    <mergeCell ref="A4:L4"/>
  </mergeCells>
  <conditionalFormatting sqref="C21">
    <cfRule type="cellIs" priority="1" operator="greaterThan" dxfId="2">
      <formula>0.08</formula>
    </cfRule>
    <cfRule type="cellIs" priority="2" operator="lessThan" dxfId="0">
      <formula>0.04</formula>
    </cfRule>
  </conditionalFormatting>
  <conditionalFormatting sqref="C22">
    <cfRule type="cellIs" priority="3" operator="greaterThan" dxfId="2">
      <formula>1.25</formula>
    </cfRule>
    <cfRule type="cellIs" priority="4" operator="lessThan" dxfId="0">
      <formula>1.05</formula>
    </cfRule>
  </conditionalFormatting>
  <pageMargins left="0.5" right="0.5" top="0.5" bottom="0.5" header="0.5" footer="0.5"/>
  <pageSetup orientation="portrait" paperSize="1" fitToHeight="1" fitToWidth="1"/>
</worksheet>
</file>

<file path=xl/worksheets/sheet5.xml><?xml version="1.0" encoding="utf-8"?>
<worksheet xmlns="http://schemas.openxmlformats.org/spreadsheetml/2006/main">
  <sheetPr>
    <tabColor rgb="00EFE5D0"/>
    <outlinePr summaryBelow="1" summaryRight="1"/>
    <pageSetUpPr fitToPage="1"/>
  </sheetPr>
  <dimension ref="A1:L30"/>
  <sheetViews>
    <sheetView workbookViewId="0">
      <selection activeCell="A1" sqref="A1"/>
    </sheetView>
  </sheetViews>
  <sheetFormatPr baseColWidth="8" defaultRowHeight="15"/>
  <cols>
    <col width="4" customWidth="1" min="1" max="1"/>
    <col width="26" customWidth="1" min="2" max="2"/>
    <col width="4" customWidth="1" min="3" max="3"/>
    <col width="38" customWidth="1" min="4" max="4"/>
    <col width="8" customWidth="1" min="5" max="5"/>
    <col width="8" customWidth="1" min="6" max="6"/>
    <col width="8" customWidth="1" min="7" max="7"/>
    <col width="8" customWidth="1" min="8" max="8"/>
    <col width="8" customWidth="1" min="9" max="9"/>
    <col width="8" customWidth="1" min="10" max="10"/>
    <col width="8" customWidth="1" min="11" max="11"/>
    <col width="8" customWidth="1" min="12" max="12"/>
  </cols>
  <sheetData>
    <row r="1" ht="8" customHeight="1">
      <c r="A1" s="1" t="n"/>
      <c r="B1" s="1" t="n"/>
      <c r="C1" s="1" t="n"/>
      <c r="D1" s="1" t="n"/>
      <c r="E1" s="1" t="n"/>
      <c r="F1" s="1" t="n"/>
      <c r="G1" s="1" t="n"/>
      <c r="H1" s="1" t="n"/>
      <c r="I1" s="1" t="n"/>
      <c r="J1" s="1" t="n"/>
      <c r="K1" s="1" t="n"/>
      <c r="L1" s="1" t="n"/>
    </row>
    <row r="2" ht="28" customHeight="1">
      <c r="A2" s="18">
        <f>HYPERLINK("#'Adjusted Underwriting'!A1", "← BACK")</f>
        <v/>
      </c>
      <c r="B2" s="19" t="n"/>
      <c r="C2" s="19" t="n"/>
      <c r="D2" s="29" t="inlineStr">
        <is>
          <t>SETTINGS</t>
        </is>
      </c>
    </row>
    <row r="3" ht="6" customHeight="1">
      <c r="A3" s="1" t="n"/>
      <c r="B3" s="1" t="n"/>
      <c r="C3" s="1" t="n"/>
      <c r="D3" s="1" t="n"/>
      <c r="E3" s="1" t="n"/>
      <c r="F3" s="1" t="n"/>
      <c r="G3" s="1" t="n"/>
      <c r="H3" s="1" t="n"/>
      <c r="I3" s="1" t="n"/>
      <c r="J3" s="1" t="n"/>
      <c r="K3" s="1" t="n"/>
      <c r="L3" s="1" t="n"/>
    </row>
    <row r="4" ht="18" customHeight="1">
      <c r="A4" s="67" t="inlineStr">
        <is>
          <t>Workbook-wide settings — active year, source date, market context, sensitivity.</t>
        </is>
      </c>
    </row>
    <row r="5" ht="24" customHeight="1">
      <c r="A5" s="31" t="inlineStr">
        <is>
          <t>ACTIVE WORKBOOK</t>
        </is>
      </c>
      <c r="B5" s="36" t="n"/>
      <c r="C5" s="11" t="n"/>
      <c r="D5" s="68" t="inlineStr">
        <is>
          <t>Drives any date filtering throughout the workbook</t>
        </is>
      </c>
    </row>
    <row r="7" ht="20" customHeight="1">
      <c r="A7" s="32" t="inlineStr">
        <is>
          <t>Source data date:</t>
        </is>
      </c>
      <c r="B7" s="69" t="n"/>
      <c r="D7" s="34" t="inlineStr">
        <is>
          <t>When did you pull AirDNA? (it goes stale fast)</t>
        </is>
      </c>
    </row>
    <row r="9" ht="20" customHeight="1">
      <c r="A9" s="32" t="inlineStr">
        <is>
          <t>AirDNA market name:</t>
        </is>
      </c>
      <c r="B9" s="37" t="n"/>
      <c r="D9" s="34" t="inlineStr">
        <is>
          <t>Free text — appears on AirDNA Paste tab header</t>
        </is>
      </c>
    </row>
    <row r="11" ht="20" customHeight="1">
      <c r="A11" s="32" t="inlineStr">
        <is>
          <t>Conservative-mode multiplier:</t>
        </is>
      </c>
      <c r="B11" s="70" t="n"/>
      <c r="D11" s="34" t="inlineStr">
        <is>
          <t>Extra haircut applied on top of quality mult (default 0.90 = 10% margin of safety)</t>
        </is>
      </c>
    </row>
    <row r="14" ht="24" customHeight="1">
      <c r="A14" s="31" t="inlineStr">
        <is>
          <t>YEAR-END ARCHIVE  —  paste adjusted projection vs actuals</t>
        </is>
      </c>
    </row>
    <row r="15" ht="22" customHeight="1">
      <c r="A15" s="40" t="inlineStr">
        <is>
          <t>Year</t>
        </is>
      </c>
      <c r="B15" s="40" t="inlineStr">
        <is>
          <t>AirDNA Projected</t>
        </is>
      </c>
      <c r="C15" s="40" t="inlineStr">
        <is>
          <t>Adjusted Projected</t>
        </is>
      </c>
      <c r="D15" s="40" t="inlineStr">
        <is>
          <t>Actual Revenue</t>
        </is>
      </c>
      <c r="E15" s="40" t="inlineStr">
        <is>
          <t>Δ vs Adjusted</t>
        </is>
      </c>
      <c r="F15" s="40" t="inlineStr">
        <is>
          <t>Notes</t>
        </is>
      </c>
    </row>
    <row r="16" ht="20" customHeight="1">
      <c r="A16" s="64">
        <f>Settings!B5+0</f>
        <v/>
      </c>
      <c r="B16" s="33" t="n"/>
      <c r="C16" s="33" t="n"/>
      <c r="D16" s="33" t="n"/>
      <c r="E16" s="39">
        <f>IFERROR((D16-C16)/C16,"")</f>
        <v/>
      </c>
      <c r="F16" s="50" t="n"/>
    </row>
    <row r="17" ht="20" customHeight="1">
      <c r="A17" s="71">
        <f>Settings!B5+1</f>
        <v/>
      </c>
      <c r="B17" s="42" t="n"/>
      <c r="C17" s="42" t="n"/>
      <c r="D17" s="42" t="n"/>
      <c r="E17" s="44">
        <f>IFERROR((D17-C17)/C17,"")</f>
        <v/>
      </c>
      <c r="F17" s="53" t="n"/>
    </row>
    <row r="18" ht="20" customHeight="1">
      <c r="A18" s="64">
        <f>Settings!B5+2</f>
        <v/>
      </c>
      <c r="B18" s="33" t="n"/>
      <c r="C18" s="33" t="n"/>
      <c r="D18" s="33" t="n"/>
      <c r="E18" s="39">
        <f>IFERROR((D18-C18)/C18,"")</f>
        <v/>
      </c>
      <c r="F18" s="50" t="n"/>
    </row>
    <row r="19" ht="20" customHeight="1">
      <c r="A19" s="71">
        <f>Settings!B5+3</f>
        <v/>
      </c>
      <c r="B19" s="42" t="n"/>
      <c r="C19" s="42" t="n"/>
      <c r="D19" s="42" t="n"/>
      <c r="E19" s="44">
        <f>IFERROR((D19-C19)/C19,"")</f>
        <v/>
      </c>
      <c r="F19" s="53" t="n"/>
    </row>
    <row r="20" ht="20" customHeight="1">
      <c r="A20" s="64">
        <f>Settings!B5+4</f>
        <v/>
      </c>
      <c r="B20" s="33" t="n"/>
      <c r="C20" s="33" t="n"/>
      <c r="D20" s="33" t="n"/>
      <c r="E20" s="39">
        <f>IFERROR((D20-C20)/C20,"")</f>
        <v/>
      </c>
      <c r="F20" s="50" t="n"/>
    </row>
    <row r="21" ht="20" customHeight="1">
      <c r="A21" s="71">
        <f>Settings!B5+5</f>
        <v/>
      </c>
      <c r="B21" s="42" t="n"/>
      <c r="C21" s="42" t="n"/>
      <c r="D21" s="42" t="n"/>
      <c r="E21" s="44">
        <f>IFERROR((D21-C21)/C21,"")</f>
        <v/>
      </c>
      <c r="F21" s="53" t="n"/>
    </row>
    <row r="23" ht="16" customHeight="1">
      <c r="A23" s="72" t="inlineStr">
        <is>
          <t>Each January, paste last year's actual revenue into column D. The Δ column shows how accurate your adjusted projection was — refine your quality multipliers based on what actually happened. Over 2-3 years your underwriting calibrates to your specific style of operating.</t>
        </is>
      </c>
    </row>
    <row r="24" ht="16" customHeight="1"/>
    <row r="25" ht="16" customHeight="1"/>
    <row r="28">
      <c r="A28" s="26" t="n"/>
      <c r="B28" s="26" t="n"/>
      <c r="C28" s="26" t="n"/>
      <c r="D28" s="26" t="n"/>
      <c r="E28" s="26" t="n"/>
      <c r="F28" s="26" t="n"/>
      <c r="G28" s="26" t="n"/>
      <c r="H28" s="26" t="n"/>
      <c r="I28" s="26" t="n"/>
      <c r="J28" s="26" t="n"/>
      <c r="K28" s="26" t="n"/>
      <c r="L28" s="26" t="n"/>
    </row>
    <row r="29" ht="18" customHeight="1">
      <c r="A29" s="27" t="inlineStr">
        <is>
          <t>Questions? hello@thestrledger.com</t>
        </is>
      </c>
    </row>
    <row r="30" ht="18" customHeight="1">
      <c r="A30" s="28" t="inlineStr">
        <is>
          <t>ACQ-005 · Settings</t>
        </is>
      </c>
    </row>
  </sheetData>
  <mergeCells count="7">
    <mergeCell ref="D2:L2"/>
    <mergeCell ref="A30:L30"/>
    <mergeCell ref="A23:F25"/>
    <mergeCell ref="A29:L29"/>
    <mergeCell ref="A14:F14"/>
    <mergeCell ref="A2:C2"/>
    <mergeCell ref="A4:L4"/>
  </mergeCells>
  <pageMargins left="0.5" right="0.5" top="0.5" bottom="0.5" header="0.5" footer="0.5"/>
  <pageSetup orientation="portrait" paperSize="1" fitToHeight="1"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The STR Ledger</dc:creator>
  <dc:title xmlns:dc="http://purl.org/dc/elements/1.1/">AirDNA Data Integrator — The STR Ledger</dc:title>
  <dc:description xmlns:dc="http://purl.org/dc/elements/1.1/">Translates AirDNA Rentalizer/Market Score projections into a host-specific underwriting model with property-quality multipliers.</dc:description>
  <dcterms:created xmlns:dcterms="http://purl.org/dc/terms/" xmlns:xsi="http://www.w3.org/2001/XMLSchema-instance" xsi:type="dcterms:W3CDTF">2026-05-03T12:26:18Z</dcterms:created>
  <dcterms:modified xmlns:dcterms="http://purl.org/dc/terms/" xmlns:xsi="http://www.w3.org/2001/XMLSchema-instance" xsi:type="dcterms:W3CDTF">2026-05-03T12:26:18Z</dcterms:modified>
</cp:coreProperties>
</file>