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5-Year Pro-Forma" sheetId="3" state="visible" r:id="rId3"/>
    <sheet xmlns:r="http://schemas.openxmlformats.org/officeDocument/2006/relationships" name="Scenarios" sheetId="4" state="visible" r:id="rId4"/>
    <sheet xmlns:r="http://schemas.openxmlformats.org/officeDocument/2006/relationships" name="Exit Analysis" sheetId="5" state="visible" r:id="rId5"/>
    <sheet xmlns:r="http://schemas.openxmlformats.org/officeDocument/2006/relationships" name="Settings" sheetId="6" state="visible" r:id="rId6"/>
  </sheets>
  <definedNames>
    <definedName name="_xlnm.Print_Area" localSheetId="0">'Start'!$A$1:$L$37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0.00&quot;x&quot;"/>
    <numFmt numFmtId="167" formatCode="0.000%"/>
  </numFmts>
  <fonts count="27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Georgia"/>
      <i val="1"/>
      <color rgb="00C9A24B"/>
      <sz val="18"/>
    </font>
    <font>
      <name val="Consolas"/>
      <b val="1"/>
      <color rgb="0012304E"/>
      <sz val="9"/>
    </font>
    <font>
      <name val="Consolas"/>
      <b val="1"/>
      <color rgb="00C9A24B"/>
      <sz val="9"/>
    </font>
    <font>
      <name val="Georgia"/>
      <b val="1"/>
      <color rgb="0012304E"/>
      <sz val="24"/>
    </font>
    <font>
      <name val="Georgia"/>
      <b val="1"/>
      <color rgb="00C9A24B"/>
      <sz val="24"/>
    </font>
    <font>
      <name val="Georgia"/>
      <b val="1"/>
      <color rgb="0012304E"/>
      <sz val="20"/>
    </font>
    <font>
      <name val="Georgia"/>
      <b val="1"/>
      <color rgb="00C9A24B"/>
      <sz val="20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Georgia"/>
      <b val="1"/>
      <color rgb="00F6EFE2"/>
      <sz val="12"/>
    </font>
    <font>
      <name val="Calibri"/>
      <b val="1"/>
      <color rgb="002B2B2B"/>
      <sz val="11"/>
    </font>
    <font>
      <name val="Calibri"/>
      <color rgb="002B2B2B"/>
      <sz val="11"/>
    </font>
    <font>
      <name val="Calibri"/>
      <i val="1"/>
      <color rgb="006B7280"/>
      <sz val="9"/>
    </font>
    <font>
      <name val="Calibri"/>
      <i val="1"/>
      <color rgb="002B2B2B"/>
      <sz val="11"/>
    </font>
    <font>
      <name val="Georgia"/>
      <b val="1"/>
      <color rgb="0012304E"/>
      <sz val="12"/>
    </font>
    <font>
      <name val="Georgia"/>
      <b val="1"/>
      <color rgb="00C9A24B"/>
      <sz val="14"/>
    </font>
    <font>
      <name val="Georgia"/>
      <b val="1"/>
      <color rgb="00C9A24B"/>
      <sz val="12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  <fill>
      <patternFill patternType="solid">
        <fgColor rgb="00E2C884"/>
      </patternFill>
    </fill>
    <fill>
      <patternFill patternType="solid">
        <fgColor rgb="00EFE5D0"/>
      </patternFill>
    </fill>
  </fills>
  <borders count="6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164" fontId="8" fillId="3" borderId="0" applyAlignment="1" pivotButton="0" quotePrefix="0" xfId="0">
      <alignment horizontal="center" vertical="center"/>
    </xf>
    <xf numFmtId="165" fontId="9" fillId="3" borderId="0" applyAlignment="1" pivotButton="0" quotePrefix="0" xfId="0">
      <alignment horizontal="center" vertical="center"/>
    </xf>
    <xf numFmtId="166" fontId="8" fillId="3" borderId="0" applyAlignment="1" pivotButton="0" quotePrefix="0" xfId="0">
      <alignment horizontal="center" vertical="center"/>
    </xf>
    <xf numFmtId="164" fontId="10" fillId="3" borderId="0" applyAlignment="1" pivotButton="0" quotePrefix="0" xfId="0">
      <alignment horizontal="center" vertical="center"/>
    </xf>
    <xf numFmtId="164" fontId="11" fillId="3" borderId="0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3" fillId="4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3" fillId="3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14" fillId="4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right" vertical="center" indent="2"/>
    </xf>
    <xf numFmtId="0" fontId="18" fillId="3" borderId="0" applyAlignment="1" pivotButton="0" quotePrefix="0" xfId="0">
      <alignment horizontal="left" vertical="center" indent="1"/>
    </xf>
    <xf numFmtId="0" fontId="19" fillId="2" borderId="0" applyAlignment="1" pivotButton="0" quotePrefix="0" xfId="0">
      <alignment horizontal="left" vertical="center" indent="2"/>
    </xf>
    <xf numFmtId="0" fontId="20" fillId="0" borderId="0" applyAlignment="1" pivotButton="0" quotePrefix="0" xfId="0">
      <alignment horizontal="right" vertical="center" indent="1"/>
    </xf>
    <xf numFmtId="164" fontId="21" fillId="5" borderId="0" applyAlignment="1" pivotButton="0" quotePrefix="0" xfId="0">
      <alignment horizontal="center" vertical="center"/>
    </xf>
    <xf numFmtId="165" fontId="21" fillId="5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 indent="1"/>
    </xf>
    <xf numFmtId="167" fontId="21" fillId="5" borderId="0" applyAlignment="1" pivotButton="0" quotePrefix="0" xfId="0">
      <alignment horizontal="center" vertical="center"/>
    </xf>
    <xf numFmtId="1" fontId="21" fillId="5" borderId="0" applyAlignment="1" pivotButton="0" quotePrefix="0" xfId="0">
      <alignment horizontal="center" vertical="center"/>
    </xf>
    <xf numFmtId="164" fontId="23" fillId="6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right" vertical="center" indent="1"/>
    </xf>
    <xf numFmtId="164" fontId="25" fillId="7" borderId="0" applyAlignment="1" pivotButton="0" quotePrefix="0" xfId="0">
      <alignment horizontal="center" vertical="center"/>
    </xf>
    <xf numFmtId="0" fontId="14" fillId="2" borderId="5" applyAlignment="1" pivotButton="0" quotePrefix="0" xfId="0">
      <alignment horizontal="left" vertical="center" indent="1"/>
    </xf>
    <xf numFmtId="0" fontId="14" fillId="2" borderId="5" applyAlignment="1" pivotButton="0" quotePrefix="0" xfId="0">
      <alignment horizontal="center" vertical="center"/>
    </xf>
    <xf numFmtId="0" fontId="20" fillId="8" borderId="0" applyAlignment="1" pivotButton="0" quotePrefix="0" xfId="0">
      <alignment horizontal="left" vertical="center" indent="1"/>
    </xf>
    <xf numFmtId="164" fontId="23" fillId="8" borderId="0" applyAlignment="1" pivotButton="0" quotePrefix="0" xfId="0">
      <alignment horizontal="right" vertical="center" indent="1"/>
    </xf>
    <xf numFmtId="0" fontId="21" fillId="0" borderId="0" applyAlignment="1" pivotButton="0" quotePrefix="0" xfId="0">
      <alignment horizontal="left" vertical="center" indent="1"/>
    </xf>
    <xf numFmtId="164" fontId="23" fillId="6" borderId="0" applyAlignment="1" pivotButton="0" quotePrefix="0" xfId="0">
      <alignment horizontal="right" vertical="center" indent="1"/>
    </xf>
    <xf numFmtId="0" fontId="24" fillId="0" borderId="0" applyAlignment="1" pivotButton="0" quotePrefix="0" xfId="0">
      <alignment horizontal="left" vertical="center" indent="1"/>
    </xf>
    <xf numFmtId="164" fontId="26" fillId="7" borderId="0" applyAlignment="1" pivotButton="0" quotePrefix="0" xfId="0">
      <alignment horizontal="right" vertical="center" indent="1"/>
    </xf>
    <xf numFmtId="164" fontId="26" fillId="7" borderId="0" applyAlignment="1" pivotButton="0" quotePrefix="0" xfId="0">
      <alignment horizontal="center" vertical="center"/>
    </xf>
    <xf numFmtId="166" fontId="26" fillId="7" borderId="0" applyAlignment="1" pivotButton="0" quotePrefix="0" xfId="0">
      <alignment horizontal="center" vertical="center"/>
    </xf>
    <xf numFmtId="166" fontId="25" fillId="7" borderId="0" applyAlignment="1" pivotButton="0" quotePrefix="0" xfId="0">
      <alignment horizontal="center" vertical="center"/>
    </xf>
    <xf numFmtId="165" fontId="25" fillId="7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 wrapText="1"/>
    </xf>
    <xf numFmtId="0" fontId="2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5-Year Pro-Forma</t>
        </is>
      </c>
    </row>
    <row r="5" ht="22" customHeight="1">
      <c r="A5" s="4" t="inlineStr">
        <is>
          <t>Five-year cash flow, IRR, and exit math — what real underwriters use.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ACQ-008 · v1.0 · DEMO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 ht="28" customHeight="1">
      <c r="A11" s="7">
        <f>IF(Settings!B7="","(enter property on Settings tab)",Settings!B7)</f>
        <v/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 ht="18" customHeight="1">
      <c r="A13" s="8" t="inlineStr">
        <is>
          <t>YEAR-5 NOI</t>
        </is>
      </c>
      <c r="E13" s="9" t="inlineStr">
        <is>
          <t>5-YEAR IRR</t>
        </is>
      </c>
      <c r="I13" s="8" t="inlineStr">
        <is>
          <t>EQUITY MULTIPLE</t>
        </is>
      </c>
    </row>
    <row r="14" ht="28" customHeight="1">
      <c r="A14" s="10">
        <f>'5-Year Pro-Forma'!G16</f>
        <v/>
      </c>
      <c r="E14" s="11">
        <f>'Exit Analysis'!C20</f>
        <v/>
      </c>
      <c r="I14" s="12">
        <f>'Exit Analysis'!C19</f>
        <v/>
      </c>
    </row>
    <row r="15" ht="18" customHeight="1"/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 ht="18" customHeight="1">
      <c r="A17" s="8" t="inlineStr">
        <is>
          <t>YEAR-5 SALE PRICE</t>
        </is>
      </c>
      <c r="G17" s="9" t="inlineStr">
        <is>
          <t>TOTAL CASH RETURNED</t>
        </is>
      </c>
    </row>
    <row r="18" ht="24" customHeight="1">
      <c r="A18" s="13">
        <f>'Exit Analysis'!C8</f>
        <v/>
      </c>
      <c r="G18" s="14">
        <f>'Exit Analysis'!C17</f>
        <v/>
      </c>
    </row>
    <row r="19" ht="16" customHeight="1"/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4" ht="22" customHeight="1">
      <c r="A24" s="15">
        <f>HYPERLINK("#'Inputs'!A1", "Inputs")</f>
        <v/>
      </c>
      <c r="B24" s="16" t="n"/>
      <c r="C24" s="16" t="n"/>
      <c r="D24" s="15">
        <f>HYPERLINK("#'5-Year Pro-Forma'!A1", "5-Year Pro-Forma")</f>
        <v/>
      </c>
      <c r="E24" s="16" t="n"/>
      <c r="F24" s="16" t="n"/>
      <c r="G24" s="15">
        <f>HYPERLINK("#'Scenarios'!A1", "Scenarios")</f>
        <v/>
      </c>
      <c r="H24" s="16" t="n"/>
      <c r="I24" s="16" t="n"/>
      <c r="J24" s="15">
        <f>HYPERLINK("#'Exit Analysis'!A1", "Exit Analysis")</f>
        <v/>
      </c>
      <c r="K24" s="16" t="n"/>
      <c r="L24" s="16" t="n"/>
    </row>
    <row r="25" ht="22" customHeight="1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</row>
    <row r="26" ht="22" customHeight="1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</row>
    <row r="28" ht="22" customHeight="1">
      <c r="A28" s="17">
        <f>HYPERLINK("#'Inputs'!A1", "→  Inputs (start here)")</f>
        <v/>
      </c>
      <c r="B28" s="18" t="n"/>
      <c r="C28" s="18" t="n"/>
      <c r="D28" s="18" t="n"/>
      <c r="E28" s="18" t="n"/>
      <c r="F28" s="18" t="n"/>
      <c r="G28" s="19">
        <f>HYPERLINK("#'Settings'!A1", "Settings")</f>
        <v/>
      </c>
      <c r="H28" s="20" t="n"/>
      <c r="I28" s="20" t="n"/>
      <c r="J28" s="20" t="n"/>
      <c r="K28" s="20" t="n"/>
      <c r="L28" s="20" t="n"/>
    </row>
    <row r="29" ht="22" customHeight="1">
      <c r="A29" s="18" t="n"/>
      <c r="B29" s="18" t="n"/>
      <c r="C29" s="18" t="n"/>
      <c r="D29" s="18" t="n"/>
      <c r="E29" s="18" t="n"/>
      <c r="F29" s="18" t="n"/>
      <c r="G29" s="20" t="n"/>
      <c r="H29" s="20" t="n"/>
      <c r="I29" s="20" t="n"/>
      <c r="J29" s="20" t="n"/>
      <c r="K29" s="20" t="n"/>
      <c r="L29" s="20" t="n"/>
    </row>
    <row r="30" ht="22" customHeight="1">
      <c r="A30" s="18" t="n"/>
      <c r="B30" s="18" t="n"/>
      <c r="C30" s="18" t="n"/>
      <c r="D30" s="18" t="n"/>
      <c r="E30" s="18" t="n"/>
      <c r="F30" s="18" t="n"/>
      <c r="G30" s="20" t="n"/>
      <c r="H30" s="20" t="n"/>
      <c r="I30" s="20" t="n"/>
      <c r="J30" s="20" t="n"/>
      <c r="K30" s="20" t="n"/>
      <c r="L30" s="20" t="n"/>
    </row>
    <row r="33" ht="36" customHeight="1">
      <c r="A33" s="21" t="inlineStr">
        <is>
          <t>💡  Underwriting a portfolio? Get the Acquisition Bundle at thestrledger.com — deal analyzer, cost-to-launch, arbitrage finder, and this pro-forma together.</t>
        </is>
      </c>
    </row>
    <row r="35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</row>
    <row r="36" ht="18" customHeight="1">
      <c r="A36" s="23" t="inlineStr">
        <is>
          <t>Questions? hello@thestrledger.com</t>
        </is>
      </c>
    </row>
    <row r="37" ht="18" customHeight="1">
      <c r="A37" s="24" t="inlineStr">
        <is>
          <t>ACQ-008 · v1.0 · DEMO · Free updates forever</t>
        </is>
      </c>
    </row>
  </sheetData>
  <mergeCells count="24">
    <mergeCell ref="E14:H15"/>
    <mergeCell ref="A7:L7"/>
    <mergeCell ref="A37:L37"/>
    <mergeCell ref="J24:L26"/>
    <mergeCell ref="A13:D13"/>
    <mergeCell ref="A2:F2"/>
    <mergeCell ref="I13:L13"/>
    <mergeCell ref="G28:L30"/>
    <mergeCell ref="G24:I26"/>
    <mergeCell ref="A33:L33"/>
    <mergeCell ref="A5:L5"/>
    <mergeCell ref="A17:F17"/>
    <mergeCell ref="A4:L4"/>
    <mergeCell ref="A14:D15"/>
    <mergeCell ref="D24:F26"/>
    <mergeCell ref="I14:L15"/>
    <mergeCell ref="A28:F30"/>
    <mergeCell ref="E13:H13"/>
    <mergeCell ref="A24:C26"/>
    <mergeCell ref="A18:F19"/>
    <mergeCell ref="A11:L11"/>
    <mergeCell ref="G18:L19"/>
    <mergeCell ref="A36:L36"/>
    <mergeCell ref="G17:L17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5">
        <f>HYPERLINK("#'Start'!A1", "← BACK")</f>
        <v/>
      </c>
      <c r="B2" s="16" t="n"/>
      <c r="C2" s="16" t="n"/>
      <c r="D2" s="25" t="inlineStr">
        <is>
          <t>INPUTS</t>
        </is>
      </c>
      <c r="J2" s="17">
        <f>HYPERLINK("#'5-Year Pro-Forma'!A1", "NEXT →")</f>
        <v/>
      </c>
      <c r="K2" s="18" t="n"/>
      <c r="L2" s="1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6" t="inlineStr">
        <is>
          <t>All assumptions live here. Yellow = editable.</t>
        </is>
      </c>
    </row>
    <row r="6" ht="24" customHeight="1">
      <c r="A6" s="27" t="inlineStr">
        <is>
          <t>PURCHASE &amp; FINANCING</t>
        </is>
      </c>
    </row>
    <row r="7" ht="18" customHeight="1">
      <c r="B7" s="28" t="inlineStr">
        <is>
          <t>Purchase price ($):</t>
        </is>
      </c>
      <c r="C7" s="29" t="n">
        <v>485000</v>
      </c>
    </row>
    <row r="8" ht="18" customHeight="1">
      <c r="B8" s="28" t="inlineStr">
        <is>
          <t>Down payment (%):</t>
        </is>
      </c>
      <c r="C8" s="30" t="n">
        <v>0.25</v>
      </c>
      <c r="E8" s="31" t="inlineStr">
        <is>
          <t>20-25% typical for STR</t>
        </is>
      </c>
    </row>
    <row r="9" ht="18" customHeight="1">
      <c r="B9" s="28" t="inlineStr">
        <is>
          <t>Interest rate (%):</t>
        </is>
      </c>
      <c r="C9" s="32" t="n">
        <v>0.0725</v>
      </c>
    </row>
    <row r="10" ht="18" customHeight="1">
      <c r="B10" s="28" t="inlineStr">
        <is>
          <t>Term (years):</t>
        </is>
      </c>
      <c r="C10" s="33" t="n">
        <v>30</v>
      </c>
      <c r="E10" s="31" t="inlineStr">
        <is>
          <t>30 typical</t>
        </is>
      </c>
    </row>
    <row r="11" ht="18" customHeight="1">
      <c r="B11" s="28" t="inlineStr">
        <is>
          <t>Closing costs ($):</t>
        </is>
      </c>
      <c r="C11" s="29" t="n">
        <v>9000</v>
      </c>
      <c r="E11" s="31" t="inlineStr">
        <is>
          <t>2-3% of purchase typical</t>
        </is>
      </c>
    </row>
    <row r="12" ht="18" customHeight="1">
      <c r="B12" s="28" t="inlineStr">
        <is>
          <t>Rehab budget ($):</t>
        </is>
      </c>
      <c r="C12" s="29" t="n">
        <v>35000</v>
      </c>
    </row>
    <row r="13" ht="18" customHeight="1">
      <c r="B13" s="28" t="inlineStr">
        <is>
          <t>Furnishing budget ($):</t>
        </is>
      </c>
      <c r="C13" s="29" t="n">
        <v>25000</v>
      </c>
    </row>
    <row r="15" ht="24" customHeight="1">
      <c r="A15" s="27" t="inlineStr">
        <is>
          <t>YEAR-1 REVENUE &amp; EXPENSES</t>
        </is>
      </c>
    </row>
    <row r="16" ht="18" customHeight="1">
      <c r="B16" s="28" t="inlineStr">
        <is>
          <t>Year-1 gross revenue ($):</t>
        </is>
      </c>
      <c r="C16" s="29" t="n">
        <v>96000</v>
      </c>
      <c r="E16" s="31" t="inlineStr">
        <is>
          <t>ADR × occ × 365</t>
        </is>
      </c>
    </row>
    <row r="17" ht="18" customHeight="1">
      <c r="B17" s="28" t="inlineStr">
        <is>
          <t>Vacancy / credit loss (%):</t>
        </is>
      </c>
      <c r="C17" s="30" t="n">
        <v>0.05</v>
      </c>
      <c r="E17" s="31" t="inlineStr">
        <is>
          <t>5% typical for STR cancellations</t>
        </is>
      </c>
    </row>
    <row r="18" ht="18" customHeight="1">
      <c r="B18" s="28" t="inlineStr">
        <is>
          <t>Property tax (annual):</t>
        </is>
      </c>
      <c r="C18" s="29" t="n">
        <v>5800</v>
      </c>
    </row>
    <row r="19" ht="18" customHeight="1">
      <c r="B19" s="28" t="inlineStr">
        <is>
          <t>Insurance (annual):</t>
        </is>
      </c>
      <c r="C19" s="29" t="n">
        <v>3400</v>
      </c>
      <c r="E19" s="31" t="inlineStr">
        <is>
          <t>STR rider included</t>
        </is>
      </c>
    </row>
    <row r="20" ht="18" customHeight="1">
      <c r="B20" s="28" t="inlineStr">
        <is>
          <t>HOA / Condo (annual):</t>
        </is>
      </c>
      <c r="C20" s="29" t="n">
        <v>0</v>
      </c>
    </row>
    <row r="21" ht="18" customHeight="1">
      <c r="B21" s="28" t="inlineStr">
        <is>
          <t>Utilities (annual):</t>
        </is>
      </c>
      <c r="C21" s="29" t="n">
        <v>2400</v>
      </c>
    </row>
    <row r="22" ht="18" customHeight="1">
      <c r="B22" s="28" t="inlineStr">
        <is>
          <t>Internet (annual):</t>
        </is>
      </c>
      <c r="C22" s="29" t="n">
        <v>960</v>
      </c>
    </row>
    <row r="23" ht="18" customHeight="1">
      <c r="B23" s="28" t="inlineStr">
        <is>
          <t>Software / PMS (annual):</t>
        </is>
      </c>
      <c r="C23" s="29" t="n">
        <v>480</v>
      </c>
    </row>
    <row r="24" ht="18" customHeight="1">
      <c r="B24" s="28" t="inlineStr">
        <is>
          <t>Marketing (annual):</t>
        </is>
      </c>
      <c r="C24" s="29" t="n">
        <v>1200</v>
      </c>
    </row>
    <row r="25" ht="18" customHeight="1">
      <c r="B25" s="28" t="inlineStr">
        <is>
          <t>Cleaning (annual):</t>
        </is>
      </c>
      <c r="C25" s="29" t="n">
        <v>14000</v>
      </c>
      <c r="E25" s="31" t="inlineStr">
        <is>
          <t>Total Y1 turnover labor</t>
        </is>
      </c>
    </row>
    <row r="26" ht="18" customHeight="1">
      <c r="B26" s="28" t="inlineStr">
        <is>
          <t>Supplies (annual):</t>
        </is>
      </c>
      <c r="C26" s="29" t="n">
        <v>2400</v>
      </c>
    </row>
    <row r="27" ht="18" customHeight="1">
      <c r="B27" s="28" t="inlineStr">
        <is>
          <t>Management fee (annual):</t>
        </is>
      </c>
      <c r="C27" s="29" t="n">
        <v>0</v>
      </c>
      <c r="E27" s="31" t="inlineStr">
        <is>
          <t>0 if self-managed</t>
        </is>
      </c>
    </row>
    <row r="28" ht="18" customHeight="1">
      <c r="B28" s="28" t="inlineStr">
        <is>
          <t>Maintenance (annual):</t>
        </is>
      </c>
      <c r="C28" s="29" t="n">
        <v>3600</v>
      </c>
    </row>
    <row r="29" ht="18" customHeight="1">
      <c r="B29" s="28" t="inlineStr">
        <is>
          <t>Other operating ($):</t>
        </is>
      </c>
      <c r="C29" s="29" t="n">
        <v>1800</v>
      </c>
    </row>
    <row r="31" ht="24" customHeight="1">
      <c r="A31" s="27" t="inlineStr">
        <is>
          <t>GROWTH ASSUMPTIONS</t>
        </is>
      </c>
    </row>
    <row r="32" ht="18" customHeight="1">
      <c r="B32" s="28" t="inlineStr">
        <is>
          <t>Annual revenue growth (%):</t>
        </is>
      </c>
      <c r="C32" s="30" t="n">
        <v>0.04</v>
      </c>
      <c r="E32" s="31" t="inlineStr">
        <is>
          <t>Typical 3-5%</t>
        </is>
      </c>
    </row>
    <row r="33" ht="18" customHeight="1">
      <c r="B33" s="28" t="inlineStr">
        <is>
          <t>Annual expense inflation (%):</t>
        </is>
      </c>
      <c r="C33" s="30" t="n">
        <v>0.03</v>
      </c>
      <c r="E33" s="31" t="inlineStr">
        <is>
          <t>Typical 3%</t>
        </is>
      </c>
    </row>
    <row r="34" ht="18" customHeight="1">
      <c r="B34" s="28" t="inlineStr">
        <is>
          <t>Capital reserve (% of revenue):</t>
        </is>
      </c>
      <c r="C34" s="30" t="n">
        <v>0.03</v>
      </c>
      <c r="E34" s="31" t="inlineStr">
        <is>
          <t>Typical 3%</t>
        </is>
      </c>
    </row>
    <row r="36" ht="24" customHeight="1">
      <c r="A36" s="27" t="inlineStr">
        <is>
          <t>EXIT ASSUMPTIONS</t>
        </is>
      </c>
    </row>
    <row r="37" ht="18" customHeight="1">
      <c r="B37" s="28" t="inlineStr">
        <is>
          <t>Exit cap rate (%):</t>
        </is>
      </c>
      <c r="C37" s="32" t="n">
        <v>0.075</v>
      </c>
      <c r="E37" s="31" t="inlineStr">
        <is>
          <t>Entry cap or +50bps</t>
        </is>
      </c>
    </row>
    <row r="38" ht="18" customHeight="1">
      <c r="B38" s="28" t="inlineStr">
        <is>
          <t>Selling cost (%):</t>
        </is>
      </c>
      <c r="C38" s="30" t="n">
        <v>0.06</v>
      </c>
      <c r="E38" s="31" t="inlineStr">
        <is>
          <t>5-7% typical</t>
        </is>
      </c>
    </row>
    <row r="40" ht="24" customHeight="1">
      <c r="A40" s="27" t="inlineStr">
        <is>
          <t>DERIVED</t>
        </is>
      </c>
    </row>
    <row r="41" ht="18" customHeight="1">
      <c r="B41" s="28" t="inlineStr">
        <is>
          <t>Loan amount:</t>
        </is>
      </c>
      <c r="C41" s="34">
        <f>C7*(1-C8)</f>
        <v/>
      </c>
    </row>
    <row r="42" ht="18" customHeight="1">
      <c r="B42" s="28" t="inlineStr">
        <is>
          <t>Annual debt service (P&amp;I):</t>
        </is>
      </c>
      <c r="C42" s="34">
        <f>IFERROR(PMT(C9/12,C10*12,-C41)*12,0)</f>
        <v/>
      </c>
    </row>
    <row r="43" ht="22" customHeight="1">
      <c r="B43" s="35" t="inlineStr">
        <is>
          <t>Total cash to close:</t>
        </is>
      </c>
      <c r="C43" s="36">
        <f>C7*C8+C11+C12+C13</f>
        <v/>
      </c>
    </row>
    <row r="44" ht="18" customHeight="1">
      <c r="B44" s="28" t="inlineStr">
        <is>
          <t>Annual depreciation (27.5-yr SL):</t>
        </is>
      </c>
      <c r="C44" s="34">
        <f>(C7+C12+C13)*(1-0.2)/27.5</f>
        <v/>
      </c>
    </row>
    <row r="45" ht="18" customHeight="1">
      <c r="B45" s="28" t="inlineStr">
        <is>
          <t>Total Y1 operating expenses:</t>
        </is>
      </c>
      <c r="C45" s="34">
        <f>SUM(C18:C29)</f>
        <v/>
      </c>
    </row>
    <row r="47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</row>
    <row r="48" ht="18" customHeight="1">
      <c r="A48" s="23" t="inlineStr">
        <is>
          <t>Questions? hello@thestrledger.com</t>
        </is>
      </c>
    </row>
    <row r="49" ht="18" customHeight="1">
      <c r="A49" s="24" t="inlineStr">
        <is>
          <t>ACQ-008 · Inputs</t>
        </is>
      </c>
    </row>
  </sheetData>
  <mergeCells count="24">
    <mergeCell ref="D2:I2"/>
    <mergeCell ref="E33:L33"/>
    <mergeCell ref="E8:L8"/>
    <mergeCell ref="A2:C2"/>
    <mergeCell ref="E17:L17"/>
    <mergeCell ref="E38:L38"/>
    <mergeCell ref="E10:L10"/>
    <mergeCell ref="E19:L19"/>
    <mergeCell ref="A4:L4"/>
    <mergeCell ref="E34:L34"/>
    <mergeCell ref="J2:L2"/>
    <mergeCell ref="E11:L11"/>
    <mergeCell ref="A31:L31"/>
    <mergeCell ref="A40:L40"/>
    <mergeCell ref="E27:L27"/>
    <mergeCell ref="A48:L48"/>
    <mergeCell ref="A15:L15"/>
    <mergeCell ref="A49:L49"/>
    <mergeCell ref="E25:L25"/>
    <mergeCell ref="E16:L16"/>
    <mergeCell ref="E32:L32"/>
    <mergeCell ref="A36:L36"/>
    <mergeCell ref="A6:L6"/>
    <mergeCell ref="E37:L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A24B"/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5">
        <f>HYPERLINK("#'Inputs'!A1", "← BACK")</f>
        <v/>
      </c>
      <c r="B2" s="16" t="n"/>
      <c r="C2" s="16" t="n"/>
      <c r="D2" s="25" t="inlineStr">
        <is>
          <t>5-YEAR PRO-FORMA</t>
        </is>
      </c>
      <c r="J2" s="17">
        <f>HYPERLINK("#'Scenarios'!A1", "NEXT →")</f>
        <v/>
      </c>
      <c r="K2" s="18" t="n"/>
      <c r="L2" s="1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6" t="inlineStr">
        <is>
          <t>Five-year matrix. Revenue grows at Inputs!C32; expenses inflate at Inputs!C33.</t>
        </is>
      </c>
    </row>
    <row r="6" ht="24" customHeight="1">
      <c r="B6" s="37" t="inlineStr">
        <is>
          <t>Line item</t>
        </is>
      </c>
      <c r="C6" s="38" t="inlineStr">
        <is>
          <t>Year 1</t>
        </is>
      </c>
      <c r="D6" s="38" t="inlineStr">
        <is>
          <t>Year 2</t>
        </is>
      </c>
      <c r="E6" s="38" t="inlineStr">
        <is>
          <t>Year 3</t>
        </is>
      </c>
      <c r="F6" s="38" t="inlineStr">
        <is>
          <t>Year 4</t>
        </is>
      </c>
      <c r="G6" s="38" t="inlineStr">
        <is>
          <t>Year 5</t>
        </is>
      </c>
    </row>
    <row r="7" ht="18" customHeight="1">
      <c r="B7" s="39" t="inlineStr">
        <is>
          <t>REVENUE</t>
        </is>
      </c>
      <c r="C7" s="40" t="inlineStr"/>
      <c r="D7" s="40" t="inlineStr"/>
      <c r="E7" s="40" t="inlineStr"/>
      <c r="F7" s="40" t="inlineStr"/>
      <c r="G7" s="40" t="inlineStr"/>
    </row>
    <row r="8" ht="18" customHeight="1">
      <c r="B8" s="41" t="inlineStr">
        <is>
          <t>Gross potential revenue</t>
        </is>
      </c>
      <c r="C8" s="42">
        <f>Inputs!$C$16*(1+Inputs!$C$32)^0</f>
        <v/>
      </c>
      <c r="D8" s="42">
        <f>Inputs!$C$16*(1+Inputs!$C$32)^1</f>
        <v/>
      </c>
      <c r="E8" s="42">
        <f>Inputs!$C$16*(1+Inputs!$C$32)^2</f>
        <v/>
      </c>
      <c r="F8" s="42">
        <f>Inputs!$C$16*(1+Inputs!$C$32)^3</f>
        <v/>
      </c>
      <c r="G8" s="42">
        <f>Inputs!$C$16*(1+Inputs!$C$32)^4</f>
        <v/>
      </c>
    </row>
    <row r="9" ht="18" customHeight="1">
      <c r="B9" s="41" t="inlineStr">
        <is>
          <t xml:space="preserve">  Less: vacancy / credit loss</t>
        </is>
      </c>
      <c r="C9" s="42">
        <f>-C8*Inputs!$C$17</f>
        <v/>
      </c>
      <c r="D9" s="42">
        <f>-D8*Inputs!$C$17</f>
        <v/>
      </c>
      <c r="E9" s="42">
        <f>-E8*Inputs!$C$17</f>
        <v/>
      </c>
      <c r="F9" s="42">
        <f>-F8*Inputs!$C$17</f>
        <v/>
      </c>
      <c r="G9" s="42">
        <f>-G8*Inputs!$C$17</f>
        <v/>
      </c>
    </row>
    <row r="10" ht="18" customHeight="1">
      <c r="B10" s="41" t="inlineStr">
        <is>
          <t>Effective gross income</t>
        </is>
      </c>
      <c r="C10" s="42">
        <f>C8+C9</f>
        <v/>
      </c>
      <c r="D10" s="42">
        <f>D8+D9</f>
        <v/>
      </c>
      <c r="E10" s="42">
        <f>E8+E9</f>
        <v/>
      </c>
      <c r="F10" s="42">
        <f>F8+F9</f>
        <v/>
      </c>
      <c r="G10" s="42">
        <f>G8+G9</f>
        <v/>
      </c>
    </row>
    <row r="11" ht="18" customHeight="1">
      <c r="B11" s="39" t="inlineStr">
        <is>
          <t>OPERATING EXPENSES</t>
        </is>
      </c>
      <c r="C11" s="40" t="inlineStr"/>
      <c r="D11" s="40" t="inlineStr"/>
      <c r="E11" s="40" t="inlineStr"/>
      <c r="F11" s="40" t="inlineStr"/>
      <c r="G11" s="40" t="inlineStr"/>
    </row>
    <row r="12" ht="18" customHeight="1">
      <c r="B12" s="41" t="inlineStr">
        <is>
          <t xml:space="preserve">  Operating expenses (inflated)</t>
        </is>
      </c>
      <c r="C12" s="42">
        <f>-Inputs!$C$45*(1+Inputs!$C$33)^0</f>
        <v/>
      </c>
      <c r="D12" s="42">
        <f>-Inputs!$C$45*(1+Inputs!$C$33)^1</f>
        <v/>
      </c>
      <c r="E12" s="42">
        <f>-Inputs!$C$45*(1+Inputs!$C$33)^2</f>
        <v/>
      </c>
      <c r="F12" s="42">
        <f>-Inputs!$C$45*(1+Inputs!$C$33)^3</f>
        <v/>
      </c>
      <c r="G12" s="42">
        <f>-Inputs!$C$45*(1+Inputs!$C$33)^4</f>
        <v/>
      </c>
    </row>
    <row r="13" ht="18" customHeight="1">
      <c r="B13" s="41" t="inlineStr">
        <is>
          <t xml:space="preserve">  Capital reserves (% of revenue)</t>
        </is>
      </c>
      <c r="C13" s="42">
        <f>-C10*Inputs!$C$34</f>
        <v/>
      </c>
      <c r="D13" s="42">
        <f>-D10*Inputs!$C$34</f>
        <v/>
      </c>
      <c r="E13" s="42">
        <f>-E10*Inputs!$C$34</f>
        <v/>
      </c>
      <c r="F13" s="42">
        <f>-F10*Inputs!$C$34</f>
        <v/>
      </c>
      <c r="G13" s="42">
        <f>-G10*Inputs!$C$34</f>
        <v/>
      </c>
    </row>
    <row r="14" ht="18" customHeight="1">
      <c r="B14" s="41" t="inlineStr">
        <is>
          <t>Total expenses</t>
        </is>
      </c>
      <c r="C14" s="42">
        <f>C12+C13</f>
        <v/>
      </c>
      <c r="D14" s="42">
        <f>D12+D13</f>
        <v/>
      </c>
      <c r="E14" s="42">
        <f>E12+E13</f>
        <v/>
      </c>
      <c r="F14" s="42">
        <f>F12+F13</f>
        <v/>
      </c>
      <c r="G14" s="42">
        <f>G12+G13</f>
        <v/>
      </c>
    </row>
    <row r="16" ht="22" customHeight="1">
      <c r="B16" s="43" t="inlineStr">
        <is>
          <t>NET OPERATING INCOME (NOI)</t>
        </is>
      </c>
      <c r="C16" s="44">
        <f>C10+C14</f>
        <v/>
      </c>
      <c r="D16" s="44">
        <f>D10+D14</f>
        <v/>
      </c>
      <c r="E16" s="44">
        <f>E10+E14</f>
        <v/>
      </c>
      <c r="F16" s="44">
        <f>F10+F14</f>
        <v/>
      </c>
      <c r="G16" s="44">
        <f>G10+G14</f>
        <v/>
      </c>
    </row>
    <row r="17" ht="18" customHeight="1">
      <c r="B17" s="41" t="inlineStr">
        <is>
          <t xml:space="preserve">  Less: debt service (P&amp;I)</t>
        </is>
      </c>
      <c r="C17" s="42">
        <f>-Inputs!$C$42</f>
        <v/>
      </c>
      <c r="D17" s="42">
        <f>-Inputs!$C$42</f>
        <v/>
      </c>
      <c r="E17" s="42">
        <f>-Inputs!$C$42</f>
        <v/>
      </c>
      <c r="F17" s="42">
        <f>-Inputs!$C$42</f>
        <v/>
      </c>
      <c r="G17" s="42">
        <f>-Inputs!$C$42</f>
        <v/>
      </c>
    </row>
    <row r="18" ht="22" customHeight="1">
      <c r="B18" s="43" t="inlineStr">
        <is>
          <t>CASH FLOW BEFORE TAX</t>
        </is>
      </c>
      <c r="C18" s="44">
        <f>C16+C17</f>
        <v/>
      </c>
      <c r="D18" s="44">
        <f>D16+D17</f>
        <v/>
      </c>
      <c r="E18" s="44">
        <f>E16+E17</f>
        <v/>
      </c>
      <c r="F18" s="44">
        <f>F16+F17</f>
        <v/>
      </c>
      <c r="G18" s="44">
        <f>G16+G17</f>
        <v/>
      </c>
    </row>
    <row r="20" ht="18" customHeight="1">
      <c r="B20" s="39" t="inlineStr">
        <is>
          <t>TAX TREATMENT</t>
        </is>
      </c>
      <c r="C20" s="40" t="inlineStr"/>
      <c r="D20" s="40" t="inlineStr"/>
      <c r="E20" s="40" t="inlineStr"/>
      <c r="F20" s="40" t="inlineStr"/>
      <c r="G20" s="40" t="inlineStr"/>
    </row>
    <row r="21" ht="18" customHeight="1">
      <c r="B21" s="41" t="inlineStr">
        <is>
          <t xml:space="preserve">  Depreciation (27.5-yr SL)</t>
        </is>
      </c>
      <c r="C21" s="42">
        <f>-Inputs!$C$44</f>
        <v/>
      </c>
      <c r="D21" s="42">
        <f>-Inputs!$C$44</f>
        <v/>
      </c>
      <c r="E21" s="42">
        <f>-Inputs!$C$44</f>
        <v/>
      </c>
      <c r="F21" s="42">
        <f>-Inputs!$C$44</f>
        <v/>
      </c>
      <c r="G21" s="42">
        <f>-Inputs!$C$44</f>
        <v/>
      </c>
    </row>
    <row r="22" ht="18" customHeight="1">
      <c r="B22" s="41" t="inlineStr">
        <is>
          <t xml:space="preserve">  Mortgage interest (IPMT)</t>
        </is>
      </c>
      <c r="C22" s="42">
        <f>IFERROR(CUMIPMT(Inputs!$C$9/12,Inputs!$C$10*12,Inputs!$C$41,(0*12)+1,1*12,0),0)</f>
        <v/>
      </c>
      <c r="D22" s="42">
        <f>IFERROR(CUMIPMT(Inputs!$C$9/12,Inputs!$C$10*12,Inputs!$C$41,(1*12)+1,2*12,0),0)</f>
        <v/>
      </c>
      <c r="E22" s="42">
        <f>IFERROR(CUMIPMT(Inputs!$C$9/12,Inputs!$C$10*12,Inputs!$C$41,(2*12)+1,3*12,0),0)</f>
        <v/>
      </c>
      <c r="F22" s="42">
        <f>IFERROR(CUMIPMT(Inputs!$C$9/12,Inputs!$C$10*12,Inputs!$C$41,(3*12)+1,4*12,0),0)</f>
        <v/>
      </c>
      <c r="G22" s="42">
        <f>IFERROR(CUMIPMT(Inputs!$C$9/12,Inputs!$C$10*12,Inputs!$C$41,(4*12)+1,5*12,0),0)</f>
        <v/>
      </c>
    </row>
    <row r="23" ht="18" customHeight="1">
      <c r="B23" s="41" t="inlineStr">
        <is>
          <t>Taxable income</t>
        </is>
      </c>
      <c r="C23" s="42">
        <f>C16+C21+C22</f>
        <v/>
      </c>
      <c r="D23" s="42">
        <f>D16+D21+D22</f>
        <v/>
      </c>
      <c r="E23" s="42">
        <f>E16+E21+E22</f>
        <v/>
      </c>
      <c r="F23" s="42">
        <f>F16+F21+F22</f>
        <v/>
      </c>
      <c r="G23" s="42">
        <f>G16+G21+G22</f>
        <v/>
      </c>
    </row>
    <row r="24" ht="18" customHeight="1">
      <c r="B24" s="41" t="inlineStr">
        <is>
          <t xml:space="preserve">  Tax owed (Settings!B13 × max(0, taxable))</t>
        </is>
      </c>
      <c r="C24" s="42">
        <f>-MAX(0,C23)*Settings!$B$13</f>
        <v/>
      </c>
      <c r="D24" s="42">
        <f>-MAX(0,D23)*Settings!$B$13</f>
        <v/>
      </c>
      <c r="E24" s="42">
        <f>-MAX(0,E23)*Settings!$B$13</f>
        <v/>
      </c>
      <c r="F24" s="42">
        <f>-MAX(0,F23)*Settings!$B$13</f>
        <v/>
      </c>
      <c r="G24" s="42">
        <f>-MAX(0,G23)*Settings!$B$13</f>
        <v/>
      </c>
    </row>
    <row r="25" ht="22" customHeight="1">
      <c r="B25" s="43" t="inlineStr">
        <is>
          <t>AFTER-TAX CASH FLOW</t>
        </is>
      </c>
      <c r="C25" s="44">
        <f>C18+C24</f>
        <v/>
      </c>
      <c r="D25" s="44">
        <f>D18+D24</f>
        <v/>
      </c>
      <c r="E25" s="44">
        <f>E18+E24</f>
        <v/>
      </c>
      <c r="F25" s="44">
        <f>F18+F24</f>
        <v/>
      </c>
      <c r="G25" s="44">
        <f>G18+G24</f>
        <v/>
      </c>
    </row>
    <row r="27" ht="18" customHeight="1">
      <c r="B27" s="41" t="inlineStr">
        <is>
          <t>Cumulative cash flow</t>
        </is>
      </c>
      <c r="C27" s="42">
        <f>C25</f>
        <v/>
      </c>
      <c r="D27" s="42">
        <f>C27+D25</f>
        <v/>
      </c>
      <c r="E27" s="42">
        <f>D27+E25</f>
        <v/>
      </c>
      <c r="F27" s="42">
        <f>E27+F25</f>
        <v/>
      </c>
      <c r="G27" s="42">
        <f>F27+G25</f>
        <v/>
      </c>
    </row>
    <row r="30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</row>
    <row r="31" ht="18" customHeight="1">
      <c r="A31" s="23" t="inlineStr">
        <is>
          <t>Questions? hello@thestrledger.com</t>
        </is>
      </c>
    </row>
    <row r="32" ht="18" customHeight="1">
      <c r="A32" s="24" t="inlineStr">
        <is>
          <t>ACQ-008 · 5-Year Pro-Forma</t>
        </is>
      </c>
    </row>
  </sheetData>
  <mergeCells count="6">
    <mergeCell ref="J2:L2"/>
    <mergeCell ref="D2:I2"/>
    <mergeCell ref="A32:L32"/>
    <mergeCell ref="A31:L31"/>
    <mergeCell ref="A2:C2"/>
    <mergeCell ref="A4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5725E"/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6" customWidth="1" min="3" max="3"/>
    <col width="16" customWidth="1" min="4" max="4"/>
    <col width="16" customWidth="1" min="5" max="5"/>
    <col width="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5">
        <f>HYPERLINK("#'5-Year Pro-Forma'!A1", "← BACK")</f>
        <v/>
      </c>
      <c r="B2" s="16" t="n"/>
      <c r="C2" s="16" t="n"/>
      <c r="D2" s="25" t="inlineStr">
        <is>
          <t>SCENARIOS</t>
        </is>
      </c>
      <c r="J2" s="17">
        <f>HYPERLINK("#'Exit Analysis'!A1", "NEXT →")</f>
        <v/>
      </c>
      <c r="K2" s="18" t="n"/>
      <c r="L2" s="1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6" t="inlineStr">
        <is>
          <t>Three side-by-side projections. Adjust the assumption rows; the math flows.</t>
        </is>
      </c>
    </row>
    <row r="6" ht="24" customHeight="1">
      <c r="B6" s="38" t="inlineStr">
        <is>
          <t>Metric</t>
        </is>
      </c>
      <c r="C6" s="38" t="inlineStr">
        <is>
          <t>Conservative</t>
        </is>
      </c>
      <c r="D6" s="38" t="inlineStr">
        <is>
          <t>Base</t>
        </is>
      </c>
      <c r="E6" s="38" t="inlineStr">
        <is>
          <t>Aggressive</t>
        </is>
      </c>
    </row>
    <row r="7" ht="18" customHeight="1">
      <c r="B7" s="28" t="inlineStr">
        <is>
          <t>Revenue growth (%):</t>
        </is>
      </c>
      <c r="C7" s="30" t="n">
        <v>0.01</v>
      </c>
      <c r="D7" s="30" t="n">
        <v>0.04</v>
      </c>
      <c r="E7" s="30" t="n">
        <v>0.06</v>
      </c>
    </row>
    <row r="8" ht="18" customHeight="1">
      <c r="B8" s="28" t="inlineStr">
        <is>
          <t>Expense inflation (%):</t>
        </is>
      </c>
      <c r="C8" s="30" t="n">
        <v>0.04</v>
      </c>
      <c r="D8" s="30" t="n">
        <v>0.03</v>
      </c>
      <c r="E8" s="30" t="n">
        <v>0.02</v>
      </c>
    </row>
    <row r="9" ht="18" customHeight="1">
      <c r="B9" s="28" t="inlineStr">
        <is>
          <t>Vacancy / occupancy hit (%):</t>
        </is>
      </c>
      <c r="C9" s="30" t="n">
        <v>0.1</v>
      </c>
      <c r="D9" s="30" t="n">
        <v>0.05</v>
      </c>
      <c r="E9" s="30" t="n">
        <v>0.02</v>
      </c>
    </row>
    <row r="10" ht="24" customHeight="1">
      <c r="A10" s="27" t="inlineStr">
        <is>
          <t>5-YEAR FINANCIAL SUMMARY</t>
        </is>
      </c>
    </row>
    <row r="11" ht="18" customHeight="1">
      <c r="B11" s="28" t="inlineStr">
        <is>
          <t>5-yr gross revenue</t>
        </is>
      </c>
      <c r="C11" s="34">
        <f>SUMPRODUCT(Inputs!$C$16*(1-C$9)*(1+C$7)^{0;1;2;3;4})</f>
        <v/>
      </c>
      <c r="D11" s="34">
        <f>SUMPRODUCT(Inputs!$C$16*(1-D$9)*(1+D$7)^{0;1;2;3;4})</f>
        <v/>
      </c>
      <c r="E11" s="34">
        <f>SUMPRODUCT(Inputs!$C$16*(1-E$9)*(1+E$7)^{0;1;2;3;4})</f>
        <v/>
      </c>
    </row>
    <row r="12" ht="18" customHeight="1">
      <c r="B12" s="28" t="inlineStr">
        <is>
          <t>5-yr operating expenses</t>
        </is>
      </c>
      <c r="C12" s="34">
        <f>SUMPRODUCT(Inputs!$C$45*(1+C$8)^{0;1;2;3;4})</f>
        <v/>
      </c>
      <c r="D12" s="34">
        <f>SUMPRODUCT(Inputs!$C$45*(1+D$8)^{0;1;2;3;4})</f>
        <v/>
      </c>
      <c r="E12" s="34">
        <f>SUMPRODUCT(Inputs!$C$45*(1+E$8)^{0;1;2;3;4})</f>
        <v/>
      </c>
    </row>
    <row r="13" ht="18" customHeight="1">
      <c r="B13" s="28" t="inlineStr">
        <is>
          <t>5-yr capital reserves</t>
        </is>
      </c>
      <c r="C13" s="34">
        <f>SUMPRODUCT(Inputs!$C$16*(1-C$9)*(1+C$7)^{0;1;2;3;4}*Inputs!$C$34)</f>
        <v/>
      </c>
      <c r="D13" s="34">
        <f>SUMPRODUCT(Inputs!$C$16*(1-D$9)*(1+D$7)^{0;1;2;3;4}*Inputs!$C$34)</f>
        <v/>
      </c>
      <c r="E13" s="34">
        <f>SUMPRODUCT(Inputs!$C$16*(1-E$9)*(1+E$7)^{0;1;2;3;4}*Inputs!$C$34)</f>
        <v/>
      </c>
    </row>
    <row r="14" ht="18" customHeight="1">
      <c r="B14" s="28" t="inlineStr">
        <is>
          <t>5-yr debt service</t>
        </is>
      </c>
      <c r="C14" s="34">
        <f>Inputs!$C$42*5</f>
        <v/>
      </c>
      <c r="D14" s="34">
        <f>Inputs!$C$42*5</f>
        <v/>
      </c>
      <c r="E14" s="34">
        <f>Inputs!$C$42*5</f>
        <v/>
      </c>
    </row>
    <row r="15" ht="22" customHeight="1">
      <c r="B15" s="35" t="inlineStr">
        <is>
          <t>5-yr cumulative cash flow</t>
        </is>
      </c>
      <c r="C15" s="45">
        <f>(SUMPRODUCT(Inputs!$C$16*(1-C$9)*(1+C$7)^{0;1;2;3;4})-SUMPRODUCT(Inputs!$C$45*(1+C$8)^{0;1;2;3;4})-SUMPRODUCT(Inputs!$C$16*(1-C$9)*(1+C$7)^{0;1;2;3;4}*Inputs!$C$34)-Inputs!$C$42*5)</f>
        <v/>
      </c>
      <c r="D15" s="45">
        <f>(SUMPRODUCT(Inputs!$C$16*(1-D$9)*(1+D$7)^{0;1;2;3;4})-SUMPRODUCT(Inputs!$C$45*(1+D$8)^{0;1;2;3;4})-SUMPRODUCT(Inputs!$C$16*(1-D$9)*(1+D$7)^{0;1;2;3;4}*Inputs!$C$34)-Inputs!$C$42*5)</f>
        <v/>
      </c>
      <c r="E15" s="45">
        <f>(SUMPRODUCT(Inputs!$C$16*(1-E$9)*(1+E$7)^{0;1;2;3;4})-SUMPRODUCT(Inputs!$C$45*(1+E$8)^{0;1;2;3;4})-SUMPRODUCT(Inputs!$C$16*(1-E$9)*(1+E$7)^{0;1;2;3;4}*Inputs!$C$34)-Inputs!$C$42*5)</f>
        <v/>
      </c>
    </row>
    <row r="16" ht="24" customHeight="1">
      <c r="A16" s="27" t="inlineStr">
        <is>
          <t>EXIT METRICS (YEAR 5 SALE)</t>
        </is>
      </c>
    </row>
    <row r="17" ht="18" customHeight="1">
      <c r="B17" s="28" t="inlineStr">
        <is>
          <t>Year-5 NOI</t>
        </is>
      </c>
      <c r="C17" s="34">
        <f>(Inputs!$C$16*(1-C$9)*(1+C$7)^4-Inputs!$C$45*(1+C$8)^4-Inputs!$C$16*(1-C$9)*(1+C$7)^4*Inputs!$C$34)</f>
        <v/>
      </c>
      <c r="D17" s="34">
        <f>(Inputs!$C$16*(1-D$9)*(1+D$7)^4-Inputs!$C$45*(1+D$8)^4-Inputs!$C$16*(1-D$9)*(1+D$7)^4*Inputs!$C$34)</f>
        <v/>
      </c>
      <c r="E17" s="34">
        <f>(Inputs!$C$16*(1-E$9)*(1+E$7)^4-Inputs!$C$45*(1+E$8)^4-Inputs!$C$16*(1-E$9)*(1+E$7)^4*Inputs!$C$34)</f>
        <v/>
      </c>
    </row>
    <row r="18" ht="18" customHeight="1">
      <c r="B18" s="28" t="inlineStr">
        <is>
          <t>Year-5 sale price</t>
        </is>
      </c>
      <c r="C18" s="34">
        <f>((Inputs!$C$16*(1-C$9)*(1+C$7)^4-Inputs!$C$45*(1+C$8)^4-Inputs!$C$16*(1-C$9)*(1+C$7)^4*Inputs!$C$34)/Inputs!$C$37)*(1-Inputs!$C$38)</f>
        <v/>
      </c>
      <c r="D18" s="34">
        <f>((Inputs!$C$16*(1-D$9)*(1+D$7)^4-Inputs!$C$45*(1+D$8)^4-Inputs!$C$16*(1-D$9)*(1+D$7)^4*Inputs!$C$34)/Inputs!$C$37)*(1-Inputs!$C$38)</f>
        <v/>
      </c>
      <c r="E18" s="34">
        <f>((Inputs!$C$16*(1-E$9)*(1+E$7)^4-Inputs!$C$45*(1+E$8)^4-Inputs!$C$16*(1-E$9)*(1+E$7)^4*Inputs!$C$34)/Inputs!$C$37)*(1-Inputs!$C$38)</f>
        <v/>
      </c>
    </row>
    <row r="19" ht="18" customHeight="1">
      <c r="B19" s="28" t="inlineStr">
        <is>
          <t>Less: loan balance at Y5</t>
        </is>
      </c>
      <c r="C19" s="34">
        <f>(Inputs!$C$41+CUMPRINC(Inputs!$C$9/12,Inputs!$C$10*12,Inputs!$C$41,1,60,0))</f>
        <v/>
      </c>
      <c r="D19" s="34">
        <f>(Inputs!$C$41+CUMPRINC(Inputs!$C$9/12,Inputs!$C$10*12,Inputs!$C$41,1,60,0))</f>
        <v/>
      </c>
      <c r="E19" s="34">
        <f>(Inputs!$C$41+CUMPRINC(Inputs!$C$9/12,Inputs!$C$10*12,Inputs!$C$41,1,60,0))</f>
        <v/>
      </c>
    </row>
    <row r="20" ht="22" customHeight="1">
      <c r="B20" s="35" t="inlineStr">
        <is>
          <t>Net sale proceeds</t>
        </is>
      </c>
      <c r="C20" s="45">
        <f>(((Inputs!$C$16*(1-C$9)*(1+C$7)^4-Inputs!$C$45*(1+C$8)^4-Inputs!$C$16*(1-C$9)*(1+C$7)^4*Inputs!$C$34)/Inputs!$C$37)*(1-Inputs!$C$38)-(Inputs!$C$41+CUMPRINC(Inputs!$C$9/12,Inputs!$C$10*12,Inputs!$C$41,1,60,0)))</f>
        <v/>
      </c>
      <c r="D20" s="45">
        <f>(((Inputs!$C$16*(1-D$9)*(1+D$7)^4-Inputs!$C$45*(1+D$8)^4-Inputs!$C$16*(1-D$9)*(1+D$7)^4*Inputs!$C$34)/Inputs!$C$37)*(1-Inputs!$C$38)-(Inputs!$C$41+CUMPRINC(Inputs!$C$9/12,Inputs!$C$10*12,Inputs!$C$41,1,60,0)))</f>
        <v/>
      </c>
      <c r="E20" s="45">
        <f>(((Inputs!$C$16*(1-E$9)*(1+E$7)^4-Inputs!$C$45*(1+E$8)^4-Inputs!$C$16*(1-E$9)*(1+E$7)^4*Inputs!$C$34)/Inputs!$C$37)*(1-Inputs!$C$38)-(Inputs!$C$41+CUMPRINC(Inputs!$C$9/12,Inputs!$C$10*12,Inputs!$C$41,1,60,0)))</f>
        <v/>
      </c>
    </row>
    <row r="21" ht="24" customHeight="1">
      <c r="A21" s="27" t="inlineStr">
        <is>
          <t>TOTAL RETURN</t>
        </is>
      </c>
    </row>
    <row r="22" ht="22" customHeight="1">
      <c r="B22" s="35" t="inlineStr">
        <is>
          <t>Total cash returned (CF + sale)</t>
        </is>
      </c>
      <c r="C22" s="45">
        <f>((SUMPRODUCT(Inputs!$C$16*(1-C$9)*(1+C$7)^{0;1;2;3;4})-SUMPRODUCT(Inputs!$C$45*(1+C$8)^{0;1;2;3;4})-SUMPRODUCT(Inputs!$C$16*(1-C$9)*(1+C$7)^{0;1;2;3;4}*Inputs!$C$34)-Inputs!$C$42*5)+(((Inputs!$C$16*(1-C$9)*(1+C$7)^4-Inputs!$C$45*(1+C$8)^4-Inputs!$C$16*(1-C$9)*(1+C$7)^4*Inputs!$C$34)/Inputs!$C$37)*(1-Inputs!$C$38)-(Inputs!$C$41+CUMPRINC(Inputs!$C$9/12,Inputs!$C$10*12,Inputs!$C$41,1,60,0))))</f>
        <v/>
      </c>
      <c r="D22" s="45">
        <f>((SUMPRODUCT(Inputs!$C$16*(1-D$9)*(1+D$7)^{0;1;2;3;4})-SUMPRODUCT(Inputs!$C$45*(1+D$8)^{0;1;2;3;4})-SUMPRODUCT(Inputs!$C$16*(1-D$9)*(1+D$7)^{0;1;2;3;4}*Inputs!$C$34)-Inputs!$C$42*5)+(((Inputs!$C$16*(1-D$9)*(1+D$7)^4-Inputs!$C$45*(1+D$8)^4-Inputs!$C$16*(1-D$9)*(1+D$7)^4*Inputs!$C$34)/Inputs!$C$37)*(1-Inputs!$C$38)-(Inputs!$C$41+CUMPRINC(Inputs!$C$9/12,Inputs!$C$10*12,Inputs!$C$41,1,60,0))))</f>
        <v/>
      </c>
      <c r="E22" s="45">
        <f>((SUMPRODUCT(Inputs!$C$16*(1-E$9)*(1+E$7)^{0;1;2;3;4})-SUMPRODUCT(Inputs!$C$45*(1+E$8)^{0;1;2;3;4})-SUMPRODUCT(Inputs!$C$16*(1-E$9)*(1+E$7)^{0;1;2;3;4}*Inputs!$C$34)-Inputs!$C$42*5)+(((Inputs!$C$16*(1-E$9)*(1+E$7)^4-Inputs!$C$45*(1+E$8)^4-Inputs!$C$16*(1-E$9)*(1+E$7)^4*Inputs!$C$34)/Inputs!$C$37)*(1-Inputs!$C$38)-(Inputs!$C$41+CUMPRINC(Inputs!$C$9/12,Inputs!$C$10*12,Inputs!$C$41,1,60,0))))</f>
        <v/>
      </c>
    </row>
    <row r="23" ht="22" customHeight="1">
      <c r="B23" s="35" t="inlineStr">
        <is>
          <t>Equity multiple</t>
        </is>
      </c>
      <c r="C23" s="46">
        <f>(((SUMPRODUCT(Inputs!$C$16*(1-C$9)*(1+C$7)^{0;1;2;3;4})-SUMPRODUCT(Inputs!$C$45*(1+C$8)^{0;1;2;3;4})-SUMPRODUCT(Inputs!$C$16*(1-C$9)*(1+C$7)^{0;1;2;3;4}*Inputs!$C$34)-Inputs!$C$42*5)+(((Inputs!$C$16*(1-C$9)*(1+C$7)^4-Inputs!$C$45*(1+C$8)^4-Inputs!$C$16*(1-C$9)*(1+C$7)^4*Inputs!$C$34)/Inputs!$C$37)*(1-Inputs!$C$38)-(Inputs!$C$41+CUMPRINC(Inputs!$C$9/12,Inputs!$C$10*12,Inputs!$C$41,1,60,0))))/Inputs!$C$43)</f>
        <v/>
      </c>
      <c r="D23" s="46">
        <f>(((SUMPRODUCT(Inputs!$C$16*(1-D$9)*(1+D$7)^{0;1;2;3;4})-SUMPRODUCT(Inputs!$C$45*(1+D$8)^{0;1;2;3;4})-SUMPRODUCT(Inputs!$C$16*(1-D$9)*(1+D$7)^{0;1;2;3;4}*Inputs!$C$34)-Inputs!$C$42*5)+(((Inputs!$C$16*(1-D$9)*(1+D$7)^4-Inputs!$C$45*(1+D$8)^4-Inputs!$C$16*(1-D$9)*(1+D$7)^4*Inputs!$C$34)/Inputs!$C$37)*(1-Inputs!$C$38)-(Inputs!$C$41+CUMPRINC(Inputs!$C$9/12,Inputs!$C$10*12,Inputs!$C$41,1,60,0))))/Inputs!$C$43)</f>
        <v/>
      </c>
      <c r="E23" s="46">
        <f>(((SUMPRODUCT(Inputs!$C$16*(1-E$9)*(1+E$7)^{0;1;2;3;4})-SUMPRODUCT(Inputs!$C$45*(1+E$8)^{0;1;2;3;4})-SUMPRODUCT(Inputs!$C$16*(1-E$9)*(1+E$7)^{0;1;2;3;4}*Inputs!$C$34)-Inputs!$C$42*5)+(((Inputs!$C$16*(1-E$9)*(1+E$7)^4-Inputs!$C$45*(1+E$8)^4-Inputs!$C$16*(1-E$9)*(1+E$7)^4*Inputs!$C$34)/Inputs!$C$37)*(1-Inputs!$C$38)-(Inputs!$C$41+CUMPRINC(Inputs!$C$9/12,Inputs!$C$10*12,Inputs!$C$41,1,60,0))))/Inputs!$C$43)</f>
        <v/>
      </c>
    </row>
    <row r="2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</row>
    <row r="27" ht="18" customHeight="1">
      <c r="A27" s="23" t="inlineStr">
        <is>
          <t>Questions? hello@thestrledger.com</t>
        </is>
      </c>
    </row>
    <row r="28" ht="18" customHeight="1">
      <c r="A28" s="24" t="inlineStr">
        <is>
          <t>ACQ-008 · Scenarios</t>
        </is>
      </c>
    </row>
  </sheetData>
  <mergeCells count="9">
    <mergeCell ref="A16:L16"/>
    <mergeCell ref="J2:L2"/>
    <mergeCell ref="A10:L10"/>
    <mergeCell ref="D2:I2"/>
    <mergeCell ref="A28:L28"/>
    <mergeCell ref="A27:L27"/>
    <mergeCell ref="A21:L21"/>
    <mergeCell ref="A2:C2"/>
    <mergeCell ref="A4:L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9A24B"/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5">
        <f>HYPERLINK("#'Scenarios'!A1", "← BACK")</f>
        <v/>
      </c>
      <c r="B2" s="16" t="n"/>
      <c r="C2" s="16" t="n"/>
      <c r="D2" s="25" t="inlineStr">
        <is>
          <t>EXIT ANALYSIS</t>
        </is>
      </c>
      <c r="J2" s="17">
        <f>HYPERLINK("#'Settings'!A1", "NEXT →")</f>
        <v/>
      </c>
      <c r="K2" s="18" t="n"/>
      <c r="L2" s="1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6" t="inlineStr">
        <is>
          <t>Year-5 sale math: NOI ÷ exit cap = sale price. Less loan balance, less selling costs.</t>
        </is>
      </c>
    </row>
    <row r="6" ht="24" customHeight="1">
      <c r="A6" s="27" t="inlineStr">
        <is>
          <t>EXIT VALUATION</t>
        </is>
      </c>
    </row>
    <row r="7" ht="18" customHeight="1">
      <c r="B7" s="28" t="inlineStr">
        <is>
          <t>Year-5 NOI:</t>
        </is>
      </c>
      <c r="C7" s="34">
        <f>'5-Year Pro-Forma'!G16</f>
        <v/>
      </c>
    </row>
    <row r="8" ht="22" customHeight="1">
      <c r="B8" s="35" t="inlineStr">
        <is>
          <t>Year-5 sale price (NOI ÷ exit cap):</t>
        </is>
      </c>
      <c r="C8" s="36">
        <f>C7/Inputs!C37</f>
        <v/>
      </c>
    </row>
    <row r="9" ht="18" customHeight="1">
      <c r="B9" s="28" t="inlineStr">
        <is>
          <t xml:space="preserve">  Less: selling costs:</t>
        </is>
      </c>
      <c r="C9" s="34">
        <f>-C8*Inputs!C38</f>
        <v/>
      </c>
    </row>
    <row r="10" ht="18" customHeight="1">
      <c r="B10" s="28" t="inlineStr">
        <is>
          <t xml:space="preserve">  Less: remaining loan balance:</t>
        </is>
      </c>
      <c r="C10" s="34">
        <f>-(Inputs!C41+CUMPRINC(Inputs!C9/12,Inputs!C10*12,Inputs!C41,1,60,0))</f>
        <v/>
      </c>
    </row>
    <row r="11" ht="22" customHeight="1">
      <c r="B11" s="35" t="inlineStr">
        <is>
          <t>Net sale proceeds:</t>
        </is>
      </c>
      <c r="C11" s="36">
        <f>C8+C9+C10</f>
        <v/>
      </c>
    </row>
    <row r="13" ht="24" customHeight="1">
      <c r="A13" s="27" t="inlineStr">
        <is>
          <t>TOTAL RETURN &amp; IRR</t>
        </is>
      </c>
    </row>
    <row r="14" ht="18" customHeight="1">
      <c r="B14" s="28" t="inlineStr">
        <is>
          <t>Total cash invested:</t>
        </is>
      </c>
      <c r="C14" s="34">
        <f>Inputs!C43</f>
        <v/>
      </c>
    </row>
    <row r="15" ht="18" customHeight="1">
      <c r="B15" s="28" t="inlineStr">
        <is>
          <t>Cumulative 5-yr cash flow:</t>
        </is>
      </c>
      <c r="C15" s="34">
        <f>'5-Year Pro-Forma'!G27</f>
        <v/>
      </c>
    </row>
    <row r="16" ht="18" customHeight="1">
      <c r="B16" s="28" t="inlineStr">
        <is>
          <t>Net sale proceeds:</t>
        </is>
      </c>
      <c r="C16" s="34">
        <f>C11</f>
        <v/>
      </c>
    </row>
    <row r="17" ht="22" customHeight="1">
      <c r="B17" s="35" t="inlineStr">
        <is>
          <t>Total cash returned:</t>
        </is>
      </c>
      <c r="C17" s="36">
        <f>C15+C16</f>
        <v/>
      </c>
    </row>
    <row r="18" ht="18" customHeight="1">
      <c r="B18" s="28" t="inlineStr">
        <is>
          <t>Total profit:</t>
        </is>
      </c>
      <c r="C18" s="34">
        <f>C17-C14</f>
        <v/>
      </c>
    </row>
    <row r="19" ht="22" customHeight="1">
      <c r="B19" s="35" t="inlineStr">
        <is>
          <t>Equity multiple (× cash invested):</t>
        </is>
      </c>
      <c r="C19" s="47">
        <f>C17/C14</f>
        <v/>
      </c>
    </row>
    <row r="20" ht="22" customHeight="1">
      <c r="B20" s="35" t="inlineStr">
        <is>
          <t>Internal Rate of Return (IRR):</t>
        </is>
      </c>
      <c r="C20" s="48">
        <f>IRR(CHOOSE({1;2;3;4;5;6},-C14,'5-Year Pro-Forma'!C25,'5-Year Pro-Forma'!D25,'5-Year Pro-Forma'!E25,'5-Year Pro-Forma'!F25,'5-Year Pro-Forma'!G25+C11))</f>
        <v/>
      </c>
    </row>
    <row r="23" ht="16" customHeight="1">
      <c r="A23" s="49" t="inlineStr">
        <is>
          <t>IRR uses Excel's IRR() across 6 periods: year-0 negative cash investment, years 1-4 after-tax cash flow, year 5 after-tax cash flow plus net sale proceeds. Loan balance computed via CUMPRINC over 60 monthly payments. Equity multiple = total cash returned ÷ total cash invested.</t>
        </is>
      </c>
    </row>
    <row r="24" ht="16" customHeight="1"/>
    <row r="25" ht="16" customHeight="1"/>
    <row r="27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</row>
    <row r="28" ht="18" customHeight="1">
      <c r="A28" s="23" t="inlineStr">
        <is>
          <t>Questions? hello@thestrledger.com</t>
        </is>
      </c>
    </row>
    <row r="29" ht="18" customHeight="1">
      <c r="A29" s="24" t="inlineStr">
        <is>
          <t>ACQ-008 · Exit Analysis</t>
        </is>
      </c>
    </row>
  </sheetData>
  <mergeCells count="9">
    <mergeCell ref="J2:L2"/>
    <mergeCell ref="D2:I2"/>
    <mergeCell ref="A23:L25"/>
    <mergeCell ref="A29:L29"/>
    <mergeCell ref="A28:L28"/>
    <mergeCell ref="A13:L13"/>
    <mergeCell ref="A6:L6"/>
    <mergeCell ref="A2:C2"/>
    <mergeCell ref="A4:L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FE5D0"/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4" customWidth="1" min="3" max="3"/>
    <col width="3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5">
        <f>HYPERLINK("#'Exit Analysis'!A1", "← BACK")</f>
        <v/>
      </c>
      <c r="B2" s="16" t="n"/>
      <c r="C2" s="16" t="n"/>
      <c r="D2" s="25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6" t="inlineStr">
        <is>
          <t>Workbook-level settings. Property name shows on the Start tab banner.</t>
        </is>
      </c>
    </row>
    <row r="5" ht="20" customHeight="1">
      <c r="A5" s="28" t="inlineStr">
        <is>
          <t>Active year:</t>
        </is>
      </c>
      <c r="B5" s="33" t="n">
        <v>2026</v>
      </c>
      <c r="D5" s="31" t="inlineStr">
        <is>
          <t>Year 1 calendar year</t>
        </is>
      </c>
    </row>
    <row r="7" ht="20" customHeight="1">
      <c r="A7" s="28" t="inlineStr">
        <is>
          <t>Property name:</t>
        </is>
      </c>
      <c r="B7" s="50" t="inlineStr">
        <is>
          <t>Smokies Ridge Cabin</t>
        </is>
      </c>
      <c r="D7" s="31" t="inlineStr">
        <is>
          <t>Shown on Start banner</t>
        </is>
      </c>
    </row>
    <row r="9" ht="20" customHeight="1">
      <c r="A9" s="28" t="inlineStr">
        <is>
          <t>Hold period (years):</t>
        </is>
      </c>
      <c r="B9" s="33" t="n">
        <v>5</v>
      </c>
      <c r="D9" s="31" t="inlineStr">
        <is>
          <t>Default 5</t>
        </is>
      </c>
    </row>
    <row r="11" ht="20" customHeight="1">
      <c r="A11" s="28" t="inlineStr">
        <is>
          <t>Discount rate (NPV):</t>
        </is>
      </c>
      <c r="B11" s="30" t="n">
        <v>0.1</v>
      </c>
      <c r="D11" s="31" t="inlineStr">
        <is>
          <t>Default 10%</t>
        </is>
      </c>
    </row>
    <row r="13" ht="20" customHeight="1">
      <c r="A13" s="28" t="inlineStr">
        <is>
          <t>Blended tax rate:</t>
        </is>
      </c>
      <c r="B13" s="30" t="n">
        <v>0.28</v>
      </c>
      <c r="D13" s="31" t="inlineStr">
        <is>
          <t>Used for taxable-income calc</t>
        </is>
      </c>
    </row>
    <row r="17">
      <c r="A17" s="22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</row>
    <row r="18" ht="18" customHeight="1">
      <c r="A18" s="23" t="inlineStr">
        <is>
          <t>Questions? hello@thestrledger.com</t>
        </is>
      </c>
    </row>
    <row r="19" ht="18" customHeight="1">
      <c r="A19" s="24" t="inlineStr">
        <is>
          <t>ACQ-008 · Settings</t>
        </is>
      </c>
    </row>
  </sheetData>
  <mergeCells count="10">
    <mergeCell ref="D7:L7"/>
    <mergeCell ref="D2:L2"/>
    <mergeCell ref="D11:L11"/>
    <mergeCell ref="D13:L13"/>
    <mergeCell ref="D5:L5"/>
    <mergeCell ref="A19:L19"/>
    <mergeCell ref="D9:L9"/>
    <mergeCell ref="A18:L18"/>
    <mergeCell ref="A2:C2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5-Year Pro-Forma — The STR Ledger</dc:title>
  <dc:description xmlns:dc="http://purl.org/dc/elements/1.1/">Five-year property-level pro-forma with revenue growth, expense inflation, debt amortization, depreciation, IRR, equity multiple, and exit analysis across three scenarios.</dc:description>
  <dcterms:created xmlns:dcterms="http://purl.org/dc/terms/" xmlns:xsi="http://www.w3.org/2001/XMLSchema-instance" xsi:type="dcterms:W3CDTF">2026-05-03T19:04:15Z</dcterms:created>
  <dcterms:modified xmlns:dcterms="http://purl.org/dc/terms/" xmlns:xsi="http://www.w3.org/2001/XMLSchema-instance" xsi:type="dcterms:W3CDTF">2026-05-03T19:04:16Z</dcterms:modified>
</cp:coreProperties>
</file>