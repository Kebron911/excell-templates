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Coverage Map" sheetId="3" state="visible" r:id="rId3"/>
    <sheet xmlns:r="http://schemas.openxmlformats.org/officeDocument/2006/relationships" name="Premium Forecast" sheetId="4" state="visible" r:id="rId4"/>
    <sheet xmlns:r="http://schemas.openxmlformats.org/officeDocument/2006/relationships" name="Claim Log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'Start'!$A$1:$L$37</definedName>
    <definedName name="_xlnm.Print_Titles" localSheetId="1">'Policies'!$1:$6</definedName>
    <definedName name="_xlnm.Print_Titles" localSheetId="2">'Coverage Map'!$1:$6</definedName>
    <definedName name="_xlnm.Print_Titles" localSheetId="3">'Premium Forecast'!$1:$6</definedName>
    <definedName name="_xlnm.Print_Titles" localSheetId="4">'Claim Log'!$1:$6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yyyy-mm-dd"/>
    <numFmt numFmtId="167" formatCode="&quot;$&quot;#,##0;;&quot;GAP&quot;"/>
    <numFmt numFmtId="168" formatCode="&quot;$&quot;#,##0;;&quot;&quot;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alibri"/>
      <b val="1"/>
      <color rgb="00FFFFFF"/>
      <sz val="11"/>
    </font>
    <font>
      <name val="Consolas"/>
      <b val="1"/>
      <color rgb="0012304E"/>
      <sz val="10"/>
    </font>
    <font>
      <name val="Calibri"/>
      <color rgb="002B2B2B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2B2B2B"/>
      <sz val="10"/>
    </font>
    <font>
      <name val="Calibri"/>
      <color rgb="002B2B2B"/>
      <sz val="11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12304E"/>
      <sz val="14"/>
    </font>
    <font>
      <name val="Consolas"/>
      <b val="1"/>
      <color rgb="00FFFFFF"/>
      <sz val="9"/>
    </font>
    <font>
      <name val="Calibri"/>
      <color rgb="002B2B2B"/>
      <sz val="9"/>
    </font>
    <font>
      <name val="Calibri"/>
      <b val="1"/>
      <color rgb="0012304E"/>
      <sz val="10"/>
    </font>
    <font>
      <name val="Georgia"/>
      <b val="1"/>
      <color rgb="00FFFFFF"/>
      <sz val="11"/>
    </font>
    <font>
      <name val="Calibri"/>
      <b val="1"/>
      <color rgb="00FFFFFF"/>
      <sz val="9"/>
    </font>
    <font>
      <name val="Georgia"/>
      <b val="1"/>
      <color rgb="00C9A24B"/>
      <sz val="12"/>
    </font>
    <font>
      <name val="Calibri"/>
      <i val="1"/>
      <color rgb="006B7280"/>
      <sz val="10"/>
    </font>
    <font>
      <name val="Calibri"/>
    </font>
    <font>
      <name val="Consolas"/>
      <b val="1"/>
      <color rgb="006B7280"/>
      <sz val="8"/>
    </font>
    <font>
      <name val="Georgia"/>
      <b val="1"/>
      <color rgb="0012304E"/>
      <sz val="11"/>
    </font>
    <font>
      <name val="Calibri"/>
      <b val="1"/>
      <color rgb="002B2B2B"/>
      <sz val="11"/>
    </font>
    <font>
      <name val="Calibri"/>
      <color rgb="0012304E"/>
      <sz val="11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B91C1C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FFF7D6"/>
      </patternFill>
    </fill>
    <fill>
      <patternFill patternType="solid">
        <fgColor rgb="00EFE5D0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6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indent="2"/>
    </xf>
    <xf numFmtId="0" fontId="12" fillId="3" borderId="0" applyAlignment="1" pivotButton="0" quotePrefix="0" xfId="0">
      <alignment horizontal="left" vertical="center" wrapText="1" indent="2"/>
    </xf>
    <xf numFmtId="0" fontId="13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0" fillId="6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4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3" borderId="0" applyAlignment="1" pivotButton="0" quotePrefix="0" xfId="0">
      <alignment horizontal="left" vertical="center" indent="1"/>
    </xf>
    <xf numFmtId="0" fontId="10" fillId="2" borderId="14" applyAlignment="1" pivotButton="0" quotePrefix="0" xfId="0">
      <alignment horizontal="center" vertical="center"/>
    </xf>
    <xf numFmtId="0" fontId="21" fillId="8" borderId="0" applyAlignment="1" pivotButton="0" quotePrefix="0" xfId="0">
      <alignment horizontal="left" vertical="center"/>
    </xf>
    <xf numFmtId="164" fontId="21" fillId="8" borderId="0" applyAlignment="1" pivotButton="0" quotePrefix="0" xfId="0">
      <alignment horizontal="left" vertical="center"/>
    </xf>
    <xf numFmtId="165" fontId="21" fillId="8" borderId="0" applyAlignment="1" pivotButton="0" quotePrefix="0" xfId="0">
      <alignment horizontal="left" vertical="center"/>
    </xf>
    <xf numFmtId="166" fontId="21" fillId="8" borderId="0" applyAlignment="1" pivotButton="0" quotePrefix="0" xfId="0">
      <alignment horizontal="left" vertical="center"/>
    </xf>
    <xf numFmtId="1" fontId="19" fillId="7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 indent="1"/>
    </xf>
    <xf numFmtId="167" fontId="19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167" fontId="19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0" fontId="23" fillId="5" borderId="0" applyAlignment="1" pivotButton="0" quotePrefix="0" xfId="0">
      <alignment horizontal="right" vertical="center" indent="1"/>
    </xf>
    <xf numFmtId="0" fontId="0" fillId="5" borderId="0" pivotButton="0" quotePrefix="0" xfId="0"/>
    <xf numFmtId="164" fontId="24" fillId="5" borderId="0" applyAlignment="1" pivotButton="0" quotePrefix="0" xfId="0">
      <alignment horizontal="right" vertical="center" indent="1"/>
    </xf>
    <xf numFmtId="0" fontId="25" fillId="2" borderId="14" applyAlignment="1" pivotButton="0" quotePrefix="0" xfId="0">
      <alignment horizontal="center" vertical="center" textRotation="90"/>
    </xf>
    <xf numFmtId="0" fontId="12" fillId="7" borderId="0" applyAlignment="1" pivotButton="0" quotePrefix="0" xfId="0">
      <alignment horizontal="left" vertical="center" indent="1"/>
    </xf>
    <xf numFmtId="168" fontId="26" fillId="7" borderId="0" applyAlignment="1" pivotButton="0" quotePrefix="0" xfId="0">
      <alignment horizontal="right" vertical="center"/>
    </xf>
    <xf numFmtId="168" fontId="27" fillId="7" borderId="0" applyAlignment="1" pivotButton="0" quotePrefix="0" xfId="0">
      <alignment horizontal="right" vertical="center" indent="1"/>
    </xf>
    <xf numFmtId="0" fontId="12" fillId="9" borderId="0" applyAlignment="1" pivotButton="0" quotePrefix="0" xfId="0">
      <alignment horizontal="left" vertical="center" indent="1"/>
    </xf>
    <xf numFmtId="168" fontId="26" fillId="9" borderId="0" applyAlignment="1" pivotButton="0" quotePrefix="0" xfId="0">
      <alignment horizontal="right" vertical="center"/>
    </xf>
    <xf numFmtId="168" fontId="27" fillId="9" borderId="0" applyAlignment="1" pivotButton="0" quotePrefix="0" xfId="0">
      <alignment horizontal="right" vertical="center" indent="1"/>
    </xf>
    <xf numFmtId="0" fontId="28" fillId="2" borderId="0" applyAlignment="1" pivotButton="0" quotePrefix="0" xfId="0">
      <alignment horizontal="left" vertical="center" indent="1"/>
    </xf>
    <xf numFmtId="168" fontId="29" fillId="2" borderId="0" applyAlignment="1" pivotButton="0" quotePrefix="0" xfId="0">
      <alignment horizontal="right" vertical="center"/>
    </xf>
    <xf numFmtId="164" fontId="30" fillId="2" borderId="0" applyAlignment="1" pivotButton="0" quotePrefix="0" xfId="0">
      <alignment horizontal="right" vertical="center" indent="1"/>
    </xf>
    <xf numFmtId="0" fontId="0" fillId="0" borderId="0" applyAlignment="1" pivotButton="0" quotePrefix="0" xfId="0">
      <alignment horizontal="left"/>
    </xf>
    <xf numFmtId="1" fontId="2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33" fillId="3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1"/>
    </xf>
    <xf numFmtId="0" fontId="34" fillId="8" borderId="0" applyAlignment="1" pivotButton="0" quotePrefix="0" xfId="0">
      <alignment horizontal="center" vertical="center"/>
    </xf>
    <xf numFmtId="1" fontId="21" fillId="8" borderId="0" applyAlignment="1" pivotButton="0" quotePrefix="0" xfId="0">
      <alignment horizontal="left" vertical="center"/>
    </xf>
    <xf numFmtId="0" fontId="35" fillId="0" borderId="0" pivotButton="0" quotePrefix="0" xfId="0"/>
    <xf numFmtId="166" fontId="36" fillId="8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top" wrapText="1" indent="1"/>
    </xf>
    <xf numFmtId="1" fontId="21" fillId="8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5">
    <dxf>
      <fill>
        <patternFill patternType="solid">
          <fgColor rgb="00166534"/>
        </patternFill>
      </fill>
    </dxf>
    <dxf>
      <font>
        <name val="Calibri"/>
        <b val="1"/>
        <color rgb="00B91C1C"/>
        <sz val="10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  <dxf>
      <font>
        <name val="Calibri"/>
        <b val="1"/>
        <color rgb="00FFFFFF"/>
        <sz val="10"/>
      </font>
      <fill>
        <patternFill patternType="solid">
          <fgColor rgb="00B91C1C"/>
        </patternFill>
      </fill>
    </dxf>
    <dxf>
      <font>
        <name val="Calibri"/>
        <b val="1"/>
        <color rgb="0012304E"/>
        <sz val="10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Insurance Policy Tracker</t>
        </is>
      </c>
    </row>
    <row r="5" ht="22" customHeight="1">
      <c r="A5" s="4" t="inlineStr">
        <is>
          <t>Every policy on one page — gaps, renewals, claims.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OPS-008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 POLICIES</t>
        </is>
      </c>
      <c r="B10" s="7" t="n"/>
      <c r="C10" s="7" t="n"/>
      <c r="D10" s="8" t="n"/>
      <c r="E10" s="6" t="inlineStr">
        <is>
          <t>ANNUAL PREMIUM</t>
        </is>
      </c>
      <c r="F10" s="7" t="n"/>
      <c r="G10" s="7" t="n"/>
      <c r="H10" s="8" t="n"/>
      <c r="I10" s="9" t="inlineStr">
        <is>
          <t>EXPIRING ≤ 60 DAYS</t>
        </is>
      </c>
      <c r="J10" s="7" t="n"/>
      <c r="K10" s="7" t="n"/>
      <c r="L10" s="8" t="n"/>
    </row>
    <row r="11">
      <c r="A11" s="10">
        <f>COUNTA('Policies'!A7:A36)</f>
        <v/>
      </c>
      <c r="B11" s="11" t="n"/>
      <c r="C11" s="11" t="n"/>
      <c r="D11" s="12" t="n"/>
      <c r="E11" s="13">
        <f>SUM('Policies'!G7:G36)</f>
        <v/>
      </c>
      <c r="F11" s="11" t="n"/>
      <c r="G11" s="11" t="n"/>
      <c r="H11" s="12" t="n"/>
      <c r="I11" s="14">
        <f>COUNTIFS('Policies'!J7:J36,"&gt;=0",'Policies'!J7:J36,"&lt;=60")</f>
        <v/>
      </c>
      <c r="J11" s="11" t="n"/>
      <c r="K11" s="11" t="n"/>
      <c r="L11" s="12" t="n"/>
    </row>
    <row r="12">
      <c r="A12" s="15" t="n"/>
      <c r="B12" s="11" t="n"/>
      <c r="C12" s="11" t="n"/>
      <c r="D12" s="12" t="n"/>
      <c r="E12" s="15" t="n"/>
      <c r="F12" s="11" t="n"/>
      <c r="G12" s="11" t="n"/>
      <c r="H12" s="12" t="n"/>
      <c r="I12" s="15" t="n"/>
      <c r="J12" s="11" t="n"/>
      <c r="K12" s="11" t="n"/>
      <c r="L12" s="12" t="n"/>
    </row>
    <row r="13">
      <c r="A13" s="15" t="n"/>
      <c r="B13" s="11" t="n"/>
      <c r="C13" s="11" t="n"/>
      <c r="D13" s="12" t="n"/>
      <c r="E13" s="15" t="n"/>
      <c r="F13" s="11" t="n"/>
      <c r="G13" s="11" t="n"/>
      <c r="H13" s="12" t="n"/>
      <c r="I13" s="15" t="n"/>
      <c r="J13" s="11" t="n"/>
      <c r="K13" s="11" t="n"/>
      <c r="L13" s="12" t="n"/>
    </row>
    <row r="14">
      <c r="A14" s="16" t="inlineStr">
        <is>
          <t>policies on the register</t>
        </is>
      </c>
      <c r="B14" s="11" t="n"/>
      <c r="C14" s="11" t="n"/>
      <c r="D14" s="12" t="n"/>
      <c r="E14" s="16" t="inlineStr">
        <is>
          <t>total annual premium</t>
        </is>
      </c>
      <c r="F14" s="11" t="n"/>
      <c r="G14" s="11" t="n"/>
      <c r="H14" s="12" t="n"/>
      <c r="I14" s="16" t="inlineStr">
        <is>
          <t>policies due in next 60 days</t>
        </is>
      </c>
      <c r="J14" s="11" t="n"/>
      <c r="K14" s="11" t="n"/>
      <c r="L14" s="12" t="n"/>
    </row>
    <row r="15">
      <c r="A15" s="17" t="n"/>
      <c r="B15" s="18" t="n"/>
      <c r="C15" s="18" t="n"/>
      <c r="D15" s="19" t="n"/>
      <c r="E15" s="17" t="n"/>
      <c r="F15" s="18" t="n"/>
      <c r="G15" s="18" t="n"/>
      <c r="H15" s="19" t="n"/>
      <c r="I15" s="17" t="n"/>
      <c r="J15" s="18" t="n"/>
      <c r="K15" s="18" t="n"/>
      <c r="L15" s="19" t="n"/>
    </row>
    <row r="17" ht="36" customHeight="1">
      <c r="A17" s="20">
        <f>IF(COUNTIFS('Policies'!J7:J36,"&gt;=0",'Policies'!J7:J36,"&lt;=60")&gt;0,"RENEWAL WINDOW OPEN — One or more policies expire in the next 60 days. Quote replacements before lapse; lapsed STR coverage means no liability protection during a guest stay.","ALL CLEAR — No policies in the 60-day renewal window.")</f>
        <v/>
      </c>
    </row>
    <row r="19" ht="22" customHeight="1">
      <c r="A19" s="21" t="inlineStr">
        <is>
          <t>HOW TO USE THIS WORKBOOK</t>
        </is>
      </c>
    </row>
    <row r="20">
      <c r="A20" s="22" t="inlineStr">
        <is>
          <t>1.  Log every policy on the Policies tab — STR dwelling, umbrella, auto, equipment.
2.  Walk the Coverage Map to find gaps (a property with no liability coverage = uninsured exposure).
3.  Use Premium Forecast for cash-flow planning around renewal months.
4.  When you file a claim, log it on the Claim Log so renewal discussions have the history.</t>
        </is>
      </c>
    </row>
    <row r="21"/>
    <row r="22"/>
    <row r="23"/>
    <row r="25" ht="22" customHeight="1">
      <c r="A25" s="23">
        <f>HYPERLINK("#'Policies'!A1", "Policies")</f>
        <v/>
      </c>
      <c r="B25" s="24" t="n"/>
      <c r="C25" s="24" t="n"/>
      <c r="D25" s="23">
        <f>HYPERLINK("#'Coverage Map'!A1", "Coverage Map")</f>
        <v/>
      </c>
      <c r="E25" s="24" t="n"/>
      <c r="F25" s="24" t="n"/>
      <c r="G25" s="25">
        <f>HYPERLINK("#'Premium Forecast'!A1", "Premium Forecast")</f>
        <v/>
      </c>
      <c r="H25" s="26" t="n"/>
      <c r="I25" s="26" t="n"/>
      <c r="J25" s="25">
        <f>HYPERLINK("#'Claim Log'!A1", "Claim Log")</f>
        <v/>
      </c>
      <c r="K25" s="26" t="n"/>
      <c r="L25" s="26" t="n"/>
    </row>
    <row r="26" ht="22" customHeight="1">
      <c r="A26" s="24" t="n"/>
      <c r="B26" s="24" t="n"/>
      <c r="C26" s="24" t="n"/>
      <c r="D26" s="24" t="n"/>
      <c r="E26" s="24" t="n"/>
      <c r="F26" s="24" t="n"/>
      <c r="G26" s="26" t="n"/>
      <c r="H26" s="26" t="n"/>
      <c r="I26" s="26" t="n"/>
      <c r="J26" s="26" t="n"/>
      <c r="K26" s="26" t="n"/>
      <c r="L26" s="26" t="n"/>
    </row>
    <row r="27" ht="22" customHeight="1">
      <c r="A27" s="24" t="n"/>
      <c r="B27" s="24" t="n"/>
      <c r="C27" s="24" t="n"/>
      <c r="D27" s="24" t="n"/>
      <c r="E27" s="24" t="n"/>
      <c r="F27" s="24" t="n"/>
      <c r="G27" s="26" t="n"/>
      <c r="H27" s="26" t="n"/>
      <c r="I27" s="26" t="n"/>
      <c r="J27" s="26" t="n"/>
      <c r="K27" s="26" t="n"/>
      <c r="L27" s="26" t="n"/>
    </row>
    <row r="29" ht="18" customHeight="1">
      <c r="A29" s="25">
        <f>HYPERLINK("#'Settings'!A1", "Settings")</f>
        <v/>
      </c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</row>
    <row r="30" ht="18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</row>
    <row r="31" ht="18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</row>
    <row r="33" ht="36" customHeight="1">
      <c r="A33" s="27" t="inlineStr">
        <is>
          <t>Need full operations coverage? Add the Operator Bundle at thestrledger.com/operator — turnover + maintenance + supply + damage claims + insurance + permits, $197.</t>
        </is>
      </c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</row>
    <row r="36" ht="18" customHeight="1">
      <c r="A36" s="29" t="inlineStr">
        <is>
          <t>Questions? hello@thestrledger.com</t>
        </is>
      </c>
    </row>
    <row r="37" ht="18" customHeight="1">
      <c r="A37" s="30" t="inlineStr">
        <is>
          <t>OPS-008 · v1.0 · BLANK · Free updates forever</t>
        </is>
      </c>
    </row>
  </sheetData>
  <mergeCells count="24">
    <mergeCell ref="E14:H15"/>
    <mergeCell ref="A7:L7"/>
    <mergeCell ref="A20:L23"/>
    <mergeCell ref="A37:L37"/>
    <mergeCell ref="E11:H13"/>
    <mergeCell ref="I10:L10"/>
    <mergeCell ref="A25:C27"/>
    <mergeCell ref="A10:D10"/>
    <mergeCell ref="A2:F2"/>
    <mergeCell ref="A33:L33"/>
    <mergeCell ref="A5:L5"/>
    <mergeCell ref="A17:L17"/>
    <mergeCell ref="J25:L27"/>
    <mergeCell ref="D25:F27"/>
    <mergeCell ref="A4:L4"/>
    <mergeCell ref="A14:D15"/>
    <mergeCell ref="A29:L31"/>
    <mergeCell ref="I14:L15"/>
    <mergeCell ref="A19:L19"/>
    <mergeCell ref="A11:D13"/>
    <mergeCell ref="I11:L13"/>
    <mergeCell ref="E10:H10"/>
    <mergeCell ref="G25:I27"/>
    <mergeCell ref="A36:L36"/>
  </mergeCells>
  <conditionalFormatting sqref="A17:L17">
    <cfRule type="expression" priority="1" dxfId="0">
      <formula>COUNTIFS('Policies'!J7:J36,"&gt;=0",'Policies'!J7:J36,"&lt;=60")=0</formula>
    </cfRule>
  </conditionalFormatting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N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0" customWidth="1" min="10" max="10"/>
    <col width="14" customWidth="1" min="11" max="11"/>
    <col width="18" customWidth="1" min="12" max="12"/>
    <col width="16" customWidth="1" min="13" max="13"/>
    <col width="30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HYPERLINK("#'Start'!A1", "← BACK")</f>
        <v/>
      </c>
      <c r="B2" s="24" t="n"/>
      <c r="C2" s="24" t="n"/>
      <c r="D2" s="31" t="inlineStr">
        <is>
          <t>POLICIES</t>
        </is>
      </c>
      <c r="J2" s="32">
        <f>HYPERLINK("#'Coverage Map'!A1",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4" t="inlineStr">
        <is>
          <t>One row per policy. Days-to-expiration auto-calculates; Status flips to Renew soon (&lt;60d) or Expired (&lt;0d) automatically.</t>
        </is>
      </c>
    </row>
    <row r="5" ht="6" customHeight="1"/>
    <row r="6" ht="28" customHeight="1">
      <c r="A6" s="35" t="inlineStr">
        <is>
          <t>Policy #</t>
        </is>
      </c>
      <c r="B6" s="35" t="inlineStr">
        <is>
          <t>Carrier</t>
        </is>
      </c>
      <c r="C6" s="35" t="inlineStr">
        <is>
          <t>Type</t>
        </is>
      </c>
      <c r="D6" s="35" t="inlineStr">
        <is>
          <t>Property</t>
        </is>
      </c>
      <c r="E6" s="35" t="inlineStr">
        <is>
          <t>Coverage limit</t>
        </is>
      </c>
      <c r="F6" s="35" t="inlineStr">
        <is>
          <t>Deductible</t>
        </is>
      </c>
      <c r="G6" s="35" t="inlineStr">
        <is>
          <t>Annual premium</t>
        </is>
      </c>
      <c r="H6" s="35" t="inlineStr">
        <is>
          <t>Effective date</t>
        </is>
      </c>
      <c r="I6" s="35" t="inlineStr">
        <is>
          <t>Expiration date</t>
        </is>
      </c>
      <c r="J6" s="35" t="inlineStr">
        <is>
          <t>Days</t>
        </is>
      </c>
      <c r="K6" s="35" t="inlineStr">
        <is>
          <t>Status</t>
        </is>
      </c>
      <c r="L6" s="35" t="inlineStr">
        <is>
          <t>Agent name</t>
        </is>
      </c>
      <c r="M6" s="35" t="inlineStr">
        <is>
          <t>Agent phone</t>
        </is>
      </c>
      <c r="N6" s="35" t="inlineStr">
        <is>
          <t>Notes</t>
        </is>
      </c>
    </row>
    <row r="7" ht="20" customHeight="1">
      <c r="A7" s="36" t="n"/>
      <c r="B7" s="36" t="n"/>
      <c r="C7" s="36" t="n"/>
      <c r="D7" s="36" t="n"/>
      <c r="E7" s="37" t="n"/>
      <c r="F7" s="37" t="n"/>
      <c r="G7" s="38" t="n"/>
      <c r="H7" s="39" t="n"/>
      <c r="I7" s="39" t="n"/>
      <c r="J7" s="40">
        <f>IF(I7&lt;&gt;"",I7-TODAY(),"")</f>
        <v/>
      </c>
      <c r="K7" s="41">
        <f>IF(I7="","",IF(J7&lt;0,"Expired",IF(J7&lt;60,"Renew soon","Active")))</f>
        <v/>
      </c>
      <c r="L7" s="36" t="n"/>
      <c r="M7" s="36" t="n"/>
      <c r="N7" s="36" t="n"/>
    </row>
    <row r="8" ht="20" customHeight="1">
      <c r="A8" s="36" t="n"/>
      <c r="B8" s="36" t="n"/>
      <c r="C8" s="36" t="n"/>
      <c r="D8" s="36" t="n"/>
      <c r="E8" s="37" t="n"/>
      <c r="F8" s="37" t="n"/>
      <c r="G8" s="38" t="n"/>
      <c r="H8" s="39" t="n"/>
      <c r="I8" s="39" t="n"/>
      <c r="J8" s="40">
        <f>IF(I8&lt;&gt;"",I8-TODAY(),"")</f>
        <v/>
      </c>
      <c r="K8" s="41">
        <f>IF(I8="","",IF(J8&lt;0,"Expired",IF(J8&lt;60,"Renew soon","Active")))</f>
        <v/>
      </c>
      <c r="L8" s="36" t="n"/>
      <c r="M8" s="36" t="n"/>
      <c r="N8" s="36" t="n"/>
    </row>
    <row r="9" ht="20" customHeight="1">
      <c r="A9" s="36" t="n"/>
      <c r="B9" s="36" t="n"/>
      <c r="C9" s="36" t="n"/>
      <c r="D9" s="36" t="n"/>
      <c r="E9" s="37" t="n"/>
      <c r="F9" s="37" t="n"/>
      <c r="G9" s="38" t="n"/>
      <c r="H9" s="39" t="n"/>
      <c r="I9" s="39" t="n"/>
      <c r="J9" s="40">
        <f>IF(I9&lt;&gt;"",I9-TODAY(),"")</f>
        <v/>
      </c>
      <c r="K9" s="41">
        <f>IF(I9="","",IF(J9&lt;0,"Expired",IF(J9&lt;60,"Renew soon","Active")))</f>
        <v/>
      </c>
      <c r="L9" s="36" t="n"/>
      <c r="M9" s="36" t="n"/>
      <c r="N9" s="36" t="n"/>
    </row>
    <row r="10" ht="20" customHeight="1">
      <c r="A10" s="36" t="n"/>
      <c r="B10" s="36" t="n"/>
      <c r="C10" s="36" t="n"/>
      <c r="D10" s="36" t="n"/>
      <c r="E10" s="37" t="n"/>
      <c r="F10" s="37" t="n"/>
      <c r="G10" s="38" t="n"/>
      <c r="H10" s="39" t="n"/>
      <c r="I10" s="39" t="n"/>
      <c r="J10" s="40">
        <f>IF(I10&lt;&gt;"",I10-TODAY(),"")</f>
        <v/>
      </c>
      <c r="K10" s="41">
        <f>IF(I10="","",IF(J10&lt;0,"Expired",IF(J10&lt;60,"Renew soon","Active")))</f>
        <v/>
      </c>
      <c r="L10" s="36" t="n"/>
      <c r="M10" s="36" t="n"/>
      <c r="N10" s="36" t="n"/>
    </row>
    <row r="11" ht="20" customHeight="1">
      <c r="A11" s="36" t="n"/>
      <c r="B11" s="36" t="n"/>
      <c r="C11" s="36" t="n"/>
      <c r="D11" s="36" t="n"/>
      <c r="E11" s="37" t="n"/>
      <c r="F11" s="37" t="n"/>
      <c r="G11" s="38" t="n"/>
      <c r="H11" s="39" t="n"/>
      <c r="I11" s="39" t="n"/>
      <c r="J11" s="40">
        <f>IF(I11&lt;&gt;"",I11-TODAY(),"")</f>
        <v/>
      </c>
      <c r="K11" s="41">
        <f>IF(I11="","",IF(J11&lt;0,"Expired",IF(J11&lt;60,"Renew soon","Active")))</f>
        <v/>
      </c>
      <c r="L11" s="36" t="n"/>
      <c r="M11" s="36" t="n"/>
      <c r="N11" s="36" t="n"/>
    </row>
    <row r="12" ht="20" customHeight="1">
      <c r="A12" s="36" t="n"/>
      <c r="B12" s="36" t="n"/>
      <c r="C12" s="36" t="n"/>
      <c r="D12" s="36" t="n"/>
      <c r="E12" s="37" t="n"/>
      <c r="F12" s="37" t="n"/>
      <c r="G12" s="38" t="n"/>
      <c r="H12" s="39" t="n"/>
      <c r="I12" s="39" t="n"/>
      <c r="J12" s="40">
        <f>IF(I12&lt;&gt;"",I12-TODAY(),"")</f>
        <v/>
      </c>
      <c r="K12" s="41">
        <f>IF(I12="","",IF(J12&lt;0,"Expired",IF(J12&lt;60,"Renew soon","Active")))</f>
        <v/>
      </c>
      <c r="L12" s="36" t="n"/>
      <c r="M12" s="36" t="n"/>
      <c r="N12" s="36" t="n"/>
    </row>
    <row r="13" ht="20" customHeight="1">
      <c r="A13" s="36" t="n"/>
      <c r="B13" s="36" t="n"/>
      <c r="C13" s="36" t="n"/>
      <c r="D13" s="36" t="n"/>
      <c r="E13" s="37" t="n"/>
      <c r="F13" s="37" t="n"/>
      <c r="G13" s="38" t="n"/>
      <c r="H13" s="39" t="n"/>
      <c r="I13" s="39" t="n"/>
      <c r="J13" s="40">
        <f>IF(I13&lt;&gt;"",I13-TODAY(),"")</f>
        <v/>
      </c>
      <c r="K13" s="41">
        <f>IF(I13="","",IF(J13&lt;0,"Expired",IF(J13&lt;60,"Renew soon","Active")))</f>
        <v/>
      </c>
      <c r="L13" s="36" t="n"/>
      <c r="M13" s="36" t="n"/>
      <c r="N13" s="36" t="n"/>
    </row>
    <row r="14" ht="20" customHeight="1">
      <c r="A14" s="36" t="n"/>
      <c r="B14" s="36" t="n"/>
      <c r="C14" s="36" t="n"/>
      <c r="D14" s="36" t="n"/>
      <c r="E14" s="37" t="n"/>
      <c r="F14" s="37" t="n"/>
      <c r="G14" s="38" t="n"/>
      <c r="H14" s="39" t="n"/>
      <c r="I14" s="39" t="n"/>
      <c r="J14" s="40">
        <f>IF(I14&lt;&gt;"",I14-TODAY(),"")</f>
        <v/>
      </c>
      <c r="K14" s="41">
        <f>IF(I14="","",IF(J14&lt;0,"Expired",IF(J14&lt;60,"Renew soon","Active")))</f>
        <v/>
      </c>
      <c r="L14" s="36" t="n"/>
      <c r="M14" s="36" t="n"/>
      <c r="N14" s="36" t="n"/>
    </row>
    <row r="15" ht="20" customHeight="1">
      <c r="A15" s="36" t="n"/>
      <c r="B15" s="36" t="n"/>
      <c r="C15" s="36" t="n"/>
      <c r="D15" s="36" t="n"/>
      <c r="E15" s="37" t="n"/>
      <c r="F15" s="37" t="n"/>
      <c r="G15" s="38" t="n"/>
      <c r="H15" s="39" t="n"/>
      <c r="I15" s="39" t="n"/>
      <c r="J15" s="40">
        <f>IF(I15&lt;&gt;"",I15-TODAY(),"")</f>
        <v/>
      </c>
      <c r="K15" s="41">
        <f>IF(I15="","",IF(J15&lt;0,"Expired",IF(J15&lt;60,"Renew soon","Active")))</f>
        <v/>
      </c>
      <c r="L15" s="36" t="n"/>
      <c r="M15" s="36" t="n"/>
      <c r="N15" s="36" t="n"/>
    </row>
    <row r="16" ht="20" customHeight="1">
      <c r="A16" s="36" t="n"/>
      <c r="B16" s="36" t="n"/>
      <c r="C16" s="36" t="n"/>
      <c r="D16" s="36" t="n"/>
      <c r="E16" s="37" t="n"/>
      <c r="F16" s="37" t="n"/>
      <c r="G16" s="38" t="n"/>
      <c r="H16" s="39" t="n"/>
      <c r="I16" s="39" t="n"/>
      <c r="J16" s="40">
        <f>IF(I16&lt;&gt;"",I16-TODAY(),"")</f>
        <v/>
      </c>
      <c r="K16" s="41">
        <f>IF(I16="","",IF(J16&lt;0,"Expired",IF(J16&lt;60,"Renew soon","Active")))</f>
        <v/>
      </c>
      <c r="L16" s="36" t="n"/>
      <c r="M16" s="36" t="n"/>
      <c r="N16" s="36" t="n"/>
    </row>
    <row r="17" ht="20" customHeight="1">
      <c r="A17" s="36" t="n"/>
      <c r="B17" s="36" t="n"/>
      <c r="C17" s="36" t="n"/>
      <c r="D17" s="36" t="n"/>
      <c r="E17" s="37" t="n"/>
      <c r="F17" s="37" t="n"/>
      <c r="G17" s="38" t="n"/>
      <c r="H17" s="39" t="n"/>
      <c r="I17" s="39" t="n"/>
      <c r="J17" s="40">
        <f>IF(I17&lt;&gt;"",I17-TODAY(),"")</f>
        <v/>
      </c>
      <c r="K17" s="41">
        <f>IF(I17="","",IF(J17&lt;0,"Expired",IF(J17&lt;60,"Renew soon","Active")))</f>
        <v/>
      </c>
      <c r="L17" s="36" t="n"/>
      <c r="M17" s="36" t="n"/>
      <c r="N17" s="36" t="n"/>
    </row>
    <row r="18" ht="20" customHeight="1">
      <c r="A18" s="36" t="n"/>
      <c r="B18" s="36" t="n"/>
      <c r="C18" s="36" t="n"/>
      <c r="D18" s="36" t="n"/>
      <c r="E18" s="37" t="n"/>
      <c r="F18" s="37" t="n"/>
      <c r="G18" s="38" t="n"/>
      <c r="H18" s="39" t="n"/>
      <c r="I18" s="39" t="n"/>
      <c r="J18" s="40">
        <f>IF(I18&lt;&gt;"",I18-TODAY(),"")</f>
        <v/>
      </c>
      <c r="K18" s="41">
        <f>IF(I18="","",IF(J18&lt;0,"Expired",IF(J18&lt;60,"Renew soon","Active")))</f>
        <v/>
      </c>
      <c r="L18" s="36" t="n"/>
      <c r="M18" s="36" t="n"/>
      <c r="N18" s="36" t="n"/>
    </row>
    <row r="19" ht="20" customHeight="1">
      <c r="A19" s="36" t="n"/>
      <c r="B19" s="36" t="n"/>
      <c r="C19" s="36" t="n"/>
      <c r="D19" s="36" t="n"/>
      <c r="E19" s="37" t="n"/>
      <c r="F19" s="37" t="n"/>
      <c r="G19" s="38" t="n"/>
      <c r="H19" s="39" t="n"/>
      <c r="I19" s="39" t="n"/>
      <c r="J19" s="40">
        <f>IF(I19&lt;&gt;"",I19-TODAY(),"")</f>
        <v/>
      </c>
      <c r="K19" s="41">
        <f>IF(I19="","",IF(J19&lt;0,"Expired",IF(J19&lt;60,"Renew soon","Active")))</f>
        <v/>
      </c>
      <c r="L19" s="36" t="n"/>
      <c r="M19" s="36" t="n"/>
      <c r="N19" s="36" t="n"/>
    </row>
    <row r="20" ht="20" customHeight="1">
      <c r="A20" s="36" t="n"/>
      <c r="B20" s="36" t="n"/>
      <c r="C20" s="36" t="n"/>
      <c r="D20" s="36" t="n"/>
      <c r="E20" s="37" t="n"/>
      <c r="F20" s="37" t="n"/>
      <c r="G20" s="38" t="n"/>
      <c r="H20" s="39" t="n"/>
      <c r="I20" s="39" t="n"/>
      <c r="J20" s="40">
        <f>IF(I20&lt;&gt;"",I20-TODAY(),"")</f>
        <v/>
      </c>
      <c r="K20" s="41">
        <f>IF(I20="","",IF(J20&lt;0,"Expired",IF(J20&lt;60,"Renew soon","Active")))</f>
        <v/>
      </c>
      <c r="L20" s="36" t="n"/>
      <c r="M20" s="36" t="n"/>
      <c r="N20" s="36" t="n"/>
    </row>
    <row r="21" ht="20" customHeight="1">
      <c r="A21" s="36" t="n"/>
      <c r="B21" s="36" t="n"/>
      <c r="C21" s="36" t="n"/>
      <c r="D21" s="36" t="n"/>
      <c r="E21" s="37" t="n"/>
      <c r="F21" s="37" t="n"/>
      <c r="G21" s="38" t="n"/>
      <c r="H21" s="39" t="n"/>
      <c r="I21" s="39" t="n"/>
      <c r="J21" s="40">
        <f>IF(I21&lt;&gt;"",I21-TODAY(),"")</f>
        <v/>
      </c>
      <c r="K21" s="41">
        <f>IF(I21="","",IF(J21&lt;0,"Expired",IF(J21&lt;60,"Renew soon","Active")))</f>
        <v/>
      </c>
      <c r="L21" s="36" t="n"/>
      <c r="M21" s="36" t="n"/>
      <c r="N21" s="36" t="n"/>
    </row>
    <row r="22" ht="20" customHeight="1">
      <c r="A22" s="36" t="n"/>
      <c r="B22" s="36" t="n"/>
      <c r="C22" s="36" t="n"/>
      <c r="D22" s="36" t="n"/>
      <c r="E22" s="37" t="n"/>
      <c r="F22" s="37" t="n"/>
      <c r="G22" s="38" t="n"/>
      <c r="H22" s="39" t="n"/>
      <c r="I22" s="39" t="n"/>
      <c r="J22" s="40">
        <f>IF(I22&lt;&gt;"",I22-TODAY(),"")</f>
        <v/>
      </c>
      <c r="K22" s="41">
        <f>IF(I22="","",IF(J22&lt;0,"Expired",IF(J22&lt;60,"Renew soon","Active")))</f>
        <v/>
      </c>
      <c r="L22" s="36" t="n"/>
      <c r="M22" s="36" t="n"/>
      <c r="N22" s="36" t="n"/>
    </row>
    <row r="23" ht="20" customHeight="1">
      <c r="A23" s="36" t="n"/>
      <c r="B23" s="36" t="n"/>
      <c r="C23" s="36" t="n"/>
      <c r="D23" s="36" t="n"/>
      <c r="E23" s="37" t="n"/>
      <c r="F23" s="37" t="n"/>
      <c r="G23" s="38" t="n"/>
      <c r="H23" s="39" t="n"/>
      <c r="I23" s="39" t="n"/>
      <c r="J23" s="40">
        <f>IF(I23&lt;&gt;"",I23-TODAY(),"")</f>
        <v/>
      </c>
      <c r="K23" s="41">
        <f>IF(I23="","",IF(J23&lt;0,"Expired",IF(J23&lt;60,"Renew soon","Active")))</f>
        <v/>
      </c>
      <c r="L23" s="36" t="n"/>
      <c r="M23" s="36" t="n"/>
      <c r="N23" s="36" t="n"/>
    </row>
    <row r="24" ht="20" customHeight="1">
      <c r="A24" s="36" t="n"/>
      <c r="B24" s="36" t="n"/>
      <c r="C24" s="36" t="n"/>
      <c r="D24" s="36" t="n"/>
      <c r="E24" s="37" t="n"/>
      <c r="F24" s="37" t="n"/>
      <c r="G24" s="38" t="n"/>
      <c r="H24" s="39" t="n"/>
      <c r="I24" s="39" t="n"/>
      <c r="J24" s="40">
        <f>IF(I24&lt;&gt;"",I24-TODAY(),"")</f>
        <v/>
      </c>
      <c r="K24" s="41">
        <f>IF(I24="","",IF(J24&lt;0,"Expired",IF(J24&lt;60,"Renew soon","Active")))</f>
        <v/>
      </c>
      <c r="L24" s="36" t="n"/>
      <c r="M24" s="36" t="n"/>
      <c r="N24" s="36" t="n"/>
    </row>
    <row r="25" ht="20" customHeight="1">
      <c r="A25" s="36" t="n"/>
      <c r="B25" s="36" t="n"/>
      <c r="C25" s="36" t="n"/>
      <c r="D25" s="36" t="n"/>
      <c r="E25" s="37" t="n"/>
      <c r="F25" s="37" t="n"/>
      <c r="G25" s="38" t="n"/>
      <c r="H25" s="39" t="n"/>
      <c r="I25" s="39" t="n"/>
      <c r="J25" s="40">
        <f>IF(I25&lt;&gt;"",I25-TODAY(),"")</f>
        <v/>
      </c>
      <c r="K25" s="41">
        <f>IF(I25="","",IF(J25&lt;0,"Expired",IF(J25&lt;60,"Renew soon","Active")))</f>
        <v/>
      </c>
      <c r="L25" s="36" t="n"/>
      <c r="M25" s="36" t="n"/>
      <c r="N25" s="36" t="n"/>
    </row>
    <row r="26" ht="20" customHeight="1">
      <c r="A26" s="36" t="n"/>
      <c r="B26" s="36" t="n"/>
      <c r="C26" s="36" t="n"/>
      <c r="D26" s="36" t="n"/>
      <c r="E26" s="37" t="n"/>
      <c r="F26" s="37" t="n"/>
      <c r="G26" s="38" t="n"/>
      <c r="H26" s="39" t="n"/>
      <c r="I26" s="39" t="n"/>
      <c r="J26" s="40">
        <f>IF(I26&lt;&gt;"",I26-TODAY(),"")</f>
        <v/>
      </c>
      <c r="K26" s="41">
        <f>IF(I26="","",IF(J26&lt;0,"Expired",IF(J26&lt;60,"Renew soon","Active")))</f>
        <v/>
      </c>
      <c r="L26" s="36" t="n"/>
      <c r="M26" s="36" t="n"/>
      <c r="N26" s="36" t="n"/>
    </row>
    <row r="27" ht="20" customHeight="1">
      <c r="A27" s="36" t="n"/>
      <c r="B27" s="36" t="n"/>
      <c r="C27" s="36" t="n"/>
      <c r="D27" s="36" t="n"/>
      <c r="E27" s="37" t="n"/>
      <c r="F27" s="37" t="n"/>
      <c r="G27" s="38" t="n"/>
      <c r="H27" s="39" t="n"/>
      <c r="I27" s="39" t="n"/>
      <c r="J27" s="40">
        <f>IF(I27&lt;&gt;"",I27-TODAY(),"")</f>
        <v/>
      </c>
      <c r="K27" s="41">
        <f>IF(I27="","",IF(J27&lt;0,"Expired",IF(J27&lt;60,"Renew soon","Active")))</f>
        <v/>
      </c>
      <c r="L27" s="36" t="n"/>
      <c r="M27" s="36" t="n"/>
      <c r="N27" s="36" t="n"/>
    </row>
    <row r="28" ht="20" customHeight="1">
      <c r="A28" s="36" t="n"/>
      <c r="B28" s="36" t="n"/>
      <c r="C28" s="36" t="n"/>
      <c r="D28" s="36" t="n"/>
      <c r="E28" s="37" t="n"/>
      <c r="F28" s="37" t="n"/>
      <c r="G28" s="38" t="n"/>
      <c r="H28" s="39" t="n"/>
      <c r="I28" s="39" t="n"/>
      <c r="J28" s="40">
        <f>IF(I28&lt;&gt;"",I28-TODAY(),"")</f>
        <v/>
      </c>
      <c r="K28" s="41">
        <f>IF(I28="","",IF(J28&lt;0,"Expired",IF(J28&lt;60,"Renew soon","Active")))</f>
        <v/>
      </c>
      <c r="L28" s="36" t="n"/>
      <c r="M28" s="36" t="n"/>
      <c r="N28" s="36" t="n"/>
    </row>
    <row r="29" ht="20" customHeight="1">
      <c r="A29" s="36" t="n"/>
      <c r="B29" s="36" t="n"/>
      <c r="C29" s="36" t="n"/>
      <c r="D29" s="36" t="n"/>
      <c r="E29" s="37" t="n"/>
      <c r="F29" s="37" t="n"/>
      <c r="G29" s="38" t="n"/>
      <c r="H29" s="39" t="n"/>
      <c r="I29" s="39" t="n"/>
      <c r="J29" s="40">
        <f>IF(I29&lt;&gt;"",I29-TODAY(),"")</f>
        <v/>
      </c>
      <c r="K29" s="41">
        <f>IF(I29="","",IF(J29&lt;0,"Expired",IF(J29&lt;60,"Renew soon","Active")))</f>
        <v/>
      </c>
      <c r="L29" s="36" t="n"/>
      <c r="M29" s="36" t="n"/>
      <c r="N29" s="36" t="n"/>
    </row>
    <row r="30" ht="20" customHeight="1">
      <c r="A30" s="36" t="n"/>
      <c r="B30" s="36" t="n"/>
      <c r="C30" s="36" t="n"/>
      <c r="D30" s="36" t="n"/>
      <c r="E30" s="37" t="n"/>
      <c r="F30" s="37" t="n"/>
      <c r="G30" s="38" t="n"/>
      <c r="H30" s="39" t="n"/>
      <c r="I30" s="39" t="n"/>
      <c r="J30" s="40">
        <f>IF(I30&lt;&gt;"",I30-TODAY(),"")</f>
        <v/>
      </c>
      <c r="K30" s="41">
        <f>IF(I30="","",IF(J30&lt;0,"Expired",IF(J30&lt;60,"Renew soon","Active")))</f>
        <v/>
      </c>
      <c r="L30" s="36" t="n"/>
      <c r="M30" s="36" t="n"/>
      <c r="N30" s="36" t="n"/>
    </row>
    <row r="31" ht="20" customHeight="1">
      <c r="A31" s="36" t="n"/>
      <c r="B31" s="36" t="n"/>
      <c r="C31" s="36" t="n"/>
      <c r="D31" s="36" t="n"/>
      <c r="E31" s="37" t="n"/>
      <c r="F31" s="37" t="n"/>
      <c r="G31" s="38" t="n"/>
      <c r="H31" s="39" t="n"/>
      <c r="I31" s="39" t="n"/>
      <c r="J31" s="40">
        <f>IF(I31&lt;&gt;"",I31-TODAY(),"")</f>
        <v/>
      </c>
      <c r="K31" s="41">
        <f>IF(I31="","",IF(J31&lt;0,"Expired",IF(J31&lt;60,"Renew soon","Active")))</f>
        <v/>
      </c>
      <c r="L31" s="36" t="n"/>
      <c r="M31" s="36" t="n"/>
      <c r="N31" s="36" t="n"/>
    </row>
    <row r="32" ht="20" customHeight="1">
      <c r="A32" s="36" t="n"/>
      <c r="B32" s="36" t="n"/>
      <c r="C32" s="36" t="n"/>
      <c r="D32" s="36" t="n"/>
      <c r="E32" s="37" t="n"/>
      <c r="F32" s="37" t="n"/>
      <c r="G32" s="38" t="n"/>
      <c r="H32" s="39" t="n"/>
      <c r="I32" s="39" t="n"/>
      <c r="J32" s="40">
        <f>IF(I32&lt;&gt;"",I32-TODAY(),"")</f>
        <v/>
      </c>
      <c r="K32" s="41">
        <f>IF(I32="","",IF(J32&lt;0,"Expired",IF(J32&lt;60,"Renew soon","Active")))</f>
        <v/>
      </c>
      <c r="L32" s="36" t="n"/>
      <c r="M32" s="36" t="n"/>
      <c r="N32" s="36" t="n"/>
    </row>
    <row r="33" ht="20" customHeight="1">
      <c r="A33" s="36" t="n"/>
      <c r="B33" s="36" t="n"/>
      <c r="C33" s="36" t="n"/>
      <c r="D33" s="36" t="n"/>
      <c r="E33" s="37" t="n"/>
      <c r="F33" s="37" t="n"/>
      <c r="G33" s="38" t="n"/>
      <c r="H33" s="39" t="n"/>
      <c r="I33" s="39" t="n"/>
      <c r="J33" s="40">
        <f>IF(I33&lt;&gt;"",I33-TODAY(),"")</f>
        <v/>
      </c>
      <c r="K33" s="41">
        <f>IF(I33="","",IF(J33&lt;0,"Expired",IF(J33&lt;60,"Renew soon","Active")))</f>
        <v/>
      </c>
      <c r="L33" s="36" t="n"/>
      <c r="M33" s="36" t="n"/>
      <c r="N33" s="36" t="n"/>
    </row>
    <row r="34" ht="20" customHeight="1">
      <c r="A34" s="36" t="n"/>
      <c r="B34" s="36" t="n"/>
      <c r="C34" s="36" t="n"/>
      <c r="D34" s="36" t="n"/>
      <c r="E34" s="37" t="n"/>
      <c r="F34" s="37" t="n"/>
      <c r="G34" s="38" t="n"/>
      <c r="H34" s="39" t="n"/>
      <c r="I34" s="39" t="n"/>
      <c r="J34" s="40">
        <f>IF(I34&lt;&gt;"",I34-TODAY(),"")</f>
        <v/>
      </c>
      <c r="K34" s="41">
        <f>IF(I34="","",IF(J34&lt;0,"Expired",IF(J34&lt;60,"Renew soon","Active")))</f>
        <v/>
      </c>
      <c r="L34" s="36" t="n"/>
      <c r="M34" s="36" t="n"/>
      <c r="N34" s="36" t="n"/>
    </row>
    <row r="35" ht="20" customHeight="1">
      <c r="A35" s="36" t="n"/>
      <c r="B35" s="36" t="n"/>
      <c r="C35" s="36" t="n"/>
      <c r="D35" s="36" t="n"/>
      <c r="E35" s="37" t="n"/>
      <c r="F35" s="37" t="n"/>
      <c r="G35" s="38" t="n"/>
      <c r="H35" s="39" t="n"/>
      <c r="I35" s="39" t="n"/>
      <c r="J35" s="40">
        <f>IF(I35&lt;&gt;"",I35-TODAY(),"")</f>
        <v/>
      </c>
      <c r="K35" s="41">
        <f>IF(I35="","",IF(J35&lt;0,"Expired",IF(J35&lt;60,"Renew soon","Active")))</f>
        <v/>
      </c>
      <c r="L35" s="36" t="n"/>
      <c r="M35" s="36" t="n"/>
      <c r="N35" s="36" t="n"/>
    </row>
    <row r="36" ht="20" customHeight="1">
      <c r="A36" s="36" t="n"/>
      <c r="B36" s="36" t="n"/>
      <c r="C36" s="36" t="n"/>
      <c r="D36" s="36" t="n"/>
      <c r="E36" s="37" t="n"/>
      <c r="F36" s="37" t="n"/>
      <c r="G36" s="38" t="n"/>
      <c r="H36" s="39" t="n"/>
      <c r="I36" s="39" t="n"/>
      <c r="J36" s="40">
        <f>IF(I36&lt;&gt;"",I36-TODAY(),"")</f>
        <v/>
      </c>
      <c r="K36" s="41">
        <f>IF(I36="","",IF(J36&lt;0,"Expired",IF(J36&lt;60,"Renew soon","Active")))</f>
        <v/>
      </c>
      <c r="L36" s="36" t="n"/>
      <c r="M36" s="36" t="n"/>
      <c r="N36" s="36" t="n"/>
    </row>
  </sheetData>
  <mergeCells count="4">
    <mergeCell ref="A4:N4"/>
    <mergeCell ref="J2:L2"/>
    <mergeCell ref="D2:I2"/>
    <mergeCell ref="A2:C2"/>
  </mergeCells>
  <conditionalFormatting sqref="J7:J36">
    <cfRule type="cellIs" priority="1" operator="lessThan" dxfId="1">
      <formula>0</formula>
    </cfRule>
    <cfRule type="cellIs" priority="2" operator="between" dxfId="1">
      <formula>0</formula>
      <formula>29</formula>
    </cfRule>
    <cfRule type="cellIs" priority="3" operator="between" dxfId="2">
      <formula>30</formula>
      <formula>60</formula>
    </cfRule>
  </conditionalFormatting>
  <conditionalFormatting sqref="K7:K36">
    <cfRule type="expression" priority="4" dxfId="3">
      <formula>$K7="Expired"</formula>
    </cfRule>
    <cfRule type="expression" priority="5" dxfId="4">
      <formula>$K7="Renew soon"</formula>
    </cfRule>
  </conditionalFormatting>
  <dataValidations count="3">
    <dataValidation sqref="B7:B36" showDropDown="0" showInputMessage="0" showErrorMessage="0" allowBlank="1" type="list">
      <formula1>=Settings!$D$6:$D$25</formula1>
    </dataValidation>
    <dataValidation sqref="C7:C36" showDropDown="0" showInputMessage="0" showErrorMessage="0" allowBlank="1" type="list">
      <formula1>=Settings!$C$6:$C$15</formula1>
    </dataValidation>
    <dataValidation sqref="D7:D36" showDropDown="0" showInputMessage="0" showErrorMessage="0" allowBlank="1" type="list">
      <formula1>=Settings!$B$6:$B$25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HYPERLINK("#'Policies'!A1", "← BACK")</f>
        <v/>
      </c>
      <c r="B2" s="24" t="n"/>
      <c r="C2" s="24" t="n"/>
      <c r="D2" s="31" t="inlineStr">
        <is>
          <t>COVERAGE MAP</t>
        </is>
      </c>
      <c r="J2" s="32">
        <f>HYPERLINK("#'Premium Forecast'!A1",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34" t="inlineStr">
        <is>
          <t>Per-property coverage matrix. Each cell shows the limit if the property carries that coverage type, or GAP if there's no policy in force. Walk the GAPs before renewals.</t>
        </is>
      </c>
    </row>
    <row r="5" ht="6" customHeight="1"/>
    <row r="6" ht="32" customHeight="1">
      <c r="A6" s="35" t="inlineStr">
        <is>
          <t>Property</t>
        </is>
      </c>
      <c r="B6" s="35" t="inlineStr">
        <is>
          <t>STR Dwelling</t>
        </is>
      </c>
      <c r="C6" s="35" t="inlineStr">
        <is>
          <t>Umbrella Liability</t>
        </is>
      </c>
      <c r="D6" s="35" t="inlineStr">
        <is>
          <t>Loss of Rents</t>
        </is>
      </c>
      <c r="E6" s="35" t="inlineStr">
        <is>
          <t>Auto</t>
        </is>
      </c>
      <c r="F6" s="35" t="inlineStr">
        <is>
          <t>Equipment</t>
        </is>
      </c>
      <c r="G6" s="35" t="inlineStr">
        <is>
          <t>Cyber</t>
        </is>
      </c>
      <c r="H6" s="35" t="inlineStr">
        <is>
          <t>Total limit</t>
        </is>
      </c>
    </row>
    <row r="7" ht="22" customHeight="1">
      <c r="A7" s="42">
        <f>IFERROR(IF(Settings!B6="","",Settings!B6),"")</f>
        <v/>
      </c>
      <c r="B7" s="43">
        <f>IF(A7="","",IF(SUMIFS(Policies!G7:G36,Policies!D7:D36,A7,Policies!C7:C36,"STR Dwelling")+SUMIFS(Policies!G7:G36,Policies!D7:D36,"Portfolio-wide",Policies!C7:C36,"STR Dwelling")=0,"GAP",SUMIFS(Policies!E7:E36,Policies!D7:D36,A7,Policies!C7:C36,"STR Dwelling")+SUMIFS(Policies!E7:E36,Policies!D7:D36,"Portfolio-wide",Policies!C7:C36,"STR Dwelling")))</f>
        <v/>
      </c>
      <c r="C7" s="43">
        <f>IF(A7="","",IF(SUMIFS(Policies!G7:G36,Policies!D7:D36,A7,Policies!C7:C36,"Umbrella Liability")+SUMIFS(Policies!G7:G36,Policies!D7:D36,"Portfolio-wide",Policies!C7:C36,"Umbrella Liability")=0,"GAP",SUMIFS(Policies!E7:E36,Policies!D7:D36,A7,Policies!C7:C36,"Umbrella Liability")+SUMIFS(Policies!E7:E36,Policies!D7:D36,"Portfolio-wide",Policies!C7:C36,"Umbrella Liability")))</f>
        <v/>
      </c>
      <c r="D7" s="43">
        <f>IF(A7="","",IF(SUMIFS(Policies!G7:G36,Policies!D7:D36,A7,Policies!C7:C36,"Loss of Rents")+SUMIFS(Policies!G7:G36,Policies!D7:D36,"Portfolio-wide",Policies!C7:C36,"Loss of Rents")=0,"GAP",SUMIFS(Policies!E7:E36,Policies!D7:D36,A7,Policies!C7:C36,"Loss of Rents")+SUMIFS(Policies!E7:E36,Policies!D7:D36,"Portfolio-wide",Policies!C7:C36,"Loss of Rents")))</f>
        <v/>
      </c>
      <c r="E7" s="43">
        <f>IF(A7="","",IF(SUMIFS(Policies!G7:G36,Policies!D7:D36,A7,Policies!C7:C36,"Auto")+SUMIFS(Policies!G7:G36,Policies!D7:D36,"Portfolio-wide",Policies!C7:C36,"Auto")=0,"GAP",SUMIFS(Policies!E7:E36,Policies!D7:D36,A7,Policies!C7:C36,"Auto")+SUMIFS(Policies!E7:E36,Policies!D7:D36,"Portfolio-wide",Policies!C7:C36,"Auto")))</f>
        <v/>
      </c>
      <c r="F7" s="43">
        <f>IF(A7="","",IF(SUMIFS(Policies!G7:G36,Policies!D7:D36,A7,Policies!C7:C36,"Equipment")+SUMIFS(Policies!G7:G36,Policies!D7:D36,"Portfolio-wide",Policies!C7:C36,"Equipment")=0,"GAP",SUMIFS(Policies!E7:E36,Policies!D7:D36,A7,Policies!C7:C36,"Equipment")+SUMIFS(Policies!E7:E36,Policies!D7:D36,"Portfolio-wide",Policies!C7:C36,"Equipment")))</f>
        <v/>
      </c>
      <c r="G7" s="43">
        <f>IF(A7="","",IF(SUMIFS(Policies!G7:G36,Policies!D7:D36,A7,Policies!C7:C36,"Cyber")+SUMIFS(Policies!G7:G36,Policies!D7:D36,"Portfolio-wide",Policies!C7:C36,"Cyber")=0,"GAP",SUMIFS(Policies!E7:E36,Policies!D7:D36,A7,Policies!C7:C36,"Cyber")+SUMIFS(Policies!E7:E36,Policies!D7:D36,"Portfolio-wide",Policies!C7:C36,"Cyber")))</f>
        <v/>
      </c>
      <c r="H7" s="44">
        <f>IF(A7="","",SUMIFS(Policies!E7:E36,Policies!D7:D36,A7))</f>
        <v/>
      </c>
    </row>
    <row r="8" ht="22" customHeight="1">
      <c r="A8" s="45">
        <f>IFERROR(IF(Settings!B7="","",Settings!B7),"")</f>
        <v/>
      </c>
      <c r="B8" s="46">
        <f>IF(A8="","",IF(SUMIFS(Policies!G7:G36,Policies!D7:D36,A8,Policies!C7:C36,"STR Dwelling")+SUMIFS(Policies!G7:G36,Policies!D7:D36,"Portfolio-wide",Policies!C7:C36,"STR Dwelling")=0,"GAP",SUMIFS(Policies!E7:E36,Policies!D7:D36,A8,Policies!C7:C36,"STR Dwelling")+SUMIFS(Policies!E7:E36,Policies!D7:D36,"Portfolio-wide",Policies!C7:C36,"STR Dwelling")))</f>
        <v/>
      </c>
      <c r="C8" s="46">
        <f>IF(A8="","",IF(SUMIFS(Policies!G7:G36,Policies!D7:D36,A8,Policies!C7:C36,"Umbrella Liability")+SUMIFS(Policies!G7:G36,Policies!D7:D36,"Portfolio-wide",Policies!C7:C36,"Umbrella Liability")=0,"GAP",SUMIFS(Policies!E7:E36,Policies!D7:D36,A8,Policies!C7:C36,"Umbrella Liability")+SUMIFS(Policies!E7:E36,Policies!D7:D36,"Portfolio-wide",Policies!C7:C36,"Umbrella Liability")))</f>
        <v/>
      </c>
      <c r="D8" s="46">
        <f>IF(A8="","",IF(SUMIFS(Policies!G7:G36,Policies!D7:D36,A8,Policies!C7:C36,"Loss of Rents")+SUMIFS(Policies!G7:G36,Policies!D7:D36,"Portfolio-wide",Policies!C7:C36,"Loss of Rents")=0,"GAP",SUMIFS(Policies!E7:E36,Policies!D7:D36,A8,Policies!C7:C36,"Loss of Rents")+SUMIFS(Policies!E7:E36,Policies!D7:D36,"Portfolio-wide",Policies!C7:C36,"Loss of Rents")))</f>
        <v/>
      </c>
      <c r="E8" s="46">
        <f>IF(A8="","",IF(SUMIFS(Policies!G7:G36,Policies!D7:D36,A8,Policies!C7:C36,"Auto")+SUMIFS(Policies!G7:G36,Policies!D7:D36,"Portfolio-wide",Policies!C7:C36,"Auto")=0,"GAP",SUMIFS(Policies!E7:E36,Policies!D7:D36,A8,Policies!C7:C36,"Auto")+SUMIFS(Policies!E7:E36,Policies!D7:D36,"Portfolio-wide",Policies!C7:C36,"Auto")))</f>
        <v/>
      </c>
      <c r="F8" s="46">
        <f>IF(A8="","",IF(SUMIFS(Policies!G7:G36,Policies!D7:D36,A8,Policies!C7:C36,"Equipment")+SUMIFS(Policies!G7:G36,Policies!D7:D36,"Portfolio-wide",Policies!C7:C36,"Equipment")=0,"GAP",SUMIFS(Policies!E7:E36,Policies!D7:D36,A8,Policies!C7:C36,"Equipment")+SUMIFS(Policies!E7:E36,Policies!D7:D36,"Portfolio-wide",Policies!C7:C36,"Equipment")))</f>
        <v/>
      </c>
      <c r="G8" s="46">
        <f>IF(A8="","",IF(SUMIFS(Policies!G7:G36,Policies!D7:D36,A8,Policies!C7:C36,"Cyber")+SUMIFS(Policies!G7:G36,Policies!D7:D36,"Portfolio-wide",Policies!C7:C36,"Cyber")=0,"GAP",SUMIFS(Policies!E7:E36,Policies!D7:D36,A8,Policies!C7:C36,"Cyber")+SUMIFS(Policies!E7:E36,Policies!D7:D36,"Portfolio-wide",Policies!C7:C36,"Cyber")))</f>
        <v/>
      </c>
      <c r="H8" s="47">
        <f>IF(A8="","",SUMIFS(Policies!E7:E36,Policies!D7:D36,A8))</f>
        <v/>
      </c>
    </row>
    <row r="9" ht="22" customHeight="1">
      <c r="A9" s="42">
        <f>IFERROR(IF(Settings!B8="","",Settings!B8),"")</f>
        <v/>
      </c>
      <c r="B9" s="43">
        <f>IF(A9="","",IF(SUMIFS(Policies!G7:G36,Policies!D7:D36,A9,Policies!C7:C36,"STR Dwelling")+SUMIFS(Policies!G7:G36,Policies!D7:D36,"Portfolio-wide",Policies!C7:C36,"STR Dwelling")=0,"GAP",SUMIFS(Policies!E7:E36,Policies!D7:D36,A9,Policies!C7:C36,"STR Dwelling")+SUMIFS(Policies!E7:E36,Policies!D7:D36,"Portfolio-wide",Policies!C7:C36,"STR Dwelling")))</f>
        <v/>
      </c>
      <c r="C9" s="43">
        <f>IF(A9="","",IF(SUMIFS(Policies!G7:G36,Policies!D7:D36,A9,Policies!C7:C36,"Umbrella Liability")+SUMIFS(Policies!G7:G36,Policies!D7:D36,"Portfolio-wide",Policies!C7:C36,"Umbrella Liability")=0,"GAP",SUMIFS(Policies!E7:E36,Policies!D7:D36,A9,Policies!C7:C36,"Umbrella Liability")+SUMIFS(Policies!E7:E36,Policies!D7:D36,"Portfolio-wide",Policies!C7:C36,"Umbrella Liability")))</f>
        <v/>
      </c>
      <c r="D9" s="43">
        <f>IF(A9="","",IF(SUMIFS(Policies!G7:G36,Policies!D7:D36,A9,Policies!C7:C36,"Loss of Rents")+SUMIFS(Policies!G7:G36,Policies!D7:D36,"Portfolio-wide",Policies!C7:C36,"Loss of Rents")=0,"GAP",SUMIFS(Policies!E7:E36,Policies!D7:D36,A9,Policies!C7:C36,"Loss of Rents")+SUMIFS(Policies!E7:E36,Policies!D7:D36,"Portfolio-wide",Policies!C7:C36,"Loss of Rents")))</f>
        <v/>
      </c>
      <c r="E9" s="43">
        <f>IF(A9="","",IF(SUMIFS(Policies!G7:G36,Policies!D7:D36,A9,Policies!C7:C36,"Auto")+SUMIFS(Policies!G7:G36,Policies!D7:D36,"Portfolio-wide",Policies!C7:C36,"Auto")=0,"GAP",SUMIFS(Policies!E7:E36,Policies!D7:D36,A9,Policies!C7:C36,"Auto")+SUMIFS(Policies!E7:E36,Policies!D7:D36,"Portfolio-wide",Policies!C7:C36,"Auto")))</f>
        <v/>
      </c>
      <c r="F9" s="43">
        <f>IF(A9="","",IF(SUMIFS(Policies!G7:G36,Policies!D7:D36,A9,Policies!C7:C36,"Equipment")+SUMIFS(Policies!G7:G36,Policies!D7:D36,"Portfolio-wide",Policies!C7:C36,"Equipment")=0,"GAP",SUMIFS(Policies!E7:E36,Policies!D7:D36,A9,Policies!C7:C36,"Equipment")+SUMIFS(Policies!E7:E36,Policies!D7:D36,"Portfolio-wide",Policies!C7:C36,"Equipment")))</f>
        <v/>
      </c>
      <c r="G9" s="43">
        <f>IF(A9="","",IF(SUMIFS(Policies!G7:G36,Policies!D7:D36,A9,Policies!C7:C36,"Cyber")+SUMIFS(Policies!G7:G36,Policies!D7:D36,"Portfolio-wide",Policies!C7:C36,"Cyber")=0,"GAP",SUMIFS(Policies!E7:E36,Policies!D7:D36,A9,Policies!C7:C36,"Cyber")+SUMIFS(Policies!E7:E36,Policies!D7:D36,"Portfolio-wide",Policies!C7:C36,"Cyber")))</f>
        <v/>
      </c>
      <c r="H9" s="44">
        <f>IF(A9="","",SUMIFS(Policies!E7:E36,Policies!D7:D36,A9))</f>
        <v/>
      </c>
    </row>
    <row r="10" ht="22" customHeight="1">
      <c r="A10" s="45">
        <f>IFERROR(IF(Settings!B9="","",Settings!B9),"")</f>
        <v/>
      </c>
      <c r="B10" s="46">
        <f>IF(A10="","",IF(SUMIFS(Policies!G7:G36,Policies!D7:D36,A10,Policies!C7:C36,"STR Dwelling")+SUMIFS(Policies!G7:G36,Policies!D7:D36,"Portfolio-wide",Policies!C7:C36,"STR Dwelling")=0,"GAP",SUMIFS(Policies!E7:E36,Policies!D7:D36,A10,Policies!C7:C36,"STR Dwelling")+SUMIFS(Policies!E7:E36,Policies!D7:D36,"Portfolio-wide",Policies!C7:C36,"STR Dwelling")))</f>
        <v/>
      </c>
      <c r="C10" s="46">
        <f>IF(A10="","",IF(SUMIFS(Policies!G7:G36,Policies!D7:D36,A10,Policies!C7:C36,"Umbrella Liability")+SUMIFS(Policies!G7:G36,Policies!D7:D36,"Portfolio-wide",Policies!C7:C36,"Umbrella Liability")=0,"GAP",SUMIFS(Policies!E7:E36,Policies!D7:D36,A10,Policies!C7:C36,"Umbrella Liability")+SUMIFS(Policies!E7:E36,Policies!D7:D36,"Portfolio-wide",Policies!C7:C36,"Umbrella Liability")))</f>
        <v/>
      </c>
      <c r="D10" s="46">
        <f>IF(A10="","",IF(SUMIFS(Policies!G7:G36,Policies!D7:D36,A10,Policies!C7:C36,"Loss of Rents")+SUMIFS(Policies!G7:G36,Policies!D7:D36,"Portfolio-wide",Policies!C7:C36,"Loss of Rents")=0,"GAP",SUMIFS(Policies!E7:E36,Policies!D7:D36,A10,Policies!C7:C36,"Loss of Rents")+SUMIFS(Policies!E7:E36,Policies!D7:D36,"Portfolio-wide",Policies!C7:C36,"Loss of Rents")))</f>
        <v/>
      </c>
      <c r="E10" s="46">
        <f>IF(A10="","",IF(SUMIFS(Policies!G7:G36,Policies!D7:D36,A10,Policies!C7:C36,"Auto")+SUMIFS(Policies!G7:G36,Policies!D7:D36,"Portfolio-wide",Policies!C7:C36,"Auto")=0,"GAP",SUMIFS(Policies!E7:E36,Policies!D7:D36,A10,Policies!C7:C36,"Auto")+SUMIFS(Policies!E7:E36,Policies!D7:D36,"Portfolio-wide",Policies!C7:C36,"Auto")))</f>
        <v/>
      </c>
      <c r="F10" s="46">
        <f>IF(A10="","",IF(SUMIFS(Policies!G7:G36,Policies!D7:D36,A10,Policies!C7:C36,"Equipment")+SUMIFS(Policies!G7:G36,Policies!D7:D36,"Portfolio-wide",Policies!C7:C36,"Equipment")=0,"GAP",SUMIFS(Policies!E7:E36,Policies!D7:D36,A10,Policies!C7:C36,"Equipment")+SUMIFS(Policies!E7:E36,Policies!D7:D36,"Portfolio-wide",Policies!C7:C36,"Equipment")))</f>
        <v/>
      </c>
      <c r="G10" s="46">
        <f>IF(A10="","",IF(SUMIFS(Policies!G7:G36,Policies!D7:D36,A10,Policies!C7:C36,"Cyber")+SUMIFS(Policies!G7:G36,Policies!D7:D36,"Portfolio-wide",Policies!C7:C36,"Cyber")=0,"GAP",SUMIFS(Policies!E7:E36,Policies!D7:D36,A10,Policies!C7:C36,"Cyber")+SUMIFS(Policies!E7:E36,Policies!D7:D36,"Portfolio-wide",Policies!C7:C36,"Cyber")))</f>
        <v/>
      </c>
      <c r="H10" s="47">
        <f>IF(A10="","",SUMIFS(Policies!E7:E36,Policies!D7:D36,A10))</f>
        <v/>
      </c>
    </row>
    <row r="11" ht="22" customHeight="1">
      <c r="A11" s="42">
        <f>IFERROR(IF(Settings!B10="","",Settings!B10),"")</f>
        <v/>
      </c>
      <c r="B11" s="43">
        <f>IF(A11="","",IF(SUMIFS(Policies!G7:G36,Policies!D7:D36,A11,Policies!C7:C36,"STR Dwelling")+SUMIFS(Policies!G7:G36,Policies!D7:D36,"Portfolio-wide",Policies!C7:C36,"STR Dwelling")=0,"GAP",SUMIFS(Policies!E7:E36,Policies!D7:D36,A11,Policies!C7:C36,"STR Dwelling")+SUMIFS(Policies!E7:E36,Policies!D7:D36,"Portfolio-wide",Policies!C7:C36,"STR Dwelling")))</f>
        <v/>
      </c>
      <c r="C11" s="43">
        <f>IF(A11="","",IF(SUMIFS(Policies!G7:G36,Policies!D7:D36,A11,Policies!C7:C36,"Umbrella Liability")+SUMIFS(Policies!G7:G36,Policies!D7:D36,"Portfolio-wide",Policies!C7:C36,"Umbrella Liability")=0,"GAP",SUMIFS(Policies!E7:E36,Policies!D7:D36,A11,Policies!C7:C36,"Umbrella Liability")+SUMIFS(Policies!E7:E36,Policies!D7:D36,"Portfolio-wide",Policies!C7:C36,"Umbrella Liability")))</f>
        <v/>
      </c>
      <c r="D11" s="43">
        <f>IF(A11="","",IF(SUMIFS(Policies!G7:G36,Policies!D7:D36,A11,Policies!C7:C36,"Loss of Rents")+SUMIFS(Policies!G7:G36,Policies!D7:D36,"Portfolio-wide",Policies!C7:C36,"Loss of Rents")=0,"GAP",SUMIFS(Policies!E7:E36,Policies!D7:D36,A11,Policies!C7:C36,"Loss of Rents")+SUMIFS(Policies!E7:E36,Policies!D7:D36,"Portfolio-wide",Policies!C7:C36,"Loss of Rents")))</f>
        <v/>
      </c>
      <c r="E11" s="43">
        <f>IF(A11="","",IF(SUMIFS(Policies!G7:G36,Policies!D7:D36,A11,Policies!C7:C36,"Auto")+SUMIFS(Policies!G7:G36,Policies!D7:D36,"Portfolio-wide",Policies!C7:C36,"Auto")=0,"GAP",SUMIFS(Policies!E7:E36,Policies!D7:D36,A11,Policies!C7:C36,"Auto")+SUMIFS(Policies!E7:E36,Policies!D7:D36,"Portfolio-wide",Policies!C7:C36,"Auto")))</f>
        <v/>
      </c>
      <c r="F11" s="43">
        <f>IF(A11="","",IF(SUMIFS(Policies!G7:G36,Policies!D7:D36,A11,Policies!C7:C36,"Equipment")+SUMIFS(Policies!G7:G36,Policies!D7:D36,"Portfolio-wide",Policies!C7:C36,"Equipment")=0,"GAP",SUMIFS(Policies!E7:E36,Policies!D7:D36,A11,Policies!C7:C36,"Equipment")+SUMIFS(Policies!E7:E36,Policies!D7:D36,"Portfolio-wide",Policies!C7:C36,"Equipment")))</f>
        <v/>
      </c>
      <c r="G11" s="43">
        <f>IF(A11="","",IF(SUMIFS(Policies!G7:G36,Policies!D7:D36,A11,Policies!C7:C36,"Cyber")+SUMIFS(Policies!G7:G36,Policies!D7:D36,"Portfolio-wide",Policies!C7:C36,"Cyber")=0,"GAP",SUMIFS(Policies!E7:E36,Policies!D7:D36,A11,Policies!C7:C36,"Cyber")+SUMIFS(Policies!E7:E36,Policies!D7:D36,"Portfolio-wide",Policies!C7:C36,"Cyber")))</f>
        <v/>
      </c>
      <c r="H11" s="44">
        <f>IF(A11="","",SUMIFS(Policies!E7:E36,Policies!D7:D36,A11))</f>
        <v/>
      </c>
    </row>
    <row r="12" ht="22" customHeight="1">
      <c r="A12" s="45">
        <f>IFERROR(IF(Settings!B11="","",Settings!B11),"")</f>
        <v/>
      </c>
      <c r="B12" s="46">
        <f>IF(A12="","",IF(SUMIFS(Policies!G7:G36,Policies!D7:D36,A12,Policies!C7:C36,"STR Dwelling")+SUMIFS(Policies!G7:G36,Policies!D7:D36,"Portfolio-wide",Policies!C7:C36,"STR Dwelling")=0,"GAP",SUMIFS(Policies!E7:E36,Policies!D7:D36,A12,Policies!C7:C36,"STR Dwelling")+SUMIFS(Policies!E7:E36,Policies!D7:D36,"Portfolio-wide",Policies!C7:C36,"STR Dwelling")))</f>
        <v/>
      </c>
      <c r="C12" s="46">
        <f>IF(A12="","",IF(SUMIFS(Policies!G7:G36,Policies!D7:D36,A12,Policies!C7:C36,"Umbrella Liability")+SUMIFS(Policies!G7:G36,Policies!D7:D36,"Portfolio-wide",Policies!C7:C36,"Umbrella Liability")=0,"GAP",SUMIFS(Policies!E7:E36,Policies!D7:D36,A12,Policies!C7:C36,"Umbrella Liability")+SUMIFS(Policies!E7:E36,Policies!D7:D36,"Portfolio-wide",Policies!C7:C36,"Umbrella Liability")))</f>
        <v/>
      </c>
      <c r="D12" s="46">
        <f>IF(A12="","",IF(SUMIFS(Policies!G7:G36,Policies!D7:D36,A12,Policies!C7:C36,"Loss of Rents")+SUMIFS(Policies!G7:G36,Policies!D7:D36,"Portfolio-wide",Policies!C7:C36,"Loss of Rents")=0,"GAP",SUMIFS(Policies!E7:E36,Policies!D7:D36,A12,Policies!C7:C36,"Loss of Rents")+SUMIFS(Policies!E7:E36,Policies!D7:D36,"Portfolio-wide",Policies!C7:C36,"Loss of Rents")))</f>
        <v/>
      </c>
      <c r="E12" s="46">
        <f>IF(A12="","",IF(SUMIFS(Policies!G7:G36,Policies!D7:D36,A12,Policies!C7:C36,"Auto")+SUMIFS(Policies!G7:G36,Policies!D7:D36,"Portfolio-wide",Policies!C7:C36,"Auto")=0,"GAP",SUMIFS(Policies!E7:E36,Policies!D7:D36,A12,Policies!C7:C36,"Auto")+SUMIFS(Policies!E7:E36,Policies!D7:D36,"Portfolio-wide",Policies!C7:C36,"Auto")))</f>
        <v/>
      </c>
      <c r="F12" s="46">
        <f>IF(A12="","",IF(SUMIFS(Policies!G7:G36,Policies!D7:D36,A12,Policies!C7:C36,"Equipment")+SUMIFS(Policies!G7:G36,Policies!D7:D36,"Portfolio-wide",Policies!C7:C36,"Equipment")=0,"GAP",SUMIFS(Policies!E7:E36,Policies!D7:D36,A12,Policies!C7:C36,"Equipment")+SUMIFS(Policies!E7:E36,Policies!D7:D36,"Portfolio-wide",Policies!C7:C36,"Equipment")))</f>
        <v/>
      </c>
      <c r="G12" s="46">
        <f>IF(A12="","",IF(SUMIFS(Policies!G7:G36,Policies!D7:D36,A12,Policies!C7:C36,"Cyber")+SUMIFS(Policies!G7:G36,Policies!D7:D36,"Portfolio-wide",Policies!C7:C36,"Cyber")=0,"GAP",SUMIFS(Policies!E7:E36,Policies!D7:D36,A12,Policies!C7:C36,"Cyber")+SUMIFS(Policies!E7:E36,Policies!D7:D36,"Portfolio-wide",Policies!C7:C36,"Cyber")))</f>
        <v/>
      </c>
      <c r="H12" s="47">
        <f>IF(A12="","",SUMIFS(Policies!E7:E36,Policies!D7:D36,A12))</f>
        <v/>
      </c>
    </row>
    <row r="13" ht="22" customHeight="1">
      <c r="A13" s="42">
        <f>IFERROR(IF(Settings!B12="","",Settings!B12),"")</f>
        <v/>
      </c>
      <c r="B13" s="43">
        <f>IF(A13="","",IF(SUMIFS(Policies!G7:G36,Policies!D7:D36,A13,Policies!C7:C36,"STR Dwelling")+SUMIFS(Policies!G7:G36,Policies!D7:D36,"Portfolio-wide",Policies!C7:C36,"STR Dwelling")=0,"GAP",SUMIFS(Policies!E7:E36,Policies!D7:D36,A13,Policies!C7:C36,"STR Dwelling")+SUMIFS(Policies!E7:E36,Policies!D7:D36,"Portfolio-wide",Policies!C7:C36,"STR Dwelling")))</f>
        <v/>
      </c>
      <c r="C13" s="43">
        <f>IF(A13="","",IF(SUMIFS(Policies!G7:G36,Policies!D7:D36,A13,Policies!C7:C36,"Umbrella Liability")+SUMIFS(Policies!G7:G36,Policies!D7:D36,"Portfolio-wide",Policies!C7:C36,"Umbrella Liability")=0,"GAP",SUMIFS(Policies!E7:E36,Policies!D7:D36,A13,Policies!C7:C36,"Umbrella Liability")+SUMIFS(Policies!E7:E36,Policies!D7:D36,"Portfolio-wide",Policies!C7:C36,"Umbrella Liability")))</f>
        <v/>
      </c>
      <c r="D13" s="43">
        <f>IF(A13="","",IF(SUMIFS(Policies!G7:G36,Policies!D7:D36,A13,Policies!C7:C36,"Loss of Rents")+SUMIFS(Policies!G7:G36,Policies!D7:D36,"Portfolio-wide",Policies!C7:C36,"Loss of Rents")=0,"GAP",SUMIFS(Policies!E7:E36,Policies!D7:D36,A13,Policies!C7:C36,"Loss of Rents")+SUMIFS(Policies!E7:E36,Policies!D7:D36,"Portfolio-wide",Policies!C7:C36,"Loss of Rents")))</f>
        <v/>
      </c>
      <c r="E13" s="43">
        <f>IF(A13="","",IF(SUMIFS(Policies!G7:G36,Policies!D7:D36,A13,Policies!C7:C36,"Auto")+SUMIFS(Policies!G7:G36,Policies!D7:D36,"Portfolio-wide",Policies!C7:C36,"Auto")=0,"GAP",SUMIFS(Policies!E7:E36,Policies!D7:D36,A13,Policies!C7:C36,"Auto")+SUMIFS(Policies!E7:E36,Policies!D7:D36,"Portfolio-wide",Policies!C7:C36,"Auto")))</f>
        <v/>
      </c>
      <c r="F13" s="43">
        <f>IF(A13="","",IF(SUMIFS(Policies!G7:G36,Policies!D7:D36,A13,Policies!C7:C36,"Equipment")+SUMIFS(Policies!G7:G36,Policies!D7:D36,"Portfolio-wide",Policies!C7:C36,"Equipment")=0,"GAP",SUMIFS(Policies!E7:E36,Policies!D7:D36,A13,Policies!C7:C36,"Equipment")+SUMIFS(Policies!E7:E36,Policies!D7:D36,"Portfolio-wide",Policies!C7:C36,"Equipment")))</f>
        <v/>
      </c>
      <c r="G13" s="43">
        <f>IF(A13="","",IF(SUMIFS(Policies!G7:G36,Policies!D7:D36,A13,Policies!C7:C36,"Cyber")+SUMIFS(Policies!G7:G36,Policies!D7:D36,"Portfolio-wide",Policies!C7:C36,"Cyber")=0,"GAP",SUMIFS(Policies!E7:E36,Policies!D7:D36,A13,Policies!C7:C36,"Cyber")+SUMIFS(Policies!E7:E36,Policies!D7:D36,"Portfolio-wide",Policies!C7:C36,"Cyber")))</f>
        <v/>
      </c>
      <c r="H13" s="44">
        <f>IF(A13="","",SUMIFS(Policies!E7:E36,Policies!D7:D36,A13))</f>
        <v/>
      </c>
    </row>
    <row r="14" ht="22" customHeight="1">
      <c r="A14" s="45">
        <f>IFERROR(IF(Settings!B13="","",Settings!B13),"")</f>
        <v/>
      </c>
      <c r="B14" s="46">
        <f>IF(A14="","",IF(SUMIFS(Policies!G7:G36,Policies!D7:D36,A14,Policies!C7:C36,"STR Dwelling")+SUMIFS(Policies!G7:G36,Policies!D7:D36,"Portfolio-wide",Policies!C7:C36,"STR Dwelling")=0,"GAP",SUMIFS(Policies!E7:E36,Policies!D7:D36,A14,Policies!C7:C36,"STR Dwelling")+SUMIFS(Policies!E7:E36,Policies!D7:D36,"Portfolio-wide",Policies!C7:C36,"STR Dwelling")))</f>
        <v/>
      </c>
      <c r="C14" s="46">
        <f>IF(A14="","",IF(SUMIFS(Policies!G7:G36,Policies!D7:D36,A14,Policies!C7:C36,"Umbrella Liability")+SUMIFS(Policies!G7:G36,Policies!D7:D36,"Portfolio-wide",Policies!C7:C36,"Umbrella Liability")=0,"GAP",SUMIFS(Policies!E7:E36,Policies!D7:D36,A14,Policies!C7:C36,"Umbrella Liability")+SUMIFS(Policies!E7:E36,Policies!D7:D36,"Portfolio-wide",Policies!C7:C36,"Umbrella Liability")))</f>
        <v/>
      </c>
      <c r="D14" s="46">
        <f>IF(A14="","",IF(SUMIFS(Policies!G7:G36,Policies!D7:D36,A14,Policies!C7:C36,"Loss of Rents")+SUMIFS(Policies!G7:G36,Policies!D7:D36,"Portfolio-wide",Policies!C7:C36,"Loss of Rents")=0,"GAP",SUMIFS(Policies!E7:E36,Policies!D7:D36,A14,Policies!C7:C36,"Loss of Rents")+SUMIFS(Policies!E7:E36,Policies!D7:D36,"Portfolio-wide",Policies!C7:C36,"Loss of Rents")))</f>
        <v/>
      </c>
      <c r="E14" s="46">
        <f>IF(A14="","",IF(SUMIFS(Policies!G7:G36,Policies!D7:D36,A14,Policies!C7:C36,"Auto")+SUMIFS(Policies!G7:G36,Policies!D7:D36,"Portfolio-wide",Policies!C7:C36,"Auto")=0,"GAP",SUMIFS(Policies!E7:E36,Policies!D7:D36,A14,Policies!C7:C36,"Auto")+SUMIFS(Policies!E7:E36,Policies!D7:D36,"Portfolio-wide",Policies!C7:C36,"Auto")))</f>
        <v/>
      </c>
      <c r="F14" s="46">
        <f>IF(A14="","",IF(SUMIFS(Policies!G7:G36,Policies!D7:D36,A14,Policies!C7:C36,"Equipment")+SUMIFS(Policies!G7:G36,Policies!D7:D36,"Portfolio-wide",Policies!C7:C36,"Equipment")=0,"GAP",SUMIFS(Policies!E7:E36,Policies!D7:D36,A14,Policies!C7:C36,"Equipment")+SUMIFS(Policies!E7:E36,Policies!D7:D36,"Portfolio-wide",Policies!C7:C36,"Equipment")))</f>
        <v/>
      </c>
      <c r="G14" s="46">
        <f>IF(A14="","",IF(SUMIFS(Policies!G7:G36,Policies!D7:D36,A14,Policies!C7:C36,"Cyber")+SUMIFS(Policies!G7:G36,Policies!D7:D36,"Portfolio-wide",Policies!C7:C36,"Cyber")=0,"GAP",SUMIFS(Policies!E7:E36,Policies!D7:D36,A14,Policies!C7:C36,"Cyber")+SUMIFS(Policies!E7:E36,Policies!D7:D36,"Portfolio-wide",Policies!C7:C36,"Cyber")))</f>
        <v/>
      </c>
      <c r="H14" s="47">
        <f>IF(A14="","",SUMIFS(Policies!E7:E36,Policies!D7:D36,A14))</f>
        <v/>
      </c>
    </row>
    <row r="15" ht="22" customHeight="1">
      <c r="A15" s="42">
        <f>IFERROR(IF(Settings!B14="","",Settings!B14),"")</f>
        <v/>
      </c>
      <c r="B15" s="43">
        <f>IF(A15="","",IF(SUMIFS(Policies!G7:G36,Policies!D7:D36,A15,Policies!C7:C36,"STR Dwelling")+SUMIFS(Policies!G7:G36,Policies!D7:D36,"Portfolio-wide",Policies!C7:C36,"STR Dwelling")=0,"GAP",SUMIFS(Policies!E7:E36,Policies!D7:D36,A15,Policies!C7:C36,"STR Dwelling")+SUMIFS(Policies!E7:E36,Policies!D7:D36,"Portfolio-wide",Policies!C7:C36,"STR Dwelling")))</f>
        <v/>
      </c>
      <c r="C15" s="43">
        <f>IF(A15="","",IF(SUMIFS(Policies!G7:G36,Policies!D7:D36,A15,Policies!C7:C36,"Umbrella Liability")+SUMIFS(Policies!G7:G36,Policies!D7:D36,"Portfolio-wide",Policies!C7:C36,"Umbrella Liability")=0,"GAP",SUMIFS(Policies!E7:E36,Policies!D7:D36,A15,Policies!C7:C36,"Umbrella Liability")+SUMIFS(Policies!E7:E36,Policies!D7:D36,"Portfolio-wide",Policies!C7:C36,"Umbrella Liability")))</f>
        <v/>
      </c>
      <c r="D15" s="43">
        <f>IF(A15="","",IF(SUMIFS(Policies!G7:G36,Policies!D7:D36,A15,Policies!C7:C36,"Loss of Rents")+SUMIFS(Policies!G7:G36,Policies!D7:D36,"Portfolio-wide",Policies!C7:C36,"Loss of Rents")=0,"GAP",SUMIFS(Policies!E7:E36,Policies!D7:D36,A15,Policies!C7:C36,"Loss of Rents")+SUMIFS(Policies!E7:E36,Policies!D7:D36,"Portfolio-wide",Policies!C7:C36,"Loss of Rents")))</f>
        <v/>
      </c>
      <c r="E15" s="43">
        <f>IF(A15="","",IF(SUMIFS(Policies!G7:G36,Policies!D7:D36,A15,Policies!C7:C36,"Auto")+SUMIFS(Policies!G7:G36,Policies!D7:D36,"Portfolio-wide",Policies!C7:C36,"Auto")=0,"GAP",SUMIFS(Policies!E7:E36,Policies!D7:D36,A15,Policies!C7:C36,"Auto")+SUMIFS(Policies!E7:E36,Policies!D7:D36,"Portfolio-wide",Policies!C7:C36,"Auto")))</f>
        <v/>
      </c>
      <c r="F15" s="43">
        <f>IF(A15="","",IF(SUMIFS(Policies!G7:G36,Policies!D7:D36,A15,Policies!C7:C36,"Equipment")+SUMIFS(Policies!G7:G36,Policies!D7:D36,"Portfolio-wide",Policies!C7:C36,"Equipment")=0,"GAP",SUMIFS(Policies!E7:E36,Policies!D7:D36,A15,Policies!C7:C36,"Equipment")+SUMIFS(Policies!E7:E36,Policies!D7:D36,"Portfolio-wide",Policies!C7:C36,"Equipment")))</f>
        <v/>
      </c>
      <c r="G15" s="43">
        <f>IF(A15="","",IF(SUMIFS(Policies!G7:G36,Policies!D7:D36,A15,Policies!C7:C36,"Cyber")+SUMIFS(Policies!G7:G36,Policies!D7:D36,"Portfolio-wide",Policies!C7:C36,"Cyber")=0,"GAP",SUMIFS(Policies!E7:E36,Policies!D7:D36,A15,Policies!C7:C36,"Cyber")+SUMIFS(Policies!E7:E36,Policies!D7:D36,"Portfolio-wide",Policies!C7:C36,"Cyber")))</f>
        <v/>
      </c>
      <c r="H15" s="44">
        <f>IF(A15="","",SUMIFS(Policies!E7:E36,Policies!D7:D36,A15))</f>
        <v/>
      </c>
    </row>
    <row r="16" ht="22" customHeight="1">
      <c r="A16" s="45">
        <f>IFERROR(IF(Settings!B15="","",Settings!B15),"")</f>
        <v/>
      </c>
      <c r="B16" s="46">
        <f>IF(A16="","",IF(SUMIFS(Policies!G7:G36,Policies!D7:D36,A16,Policies!C7:C36,"STR Dwelling")+SUMIFS(Policies!G7:G36,Policies!D7:D36,"Portfolio-wide",Policies!C7:C36,"STR Dwelling")=0,"GAP",SUMIFS(Policies!E7:E36,Policies!D7:D36,A16,Policies!C7:C36,"STR Dwelling")+SUMIFS(Policies!E7:E36,Policies!D7:D36,"Portfolio-wide",Policies!C7:C36,"STR Dwelling")))</f>
        <v/>
      </c>
      <c r="C16" s="46">
        <f>IF(A16="","",IF(SUMIFS(Policies!G7:G36,Policies!D7:D36,A16,Policies!C7:C36,"Umbrella Liability")+SUMIFS(Policies!G7:G36,Policies!D7:D36,"Portfolio-wide",Policies!C7:C36,"Umbrella Liability")=0,"GAP",SUMIFS(Policies!E7:E36,Policies!D7:D36,A16,Policies!C7:C36,"Umbrella Liability")+SUMIFS(Policies!E7:E36,Policies!D7:D36,"Portfolio-wide",Policies!C7:C36,"Umbrella Liability")))</f>
        <v/>
      </c>
      <c r="D16" s="46">
        <f>IF(A16="","",IF(SUMIFS(Policies!G7:G36,Policies!D7:D36,A16,Policies!C7:C36,"Loss of Rents")+SUMIFS(Policies!G7:G36,Policies!D7:D36,"Portfolio-wide",Policies!C7:C36,"Loss of Rents")=0,"GAP",SUMIFS(Policies!E7:E36,Policies!D7:D36,A16,Policies!C7:C36,"Loss of Rents")+SUMIFS(Policies!E7:E36,Policies!D7:D36,"Portfolio-wide",Policies!C7:C36,"Loss of Rents")))</f>
        <v/>
      </c>
      <c r="E16" s="46">
        <f>IF(A16="","",IF(SUMIFS(Policies!G7:G36,Policies!D7:D36,A16,Policies!C7:C36,"Auto")+SUMIFS(Policies!G7:G36,Policies!D7:D36,"Portfolio-wide",Policies!C7:C36,"Auto")=0,"GAP",SUMIFS(Policies!E7:E36,Policies!D7:D36,A16,Policies!C7:C36,"Auto")+SUMIFS(Policies!E7:E36,Policies!D7:D36,"Portfolio-wide",Policies!C7:C36,"Auto")))</f>
        <v/>
      </c>
      <c r="F16" s="46">
        <f>IF(A16="","",IF(SUMIFS(Policies!G7:G36,Policies!D7:D36,A16,Policies!C7:C36,"Equipment")+SUMIFS(Policies!G7:G36,Policies!D7:D36,"Portfolio-wide",Policies!C7:C36,"Equipment")=0,"GAP",SUMIFS(Policies!E7:E36,Policies!D7:D36,A16,Policies!C7:C36,"Equipment")+SUMIFS(Policies!E7:E36,Policies!D7:D36,"Portfolio-wide",Policies!C7:C36,"Equipment")))</f>
        <v/>
      </c>
      <c r="G16" s="46">
        <f>IF(A16="","",IF(SUMIFS(Policies!G7:G36,Policies!D7:D36,A16,Policies!C7:C36,"Cyber")+SUMIFS(Policies!G7:G36,Policies!D7:D36,"Portfolio-wide",Policies!C7:C36,"Cyber")=0,"GAP",SUMIFS(Policies!E7:E36,Policies!D7:D36,A16,Policies!C7:C36,"Cyber")+SUMIFS(Policies!E7:E36,Policies!D7:D36,"Portfolio-wide",Policies!C7:C36,"Cyber")))</f>
        <v/>
      </c>
      <c r="H16" s="47">
        <f>IF(A16="","",SUMIFS(Policies!E7:E36,Policies!D7:D36,A16))</f>
        <v/>
      </c>
    </row>
    <row r="18" ht="28" customHeight="1">
      <c r="A18" s="48" t="inlineStr">
        <is>
          <t>Portfolio total</t>
        </is>
      </c>
      <c r="B18" s="49" t="n"/>
      <c r="C18" s="49" t="n"/>
      <c r="D18" s="49" t="n"/>
      <c r="E18" s="49" t="n"/>
      <c r="F18" s="49" t="n"/>
      <c r="G18" s="49" t="n"/>
      <c r="H18" s="50">
        <f>SUM(H7:H16)</f>
        <v/>
      </c>
    </row>
    <row r="20" ht="28" customHeight="1">
      <c r="A20" s="20">
        <f>IF(COUNTIF(B7:G16,"GAP")&gt;0,"COVERAGE GAPS: "&amp;COUNTIF(B7:G16,"GAP")&amp;" — review the red cells above. Each gap is uninsured exposure.","NO COVERAGE GAPS — every property carries coverage in every column.")</f>
        <v/>
      </c>
    </row>
  </sheetData>
  <mergeCells count="5">
    <mergeCell ref="J2:L2"/>
    <mergeCell ref="D2:I2"/>
    <mergeCell ref="A20:H20"/>
    <mergeCell ref="A2:C2"/>
    <mergeCell ref="A4:L4"/>
  </mergeCells>
  <conditionalFormatting sqref="B7:G16">
    <cfRule type="expression" priority="1" dxfId="1">
      <formula>B7="GAP"</formula>
    </cfRule>
  </conditionalFormatting>
  <conditionalFormatting sqref="A20:H20">
    <cfRule type="expression" priority="2" dxfId="0">
      <formula>COUNTIF(B7:G16,"GAP")=0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2A4867"/>
    <outlinePr summaryBelow="1" summaryRight="1"/>
    <pageSetUpPr fitToPage="1"/>
  </sheetPr>
  <dimension ref="A1:AB3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HYPERLINK("#'Coverage Map'!A1", "← BACK")</f>
        <v/>
      </c>
      <c r="B2" s="24" t="n"/>
      <c r="C2" s="24" t="n"/>
      <c r="D2" s="31" t="inlineStr">
        <is>
          <t>PREMIUM FORECAST</t>
        </is>
      </c>
      <c r="J2" s="32">
        <f>HYPERLINK("#'Claim Log'!A1",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34" t="inlineStr">
        <is>
          <t>24-month renewal calendar. Premium falls in the month each policy's expiration date hits. Use the totals row for cash-flow planning.</t>
        </is>
      </c>
    </row>
    <row r="5" ht="6" customHeight="1"/>
    <row r="6" ht="56" customHeight="1">
      <c r="A6" s="35" t="inlineStr">
        <is>
          <t>Policy #</t>
        </is>
      </c>
      <c r="B6" s="35" t="inlineStr">
        <is>
          <t>Carrier</t>
        </is>
      </c>
      <c r="C6" s="35" t="inlineStr">
        <is>
          <t>Property</t>
        </is>
      </c>
      <c r="D6" s="51">
        <f>TEXT(DATE(Settings!$B$5,1,1),"yyyy-mm")</f>
        <v/>
      </c>
      <c r="E6" s="51">
        <f>TEXT(DATE(Settings!$B$5,2,1),"yyyy-mm")</f>
        <v/>
      </c>
      <c r="F6" s="51">
        <f>TEXT(DATE(Settings!$B$5,3,1),"yyyy-mm")</f>
        <v/>
      </c>
      <c r="G6" s="51">
        <f>TEXT(DATE(Settings!$B$5,4,1),"yyyy-mm")</f>
        <v/>
      </c>
      <c r="H6" s="51">
        <f>TEXT(DATE(Settings!$B$5,5,1),"yyyy-mm")</f>
        <v/>
      </c>
      <c r="I6" s="51">
        <f>TEXT(DATE(Settings!$B$5,6,1),"yyyy-mm")</f>
        <v/>
      </c>
      <c r="J6" s="51">
        <f>TEXT(DATE(Settings!$B$5,7,1),"yyyy-mm")</f>
        <v/>
      </c>
      <c r="K6" s="51">
        <f>TEXT(DATE(Settings!$B$5,8,1),"yyyy-mm")</f>
        <v/>
      </c>
      <c r="L6" s="51">
        <f>TEXT(DATE(Settings!$B$5,9,1),"yyyy-mm")</f>
        <v/>
      </c>
      <c r="M6" s="51">
        <f>TEXT(DATE(Settings!$B$5,10,1),"yyyy-mm")</f>
        <v/>
      </c>
      <c r="N6" s="51">
        <f>TEXT(DATE(Settings!$B$5,11,1),"yyyy-mm")</f>
        <v/>
      </c>
      <c r="O6" s="51">
        <f>TEXT(DATE(Settings!$B$5,12,1),"yyyy-mm")</f>
        <v/>
      </c>
      <c r="P6" s="51">
        <f>TEXT(DATE(Settings!$B$5,13,1),"yyyy-mm")</f>
        <v/>
      </c>
      <c r="Q6" s="51">
        <f>TEXT(DATE(Settings!$B$5,14,1),"yyyy-mm")</f>
        <v/>
      </c>
      <c r="R6" s="51">
        <f>TEXT(DATE(Settings!$B$5,15,1),"yyyy-mm")</f>
        <v/>
      </c>
      <c r="S6" s="51">
        <f>TEXT(DATE(Settings!$B$5,16,1),"yyyy-mm")</f>
        <v/>
      </c>
      <c r="T6" s="51">
        <f>TEXT(DATE(Settings!$B$5,17,1),"yyyy-mm")</f>
        <v/>
      </c>
      <c r="U6" s="51">
        <f>TEXT(DATE(Settings!$B$5,18,1),"yyyy-mm")</f>
        <v/>
      </c>
      <c r="V6" s="51">
        <f>TEXT(DATE(Settings!$B$5,19,1),"yyyy-mm")</f>
        <v/>
      </c>
      <c r="W6" s="51">
        <f>TEXT(DATE(Settings!$B$5,20,1),"yyyy-mm")</f>
        <v/>
      </c>
      <c r="X6" s="51">
        <f>TEXT(DATE(Settings!$B$5,21,1),"yyyy-mm")</f>
        <v/>
      </c>
      <c r="Y6" s="51">
        <f>TEXT(DATE(Settings!$B$5,22,1),"yyyy-mm")</f>
        <v/>
      </c>
      <c r="Z6" s="51">
        <f>TEXT(DATE(Settings!$B$5,23,1),"yyyy-mm")</f>
        <v/>
      </c>
      <c r="AA6" s="51">
        <f>TEXT(DATE(Settings!$B$5,24,1),"yyyy-mm")</f>
        <v/>
      </c>
      <c r="AB6" s="35" t="inlineStr">
        <is>
          <t>Row total</t>
        </is>
      </c>
    </row>
    <row r="7" ht="18" customHeight="1">
      <c r="A7" s="52">
        <f>IF(Policies!A7="","",Policies!A7)</f>
        <v/>
      </c>
      <c r="B7" s="52">
        <f>IF(Policies!B7="","",Policies!B7)</f>
        <v/>
      </c>
      <c r="C7" s="52">
        <f>IF(Policies!D7="","",Policies!D7)</f>
        <v/>
      </c>
      <c r="D7" s="53">
        <f>IF(Policies!I7="","",IF((YEAR(Policies!I7)*12+MONTH(Policies!I7))=(Settings!$B$5*12+1),Policies!G7,""))</f>
        <v/>
      </c>
      <c r="E7" s="53">
        <f>IF(Policies!I7="","",IF((YEAR(Policies!I7)*12+MONTH(Policies!I7))=(Settings!$B$5*12+2),Policies!G7,""))</f>
        <v/>
      </c>
      <c r="F7" s="53">
        <f>IF(Policies!I7="","",IF((YEAR(Policies!I7)*12+MONTH(Policies!I7))=(Settings!$B$5*12+3),Policies!G7,""))</f>
        <v/>
      </c>
      <c r="G7" s="53">
        <f>IF(Policies!I7="","",IF((YEAR(Policies!I7)*12+MONTH(Policies!I7))=(Settings!$B$5*12+4),Policies!G7,""))</f>
        <v/>
      </c>
      <c r="H7" s="53">
        <f>IF(Policies!I7="","",IF((YEAR(Policies!I7)*12+MONTH(Policies!I7))=(Settings!$B$5*12+5),Policies!G7,""))</f>
        <v/>
      </c>
      <c r="I7" s="53">
        <f>IF(Policies!I7="","",IF((YEAR(Policies!I7)*12+MONTH(Policies!I7))=(Settings!$B$5*12+6),Policies!G7,""))</f>
        <v/>
      </c>
      <c r="J7" s="53">
        <f>IF(Policies!I7="","",IF((YEAR(Policies!I7)*12+MONTH(Policies!I7))=(Settings!$B$5*12+7),Policies!G7,""))</f>
        <v/>
      </c>
      <c r="K7" s="53">
        <f>IF(Policies!I7="","",IF((YEAR(Policies!I7)*12+MONTH(Policies!I7))=(Settings!$B$5*12+8),Policies!G7,""))</f>
        <v/>
      </c>
      <c r="L7" s="53">
        <f>IF(Policies!I7="","",IF((YEAR(Policies!I7)*12+MONTH(Policies!I7))=(Settings!$B$5*12+9),Policies!G7,""))</f>
        <v/>
      </c>
      <c r="M7" s="53">
        <f>IF(Policies!I7="","",IF((YEAR(Policies!I7)*12+MONTH(Policies!I7))=(Settings!$B$5*12+10),Policies!G7,""))</f>
        <v/>
      </c>
      <c r="N7" s="53">
        <f>IF(Policies!I7="","",IF((YEAR(Policies!I7)*12+MONTH(Policies!I7))=(Settings!$B$5*12+11),Policies!G7,""))</f>
        <v/>
      </c>
      <c r="O7" s="53">
        <f>IF(Policies!I7="","",IF((YEAR(Policies!I7)*12+MONTH(Policies!I7))=(Settings!$B$5*12+12),Policies!G7,""))</f>
        <v/>
      </c>
      <c r="P7" s="53">
        <f>IF(Policies!I7="","",IF((YEAR(Policies!I7)*12+MONTH(Policies!I7))=(Settings!$B$5*12+13),Policies!G7,""))</f>
        <v/>
      </c>
      <c r="Q7" s="53">
        <f>IF(Policies!I7="","",IF((YEAR(Policies!I7)*12+MONTH(Policies!I7))=(Settings!$B$5*12+14),Policies!G7,""))</f>
        <v/>
      </c>
      <c r="R7" s="53">
        <f>IF(Policies!I7="","",IF((YEAR(Policies!I7)*12+MONTH(Policies!I7))=(Settings!$B$5*12+15),Policies!G7,""))</f>
        <v/>
      </c>
      <c r="S7" s="53">
        <f>IF(Policies!I7="","",IF((YEAR(Policies!I7)*12+MONTH(Policies!I7))=(Settings!$B$5*12+16),Policies!G7,""))</f>
        <v/>
      </c>
      <c r="T7" s="53">
        <f>IF(Policies!I7="","",IF((YEAR(Policies!I7)*12+MONTH(Policies!I7))=(Settings!$B$5*12+17),Policies!G7,""))</f>
        <v/>
      </c>
      <c r="U7" s="53">
        <f>IF(Policies!I7="","",IF((YEAR(Policies!I7)*12+MONTH(Policies!I7))=(Settings!$B$5*12+18),Policies!G7,""))</f>
        <v/>
      </c>
      <c r="V7" s="53">
        <f>IF(Policies!I7="","",IF((YEAR(Policies!I7)*12+MONTH(Policies!I7))=(Settings!$B$5*12+19),Policies!G7,""))</f>
        <v/>
      </c>
      <c r="W7" s="53">
        <f>IF(Policies!I7="","",IF((YEAR(Policies!I7)*12+MONTH(Policies!I7))=(Settings!$B$5*12+20),Policies!G7,""))</f>
        <v/>
      </c>
      <c r="X7" s="53">
        <f>IF(Policies!I7="","",IF((YEAR(Policies!I7)*12+MONTH(Policies!I7))=(Settings!$B$5*12+21),Policies!G7,""))</f>
        <v/>
      </c>
      <c r="Y7" s="53">
        <f>IF(Policies!I7="","",IF((YEAR(Policies!I7)*12+MONTH(Policies!I7))=(Settings!$B$5*12+22),Policies!G7,""))</f>
        <v/>
      </c>
      <c r="Z7" s="53">
        <f>IF(Policies!I7="","",IF((YEAR(Policies!I7)*12+MONTH(Policies!I7))=(Settings!$B$5*12+23),Policies!G7,""))</f>
        <v/>
      </c>
      <c r="AA7" s="53">
        <f>IF(Policies!I7="","",IF((YEAR(Policies!I7)*12+MONTH(Policies!I7))=(Settings!$B$5*12+24),Policies!G7,""))</f>
        <v/>
      </c>
      <c r="AB7" s="54">
        <f>IF(SUM(D7:AA7)=0,"",SUM(D7:AA7))</f>
        <v/>
      </c>
    </row>
    <row r="8" ht="18" customHeight="1">
      <c r="A8" s="55">
        <f>IF(Policies!A8="","",Policies!A8)</f>
        <v/>
      </c>
      <c r="B8" s="55">
        <f>IF(Policies!B8="","",Policies!B8)</f>
        <v/>
      </c>
      <c r="C8" s="55">
        <f>IF(Policies!D8="","",Policies!D8)</f>
        <v/>
      </c>
      <c r="D8" s="56">
        <f>IF(Policies!I8="","",IF((YEAR(Policies!I8)*12+MONTH(Policies!I8))=(Settings!$B$5*12+1),Policies!G8,""))</f>
        <v/>
      </c>
      <c r="E8" s="56">
        <f>IF(Policies!I8="","",IF((YEAR(Policies!I8)*12+MONTH(Policies!I8))=(Settings!$B$5*12+2),Policies!G8,""))</f>
        <v/>
      </c>
      <c r="F8" s="56">
        <f>IF(Policies!I8="","",IF((YEAR(Policies!I8)*12+MONTH(Policies!I8))=(Settings!$B$5*12+3),Policies!G8,""))</f>
        <v/>
      </c>
      <c r="G8" s="56">
        <f>IF(Policies!I8="","",IF((YEAR(Policies!I8)*12+MONTH(Policies!I8))=(Settings!$B$5*12+4),Policies!G8,""))</f>
        <v/>
      </c>
      <c r="H8" s="56">
        <f>IF(Policies!I8="","",IF((YEAR(Policies!I8)*12+MONTH(Policies!I8))=(Settings!$B$5*12+5),Policies!G8,""))</f>
        <v/>
      </c>
      <c r="I8" s="56">
        <f>IF(Policies!I8="","",IF((YEAR(Policies!I8)*12+MONTH(Policies!I8))=(Settings!$B$5*12+6),Policies!G8,""))</f>
        <v/>
      </c>
      <c r="J8" s="56">
        <f>IF(Policies!I8="","",IF((YEAR(Policies!I8)*12+MONTH(Policies!I8))=(Settings!$B$5*12+7),Policies!G8,""))</f>
        <v/>
      </c>
      <c r="K8" s="56">
        <f>IF(Policies!I8="","",IF((YEAR(Policies!I8)*12+MONTH(Policies!I8))=(Settings!$B$5*12+8),Policies!G8,""))</f>
        <v/>
      </c>
      <c r="L8" s="56">
        <f>IF(Policies!I8="","",IF((YEAR(Policies!I8)*12+MONTH(Policies!I8))=(Settings!$B$5*12+9),Policies!G8,""))</f>
        <v/>
      </c>
      <c r="M8" s="56">
        <f>IF(Policies!I8="","",IF((YEAR(Policies!I8)*12+MONTH(Policies!I8))=(Settings!$B$5*12+10),Policies!G8,""))</f>
        <v/>
      </c>
      <c r="N8" s="56">
        <f>IF(Policies!I8="","",IF((YEAR(Policies!I8)*12+MONTH(Policies!I8))=(Settings!$B$5*12+11),Policies!G8,""))</f>
        <v/>
      </c>
      <c r="O8" s="56">
        <f>IF(Policies!I8="","",IF((YEAR(Policies!I8)*12+MONTH(Policies!I8))=(Settings!$B$5*12+12),Policies!G8,""))</f>
        <v/>
      </c>
      <c r="P8" s="56">
        <f>IF(Policies!I8="","",IF((YEAR(Policies!I8)*12+MONTH(Policies!I8))=(Settings!$B$5*12+13),Policies!G8,""))</f>
        <v/>
      </c>
      <c r="Q8" s="56">
        <f>IF(Policies!I8="","",IF((YEAR(Policies!I8)*12+MONTH(Policies!I8))=(Settings!$B$5*12+14),Policies!G8,""))</f>
        <v/>
      </c>
      <c r="R8" s="56">
        <f>IF(Policies!I8="","",IF((YEAR(Policies!I8)*12+MONTH(Policies!I8))=(Settings!$B$5*12+15),Policies!G8,""))</f>
        <v/>
      </c>
      <c r="S8" s="56">
        <f>IF(Policies!I8="","",IF((YEAR(Policies!I8)*12+MONTH(Policies!I8))=(Settings!$B$5*12+16),Policies!G8,""))</f>
        <v/>
      </c>
      <c r="T8" s="56">
        <f>IF(Policies!I8="","",IF((YEAR(Policies!I8)*12+MONTH(Policies!I8))=(Settings!$B$5*12+17),Policies!G8,""))</f>
        <v/>
      </c>
      <c r="U8" s="56">
        <f>IF(Policies!I8="","",IF((YEAR(Policies!I8)*12+MONTH(Policies!I8))=(Settings!$B$5*12+18),Policies!G8,""))</f>
        <v/>
      </c>
      <c r="V8" s="56">
        <f>IF(Policies!I8="","",IF((YEAR(Policies!I8)*12+MONTH(Policies!I8))=(Settings!$B$5*12+19),Policies!G8,""))</f>
        <v/>
      </c>
      <c r="W8" s="56">
        <f>IF(Policies!I8="","",IF((YEAR(Policies!I8)*12+MONTH(Policies!I8))=(Settings!$B$5*12+20),Policies!G8,""))</f>
        <v/>
      </c>
      <c r="X8" s="56">
        <f>IF(Policies!I8="","",IF((YEAR(Policies!I8)*12+MONTH(Policies!I8))=(Settings!$B$5*12+21),Policies!G8,""))</f>
        <v/>
      </c>
      <c r="Y8" s="56">
        <f>IF(Policies!I8="","",IF((YEAR(Policies!I8)*12+MONTH(Policies!I8))=(Settings!$B$5*12+22),Policies!G8,""))</f>
        <v/>
      </c>
      <c r="Z8" s="56">
        <f>IF(Policies!I8="","",IF((YEAR(Policies!I8)*12+MONTH(Policies!I8))=(Settings!$B$5*12+23),Policies!G8,""))</f>
        <v/>
      </c>
      <c r="AA8" s="56">
        <f>IF(Policies!I8="","",IF((YEAR(Policies!I8)*12+MONTH(Policies!I8))=(Settings!$B$5*12+24),Policies!G8,""))</f>
        <v/>
      </c>
      <c r="AB8" s="57">
        <f>IF(SUM(D8:AA8)=0,"",SUM(D8:AA8))</f>
        <v/>
      </c>
    </row>
    <row r="9" ht="18" customHeight="1">
      <c r="A9" s="52">
        <f>IF(Policies!A9="","",Policies!A9)</f>
        <v/>
      </c>
      <c r="B9" s="52">
        <f>IF(Policies!B9="","",Policies!B9)</f>
        <v/>
      </c>
      <c r="C9" s="52">
        <f>IF(Policies!D9="","",Policies!D9)</f>
        <v/>
      </c>
      <c r="D9" s="53">
        <f>IF(Policies!I9="","",IF((YEAR(Policies!I9)*12+MONTH(Policies!I9))=(Settings!$B$5*12+1),Policies!G9,""))</f>
        <v/>
      </c>
      <c r="E9" s="53">
        <f>IF(Policies!I9="","",IF((YEAR(Policies!I9)*12+MONTH(Policies!I9))=(Settings!$B$5*12+2),Policies!G9,""))</f>
        <v/>
      </c>
      <c r="F9" s="53">
        <f>IF(Policies!I9="","",IF((YEAR(Policies!I9)*12+MONTH(Policies!I9))=(Settings!$B$5*12+3),Policies!G9,""))</f>
        <v/>
      </c>
      <c r="G9" s="53">
        <f>IF(Policies!I9="","",IF((YEAR(Policies!I9)*12+MONTH(Policies!I9))=(Settings!$B$5*12+4),Policies!G9,""))</f>
        <v/>
      </c>
      <c r="H9" s="53">
        <f>IF(Policies!I9="","",IF((YEAR(Policies!I9)*12+MONTH(Policies!I9))=(Settings!$B$5*12+5),Policies!G9,""))</f>
        <v/>
      </c>
      <c r="I9" s="53">
        <f>IF(Policies!I9="","",IF((YEAR(Policies!I9)*12+MONTH(Policies!I9))=(Settings!$B$5*12+6),Policies!G9,""))</f>
        <v/>
      </c>
      <c r="J9" s="53">
        <f>IF(Policies!I9="","",IF((YEAR(Policies!I9)*12+MONTH(Policies!I9))=(Settings!$B$5*12+7),Policies!G9,""))</f>
        <v/>
      </c>
      <c r="K9" s="53">
        <f>IF(Policies!I9="","",IF((YEAR(Policies!I9)*12+MONTH(Policies!I9))=(Settings!$B$5*12+8),Policies!G9,""))</f>
        <v/>
      </c>
      <c r="L9" s="53">
        <f>IF(Policies!I9="","",IF((YEAR(Policies!I9)*12+MONTH(Policies!I9))=(Settings!$B$5*12+9),Policies!G9,""))</f>
        <v/>
      </c>
      <c r="M9" s="53">
        <f>IF(Policies!I9="","",IF((YEAR(Policies!I9)*12+MONTH(Policies!I9))=(Settings!$B$5*12+10),Policies!G9,""))</f>
        <v/>
      </c>
      <c r="N9" s="53">
        <f>IF(Policies!I9="","",IF((YEAR(Policies!I9)*12+MONTH(Policies!I9))=(Settings!$B$5*12+11),Policies!G9,""))</f>
        <v/>
      </c>
      <c r="O9" s="53">
        <f>IF(Policies!I9="","",IF((YEAR(Policies!I9)*12+MONTH(Policies!I9))=(Settings!$B$5*12+12),Policies!G9,""))</f>
        <v/>
      </c>
      <c r="P9" s="53">
        <f>IF(Policies!I9="","",IF((YEAR(Policies!I9)*12+MONTH(Policies!I9))=(Settings!$B$5*12+13),Policies!G9,""))</f>
        <v/>
      </c>
      <c r="Q9" s="53">
        <f>IF(Policies!I9="","",IF((YEAR(Policies!I9)*12+MONTH(Policies!I9))=(Settings!$B$5*12+14),Policies!G9,""))</f>
        <v/>
      </c>
      <c r="R9" s="53">
        <f>IF(Policies!I9="","",IF((YEAR(Policies!I9)*12+MONTH(Policies!I9))=(Settings!$B$5*12+15),Policies!G9,""))</f>
        <v/>
      </c>
      <c r="S9" s="53">
        <f>IF(Policies!I9="","",IF((YEAR(Policies!I9)*12+MONTH(Policies!I9))=(Settings!$B$5*12+16),Policies!G9,""))</f>
        <v/>
      </c>
      <c r="T9" s="53">
        <f>IF(Policies!I9="","",IF((YEAR(Policies!I9)*12+MONTH(Policies!I9))=(Settings!$B$5*12+17),Policies!G9,""))</f>
        <v/>
      </c>
      <c r="U9" s="53">
        <f>IF(Policies!I9="","",IF((YEAR(Policies!I9)*12+MONTH(Policies!I9))=(Settings!$B$5*12+18),Policies!G9,""))</f>
        <v/>
      </c>
      <c r="V9" s="53">
        <f>IF(Policies!I9="","",IF((YEAR(Policies!I9)*12+MONTH(Policies!I9))=(Settings!$B$5*12+19),Policies!G9,""))</f>
        <v/>
      </c>
      <c r="W9" s="53">
        <f>IF(Policies!I9="","",IF((YEAR(Policies!I9)*12+MONTH(Policies!I9))=(Settings!$B$5*12+20),Policies!G9,""))</f>
        <v/>
      </c>
      <c r="X9" s="53">
        <f>IF(Policies!I9="","",IF((YEAR(Policies!I9)*12+MONTH(Policies!I9))=(Settings!$B$5*12+21),Policies!G9,""))</f>
        <v/>
      </c>
      <c r="Y9" s="53">
        <f>IF(Policies!I9="","",IF((YEAR(Policies!I9)*12+MONTH(Policies!I9))=(Settings!$B$5*12+22),Policies!G9,""))</f>
        <v/>
      </c>
      <c r="Z9" s="53">
        <f>IF(Policies!I9="","",IF((YEAR(Policies!I9)*12+MONTH(Policies!I9))=(Settings!$B$5*12+23),Policies!G9,""))</f>
        <v/>
      </c>
      <c r="AA9" s="53">
        <f>IF(Policies!I9="","",IF((YEAR(Policies!I9)*12+MONTH(Policies!I9))=(Settings!$B$5*12+24),Policies!G9,""))</f>
        <v/>
      </c>
      <c r="AB9" s="54">
        <f>IF(SUM(D9:AA9)=0,"",SUM(D9:AA9))</f>
        <v/>
      </c>
    </row>
    <row r="10" ht="18" customHeight="1">
      <c r="A10" s="55">
        <f>IF(Policies!A10="","",Policies!A10)</f>
        <v/>
      </c>
      <c r="B10" s="55">
        <f>IF(Policies!B10="","",Policies!B10)</f>
        <v/>
      </c>
      <c r="C10" s="55">
        <f>IF(Policies!D10="","",Policies!D10)</f>
        <v/>
      </c>
      <c r="D10" s="56">
        <f>IF(Policies!I10="","",IF((YEAR(Policies!I10)*12+MONTH(Policies!I10))=(Settings!$B$5*12+1),Policies!G10,""))</f>
        <v/>
      </c>
      <c r="E10" s="56">
        <f>IF(Policies!I10="","",IF((YEAR(Policies!I10)*12+MONTH(Policies!I10))=(Settings!$B$5*12+2),Policies!G10,""))</f>
        <v/>
      </c>
      <c r="F10" s="56">
        <f>IF(Policies!I10="","",IF((YEAR(Policies!I10)*12+MONTH(Policies!I10))=(Settings!$B$5*12+3),Policies!G10,""))</f>
        <v/>
      </c>
      <c r="G10" s="56">
        <f>IF(Policies!I10="","",IF((YEAR(Policies!I10)*12+MONTH(Policies!I10))=(Settings!$B$5*12+4),Policies!G10,""))</f>
        <v/>
      </c>
      <c r="H10" s="56">
        <f>IF(Policies!I10="","",IF((YEAR(Policies!I10)*12+MONTH(Policies!I10))=(Settings!$B$5*12+5),Policies!G10,""))</f>
        <v/>
      </c>
      <c r="I10" s="56">
        <f>IF(Policies!I10="","",IF((YEAR(Policies!I10)*12+MONTH(Policies!I10))=(Settings!$B$5*12+6),Policies!G10,""))</f>
        <v/>
      </c>
      <c r="J10" s="56">
        <f>IF(Policies!I10="","",IF((YEAR(Policies!I10)*12+MONTH(Policies!I10))=(Settings!$B$5*12+7),Policies!G10,""))</f>
        <v/>
      </c>
      <c r="K10" s="56">
        <f>IF(Policies!I10="","",IF((YEAR(Policies!I10)*12+MONTH(Policies!I10))=(Settings!$B$5*12+8),Policies!G10,""))</f>
        <v/>
      </c>
      <c r="L10" s="56">
        <f>IF(Policies!I10="","",IF((YEAR(Policies!I10)*12+MONTH(Policies!I10))=(Settings!$B$5*12+9),Policies!G10,""))</f>
        <v/>
      </c>
      <c r="M10" s="56">
        <f>IF(Policies!I10="","",IF((YEAR(Policies!I10)*12+MONTH(Policies!I10))=(Settings!$B$5*12+10),Policies!G10,""))</f>
        <v/>
      </c>
      <c r="N10" s="56">
        <f>IF(Policies!I10="","",IF((YEAR(Policies!I10)*12+MONTH(Policies!I10))=(Settings!$B$5*12+11),Policies!G10,""))</f>
        <v/>
      </c>
      <c r="O10" s="56">
        <f>IF(Policies!I10="","",IF((YEAR(Policies!I10)*12+MONTH(Policies!I10))=(Settings!$B$5*12+12),Policies!G10,""))</f>
        <v/>
      </c>
      <c r="P10" s="56">
        <f>IF(Policies!I10="","",IF((YEAR(Policies!I10)*12+MONTH(Policies!I10))=(Settings!$B$5*12+13),Policies!G10,""))</f>
        <v/>
      </c>
      <c r="Q10" s="56">
        <f>IF(Policies!I10="","",IF((YEAR(Policies!I10)*12+MONTH(Policies!I10))=(Settings!$B$5*12+14),Policies!G10,""))</f>
        <v/>
      </c>
      <c r="R10" s="56">
        <f>IF(Policies!I10="","",IF((YEAR(Policies!I10)*12+MONTH(Policies!I10))=(Settings!$B$5*12+15),Policies!G10,""))</f>
        <v/>
      </c>
      <c r="S10" s="56">
        <f>IF(Policies!I10="","",IF((YEAR(Policies!I10)*12+MONTH(Policies!I10))=(Settings!$B$5*12+16),Policies!G10,""))</f>
        <v/>
      </c>
      <c r="T10" s="56">
        <f>IF(Policies!I10="","",IF((YEAR(Policies!I10)*12+MONTH(Policies!I10))=(Settings!$B$5*12+17),Policies!G10,""))</f>
        <v/>
      </c>
      <c r="U10" s="56">
        <f>IF(Policies!I10="","",IF((YEAR(Policies!I10)*12+MONTH(Policies!I10))=(Settings!$B$5*12+18),Policies!G10,""))</f>
        <v/>
      </c>
      <c r="V10" s="56">
        <f>IF(Policies!I10="","",IF((YEAR(Policies!I10)*12+MONTH(Policies!I10))=(Settings!$B$5*12+19),Policies!G10,""))</f>
        <v/>
      </c>
      <c r="W10" s="56">
        <f>IF(Policies!I10="","",IF((YEAR(Policies!I10)*12+MONTH(Policies!I10))=(Settings!$B$5*12+20),Policies!G10,""))</f>
        <v/>
      </c>
      <c r="X10" s="56">
        <f>IF(Policies!I10="","",IF((YEAR(Policies!I10)*12+MONTH(Policies!I10))=(Settings!$B$5*12+21),Policies!G10,""))</f>
        <v/>
      </c>
      <c r="Y10" s="56">
        <f>IF(Policies!I10="","",IF((YEAR(Policies!I10)*12+MONTH(Policies!I10))=(Settings!$B$5*12+22),Policies!G10,""))</f>
        <v/>
      </c>
      <c r="Z10" s="56">
        <f>IF(Policies!I10="","",IF((YEAR(Policies!I10)*12+MONTH(Policies!I10))=(Settings!$B$5*12+23),Policies!G10,""))</f>
        <v/>
      </c>
      <c r="AA10" s="56">
        <f>IF(Policies!I10="","",IF((YEAR(Policies!I10)*12+MONTH(Policies!I10))=(Settings!$B$5*12+24),Policies!G10,""))</f>
        <v/>
      </c>
      <c r="AB10" s="57">
        <f>IF(SUM(D10:AA10)=0,"",SUM(D10:AA10))</f>
        <v/>
      </c>
    </row>
    <row r="11" ht="18" customHeight="1">
      <c r="A11" s="52">
        <f>IF(Policies!A11="","",Policies!A11)</f>
        <v/>
      </c>
      <c r="B11" s="52">
        <f>IF(Policies!B11="","",Policies!B11)</f>
        <v/>
      </c>
      <c r="C11" s="52">
        <f>IF(Policies!D11="","",Policies!D11)</f>
        <v/>
      </c>
      <c r="D11" s="53">
        <f>IF(Policies!I11="","",IF((YEAR(Policies!I11)*12+MONTH(Policies!I11))=(Settings!$B$5*12+1),Policies!G11,""))</f>
        <v/>
      </c>
      <c r="E11" s="53">
        <f>IF(Policies!I11="","",IF((YEAR(Policies!I11)*12+MONTH(Policies!I11))=(Settings!$B$5*12+2),Policies!G11,""))</f>
        <v/>
      </c>
      <c r="F11" s="53">
        <f>IF(Policies!I11="","",IF((YEAR(Policies!I11)*12+MONTH(Policies!I11))=(Settings!$B$5*12+3),Policies!G11,""))</f>
        <v/>
      </c>
      <c r="G11" s="53">
        <f>IF(Policies!I11="","",IF((YEAR(Policies!I11)*12+MONTH(Policies!I11))=(Settings!$B$5*12+4),Policies!G11,""))</f>
        <v/>
      </c>
      <c r="H11" s="53">
        <f>IF(Policies!I11="","",IF((YEAR(Policies!I11)*12+MONTH(Policies!I11))=(Settings!$B$5*12+5),Policies!G11,""))</f>
        <v/>
      </c>
      <c r="I11" s="53">
        <f>IF(Policies!I11="","",IF((YEAR(Policies!I11)*12+MONTH(Policies!I11))=(Settings!$B$5*12+6),Policies!G11,""))</f>
        <v/>
      </c>
      <c r="J11" s="53">
        <f>IF(Policies!I11="","",IF((YEAR(Policies!I11)*12+MONTH(Policies!I11))=(Settings!$B$5*12+7),Policies!G11,""))</f>
        <v/>
      </c>
      <c r="K11" s="53">
        <f>IF(Policies!I11="","",IF((YEAR(Policies!I11)*12+MONTH(Policies!I11))=(Settings!$B$5*12+8),Policies!G11,""))</f>
        <v/>
      </c>
      <c r="L11" s="53">
        <f>IF(Policies!I11="","",IF((YEAR(Policies!I11)*12+MONTH(Policies!I11))=(Settings!$B$5*12+9),Policies!G11,""))</f>
        <v/>
      </c>
      <c r="M11" s="53">
        <f>IF(Policies!I11="","",IF((YEAR(Policies!I11)*12+MONTH(Policies!I11))=(Settings!$B$5*12+10),Policies!G11,""))</f>
        <v/>
      </c>
      <c r="N11" s="53">
        <f>IF(Policies!I11="","",IF((YEAR(Policies!I11)*12+MONTH(Policies!I11))=(Settings!$B$5*12+11),Policies!G11,""))</f>
        <v/>
      </c>
      <c r="O11" s="53">
        <f>IF(Policies!I11="","",IF((YEAR(Policies!I11)*12+MONTH(Policies!I11))=(Settings!$B$5*12+12),Policies!G11,""))</f>
        <v/>
      </c>
      <c r="P11" s="53">
        <f>IF(Policies!I11="","",IF((YEAR(Policies!I11)*12+MONTH(Policies!I11))=(Settings!$B$5*12+13),Policies!G11,""))</f>
        <v/>
      </c>
      <c r="Q11" s="53">
        <f>IF(Policies!I11="","",IF((YEAR(Policies!I11)*12+MONTH(Policies!I11))=(Settings!$B$5*12+14),Policies!G11,""))</f>
        <v/>
      </c>
      <c r="R11" s="53">
        <f>IF(Policies!I11="","",IF((YEAR(Policies!I11)*12+MONTH(Policies!I11))=(Settings!$B$5*12+15),Policies!G11,""))</f>
        <v/>
      </c>
      <c r="S11" s="53">
        <f>IF(Policies!I11="","",IF((YEAR(Policies!I11)*12+MONTH(Policies!I11))=(Settings!$B$5*12+16),Policies!G11,""))</f>
        <v/>
      </c>
      <c r="T11" s="53">
        <f>IF(Policies!I11="","",IF((YEAR(Policies!I11)*12+MONTH(Policies!I11))=(Settings!$B$5*12+17),Policies!G11,""))</f>
        <v/>
      </c>
      <c r="U11" s="53">
        <f>IF(Policies!I11="","",IF((YEAR(Policies!I11)*12+MONTH(Policies!I11))=(Settings!$B$5*12+18),Policies!G11,""))</f>
        <v/>
      </c>
      <c r="V11" s="53">
        <f>IF(Policies!I11="","",IF((YEAR(Policies!I11)*12+MONTH(Policies!I11))=(Settings!$B$5*12+19),Policies!G11,""))</f>
        <v/>
      </c>
      <c r="W11" s="53">
        <f>IF(Policies!I11="","",IF((YEAR(Policies!I11)*12+MONTH(Policies!I11))=(Settings!$B$5*12+20),Policies!G11,""))</f>
        <v/>
      </c>
      <c r="X11" s="53">
        <f>IF(Policies!I11="","",IF((YEAR(Policies!I11)*12+MONTH(Policies!I11))=(Settings!$B$5*12+21),Policies!G11,""))</f>
        <v/>
      </c>
      <c r="Y11" s="53">
        <f>IF(Policies!I11="","",IF((YEAR(Policies!I11)*12+MONTH(Policies!I11))=(Settings!$B$5*12+22),Policies!G11,""))</f>
        <v/>
      </c>
      <c r="Z11" s="53">
        <f>IF(Policies!I11="","",IF((YEAR(Policies!I11)*12+MONTH(Policies!I11))=(Settings!$B$5*12+23),Policies!G11,""))</f>
        <v/>
      </c>
      <c r="AA11" s="53">
        <f>IF(Policies!I11="","",IF((YEAR(Policies!I11)*12+MONTH(Policies!I11))=(Settings!$B$5*12+24),Policies!G11,""))</f>
        <v/>
      </c>
      <c r="AB11" s="54">
        <f>IF(SUM(D11:AA11)=0,"",SUM(D11:AA11))</f>
        <v/>
      </c>
    </row>
    <row r="12" ht="18" customHeight="1">
      <c r="A12" s="55">
        <f>IF(Policies!A12="","",Policies!A12)</f>
        <v/>
      </c>
      <c r="B12" s="55">
        <f>IF(Policies!B12="","",Policies!B12)</f>
        <v/>
      </c>
      <c r="C12" s="55">
        <f>IF(Policies!D12="","",Policies!D12)</f>
        <v/>
      </c>
      <c r="D12" s="56">
        <f>IF(Policies!I12="","",IF((YEAR(Policies!I12)*12+MONTH(Policies!I12))=(Settings!$B$5*12+1),Policies!G12,""))</f>
        <v/>
      </c>
      <c r="E12" s="56">
        <f>IF(Policies!I12="","",IF((YEAR(Policies!I12)*12+MONTH(Policies!I12))=(Settings!$B$5*12+2),Policies!G12,""))</f>
        <v/>
      </c>
      <c r="F12" s="56">
        <f>IF(Policies!I12="","",IF((YEAR(Policies!I12)*12+MONTH(Policies!I12))=(Settings!$B$5*12+3),Policies!G12,""))</f>
        <v/>
      </c>
      <c r="G12" s="56">
        <f>IF(Policies!I12="","",IF((YEAR(Policies!I12)*12+MONTH(Policies!I12))=(Settings!$B$5*12+4),Policies!G12,""))</f>
        <v/>
      </c>
      <c r="H12" s="56">
        <f>IF(Policies!I12="","",IF((YEAR(Policies!I12)*12+MONTH(Policies!I12))=(Settings!$B$5*12+5),Policies!G12,""))</f>
        <v/>
      </c>
      <c r="I12" s="56">
        <f>IF(Policies!I12="","",IF((YEAR(Policies!I12)*12+MONTH(Policies!I12))=(Settings!$B$5*12+6),Policies!G12,""))</f>
        <v/>
      </c>
      <c r="J12" s="56">
        <f>IF(Policies!I12="","",IF((YEAR(Policies!I12)*12+MONTH(Policies!I12))=(Settings!$B$5*12+7),Policies!G12,""))</f>
        <v/>
      </c>
      <c r="K12" s="56">
        <f>IF(Policies!I12="","",IF((YEAR(Policies!I12)*12+MONTH(Policies!I12))=(Settings!$B$5*12+8),Policies!G12,""))</f>
        <v/>
      </c>
      <c r="L12" s="56">
        <f>IF(Policies!I12="","",IF((YEAR(Policies!I12)*12+MONTH(Policies!I12))=(Settings!$B$5*12+9),Policies!G12,""))</f>
        <v/>
      </c>
      <c r="M12" s="56">
        <f>IF(Policies!I12="","",IF((YEAR(Policies!I12)*12+MONTH(Policies!I12))=(Settings!$B$5*12+10),Policies!G12,""))</f>
        <v/>
      </c>
      <c r="N12" s="56">
        <f>IF(Policies!I12="","",IF((YEAR(Policies!I12)*12+MONTH(Policies!I12))=(Settings!$B$5*12+11),Policies!G12,""))</f>
        <v/>
      </c>
      <c r="O12" s="56">
        <f>IF(Policies!I12="","",IF((YEAR(Policies!I12)*12+MONTH(Policies!I12))=(Settings!$B$5*12+12),Policies!G12,""))</f>
        <v/>
      </c>
      <c r="P12" s="56">
        <f>IF(Policies!I12="","",IF((YEAR(Policies!I12)*12+MONTH(Policies!I12))=(Settings!$B$5*12+13),Policies!G12,""))</f>
        <v/>
      </c>
      <c r="Q12" s="56">
        <f>IF(Policies!I12="","",IF((YEAR(Policies!I12)*12+MONTH(Policies!I12))=(Settings!$B$5*12+14),Policies!G12,""))</f>
        <v/>
      </c>
      <c r="R12" s="56">
        <f>IF(Policies!I12="","",IF((YEAR(Policies!I12)*12+MONTH(Policies!I12))=(Settings!$B$5*12+15),Policies!G12,""))</f>
        <v/>
      </c>
      <c r="S12" s="56">
        <f>IF(Policies!I12="","",IF((YEAR(Policies!I12)*12+MONTH(Policies!I12))=(Settings!$B$5*12+16),Policies!G12,""))</f>
        <v/>
      </c>
      <c r="T12" s="56">
        <f>IF(Policies!I12="","",IF((YEAR(Policies!I12)*12+MONTH(Policies!I12))=(Settings!$B$5*12+17),Policies!G12,""))</f>
        <v/>
      </c>
      <c r="U12" s="56">
        <f>IF(Policies!I12="","",IF((YEAR(Policies!I12)*12+MONTH(Policies!I12))=(Settings!$B$5*12+18),Policies!G12,""))</f>
        <v/>
      </c>
      <c r="V12" s="56">
        <f>IF(Policies!I12="","",IF((YEAR(Policies!I12)*12+MONTH(Policies!I12))=(Settings!$B$5*12+19),Policies!G12,""))</f>
        <v/>
      </c>
      <c r="W12" s="56">
        <f>IF(Policies!I12="","",IF((YEAR(Policies!I12)*12+MONTH(Policies!I12))=(Settings!$B$5*12+20),Policies!G12,""))</f>
        <v/>
      </c>
      <c r="X12" s="56">
        <f>IF(Policies!I12="","",IF((YEAR(Policies!I12)*12+MONTH(Policies!I12))=(Settings!$B$5*12+21),Policies!G12,""))</f>
        <v/>
      </c>
      <c r="Y12" s="56">
        <f>IF(Policies!I12="","",IF((YEAR(Policies!I12)*12+MONTH(Policies!I12))=(Settings!$B$5*12+22),Policies!G12,""))</f>
        <v/>
      </c>
      <c r="Z12" s="56">
        <f>IF(Policies!I12="","",IF((YEAR(Policies!I12)*12+MONTH(Policies!I12))=(Settings!$B$5*12+23),Policies!G12,""))</f>
        <v/>
      </c>
      <c r="AA12" s="56">
        <f>IF(Policies!I12="","",IF((YEAR(Policies!I12)*12+MONTH(Policies!I12))=(Settings!$B$5*12+24),Policies!G12,""))</f>
        <v/>
      </c>
      <c r="AB12" s="57">
        <f>IF(SUM(D12:AA12)=0,"",SUM(D12:AA12))</f>
        <v/>
      </c>
    </row>
    <row r="13" ht="18" customHeight="1">
      <c r="A13" s="52">
        <f>IF(Policies!A13="","",Policies!A13)</f>
        <v/>
      </c>
      <c r="B13" s="52">
        <f>IF(Policies!B13="","",Policies!B13)</f>
        <v/>
      </c>
      <c r="C13" s="52">
        <f>IF(Policies!D13="","",Policies!D13)</f>
        <v/>
      </c>
      <c r="D13" s="53">
        <f>IF(Policies!I13="","",IF((YEAR(Policies!I13)*12+MONTH(Policies!I13))=(Settings!$B$5*12+1),Policies!G13,""))</f>
        <v/>
      </c>
      <c r="E13" s="53">
        <f>IF(Policies!I13="","",IF((YEAR(Policies!I13)*12+MONTH(Policies!I13))=(Settings!$B$5*12+2),Policies!G13,""))</f>
        <v/>
      </c>
      <c r="F13" s="53">
        <f>IF(Policies!I13="","",IF((YEAR(Policies!I13)*12+MONTH(Policies!I13))=(Settings!$B$5*12+3),Policies!G13,""))</f>
        <v/>
      </c>
      <c r="G13" s="53">
        <f>IF(Policies!I13="","",IF((YEAR(Policies!I13)*12+MONTH(Policies!I13))=(Settings!$B$5*12+4),Policies!G13,""))</f>
        <v/>
      </c>
      <c r="H13" s="53">
        <f>IF(Policies!I13="","",IF((YEAR(Policies!I13)*12+MONTH(Policies!I13))=(Settings!$B$5*12+5),Policies!G13,""))</f>
        <v/>
      </c>
      <c r="I13" s="53">
        <f>IF(Policies!I13="","",IF((YEAR(Policies!I13)*12+MONTH(Policies!I13))=(Settings!$B$5*12+6),Policies!G13,""))</f>
        <v/>
      </c>
      <c r="J13" s="53">
        <f>IF(Policies!I13="","",IF((YEAR(Policies!I13)*12+MONTH(Policies!I13))=(Settings!$B$5*12+7),Policies!G13,""))</f>
        <v/>
      </c>
      <c r="K13" s="53">
        <f>IF(Policies!I13="","",IF((YEAR(Policies!I13)*12+MONTH(Policies!I13))=(Settings!$B$5*12+8),Policies!G13,""))</f>
        <v/>
      </c>
      <c r="L13" s="53">
        <f>IF(Policies!I13="","",IF((YEAR(Policies!I13)*12+MONTH(Policies!I13))=(Settings!$B$5*12+9),Policies!G13,""))</f>
        <v/>
      </c>
      <c r="M13" s="53">
        <f>IF(Policies!I13="","",IF((YEAR(Policies!I13)*12+MONTH(Policies!I13))=(Settings!$B$5*12+10),Policies!G13,""))</f>
        <v/>
      </c>
      <c r="N13" s="53">
        <f>IF(Policies!I13="","",IF((YEAR(Policies!I13)*12+MONTH(Policies!I13))=(Settings!$B$5*12+11),Policies!G13,""))</f>
        <v/>
      </c>
      <c r="O13" s="53">
        <f>IF(Policies!I13="","",IF((YEAR(Policies!I13)*12+MONTH(Policies!I13))=(Settings!$B$5*12+12),Policies!G13,""))</f>
        <v/>
      </c>
      <c r="P13" s="53">
        <f>IF(Policies!I13="","",IF((YEAR(Policies!I13)*12+MONTH(Policies!I13))=(Settings!$B$5*12+13),Policies!G13,""))</f>
        <v/>
      </c>
      <c r="Q13" s="53">
        <f>IF(Policies!I13="","",IF((YEAR(Policies!I13)*12+MONTH(Policies!I13))=(Settings!$B$5*12+14),Policies!G13,""))</f>
        <v/>
      </c>
      <c r="R13" s="53">
        <f>IF(Policies!I13="","",IF((YEAR(Policies!I13)*12+MONTH(Policies!I13))=(Settings!$B$5*12+15),Policies!G13,""))</f>
        <v/>
      </c>
      <c r="S13" s="53">
        <f>IF(Policies!I13="","",IF((YEAR(Policies!I13)*12+MONTH(Policies!I13))=(Settings!$B$5*12+16),Policies!G13,""))</f>
        <v/>
      </c>
      <c r="T13" s="53">
        <f>IF(Policies!I13="","",IF((YEAR(Policies!I13)*12+MONTH(Policies!I13))=(Settings!$B$5*12+17),Policies!G13,""))</f>
        <v/>
      </c>
      <c r="U13" s="53">
        <f>IF(Policies!I13="","",IF((YEAR(Policies!I13)*12+MONTH(Policies!I13))=(Settings!$B$5*12+18),Policies!G13,""))</f>
        <v/>
      </c>
      <c r="V13" s="53">
        <f>IF(Policies!I13="","",IF((YEAR(Policies!I13)*12+MONTH(Policies!I13))=(Settings!$B$5*12+19),Policies!G13,""))</f>
        <v/>
      </c>
      <c r="W13" s="53">
        <f>IF(Policies!I13="","",IF((YEAR(Policies!I13)*12+MONTH(Policies!I13))=(Settings!$B$5*12+20),Policies!G13,""))</f>
        <v/>
      </c>
      <c r="X13" s="53">
        <f>IF(Policies!I13="","",IF((YEAR(Policies!I13)*12+MONTH(Policies!I13))=(Settings!$B$5*12+21),Policies!G13,""))</f>
        <v/>
      </c>
      <c r="Y13" s="53">
        <f>IF(Policies!I13="","",IF((YEAR(Policies!I13)*12+MONTH(Policies!I13))=(Settings!$B$5*12+22),Policies!G13,""))</f>
        <v/>
      </c>
      <c r="Z13" s="53">
        <f>IF(Policies!I13="","",IF((YEAR(Policies!I13)*12+MONTH(Policies!I13))=(Settings!$B$5*12+23),Policies!G13,""))</f>
        <v/>
      </c>
      <c r="AA13" s="53">
        <f>IF(Policies!I13="","",IF((YEAR(Policies!I13)*12+MONTH(Policies!I13))=(Settings!$B$5*12+24),Policies!G13,""))</f>
        <v/>
      </c>
      <c r="AB13" s="54">
        <f>IF(SUM(D13:AA13)=0,"",SUM(D13:AA13))</f>
        <v/>
      </c>
    </row>
    <row r="14" ht="18" customHeight="1">
      <c r="A14" s="55">
        <f>IF(Policies!A14="","",Policies!A14)</f>
        <v/>
      </c>
      <c r="B14" s="55">
        <f>IF(Policies!B14="","",Policies!B14)</f>
        <v/>
      </c>
      <c r="C14" s="55">
        <f>IF(Policies!D14="","",Policies!D14)</f>
        <v/>
      </c>
      <c r="D14" s="56">
        <f>IF(Policies!I14="","",IF((YEAR(Policies!I14)*12+MONTH(Policies!I14))=(Settings!$B$5*12+1),Policies!G14,""))</f>
        <v/>
      </c>
      <c r="E14" s="56">
        <f>IF(Policies!I14="","",IF((YEAR(Policies!I14)*12+MONTH(Policies!I14))=(Settings!$B$5*12+2),Policies!G14,""))</f>
        <v/>
      </c>
      <c r="F14" s="56">
        <f>IF(Policies!I14="","",IF((YEAR(Policies!I14)*12+MONTH(Policies!I14))=(Settings!$B$5*12+3),Policies!G14,""))</f>
        <v/>
      </c>
      <c r="G14" s="56">
        <f>IF(Policies!I14="","",IF((YEAR(Policies!I14)*12+MONTH(Policies!I14))=(Settings!$B$5*12+4),Policies!G14,""))</f>
        <v/>
      </c>
      <c r="H14" s="56">
        <f>IF(Policies!I14="","",IF((YEAR(Policies!I14)*12+MONTH(Policies!I14))=(Settings!$B$5*12+5),Policies!G14,""))</f>
        <v/>
      </c>
      <c r="I14" s="56">
        <f>IF(Policies!I14="","",IF((YEAR(Policies!I14)*12+MONTH(Policies!I14))=(Settings!$B$5*12+6),Policies!G14,""))</f>
        <v/>
      </c>
      <c r="J14" s="56">
        <f>IF(Policies!I14="","",IF((YEAR(Policies!I14)*12+MONTH(Policies!I14))=(Settings!$B$5*12+7),Policies!G14,""))</f>
        <v/>
      </c>
      <c r="K14" s="56">
        <f>IF(Policies!I14="","",IF((YEAR(Policies!I14)*12+MONTH(Policies!I14))=(Settings!$B$5*12+8),Policies!G14,""))</f>
        <v/>
      </c>
      <c r="L14" s="56">
        <f>IF(Policies!I14="","",IF((YEAR(Policies!I14)*12+MONTH(Policies!I14))=(Settings!$B$5*12+9),Policies!G14,""))</f>
        <v/>
      </c>
      <c r="M14" s="56">
        <f>IF(Policies!I14="","",IF((YEAR(Policies!I14)*12+MONTH(Policies!I14))=(Settings!$B$5*12+10),Policies!G14,""))</f>
        <v/>
      </c>
      <c r="N14" s="56">
        <f>IF(Policies!I14="","",IF((YEAR(Policies!I14)*12+MONTH(Policies!I14))=(Settings!$B$5*12+11),Policies!G14,""))</f>
        <v/>
      </c>
      <c r="O14" s="56">
        <f>IF(Policies!I14="","",IF((YEAR(Policies!I14)*12+MONTH(Policies!I14))=(Settings!$B$5*12+12),Policies!G14,""))</f>
        <v/>
      </c>
      <c r="P14" s="56">
        <f>IF(Policies!I14="","",IF((YEAR(Policies!I14)*12+MONTH(Policies!I14))=(Settings!$B$5*12+13),Policies!G14,""))</f>
        <v/>
      </c>
      <c r="Q14" s="56">
        <f>IF(Policies!I14="","",IF((YEAR(Policies!I14)*12+MONTH(Policies!I14))=(Settings!$B$5*12+14),Policies!G14,""))</f>
        <v/>
      </c>
      <c r="R14" s="56">
        <f>IF(Policies!I14="","",IF((YEAR(Policies!I14)*12+MONTH(Policies!I14))=(Settings!$B$5*12+15),Policies!G14,""))</f>
        <v/>
      </c>
      <c r="S14" s="56">
        <f>IF(Policies!I14="","",IF((YEAR(Policies!I14)*12+MONTH(Policies!I14))=(Settings!$B$5*12+16),Policies!G14,""))</f>
        <v/>
      </c>
      <c r="T14" s="56">
        <f>IF(Policies!I14="","",IF((YEAR(Policies!I14)*12+MONTH(Policies!I14))=(Settings!$B$5*12+17),Policies!G14,""))</f>
        <v/>
      </c>
      <c r="U14" s="56">
        <f>IF(Policies!I14="","",IF((YEAR(Policies!I14)*12+MONTH(Policies!I14))=(Settings!$B$5*12+18),Policies!G14,""))</f>
        <v/>
      </c>
      <c r="V14" s="56">
        <f>IF(Policies!I14="","",IF((YEAR(Policies!I14)*12+MONTH(Policies!I14))=(Settings!$B$5*12+19),Policies!G14,""))</f>
        <v/>
      </c>
      <c r="W14" s="56">
        <f>IF(Policies!I14="","",IF((YEAR(Policies!I14)*12+MONTH(Policies!I14))=(Settings!$B$5*12+20),Policies!G14,""))</f>
        <v/>
      </c>
      <c r="X14" s="56">
        <f>IF(Policies!I14="","",IF((YEAR(Policies!I14)*12+MONTH(Policies!I14))=(Settings!$B$5*12+21),Policies!G14,""))</f>
        <v/>
      </c>
      <c r="Y14" s="56">
        <f>IF(Policies!I14="","",IF((YEAR(Policies!I14)*12+MONTH(Policies!I14))=(Settings!$B$5*12+22),Policies!G14,""))</f>
        <v/>
      </c>
      <c r="Z14" s="56">
        <f>IF(Policies!I14="","",IF((YEAR(Policies!I14)*12+MONTH(Policies!I14))=(Settings!$B$5*12+23),Policies!G14,""))</f>
        <v/>
      </c>
      <c r="AA14" s="56">
        <f>IF(Policies!I14="","",IF((YEAR(Policies!I14)*12+MONTH(Policies!I14))=(Settings!$B$5*12+24),Policies!G14,""))</f>
        <v/>
      </c>
      <c r="AB14" s="57">
        <f>IF(SUM(D14:AA14)=0,"",SUM(D14:AA14))</f>
        <v/>
      </c>
    </row>
    <row r="15" ht="18" customHeight="1">
      <c r="A15" s="52">
        <f>IF(Policies!A15="","",Policies!A15)</f>
        <v/>
      </c>
      <c r="B15" s="52">
        <f>IF(Policies!B15="","",Policies!B15)</f>
        <v/>
      </c>
      <c r="C15" s="52">
        <f>IF(Policies!D15="","",Policies!D15)</f>
        <v/>
      </c>
      <c r="D15" s="53">
        <f>IF(Policies!I15="","",IF((YEAR(Policies!I15)*12+MONTH(Policies!I15))=(Settings!$B$5*12+1),Policies!G15,""))</f>
        <v/>
      </c>
      <c r="E15" s="53">
        <f>IF(Policies!I15="","",IF((YEAR(Policies!I15)*12+MONTH(Policies!I15))=(Settings!$B$5*12+2),Policies!G15,""))</f>
        <v/>
      </c>
      <c r="F15" s="53">
        <f>IF(Policies!I15="","",IF((YEAR(Policies!I15)*12+MONTH(Policies!I15))=(Settings!$B$5*12+3),Policies!G15,""))</f>
        <v/>
      </c>
      <c r="G15" s="53">
        <f>IF(Policies!I15="","",IF((YEAR(Policies!I15)*12+MONTH(Policies!I15))=(Settings!$B$5*12+4),Policies!G15,""))</f>
        <v/>
      </c>
      <c r="H15" s="53">
        <f>IF(Policies!I15="","",IF((YEAR(Policies!I15)*12+MONTH(Policies!I15))=(Settings!$B$5*12+5),Policies!G15,""))</f>
        <v/>
      </c>
      <c r="I15" s="53">
        <f>IF(Policies!I15="","",IF((YEAR(Policies!I15)*12+MONTH(Policies!I15))=(Settings!$B$5*12+6),Policies!G15,""))</f>
        <v/>
      </c>
      <c r="J15" s="53">
        <f>IF(Policies!I15="","",IF((YEAR(Policies!I15)*12+MONTH(Policies!I15))=(Settings!$B$5*12+7),Policies!G15,""))</f>
        <v/>
      </c>
      <c r="K15" s="53">
        <f>IF(Policies!I15="","",IF((YEAR(Policies!I15)*12+MONTH(Policies!I15))=(Settings!$B$5*12+8),Policies!G15,""))</f>
        <v/>
      </c>
      <c r="L15" s="53">
        <f>IF(Policies!I15="","",IF((YEAR(Policies!I15)*12+MONTH(Policies!I15))=(Settings!$B$5*12+9),Policies!G15,""))</f>
        <v/>
      </c>
      <c r="M15" s="53">
        <f>IF(Policies!I15="","",IF((YEAR(Policies!I15)*12+MONTH(Policies!I15))=(Settings!$B$5*12+10),Policies!G15,""))</f>
        <v/>
      </c>
      <c r="N15" s="53">
        <f>IF(Policies!I15="","",IF((YEAR(Policies!I15)*12+MONTH(Policies!I15))=(Settings!$B$5*12+11),Policies!G15,""))</f>
        <v/>
      </c>
      <c r="O15" s="53">
        <f>IF(Policies!I15="","",IF((YEAR(Policies!I15)*12+MONTH(Policies!I15))=(Settings!$B$5*12+12),Policies!G15,""))</f>
        <v/>
      </c>
      <c r="P15" s="53">
        <f>IF(Policies!I15="","",IF((YEAR(Policies!I15)*12+MONTH(Policies!I15))=(Settings!$B$5*12+13),Policies!G15,""))</f>
        <v/>
      </c>
      <c r="Q15" s="53">
        <f>IF(Policies!I15="","",IF((YEAR(Policies!I15)*12+MONTH(Policies!I15))=(Settings!$B$5*12+14),Policies!G15,""))</f>
        <v/>
      </c>
      <c r="R15" s="53">
        <f>IF(Policies!I15="","",IF((YEAR(Policies!I15)*12+MONTH(Policies!I15))=(Settings!$B$5*12+15),Policies!G15,""))</f>
        <v/>
      </c>
      <c r="S15" s="53">
        <f>IF(Policies!I15="","",IF((YEAR(Policies!I15)*12+MONTH(Policies!I15))=(Settings!$B$5*12+16),Policies!G15,""))</f>
        <v/>
      </c>
      <c r="T15" s="53">
        <f>IF(Policies!I15="","",IF((YEAR(Policies!I15)*12+MONTH(Policies!I15))=(Settings!$B$5*12+17),Policies!G15,""))</f>
        <v/>
      </c>
      <c r="U15" s="53">
        <f>IF(Policies!I15="","",IF((YEAR(Policies!I15)*12+MONTH(Policies!I15))=(Settings!$B$5*12+18),Policies!G15,""))</f>
        <v/>
      </c>
      <c r="V15" s="53">
        <f>IF(Policies!I15="","",IF((YEAR(Policies!I15)*12+MONTH(Policies!I15))=(Settings!$B$5*12+19),Policies!G15,""))</f>
        <v/>
      </c>
      <c r="W15" s="53">
        <f>IF(Policies!I15="","",IF((YEAR(Policies!I15)*12+MONTH(Policies!I15))=(Settings!$B$5*12+20),Policies!G15,""))</f>
        <v/>
      </c>
      <c r="X15" s="53">
        <f>IF(Policies!I15="","",IF((YEAR(Policies!I15)*12+MONTH(Policies!I15))=(Settings!$B$5*12+21),Policies!G15,""))</f>
        <v/>
      </c>
      <c r="Y15" s="53">
        <f>IF(Policies!I15="","",IF((YEAR(Policies!I15)*12+MONTH(Policies!I15))=(Settings!$B$5*12+22),Policies!G15,""))</f>
        <v/>
      </c>
      <c r="Z15" s="53">
        <f>IF(Policies!I15="","",IF((YEAR(Policies!I15)*12+MONTH(Policies!I15))=(Settings!$B$5*12+23),Policies!G15,""))</f>
        <v/>
      </c>
      <c r="AA15" s="53">
        <f>IF(Policies!I15="","",IF((YEAR(Policies!I15)*12+MONTH(Policies!I15))=(Settings!$B$5*12+24),Policies!G15,""))</f>
        <v/>
      </c>
      <c r="AB15" s="54">
        <f>IF(SUM(D15:AA15)=0,"",SUM(D15:AA15))</f>
        <v/>
      </c>
    </row>
    <row r="16" ht="18" customHeight="1">
      <c r="A16" s="55">
        <f>IF(Policies!A16="","",Policies!A16)</f>
        <v/>
      </c>
      <c r="B16" s="55">
        <f>IF(Policies!B16="","",Policies!B16)</f>
        <v/>
      </c>
      <c r="C16" s="55">
        <f>IF(Policies!D16="","",Policies!D16)</f>
        <v/>
      </c>
      <c r="D16" s="56">
        <f>IF(Policies!I16="","",IF((YEAR(Policies!I16)*12+MONTH(Policies!I16))=(Settings!$B$5*12+1),Policies!G16,""))</f>
        <v/>
      </c>
      <c r="E16" s="56">
        <f>IF(Policies!I16="","",IF((YEAR(Policies!I16)*12+MONTH(Policies!I16))=(Settings!$B$5*12+2),Policies!G16,""))</f>
        <v/>
      </c>
      <c r="F16" s="56">
        <f>IF(Policies!I16="","",IF((YEAR(Policies!I16)*12+MONTH(Policies!I16))=(Settings!$B$5*12+3),Policies!G16,""))</f>
        <v/>
      </c>
      <c r="G16" s="56">
        <f>IF(Policies!I16="","",IF((YEAR(Policies!I16)*12+MONTH(Policies!I16))=(Settings!$B$5*12+4),Policies!G16,""))</f>
        <v/>
      </c>
      <c r="H16" s="56">
        <f>IF(Policies!I16="","",IF((YEAR(Policies!I16)*12+MONTH(Policies!I16))=(Settings!$B$5*12+5),Policies!G16,""))</f>
        <v/>
      </c>
      <c r="I16" s="56">
        <f>IF(Policies!I16="","",IF((YEAR(Policies!I16)*12+MONTH(Policies!I16))=(Settings!$B$5*12+6),Policies!G16,""))</f>
        <v/>
      </c>
      <c r="J16" s="56">
        <f>IF(Policies!I16="","",IF((YEAR(Policies!I16)*12+MONTH(Policies!I16))=(Settings!$B$5*12+7),Policies!G16,""))</f>
        <v/>
      </c>
      <c r="K16" s="56">
        <f>IF(Policies!I16="","",IF((YEAR(Policies!I16)*12+MONTH(Policies!I16))=(Settings!$B$5*12+8),Policies!G16,""))</f>
        <v/>
      </c>
      <c r="L16" s="56">
        <f>IF(Policies!I16="","",IF((YEAR(Policies!I16)*12+MONTH(Policies!I16))=(Settings!$B$5*12+9),Policies!G16,""))</f>
        <v/>
      </c>
      <c r="M16" s="56">
        <f>IF(Policies!I16="","",IF((YEAR(Policies!I16)*12+MONTH(Policies!I16))=(Settings!$B$5*12+10),Policies!G16,""))</f>
        <v/>
      </c>
      <c r="N16" s="56">
        <f>IF(Policies!I16="","",IF((YEAR(Policies!I16)*12+MONTH(Policies!I16))=(Settings!$B$5*12+11),Policies!G16,""))</f>
        <v/>
      </c>
      <c r="O16" s="56">
        <f>IF(Policies!I16="","",IF((YEAR(Policies!I16)*12+MONTH(Policies!I16))=(Settings!$B$5*12+12),Policies!G16,""))</f>
        <v/>
      </c>
      <c r="P16" s="56">
        <f>IF(Policies!I16="","",IF((YEAR(Policies!I16)*12+MONTH(Policies!I16))=(Settings!$B$5*12+13),Policies!G16,""))</f>
        <v/>
      </c>
      <c r="Q16" s="56">
        <f>IF(Policies!I16="","",IF((YEAR(Policies!I16)*12+MONTH(Policies!I16))=(Settings!$B$5*12+14),Policies!G16,""))</f>
        <v/>
      </c>
      <c r="R16" s="56">
        <f>IF(Policies!I16="","",IF((YEAR(Policies!I16)*12+MONTH(Policies!I16))=(Settings!$B$5*12+15),Policies!G16,""))</f>
        <v/>
      </c>
      <c r="S16" s="56">
        <f>IF(Policies!I16="","",IF((YEAR(Policies!I16)*12+MONTH(Policies!I16))=(Settings!$B$5*12+16),Policies!G16,""))</f>
        <v/>
      </c>
      <c r="T16" s="56">
        <f>IF(Policies!I16="","",IF((YEAR(Policies!I16)*12+MONTH(Policies!I16))=(Settings!$B$5*12+17),Policies!G16,""))</f>
        <v/>
      </c>
      <c r="U16" s="56">
        <f>IF(Policies!I16="","",IF((YEAR(Policies!I16)*12+MONTH(Policies!I16))=(Settings!$B$5*12+18),Policies!G16,""))</f>
        <v/>
      </c>
      <c r="V16" s="56">
        <f>IF(Policies!I16="","",IF((YEAR(Policies!I16)*12+MONTH(Policies!I16))=(Settings!$B$5*12+19),Policies!G16,""))</f>
        <v/>
      </c>
      <c r="W16" s="56">
        <f>IF(Policies!I16="","",IF((YEAR(Policies!I16)*12+MONTH(Policies!I16))=(Settings!$B$5*12+20),Policies!G16,""))</f>
        <v/>
      </c>
      <c r="X16" s="56">
        <f>IF(Policies!I16="","",IF((YEAR(Policies!I16)*12+MONTH(Policies!I16))=(Settings!$B$5*12+21),Policies!G16,""))</f>
        <v/>
      </c>
      <c r="Y16" s="56">
        <f>IF(Policies!I16="","",IF((YEAR(Policies!I16)*12+MONTH(Policies!I16))=(Settings!$B$5*12+22),Policies!G16,""))</f>
        <v/>
      </c>
      <c r="Z16" s="56">
        <f>IF(Policies!I16="","",IF((YEAR(Policies!I16)*12+MONTH(Policies!I16))=(Settings!$B$5*12+23),Policies!G16,""))</f>
        <v/>
      </c>
      <c r="AA16" s="56">
        <f>IF(Policies!I16="","",IF((YEAR(Policies!I16)*12+MONTH(Policies!I16))=(Settings!$B$5*12+24),Policies!G16,""))</f>
        <v/>
      </c>
      <c r="AB16" s="57">
        <f>IF(SUM(D16:AA16)=0,"",SUM(D16:AA16))</f>
        <v/>
      </c>
    </row>
    <row r="17" ht="18" customHeight="1">
      <c r="A17" s="52">
        <f>IF(Policies!A17="","",Policies!A17)</f>
        <v/>
      </c>
      <c r="B17" s="52">
        <f>IF(Policies!B17="","",Policies!B17)</f>
        <v/>
      </c>
      <c r="C17" s="52">
        <f>IF(Policies!D17="","",Policies!D17)</f>
        <v/>
      </c>
      <c r="D17" s="53">
        <f>IF(Policies!I17="","",IF((YEAR(Policies!I17)*12+MONTH(Policies!I17))=(Settings!$B$5*12+1),Policies!G17,""))</f>
        <v/>
      </c>
      <c r="E17" s="53">
        <f>IF(Policies!I17="","",IF((YEAR(Policies!I17)*12+MONTH(Policies!I17))=(Settings!$B$5*12+2),Policies!G17,""))</f>
        <v/>
      </c>
      <c r="F17" s="53">
        <f>IF(Policies!I17="","",IF((YEAR(Policies!I17)*12+MONTH(Policies!I17))=(Settings!$B$5*12+3),Policies!G17,""))</f>
        <v/>
      </c>
      <c r="G17" s="53">
        <f>IF(Policies!I17="","",IF((YEAR(Policies!I17)*12+MONTH(Policies!I17))=(Settings!$B$5*12+4),Policies!G17,""))</f>
        <v/>
      </c>
      <c r="H17" s="53">
        <f>IF(Policies!I17="","",IF((YEAR(Policies!I17)*12+MONTH(Policies!I17))=(Settings!$B$5*12+5),Policies!G17,""))</f>
        <v/>
      </c>
      <c r="I17" s="53">
        <f>IF(Policies!I17="","",IF((YEAR(Policies!I17)*12+MONTH(Policies!I17))=(Settings!$B$5*12+6),Policies!G17,""))</f>
        <v/>
      </c>
      <c r="J17" s="53">
        <f>IF(Policies!I17="","",IF((YEAR(Policies!I17)*12+MONTH(Policies!I17))=(Settings!$B$5*12+7),Policies!G17,""))</f>
        <v/>
      </c>
      <c r="K17" s="53">
        <f>IF(Policies!I17="","",IF((YEAR(Policies!I17)*12+MONTH(Policies!I17))=(Settings!$B$5*12+8),Policies!G17,""))</f>
        <v/>
      </c>
      <c r="L17" s="53">
        <f>IF(Policies!I17="","",IF((YEAR(Policies!I17)*12+MONTH(Policies!I17))=(Settings!$B$5*12+9),Policies!G17,""))</f>
        <v/>
      </c>
      <c r="M17" s="53">
        <f>IF(Policies!I17="","",IF((YEAR(Policies!I17)*12+MONTH(Policies!I17))=(Settings!$B$5*12+10),Policies!G17,""))</f>
        <v/>
      </c>
      <c r="N17" s="53">
        <f>IF(Policies!I17="","",IF((YEAR(Policies!I17)*12+MONTH(Policies!I17))=(Settings!$B$5*12+11),Policies!G17,""))</f>
        <v/>
      </c>
      <c r="O17" s="53">
        <f>IF(Policies!I17="","",IF((YEAR(Policies!I17)*12+MONTH(Policies!I17))=(Settings!$B$5*12+12),Policies!G17,""))</f>
        <v/>
      </c>
      <c r="P17" s="53">
        <f>IF(Policies!I17="","",IF((YEAR(Policies!I17)*12+MONTH(Policies!I17))=(Settings!$B$5*12+13),Policies!G17,""))</f>
        <v/>
      </c>
      <c r="Q17" s="53">
        <f>IF(Policies!I17="","",IF((YEAR(Policies!I17)*12+MONTH(Policies!I17))=(Settings!$B$5*12+14),Policies!G17,""))</f>
        <v/>
      </c>
      <c r="R17" s="53">
        <f>IF(Policies!I17="","",IF((YEAR(Policies!I17)*12+MONTH(Policies!I17))=(Settings!$B$5*12+15),Policies!G17,""))</f>
        <v/>
      </c>
      <c r="S17" s="53">
        <f>IF(Policies!I17="","",IF((YEAR(Policies!I17)*12+MONTH(Policies!I17))=(Settings!$B$5*12+16),Policies!G17,""))</f>
        <v/>
      </c>
      <c r="T17" s="53">
        <f>IF(Policies!I17="","",IF((YEAR(Policies!I17)*12+MONTH(Policies!I17))=(Settings!$B$5*12+17),Policies!G17,""))</f>
        <v/>
      </c>
      <c r="U17" s="53">
        <f>IF(Policies!I17="","",IF((YEAR(Policies!I17)*12+MONTH(Policies!I17))=(Settings!$B$5*12+18),Policies!G17,""))</f>
        <v/>
      </c>
      <c r="V17" s="53">
        <f>IF(Policies!I17="","",IF((YEAR(Policies!I17)*12+MONTH(Policies!I17))=(Settings!$B$5*12+19),Policies!G17,""))</f>
        <v/>
      </c>
      <c r="W17" s="53">
        <f>IF(Policies!I17="","",IF((YEAR(Policies!I17)*12+MONTH(Policies!I17))=(Settings!$B$5*12+20),Policies!G17,""))</f>
        <v/>
      </c>
      <c r="X17" s="53">
        <f>IF(Policies!I17="","",IF((YEAR(Policies!I17)*12+MONTH(Policies!I17))=(Settings!$B$5*12+21),Policies!G17,""))</f>
        <v/>
      </c>
      <c r="Y17" s="53">
        <f>IF(Policies!I17="","",IF((YEAR(Policies!I17)*12+MONTH(Policies!I17))=(Settings!$B$5*12+22),Policies!G17,""))</f>
        <v/>
      </c>
      <c r="Z17" s="53">
        <f>IF(Policies!I17="","",IF((YEAR(Policies!I17)*12+MONTH(Policies!I17))=(Settings!$B$5*12+23),Policies!G17,""))</f>
        <v/>
      </c>
      <c r="AA17" s="53">
        <f>IF(Policies!I17="","",IF((YEAR(Policies!I17)*12+MONTH(Policies!I17))=(Settings!$B$5*12+24),Policies!G17,""))</f>
        <v/>
      </c>
      <c r="AB17" s="54">
        <f>IF(SUM(D17:AA17)=0,"",SUM(D17:AA17))</f>
        <v/>
      </c>
    </row>
    <row r="18" ht="18" customHeight="1">
      <c r="A18" s="55">
        <f>IF(Policies!A18="","",Policies!A18)</f>
        <v/>
      </c>
      <c r="B18" s="55">
        <f>IF(Policies!B18="","",Policies!B18)</f>
        <v/>
      </c>
      <c r="C18" s="55">
        <f>IF(Policies!D18="","",Policies!D18)</f>
        <v/>
      </c>
      <c r="D18" s="56">
        <f>IF(Policies!I18="","",IF((YEAR(Policies!I18)*12+MONTH(Policies!I18))=(Settings!$B$5*12+1),Policies!G18,""))</f>
        <v/>
      </c>
      <c r="E18" s="56">
        <f>IF(Policies!I18="","",IF((YEAR(Policies!I18)*12+MONTH(Policies!I18))=(Settings!$B$5*12+2),Policies!G18,""))</f>
        <v/>
      </c>
      <c r="F18" s="56">
        <f>IF(Policies!I18="","",IF((YEAR(Policies!I18)*12+MONTH(Policies!I18))=(Settings!$B$5*12+3),Policies!G18,""))</f>
        <v/>
      </c>
      <c r="G18" s="56">
        <f>IF(Policies!I18="","",IF((YEAR(Policies!I18)*12+MONTH(Policies!I18))=(Settings!$B$5*12+4),Policies!G18,""))</f>
        <v/>
      </c>
      <c r="H18" s="56">
        <f>IF(Policies!I18="","",IF((YEAR(Policies!I18)*12+MONTH(Policies!I18))=(Settings!$B$5*12+5),Policies!G18,""))</f>
        <v/>
      </c>
      <c r="I18" s="56">
        <f>IF(Policies!I18="","",IF((YEAR(Policies!I18)*12+MONTH(Policies!I18))=(Settings!$B$5*12+6),Policies!G18,""))</f>
        <v/>
      </c>
      <c r="J18" s="56">
        <f>IF(Policies!I18="","",IF((YEAR(Policies!I18)*12+MONTH(Policies!I18))=(Settings!$B$5*12+7),Policies!G18,""))</f>
        <v/>
      </c>
      <c r="K18" s="56">
        <f>IF(Policies!I18="","",IF((YEAR(Policies!I18)*12+MONTH(Policies!I18))=(Settings!$B$5*12+8),Policies!G18,""))</f>
        <v/>
      </c>
      <c r="L18" s="56">
        <f>IF(Policies!I18="","",IF((YEAR(Policies!I18)*12+MONTH(Policies!I18))=(Settings!$B$5*12+9),Policies!G18,""))</f>
        <v/>
      </c>
      <c r="M18" s="56">
        <f>IF(Policies!I18="","",IF((YEAR(Policies!I18)*12+MONTH(Policies!I18))=(Settings!$B$5*12+10),Policies!G18,""))</f>
        <v/>
      </c>
      <c r="N18" s="56">
        <f>IF(Policies!I18="","",IF((YEAR(Policies!I18)*12+MONTH(Policies!I18))=(Settings!$B$5*12+11),Policies!G18,""))</f>
        <v/>
      </c>
      <c r="O18" s="56">
        <f>IF(Policies!I18="","",IF((YEAR(Policies!I18)*12+MONTH(Policies!I18))=(Settings!$B$5*12+12),Policies!G18,""))</f>
        <v/>
      </c>
      <c r="P18" s="56">
        <f>IF(Policies!I18="","",IF((YEAR(Policies!I18)*12+MONTH(Policies!I18))=(Settings!$B$5*12+13),Policies!G18,""))</f>
        <v/>
      </c>
      <c r="Q18" s="56">
        <f>IF(Policies!I18="","",IF((YEAR(Policies!I18)*12+MONTH(Policies!I18))=(Settings!$B$5*12+14),Policies!G18,""))</f>
        <v/>
      </c>
      <c r="R18" s="56">
        <f>IF(Policies!I18="","",IF((YEAR(Policies!I18)*12+MONTH(Policies!I18))=(Settings!$B$5*12+15),Policies!G18,""))</f>
        <v/>
      </c>
      <c r="S18" s="56">
        <f>IF(Policies!I18="","",IF((YEAR(Policies!I18)*12+MONTH(Policies!I18))=(Settings!$B$5*12+16),Policies!G18,""))</f>
        <v/>
      </c>
      <c r="T18" s="56">
        <f>IF(Policies!I18="","",IF((YEAR(Policies!I18)*12+MONTH(Policies!I18))=(Settings!$B$5*12+17),Policies!G18,""))</f>
        <v/>
      </c>
      <c r="U18" s="56">
        <f>IF(Policies!I18="","",IF((YEAR(Policies!I18)*12+MONTH(Policies!I18))=(Settings!$B$5*12+18),Policies!G18,""))</f>
        <v/>
      </c>
      <c r="V18" s="56">
        <f>IF(Policies!I18="","",IF((YEAR(Policies!I18)*12+MONTH(Policies!I18))=(Settings!$B$5*12+19),Policies!G18,""))</f>
        <v/>
      </c>
      <c r="W18" s="56">
        <f>IF(Policies!I18="","",IF((YEAR(Policies!I18)*12+MONTH(Policies!I18))=(Settings!$B$5*12+20),Policies!G18,""))</f>
        <v/>
      </c>
      <c r="X18" s="56">
        <f>IF(Policies!I18="","",IF((YEAR(Policies!I18)*12+MONTH(Policies!I18))=(Settings!$B$5*12+21),Policies!G18,""))</f>
        <v/>
      </c>
      <c r="Y18" s="56">
        <f>IF(Policies!I18="","",IF((YEAR(Policies!I18)*12+MONTH(Policies!I18))=(Settings!$B$5*12+22),Policies!G18,""))</f>
        <v/>
      </c>
      <c r="Z18" s="56">
        <f>IF(Policies!I18="","",IF((YEAR(Policies!I18)*12+MONTH(Policies!I18))=(Settings!$B$5*12+23),Policies!G18,""))</f>
        <v/>
      </c>
      <c r="AA18" s="56">
        <f>IF(Policies!I18="","",IF((YEAR(Policies!I18)*12+MONTH(Policies!I18))=(Settings!$B$5*12+24),Policies!G18,""))</f>
        <v/>
      </c>
      <c r="AB18" s="57">
        <f>IF(SUM(D18:AA18)=0,"",SUM(D18:AA18))</f>
        <v/>
      </c>
    </row>
    <row r="19" ht="18" customHeight="1">
      <c r="A19" s="52">
        <f>IF(Policies!A19="","",Policies!A19)</f>
        <v/>
      </c>
      <c r="B19" s="52">
        <f>IF(Policies!B19="","",Policies!B19)</f>
        <v/>
      </c>
      <c r="C19" s="52">
        <f>IF(Policies!D19="","",Policies!D19)</f>
        <v/>
      </c>
      <c r="D19" s="53">
        <f>IF(Policies!I19="","",IF((YEAR(Policies!I19)*12+MONTH(Policies!I19))=(Settings!$B$5*12+1),Policies!G19,""))</f>
        <v/>
      </c>
      <c r="E19" s="53">
        <f>IF(Policies!I19="","",IF((YEAR(Policies!I19)*12+MONTH(Policies!I19))=(Settings!$B$5*12+2),Policies!G19,""))</f>
        <v/>
      </c>
      <c r="F19" s="53">
        <f>IF(Policies!I19="","",IF((YEAR(Policies!I19)*12+MONTH(Policies!I19))=(Settings!$B$5*12+3),Policies!G19,""))</f>
        <v/>
      </c>
      <c r="G19" s="53">
        <f>IF(Policies!I19="","",IF((YEAR(Policies!I19)*12+MONTH(Policies!I19))=(Settings!$B$5*12+4),Policies!G19,""))</f>
        <v/>
      </c>
      <c r="H19" s="53">
        <f>IF(Policies!I19="","",IF((YEAR(Policies!I19)*12+MONTH(Policies!I19))=(Settings!$B$5*12+5),Policies!G19,""))</f>
        <v/>
      </c>
      <c r="I19" s="53">
        <f>IF(Policies!I19="","",IF((YEAR(Policies!I19)*12+MONTH(Policies!I19))=(Settings!$B$5*12+6),Policies!G19,""))</f>
        <v/>
      </c>
      <c r="J19" s="53">
        <f>IF(Policies!I19="","",IF((YEAR(Policies!I19)*12+MONTH(Policies!I19))=(Settings!$B$5*12+7),Policies!G19,""))</f>
        <v/>
      </c>
      <c r="K19" s="53">
        <f>IF(Policies!I19="","",IF((YEAR(Policies!I19)*12+MONTH(Policies!I19))=(Settings!$B$5*12+8),Policies!G19,""))</f>
        <v/>
      </c>
      <c r="L19" s="53">
        <f>IF(Policies!I19="","",IF((YEAR(Policies!I19)*12+MONTH(Policies!I19))=(Settings!$B$5*12+9),Policies!G19,""))</f>
        <v/>
      </c>
      <c r="M19" s="53">
        <f>IF(Policies!I19="","",IF((YEAR(Policies!I19)*12+MONTH(Policies!I19))=(Settings!$B$5*12+10),Policies!G19,""))</f>
        <v/>
      </c>
      <c r="N19" s="53">
        <f>IF(Policies!I19="","",IF((YEAR(Policies!I19)*12+MONTH(Policies!I19))=(Settings!$B$5*12+11),Policies!G19,""))</f>
        <v/>
      </c>
      <c r="O19" s="53">
        <f>IF(Policies!I19="","",IF((YEAR(Policies!I19)*12+MONTH(Policies!I19))=(Settings!$B$5*12+12),Policies!G19,""))</f>
        <v/>
      </c>
      <c r="P19" s="53">
        <f>IF(Policies!I19="","",IF((YEAR(Policies!I19)*12+MONTH(Policies!I19))=(Settings!$B$5*12+13),Policies!G19,""))</f>
        <v/>
      </c>
      <c r="Q19" s="53">
        <f>IF(Policies!I19="","",IF((YEAR(Policies!I19)*12+MONTH(Policies!I19))=(Settings!$B$5*12+14),Policies!G19,""))</f>
        <v/>
      </c>
      <c r="R19" s="53">
        <f>IF(Policies!I19="","",IF((YEAR(Policies!I19)*12+MONTH(Policies!I19))=(Settings!$B$5*12+15),Policies!G19,""))</f>
        <v/>
      </c>
      <c r="S19" s="53">
        <f>IF(Policies!I19="","",IF((YEAR(Policies!I19)*12+MONTH(Policies!I19))=(Settings!$B$5*12+16),Policies!G19,""))</f>
        <v/>
      </c>
      <c r="T19" s="53">
        <f>IF(Policies!I19="","",IF((YEAR(Policies!I19)*12+MONTH(Policies!I19))=(Settings!$B$5*12+17),Policies!G19,""))</f>
        <v/>
      </c>
      <c r="U19" s="53">
        <f>IF(Policies!I19="","",IF((YEAR(Policies!I19)*12+MONTH(Policies!I19))=(Settings!$B$5*12+18),Policies!G19,""))</f>
        <v/>
      </c>
      <c r="V19" s="53">
        <f>IF(Policies!I19="","",IF((YEAR(Policies!I19)*12+MONTH(Policies!I19))=(Settings!$B$5*12+19),Policies!G19,""))</f>
        <v/>
      </c>
      <c r="W19" s="53">
        <f>IF(Policies!I19="","",IF((YEAR(Policies!I19)*12+MONTH(Policies!I19))=(Settings!$B$5*12+20),Policies!G19,""))</f>
        <v/>
      </c>
      <c r="X19" s="53">
        <f>IF(Policies!I19="","",IF((YEAR(Policies!I19)*12+MONTH(Policies!I19))=(Settings!$B$5*12+21),Policies!G19,""))</f>
        <v/>
      </c>
      <c r="Y19" s="53">
        <f>IF(Policies!I19="","",IF((YEAR(Policies!I19)*12+MONTH(Policies!I19))=(Settings!$B$5*12+22),Policies!G19,""))</f>
        <v/>
      </c>
      <c r="Z19" s="53">
        <f>IF(Policies!I19="","",IF((YEAR(Policies!I19)*12+MONTH(Policies!I19))=(Settings!$B$5*12+23),Policies!G19,""))</f>
        <v/>
      </c>
      <c r="AA19" s="53">
        <f>IF(Policies!I19="","",IF((YEAR(Policies!I19)*12+MONTH(Policies!I19))=(Settings!$B$5*12+24),Policies!G19,""))</f>
        <v/>
      </c>
      <c r="AB19" s="54">
        <f>IF(SUM(D19:AA19)=0,"",SUM(D19:AA19))</f>
        <v/>
      </c>
    </row>
    <row r="20" ht="18" customHeight="1">
      <c r="A20" s="55">
        <f>IF(Policies!A20="","",Policies!A20)</f>
        <v/>
      </c>
      <c r="B20" s="55">
        <f>IF(Policies!B20="","",Policies!B20)</f>
        <v/>
      </c>
      <c r="C20" s="55">
        <f>IF(Policies!D20="","",Policies!D20)</f>
        <v/>
      </c>
      <c r="D20" s="56">
        <f>IF(Policies!I20="","",IF((YEAR(Policies!I20)*12+MONTH(Policies!I20))=(Settings!$B$5*12+1),Policies!G20,""))</f>
        <v/>
      </c>
      <c r="E20" s="56">
        <f>IF(Policies!I20="","",IF((YEAR(Policies!I20)*12+MONTH(Policies!I20))=(Settings!$B$5*12+2),Policies!G20,""))</f>
        <v/>
      </c>
      <c r="F20" s="56">
        <f>IF(Policies!I20="","",IF((YEAR(Policies!I20)*12+MONTH(Policies!I20))=(Settings!$B$5*12+3),Policies!G20,""))</f>
        <v/>
      </c>
      <c r="G20" s="56">
        <f>IF(Policies!I20="","",IF((YEAR(Policies!I20)*12+MONTH(Policies!I20))=(Settings!$B$5*12+4),Policies!G20,""))</f>
        <v/>
      </c>
      <c r="H20" s="56">
        <f>IF(Policies!I20="","",IF((YEAR(Policies!I20)*12+MONTH(Policies!I20))=(Settings!$B$5*12+5),Policies!G20,""))</f>
        <v/>
      </c>
      <c r="I20" s="56">
        <f>IF(Policies!I20="","",IF((YEAR(Policies!I20)*12+MONTH(Policies!I20))=(Settings!$B$5*12+6),Policies!G20,""))</f>
        <v/>
      </c>
      <c r="J20" s="56">
        <f>IF(Policies!I20="","",IF((YEAR(Policies!I20)*12+MONTH(Policies!I20))=(Settings!$B$5*12+7),Policies!G20,""))</f>
        <v/>
      </c>
      <c r="K20" s="56">
        <f>IF(Policies!I20="","",IF((YEAR(Policies!I20)*12+MONTH(Policies!I20))=(Settings!$B$5*12+8),Policies!G20,""))</f>
        <v/>
      </c>
      <c r="L20" s="56">
        <f>IF(Policies!I20="","",IF((YEAR(Policies!I20)*12+MONTH(Policies!I20))=(Settings!$B$5*12+9),Policies!G20,""))</f>
        <v/>
      </c>
      <c r="M20" s="56">
        <f>IF(Policies!I20="","",IF((YEAR(Policies!I20)*12+MONTH(Policies!I20))=(Settings!$B$5*12+10),Policies!G20,""))</f>
        <v/>
      </c>
      <c r="N20" s="56">
        <f>IF(Policies!I20="","",IF((YEAR(Policies!I20)*12+MONTH(Policies!I20))=(Settings!$B$5*12+11),Policies!G20,""))</f>
        <v/>
      </c>
      <c r="O20" s="56">
        <f>IF(Policies!I20="","",IF((YEAR(Policies!I20)*12+MONTH(Policies!I20))=(Settings!$B$5*12+12),Policies!G20,""))</f>
        <v/>
      </c>
      <c r="P20" s="56">
        <f>IF(Policies!I20="","",IF((YEAR(Policies!I20)*12+MONTH(Policies!I20))=(Settings!$B$5*12+13),Policies!G20,""))</f>
        <v/>
      </c>
      <c r="Q20" s="56">
        <f>IF(Policies!I20="","",IF((YEAR(Policies!I20)*12+MONTH(Policies!I20))=(Settings!$B$5*12+14),Policies!G20,""))</f>
        <v/>
      </c>
      <c r="R20" s="56">
        <f>IF(Policies!I20="","",IF((YEAR(Policies!I20)*12+MONTH(Policies!I20))=(Settings!$B$5*12+15),Policies!G20,""))</f>
        <v/>
      </c>
      <c r="S20" s="56">
        <f>IF(Policies!I20="","",IF((YEAR(Policies!I20)*12+MONTH(Policies!I20))=(Settings!$B$5*12+16),Policies!G20,""))</f>
        <v/>
      </c>
      <c r="T20" s="56">
        <f>IF(Policies!I20="","",IF((YEAR(Policies!I20)*12+MONTH(Policies!I20))=(Settings!$B$5*12+17),Policies!G20,""))</f>
        <v/>
      </c>
      <c r="U20" s="56">
        <f>IF(Policies!I20="","",IF((YEAR(Policies!I20)*12+MONTH(Policies!I20))=(Settings!$B$5*12+18),Policies!G20,""))</f>
        <v/>
      </c>
      <c r="V20" s="56">
        <f>IF(Policies!I20="","",IF((YEAR(Policies!I20)*12+MONTH(Policies!I20))=(Settings!$B$5*12+19),Policies!G20,""))</f>
        <v/>
      </c>
      <c r="W20" s="56">
        <f>IF(Policies!I20="","",IF((YEAR(Policies!I20)*12+MONTH(Policies!I20))=(Settings!$B$5*12+20),Policies!G20,""))</f>
        <v/>
      </c>
      <c r="X20" s="56">
        <f>IF(Policies!I20="","",IF((YEAR(Policies!I20)*12+MONTH(Policies!I20))=(Settings!$B$5*12+21),Policies!G20,""))</f>
        <v/>
      </c>
      <c r="Y20" s="56">
        <f>IF(Policies!I20="","",IF((YEAR(Policies!I20)*12+MONTH(Policies!I20))=(Settings!$B$5*12+22),Policies!G20,""))</f>
        <v/>
      </c>
      <c r="Z20" s="56">
        <f>IF(Policies!I20="","",IF((YEAR(Policies!I20)*12+MONTH(Policies!I20))=(Settings!$B$5*12+23),Policies!G20,""))</f>
        <v/>
      </c>
      <c r="AA20" s="56">
        <f>IF(Policies!I20="","",IF((YEAR(Policies!I20)*12+MONTH(Policies!I20))=(Settings!$B$5*12+24),Policies!G20,""))</f>
        <v/>
      </c>
      <c r="AB20" s="57">
        <f>IF(SUM(D20:AA20)=0,"",SUM(D20:AA20))</f>
        <v/>
      </c>
    </row>
    <row r="21" ht="18" customHeight="1">
      <c r="A21" s="52">
        <f>IF(Policies!A21="","",Policies!A21)</f>
        <v/>
      </c>
      <c r="B21" s="52">
        <f>IF(Policies!B21="","",Policies!B21)</f>
        <v/>
      </c>
      <c r="C21" s="52">
        <f>IF(Policies!D21="","",Policies!D21)</f>
        <v/>
      </c>
      <c r="D21" s="53">
        <f>IF(Policies!I21="","",IF((YEAR(Policies!I21)*12+MONTH(Policies!I21))=(Settings!$B$5*12+1),Policies!G21,""))</f>
        <v/>
      </c>
      <c r="E21" s="53">
        <f>IF(Policies!I21="","",IF((YEAR(Policies!I21)*12+MONTH(Policies!I21))=(Settings!$B$5*12+2),Policies!G21,""))</f>
        <v/>
      </c>
      <c r="F21" s="53">
        <f>IF(Policies!I21="","",IF((YEAR(Policies!I21)*12+MONTH(Policies!I21))=(Settings!$B$5*12+3),Policies!G21,""))</f>
        <v/>
      </c>
      <c r="G21" s="53">
        <f>IF(Policies!I21="","",IF((YEAR(Policies!I21)*12+MONTH(Policies!I21))=(Settings!$B$5*12+4),Policies!G21,""))</f>
        <v/>
      </c>
      <c r="H21" s="53">
        <f>IF(Policies!I21="","",IF((YEAR(Policies!I21)*12+MONTH(Policies!I21))=(Settings!$B$5*12+5),Policies!G21,""))</f>
        <v/>
      </c>
      <c r="I21" s="53">
        <f>IF(Policies!I21="","",IF((YEAR(Policies!I21)*12+MONTH(Policies!I21))=(Settings!$B$5*12+6),Policies!G21,""))</f>
        <v/>
      </c>
      <c r="J21" s="53">
        <f>IF(Policies!I21="","",IF((YEAR(Policies!I21)*12+MONTH(Policies!I21))=(Settings!$B$5*12+7),Policies!G21,""))</f>
        <v/>
      </c>
      <c r="K21" s="53">
        <f>IF(Policies!I21="","",IF((YEAR(Policies!I21)*12+MONTH(Policies!I21))=(Settings!$B$5*12+8),Policies!G21,""))</f>
        <v/>
      </c>
      <c r="L21" s="53">
        <f>IF(Policies!I21="","",IF((YEAR(Policies!I21)*12+MONTH(Policies!I21))=(Settings!$B$5*12+9),Policies!G21,""))</f>
        <v/>
      </c>
      <c r="M21" s="53">
        <f>IF(Policies!I21="","",IF((YEAR(Policies!I21)*12+MONTH(Policies!I21))=(Settings!$B$5*12+10),Policies!G21,""))</f>
        <v/>
      </c>
      <c r="N21" s="53">
        <f>IF(Policies!I21="","",IF((YEAR(Policies!I21)*12+MONTH(Policies!I21))=(Settings!$B$5*12+11),Policies!G21,""))</f>
        <v/>
      </c>
      <c r="O21" s="53">
        <f>IF(Policies!I21="","",IF((YEAR(Policies!I21)*12+MONTH(Policies!I21))=(Settings!$B$5*12+12),Policies!G21,""))</f>
        <v/>
      </c>
      <c r="P21" s="53">
        <f>IF(Policies!I21="","",IF((YEAR(Policies!I21)*12+MONTH(Policies!I21))=(Settings!$B$5*12+13),Policies!G21,""))</f>
        <v/>
      </c>
      <c r="Q21" s="53">
        <f>IF(Policies!I21="","",IF((YEAR(Policies!I21)*12+MONTH(Policies!I21))=(Settings!$B$5*12+14),Policies!G21,""))</f>
        <v/>
      </c>
      <c r="R21" s="53">
        <f>IF(Policies!I21="","",IF((YEAR(Policies!I21)*12+MONTH(Policies!I21))=(Settings!$B$5*12+15),Policies!G21,""))</f>
        <v/>
      </c>
      <c r="S21" s="53">
        <f>IF(Policies!I21="","",IF((YEAR(Policies!I21)*12+MONTH(Policies!I21))=(Settings!$B$5*12+16),Policies!G21,""))</f>
        <v/>
      </c>
      <c r="T21" s="53">
        <f>IF(Policies!I21="","",IF((YEAR(Policies!I21)*12+MONTH(Policies!I21))=(Settings!$B$5*12+17),Policies!G21,""))</f>
        <v/>
      </c>
      <c r="U21" s="53">
        <f>IF(Policies!I21="","",IF((YEAR(Policies!I21)*12+MONTH(Policies!I21))=(Settings!$B$5*12+18),Policies!G21,""))</f>
        <v/>
      </c>
      <c r="V21" s="53">
        <f>IF(Policies!I21="","",IF((YEAR(Policies!I21)*12+MONTH(Policies!I21))=(Settings!$B$5*12+19),Policies!G21,""))</f>
        <v/>
      </c>
      <c r="W21" s="53">
        <f>IF(Policies!I21="","",IF((YEAR(Policies!I21)*12+MONTH(Policies!I21))=(Settings!$B$5*12+20),Policies!G21,""))</f>
        <v/>
      </c>
      <c r="X21" s="53">
        <f>IF(Policies!I21="","",IF((YEAR(Policies!I21)*12+MONTH(Policies!I21))=(Settings!$B$5*12+21),Policies!G21,""))</f>
        <v/>
      </c>
      <c r="Y21" s="53">
        <f>IF(Policies!I21="","",IF((YEAR(Policies!I21)*12+MONTH(Policies!I21))=(Settings!$B$5*12+22),Policies!G21,""))</f>
        <v/>
      </c>
      <c r="Z21" s="53">
        <f>IF(Policies!I21="","",IF((YEAR(Policies!I21)*12+MONTH(Policies!I21))=(Settings!$B$5*12+23),Policies!G21,""))</f>
        <v/>
      </c>
      <c r="AA21" s="53">
        <f>IF(Policies!I21="","",IF((YEAR(Policies!I21)*12+MONTH(Policies!I21))=(Settings!$B$5*12+24),Policies!G21,""))</f>
        <v/>
      </c>
      <c r="AB21" s="54">
        <f>IF(SUM(D21:AA21)=0,"",SUM(D21:AA21))</f>
        <v/>
      </c>
    </row>
    <row r="22" ht="18" customHeight="1">
      <c r="A22" s="55">
        <f>IF(Policies!A22="","",Policies!A22)</f>
        <v/>
      </c>
      <c r="B22" s="55">
        <f>IF(Policies!B22="","",Policies!B22)</f>
        <v/>
      </c>
      <c r="C22" s="55">
        <f>IF(Policies!D22="","",Policies!D22)</f>
        <v/>
      </c>
      <c r="D22" s="56">
        <f>IF(Policies!I22="","",IF((YEAR(Policies!I22)*12+MONTH(Policies!I22))=(Settings!$B$5*12+1),Policies!G22,""))</f>
        <v/>
      </c>
      <c r="E22" s="56">
        <f>IF(Policies!I22="","",IF((YEAR(Policies!I22)*12+MONTH(Policies!I22))=(Settings!$B$5*12+2),Policies!G22,""))</f>
        <v/>
      </c>
      <c r="F22" s="56">
        <f>IF(Policies!I22="","",IF((YEAR(Policies!I22)*12+MONTH(Policies!I22))=(Settings!$B$5*12+3),Policies!G22,""))</f>
        <v/>
      </c>
      <c r="G22" s="56">
        <f>IF(Policies!I22="","",IF((YEAR(Policies!I22)*12+MONTH(Policies!I22))=(Settings!$B$5*12+4),Policies!G22,""))</f>
        <v/>
      </c>
      <c r="H22" s="56">
        <f>IF(Policies!I22="","",IF((YEAR(Policies!I22)*12+MONTH(Policies!I22))=(Settings!$B$5*12+5),Policies!G22,""))</f>
        <v/>
      </c>
      <c r="I22" s="56">
        <f>IF(Policies!I22="","",IF((YEAR(Policies!I22)*12+MONTH(Policies!I22))=(Settings!$B$5*12+6),Policies!G22,""))</f>
        <v/>
      </c>
      <c r="J22" s="56">
        <f>IF(Policies!I22="","",IF((YEAR(Policies!I22)*12+MONTH(Policies!I22))=(Settings!$B$5*12+7),Policies!G22,""))</f>
        <v/>
      </c>
      <c r="K22" s="56">
        <f>IF(Policies!I22="","",IF((YEAR(Policies!I22)*12+MONTH(Policies!I22))=(Settings!$B$5*12+8),Policies!G22,""))</f>
        <v/>
      </c>
      <c r="L22" s="56">
        <f>IF(Policies!I22="","",IF((YEAR(Policies!I22)*12+MONTH(Policies!I22))=(Settings!$B$5*12+9),Policies!G22,""))</f>
        <v/>
      </c>
      <c r="M22" s="56">
        <f>IF(Policies!I22="","",IF((YEAR(Policies!I22)*12+MONTH(Policies!I22))=(Settings!$B$5*12+10),Policies!G22,""))</f>
        <v/>
      </c>
      <c r="N22" s="56">
        <f>IF(Policies!I22="","",IF((YEAR(Policies!I22)*12+MONTH(Policies!I22))=(Settings!$B$5*12+11),Policies!G22,""))</f>
        <v/>
      </c>
      <c r="O22" s="56">
        <f>IF(Policies!I22="","",IF((YEAR(Policies!I22)*12+MONTH(Policies!I22))=(Settings!$B$5*12+12),Policies!G22,""))</f>
        <v/>
      </c>
      <c r="P22" s="56">
        <f>IF(Policies!I22="","",IF((YEAR(Policies!I22)*12+MONTH(Policies!I22))=(Settings!$B$5*12+13),Policies!G22,""))</f>
        <v/>
      </c>
      <c r="Q22" s="56">
        <f>IF(Policies!I22="","",IF((YEAR(Policies!I22)*12+MONTH(Policies!I22))=(Settings!$B$5*12+14),Policies!G22,""))</f>
        <v/>
      </c>
      <c r="R22" s="56">
        <f>IF(Policies!I22="","",IF((YEAR(Policies!I22)*12+MONTH(Policies!I22))=(Settings!$B$5*12+15),Policies!G22,""))</f>
        <v/>
      </c>
      <c r="S22" s="56">
        <f>IF(Policies!I22="","",IF((YEAR(Policies!I22)*12+MONTH(Policies!I22))=(Settings!$B$5*12+16),Policies!G22,""))</f>
        <v/>
      </c>
      <c r="T22" s="56">
        <f>IF(Policies!I22="","",IF((YEAR(Policies!I22)*12+MONTH(Policies!I22))=(Settings!$B$5*12+17),Policies!G22,""))</f>
        <v/>
      </c>
      <c r="U22" s="56">
        <f>IF(Policies!I22="","",IF((YEAR(Policies!I22)*12+MONTH(Policies!I22))=(Settings!$B$5*12+18),Policies!G22,""))</f>
        <v/>
      </c>
      <c r="V22" s="56">
        <f>IF(Policies!I22="","",IF((YEAR(Policies!I22)*12+MONTH(Policies!I22))=(Settings!$B$5*12+19),Policies!G22,""))</f>
        <v/>
      </c>
      <c r="W22" s="56">
        <f>IF(Policies!I22="","",IF((YEAR(Policies!I22)*12+MONTH(Policies!I22))=(Settings!$B$5*12+20),Policies!G22,""))</f>
        <v/>
      </c>
      <c r="X22" s="56">
        <f>IF(Policies!I22="","",IF((YEAR(Policies!I22)*12+MONTH(Policies!I22))=(Settings!$B$5*12+21),Policies!G22,""))</f>
        <v/>
      </c>
      <c r="Y22" s="56">
        <f>IF(Policies!I22="","",IF((YEAR(Policies!I22)*12+MONTH(Policies!I22))=(Settings!$B$5*12+22),Policies!G22,""))</f>
        <v/>
      </c>
      <c r="Z22" s="56">
        <f>IF(Policies!I22="","",IF((YEAR(Policies!I22)*12+MONTH(Policies!I22))=(Settings!$B$5*12+23),Policies!G22,""))</f>
        <v/>
      </c>
      <c r="AA22" s="56">
        <f>IF(Policies!I22="","",IF((YEAR(Policies!I22)*12+MONTH(Policies!I22))=(Settings!$B$5*12+24),Policies!G22,""))</f>
        <v/>
      </c>
      <c r="AB22" s="57">
        <f>IF(SUM(D22:AA22)=0,"",SUM(D22:AA22))</f>
        <v/>
      </c>
    </row>
    <row r="23" ht="18" customHeight="1">
      <c r="A23" s="52">
        <f>IF(Policies!A23="","",Policies!A23)</f>
        <v/>
      </c>
      <c r="B23" s="52">
        <f>IF(Policies!B23="","",Policies!B23)</f>
        <v/>
      </c>
      <c r="C23" s="52">
        <f>IF(Policies!D23="","",Policies!D23)</f>
        <v/>
      </c>
      <c r="D23" s="53">
        <f>IF(Policies!I23="","",IF((YEAR(Policies!I23)*12+MONTH(Policies!I23))=(Settings!$B$5*12+1),Policies!G23,""))</f>
        <v/>
      </c>
      <c r="E23" s="53">
        <f>IF(Policies!I23="","",IF((YEAR(Policies!I23)*12+MONTH(Policies!I23))=(Settings!$B$5*12+2),Policies!G23,""))</f>
        <v/>
      </c>
      <c r="F23" s="53">
        <f>IF(Policies!I23="","",IF((YEAR(Policies!I23)*12+MONTH(Policies!I23))=(Settings!$B$5*12+3),Policies!G23,""))</f>
        <v/>
      </c>
      <c r="G23" s="53">
        <f>IF(Policies!I23="","",IF((YEAR(Policies!I23)*12+MONTH(Policies!I23))=(Settings!$B$5*12+4),Policies!G23,""))</f>
        <v/>
      </c>
      <c r="H23" s="53">
        <f>IF(Policies!I23="","",IF((YEAR(Policies!I23)*12+MONTH(Policies!I23))=(Settings!$B$5*12+5),Policies!G23,""))</f>
        <v/>
      </c>
      <c r="I23" s="53">
        <f>IF(Policies!I23="","",IF((YEAR(Policies!I23)*12+MONTH(Policies!I23))=(Settings!$B$5*12+6),Policies!G23,""))</f>
        <v/>
      </c>
      <c r="J23" s="53">
        <f>IF(Policies!I23="","",IF((YEAR(Policies!I23)*12+MONTH(Policies!I23))=(Settings!$B$5*12+7),Policies!G23,""))</f>
        <v/>
      </c>
      <c r="K23" s="53">
        <f>IF(Policies!I23="","",IF((YEAR(Policies!I23)*12+MONTH(Policies!I23))=(Settings!$B$5*12+8),Policies!G23,""))</f>
        <v/>
      </c>
      <c r="L23" s="53">
        <f>IF(Policies!I23="","",IF((YEAR(Policies!I23)*12+MONTH(Policies!I23))=(Settings!$B$5*12+9),Policies!G23,""))</f>
        <v/>
      </c>
      <c r="M23" s="53">
        <f>IF(Policies!I23="","",IF((YEAR(Policies!I23)*12+MONTH(Policies!I23))=(Settings!$B$5*12+10),Policies!G23,""))</f>
        <v/>
      </c>
      <c r="N23" s="53">
        <f>IF(Policies!I23="","",IF((YEAR(Policies!I23)*12+MONTH(Policies!I23))=(Settings!$B$5*12+11),Policies!G23,""))</f>
        <v/>
      </c>
      <c r="O23" s="53">
        <f>IF(Policies!I23="","",IF((YEAR(Policies!I23)*12+MONTH(Policies!I23))=(Settings!$B$5*12+12),Policies!G23,""))</f>
        <v/>
      </c>
      <c r="P23" s="53">
        <f>IF(Policies!I23="","",IF((YEAR(Policies!I23)*12+MONTH(Policies!I23))=(Settings!$B$5*12+13),Policies!G23,""))</f>
        <v/>
      </c>
      <c r="Q23" s="53">
        <f>IF(Policies!I23="","",IF((YEAR(Policies!I23)*12+MONTH(Policies!I23))=(Settings!$B$5*12+14),Policies!G23,""))</f>
        <v/>
      </c>
      <c r="R23" s="53">
        <f>IF(Policies!I23="","",IF((YEAR(Policies!I23)*12+MONTH(Policies!I23))=(Settings!$B$5*12+15),Policies!G23,""))</f>
        <v/>
      </c>
      <c r="S23" s="53">
        <f>IF(Policies!I23="","",IF((YEAR(Policies!I23)*12+MONTH(Policies!I23))=(Settings!$B$5*12+16),Policies!G23,""))</f>
        <v/>
      </c>
      <c r="T23" s="53">
        <f>IF(Policies!I23="","",IF((YEAR(Policies!I23)*12+MONTH(Policies!I23))=(Settings!$B$5*12+17),Policies!G23,""))</f>
        <v/>
      </c>
      <c r="U23" s="53">
        <f>IF(Policies!I23="","",IF((YEAR(Policies!I23)*12+MONTH(Policies!I23))=(Settings!$B$5*12+18),Policies!G23,""))</f>
        <v/>
      </c>
      <c r="V23" s="53">
        <f>IF(Policies!I23="","",IF((YEAR(Policies!I23)*12+MONTH(Policies!I23))=(Settings!$B$5*12+19),Policies!G23,""))</f>
        <v/>
      </c>
      <c r="W23" s="53">
        <f>IF(Policies!I23="","",IF((YEAR(Policies!I23)*12+MONTH(Policies!I23))=(Settings!$B$5*12+20),Policies!G23,""))</f>
        <v/>
      </c>
      <c r="X23" s="53">
        <f>IF(Policies!I23="","",IF((YEAR(Policies!I23)*12+MONTH(Policies!I23))=(Settings!$B$5*12+21),Policies!G23,""))</f>
        <v/>
      </c>
      <c r="Y23" s="53">
        <f>IF(Policies!I23="","",IF((YEAR(Policies!I23)*12+MONTH(Policies!I23))=(Settings!$B$5*12+22),Policies!G23,""))</f>
        <v/>
      </c>
      <c r="Z23" s="53">
        <f>IF(Policies!I23="","",IF((YEAR(Policies!I23)*12+MONTH(Policies!I23))=(Settings!$B$5*12+23),Policies!G23,""))</f>
        <v/>
      </c>
      <c r="AA23" s="53">
        <f>IF(Policies!I23="","",IF((YEAR(Policies!I23)*12+MONTH(Policies!I23))=(Settings!$B$5*12+24),Policies!G23,""))</f>
        <v/>
      </c>
      <c r="AB23" s="54">
        <f>IF(SUM(D23:AA23)=0,"",SUM(D23:AA23))</f>
        <v/>
      </c>
    </row>
    <row r="24" ht="18" customHeight="1">
      <c r="A24" s="55">
        <f>IF(Policies!A24="","",Policies!A24)</f>
        <v/>
      </c>
      <c r="B24" s="55">
        <f>IF(Policies!B24="","",Policies!B24)</f>
        <v/>
      </c>
      <c r="C24" s="55">
        <f>IF(Policies!D24="","",Policies!D24)</f>
        <v/>
      </c>
      <c r="D24" s="56">
        <f>IF(Policies!I24="","",IF((YEAR(Policies!I24)*12+MONTH(Policies!I24))=(Settings!$B$5*12+1),Policies!G24,""))</f>
        <v/>
      </c>
      <c r="E24" s="56">
        <f>IF(Policies!I24="","",IF((YEAR(Policies!I24)*12+MONTH(Policies!I24))=(Settings!$B$5*12+2),Policies!G24,""))</f>
        <v/>
      </c>
      <c r="F24" s="56">
        <f>IF(Policies!I24="","",IF((YEAR(Policies!I24)*12+MONTH(Policies!I24))=(Settings!$B$5*12+3),Policies!G24,""))</f>
        <v/>
      </c>
      <c r="G24" s="56">
        <f>IF(Policies!I24="","",IF((YEAR(Policies!I24)*12+MONTH(Policies!I24))=(Settings!$B$5*12+4),Policies!G24,""))</f>
        <v/>
      </c>
      <c r="H24" s="56">
        <f>IF(Policies!I24="","",IF((YEAR(Policies!I24)*12+MONTH(Policies!I24))=(Settings!$B$5*12+5),Policies!G24,""))</f>
        <v/>
      </c>
      <c r="I24" s="56">
        <f>IF(Policies!I24="","",IF((YEAR(Policies!I24)*12+MONTH(Policies!I24))=(Settings!$B$5*12+6),Policies!G24,""))</f>
        <v/>
      </c>
      <c r="J24" s="56">
        <f>IF(Policies!I24="","",IF((YEAR(Policies!I24)*12+MONTH(Policies!I24))=(Settings!$B$5*12+7),Policies!G24,""))</f>
        <v/>
      </c>
      <c r="K24" s="56">
        <f>IF(Policies!I24="","",IF((YEAR(Policies!I24)*12+MONTH(Policies!I24))=(Settings!$B$5*12+8),Policies!G24,""))</f>
        <v/>
      </c>
      <c r="L24" s="56">
        <f>IF(Policies!I24="","",IF((YEAR(Policies!I24)*12+MONTH(Policies!I24))=(Settings!$B$5*12+9),Policies!G24,""))</f>
        <v/>
      </c>
      <c r="M24" s="56">
        <f>IF(Policies!I24="","",IF((YEAR(Policies!I24)*12+MONTH(Policies!I24))=(Settings!$B$5*12+10),Policies!G24,""))</f>
        <v/>
      </c>
      <c r="N24" s="56">
        <f>IF(Policies!I24="","",IF((YEAR(Policies!I24)*12+MONTH(Policies!I24))=(Settings!$B$5*12+11),Policies!G24,""))</f>
        <v/>
      </c>
      <c r="O24" s="56">
        <f>IF(Policies!I24="","",IF((YEAR(Policies!I24)*12+MONTH(Policies!I24))=(Settings!$B$5*12+12),Policies!G24,""))</f>
        <v/>
      </c>
      <c r="P24" s="56">
        <f>IF(Policies!I24="","",IF((YEAR(Policies!I24)*12+MONTH(Policies!I24))=(Settings!$B$5*12+13),Policies!G24,""))</f>
        <v/>
      </c>
      <c r="Q24" s="56">
        <f>IF(Policies!I24="","",IF((YEAR(Policies!I24)*12+MONTH(Policies!I24))=(Settings!$B$5*12+14),Policies!G24,""))</f>
        <v/>
      </c>
      <c r="R24" s="56">
        <f>IF(Policies!I24="","",IF((YEAR(Policies!I24)*12+MONTH(Policies!I24))=(Settings!$B$5*12+15),Policies!G24,""))</f>
        <v/>
      </c>
      <c r="S24" s="56">
        <f>IF(Policies!I24="","",IF((YEAR(Policies!I24)*12+MONTH(Policies!I24))=(Settings!$B$5*12+16),Policies!G24,""))</f>
        <v/>
      </c>
      <c r="T24" s="56">
        <f>IF(Policies!I24="","",IF((YEAR(Policies!I24)*12+MONTH(Policies!I24))=(Settings!$B$5*12+17),Policies!G24,""))</f>
        <v/>
      </c>
      <c r="U24" s="56">
        <f>IF(Policies!I24="","",IF((YEAR(Policies!I24)*12+MONTH(Policies!I24))=(Settings!$B$5*12+18),Policies!G24,""))</f>
        <v/>
      </c>
      <c r="V24" s="56">
        <f>IF(Policies!I24="","",IF((YEAR(Policies!I24)*12+MONTH(Policies!I24))=(Settings!$B$5*12+19),Policies!G24,""))</f>
        <v/>
      </c>
      <c r="W24" s="56">
        <f>IF(Policies!I24="","",IF((YEAR(Policies!I24)*12+MONTH(Policies!I24))=(Settings!$B$5*12+20),Policies!G24,""))</f>
        <v/>
      </c>
      <c r="X24" s="56">
        <f>IF(Policies!I24="","",IF((YEAR(Policies!I24)*12+MONTH(Policies!I24))=(Settings!$B$5*12+21),Policies!G24,""))</f>
        <v/>
      </c>
      <c r="Y24" s="56">
        <f>IF(Policies!I24="","",IF((YEAR(Policies!I24)*12+MONTH(Policies!I24))=(Settings!$B$5*12+22),Policies!G24,""))</f>
        <v/>
      </c>
      <c r="Z24" s="56">
        <f>IF(Policies!I24="","",IF((YEAR(Policies!I24)*12+MONTH(Policies!I24))=(Settings!$B$5*12+23),Policies!G24,""))</f>
        <v/>
      </c>
      <c r="AA24" s="56">
        <f>IF(Policies!I24="","",IF((YEAR(Policies!I24)*12+MONTH(Policies!I24))=(Settings!$B$5*12+24),Policies!G24,""))</f>
        <v/>
      </c>
      <c r="AB24" s="57">
        <f>IF(SUM(D24:AA24)=0,"",SUM(D24:AA24))</f>
        <v/>
      </c>
    </row>
    <row r="25" ht="18" customHeight="1">
      <c r="A25" s="52">
        <f>IF(Policies!A25="","",Policies!A25)</f>
        <v/>
      </c>
      <c r="B25" s="52">
        <f>IF(Policies!B25="","",Policies!B25)</f>
        <v/>
      </c>
      <c r="C25" s="52">
        <f>IF(Policies!D25="","",Policies!D25)</f>
        <v/>
      </c>
      <c r="D25" s="53">
        <f>IF(Policies!I25="","",IF((YEAR(Policies!I25)*12+MONTH(Policies!I25))=(Settings!$B$5*12+1),Policies!G25,""))</f>
        <v/>
      </c>
      <c r="E25" s="53">
        <f>IF(Policies!I25="","",IF((YEAR(Policies!I25)*12+MONTH(Policies!I25))=(Settings!$B$5*12+2),Policies!G25,""))</f>
        <v/>
      </c>
      <c r="F25" s="53">
        <f>IF(Policies!I25="","",IF((YEAR(Policies!I25)*12+MONTH(Policies!I25))=(Settings!$B$5*12+3),Policies!G25,""))</f>
        <v/>
      </c>
      <c r="G25" s="53">
        <f>IF(Policies!I25="","",IF((YEAR(Policies!I25)*12+MONTH(Policies!I25))=(Settings!$B$5*12+4),Policies!G25,""))</f>
        <v/>
      </c>
      <c r="H25" s="53">
        <f>IF(Policies!I25="","",IF((YEAR(Policies!I25)*12+MONTH(Policies!I25))=(Settings!$B$5*12+5),Policies!G25,""))</f>
        <v/>
      </c>
      <c r="I25" s="53">
        <f>IF(Policies!I25="","",IF((YEAR(Policies!I25)*12+MONTH(Policies!I25))=(Settings!$B$5*12+6),Policies!G25,""))</f>
        <v/>
      </c>
      <c r="J25" s="53">
        <f>IF(Policies!I25="","",IF((YEAR(Policies!I25)*12+MONTH(Policies!I25))=(Settings!$B$5*12+7),Policies!G25,""))</f>
        <v/>
      </c>
      <c r="K25" s="53">
        <f>IF(Policies!I25="","",IF((YEAR(Policies!I25)*12+MONTH(Policies!I25))=(Settings!$B$5*12+8),Policies!G25,""))</f>
        <v/>
      </c>
      <c r="L25" s="53">
        <f>IF(Policies!I25="","",IF((YEAR(Policies!I25)*12+MONTH(Policies!I25))=(Settings!$B$5*12+9),Policies!G25,""))</f>
        <v/>
      </c>
      <c r="M25" s="53">
        <f>IF(Policies!I25="","",IF((YEAR(Policies!I25)*12+MONTH(Policies!I25))=(Settings!$B$5*12+10),Policies!G25,""))</f>
        <v/>
      </c>
      <c r="N25" s="53">
        <f>IF(Policies!I25="","",IF((YEAR(Policies!I25)*12+MONTH(Policies!I25))=(Settings!$B$5*12+11),Policies!G25,""))</f>
        <v/>
      </c>
      <c r="O25" s="53">
        <f>IF(Policies!I25="","",IF((YEAR(Policies!I25)*12+MONTH(Policies!I25))=(Settings!$B$5*12+12),Policies!G25,""))</f>
        <v/>
      </c>
      <c r="P25" s="53">
        <f>IF(Policies!I25="","",IF((YEAR(Policies!I25)*12+MONTH(Policies!I25))=(Settings!$B$5*12+13),Policies!G25,""))</f>
        <v/>
      </c>
      <c r="Q25" s="53">
        <f>IF(Policies!I25="","",IF((YEAR(Policies!I25)*12+MONTH(Policies!I25))=(Settings!$B$5*12+14),Policies!G25,""))</f>
        <v/>
      </c>
      <c r="R25" s="53">
        <f>IF(Policies!I25="","",IF((YEAR(Policies!I25)*12+MONTH(Policies!I25))=(Settings!$B$5*12+15),Policies!G25,""))</f>
        <v/>
      </c>
      <c r="S25" s="53">
        <f>IF(Policies!I25="","",IF((YEAR(Policies!I25)*12+MONTH(Policies!I25))=(Settings!$B$5*12+16),Policies!G25,""))</f>
        <v/>
      </c>
      <c r="T25" s="53">
        <f>IF(Policies!I25="","",IF((YEAR(Policies!I25)*12+MONTH(Policies!I25))=(Settings!$B$5*12+17),Policies!G25,""))</f>
        <v/>
      </c>
      <c r="U25" s="53">
        <f>IF(Policies!I25="","",IF((YEAR(Policies!I25)*12+MONTH(Policies!I25))=(Settings!$B$5*12+18),Policies!G25,""))</f>
        <v/>
      </c>
      <c r="V25" s="53">
        <f>IF(Policies!I25="","",IF((YEAR(Policies!I25)*12+MONTH(Policies!I25))=(Settings!$B$5*12+19),Policies!G25,""))</f>
        <v/>
      </c>
      <c r="W25" s="53">
        <f>IF(Policies!I25="","",IF((YEAR(Policies!I25)*12+MONTH(Policies!I25))=(Settings!$B$5*12+20),Policies!G25,""))</f>
        <v/>
      </c>
      <c r="X25" s="53">
        <f>IF(Policies!I25="","",IF((YEAR(Policies!I25)*12+MONTH(Policies!I25))=(Settings!$B$5*12+21),Policies!G25,""))</f>
        <v/>
      </c>
      <c r="Y25" s="53">
        <f>IF(Policies!I25="","",IF((YEAR(Policies!I25)*12+MONTH(Policies!I25))=(Settings!$B$5*12+22),Policies!G25,""))</f>
        <v/>
      </c>
      <c r="Z25" s="53">
        <f>IF(Policies!I25="","",IF((YEAR(Policies!I25)*12+MONTH(Policies!I25))=(Settings!$B$5*12+23),Policies!G25,""))</f>
        <v/>
      </c>
      <c r="AA25" s="53">
        <f>IF(Policies!I25="","",IF((YEAR(Policies!I25)*12+MONTH(Policies!I25))=(Settings!$B$5*12+24),Policies!G25,""))</f>
        <v/>
      </c>
      <c r="AB25" s="54">
        <f>IF(SUM(D25:AA25)=0,"",SUM(D25:AA25))</f>
        <v/>
      </c>
    </row>
    <row r="26" ht="18" customHeight="1">
      <c r="A26" s="55">
        <f>IF(Policies!A26="","",Policies!A26)</f>
        <v/>
      </c>
      <c r="B26" s="55">
        <f>IF(Policies!B26="","",Policies!B26)</f>
        <v/>
      </c>
      <c r="C26" s="55">
        <f>IF(Policies!D26="","",Policies!D26)</f>
        <v/>
      </c>
      <c r="D26" s="56">
        <f>IF(Policies!I26="","",IF((YEAR(Policies!I26)*12+MONTH(Policies!I26))=(Settings!$B$5*12+1),Policies!G26,""))</f>
        <v/>
      </c>
      <c r="E26" s="56">
        <f>IF(Policies!I26="","",IF((YEAR(Policies!I26)*12+MONTH(Policies!I26))=(Settings!$B$5*12+2),Policies!G26,""))</f>
        <v/>
      </c>
      <c r="F26" s="56">
        <f>IF(Policies!I26="","",IF((YEAR(Policies!I26)*12+MONTH(Policies!I26))=(Settings!$B$5*12+3),Policies!G26,""))</f>
        <v/>
      </c>
      <c r="G26" s="56">
        <f>IF(Policies!I26="","",IF((YEAR(Policies!I26)*12+MONTH(Policies!I26))=(Settings!$B$5*12+4),Policies!G26,""))</f>
        <v/>
      </c>
      <c r="H26" s="56">
        <f>IF(Policies!I26="","",IF((YEAR(Policies!I26)*12+MONTH(Policies!I26))=(Settings!$B$5*12+5),Policies!G26,""))</f>
        <v/>
      </c>
      <c r="I26" s="56">
        <f>IF(Policies!I26="","",IF((YEAR(Policies!I26)*12+MONTH(Policies!I26))=(Settings!$B$5*12+6),Policies!G26,""))</f>
        <v/>
      </c>
      <c r="J26" s="56">
        <f>IF(Policies!I26="","",IF((YEAR(Policies!I26)*12+MONTH(Policies!I26))=(Settings!$B$5*12+7),Policies!G26,""))</f>
        <v/>
      </c>
      <c r="K26" s="56">
        <f>IF(Policies!I26="","",IF((YEAR(Policies!I26)*12+MONTH(Policies!I26))=(Settings!$B$5*12+8),Policies!G26,""))</f>
        <v/>
      </c>
      <c r="L26" s="56">
        <f>IF(Policies!I26="","",IF((YEAR(Policies!I26)*12+MONTH(Policies!I26))=(Settings!$B$5*12+9),Policies!G26,""))</f>
        <v/>
      </c>
      <c r="M26" s="56">
        <f>IF(Policies!I26="","",IF((YEAR(Policies!I26)*12+MONTH(Policies!I26))=(Settings!$B$5*12+10),Policies!G26,""))</f>
        <v/>
      </c>
      <c r="N26" s="56">
        <f>IF(Policies!I26="","",IF((YEAR(Policies!I26)*12+MONTH(Policies!I26))=(Settings!$B$5*12+11),Policies!G26,""))</f>
        <v/>
      </c>
      <c r="O26" s="56">
        <f>IF(Policies!I26="","",IF((YEAR(Policies!I26)*12+MONTH(Policies!I26))=(Settings!$B$5*12+12),Policies!G26,""))</f>
        <v/>
      </c>
      <c r="P26" s="56">
        <f>IF(Policies!I26="","",IF((YEAR(Policies!I26)*12+MONTH(Policies!I26))=(Settings!$B$5*12+13),Policies!G26,""))</f>
        <v/>
      </c>
      <c r="Q26" s="56">
        <f>IF(Policies!I26="","",IF((YEAR(Policies!I26)*12+MONTH(Policies!I26))=(Settings!$B$5*12+14),Policies!G26,""))</f>
        <v/>
      </c>
      <c r="R26" s="56">
        <f>IF(Policies!I26="","",IF((YEAR(Policies!I26)*12+MONTH(Policies!I26))=(Settings!$B$5*12+15),Policies!G26,""))</f>
        <v/>
      </c>
      <c r="S26" s="56">
        <f>IF(Policies!I26="","",IF((YEAR(Policies!I26)*12+MONTH(Policies!I26))=(Settings!$B$5*12+16),Policies!G26,""))</f>
        <v/>
      </c>
      <c r="T26" s="56">
        <f>IF(Policies!I26="","",IF((YEAR(Policies!I26)*12+MONTH(Policies!I26))=(Settings!$B$5*12+17),Policies!G26,""))</f>
        <v/>
      </c>
      <c r="U26" s="56">
        <f>IF(Policies!I26="","",IF((YEAR(Policies!I26)*12+MONTH(Policies!I26))=(Settings!$B$5*12+18),Policies!G26,""))</f>
        <v/>
      </c>
      <c r="V26" s="56">
        <f>IF(Policies!I26="","",IF((YEAR(Policies!I26)*12+MONTH(Policies!I26))=(Settings!$B$5*12+19),Policies!G26,""))</f>
        <v/>
      </c>
      <c r="W26" s="56">
        <f>IF(Policies!I26="","",IF((YEAR(Policies!I26)*12+MONTH(Policies!I26))=(Settings!$B$5*12+20),Policies!G26,""))</f>
        <v/>
      </c>
      <c r="X26" s="56">
        <f>IF(Policies!I26="","",IF((YEAR(Policies!I26)*12+MONTH(Policies!I26))=(Settings!$B$5*12+21),Policies!G26,""))</f>
        <v/>
      </c>
      <c r="Y26" s="56">
        <f>IF(Policies!I26="","",IF((YEAR(Policies!I26)*12+MONTH(Policies!I26))=(Settings!$B$5*12+22),Policies!G26,""))</f>
        <v/>
      </c>
      <c r="Z26" s="56">
        <f>IF(Policies!I26="","",IF((YEAR(Policies!I26)*12+MONTH(Policies!I26))=(Settings!$B$5*12+23),Policies!G26,""))</f>
        <v/>
      </c>
      <c r="AA26" s="56">
        <f>IF(Policies!I26="","",IF((YEAR(Policies!I26)*12+MONTH(Policies!I26))=(Settings!$B$5*12+24),Policies!G26,""))</f>
        <v/>
      </c>
      <c r="AB26" s="57">
        <f>IF(SUM(D26:AA26)=0,"",SUM(D26:AA26))</f>
        <v/>
      </c>
    </row>
    <row r="27" ht="18" customHeight="1">
      <c r="A27" s="52">
        <f>IF(Policies!A27="","",Policies!A27)</f>
        <v/>
      </c>
      <c r="B27" s="52">
        <f>IF(Policies!B27="","",Policies!B27)</f>
        <v/>
      </c>
      <c r="C27" s="52">
        <f>IF(Policies!D27="","",Policies!D27)</f>
        <v/>
      </c>
      <c r="D27" s="53">
        <f>IF(Policies!I27="","",IF((YEAR(Policies!I27)*12+MONTH(Policies!I27))=(Settings!$B$5*12+1),Policies!G27,""))</f>
        <v/>
      </c>
      <c r="E27" s="53">
        <f>IF(Policies!I27="","",IF((YEAR(Policies!I27)*12+MONTH(Policies!I27))=(Settings!$B$5*12+2),Policies!G27,""))</f>
        <v/>
      </c>
      <c r="F27" s="53">
        <f>IF(Policies!I27="","",IF((YEAR(Policies!I27)*12+MONTH(Policies!I27))=(Settings!$B$5*12+3),Policies!G27,""))</f>
        <v/>
      </c>
      <c r="G27" s="53">
        <f>IF(Policies!I27="","",IF((YEAR(Policies!I27)*12+MONTH(Policies!I27))=(Settings!$B$5*12+4),Policies!G27,""))</f>
        <v/>
      </c>
      <c r="H27" s="53">
        <f>IF(Policies!I27="","",IF((YEAR(Policies!I27)*12+MONTH(Policies!I27))=(Settings!$B$5*12+5),Policies!G27,""))</f>
        <v/>
      </c>
      <c r="I27" s="53">
        <f>IF(Policies!I27="","",IF((YEAR(Policies!I27)*12+MONTH(Policies!I27))=(Settings!$B$5*12+6),Policies!G27,""))</f>
        <v/>
      </c>
      <c r="J27" s="53">
        <f>IF(Policies!I27="","",IF((YEAR(Policies!I27)*12+MONTH(Policies!I27))=(Settings!$B$5*12+7),Policies!G27,""))</f>
        <v/>
      </c>
      <c r="K27" s="53">
        <f>IF(Policies!I27="","",IF((YEAR(Policies!I27)*12+MONTH(Policies!I27))=(Settings!$B$5*12+8),Policies!G27,""))</f>
        <v/>
      </c>
      <c r="L27" s="53">
        <f>IF(Policies!I27="","",IF((YEAR(Policies!I27)*12+MONTH(Policies!I27))=(Settings!$B$5*12+9),Policies!G27,""))</f>
        <v/>
      </c>
      <c r="M27" s="53">
        <f>IF(Policies!I27="","",IF((YEAR(Policies!I27)*12+MONTH(Policies!I27))=(Settings!$B$5*12+10),Policies!G27,""))</f>
        <v/>
      </c>
      <c r="N27" s="53">
        <f>IF(Policies!I27="","",IF((YEAR(Policies!I27)*12+MONTH(Policies!I27))=(Settings!$B$5*12+11),Policies!G27,""))</f>
        <v/>
      </c>
      <c r="O27" s="53">
        <f>IF(Policies!I27="","",IF((YEAR(Policies!I27)*12+MONTH(Policies!I27))=(Settings!$B$5*12+12),Policies!G27,""))</f>
        <v/>
      </c>
      <c r="P27" s="53">
        <f>IF(Policies!I27="","",IF((YEAR(Policies!I27)*12+MONTH(Policies!I27))=(Settings!$B$5*12+13),Policies!G27,""))</f>
        <v/>
      </c>
      <c r="Q27" s="53">
        <f>IF(Policies!I27="","",IF((YEAR(Policies!I27)*12+MONTH(Policies!I27))=(Settings!$B$5*12+14),Policies!G27,""))</f>
        <v/>
      </c>
      <c r="R27" s="53">
        <f>IF(Policies!I27="","",IF((YEAR(Policies!I27)*12+MONTH(Policies!I27))=(Settings!$B$5*12+15),Policies!G27,""))</f>
        <v/>
      </c>
      <c r="S27" s="53">
        <f>IF(Policies!I27="","",IF((YEAR(Policies!I27)*12+MONTH(Policies!I27))=(Settings!$B$5*12+16),Policies!G27,""))</f>
        <v/>
      </c>
      <c r="T27" s="53">
        <f>IF(Policies!I27="","",IF((YEAR(Policies!I27)*12+MONTH(Policies!I27))=(Settings!$B$5*12+17),Policies!G27,""))</f>
        <v/>
      </c>
      <c r="U27" s="53">
        <f>IF(Policies!I27="","",IF((YEAR(Policies!I27)*12+MONTH(Policies!I27))=(Settings!$B$5*12+18),Policies!G27,""))</f>
        <v/>
      </c>
      <c r="V27" s="53">
        <f>IF(Policies!I27="","",IF((YEAR(Policies!I27)*12+MONTH(Policies!I27))=(Settings!$B$5*12+19),Policies!G27,""))</f>
        <v/>
      </c>
      <c r="W27" s="53">
        <f>IF(Policies!I27="","",IF((YEAR(Policies!I27)*12+MONTH(Policies!I27))=(Settings!$B$5*12+20),Policies!G27,""))</f>
        <v/>
      </c>
      <c r="X27" s="53">
        <f>IF(Policies!I27="","",IF((YEAR(Policies!I27)*12+MONTH(Policies!I27))=(Settings!$B$5*12+21),Policies!G27,""))</f>
        <v/>
      </c>
      <c r="Y27" s="53">
        <f>IF(Policies!I27="","",IF((YEAR(Policies!I27)*12+MONTH(Policies!I27))=(Settings!$B$5*12+22),Policies!G27,""))</f>
        <v/>
      </c>
      <c r="Z27" s="53">
        <f>IF(Policies!I27="","",IF((YEAR(Policies!I27)*12+MONTH(Policies!I27))=(Settings!$B$5*12+23),Policies!G27,""))</f>
        <v/>
      </c>
      <c r="AA27" s="53">
        <f>IF(Policies!I27="","",IF((YEAR(Policies!I27)*12+MONTH(Policies!I27))=(Settings!$B$5*12+24),Policies!G27,""))</f>
        <v/>
      </c>
      <c r="AB27" s="54">
        <f>IF(SUM(D27:AA27)=0,"",SUM(D27:AA27))</f>
        <v/>
      </c>
    </row>
    <row r="28" ht="18" customHeight="1">
      <c r="A28" s="55">
        <f>IF(Policies!A28="","",Policies!A28)</f>
        <v/>
      </c>
      <c r="B28" s="55">
        <f>IF(Policies!B28="","",Policies!B28)</f>
        <v/>
      </c>
      <c r="C28" s="55">
        <f>IF(Policies!D28="","",Policies!D28)</f>
        <v/>
      </c>
      <c r="D28" s="56">
        <f>IF(Policies!I28="","",IF((YEAR(Policies!I28)*12+MONTH(Policies!I28))=(Settings!$B$5*12+1),Policies!G28,""))</f>
        <v/>
      </c>
      <c r="E28" s="56">
        <f>IF(Policies!I28="","",IF((YEAR(Policies!I28)*12+MONTH(Policies!I28))=(Settings!$B$5*12+2),Policies!G28,""))</f>
        <v/>
      </c>
      <c r="F28" s="56">
        <f>IF(Policies!I28="","",IF((YEAR(Policies!I28)*12+MONTH(Policies!I28))=(Settings!$B$5*12+3),Policies!G28,""))</f>
        <v/>
      </c>
      <c r="G28" s="56">
        <f>IF(Policies!I28="","",IF((YEAR(Policies!I28)*12+MONTH(Policies!I28))=(Settings!$B$5*12+4),Policies!G28,""))</f>
        <v/>
      </c>
      <c r="H28" s="56">
        <f>IF(Policies!I28="","",IF((YEAR(Policies!I28)*12+MONTH(Policies!I28))=(Settings!$B$5*12+5),Policies!G28,""))</f>
        <v/>
      </c>
      <c r="I28" s="56">
        <f>IF(Policies!I28="","",IF((YEAR(Policies!I28)*12+MONTH(Policies!I28))=(Settings!$B$5*12+6),Policies!G28,""))</f>
        <v/>
      </c>
      <c r="J28" s="56">
        <f>IF(Policies!I28="","",IF((YEAR(Policies!I28)*12+MONTH(Policies!I28))=(Settings!$B$5*12+7),Policies!G28,""))</f>
        <v/>
      </c>
      <c r="K28" s="56">
        <f>IF(Policies!I28="","",IF((YEAR(Policies!I28)*12+MONTH(Policies!I28))=(Settings!$B$5*12+8),Policies!G28,""))</f>
        <v/>
      </c>
      <c r="L28" s="56">
        <f>IF(Policies!I28="","",IF((YEAR(Policies!I28)*12+MONTH(Policies!I28))=(Settings!$B$5*12+9),Policies!G28,""))</f>
        <v/>
      </c>
      <c r="M28" s="56">
        <f>IF(Policies!I28="","",IF((YEAR(Policies!I28)*12+MONTH(Policies!I28))=(Settings!$B$5*12+10),Policies!G28,""))</f>
        <v/>
      </c>
      <c r="N28" s="56">
        <f>IF(Policies!I28="","",IF((YEAR(Policies!I28)*12+MONTH(Policies!I28))=(Settings!$B$5*12+11),Policies!G28,""))</f>
        <v/>
      </c>
      <c r="O28" s="56">
        <f>IF(Policies!I28="","",IF((YEAR(Policies!I28)*12+MONTH(Policies!I28))=(Settings!$B$5*12+12),Policies!G28,""))</f>
        <v/>
      </c>
      <c r="P28" s="56">
        <f>IF(Policies!I28="","",IF((YEAR(Policies!I28)*12+MONTH(Policies!I28))=(Settings!$B$5*12+13),Policies!G28,""))</f>
        <v/>
      </c>
      <c r="Q28" s="56">
        <f>IF(Policies!I28="","",IF((YEAR(Policies!I28)*12+MONTH(Policies!I28))=(Settings!$B$5*12+14),Policies!G28,""))</f>
        <v/>
      </c>
      <c r="R28" s="56">
        <f>IF(Policies!I28="","",IF((YEAR(Policies!I28)*12+MONTH(Policies!I28))=(Settings!$B$5*12+15),Policies!G28,""))</f>
        <v/>
      </c>
      <c r="S28" s="56">
        <f>IF(Policies!I28="","",IF((YEAR(Policies!I28)*12+MONTH(Policies!I28))=(Settings!$B$5*12+16),Policies!G28,""))</f>
        <v/>
      </c>
      <c r="T28" s="56">
        <f>IF(Policies!I28="","",IF((YEAR(Policies!I28)*12+MONTH(Policies!I28))=(Settings!$B$5*12+17),Policies!G28,""))</f>
        <v/>
      </c>
      <c r="U28" s="56">
        <f>IF(Policies!I28="","",IF((YEAR(Policies!I28)*12+MONTH(Policies!I28))=(Settings!$B$5*12+18),Policies!G28,""))</f>
        <v/>
      </c>
      <c r="V28" s="56">
        <f>IF(Policies!I28="","",IF((YEAR(Policies!I28)*12+MONTH(Policies!I28))=(Settings!$B$5*12+19),Policies!G28,""))</f>
        <v/>
      </c>
      <c r="W28" s="56">
        <f>IF(Policies!I28="","",IF((YEAR(Policies!I28)*12+MONTH(Policies!I28))=(Settings!$B$5*12+20),Policies!G28,""))</f>
        <v/>
      </c>
      <c r="X28" s="56">
        <f>IF(Policies!I28="","",IF((YEAR(Policies!I28)*12+MONTH(Policies!I28))=(Settings!$B$5*12+21),Policies!G28,""))</f>
        <v/>
      </c>
      <c r="Y28" s="56">
        <f>IF(Policies!I28="","",IF((YEAR(Policies!I28)*12+MONTH(Policies!I28))=(Settings!$B$5*12+22),Policies!G28,""))</f>
        <v/>
      </c>
      <c r="Z28" s="56">
        <f>IF(Policies!I28="","",IF((YEAR(Policies!I28)*12+MONTH(Policies!I28))=(Settings!$B$5*12+23),Policies!G28,""))</f>
        <v/>
      </c>
      <c r="AA28" s="56">
        <f>IF(Policies!I28="","",IF((YEAR(Policies!I28)*12+MONTH(Policies!I28))=(Settings!$B$5*12+24),Policies!G28,""))</f>
        <v/>
      </c>
      <c r="AB28" s="57">
        <f>IF(SUM(D28:AA28)=0,"",SUM(D28:AA28))</f>
        <v/>
      </c>
    </row>
    <row r="29" ht="18" customHeight="1">
      <c r="A29" s="52">
        <f>IF(Policies!A29="","",Policies!A29)</f>
        <v/>
      </c>
      <c r="B29" s="52">
        <f>IF(Policies!B29="","",Policies!B29)</f>
        <v/>
      </c>
      <c r="C29" s="52">
        <f>IF(Policies!D29="","",Policies!D29)</f>
        <v/>
      </c>
      <c r="D29" s="53">
        <f>IF(Policies!I29="","",IF((YEAR(Policies!I29)*12+MONTH(Policies!I29))=(Settings!$B$5*12+1),Policies!G29,""))</f>
        <v/>
      </c>
      <c r="E29" s="53">
        <f>IF(Policies!I29="","",IF((YEAR(Policies!I29)*12+MONTH(Policies!I29))=(Settings!$B$5*12+2),Policies!G29,""))</f>
        <v/>
      </c>
      <c r="F29" s="53">
        <f>IF(Policies!I29="","",IF((YEAR(Policies!I29)*12+MONTH(Policies!I29))=(Settings!$B$5*12+3),Policies!G29,""))</f>
        <v/>
      </c>
      <c r="G29" s="53">
        <f>IF(Policies!I29="","",IF((YEAR(Policies!I29)*12+MONTH(Policies!I29))=(Settings!$B$5*12+4),Policies!G29,""))</f>
        <v/>
      </c>
      <c r="H29" s="53">
        <f>IF(Policies!I29="","",IF((YEAR(Policies!I29)*12+MONTH(Policies!I29))=(Settings!$B$5*12+5),Policies!G29,""))</f>
        <v/>
      </c>
      <c r="I29" s="53">
        <f>IF(Policies!I29="","",IF((YEAR(Policies!I29)*12+MONTH(Policies!I29))=(Settings!$B$5*12+6),Policies!G29,""))</f>
        <v/>
      </c>
      <c r="J29" s="53">
        <f>IF(Policies!I29="","",IF((YEAR(Policies!I29)*12+MONTH(Policies!I29))=(Settings!$B$5*12+7),Policies!G29,""))</f>
        <v/>
      </c>
      <c r="K29" s="53">
        <f>IF(Policies!I29="","",IF((YEAR(Policies!I29)*12+MONTH(Policies!I29))=(Settings!$B$5*12+8),Policies!G29,""))</f>
        <v/>
      </c>
      <c r="L29" s="53">
        <f>IF(Policies!I29="","",IF((YEAR(Policies!I29)*12+MONTH(Policies!I29))=(Settings!$B$5*12+9),Policies!G29,""))</f>
        <v/>
      </c>
      <c r="M29" s="53">
        <f>IF(Policies!I29="","",IF((YEAR(Policies!I29)*12+MONTH(Policies!I29))=(Settings!$B$5*12+10),Policies!G29,""))</f>
        <v/>
      </c>
      <c r="N29" s="53">
        <f>IF(Policies!I29="","",IF((YEAR(Policies!I29)*12+MONTH(Policies!I29))=(Settings!$B$5*12+11),Policies!G29,""))</f>
        <v/>
      </c>
      <c r="O29" s="53">
        <f>IF(Policies!I29="","",IF((YEAR(Policies!I29)*12+MONTH(Policies!I29))=(Settings!$B$5*12+12),Policies!G29,""))</f>
        <v/>
      </c>
      <c r="P29" s="53">
        <f>IF(Policies!I29="","",IF((YEAR(Policies!I29)*12+MONTH(Policies!I29))=(Settings!$B$5*12+13),Policies!G29,""))</f>
        <v/>
      </c>
      <c r="Q29" s="53">
        <f>IF(Policies!I29="","",IF((YEAR(Policies!I29)*12+MONTH(Policies!I29))=(Settings!$B$5*12+14),Policies!G29,""))</f>
        <v/>
      </c>
      <c r="R29" s="53">
        <f>IF(Policies!I29="","",IF((YEAR(Policies!I29)*12+MONTH(Policies!I29))=(Settings!$B$5*12+15),Policies!G29,""))</f>
        <v/>
      </c>
      <c r="S29" s="53">
        <f>IF(Policies!I29="","",IF((YEAR(Policies!I29)*12+MONTH(Policies!I29))=(Settings!$B$5*12+16),Policies!G29,""))</f>
        <v/>
      </c>
      <c r="T29" s="53">
        <f>IF(Policies!I29="","",IF((YEAR(Policies!I29)*12+MONTH(Policies!I29))=(Settings!$B$5*12+17),Policies!G29,""))</f>
        <v/>
      </c>
      <c r="U29" s="53">
        <f>IF(Policies!I29="","",IF((YEAR(Policies!I29)*12+MONTH(Policies!I29))=(Settings!$B$5*12+18),Policies!G29,""))</f>
        <v/>
      </c>
      <c r="V29" s="53">
        <f>IF(Policies!I29="","",IF((YEAR(Policies!I29)*12+MONTH(Policies!I29))=(Settings!$B$5*12+19),Policies!G29,""))</f>
        <v/>
      </c>
      <c r="W29" s="53">
        <f>IF(Policies!I29="","",IF((YEAR(Policies!I29)*12+MONTH(Policies!I29))=(Settings!$B$5*12+20),Policies!G29,""))</f>
        <v/>
      </c>
      <c r="X29" s="53">
        <f>IF(Policies!I29="","",IF((YEAR(Policies!I29)*12+MONTH(Policies!I29))=(Settings!$B$5*12+21),Policies!G29,""))</f>
        <v/>
      </c>
      <c r="Y29" s="53">
        <f>IF(Policies!I29="","",IF((YEAR(Policies!I29)*12+MONTH(Policies!I29))=(Settings!$B$5*12+22),Policies!G29,""))</f>
        <v/>
      </c>
      <c r="Z29" s="53">
        <f>IF(Policies!I29="","",IF((YEAR(Policies!I29)*12+MONTH(Policies!I29))=(Settings!$B$5*12+23),Policies!G29,""))</f>
        <v/>
      </c>
      <c r="AA29" s="53">
        <f>IF(Policies!I29="","",IF((YEAR(Policies!I29)*12+MONTH(Policies!I29))=(Settings!$B$5*12+24),Policies!G29,""))</f>
        <v/>
      </c>
      <c r="AB29" s="54">
        <f>IF(SUM(D29:AA29)=0,"",SUM(D29:AA29))</f>
        <v/>
      </c>
    </row>
    <row r="30" ht="18" customHeight="1">
      <c r="A30" s="55">
        <f>IF(Policies!A30="","",Policies!A30)</f>
        <v/>
      </c>
      <c r="B30" s="55">
        <f>IF(Policies!B30="","",Policies!B30)</f>
        <v/>
      </c>
      <c r="C30" s="55">
        <f>IF(Policies!D30="","",Policies!D30)</f>
        <v/>
      </c>
      <c r="D30" s="56">
        <f>IF(Policies!I30="","",IF((YEAR(Policies!I30)*12+MONTH(Policies!I30))=(Settings!$B$5*12+1),Policies!G30,""))</f>
        <v/>
      </c>
      <c r="E30" s="56">
        <f>IF(Policies!I30="","",IF((YEAR(Policies!I30)*12+MONTH(Policies!I30))=(Settings!$B$5*12+2),Policies!G30,""))</f>
        <v/>
      </c>
      <c r="F30" s="56">
        <f>IF(Policies!I30="","",IF((YEAR(Policies!I30)*12+MONTH(Policies!I30))=(Settings!$B$5*12+3),Policies!G30,""))</f>
        <v/>
      </c>
      <c r="G30" s="56">
        <f>IF(Policies!I30="","",IF((YEAR(Policies!I30)*12+MONTH(Policies!I30))=(Settings!$B$5*12+4),Policies!G30,""))</f>
        <v/>
      </c>
      <c r="H30" s="56">
        <f>IF(Policies!I30="","",IF((YEAR(Policies!I30)*12+MONTH(Policies!I30))=(Settings!$B$5*12+5),Policies!G30,""))</f>
        <v/>
      </c>
      <c r="I30" s="56">
        <f>IF(Policies!I30="","",IF((YEAR(Policies!I30)*12+MONTH(Policies!I30))=(Settings!$B$5*12+6),Policies!G30,""))</f>
        <v/>
      </c>
      <c r="J30" s="56">
        <f>IF(Policies!I30="","",IF((YEAR(Policies!I30)*12+MONTH(Policies!I30))=(Settings!$B$5*12+7),Policies!G30,""))</f>
        <v/>
      </c>
      <c r="K30" s="56">
        <f>IF(Policies!I30="","",IF((YEAR(Policies!I30)*12+MONTH(Policies!I30))=(Settings!$B$5*12+8),Policies!G30,""))</f>
        <v/>
      </c>
      <c r="L30" s="56">
        <f>IF(Policies!I30="","",IF((YEAR(Policies!I30)*12+MONTH(Policies!I30))=(Settings!$B$5*12+9),Policies!G30,""))</f>
        <v/>
      </c>
      <c r="M30" s="56">
        <f>IF(Policies!I30="","",IF((YEAR(Policies!I30)*12+MONTH(Policies!I30))=(Settings!$B$5*12+10),Policies!G30,""))</f>
        <v/>
      </c>
      <c r="N30" s="56">
        <f>IF(Policies!I30="","",IF((YEAR(Policies!I30)*12+MONTH(Policies!I30))=(Settings!$B$5*12+11),Policies!G30,""))</f>
        <v/>
      </c>
      <c r="O30" s="56">
        <f>IF(Policies!I30="","",IF((YEAR(Policies!I30)*12+MONTH(Policies!I30))=(Settings!$B$5*12+12),Policies!G30,""))</f>
        <v/>
      </c>
      <c r="P30" s="56">
        <f>IF(Policies!I30="","",IF((YEAR(Policies!I30)*12+MONTH(Policies!I30))=(Settings!$B$5*12+13),Policies!G30,""))</f>
        <v/>
      </c>
      <c r="Q30" s="56">
        <f>IF(Policies!I30="","",IF((YEAR(Policies!I30)*12+MONTH(Policies!I30))=(Settings!$B$5*12+14),Policies!G30,""))</f>
        <v/>
      </c>
      <c r="R30" s="56">
        <f>IF(Policies!I30="","",IF((YEAR(Policies!I30)*12+MONTH(Policies!I30))=(Settings!$B$5*12+15),Policies!G30,""))</f>
        <v/>
      </c>
      <c r="S30" s="56">
        <f>IF(Policies!I30="","",IF((YEAR(Policies!I30)*12+MONTH(Policies!I30))=(Settings!$B$5*12+16),Policies!G30,""))</f>
        <v/>
      </c>
      <c r="T30" s="56">
        <f>IF(Policies!I30="","",IF((YEAR(Policies!I30)*12+MONTH(Policies!I30))=(Settings!$B$5*12+17),Policies!G30,""))</f>
        <v/>
      </c>
      <c r="U30" s="56">
        <f>IF(Policies!I30="","",IF((YEAR(Policies!I30)*12+MONTH(Policies!I30))=(Settings!$B$5*12+18),Policies!G30,""))</f>
        <v/>
      </c>
      <c r="V30" s="56">
        <f>IF(Policies!I30="","",IF((YEAR(Policies!I30)*12+MONTH(Policies!I30))=(Settings!$B$5*12+19),Policies!G30,""))</f>
        <v/>
      </c>
      <c r="W30" s="56">
        <f>IF(Policies!I30="","",IF((YEAR(Policies!I30)*12+MONTH(Policies!I30))=(Settings!$B$5*12+20),Policies!G30,""))</f>
        <v/>
      </c>
      <c r="X30" s="56">
        <f>IF(Policies!I30="","",IF((YEAR(Policies!I30)*12+MONTH(Policies!I30))=(Settings!$B$5*12+21),Policies!G30,""))</f>
        <v/>
      </c>
      <c r="Y30" s="56">
        <f>IF(Policies!I30="","",IF((YEAR(Policies!I30)*12+MONTH(Policies!I30))=(Settings!$B$5*12+22),Policies!G30,""))</f>
        <v/>
      </c>
      <c r="Z30" s="56">
        <f>IF(Policies!I30="","",IF((YEAR(Policies!I30)*12+MONTH(Policies!I30))=(Settings!$B$5*12+23),Policies!G30,""))</f>
        <v/>
      </c>
      <c r="AA30" s="56">
        <f>IF(Policies!I30="","",IF((YEAR(Policies!I30)*12+MONTH(Policies!I30))=(Settings!$B$5*12+24),Policies!G30,""))</f>
        <v/>
      </c>
      <c r="AB30" s="57">
        <f>IF(SUM(D30:AA30)=0,"",SUM(D30:AA30))</f>
        <v/>
      </c>
    </row>
    <row r="31" ht="18" customHeight="1">
      <c r="A31" s="52">
        <f>IF(Policies!A31="","",Policies!A31)</f>
        <v/>
      </c>
      <c r="B31" s="52">
        <f>IF(Policies!B31="","",Policies!B31)</f>
        <v/>
      </c>
      <c r="C31" s="52">
        <f>IF(Policies!D31="","",Policies!D31)</f>
        <v/>
      </c>
      <c r="D31" s="53">
        <f>IF(Policies!I31="","",IF((YEAR(Policies!I31)*12+MONTH(Policies!I31))=(Settings!$B$5*12+1),Policies!G31,""))</f>
        <v/>
      </c>
      <c r="E31" s="53">
        <f>IF(Policies!I31="","",IF((YEAR(Policies!I31)*12+MONTH(Policies!I31))=(Settings!$B$5*12+2),Policies!G31,""))</f>
        <v/>
      </c>
      <c r="F31" s="53">
        <f>IF(Policies!I31="","",IF((YEAR(Policies!I31)*12+MONTH(Policies!I31))=(Settings!$B$5*12+3),Policies!G31,""))</f>
        <v/>
      </c>
      <c r="G31" s="53">
        <f>IF(Policies!I31="","",IF((YEAR(Policies!I31)*12+MONTH(Policies!I31))=(Settings!$B$5*12+4),Policies!G31,""))</f>
        <v/>
      </c>
      <c r="H31" s="53">
        <f>IF(Policies!I31="","",IF((YEAR(Policies!I31)*12+MONTH(Policies!I31))=(Settings!$B$5*12+5),Policies!G31,""))</f>
        <v/>
      </c>
      <c r="I31" s="53">
        <f>IF(Policies!I31="","",IF((YEAR(Policies!I31)*12+MONTH(Policies!I31))=(Settings!$B$5*12+6),Policies!G31,""))</f>
        <v/>
      </c>
      <c r="J31" s="53">
        <f>IF(Policies!I31="","",IF((YEAR(Policies!I31)*12+MONTH(Policies!I31))=(Settings!$B$5*12+7),Policies!G31,""))</f>
        <v/>
      </c>
      <c r="K31" s="53">
        <f>IF(Policies!I31="","",IF((YEAR(Policies!I31)*12+MONTH(Policies!I31))=(Settings!$B$5*12+8),Policies!G31,""))</f>
        <v/>
      </c>
      <c r="L31" s="53">
        <f>IF(Policies!I31="","",IF((YEAR(Policies!I31)*12+MONTH(Policies!I31))=(Settings!$B$5*12+9),Policies!G31,""))</f>
        <v/>
      </c>
      <c r="M31" s="53">
        <f>IF(Policies!I31="","",IF((YEAR(Policies!I31)*12+MONTH(Policies!I31))=(Settings!$B$5*12+10),Policies!G31,""))</f>
        <v/>
      </c>
      <c r="N31" s="53">
        <f>IF(Policies!I31="","",IF((YEAR(Policies!I31)*12+MONTH(Policies!I31))=(Settings!$B$5*12+11),Policies!G31,""))</f>
        <v/>
      </c>
      <c r="O31" s="53">
        <f>IF(Policies!I31="","",IF((YEAR(Policies!I31)*12+MONTH(Policies!I31))=(Settings!$B$5*12+12),Policies!G31,""))</f>
        <v/>
      </c>
      <c r="P31" s="53">
        <f>IF(Policies!I31="","",IF((YEAR(Policies!I31)*12+MONTH(Policies!I31))=(Settings!$B$5*12+13),Policies!G31,""))</f>
        <v/>
      </c>
      <c r="Q31" s="53">
        <f>IF(Policies!I31="","",IF((YEAR(Policies!I31)*12+MONTH(Policies!I31))=(Settings!$B$5*12+14),Policies!G31,""))</f>
        <v/>
      </c>
      <c r="R31" s="53">
        <f>IF(Policies!I31="","",IF((YEAR(Policies!I31)*12+MONTH(Policies!I31))=(Settings!$B$5*12+15),Policies!G31,""))</f>
        <v/>
      </c>
      <c r="S31" s="53">
        <f>IF(Policies!I31="","",IF((YEAR(Policies!I31)*12+MONTH(Policies!I31))=(Settings!$B$5*12+16),Policies!G31,""))</f>
        <v/>
      </c>
      <c r="T31" s="53">
        <f>IF(Policies!I31="","",IF((YEAR(Policies!I31)*12+MONTH(Policies!I31))=(Settings!$B$5*12+17),Policies!G31,""))</f>
        <v/>
      </c>
      <c r="U31" s="53">
        <f>IF(Policies!I31="","",IF((YEAR(Policies!I31)*12+MONTH(Policies!I31))=(Settings!$B$5*12+18),Policies!G31,""))</f>
        <v/>
      </c>
      <c r="V31" s="53">
        <f>IF(Policies!I31="","",IF((YEAR(Policies!I31)*12+MONTH(Policies!I31))=(Settings!$B$5*12+19),Policies!G31,""))</f>
        <v/>
      </c>
      <c r="W31" s="53">
        <f>IF(Policies!I31="","",IF((YEAR(Policies!I31)*12+MONTH(Policies!I31))=(Settings!$B$5*12+20),Policies!G31,""))</f>
        <v/>
      </c>
      <c r="X31" s="53">
        <f>IF(Policies!I31="","",IF((YEAR(Policies!I31)*12+MONTH(Policies!I31))=(Settings!$B$5*12+21),Policies!G31,""))</f>
        <v/>
      </c>
      <c r="Y31" s="53">
        <f>IF(Policies!I31="","",IF((YEAR(Policies!I31)*12+MONTH(Policies!I31))=(Settings!$B$5*12+22),Policies!G31,""))</f>
        <v/>
      </c>
      <c r="Z31" s="53">
        <f>IF(Policies!I31="","",IF((YEAR(Policies!I31)*12+MONTH(Policies!I31))=(Settings!$B$5*12+23),Policies!G31,""))</f>
        <v/>
      </c>
      <c r="AA31" s="53">
        <f>IF(Policies!I31="","",IF((YEAR(Policies!I31)*12+MONTH(Policies!I31))=(Settings!$B$5*12+24),Policies!G31,""))</f>
        <v/>
      </c>
      <c r="AB31" s="54">
        <f>IF(SUM(D31:AA31)=0,"",SUM(D31:AA31))</f>
        <v/>
      </c>
    </row>
    <row r="32" ht="18" customHeight="1">
      <c r="A32" s="55">
        <f>IF(Policies!A32="","",Policies!A32)</f>
        <v/>
      </c>
      <c r="B32" s="55">
        <f>IF(Policies!B32="","",Policies!B32)</f>
        <v/>
      </c>
      <c r="C32" s="55">
        <f>IF(Policies!D32="","",Policies!D32)</f>
        <v/>
      </c>
      <c r="D32" s="56">
        <f>IF(Policies!I32="","",IF((YEAR(Policies!I32)*12+MONTH(Policies!I32))=(Settings!$B$5*12+1),Policies!G32,""))</f>
        <v/>
      </c>
      <c r="E32" s="56">
        <f>IF(Policies!I32="","",IF((YEAR(Policies!I32)*12+MONTH(Policies!I32))=(Settings!$B$5*12+2),Policies!G32,""))</f>
        <v/>
      </c>
      <c r="F32" s="56">
        <f>IF(Policies!I32="","",IF((YEAR(Policies!I32)*12+MONTH(Policies!I32))=(Settings!$B$5*12+3),Policies!G32,""))</f>
        <v/>
      </c>
      <c r="G32" s="56">
        <f>IF(Policies!I32="","",IF((YEAR(Policies!I32)*12+MONTH(Policies!I32))=(Settings!$B$5*12+4),Policies!G32,""))</f>
        <v/>
      </c>
      <c r="H32" s="56">
        <f>IF(Policies!I32="","",IF((YEAR(Policies!I32)*12+MONTH(Policies!I32))=(Settings!$B$5*12+5),Policies!G32,""))</f>
        <v/>
      </c>
      <c r="I32" s="56">
        <f>IF(Policies!I32="","",IF((YEAR(Policies!I32)*12+MONTH(Policies!I32))=(Settings!$B$5*12+6),Policies!G32,""))</f>
        <v/>
      </c>
      <c r="J32" s="56">
        <f>IF(Policies!I32="","",IF((YEAR(Policies!I32)*12+MONTH(Policies!I32))=(Settings!$B$5*12+7),Policies!G32,""))</f>
        <v/>
      </c>
      <c r="K32" s="56">
        <f>IF(Policies!I32="","",IF((YEAR(Policies!I32)*12+MONTH(Policies!I32))=(Settings!$B$5*12+8),Policies!G32,""))</f>
        <v/>
      </c>
      <c r="L32" s="56">
        <f>IF(Policies!I32="","",IF((YEAR(Policies!I32)*12+MONTH(Policies!I32))=(Settings!$B$5*12+9),Policies!G32,""))</f>
        <v/>
      </c>
      <c r="M32" s="56">
        <f>IF(Policies!I32="","",IF((YEAR(Policies!I32)*12+MONTH(Policies!I32))=(Settings!$B$5*12+10),Policies!G32,""))</f>
        <v/>
      </c>
      <c r="N32" s="56">
        <f>IF(Policies!I32="","",IF((YEAR(Policies!I32)*12+MONTH(Policies!I32))=(Settings!$B$5*12+11),Policies!G32,""))</f>
        <v/>
      </c>
      <c r="O32" s="56">
        <f>IF(Policies!I32="","",IF((YEAR(Policies!I32)*12+MONTH(Policies!I32))=(Settings!$B$5*12+12),Policies!G32,""))</f>
        <v/>
      </c>
      <c r="P32" s="56">
        <f>IF(Policies!I32="","",IF((YEAR(Policies!I32)*12+MONTH(Policies!I32))=(Settings!$B$5*12+13),Policies!G32,""))</f>
        <v/>
      </c>
      <c r="Q32" s="56">
        <f>IF(Policies!I32="","",IF((YEAR(Policies!I32)*12+MONTH(Policies!I32))=(Settings!$B$5*12+14),Policies!G32,""))</f>
        <v/>
      </c>
      <c r="R32" s="56">
        <f>IF(Policies!I32="","",IF((YEAR(Policies!I32)*12+MONTH(Policies!I32))=(Settings!$B$5*12+15),Policies!G32,""))</f>
        <v/>
      </c>
      <c r="S32" s="56">
        <f>IF(Policies!I32="","",IF((YEAR(Policies!I32)*12+MONTH(Policies!I32))=(Settings!$B$5*12+16),Policies!G32,""))</f>
        <v/>
      </c>
      <c r="T32" s="56">
        <f>IF(Policies!I32="","",IF((YEAR(Policies!I32)*12+MONTH(Policies!I32))=(Settings!$B$5*12+17),Policies!G32,""))</f>
        <v/>
      </c>
      <c r="U32" s="56">
        <f>IF(Policies!I32="","",IF((YEAR(Policies!I32)*12+MONTH(Policies!I32))=(Settings!$B$5*12+18),Policies!G32,""))</f>
        <v/>
      </c>
      <c r="V32" s="56">
        <f>IF(Policies!I32="","",IF((YEAR(Policies!I32)*12+MONTH(Policies!I32))=(Settings!$B$5*12+19),Policies!G32,""))</f>
        <v/>
      </c>
      <c r="W32" s="56">
        <f>IF(Policies!I32="","",IF((YEAR(Policies!I32)*12+MONTH(Policies!I32))=(Settings!$B$5*12+20),Policies!G32,""))</f>
        <v/>
      </c>
      <c r="X32" s="56">
        <f>IF(Policies!I32="","",IF((YEAR(Policies!I32)*12+MONTH(Policies!I32))=(Settings!$B$5*12+21),Policies!G32,""))</f>
        <v/>
      </c>
      <c r="Y32" s="56">
        <f>IF(Policies!I32="","",IF((YEAR(Policies!I32)*12+MONTH(Policies!I32))=(Settings!$B$5*12+22),Policies!G32,""))</f>
        <v/>
      </c>
      <c r="Z32" s="56">
        <f>IF(Policies!I32="","",IF((YEAR(Policies!I32)*12+MONTH(Policies!I32))=(Settings!$B$5*12+23),Policies!G32,""))</f>
        <v/>
      </c>
      <c r="AA32" s="56">
        <f>IF(Policies!I32="","",IF((YEAR(Policies!I32)*12+MONTH(Policies!I32))=(Settings!$B$5*12+24),Policies!G32,""))</f>
        <v/>
      </c>
      <c r="AB32" s="57">
        <f>IF(SUM(D32:AA32)=0,"",SUM(D32:AA32))</f>
        <v/>
      </c>
    </row>
    <row r="33" ht="18" customHeight="1">
      <c r="A33" s="52">
        <f>IF(Policies!A33="","",Policies!A33)</f>
        <v/>
      </c>
      <c r="B33" s="52">
        <f>IF(Policies!B33="","",Policies!B33)</f>
        <v/>
      </c>
      <c r="C33" s="52">
        <f>IF(Policies!D33="","",Policies!D33)</f>
        <v/>
      </c>
      <c r="D33" s="53">
        <f>IF(Policies!I33="","",IF((YEAR(Policies!I33)*12+MONTH(Policies!I33))=(Settings!$B$5*12+1),Policies!G33,""))</f>
        <v/>
      </c>
      <c r="E33" s="53">
        <f>IF(Policies!I33="","",IF((YEAR(Policies!I33)*12+MONTH(Policies!I33))=(Settings!$B$5*12+2),Policies!G33,""))</f>
        <v/>
      </c>
      <c r="F33" s="53">
        <f>IF(Policies!I33="","",IF((YEAR(Policies!I33)*12+MONTH(Policies!I33))=(Settings!$B$5*12+3),Policies!G33,""))</f>
        <v/>
      </c>
      <c r="G33" s="53">
        <f>IF(Policies!I33="","",IF((YEAR(Policies!I33)*12+MONTH(Policies!I33))=(Settings!$B$5*12+4),Policies!G33,""))</f>
        <v/>
      </c>
      <c r="H33" s="53">
        <f>IF(Policies!I33="","",IF((YEAR(Policies!I33)*12+MONTH(Policies!I33))=(Settings!$B$5*12+5),Policies!G33,""))</f>
        <v/>
      </c>
      <c r="I33" s="53">
        <f>IF(Policies!I33="","",IF((YEAR(Policies!I33)*12+MONTH(Policies!I33))=(Settings!$B$5*12+6),Policies!G33,""))</f>
        <v/>
      </c>
      <c r="J33" s="53">
        <f>IF(Policies!I33="","",IF((YEAR(Policies!I33)*12+MONTH(Policies!I33))=(Settings!$B$5*12+7),Policies!G33,""))</f>
        <v/>
      </c>
      <c r="K33" s="53">
        <f>IF(Policies!I33="","",IF((YEAR(Policies!I33)*12+MONTH(Policies!I33))=(Settings!$B$5*12+8),Policies!G33,""))</f>
        <v/>
      </c>
      <c r="L33" s="53">
        <f>IF(Policies!I33="","",IF((YEAR(Policies!I33)*12+MONTH(Policies!I33))=(Settings!$B$5*12+9),Policies!G33,""))</f>
        <v/>
      </c>
      <c r="M33" s="53">
        <f>IF(Policies!I33="","",IF((YEAR(Policies!I33)*12+MONTH(Policies!I33))=(Settings!$B$5*12+10),Policies!G33,""))</f>
        <v/>
      </c>
      <c r="N33" s="53">
        <f>IF(Policies!I33="","",IF((YEAR(Policies!I33)*12+MONTH(Policies!I33))=(Settings!$B$5*12+11),Policies!G33,""))</f>
        <v/>
      </c>
      <c r="O33" s="53">
        <f>IF(Policies!I33="","",IF((YEAR(Policies!I33)*12+MONTH(Policies!I33))=(Settings!$B$5*12+12),Policies!G33,""))</f>
        <v/>
      </c>
      <c r="P33" s="53">
        <f>IF(Policies!I33="","",IF((YEAR(Policies!I33)*12+MONTH(Policies!I33))=(Settings!$B$5*12+13),Policies!G33,""))</f>
        <v/>
      </c>
      <c r="Q33" s="53">
        <f>IF(Policies!I33="","",IF((YEAR(Policies!I33)*12+MONTH(Policies!I33))=(Settings!$B$5*12+14),Policies!G33,""))</f>
        <v/>
      </c>
      <c r="R33" s="53">
        <f>IF(Policies!I33="","",IF((YEAR(Policies!I33)*12+MONTH(Policies!I33))=(Settings!$B$5*12+15),Policies!G33,""))</f>
        <v/>
      </c>
      <c r="S33" s="53">
        <f>IF(Policies!I33="","",IF((YEAR(Policies!I33)*12+MONTH(Policies!I33))=(Settings!$B$5*12+16),Policies!G33,""))</f>
        <v/>
      </c>
      <c r="T33" s="53">
        <f>IF(Policies!I33="","",IF((YEAR(Policies!I33)*12+MONTH(Policies!I33))=(Settings!$B$5*12+17),Policies!G33,""))</f>
        <v/>
      </c>
      <c r="U33" s="53">
        <f>IF(Policies!I33="","",IF((YEAR(Policies!I33)*12+MONTH(Policies!I33))=(Settings!$B$5*12+18),Policies!G33,""))</f>
        <v/>
      </c>
      <c r="V33" s="53">
        <f>IF(Policies!I33="","",IF((YEAR(Policies!I33)*12+MONTH(Policies!I33))=(Settings!$B$5*12+19),Policies!G33,""))</f>
        <v/>
      </c>
      <c r="W33" s="53">
        <f>IF(Policies!I33="","",IF((YEAR(Policies!I33)*12+MONTH(Policies!I33))=(Settings!$B$5*12+20),Policies!G33,""))</f>
        <v/>
      </c>
      <c r="X33" s="53">
        <f>IF(Policies!I33="","",IF((YEAR(Policies!I33)*12+MONTH(Policies!I33))=(Settings!$B$5*12+21),Policies!G33,""))</f>
        <v/>
      </c>
      <c r="Y33" s="53">
        <f>IF(Policies!I33="","",IF((YEAR(Policies!I33)*12+MONTH(Policies!I33))=(Settings!$B$5*12+22),Policies!G33,""))</f>
        <v/>
      </c>
      <c r="Z33" s="53">
        <f>IF(Policies!I33="","",IF((YEAR(Policies!I33)*12+MONTH(Policies!I33))=(Settings!$B$5*12+23),Policies!G33,""))</f>
        <v/>
      </c>
      <c r="AA33" s="53">
        <f>IF(Policies!I33="","",IF((YEAR(Policies!I33)*12+MONTH(Policies!I33))=(Settings!$B$5*12+24),Policies!G33,""))</f>
        <v/>
      </c>
      <c r="AB33" s="54">
        <f>IF(SUM(D33:AA33)=0,"",SUM(D33:AA33))</f>
        <v/>
      </c>
    </row>
    <row r="34" ht="18" customHeight="1">
      <c r="A34" s="55">
        <f>IF(Policies!A34="","",Policies!A34)</f>
        <v/>
      </c>
      <c r="B34" s="55">
        <f>IF(Policies!B34="","",Policies!B34)</f>
        <v/>
      </c>
      <c r="C34" s="55">
        <f>IF(Policies!D34="","",Policies!D34)</f>
        <v/>
      </c>
      <c r="D34" s="56">
        <f>IF(Policies!I34="","",IF((YEAR(Policies!I34)*12+MONTH(Policies!I34))=(Settings!$B$5*12+1),Policies!G34,""))</f>
        <v/>
      </c>
      <c r="E34" s="56">
        <f>IF(Policies!I34="","",IF((YEAR(Policies!I34)*12+MONTH(Policies!I34))=(Settings!$B$5*12+2),Policies!G34,""))</f>
        <v/>
      </c>
      <c r="F34" s="56">
        <f>IF(Policies!I34="","",IF((YEAR(Policies!I34)*12+MONTH(Policies!I34))=(Settings!$B$5*12+3),Policies!G34,""))</f>
        <v/>
      </c>
      <c r="G34" s="56">
        <f>IF(Policies!I34="","",IF((YEAR(Policies!I34)*12+MONTH(Policies!I34))=(Settings!$B$5*12+4),Policies!G34,""))</f>
        <v/>
      </c>
      <c r="H34" s="56">
        <f>IF(Policies!I34="","",IF((YEAR(Policies!I34)*12+MONTH(Policies!I34))=(Settings!$B$5*12+5),Policies!G34,""))</f>
        <v/>
      </c>
      <c r="I34" s="56">
        <f>IF(Policies!I34="","",IF((YEAR(Policies!I34)*12+MONTH(Policies!I34))=(Settings!$B$5*12+6),Policies!G34,""))</f>
        <v/>
      </c>
      <c r="J34" s="56">
        <f>IF(Policies!I34="","",IF((YEAR(Policies!I34)*12+MONTH(Policies!I34))=(Settings!$B$5*12+7),Policies!G34,""))</f>
        <v/>
      </c>
      <c r="K34" s="56">
        <f>IF(Policies!I34="","",IF((YEAR(Policies!I34)*12+MONTH(Policies!I34))=(Settings!$B$5*12+8),Policies!G34,""))</f>
        <v/>
      </c>
      <c r="L34" s="56">
        <f>IF(Policies!I34="","",IF((YEAR(Policies!I34)*12+MONTH(Policies!I34))=(Settings!$B$5*12+9),Policies!G34,""))</f>
        <v/>
      </c>
      <c r="M34" s="56">
        <f>IF(Policies!I34="","",IF((YEAR(Policies!I34)*12+MONTH(Policies!I34))=(Settings!$B$5*12+10),Policies!G34,""))</f>
        <v/>
      </c>
      <c r="N34" s="56">
        <f>IF(Policies!I34="","",IF((YEAR(Policies!I34)*12+MONTH(Policies!I34))=(Settings!$B$5*12+11),Policies!G34,""))</f>
        <v/>
      </c>
      <c r="O34" s="56">
        <f>IF(Policies!I34="","",IF((YEAR(Policies!I34)*12+MONTH(Policies!I34))=(Settings!$B$5*12+12),Policies!G34,""))</f>
        <v/>
      </c>
      <c r="P34" s="56">
        <f>IF(Policies!I34="","",IF((YEAR(Policies!I34)*12+MONTH(Policies!I34))=(Settings!$B$5*12+13),Policies!G34,""))</f>
        <v/>
      </c>
      <c r="Q34" s="56">
        <f>IF(Policies!I34="","",IF((YEAR(Policies!I34)*12+MONTH(Policies!I34))=(Settings!$B$5*12+14),Policies!G34,""))</f>
        <v/>
      </c>
      <c r="R34" s="56">
        <f>IF(Policies!I34="","",IF((YEAR(Policies!I34)*12+MONTH(Policies!I34))=(Settings!$B$5*12+15),Policies!G34,""))</f>
        <v/>
      </c>
      <c r="S34" s="56">
        <f>IF(Policies!I34="","",IF((YEAR(Policies!I34)*12+MONTH(Policies!I34))=(Settings!$B$5*12+16),Policies!G34,""))</f>
        <v/>
      </c>
      <c r="T34" s="56">
        <f>IF(Policies!I34="","",IF((YEAR(Policies!I34)*12+MONTH(Policies!I34))=(Settings!$B$5*12+17),Policies!G34,""))</f>
        <v/>
      </c>
      <c r="U34" s="56">
        <f>IF(Policies!I34="","",IF((YEAR(Policies!I34)*12+MONTH(Policies!I34))=(Settings!$B$5*12+18),Policies!G34,""))</f>
        <v/>
      </c>
      <c r="V34" s="56">
        <f>IF(Policies!I34="","",IF((YEAR(Policies!I34)*12+MONTH(Policies!I34))=(Settings!$B$5*12+19),Policies!G34,""))</f>
        <v/>
      </c>
      <c r="W34" s="56">
        <f>IF(Policies!I34="","",IF((YEAR(Policies!I34)*12+MONTH(Policies!I34))=(Settings!$B$5*12+20),Policies!G34,""))</f>
        <v/>
      </c>
      <c r="X34" s="56">
        <f>IF(Policies!I34="","",IF((YEAR(Policies!I34)*12+MONTH(Policies!I34))=(Settings!$B$5*12+21),Policies!G34,""))</f>
        <v/>
      </c>
      <c r="Y34" s="56">
        <f>IF(Policies!I34="","",IF((YEAR(Policies!I34)*12+MONTH(Policies!I34))=(Settings!$B$5*12+22),Policies!G34,""))</f>
        <v/>
      </c>
      <c r="Z34" s="56">
        <f>IF(Policies!I34="","",IF((YEAR(Policies!I34)*12+MONTH(Policies!I34))=(Settings!$B$5*12+23),Policies!G34,""))</f>
        <v/>
      </c>
      <c r="AA34" s="56">
        <f>IF(Policies!I34="","",IF((YEAR(Policies!I34)*12+MONTH(Policies!I34))=(Settings!$B$5*12+24),Policies!G34,""))</f>
        <v/>
      </c>
      <c r="AB34" s="57">
        <f>IF(SUM(D34:AA34)=0,"",SUM(D34:AA34))</f>
        <v/>
      </c>
    </row>
    <row r="35" ht="18" customHeight="1">
      <c r="A35" s="52">
        <f>IF(Policies!A35="","",Policies!A35)</f>
        <v/>
      </c>
      <c r="B35" s="52">
        <f>IF(Policies!B35="","",Policies!B35)</f>
        <v/>
      </c>
      <c r="C35" s="52">
        <f>IF(Policies!D35="","",Policies!D35)</f>
        <v/>
      </c>
      <c r="D35" s="53">
        <f>IF(Policies!I35="","",IF((YEAR(Policies!I35)*12+MONTH(Policies!I35))=(Settings!$B$5*12+1),Policies!G35,""))</f>
        <v/>
      </c>
      <c r="E35" s="53">
        <f>IF(Policies!I35="","",IF((YEAR(Policies!I35)*12+MONTH(Policies!I35))=(Settings!$B$5*12+2),Policies!G35,""))</f>
        <v/>
      </c>
      <c r="F35" s="53">
        <f>IF(Policies!I35="","",IF((YEAR(Policies!I35)*12+MONTH(Policies!I35))=(Settings!$B$5*12+3),Policies!G35,""))</f>
        <v/>
      </c>
      <c r="G35" s="53">
        <f>IF(Policies!I35="","",IF((YEAR(Policies!I35)*12+MONTH(Policies!I35))=(Settings!$B$5*12+4),Policies!G35,""))</f>
        <v/>
      </c>
      <c r="H35" s="53">
        <f>IF(Policies!I35="","",IF((YEAR(Policies!I35)*12+MONTH(Policies!I35))=(Settings!$B$5*12+5),Policies!G35,""))</f>
        <v/>
      </c>
      <c r="I35" s="53">
        <f>IF(Policies!I35="","",IF((YEAR(Policies!I35)*12+MONTH(Policies!I35))=(Settings!$B$5*12+6),Policies!G35,""))</f>
        <v/>
      </c>
      <c r="J35" s="53">
        <f>IF(Policies!I35="","",IF((YEAR(Policies!I35)*12+MONTH(Policies!I35))=(Settings!$B$5*12+7),Policies!G35,""))</f>
        <v/>
      </c>
      <c r="K35" s="53">
        <f>IF(Policies!I35="","",IF((YEAR(Policies!I35)*12+MONTH(Policies!I35))=(Settings!$B$5*12+8),Policies!G35,""))</f>
        <v/>
      </c>
      <c r="L35" s="53">
        <f>IF(Policies!I35="","",IF((YEAR(Policies!I35)*12+MONTH(Policies!I35))=(Settings!$B$5*12+9),Policies!G35,""))</f>
        <v/>
      </c>
      <c r="M35" s="53">
        <f>IF(Policies!I35="","",IF((YEAR(Policies!I35)*12+MONTH(Policies!I35))=(Settings!$B$5*12+10),Policies!G35,""))</f>
        <v/>
      </c>
      <c r="N35" s="53">
        <f>IF(Policies!I35="","",IF((YEAR(Policies!I35)*12+MONTH(Policies!I35))=(Settings!$B$5*12+11),Policies!G35,""))</f>
        <v/>
      </c>
      <c r="O35" s="53">
        <f>IF(Policies!I35="","",IF((YEAR(Policies!I35)*12+MONTH(Policies!I35))=(Settings!$B$5*12+12),Policies!G35,""))</f>
        <v/>
      </c>
      <c r="P35" s="53">
        <f>IF(Policies!I35="","",IF((YEAR(Policies!I35)*12+MONTH(Policies!I35))=(Settings!$B$5*12+13),Policies!G35,""))</f>
        <v/>
      </c>
      <c r="Q35" s="53">
        <f>IF(Policies!I35="","",IF((YEAR(Policies!I35)*12+MONTH(Policies!I35))=(Settings!$B$5*12+14),Policies!G35,""))</f>
        <v/>
      </c>
      <c r="R35" s="53">
        <f>IF(Policies!I35="","",IF((YEAR(Policies!I35)*12+MONTH(Policies!I35))=(Settings!$B$5*12+15),Policies!G35,""))</f>
        <v/>
      </c>
      <c r="S35" s="53">
        <f>IF(Policies!I35="","",IF((YEAR(Policies!I35)*12+MONTH(Policies!I35))=(Settings!$B$5*12+16),Policies!G35,""))</f>
        <v/>
      </c>
      <c r="T35" s="53">
        <f>IF(Policies!I35="","",IF((YEAR(Policies!I35)*12+MONTH(Policies!I35))=(Settings!$B$5*12+17),Policies!G35,""))</f>
        <v/>
      </c>
      <c r="U35" s="53">
        <f>IF(Policies!I35="","",IF((YEAR(Policies!I35)*12+MONTH(Policies!I35))=(Settings!$B$5*12+18),Policies!G35,""))</f>
        <v/>
      </c>
      <c r="V35" s="53">
        <f>IF(Policies!I35="","",IF((YEAR(Policies!I35)*12+MONTH(Policies!I35))=(Settings!$B$5*12+19),Policies!G35,""))</f>
        <v/>
      </c>
      <c r="W35" s="53">
        <f>IF(Policies!I35="","",IF((YEAR(Policies!I35)*12+MONTH(Policies!I35))=(Settings!$B$5*12+20),Policies!G35,""))</f>
        <v/>
      </c>
      <c r="X35" s="53">
        <f>IF(Policies!I35="","",IF((YEAR(Policies!I35)*12+MONTH(Policies!I35))=(Settings!$B$5*12+21),Policies!G35,""))</f>
        <v/>
      </c>
      <c r="Y35" s="53">
        <f>IF(Policies!I35="","",IF((YEAR(Policies!I35)*12+MONTH(Policies!I35))=(Settings!$B$5*12+22),Policies!G35,""))</f>
        <v/>
      </c>
      <c r="Z35" s="53">
        <f>IF(Policies!I35="","",IF((YEAR(Policies!I35)*12+MONTH(Policies!I35))=(Settings!$B$5*12+23),Policies!G35,""))</f>
        <v/>
      </c>
      <c r="AA35" s="53">
        <f>IF(Policies!I35="","",IF((YEAR(Policies!I35)*12+MONTH(Policies!I35))=(Settings!$B$5*12+24),Policies!G35,""))</f>
        <v/>
      </c>
      <c r="AB35" s="54">
        <f>IF(SUM(D35:AA35)=0,"",SUM(D35:AA35))</f>
        <v/>
      </c>
    </row>
    <row r="36" ht="18" customHeight="1">
      <c r="A36" s="55">
        <f>IF(Policies!A36="","",Policies!A36)</f>
        <v/>
      </c>
      <c r="B36" s="55">
        <f>IF(Policies!B36="","",Policies!B36)</f>
        <v/>
      </c>
      <c r="C36" s="55">
        <f>IF(Policies!D36="","",Policies!D36)</f>
        <v/>
      </c>
      <c r="D36" s="56">
        <f>IF(Policies!I36="","",IF((YEAR(Policies!I36)*12+MONTH(Policies!I36))=(Settings!$B$5*12+1),Policies!G36,""))</f>
        <v/>
      </c>
      <c r="E36" s="56">
        <f>IF(Policies!I36="","",IF((YEAR(Policies!I36)*12+MONTH(Policies!I36))=(Settings!$B$5*12+2),Policies!G36,""))</f>
        <v/>
      </c>
      <c r="F36" s="56">
        <f>IF(Policies!I36="","",IF((YEAR(Policies!I36)*12+MONTH(Policies!I36))=(Settings!$B$5*12+3),Policies!G36,""))</f>
        <v/>
      </c>
      <c r="G36" s="56">
        <f>IF(Policies!I36="","",IF((YEAR(Policies!I36)*12+MONTH(Policies!I36))=(Settings!$B$5*12+4),Policies!G36,""))</f>
        <v/>
      </c>
      <c r="H36" s="56">
        <f>IF(Policies!I36="","",IF((YEAR(Policies!I36)*12+MONTH(Policies!I36))=(Settings!$B$5*12+5),Policies!G36,""))</f>
        <v/>
      </c>
      <c r="I36" s="56">
        <f>IF(Policies!I36="","",IF((YEAR(Policies!I36)*12+MONTH(Policies!I36))=(Settings!$B$5*12+6),Policies!G36,""))</f>
        <v/>
      </c>
      <c r="J36" s="56">
        <f>IF(Policies!I36="","",IF((YEAR(Policies!I36)*12+MONTH(Policies!I36))=(Settings!$B$5*12+7),Policies!G36,""))</f>
        <v/>
      </c>
      <c r="K36" s="56">
        <f>IF(Policies!I36="","",IF((YEAR(Policies!I36)*12+MONTH(Policies!I36))=(Settings!$B$5*12+8),Policies!G36,""))</f>
        <v/>
      </c>
      <c r="L36" s="56">
        <f>IF(Policies!I36="","",IF((YEAR(Policies!I36)*12+MONTH(Policies!I36))=(Settings!$B$5*12+9),Policies!G36,""))</f>
        <v/>
      </c>
      <c r="M36" s="56">
        <f>IF(Policies!I36="","",IF((YEAR(Policies!I36)*12+MONTH(Policies!I36))=(Settings!$B$5*12+10),Policies!G36,""))</f>
        <v/>
      </c>
      <c r="N36" s="56">
        <f>IF(Policies!I36="","",IF((YEAR(Policies!I36)*12+MONTH(Policies!I36))=(Settings!$B$5*12+11),Policies!G36,""))</f>
        <v/>
      </c>
      <c r="O36" s="56">
        <f>IF(Policies!I36="","",IF((YEAR(Policies!I36)*12+MONTH(Policies!I36))=(Settings!$B$5*12+12),Policies!G36,""))</f>
        <v/>
      </c>
      <c r="P36" s="56">
        <f>IF(Policies!I36="","",IF((YEAR(Policies!I36)*12+MONTH(Policies!I36))=(Settings!$B$5*12+13),Policies!G36,""))</f>
        <v/>
      </c>
      <c r="Q36" s="56">
        <f>IF(Policies!I36="","",IF((YEAR(Policies!I36)*12+MONTH(Policies!I36))=(Settings!$B$5*12+14),Policies!G36,""))</f>
        <v/>
      </c>
      <c r="R36" s="56">
        <f>IF(Policies!I36="","",IF((YEAR(Policies!I36)*12+MONTH(Policies!I36))=(Settings!$B$5*12+15),Policies!G36,""))</f>
        <v/>
      </c>
      <c r="S36" s="56">
        <f>IF(Policies!I36="","",IF((YEAR(Policies!I36)*12+MONTH(Policies!I36))=(Settings!$B$5*12+16),Policies!G36,""))</f>
        <v/>
      </c>
      <c r="T36" s="56">
        <f>IF(Policies!I36="","",IF((YEAR(Policies!I36)*12+MONTH(Policies!I36))=(Settings!$B$5*12+17),Policies!G36,""))</f>
        <v/>
      </c>
      <c r="U36" s="56">
        <f>IF(Policies!I36="","",IF((YEAR(Policies!I36)*12+MONTH(Policies!I36))=(Settings!$B$5*12+18),Policies!G36,""))</f>
        <v/>
      </c>
      <c r="V36" s="56">
        <f>IF(Policies!I36="","",IF((YEAR(Policies!I36)*12+MONTH(Policies!I36))=(Settings!$B$5*12+19),Policies!G36,""))</f>
        <v/>
      </c>
      <c r="W36" s="56">
        <f>IF(Policies!I36="","",IF((YEAR(Policies!I36)*12+MONTH(Policies!I36))=(Settings!$B$5*12+20),Policies!G36,""))</f>
        <v/>
      </c>
      <c r="X36" s="56">
        <f>IF(Policies!I36="","",IF((YEAR(Policies!I36)*12+MONTH(Policies!I36))=(Settings!$B$5*12+21),Policies!G36,""))</f>
        <v/>
      </c>
      <c r="Y36" s="56">
        <f>IF(Policies!I36="","",IF((YEAR(Policies!I36)*12+MONTH(Policies!I36))=(Settings!$B$5*12+22),Policies!G36,""))</f>
        <v/>
      </c>
      <c r="Z36" s="56">
        <f>IF(Policies!I36="","",IF((YEAR(Policies!I36)*12+MONTH(Policies!I36))=(Settings!$B$5*12+23),Policies!G36,""))</f>
        <v/>
      </c>
      <c r="AA36" s="56">
        <f>IF(Policies!I36="","",IF((YEAR(Policies!I36)*12+MONTH(Policies!I36))=(Settings!$B$5*12+24),Policies!G36,""))</f>
        <v/>
      </c>
      <c r="AB36" s="57">
        <f>IF(SUM(D36:AA36)=0,"",SUM(D36:AA36))</f>
        <v/>
      </c>
    </row>
    <row r="38" ht="26" customHeight="1">
      <c r="A38" s="58" t="inlineStr">
        <is>
          <t>Monthly total</t>
        </is>
      </c>
      <c r="B38" s="1" t="n"/>
      <c r="C38" s="1" t="n"/>
      <c r="D38" s="59">
        <f>IF(SUM(D7:D36)=0,"",SUM(D7:D36))</f>
        <v/>
      </c>
      <c r="E38" s="59">
        <f>IF(SUM(E7:E36)=0,"",SUM(E7:E36))</f>
        <v/>
      </c>
      <c r="F38" s="59">
        <f>IF(SUM(F7:F36)=0,"",SUM(F7:F36))</f>
        <v/>
      </c>
      <c r="G38" s="59">
        <f>IF(SUM(G7:G36)=0,"",SUM(G7:G36))</f>
        <v/>
      </c>
      <c r="H38" s="59">
        <f>IF(SUM(H7:H36)=0,"",SUM(H7:H36))</f>
        <v/>
      </c>
      <c r="I38" s="59">
        <f>IF(SUM(I7:I36)=0,"",SUM(I7:I36))</f>
        <v/>
      </c>
      <c r="J38" s="59">
        <f>IF(SUM(J7:J36)=0,"",SUM(J7:J36))</f>
        <v/>
      </c>
      <c r="K38" s="59">
        <f>IF(SUM(K7:K36)=0,"",SUM(K7:K36))</f>
        <v/>
      </c>
      <c r="L38" s="59">
        <f>IF(SUM(L7:L36)=0,"",SUM(L7:L36))</f>
        <v/>
      </c>
      <c r="M38" s="59">
        <f>IF(SUM(M7:M36)=0,"",SUM(M7:M36))</f>
        <v/>
      </c>
      <c r="N38" s="59">
        <f>IF(SUM(N7:N36)=0,"",SUM(N7:N36))</f>
        <v/>
      </c>
      <c r="O38" s="59">
        <f>IF(SUM(O7:O36)=0,"",SUM(O7:O36))</f>
        <v/>
      </c>
      <c r="P38" s="59">
        <f>IF(SUM(P7:P36)=0,"",SUM(P7:P36))</f>
        <v/>
      </c>
      <c r="Q38" s="59">
        <f>IF(SUM(Q7:Q36)=0,"",SUM(Q7:Q36))</f>
        <v/>
      </c>
      <c r="R38" s="59">
        <f>IF(SUM(R7:R36)=0,"",SUM(R7:R36))</f>
        <v/>
      </c>
      <c r="S38" s="59">
        <f>IF(SUM(S7:S36)=0,"",SUM(S7:S36))</f>
        <v/>
      </c>
      <c r="T38" s="59">
        <f>IF(SUM(T7:T36)=0,"",SUM(T7:T36))</f>
        <v/>
      </c>
      <c r="U38" s="59">
        <f>IF(SUM(U7:U36)=0,"",SUM(U7:U36))</f>
        <v/>
      </c>
      <c r="V38" s="59">
        <f>IF(SUM(V7:V36)=0,"",SUM(V7:V36))</f>
        <v/>
      </c>
      <c r="W38" s="59">
        <f>IF(SUM(W7:W36)=0,"",SUM(W7:W36))</f>
        <v/>
      </c>
      <c r="X38" s="59">
        <f>IF(SUM(X7:X36)=0,"",SUM(X7:X36))</f>
        <v/>
      </c>
      <c r="Y38" s="59">
        <f>IF(SUM(Y7:Y36)=0,"",SUM(Y7:Y36))</f>
        <v/>
      </c>
      <c r="Z38" s="59">
        <f>IF(SUM(Z7:Z36)=0,"",SUM(Z7:Z36))</f>
        <v/>
      </c>
      <c r="AA38" s="59">
        <f>IF(SUM(AA7:AA36)=0,"",SUM(AA7:AA36))</f>
        <v/>
      </c>
      <c r="AB38" s="60">
        <f>SUM(AB7:AB36)</f>
        <v/>
      </c>
    </row>
  </sheetData>
  <mergeCells count="4">
    <mergeCell ref="J2:L2"/>
    <mergeCell ref="D2:I2"/>
    <mergeCell ref="A2:C2"/>
    <mergeCell ref="A4:L4"/>
  </mergeCells>
  <pageMargins left="0.3" right="0.3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36" customWidth="1" min="5" max="5"/>
    <col width="14" customWidth="1" min="6" max="6"/>
    <col width="14" customWidth="1" min="7" max="7"/>
    <col width="14" customWidth="1" min="8" max="8"/>
    <col width="12" customWidth="1" min="9" max="9"/>
    <col width="3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HYPERLINK("#'Premium Forecast'!A1", "← BACK")</f>
        <v/>
      </c>
      <c r="B2" s="24" t="n"/>
      <c r="C2" s="24" t="n"/>
      <c r="D2" s="31" t="inlineStr">
        <is>
          <t>CLAIM LOG</t>
        </is>
      </c>
      <c r="J2" s="32">
        <f>HYPERLINK("#'Settings'!A1",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4" t="inlineStr">
        <is>
          <t>Every claim filed across the portfolio. Carriers ask about claim history at every renewal — keep this log accurate and ready.</t>
        </is>
      </c>
    </row>
    <row r="5" ht="6" customHeight="1"/>
    <row r="6" ht="28" customHeight="1">
      <c r="A6" s="35" t="inlineStr">
        <is>
          <t>Date</t>
        </is>
      </c>
      <c r="B6" s="35" t="inlineStr">
        <is>
          <t>Property</t>
        </is>
      </c>
      <c r="C6" s="35" t="inlineStr">
        <is>
          <t>Policy #</t>
        </is>
      </c>
      <c r="D6" s="35" t="inlineStr">
        <is>
          <t>Type</t>
        </is>
      </c>
      <c r="E6" s="35" t="inlineStr">
        <is>
          <t>Description</t>
        </is>
      </c>
      <c r="F6" s="35" t="inlineStr">
        <is>
          <t>$ Claimed</t>
        </is>
      </c>
      <c r="G6" s="35" t="inlineStr">
        <is>
          <t>$ Deductible</t>
        </is>
      </c>
      <c r="H6" s="35" t="inlineStr">
        <is>
          <t>$ Paid</t>
        </is>
      </c>
      <c r="I6" s="35" t="inlineStr">
        <is>
          <t>Status</t>
        </is>
      </c>
      <c r="J6" s="35" t="inlineStr">
        <is>
          <t>Notes</t>
        </is>
      </c>
    </row>
    <row r="7" ht="18" customHeight="1">
      <c r="A7" s="39" t="n"/>
      <c r="B7" s="36" t="n"/>
      <c r="C7" s="36" t="n"/>
      <c r="D7" s="36" t="n"/>
      <c r="E7" s="36" t="n"/>
      <c r="F7" s="38" t="n"/>
      <c r="G7" s="38" t="n"/>
      <c r="H7" s="38" t="n"/>
      <c r="I7" s="36" t="n"/>
      <c r="J7" s="36" t="n"/>
    </row>
    <row r="8" ht="18" customHeight="1">
      <c r="A8" s="39" t="n"/>
      <c r="B8" s="36" t="n"/>
      <c r="C8" s="36" t="n"/>
      <c r="D8" s="36" t="n"/>
      <c r="E8" s="36" t="n"/>
      <c r="F8" s="38" t="n"/>
      <c r="G8" s="38" t="n"/>
      <c r="H8" s="38" t="n"/>
      <c r="I8" s="36" t="n"/>
      <c r="J8" s="36" t="n"/>
    </row>
    <row r="9" ht="18" customHeight="1">
      <c r="A9" s="39" t="n"/>
      <c r="B9" s="36" t="n"/>
      <c r="C9" s="36" t="n"/>
      <c r="D9" s="36" t="n"/>
      <c r="E9" s="36" t="n"/>
      <c r="F9" s="38" t="n"/>
      <c r="G9" s="38" t="n"/>
      <c r="H9" s="38" t="n"/>
      <c r="I9" s="36" t="n"/>
      <c r="J9" s="36" t="n"/>
    </row>
    <row r="10" ht="18" customHeight="1">
      <c r="A10" s="39" t="n"/>
      <c r="B10" s="36" t="n"/>
      <c r="C10" s="36" t="n"/>
      <c r="D10" s="36" t="n"/>
      <c r="E10" s="36" t="n"/>
      <c r="F10" s="38" t="n"/>
      <c r="G10" s="38" t="n"/>
      <c r="H10" s="38" t="n"/>
      <c r="I10" s="36" t="n"/>
      <c r="J10" s="36" t="n"/>
    </row>
    <row r="11" ht="18" customHeight="1">
      <c r="A11" s="39" t="n"/>
      <c r="B11" s="36" t="n"/>
      <c r="C11" s="36" t="n"/>
      <c r="D11" s="36" t="n"/>
      <c r="E11" s="36" t="n"/>
      <c r="F11" s="38" t="n"/>
      <c r="G11" s="38" t="n"/>
      <c r="H11" s="38" t="n"/>
      <c r="I11" s="36" t="n"/>
      <c r="J11" s="36" t="n"/>
    </row>
    <row r="12" ht="18" customHeight="1">
      <c r="A12" s="39" t="n"/>
      <c r="B12" s="36" t="n"/>
      <c r="C12" s="36" t="n"/>
      <c r="D12" s="36" t="n"/>
      <c r="E12" s="36" t="n"/>
      <c r="F12" s="38" t="n"/>
      <c r="G12" s="38" t="n"/>
      <c r="H12" s="38" t="n"/>
      <c r="I12" s="36" t="n"/>
      <c r="J12" s="36" t="n"/>
    </row>
    <row r="13" ht="18" customHeight="1">
      <c r="A13" s="39" t="n"/>
      <c r="B13" s="36" t="n"/>
      <c r="C13" s="36" t="n"/>
      <c r="D13" s="36" t="n"/>
      <c r="E13" s="36" t="n"/>
      <c r="F13" s="38" t="n"/>
      <c r="G13" s="38" t="n"/>
      <c r="H13" s="38" t="n"/>
      <c r="I13" s="36" t="n"/>
      <c r="J13" s="36" t="n"/>
    </row>
    <row r="14" ht="18" customHeight="1">
      <c r="A14" s="39" t="n"/>
      <c r="B14" s="36" t="n"/>
      <c r="C14" s="36" t="n"/>
      <c r="D14" s="36" t="n"/>
      <c r="E14" s="36" t="n"/>
      <c r="F14" s="38" t="n"/>
      <c r="G14" s="38" t="n"/>
      <c r="H14" s="38" t="n"/>
      <c r="I14" s="36" t="n"/>
      <c r="J14" s="36" t="n"/>
    </row>
    <row r="15" ht="18" customHeight="1">
      <c r="A15" s="39" t="n"/>
      <c r="B15" s="36" t="n"/>
      <c r="C15" s="36" t="n"/>
      <c r="D15" s="36" t="n"/>
      <c r="E15" s="36" t="n"/>
      <c r="F15" s="38" t="n"/>
      <c r="G15" s="38" t="n"/>
      <c r="H15" s="38" t="n"/>
      <c r="I15" s="36" t="n"/>
      <c r="J15" s="36" t="n"/>
    </row>
    <row r="16" ht="18" customHeight="1">
      <c r="A16" s="39" t="n"/>
      <c r="B16" s="36" t="n"/>
      <c r="C16" s="36" t="n"/>
      <c r="D16" s="36" t="n"/>
      <c r="E16" s="36" t="n"/>
      <c r="F16" s="38" t="n"/>
      <c r="G16" s="38" t="n"/>
      <c r="H16" s="38" t="n"/>
      <c r="I16" s="36" t="n"/>
      <c r="J16" s="36" t="n"/>
    </row>
    <row r="17" ht="18" customHeight="1">
      <c r="A17" s="39" t="n"/>
      <c r="B17" s="36" t="n"/>
      <c r="C17" s="36" t="n"/>
      <c r="D17" s="36" t="n"/>
      <c r="E17" s="36" t="n"/>
      <c r="F17" s="38" t="n"/>
      <c r="G17" s="38" t="n"/>
      <c r="H17" s="38" t="n"/>
      <c r="I17" s="36" t="n"/>
      <c r="J17" s="36" t="n"/>
    </row>
    <row r="18" ht="18" customHeight="1">
      <c r="A18" s="39" t="n"/>
      <c r="B18" s="36" t="n"/>
      <c r="C18" s="36" t="n"/>
      <c r="D18" s="36" t="n"/>
      <c r="E18" s="36" t="n"/>
      <c r="F18" s="38" t="n"/>
      <c r="G18" s="38" t="n"/>
      <c r="H18" s="38" t="n"/>
      <c r="I18" s="36" t="n"/>
      <c r="J18" s="36" t="n"/>
    </row>
    <row r="19" ht="18" customHeight="1">
      <c r="A19" s="39" t="n"/>
      <c r="B19" s="36" t="n"/>
      <c r="C19" s="36" t="n"/>
      <c r="D19" s="36" t="n"/>
      <c r="E19" s="36" t="n"/>
      <c r="F19" s="38" t="n"/>
      <c r="G19" s="38" t="n"/>
      <c r="H19" s="38" t="n"/>
      <c r="I19" s="36" t="n"/>
      <c r="J19" s="36" t="n"/>
    </row>
    <row r="20" ht="18" customHeight="1">
      <c r="A20" s="39" t="n"/>
      <c r="B20" s="36" t="n"/>
      <c r="C20" s="36" t="n"/>
      <c r="D20" s="36" t="n"/>
      <c r="E20" s="36" t="n"/>
      <c r="F20" s="38" t="n"/>
      <c r="G20" s="38" t="n"/>
      <c r="H20" s="38" t="n"/>
      <c r="I20" s="36" t="n"/>
      <c r="J20" s="36" t="n"/>
    </row>
    <row r="21" ht="18" customHeight="1">
      <c r="A21" s="39" t="n"/>
      <c r="B21" s="36" t="n"/>
      <c r="C21" s="36" t="n"/>
      <c r="D21" s="36" t="n"/>
      <c r="E21" s="36" t="n"/>
      <c r="F21" s="38" t="n"/>
      <c r="G21" s="38" t="n"/>
      <c r="H21" s="38" t="n"/>
      <c r="I21" s="36" t="n"/>
      <c r="J21" s="36" t="n"/>
    </row>
    <row r="22" ht="18" customHeight="1">
      <c r="A22" s="39" t="n"/>
      <c r="B22" s="36" t="n"/>
      <c r="C22" s="36" t="n"/>
      <c r="D22" s="36" t="n"/>
      <c r="E22" s="36" t="n"/>
      <c r="F22" s="38" t="n"/>
      <c r="G22" s="38" t="n"/>
      <c r="H22" s="38" t="n"/>
      <c r="I22" s="36" t="n"/>
      <c r="J22" s="36" t="n"/>
    </row>
    <row r="23" ht="18" customHeight="1">
      <c r="A23" s="39" t="n"/>
      <c r="B23" s="36" t="n"/>
      <c r="C23" s="36" t="n"/>
      <c r="D23" s="36" t="n"/>
      <c r="E23" s="36" t="n"/>
      <c r="F23" s="38" t="n"/>
      <c r="G23" s="38" t="n"/>
      <c r="H23" s="38" t="n"/>
      <c r="I23" s="36" t="n"/>
      <c r="J23" s="36" t="n"/>
    </row>
    <row r="24" ht="18" customHeight="1">
      <c r="A24" s="39" t="n"/>
      <c r="B24" s="36" t="n"/>
      <c r="C24" s="36" t="n"/>
      <c r="D24" s="36" t="n"/>
      <c r="E24" s="36" t="n"/>
      <c r="F24" s="38" t="n"/>
      <c r="G24" s="38" t="n"/>
      <c r="H24" s="38" t="n"/>
      <c r="I24" s="36" t="n"/>
      <c r="J24" s="36" t="n"/>
    </row>
    <row r="25" ht="18" customHeight="1">
      <c r="A25" s="39" t="n"/>
      <c r="B25" s="36" t="n"/>
      <c r="C25" s="36" t="n"/>
      <c r="D25" s="36" t="n"/>
      <c r="E25" s="36" t="n"/>
      <c r="F25" s="38" t="n"/>
      <c r="G25" s="38" t="n"/>
      <c r="H25" s="38" t="n"/>
      <c r="I25" s="36" t="n"/>
      <c r="J25" s="36" t="n"/>
    </row>
    <row r="26" ht="18" customHeight="1">
      <c r="A26" s="39" t="n"/>
      <c r="B26" s="36" t="n"/>
      <c r="C26" s="36" t="n"/>
      <c r="D26" s="36" t="n"/>
      <c r="E26" s="36" t="n"/>
      <c r="F26" s="38" t="n"/>
      <c r="G26" s="38" t="n"/>
      <c r="H26" s="38" t="n"/>
      <c r="I26" s="36" t="n"/>
      <c r="J26" s="36" t="n"/>
    </row>
    <row r="27" ht="18" customHeight="1">
      <c r="A27" s="39" t="n"/>
      <c r="B27" s="36" t="n"/>
      <c r="C27" s="36" t="n"/>
      <c r="D27" s="36" t="n"/>
      <c r="E27" s="36" t="n"/>
      <c r="F27" s="38" t="n"/>
      <c r="G27" s="38" t="n"/>
      <c r="H27" s="38" t="n"/>
      <c r="I27" s="36" t="n"/>
      <c r="J27" s="36" t="n"/>
    </row>
    <row r="28" ht="18" customHeight="1">
      <c r="A28" s="39" t="n"/>
      <c r="B28" s="36" t="n"/>
      <c r="C28" s="36" t="n"/>
      <c r="D28" s="36" t="n"/>
      <c r="E28" s="36" t="n"/>
      <c r="F28" s="38" t="n"/>
      <c r="G28" s="38" t="n"/>
      <c r="H28" s="38" t="n"/>
      <c r="I28" s="36" t="n"/>
      <c r="J28" s="36" t="n"/>
    </row>
    <row r="29" ht="18" customHeight="1">
      <c r="A29" s="39" t="n"/>
      <c r="B29" s="36" t="n"/>
      <c r="C29" s="36" t="n"/>
      <c r="D29" s="36" t="n"/>
      <c r="E29" s="36" t="n"/>
      <c r="F29" s="38" t="n"/>
      <c r="G29" s="38" t="n"/>
      <c r="H29" s="38" t="n"/>
      <c r="I29" s="36" t="n"/>
      <c r="J29" s="36" t="n"/>
    </row>
    <row r="30" ht="18" customHeight="1">
      <c r="A30" s="39" t="n"/>
      <c r="B30" s="36" t="n"/>
      <c r="C30" s="36" t="n"/>
      <c r="D30" s="36" t="n"/>
      <c r="E30" s="36" t="n"/>
      <c r="F30" s="38" t="n"/>
      <c r="G30" s="38" t="n"/>
      <c r="H30" s="38" t="n"/>
      <c r="I30" s="36" t="n"/>
      <c r="J30" s="36" t="n"/>
    </row>
    <row r="31" ht="18" customHeight="1">
      <c r="A31" s="39" t="n"/>
      <c r="B31" s="36" t="n"/>
      <c r="C31" s="36" t="n"/>
      <c r="D31" s="36" t="n"/>
      <c r="E31" s="36" t="n"/>
      <c r="F31" s="38" t="n"/>
      <c r="G31" s="38" t="n"/>
      <c r="H31" s="38" t="n"/>
      <c r="I31" s="36" t="n"/>
      <c r="J31" s="36" t="n"/>
    </row>
    <row r="32" ht="18" customHeight="1">
      <c r="A32" s="39" t="n"/>
      <c r="B32" s="36" t="n"/>
      <c r="C32" s="36" t="n"/>
      <c r="D32" s="36" t="n"/>
      <c r="E32" s="36" t="n"/>
      <c r="F32" s="38" t="n"/>
      <c r="G32" s="38" t="n"/>
      <c r="H32" s="38" t="n"/>
      <c r="I32" s="36" t="n"/>
      <c r="J32" s="36" t="n"/>
    </row>
    <row r="33" ht="18" customHeight="1">
      <c r="A33" s="39" t="n"/>
      <c r="B33" s="36" t="n"/>
      <c r="C33" s="36" t="n"/>
      <c r="D33" s="36" t="n"/>
      <c r="E33" s="36" t="n"/>
      <c r="F33" s="38" t="n"/>
      <c r="G33" s="38" t="n"/>
      <c r="H33" s="38" t="n"/>
      <c r="I33" s="36" t="n"/>
      <c r="J33" s="36" t="n"/>
    </row>
    <row r="34" ht="18" customHeight="1">
      <c r="A34" s="39" t="n"/>
      <c r="B34" s="36" t="n"/>
      <c r="C34" s="36" t="n"/>
      <c r="D34" s="36" t="n"/>
      <c r="E34" s="36" t="n"/>
      <c r="F34" s="38" t="n"/>
      <c r="G34" s="38" t="n"/>
      <c r="H34" s="38" t="n"/>
      <c r="I34" s="36" t="n"/>
      <c r="J34" s="36" t="n"/>
    </row>
    <row r="35" ht="18" customHeight="1">
      <c r="A35" s="39" t="n"/>
      <c r="B35" s="36" t="n"/>
      <c r="C35" s="36" t="n"/>
      <c r="D35" s="36" t="n"/>
      <c r="E35" s="36" t="n"/>
      <c r="F35" s="38" t="n"/>
      <c r="G35" s="38" t="n"/>
      <c r="H35" s="38" t="n"/>
      <c r="I35" s="36" t="n"/>
      <c r="J35" s="36" t="n"/>
    </row>
    <row r="36" ht="18" customHeight="1">
      <c r="A36" s="39" t="n"/>
      <c r="B36" s="36" t="n"/>
      <c r="C36" s="36" t="n"/>
      <c r="D36" s="36" t="n"/>
      <c r="E36" s="36" t="n"/>
      <c r="F36" s="38" t="n"/>
      <c r="G36" s="38" t="n"/>
      <c r="H36" s="38" t="n"/>
      <c r="I36" s="36" t="n"/>
      <c r="J36" s="36" t="n"/>
    </row>
    <row r="37" ht="18" customHeight="1">
      <c r="A37" s="39" t="n"/>
      <c r="B37" s="36" t="n"/>
      <c r="C37" s="36" t="n"/>
      <c r="D37" s="36" t="n"/>
      <c r="E37" s="36" t="n"/>
      <c r="F37" s="38" t="n"/>
      <c r="G37" s="38" t="n"/>
      <c r="H37" s="38" t="n"/>
      <c r="I37" s="36" t="n"/>
      <c r="J37" s="36" t="n"/>
    </row>
    <row r="38" ht="18" customHeight="1">
      <c r="A38" s="39" t="n"/>
      <c r="B38" s="36" t="n"/>
      <c r="C38" s="36" t="n"/>
      <c r="D38" s="36" t="n"/>
      <c r="E38" s="36" t="n"/>
      <c r="F38" s="38" t="n"/>
      <c r="G38" s="38" t="n"/>
      <c r="H38" s="38" t="n"/>
      <c r="I38" s="36" t="n"/>
      <c r="J38" s="36" t="n"/>
    </row>
    <row r="39" ht="18" customHeight="1">
      <c r="A39" s="39" t="n"/>
      <c r="B39" s="36" t="n"/>
      <c r="C39" s="36" t="n"/>
      <c r="D39" s="36" t="n"/>
      <c r="E39" s="36" t="n"/>
      <c r="F39" s="38" t="n"/>
      <c r="G39" s="38" t="n"/>
      <c r="H39" s="38" t="n"/>
      <c r="I39" s="36" t="n"/>
      <c r="J39" s="36" t="n"/>
    </row>
    <row r="40" ht="18" customHeight="1">
      <c r="A40" s="39" t="n"/>
      <c r="B40" s="36" t="n"/>
      <c r="C40" s="36" t="n"/>
      <c r="D40" s="36" t="n"/>
      <c r="E40" s="36" t="n"/>
      <c r="F40" s="38" t="n"/>
      <c r="G40" s="38" t="n"/>
      <c r="H40" s="38" t="n"/>
      <c r="I40" s="36" t="n"/>
      <c r="J40" s="36" t="n"/>
    </row>
    <row r="41" ht="18" customHeight="1">
      <c r="A41" s="39" t="n"/>
      <c r="B41" s="36" t="n"/>
      <c r="C41" s="36" t="n"/>
      <c r="D41" s="36" t="n"/>
      <c r="E41" s="36" t="n"/>
      <c r="F41" s="38" t="n"/>
      <c r="G41" s="38" t="n"/>
      <c r="H41" s="38" t="n"/>
      <c r="I41" s="36" t="n"/>
      <c r="J41" s="36" t="n"/>
    </row>
    <row r="42" ht="18" customHeight="1">
      <c r="A42" s="39" t="n"/>
      <c r="B42" s="36" t="n"/>
      <c r="C42" s="36" t="n"/>
      <c r="D42" s="36" t="n"/>
      <c r="E42" s="36" t="n"/>
      <c r="F42" s="38" t="n"/>
      <c r="G42" s="38" t="n"/>
      <c r="H42" s="38" t="n"/>
      <c r="I42" s="36" t="n"/>
      <c r="J42" s="36" t="n"/>
    </row>
    <row r="43" ht="18" customHeight="1">
      <c r="A43" s="39" t="n"/>
      <c r="B43" s="36" t="n"/>
      <c r="C43" s="36" t="n"/>
      <c r="D43" s="36" t="n"/>
      <c r="E43" s="36" t="n"/>
      <c r="F43" s="38" t="n"/>
      <c r="G43" s="38" t="n"/>
      <c r="H43" s="38" t="n"/>
      <c r="I43" s="36" t="n"/>
      <c r="J43" s="36" t="n"/>
    </row>
    <row r="44" ht="18" customHeight="1">
      <c r="A44" s="39" t="n"/>
      <c r="B44" s="36" t="n"/>
      <c r="C44" s="36" t="n"/>
      <c r="D44" s="36" t="n"/>
      <c r="E44" s="36" t="n"/>
      <c r="F44" s="38" t="n"/>
      <c r="G44" s="38" t="n"/>
      <c r="H44" s="38" t="n"/>
      <c r="I44" s="36" t="n"/>
      <c r="J44" s="36" t="n"/>
    </row>
    <row r="45" ht="18" customHeight="1">
      <c r="A45" s="39" t="n"/>
      <c r="B45" s="36" t="n"/>
      <c r="C45" s="36" t="n"/>
      <c r="D45" s="36" t="n"/>
      <c r="E45" s="36" t="n"/>
      <c r="F45" s="38" t="n"/>
      <c r="G45" s="38" t="n"/>
      <c r="H45" s="38" t="n"/>
      <c r="I45" s="36" t="n"/>
      <c r="J45" s="36" t="n"/>
    </row>
    <row r="46" ht="18" customHeight="1">
      <c r="A46" s="39" t="n"/>
      <c r="B46" s="36" t="n"/>
      <c r="C46" s="36" t="n"/>
      <c r="D46" s="36" t="n"/>
      <c r="E46" s="36" t="n"/>
      <c r="F46" s="38" t="n"/>
      <c r="G46" s="38" t="n"/>
      <c r="H46" s="38" t="n"/>
      <c r="I46" s="36" t="n"/>
      <c r="J46" s="36" t="n"/>
    </row>
    <row r="47" ht="18" customHeight="1">
      <c r="A47" s="39" t="n"/>
      <c r="B47" s="36" t="n"/>
      <c r="C47" s="36" t="n"/>
      <c r="D47" s="36" t="n"/>
      <c r="E47" s="36" t="n"/>
      <c r="F47" s="38" t="n"/>
      <c r="G47" s="38" t="n"/>
      <c r="H47" s="38" t="n"/>
      <c r="I47" s="36" t="n"/>
      <c r="J47" s="36" t="n"/>
    </row>
    <row r="48" ht="18" customHeight="1">
      <c r="A48" s="39" t="n"/>
      <c r="B48" s="36" t="n"/>
      <c r="C48" s="36" t="n"/>
      <c r="D48" s="36" t="n"/>
      <c r="E48" s="36" t="n"/>
      <c r="F48" s="38" t="n"/>
      <c r="G48" s="38" t="n"/>
      <c r="H48" s="38" t="n"/>
      <c r="I48" s="36" t="n"/>
      <c r="J48" s="36" t="n"/>
    </row>
    <row r="49" ht="18" customHeight="1">
      <c r="A49" s="39" t="n"/>
      <c r="B49" s="36" t="n"/>
      <c r="C49" s="36" t="n"/>
      <c r="D49" s="36" t="n"/>
      <c r="E49" s="36" t="n"/>
      <c r="F49" s="38" t="n"/>
      <c r="G49" s="38" t="n"/>
      <c r="H49" s="38" t="n"/>
      <c r="I49" s="36" t="n"/>
      <c r="J49" s="36" t="n"/>
    </row>
    <row r="50" ht="18" customHeight="1">
      <c r="A50" s="39" t="n"/>
      <c r="B50" s="36" t="n"/>
      <c r="C50" s="36" t="n"/>
      <c r="D50" s="36" t="n"/>
      <c r="E50" s="36" t="n"/>
      <c r="F50" s="38" t="n"/>
      <c r="G50" s="38" t="n"/>
      <c r="H50" s="38" t="n"/>
      <c r="I50" s="36" t="n"/>
      <c r="J50" s="36" t="n"/>
    </row>
    <row r="51" ht="18" customHeight="1">
      <c r="A51" s="39" t="n"/>
      <c r="B51" s="36" t="n"/>
      <c r="C51" s="36" t="n"/>
      <c r="D51" s="36" t="n"/>
      <c r="E51" s="36" t="n"/>
      <c r="F51" s="38" t="n"/>
      <c r="G51" s="38" t="n"/>
      <c r="H51" s="38" t="n"/>
      <c r="I51" s="36" t="n"/>
      <c r="J51" s="36" t="n"/>
    </row>
    <row r="52" ht="18" customHeight="1">
      <c r="A52" s="39" t="n"/>
      <c r="B52" s="36" t="n"/>
      <c r="C52" s="36" t="n"/>
      <c r="D52" s="36" t="n"/>
      <c r="E52" s="36" t="n"/>
      <c r="F52" s="38" t="n"/>
      <c r="G52" s="38" t="n"/>
      <c r="H52" s="38" t="n"/>
      <c r="I52" s="36" t="n"/>
      <c r="J52" s="36" t="n"/>
    </row>
    <row r="53" ht="18" customHeight="1">
      <c r="A53" s="39" t="n"/>
      <c r="B53" s="36" t="n"/>
      <c r="C53" s="36" t="n"/>
      <c r="D53" s="36" t="n"/>
      <c r="E53" s="36" t="n"/>
      <c r="F53" s="38" t="n"/>
      <c r="G53" s="38" t="n"/>
      <c r="H53" s="38" t="n"/>
      <c r="I53" s="36" t="n"/>
      <c r="J53" s="36" t="n"/>
    </row>
    <row r="54" ht="18" customHeight="1">
      <c r="A54" s="39" t="n"/>
      <c r="B54" s="36" t="n"/>
      <c r="C54" s="36" t="n"/>
      <c r="D54" s="36" t="n"/>
      <c r="E54" s="36" t="n"/>
      <c r="F54" s="38" t="n"/>
      <c r="G54" s="38" t="n"/>
      <c r="H54" s="38" t="n"/>
      <c r="I54" s="36" t="n"/>
      <c r="J54" s="36" t="n"/>
    </row>
    <row r="55" ht="18" customHeight="1">
      <c r="A55" s="39" t="n"/>
      <c r="B55" s="36" t="n"/>
      <c r="C55" s="36" t="n"/>
      <c r="D55" s="36" t="n"/>
      <c r="E55" s="36" t="n"/>
      <c r="F55" s="38" t="n"/>
      <c r="G55" s="38" t="n"/>
      <c r="H55" s="38" t="n"/>
      <c r="I55" s="36" t="n"/>
      <c r="J55" s="36" t="n"/>
    </row>
    <row r="56" ht="18" customHeight="1">
      <c r="A56" s="39" t="n"/>
      <c r="B56" s="36" t="n"/>
      <c r="C56" s="36" t="n"/>
      <c r="D56" s="36" t="n"/>
      <c r="E56" s="36" t="n"/>
      <c r="F56" s="38" t="n"/>
      <c r="G56" s="38" t="n"/>
      <c r="H56" s="38" t="n"/>
      <c r="I56" s="36" t="n"/>
      <c r="J56" s="36" t="n"/>
    </row>
  </sheetData>
  <mergeCells count="4">
    <mergeCell ref="J2:L2"/>
    <mergeCell ref="D2:I2"/>
    <mergeCell ref="A2:C2"/>
    <mergeCell ref="A4:L4"/>
  </mergeCells>
  <dataValidations count="3">
    <dataValidation sqref="B7:B56" showDropDown="0" showInputMessage="0" showErrorMessage="0" allowBlank="1" type="list">
      <formula1>=Settings!$B$6:$B$25</formula1>
    </dataValidation>
    <dataValidation sqref="D7:D56" showDropDown="0" showInputMessage="0" showErrorMessage="0" allowBlank="1" type="list">
      <formula1>=Settings!$C$6:$C$15</formula1>
    </dataValidation>
    <dataValidation sqref="I7:I56" showDropDown="0" showInputMessage="0" showErrorMessage="0" allowBlank="1" type="list">
      <formula1>=Settings!$E$6:$E$15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12304E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16" customWidth="1" min="5" max="5"/>
    <col width="1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HYPERLINK("#'Claim Log'!A1", "← BACK")</f>
        <v/>
      </c>
      <c r="B2" s="24" t="n"/>
      <c r="C2" s="24" t="n"/>
      <c r="D2" s="31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Lists drive the dropdowns on Policies, Coverage Map, and Claim Log. Active year drives the Premium Forecast horizon.</t>
        </is>
      </c>
    </row>
    <row r="5" ht="26" customHeight="1">
      <c r="A5" s="61" t="inlineStr"/>
      <c r="B5" s="62" t="n">
        <v>2026</v>
      </c>
      <c r="C5" s="63" t="inlineStr">
        <is>
          <t>Policy types</t>
        </is>
      </c>
      <c r="D5" s="63" t="inlineStr">
        <is>
          <t>Carriers</t>
        </is>
      </c>
      <c r="E5" s="63" t="inlineStr">
        <is>
          <t>Claim status</t>
        </is>
      </c>
    </row>
    <row r="6" ht="18" customHeight="1">
      <c r="A6" s="64" t="inlineStr">
        <is>
          <t>Props →</t>
        </is>
      </c>
      <c r="B6" s="36" t="inlineStr">
        <is>
          <t>Smokies Ridge Cabin</t>
        </is>
      </c>
      <c r="C6" s="36" t="inlineStr">
        <is>
          <t>STR Dwelling</t>
        </is>
      </c>
      <c r="D6" s="36" t="inlineStr">
        <is>
          <t>Proper Insurance</t>
        </is>
      </c>
      <c r="E6" s="36" t="inlineStr">
        <is>
          <t>Open</t>
        </is>
      </c>
    </row>
    <row r="7" ht="18" customHeight="1">
      <c r="B7" s="36" t="inlineStr">
        <is>
          <t>Creek Side</t>
        </is>
      </c>
      <c r="C7" s="36" t="inlineStr">
        <is>
          <t>Umbrella Liability</t>
        </is>
      </c>
      <c r="D7" s="36" t="inlineStr">
        <is>
          <t>Chubb</t>
        </is>
      </c>
      <c r="E7" s="36" t="inlineStr">
        <is>
          <t>Filed</t>
        </is>
      </c>
    </row>
    <row r="8" ht="18" customHeight="1">
      <c r="B8" s="36" t="inlineStr">
        <is>
          <t>Lakehouse A</t>
        </is>
      </c>
      <c r="C8" s="36" t="inlineStr">
        <is>
          <t>Auto</t>
        </is>
      </c>
      <c r="D8" s="36" t="inlineStr">
        <is>
          <t>Geico</t>
        </is>
      </c>
      <c r="E8" s="36" t="inlineStr">
        <is>
          <t>Paid</t>
        </is>
      </c>
    </row>
    <row r="9" ht="18" customHeight="1">
      <c r="B9" s="36" t="inlineStr">
        <is>
          <t>Mountain Loft</t>
        </is>
      </c>
      <c r="C9" s="36" t="inlineStr">
        <is>
          <t>Equipment</t>
        </is>
      </c>
      <c r="D9" s="36" t="inlineStr">
        <is>
          <t>Hiscox</t>
        </is>
      </c>
      <c r="E9" s="36" t="inlineStr">
        <is>
          <t>Denied</t>
        </is>
      </c>
    </row>
    <row r="10" ht="18" customHeight="1">
      <c r="B10" s="36" t="inlineStr">
        <is>
          <t>Forest Cabin</t>
        </is>
      </c>
      <c r="C10" s="36" t="inlineStr">
        <is>
          <t>Cyber</t>
        </is>
      </c>
      <c r="D10" s="36" t="inlineStr">
        <is>
          <t>State Farm</t>
        </is>
      </c>
      <c r="E10" s="36" t="inlineStr">
        <is>
          <t>Withdrew</t>
        </is>
      </c>
    </row>
    <row r="11" ht="18" customHeight="1">
      <c r="B11" s="36" t="inlineStr">
        <is>
          <t>Lakehouse B</t>
        </is>
      </c>
      <c r="C11" s="36" t="inlineStr">
        <is>
          <t>AirCover Backup</t>
        </is>
      </c>
      <c r="D11" s="36" t="inlineStr">
        <is>
          <t>Allstate</t>
        </is>
      </c>
      <c r="E11" s="36" t="n"/>
    </row>
    <row r="12" ht="18" customHeight="1">
      <c r="B12" s="36" t="inlineStr">
        <is>
          <t>Downtown Loft</t>
        </is>
      </c>
      <c r="C12" s="36" t="inlineStr">
        <is>
          <t>Other</t>
        </is>
      </c>
      <c r="D12" s="36" t="inlineStr">
        <is>
          <t>Progressive</t>
        </is>
      </c>
      <c r="E12" s="36" t="n"/>
    </row>
    <row r="13" ht="18" customHeight="1">
      <c r="B13" s="36" t="inlineStr">
        <is>
          <t>Beach House</t>
        </is>
      </c>
      <c r="C13" s="36" t="n"/>
      <c r="D13" s="36" t="inlineStr">
        <is>
          <t>Liberty Mutual</t>
        </is>
      </c>
      <c r="E13" s="36" t="n"/>
    </row>
    <row r="14" ht="18" customHeight="1">
      <c r="B14" s="36" t="inlineStr">
        <is>
          <t>Portfolio-wide</t>
        </is>
      </c>
      <c r="C14" s="36" t="n"/>
      <c r="D14" s="36" t="inlineStr">
        <is>
          <t>Farmers</t>
        </is>
      </c>
      <c r="E14" s="36" t="n"/>
    </row>
    <row r="15" ht="18" customHeight="1">
      <c r="B15" s="36" t="n"/>
      <c r="C15" s="36" t="n"/>
      <c r="D15" s="36" t="inlineStr">
        <is>
          <t>USAA</t>
        </is>
      </c>
      <c r="E15" s="36" t="n"/>
    </row>
    <row r="16" ht="18" customHeight="1">
      <c r="B16" s="36" t="n"/>
      <c r="D16" s="36" t="n"/>
    </row>
    <row r="17" ht="18" customHeight="1">
      <c r="B17" s="36" t="n"/>
      <c r="D17" s="36" t="n"/>
    </row>
    <row r="18" ht="18" customHeight="1">
      <c r="B18" s="36" t="n"/>
      <c r="D18" s="36" t="n"/>
    </row>
    <row r="19" ht="18" customHeight="1">
      <c r="B19" s="36" t="n"/>
      <c r="D19" s="36" t="n"/>
    </row>
    <row r="20" ht="18" customHeight="1">
      <c r="B20" s="36" t="n"/>
      <c r="D20" s="36" t="n"/>
    </row>
    <row r="21" ht="18" customHeight="1">
      <c r="B21" s="36" t="n"/>
      <c r="D21" s="36" t="n"/>
    </row>
    <row r="22" ht="18" customHeight="1">
      <c r="B22" s="36" t="n"/>
      <c r="D22" s="36" t="n"/>
    </row>
    <row r="23" ht="18" customHeight="1">
      <c r="B23" s="36" t="n"/>
      <c r="D23" s="36" t="n"/>
    </row>
    <row r="24" ht="18" customHeight="1">
      <c r="B24" s="36" t="n"/>
      <c r="D24" s="36" t="n"/>
    </row>
    <row r="25" ht="18" customHeight="1">
      <c r="B25" s="36" t="n"/>
      <c r="D25" s="36" t="n"/>
    </row>
    <row r="28" ht="22" customHeight="1">
      <c r="B28" s="65" t="inlineStr">
        <is>
          <t>YEAR-END ARCHIVE — fill in January, then reset the workbook</t>
        </is>
      </c>
    </row>
    <row r="29" ht="22" customHeight="1">
      <c r="B29" s="35" t="inlineStr">
        <is>
          <t>Year</t>
        </is>
      </c>
      <c r="C29" s="35" t="inlineStr">
        <is>
          <t># Policies</t>
        </is>
      </c>
      <c r="D29" s="35" t="inlineStr">
        <is>
          <t>Total premium $</t>
        </is>
      </c>
      <c r="E29" s="35" t="inlineStr">
        <is>
          <t>Claims filed</t>
        </is>
      </c>
      <c r="F29" s="35" t="inlineStr">
        <is>
          <t>Claims paid $</t>
        </is>
      </c>
    </row>
    <row r="30" ht="20" customHeight="1">
      <c r="B30" s="66" t="n">
        <v>2026</v>
      </c>
      <c r="C30" s="67" t="n"/>
      <c r="D30" s="37" t="n"/>
      <c r="E30" s="67" t="n"/>
      <c r="F30" s="37" t="n"/>
    </row>
    <row r="31" ht="20" customHeight="1">
      <c r="B31" s="66" t="n">
        <v>2027</v>
      </c>
      <c r="C31" s="67" t="n"/>
      <c r="D31" s="37" t="n"/>
      <c r="E31" s="67" t="n"/>
      <c r="F31" s="37" t="n"/>
    </row>
    <row r="32" ht="20" customHeight="1">
      <c r="B32" s="66" t="n">
        <v>2028</v>
      </c>
      <c r="C32" s="67" t="n"/>
      <c r="D32" s="37" t="n"/>
      <c r="E32" s="67" t="n"/>
      <c r="F32" s="37" t="n"/>
    </row>
    <row r="33" ht="20" customHeight="1">
      <c r="B33" s="66" t="n">
        <v>2029</v>
      </c>
      <c r="C33" s="67" t="n"/>
      <c r="D33" s="37" t="n"/>
      <c r="E33" s="67" t="n"/>
      <c r="F33" s="37" t="n"/>
    </row>
    <row r="34" ht="20" customHeight="1">
      <c r="B34" s="66" t="n">
        <v>2030</v>
      </c>
      <c r="C34" s="67" t="n"/>
      <c r="D34" s="37" t="n"/>
      <c r="E34" s="67" t="n"/>
      <c r="F34" s="37" t="n"/>
    </row>
    <row r="38" ht="24" customHeight="1">
      <c r="B38" s="68" t="inlineStr">
        <is>
          <t>Carrier rates verified:</t>
        </is>
      </c>
      <c r="C38" s="69" t="n">
        <v>46144</v>
      </c>
    </row>
    <row r="39" ht="30" customHeight="1">
      <c r="B39" s="70" t="inlineStr">
        <is>
          <t>Update this date when you re-verify carrier quotes. STR-friendly carriers (Proper, Hiscox) repricing happens annually.</t>
        </is>
      </c>
    </row>
    <row r="40">
      <c r="A40" t="inlineStr"/>
      <c r="B40" s="71" t="n">
        <v>60</v>
      </c>
      <c r="C40" s="72" t="inlineStr">
        <is>
          <t>← Renewal alert window (days)</t>
        </is>
      </c>
    </row>
  </sheetData>
  <mergeCells count="5">
    <mergeCell ref="D2:L2"/>
    <mergeCell ref="B39:L39"/>
    <mergeCell ref="B28:F28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Insurance Policy Tracker — The STR Ledger</dc:title>
  <dc:description xmlns:dc="http://purl.org/dc/elements/1.1/">STR insurance policy tracker — auto-calculated days-to-expiration, coverage gap matrix, 24-month premium forecast, and claim log.</dc:description>
  <dcterms:created xmlns:dcterms="http://purl.org/dc/terms/" xmlns:xsi="http://www.w3.org/2001/XMLSchema-instance" xsi:type="dcterms:W3CDTF">2026-05-03T19:04:50Z</dcterms:created>
  <dcterms:modified xmlns:dcterms="http://purl.org/dc/terms/" xmlns:xsi="http://www.w3.org/2001/XMLSchema-instance" xsi:type="dcterms:W3CDTF">2026-05-03T19:04:50Z</dcterms:modified>
</cp:coreProperties>
</file>