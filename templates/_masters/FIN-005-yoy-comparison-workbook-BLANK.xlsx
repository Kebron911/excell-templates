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er Property" sheetId="2" state="visible" r:id="rId2"/>
    <sheet xmlns:r="http://schemas.openxmlformats.org/officeDocument/2006/relationships" name="Portfolio Roll-up" sheetId="3" state="visible" r:id="rId3"/>
    <sheet xmlns:r="http://schemas.openxmlformats.org/officeDocument/2006/relationships" name="Top Mover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'Start'!$A$1:$L$39</definedName>
    <definedName name="_xlnm.Print_Titles" localSheetId="1">'Per Property'!$1:$5</definedName>
    <definedName name="_xlnm.Print_Area" localSheetId="1">'Per Property'!$A$1:$AC$69</definedName>
    <definedName name="_xlnm.Print_Titles" localSheetId="2">'Portfolio Roll-up'!$1:$5</definedName>
    <definedName name="_xlnm.Print_Area" localSheetId="2">'Portfolio Roll-up'!$A$1:$L$40</definedName>
    <definedName name="_xlnm.Print_Titles" localSheetId="3">'Top Movers'!$1:$4</definedName>
    <definedName name="_xlnm.Print_Area" localSheetId="3">'Top Movers'!$A$1:$H$20</definedName>
    <definedName name="_xlnm.Print_Area" localSheetId="4">'Settings'!$A$1:$C$22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&quot;$&quot;#,##0"/>
    <numFmt numFmtId="166" formatCode="&quot;$&quot;#,##0;[Red]-&quot;$&quot;#,##0"/>
    <numFmt numFmtId="167" formatCode="+0.0%;[Red]-0.0%;0.0%"/>
  </numFmts>
  <fonts count="4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onsolas"/>
      <b val="1"/>
      <color rgb="00B91C1C"/>
      <sz val="9"/>
    </font>
    <font>
      <name val="Georgia"/>
      <b val="1"/>
      <color rgb="00B91C1C"/>
      <sz val="1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onsolas"/>
      <b val="1"/>
      <color rgb="0012304E"/>
      <sz val="11"/>
    </font>
    <font>
      <name val="Georgia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Calibri"/>
      <b val="1"/>
      <color rgb="002B2B2B"/>
      <sz val="11"/>
    </font>
    <font>
      <name val="Georgia"/>
      <b val="1"/>
      <color rgb="0012304E"/>
      <sz val="14"/>
    </font>
    <font>
      <name val="Calibri"/>
      <i val="1"/>
      <color rgb="006B7280"/>
      <sz val="11"/>
    </font>
    <font>
      <name val="Georgia"/>
      <b val="1"/>
      <color rgb="00B91C1C"/>
      <sz val="14"/>
    </font>
    <font>
      <name val="Calibri"/>
      <b val="1"/>
      <color rgb="002B2B2B"/>
      <sz val="10"/>
    </font>
    <font>
      <name val="Calibri"/>
      <b val="1"/>
      <color rgb="0012304E"/>
      <sz val="10"/>
    </font>
    <font>
      <name val="Calibri"/>
      <color rgb="0012304E"/>
      <sz val="11"/>
    </font>
    <font>
      <name val="Calibri"/>
      <color rgb="00C9A24B"/>
      <sz val="11"/>
    </font>
    <font>
      <name val="Calibri"/>
      <b val="1"/>
      <color rgb="0012304E"/>
      <sz val="12"/>
    </font>
    <font>
      <name val="Georgia"/>
      <b val="1"/>
      <color rgb="00B91C1C"/>
      <sz val="13"/>
    </font>
    <font>
      <name val="Calibri"/>
      <b val="1"/>
      <color rgb="00B91C1C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2A4867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8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1" fillId="3" borderId="1" applyAlignment="1" pivotButton="0" quotePrefix="0" xfId="0">
      <alignment horizontal="center"/>
    </xf>
    <xf numFmtId="0" fontId="15" fillId="3" borderId="1" applyAlignment="1" pivotButton="0" quotePrefix="0" xfId="0">
      <alignment horizontal="center"/>
    </xf>
    <xf numFmtId="164" fontId="9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12" fillId="3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3" borderId="7" applyAlignment="1" pivotButton="0" quotePrefix="0" xfId="0">
      <alignment horizontal="center"/>
    </xf>
    <xf numFmtId="0" fontId="17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8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8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9" fillId="4" borderId="0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right" vertical="center" indent="2"/>
    </xf>
    <xf numFmtId="0" fontId="24" fillId="3" borderId="0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left" vertical="center" indent="2"/>
    </xf>
    <xf numFmtId="0" fontId="26" fillId="6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20" fillId="2" borderId="14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left" vertical="center"/>
    </xf>
    <xf numFmtId="165" fontId="27" fillId="8" borderId="0" applyAlignment="1" pivotButton="0" quotePrefix="0" xfId="0">
      <alignment horizontal="right" vertical="center"/>
    </xf>
    <xf numFmtId="166" fontId="27" fillId="8" borderId="0" applyAlignment="1" pivotButton="0" quotePrefix="0" xfId="0">
      <alignment horizontal="right" vertical="center"/>
    </xf>
    <xf numFmtId="167" fontId="27" fillId="8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5" fontId="29" fillId="8" borderId="0" applyAlignment="1" pivotButton="0" quotePrefix="0" xfId="0">
      <alignment horizontal="right" vertical="center"/>
    </xf>
    <xf numFmtId="166" fontId="29" fillId="8" borderId="0" applyAlignment="1" pivotButton="0" quotePrefix="0" xfId="0">
      <alignment horizontal="right" vertical="center"/>
    </xf>
    <xf numFmtId="167" fontId="29" fillId="8" borderId="0" applyAlignment="1" pivotButton="0" quotePrefix="0" xfId="0">
      <alignment horizontal="right" vertical="center"/>
    </xf>
    <xf numFmtId="0" fontId="16" fillId="0" borderId="0" pivotButton="0" quotePrefix="0" xfId="0"/>
    <xf numFmtId="0" fontId="30" fillId="0" borderId="0" applyAlignment="1" pivotButton="0" quotePrefix="0" xfId="0">
      <alignment horizontal="left" vertical="center"/>
    </xf>
    <xf numFmtId="165" fontId="31" fillId="8" borderId="0" applyAlignment="1" pivotButton="0" quotePrefix="0" xfId="0">
      <alignment horizontal="right" vertical="center"/>
    </xf>
    <xf numFmtId="166" fontId="31" fillId="8" borderId="0" applyAlignment="1" pivotButton="0" quotePrefix="0" xfId="0">
      <alignment horizontal="right" vertical="center"/>
    </xf>
    <xf numFmtId="167" fontId="31" fillId="8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28" fillId="0" borderId="0" pivotButton="0" quotePrefix="0" xfId="0"/>
    <xf numFmtId="0" fontId="32" fillId="0" borderId="0" applyAlignment="1" pivotButton="0" quotePrefix="0" xfId="0">
      <alignment horizontal="left" vertical="center"/>
    </xf>
    <xf numFmtId="165" fontId="33" fillId="8" borderId="0" applyAlignment="1" pivotButton="0" quotePrefix="0" xfId="0">
      <alignment horizontal="right" vertical="center"/>
    </xf>
    <xf numFmtId="0" fontId="7" fillId="0" borderId="0" pivotButton="0" quotePrefix="0" xfId="0"/>
    <xf numFmtId="0" fontId="34" fillId="0" borderId="0" applyAlignment="1" pivotButton="0" quotePrefix="0" xfId="0">
      <alignment horizontal="left" vertical="center"/>
    </xf>
    <xf numFmtId="165" fontId="34" fillId="8" borderId="0" applyAlignment="1" pivotButton="0" quotePrefix="0" xfId="0">
      <alignment horizontal="right" vertical="center"/>
    </xf>
    <xf numFmtId="165" fontId="35" fillId="8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36" fillId="0" borderId="0" pivotButton="0" quotePrefix="0" xfId="0"/>
    <xf numFmtId="0" fontId="37" fillId="0" borderId="0" applyAlignment="1" pivotButton="0" quotePrefix="0" xfId="0">
      <alignment horizontal="center"/>
    </xf>
    <xf numFmtId="0" fontId="38" fillId="0" borderId="0" pivotButton="0" quotePrefix="0" xfId="0"/>
    <xf numFmtId="0" fontId="39" fillId="0" borderId="0" pivotButton="0" quotePrefix="0" xfId="0"/>
    <xf numFmtId="0" fontId="33" fillId="0" borderId="0" pivotButton="0" quotePrefix="0" xfId="0"/>
    <xf numFmtId="0" fontId="18" fillId="0" borderId="0" pivotButton="0" quotePrefix="0" xfId="0"/>
    <xf numFmtId="0" fontId="13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35" fillId="0" borderId="0" pivotButton="0" quotePrefix="0" xfId="0"/>
    <xf numFmtId="0" fontId="41" fillId="0" borderId="0" pivotButton="0" quotePrefix="0" xfId="0"/>
    <xf numFmtId="0" fontId="16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 vertical="center" wrapText="1" indent="1"/>
    </xf>
    <xf numFmtId="0" fontId="10" fillId="0" borderId="0" pivotButton="0" quotePrefix="0" xfId="0"/>
    <xf numFmtId="0" fontId="32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Revenue: Prior vs Current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'Portfolio Roll-up'!$A$8:$A$10</f>
            </numRef>
          </cat>
          <val>
            <numRef>
              <f>'Portfolio Roll-up'!$B$7:$B$10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'Portfolio Roll-up'!$A$8:$A$10</f>
            </numRef>
          </cat>
          <val>
            <numRef>
              <f>'Portfolio Roll-up'!$C$7:$C$10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Per-month revenue: CY vs PY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Roll-up'!A24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Roll-up'!$B$23:$M$23</f>
            </numRef>
          </cat>
          <val>
            <numRef>
              <f>'Portfolio Roll-up'!$B$24:$M$24</f>
            </numRef>
          </val>
        </ser>
        <ser>
          <idx val="1"/>
          <order val="1"/>
          <tx>
            <strRef>
              <f>'Portfolio Roll-up'!A25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Roll-up'!$B$23:$M$23</f>
            </numRef>
          </cat>
          <val>
            <numRef>
              <f>'Portfolio Roll-up'!$B$25:$M$25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Year-Over-Year Comparison</t>
        </is>
      </c>
    </row>
    <row r="5" ht="22" customHeight="1">
      <c r="A5" s="4" t="inlineStr">
        <is>
          <t>Did this year actually go better — or did it just feel that way?</t>
        </is>
      </c>
    </row>
    <row r="6" ht="32" customHeight="1">
      <c r="A6" s="5">
        <f>IF('Portfolio Roll-up'!B7=0,"📊  Set your years on Settings, then enter PY + CY data to see your verdict.",IF(('Portfolio Roll-up'!B11-'Portfolio Roll-up'!B7)/'Portfolio Roll-up'!B7&gt;=0,"✅  Revenue YoY = "&amp;TEXT(('Portfolio Roll-up'!B11-'Portfolio Roll-up'!B7)/'Portfolio Roll-up'!B7,"+0.0%")&amp;"  —  CY pacing ahead of PY.","⚠  Revenue YoY = "&amp;TEXT(('Portfolio Roll-up'!B11-'Portfolio Roll-up'!B7)/'Portfolio Roll-up'!B7,"+0.0%")&amp;"  —  CY pacing behind PY; review Top Movers."))</f>
        <v/>
      </c>
    </row>
    <row r="7" ht="22" customHeight="1">
      <c r="A7" s="6" t="inlineStr">
        <is>
          <t>FIN-005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Side-by-side prior-year vs current-year P&amp;L for up to three properties. Per-property 24-col matrix (12 PY months / 12 CY months) with $ delta + % delta. Portfolio rollup surfaces revenue YoY %, NOI YoY %, and the top-3 favorable + top-3 unfavorable category movers — the variance-analysis conversation a CPA would charge $300/hr to walk you through.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>
      <c r="A18" s="10" t="inlineStr">
        <is>
          <t>REVENUE YoY %</t>
        </is>
      </c>
      <c r="B18" s="11" t="n"/>
      <c r="C18" s="12" t="n"/>
      <c r="D18" s="13" t="inlineStr">
        <is>
          <t>NOI YoY %</t>
        </is>
      </c>
      <c r="E18" s="11" t="n"/>
      <c r="F18" s="12" t="n"/>
      <c r="G18" s="10" t="inlineStr">
        <is>
          <t>TOP MOVER (+)</t>
        </is>
      </c>
      <c r="H18" s="11" t="n"/>
      <c r="I18" s="12" t="n"/>
      <c r="J18" s="14" t="inlineStr">
        <is>
          <t>TOP PROBLEM (−)</t>
        </is>
      </c>
      <c r="K18" s="11" t="n"/>
      <c r="L18" s="12" t="n"/>
    </row>
    <row r="19">
      <c r="A19" s="15">
        <f>IFERROR(('Portfolio Roll-up'!B11-'Portfolio Roll-up'!B7)/'Portfolio Roll-up'!B7,0)</f>
        <v/>
      </c>
      <c r="B19" s="16" t="n"/>
      <c r="C19" s="17" t="n"/>
      <c r="D19" s="18">
        <f>IFERROR(('Portfolio Roll-up'!B19-'Portfolio Roll-up'!B15)/ABS('Portfolio Roll-up'!B15),0)</f>
        <v/>
      </c>
      <c r="E19" s="16" t="n"/>
      <c r="F19" s="17" t="n"/>
      <c r="G19" s="19">
        <f>IFERROR('Top Movers'!B6 &amp; " / " &amp; 'Top Movers'!C6, "—")</f>
        <v/>
      </c>
      <c r="H19" s="16" t="n"/>
      <c r="I19" s="17" t="n"/>
      <c r="J19" s="20">
        <f>IFERROR('Top Movers'!B14 &amp; " / " &amp; 'Top Movers'!C14, "—")</f>
        <v/>
      </c>
      <c r="K19" s="16" t="n"/>
      <c r="L19" s="17" t="n"/>
    </row>
    <row r="20">
      <c r="A20" s="21" t="n"/>
      <c r="B20" s="16" t="n"/>
      <c r="C20" s="17" t="n"/>
      <c r="D20" s="21" t="n"/>
      <c r="E20" s="16" t="n"/>
      <c r="F20" s="17" t="n"/>
      <c r="G20" s="21" t="n"/>
      <c r="H20" s="16" t="n"/>
      <c r="I20" s="17" t="n"/>
      <c r="J20" s="21" t="n"/>
      <c r="K20" s="16" t="n"/>
      <c r="L20" s="17" t="n"/>
    </row>
    <row r="21">
      <c r="A21" s="22" t="inlineStr">
        <is>
          <t>portfolio gross</t>
        </is>
      </c>
      <c r="B21" s="23" t="n"/>
      <c r="C21" s="24" t="n"/>
      <c r="D21" s="22" t="inlineStr">
        <is>
          <t>net operating income</t>
        </is>
      </c>
      <c r="E21" s="23" t="n"/>
      <c r="F21" s="24" t="n"/>
      <c r="G21" s="25">
        <f>IFERROR(TEXT('Top Movers'!F6,"$#,##0"),"")</f>
        <v/>
      </c>
      <c r="H21" s="23" t="n"/>
      <c r="I21" s="24" t="n"/>
      <c r="J21" s="25">
        <f>IFERROR(TEXT('Top Movers'!F14,"$#,##0"),"")</f>
        <v/>
      </c>
      <c r="K21" s="23" t="n"/>
      <c r="L21" s="24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5" ht="20" customHeight="1">
      <c r="A25" s="26">
        <f>HYPERLINK("#'Per Property'!A1", "→  OPEN PER-PROPERTY COMPARISON")</f>
        <v/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</row>
    <row r="26" ht="20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</row>
    <row r="27" ht="20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</row>
    <row r="28" ht="20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30" ht="22" customHeight="1">
      <c r="A30" s="28">
        <f>HYPERLINK("#'Portfolio Roll-up'!A1", "Portfolio Roll-up")</f>
        <v/>
      </c>
      <c r="B30" s="29" t="n"/>
      <c r="C30" s="29" t="n"/>
      <c r="D30" s="30">
        <f>HYPERLINK("#'Top Movers'!A1", "Top Movers")</f>
        <v/>
      </c>
      <c r="E30" s="31" t="n"/>
      <c r="F30" s="31" t="n"/>
      <c r="G30" s="28">
        <f>HYPERLINK("#'Settings'!A1", "Settings")</f>
        <v/>
      </c>
      <c r="H30" s="29" t="n"/>
      <c r="I30" s="29" t="n"/>
      <c r="J30" s="28">
        <f>HYPERLINK("#'Portfolio Roll-up'!A1", "📄 Print Pack")</f>
        <v/>
      </c>
      <c r="K30" s="29" t="n"/>
      <c r="L30" s="29" t="n"/>
    </row>
    <row r="31" ht="22" customHeight="1">
      <c r="A31" s="29" t="n"/>
      <c r="B31" s="29" t="n"/>
      <c r="C31" s="29" t="n"/>
      <c r="D31" s="31" t="n"/>
      <c r="E31" s="31" t="n"/>
      <c r="F31" s="31" t="n"/>
      <c r="G31" s="29" t="n"/>
      <c r="H31" s="29" t="n"/>
      <c r="I31" s="29" t="n"/>
      <c r="J31" s="29" t="n"/>
      <c r="K31" s="29" t="n"/>
      <c r="L31" s="29" t="n"/>
    </row>
    <row r="33" ht="32" customHeight="1">
      <c r="A33" s="32" t="inlineStr">
        <is>
          <t>📅  YEAR-END RITUAL: paste prior-year totals from your P&amp;L tracker into the PY columns, current-year YTD into CY, and let the deltas tell the story. Bump Settings B5/B7 each January.</t>
        </is>
      </c>
    </row>
    <row r="35" ht="30" customHeight="1">
      <c r="A35" s="33" t="inlineStr">
        <is>
          <t>💡 Upgrade to the Full version at thestrledger.com/upgrade — multi-property, depreciation, multi-LLC support.</t>
        </is>
      </c>
    </row>
    <row r="37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</row>
    <row r="38" ht="18" customHeight="1">
      <c r="A38" s="35" t="inlineStr">
        <is>
          <t>Questions? hello@thestrledger.com</t>
        </is>
      </c>
    </row>
    <row r="39" ht="18" customHeight="1">
      <c r="A39" s="36" t="inlineStr">
        <is>
          <t>FIN-005 · v2.3 · Free updates forever</t>
        </is>
      </c>
    </row>
  </sheetData>
  <mergeCells count="27">
    <mergeCell ref="A7:L7"/>
    <mergeCell ref="A11:L15"/>
    <mergeCell ref="A19:C20"/>
    <mergeCell ref="D30:F31"/>
    <mergeCell ref="D19:F20"/>
    <mergeCell ref="A18:C18"/>
    <mergeCell ref="G18:I18"/>
    <mergeCell ref="A21:C21"/>
    <mergeCell ref="A2:F2"/>
    <mergeCell ref="J19:L20"/>
    <mergeCell ref="A30:C31"/>
    <mergeCell ref="A33:L33"/>
    <mergeCell ref="A5:L5"/>
    <mergeCell ref="D18:F18"/>
    <mergeCell ref="J21:L21"/>
    <mergeCell ref="A4:L4"/>
    <mergeCell ref="A38:L38"/>
    <mergeCell ref="A10:L10"/>
    <mergeCell ref="J18:L18"/>
    <mergeCell ref="G19:I20"/>
    <mergeCell ref="A25:L28"/>
    <mergeCell ref="J30:L31"/>
    <mergeCell ref="G21:I21"/>
    <mergeCell ref="A39:L39"/>
    <mergeCell ref="G30:I31"/>
    <mergeCell ref="A6:L6"/>
    <mergeCell ref="D21:F2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AC6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1" customWidth="1" min="28" max="28"/>
    <col width="9" customWidth="1" min="29" max="2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HYPERLINK("#'Start'!A1", "← BACK")</f>
        <v/>
      </c>
      <c r="B2" s="27" t="n"/>
      <c r="C2" s="27" t="n"/>
      <c r="D2" s="37" t="inlineStr">
        <is>
          <t>PER PROPERTY</t>
        </is>
      </c>
      <c r="J2" s="30">
        <f>HYPERLINK("#'Portfolio Roll-up'!A1",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Each property: 12 PY months (Jan..Dec) + 12 CY months + Total PY / Total CY / $ Δ / % Δ. Year labels driven by Settings B5 + B7.</t>
        </is>
      </c>
    </row>
    <row r="6" ht="24" customHeight="1">
      <c r="A6" s="39" t="inlineStr">
        <is>
          <t>PROPERTY 1: SMOKIES RIDGE CABIN</t>
        </is>
      </c>
    </row>
    <row r="7" ht="18" customHeight="1">
      <c r="B7" s="40">
        <f>"PRIOR YEAR ("&amp;Settings!$B$7&amp;")"</f>
        <v/>
      </c>
      <c r="O7" s="41">
        <f>"CURRENT YEAR ("&amp;Settings!$B$5&amp;")"</f>
        <v/>
      </c>
      <c r="AB7" s="42" t="inlineStr">
        <is>
          <t>DELTA</t>
        </is>
      </c>
    </row>
    <row r="8" ht="20" customHeight="1">
      <c r="A8" s="43" t="inlineStr">
        <is>
          <t>Category</t>
        </is>
      </c>
      <c r="B8" s="43" t="inlineStr">
        <is>
          <t>Jan</t>
        </is>
      </c>
      <c r="C8" s="43" t="inlineStr">
        <is>
          <t>Feb</t>
        </is>
      </c>
      <c r="D8" s="43" t="inlineStr">
        <is>
          <t>Mar</t>
        </is>
      </c>
      <c r="E8" s="43" t="inlineStr">
        <is>
          <t>Apr</t>
        </is>
      </c>
      <c r="F8" s="43" t="inlineStr">
        <is>
          <t>May</t>
        </is>
      </c>
      <c r="G8" s="43" t="inlineStr">
        <is>
          <t>Jun</t>
        </is>
      </c>
      <c r="H8" s="43" t="inlineStr">
        <is>
          <t>Jul</t>
        </is>
      </c>
      <c r="I8" s="43" t="inlineStr">
        <is>
          <t>Aug</t>
        </is>
      </c>
      <c r="J8" s="43" t="inlineStr">
        <is>
          <t>Sep</t>
        </is>
      </c>
      <c r="K8" s="43" t="inlineStr">
        <is>
          <t>Oct</t>
        </is>
      </c>
      <c r="L8" s="43" t="inlineStr">
        <is>
          <t>Nov</t>
        </is>
      </c>
      <c r="M8" s="43" t="inlineStr">
        <is>
          <t>Dec</t>
        </is>
      </c>
      <c r="N8" s="43" t="inlineStr">
        <is>
          <t>Total PY</t>
        </is>
      </c>
      <c r="O8" s="43" t="inlineStr">
        <is>
          <t>Jan</t>
        </is>
      </c>
      <c r="P8" s="43" t="inlineStr">
        <is>
          <t>Feb</t>
        </is>
      </c>
      <c r="Q8" s="43" t="inlineStr">
        <is>
          <t>Mar</t>
        </is>
      </c>
      <c r="R8" s="43" t="inlineStr">
        <is>
          <t>Apr</t>
        </is>
      </c>
      <c r="S8" s="43" t="inlineStr">
        <is>
          <t>May</t>
        </is>
      </c>
      <c r="T8" s="43" t="inlineStr">
        <is>
          <t>Jun</t>
        </is>
      </c>
      <c r="U8" s="43" t="inlineStr">
        <is>
          <t>Jul</t>
        </is>
      </c>
      <c r="V8" s="43" t="inlineStr">
        <is>
          <t>Aug</t>
        </is>
      </c>
      <c r="W8" s="43" t="inlineStr">
        <is>
          <t>Sep</t>
        </is>
      </c>
      <c r="X8" s="43" t="inlineStr">
        <is>
          <t>Oct</t>
        </is>
      </c>
      <c r="Y8" s="43" t="inlineStr">
        <is>
          <t>Nov</t>
        </is>
      </c>
      <c r="Z8" s="43" t="inlineStr">
        <is>
          <t>Dec</t>
        </is>
      </c>
      <c r="AA8" s="43" t="inlineStr">
        <is>
          <t>Total CY</t>
        </is>
      </c>
      <c r="AB8" s="43" t="inlineStr">
        <is>
          <t>$ Δ</t>
        </is>
      </c>
      <c r="AC8" s="43" t="inlineStr">
        <is>
          <t>% Δ</t>
        </is>
      </c>
    </row>
    <row r="9" ht="20" customHeight="1">
      <c r="A9" s="44" t="inlineStr">
        <is>
          <t>REVENUE</t>
        </is>
      </c>
    </row>
    <row r="10" ht="16" customHeight="1">
      <c r="A10" s="45" t="inlineStr">
        <is>
          <t>Rents + cleaning fees collected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7">
        <f>SUM(B10:M10)</f>
        <v/>
      </c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7">
        <f>SUM(O10:Z10)</f>
        <v/>
      </c>
      <c r="AB10" s="48">
        <f>AA10-N10</f>
        <v/>
      </c>
      <c r="AC10" s="49">
        <f>IFERROR((AA10-N10)/N10,0)</f>
        <v/>
      </c>
    </row>
    <row r="11" ht="18" customHeight="1">
      <c r="A11" s="50" t="inlineStr">
        <is>
          <t>Total revenue</t>
        </is>
      </c>
      <c r="B11" s="51">
        <f>SUM(B10:B10)</f>
        <v/>
      </c>
      <c r="C11" s="51">
        <f>SUM(C10:C10)</f>
        <v/>
      </c>
      <c r="D11" s="51">
        <f>SUM(D10:D10)</f>
        <v/>
      </c>
      <c r="E11" s="51">
        <f>SUM(E10:E10)</f>
        <v/>
      </c>
      <c r="F11" s="51">
        <f>SUM(F10:F10)</f>
        <v/>
      </c>
      <c r="G11" s="51">
        <f>SUM(G10:G10)</f>
        <v/>
      </c>
      <c r="H11" s="51">
        <f>SUM(H10:H10)</f>
        <v/>
      </c>
      <c r="I11" s="51">
        <f>SUM(I10:I10)</f>
        <v/>
      </c>
      <c r="J11" s="51">
        <f>SUM(J10:J10)</f>
        <v/>
      </c>
      <c r="K11" s="51">
        <f>SUM(K10:K10)</f>
        <v/>
      </c>
      <c r="L11" s="51">
        <f>SUM(L10:L10)</f>
        <v/>
      </c>
      <c r="M11" s="51">
        <f>SUM(M10:M10)</f>
        <v/>
      </c>
      <c r="N11" s="51">
        <f>SUM(N10:N10)</f>
        <v/>
      </c>
      <c r="O11" s="51">
        <f>SUM(O10:O10)</f>
        <v/>
      </c>
      <c r="P11" s="51">
        <f>SUM(P10:P10)</f>
        <v/>
      </c>
      <c r="Q11" s="51">
        <f>SUM(Q10:Q10)</f>
        <v/>
      </c>
      <c r="R11" s="51">
        <f>SUM(R10:R10)</f>
        <v/>
      </c>
      <c r="S11" s="51">
        <f>SUM(S10:S10)</f>
        <v/>
      </c>
      <c r="T11" s="51">
        <f>SUM(T10:T10)</f>
        <v/>
      </c>
      <c r="U11" s="51">
        <f>SUM(U10:U10)</f>
        <v/>
      </c>
      <c r="V11" s="51">
        <f>SUM(V10:V10)</f>
        <v/>
      </c>
      <c r="W11" s="51">
        <f>SUM(W10:W10)</f>
        <v/>
      </c>
      <c r="X11" s="51">
        <f>SUM(X10:X10)</f>
        <v/>
      </c>
      <c r="Y11" s="51">
        <f>SUM(Y10:Y10)</f>
        <v/>
      </c>
      <c r="Z11" s="51">
        <f>SUM(Z10:Z10)</f>
        <v/>
      </c>
      <c r="AA11" s="51">
        <f>SUM(AA10:AA10)</f>
        <v/>
      </c>
      <c r="AB11" s="52">
        <f>SUM(AB10:AB10)</f>
        <v/>
      </c>
      <c r="AC11" s="53">
        <f>IFERROR((AA11-N11)/N11,0)</f>
        <v/>
      </c>
    </row>
    <row r="12" ht="8" customHeight="1"/>
    <row r="13" ht="20" customHeight="1">
      <c r="A13" s="54" t="inlineStr">
        <is>
          <t>EXPENSES</t>
        </is>
      </c>
    </row>
    <row r="14" ht="16" customHeight="1">
      <c r="A14" s="45" t="inlineStr">
        <is>
          <t>Cleaning + maintenance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7">
        <f>SUM(B14:M14)</f>
        <v/>
      </c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7">
        <f>SUM(O14:Z14)</f>
        <v/>
      </c>
      <c r="AB14" s="48">
        <f>AA14-N14</f>
        <v/>
      </c>
      <c r="AC14" s="49">
        <f>IFERROR((AA14-N14)/N14,0)</f>
        <v/>
      </c>
    </row>
    <row r="15" ht="16" customHeight="1">
      <c r="A15" s="45" t="inlineStr">
        <is>
          <t>Insurance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7">
        <f>SUM(B15:M15)</f>
        <v/>
      </c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7">
        <f>SUM(O15:Z15)</f>
        <v/>
      </c>
      <c r="AB15" s="48">
        <f>AA15-N15</f>
        <v/>
      </c>
      <c r="AC15" s="49">
        <f>IFERROR((AA15-N15)/N15,0)</f>
        <v/>
      </c>
    </row>
    <row r="16" ht="16" customHeight="1">
      <c r="A16" s="45" t="inlineStr">
        <is>
          <t>Mortgage interest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7">
        <f>SUM(B16:M16)</f>
        <v/>
      </c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7">
        <f>SUM(O16:Z16)</f>
        <v/>
      </c>
      <c r="AB16" s="48">
        <f>AA16-N16</f>
        <v/>
      </c>
      <c r="AC16" s="49">
        <f>IFERROR((AA16-N16)/N16,0)</f>
        <v/>
      </c>
    </row>
    <row r="17" ht="16" customHeight="1">
      <c r="A17" s="45" t="inlineStr">
        <is>
          <t>Repairs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7">
        <f>SUM(B17:M17)</f>
        <v/>
      </c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7">
        <f>SUM(O17:Z17)</f>
        <v/>
      </c>
      <c r="AB17" s="48">
        <f>AA17-N17</f>
        <v/>
      </c>
      <c r="AC17" s="49">
        <f>IFERROR((AA17-N17)/N17,0)</f>
        <v/>
      </c>
    </row>
    <row r="18" ht="16" customHeight="1">
      <c r="A18" s="45" t="inlineStr">
        <is>
          <t>Utilities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7">
        <f>SUM(B18:M18)</f>
        <v/>
      </c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7">
        <f>SUM(O18:Z18)</f>
        <v/>
      </c>
      <c r="AB18" s="48">
        <f>AA18-N18</f>
        <v/>
      </c>
      <c r="AC18" s="49">
        <f>IFERROR((AA18-N18)/N18,0)</f>
        <v/>
      </c>
    </row>
    <row r="19" ht="16" customHeight="1">
      <c r="A19" s="45" t="inlineStr">
        <is>
          <t>Management fees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7">
        <f>SUM(B19:M19)</f>
        <v/>
      </c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7">
        <f>SUM(O19:Z19)</f>
        <v/>
      </c>
      <c r="AB19" s="48">
        <f>AA19-N19</f>
        <v/>
      </c>
      <c r="AC19" s="49">
        <f>IFERROR((AA19-N19)/N19,0)</f>
        <v/>
      </c>
    </row>
    <row r="20" ht="16" customHeight="1">
      <c r="A20" s="45" t="inlineStr">
        <is>
          <t>Supplies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7">
        <f>SUM(B20:M20)</f>
        <v/>
      </c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7">
        <f>SUM(O20:Z20)</f>
        <v/>
      </c>
      <c r="AB20" s="48">
        <f>AA20-N20</f>
        <v/>
      </c>
      <c r="AC20" s="49">
        <f>IFERROR((AA20-N20)/N20,0)</f>
        <v/>
      </c>
    </row>
    <row r="21" ht="16" customHeight="1">
      <c r="A21" s="45" t="inlineStr">
        <is>
          <t>Other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7">
        <f>SUM(B21:M21)</f>
        <v/>
      </c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7">
        <f>SUM(O21:Z21)</f>
        <v/>
      </c>
      <c r="AB21" s="48">
        <f>AA21-N21</f>
        <v/>
      </c>
      <c r="AC21" s="49">
        <f>IFERROR((AA21-N21)/N21,0)</f>
        <v/>
      </c>
    </row>
    <row r="22" ht="18" customHeight="1">
      <c r="A22" s="55" t="inlineStr">
        <is>
          <t>Total expenses</t>
        </is>
      </c>
      <c r="B22" s="56">
        <f>SUM(B14:B21)</f>
        <v/>
      </c>
      <c r="C22" s="56">
        <f>SUM(C14:C21)</f>
        <v/>
      </c>
      <c r="D22" s="56">
        <f>SUM(D14:D21)</f>
        <v/>
      </c>
      <c r="E22" s="56">
        <f>SUM(E14:E21)</f>
        <v/>
      </c>
      <c r="F22" s="56">
        <f>SUM(F14:F21)</f>
        <v/>
      </c>
      <c r="G22" s="56">
        <f>SUM(G14:G21)</f>
        <v/>
      </c>
      <c r="H22" s="56">
        <f>SUM(H14:H21)</f>
        <v/>
      </c>
      <c r="I22" s="56">
        <f>SUM(I14:I21)</f>
        <v/>
      </c>
      <c r="J22" s="56">
        <f>SUM(J14:J21)</f>
        <v/>
      </c>
      <c r="K22" s="56">
        <f>SUM(K14:K21)</f>
        <v/>
      </c>
      <c r="L22" s="56">
        <f>SUM(L14:L21)</f>
        <v/>
      </c>
      <c r="M22" s="56">
        <f>SUM(M14:M21)</f>
        <v/>
      </c>
      <c r="N22" s="56">
        <f>SUM(N14:N21)</f>
        <v/>
      </c>
      <c r="O22" s="56">
        <f>SUM(O14:O21)</f>
        <v/>
      </c>
      <c r="P22" s="56">
        <f>SUM(P14:P21)</f>
        <v/>
      </c>
      <c r="Q22" s="56">
        <f>SUM(Q14:Q21)</f>
        <v/>
      </c>
      <c r="R22" s="56">
        <f>SUM(R14:R21)</f>
        <v/>
      </c>
      <c r="S22" s="56">
        <f>SUM(S14:S21)</f>
        <v/>
      </c>
      <c r="T22" s="56">
        <f>SUM(T14:T21)</f>
        <v/>
      </c>
      <c r="U22" s="56">
        <f>SUM(U14:U21)</f>
        <v/>
      </c>
      <c r="V22" s="56">
        <f>SUM(V14:V21)</f>
        <v/>
      </c>
      <c r="W22" s="56">
        <f>SUM(W14:W21)</f>
        <v/>
      </c>
      <c r="X22" s="56">
        <f>SUM(X14:X21)</f>
        <v/>
      </c>
      <c r="Y22" s="56">
        <f>SUM(Y14:Y21)</f>
        <v/>
      </c>
      <c r="Z22" s="56">
        <f>SUM(Z14:Z21)</f>
        <v/>
      </c>
      <c r="AA22" s="56">
        <f>SUM(AA14:AA21)</f>
        <v/>
      </c>
      <c r="AB22" s="57">
        <f>SUM(AB14:AB21)</f>
        <v/>
      </c>
      <c r="AC22" s="58">
        <f>IFERROR((AA22-N22)/N22,0)</f>
        <v/>
      </c>
    </row>
    <row r="23" ht="8" customHeight="1"/>
    <row r="24" ht="22" customHeight="1">
      <c r="A24" s="59" t="inlineStr">
        <is>
          <t>NET INCOME</t>
        </is>
      </c>
      <c r="B24" s="51">
        <f>B11-B22</f>
        <v/>
      </c>
      <c r="C24" s="51">
        <f>C11-C22</f>
        <v/>
      </c>
      <c r="D24" s="51">
        <f>D11-D22</f>
        <v/>
      </c>
      <c r="E24" s="51">
        <f>E11-E22</f>
        <v/>
      </c>
      <c r="F24" s="51">
        <f>F11-F22</f>
        <v/>
      </c>
      <c r="G24" s="51">
        <f>G11-G22</f>
        <v/>
      </c>
      <c r="H24" s="51">
        <f>H11-H22</f>
        <v/>
      </c>
      <c r="I24" s="51">
        <f>I11-I22</f>
        <v/>
      </c>
      <c r="J24" s="51">
        <f>J11-J22</f>
        <v/>
      </c>
      <c r="K24" s="51">
        <f>K11-K22</f>
        <v/>
      </c>
      <c r="L24" s="51">
        <f>L11-L22</f>
        <v/>
      </c>
      <c r="M24" s="51">
        <f>M11-M22</f>
        <v/>
      </c>
      <c r="N24" s="51">
        <f>N11-N22</f>
        <v/>
      </c>
      <c r="O24" s="51">
        <f>O11-O22</f>
        <v/>
      </c>
      <c r="P24" s="51">
        <f>P11-P22</f>
        <v/>
      </c>
      <c r="Q24" s="51">
        <f>Q11-Q22</f>
        <v/>
      </c>
      <c r="R24" s="51">
        <f>R11-R22</f>
        <v/>
      </c>
      <c r="S24" s="51">
        <f>S11-S22</f>
        <v/>
      </c>
      <c r="T24" s="51">
        <f>T11-T22</f>
        <v/>
      </c>
      <c r="U24" s="51">
        <f>U11-U22</f>
        <v/>
      </c>
      <c r="V24" s="51">
        <f>V11-V22</f>
        <v/>
      </c>
      <c r="W24" s="51">
        <f>W11-W22</f>
        <v/>
      </c>
      <c r="X24" s="51">
        <f>X11-X22</f>
        <v/>
      </c>
      <c r="Y24" s="51">
        <f>Y11-Y22</f>
        <v/>
      </c>
      <c r="Z24" s="51">
        <f>Z11-Z22</f>
        <v/>
      </c>
      <c r="AA24" s="51">
        <f>AA11-AA22</f>
        <v/>
      </c>
      <c r="AB24" s="52">
        <f>AA24-N24</f>
        <v/>
      </c>
      <c r="AC24" s="53">
        <f>IFERROR((AA24-N24)/ABS(N24),0)</f>
        <v/>
      </c>
    </row>
    <row r="27" ht="24" customHeight="1">
      <c r="A27" s="39" t="inlineStr">
        <is>
          <t>PROPERTY 2: LAKEHOUSE RETREAT</t>
        </is>
      </c>
    </row>
    <row r="28" ht="18" customHeight="1">
      <c r="B28" s="40">
        <f>"PRIOR YEAR ("&amp;Settings!$B$7&amp;")"</f>
        <v/>
      </c>
      <c r="O28" s="41">
        <f>"CURRENT YEAR ("&amp;Settings!$B$5&amp;")"</f>
        <v/>
      </c>
      <c r="AB28" s="42" t="inlineStr">
        <is>
          <t>DELTA</t>
        </is>
      </c>
    </row>
    <row r="29" ht="20" customHeight="1">
      <c r="A29" s="43" t="inlineStr">
        <is>
          <t>Category</t>
        </is>
      </c>
      <c r="B29" s="43" t="inlineStr">
        <is>
          <t>Jan</t>
        </is>
      </c>
      <c r="C29" s="43" t="inlineStr">
        <is>
          <t>Feb</t>
        </is>
      </c>
      <c r="D29" s="43" t="inlineStr">
        <is>
          <t>Mar</t>
        </is>
      </c>
      <c r="E29" s="43" t="inlineStr">
        <is>
          <t>Apr</t>
        </is>
      </c>
      <c r="F29" s="43" t="inlineStr">
        <is>
          <t>May</t>
        </is>
      </c>
      <c r="G29" s="43" t="inlineStr">
        <is>
          <t>Jun</t>
        </is>
      </c>
      <c r="H29" s="43" t="inlineStr">
        <is>
          <t>Jul</t>
        </is>
      </c>
      <c r="I29" s="43" t="inlineStr">
        <is>
          <t>Aug</t>
        </is>
      </c>
      <c r="J29" s="43" t="inlineStr">
        <is>
          <t>Sep</t>
        </is>
      </c>
      <c r="K29" s="43" t="inlineStr">
        <is>
          <t>Oct</t>
        </is>
      </c>
      <c r="L29" s="43" t="inlineStr">
        <is>
          <t>Nov</t>
        </is>
      </c>
      <c r="M29" s="43" t="inlineStr">
        <is>
          <t>Dec</t>
        </is>
      </c>
      <c r="N29" s="43" t="inlineStr">
        <is>
          <t>Total PY</t>
        </is>
      </c>
      <c r="O29" s="43" t="inlineStr">
        <is>
          <t>Jan</t>
        </is>
      </c>
      <c r="P29" s="43" t="inlineStr">
        <is>
          <t>Feb</t>
        </is>
      </c>
      <c r="Q29" s="43" t="inlineStr">
        <is>
          <t>Mar</t>
        </is>
      </c>
      <c r="R29" s="43" t="inlineStr">
        <is>
          <t>Apr</t>
        </is>
      </c>
      <c r="S29" s="43" t="inlineStr">
        <is>
          <t>May</t>
        </is>
      </c>
      <c r="T29" s="43" t="inlineStr">
        <is>
          <t>Jun</t>
        </is>
      </c>
      <c r="U29" s="43" t="inlineStr">
        <is>
          <t>Jul</t>
        </is>
      </c>
      <c r="V29" s="43" t="inlineStr">
        <is>
          <t>Aug</t>
        </is>
      </c>
      <c r="W29" s="43" t="inlineStr">
        <is>
          <t>Sep</t>
        </is>
      </c>
      <c r="X29" s="43" t="inlineStr">
        <is>
          <t>Oct</t>
        </is>
      </c>
      <c r="Y29" s="43" t="inlineStr">
        <is>
          <t>Nov</t>
        </is>
      </c>
      <c r="Z29" s="43" t="inlineStr">
        <is>
          <t>Dec</t>
        </is>
      </c>
      <c r="AA29" s="43" t="inlineStr">
        <is>
          <t>Total CY</t>
        </is>
      </c>
      <c r="AB29" s="43" t="inlineStr">
        <is>
          <t>$ Δ</t>
        </is>
      </c>
      <c r="AC29" s="43" t="inlineStr">
        <is>
          <t>% Δ</t>
        </is>
      </c>
    </row>
    <row r="30" ht="20" customHeight="1">
      <c r="A30" s="44" t="inlineStr">
        <is>
          <t>REVENUE</t>
        </is>
      </c>
    </row>
    <row r="31" ht="16" customHeight="1">
      <c r="A31" s="45" t="inlineStr">
        <is>
          <t>Rents + cleaning fees collected</t>
        </is>
      </c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7">
        <f>SUM(B31:M31)</f>
        <v/>
      </c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7">
        <f>SUM(O31:Z31)</f>
        <v/>
      </c>
      <c r="AB31" s="48">
        <f>AA31-N31</f>
        <v/>
      </c>
      <c r="AC31" s="49">
        <f>IFERROR((AA31-N31)/N31,0)</f>
        <v/>
      </c>
    </row>
    <row r="32" ht="18" customHeight="1">
      <c r="A32" s="50" t="inlineStr">
        <is>
          <t>Total revenue</t>
        </is>
      </c>
      <c r="B32" s="51">
        <f>SUM(B31:B31)</f>
        <v/>
      </c>
      <c r="C32" s="51">
        <f>SUM(C31:C31)</f>
        <v/>
      </c>
      <c r="D32" s="51">
        <f>SUM(D31:D31)</f>
        <v/>
      </c>
      <c r="E32" s="51">
        <f>SUM(E31:E31)</f>
        <v/>
      </c>
      <c r="F32" s="51">
        <f>SUM(F31:F31)</f>
        <v/>
      </c>
      <c r="G32" s="51">
        <f>SUM(G31:G31)</f>
        <v/>
      </c>
      <c r="H32" s="51">
        <f>SUM(H31:H31)</f>
        <v/>
      </c>
      <c r="I32" s="51">
        <f>SUM(I31:I31)</f>
        <v/>
      </c>
      <c r="J32" s="51">
        <f>SUM(J31:J31)</f>
        <v/>
      </c>
      <c r="K32" s="51">
        <f>SUM(K31:K31)</f>
        <v/>
      </c>
      <c r="L32" s="51">
        <f>SUM(L31:L31)</f>
        <v/>
      </c>
      <c r="M32" s="51">
        <f>SUM(M31:M31)</f>
        <v/>
      </c>
      <c r="N32" s="51">
        <f>SUM(N31:N31)</f>
        <v/>
      </c>
      <c r="O32" s="51">
        <f>SUM(O31:O31)</f>
        <v/>
      </c>
      <c r="P32" s="51">
        <f>SUM(P31:P31)</f>
        <v/>
      </c>
      <c r="Q32" s="51">
        <f>SUM(Q31:Q31)</f>
        <v/>
      </c>
      <c r="R32" s="51">
        <f>SUM(R31:R31)</f>
        <v/>
      </c>
      <c r="S32" s="51">
        <f>SUM(S31:S31)</f>
        <v/>
      </c>
      <c r="T32" s="51">
        <f>SUM(T31:T31)</f>
        <v/>
      </c>
      <c r="U32" s="51">
        <f>SUM(U31:U31)</f>
        <v/>
      </c>
      <c r="V32" s="51">
        <f>SUM(V31:V31)</f>
        <v/>
      </c>
      <c r="W32" s="51">
        <f>SUM(W31:W31)</f>
        <v/>
      </c>
      <c r="X32" s="51">
        <f>SUM(X31:X31)</f>
        <v/>
      </c>
      <c r="Y32" s="51">
        <f>SUM(Y31:Y31)</f>
        <v/>
      </c>
      <c r="Z32" s="51">
        <f>SUM(Z31:Z31)</f>
        <v/>
      </c>
      <c r="AA32" s="51">
        <f>SUM(AA31:AA31)</f>
        <v/>
      </c>
      <c r="AB32" s="52">
        <f>SUM(AB31:AB31)</f>
        <v/>
      </c>
      <c r="AC32" s="53">
        <f>IFERROR((AA32-N32)/N32,0)</f>
        <v/>
      </c>
    </row>
    <row r="33" ht="8" customHeight="1"/>
    <row r="34" ht="20" customHeight="1">
      <c r="A34" s="54" t="inlineStr">
        <is>
          <t>EXPENSES</t>
        </is>
      </c>
    </row>
    <row r="35" ht="16" customHeight="1">
      <c r="A35" s="45" t="inlineStr">
        <is>
          <t>Cleaning + maintenance</t>
        </is>
      </c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7">
        <f>SUM(B35:M35)</f>
        <v/>
      </c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7">
        <f>SUM(O35:Z35)</f>
        <v/>
      </c>
      <c r="AB35" s="48">
        <f>AA35-N35</f>
        <v/>
      </c>
      <c r="AC35" s="49">
        <f>IFERROR((AA35-N35)/N35,0)</f>
        <v/>
      </c>
    </row>
    <row r="36" ht="16" customHeight="1">
      <c r="A36" s="45" t="inlineStr">
        <is>
          <t>Insurance</t>
        </is>
      </c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7">
        <f>SUM(B36:M36)</f>
        <v/>
      </c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7">
        <f>SUM(O36:Z36)</f>
        <v/>
      </c>
      <c r="AB36" s="48">
        <f>AA36-N36</f>
        <v/>
      </c>
      <c r="AC36" s="49">
        <f>IFERROR((AA36-N36)/N36,0)</f>
        <v/>
      </c>
    </row>
    <row r="37" ht="16" customHeight="1">
      <c r="A37" s="45" t="inlineStr">
        <is>
          <t>Mortgage interest</t>
        </is>
      </c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7">
        <f>SUM(B37:M37)</f>
        <v/>
      </c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7">
        <f>SUM(O37:Z37)</f>
        <v/>
      </c>
      <c r="AB37" s="48">
        <f>AA37-N37</f>
        <v/>
      </c>
      <c r="AC37" s="49">
        <f>IFERROR((AA37-N37)/N37,0)</f>
        <v/>
      </c>
    </row>
    <row r="38" ht="16" customHeight="1">
      <c r="A38" s="45" t="inlineStr">
        <is>
          <t>Repairs</t>
        </is>
      </c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7">
        <f>SUM(B38:M38)</f>
        <v/>
      </c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7">
        <f>SUM(O38:Z38)</f>
        <v/>
      </c>
      <c r="AB38" s="48">
        <f>AA38-N38</f>
        <v/>
      </c>
      <c r="AC38" s="49">
        <f>IFERROR((AA38-N38)/N38,0)</f>
        <v/>
      </c>
    </row>
    <row r="39" ht="16" customHeight="1">
      <c r="A39" s="45" t="inlineStr">
        <is>
          <t>Utilities</t>
        </is>
      </c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7">
        <f>SUM(B39:M39)</f>
        <v/>
      </c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7">
        <f>SUM(O39:Z39)</f>
        <v/>
      </c>
      <c r="AB39" s="48">
        <f>AA39-N39</f>
        <v/>
      </c>
      <c r="AC39" s="49">
        <f>IFERROR((AA39-N39)/N39,0)</f>
        <v/>
      </c>
    </row>
    <row r="40" ht="16" customHeight="1">
      <c r="A40" s="45" t="inlineStr">
        <is>
          <t>Management fees</t>
        </is>
      </c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7">
        <f>SUM(B40:M40)</f>
        <v/>
      </c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7">
        <f>SUM(O40:Z40)</f>
        <v/>
      </c>
      <c r="AB40" s="48">
        <f>AA40-N40</f>
        <v/>
      </c>
      <c r="AC40" s="49">
        <f>IFERROR((AA40-N40)/N40,0)</f>
        <v/>
      </c>
    </row>
    <row r="41" ht="16" customHeight="1">
      <c r="A41" s="45" t="inlineStr">
        <is>
          <t>Supplies</t>
        </is>
      </c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7">
        <f>SUM(B41:M41)</f>
        <v/>
      </c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7">
        <f>SUM(O41:Z41)</f>
        <v/>
      </c>
      <c r="AB41" s="48">
        <f>AA41-N41</f>
        <v/>
      </c>
      <c r="AC41" s="49">
        <f>IFERROR((AA41-N41)/N41,0)</f>
        <v/>
      </c>
    </row>
    <row r="42" ht="16" customHeight="1">
      <c r="A42" s="45" t="inlineStr">
        <is>
          <t>Other</t>
        </is>
      </c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7">
        <f>SUM(B42:M42)</f>
        <v/>
      </c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7">
        <f>SUM(O42:Z42)</f>
        <v/>
      </c>
      <c r="AB42" s="48">
        <f>AA42-N42</f>
        <v/>
      </c>
      <c r="AC42" s="49">
        <f>IFERROR((AA42-N42)/N42,0)</f>
        <v/>
      </c>
    </row>
    <row r="43" ht="18" customHeight="1">
      <c r="A43" s="55" t="inlineStr">
        <is>
          <t>Total expenses</t>
        </is>
      </c>
      <c r="B43" s="56">
        <f>SUM(B35:B42)</f>
        <v/>
      </c>
      <c r="C43" s="56">
        <f>SUM(C35:C42)</f>
        <v/>
      </c>
      <c r="D43" s="56">
        <f>SUM(D35:D42)</f>
        <v/>
      </c>
      <c r="E43" s="56">
        <f>SUM(E35:E42)</f>
        <v/>
      </c>
      <c r="F43" s="56">
        <f>SUM(F35:F42)</f>
        <v/>
      </c>
      <c r="G43" s="56">
        <f>SUM(G35:G42)</f>
        <v/>
      </c>
      <c r="H43" s="56">
        <f>SUM(H35:H42)</f>
        <v/>
      </c>
      <c r="I43" s="56">
        <f>SUM(I35:I42)</f>
        <v/>
      </c>
      <c r="J43" s="56">
        <f>SUM(J35:J42)</f>
        <v/>
      </c>
      <c r="K43" s="56">
        <f>SUM(K35:K42)</f>
        <v/>
      </c>
      <c r="L43" s="56">
        <f>SUM(L35:L42)</f>
        <v/>
      </c>
      <c r="M43" s="56">
        <f>SUM(M35:M42)</f>
        <v/>
      </c>
      <c r="N43" s="56">
        <f>SUM(N35:N42)</f>
        <v/>
      </c>
      <c r="O43" s="56">
        <f>SUM(O35:O42)</f>
        <v/>
      </c>
      <c r="P43" s="56">
        <f>SUM(P35:P42)</f>
        <v/>
      </c>
      <c r="Q43" s="56">
        <f>SUM(Q35:Q42)</f>
        <v/>
      </c>
      <c r="R43" s="56">
        <f>SUM(R35:R42)</f>
        <v/>
      </c>
      <c r="S43" s="56">
        <f>SUM(S35:S42)</f>
        <v/>
      </c>
      <c r="T43" s="56">
        <f>SUM(T35:T42)</f>
        <v/>
      </c>
      <c r="U43" s="56">
        <f>SUM(U35:U42)</f>
        <v/>
      </c>
      <c r="V43" s="56">
        <f>SUM(V35:V42)</f>
        <v/>
      </c>
      <c r="W43" s="56">
        <f>SUM(W35:W42)</f>
        <v/>
      </c>
      <c r="X43" s="56">
        <f>SUM(X35:X42)</f>
        <v/>
      </c>
      <c r="Y43" s="56">
        <f>SUM(Y35:Y42)</f>
        <v/>
      </c>
      <c r="Z43" s="56">
        <f>SUM(Z35:Z42)</f>
        <v/>
      </c>
      <c r="AA43" s="56">
        <f>SUM(AA35:AA42)</f>
        <v/>
      </c>
      <c r="AB43" s="57">
        <f>SUM(AB35:AB42)</f>
        <v/>
      </c>
      <c r="AC43" s="58">
        <f>IFERROR((AA43-N43)/N43,0)</f>
        <v/>
      </c>
    </row>
    <row r="44" ht="8" customHeight="1"/>
    <row r="45" ht="22" customHeight="1">
      <c r="A45" s="59" t="inlineStr">
        <is>
          <t>NET INCOME</t>
        </is>
      </c>
      <c r="B45" s="51">
        <f>B32-B43</f>
        <v/>
      </c>
      <c r="C45" s="51">
        <f>C32-C43</f>
        <v/>
      </c>
      <c r="D45" s="51">
        <f>D32-D43</f>
        <v/>
      </c>
      <c r="E45" s="51">
        <f>E32-E43</f>
        <v/>
      </c>
      <c r="F45" s="51">
        <f>F32-F43</f>
        <v/>
      </c>
      <c r="G45" s="51">
        <f>G32-G43</f>
        <v/>
      </c>
      <c r="H45" s="51">
        <f>H32-H43</f>
        <v/>
      </c>
      <c r="I45" s="51">
        <f>I32-I43</f>
        <v/>
      </c>
      <c r="J45" s="51">
        <f>J32-J43</f>
        <v/>
      </c>
      <c r="K45" s="51">
        <f>K32-K43</f>
        <v/>
      </c>
      <c r="L45" s="51">
        <f>L32-L43</f>
        <v/>
      </c>
      <c r="M45" s="51">
        <f>M32-M43</f>
        <v/>
      </c>
      <c r="N45" s="51">
        <f>N32-N43</f>
        <v/>
      </c>
      <c r="O45" s="51">
        <f>O32-O43</f>
        <v/>
      </c>
      <c r="P45" s="51">
        <f>P32-P43</f>
        <v/>
      </c>
      <c r="Q45" s="51">
        <f>Q32-Q43</f>
        <v/>
      </c>
      <c r="R45" s="51">
        <f>R32-R43</f>
        <v/>
      </c>
      <c r="S45" s="51">
        <f>S32-S43</f>
        <v/>
      </c>
      <c r="T45" s="51">
        <f>T32-T43</f>
        <v/>
      </c>
      <c r="U45" s="51">
        <f>U32-U43</f>
        <v/>
      </c>
      <c r="V45" s="51">
        <f>V32-V43</f>
        <v/>
      </c>
      <c r="W45" s="51">
        <f>W32-W43</f>
        <v/>
      </c>
      <c r="X45" s="51">
        <f>X32-X43</f>
        <v/>
      </c>
      <c r="Y45" s="51">
        <f>Y32-Y43</f>
        <v/>
      </c>
      <c r="Z45" s="51">
        <f>Z32-Z43</f>
        <v/>
      </c>
      <c r="AA45" s="51">
        <f>AA32-AA43</f>
        <v/>
      </c>
      <c r="AB45" s="52">
        <f>AA45-N45</f>
        <v/>
      </c>
      <c r="AC45" s="53">
        <f>IFERROR((AA45-N45)/ABS(N45),0)</f>
        <v/>
      </c>
    </row>
    <row r="48" ht="24" customHeight="1">
      <c r="A48" s="39" t="inlineStr">
        <is>
          <t>PROPERTY 3: COASTAL COTTAGE</t>
        </is>
      </c>
    </row>
    <row r="49" ht="18" customHeight="1">
      <c r="B49" s="40">
        <f>"PRIOR YEAR ("&amp;Settings!$B$7&amp;")"</f>
        <v/>
      </c>
      <c r="O49" s="41">
        <f>"CURRENT YEAR ("&amp;Settings!$B$5&amp;")"</f>
        <v/>
      </c>
      <c r="AB49" s="42" t="inlineStr">
        <is>
          <t>DELTA</t>
        </is>
      </c>
    </row>
    <row r="50" ht="20" customHeight="1">
      <c r="A50" s="43" t="inlineStr">
        <is>
          <t>Category</t>
        </is>
      </c>
      <c r="B50" s="43" t="inlineStr">
        <is>
          <t>Jan</t>
        </is>
      </c>
      <c r="C50" s="43" t="inlineStr">
        <is>
          <t>Feb</t>
        </is>
      </c>
      <c r="D50" s="43" t="inlineStr">
        <is>
          <t>Mar</t>
        </is>
      </c>
      <c r="E50" s="43" t="inlineStr">
        <is>
          <t>Apr</t>
        </is>
      </c>
      <c r="F50" s="43" t="inlineStr">
        <is>
          <t>May</t>
        </is>
      </c>
      <c r="G50" s="43" t="inlineStr">
        <is>
          <t>Jun</t>
        </is>
      </c>
      <c r="H50" s="43" t="inlineStr">
        <is>
          <t>Jul</t>
        </is>
      </c>
      <c r="I50" s="43" t="inlineStr">
        <is>
          <t>Aug</t>
        </is>
      </c>
      <c r="J50" s="43" t="inlineStr">
        <is>
          <t>Sep</t>
        </is>
      </c>
      <c r="K50" s="43" t="inlineStr">
        <is>
          <t>Oct</t>
        </is>
      </c>
      <c r="L50" s="43" t="inlineStr">
        <is>
          <t>Nov</t>
        </is>
      </c>
      <c r="M50" s="43" t="inlineStr">
        <is>
          <t>Dec</t>
        </is>
      </c>
      <c r="N50" s="43" t="inlineStr">
        <is>
          <t>Total PY</t>
        </is>
      </c>
      <c r="O50" s="43" t="inlineStr">
        <is>
          <t>Jan</t>
        </is>
      </c>
      <c r="P50" s="43" t="inlineStr">
        <is>
          <t>Feb</t>
        </is>
      </c>
      <c r="Q50" s="43" t="inlineStr">
        <is>
          <t>Mar</t>
        </is>
      </c>
      <c r="R50" s="43" t="inlineStr">
        <is>
          <t>Apr</t>
        </is>
      </c>
      <c r="S50" s="43" t="inlineStr">
        <is>
          <t>May</t>
        </is>
      </c>
      <c r="T50" s="43" t="inlineStr">
        <is>
          <t>Jun</t>
        </is>
      </c>
      <c r="U50" s="43" t="inlineStr">
        <is>
          <t>Jul</t>
        </is>
      </c>
      <c r="V50" s="43" t="inlineStr">
        <is>
          <t>Aug</t>
        </is>
      </c>
      <c r="W50" s="43" t="inlineStr">
        <is>
          <t>Sep</t>
        </is>
      </c>
      <c r="X50" s="43" t="inlineStr">
        <is>
          <t>Oct</t>
        </is>
      </c>
      <c r="Y50" s="43" t="inlineStr">
        <is>
          <t>Nov</t>
        </is>
      </c>
      <c r="Z50" s="43" t="inlineStr">
        <is>
          <t>Dec</t>
        </is>
      </c>
      <c r="AA50" s="43" t="inlineStr">
        <is>
          <t>Total CY</t>
        </is>
      </c>
      <c r="AB50" s="43" t="inlineStr">
        <is>
          <t>$ Δ</t>
        </is>
      </c>
      <c r="AC50" s="43" t="inlineStr">
        <is>
          <t>% Δ</t>
        </is>
      </c>
    </row>
    <row r="51" ht="20" customHeight="1">
      <c r="A51" s="44" t="inlineStr">
        <is>
          <t>REVENUE</t>
        </is>
      </c>
    </row>
    <row r="52" ht="16" customHeight="1">
      <c r="A52" s="45" t="inlineStr">
        <is>
          <t>Rents + cleaning fees collected</t>
        </is>
      </c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7">
        <f>SUM(B52:M52)</f>
        <v/>
      </c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7">
        <f>SUM(O52:Z52)</f>
        <v/>
      </c>
      <c r="AB52" s="48">
        <f>AA52-N52</f>
        <v/>
      </c>
      <c r="AC52" s="49">
        <f>IFERROR((AA52-N52)/N52,0)</f>
        <v/>
      </c>
    </row>
    <row r="53" ht="18" customHeight="1">
      <c r="A53" s="50" t="inlineStr">
        <is>
          <t>Total revenue</t>
        </is>
      </c>
      <c r="B53" s="51">
        <f>SUM(B52:B52)</f>
        <v/>
      </c>
      <c r="C53" s="51">
        <f>SUM(C52:C52)</f>
        <v/>
      </c>
      <c r="D53" s="51">
        <f>SUM(D52:D52)</f>
        <v/>
      </c>
      <c r="E53" s="51">
        <f>SUM(E52:E52)</f>
        <v/>
      </c>
      <c r="F53" s="51">
        <f>SUM(F52:F52)</f>
        <v/>
      </c>
      <c r="G53" s="51">
        <f>SUM(G52:G52)</f>
        <v/>
      </c>
      <c r="H53" s="51">
        <f>SUM(H52:H52)</f>
        <v/>
      </c>
      <c r="I53" s="51">
        <f>SUM(I52:I52)</f>
        <v/>
      </c>
      <c r="J53" s="51">
        <f>SUM(J52:J52)</f>
        <v/>
      </c>
      <c r="K53" s="51">
        <f>SUM(K52:K52)</f>
        <v/>
      </c>
      <c r="L53" s="51">
        <f>SUM(L52:L52)</f>
        <v/>
      </c>
      <c r="M53" s="51">
        <f>SUM(M52:M52)</f>
        <v/>
      </c>
      <c r="N53" s="51">
        <f>SUM(N52:N52)</f>
        <v/>
      </c>
      <c r="O53" s="51">
        <f>SUM(O52:O52)</f>
        <v/>
      </c>
      <c r="P53" s="51">
        <f>SUM(P52:P52)</f>
        <v/>
      </c>
      <c r="Q53" s="51">
        <f>SUM(Q52:Q52)</f>
        <v/>
      </c>
      <c r="R53" s="51">
        <f>SUM(R52:R52)</f>
        <v/>
      </c>
      <c r="S53" s="51">
        <f>SUM(S52:S52)</f>
        <v/>
      </c>
      <c r="T53" s="51">
        <f>SUM(T52:T52)</f>
        <v/>
      </c>
      <c r="U53" s="51">
        <f>SUM(U52:U52)</f>
        <v/>
      </c>
      <c r="V53" s="51">
        <f>SUM(V52:V52)</f>
        <v/>
      </c>
      <c r="W53" s="51">
        <f>SUM(W52:W52)</f>
        <v/>
      </c>
      <c r="X53" s="51">
        <f>SUM(X52:X52)</f>
        <v/>
      </c>
      <c r="Y53" s="51">
        <f>SUM(Y52:Y52)</f>
        <v/>
      </c>
      <c r="Z53" s="51">
        <f>SUM(Z52:Z52)</f>
        <v/>
      </c>
      <c r="AA53" s="51">
        <f>SUM(AA52:AA52)</f>
        <v/>
      </c>
      <c r="AB53" s="52">
        <f>SUM(AB52:AB52)</f>
        <v/>
      </c>
      <c r="AC53" s="53">
        <f>IFERROR((AA53-N53)/N53,0)</f>
        <v/>
      </c>
    </row>
    <row r="54" ht="8" customHeight="1"/>
    <row r="55" ht="20" customHeight="1">
      <c r="A55" s="54" t="inlineStr">
        <is>
          <t>EXPENSES</t>
        </is>
      </c>
    </row>
    <row r="56" ht="16" customHeight="1">
      <c r="A56" s="45" t="inlineStr">
        <is>
          <t>Cleaning + maintenance</t>
        </is>
      </c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7">
        <f>SUM(B56:M56)</f>
        <v/>
      </c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7">
        <f>SUM(O56:Z56)</f>
        <v/>
      </c>
      <c r="AB56" s="48">
        <f>AA56-N56</f>
        <v/>
      </c>
      <c r="AC56" s="49">
        <f>IFERROR((AA56-N56)/N56,0)</f>
        <v/>
      </c>
    </row>
    <row r="57" ht="16" customHeight="1">
      <c r="A57" s="45" t="inlineStr">
        <is>
          <t>Insurance</t>
        </is>
      </c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7">
        <f>SUM(B57:M57)</f>
        <v/>
      </c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7">
        <f>SUM(O57:Z57)</f>
        <v/>
      </c>
      <c r="AB57" s="48">
        <f>AA57-N57</f>
        <v/>
      </c>
      <c r="AC57" s="49">
        <f>IFERROR((AA57-N57)/N57,0)</f>
        <v/>
      </c>
    </row>
    <row r="58" ht="16" customHeight="1">
      <c r="A58" s="45" t="inlineStr">
        <is>
          <t>Mortgage interest</t>
        </is>
      </c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7">
        <f>SUM(B58:M58)</f>
        <v/>
      </c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7">
        <f>SUM(O58:Z58)</f>
        <v/>
      </c>
      <c r="AB58" s="48">
        <f>AA58-N58</f>
        <v/>
      </c>
      <c r="AC58" s="49">
        <f>IFERROR((AA58-N58)/N58,0)</f>
        <v/>
      </c>
    </row>
    <row r="59" ht="16" customHeight="1">
      <c r="A59" s="45" t="inlineStr">
        <is>
          <t>Repairs</t>
        </is>
      </c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7">
        <f>SUM(B59:M59)</f>
        <v/>
      </c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7">
        <f>SUM(O59:Z59)</f>
        <v/>
      </c>
      <c r="AB59" s="48">
        <f>AA59-N59</f>
        <v/>
      </c>
      <c r="AC59" s="49">
        <f>IFERROR((AA59-N59)/N59,0)</f>
        <v/>
      </c>
    </row>
    <row r="60" ht="16" customHeight="1">
      <c r="A60" s="45" t="inlineStr">
        <is>
          <t>Utilities</t>
        </is>
      </c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7">
        <f>SUM(B60:M60)</f>
        <v/>
      </c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7">
        <f>SUM(O60:Z60)</f>
        <v/>
      </c>
      <c r="AB60" s="48">
        <f>AA60-N60</f>
        <v/>
      </c>
      <c r="AC60" s="49">
        <f>IFERROR((AA60-N60)/N60,0)</f>
        <v/>
      </c>
    </row>
    <row r="61" ht="16" customHeight="1">
      <c r="A61" s="45" t="inlineStr">
        <is>
          <t>Management fees</t>
        </is>
      </c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7">
        <f>SUM(B61:M61)</f>
        <v/>
      </c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7">
        <f>SUM(O61:Z61)</f>
        <v/>
      </c>
      <c r="AB61" s="48">
        <f>AA61-N61</f>
        <v/>
      </c>
      <c r="AC61" s="49">
        <f>IFERROR((AA61-N61)/N61,0)</f>
        <v/>
      </c>
    </row>
    <row r="62" ht="16" customHeight="1">
      <c r="A62" s="45" t="inlineStr">
        <is>
          <t>Supplies</t>
        </is>
      </c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7">
        <f>SUM(B62:M62)</f>
        <v/>
      </c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7">
        <f>SUM(O62:Z62)</f>
        <v/>
      </c>
      <c r="AB62" s="48">
        <f>AA62-N62</f>
        <v/>
      </c>
      <c r="AC62" s="49">
        <f>IFERROR((AA62-N62)/N62,0)</f>
        <v/>
      </c>
    </row>
    <row r="63" ht="16" customHeight="1">
      <c r="A63" s="45" t="inlineStr">
        <is>
          <t>Other</t>
        </is>
      </c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7">
        <f>SUM(B63:M63)</f>
        <v/>
      </c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7">
        <f>SUM(O63:Z63)</f>
        <v/>
      </c>
      <c r="AB63" s="48">
        <f>AA63-N63</f>
        <v/>
      </c>
      <c r="AC63" s="49">
        <f>IFERROR((AA63-N63)/N63,0)</f>
        <v/>
      </c>
    </row>
    <row r="64" ht="18" customHeight="1">
      <c r="A64" s="55" t="inlineStr">
        <is>
          <t>Total expenses</t>
        </is>
      </c>
      <c r="B64" s="56">
        <f>SUM(B56:B63)</f>
        <v/>
      </c>
      <c r="C64" s="56">
        <f>SUM(C56:C63)</f>
        <v/>
      </c>
      <c r="D64" s="56">
        <f>SUM(D56:D63)</f>
        <v/>
      </c>
      <c r="E64" s="56">
        <f>SUM(E56:E63)</f>
        <v/>
      </c>
      <c r="F64" s="56">
        <f>SUM(F56:F63)</f>
        <v/>
      </c>
      <c r="G64" s="56">
        <f>SUM(G56:G63)</f>
        <v/>
      </c>
      <c r="H64" s="56">
        <f>SUM(H56:H63)</f>
        <v/>
      </c>
      <c r="I64" s="56">
        <f>SUM(I56:I63)</f>
        <v/>
      </c>
      <c r="J64" s="56">
        <f>SUM(J56:J63)</f>
        <v/>
      </c>
      <c r="K64" s="56">
        <f>SUM(K56:K63)</f>
        <v/>
      </c>
      <c r="L64" s="56">
        <f>SUM(L56:L63)</f>
        <v/>
      </c>
      <c r="M64" s="56">
        <f>SUM(M56:M63)</f>
        <v/>
      </c>
      <c r="N64" s="56">
        <f>SUM(N56:N63)</f>
        <v/>
      </c>
      <c r="O64" s="56">
        <f>SUM(O56:O63)</f>
        <v/>
      </c>
      <c r="P64" s="56">
        <f>SUM(P56:P63)</f>
        <v/>
      </c>
      <c r="Q64" s="56">
        <f>SUM(Q56:Q63)</f>
        <v/>
      </c>
      <c r="R64" s="56">
        <f>SUM(R56:R63)</f>
        <v/>
      </c>
      <c r="S64" s="56">
        <f>SUM(S56:S63)</f>
        <v/>
      </c>
      <c r="T64" s="56">
        <f>SUM(T56:T63)</f>
        <v/>
      </c>
      <c r="U64" s="56">
        <f>SUM(U56:U63)</f>
        <v/>
      </c>
      <c r="V64" s="56">
        <f>SUM(V56:V63)</f>
        <v/>
      </c>
      <c r="W64" s="56">
        <f>SUM(W56:W63)</f>
        <v/>
      </c>
      <c r="X64" s="56">
        <f>SUM(X56:X63)</f>
        <v/>
      </c>
      <c r="Y64" s="56">
        <f>SUM(Y56:Y63)</f>
        <v/>
      </c>
      <c r="Z64" s="56">
        <f>SUM(Z56:Z63)</f>
        <v/>
      </c>
      <c r="AA64" s="56">
        <f>SUM(AA56:AA63)</f>
        <v/>
      </c>
      <c r="AB64" s="57">
        <f>SUM(AB56:AB63)</f>
        <v/>
      </c>
      <c r="AC64" s="58">
        <f>IFERROR((AA64-N64)/N64,0)</f>
        <v/>
      </c>
    </row>
    <row r="65" ht="8" customHeight="1"/>
    <row r="66" ht="22" customHeight="1">
      <c r="A66" s="59" t="inlineStr">
        <is>
          <t>NET INCOME</t>
        </is>
      </c>
      <c r="B66" s="51">
        <f>B53-B64</f>
        <v/>
      </c>
      <c r="C66" s="51">
        <f>C53-C64</f>
        <v/>
      </c>
      <c r="D66" s="51">
        <f>D53-D64</f>
        <v/>
      </c>
      <c r="E66" s="51">
        <f>E53-E64</f>
        <v/>
      </c>
      <c r="F66" s="51">
        <f>F53-F64</f>
        <v/>
      </c>
      <c r="G66" s="51">
        <f>G53-G64</f>
        <v/>
      </c>
      <c r="H66" s="51">
        <f>H53-H64</f>
        <v/>
      </c>
      <c r="I66" s="51">
        <f>I53-I64</f>
        <v/>
      </c>
      <c r="J66" s="51">
        <f>J53-J64</f>
        <v/>
      </c>
      <c r="K66" s="51">
        <f>K53-K64</f>
        <v/>
      </c>
      <c r="L66" s="51">
        <f>L53-L64</f>
        <v/>
      </c>
      <c r="M66" s="51">
        <f>M53-M64</f>
        <v/>
      </c>
      <c r="N66" s="51">
        <f>N53-N64</f>
        <v/>
      </c>
      <c r="O66" s="51">
        <f>O53-O64</f>
        <v/>
      </c>
      <c r="P66" s="51">
        <f>P53-P64</f>
        <v/>
      </c>
      <c r="Q66" s="51">
        <f>Q53-Q64</f>
        <v/>
      </c>
      <c r="R66" s="51">
        <f>R53-R64</f>
        <v/>
      </c>
      <c r="S66" s="51">
        <f>S53-S64</f>
        <v/>
      </c>
      <c r="T66" s="51">
        <f>T53-T64</f>
        <v/>
      </c>
      <c r="U66" s="51">
        <f>U53-U64</f>
        <v/>
      </c>
      <c r="V66" s="51">
        <f>V53-V64</f>
        <v/>
      </c>
      <c r="W66" s="51">
        <f>W53-W64</f>
        <v/>
      </c>
      <c r="X66" s="51">
        <f>X53-X64</f>
        <v/>
      </c>
      <c r="Y66" s="51">
        <f>Y53-Y64</f>
        <v/>
      </c>
      <c r="Z66" s="51">
        <f>Z53-Z64</f>
        <v/>
      </c>
      <c r="AA66" s="51">
        <f>AA53-AA64</f>
        <v/>
      </c>
      <c r="AB66" s="52">
        <f>AA66-N66</f>
        <v/>
      </c>
      <c r="AC66" s="53">
        <f>IFERROR((AA66-N66)/ABS(N66),0)</f>
        <v/>
      </c>
    </row>
  </sheetData>
  <mergeCells count="16">
    <mergeCell ref="AB7:AC7"/>
    <mergeCell ref="J2:L2"/>
    <mergeCell ref="D2:I2"/>
    <mergeCell ref="A6:AC6"/>
    <mergeCell ref="O28:AA28"/>
    <mergeCell ref="A48:AC48"/>
    <mergeCell ref="B49:N49"/>
    <mergeCell ref="A27:AC27"/>
    <mergeCell ref="AB28:AC28"/>
    <mergeCell ref="O7:AA7"/>
    <mergeCell ref="A4:AC4"/>
    <mergeCell ref="B7:N7"/>
    <mergeCell ref="O49:AA49"/>
    <mergeCell ref="AB49:AC49"/>
    <mergeCell ref="A2:C2"/>
    <mergeCell ref="B28:N28"/>
  </mergeCells>
  <conditionalFormatting sqref="AB10:AB2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AB31:AB45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AB52:AB66">
    <cfRule type="cellIs" priority="5" operator="lessThan" dxfId="0">
      <formula>0</formula>
    </cfRule>
    <cfRule type="cellIs" priority="6" operator="greaterThan" dxfId="1">
      <formula>0</formula>
    </cfRule>
  </conditionalFormatting>
  <pageMargins left="0.3" right="0.3" top="0.4" bottom="0.4" header="0.5" footer="0.5"/>
  <pageSetup orientation="landscape" paperSize="4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HYPERLINK("#'Per Property'!A1", "← BACK")</f>
        <v/>
      </c>
      <c r="B2" s="27" t="n"/>
      <c r="C2" s="27" t="n"/>
      <c r="D2" s="37" t="inlineStr">
        <is>
          <t>PORTFOLIO ROLL-UP</t>
        </is>
      </c>
      <c r="J2" s="30">
        <f>HYPERLINK("#'Top Movers'!A1",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Portfolio totals — PY vs CY across all properties on the Per Property tab</t>
        </is>
      </c>
    </row>
    <row r="5" ht="20" customHeight="1">
      <c r="A5" s="60" t="inlineStr">
        <is>
          <t>Metric</t>
        </is>
      </c>
      <c r="B5" s="43">
        <f>"Prior ("&amp;Settings!$B$7&amp;")"</f>
        <v/>
      </c>
      <c r="C5" s="43">
        <f>"Current ("&amp;Settings!$B$5&amp;")"</f>
        <v/>
      </c>
      <c r="D5" s="43" t="inlineStr">
        <is>
          <t>$ Δ</t>
        </is>
      </c>
      <c r="E5" s="43" t="inlineStr">
        <is>
          <t>% Δ</t>
        </is>
      </c>
    </row>
    <row r="6" ht="18" customHeight="1">
      <c r="A6" s="44" t="inlineStr">
        <is>
          <t>REVENUE</t>
        </is>
      </c>
    </row>
    <row r="7" ht="24" customHeight="1">
      <c r="A7" s="61" t="inlineStr">
        <is>
          <t>Portfolio revenue (all properties)</t>
        </is>
      </c>
      <c r="B7" s="62">
        <f>'Per Property'!N11+'Per Property'!N30+'Per Property'!N49</f>
        <v/>
      </c>
      <c r="C7" s="62">
        <f>'Per Property'!AA11+'Per Property'!AA30+'Per Property'!AA49</f>
        <v/>
      </c>
      <c r="D7" s="48">
        <f>C7-B7</f>
        <v/>
      </c>
      <c r="E7" s="49">
        <f>IFERROR((C7-B7)/B7,0)</f>
        <v/>
      </c>
    </row>
    <row r="8" ht="16" customHeight="1">
      <c r="A8" s="63" t="inlineStr">
        <is>
          <t xml:space="preserve">  Smokies Ridge Cabin</t>
        </is>
      </c>
      <c r="B8" s="47">
        <f>'Per Property'!N11</f>
        <v/>
      </c>
      <c r="C8" s="47">
        <f>'Per Property'!AA11</f>
        <v/>
      </c>
      <c r="D8" s="48">
        <f>C8-B8</f>
        <v/>
      </c>
      <c r="E8" s="49">
        <f>IFERROR((C8-B8)/B8,0)</f>
        <v/>
      </c>
    </row>
    <row r="9" ht="16" customHeight="1">
      <c r="A9" s="63" t="inlineStr">
        <is>
          <t xml:space="preserve">  Lakehouse Retreat</t>
        </is>
      </c>
      <c r="B9" s="47">
        <f>'Per Property'!N30</f>
        <v/>
      </c>
      <c r="C9" s="47">
        <f>'Per Property'!AA30</f>
        <v/>
      </c>
      <c r="D9" s="48">
        <f>C9-B9</f>
        <v/>
      </c>
      <c r="E9" s="49">
        <f>IFERROR((C9-B9)/B9,0)</f>
        <v/>
      </c>
    </row>
    <row r="10" ht="16" customHeight="1">
      <c r="A10" s="63" t="inlineStr">
        <is>
          <t xml:space="preserve">  Coastal Cottage</t>
        </is>
      </c>
      <c r="B10" s="47">
        <f>'Per Property'!N49</f>
        <v/>
      </c>
      <c r="C10" s="47">
        <f>'Per Property'!AA49</f>
        <v/>
      </c>
      <c r="D10" s="48">
        <f>C10-B10</f>
        <v/>
      </c>
      <c r="E10" s="49">
        <f>IFERROR((C10-B10)/B10,0)</f>
        <v/>
      </c>
    </row>
    <row r="11" ht="16" customHeight="1">
      <c r="A11" s="64" t="inlineStr">
        <is>
          <t>Portfolio revenue — CY pacing</t>
        </is>
      </c>
      <c r="B11" s="65">
        <f>C7</f>
        <v/>
      </c>
    </row>
    <row r="12" ht="8" customHeight="1"/>
    <row r="13" ht="18" customHeight="1">
      <c r="A13" s="54" t="inlineStr">
        <is>
          <t>EXPENSES</t>
        </is>
      </c>
    </row>
    <row r="14" ht="24" customHeight="1">
      <c r="A14" s="61" t="inlineStr">
        <is>
          <t>Portfolio expenses (all properties)</t>
        </is>
      </c>
      <c r="B14" s="66">
        <f>'Per Property'!N21+'Per Property'!N40+'Per Property'!N59</f>
        <v/>
      </c>
      <c r="C14" s="66">
        <f>'Per Property'!AA21+'Per Property'!AA40+'Per Property'!AA59</f>
        <v/>
      </c>
      <c r="D14" s="48">
        <f>C14-B14</f>
        <v/>
      </c>
      <c r="E14" s="49">
        <f>IFERROR((C14-B14)/B14,0)</f>
        <v/>
      </c>
    </row>
    <row r="15" ht="24" customHeight="1">
      <c r="A15" s="67" t="inlineStr">
        <is>
          <t>NOI — Net operating income (PY)</t>
        </is>
      </c>
      <c r="B15" s="62">
        <f>B7-B14</f>
        <v/>
      </c>
      <c r="C15" s="62">
        <f>C7-C14</f>
        <v/>
      </c>
      <c r="D15" s="48">
        <f>C15-B15</f>
        <v/>
      </c>
      <c r="E15" s="49">
        <f>IFERROR((C15-B15)/ABS(B15),0)</f>
        <v/>
      </c>
    </row>
    <row r="16" ht="16" customHeight="1">
      <c r="A16" s="63" t="inlineStr">
        <is>
          <t xml:space="preserve">  Smokies Ridge Cabin</t>
        </is>
      </c>
      <c r="B16" s="47">
        <f>'Per Property'!N11-'Per Property'!N21</f>
        <v/>
      </c>
      <c r="C16" s="47">
        <f>'Per Property'!AA11-'Per Property'!AA21</f>
        <v/>
      </c>
      <c r="D16" s="48">
        <f>C16-B16</f>
        <v/>
      </c>
      <c r="E16" s="49">
        <f>IFERROR((C16-B16)/ABS(B16),0)</f>
        <v/>
      </c>
    </row>
    <row r="17" ht="16" customHeight="1">
      <c r="A17" s="63" t="inlineStr">
        <is>
          <t xml:space="preserve">  Lakehouse Retreat</t>
        </is>
      </c>
      <c r="B17" s="47">
        <f>'Per Property'!N30-'Per Property'!N40</f>
        <v/>
      </c>
      <c r="C17" s="47">
        <f>'Per Property'!AA30-'Per Property'!AA40</f>
        <v/>
      </c>
      <c r="D17" s="48">
        <f>C17-B17</f>
        <v/>
      </c>
      <c r="E17" s="49">
        <f>IFERROR((C17-B17)/ABS(B17),0)</f>
        <v/>
      </c>
    </row>
    <row r="18" ht="16" customHeight="1">
      <c r="A18" s="63" t="inlineStr">
        <is>
          <t xml:space="preserve">  Coastal Cottage</t>
        </is>
      </c>
      <c r="B18" s="47">
        <f>'Per Property'!N49-'Per Property'!N59</f>
        <v/>
      </c>
      <c r="C18" s="47">
        <f>'Per Property'!AA49-'Per Property'!AA59</f>
        <v/>
      </c>
      <c r="D18" s="48">
        <f>C18-B18</f>
        <v/>
      </c>
      <c r="E18" s="49">
        <f>IFERROR((C18-B18)/ABS(B18),0)</f>
        <v/>
      </c>
    </row>
    <row r="19" ht="16" customHeight="1">
      <c r="A19" s="64" t="inlineStr">
        <is>
          <t>NOI — CY pacing</t>
        </is>
      </c>
      <c r="B19" s="65">
        <f>C15</f>
        <v/>
      </c>
    </row>
    <row r="22" ht="20" customHeight="1">
      <c r="A22" s="44" t="inlineStr">
        <is>
          <t>MONTHLY (portfolio)</t>
        </is>
      </c>
    </row>
    <row r="23">
      <c r="A23" s="68" t="inlineStr">
        <is>
          <t>Month</t>
        </is>
      </c>
      <c r="B23" s="69" t="inlineStr">
        <is>
          <t>Jan</t>
        </is>
      </c>
      <c r="C23" s="69" t="inlineStr">
        <is>
          <t>Feb</t>
        </is>
      </c>
      <c r="D23" s="69" t="inlineStr">
        <is>
          <t>Mar</t>
        </is>
      </c>
      <c r="E23" s="69" t="inlineStr">
        <is>
          <t>Apr</t>
        </is>
      </c>
      <c r="F23" s="69" t="inlineStr">
        <is>
          <t>May</t>
        </is>
      </c>
      <c r="G23" s="69" t="inlineStr">
        <is>
          <t>Jun</t>
        </is>
      </c>
      <c r="H23" s="69" t="inlineStr">
        <is>
          <t>Jul</t>
        </is>
      </c>
      <c r="I23" s="69" t="inlineStr">
        <is>
          <t>Aug</t>
        </is>
      </c>
      <c r="J23" s="69" t="inlineStr">
        <is>
          <t>Sep</t>
        </is>
      </c>
      <c r="K23" s="69" t="inlineStr">
        <is>
          <t>Oct</t>
        </is>
      </c>
      <c r="L23" s="69" t="inlineStr">
        <is>
          <t>Nov</t>
        </is>
      </c>
      <c r="M23" s="69" t="inlineStr">
        <is>
          <t>Dec</t>
        </is>
      </c>
    </row>
    <row r="24" ht="16" customHeight="1">
      <c r="A24" s="70">
        <f>"Revenue PY ("&amp;Settings!$B$7&amp;")"</f>
        <v/>
      </c>
      <c r="B24" s="47">
        <f>'Per Property'!B10+'Per Property'!B29+'Per Property'!B48</f>
        <v/>
      </c>
      <c r="C24" s="47">
        <f>'Per Property'!C10+'Per Property'!C29+'Per Property'!C48</f>
        <v/>
      </c>
      <c r="D24" s="47">
        <f>'Per Property'!D10+'Per Property'!D29+'Per Property'!D48</f>
        <v/>
      </c>
      <c r="E24" s="47">
        <f>'Per Property'!E10+'Per Property'!E29+'Per Property'!E48</f>
        <v/>
      </c>
      <c r="F24" s="47">
        <f>'Per Property'!F10+'Per Property'!F29+'Per Property'!F48</f>
        <v/>
      </c>
      <c r="G24" s="47">
        <f>'Per Property'!G10+'Per Property'!G29+'Per Property'!G48</f>
        <v/>
      </c>
      <c r="H24" s="47">
        <f>'Per Property'!H10+'Per Property'!H29+'Per Property'!H48</f>
        <v/>
      </c>
      <c r="I24" s="47">
        <f>'Per Property'!I10+'Per Property'!I29+'Per Property'!I48</f>
        <v/>
      </c>
      <c r="J24" s="47">
        <f>'Per Property'!J10+'Per Property'!J29+'Per Property'!J48</f>
        <v/>
      </c>
      <c r="K24" s="47">
        <f>'Per Property'!K10+'Per Property'!K29+'Per Property'!K48</f>
        <v/>
      </c>
      <c r="L24" s="47">
        <f>'Per Property'!L10+'Per Property'!L29+'Per Property'!L48</f>
        <v/>
      </c>
      <c r="M24" s="47">
        <f>'Per Property'!M10+'Per Property'!M29+'Per Property'!M48</f>
        <v/>
      </c>
    </row>
    <row r="25" ht="16" customHeight="1">
      <c r="A25" s="71">
        <f>"Revenue CY ("&amp;Settings!$B$5&amp;")"</f>
        <v/>
      </c>
      <c r="B25" s="47">
        <f>'Per Property'!O10+'Per Property'!O29+'Per Property'!O48</f>
        <v/>
      </c>
      <c r="C25" s="47">
        <f>'Per Property'!P10+'Per Property'!P29+'Per Property'!P48</f>
        <v/>
      </c>
      <c r="D25" s="47">
        <f>'Per Property'!Q10+'Per Property'!Q29+'Per Property'!Q48</f>
        <v/>
      </c>
      <c r="E25" s="47">
        <f>'Per Property'!R10+'Per Property'!R29+'Per Property'!R48</f>
        <v/>
      </c>
      <c r="F25" s="47">
        <f>'Per Property'!S10+'Per Property'!S29+'Per Property'!S48</f>
        <v/>
      </c>
      <c r="G25" s="47">
        <f>'Per Property'!T10+'Per Property'!T29+'Per Property'!T48</f>
        <v/>
      </c>
      <c r="H25" s="47">
        <f>'Per Property'!U10+'Per Property'!U29+'Per Property'!U48</f>
        <v/>
      </c>
      <c r="I25" s="47">
        <f>'Per Property'!V10+'Per Property'!V29+'Per Property'!V48</f>
        <v/>
      </c>
      <c r="J25" s="47">
        <f>'Per Property'!W10+'Per Property'!W29+'Per Property'!W48</f>
        <v/>
      </c>
      <c r="K25" s="47">
        <f>'Per Property'!X10+'Per Property'!X29+'Per Property'!X48</f>
        <v/>
      </c>
      <c r="L25" s="47">
        <f>'Per Property'!Y10+'Per Property'!Y29+'Per Property'!Y48</f>
        <v/>
      </c>
      <c r="M25" s="47">
        <f>'Per Property'!Z10+'Per Property'!Z29+'Per Property'!Z48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HYPERLINK("#'Portfolio Roll-up'!A1", "← BACK")</f>
        <v/>
      </c>
      <c r="B2" s="27" t="n"/>
      <c r="C2" s="27" t="n"/>
      <c r="D2" s="37" t="inlineStr">
        <is>
          <t>TOP MOVERS</t>
        </is>
      </c>
      <c r="J2" s="30">
        <f>HYPERLINK("#'Settings'!A1",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Top-3 favorable + top-3 unfavorable expense moves across all properties. Driven by SMALL/LARGE on the per-property delta column.</t>
        </is>
      </c>
    </row>
    <row r="5" ht="22" customHeight="1">
      <c r="A5" s="72" t="inlineStr">
        <is>
          <t>✅</t>
        </is>
      </c>
      <c r="B5" s="73" t="inlineStr">
        <is>
          <t>TOP-3 FAVORABLE (expense decreases)</t>
        </is>
      </c>
    </row>
    <row r="6" ht="18" customHeight="1">
      <c r="A6" s="74" t="n">
        <v>1</v>
      </c>
      <c r="B6" s="63">
        <f>INDEX(A30:A53,MATCH(SMALL(E30:E53,1),E30:E53,0))</f>
        <v/>
      </c>
      <c r="C6" s="63">
        <f>INDEX(B30:B53,MATCH(SMALL(E30:E53,1),E30:E53,0))</f>
        <v/>
      </c>
      <c r="D6" s="47">
        <f>INDEX(C30:C53,MATCH(SMALL(E30:E53,1),E30:E53,0))</f>
        <v/>
      </c>
      <c r="E6" s="47">
        <f>INDEX(D30:D53,MATCH(SMALL(E30:E53,1),E30:E53,0))</f>
        <v/>
      </c>
      <c r="F6" s="52">
        <f>SMALL(E30:E53,1)</f>
        <v/>
      </c>
      <c r="G6" s="49">
        <f>IFERROR(F6/D6,0)</f>
        <v/>
      </c>
      <c r="H6" s="75" t="inlineStr">
        <is>
          <t>↓</t>
        </is>
      </c>
    </row>
    <row r="7" ht="18" customHeight="1">
      <c r="A7" s="74" t="n">
        <v>2</v>
      </c>
      <c r="B7" s="63">
        <f>INDEX(A30:A53,MATCH(SMALL(E30:E53,2),E30:E53,0))</f>
        <v/>
      </c>
      <c r="C7" s="63">
        <f>INDEX(B30:B53,MATCH(SMALL(E30:E53,2),E30:E53,0))</f>
        <v/>
      </c>
      <c r="D7" s="47">
        <f>INDEX(C30:C53,MATCH(SMALL(E30:E53,2),E30:E53,0))</f>
        <v/>
      </c>
      <c r="E7" s="47">
        <f>INDEX(D30:D53,MATCH(SMALL(E30:E53,2),E30:E53,0))</f>
        <v/>
      </c>
      <c r="F7" s="52">
        <f>SMALL(E30:E53,2)</f>
        <v/>
      </c>
      <c r="G7" s="49">
        <f>IFERROR(F7/D7,0)</f>
        <v/>
      </c>
      <c r="H7" s="75" t="inlineStr">
        <is>
          <t>↓</t>
        </is>
      </c>
    </row>
    <row r="8" ht="18" customHeight="1">
      <c r="A8" s="74" t="n">
        <v>3</v>
      </c>
      <c r="B8" s="63">
        <f>INDEX(A30:A53,MATCH(SMALL(E30:E53,3),E30:E53,0))</f>
        <v/>
      </c>
      <c r="C8" s="63">
        <f>INDEX(B30:B53,MATCH(SMALL(E30:E53,3),E30:E53,0))</f>
        <v/>
      </c>
      <c r="D8" s="47">
        <f>INDEX(C30:C53,MATCH(SMALL(E30:E53,3),E30:E53,0))</f>
        <v/>
      </c>
      <c r="E8" s="47">
        <f>INDEX(D30:D53,MATCH(SMALL(E30:E53,3),E30:E53,0))</f>
        <v/>
      </c>
      <c r="F8" s="52">
        <f>SMALL(E30:E53,3)</f>
        <v/>
      </c>
      <c r="G8" s="49">
        <f>IFERROR(F8/D8,0)</f>
        <v/>
      </c>
      <c r="H8" s="75" t="inlineStr">
        <is>
          <t>↓</t>
        </is>
      </c>
    </row>
    <row r="10" ht="12" customHeight="1"/>
    <row r="12" ht="22" customHeight="1">
      <c r="A12" s="76" t="inlineStr">
        <is>
          <t>⚠</t>
        </is>
      </c>
      <c r="B12" s="77" t="inlineStr">
        <is>
          <t>TOP-3 UNFAVORABLE (expense increases)</t>
        </is>
      </c>
    </row>
    <row r="14" ht="18" customHeight="1">
      <c r="A14" s="78" t="n">
        <v>1</v>
      </c>
      <c r="B14" s="63">
        <f>INDEX(A30:A53,MATCH(LARGE(E30:E53,1),E30:E53,0))</f>
        <v/>
      </c>
      <c r="C14" s="63">
        <f>INDEX(B30:B53,MATCH(LARGE(E30:E53,1),E30:E53,0))</f>
        <v/>
      </c>
      <c r="D14" s="47">
        <f>INDEX(C30:C53,MATCH(LARGE(E30:E53,1),E30:E53,0))</f>
        <v/>
      </c>
      <c r="E14" s="47">
        <f>INDEX(D30:D53,MATCH(LARGE(E30:E53,1),E30:E53,0))</f>
        <v/>
      </c>
      <c r="F14" s="57">
        <f>LARGE(E30:E53,1)</f>
        <v/>
      </c>
      <c r="G14" s="49">
        <f>IFERROR(F14/D14,0)</f>
        <v/>
      </c>
      <c r="H14" s="79" t="inlineStr">
        <is>
          <t>↑</t>
        </is>
      </c>
    </row>
    <row r="15" ht="18" customHeight="1">
      <c r="A15" s="78" t="n">
        <v>2</v>
      </c>
      <c r="B15" s="63">
        <f>INDEX(A30:A53,MATCH(LARGE(E30:E53,2),E30:E53,0))</f>
        <v/>
      </c>
      <c r="C15" s="63">
        <f>INDEX(B30:B53,MATCH(LARGE(E30:E53,2),E30:E53,0))</f>
        <v/>
      </c>
      <c r="D15" s="47">
        <f>INDEX(C30:C53,MATCH(LARGE(E30:E53,2),E30:E53,0))</f>
        <v/>
      </c>
      <c r="E15" s="47">
        <f>INDEX(D30:D53,MATCH(LARGE(E30:E53,2),E30:E53,0))</f>
        <v/>
      </c>
      <c r="F15" s="57">
        <f>LARGE(E30:E53,2)</f>
        <v/>
      </c>
      <c r="G15" s="49">
        <f>IFERROR(F15/D15,0)</f>
        <v/>
      </c>
      <c r="H15" s="79" t="inlineStr">
        <is>
          <t>↑</t>
        </is>
      </c>
    </row>
    <row r="16" ht="18" customHeight="1">
      <c r="A16" s="78" t="n">
        <v>3</v>
      </c>
      <c r="B16" s="63">
        <f>INDEX(A30:A53,MATCH(LARGE(E30:E53,3),E30:E53,0))</f>
        <v/>
      </c>
      <c r="C16" s="63">
        <f>INDEX(B30:B53,MATCH(LARGE(E30:E53,3),E30:E53,0))</f>
        <v/>
      </c>
      <c r="D16" s="47">
        <f>INDEX(C30:C53,MATCH(LARGE(E30:E53,3),E30:E53,0))</f>
        <v/>
      </c>
      <c r="E16" s="47">
        <f>INDEX(D30:D53,MATCH(LARGE(E30:E53,3),E30:E53,0))</f>
        <v/>
      </c>
      <c r="F16" s="57">
        <f>LARGE(E30:E53,3)</f>
        <v/>
      </c>
      <c r="G16" s="49">
        <f>IFERROR(F16/D16,0)</f>
        <v/>
      </c>
      <c r="H16" s="79" t="inlineStr">
        <is>
          <t>↑</t>
        </is>
      </c>
    </row>
    <row r="18" ht="28" customHeight="1">
      <c r="A18" s="80" t="inlineStr">
        <is>
          <t>ℹ  Movers ranked across categories × properties (24 rows). Ties broken arbitrarily by Excel — if two rows show identical deltas, MATCH returns the first.</t>
        </is>
      </c>
    </row>
    <row r="30" hidden="1">
      <c r="A30" s="81" t="inlineStr">
        <is>
          <t>Cleaning + maintenance</t>
        </is>
      </c>
      <c r="B30" s="81" t="inlineStr">
        <is>
          <t>Smokies Ridge Cabin</t>
        </is>
      </c>
      <c r="C30" s="47">
        <f>'Per Property'!N13</f>
        <v/>
      </c>
      <c r="D30" s="47">
        <f>'Per Property'!AA13</f>
        <v/>
      </c>
      <c r="E30" s="48">
        <f>D30-C30</f>
        <v/>
      </c>
    </row>
    <row r="31" hidden="1">
      <c r="A31" s="81" t="inlineStr">
        <is>
          <t>Insurance</t>
        </is>
      </c>
      <c r="B31" s="81" t="inlineStr">
        <is>
          <t>Smokies Ridge Cabin</t>
        </is>
      </c>
      <c r="C31" s="47">
        <f>'Per Property'!N14</f>
        <v/>
      </c>
      <c r="D31" s="47">
        <f>'Per Property'!AA14</f>
        <v/>
      </c>
      <c r="E31" s="48">
        <f>D31-C31</f>
        <v/>
      </c>
    </row>
    <row r="32" hidden="1">
      <c r="A32" s="81" t="inlineStr">
        <is>
          <t>Mortgage interest</t>
        </is>
      </c>
      <c r="B32" s="81" t="inlineStr">
        <is>
          <t>Smokies Ridge Cabin</t>
        </is>
      </c>
      <c r="C32" s="47">
        <f>'Per Property'!N15</f>
        <v/>
      </c>
      <c r="D32" s="47">
        <f>'Per Property'!AA15</f>
        <v/>
      </c>
      <c r="E32" s="48">
        <f>D32-C32</f>
        <v/>
      </c>
    </row>
    <row r="33" hidden="1">
      <c r="A33" s="81" t="inlineStr">
        <is>
          <t>Repairs</t>
        </is>
      </c>
      <c r="B33" s="81" t="inlineStr">
        <is>
          <t>Smokies Ridge Cabin</t>
        </is>
      </c>
      <c r="C33" s="47">
        <f>'Per Property'!N16</f>
        <v/>
      </c>
      <c r="D33" s="47">
        <f>'Per Property'!AA16</f>
        <v/>
      </c>
      <c r="E33" s="48">
        <f>D33-C33</f>
        <v/>
      </c>
    </row>
    <row r="34" hidden="1">
      <c r="A34" s="81" t="inlineStr">
        <is>
          <t>Utilities</t>
        </is>
      </c>
      <c r="B34" s="81" t="inlineStr">
        <is>
          <t>Smokies Ridge Cabin</t>
        </is>
      </c>
      <c r="C34" s="47">
        <f>'Per Property'!N17</f>
        <v/>
      </c>
      <c r="D34" s="47">
        <f>'Per Property'!AA17</f>
        <v/>
      </c>
      <c r="E34" s="48">
        <f>D34-C34</f>
        <v/>
      </c>
    </row>
    <row r="35" hidden="1">
      <c r="A35" s="81" t="inlineStr">
        <is>
          <t>Management fees</t>
        </is>
      </c>
      <c r="B35" s="81" t="inlineStr">
        <is>
          <t>Smokies Ridge Cabin</t>
        </is>
      </c>
      <c r="C35" s="47">
        <f>'Per Property'!N18</f>
        <v/>
      </c>
      <c r="D35" s="47">
        <f>'Per Property'!AA18</f>
        <v/>
      </c>
      <c r="E35" s="48">
        <f>D35-C35</f>
        <v/>
      </c>
    </row>
    <row r="36" hidden="1">
      <c r="A36" s="81" t="inlineStr">
        <is>
          <t>Supplies</t>
        </is>
      </c>
      <c r="B36" s="81" t="inlineStr">
        <is>
          <t>Smokies Ridge Cabin</t>
        </is>
      </c>
      <c r="C36" s="47">
        <f>'Per Property'!N19</f>
        <v/>
      </c>
      <c r="D36" s="47">
        <f>'Per Property'!AA19</f>
        <v/>
      </c>
      <c r="E36" s="48">
        <f>D36-C36</f>
        <v/>
      </c>
    </row>
    <row r="37" hidden="1">
      <c r="A37" s="81" t="inlineStr">
        <is>
          <t>Other</t>
        </is>
      </c>
      <c r="B37" s="81" t="inlineStr">
        <is>
          <t>Smokies Ridge Cabin</t>
        </is>
      </c>
      <c r="C37" s="47">
        <f>'Per Property'!N20</f>
        <v/>
      </c>
      <c r="D37" s="47">
        <f>'Per Property'!AA20</f>
        <v/>
      </c>
      <c r="E37" s="48">
        <f>D37-C37</f>
        <v/>
      </c>
    </row>
    <row r="38" hidden="1">
      <c r="A38" s="81" t="inlineStr">
        <is>
          <t>Cleaning + maintenance</t>
        </is>
      </c>
      <c r="B38" s="81" t="inlineStr">
        <is>
          <t>Lakehouse Retreat</t>
        </is>
      </c>
      <c r="C38" s="47">
        <f>'Per Property'!N32</f>
        <v/>
      </c>
      <c r="D38" s="47">
        <f>'Per Property'!AA32</f>
        <v/>
      </c>
      <c r="E38" s="48">
        <f>D38-C38</f>
        <v/>
      </c>
    </row>
    <row r="39" hidden="1">
      <c r="A39" s="81" t="inlineStr">
        <is>
          <t>Insurance</t>
        </is>
      </c>
      <c r="B39" s="81" t="inlineStr">
        <is>
          <t>Lakehouse Retreat</t>
        </is>
      </c>
      <c r="C39" s="47">
        <f>'Per Property'!N33</f>
        <v/>
      </c>
      <c r="D39" s="47">
        <f>'Per Property'!AA33</f>
        <v/>
      </c>
      <c r="E39" s="48">
        <f>D39-C39</f>
        <v/>
      </c>
    </row>
    <row r="40" hidden="1">
      <c r="A40" s="81" t="inlineStr">
        <is>
          <t>Mortgage interest</t>
        </is>
      </c>
      <c r="B40" s="81" t="inlineStr">
        <is>
          <t>Lakehouse Retreat</t>
        </is>
      </c>
      <c r="C40" s="47">
        <f>'Per Property'!N34</f>
        <v/>
      </c>
      <c r="D40" s="47">
        <f>'Per Property'!AA34</f>
        <v/>
      </c>
      <c r="E40" s="48">
        <f>D40-C40</f>
        <v/>
      </c>
    </row>
    <row r="41" hidden="1">
      <c r="A41" s="81" t="inlineStr">
        <is>
          <t>Repairs</t>
        </is>
      </c>
      <c r="B41" s="81" t="inlineStr">
        <is>
          <t>Lakehouse Retreat</t>
        </is>
      </c>
      <c r="C41" s="47">
        <f>'Per Property'!N35</f>
        <v/>
      </c>
      <c r="D41" s="47">
        <f>'Per Property'!AA35</f>
        <v/>
      </c>
      <c r="E41" s="48">
        <f>D41-C41</f>
        <v/>
      </c>
    </row>
    <row r="42" hidden="1">
      <c r="A42" s="81" t="inlineStr">
        <is>
          <t>Utilities</t>
        </is>
      </c>
      <c r="B42" s="81" t="inlineStr">
        <is>
          <t>Lakehouse Retreat</t>
        </is>
      </c>
      <c r="C42" s="47">
        <f>'Per Property'!N36</f>
        <v/>
      </c>
      <c r="D42" s="47">
        <f>'Per Property'!AA36</f>
        <v/>
      </c>
      <c r="E42" s="48">
        <f>D42-C42</f>
        <v/>
      </c>
    </row>
    <row r="43" hidden="1">
      <c r="A43" s="81" t="inlineStr">
        <is>
          <t>Management fees</t>
        </is>
      </c>
      <c r="B43" s="81" t="inlineStr">
        <is>
          <t>Lakehouse Retreat</t>
        </is>
      </c>
      <c r="C43" s="47">
        <f>'Per Property'!N37</f>
        <v/>
      </c>
      <c r="D43" s="47">
        <f>'Per Property'!AA37</f>
        <v/>
      </c>
      <c r="E43" s="48">
        <f>D43-C43</f>
        <v/>
      </c>
    </row>
    <row r="44" hidden="1">
      <c r="A44" s="81" t="inlineStr">
        <is>
          <t>Supplies</t>
        </is>
      </c>
      <c r="B44" s="81" t="inlineStr">
        <is>
          <t>Lakehouse Retreat</t>
        </is>
      </c>
      <c r="C44" s="47">
        <f>'Per Property'!N38</f>
        <v/>
      </c>
      <c r="D44" s="47">
        <f>'Per Property'!AA38</f>
        <v/>
      </c>
      <c r="E44" s="48">
        <f>D44-C44</f>
        <v/>
      </c>
    </row>
    <row r="45" hidden="1">
      <c r="A45" s="81" t="inlineStr">
        <is>
          <t>Other</t>
        </is>
      </c>
      <c r="B45" s="81" t="inlineStr">
        <is>
          <t>Lakehouse Retreat</t>
        </is>
      </c>
      <c r="C45" s="47">
        <f>'Per Property'!N39</f>
        <v/>
      </c>
      <c r="D45" s="47">
        <f>'Per Property'!AA39</f>
        <v/>
      </c>
      <c r="E45" s="48">
        <f>D45-C45</f>
        <v/>
      </c>
    </row>
    <row r="46" hidden="1">
      <c r="A46" s="81" t="inlineStr">
        <is>
          <t>Cleaning + maintenance</t>
        </is>
      </c>
      <c r="B46" s="81" t="inlineStr">
        <is>
          <t>Coastal Cottage</t>
        </is>
      </c>
      <c r="C46" s="47">
        <f>'Per Property'!N51</f>
        <v/>
      </c>
      <c r="D46" s="47">
        <f>'Per Property'!AA51</f>
        <v/>
      </c>
      <c r="E46" s="48">
        <f>D46-C46</f>
        <v/>
      </c>
    </row>
    <row r="47" hidden="1">
      <c r="A47" s="81" t="inlineStr">
        <is>
          <t>Insurance</t>
        </is>
      </c>
      <c r="B47" s="81" t="inlineStr">
        <is>
          <t>Coastal Cottage</t>
        </is>
      </c>
      <c r="C47" s="47">
        <f>'Per Property'!N52</f>
        <v/>
      </c>
      <c r="D47" s="47">
        <f>'Per Property'!AA52</f>
        <v/>
      </c>
      <c r="E47" s="48">
        <f>D47-C47</f>
        <v/>
      </c>
    </row>
    <row r="48" hidden="1">
      <c r="A48" s="81" t="inlineStr">
        <is>
          <t>Mortgage interest</t>
        </is>
      </c>
      <c r="B48" s="81" t="inlineStr">
        <is>
          <t>Coastal Cottage</t>
        </is>
      </c>
      <c r="C48" s="47">
        <f>'Per Property'!N53</f>
        <v/>
      </c>
      <c r="D48" s="47">
        <f>'Per Property'!AA53</f>
        <v/>
      </c>
      <c r="E48" s="48">
        <f>D48-C48</f>
        <v/>
      </c>
    </row>
    <row r="49" hidden="1">
      <c r="A49" s="81" t="inlineStr">
        <is>
          <t>Repairs</t>
        </is>
      </c>
      <c r="B49" s="81" t="inlineStr">
        <is>
          <t>Coastal Cottage</t>
        </is>
      </c>
      <c r="C49" s="47">
        <f>'Per Property'!N54</f>
        <v/>
      </c>
      <c r="D49" s="47">
        <f>'Per Property'!AA54</f>
        <v/>
      </c>
      <c r="E49" s="48">
        <f>D49-C49</f>
        <v/>
      </c>
    </row>
    <row r="50" hidden="1">
      <c r="A50" s="81" t="inlineStr">
        <is>
          <t>Utilities</t>
        </is>
      </c>
      <c r="B50" s="81" t="inlineStr">
        <is>
          <t>Coastal Cottage</t>
        </is>
      </c>
      <c r="C50" s="47">
        <f>'Per Property'!N55</f>
        <v/>
      </c>
      <c r="D50" s="47">
        <f>'Per Property'!AA55</f>
        <v/>
      </c>
      <c r="E50" s="48">
        <f>D50-C50</f>
        <v/>
      </c>
    </row>
    <row r="51" hidden="1">
      <c r="A51" s="81" t="inlineStr">
        <is>
          <t>Management fees</t>
        </is>
      </c>
      <c r="B51" s="81" t="inlineStr">
        <is>
          <t>Coastal Cottage</t>
        </is>
      </c>
      <c r="C51" s="47">
        <f>'Per Property'!N56</f>
        <v/>
      </c>
      <c r="D51" s="47">
        <f>'Per Property'!AA56</f>
        <v/>
      </c>
      <c r="E51" s="48">
        <f>D51-C51</f>
        <v/>
      </c>
    </row>
    <row r="52" hidden="1">
      <c r="A52" s="81" t="inlineStr">
        <is>
          <t>Supplies</t>
        </is>
      </c>
      <c r="B52" s="81" t="inlineStr">
        <is>
          <t>Coastal Cottage</t>
        </is>
      </c>
      <c r="C52" s="47">
        <f>'Per Property'!N57</f>
        <v/>
      </c>
      <c r="D52" s="47">
        <f>'Per Property'!AA57</f>
        <v/>
      </c>
      <c r="E52" s="48">
        <f>D52-C52</f>
        <v/>
      </c>
    </row>
    <row r="53" hidden="1">
      <c r="A53" s="81" t="inlineStr">
        <is>
          <t>Other</t>
        </is>
      </c>
      <c r="B53" s="81" t="inlineStr">
        <is>
          <t>Coastal Cottage</t>
        </is>
      </c>
      <c r="C53" s="47">
        <f>'Per Property'!N58</f>
        <v/>
      </c>
      <c r="D53" s="47">
        <f>'Per Property'!AA58</f>
        <v/>
      </c>
      <c r="E53" s="48">
        <f>D53-C53</f>
        <v/>
      </c>
    </row>
  </sheetData>
  <mergeCells count="5">
    <mergeCell ref="A18:H18"/>
    <mergeCell ref="J2:L2"/>
    <mergeCell ref="D2:I2"/>
    <mergeCell ref="A2:C2"/>
    <mergeCell ref="A4:L4"/>
  </mergeCell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6">
        <f>HYPERLINK("#'Top Movers'!A1", "← BACK")</f>
        <v/>
      </c>
      <c r="B2" s="27" t="n"/>
      <c r="C2" s="27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Current year drives every CY label · Prior year drives every PY label · property list shown for reference</t>
        </is>
      </c>
    </row>
    <row r="5" ht="18" customHeight="1">
      <c r="A5" s="82" t="inlineStr">
        <is>
          <t>Current year:</t>
        </is>
      </c>
      <c r="B5" s="83" t="n">
        <v>2026</v>
      </c>
    </row>
    <row r="6" ht="28" customHeight="1">
      <c r="A6" s="80" t="inlineStr">
        <is>
          <t>Bump this each January. Drives every CY column header, the Start verdict cell, and every $Δ + %Δ on the Per Property tab.</t>
        </is>
      </c>
    </row>
    <row r="7" ht="18" customHeight="1">
      <c r="A7" s="82" t="inlineStr">
        <is>
          <t>Prior year:</t>
        </is>
      </c>
      <c r="B7" s="83" t="n">
        <v>2025</v>
      </c>
    </row>
    <row r="8" ht="28" customHeight="1">
      <c r="A8" s="80" t="inlineStr">
        <is>
          <t>Usually current_year - 1. Drives every PY column header on Per Property and the PY series in the portfolio charts.</t>
        </is>
      </c>
    </row>
    <row r="9" ht="16" customHeight="1">
      <c r="A9" s="82" t="inlineStr">
        <is>
          <t>Property 1:</t>
        </is>
      </c>
      <c r="B9" s="84" t="inlineStr">
        <is>
          <t>Smokies Ridge Cabin</t>
        </is>
      </c>
    </row>
    <row r="10" ht="16" customHeight="1">
      <c r="A10" s="82" t="inlineStr">
        <is>
          <t>Property 2:</t>
        </is>
      </c>
      <c r="B10" s="84" t="inlineStr">
        <is>
          <t>Lakehouse Retreat</t>
        </is>
      </c>
    </row>
    <row r="11" ht="16" customHeight="1">
      <c r="A11" s="82" t="inlineStr">
        <is>
          <t>Property 3:</t>
        </is>
      </c>
      <c r="B11" s="84" t="inlineStr">
        <is>
          <t>Coastal Cottage</t>
        </is>
      </c>
    </row>
    <row r="12" ht="16" customHeight="1">
      <c r="A12" s="82" t="inlineStr">
        <is>
          <t>Property 4:</t>
        </is>
      </c>
      <c r="B12" s="84" t="n"/>
    </row>
    <row r="13" ht="16" customHeight="1">
      <c r="A13" s="82" t="inlineStr">
        <is>
          <t>Property 5:</t>
        </is>
      </c>
      <c r="B13" s="84" t="n"/>
    </row>
    <row r="14" ht="16" customHeight="1">
      <c r="A14" s="82" t="inlineStr">
        <is>
          <t>Property 6:</t>
        </is>
      </c>
      <c r="B14" s="84" t="n"/>
    </row>
    <row r="15" ht="16" customHeight="1">
      <c r="A15" s="82" t="inlineStr">
        <is>
          <t>Property 7:</t>
        </is>
      </c>
      <c r="B15" s="84" t="n"/>
    </row>
    <row r="16" ht="16" customHeight="1">
      <c r="A16" s="82" t="inlineStr">
        <is>
          <t>Property 8:</t>
        </is>
      </c>
      <c r="B16" s="84" t="n"/>
    </row>
    <row r="17" ht="16" customHeight="1">
      <c r="A17" s="82" t="inlineStr">
        <is>
          <t>Property 9:</t>
        </is>
      </c>
      <c r="B17" s="84" t="n"/>
    </row>
    <row r="18" ht="16" customHeight="1">
      <c r="A18" s="82" t="inlineStr">
        <is>
          <t>Property 10:</t>
        </is>
      </c>
      <c r="B18" s="84" t="n"/>
    </row>
    <row r="19" ht="28" customHeight="1">
      <c r="A19" s="80" t="inlineStr">
        <is>
          <t>Up to 10 property names — the Per Property tab uses the first 3. Edit Per Property section banners directly to swap properties.</t>
        </is>
      </c>
    </row>
  </sheetData>
  <mergeCells count="6">
    <mergeCell ref="D2:L2"/>
    <mergeCell ref="A19:C19"/>
    <mergeCell ref="A8:C8"/>
    <mergeCell ref="A6:C6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Year-Over-Year Comparison Workbook (BLANK) — The STR Ledger</dc:title>
  <dc:description xmlns:dc="http://purl.org/dc/elements/1.1/">Side-by-side prior-year vs current-year P&amp;L for up to 3 STR properties. Surfaces revenue YoY %, NOI YoY %, top-3 favorable + unfavorable category movers.</dc:description>
  <dcterms:created xmlns:dcterms="http://purl.org/dc/terms/" xmlns:xsi="http://www.w3.org/2001/XMLSchema-instance" xsi:type="dcterms:W3CDTF">2026-05-03T12:26:39Z</dcterms:created>
  <dcterms:modified xmlns:dcterms="http://purl.org/dc/terms/" xmlns:xsi="http://www.w3.org/2001/XMLSchema-instance" xsi:type="dcterms:W3CDTF">2026-05-03T12:26:39Z</dcterms:modified>
</cp:coreProperties>
</file>