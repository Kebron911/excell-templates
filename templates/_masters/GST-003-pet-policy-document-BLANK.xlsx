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et Eligibility" sheetId="2" state="visible" r:id="rId2"/>
    <sheet xmlns:r="http://schemas.openxmlformats.org/officeDocument/2006/relationships" name="Fees + Deposits" sheetId="3" state="visible" r:id="rId3"/>
    <sheet xmlns:r="http://schemas.openxmlformats.org/officeDocument/2006/relationships" name="Property Rules" sheetId="4" state="visible" r:id="rId4"/>
    <sheet xmlns:r="http://schemas.openxmlformats.org/officeDocument/2006/relationships" name="Service Animals" sheetId="5" state="visible" r:id="rId5"/>
    <sheet xmlns:r="http://schemas.openxmlformats.org/officeDocument/2006/relationships" name="Launch" sheetId="6" state="visible" r:id="rId6"/>
    <sheet xmlns:r="http://schemas.openxmlformats.org/officeDocument/2006/relationships" name="Policy Output" sheetId="7" state="visible" r:id="rId7"/>
  </sheets>
  <definedNames>
    <definedName name="_xlnm.Print_Area" localSheetId="0">'Start'!$A$1:$L$47</definedName>
    <definedName name="_xlnm.Print_Area" localSheetId="5">'Launch'!$A$1:$L$26</definedName>
    <definedName name="_xlnm.Print_Area" localSheetId="6">'Policy Output'!$A$1:$L$29</definedName>
  </definedNames>
  <calcPr calcId="124519" fullCalcOnLoad="1"/>
</workbook>
</file>

<file path=xl/styles.xml><?xml version="1.0" encoding="utf-8"?>
<styleSheet xmlns="http://schemas.openxmlformats.org/spreadsheetml/2006/main">
  <numFmts count="0"/>
  <fonts count="32">
    <font>
      <name val="Calibri"/>
      <family val="2"/>
      <color theme="1"/>
      <sz val="11"/>
      <scheme val="minor"/>
    </font>
    <font>
      <name val="Georgia"/>
      <color rgb="00F6EFE2"/>
      <sz val="14"/>
    </font>
    <font>
      <name val="Georgia"/>
      <b val="1"/>
      <color rgb="00F6EFE2"/>
      <sz val="36"/>
    </font>
    <font>
      <name val="Georgia"/>
      <i val="1"/>
      <color rgb="00C9A24B"/>
      <sz val="14"/>
    </font>
    <font>
      <name val="Consolas"/>
      <color rgb="00C9A24B"/>
      <sz val="9"/>
    </font>
    <font>
      <name val="Georgia"/>
      <b val="1"/>
      <color rgb="0012304E"/>
      <sz val="16"/>
    </font>
    <font>
      <name val="Georgia"/>
      <b val="1"/>
      <color rgb="0012304E"/>
      <sz val="14"/>
    </font>
    <font>
      <name val="Calibri"/>
      <color rgb="002B2B2B"/>
      <sz val="11"/>
    </font>
    <font>
      <name val="Georgia"/>
      <b val="1"/>
      <color rgb="00F6EFE2"/>
      <sz val="13"/>
    </font>
    <font>
      <name val="Georgia"/>
      <b val="1"/>
      <color rgb="0012304E"/>
      <sz val="12"/>
    </font>
    <font>
      <name val="Georgia"/>
      <b val="1"/>
      <color rgb="00C9A24B"/>
      <sz val="14"/>
    </font>
    <font>
      <name val="Calibri"/>
      <b val="1"/>
      <color rgb="00C9A24B"/>
      <sz val="11"/>
    </font>
    <font>
      <name val="Calibri"/>
      <color rgb="006B7280"/>
      <sz val="10"/>
    </font>
    <font>
      <name val="Calibri"/>
      <i val="1"/>
      <color rgb="00C9A24B"/>
      <sz val="10"/>
    </font>
    <font>
      <name val="Consolas"/>
      <b val="1"/>
      <color rgb="00C9A24B"/>
      <sz val="9"/>
    </font>
    <font>
      <name val="Georgia"/>
      <b val="1"/>
      <color rgb="0012304E"/>
      <sz val="13"/>
    </font>
    <font>
      <name val="Georgia"/>
      <b val="1"/>
      <color rgb="00F6EFE2"/>
      <sz val="28"/>
    </font>
    <font>
      <name val="Georgia"/>
      <i val="1"/>
      <color rgb="00C9A24B"/>
      <sz val="12"/>
    </font>
    <font>
      <name val="Calibri"/>
      <i val="1"/>
      <color rgb="002B2B2B"/>
      <sz val="10"/>
    </font>
    <font>
      <name val="Consolas"/>
      <b val="1"/>
      <color rgb="0012304E"/>
      <sz val="10"/>
    </font>
    <font>
      <name val="Calibri"/>
      <b val="1"/>
      <color rgb="002B2B2B"/>
      <sz val="11"/>
    </font>
    <font>
      <name val="Consolas"/>
      <b val="1"/>
      <color rgb="00C9A24B"/>
      <sz val="10"/>
    </font>
    <font>
      <name val="Georgia"/>
      <b val="1"/>
      <color rgb="00F6EFE2"/>
      <sz val="32"/>
    </font>
    <font>
      <name val="Consolas"/>
      <b val="1"/>
      <color rgb="0012304E"/>
      <sz val="9"/>
    </font>
    <font>
      <name val="Georgia"/>
      <b val="1"/>
      <color rgb="0012304E"/>
      <sz val="32"/>
    </font>
    <font>
      <name val="Calibri"/>
      <color rgb="006B7280"/>
      <sz val="9"/>
    </font>
    <font>
      <name val="Consolas"/>
      <b val="1"/>
      <color rgb="00B91C1C"/>
      <sz val="9"/>
    </font>
    <font>
      <name val="Georgia"/>
      <b val="1"/>
      <color rgb="00B91C1C"/>
      <sz val="32"/>
    </font>
    <font>
      <name val="Georgia"/>
      <b val="1"/>
      <color rgb="0012304E"/>
      <sz val="22"/>
    </font>
    <font>
      <name val="Calibri"/>
      <i val="1"/>
      <color rgb="006B7280"/>
      <sz val="10"/>
    </font>
    <font>
      <name val="Georgia"/>
      <b val="1"/>
      <color rgb="0012304E"/>
      <sz val="28"/>
    </font>
    <font>
      <name val="Calibri"/>
      <i val="1"/>
      <color rgb="006B7280"/>
      <sz val="9"/>
    </font>
  </fonts>
  <fills count="8">
    <fill>
      <patternFill/>
    </fill>
    <fill>
      <patternFill patternType="gray125"/>
    </fill>
    <fill>
      <patternFill patternType="solid">
        <fgColor rgb="0012304E"/>
      </patternFill>
    </fill>
    <fill>
      <patternFill patternType="solid">
        <fgColor rgb="00F6EFE2"/>
      </patternFill>
    </fill>
    <fill>
      <patternFill patternType="solid">
        <fgColor rgb="00EFE5D0"/>
      </patternFill>
    </fill>
    <fill>
      <patternFill patternType="solid">
        <fgColor rgb="00C9A24B"/>
      </patternFill>
    </fill>
    <fill>
      <patternFill patternType="solid">
        <fgColor rgb="00E2C884"/>
      </patternFill>
    </fill>
    <fill>
      <patternFill patternType="solid">
        <fgColor rgb="00FFF7D6"/>
      </patternFill>
    </fill>
  </fills>
  <borders count="23">
    <border>
      <left/>
      <right/>
      <top/>
      <bottom/>
      <diagonal/>
    </border>
    <border>
      <top style="medium">
        <color rgb="00C9A24B"/>
      </top>
    </border>
    <border>
      <left style="medium">
        <color rgb="00C9A24B"/>
      </left>
      <right style="medium">
        <color rgb="00C9A24B"/>
      </right>
      <top style="medium">
        <color rgb="00C9A24B"/>
      </top>
      <bottom style="medium">
        <color rgb="00C9A24B"/>
      </bottom>
    </border>
    <border>
      <top style="thin">
        <color rgb="00C9A24B"/>
      </top>
    </border>
    <border>
      <left style="medium">
        <color rgb="0012304E"/>
      </left>
      <right style="medium">
        <color rgb="0012304E"/>
      </right>
      <top style="medium">
        <color rgb="0012304E"/>
      </top>
      <bottom style="medium">
        <color rgb="0012304E"/>
      </bottom>
    </border>
    <border>
      <left/>
      <right/>
      <top style="thin">
        <color rgb="00C9A24B"/>
      </top>
      <bottom/>
    </border>
    <border>
      <left/>
      <right/>
      <top style="thin">
        <color rgb="00C9A24B"/>
      </top>
      <bottom/>
      <diagonal/>
    </border>
    <border>
      <left style="thin">
        <color rgb="00C9A24B"/>
      </left>
      <right/>
      <top style="thin">
        <color rgb="00C9A24B"/>
      </top>
    </border>
    <border>
      <left/>
      <right/>
      <top style="thin">
        <color rgb="00C9A24B"/>
      </top>
    </border>
    <border>
      <left/>
      <right style="thin">
        <color rgb="00C9A24B"/>
      </right>
      <top style="thin">
        <color rgb="00C9A24B"/>
      </top>
    </border>
    <border>
      <left style="thin">
        <color rgb="00C9A24B"/>
      </left>
      <right/>
      <top style="thin">
        <color rgb="00C9A24B"/>
      </top>
      <bottom style="thin">
        <color rgb="00C9A24B"/>
      </bottom>
    </border>
    <border>
      <left/>
      <right/>
      <top style="thin">
        <color rgb="00C9A24B"/>
      </top>
      <bottom style="thin">
        <color rgb="00C9A24B"/>
      </bottom>
    </border>
    <border>
      <left/>
      <right style="thin">
        <color rgb="00C9A24B"/>
      </right>
      <top style="thin">
        <color rgb="00C9A24B"/>
      </top>
      <bottom style="thin">
        <color rgb="00C9A24B"/>
      </bottom>
    </border>
    <border>
      <left style="thin">
        <color rgb="00C9A24B"/>
      </left>
      <right/>
      <top/>
      <bottom/>
    </border>
    <border>
      <left/>
      <right style="thin">
        <color rgb="00C9A24B"/>
      </right>
      <top/>
      <bottom/>
    </border>
    <border>
      <left style="thin">
        <color rgb="00C9A24B"/>
      </left>
      <right style="thin">
        <color rgb="00C9A24B"/>
      </right>
      <top style="thin">
        <color rgb="00C9A24B"/>
      </top>
      <bottom style="thin">
        <color rgb="00C9A24B"/>
      </bottom>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top style="thin">
        <color rgb="00C9A24B"/>
      </top>
      <bottom/>
    </border>
    <border>
      <left/>
      <right style="thin">
        <color rgb="00C9A24B"/>
      </right>
      <top style="thin">
        <color rgb="00C9A24B"/>
      </top>
      <bottom/>
    </border>
    <border>
      <left/>
      <right/>
      <top/>
      <bottom/>
    </border>
    <border>
      <left style="thin">
        <color rgb="00C9A24B"/>
      </left>
      <right style="thin">
        <color rgb="00C9A24B"/>
      </right>
      <bottom style="thin">
        <color rgb="00C9A24B"/>
      </bottom>
    </border>
  </borders>
  <cellStyleXfs count="1">
    <xf numFmtId="0" fontId="0" fillId="0" borderId="0"/>
  </cellStyleXfs>
  <cellXfs count="70">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0" fillId="3" borderId="0" pivotButton="0" quotePrefix="0" xfId="0"/>
    <xf numFmtId="0" fontId="5" fillId="3" borderId="0" applyAlignment="1" pivotButton="0" quotePrefix="0" xfId="0">
      <alignment horizontal="center" vertical="center"/>
    </xf>
    <xf numFmtId="0" fontId="6" fillId="3" borderId="1" applyAlignment="1" pivotButton="0" quotePrefix="0" xfId="0">
      <alignment horizontal="center" vertical="center"/>
    </xf>
    <xf numFmtId="0" fontId="7" fillId="3" borderId="0" applyAlignment="1" pivotButton="0" quotePrefix="0" xfId="0">
      <alignment horizontal="center" vertical="center" wrapText="1"/>
    </xf>
    <xf numFmtId="0" fontId="0" fillId="4" borderId="0" pivotButton="0" quotePrefix="0" xfId="0"/>
    <xf numFmtId="0" fontId="6" fillId="4" borderId="0" applyAlignment="1" pivotButton="0" quotePrefix="0" xfId="0">
      <alignment horizontal="center" vertical="center"/>
    </xf>
    <xf numFmtId="0" fontId="7" fillId="4" borderId="0" applyAlignment="1" pivotButton="0" quotePrefix="0" xfId="0">
      <alignment horizontal="left" vertical="center" indent="1"/>
    </xf>
    <xf numFmtId="0" fontId="8" fillId="2"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indent="1"/>
    </xf>
    <xf numFmtId="0" fontId="10" fillId="0" borderId="0" applyAlignment="1" pivotButton="0" quotePrefix="0" xfId="0">
      <alignment horizontal="right" vertical="center" indent="1"/>
    </xf>
    <xf numFmtId="0" fontId="7" fillId="0" borderId="0" applyAlignment="1" pivotButton="0" quotePrefix="0" xfId="0">
      <alignment horizontal="left" vertical="center" indent="2"/>
    </xf>
    <xf numFmtId="0" fontId="7" fillId="0" borderId="0" applyAlignment="1" pivotButton="0" quotePrefix="0" xfId="0">
      <alignment horizontal="left" vertical="center"/>
    </xf>
    <xf numFmtId="0" fontId="11" fillId="0" borderId="0" applyAlignment="1" pivotButton="0" quotePrefix="0" xfId="0">
      <alignment horizontal="right" vertical="center" indent="1"/>
    </xf>
    <xf numFmtId="0" fontId="0" fillId="0" borderId="3" pivotButton="0" quotePrefix="0" xfId="0"/>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14" fillId="2" borderId="0" applyAlignment="1" pivotButton="0" quotePrefix="0" xfId="0">
      <alignment horizontal="center" vertical="center"/>
    </xf>
    <xf numFmtId="0" fontId="15" fillId="5" borderId="4" applyAlignment="1" pivotButton="0" quotePrefix="0" xfId="0">
      <alignment horizontal="center" vertical="center" wrapText="1"/>
    </xf>
    <xf numFmtId="0" fontId="0" fillId="0" borderId="4" pivotButton="0" quotePrefix="0" xfId="0"/>
    <xf numFmtId="0" fontId="16" fillId="2" borderId="0" applyAlignment="1" pivotButton="0" quotePrefix="0" xfId="0">
      <alignment horizontal="center" vertical="center"/>
    </xf>
    <xf numFmtId="0" fontId="17" fillId="2" borderId="0" applyAlignment="1" pivotButton="0" quotePrefix="0" xfId="0">
      <alignment horizontal="center" vertical="center"/>
    </xf>
    <xf numFmtId="0" fontId="18" fillId="3" borderId="0" applyAlignment="1" pivotButton="0" quotePrefix="0" xfId="0">
      <alignment horizontal="center" vertical="center"/>
    </xf>
    <xf numFmtId="0" fontId="19" fillId="6" borderId="0" applyAlignment="1" pivotButton="0" quotePrefix="0" xfId="0">
      <alignment horizontal="left" vertical="center" indent="1"/>
    </xf>
    <xf numFmtId="0" fontId="20" fillId="3" borderId="7" applyAlignment="1" pivotButton="0" quotePrefix="0" xfId="0">
      <alignment horizontal="right" vertical="center" wrapText="1" indent="1"/>
    </xf>
    <xf numFmtId="0" fontId="7" fillId="7" borderId="8" applyAlignment="1" pivotButton="0" quotePrefix="0" xfId="0">
      <alignment horizontal="left" vertical="center"/>
    </xf>
    <xf numFmtId="0" fontId="0" fillId="3" borderId="8" pivotButton="0" quotePrefix="0" xfId="0"/>
    <xf numFmtId="0" fontId="0" fillId="3" borderId="9" pivotButton="0" quotePrefix="0" xfId="0"/>
    <xf numFmtId="0" fontId="20" fillId="3" borderId="13" applyAlignment="1" pivotButton="0" quotePrefix="0" xfId="0">
      <alignment horizontal="right" vertical="center" wrapText="1" indent="1"/>
    </xf>
    <xf numFmtId="0" fontId="7" fillId="7" borderId="0" applyAlignment="1" pivotButton="0" quotePrefix="0" xfId="0">
      <alignment horizontal="left" vertical="center"/>
    </xf>
    <xf numFmtId="0" fontId="0" fillId="3" borderId="14" pivotButton="0" quotePrefix="0" xfId="0"/>
    <xf numFmtId="0" fontId="20" fillId="3" borderId="10" applyAlignment="1" pivotButton="0" quotePrefix="0" xfId="0">
      <alignment horizontal="right" vertical="center" wrapText="1" indent="1"/>
    </xf>
    <xf numFmtId="0" fontId="7" fillId="7" borderId="11" applyAlignment="1" pivotButton="0" quotePrefix="0" xfId="0">
      <alignment horizontal="left" vertical="center"/>
    </xf>
    <xf numFmtId="0" fontId="0" fillId="3" borderId="11" pivotButton="0" quotePrefix="0" xfId="0"/>
    <xf numFmtId="0" fontId="0" fillId="3" borderId="12" pivotButton="0" quotePrefix="0" xfId="0"/>
    <xf numFmtId="0" fontId="0" fillId="3" borderId="3" pivotButton="0" quotePrefix="0" xfId="0"/>
    <xf numFmtId="0" fontId="15" fillId="3" borderId="15" applyAlignment="1" pivotButton="0" quotePrefix="0" xfId="0">
      <alignment horizontal="center" vertical="center" wrapText="1"/>
    </xf>
    <xf numFmtId="0" fontId="0" fillId="0" borderId="15" pivotButton="0" quotePrefix="0" xfId="0"/>
    <xf numFmtId="0" fontId="20" fillId="3" borderId="16" applyAlignment="1" pivotButton="0" quotePrefix="0" xfId="0">
      <alignment horizontal="right" vertical="center" wrapText="1" indent="1"/>
    </xf>
    <xf numFmtId="0" fontId="7" fillId="7" borderId="17" applyAlignment="1" pivotButton="0" quotePrefix="0" xfId="0">
      <alignment horizontal="left" vertical="center"/>
    </xf>
    <xf numFmtId="0" fontId="0" fillId="3" borderId="17" pivotButton="0" quotePrefix="0" xfId="0"/>
    <xf numFmtId="0" fontId="0" fillId="3" borderId="18" pivotButton="0" quotePrefix="0" xfId="0"/>
    <xf numFmtId="0" fontId="18" fillId="3" borderId="16" applyAlignment="1" pivotButton="0" quotePrefix="0" xfId="0">
      <alignment horizontal="left" vertical="center" wrapText="1" indent="2"/>
    </xf>
    <xf numFmtId="0" fontId="18" fillId="3" borderId="13" applyAlignment="1" pivotButton="0" quotePrefix="0" xfId="0">
      <alignment horizontal="left" vertical="center" wrapText="1" indent="2"/>
    </xf>
    <xf numFmtId="0" fontId="21" fillId="2" borderId="0" applyAlignment="1" pivotButton="0" quotePrefix="0" xfId="0">
      <alignment horizontal="right" vertical="center" indent="2"/>
    </xf>
    <xf numFmtId="0" fontId="22" fillId="2" borderId="0" applyAlignment="1" pivotButton="0" quotePrefix="0" xfId="0">
      <alignment horizontal="center" vertical="center"/>
    </xf>
    <xf numFmtId="0" fontId="23" fillId="3" borderId="19" applyAlignment="1" pivotButton="0" quotePrefix="0" xfId="0">
      <alignment horizontal="center"/>
    </xf>
    <xf numFmtId="0" fontId="0" fillId="0" borderId="5" pivotButton="0" quotePrefix="0" xfId="0"/>
    <xf numFmtId="0" fontId="0" fillId="0" borderId="20" pivotButton="0" quotePrefix="0" xfId="0"/>
    <xf numFmtId="0" fontId="26" fillId="3" borderId="19" applyAlignment="1" pivotButton="0" quotePrefix="0" xfId="0">
      <alignment horizontal="center"/>
    </xf>
    <xf numFmtId="0" fontId="24" fillId="3" borderId="13" applyAlignment="1" pivotButton="0" quotePrefix="0" xfId="0">
      <alignment horizontal="center" vertical="center"/>
    </xf>
    <xf numFmtId="0" fontId="0" fillId="0" borderId="21" pivotButton="0" quotePrefix="0" xfId="0"/>
    <xf numFmtId="0" fontId="0" fillId="0" borderId="14" pivotButton="0" quotePrefix="0" xfId="0"/>
    <xf numFmtId="0" fontId="27" fillId="3" borderId="13" applyAlignment="1" pivotButton="0" quotePrefix="0" xfId="0">
      <alignment horizontal="center" vertical="center"/>
    </xf>
    <xf numFmtId="0" fontId="28" fillId="3" borderId="13" applyAlignment="1" pivotButton="0" quotePrefix="0" xfId="0">
      <alignment horizontal="center" vertical="center"/>
    </xf>
    <xf numFmtId="0" fontId="0" fillId="0" borderId="13" pivotButton="0" quotePrefix="0" xfId="0"/>
    <xf numFmtId="0" fontId="25" fillId="3" borderId="16" applyAlignment="1" pivotButton="0" quotePrefix="0" xfId="0">
      <alignment horizontal="center"/>
    </xf>
    <xf numFmtId="0" fontId="0" fillId="0" borderId="17" pivotButton="0" quotePrefix="0" xfId="0"/>
    <xf numFmtId="0" fontId="0" fillId="0" borderId="18" pivotButton="0" quotePrefix="0" xfId="0"/>
    <xf numFmtId="0" fontId="29" fillId="0" borderId="0" applyAlignment="1" pivotButton="0" quotePrefix="0" xfId="0">
      <alignment horizontal="center" vertical="center"/>
    </xf>
    <xf numFmtId="0" fontId="30" fillId="3" borderId="0" applyAlignment="1" pivotButton="0" quotePrefix="0" xfId="0">
      <alignment horizontal="center" vertical="center"/>
    </xf>
    <xf numFmtId="0" fontId="29" fillId="3" borderId="0" applyAlignment="1" pivotButton="0" quotePrefix="0" xfId="0">
      <alignment horizontal="center" vertical="center"/>
    </xf>
    <xf numFmtId="0" fontId="7" fillId="3" borderId="22" applyAlignment="1" pivotButton="0" quotePrefix="0" xfId="0">
      <alignment horizontal="left" vertical="top" wrapText="1" indent="2"/>
    </xf>
    <xf numFmtId="0" fontId="3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47"/>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8" customHeight="1">
      <c r="A4" s="3" t="inlineStr">
        <is>
          <t>Pet Policy Builder</t>
        </is>
      </c>
    </row>
    <row r="5" ht="22" customHeight="1">
      <c r="A5" s="4" t="inlineStr">
        <is>
          <t>A pet policy that protects your property in 5 minutes.</t>
        </is>
      </c>
    </row>
    <row r="6" ht="22" customHeight="1">
      <c r="A6" s="1" t="n"/>
      <c r="B6" s="1" t="n"/>
      <c r="C6" s="1" t="n"/>
      <c r="D6" s="1" t="n"/>
      <c r="E6" s="1" t="n"/>
      <c r="F6" s="1" t="n"/>
      <c r="G6" s="1" t="n"/>
      <c r="H6" s="1" t="n"/>
      <c r="I6" s="1" t="n"/>
      <c r="J6" s="1" t="n"/>
      <c r="K6" s="1" t="n"/>
      <c r="L6" s="1" t="n"/>
    </row>
    <row r="7" ht="22" customHeight="1">
      <c r="A7" s="5" t="inlineStr">
        <is>
          <t>GST-003 · v1.0</t>
        </is>
      </c>
    </row>
    <row r="8" ht="22" customHeight="1">
      <c r="A8" s="1" t="n"/>
      <c r="B8" s="1" t="n"/>
      <c r="C8" s="1" t="n"/>
      <c r="D8" s="1" t="n"/>
      <c r="E8" s="1" t="n"/>
      <c r="F8" s="1" t="n"/>
      <c r="G8" s="1" t="n"/>
      <c r="H8" s="1" t="n"/>
      <c r="I8" s="1" t="n"/>
      <c r="J8" s="1" t="n"/>
      <c r="K8" s="1" t="n"/>
      <c r="L8" s="1" t="n"/>
    </row>
    <row r="10">
      <c r="A10" s="6" t="n"/>
      <c r="B10" s="6" t="n"/>
      <c r="C10" s="6" t="n"/>
      <c r="D10" s="6" t="n"/>
      <c r="E10" s="6" t="n"/>
      <c r="F10" s="6" t="n"/>
      <c r="G10" s="6" t="n"/>
      <c r="H10" s="6" t="n"/>
      <c r="I10" s="6" t="n"/>
      <c r="J10" s="6" t="n"/>
      <c r="K10" s="6" t="n"/>
      <c r="L10" s="6" t="n"/>
    </row>
    <row r="11" ht="28" customHeight="1">
      <c r="A11" s="7" t="inlineStr">
        <is>
          <t>What you'll build in the next 5 minutes</t>
        </is>
      </c>
    </row>
    <row r="12">
      <c r="A12" s="6" t="n"/>
      <c r="B12" s="6" t="n"/>
      <c r="C12" s="6" t="n"/>
      <c r="D12" s="6" t="n"/>
      <c r="E12" s="6" t="n"/>
      <c r="F12" s="6" t="n"/>
      <c r="G12" s="6" t="n"/>
      <c r="H12" s="6" t="n"/>
      <c r="I12" s="6" t="n"/>
      <c r="J12" s="6" t="n"/>
      <c r="K12" s="6" t="n"/>
      <c r="L12" s="6" t="n"/>
    </row>
    <row r="13" ht="22" customHeight="1">
      <c r="A13" s="8" t="inlineStr">
        <is>
          <t>📄 PRINT</t>
        </is>
      </c>
      <c r="E13" s="8" t="inlineStr">
        <is>
          <t>✨ LISTING COPY</t>
        </is>
      </c>
      <c r="I13" s="8" t="inlineStr">
        <is>
          <t>⚖ LIABILITY SHIELD</t>
        </is>
      </c>
    </row>
    <row r="14" ht="22" customHeight="1">
      <c r="A14" s="9" t="inlineStr">
        <is>
          <t>One-page pet policy taped inside the cabin.</t>
        </is>
      </c>
      <c r="E14" s="9" t="inlineStr">
        <is>
          <t>Paste into Airbnb / VRBO 'Pets' field.</t>
        </is>
      </c>
      <c r="I14" s="9" t="inlineStr">
        <is>
          <t>ADA + owner-liability boilerplate built in.</t>
        </is>
      </c>
    </row>
    <row r="15" ht="22" customHeight="1"/>
    <row r="16" ht="22" customHeight="1"/>
    <row r="17" ht="22" customHeight="1"/>
    <row r="18" ht="22" customHeight="1"/>
    <row r="19">
      <c r="A19" s="6" t="n"/>
      <c r="B19" s="6" t="n"/>
      <c r="C19" s="6" t="n"/>
      <c r="D19" s="6" t="n"/>
      <c r="E19" s="6" t="n"/>
      <c r="F19" s="6" t="n"/>
      <c r="G19" s="6" t="n"/>
      <c r="H19" s="6" t="n"/>
      <c r="I19" s="6" t="n"/>
      <c r="J19" s="6" t="n"/>
      <c r="K19" s="6" t="n"/>
      <c r="L19" s="6" t="n"/>
    </row>
    <row r="20">
      <c r="A20" s="6" t="n"/>
      <c r="B20" s="6" t="n"/>
      <c r="C20" s="6" t="n"/>
      <c r="D20" s="6" t="n"/>
      <c r="E20" s="6" t="n"/>
      <c r="F20" s="6" t="n"/>
      <c r="G20" s="6" t="n"/>
      <c r="H20" s="6" t="n"/>
      <c r="I20" s="6" t="n"/>
      <c r="J20" s="6" t="n"/>
      <c r="K20" s="6" t="n"/>
      <c r="L20" s="6" t="n"/>
    </row>
    <row r="22">
      <c r="A22" s="10" t="n"/>
      <c r="B22" s="10" t="n"/>
      <c r="C22" s="10" t="n"/>
      <c r="D22" s="10" t="n"/>
      <c r="E22" s="10" t="n"/>
      <c r="F22" s="10" t="n"/>
      <c r="G22" s="10" t="n"/>
      <c r="H22" s="10" t="n"/>
      <c r="I22" s="10" t="n"/>
      <c r="J22" s="10" t="n"/>
      <c r="K22" s="10" t="n"/>
      <c r="L22" s="10" t="n"/>
    </row>
    <row r="23" ht="24" customHeight="1">
      <c r="A23" s="11" t="inlineStr">
        <is>
          <t>Quick Start — 4 sections, ~16 fields, under 5 minutes</t>
        </is>
      </c>
    </row>
    <row r="24">
      <c r="A24" s="10" t="n"/>
      <c r="B24" s="12" t="inlineStr">
        <is>
          <t>① Pets allowed? Count + weight cap</t>
        </is>
      </c>
      <c r="G24" s="10" t="n"/>
      <c r="H24" s="12" t="inlineStr">
        <is>
          <t>④ Vaccination requirement</t>
        </is>
      </c>
    </row>
    <row r="25">
      <c r="A25" s="10" t="n"/>
      <c r="B25" s="12" t="inlineStr">
        <is>
          <t>② Per-pet fee + deposit</t>
        </is>
      </c>
      <c r="G25" s="10" t="n"/>
      <c r="H25" s="12" t="inlineStr">
        <is>
          <t>⑤ Open Policy Output → paste anywhere</t>
        </is>
      </c>
    </row>
    <row r="26">
      <c r="A26" s="10" t="n"/>
      <c r="B26" s="12" t="inlineStr">
        <is>
          <t>③ Furniture / alone-time rules</t>
        </is>
      </c>
      <c r="G26" s="10" t="n"/>
      <c r="H26" s="10" t="n"/>
      <c r="I26" s="10" t="n"/>
      <c r="J26" s="10" t="n"/>
      <c r="K26" s="10" t="n"/>
      <c r="L26" s="10" t="n"/>
    </row>
    <row r="27">
      <c r="A27" s="10" t="n"/>
      <c r="B27" s="10" t="n"/>
      <c r="C27" s="10" t="n"/>
      <c r="D27" s="10" t="n"/>
      <c r="E27" s="10" t="n"/>
      <c r="F27" s="10" t="n"/>
      <c r="G27" s="10" t="n"/>
      <c r="H27" s="10" t="n"/>
      <c r="I27" s="10" t="n"/>
      <c r="J27" s="10" t="n"/>
      <c r="K27" s="10" t="n"/>
      <c r="L27" s="10" t="n"/>
    </row>
    <row r="28">
      <c r="A28" s="10" t="n"/>
      <c r="B28" s="10" t="n"/>
      <c r="C28" s="10" t="n"/>
      <c r="D28" s="10" t="n"/>
      <c r="E28" s="10" t="n"/>
      <c r="F28" s="10" t="n"/>
      <c r="G28" s="10" t="n"/>
      <c r="H28" s="10" t="n"/>
      <c r="I28" s="10" t="n"/>
      <c r="J28" s="10" t="n"/>
      <c r="K28" s="10" t="n"/>
      <c r="L28" s="10" t="n"/>
    </row>
    <row r="30" ht="22" customHeight="1">
      <c r="A30" s="13">
        <f>HYPERLINK("#'Pet Eligibility'!A5", "GET STARTED — PET ELIGIBILITY  →")</f>
        <v/>
      </c>
      <c r="B30" s="14" t="n"/>
      <c r="C30" s="14" t="n"/>
      <c r="D30" s="14" t="n"/>
      <c r="E30" s="14" t="n"/>
      <c r="F30" s="14" t="n"/>
      <c r="G30" s="14" t="n"/>
      <c r="H30" s="14" t="n"/>
      <c r="I30" s="14" t="n"/>
      <c r="J30" s="14" t="n"/>
      <c r="K30" s="14" t="n"/>
      <c r="L30" s="14" t="n"/>
    </row>
    <row r="31" ht="22" customHeight="1">
      <c r="A31" s="14" t="n"/>
      <c r="B31" s="14" t="n"/>
      <c r="C31" s="14" t="n"/>
      <c r="D31" s="14" t="n"/>
      <c r="E31" s="14" t="n"/>
      <c r="F31" s="14" t="n"/>
      <c r="G31" s="14" t="n"/>
      <c r="H31" s="14" t="n"/>
      <c r="I31" s="14" t="n"/>
      <c r="J31" s="14" t="n"/>
      <c r="K31" s="14" t="n"/>
      <c r="L31" s="14" t="n"/>
    </row>
    <row r="32" ht="22" customHeight="1">
      <c r="A32" s="14" t="n"/>
      <c r="B32" s="14" t="n"/>
      <c r="C32" s="14" t="n"/>
      <c r="D32" s="14" t="n"/>
      <c r="E32" s="14" t="n"/>
      <c r="F32" s="14" t="n"/>
      <c r="G32" s="14" t="n"/>
      <c r="H32" s="14" t="n"/>
      <c r="I32" s="14" t="n"/>
      <c r="J32" s="14" t="n"/>
      <c r="K32" s="14" t="n"/>
      <c r="L32" s="14" t="n"/>
    </row>
    <row r="33" ht="22" customHeight="1">
      <c r="A33" s="14" t="n"/>
      <c r="B33" s="14" t="n"/>
      <c r="C33" s="14" t="n"/>
      <c r="D33" s="14" t="n"/>
      <c r="E33" s="14" t="n"/>
      <c r="F33" s="14" t="n"/>
      <c r="G33" s="14" t="n"/>
      <c r="H33" s="14" t="n"/>
      <c r="I33" s="14" t="n"/>
      <c r="J33" s="14" t="n"/>
      <c r="K33" s="14" t="n"/>
      <c r="L33" s="14" t="n"/>
    </row>
    <row r="36">
      <c r="A36" s="15" t="inlineStr">
        <is>
          <t>Progress:</t>
        </is>
      </c>
      <c r="G36" s="16">
        <f>TEXT((COUNTA('Pet Eligibility'!B8:B12) + COUNTA('Fees + Deposits'!B8:B11) + COUNTA('Property Rules'!B8:B12) + COUNTA('Service Animals'!B8:B9))/16, "0%") &amp; " complete"</f>
        <v/>
      </c>
    </row>
    <row r="38" ht="18" customHeight="1">
      <c r="A38" s="17" t="inlineStr">
        <is>
          <t>① Pet Eligibility</t>
        </is>
      </c>
      <c r="G38" s="18">
        <f>IF(COUNTA('Pet Eligibility'!B8:B12)=4,"✅ Done",IF(COUNTA('Pet Eligibility'!B8:B12)=0,"⏳ Empty","⏳ "&amp;COUNTA('Pet Eligibility'!B8:B12)&amp;" of 4"))</f>
        <v/>
      </c>
      <c r="K38" s="19">
        <f>HYPERLINK("#'Pet Eligibility'!A5","→ go")</f>
        <v/>
      </c>
    </row>
    <row r="39" ht="18" customHeight="1">
      <c r="A39" s="17" t="inlineStr">
        <is>
          <t>② Fees + Deposits</t>
        </is>
      </c>
      <c r="G39" s="18">
        <f>IF(COUNTA('Fees + Deposits'!B8:B11)=4,"✅ Done",IF(COUNTA('Fees + Deposits'!B8:B11)=0,"⏳ Empty","⏳ "&amp;COUNTA('Fees + Deposits'!B8:B11)&amp;" of 4"))</f>
        <v/>
      </c>
      <c r="K39" s="19">
        <f>HYPERLINK("#'Fees + Deposits'!A5","→ go")</f>
        <v/>
      </c>
    </row>
    <row r="40" ht="18" customHeight="1">
      <c r="A40" s="17" t="inlineStr">
        <is>
          <t>③ Property Rules</t>
        </is>
      </c>
      <c r="G40" s="18">
        <f>IF(COUNTA('Property Rules'!B8:B12)=4,"✅ Done",IF(COUNTA('Property Rules'!B8:B12)=0,"⏳ Empty","⏳ "&amp;COUNTA('Property Rules'!B8:B12)&amp;" of 4"))</f>
        <v/>
      </c>
      <c r="K40" s="19">
        <f>HYPERLINK("#'Property Rules'!A5","→ go")</f>
        <v/>
      </c>
    </row>
    <row r="41" ht="18" customHeight="1">
      <c r="A41" s="17" t="inlineStr">
        <is>
          <t>④ Service Animals</t>
        </is>
      </c>
      <c r="G41" s="18">
        <f>IF(COUNTA('Service Animals'!B8:B9)=2,"✅ Done",IF(COUNTA('Service Animals'!B8:B9)=0,"⏳ Empty","⏳ "&amp;COUNTA('Service Animals'!B8:B9)&amp;" of 2"))</f>
        <v/>
      </c>
      <c r="K41" s="19">
        <f>HYPERLINK("#'Service Animals'!A5","→ go")</f>
        <v/>
      </c>
    </row>
    <row r="45">
      <c r="A45" s="20" t="n"/>
      <c r="B45" s="20" t="n"/>
      <c r="C45" s="20" t="n"/>
      <c r="D45" s="20" t="n"/>
      <c r="E45" s="20" t="n"/>
      <c r="F45" s="20" t="n"/>
      <c r="G45" s="20" t="n"/>
      <c r="H45" s="20" t="n"/>
      <c r="I45" s="20" t="n"/>
      <c r="J45" s="20" t="n"/>
      <c r="K45" s="20" t="n"/>
      <c r="L45" s="20" t="n"/>
    </row>
    <row r="46" ht="18" customHeight="1">
      <c r="A46" s="21" t="inlineStr">
        <is>
          <t>Questions? hello@thestrledger.com</t>
        </is>
      </c>
    </row>
    <row r="47" ht="18" customHeight="1">
      <c r="A47" s="22" t="inlineStr">
        <is>
          <t>Free updates forever · GST-003 v1.0</t>
        </is>
      </c>
    </row>
  </sheetData>
  <mergeCells count="34">
    <mergeCell ref="A41:F41"/>
    <mergeCell ref="A7:L7"/>
    <mergeCell ref="B25:F25"/>
    <mergeCell ref="A46:L46"/>
    <mergeCell ref="A14:D18"/>
    <mergeCell ref="G41:J41"/>
    <mergeCell ref="A13:D13"/>
    <mergeCell ref="I14:L18"/>
    <mergeCell ref="A2:F2"/>
    <mergeCell ref="I13:L13"/>
    <mergeCell ref="G40:J40"/>
    <mergeCell ref="H25:L25"/>
    <mergeCell ref="A47:L47"/>
    <mergeCell ref="A5:L5"/>
    <mergeCell ref="A23:L23"/>
    <mergeCell ref="K41:L41"/>
    <mergeCell ref="K40:L40"/>
    <mergeCell ref="A4:L4"/>
    <mergeCell ref="A38:F38"/>
    <mergeCell ref="G39:J39"/>
    <mergeCell ref="A30:L33"/>
    <mergeCell ref="G38:J38"/>
    <mergeCell ref="A40:F40"/>
    <mergeCell ref="K39:L39"/>
    <mergeCell ref="A39:F39"/>
    <mergeCell ref="E14:H18"/>
    <mergeCell ref="E13:H13"/>
    <mergeCell ref="B24:F24"/>
    <mergeCell ref="A36:F36"/>
    <mergeCell ref="G36:L36"/>
    <mergeCell ref="A11:L11"/>
    <mergeCell ref="K38:L38"/>
    <mergeCell ref="H24:L24"/>
    <mergeCell ref="B26:F26"/>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sheetPr>
  <dimension ref="A1:L15"/>
  <sheetViews>
    <sheetView workbookViewId="0">
      <pane ySplit="7" topLeftCell="A8"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HYPERLINK("#'Start'!A1", "← START")</f>
        <v/>
      </c>
      <c r="B2" s="14" t="n"/>
      <c r="C2" s="14" t="n"/>
      <c r="D2" s="23" t="inlineStr">
        <is>
          <t>SECTION 1 OF 4</t>
        </is>
      </c>
      <c r="J2" s="24">
        <f>HYPERLINK("#'Fees + Deposits'!A5", "NEXT →")</f>
        <v/>
      </c>
      <c r="K2" s="25" t="n"/>
      <c r="L2" s="25" t="n"/>
    </row>
    <row r="3" ht="6" customHeight="1">
      <c r="A3" s="1" t="n"/>
      <c r="B3" s="1" t="n"/>
      <c r="C3" s="1" t="n"/>
      <c r="D3" s="1" t="n"/>
      <c r="E3" s="1" t="n"/>
      <c r="F3" s="1" t="n"/>
      <c r="G3" s="1" t="n"/>
      <c r="H3" s="1" t="n"/>
      <c r="I3" s="1" t="n"/>
      <c r="J3" s="1" t="n"/>
      <c r="K3" s="1" t="n"/>
      <c r="L3" s="1" t="n"/>
    </row>
    <row r="4" ht="36" customHeight="1">
      <c r="A4" s="26" t="inlineStr">
        <is>
          <t>Pet Eligibility</t>
        </is>
      </c>
    </row>
    <row r="5" ht="18" customHeight="1">
      <c r="A5" s="27" t="inlineStr">
        <is>
          <t>Who's welcome — and who isn't.</t>
        </is>
      </c>
    </row>
    <row r="6" ht="22" customHeight="1">
      <c r="A6" s="28" t="inlineStr">
        <is>
          <t>Fill the highlighted fields below. The 'Launch' tab (last) shows your finished pet policy.</t>
        </is>
      </c>
    </row>
    <row r="7" ht="20" customHeight="1">
      <c r="A7" s="29" t="inlineStr">
        <is>
          <t>PET ELIGIBILITY</t>
        </is>
      </c>
    </row>
    <row r="8" ht="36" customHeight="1">
      <c r="A8" s="30" t="inlineStr">
        <is>
          <t>Pets allowed?</t>
        </is>
      </c>
      <c r="B8" s="31" t="n"/>
      <c r="C8" s="32" t="n"/>
      <c r="D8" s="32" t="n"/>
      <c r="E8" s="32" t="n"/>
      <c r="F8" s="32" t="n"/>
      <c r="G8" s="32" t="n"/>
      <c r="H8" s="32" t="n"/>
      <c r="I8" s="32" t="n"/>
      <c r="J8" s="32" t="n"/>
      <c r="K8" s="32" t="n"/>
      <c r="L8" s="33" t="n"/>
    </row>
    <row r="9" ht="36" customHeight="1">
      <c r="A9" s="34" t="inlineStr">
        <is>
          <t>Max number of pets per stay:</t>
        </is>
      </c>
      <c r="B9" s="35" t="n"/>
      <c r="C9" s="6" t="n"/>
      <c r="D9" s="6" t="n"/>
      <c r="E9" s="6" t="n"/>
      <c r="F9" s="6" t="n"/>
      <c r="G9" s="6" t="n"/>
      <c r="H9" s="6" t="n"/>
      <c r="I9" s="6" t="n"/>
      <c r="J9" s="6" t="n"/>
      <c r="K9" s="6" t="n"/>
      <c r="L9" s="36" t="n"/>
    </row>
    <row r="10" ht="36" customHeight="1">
      <c r="A10" s="34" t="inlineStr">
        <is>
          <t>Per-pet weight cap (lbs or text):</t>
        </is>
      </c>
      <c r="B10" s="35" t="n"/>
      <c r="C10" s="6" t="n"/>
      <c r="D10" s="6" t="n"/>
      <c r="E10" s="6" t="n"/>
      <c r="F10" s="6" t="n"/>
      <c r="G10" s="6" t="n"/>
      <c r="H10" s="6" t="n"/>
      <c r="I10" s="6" t="n"/>
      <c r="J10" s="6" t="n"/>
      <c r="K10" s="6" t="n"/>
      <c r="L10" s="36" t="n"/>
    </row>
    <row r="11" ht="36" customHeight="1">
      <c r="A11" s="34" t="inlineStr">
        <is>
          <t>Breed restrictions:</t>
        </is>
      </c>
      <c r="B11" s="35" t="n"/>
      <c r="C11" s="6" t="n"/>
      <c r="D11" s="6" t="n"/>
      <c r="E11" s="6" t="n"/>
      <c r="F11" s="6" t="n"/>
      <c r="G11" s="6" t="n"/>
      <c r="H11" s="6" t="n"/>
      <c r="I11" s="6" t="n"/>
      <c r="J11" s="6" t="n"/>
      <c r="K11" s="6" t="n"/>
      <c r="L11" s="36" t="n"/>
    </row>
    <row r="12" ht="36" customHeight="1">
      <c r="A12" s="37" t="inlineStr">
        <is>
          <t>Minimum age + house-training rule:</t>
        </is>
      </c>
      <c r="B12" s="38" t="n"/>
      <c r="C12" s="39" t="n"/>
      <c r="D12" s="39" t="n"/>
      <c r="E12" s="39" t="n"/>
      <c r="F12" s="39" t="n"/>
      <c r="G12" s="39" t="n"/>
      <c r="H12" s="39" t="n"/>
      <c r="I12" s="39" t="n"/>
      <c r="J12" s="39" t="n"/>
      <c r="K12" s="39" t="n"/>
      <c r="L12" s="40" t="n"/>
    </row>
    <row r="13">
      <c r="A13" s="41" t="n"/>
      <c r="B13" s="41" t="n"/>
      <c r="C13" s="41" t="n"/>
      <c r="D13" s="41" t="n"/>
      <c r="E13" s="41" t="n"/>
      <c r="F13" s="41" t="n"/>
      <c r="G13" s="41" t="n"/>
      <c r="H13" s="41" t="n"/>
      <c r="I13" s="41" t="n"/>
      <c r="J13" s="41" t="n"/>
      <c r="K13" s="41" t="n"/>
      <c r="L13" s="41" t="n"/>
    </row>
    <row r="14" ht="22" customHeight="1">
      <c r="A14" s="42">
        <f>HYPERLINK("#'Start'!A1", "← Back: Start")</f>
        <v/>
      </c>
      <c r="B14" s="43" t="n"/>
      <c r="C14" s="43" t="n"/>
      <c r="D14" s="43" t="n"/>
      <c r="E14" s="43" t="n"/>
      <c r="F14" s="43" t="n"/>
      <c r="G14" s="42">
        <f>HYPERLINK("#'Fees + Deposits'!A5", "Next: Fees + Deposits →")</f>
        <v/>
      </c>
      <c r="H14" s="43" t="n"/>
      <c r="I14" s="43" t="n"/>
      <c r="J14" s="43" t="n"/>
      <c r="K14" s="43" t="n"/>
      <c r="L14" s="43" t="n"/>
    </row>
    <row r="15" ht="22" customHeight="1">
      <c r="A15" s="43" t="n"/>
      <c r="B15" s="43" t="n"/>
      <c r="C15" s="43" t="n"/>
      <c r="D15" s="43" t="n"/>
      <c r="E15" s="43" t="n"/>
      <c r="F15" s="43" t="n"/>
      <c r="G15" s="43" t="n"/>
      <c r="H15" s="43" t="n"/>
      <c r="I15" s="43" t="n"/>
      <c r="J15" s="43" t="n"/>
      <c r="K15" s="43" t="n"/>
      <c r="L15" s="43" t="n"/>
    </row>
  </sheetData>
  <mergeCells count="14">
    <mergeCell ref="J2:L2"/>
    <mergeCell ref="D2:I2"/>
    <mergeCell ref="A7:L7"/>
    <mergeCell ref="B12:L12"/>
    <mergeCell ref="B9:L9"/>
    <mergeCell ref="A5:L5"/>
    <mergeCell ref="B11:L11"/>
    <mergeCell ref="A14:F15"/>
    <mergeCell ref="G14:L15"/>
    <mergeCell ref="A6:L6"/>
    <mergeCell ref="B10:L10"/>
    <mergeCell ref="A2:C2"/>
    <mergeCell ref="A4:L4"/>
    <mergeCell ref="B8:L8"/>
  </mergeCells>
  <dataValidations count="1">
    <dataValidation sqref="B8" showDropDown="0" showInputMessage="0" showErrorMessage="0" allowBlank="1" type="list">
      <formula1>"Yes,No,Case-by-case"</formula1>
    </dataValidation>
  </dataValidations>
  <pageMargins left="0.75" right="0.75" top="1" bottom="1" header="0.5" footer="0.5"/>
</worksheet>
</file>

<file path=xl/worksheets/sheet3.xml><?xml version="1.0" encoding="utf-8"?>
<worksheet xmlns="http://schemas.openxmlformats.org/spreadsheetml/2006/main">
  <sheetPr>
    <tabColor rgb="00F6EFE2"/>
    <outlinePr summaryBelow="1" summaryRight="1"/>
    <pageSetUpPr/>
  </sheetPr>
  <dimension ref="A1:L14"/>
  <sheetViews>
    <sheetView workbookViewId="0">
      <pane ySplit="7" topLeftCell="A8"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HYPERLINK("#'Pet Eligibility'!A5", "← BACK")</f>
        <v/>
      </c>
      <c r="B2" s="14" t="n"/>
      <c r="C2" s="14" t="n"/>
      <c r="D2" s="23" t="inlineStr">
        <is>
          <t>SECTION 2 OF 4</t>
        </is>
      </c>
      <c r="J2" s="24">
        <f>HYPERLINK("#'Property Rules'!A5", "NEXT →")</f>
        <v/>
      </c>
      <c r="K2" s="25" t="n"/>
      <c r="L2" s="25" t="n"/>
    </row>
    <row r="3" ht="6" customHeight="1">
      <c r="A3" s="1" t="n"/>
      <c r="B3" s="1" t="n"/>
      <c r="C3" s="1" t="n"/>
      <c r="D3" s="1" t="n"/>
      <c r="E3" s="1" t="n"/>
      <c r="F3" s="1" t="n"/>
      <c r="G3" s="1" t="n"/>
      <c r="H3" s="1" t="n"/>
      <c r="I3" s="1" t="n"/>
      <c r="J3" s="1" t="n"/>
      <c r="K3" s="1" t="n"/>
      <c r="L3" s="1" t="n"/>
    </row>
    <row r="4" ht="36" customHeight="1">
      <c r="A4" s="26" t="inlineStr">
        <is>
          <t>Fees &amp; Deposits</t>
        </is>
      </c>
    </row>
    <row r="5" ht="18" customHeight="1">
      <c r="A5" s="27" t="inlineStr">
        <is>
          <t>What it costs, what's refundable.</t>
        </is>
      </c>
    </row>
    <row r="6" ht="22" customHeight="1">
      <c r="A6" s="28" t="inlineStr">
        <is>
          <t>Fill the highlighted fields below. The 'Launch' tab (last) shows your finished pet policy.</t>
        </is>
      </c>
    </row>
    <row r="7" ht="20" customHeight="1">
      <c r="A7" s="29" t="inlineStr">
        <is>
          <t>FEES &amp; DEPOSITS</t>
        </is>
      </c>
    </row>
    <row r="8" ht="36" customHeight="1">
      <c r="A8" s="30" t="inlineStr">
        <is>
          <t>Per-pet fee per stay ($):</t>
        </is>
      </c>
      <c r="B8" s="31" t="n"/>
      <c r="C8" s="32" t="n"/>
      <c r="D8" s="32" t="n"/>
      <c r="E8" s="32" t="n"/>
      <c r="F8" s="32" t="n"/>
      <c r="G8" s="32" t="n"/>
      <c r="H8" s="32" t="n"/>
      <c r="I8" s="32" t="n"/>
      <c r="J8" s="32" t="n"/>
      <c r="K8" s="32" t="n"/>
      <c r="L8" s="33" t="n"/>
    </row>
    <row r="9" ht="36" customHeight="1">
      <c r="A9" s="34" t="inlineStr">
        <is>
          <t>Refundable deposit ($):</t>
        </is>
      </c>
      <c r="B9" s="35" t="n"/>
      <c r="C9" s="6" t="n"/>
      <c r="D9" s="6" t="n"/>
      <c r="E9" s="6" t="n"/>
      <c r="F9" s="6" t="n"/>
      <c r="G9" s="6" t="n"/>
      <c r="H9" s="6" t="n"/>
      <c r="I9" s="6" t="n"/>
      <c r="J9" s="6" t="n"/>
      <c r="K9" s="6" t="n"/>
      <c r="L9" s="36" t="n"/>
    </row>
    <row r="10" ht="36" customHeight="1">
      <c r="A10" s="34" t="inlineStr">
        <is>
          <t>Per-night surcharge (optional):</t>
        </is>
      </c>
      <c r="B10" s="35" t="n"/>
      <c r="C10" s="6" t="n"/>
      <c r="D10" s="6" t="n"/>
      <c r="E10" s="6" t="n"/>
      <c r="F10" s="6" t="n"/>
      <c r="G10" s="6" t="n"/>
      <c r="H10" s="6" t="n"/>
      <c r="I10" s="6" t="n"/>
      <c r="J10" s="6" t="n"/>
      <c r="K10" s="6" t="n"/>
      <c r="L10" s="36" t="n"/>
    </row>
    <row r="11" ht="36" customHeight="1">
      <c r="A11" s="44" t="inlineStr">
        <is>
          <t>Damage deductible / threshold:</t>
        </is>
      </c>
      <c r="B11" s="45" t="n"/>
      <c r="C11" s="46" t="n"/>
      <c r="D11" s="46" t="n"/>
      <c r="E11" s="46" t="n"/>
      <c r="F11" s="46" t="n"/>
      <c r="G11" s="46" t="n"/>
      <c r="H11" s="46" t="n"/>
      <c r="I11" s="46" t="n"/>
      <c r="J11" s="46" t="n"/>
      <c r="K11" s="46" t="n"/>
      <c r="L11" s="47" t="n"/>
    </row>
    <row r="12">
      <c r="A12" s="41" t="n"/>
      <c r="B12" s="41" t="n"/>
      <c r="C12" s="41" t="n"/>
      <c r="D12" s="41" t="n"/>
      <c r="E12" s="41" t="n"/>
      <c r="F12" s="41" t="n"/>
      <c r="G12" s="41" t="n"/>
      <c r="H12" s="41" t="n"/>
      <c r="I12" s="41" t="n"/>
      <c r="J12" s="41" t="n"/>
      <c r="K12" s="41" t="n"/>
      <c r="L12" s="41" t="n"/>
    </row>
    <row r="13" ht="22" customHeight="1">
      <c r="A13" s="42">
        <f>HYPERLINK("#'Pet Eligibility'!A5", "← Back: Pet Eligibility")</f>
        <v/>
      </c>
      <c r="B13" s="43" t="n"/>
      <c r="C13" s="43" t="n"/>
      <c r="D13" s="43" t="n"/>
      <c r="E13" s="43" t="n"/>
      <c r="F13" s="43" t="n"/>
      <c r="G13" s="42">
        <f>HYPERLINK("#'Property Rules'!A5", "Next: Property Rules →")</f>
        <v/>
      </c>
      <c r="H13" s="43" t="n"/>
      <c r="I13" s="43" t="n"/>
      <c r="J13" s="43" t="n"/>
      <c r="K13" s="43" t="n"/>
      <c r="L13" s="43" t="n"/>
    </row>
    <row r="14" ht="22" customHeight="1">
      <c r="A14" s="43" t="n"/>
      <c r="B14" s="43" t="n"/>
      <c r="C14" s="43" t="n"/>
      <c r="D14" s="43" t="n"/>
      <c r="E14" s="43" t="n"/>
      <c r="F14" s="43" t="n"/>
      <c r="G14" s="43" t="n"/>
      <c r="H14" s="43" t="n"/>
      <c r="I14" s="43" t="n"/>
      <c r="J14" s="43" t="n"/>
      <c r="K14" s="43" t="n"/>
      <c r="L14" s="43" t="n"/>
    </row>
  </sheetData>
  <mergeCells count="13">
    <mergeCell ref="J2:L2"/>
    <mergeCell ref="D2:I2"/>
    <mergeCell ref="A7:L7"/>
    <mergeCell ref="B9:L9"/>
    <mergeCell ref="A5:L5"/>
    <mergeCell ref="B11:L11"/>
    <mergeCell ref="A6:L6"/>
    <mergeCell ref="B10:L10"/>
    <mergeCell ref="G13:L14"/>
    <mergeCell ref="A13:F14"/>
    <mergeCell ref="A2:C2"/>
    <mergeCell ref="A4:L4"/>
    <mergeCell ref="B8:L8"/>
  </mergeCells>
  <pageMargins left="0.75" right="0.75" top="1" bottom="1" header="0.5" footer="0.5"/>
</worksheet>
</file>

<file path=xl/worksheets/sheet4.xml><?xml version="1.0" encoding="utf-8"?>
<worksheet xmlns="http://schemas.openxmlformats.org/spreadsheetml/2006/main">
  <sheetPr>
    <tabColor rgb="00F6EFE2"/>
    <outlinePr summaryBelow="1" summaryRight="1"/>
    <pageSetUpPr/>
  </sheetPr>
  <dimension ref="A1:L15"/>
  <sheetViews>
    <sheetView workbookViewId="0">
      <pane ySplit="7" topLeftCell="A8"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HYPERLINK("#'Fees + Deposits'!A5", "← BACK")</f>
        <v/>
      </c>
      <c r="B2" s="14" t="n"/>
      <c r="C2" s="14" t="n"/>
      <c r="D2" s="23" t="inlineStr">
        <is>
          <t>SECTION 3 OF 4</t>
        </is>
      </c>
      <c r="J2" s="24">
        <f>HYPERLINK("#'Service Animals'!A5", "NEXT →")</f>
        <v/>
      </c>
      <c r="K2" s="25" t="n"/>
      <c r="L2" s="25" t="n"/>
    </row>
    <row r="3" ht="6" customHeight="1">
      <c r="A3" s="1" t="n"/>
      <c r="B3" s="1" t="n"/>
      <c r="C3" s="1" t="n"/>
      <c r="D3" s="1" t="n"/>
      <c r="E3" s="1" t="n"/>
      <c r="F3" s="1" t="n"/>
      <c r="G3" s="1" t="n"/>
      <c r="H3" s="1" t="n"/>
      <c r="I3" s="1" t="n"/>
      <c r="J3" s="1" t="n"/>
      <c r="K3" s="1" t="n"/>
      <c r="L3" s="1" t="n"/>
    </row>
    <row r="4" ht="36" customHeight="1">
      <c r="A4" s="26" t="inlineStr">
        <is>
          <t>Property Rules</t>
        </is>
      </c>
    </row>
    <row r="5" ht="18" customHeight="1">
      <c r="A5" s="27" t="inlineStr">
        <is>
          <t>Where pets can go, and how they behave.</t>
        </is>
      </c>
    </row>
    <row r="6" ht="22" customHeight="1">
      <c r="A6" s="28" t="inlineStr">
        <is>
          <t>Fill the highlighted fields below. The 'Launch' tab (last) shows your finished pet policy.</t>
        </is>
      </c>
    </row>
    <row r="7" ht="20" customHeight="1">
      <c r="A7" s="29" t="inlineStr">
        <is>
          <t>PROPERTY RULES</t>
        </is>
      </c>
    </row>
    <row r="8" ht="36" customHeight="1">
      <c r="A8" s="30" t="inlineStr">
        <is>
          <t>Allowed in main living spaces?</t>
        </is>
      </c>
      <c r="B8" s="31" t="n"/>
      <c r="C8" s="32" t="n"/>
      <c r="D8" s="32" t="n"/>
      <c r="E8" s="32" t="n"/>
      <c r="F8" s="32" t="n"/>
      <c r="G8" s="32" t="n"/>
      <c r="H8" s="32" t="n"/>
      <c r="I8" s="32" t="n"/>
      <c r="J8" s="32" t="n"/>
      <c r="K8" s="32" t="n"/>
      <c r="L8" s="33" t="n"/>
    </row>
    <row r="9" ht="36" customHeight="1">
      <c r="A9" s="34" t="inlineStr">
        <is>
          <t>Allowed on furniture / beds?</t>
        </is>
      </c>
      <c r="B9" s="35" t="n"/>
      <c r="C9" s="6" t="n"/>
      <c r="D9" s="6" t="n"/>
      <c r="E9" s="6" t="n"/>
      <c r="F9" s="6" t="n"/>
      <c r="G9" s="6" t="n"/>
      <c r="H9" s="6" t="n"/>
      <c r="I9" s="6" t="n"/>
      <c r="J9" s="6" t="n"/>
      <c r="K9" s="6" t="n"/>
      <c r="L9" s="36" t="n"/>
    </row>
    <row r="10" ht="36" customHeight="1">
      <c r="A10" s="34" t="inlineStr">
        <is>
          <t>Pets alone in unit?</t>
        </is>
      </c>
      <c r="B10" s="35" t="n"/>
      <c r="C10" s="6" t="n"/>
      <c r="D10" s="6" t="n"/>
      <c r="E10" s="6" t="n"/>
      <c r="F10" s="6" t="n"/>
      <c r="G10" s="6" t="n"/>
      <c r="H10" s="6" t="n"/>
      <c r="I10" s="6" t="n"/>
      <c r="J10" s="6" t="n"/>
      <c r="K10" s="6" t="n"/>
      <c r="L10" s="36" t="n"/>
    </row>
    <row r="11" ht="36" customHeight="1">
      <c r="A11" s="34" t="inlineStr">
        <is>
          <t>Outdoor leash required?</t>
        </is>
      </c>
      <c r="B11" s="35" t="n"/>
      <c r="C11" s="6" t="n"/>
      <c r="D11" s="6" t="n"/>
      <c r="E11" s="6" t="n"/>
      <c r="F11" s="6" t="n"/>
      <c r="G11" s="6" t="n"/>
      <c r="H11" s="6" t="n"/>
      <c r="I11" s="6" t="n"/>
      <c r="J11" s="6" t="n"/>
      <c r="K11" s="6" t="n"/>
      <c r="L11" s="36" t="n"/>
    </row>
    <row r="12" ht="36" customHeight="1">
      <c r="A12" s="48" t="inlineStr">
        <is>
          <t>Waste disposal: pick up immediately on walks and in the yard. Bagged waste in outdoor bin only — never indoor trash.</t>
        </is>
      </c>
      <c r="B12" s="46" t="n"/>
      <c r="C12" s="46" t="n"/>
      <c r="D12" s="46" t="n"/>
      <c r="E12" s="46" t="n"/>
      <c r="F12" s="46" t="n"/>
      <c r="G12" s="46" t="n"/>
      <c r="H12" s="46" t="n"/>
      <c r="I12" s="46" t="n"/>
      <c r="J12" s="46" t="n"/>
      <c r="K12" s="46" t="n"/>
      <c r="L12" s="47" t="n"/>
    </row>
    <row r="13">
      <c r="A13" s="41" t="n"/>
      <c r="B13" s="41" t="n"/>
      <c r="C13" s="41" t="n"/>
      <c r="D13" s="41" t="n"/>
      <c r="E13" s="41" t="n"/>
      <c r="F13" s="41" t="n"/>
      <c r="G13" s="41" t="n"/>
      <c r="H13" s="41" t="n"/>
      <c r="I13" s="41" t="n"/>
      <c r="J13" s="41" t="n"/>
      <c r="K13" s="41" t="n"/>
      <c r="L13" s="41" t="n"/>
    </row>
    <row r="14" ht="22" customHeight="1">
      <c r="A14" s="42">
        <f>HYPERLINK("#'Fees + Deposits'!A5", "← Back: Fees + Deposits")</f>
        <v/>
      </c>
      <c r="B14" s="43" t="n"/>
      <c r="C14" s="43" t="n"/>
      <c r="D14" s="43" t="n"/>
      <c r="E14" s="43" t="n"/>
      <c r="F14" s="43" t="n"/>
      <c r="G14" s="42">
        <f>HYPERLINK("#'Service Animals'!A5", "Next: Service Animals →")</f>
        <v/>
      </c>
      <c r="H14" s="43" t="n"/>
      <c r="I14" s="43" t="n"/>
      <c r="J14" s="43" t="n"/>
      <c r="K14" s="43" t="n"/>
      <c r="L14" s="43" t="n"/>
    </row>
    <row r="15" ht="22" customHeight="1">
      <c r="A15" s="43" t="n"/>
      <c r="B15" s="43" t="n"/>
      <c r="C15" s="43" t="n"/>
      <c r="D15" s="43" t="n"/>
      <c r="E15" s="43" t="n"/>
      <c r="F15" s="43" t="n"/>
      <c r="G15" s="43" t="n"/>
      <c r="H15" s="43" t="n"/>
      <c r="I15" s="43" t="n"/>
      <c r="J15" s="43" t="n"/>
      <c r="K15" s="43" t="n"/>
      <c r="L15" s="43" t="n"/>
    </row>
  </sheetData>
  <mergeCells count="14">
    <mergeCell ref="J2:L2"/>
    <mergeCell ref="D2:I2"/>
    <mergeCell ref="A7:L7"/>
    <mergeCell ref="A12:L12"/>
    <mergeCell ref="B9:L9"/>
    <mergeCell ref="A5:L5"/>
    <mergeCell ref="B11:L11"/>
    <mergeCell ref="A14:F15"/>
    <mergeCell ref="G14:L15"/>
    <mergeCell ref="A6:L6"/>
    <mergeCell ref="B10:L10"/>
    <mergeCell ref="A2:C2"/>
    <mergeCell ref="A4:L4"/>
    <mergeCell ref="B8:L8"/>
  </mergeCells>
  <dataValidations count="3">
    <dataValidation sqref="B9" showDropDown="0" showInputMessage="0" showErrorMessage="0" allowBlank="1" type="list">
      <formula1>"Yes,No,Covered only"</formula1>
    </dataValidation>
    <dataValidation sqref="B10" showDropDown="0" showInputMessage="0" showErrorMessage="0" allowBlank="1" type="list">
      <formula1>"Allowed,Crated only,Never,Up to 4 hrs"</formula1>
    </dataValidation>
    <dataValidation sqref="B11" showDropDown="0" showInputMessage="0" showErrorMessage="0" allowBlank="1" type="list">
      <formula1>"Yes,No,Recommended"</formula1>
    </dataValidation>
  </dataValidations>
  <pageMargins left="0.75" right="0.75" top="1" bottom="1" header="0.5" footer="0.5"/>
</worksheet>
</file>

<file path=xl/worksheets/sheet5.xml><?xml version="1.0" encoding="utf-8"?>
<worksheet xmlns="http://schemas.openxmlformats.org/spreadsheetml/2006/main">
  <sheetPr>
    <tabColor rgb="00F6EFE2"/>
    <outlinePr summaryBelow="1" summaryRight="1"/>
    <pageSetUpPr/>
  </sheetPr>
  <dimension ref="A1:L14"/>
  <sheetViews>
    <sheetView workbookViewId="0">
      <pane ySplit="7" topLeftCell="A8"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HYPERLINK("#'Property Rules'!A5", "← BACK")</f>
        <v/>
      </c>
      <c r="B2" s="14" t="n"/>
      <c r="C2" s="14" t="n"/>
      <c r="D2" s="23" t="inlineStr">
        <is>
          <t>SECTION 4 OF 4</t>
        </is>
      </c>
      <c r="J2" s="24">
        <f>HYPERLINK("#'Launch'!A1", "LAUNCH →")</f>
        <v/>
      </c>
      <c r="K2" s="25" t="n"/>
      <c r="L2" s="25" t="n"/>
    </row>
    <row r="3" ht="6" customHeight="1">
      <c r="A3" s="1" t="n"/>
      <c r="B3" s="1" t="n"/>
      <c r="C3" s="1" t="n"/>
      <c r="D3" s="1" t="n"/>
      <c r="E3" s="1" t="n"/>
      <c r="F3" s="1" t="n"/>
      <c r="G3" s="1" t="n"/>
      <c r="H3" s="1" t="n"/>
      <c r="I3" s="1" t="n"/>
      <c r="J3" s="1" t="n"/>
      <c r="K3" s="1" t="n"/>
      <c r="L3" s="1" t="n"/>
    </row>
    <row r="4" ht="36" customHeight="1">
      <c r="A4" s="26" t="inlineStr">
        <is>
          <t>Service Animals &amp; Liability</t>
        </is>
      </c>
    </row>
    <row r="5" ht="18" customHeight="1">
      <c r="A5" s="27" t="inlineStr">
        <is>
          <t>ADA-compliant exception + owner-liability shield.</t>
        </is>
      </c>
    </row>
    <row r="6" ht="22" customHeight="1">
      <c r="A6" s="28" t="inlineStr">
        <is>
          <t>Fill the highlighted fields below. The 'Launch' tab (last) shows your finished pet policy.</t>
        </is>
      </c>
    </row>
    <row r="7" ht="20" customHeight="1">
      <c r="A7" s="29" t="inlineStr">
        <is>
          <t>SERVICE ANIMALS &amp; LIABILITY</t>
        </is>
      </c>
    </row>
    <row r="8" ht="30" customHeight="1">
      <c r="A8" s="30" t="inlineStr">
        <is>
          <t>Vaccination required?</t>
        </is>
      </c>
      <c r="B8" s="31" t="n"/>
      <c r="C8" s="32" t="n"/>
      <c r="D8" s="32" t="n"/>
      <c r="E8" s="32" t="n"/>
      <c r="F8" s="32" t="n"/>
      <c r="G8" s="32" t="n"/>
      <c r="H8" s="32" t="n"/>
      <c r="I8" s="32" t="n"/>
      <c r="J8" s="32" t="n"/>
      <c r="K8" s="32" t="n"/>
      <c r="L8" s="33" t="n"/>
    </row>
    <row r="9" ht="30" customHeight="1">
      <c r="A9" s="34" t="inlineStr">
        <is>
          <t>Documentation request?</t>
        </is>
      </c>
      <c r="B9" s="35" t="n"/>
      <c r="C9" s="6" t="n"/>
      <c r="D9" s="6" t="n"/>
      <c r="E9" s="6" t="n"/>
      <c r="F9" s="6" t="n"/>
      <c r="G9" s="6" t="n"/>
      <c r="H9" s="6" t="n"/>
      <c r="I9" s="6" t="n"/>
      <c r="J9" s="6" t="n"/>
      <c r="K9" s="6" t="n"/>
      <c r="L9" s="36" t="n"/>
    </row>
    <row r="10" ht="36" customHeight="1">
      <c r="A10" s="49" t="inlineStr">
        <is>
          <t>ADA SERVICE-ANIMAL EXCEPTION — Service animals as defined under the Americans with Disabilities Act (ADA) are welcome regardless of the policy above and are not subject to pet fees, weight caps, breed limits, or count restrictions. Emotional-support animals are not service animals under federal law and are subject to the standard pet policy.</t>
        </is>
      </c>
      <c r="B10" s="6" t="n"/>
      <c r="C10" s="6" t="n"/>
      <c r="D10" s="6" t="n"/>
      <c r="E10" s="6" t="n"/>
      <c r="F10" s="6" t="n"/>
      <c r="G10" s="6" t="n"/>
      <c r="H10" s="6" t="n"/>
      <c r="I10" s="6" t="n"/>
      <c r="J10" s="6" t="n"/>
      <c r="K10" s="6" t="n"/>
      <c r="L10" s="36" t="n"/>
    </row>
    <row r="11" ht="36" customHeight="1">
      <c r="A11" s="48" t="inlineStr">
        <is>
          <t>OWNER LIABILITY — Guest assumes full responsibility for the pet's behavior, any property damage, and any injury caused to other guests, neighbors, or service personnel. Guest agrees to hold the host and platform harmless for incidents involving the pet.</t>
        </is>
      </c>
      <c r="B11" s="46" t="n"/>
      <c r="C11" s="46" t="n"/>
      <c r="D11" s="46" t="n"/>
      <c r="E11" s="46" t="n"/>
      <c r="F11" s="46" t="n"/>
      <c r="G11" s="46" t="n"/>
      <c r="H11" s="46" t="n"/>
      <c r="I11" s="46" t="n"/>
      <c r="J11" s="46" t="n"/>
      <c r="K11" s="46" t="n"/>
      <c r="L11" s="47" t="n"/>
    </row>
    <row r="12">
      <c r="A12" s="41" t="n"/>
      <c r="B12" s="41" t="n"/>
      <c r="C12" s="41" t="n"/>
      <c r="D12" s="41" t="n"/>
      <c r="E12" s="41" t="n"/>
      <c r="F12" s="41" t="n"/>
      <c r="G12" s="41" t="n"/>
      <c r="H12" s="41" t="n"/>
      <c r="I12" s="41" t="n"/>
      <c r="J12" s="41" t="n"/>
      <c r="K12" s="41" t="n"/>
      <c r="L12" s="41" t="n"/>
    </row>
    <row r="13" ht="22" customHeight="1">
      <c r="A13" s="42">
        <f>HYPERLINK("#'Property Rules'!A5", "← Back: Property Rules")</f>
        <v/>
      </c>
      <c r="B13" s="43" t="n"/>
      <c r="C13" s="43" t="n"/>
      <c r="D13" s="43" t="n"/>
      <c r="E13" s="43" t="n"/>
      <c r="F13" s="43" t="n"/>
      <c r="G13" s="42">
        <f>HYPERLINK("#'Launch'!A1", "Next: Launch →")</f>
        <v/>
      </c>
      <c r="H13" s="43" t="n"/>
      <c r="I13" s="43" t="n"/>
      <c r="J13" s="43" t="n"/>
      <c r="K13" s="43" t="n"/>
      <c r="L13" s="43" t="n"/>
    </row>
    <row r="14" ht="22" customHeight="1">
      <c r="A14" s="43" t="n"/>
      <c r="B14" s="43" t="n"/>
      <c r="C14" s="43" t="n"/>
      <c r="D14" s="43" t="n"/>
      <c r="E14" s="43" t="n"/>
      <c r="F14" s="43" t="n"/>
      <c r="G14" s="43" t="n"/>
      <c r="H14" s="43" t="n"/>
      <c r="I14" s="43" t="n"/>
      <c r="J14" s="43" t="n"/>
      <c r="K14" s="43" t="n"/>
      <c r="L14" s="43" t="n"/>
    </row>
  </sheetData>
  <mergeCells count="13">
    <mergeCell ref="J2:L2"/>
    <mergeCell ref="D2:I2"/>
    <mergeCell ref="A7:L7"/>
    <mergeCell ref="A10:L10"/>
    <mergeCell ref="A11:L11"/>
    <mergeCell ref="B9:L9"/>
    <mergeCell ref="A5:L5"/>
    <mergeCell ref="A6:L6"/>
    <mergeCell ref="G13:L14"/>
    <mergeCell ref="A13:F14"/>
    <mergeCell ref="A2:C2"/>
    <mergeCell ref="A4:L4"/>
    <mergeCell ref="B8:L8"/>
  </mergeCells>
  <dataValidations count="2">
    <dataValidation sqref="B8" showDropDown="0" showInputMessage="0" showErrorMessage="0" allowBlank="1" type="list">
      <formula1>"Yes,No"</formula1>
    </dataValidation>
    <dataValidation sqref="B9" showDropDown="0" showInputMessage="0" showErrorMessage="0" allowBlank="1" type="list">
      <formula1>"Yes,No,On request only"</formula1>
    </dataValidation>
  </dataValidations>
  <pageMargins left="0.75" right="0.75" top="1" bottom="1" header="0.5" footer="0.5"/>
</worksheet>
</file>

<file path=xl/worksheets/sheet6.xml><?xml version="1.0" encoding="utf-8"?>
<worksheet xmlns="http://schemas.openxmlformats.org/spreadsheetml/2006/main">
  <sheetPr>
    <tabColor rgb="00C9A24B"/>
    <outlinePr summaryBelow="1" summaryRight="1"/>
    <pageSetUpPr fitToPage="1"/>
  </sheetPr>
  <dimension ref="A1:L26"/>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1" t="n"/>
      <c r="B1" s="1" t="n"/>
      <c r="C1" s="1" t="n"/>
      <c r="D1" s="1" t="n"/>
      <c r="E1" s="1" t="n"/>
      <c r="F1" s="1" t="n"/>
      <c r="G1" s="1" t="n"/>
      <c r="H1" s="1" t="n"/>
      <c r="I1" s="1" t="n"/>
      <c r="J1" s="1" t="n"/>
      <c r="K1" s="1" t="n"/>
      <c r="L1" s="1" t="n"/>
    </row>
    <row r="2" ht="28" customHeight="1">
      <c r="A2" s="13">
        <f>HYPERLINK("#'Service Animals'!A5", "← BACK: Service Animals")</f>
        <v/>
      </c>
      <c r="B2" s="14" t="n"/>
      <c r="C2" s="14" t="n"/>
      <c r="D2" s="50" t="inlineStr">
        <is>
          <t>LAUNCH</t>
        </is>
      </c>
    </row>
    <row r="3">
      <c r="A3" s="1" t="n"/>
      <c r="B3" s="1" t="n"/>
      <c r="C3" s="1" t="n"/>
      <c r="D3" s="1" t="n"/>
      <c r="E3" s="1" t="n"/>
      <c r="F3" s="1" t="n"/>
      <c r="G3" s="1" t="n"/>
      <c r="H3" s="1" t="n"/>
      <c r="I3" s="1" t="n"/>
      <c r="J3" s="1" t="n"/>
      <c r="K3" s="1" t="n"/>
      <c r="L3" s="1" t="n"/>
    </row>
    <row r="4" ht="42" customHeight="1">
      <c r="A4" s="51" t="inlineStr">
        <is>
          <t>Your pet policy is ready</t>
        </is>
      </c>
    </row>
    <row r="5" ht="20" customHeight="1">
      <c r="A5" s="27" t="inlineStr">
        <is>
          <t>Build the print-ready document, then save as PDF.</t>
        </is>
      </c>
    </row>
    <row r="6">
      <c r="A6" s="1" t="n"/>
      <c r="B6" s="1" t="n"/>
      <c r="C6" s="1" t="n"/>
      <c r="D6" s="1" t="n"/>
      <c r="E6" s="1" t="n"/>
      <c r="F6" s="1" t="n"/>
      <c r="G6" s="1" t="n"/>
      <c r="H6" s="1" t="n"/>
      <c r="I6" s="1" t="n"/>
      <c r="J6" s="1" t="n"/>
      <c r="K6" s="1" t="n"/>
      <c r="L6" s="1" t="n"/>
    </row>
    <row r="8">
      <c r="A8" s="6" t="n"/>
      <c r="B8" s="6" t="n"/>
      <c r="C8" s="6" t="n"/>
      <c r="D8" s="6" t="n"/>
      <c r="E8" s="6" t="n"/>
      <c r="F8" s="6" t="n"/>
      <c r="G8" s="6" t="n"/>
      <c r="H8" s="6" t="n"/>
      <c r="I8" s="6" t="n"/>
      <c r="J8" s="6" t="n"/>
      <c r="K8" s="6" t="n"/>
      <c r="L8" s="6" t="n"/>
    </row>
    <row r="9">
      <c r="A9" s="52" t="inlineStr">
        <is>
          <t>COMPLETION</t>
        </is>
      </c>
      <c r="B9" s="53" t="n"/>
      <c r="C9" s="53" t="n"/>
      <c r="D9" s="54" t="n"/>
      <c r="E9" s="55" t="inlineStr">
        <is>
          <t>RED FLAGS</t>
        </is>
      </c>
      <c r="F9" s="53" t="n"/>
      <c r="G9" s="53" t="n"/>
      <c r="H9" s="54" t="n"/>
      <c r="I9" s="52" t="inlineStr">
        <is>
          <t>STATUS</t>
        </is>
      </c>
      <c r="J9" s="53" t="n"/>
      <c r="K9" s="53" t="n"/>
      <c r="L9" s="54" t="n"/>
    </row>
    <row r="10">
      <c r="A10" s="56">
        <f>TEXT((COUNTA('Pet Eligibility'!B8:B12) + COUNTA('Fees + Deposits'!B8:B11) + COUNTA('Property Rules'!B8:B12) + COUNTA('Service Animals'!B8:B9))/16, "0%")</f>
        <v/>
      </c>
      <c r="B10" s="57" t="n"/>
      <c r="C10" s="57" t="n"/>
      <c r="D10" s="58" t="n"/>
      <c r="E10" s="59">
        <f>IF('Pet Eligibility'!B8="",1,0) + IF('Pet Eligibility'!B9="",1,0) + IF('Fees + Deposits'!B8="",1,0) + IF('Fees + Deposits'!B9="",1,0) + IF('Service Animals'!B8="",1,0)</f>
        <v/>
      </c>
      <c r="F10" s="57" t="n"/>
      <c r="G10" s="57" t="n"/>
      <c r="H10" s="58" t="n"/>
      <c r="I10" s="60">
        <f>IF((IF('Pet Eligibility'!B8="",1,0) + IF('Pet Eligibility'!B9="",1,0) + IF('Fees + Deposits'!B8="",1,0) + IF('Fees + Deposits'!B9="",1,0) + IF('Service Animals'!B8="",1,0))=0,"READY",IF((IF('Pet Eligibility'!B8="",1,0) + IF('Pet Eligibility'!B9="",1,0) + IF('Fees + Deposits'!B8="",1,0) + IF('Fees + Deposits'!B9="",1,0) + IF('Service Animals'!B8="",1,0))&lt;=1,"MINOR","NEEDS WORK"))</f>
        <v/>
      </c>
      <c r="J10" s="57" t="n"/>
      <c r="K10" s="57" t="n"/>
      <c r="L10" s="58" t="n"/>
    </row>
    <row r="11">
      <c r="A11" s="61" t="n"/>
      <c r="B11" s="57" t="n"/>
      <c r="C11" s="57" t="n"/>
      <c r="D11" s="58" t="n"/>
      <c r="E11" s="61" t="n"/>
      <c r="F11" s="57" t="n"/>
      <c r="G11" s="57" t="n"/>
      <c r="H11" s="58" t="n"/>
      <c r="I11" s="61" t="n"/>
      <c r="J11" s="57" t="n"/>
      <c r="K11" s="57" t="n"/>
      <c r="L11" s="58" t="n"/>
    </row>
    <row r="12">
      <c r="A12" s="62" t="inlineStr">
        <is>
          <t>of 16 fields filled</t>
        </is>
      </c>
      <c r="B12" s="63" t="n"/>
      <c r="C12" s="63" t="n"/>
      <c r="D12" s="64" t="n"/>
      <c r="E12" s="62" t="inlineStr">
        <is>
          <t>required fields empty</t>
        </is>
      </c>
      <c r="F12" s="63" t="n"/>
      <c r="G12" s="63" t="n"/>
      <c r="H12" s="64" t="n"/>
      <c r="I12" s="62" t="inlineStr">
        <is>
          <t>0 = green · 1 = yellow · 2+ = red</t>
        </is>
      </c>
      <c r="J12" s="63" t="n"/>
      <c r="K12" s="63" t="n"/>
      <c r="L12" s="64" t="n"/>
    </row>
    <row r="13">
      <c r="A13" s="6" t="n"/>
      <c r="B13" s="6" t="n"/>
      <c r="C13" s="6" t="n"/>
      <c r="D13" s="6" t="n"/>
      <c r="E13" s="6" t="n"/>
      <c r="F13" s="6" t="n"/>
      <c r="G13" s="6" t="n"/>
      <c r="H13" s="6" t="n"/>
      <c r="I13" s="6" t="n"/>
      <c r="J13" s="6" t="n"/>
      <c r="K13" s="6" t="n"/>
      <c r="L13" s="6" t="n"/>
    </row>
    <row r="14">
      <c r="A14" s="6" t="n"/>
      <c r="B14" s="6" t="n"/>
      <c r="C14" s="6" t="n"/>
      <c r="D14" s="6" t="n"/>
      <c r="E14" s="6" t="n"/>
      <c r="F14" s="6" t="n"/>
      <c r="G14" s="6" t="n"/>
      <c r="H14" s="6" t="n"/>
      <c r="I14" s="6" t="n"/>
      <c r="J14" s="6" t="n"/>
      <c r="K14" s="6" t="n"/>
      <c r="L14" s="6" t="n"/>
    </row>
    <row r="16" ht="28" customHeight="1">
      <c r="A16" s="13">
        <f>HYPERLINK("#'Policy Output'!A1", "📄  BUILD POLICY DOC →")</f>
        <v/>
      </c>
      <c r="B16" s="14" t="n"/>
      <c r="C16" s="14" t="n"/>
      <c r="D16" s="14" t="n"/>
      <c r="E16" s="14" t="n"/>
      <c r="F16" s="14" t="n"/>
      <c r="G16" s="14" t="n"/>
      <c r="H16" s="14" t="n"/>
      <c r="I16" s="14" t="n"/>
      <c r="J16" s="14" t="n"/>
      <c r="K16" s="14" t="n"/>
      <c r="L16" s="14" t="n"/>
    </row>
    <row r="17" ht="28" customHeight="1">
      <c r="A17" s="14" t="n"/>
      <c r="B17" s="14" t="n"/>
      <c r="C17" s="14" t="n"/>
      <c r="D17" s="14" t="n"/>
      <c r="E17" s="14" t="n"/>
      <c r="F17" s="14" t="n"/>
      <c r="G17" s="14" t="n"/>
      <c r="H17" s="14" t="n"/>
      <c r="I17" s="14" t="n"/>
      <c r="J17" s="14" t="n"/>
      <c r="K17" s="14" t="n"/>
      <c r="L17" s="14" t="n"/>
    </row>
    <row r="18" ht="28" customHeight="1">
      <c r="A18" s="14" t="n"/>
      <c r="B18" s="14" t="n"/>
      <c r="C18" s="14" t="n"/>
      <c r="D18" s="14" t="n"/>
      <c r="E18" s="14" t="n"/>
      <c r="F18" s="14" t="n"/>
      <c r="G18" s="14" t="n"/>
      <c r="H18" s="14" t="n"/>
      <c r="I18" s="14" t="n"/>
      <c r="J18" s="14" t="n"/>
      <c r="K18" s="14" t="n"/>
      <c r="L18" s="14" t="n"/>
    </row>
    <row r="19" ht="28" customHeight="1">
      <c r="A19" s="14" t="n"/>
      <c r="B19" s="14" t="n"/>
      <c r="C19" s="14" t="n"/>
      <c r="D19" s="14" t="n"/>
      <c r="E19" s="14" t="n"/>
      <c r="F19" s="14" t="n"/>
      <c r="G19" s="14" t="n"/>
      <c r="H19" s="14" t="n"/>
      <c r="I19" s="14" t="n"/>
      <c r="J19" s="14" t="n"/>
      <c r="K19" s="14" t="n"/>
      <c r="L19" s="14" t="n"/>
    </row>
    <row r="20" ht="28" customHeight="1">
      <c r="A20" s="14" t="n"/>
      <c r="B20" s="14" t="n"/>
      <c r="C20" s="14" t="n"/>
      <c r="D20" s="14" t="n"/>
      <c r="E20" s="14" t="n"/>
      <c r="F20" s="14" t="n"/>
      <c r="G20" s="14" t="n"/>
      <c r="H20" s="14" t="n"/>
      <c r="I20" s="14" t="n"/>
      <c r="J20" s="14" t="n"/>
      <c r="K20" s="14" t="n"/>
      <c r="L20" s="14" t="n"/>
    </row>
    <row r="21" ht="28" customHeight="1">
      <c r="A21" s="14" t="n"/>
      <c r="B21" s="14" t="n"/>
      <c r="C21" s="14" t="n"/>
      <c r="D21" s="14" t="n"/>
      <c r="E21" s="14" t="n"/>
      <c r="F21" s="14" t="n"/>
      <c r="G21" s="14" t="n"/>
      <c r="H21" s="14" t="n"/>
      <c r="I21" s="14" t="n"/>
      <c r="J21" s="14" t="n"/>
      <c r="K21" s="14" t="n"/>
      <c r="L21" s="14" t="n"/>
    </row>
    <row r="22" ht="18" customHeight="1">
      <c r="A22" s="65" t="inlineStr">
        <is>
          <t>Click to jump to the Policy Output tab. Print it, or copy/paste into your listing's pet section.</t>
        </is>
      </c>
    </row>
    <row r="24">
      <c r="A24" s="20" t="n"/>
      <c r="B24" s="20" t="n"/>
      <c r="C24" s="20" t="n"/>
      <c r="D24" s="20" t="n"/>
      <c r="E24" s="20" t="n"/>
      <c r="F24" s="20" t="n"/>
      <c r="G24" s="20" t="n"/>
      <c r="H24" s="20" t="n"/>
      <c r="I24" s="20" t="n"/>
      <c r="J24" s="20" t="n"/>
      <c r="K24" s="20" t="n"/>
      <c r="L24" s="20" t="n"/>
    </row>
    <row r="25" ht="18" customHeight="1">
      <c r="A25" s="21" t="inlineStr">
        <is>
          <t>Questions? hello@thestrledger.com</t>
        </is>
      </c>
    </row>
    <row r="26" ht="18" customHeight="1">
      <c r="A26" s="22" t="inlineStr">
        <is>
          <t>Free updates forever · GST-003 v1.0</t>
        </is>
      </c>
    </row>
  </sheetData>
  <mergeCells count="17">
    <mergeCell ref="A26:L26"/>
    <mergeCell ref="D2:L2"/>
    <mergeCell ref="A16:L21"/>
    <mergeCell ref="A9:D9"/>
    <mergeCell ref="E9:H9"/>
    <mergeCell ref="A25:L25"/>
    <mergeCell ref="I9:L9"/>
    <mergeCell ref="A12:D12"/>
    <mergeCell ref="E12:H12"/>
    <mergeCell ref="A5:L5"/>
    <mergeCell ref="I12:L12"/>
    <mergeCell ref="E10:H11"/>
    <mergeCell ref="A22:L22"/>
    <mergeCell ref="I10:L11"/>
    <mergeCell ref="A10:D11"/>
    <mergeCell ref="A2:C2"/>
    <mergeCell ref="A4:L4"/>
  </mergeCells>
  <pageMargins left="0.5" right="0.5" top="0.5" bottom="0.5" header="0.5" footer="0.5"/>
  <pageSetup orientation="portrait" paperSize="1" fitToHeight="1" fitToWidth="1"/>
</worksheet>
</file>

<file path=xl/worksheets/sheet7.xml><?xml version="1.0" encoding="utf-8"?>
<worksheet xmlns="http://schemas.openxmlformats.org/spreadsheetml/2006/main">
  <sheetPr>
    <tabColor rgb="00E2C884"/>
    <outlinePr summaryBelow="1" summaryRight="1"/>
    <pageSetUpPr fitToPage="1"/>
  </sheetPr>
  <dimension ref="A1:L29"/>
  <sheetViews>
    <sheetView workbookViewId="0">
      <pane ySplit="3" topLeftCell="A4"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2" customHeight="1">
      <c r="A2" s="13">
        <f>HYPERLINK("#'Launch'!A1", "← BACK: Launch")</f>
        <v/>
      </c>
      <c r="B2" s="14" t="n"/>
      <c r="C2" s="14" t="n"/>
      <c r="D2" s="50" t="inlineStr">
        <is>
          <t>POLICY OUTPUT</t>
        </is>
      </c>
    </row>
    <row r="3" ht="6" customHeight="1">
      <c r="A3" s="1" t="n"/>
      <c r="B3" s="1" t="n"/>
      <c r="C3" s="1" t="n"/>
      <c r="D3" s="1" t="n"/>
      <c r="E3" s="1" t="n"/>
      <c r="F3" s="1" t="n"/>
      <c r="G3" s="1" t="n"/>
      <c r="H3" s="1" t="n"/>
      <c r="I3" s="1" t="n"/>
      <c r="J3" s="1" t="n"/>
      <c r="K3" s="1" t="n"/>
      <c r="L3" s="1" t="n"/>
    </row>
    <row r="4" ht="36" customHeight="1">
      <c r="A4" s="66" t="inlineStr">
        <is>
          <t>PET POLICY</t>
        </is>
      </c>
    </row>
    <row r="5" ht="18" customHeight="1">
      <c r="A5" s="67" t="inlineStr">
        <is>
          <t>Print this page and tape inside the unit, or paste into the 'Pets' field of your listing.</t>
        </is>
      </c>
    </row>
    <row r="6" ht="8" customHeight="1">
      <c r="A6" s="6" t="n"/>
      <c r="B6" s="6" t="n"/>
      <c r="C6" s="6" t="n"/>
      <c r="D6" s="6" t="n"/>
      <c r="E6" s="6" t="n"/>
      <c r="F6" s="6" t="n"/>
      <c r="G6" s="6" t="n"/>
      <c r="H6" s="6" t="n"/>
      <c r="I6" s="6" t="n"/>
      <c r="J6" s="6" t="n"/>
      <c r="K6" s="6" t="n"/>
      <c r="L6" s="6" t="n"/>
    </row>
    <row r="7" ht="20" customHeight="1">
      <c r="A7" s="29" t="inlineStr">
        <is>
          <t>1. ELIGIBILITY</t>
        </is>
      </c>
    </row>
    <row r="8" ht="100" customHeight="1">
      <c r="A8" s="68">
        <f>"Pets allowed: "&amp;'Pet Eligibility'!B8&amp;CHAR(10)&amp;"Maximum pets per stay: "&amp;'Pet Eligibility'!B9&amp;CHAR(10)&amp;"Weight cap: "&amp;'Pet Eligibility'!B10&amp;CHAR(10)&amp;"Breed restrictions: "&amp;'Pet Eligibility'!B11&amp;CHAR(10)&amp;"Age + training: "&amp;'Pet Eligibility'!B12</f>
        <v/>
      </c>
    </row>
    <row r="9" ht="6" customHeight="1"/>
    <row r="10" ht="20" customHeight="1">
      <c r="A10" s="29" t="inlineStr">
        <is>
          <t>2. FEES &amp; DEPOSITS</t>
        </is>
      </c>
    </row>
    <row r="11" ht="90" customHeight="1">
      <c r="A11" s="68">
        <f>"Per-pet fee: "&amp;'Fees + Deposits'!B8&amp;CHAR(10)&amp;"Refundable deposit: "&amp;'Fees + Deposits'!B9&amp;CHAR(10)&amp;"Per-night surcharge: "&amp;'Fees + Deposits'!B10&amp;CHAR(10)&amp;"Damage deductible: "&amp;'Fees + Deposits'!B11</f>
        <v/>
      </c>
    </row>
    <row r="12" ht="6" customHeight="1"/>
    <row r="13" ht="20" customHeight="1">
      <c r="A13" s="29" t="inlineStr">
        <is>
          <t>3. PROPERTY RULES</t>
        </is>
      </c>
    </row>
    <row r="14" ht="90" customHeight="1">
      <c r="A14" s="68">
        <f>"Living spaces: "&amp;'Property Rules'!B8&amp;CHAR(10)&amp;"Furniture / beds: "&amp;'Property Rules'!B9&amp;CHAR(10)&amp;"Alone-time: "&amp;'Property Rules'!B10&amp;CHAR(10)&amp;"Leash outdoors: "&amp;'Property Rules'!B11</f>
        <v/>
      </c>
    </row>
    <row r="15" ht="6" customHeight="1"/>
    <row r="16" ht="20" customHeight="1">
      <c r="A16" s="29" t="inlineStr">
        <is>
          <t>4. HEALTH REQUIREMENTS</t>
        </is>
      </c>
    </row>
    <row r="17" ht="50" customHeight="1">
      <c r="A17" s="68">
        <f>"Vaccination required: "&amp;'Service Animals'!B8&amp;CHAR(10)&amp;"Documentation: "&amp;'Service Animals'!B9</f>
        <v/>
      </c>
    </row>
    <row r="18" ht="6" customHeight="1"/>
    <row r="19" ht="20" customHeight="1">
      <c r="A19" s="29" t="inlineStr">
        <is>
          <t>5. SERVICE-ANIMAL EXCEPTION (ADA)</t>
        </is>
      </c>
    </row>
    <row r="20" ht="80" customHeight="1">
      <c r="A20" s="68">
        <f>"ADA SERVICE-ANIMAL EXCEPTION — Service animals as defined under the Americans with Disabilities Act (ADA) are welcome regardless of the policy above and are not subject to pet fees, weight caps, breed limits, or count restrictions. Emotional-support animals are not service animals under federal law and are subject to the standard pet policy."</f>
        <v/>
      </c>
    </row>
    <row r="21" ht="6" customHeight="1"/>
    <row r="22" ht="20" customHeight="1">
      <c r="A22" s="29" t="inlineStr">
        <is>
          <t>6. OWNER LIABILITY</t>
        </is>
      </c>
    </row>
    <row r="23" ht="70" customHeight="1">
      <c r="A23" s="68">
        <f>"OWNER LIABILITY — Guest assumes full responsibility for the pet's behavior, any property damage, and any injury caused to other guests, neighbors, or service personnel. Guest agrees to hold the host and platform harmless for incidents involving the pet."</f>
        <v/>
      </c>
    </row>
    <row r="24" ht="6" customHeight="1"/>
    <row r="25" ht="22" customHeight="1">
      <c r="A25" s="69" t="inlineStr">
        <is>
          <t>— The STR Ledger · thestrledger.com · Pet Policy Builder GST-003</t>
        </is>
      </c>
    </row>
    <row r="27">
      <c r="A27" s="20" t="n"/>
      <c r="B27" s="20" t="n"/>
      <c r="C27" s="20" t="n"/>
      <c r="D27" s="20" t="n"/>
      <c r="E27" s="20" t="n"/>
      <c r="F27" s="20" t="n"/>
      <c r="G27" s="20" t="n"/>
      <c r="H27" s="20" t="n"/>
      <c r="I27" s="20" t="n"/>
      <c r="J27" s="20" t="n"/>
      <c r="K27" s="20" t="n"/>
      <c r="L27" s="20" t="n"/>
    </row>
    <row r="28" ht="18" customHeight="1">
      <c r="A28" s="21" t="inlineStr">
        <is>
          <t>Questions? hello@thestrledger.com</t>
        </is>
      </c>
    </row>
    <row r="29" ht="18" customHeight="1">
      <c r="A29" s="22" t="inlineStr">
        <is>
          <t>Free updates forever · GST-003 v1.0</t>
        </is>
      </c>
    </row>
  </sheetData>
  <mergeCells count="19">
    <mergeCell ref="D2:L2"/>
    <mergeCell ref="A16:L16"/>
    <mergeCell ref="A7:L7"/>
    <mergeCell ref="A25:L25"/>
    <mergeCell ref="A2:C2"/>
    <mergeCell ref="A5:L5"/>
    <mergeCell ref="A23:L23"/>
    <mergeCell ref="A8:L8"/>
    <mergeCell ref="A14:L14"/>
    <mergeCell ref="A22:L22"/>
    <mergeCell ref="A17:L17"/>
    <mergeCell ref="A4:L4"/>
    <mergeCell ref="A20:L20"/>
    <mergeCell ref="A29:L29"/>
    <mergeCell ref="A10:L10"/>
    <mergeCell ref="A19:L19"/>
    <mergeCell ref="A28:L28"/>
    <mergeCell ref="A13:L13"/>
    <mergeCell ref="A11:L11"/>
  </mergeCells>
  <pageMargins left="0.5" right="0.5" top="0.5" bottom="0.5" header="0.5" footer="0.5"/>
  <pageSetup orientation="portrait" paperSize="1"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Pet Policy Builder — The STR Ledger</dc:title>
  <dc:description xmlns:dc="http://purl.org/dc/elements/1.1/">Wizard-style pet policy builder for Airbnb/VRBO hosts — 4 sections, formula-driven print-ready output.</dc:description>
  <dcterms:created xmlns:dcterms="http://purl.org/dc/terms/" xmlns:xsi="http://www.w3.org/2001/XMLSchema-instance" xsi:type="dcterms:W3CDTF">2026-05-03T19:05:47Z</dcterms:created>
  <dcterms:modified xmlns:dcterms="http://purl.org/dc/terms/" xmlns:xsi="http://www.w3.org/2001/XMLSchema-instance" xsi:type="dcterms:W3CDTF">2026-05-03T19:05:48Z</dcterms:modified>
</cp:coreProperties>
</file>