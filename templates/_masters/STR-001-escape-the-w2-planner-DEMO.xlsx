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urrent State" sheetId="2" state="visible" r:id="rId2"/>
    <sheet xmlns:r="http://schemas.openxmlformats.org/officeDocument/2006/relationships" name="Target State" sheetId="3" state="visible" r:id="rId3"/>
    <sheet xmlns:r="http://schemas.openxmlformats.org/officeDocument/2006/relationships" name="Acquisition Schedule" sheetId="4" state="visible" r:id="rId4"/>
    <sheet xmlns:r="http://schemas.openxmlformats.org/officeDocument/2006/relationships" name="Risk Plan" sheetId="5" state="visible" r:id="rId5"/>
    <sheet xmlns:r="http://schemas.openxmlformats.org/officeDocument/2006/relationships" name="Quit Date Calculator" sheetId="6" state="visible" r:id="rId6"/>
    <sheet xmlns:r="http://schemas.openxmlformats.org/officeDocument/2006/relationships" name="Conversation Doc" sheetId="7" state="visible" r:id="rId7"/>
  </sheets>
  <definedNames>
    <definedName name="_xlnm.Print_Area" localSheetId="0">'Start'!$A$1:$L$37</definedName>
    <definedName name="_xlnm.Print_Area" localSheetId="6">'Conversation Doc'!$A$1:$E$45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mm d, yyyy"/>
    <numFmt numFmtId="165" formatCode="&quot;$&quot;#,##0"/>
    <numFmt numFmtId="166" formatCode="yyyy-mm-dd"/>
    <numFmt numFmtId="167" formatCode="0.0%"/>
    <numFmt numFmtId="168" formatCode="0.0"/>
    <numFmt numFmtId="169" formatCode="mmm d, yyyy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b val="1"/>
      <color rgb="00C9A24B"/>
      <sz val="28"/>
    </font>
    <font>
      <name val="Georgia"/>
      <b val="1"/>
      <color rgb="0012304E"/>
      <sz val="24"/>
    </font>
    <font>
      <name val="Georgia"/>
      <i val="1"/>
      <color rgb="006B7280"/>
      <sz val="12"/>
    </font>
    <font>
      <name val="Consolas"/>
      <b val="1"/>
      <color rgb="0012304E"/>
      <sz val="9"/>
    </font>
    <font>
      <name val="Georgia"/>
      <b val="1"/>
      <color rgb="0012304E"/>
      <sz val="22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C9A24B"/>
      <sz val="11"/>
    </font>
    <font>
      <name val="Georgia"/>
      <b val="1"/>
      <color rgb="0012304E"/>
      <sz val="14"/>
    </font>
    <font>
      <name val="Georgia"/>
      <b val="1"/>
      <color rgb="0012304E"/>
      <sz val="20"/>
    </font>
    <font>
      <name val="Georgia"/>
      <i val="1"/>
      <color rgb="00C9A24B"/>
      <sz val="12"/>
    </font>
    <font>
      <name val="Georgia"/>
      <b val="1"/>
      <color rgb="00C9A24B"/>
      <sz val="20"/>
    </font>
    <font>
      <name val="Georgia"/>
      <b val="1"/>
      <color rgb="0012304E"/>
      <sz val="11"/>
    </font>
    <font>
      <name val="Calibri"/>
      <color rgb="002B2B2B"/>
      <sz val="10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bottom style="thin">
        <color rgb="0012304E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165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6" fontId="11" fillId="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165" fontId="11" fillId="5" borderId="0" applyAlignment="1" pivotButton="0" quotePrefix="0" xfId="0">
      <alignment horizontal="center" vertical="center"/>
    </xf>
    <xf numFmtId="1" fontId="11" fillId="5" borderId="0" applyAlignment="1" pivotButton="0" quotePrefix="0" xfId="0">
      <alignment horizontal="center" vertical="center"/>
    </xf>
    <xf numFmtId="165" fontId="22" fillId="6" borderId="0" applyAlignment="1" pivotButton="0" quotePrefix="0" xfId="0">
      <alignment horizontal="center" vertical="center"/>
    </xf>
    <xf numFmtId="167" fontId="22" fillId="6" borderId="0" applyAlignment="1" pivotButton="0" quotePrefix="0" xfId="0">
      <alignment horizontal="center" vertical="center"/>
    </xf>
    <xf numFmtId="168" fontId="22" fillId="6" borderId="0" applyAlignment="1" pivotButton="0" quotePrefix="0" xfId="0">
      <alignment horizontal="center" vertical="center"/>
    </xf>
    <xf numFmtId="168" fontId="11" fillId="5" borderId="0" applyAlignment="1" pivotButton="0" quotePrefix="0" xfId="0">
      <alignment horizontal="center" vertical="center"/>
    </xf>
    <xf numFmtId="1" fontId="22" fillId="6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 indent="1"/>
    </xf>
    <xf numFmtId="1" fontId="24" fillId="7" borderId="0" applyAlignment="1" pivotButton="0" quotePrefix="0" xfId="0">
      <alignment horizontal="center" vertical="center"/>
    </xf>
    <xf numFmtId="165" fontId="24" fillId="7" borderId="0" applyAlignment="1" pivotButton="0" quotePrefix="0" xfId="0">
      <alignment horizontal="center" vertical="center"/>
    </xf>
    <xf numFmtId="167" fontId="11" fillId="5" borderId="0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 vertical="top" wrapText="1" indent="1"/>
    </xf>
    <xf numFmtId="164" fontId="24" fillId="7" borderId="0" applyAlignment="1" pivotButton="0" quotePrefix="0" xfId="0">
      <alignment horizontal="center" vertical="center"/>
    </xf>
    <xf numFmtId="164" fontId="26" fillId="6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9" fontId="29" fillId="7" borderId="0" applyAlignment="1" pivotButton="0" quotePrefix="0" xfId="0">
      <alignment horizontal="center" vertical="center"/>
    </xf>
    <xf numFmtId="169" fontId="27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left" vertical="center"/>
    </xf>
    <xf numFmtId="0" fontId="0" fillId="0" borderId="6" pivotButton="0" quotePrefix="0" xfId="0"/>
    <xf numFmtId="0" fontId="32" fillId="0" borderId="0" applyAlignment="1" pivotButton="0" quotePrefix="0" xfId="0">
      <alignment horizontal="right" indent="1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Escape the W2 Planner</t>
        </is>
      </c>
    </row>
    <row r="5" ht="22" customHeight="1">
      <c r="A5" s="4" t="inlineStr">
        <is>
          <t>When the math says you can.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STR-001 · v1.0 · DEMO</t>
        </is>
      </c>
    </row>
    <row r="8" ht="18" customHeight="1">
      <c r="A8" s="6" t="inlineStr">
        <is>
          <t>OPTIMISTIC QUIT DATE</t>
        </is>
      </c>
    </row>
    <row r="9" ht="32" customHeight="1">
      <c r="A9" s="7">
        <f>'Quit Date Calculator'!C7</f>
        <v/>
      </c>
    </row>
    <row r="10" ht="18" customHeight="1"/>
    <row r="11" ht="18" customHeight="1">
      <c r="A11" s="6" t="inlineStr">
        <is>
          <t>CONSERVATIVE QUIT DATE</t>
        </is>
      </c>
    </row>
    <row r="12" ht="28" customHeight="1">
      <c r="A12" s="8">
        <f>'Quit Date Calculator'!C8</f>
        <v/>
      </c>
    </row>
    <row r="13" ht="14" customHeight="1"/>
    <row r="14" ht="20" customHeight="1">
      <c r="A14" s="9">
        <f>"Spread: "&amp;TEXT('Quit Date Calculator'!C9,"0.0")&amp;" years between best- and worst-case."</f>
        <v/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8" customHeight="1">
      <c r="A16" s="11" t="inlineStr">
        <is>
          <t>PROPS NEEDED</t>
        </is>
      </c>
      <c r="D16" s="11" t="inlineStr">
        <is>
          <t>CASH NEEDED AT QUIT</t>
        </is>
      </c>
      <c r="G16" s="11" t="inlineStr">
        <is>
          <t>HEALTHCARE BRIDGE</t>
        </is>
      </c>
      <c r="J16" s="11" t="inlineStr">
        <is>
          <t>Y1 PROJECTED NET</t>
        </is>
      </c>
    </row>
    <row r="17" ht="26" customHeight="1">
      <c r="A17" s="12">
        <f>'Target State'!C20</f>
        <v/>
      </c>
      <c r="D17" s="13">
        <f>'Target State'!C22</f>
        <v/>
      </c>
      <c r="G17" s="13">
        <f>'Risk Plan'!C22</f>
        <v/>
      </c>
      <c r="J17" s="13">
        <f>'Quit Date Calculator'!C19</f>
        <v/>
      </c>
    </row>
    <row r="18" ht="14" customHeight="1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8" customHeight="1">
      <c r="A20" s="14">
        <f>"You're "&amp;TEXT('Target State'!C20-'Current State'!C16,"0")&amp;" properties and "&amp;TEXT(MAX(0,'Target State'!C22-'Current State'!C18),"$#,##0")&amp;" away from the target. Two paths get you there: "&amp;TEXT('Quit Date Calculator'!C7,"mmm yyyy")&amp;" optimistic, "&amp;TEXT('Quit Date Calculator'!C8,"mmm yyyy")&amp;" conservative. The biggest swing factor is acquisition pace. Re-run when you close on a property."</f>
        <v/>
      </c>
    </row>
    <row r="21" ht="18" customHeight="1"/>
    <row r="22" ht="18" customHeight="1"/>
    <row r="24" ht="22" customHeight="1">
      <c r="A24" s="15">
        <f>HYPERLINK("#'Current State'!A1", "Current State")</f>
        <v/>
      </c>
      <c r="B24" s="16" t="n"/>
      <c r="C24" s="16" t="n"/>
      <c r="D24" s="15">
        <f>HYPERLINK("#'Target State'!A1", "Target State")</f>
        <v/>
      </c>
      <c r="E24" s="16" t="n"/>
      <c r="F24" s="16" t="n"/>
      <c r="G24" s="15">
        <f>HYPERLINK("#'Acquisition Schedule'!A1", "Acquisitions")</f>
        <v/>
      </c>
      <c r="H24" s="16" t="n"/>
      <c r="I24" s="16" t="n"/>
      <c r="J24" s="15">
        <f>HYPERLINK("#'Risk Plan'!A1", "Risk Plan")</f>
        <v/>
      </c>
      <c r="K24" s="16" t="n"/>
      <c r="L24" s="16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8" ht="22" customHeight="1">
      <c r="A28" s="17">
        <f>HYPERLINK("#'Quit Date Calculator'!A1", "→  Quit Date Calculator")</f>
        <v/>
      </c>
      <c r="B28" s="18" t="n"/>
      <c r="C28" s="18" t="n"/>
      <c r="D28" s="18" t="n"/>
      <c r="E28" s="18" t="n"/>
      <c r="F28" s="18" t="n"/>
      <c r="G28" s="19">
        <f>HYPERLINK("#'Conversation Doc'!A1", "Conversation Doc (printable)")</f>
        <v/>
      </c>
      <c r="H28" s="20" t="n"/>
      <c r="I28" s="20" t="n"/>
      <c r="J28" s="20" t="n"/>
      <c r="K28" s="20" t="n"/>
      <c r="L28" s="20" t="n"/>
    </row>
    <row r="29" ht="22" customHeight="1">
      <c r="A29" s="18" t="n"/>
      <c r="B29" s="18" t="n"/>
      <c r="C29" s="18" t="n"/>
      <c r="D29" s="18" t="n"/>
      <c r="E29" s="18" t="n"/>
      <c r="F29" s="18" t="n"/>
      <c r="G29" s="20" t="n"/>
      <c r="H29" s="20" t="n"/>
      <c r="I29" s="20" t="n"/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20" t="n"/>
      <c r="H30" s="20" t="n"/>
      <c r="I30" s="20" t="n"/>
      <c r="J30" s="20" t="n"/>
      <c r="K30" s="20" t="n"/>
      <c r="L30" s="20" t="n"/>
    </row>
    <row r="33" ht="36" customHeight="1">
      <c r="A33" s="21" t="inlineStr">
        <is>
          <t>Underwriting your next acquisition? Get the STR Deal Analyzer at thestrledger.com — $47.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STR-001 · v1.0 · DEMO · Free updates forever</t>
        </is>
      </c>
    </row>
  </sheetData>
  <mergeCells count="27">
    <mergeCell ref="A7:L7"/>
    <mergeCell ref="A37:L37"/>
    <mergeCell ref="A9:L10"/>
    <mergeCell ref="J17:L18"/>
    <mergeCell ref="J24:L26"/>
    <mergeCell ref="D16:F16"/>
    <mergeCell ref="A2:F2"/>
    <mergeCell ref="G28:L30"/>
    <mergeCell ref="J16:L16"/>
    <mergeCell ref="G24:I26"/>
    <mergeCell ref="A33:L33"/>
    <mergeCell ref="A5:L5"/>
    <mergeCell ref="A8:L8"/>
    <mergeCell ref="A14:L14"/>
    <mergeCell ref="G17:I18"/>
    <mergeCell ref="D17:F18"/>
    <mergeCell ref="A4:L4"/>
    <mergeCell ref="G16:I16"/>
    <mergeCell ref="D24:F26"/>
    <mergeCell ref="A20:L22"/>
    <mergeCell ref="A28:F30"/>
    <mergeCell ref="A12:L13"/>
    <mergeCell ref="A24:C26"/>
    <mergeCell ref="A11:L11"/>
    <mergeCell ref="A36:L36"/>
    <mergeCell ref="A17:C18"/>
    <mergeCell ref="A16:C1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CURRENT STATE</t>
        </is>
      </c>
      <c r="J2" s="17">
        <f>HYPERLINK("#'Target State'!A1",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1 — what you have today: W2, partner income, STR portfolio, runway.</t>
        </is>
      </c>
    </row>
    <row r="6" ht="24" customHeight="1">
      <c r="A6" s="27" t="inlineStr">
        <is>
          <t>PLAN ANCHOR</t>
        </is>
      </c>
    </row>
    <row r="7" ht="18" customHeight="1">
      <c r="B7" s="28" t="inlineStr">
        <is>
          <t>Plan start date:</t>
        </is>
      </c>
      <c r="C7" s="29" t="n">
        <v>46143</v>
      </c>
      <c r="E7" s="30" t="inlineStr">
        <is>
          <t>Today's date — when you started this planning round</t>
        </is>
      </c>
    </row>
    <row r="9" ht="24" customHeight="1">
      <c r="A9" s="27" t="inlineStr">
        <is>
          <t>HOUSEHOLD INCOME</t>
        </is>
      </c>
    </row>
    <row r="10" ht="18" customHeight="1">
      <c r="B10" s="28" t="inlineStr">
        <is>
          <t>Your W2 gross ($/yr):</t>
        </is>
      </c>
      <c r="C10" s="31" t="n">
        <v>145000</v>
      </c>
    </row>
    <row r="11" ht="18" customHeight="1">
      <c r="B11" s="28" t="inlineStr">
        <is>
          <t>Your W2 net ($/yr):</t>
        </is>
      </c>
      <c r="C11" s="31" t="n">
        <v>98000</v>
      </c>
      <c r="E11" s="30" t="inlineStr">
        <is>
          <t>After taxes, 401k, benefits</t>
        </is>
      </c>
    </row>
    <row r="12" ht="18" customHeight="1">
      <c r="B12" s="28" t="inlineStr">
        <is>
          <t>W2 benefits value ($/yr):</t>
        </is>
      </c>
      <c r="C12" s="31" t="n">
        <v>18000</v>
      </c>
      <c r="E12" s="30" t="inlineStr">
        <is>
          <t>Employer 401k match + health + life + disability</t>
        </is>
      </c>
    </row>
    <row r="13" ht="18" customHeight="1">
      <c r="B13" s="28" t="inlineStr">
        <is>
          <t>Partner W2 net ($/yr):</t>
        </is>
      </c>
      <c r="C13" s="31" t="n">
        <v>72000</v>
      </c>
      <c r="E13" s="30" t="inlineStr">
        <is>
          <t>Zero if single-income household</t>
        </is>
      </c>
    </row>
    <row r="15" ht="24" customHeight="1">
      <c r="A15" s="27" t="inlineStr">
        <is>
          <t>CURRENT STR PORTFOLIO</t>
        </is>
      </c>
    </row>
    <row r="16" ht="18" customHeight="1">
      <c r="B16" s="28" t="inlineStr">
        <is>
          <t># properties owned:</t>
        </is>
      </c>
      <c r="C16" s="32" t="n">
        <v>2</v>
      </c>
    </row>
    <row r="17" ht="18" customHeight="1">
      <c r="B17" s="28" t="inlineStr">
        <is>
          <t>Portfolio gross ($/yr):</t>
        </is>
      </c>
      <c r="C17" s="31" t="n">
        <v>58000</v>
      </c>
      <c r="E17" s="30" t="inlineStr">
        <is>
          <t>Total revenue across all properties YTD-annualized</t>
        </is>
      </c>
    </row>
    <row r="18" ht="18" customHeight="1">
      <c r="B18" s="28" t="inlineStr">
        <is>
          <t>Portfolio net ($/yr):</t>
        </is>
      </c>
      <c r="C18" s="31" t="n">
        <v>19000</v>
      </c>
      <c r="E18" s="30" t="inlineStr">
        <is>
          <t>Schedule E line 26 — what hits your tax return</t>
        </is>
      </c>
    </row>
    <row r="19" ht="18" customHeight="1">
      <c r="B19" s="28" t="inlineStr">
        <is>
          <t>Avg stab. net per prop ($/yr):</t>
        </is>
      </c>
      <c r="C19" s="31" t="n">
        <v>14000</v>
      </c>
      <c r="E19" s="30" t="inlineStr">
        <is>
          <t>Use a Y3 property — Y1/Y2 are depressed</t>
        </is>
      </c>
    </row>
    <row r="21" ht="24" customHeight="1">
      <c r="A21" s="27" t="inlineStr">
        <is>
          <t>EXPENSES &amp; RUNWAY</t>
        </is>
      </c>
    </row>
    <row r="22" ht="18" customHeight="1">
      <c r="B22" s="28" t="inlineStr">
        <is>
          <t>Annual household expenses ($):</t>
        </is>
      </c>
      <c r="C22" s="31" t="n">
        <v>96000</v>
      </c>
      <c r="E22" s="30" t="inlineStr">
        <is>
          <t>All in — mortgage, food, kids, etc.</t>
        </is>
      </c>
    </row>
    <row r="23" ht="18" customHeight="1">
      <c r="B23" s="28" t="inlineStr">
        <is>
          <t>Annual savings rate ($):</t>
        </is>
      </c>
      <c r="C23" s="31" t="n">
        <v>42000</v>
      </c>
      <c r="E23" s="30" t="inlineStr">
        <is>
          <t>What you actually deploy into properties each year</t>
        </is>
      </c>
    </row>
    <row r="24" ht="18" customHeight="1">
      <c r="B24" s="28" t="inlineStr">
        <is>
          <t>Current liquid runway ($):</t>
        </is>
      </c>
      <c r="C24" s="31" t="n">
        <v>48000</v>
      </c>
      <c r="E24" s="30" t="inlineStr">
        <is>
          <t>Cash after closing on existing properties</t>
        </is>
      </c>
    </row>
    <row r="26" ht="24" customHeight="1">
      <c r="A26" s="27" t="inlineStr">
        <is>
          <t>ROLLUP</t>
        </is>
      </c>
    </row>
    <row r="27" ht="18" customHeight="1">
      <c r="B27" s="28" t="inlineStr">
        <is>
          <t>Total household income (net):</t>
        </is>
      </c>
      <c r="C27" s="33">
        <f>C11+C13+C18</f>
        <v/>
      </c>
    </row>
    <row r="28" ht="18" customHeight="1">
      <c r="B28" s="28" t="inlineStr">
        <is>
          <t>Income replaced by STR today:</t>
        </is>
      </c>
      <c r="C28" s="34">
        <f>IFERROR(C18/(C11+C12),0)</f>
        <v/>
      </c>
    </row>
    <row r="29" ht="18" customHeight="1">
      <c r="B29" s="28" t="inlineStr">
        <is>
          <t>Implied savings rate:</t>
        </is>
      </c>
      <c r="C29" s="34">
        <f>IFERROR(C23/(C11+C13+C18),0)</f>
        <v/>
      </c>
    </row>
    <row r="30" ht="18" customHeight="1">
      <c r="B30" s="28" t="inlineStr">
        <is>
          <t>Years runway covers expenses:</t>
        </is>
      </c>
      <c r="C30" s="35">
        <f>IFERROR(C24/C22,0)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</row>
    <row r="34" ht="18" customHeight="1">
      <c r="A34" s="23" t="inlineStr">
        <is>
          <t>Questions? hello@thestrledger.com</t>
        </is>
      </c>
    </row>
    <row r="35" ht="18" customHeight="1">
      <c r="A35" s="24" t="inlineStr">
        <is>
          <t>STR-001 · Current State</t>
        </is>
      </c>
    </row>
  </sheetData>
  <mergeCells count="21">
    <mergeCell ref="E12:L12"/>
    <mergeCell ref="E18:L18"/>
    <mergeCell ref="D2:I2"/>
    <mergeCell ref="E24:L24"/>
    <mergeCell ref="E23:L23"/>
    <mergeCell ref="A21:L21"/>
    <mergeCell ref="A2:C2"/>
    <mergeCell ref="A26:L26"/>
    <mergeCell ref="E17:L17"/>
    <mergeCell ref="E13:L13"/>
    <mergeCell ref="E19:L19"/>
    <mergeCell ref="A35:L35"/>
    <mergeCell ref="A4:L4"/>
    <mergeCell ref="J2:L2"/>
    <mergeCell ref="E11:L11"/>
    <mergeCell ref="A9:L9"/>
    <mergeCell ref="A34:L34"/>
    <mergeCell ref="A15:L15"/>
    <mergeCell ref="E7:L7"/>
    <mergeCell ref="A6:L6"/>
    <mergeCell ref="E22:L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HYPERLINK("#'Current State'!A1", "← BACK")</f>
        <v/>
      </c>
      <c r="B2" s="16" t="n"/>
      <c r="C2" s="16" t="n"/>
      <c r="D2" s="25" t="inlineStr">
        <is>
          <t>TARGET STATE</t>
        </is>
      </c>
      <c r="J2" s="17">
        <f>HYPERLINK("#'Acquisition Schedule'!A1",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2 — what 'enough' looks like: replacement income, buffer, properties needed.</t>
        </is>
      </c>
    </row>
    <row r="6" ht="24" customHeight="1">
      <c r="A6" s="27" t="inlineStr">
        <is>
          <t>REPLACEMENT INCOME</t>
        </is>
      </c>
    </row>
    <row r="7" ht="18" customHeight="1">
      <c r="B7" s="28" t="inlineStr">
        <is>
          <t>Target replacement income ($/yr):</t>
        </is>
      </c>
      <c r="C7" s="31" t="n">
        <v>112000</v>
      </c>
      <c r="E7" s="30" t="inlineStr">
        <is>
          <t>Default = current W2 net + benefits cost + healthcare bridge</t>
        </is>
      </c>
    </row>
    <row r="8" ht="18" customHeight="1">
      <c r="B8" s="28" t="inlineStr">
        <is>
          <t>Buffer multiple (×):</t>
        </is>
      </c>
      <c r="C8" s="36" t="n">
        <v>1.5</v>
      </c>
      <c r="E8" s="30" t="inlineStr">
        <is>
          <t>1.5× = handle a bad year without panic</t>
        </is>
      </c>
    </row>
    <row r="9" ht="18" customHeight="1">
      <c r="B9" s="28" t="inlineStr">
        <is>
          <t>Target liquid reserve at quit ($):</t>
        </is>
      </c>
      <c r="C9" s="31" t="n">
        <v>48000</v>
      </c>
      <c r="E9" s="30" t="inlineStr">
        <is>
          <t>Default 6 months of expenses</t>
        </is>
      </c>
    </row>
    <row r="10" ht="18" customHeight="1">
      <c r="B10" s="28" t="inlineStr">
        <is>
          <t>Target stabilized net per prop ($/yr):</t>
        </is>
      </c>
      <c r="C10" s="31" t="n">
        <v>14000</v>
      </c>
      <c r="E10" s="30" t="inlineStr">
        <is>
          <t>Use the per-property economics you actually achieve</t>
        </is>
      </c>
    </row>
    <row r="12" ht="24" customHeight="1">
      <c r="A12" s="27" t="inlineStr">
        <is>
          <t>WHAT THE MATH SAYS</t>
        </is>
      </c>
    </row>
    <row r="13" ht="18" customHeight="1">
      <c r="B13" s="28" t="inlineStr">
        <is>
          <t>Buffered income required ($/yr):</t>
        </is>
      </c>
      <c r="C13" s="33">
        <f>C7*C8</f>
        <v/>
      </c>
    </row>
    <row r="14" ht="18" customHeight="1">
      <c r="B14" s="28" t="inlineStr">
        <is>
          <t>Less current STR portfolio net:</t>
        </is>
      </c>
      <c r="C14" s="33">
        <f>'Current State'!C18</f>
        <v/>
      </c>
    </row>
    <row r="15" ht="18" customHeight="1">
      <c r="B15" s="28" t="inlineStr">
        <is>
          <t>Net new STR income required:</t>
        </is>
      </c>
      <c r="C15" s="33">
        <f>MAX(0,C13-C14)</f>
        <v/>
      </c>
    </row>
    <row r="16" ht="18" customHeight="1">
      <c r="B16" s="28" t="inlineStr">
        <is>
          <t>Properties to add (rounded up):</t>
        </is>
      </c>
      <c r="C16" s="37">
        <f>IFERROR(CEILING(C15/C10,1),0)</f>
        <v/>
      </c>
    </row>
    <row r="17" ht="18" customHeight="1">
      <c r="B17" s="28" t="inlineStr">
        <is>
          <t>Total properties at quit:</t>
        </is>
      </c>
      <c r="C17" s="37">
        <f>'Current State'!C16+C16</f>
        <v/>
      </c>
    </row>
    <row r="19" ht="24" customHeight="1">
      <c r="A19" s="27" t="inlineStr">
        <is>
          <t>HEADLINE NUMBERS  (referenced by Start tab)</t>
        </is>
      </c>
    </row>
    <row r="20" ht="22" customHeight="1">
      <c r="B20" s="38" t="inlineStr">
        <is>
          <t>TOTAL PROPERTIES NEEDED:</t>
        </is>
      </c>
      <c r="C20" s="39">
        <f>C17</f>
        <v/>
      </c>
    </row>
    <row r="21" ht="18" customHeight="1">
      <c r="B21" s="28" t="inlineStr">
        <is>
          <t>Cash deployment per property ($):</t>
        </is>
      </c>
      <c r="C21" s="33">
        <f>95000</f>
        <v/>
      </c>
    </row>
    <row r="22" ht="22" customHeight="1">
      <c r="B22" s="38" t="inlineStr">
        <is>
          <t>TOTAL CASH NEEDED AT QUIT ($):</t>
        </is>
      </c>
      <c r="C22" s="40">
        <f>C16*C21+C9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STR-001 · Target State</t>
        </is>
      </c>
    </row>
  </sheetData>
  <mergeCells count="13">
    <mergeCell ref="A26:L26"/>
    <mergeCell ref="E9:L9"/>
    <mergeCell ref="J2:L2"/>
    <mergeCell ref="D2:I2"/>
    <mergeCell ref="A12:L12"/>
    <mergeCell ref="A19:L19"/>
    <mergeCell ref="E7:L7"/>
    <mergeCell ref="E10:L10"/>
    <mergeCell ref="A6:L6"/>
    <mergeCell ref="E8:L8"/>
    <mergeCell ref="A27:L27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HYPERLINK("#'Target State'!A1", "← BACK")</f>
        <v/>
      </c>
      <c r="B2" s="16" t="n"/>
      <c r="C2" s="16" t="n"/>
      <c r="D2" s="25" t="inlineStr">
        <is>
          <t>ACQUISITION SCHEDULE</t>
        </is>
      </c>
      <c r="J2" s="17">
        <f>HYPERLINK("#'Risk Plan'!A1",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3 — year-by-year property adds and cash deployment.</t>
        </is>
      </c>
    </row>
    <row r="6" ht="24" customHeight="1">
      <c r="A6" s="27" t="inlineStr">
        <is>
          <t>PACE ASSUMPTIONS</t>
        </is>
      </c>
    </row>
    <row r="7" ht="18" customHeight="1">
      <c r="B7" s="28" t="inlineStr">
        <is>
          <t>Optimistic props/year:</t>
        </is>
      </c>
      <c r="C7" s="36" t="n">
        <v>3</v>
      </c>
      <c r="E7" s="30" t="inlineStr">
        <is>
          <t>Faster acquisition pace, current per-prop economics</t>
        </is>
      </c>
    </row>
    <row r="8" ht="18" customHeight="1">
      <c r="B8" s="28" t="inlineStr">
        <is>
          <t>Conservative props/year:</t>
        </is>
      </c>
      <c r="C8" s="36" t="n">
        <v>1.5</v>
      </c>
      <c r="E8" s="30" t="inlineStr">
        <is>
          <t>Slower pace, conservative occupancy</t>
        </is>
      </c>
    </row>
    <row r="9" ht="18" customHeight="1">
      <c r="B9" s="28" t="inlineStr">
        <is>
          <t>Cash per property ($):</t>
        </is>
      </c>
      <c r="C9" s="31" t="n">
        <v>95000</v>
      </c>
      <c r="E9" s="30" t="inlineStr">
        <is>
          <t>Down + closing + rehab + furnish + reserve</t>
        </is>
      </c>
    </row>
    <row r="10" ht="18" customHeight="1">
      <c r="B10" s="28" t="inlineStr">
        <is>
          <t>Y1 net haircut (%):</t>
        </is>
      </c>
      <c r="C10" s="41" t="n">
        <v>0.65</v>
      </c>
      <c r="E10" s="30" t="inlineStr">
        <is>
          <t>Y1 ≈ 65% of stabilized</t>
        </is>
      </c>
    </row>
    <row r="12" ht="24" customHeight="1">
      <c r="A12" s="27" t="inlineStr">
        <is>
          <t>7-YEAR SCHEDULE  (Optimistic pace)</t>
        </is>
      </c>
    </row>
    <row r="13" ht="22" customHeight="1">
      <c r="B13" s="42" t="inlineStr">
        <is>
          <t>Year</t>
        </is>
      </c>
      <c r="C13" s="42" t="inlineStr">
        <is>
          <t>Plan year</t>
        </is>
      </c>
      <c r="D13" s="42" t="inlineStr">
        <is>
          <t>Props added</t>
        </is>
      </c>
      <c r="E13" s="42" t="inlineStr">
        <is>
          <t>Cash deployed</t>
        </is>
      </c>
      <c r="F13" s="42" t="inlineStr">
        <is>
          <t>Y1 net added</t>
        </is>
      </c>
      <c r="G13" s="42" t="inlineStr">
        <is>
          <t>Stabilized net total</t>
        </is>
      </c>
      <c r="H13" s="42" t="inlineStr">
        <is>
          <t>Cumulative net</t>
        </is>
      </c>
      <c r="I13" s="42" t="inlineStr">
        <is>
          <t>Reaches target?</t>
        </is>
      </c>
    </row>
    <row r="14" ht="18" customHeight="1">
      <c r="B14" s="43" t="n">
        <v>1</v>
      </c>
      <c r="C14" s="43">
        <f>YEAR('Current State'!C7)+0</f>
        <v/>
      </c>
      <c r="D14" s="44">
        <f>$C$7</f>
        <v/>
      </c>
      <c r="E14" s="45">
        <f>D14*$C$9</f>
        <v/>
      </c>
      <c r="F14" s="45">
        <f>D14*'Target State'!C10*$C$10</f>
        <v/>
      </c>
      <c r="G14" s="45">
        <f>'Current State'!C18+D14*'Target State'!C10*$C$10</f>
        <v/>
      </c>
      <c r="H14" s="45">
        <f>G14</f>
        <v/>
      </c>
      <c r="I14" s="46">
        <f>IF(H14&gt;='Target State'!C13,"YES","")</f>
        <v/>
      </c>
    </row>
    <row r="15" ht="18" customHeight="1">
      <c r="B15" s="43" t="n">
        <v>2</v>
      </c>
      <c r="C15" s="43">
        <f>YEAR('Current State'!C7)+1</f>
        <v/>
      </c>
      <c r="D15" s="44">
        <f>IF(H14&gt;='Target State'!C13,0,$C$7)</f>
        <v/>
      </c>
      <c r="E15" s="45">
        <f>D15*$C$9</f>
        <v/>
      </c>
      <c r="F15" s="45">
        <f>D15*'Target State'!C10*$C$10</f>
        <v/>
      </c>
      <c r="G15" s="45">
        <f>G14+D15*'Target State'!C10*$C$10+SUM($D$14:$D14)*'Target State'!C10*(1-$C$10)/2</f>
        <v/>
      </c>
      <c r="H15" s="45">
        <f>G15</f>
        <v/>
      </c>
      <c r="I15" s="46">
        <f>IF(H15&gt;='Target State'!C13,"YES","")</f>
        <v/>
      </c>
    </row>
    <row r="16" ht="18" customHeight="1">
      <c r="B16" s="43" t="n">
        <v>3</v>
      </c>
      <c r="C16" s="43">
        <f>YEAR('Current State'!C7)+2</f>
        <v/>
      </c>
      <c r="D16" s="44">
        <f>IF(H15&gt;='Target State'!C13,0,$C$7)</f>
        <v/>
      </c>
      <c r="E16" s="45">
        <f>D16*$C$9</f>
        <v/>
      </c>
      <c r="F16" s="45">
        <f>D16*'Target State'!C10*$C$10</f>
        <v/>
      </c>
      <c r="G16" s="45">
        <f>G15+D16*'Target State'!C10*$C$10+SUM($D$14:$D15)*'Target State'!C10*(1-$C$10)/2</f>
        <v/>
      </c>
      <c r="H16" s="45">
        <f>G16</f>
        <v/>
      </c>
      <c r="I16" s="46">
        <f>IF(H16&gt;='Target State'!C13,"YES","")</f>
        <v/>
      </c>
    </row>
    <row r="17" ht="18" customHeight="1">
      <c r="B17" s="43" t="n">
        <v>4</v>
      </c>
      <c r="C17" s="43">
        <f>YEAR('Current State'!C7)+3</f>
        <v/>
      </c>
      <c r="D17" s="44">
        <f>IF(H16&gt;='Target State'!C13,0,$C$7)</f>
        <v/>
      </c>
      <c r="E17" s="45">
        <f>D17*$C$9</f>
        <v/>
      </c>
      <c r="F17" s="45">
        <f>D17*'Target State'!C10*$C$10</f>
        <v/>
      </c>
      <c r="G17" s="45">
        <f>G16+D17*'Target State'!C10*$C$10+SUM($D$14:$D16)*'Target State'!C10*(1-$C$10)/2</f>
        <v/>
      </c>
      <c r="H17" s="45">
        <f>G17</f>
        <v/>
      </c>
      <c r="I17" s="46">
        <f>IF(H17&gt;='Target State'!C13,"YES","")</f>
        <v/>
      </c>
    </row>
    <row r="18" ht="18" customHeight="1">
      <c r="B18" s="43" t="n">
        <v>5</v>
      </c>
      <c r="C18" s="43">
        <f>YEAR('Current State'!C7)+4</f>
        <v/>
      </c>
      <c r="D18" s="44">
        <f>IF(H17&gt;='Target State'!C13,0,$C$7)</f>
        <v/>
      </c>
      <c r="E18" s="45">
        <f>D18*$C$9</f>
        <v/>
      </c>
      <c r="F18" s="45">
        <f>D18*'Target State'!C10*$C$10</f>
        <v/>
      </c>
      <c r="G18" s="45">
        <f>G17+D18*'Target State'!C10*$C$10+SUM($D$14:$D17)*'Target State'!C10*(1-$C$10)/2</f>
        <v/>
      </c>
      <c r="H18" s="45">
        <f>G18</f>
        <v/>
      </c>
      <c r="I18" s="46">
        <f>IF(H18&gt;='Target State'!C13,"YES","")</f>
        <v/>
      </c>
    </row>
    <row r="19" ht="18" customHeight="1">
      <c r="B19" s="43" t="n">
        <v>6</v>
      </c>
      <c r="C19" s="43">
        <f>YEAR('Current State'!C7)+5</f>
        <v/>
      </c>
      <c r="D19" s="44">
        <f>IF(H18&gt;='Target State'!C13,0,$C$7)</f>
        <v/>
      </c>
      <c r="E19" s="45">
        <f>D19*$C$9</f>
        <v/>
      </c>
      <c r="F19" s="45">
        <f>D19*'Target State'!C10*$C$10</f>
        <v/>
      </c>
      <c r="G19" s="45">
        <f>G18+D19*'Target State'!C10*$C$10+SUM($D$14:$D18)*'Target State'!C10*(1-$C$10)/2</f>
        <v/>
      </c>
      <c r="H19" s="45">
        <f>G19</f>
        <v/>
      </c>
      <c r="I19" s="46">
        <f>IF(H19&gt;='Target State'!C13,"YES","")</f>
        <v/>
      </c>
    </row>
    <row r="20" ht="18" customHeight="1">
      <c r="B20" s="43" t="n">
        <v>7</v>
      </c>
      <c r="C20" s="43">
        <f>YEAR('Current State'!C7)+6</f>
        <v/>
      </c>
      <c r="D20" s="44">
        <f>IF(H19&gt;='Target State'!C13,0,$C$7)</f>
        <v/>
      </c>
      <c r="E20" s="45">
        <f>D20*$C$9</f>
        <v/>
      </c>
      <c r="F20" s="45">
        <f>D20*'Target State'!C10*$C$10</f>
        <v/>
      </c>
      <c r="G20" s="45">
        <f>G19+D20*'Target State'!C10*$C$10+SUM($D$14:$D19)*'Target State'!C10*(1-$C$10)/2</f>
        <v/>
      </c>
      <c r="H20" s="45">
        <f>G20</f>
        <v/>
      </c>
      <c r="I20" s="46">
        <f>IF(H20&gt;='Target State'!C13,"YES","")</f>
        <v/>
      </c>
    </row>
    <row r="22" ht="14" customHeight="1">
      <c r="A22" s="47" t="inlineStr">
        <is>
          <t>Note: schedule shows the optimistic pace. Conservative pace is modeled on the Quit Date Calculator tab. This table assumes you don't sell — additions are layered on top of the current portfolio. The Conversation Doc tab folds this into the partner-facing summary.</t>
        </is>
      </c>
    </row>
    <row r="23" ht="14" customHeight="1"/>
    <row r="24" ht="14" customHeight="1"/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STR-001 · Acquisition Schedule</t>
        </is>
      </c>
    </row>
  </sheetData>
  <mergeCells count="13">
    <mergeCell ref="E9:L9"/>
    <mergeCell ref="J2:L2"/>
    <mergeCell ref="D2:I2"/>
    <mergeCell ref="A12:L12"/>
    <mergeCell ref="E7:L7"/>
    <mergeCell ref="A28:L28"/>
    <mergeCell ref="E10:L10"/>
    <mergeCell ref="A22:L24"/>
    <mergeCell ref="A6:L6"/>
    <mergeCell ref="E8:L8"/>
    <mergeCell ref="A27:L27"/>
    <mergeCell ref="A2:C2"/>
    <mergeCell ref="A4:L4"/>
  </mergeCells>
  <conditionalFormatting sqref="B14:I20">
    <cfRule type="expression" priority="1" dxfId="0">
      <formula>$I14="YES"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HYPERLINK("#'Acquisition Schedule'!A1", "← BACK")</f>
        <v/>
      </c>
      <c r="B2" s="16" t="n"/>
      <c r="C2" s="16" t="n"/>
      <c r="D2" s="25" t="inlineStr">
        <is>
          <t>RISK PLAN</t>
        </is>
      </c>
      <c r="J2" s="17">
        <f>HYPERLINK("#'Quit Date Calculator'!A1",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4 — what no one talks about: healthcare bridge, insurance gap, partner buy-in.</t>
        </is>
      </c>
    </row>
    <row r="6" ht="24" customHeight="1">
      <c r="A6" s="27" t="inlineStr">
        <is>
          <t>HEALTHCARE BRIDGE</t>
        </is>
      </c>
    </row>
    <row r="7" ht="18" customHeight="1">
      <c r="B7" s="28" t="inlineStr">
        <is>
          <t>Current employer cost ($/yr):</t>
        </is>
      </c>
      <c r="C7" s="31" t="n">
        <v>3600</v>
      </c>
      <c r="E7" s="30" t="inlineStr">
        <is>
          <t>Your share of premium today</t>
        </is>
      </c>
    </row>
    <row r="8" ht="18" customHeight="1">
      <c r="B8" s="28" t="inlineStr">
        <is>
          <t>COBRA cost ($/yr, family):</t>
        </is>
      </c>
      <c r="C8" s="31" t="n">
        <v>14400</v>
      </c>
      <c r="E8" s="30" t="inlineStr">
        <is>
          <t>Typically 102% of full premium — DOL</t>
        </is>
      </c>
    </row>
    <row r="9" ht="18" customHeight="1">
      <c r="B9" s="28" t="inlineStr">
        <is>
          <t>ACA cost ($/yr, family):</t>
        </is>
      </c>
      <c r="C9" s="31" t="n">
        <v>9600</v>
      </c>
      <c r="E9" s="30" t="inlineStr">
        <is>
          <t>Post-subsidy mid-range — KFF benchmark</t>
        </is>
      </c>
    </row>
    <row r="10" ht="18" customHeight="1">
      <c r="B10" s="28" t="inlineStr">
        <is>
          <t>COBRA bridge (months):</t>
        </is>
      </c>
      <c r="C10" s="32" t="n">
        <v>18</v>
      </c>
      <c r="E10" s="30" t="inlineStr">
        <is>
          <t>Max 18 per federal law</t>
        </is>
      </c>
    </row>
    <row r="11" ht="18" customHeight="1">
      <c r="B11" s="28" t="inlineStr">
        <is>
          <t>ACA bridge (months):</t>
        </is>
      </c>
      <c r="C11" s="32" t="n">
        <v>24</v>
      </c>
      <c r="E11" s="30" t="inlineStr">
        <is>
          <t>Until STR income covers ACA</t>
        </is>
      </c>
    </row>
    <row r="13" ht="24" customHeight="1">
      <c r="A13" s="27" t="inlineStr">
        <is>
          <t>INSURANCE &amp; BENEFITS LOST</t>
        </is>
      </c>
    </row>
    <row r="14" ht="18" customHeight="1">
      <c r="B14" s="28" t="inlineStr">
        <is>
          <t>Disability insurance lost ($/yr):</t>
        </is>
      </c>
      <c r="C14" s="31" t="n">
        <v>1800</v>
      </c>
      <c r="E14" s="30" t="inlineStr">
        <is>
          <t>Replacement long-term disability premium</t>
        </is>
      </c>
    </row>
    <row r="15" ht="18" customHeight="1">
      <c r="B15" s="28" t="inlineStr">
        <is>
          <t>Life insurance lost ($/yr):</t>
        </is>
      </c>
      <c r="C15" s="31" t="n">
        <v>600</v>
      </c>
      <c r="E15" s="30" t="inlineStr">
        <is>
          <t>Term life premium to replace employer policy</t>
        </is>
      </c>
    </row>
    <row r="17" ht="24" customHeight="1">
      <c r="A17" s="27" t="inlineStr">
        <is>
          <t>PARTNER RISK-SHARE</t>
        </is>
      </c>
    </row>
    <row r="18" ht="18" customHeight="1">
      <c r="B18" s="28" t="inlineStr">
        <is>
          <t>Partner expense coverage (%):</t>
        </is>
      </c>
      <c r="C18" s="41" t="n">
        <v>0.4</v>
      </c>
      <c r="E18" s="30" t="inlineStr">
        <is>
          <t>Share of household expenses partner W2 covers in transition</t>
        </is>
      </c>
    </row>
    <row r="19" ht="18" customHeight="1">
      <c r="B19" s="28" t="inlineStr">
        <is>
          <t>Partner buy-in (1-5):</t>
        </is>
      </c>
      <c r="C19" s="32" t="n">
        <v>4</v>
      </c>
      <c r="E19" s="30" t="inlineStr">
        <is>
          <t>1=skeptical, 5=enthusiastic — drives Conservative scenario</t>
        </is>
      </c>
    </row>
    <row r="21" ht="24" customHeight="1">
      <c r="A21" s="27" t="inlineStr">
        <is>
          <t>HEADLINE NUMBERS  (referenced by Start tab as C22)</t>
        </is>
      </c>
    </row>
    <row r="22" ht="22" customHeight="1">
      <c r="B22" s="38" t="inlineStr">
        <is>
          <t>HEALTHCARE BRIDGE TOTAL ($):</t>
        </is>
      </c>
      <c r="C22" s="40">
        <f>(C8*C10/12)+(C9*C11/12)</f>
        <v/>
      </c>
    </row>
    <row r="23" ht="18" customHeight="1">
      <c r="B23" s="28" t="inlineStr">
        <is>
          <t>Insurance gap total ($/yr):</t>
        </is>
      </c>
      <c r="C23" s="33">
        <f>C14+C15</f>
        <v/>
      </c>
    </row>
    <row r="24" ht="18" customHeight="1">
      <c r="B24" s="28" t="inlineStr">
        <is>
          <t>Annual partner coverage ($):</t>
        </is>
      </c>
      <c r="C24" s="33">
        <f>C18*'Current State'!C22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STR-001 · Risk Plan</t>
        </is>
      </c>
    </row>
  </sheetData>
  <mergeCells count="19">
    <mergeCell ref="E18:L18"/>
    <mergeCell ref="D2:I2"/>
    <mergeCell ref="E14:L14"/>
    <mergeCell ref="A21:L21"/>
    <mergeCell ref="E8:L8"/>
    <mergeCell ref="A2:C2"/>
    <mergeCell ref="E10:L10"/>
    <mergeCell ref="A17:L17"/>
    <mergeCell ref="E19:L19"/>
    <mergeCell ref="A4:L4"/>
    <mergeCell ref="E9:L9"/>
    <mergeCell ref="J2:L2"/>
    <mergeCell ref="A29:L29"/>
    <mergeCell ref="E15:L15"/>
    <mergeCell ref="A28:L28"/>
    <mergeCell ref="E11:L11"/>
    <mergeCell ref="A13:L13"/>
    <mergeCell ref="E7:L7"/>
    <mergeCell ref="A6:L6"/>
  </mergeCells>
  <dataValidations count="1">
    <dataValidation sqref="C1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HYPERLINK("#'Risk Plan'!A1", "← BACK")</f>
        <v/>
      </c>
      <c r="B2" s="16" t="n"/>
      <c r="C2" s="16" t="n"/>
      <c r="D2" s="25" t="inlineStr">
        <is>
          <t>QUIT DATE CALCULATOR</t>
        </is>
      </c>
      <c r="J2" s="17">
        <f>HYPERLINK("#'Conversation Doc'!A1",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5 — the math behind the headline date. Adjust assumptions below.</t>
        </is>
      </c>
    </row>
    <row r="6" ht="24" customHeight="1">
      <c r="A6" s="27" t="inlineStr">
        <is>
          <t>QUIT DATES</t>
        </is>
      </c>
    </row>
    <row r="7" ht="24" customHeight="1">
      <c r="B7" s="28" t="inlineStr">
        <is>
          <t>Optimistic quit date:</t>
        </is>
      </c>
      <c r="C7" s="48">
        <f>EDATE('Current State'!C7,(MAX(0,'Target State'!C16/C12))*12)</f>
        <v/>
      </c>
    </row>
    <row r="8" ht="24" customHeight="1">
      <c r="B8" s="28" t="inlineStr">
        <is>
          <t>Conservative quit date:</t>
        </is>
      </c>
      <c r="C8" s="49">
        <f>EDATE('Current State'!C7,(MAX(0,'Target State'!C16/C13)*(1+(5-'Risk Plan'!C19)/10))*12)</f>
        <v/>
      </c>
    </row>
    <row r="9" ht="20" customHeight="1">
      <c r="B9" s="28" t="inlineStr">
        <is>
          <t>Spread (years):</t>
        </is>
      </c>
      <c r="C9" s="35">
        <f>(C8-C7)/365.25</f>
        <v/>
      </c>
    </row>
    <row r="11" ht="24" customHeight="1">
      <c r="A11" s="27" t="inlineStr">
        <is>
          <t>ASSUMPTIONS  (edit to test scenarios)</t>
        </is>
      </c>
    </row>
    <row r="12" ht="18" customHeight="1">
      <c r="B12" s="28" t="inlineStr">
        <is>
          <t>Optimistic props/year:</t>
        </is>
      </c>
      <c r="C12" s="36" t="n">
        <v>3</v>
      </c>
      <c r="E12" s="30" t="inlineStr">
        <is>
          <t>Faster pace + current per-prop economics</t>
        </is>
      </c>
    </row>
    <row r="13" ht="18" customHeight="1">
      <c r="B13" s="28" t="inlineStr">
        <is>
          <t>Conservative props/year:</t>
        </is>
      </c>
      <c r="C13" s="36" t="n">
        <v>1.5</v>
      </c>
      <c r="E13" s="30" t="inlineStr">
        <is>
          <t>Slower pace; further adjusted by partner buy-in</t>
        </is>
      </c>
    </row>
    <row r="14" ht="18" customHeight="1">
      <c r="B14" s="28" t="inlineStr">
        <is>
          <t>Optimistic stabilized occ:</t>
        </is>
      </c>
      <c r="C14" s="41" t="n">
        <v>0.68</v>
      </c>
      <c r="E14" s="30" t="inlineStr">
        <is>
          <t>Used by acquisition modeling</t>
        </is>
      </c>
    </row>
    <row r="15" ht="18" customHeight="1">
      <c r="B15" s="28" t="inlineStr">
        <is>
          <t>Conservative stabilized occ:</t>
        </is>
      </c>
      <c r="C15" s="41" t="n">
        <v>0.55</v>
      </c>
    </row>
    <row r="17" ht="24" customHeight="1">
      <c r="A17" s="27" t="inlineStr">
        <is>
          <t>HEADLINE NUMBERS  (referenced by Start tab)</t>
        </is>
      </c>
    </row>
    <row r="18" ht="18" customHeight="1">
      <c r="B18" s="28" t="inlineStr">
        <is>
          <t>Stabilized portfolio at quit ($/yr):</t>
        </is>
      </c>
      <c r="C18" s="33">
        <f>'Target State'!C17*'Target State'!C10</f>
        <v/>
      </c>
    </row>
    <row r="19" ht="22" customHeight="1">
      <c r="B19" s="38" t="inlineStr">
        <is>
          <t>Y1 PROJECTED NET ($/yr):</t>
        </is>
      </c>
      <c r="C19" s="40">
        <f>C18*0.65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8" customHeight="1">
      <c r="A23" s="23" t="inlineStr">
        <is>
          <t>Questions? hello@thestrledger.com</t>
        </is>
      </c>
    </row>
    <row r="24" ht="18" customHeight="1">
      <c r="A24" s="24" t="inlineStr">
        <is>
          <t>STR-001 · Quit Date Calculator</t>
        </is>
      </c>
    </row>
  </sheetData>
  <mergeCells count="12">
    <mergeCell ref="A24:L24"/>
    <mergeCell ref="E12:L12"/>
    <mergeCell ref="J2:L2"/>
    <mergeCell ref="D2:I2"/>
    <mergeCell ref="A11:L11"/>
    <mergeCell ref="A23:L23"/>
    <mergeCell ref="A6:L6"/>
    <mergeCell ref="E13:L13"/>
    <mergeCell ref="E14:L14"/>
    <mergeCell ref="A17:L17"/>
    <mergeCell ref="A2:C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HYPERLINK("#'Quit Date Calculator'!A1", "← BACK")</f>
        <v/>
      </c>
      <c r="B2" s="16" t="n"/>
      <c r="C2" s="16" t="n"/>
      <c r="D2" s="25" t="inlineStr">
        <is>
          <t>CONVERSATION DOC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50">
        <f>"Our Path Off W2 — "&amp;TEXT(TODAY(),"mmmm d, yyyy")</f>
        <v/>
      </c>
      <c r="F4" s="10" t="n"/>
      <c r="G4" s="10" t="n"/>
      <c r="H4" s="10" t="n"/>
      <c r="I4" s="10" t="n"/>
      <c r="J4" s="10" t="n"/>
      <c r="K4" s="10" t="n"/>
      <c r="L4" s="10" t="n"/>
    </row>
    <row r="5" ht="16" customHeight="1"/>
    <row r="7" ht="20" customHeight="1">
      <c r="A7" s="51" t="inlineStr">
        <is>
          <t>A calm reading of where we are, what we need, and when the math says we can.</t>
        </is>
      </c>
    </row>
    <row r="9" ht="24" customHeight="1">
      <c r="A9" s="27" t="inlineStr">
        <is>
          <t>QUIT DATE</t>
        </is>
      </c>
    </row>
    <row r="10">
      <c r="B10" s="52" t="inlineStr">
        <is>
          <t>Optimistic</t>
        </is>
      </c>
      <c r="D10" s="52" t="inlineStr">
        <is>
          <t>Conservative</t>
        </is>
      </c>
    </row>
    <row r="11" ht="24" customHeight="1">
      <c r="B11" s="53">
        <f>'Quit Date Calculator'!C7</f>
        <v/>
      </c>
      <c r="D11" s="54">
        <f>'Quit Date Calculator'!C8</f>
        <v/>
      </c>
    </row>
    <row r="12" ht="14" customHeight="1"/>
    <row r="14" ht="24" customHeight="1">
      <c r="A14" s="27" t="inlineStr">
        <is>
          <t>THE FOUR NUMBERS</t>
        </is>
      </c>
    </row>
    <row r="15" ht="18" customHeight="1">
      <c r="B15" s="28" t="inlineStr">
        <is>
          <t>Properties needed:</t>
        </is>
      </c>
      <c r="C15" s="37">
        <f>'Target State'!C20</f>
        <v/>
      </c>
    </row>
    <row r="16" ht="18" customHeight="1">
      <c r="B16" s="28" t="inlineStr">
        <is>
          <t>Cash needed at quit:</t>
        </is>
      </c>
      <c r="C16" s="33">
        <f>'Target State'!C22</f>
        <v/>
      </c>
    </row>
    <row r="17" ht="18" customHeight="1">
      <c r="B17" s="28" t="inlineStr">
        <is>
          <t>Healthcare bridge:</t>
        </is>
      </c>
      <c r="C17" s="33">
        <f>'Risk Plan'!C22</f>
        <v/>
      </c>
    </row>
    <row r="18" ht="18" customHeight="1">
      <c r="B18" s="28" t="inlineStr">
        <is>
          <t>Y1-after-quit projected net:</t>
        </is>
      </c>
      <c r="C18" s="33">
        <f>'Quit Date Calculator'!C19</f>
        <v/>
      </c>
    </row>
    <row r="20" ht="24" customHeight="1">
      <c r="A20" s="27" t="inlineStr">
        <is>
          <t>THREE BIGGEST SWING FACTORS</t>
        </is>
      </c>
    </row>
    <row r="21" ht="22" customHeight="1">
      <c r="B21" s="55" t="inlineStr">
        <is>
          <t>1. Acquisition pace</t>
        </is>
      </c>
      <c r="C21" s="56">
        <f>"Optimistic adds "&amp;TEXT('Quit Date Calculator'!C12,"0.0")&amp;" props/yr; conservative "&amp;TEXT('Quit Date Calculator'!C13,"0.0")&amp;"/yr."</f>
        <v/>
      </c>
    </row>
    <row r="22" ht="22" customHeight="1">
      <c r="B22" s="55" t="inlineStr">
        <is>
          <t>2. Healthcare bridge</t>
        </is>
      </c>
      <c r="C22" s="56">
        <f>"Total bridge cost "&amp;TEXT('Risk Plan'!C20,"$#,##0")&amp;" across "&amp;'Risk Plan'!C10&amp;"mo COBRA + "&amp;'Risk Plan'!C11&amp;"mo ACA."</f>
        <v/>
      </c>
    </row>
    <row r="23" ht="22" customHeight="1">
      <c r="B23" s="55" t="inlineStr">
        <is>
          <t>3. Partner buy-in</t>
        </is>
      </c>
      <c r="C23" s="56">
        <f>"Buy-in level "&amp;'Risk Plan'!C19&amp;"/5. Partner covers "&amp;TEXT('Risk Plan'!C18,"0%")&amp;" of expenses during transition."</f>
        <v/>
      </c>
    </row>
    <row r="25" ht="24" customHeight="1">
      <c r="A25" s="27" t="inlineStr">
        <is>
          <t>ACTION PLAN — NEXT THREE PROPERTIES</t>
        </is>
      </c>
    </row>
    <row r="26">
      <c r="B26" s="42" t="inlineStr">
        <is>
          <t>#</t>
        </is>
      </c>
      <c r="C26" s="42" t="inlineStr">
        <is>
          <t>Plan year</t>
        </is>
      </c>
      <c r="D26" s="42" t="inlineStr">
        <is>
          <t>Cash needed</t>
        </is>
      </c>
      <c r="E26" s="42" t="inlineStr">
        <is>
          <t>Notes</t>
        </is>
      </c>
    </row>
    <row r="27" ht="18" customHeight="1">
      <c r="B27" s="57" t="n">
        <v>1</v>
      </c>
      <c r="C27" s="43">
        <f>YEAR('Current State'!C7)+0</f>
        <v/>
      </c>
      <c r="D27" s="45">
        <f>'Acquisition Schedule'!C9</f>
        <v/>
      </c>
      <c r="E27" s="58" t="inlineStr"/>
    </row>
    <row r="28" ht="18" customHeight="1">
      <c r="B28" s="57" t="n">
        <v>2</v>
      </c>
      <c r="C28" s="43">
        <f>YEAR('Current State'!C7)+1</f>
        <v/>
      </c>
      <c r="D28" s="45">
        <f>'Acquisition Schedule'!C9</f>
        <v/>
      </c>
      <c r="E28" s="58" t="inlineStr"/>
    </row>
    <row r="29" ht="18" customHeight="1">
      <c r="B29" s="57" t="n">
        <v>3</v>
      </c>
      <c r="C29" s="43">
        <f>YEAR('Current State'!C7)+2</f>
        <v/>
      </c>
      <c r="D29" s="45">
        <f>'Acquisition Schedule'!C9</f>
        <v/>
      </c>
      <c r="E29" s="58" t="inlineStr"/>
    </row>
    <row r="31" ht="24" customHeight="1">
      <c r="A31" s="27" t="inlineStr">
        <is>
          <t>RISK ACKNOWLEDGMENTS</t>
        </is>
      </c>
    </row>
    <row r="32" ht="18" customHeight="1">
      <c r="B32" s="56" t="inlineStr">
        <is>
          <t>·  We have priced the healthcare bridge into our target replacement income.</t>
        </is>
      </c>
    </row>
    <row r="33" ht="18" customHeight="1">
      <c r="B33" s="56" t="inlineStr">
        <is>
          <t>·  We have a partner risk-share plan if STR income disappoints in Y1.</t>
        </is>
      </c>
    </row>
    <row r="34" ht="18" customHeight="1">
      <c r="B34" s="56" t="inlineStr">
        <is>
          <t>·  We will re-run this workbook after every property close.</t>
        </is>
      </c>
    </row>
    <row r="35" ht="18" customHeight="1">
      <c r="B35" s="56" t="inlineStr">
        <is>
          <t>·  We will not quit until the conservative cash flow figure is positive.</t>
        </is>
      </c>
    </row>
    <row r="38" ht="24" customHeight="1">
      <c r="A38" s="27" t="inlineStr">
        <is>
          <t>PARTNER SIGN-OFF</t>
        </is>
      </c>
    </row>
    <row r="39" ht="22" customHeight="1">
      <c r="B39" s="28" t="inlineStr">
        <is>
          <t>Signed:</t>
        </is>
      </c>
      <c r="C39" s="59" t="inlineStr"/>
    </row>
    <row r="40">
      <c r="B40" s="60" t="inlineStr">
        <is>
          <t>Date:</t>
        </is>
      </c>
    </row>
    <row r="41" ht="22" customHeight="1">
      <c r="B41" s="28" t="inlineStr">
        <is>
          <t>Signed:</t>
        </is>
      </c>
      <c r="C41" s="59" t="inlineStr"/>
    </row>
    <row r="42">
      <c r="B42" s="60" t="inlineStr">
        <is>
          <t>Date:</t>
        </is>
      </c>
    </row>
  </sheetData>
  <mergeCells count="23">
    <mergeCell ref="D2:L2"/>
    <mergeCell ref="D10:E10"/>
    <mergeCell ref="A25:L25"/>
    <mergeCell ref="C41:E41"/>
    <mergeCell ref="C22:E22"/>
    <mergeCell ref="B33:E33"/>
    <mergeCell ref="C21:E21"/>
    <mergeCell ref="A2:C2"/>
    <mergeCell ref="B32:E32"/>
    <mergeCell ref="B35:E35"/>
    <mergeCell ref="A4:E5"/>
    <mergeCell ref="A7:E7"/>
    <mergeCell ref="C23:E23"/>
    <mergeCell ref="C39:E39"/>
    <mergeCell ref="A14:L14"/>
    <mergeCell ref="A20:L20"/>
    <mergeCell ref="A38:L38"/>
    <mergeCell ref="B10:C10"/>
    <mergeCell ref="A31:L31"/>
    <mergeCell ref="A9:L9"/>
    <mergeCell ref="B11:C12"/>
    <mergeCell ref="D11:E12"/>
    <mergeCell ref="B34:E3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Escape the W2 Planner — The STR Ledger</dc:title>
  <dc:description xmlns:dc="http://purl.org/dc/elements/1.1/">Career-transition planning workbook for STR investors with W2 jobs. Returns optimistic and conservative quit dates plus a printable partner-conversation doc.</dc:description>
  <dcterms:created xmlns:dcterms="http://purl.org/dc/terms/" xmlns:xsi="http://www.w3.org/2001/XMLSchema-instance" xsi:type="dcterms:W3CDTF">2026-05-03T19:04:40Z</dcterms:created>
  <dcterms:modified xmlns:dcterms="http://purl.org/dc/terms/" xmlns:xsi="http://www.w3.org/2001/XMLSchema-instance" xsi:type="dcterms:W3CDTF">2026-05-03T19:04:40Z</dcterms:modified>
</cp:coreProperties>
</file>