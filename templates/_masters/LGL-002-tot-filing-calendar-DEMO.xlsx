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  <sheet xmlns:r="http://schemas.openxmlformats.org/officeDocument/2006/relationships" name="Revenue Matrix" sheetId="2" state="visible" r:id="rId2"/>
    <sheet xmlns:r="http://schemas.openxmlformats.org/officeDocument/2006/relationships" name="TOT Calculator" sheetId="3" state="visible" r:id="rId3"/>
    <sheet xmlns:r="http://schemas.openxmlformats.org/officeDocument/2006/relationships" name="Filing List" sheetId="4" state="visible" r:id="rId4"/>
    <sheet xmlns:r="http://schemas.openxmlformats.org/officeDocument/2006/relationships" name="Settings" sheetId="5" state="visible" r:id="rId5"/>
  </sheets>
  <definedNames>
    <definedName name="_xlnm.Print_Area" localSheetId="0">'Start'!$A$1:$L$45</definedName>
    <definedName name="_xlnm.Print_Titles" localSheetId="1">'Revenue Matrix'!$1:$5</definedName>
    <definedName name="_xlnm.Print_Area" localSheetId="1">'Revenue Matrix'!$A$1:$O$14</definedName>
    <definedName name="_xlnm.Print_Titles" localSheetId="2">'TOT Calculator'!$1:$5</definedName>
    <definedName name="_xlnm.Print_Area" localSheetId="2">'TOT Calculator'!$A$1:$H$45</definedName>
    <definedName name="_xlnm._FilterDatabase" localSheetId="3" hidden="1">'Filing List'!$A$5:$F$41</definedName>
    <definedName name="_xlnm.Print_Titles" localSheetId="3">'Filing List'!$1:$5</definedName>
    <definedName name="_xlnm.Print_Area" localSheetId="3">'Filing List'!$A$1:$F$42</definedName>
    <definedName name="_xlnm.Print_Titles" localSheetId="4">'Settings'!$1:$5</definedName>
    <definedName name="_xlnm.Print_Area" localSheetId="4">'Settings'!$A$1:$G$40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#,##0;[Red](&quot;$&quot;#,##0)"/>
    <numFmt numFmtId="165" formatCode="&quot;$&quot;#,##0"/>
    <numFmt numFmtId="166" formatCode="&quot;$&quot;#,##0.00"/>
    <numFmt numFmtId="167" formatCode="yyyy-mm-dd"/>
  </numFmts>
  <fonts count="28">
    <font>
      <name val="Calibri"/>
      <family val="2"/>
      <color theme="1"/>
      <sz val="11"/>
      <scheme val="minor"/>
    </font>
    <font>
      <name val="Georgia"/>
      <color rgb="00F6EFE2"/>
      <sz val="14"/>
    </font>
    <font>
      <name val="Georgia"/>
      <b val="1"/>
      <color rgb="00F6EFE2"/>
      <sz val="36"/>
    </font>
    <font>
      <name val="Georgia"/>
      <i val="1"/>
      <color rgb="00C9A24B"/>
      <sz val="14"/>
    </font>
    <font>
      <name val="Georgia"/>
      <b val="1"/>
      <color rgb="00C9A24B"/>
      <sz val="16"/>
    </font>
    <font>
      <name val="Consolas"/>
      <color rgb="00C9A24B"/>
      <sz val="9"/>
    </font>
    <font>
      <name val="Consolas"/>
      <b val="1"/>
      <color rgb="0012304E"/>
      <sz val="10"/>
    </font>
    <font>
      <name val="Calibri"/>
      <color rgb="002B2B2B"/>
      <sz val="11"/>
    </font>
    <font>
      <name val="Georgia"/>
      <b val="1"/>
      <color rgb="00F6EFE2"/>
      <sz val="13"/>
    </font>
    <font>
      <name val="Consolas"/>
      <b val="1"/>
      <color rgb="0012304E"/>
      <sz val="9"/>
    </font>
    <font>
      <name val="Georgia"/>
      <b val="1"/>
      <color rgb="0012304E"/>
      <sz val="28"/>
    </font>
    <font>
      <name val="Calibri"/>
      <color rgb="006B7280"/>
      <sz val="9"/>
    </font>
    <font>
      <name val="Consolas"/>
      <b val="1"/>
      <color rgb="00C9A24B"/>
      <sz val="9"/>
    </font>
    <font>
      <name val="Georgia"/>
      <b val="1"/>
      <color rgb="00C9A24B"/>
      <sz val="24"/>
    </font>
    <font>
      <name val="Georgia"/>
      <b val="1"/>
      <color rgb="0012304E"/>
      <sz val="13"/>
    </font>
    <font>
      <name val="Calibri"/>
      <color rgb="0012304E"/>
      <sz val="10"/>
    </font>
    <font>
      <name val="Calibri"/>
      <color rgb="006B7280"/>
      <sz val="10"/>
    </font>
    <font>
      <name val="Calibri"/>
      <i val="1"/>
      <color rgb="00C9A24B"/>
      <sz val="10"/>
    </font>
    <font>
      <name val="Consolas"/>
      <b val="1"/>
      <color rgb="00C9A24B"/>
      <sz val="10"/>
    </font>
    <font>
      <name val="Calibri"/>
      <i val="1"/>
      <color rgb="002B2B2B"/>
      <sz val="10"/>
    </font>
    <font>
      <name val="Calibri"/>
      <b val="1"/>
      <color rgb="00FFFFFF"/>
      <sz val="11"/>
    </font>
    <font>
      <name val="Calibri"/>
      <b val="1"/>
      <color rgb="002B2B2B"/>
      <sz val="11"/>
    </font>
    <font>
      <name val="Consolas"/>
      <b val="1"/>
      <color rgb="006B7280"/>
      <sz val="10"/>
    </font>
    <font>
      <name val="Calibri"/>
      <i val="1"/>
      <color rgb="002B2B2B"/>
      <sz val="11"/>
    </font>
    <font>
      <name val="Georgia"/>
      <b val="1"/>
      <color rgb="00F6EFE2"/>
      <sz val="12"/>
    </font>
    <font>
      <name val="Georgia"/>
      <b val="1"/>
      <color rgb="0012304E"/>
      <sz val="12"/>
    </font>
    <font>
      <name val="Consolas"/>
      <color rgb="006B7280"/>
      <sz val="10"/>
    </font>
    <font>
      <name val="Calibri"/>
      <i val="1"/>
      <color rgb="006B7280"/>
      <sz val="10"/>
    </font>
  </fonts>
  <fills count="9">
    <fill>
      <patternFill/>
    </fill>
    <fill>
      <patternFill patternType="gray125"/>
    </fill>
    <fill>
      <patternFill patternType="solid">
        <fgColor rgb="0012304E"/>
      </patternFill>
    </fill>
    <fill>
      <patternFill patternType="solid">
        <fgColor rgb="00F6EFE2"/>
      </patternFill>
    </fill>
    <fill>
      <patternFill patternType="solid">
        <fgColor rgb="00E2C884"/>
      </patternFill>
    </fill>
    <fill>
      <patternFill patternType="solid">
        <fgColor rgb="00EFE5D0"/>
      </patternFill>
    </fill>
    <fill>
      <patternFill patternType="solid">
        <fgColor rgb="00C9A24B"/>
      </patternFill>
    </fill>
    <fill>
      <patternFill patternType="solid">
        <fgColor rgb="00FFF7D6"/>
      </patternFill>
    </fill>
    <fill>
      <patternFill patternType="solid">
        <fgColor rgb="00EDEDED"/>
      </patternFill>
    </fill>
  </fills>
  <borders count="15">
    <border>
      <left/>
      <right/>
      <top/>
      <bottom/>
      <diagonal/>
    </border>
    <border>
      <left style="medium">
        <color rgb="00C9A24B"/>
      </left>
      <right style="medium">
        <color rgb="00C9A24B"/>
      </right>
      <top style="medium">
        <color rgb="00C9A24B"/>
      </top>
      <bottom style="medium">
        <color rgb="00C9A24B"/>
      </bottom>
    </border>
    <border>
      <left style="thin">
        <color rgb="00C9A24B"/>
      </left>
      <right/>
      <top style="thin">
        <color rgb="00C9A24B"/>
      </top>
      <bottom/>
    </border>
    <border>
      <left/>
      <right/>
      <top style="thin">
        <color rgb="00C9A24B"/>
      </top>
      <bottom/>
    </border>
    <border>
      <left/>
      <right style="thin">
        <color rgb="00C9A24B"/>
      </right>
      <top style="thin">
        <color rgb="00C9A24B"/>
      </top>
      <bottom/>
    </border>
    <border>
      <left style="thin">
        <color rgb="00C9A24B"/>
      </left>
      <right/>
      <top/>
      <bottom/>
    </border>
    <border>
      <left/>
      <right/>
      <top/>
      <bottom/>
    </border>
    <border>
      <left/>
      <right style="thin">
        <color rgb="00C9A24B"/>
      </right>
      <top/>
      <bottom/>
    </border>
    <border>
      <left style="thin">
        <color rgb="00C9A24B"/>
      </left>
      <right/>
      <top/>
      <bottom style="thin">
        <color rgb="00C9A24B"/>
      </bottom>
    </border>
    <border>
      <left/>
      <right/>
      <top/>
      <bottom style="thin">
        <color rgb="00C9A24B"/>
      </bottom>
    </border>
    <border>
      <left/>
      <right style="thin">
        <color rgb="00C9A24B"/>
      </right>
      <top/>
      <bottom style="thin">
        <color rgb="00C9A24B"/>
      </bottom>
    </border>
    <border>
      <left style="thin">
        <color rgb="00C9A24B"/>
      </left>
      <right style="thin">
        <color rgb="00C9A24B"/>
      </right>
      <top style="thin">
        <color rgb="00C9A24B"/>
      </top>
      <bottom style="thin">
        <color rgb="00C9A24B"/>
      </bottom>
    </border>
    <border>
      <left style="medium">
        <color rgb="0012304E"/>
      </left>
      <right style="medium">
        <color rgb="0012304E"/>
      </right>
      <top style="medium">
        <color rgb="0012304E"/>
      </top>
      <bottom style="medium">
        <color rgb="0012304E"/>
      </bottom>
    </border>
    <border>
      <top style="thin">
        <color rgb="00C9A24B"/>
      </top>
    </border>
    <border>
      <left style="thin">
        <color rgb="0012304E"/>
      </left>
      <right style="thin">
        <color rgb="0012304E"/>
      </right>
      <top style="thin">
        <color rgb="0012304E"/>
      </top>
      <bottom style="thin">
        <color rgb="0012304E"/>
      </bottom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 indent="2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left" vertical="center" indent="2"/>
    </xf>
    <xf numFmtId="0" fontId="7" fillId="3" borderId="0" applyAlignment="1" pivotButton="0" quotePrefix="0" xfId="0">
      <alignment horizontal="left" vertical="center" wrapText="1" indent="2"/>
    </xf>
    <xf numFmtId="0" fontId="0" fillId="3" borderId="0" pivotButton="0" quotePrefix="0" xfId="0"/>
    <xf numFmtId="0" fontId="7" fillId="5" borderId="0" applyAlignment="1" pivotButton="0" quotePrefix="0" xfId="0">
      <alignment horizontal="left" vertical="center" wrapText="1" indent="2"/>
    </xf>
    <xf numFmtId="0" fontId="0" fillId="5" borderId="0" pivotButton="0" quotePrefix="0" xfId="0"/>
    <xf numFmtId="0" fontId="8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9" fillId="3" borderId="2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12" fillId="3" borderId="2" applyAlignment="1" pivotButton="0" quotePrefix="0" xfId="0">
      <alignment horizontal="center"/>
    </xf>
    <xf numFmtId="164" fontId="10" fillId="3" borderId="5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13" fillId="3" borderId="5" applyAlignment="1" pivotButton="0" quotePrefix="0" xfId="0">
      <alignment horizontal="center" vertical="center"/>
    </xf>
    <xf numFmtId="1" fontId="10" fillId="3" borderId="5" applyAlignment="1" pivotButton="0" quotePrefix="0" xfId="0">
      <alignment horizontal="center" vertical="center"/>
    </xf>
    <xf numFmtId="0" fontId="0" fillId="0" borderId="5" pivotButton="0" quotePrefix="0" xfId="0"/>
    <xf numFmtId="0" fontId="11" fillId="3" borderId="8" applyAlignment="1" pivotButton="0" quotePrefix="0" xfId="0">
      <alignment horizontal="center"/>
    </xf>
    <xf numFmtId="0" fontId="0" fillId="0" borderId="9" pivotButton="0" quotePrefix="0" xfId="0"/>
    <xf numFmtId="0" fontId="0" fillId="0" borderId="10" pivotButton="0" quotePrefix="0" xfId="0"/>
    <xf numFmtId="0" fontId="14" fillId="3" borderId="11" applyAlignment="1" pivotButton="0" quotePrefix="0" xfId="0">
      <alignment horizontal="center" vertical="center" wrapText="1"/>
    </xf>
    <xf numFmtId="0" fontId="0" fillId="0" borderId="11" pivotButton="0" quotePrefix="0" xfId="0"/>
    <xf numFmtId="0" fontId="14" fillId="6" borderId="12" applyAlignment="1" pivotButton="0" quotePrefix="0" xfId="0">
      <alignment horizontal="center" vertical="center" wrapText="1"/>
    </xf>
    <xf numFmtId="0" fontId="0" fillId="0" borderId="12" pivotButton="0" quotePrefix="0" xfId="0"/>
    <xf numFmtId="0" fontId="15" fillId="4" borderId="0" applyAlignment="1" pivotButton="0" quotePrefix="0" xfId="0">
      <alignment horizontal="center" vertical="center" wrapText="1"/>
    </xf>
    <xf numFmtId="0" fontId="0" fillId="0" borderId="13" pivotButton="0" quotePrefix="0" xfId="0"/>
    <xf numFmtId="0" fontId="16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right" vertical="center" indent="2"/>
    </xf>
    <xf numFmtId="0" fontId="19" fillId="3" borderId="0" applyAlignment="1" pivotButton="0" quotePrefix="0" xfId="0">
      <alignment horizontal="left" vertical="center" indent="1"/>
    </xf>
    <xf numFmtId="0" fontId="20" fillId="2" borderId="14" applyAlignment="1" pivotButton="0" quotePrefix="0" xfId="0">
      <alignment horizontal="center" vertical="center"/>
    </xf>
    <xf numFmtId="0" fontId="21" fillId="5" borderId="0" applyAlignment="1" pivotButton="0" quotePrefix="0" xfId="0">
      <alignment horizontal="left" vertical="center" indent="1"/>
    </xf>
    <xf numFmtId="0" fontId="22" fillId="5" borderId="0" applyAlignment="1" pivotButton="0" quotePrefix="0" xfId="0">
      <alignment horizontal="center" vertical="center"/>
    </xf>
    <xf numFmtId="165" fontId="7" fillId="7" borderId="0" applyAlignment="1" pivotButton="0" quotePrefix="0" xfId="0">
      <alignment horizontal="left" vertical="center"/>
    </xf>
    <xf numFmtId="165" fontId="23" fillId="8" borderId="0" applyAlignment="1" pivotButton="0" quotePrefix="0" xfId="0">
      <alignment horizontal="right" vertical="center"/>
    </xf>
    <xf numFmtId="0" fontId="21" fillId="0" borderId="0" applyAlignment="1" pivotButton="0" quotePrefix="0" xfId="0">
      <alignment horizontal="left" vertical="center" indent="1"/>
    </xf>
    <xf numFmtId="0" fontId="22" fillId="0" borderId="0" applyAlignment="1" pivotButton="0" quotePrefix="0" xfId="0">
      <alignment horizontal="center" vertical="center"/>
    </xf>
    <xf numFmtId="0" fontId="24" fillId="2" borderId="0" applyAlignment="1" pivotButton="0" quotePrefix="0" xfId="0">
      <alignment horizontal="right" vertical="center" indent="1"/>
    </xf>
    <xf numFmtId="165" fontId="24" fillId="2" borderId="0" applyAlignment="1" pivotButton="0" quotePrefix="0" xfId="0">
      <alignment horizontal="right" vertical="center" indent="1"/>
    </xf>
    <xf numFmtId="0" fontId="7" fillId="5" borderId="0" applyAlignment="1" pivotButton="0" quotePrefix="0" xfId="0">
      <alignment horizontal="left" vertical="center" indent="1"/>
    </xf>
    <xf numFmtId="0" fontId="7" fillId="7" borderId="0" applyAlignment="1" pivotButton="0" quotePrefix="0" xfId="0">
      <alignment horizontal="left" vertical="center"/>
    </xf>
    <xf numFmtId="0" fontId="7" fillId="5" borderId="0" applyAlignment="1" pivotButton="0" quotePrefix="0" xfId="0">
      <alignment horizontal="center" vertical="center"/>
    </xf>
    <xf numFmtId="10" fontId="23" fillId="8" borderId="0" applyAlignment="1" pivotButton="0" quotePrefix="0" xfId="0">
      <alignment horizontal="right" vertical="center"/>
    </xf>
    <xf numFmtId="0" fontId="23" fillId="8" borderId="0" applyAlignment="1" pivotButton="0" quotePrefix="0" xfId="0">
      <alignment horizontal="center" vertical="center"/>
    </xf>
    <xf numFmtId="166" fontId="23" fillId="8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left" vertical="center" indent="1"/>
    </xf>
    <xf numFmtId="0" fontId="7" fillId="0" borderId="0" applyAlignment="1" pivotButton="0" quotePrefix="0" xfId="0">
      <alignment horizontal="center" vertical="center"/>
    </xf>
    <xf numFmtId="166" fontId="24" fillId="2" borderId="0" applyAlignment="1" pivotButton="0" quotePrefix="0" xfId="0">
      <alignment horizontal="right" vertical="center" indent="1"/>
    </xf>
    <xf numFmtId="167" fontId="7" fillId="0" borderId="0" applyAlignment="1" pivotButton="0" quotePrefix="0" xfId="0">
      <alignment horizontal="center" vertical="center"/>
    </xf>
    <xf numFmtId="0" fontId="7" fillId="7" borderId="0" applyAlignment="1" pivotButton="0" quotePrefix="0" xfId="0">
      <alignment horizontal="center" vertical="center"/>
    </xf>
    <xf numFmtId="0" fontId="21" fillId="0" borderId="0" applyAlignment="1" pivotButton="0" quotePrefix="0" xfId="0">
      <alignment horizontal="right" vertical="center"/>
    </xf>
    <xf numFmtId="1" fontId="7" fillId="7" borderId="0" applyAlignment="1" pivotButton="0" quotePrefix="0" xfId="0">
      <alignment horizontal="left" vertical="center"/>
    </xf>
    <xf numFmtId="0" fontId="25" fillId="4" borderId="0" applyAlignment="1" pivotButton="0" quotePrefix="0" xfId="0">
      <alignment horizontal="left" vertical="center" indent="1"/>
    </xf>
    <xf numFmtId="0" fontId="26" fillId="0" borderId="0" applyAlignment="1" pivotButton="0" quotePrefix="0" xfId="0">
      <alignment horizontal="center" vertical="center"/>
    </xf>
    <xf numFmtId="10" fontId="7" fillId="7" borderId="0" applyAlignment="1" pivotButton="0" quotePrefix="0" xfId="0">
      <alignment horizontal="left" vertical="center"/>
    </xf>
    <xf numFmtId="0" fontId="27" fillId="4" borderId="0" applyAlignment="1" pivotButton="0" quotePrefix="0" xfId="0">
      <alignment horizontal="left" vertical="center" wrapText="1" indent="1"/>
    </xf>
    <xf numFmtId="0" fontId="14" fillId="0" borderId="0" pivotButton="0" quotePrefix="0" xfId="0"/>
    <xf numFmtId="0" fontId="27" fillId="0" borderId="0" applyAlignment="1" pivotButton="0" quotePrefix="0" xfId="0">
      <alignment horizontal="left" vertical="center" wrapText="1"/>
    </xf>
    <xf numFmtId="0" fontId="7" fillId="0" borderId="0" pivotButton="0" quotePrefix="0" xfId="0"/>
  </cellXfs>
  <cellStyles count="1">
    <cellStyle name="Normal" xfId="0" builtinId="0" hidden="0"/>
  </cellStyles>
  <dxfs count="4">
    <dxf>
      <font>
        <name val="Calibri"/>
        <i val="1"/>
        <color rgb="006B7280"/>
        <sz val="11"/>
      </font>
    </dxf>
    <dxf>
      <font>
        <name val="Calibri"/>
        <b val="1"/>
        <color rgb="00B91C1C"/>
        <sz val="11"/>
      </font>
      <fill>
        <patternFill patternType="solid">
          <fgColor rgb="00FFCCCC"/>
        </patternFill>
      </fill>
    </dxf>
    <dxf>
      <fill>
        <patternFill patternType="solid">
          <fgColor rgb="00E2C884"/>
        </patternFill>
      </fill>
    </dxf>
    <dxf>
      <font>
        <name val="Calibri"/>
        <b val="1"/>
        <color rgb="00B91C1C"/>
        <sz val="11"/>
      </font>
      <fill>
        <patternFill patternType="solid">
          <fgColor rgb="00F8B4B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2304E"/>
    <outlinePr summaryBelow="1" summaryRight="1"/>
    <pageSetUpPr fitToPage="1"/>
  </sheetPr>
  <dimension ref="A1:L45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2" customHeight="1">
      <c r="A2" s="2" t="inlineStr">
        <is>
          <t>The STR Ledger</t>
        </is>
      </c>
      <c r="G2" s="1" t="n"/>
      <c r="H2" s="1" t="n"/>
      <c r="I2" s="1" t="n"/>
      <c r="J2" s="1" t="n"/>
      <c r="K2" s="1" t="n"/>
      <c r="L2" s="1" t="n"/>
    </row>
    <row r="3" ht="22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48" customHeight="1">
      <c r="A4" s="3" t="inlineStr">
        <is>
          <t>TOT Filing Calendar</t>
        </is>
      </c>
    </row>
    <row r="5" ht="22" customHeight="1">
      <c r="A5" s="4" t="inlineStr">
        <is>
          <t>Never miss an occupancy-tax filing again.</t>
        </is>
      </c>
    </row>
    <row r="6" ht="32" customHeight="1">
      <c r="A6" s="5">
        <f>IF(SUM('TOT Calculator'!H7:H42)=0,"📊  Fill Settings + Revenue Matrix to see your verdict.","→  Next filing = "&amp;TEXT(MIN('Filing List'!C6:C41),"mmm d")&amp;"  ·  Host owes YTD = "&amp;TEXT(SUM('TOT Calculator'!H7:H42),"$#,##0"))</f>
        <v/>
      </c>
    </row>
    <row r="7" ht="22" customHeight="1">
      <c r="A7" s="6" t="inlineStr">
        <is>
          <t>LGL-002 · v2.3 · DEMO</t>
        </is>
      </c>
    </row>
    <row r="8" ht="22" customHeigh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</row>
    <row r="10" ht="20" customHeight="1">
      <c r="A10" s="7" t="inlineStr">
        <is>
          <t>WHAT THIS DOES</t>
        </is>
      </c>
    </row>
    <row r="11">
      <c r="A11" s="8" t="inlineStr">
        <is>
          <t>Aggregates monthly STR revenue by property and jurisdiction, computes transient occupancy / lodging tax due, and surfaces filing deadlines. Splits 'platform-remitted' (Airbnb files for you) from 'host self-files' so you only chase the filings that are actually yours. Missing a TOT filing = penalty + listing-suspension risk in many jurisdictions.</t>
        </is>
      </c>
    </row>
    <row r="12"/>
    <row r="13"/>
    <row r="14"/>
    <row r="15"/>
    <row r="16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</row>
    <row r="18" ht="20" customHeight="1">
      <c r="A18" s="7" t="inlineStr">
        <is>
          <t>HOW TO USE</t>
        </is>
      </c>
    </row>
    <row r="19" ht="22" customHeight="1">
      <c r="A19" s="10" t="inlineStr">
        <is>
          <t>① Settings — set active tax year, list your properties + jurisdictions, confirm rates.</t>
        </is>
      </c>
    </row>
    <row r="20" ht="22" customHeight="1">
      <c r="A20" s="10" t="inlineStr">
        <is>
          <t>② Revenue Matrix — paste or type each property's monthly gross rent + cleaning.</t>
        </is>
      </c>
    </row>
    <row r="21" ht="22" customHeight="1">
      <c r="A21" s="10" t="inlineStr">
        <is>
          <t>③ TOT Calculator — auto-computes tax owed; platform-remitted rows show $0 host owes.</t>
        </is>
      </c>
    </row>
    <row r="22" ht="22" customHeight="1">
      <c r="A22" s="10" t="inlineStr">
        <is>
          <t>④ Filing List — rolling deadlines, sorted ascending; red &lt;7 days, gold 7-30.</t>
        </is>
      </c>
    </row>
    <row r="23" ht="22" customHeight="1">
      <c r="A23" s="10" t="inlineStr">
        <is>
          <t>⑤ Mark Filed + Confirmation # after each submission.</t>
        </is>
      </c>
    </row>
    <row r="24">
      <c r="A24" s="11" t="n"/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</row>
    <row r="26" ht="22" customHeight="1">
      <c r="A26" s="12">
        <f>HYPERLINK("#'Filing List'!A6", "→  GO TO FILING LIST  →")</f>
        <v/>
      </c>
      <c r="B26" s="13" t="n"/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</row>
    <row r="27" ht="22" customHeight="1">
      <c r="A27" s="13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3" t="n"/>
      <c r="K27" s="13" t="n"/>
      <c r="L27" s="13" t="n"/>
    </row>
    <row r="28" ht="22" customHeight="1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</row>
    <row r="29" ht="22" customHeight="1">
      <c r="A29" s="13" t="n"/>
      <c r="B29" s="13" t="n"/>
      <c r="C29" s="13" t="n"/>
      <c r="D29" s="13" t="n"/>
      <c r="E29" s="13" t="n"/>
      <c r="F29" s="13" t="n"/>
      <c r="G29" s="13" t="n"/>
      <c r="H29" s="13" t="n"/>
      <c r="I29" s="13" t="n"/>
      <c r="J29" s="13" t="n"/>
      <c r="K29" s="13" t="n"/>
      <c r="L29" s="13" t="n"/>
    </row>
    <row r="3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</row>
    <row r="32">
      <c r="A32" s="14" t="inlineStr">
        <is>
          <t>TOT YTD HOST OWES</t>
        </is>
      </c>
      <c r="B32" s="15" t="n"/>
      <c r="C32" s="15" t="n"/>
      <c r="D32" s="16" t="n"/>
      <c r="E32" s="17" t="inlineStr">
        <is>
          <t>NEXT DEADLINE</t>
        </is>
      </c>
      <c r="F32" s="15" t="n"/>
      <c r="G32" s="15" t="n"/>
      <c r="H32" s="16" t="n"/>
      <c r="I32" s="14" t="inlineStr">
        <is>
          <t>PENDING FILINGS</t>
        </is>
      </c>
      <c r="J32" s="15" t="n"/>
      <c r="K32" s="15" t="n"/>
      <c r="L32" s="16" t="n"/>
    </row>
    <row r="33">
      <c r="A33" s="18">
        <f>SUM('TOT Calculator'!H7:H42)</f>
        <v/>
      </c>
      <c r="B33" s="19" t="n"/>
      <c r="C33" s="19" t="n"/>
      <c r="D33" s="20" t="n"/>
      <c r="E33" s="21">
        <f>IFERROR(TEXT(MINIFS('Filing List'!C6:C41,'Filing List'!E6:E41,"Pending"),"mmm d, yyyy"),"all clear")</f>
        <v/>
      </c>
      <c r="F33" s="19" t="n"/>
      <c r="G33" s="19" t="n"/>
      <c r="H33" s="20" t="n"/>
      <c r="I33" s="22">
        <f>COUNTIF('Filing List'!E6:E41,"Pending")</f>
        <v/>
      </c>
      <c r="J33" s="19" t="n"/>
      <c r="K33" s="19" t="n"/>
      <c r="L33" s="20" t="n"/>
    </row>
    <row r="34">
      <c r="A34" s="23" t="n"/>
      <c r="B34" s="19" t="n"/>
      <c r="C34" s="19" t="n"/>
      <c r="D34" s="20" t="n"/>
      <c r="E34" s="23" t="n"/>
      <c r="F34" s="19" t="n"/>
      <c r="G34" s="19" t="n"/>
      <c r="H34" s="20" t="n"/>
      <c r="I34" s="23" t="n"/>
      <c r="J34" s="19" t="n"/>
      <c r="K34" s="19" t="n"/>
      <c r="L34" s="20" t="n"/>
    </row>
    <row r="35">
      <c r="A35" s="24" t="inlineStr">
        <is>
          <t>self-filed only (excl. platform)</t>
        </is>
      </c>
      <c r="B35" s="25" t="n"/>
      <c r="C35" s="25" t="n"/>
      <c r="D35" s="26" t="n"/>
      <c r="E35" s="24" t="inlineStr">
        <is>
          <t>earliest pending filing</t>
        </is>
      </c>
      <c r="F35" s="25" t="n"/>
      <c r="G35" s="25" t="n"/>
      <c r="H35" s="26" t="n"/>
      <c r="I35" s="24" t="inlineStr">
        <is>
          <t>rolling 12-month view</t>
        </is>
      </c>
      <c r="J35" s="25" t="n"/>
      <c r="K35" s="25" t="n"/>
      <c r="L35" s="26" t="n"/>
    </row>
    <row r="36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</row>
    <row r="38" ht="22" customHeight="1">
      <c r="A38" s="27">
        <f>HYPERLINK("#'Revenue Matrix'!A1", "Revenue Matrix")</f>
        <v/>
      </c>
      <c r="B38" s="28" t="n"/>
      <c r="C38" s="28" t="n"/>
      <c r="D38" s="27">
        <f>HYPERLINK("#'TOT Calculator'!A1", "TOT Calculator")</f>
        <v/>
      </c>
      <c r="E38" s="28" t="n"/>
      <c r="F38" s="28" t="n"/>
      <c r="G38" s="29">
        <f>HYPERLINK("#'Filing List'!A1", "Filing List")</f>
        <v/>
      </c>
      <c r="H38" s="30" t="n"/>
      <c r="I38" s="30" t="n"/>
      <c r="J38" s="27">
        <f>HYPERLINK("#'Settings'!A1", "Settings")</f>
        <v/>
      </c>
      <c r="K38" s="28" t="n"/>
      <c r="L38" s="28" t="n"/>
    </row>
    <row r="39" ht="22" customHeight="1">
      <c r="A39" s="28" t="n"/>
      <c r="B39" s="28" t="n"/>
      <c r="C39" s="28" t="n"/>
      <c r="D39" s="28" t="n"/>
      <c r="E39" s="28" t="n"/>
      <c r="F39" s="28" t="n"/>
      <c r="G39" s="30" t="n"/>
      <c r="H39" s="30" t="n"/>
      <c r="I39" s="30" t="n"/>
      <c r="J39" s="28" t="n"/>
      <c r="K39" s="28" t="n"/>
      <c r="L39" s="28" t="n"/>
    </row>
    <row r="41" ht="36" customHeight="1">
      <c r="A41" s="31" t="inlineStr">
        <is>
          <t>⚖  TOT rules vary widely by city/county. This calendar is a working tool, not legal advice. Confirm rate + filing rules with your jurisdiction; rates table dated 2026-01-01 — verify before filing.</t>
        </is>
      </c>
    </row>
    <row r="43">
      <c r="A43" s="32" t="n"/>
      <c r="B43" s="32" t="n"/>
      <c r="C43" s="32" t="n"/>
      <c r="D43" s="32" t="n"/>
      <c r="E43" s="32" t="n"/>
      <c r="F43" s="32" t="n"/>
      <c r="G43" s="32" t="n"/>
      <c r="H43" s="32" t="n"/>
      <c r="I43" s="32" t="n"/>
      <c r="J43" s="32" t="n"/>
      <c r="K43" s="32" t="n"/>
      <c r="L43" s="32" t="n"/>
    </row>
    <row r="44" ht="18" customHeight="1">
      <c r="A44" s="33" t="inlineStr">
        <is>
          <t>Questions? hello@thestrledger.com</t>
        </is>
      </c>
    </row>
    <row r="45" ht="18" customHeight="1">
      <c r="A45" s="34" t="inlineStr">
        <is>
          <t>LGL-002 · v2.3 · Free updates forever</t>
        </is>
      </c>
    </row>
  </sheetData>
  <mergeCells count="30">
    <mergeCell ref="A7:L7"/>
    <mergeCell ref="A11:L15"/>
    <mergeCell ref="A41:L41"/>
    <mergeCell ref="A35:D35"/>
    <mergeCell ref="E33:H34"/>
    <mergeCell ref="I35:L35"/>
    <mergeCell ref="A38:C39"/>
    <mergeCell ref="A18:L18"/>
    <mergeCell ref="E32:H32"/>
    <mergeCell ref="A21:L21"/>
    <mergeCell ref="D38:F39"/>
    <mergeCell ref="A2:F2"/>
    <mergeCell ref="A5:L5"/>
    <mergeCell ref="A23:L23"/>
    <mergeCell ref="A22:L22"/>
    <mergeCell ref="J38:L39"/>
    <mergeCell ref="I33:L34"/>
    <mergeCell ref="A4:L4"/>
    <mergeCell ref="A20:L20"/>
    <mergeCell ref="G38:I39"/>
    <mergeCell ref="A10:L10"/>
    <mergeCell ref="A19:L19"/>
    <mergeCell ref="A33:D34"/>
    <mergeCell ref="E35:H35"/>
    <mergeCell ref="A44:L44"/>
    <mergeCell ref="I32:L32"/>
    <mergeCell ref="A45:L45"/>
    <mergeCell ref="A6:L6"/>
    <mergeCell ref="A26:L29"/>
    <mergeCell ref="A32:D32"/>
  </mergeCells>
  <pageMargins left="0.5" right="0.5" top="0.5" bottom="0.5" header="0.5" footer="0.5"/>
  <pageSetup orientation="portrait" paperSize="1" fitToHeight="1" fitToWidth="1"/>
</worksheet>
</file>

<file path=xl/worksheets/sheet2.xml><?xml version="1.0" encoding="utf-8"?>
<worksheet xmlns="http://schemas.openxmlformats.org/spreadsheetml/2006/main">
  <sheetPr>
    <tabColor rgb="00F6EFE2"/>
    <outlinePr summaryBelow="1" summaryRight="1"/>
    <pageSetUpPr fitToPage="1"/>
  </sheetPr>
  <dimension ref="A1:O13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3" customWidth="1" min="15" max="15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2">
        <f>HYPERLINK("#'Start'!A1", "← BACK")</f>
        <v/>
      </c>
      <c r="B2" s="13" t="n"/>
      <c r="C2" s="13" t="n"/>
      <c r="D2" s="35" t="inlineStr">
        <is>
          <t>REVENUE MATRIX</t>
        </is>
      </c>
      <c r="J2" s="29">
        <f>HYPERLINK("#'TOT Calculator'!A1", "NEXT →")</f>
        <v/>
      </c>
      <c r="K2" s="30" t="n"/>
      <c r="L2" s="30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36" t="inlineStr">
        <is>
          <t>Per-property monthly gross rent + cleaning fees. Two rows per property (G = Gross, C = Cleaning). Paste from your PMS export or type values manually.</t>
        </is>
      </c>
    </row>
    <row r="5" ht="20" customHeight="1">
      <c r="A5" s="37" t="inlineStr">
        <is>
          <t>Property</t>
        </is>
      </c>
      <c r="B5" s="37" t="inlineStr">
        <is>
          <t>Type</t>
        </is>
      </c>
      <c r="C5" s="37" t="inlineStr">
        <is>
          <t>Jan</t>
        </is>
      </c>
      <c r="D5" s="37" t="inlineStr">
        <is>
          <t>Feb</t>
        </is>
      </c>
      <c r="E5" s="37" t="inlineStr">
        <is>
          <t>Mar</t>
        </is>
      </c>
      <c r="F5" s="37" t="inlineStr">
        <is>
          <t>Apr</t>
        </is>
      </c>
      <c r="G5" s="37" t="inlineStr">
        <is>
          <t>May</t>
        </is>
      </c>
      <c r="H5" s="37" t="inlineStr">
        <is>
          <t>Jun</t>
        </is>
      </c>
      <c r="I5" s="37" t="inlineStr">
        <is>
          <t>Jul</t>
        </is>
      </c>
      <c r="J5" s="37" t="inlineStr">
        <is>
          <t>Aug</t>
        </is>
      </c>
      <c r="K5" s="37" t="inlineStr">
        <is>
          <t>Sep</t>
        </is>
      </c>
      <c r="L5" s="37" t="inlineStr">
        <is>
          <t>Oct</t>
        </is>
      </c>
      <c r="M5" s="37" t="inlineStr">
        <is>
          <t>Nov</t>
        </is>
      </c>
      <c r="N5" s="37" t="inlineStr">
        <is>
          <t>Dec</t>
        </is>
      </c>
      <c r="O5" s="37" t="inlineStr">
        <is>
          <t>YTD</t>
        </is>
      </c>
    </row>
    <row r="6" ht="18" customHeight="1">
      <c r="A6" s="38" t="inlineStr">
        <is>
          <t>Smoky Mtn Cabin</t>
        </is>
      </c>
      <c r="B6" s="39" t="inlineStr">
        <is>
          <t>G</t>
        </is>
      </c>
      <c r="C6" s="40" t="n">
        <v>4200</v>
      </c>
      <c r="D6" s="40" t="n">
        <v>4400</v>
      </c>
      <c r="E6" s="40" t="n">
        <v>5800</v>
      </c>
      <c r="F6" s="40" t="n">
        <v>5200</v>
      </c>
      <c r="G6" s="40" t="n">
        <v>4900</v>
      </c>
      <c r="H6" s="40" t="n">
        <v>5400</v>
      </c>
      <c r="I6" s="40" t="n">
        <v>6800</v>
      </c>
      <c r="J6" s="40" t="n">
        <v>6200</v>
      </c>
      <c r="K6" s="40" t="n">
        <v>5100</v>
      </c>
      <c r="L6" s="40" t="n">
        <v>4800</v>
      </c>
      <c r="M6" s="40" t="n">
        <v>4200</v>
      </c>
      <c r="N6" s="40" t="n">
        <v>5600</v>
      </c>
      <c r="O6" s="41">
        <f>SUM(C6:N6)</f>
        <v/>
      </c>
    </row>
    <row r="7" ht="18" customHeight="1">
      <c r="A7" s="11" t="n"/>
      <c r="B7" s="39" t="inlineStr">
        <is>
          <t>C</t>
        </is>
      </c>
      <c r="C7" s="40" t="n">
        <v>380</v>
      </c>
      <c r="D7" s="40" t="n">
        <v>410</v>
      </c>
      <c r="E7" s="40" t="n">
        <v>540</v>
      </c>
      <c r="F7" s="40" t="n">
        <v>480</v>
      </c>
      <c r="G7" s="40" t="n">
        <v>460</v>
      </c>
      <c r="H7" s="40" t="n">
        <v>510</v>
      </c>
      <c r="I7" s="40" t="n">
        <v>640</v>
      </c>
      <c r="J7" s="40" t="n">
        <v>580</v>
      </c>
      <c r="K7" s="40" t="n">
        <v>470</v>
      </c>
      <c r="L7" s="40" t="n">
        <v>440</v>
      </c>
      <c r="M7" s="40" t="n">
        <v>390</v>
      </c>
      <c r="N7" s="40" t="n">
        <v>520</v>
      </c>
      <c r="O7" s="41">
        <f>SUM(C7:N7)</f>
        <v/>
      </c>
    </row>
    <row r="8" ht="18" customHeight="1">
      <c r="A8" s="42" t="inlineStr">
        <is>
          <t>Pigeon Forge Lodge</t>
        </is>
      </c>
      <c r="B8" s="43" t="inlineStr">
        <is>
          <t>G</t>
        </is>
      </c>
      <c r="C8" s="40" t="n">
        <v>3800</v>
      </c>
      <c r="D8" s="40" t="n">
        <v>3900</v>
      </c>
      <c r="E8" s="40" t="n">
        <v>5100</v>
      </c>
      <c r="F8" s="40" t="n">
        <v>4700</v>
      </c>
      <c r="G8" s="40" t="n">
        <v>4400</v>
      </c>
      <c r="H8" s="40" t="n">
        <v>4800</v>
      </c>
      <c r="I8" s="40" t="n">
        <v>6200</v>
      </c>
      <c r="J8" s="40" t="n">
        <v>5700</v>
      </c>
      <c r="K8" s="40" t="n">
        <v>4600</v>
      </c>
      <c r="L8" s="40" t="n">
        <v>4200</v>
      </c>
      <c r="M8" s="40" t="n">
        <v>3700</v>
      </c>
      <c r="N8" s="40" t="n">
        <v>4900</v>
      </c>
      <c r="O8" s="41">
        <f>SUM(C8:N8)</f>
        <v/>
      </c>
    </row>
    <row r="9" ht="18" customHeight="1">
      <c r="B9" s="43" t="inlineStr">
        <is>
          <t>C</t>
        </is>
      </c>
      <c r="C9" s="40" t="n">
        <v>340</v>
      </c>
      <c r="D9" s="40" t="n">
        <v>360</v>
      </c>
      <c r="E9" s="40" t="n">
        <v>470</v>
      </c>
      <c r="F9" s="40" t="n">
        <v>430</v>
      </c>
      <c r="G9" s="40" t="n">
        <v>410</v>
      </c>
      <c r="H9" s="40" t="n">
        <v>440</v>
      </c>
      <c r="I9" s="40" t="n">
        <v>580</v>
      </c>
      <c r="J9" s="40" t="n">
        <v>530</v>
      </c>
      <c r="K9" s="40" t="n">
        <v>420</v>
      </c>
      <c r="L9" s="40" t="n">
        <v>390</v>
      </c>
      <c r="M9" s="40" t="n">
        <v>340</v>
      </c>
      <c r="N9" s="40" t="n">
        <v>450</v>
      </c>
      <c r="O9" s="41">
        <f>SUM(C9:N9)</f>
        <v/>
      </c>
    </row>
    <row r="10" ht="18" customHeight="1">
      <c r="A10" s="38" t="inlineStr">
        <is>
          <t>Asheville Bungalow</t>
        </is>
      </c>
      <c r="B10" s="39" t="inlineStr">
        <is>
          <t>G</t>
        </is>
      </c>
      <c r="C10" s="40" t="n">
        <v>2400</v>
      </c>
      <c r="D10" s="40" t="n">
        <v>2600</v>
      </c>
      <c r="E10" s="40" t="n">
        <v>3400</v>
      </c>
      <c r="F10" s="40" t="n">
        <v>3800</v>
      </c>
      <c r="G10" s="40" t="n">
        <v>4100</v>
      </c>
      <c r="H10" s="40" t="n">
        <v>4400</v>
      </c>
      <c r="I10" s="40" t="n">
        <v>4900</v>
      </c>
      <c r="J10" s="40" t="n">
        <v>4700</v>
      </c>
      <c r="K10" s="40" t="n">
        <v>3900</v>
      </c>
      <c r="L10" s="40" t="n">
        <v>3400</v>
      </c>
      <c r="M10" s="40" t="n">
        <v>2900</v>
      </c>
      <c r="N10" s="40" t="n">
        <v>3700</v>
      </c>
      <c r="O10" s="41">
        <f>SUM(C10:N10)</f>
        <v/>
      </c>
    </row>
    <row r="11" ht="18" customHeight="1">
      <c r="A11" s="11" t="n"/>
      <c r="B11" s="39" t="inlineStr">
        <is>
          <t>C</t>
        </is>
      </c>
      <c r="C11" s="40" t="n">
        <v>220</v>
      </c>
      <c r="D11" s="40" t="n">
        <v>240</v>
      </c>
      <c r="E11" s="40" t="n">
        <v>320</v>
      </c>
      <c r="F11" s="40" t="n">
        <v>350</v>
      </c>
      <c r="G11" s="40" t="n">
        <v>380</v>
      </c>
      <c r="H11" s="40" t="n">
        <v>410</v>
      </c>
      <c r="I11" s="40" t="n">
        <v>460</v>
      </c>
      <c r="J11" s="40" t="n">
        <v>440</v>
      </c>
      <c r="K11" s="40" t="n">
        <v>360</v>
      </c>
      <c r="L11" s="40" t="n">
        <v>320</v>
      </c>
      <c r="M11" s="40" t="n">
        <v>270</v>
      </c>
      <c r="N11" s="40" t="n">
        <v>340</v>
      </c>
      <c r="O11" s="41">
        <f>SUM(C11:N11)</f>
        <v/>
      </c>
    </row>
    <row r="12" ht="8" customHeight="1"/>
    <row r="13" ht="24" customHeight="1">
      <c r="A13" s="44" t="inlineStr">
        <is>
          <t>PORTFOLIO TOTAL (Gross + Cleaning)</t>
        </is>
      </c>
      <c r="C13" s="45">
        <f>SUM(C6:C11)</f>
        <v/>
      </c>
      <c r="D13" s="45">
        <f>SUM(D6:D11)</f>
        <v/>
      </c>
      <c r="E13" s="45">
        <f>SUM(E6:E11)</f>
        <v/>
      </c>
      <c r="F13" s="45">
        <f>SUM(F6:F11)</f>
        <v/>
      </c>
      <c r="G13" s="45">
        <f>SUM(G6:G11)</f>
        <v/>
      </c>
      <c r="H13" s="45">
        <f>SUM(H6:H11)</f>
        <v/>
      </c>
      <c r="I13" s="45">
        <f>SUM(I6:I11)</f>
        <v/>
      </c>
      <c r="J13" s="45">
        <f>SUM(J6:J11)</f>
        <v/>
      </c>
      <c r="K13" s="45">
        <f>SUM(K6:K11)</f>
        <v/>
      </c>
      <c r="L13" s="45">
        <f>SUM(L6:L11)</f>
        <v/>
      </c>
      <c r="M13" s="45">
        <f>SUM(M6:M11)</f>
        <v/>
      </c>
      <c r="N13" s="45">
        <f>SUM(N6:N11)</f>
        <v/>
      </c>
      <c r="O13" s="45">
        <f>SUM(O6:O11)</f>
        <v/>
      </c>
    </row>
  </sheetData>
  <mergeCells count="8">
    <mergeCell ref="J2:L2"/>
    <mergeCell ref="D2:I2"/>
    <mergeCell ref="A8:A9"/>
    <mergeCell ref="A4:N4"/>
    <mergeCell ref="A13:B13"/>
    <mergeCell ref="A6:A7"/>
    <mergeCell ref="A10:A11"/>
    <mergeCell ref="A2:C2"/>
  </mergeCells>
  <pageMargins left="0.4" right="0.4" top="0.5" bottom="0.5" header="0.5" footer="0.5"/>
  <pageSetup orientation="landscape" paperSize="1" fitToHeight="1" fitToWidth="1"/>
</worksheet>
</file>

<file path=xl/worksheets/sheet3.xml><?xml version="1.0" encoding="utf-8"?>
<worksheet xmlns="http://schemas.openxmlformats.org/spreadsheetml/2006/main">
  <sheetPr>
    <tabColor rgb="00F6EFE2"/>
    <outlinePr summaryBelow="1" summaryRight="1"/>
    <pageSetUpPr fitToPage="1"/>
  </sheetPr>
  <dimension ref="A1:L4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0" customWidth="1" min="3" max="3"/>
    <col width="14" customWidth="1" min="4" max="4"/>
    <col width="14" customWidth="1" min="5" max="5"/>
    <col width="11" customWidth="1" min="6" max="6"/>
    <col width="13" customWidth="1" min="7" max="7"/>
    <col width="14" customWidth="1" min="8" max="8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2">
        <f>HYPERLINK("#'Revenue Matrix'!A1", "← BACK")</f>
        <v/>
      </c>
      <c r="B2" s="13" t="n"/>
      <c r="C2" s="13" t="n"/>
      <c r="D2" s="35" t="inlineStr">
        <is>
          <t>TOT CALCULATOR</t>
        </is>
      </c>
      <c r="J2" s="29">
        <f>HYPERLINK("#'Filing List'!A1", "NEXT →")</f>
        <v/>
      </c>
      <c r="K2" s="30" t="n"/>
      <c r="L2" s="30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36" t="inlineStr">
        <is>
          <t>Per property × month: taxable revenue × jurisdiction TOT rate. Platform-remitted rows zero out (Airbnb files for you).</t>
        </is>
      </c>
      <c r="I4" s="9" t="n"/>
      <c r="J4" s="9" t="n"/>
      <c r="K4" s="9" t="n"/>
      <c r="L4" s="9" t="n"/>
    </row>
    <row r="5" ht="20" customHeight="1">
      <c r="A5" s="37" t="inlineStr">
        <is>
          <t>Property</t>
        </is>
      </c>
      <c r="B5" s="37" t="inlineStr">
        <is>
          <t>Jurisdiction</t>
        </is>
      </c>
      <c r="C5" s="37" t="inlineStr">
        <is>
          <t>Month</t>
        </is>
      </c>
      <c r="D5" s="37" t="inlineStr">
        <is>
          <t>Gross Rent</t>
        </is>
      </c>
      <c r="E5" s="37" t="inlineStr">
        <is>
          <t>Cleaning</t>
        </is>
      </c>
      <c r="F5" s="37" t="inlineStr">
        <is>
          <t>Rate</t>
        </is>
      </c>
      <c r="G5" s="37" t="inlineStr">
        <is>
          <t>Platform Files?</t>
        </is>
      </c>
      <c r="H5" s="37" t="inlineStr">
        <is>
          <t>$ Host Owes</t>
        </is>
      </c>
    </row>
    <row r="7" ht="16" customHeight="1">
      <c r="A7" s="46" t="inlineStr">
        <is>
          <t>Smoky Mtn Cabin</t>
        </is>
      </c>
      <c r="B7" s="47" t="inlineStr">
        <is>
          <t>Sevier County TN</t>
        </is>
      </c>
      <c r="C7" s="48" t="inlineStr">
        <is>
          <t>Jan</t>
        </is>
      </c>
      <c r="D7" s="41">
        <f>'Revenue Matrix'!C6</f>
        <v/>
      </c>
      <c r="E7" s="41">
        <f>'Revenue Matrix'!C7</f>
        <v/>
      </c>
      <c r="F7" s="49">
        <f>IFERROR(VLOOKUP(B7,Settings!$B$21:$G$27,2,FALSE),0)</f>
        <v/>
      </c>
      <c r="G7" s="50">
        <f>IFERROR(VLOOKUP(B7,Settings!$B$21:$G$27,5,FALSE),"?")</f>
        <v/>
      </c>
      <c r="H7" s="51">
        <f>IF(G7="Y",0,ROUND((D7+E7)*F7,2))</f>
        <v/>
      </c>
    </row>
    <row r="8" ht="16" customHeight="1">
      <c r="A8" s="52" t="inlineStr">
        <is>
          <t>Smoky Mtn Cabin</t>
        </is>
      </c>
      <c r="B8" s="47" t="inlineStr">
        <is>
          <t>Sevier County TN</t>
        </is>
      </c>
      <c r="C8" s="53" t="inlineStr">
        <is>
          <t>Feb</t>
        </is>
      </c>
      <c r="D8" s="41">
        <f>'Revenue Matrix'!D6</f>
        <v/>
      </c>
      <c r="E8" s="41">
        <f>'Revenue Matrix'!D7</f>
        <v/>
      </c>
      <c r="F8" s="49">
        <f>IFERROR(VLOOKUP(B8,Settings!$B$21:$G$27,2,FALSE),0)</f>
        <v/>
      </c>
      <c r="G8" s="50">
        <f>IFERROR(VLOOKUP(B8,Settings!$B$21:$G$27,5,FALSE),"?")</f>
        <v/>
      </c>
      <c r="H8" s="51">
        <f>IF(G8="Y",0,ROUND((D8+E8)*F8,2))</f>
        <v/>
      </c>
    </row>
    <row r="9" ht="16" customHeight="1">
      <c r="A9" s="46" t="inlineStr">
        <is>
          <t>Smoky Mtn Cabin</t>
        </is>
      </c>
      <c r="B9" s="47" t="inlineStr">
        <is>
          <t>Sevier County TN</t>
        </is>
      </c>
      <c r="C9" s="48" t="inlineStr">
        <is>
          <t>Mar</t>
        </is>
      </c>
      <c r="D9" s="41">
        <f>'Revenue Matrix'!E6</f>
        <v/>
      </c>
      <c r="E9" s="41">
        <f>'Revenue Matrix'!E7</f>
        <v/>
      </c>
      <c r="F9" s="49">
        <f>IFERROR(VLOOKUP(B9,Settings!$B$21:$G$27,2,FALSE),0)</f>
        <v/>
      </c>
      <c r="G9" s="50">
        <f>IFERROR(VLOOKUP(B9,Settings!$B$21:$G$27,5,FALSE),"?")</f>
        <v/>
      </c>
      <c r="H9" s="51">
        <f>IF(G9="Y",0,ROUND((D9+E9)*F9,2))</f>
        <v/>
      </c>
    </row>
    <row r="10" ht="16" customHeight="1">
      <c r="A10" s="52" t="inlineStr">
        <is>
          <t>Smoky Mtn Cabin</t>
        </is>
      </c>
      <c r="B10" s="47" t="inlineStr">
        <is>
          <t>Sevier County TN</t>
        </is>
      </c>
      <c r="C10" s="53" t="inlineStr">
        <is>
          <t>Apr</t>
        </is>
      </c>
      <c r="D10" s="41">
        <f>'Revenue Matrix'!F6</f>
        <v/>
      </c>
      <c r="E10" s="41">
        <f>'Revenue Matrix'!F7</f>
        <v/>
      </c>
      <c r="F10" s="49">
        <f>IFERROR(VLOOKUP(B10,Settings!$B$21:$G$27,2,FALSE),0)</f>
        <v/>
      </c>
      <c r="G10" s="50">
        <f>IFERROR(VLOOKUP(B10,Settings!$B$21:$G$27,5,FALSE),"?")</f>
        <v/>
      </c>
      <c r="H10" s="51">
        <f>IF(G10="Y",0,ROUND((D10+E10)*F10,2))</f>
        <v/>
      </c>
    </row>
    <row r="11" ht="16" customHeight="1">
      <c r="A11" s="46" t="inlineStr">
        <is>
          <t>Smoky Mtn Cabin</t>
        </is>
      </c>
      <c r="B11" s="47" t="inlineStr">
        <is>
          <t>Sevier County TN</t>
        </is>
      </c>
      <c r="C11" s="48" t="inlineStr">
        <is>
          <t>May</t>
        </is>
      </c>
      <c r="D11" s="41">
        <f>'Revenue Matrix'!G6</f>
        <v/>
      </c>
      <c r="E11" s="41">
        <f>'Revenue Matrix'!G7</f>
        <v/>
      </c>
      <c r="F11" s="49">
        <f>IFERROR(VLOOKUP(B11,Settings!$B$21:$G$27,2,FALSE),0)</f>
        <v/>
      </c>
      <c r="G11" s="50">
        <f>IFERROR(VLOOKUP(B11,Settings!$B$21:$G$27,5,FALSE),"?")</f>
        <v/>
      </c>
      <c r="H11" s="51">
        <f>IF(G11="Y",0,ROUND((D11+E11)*F11,2))</f>
        <v/>
      </c>
    </row>
    <row r="12" ht="16" customHeight="1">
      <c r="A12" s="52" t="inlineStr">
        <is>
          <t>Smoky Mtn Cabin</t>
        </is>
      </c>
      <c r="B12" s="47" t="inlineStr">
        <is>
          <t>Sevier County TN</t>
        </is>
      </c>
      <c r="C12" s="53" t="inlineStr">
        <is>
          <t>Jun</t>
        </is>
      </c>
      <c r="D12" s="41">
        <f>'Revenue Matrix'!H6</f>
        <v/>
      </c>
      <c r="E12" s="41">
        <f>'Revenue Matrix'!H7</f>
        <v/>
      </c>
      <c r="F12" s="49">
        <f>IFERROR(VLOOKUP(B12,Settings!$B$21:$G$27,2,FALSE),0)</f>
        <v/>
      </c>
      <c r="G12" s="50">
        <f>IFERROR(VLOOKUP(B12,Settings!$B$21:$G$27,5,FALSE),"?")</f>
        <v/>
      </c>
      <c r="H12" s="51">
        <f>IF(G12="Y",0,ROUND((D12+E12)*F12,2))</f>
        <v/>
      </c>
    </row>
    <row r="13" ht="16" customHeight="1">
      <c r="A13" s="46" t="inlineStr">
        <is>
          <t>Smoky Mtn Cabin</t>
        </is>
      </c>
      <c r="B13" s="47" t="inlineStr">
        <is>
          <t>Sevier County TN</t>
        </is>
      </c>
      <c r="C13" s="48" t="inlineStr">
        <is>
          <t>Jul</t>
        </is>
      </c>
      <c r="D13" s="41">
        <f>'Revenue Matrix'!I6</f>
        <v/>
      </c>
      <c r="E13" s="41">
        <f>'Revenue Matrix'!I7</f>
        <v/>
      </c>
      <c r="F13" s="49">
        <f>IFERROR(VLOOKUP(B13,Settings!$B$21:$G$27,2,FALSE),0)</f>
        <v/>
      </c>
      <c r="G13" s="50">
        <f>IFERROR(VLOOKUP(B13,Settings!$B$21:$G$27,5,FALSE),"?")</f>
        <v/>
      </c>
      <c r="H13" s="51">
        <f>IF(G13="Y",0,ROUND((D13+E13)*F13,2))</f>
        <v/>
      </c>
    </row>
    <row r="14" ht="16" customHeight="1">
      <c r="A14" s="52" t="inlineStr">
        <is>
          <t>Smoky Mtn Cabin</t>
        </is>
      </c>
      <c r="B14" s="47" t="inlineStr">
        <is>
          <t>Sevier County TN</t>
        </is>
      </c>
      <c r="C14" s="53" t="inlineStr">
        <is>
          <t>Aug</t>
        </is>
      </c>
      <c r="D14" s="41">
        <f>'Revenue Matrix'!J6</f>
        <v/>
      </c>
      <c r="E14" s="41">
        <f>'Revenue Matrix'!J7</f>
        <v/>
      </c>
      <c r="F14" s="49">
        <f>IFERROR(VLOOKUP(B14,Settings!$B$21:$G$27,2,FALSE),0)</f>
        <v/>
      </c>
      <c r="G14" s="50">
        <f>IFERROR(VLOOKUP(B14,Settings!$B$21:$G$27,5,FALSE),"?")</f>
        <v/>
      </c>
      <c r="H14" s="51">
        <f>IF(G14="Y",0,ROUND((D14+E14)*F14,2))</f>
        <v/>
      </c>
    </row>
    <row r="15" ht="16" customHeight="1">
      <c r="A15" s="46" t="inlineStr">
        <is>
          <t>Smoky Mtn Cabin</t>
        </is>
      </c>
      <c r="B15" s="47" t="inlineStr">
        <is>
          <t>Sevier County TN</t>
        </is>
      </c>
      <c r="C15" s="48" t="inlineStr">
        <is>
          <t>Sep</t>
        </is>
      </c>
      <c r="D15" s="41">
        <f>'Revenue Matrix'!K6</f>
        <v/>
      </c>
      <c r="E15" s="41">
        <f>'Revenue Matrix'!K7</f>
        <v/>
      </c>
      <c r="F15" s="49">
        <f>IFERROR(VLOOKUP(B15,Settings!$B$21:$G$27,2,FALSE),0)</f>
        <v/>
      </c>
      <c r="G15" s="50">
        <f>IFERROR(VLOOKUP(B15,Settings!$B$21:$G$27,5,FALSE),"?")</f>
        <v/>
      </c>
      <c r="H15" s="51">
        <f>IF(G15="Y",0,ROUND((D15+E15)*F15,2))</f>
        <v/>
      </c>
    </row>
    <row r="16" ht="16" customHeight="1">
      <c r="A16" s="52" t="inlineStr">
        <is>
          <t>Smoky Mtn Cabin</t>
        </is>
      </c>
      <c r="B16" s="47" t="inlineStr">
        <is>
          <t>Sevier County TN</t>
        </is>
      </c>
      <c r="C16" s="53" t="inlineStr">
        <is>
          <t>Oct</t>
        </is>
      </c>
      <c r="D16" s="41">
        <f>'Revenue Matrix'!L6</f>
        <v/>
      </c>
      <c r="E16" s="41">
        <f>'Revenue Matrix'!L7</f>
        <v/>
      </c>
      <c r="F16" s="49">
        <f>IFERROR(VLOOKUP(B16,Settings!$B$21:$G$27,2,FALSE),0)</f>
        <v/>
      </c>
      <c r="G16" s="50">
        <f>IFERROR(VLOOKUP(B16,Settings!$B$21:$G$27,5,FALSE),"?")</f>
        <v/>
      </c>
      <c r="H16" s="51">
        <f>IF(G16="Y",0,ROUND((D16+E16)*F16,2))</f>
        <v/>
      </c>
    </row>
    <row r="17" ht="16" customHeight="1">
      <c r="A17" s="46" t="inlineStr">
        <is>
          <t>Smoky Mtn Cabin</t>
        </is>
      </c>
      <c r="B17" s="47" t="inlineStr">
        <is>
          <t>Sevier County TN</t>
        </is>
      </c>
      <c r="C17" s="48" t="inlineStr">
        <is>
          <t>Nov</t>
        </is>
      </c>
      <c r="D17" s="41">
        <f>'Revenue Matrix'!M6</f>
        <v/>
      </c>
      <c r="E17" s="41">
        <f>'Revenue Matrix'!M7</f>
        <v/>
      </c>
      <c r="F17" s="49">
        <f>IFERROR(VLOOKUP(B17,Settings!$B$21:$G$27,2,FALSE),0)</f>
        <v/>
      </c>
      <c r="G17" s="50">
        <f>IFERROR(VLOOKUP(B17,Settings!$B$21:$G$27,5,FALSE),"?")</f>
        <v/>
      </c>
      <c r="H17" s="51">
        <f>IF(G17="Y",0,ROUND((D17+E17)*F17,2))</f>
        <v/>
      </c>
    </row>
    <row r="18" ht="16" customHeight="1">
      <c r="A18" s="52" t="inlineStr">
        <is>
          <t>Smoky Mtn Cabin</t>
        </is>
      </c>
      <c r="B18" s="47" t="inlineStr">
        <is>
          <t>Sevier County TN</t>
        </is>
      </c>
      <c r="C18" s="53" t="inlineStr">
        <is>
          <t>Dec</t>
        </is>
      </c>
      <c r="D18" s="41">
        <f>'Revenue Matrix'!N6</f>
        <v/>
      </c>
      <c r="E18" s="41">
        <f>'Revenue Matrix'!N7</f>
        <v/>
      </c>
      <c r="F18" s="49">
        <f>IFERROR(VLOOKUP(B18,Settings!$B$21:$G$27,2,FALSE),0)</f>
        <v/>
      </c>
      <c r="G18" s="50">
        <f>IFERROR(VLOOKUP(B18,Settings!$B$21:$G$27,5,FALSE),"?")</f>
        <v/>
      </c>
      <c r="H18" s="51">
        <f>IF(G18="Y",0,ROUND((D18+E18)*F18,2))</f>
        <v/>
      </c>
    </row>
    <row r="19" ht="16" customHeight="1">
      <c r="A19" s="52" t="inlineStr">
        <is>
          <t>Pigeon Forge Lodge</t>
        </is>
      </c>
      <c r="B19" s="47" t="inlineStr">
        <is>
          <t>Sevier County TN</t>
        </is>
      </c>
      <c r="C19" s="53" t="inlineStr">
        <is>
          <t>Jan</t>
        </is>
      </c>
      <c r="D19" s="41">
        <f>'Revenue Matrix'!C8</f>
        <v/>
      </c>
      <c r="E19" s="41">
        <f>'Revenue Matrix'!C9</f>
        <v/>
      </c>
      <c r="F19" s="49">
        <f>IFERROR(VLOOKUP(B19,Settings!$B$21:$G$27,2,FALSE),0)</f>
        <v/>
      </c>
      <c r="G19" s="50">
        <f>IFERROR(VLOOKUP(B19,Settings!$B$21:$G$27,5,FALSE),"?")</f>
        <v/>
      </c>
      <c r="H19" s="51">
        <f>IF(G19="Y",0,ROUND((D19+E19)*F19,2))</f>
        <v/>
      </c>
    </row>
    <row r="20" ht="16" customHeight="1">
      <c r="A20" s="46" t="inlineStr">
        <is>
          <t>Pigeon Forge Lodge</t>
        </is>
      </c>
      <c r="B20" s="47" t="inlineStr">
        <is>
          <t>Sevier County TN</t>
        </is>
      </c>
      <c r="C20" s="48" t="inlineStr">
        <is>
          <t>Feb</t>
        </is>
      </c>
      <c r="D20" s="41">
        <f>'Revenue Matrix'!D8</f>
        <v/>
      </c>
      <c r="E20" s="41">
        <f>'Revenue Matrix'!D9</f>
        <v/>
      </c>
      <c r="F20" s="49">
        <f>IFERROR(VLOOKUP(B20,Settings!$B$21:$G$27,2,FALSE),0)</f>
        <v/>
      </c>
      <c r="G20" s="50">
        <f>IFERROR(VLOOKUP(B20,Settings!$B$21:$G$27,5,FALSE),"?")</f>
        <v/>
      </c>
      <c r="H20" s="51">
        <f>IF(G20="Y",0,ROUND((D20+E20)*F20,2))</f>
        <v/>
      </c>
    </row>
    <row r="21" ht="16" customHeight="1">
      <c r="A21" s="52" t="inlineStr">
        <is>
          <t>Pigeon Forge Lodge</t>
        </is>
      </c>
      <c r="B21" s="47" t="inlineStr">
        <is>
          <t>Sevier County TN</t>
        </is>
      </c>
      <c r="C21" s="53" t="inlineStr">
        <is>
          <t>Mar</t>
        </is>
      </c>
      <c r="D21" s="41">
        <f>'Revenue Matrix'!E8</f>
        <v/>
      </c>
      <c r="E21" s="41">
        <f>'Revenue Matrix'!E9</f>
        <v/>
      </c>
      <c r="F21" s="49">
        <f>IFERROR(VLOOKUP(B21,Settings!$B$21:$G$27,2,FALSE),0)</f>
        <v/>
      </c>
      <c r="G21" s="50">
        <f>IFERROR(VLOOKUP(B21,Settings!$B$21:$G$27,5,FALSE),"?")</f>
        <v/>
      </c>
      <c r="H21" s="51">
        <f>IF(G21="Y",0,ROUND((D21+E21)*F21,2))</f>
        <v/>
      </c>
    </row>
    <row r="22" ht="16" customHeight="1">
      <c r="A22" s="46" t="inlineStr">
        <is>
          <t>Pigeon Forge Lodge</t>
        </is>
      </c>
      <c r="B22" s="47" t="inlineStr">
        <is>
          <t>Sevier County TN</t>
        </is>
      </c>
      <c r="C22" s="48" t="inlineStr">
        <is>
          <t>Apr</t>
        </is>
      </c>
      <c r="D22" s="41">
        <f>'Revenue Matrix'!F8</f>
        <v/>
      </c>
      <c r="E22" s="41">
        <f>'Revenue Matrix'!F9</f>
        <v/>
      </c>
      <c r="F22" s="49">
        <f>IFERROR(VLOOKUP(B22,Settings!$B$21:$G$27,2,FALSE),0)</f>
        <v/>
      </c>
      <c r="G22" s="50">
        <f>IFERROR(VLOOKUP(B22,Settings!$B$21:$G$27,5,FALSE),"?")</f>
        <v/>
      </c>
      <c r="H22" s="51">
        <f>IF(G22="Y",0,ROUND((D22+E22)*F22,2))</f>
        <v/>
      </c>
    </row>
    <row r="23" ht="16" customHeight="1">
      <c r="A23" s="52" t="inlineStr">
        <is>
          <t>Pigeon Forge Lodge</t>
        </is>
      </c>
      <c r="B23" s="47" t="inlineStr">
        <is>
          <t>Sevier County TN</t>
        </is>
      </c>
      <c r="C23" s="53" t="inlineStr">
        <is>
          <t>May</t>
        </is>
      </c>
      <c r="D23" s="41">
        <f>'Revenue Matrix'!G8</f>
        <v/>
      </c>
      <c r="E23" s="41">
        <f>'Revenue Matrix'!G9</f>
        <v/>
      </c>
      <c r="F23" s="49">
        <f>IFERROR(VLOOKUP(B23,Settings!$B$21:$G$27,2,FALSE),0)</f>
        <v/>
      </c>
      <c r="G23" s="50">
        <f>IFERROR(VLOOKUP(B23,Settings!$B$21:$G$27,5,FALSE),"?")</f>
        <v/>
      </c>
      <c r="H23" s="51">
        <f>IF(G23="Y",0,ROUND((D23+E23)*F23,2))</f>
        <v/>
      </c>
    </row>
    <row r="24" ht="16" customHeight="1">
      <c r="A24" s="46" t="inlineStr">
        <is>
          <t>Pigeon Forge Lodge</t>
        </is>
      </c>
      <c r="B24" s="47" t="inlineStr">
        <is>
          <t>Sevier County TN</t>
        </is>
      </c>
      <c r="C24" s="48" t="inlineStr">
        <is>
          <t>Jun</t>
        </is>
      </c>
      <c r="D24" s="41">
        <f>'Revenue Matrix'!H8</f>
        <v/>
      </c>
      <c r="E24" s="41">
        <f>'Revenue Matrix'!H9</f>
        <v/>
      </c>
      <c r="F24" s="49">
        <f>IFERROR(VLOOKUP(B24,Settings!$B$21:$G$27,2,FALSE),0)</f>
        <v/>
      </c>
      <c r="G24" s="50">
        <f>IFERROR(VLOOKUP(B24,Settings!$B$21:$G$27,5,FALSE),"?")</f>
        <v/>
      </c>
      <c r="H24" s="51">
        <f>IF(G24="Y",0,ROUND((D24+E24)*F24,2))</f>
        <v/>
      </c>
    </row>
    <row r="25" ht="16" customHeight="1">
      <c r="A25" s="52" t="inlineStr">
        <is>
          <t>Pigeon Forge Lodge</t>
        </is>
      </c>
      <c r="B25" s="47" t="inlineStr">
        <is>
          <t>Sevier County TN</t>
        </is>
      </c>
      <c r="C25" s="53" t="inlineStr">
        <is>
          <t>Jul</t>
        </is>
      </c>
      <c r="D25" s="41">
        <f>'Revenue Matrix'!I8</f>
        <v/>
      </c>
      <c r="E25" s="41">
        <f>'Revenue Matrix'!I9</f>
        <v/>
      </c>
      <c r="F25" s="49">
        <f>IFERROR(VLOOKUP(B25,Settings!$B$21:$G$27,2,FALSE),0)</f>
        <v/>
      </c>
      <c r="G25" s="50">
        <f>IFERROR(VLOOKUP(B25,Settings!$B$21:$G$27,5,FALSE),"?")</f>
        <v/>
      </c>
      <c r="H25" s="51">
        <f>IF(G25="Y",0,ROUND((D25+E25)*F25,2))</f>
        <v/>
      </c>
    </row>
    <row r="26" ht="16" customHeight="1">
      <c r="A26" s="46" t="inlineStr">
        <is>
          <t>Pigeon Forge Lodge</t>
        </is>
      </c>
      <c r="B26" s="47" t="inlineStr">
        <is>
          <t>Sevier County TN</t>
        </is>
      </c>
      <c r="C26" s="48" t="inlineStr">
        <is>
          <t>Aug</t>
        </is>
      </c>
      <c r="D26" s="41">
        <f>'Revenue Matrix'!J8</f>
        <v/>
      </c>
      <c r="E26" s="41">
        <f>'Revenue Matrix'!J9</f>
        <v/>
      </c>
      <c r="F26" s="49">
        <f>IFERROR(VLOOKUP(B26,Settings!$B$21:$G$27,2,FALSE),0)</f>
        <v/>
      </c>
      <c r="G26" s="50">
        <f>IFERROR(VLOOKUP(B26,Settings!$B$21:$G$27,5,FALSE),"?")</f>
        <v/>
      </c>
      <c r="H26" s="51">
        <f>IF(G26="Y",0,ROUND((D26+E26)*F26,2))</f>
        <v/>
      </c>
    </row>
    <row r="27" ht="16" customHeight="1">
      <c r="A27" s="52" t="inlineStr">
        <is>
          <t>Pigeon Forge Lodge</t>
        </is>
      </c>
      <c r="B27" s="47" t="inlineStr">
        <is>
          <t>Sevier County TN</t>
        </is>
      </c>
      <c r="C27" s="53" t="inlineStr">
        <is>
          <t>Sep</t>
        </is>
      </c>
      <c r="D27" s="41">
        <f>'Revenue Matrix'!K8</f>
        <v/>
      </c>
      <c r="E27" s="41">
        <f>'Revenue Matrix'!K9</f>
        <v/>
      </c>
      <c r="F27" s="49">
        <f>IFERROR(VLOOKUP(B27,Settings!$B$21:$G$27,2,FALSE),0)</f>
        <v/>
      </c>
      <c r="G27" s="50">
        <f>IFERROR(VLOOKUP(B27,Settings!$B$21:$G$27,5,FALSE),"?")</f>
        <v/>
      </c>
      <c r="H27" s="51">
        <f>IF(G27="Y",0,ROUND((D27+E27)*F27,2))</f>
        <v/>
      </c>
    </row>
    <row r="28" ht="16" customHeight="1">
      <c r="A28" s="46" t="inlineStr">
        <is>
          <t>Pigeon Forge Lodge</t>
        </is>
      </c>
      <c r="B28" s="47" t="inlineStr">
        <is>
          <t>Sevier County TN</t>
        </is>
      </c>
      <c r="C28" s="48" t="inlineStr">
        <is>
          <t>Oct</t>
        </is>
      </c>
      <c r="D28" s="41">
        <f>'Revenue Matrix'!L8</f>
        <v/>
      </c>
      <c r="E28" s="41">
        <f>'Revenue Matrix'!L9</f>
        <v/>
      </c>
      <c r="F28" s="49">
        <f>IFERROR(VLOOKUP(B28,Settings!$B$21:$G$27,2,FALSE),0)</f>
        <v/>
      </c>
      <c r="G28" s="50">
        <f>IFERROR(VLOOKUP(B28,Settings!$B$21:$G$27,5,FALSE),"?")</f>
        <v/>
      </c>
      <c r="H28" s="51">
        <f>IF(G28="Y",0,ROUND((D28+E28)*F28,2))</f>
        <v/>
      </c>
    </row>
    <row r="29" ht="16" customHeight="1">
      <c r="A29" s="52" t="inlineStr">
        <is>
          <t>Pigeon Forge Lodge</t>
        </is>
      </c>
      <c r="B29" s="47" t="inlineStr">
        <is>
          <t>Sevier County TN</t>
        </is>
      </c>
      <c r="C29" s="53" t="inlineStr">
        <is>
          <t>Nov</t>
        </is>
      </c>
      <c r="D29" s="41">
        <f>'Revenue Matrix'!M8</f>
        <v/>
      </c>
      <c r="E29" s="41">
        <f>'Revenue Matrix'!M9</f>
        <v/>
      </c>
      <c r="F29" s="49">
        <f>IFERROR(VLOOKUP(B29,Settings!$B$21:$G$27,2,FALSE),0)</f>
        <v/>
      </c>
      <c r="G29" s="50">
        <f>IFERROR(VLOOKUP(B29,Settings!$B$21:$G$27,5,FALSE),"?")</f>
        <v/>
      </c>
      <c r="H29" s="51">
        <f>IF(G29="Y",0,ROUND((D29+E29)*F29,2))</f>
        <v/>
      </c>
    </row>
    <row r="30" ht="16" customHeight="1">
      <c r="A30" s="46" t="inlineStr">
        <is>
          <t>Pigeon Forge Lodge</t>
        </is>
      </c>
      <c r="B30" s="47" t="inlineStr">
        <is>
          <t>Sevier County TN</t>
        </is>
      </c>
      <c r="C30" s="48" t="inlineStr">
        <is>
          <t>Dec</t>
        </is>
      </c>
      <c r="D30" s="41">
        <f>'Revenue Matrix'!N8</f>
        <v/>
      </c>
      <c r="E30" s="41">
        <f>'Revenue Matrix'!N9</f>
        <v/>
      </c>
      <c r="F30" s="49">
        <f>IFERROR(VLOOKUP(B30,Settings!$B$21:$G$27,2,FALSE),0)</f>
        <v/>
      </c>
      <c r="G30" s="50">
        <f>IFERROR(VLOOKUP(B30,Settings!$B$21:$G$27,5,FALSE),"?")</f>
        <v/>
      </c>
      <c r="H30" s="51">
        <f>IF(G30="Y",0,ROUND((D30+E30)*F30,2))</f>
        <v/>
      </c>
    </row>
    <row r="31" ht="16" customHeight="1">
      <c r="A31" s="46" t="inlineStr">
        <is>
          <t>Asheville Bungalow</t>
        </is>
      </c>
      <c r="B31" s="47" t="inlineStr">
        <is>
          <t>Asheville NC</t>
        </is>
      </c>
      <c r="C31" s="48" t="inlineStr">
        <is>
          <t>Jan</t>
        </is>
      </c>
      <c r="D31" s="41">
        <f>'Revenue Matrix'!C10</f>
        <v/>
      </c>
      <c r="E31" s="41">
        <f>'Revenue Matrix'!C11</f>
        <v/>
      </c>
      <c r="F31" s="49">
        <f>IFERROR(VLOOKUP(B31,Settings!$B$21:$G$27,2,FALSE),0)</f>
        <v/>
      </c>
      <c r="G31" s="50">
        <f>IFERROR(VLOOKUP(B31,Settings!$B$21:$G$27,5,FALSE),"?")</f>
        <v/>
      </c>
      <c r="H31" s="51">
        <f>IF(G31="Y",0,ROUND((D31+E31)*F31,2))</f>
        <v/>
      </c>
    </row>
    <row r="32" ht="16" customHeight="1">
      <c r="A32" s="52" t="inlineStr">
        <is>
          <t>Asheville Bungalow</t>
        </is>
      </c>
      <c r="B32" s="47" t="inlineStr">
        <is>
          <t>Asheville NC</t>
        </is>
      </c>
      <c r="C32" s="53" t="inlineStr">
        <is>
          <t>Feb</t>
        </is>
      </c>
      <c r="D32" s="41">
        <f>'Revenue Matrix'!D10</f>
        <v/>
      </c>
      <c r="E32" s="41">
        <f>'Revenue Matrix'!D11</f>
        <v/>
      </c>
      <c r="F32" s="49">
        <f>IFERROR(VLOOKUP(B32,Settings!$B$21:$G$27,2,FALSE),0)</f>
        <v/>
      </c>
      <c r="G32" s="50">
        <f>IFERROR(VLOOKUP(B32,Settings!$B$21:$G$27,5,FALSE),"?")</f>
        <v/>
      </c>
      <c r="H32" s="51">
        <f>IF(G32="Y",0,ROUND((D32+E32)*F32,2))</f>
        <v/>
      </c>
    </row>
    <row r="33" ht="16" customHeight="1">
      <c r="A33" s="46" t="inlineStr">
        <is>
          <t>Asheville Bungalow</t>
        </is>
      </c>
      <c r="B33" s="47" t="inlineStr">
        <is>
          <t>Asheville NC</t>
        </is>
      </c>
      <c r="C33" s="48" t="inlineStr">
        <is>
          <t>Mar</t>
        </is>
      </c>
      <c r="D33" s="41">
        <f>'Revenue Matrix'!E10</f>
        <v/>
      </c>
      <c r="E33" s="41">
        <f>'Revenue Matrix'!E11</f>
        <v/>
      </c>
      <c r="F33" s="49">
        <f>IFERROR(VLOOKUP(B33,Settings!$B$21:$G$27,2,FALSE),0)</f>
        <v/>
      </c>
      <c r="G33" s="50">
        <f>IFERROR(VLOOKUP(B33,Settings!$B$21:$G$27,5,FALSE),"?")</f>
        <v/>
      </c>
      <c r="H33" s="51">
        <f>IF(G33="Y",0,ROUND((D33+E33)*F33,2))</f>
        <v/>
      </c>
    </row>
    <row r="34" ht="16" customHeight="1">
      <c r="A34" s="52" t="inlineStr">
        <is>
          <t>Asheville Bungalow</t>
        </is>
      </c>
      <c r="B34" s="47" t="inlineStr">
        <is>
          <t>Asheville NC</t>
        </is>
      </c>
      <c r="C34" s="53" t="inlineStr">
        <is>
          <t>Apr</t>
        </is>
      </c>
      <c r="D34" s="41">
        <f>'Revenue Matrix'!F10</f>
        <v/>
      </c>
      <c r="E34" s="41">
        <f>'Revenue Matrix'!F11</f>
        <v/>
      </c>
      <c r="F34" s="49">
        <f>IFERROR(VLOOKUP(B34,Settings!$B$21:$G$27,2,FALSE),0)</f>
        <v/>
      </c>
      <c r="G34" s="50">
        <f>IFERROR(VLOOKUP(B34,Settings!$B$21:$G$27,5,FALSE),"?")</f>
        <v/>
      </c>
      <c r="H34" s="51">
        <f>IF(G34="Y",0,ROUND((D34+E34)*F34,2))</f>
        <v/>
      </c>
    </row>
    <row r="35" ht="16" customHeight="1">
      <c r="A35" s="46" t="inlineStr">
        <is>
          <t>Asheville Bungalow</t>
        </is>
      </c>
      <c r="B35" s="47" t="inlineStr">
        <is>
          <t>Asheville NC</t>
        </is>
      </c>
      <c r="C35" s="48" t="inlineStr">
        <is>
          <t>May</t>
        </is>
      </c>
      <c r="D35" s="41">
        <f>'Revenue Matrix'!G10</f>
        <v/>
      </c>
      <c r="E35" s="41">
        <f>'Revenue Matrix'!G11</f>
        <v/>
      </c>
      <c r="F35" s="49">
        <f>IFERROR(VLOOKUP(B35,Settings!$B$21:$G$27,2,FALSE),0)</f>
        <v/>
      </c>
      <c r="G35" s="50">
        <f>IFERROR(VLOOKUP(B35,Settings!$B$21:$G$27,5,FALSE),"?")</f>
        <v/>
      </c>
      <c r="H35" s="51">
        <f>IF(G35="Y",0,ROUND((D35+E35)*F35,2))</f>
        <v/>
      </c>
    </row>
    <row r="36" ht="16" customHeight="1">
      <c r="A36" s="52" t="inlineStr">
        <is>
          <t>Asheville Bungalow</t>
        </is>
      </c>
      <c r="B36" s="47" t="inlineStr">
        <is>
          <t>Asheville NC</t>
        </is>
      </c>
      <c r="C36" s="53" t="inlineStr">
        <is>
          <t>Jun</t>
        </is>
      </c>
      <c r="D36" s="41">
        <f>'Revenue Matrix'!H10</f>
        <v/>
      </c>
      <c r="E36" s="41">
        <f>'Revenue Matrix'!H11</f>
        <v/>
      </c>
      <c r="F36" s="49">
        <f>IFERROR(VLOOKUP(B36,Settings!$B$21:$G$27,2,FALSE),0)</f>
        <v/>
      </c>
      <c r="G36" s="50">
        <f>IFERROR(VLOOKUP(B36,Settings!$B$21:$G$27,5,FALSE),"?")</f>
        <v/>
      </c>
      <c r="H36" s="51">
        <f>IF(G36="Y",0,ROUND((D36+E36)*F36,2))</f>
        <v/>
      </c>
    </row>
    <row r="37" ht="16" customHeight="1">
      <c r="A37" s="46" t="inlineStr">
        <is>
          <t>Asheville Bungalow</t>
        </is>
      </c>
      <c r="B37" s="47" t="inlineStr">
        <is>
          <t>Asheville NC</t>
        </is>
      </c>
      <c r="C37" s="48" t="inlineStr">
        <is>
          <t>Jul</t>
        </is>
      </c>
      <c r="D37" s="41">
        <f>'Revenue Matrix'!I10</f>
        <v/>
      </c>
      <c r="E37" s="41">
        <f>'Revenue Matrix'!I11</f>
        <v/>
      </c>
      <c r="F37" s="49">
        <f>IFERROR(VLOOKUP(B37,Settings!$B$21:$G$27,2,FALSE),0)</f>
        <v/>
      </c>
      <c r="G37" s="50">
        <f>IFERROR(VLOOKUP(B37,Settings!$B$21:$G$27,5,FALSE),"?")</f>
        <v/>
      </c>
      <c r="H37" s="51">
        <f>IF(G37="Y",0,ROUND((D37+E37)*F37,2))</f>
        <v/>
      </c>
    </row>
    <row r="38" ht="16" customHeight="1">
      <c r="A38" s="52" t="inlineStr">
        <is>
          <t>Asheville Bungalow</t>
        </is>
      </c>
      <c r="B38" s="47" t="inlineStr">
        <is>
          <t>Asheville NC</t>
        </is>
      </c>
      <c r="C38" s="53" t="inlineStr">
        <is>
          <t>Aug</t>
        </is>
      </c>
      <c r="D38" s="41">
        <f>'Revenue Matrix'!J10</f>
        <v/>
      </c>
      <c r="E38" s="41">
        <f>'Revenue Matrix'!J11</f>
        <v/>
      </c>
      <c r="F38" s="49">
        <f>IFERROR(VLOOKUP(B38,Settings!$B$21:$G$27,2,FALSE),0)</f>
        <v/>
      </c>
      <c r="G38" s="50">
        <f>IFERROR(VLOOKUP(B38,Settings!$B$21:$G$27,5,FALSE),"?")</f>
        <v/>
      </c>
      <c r="H38" s="51">
        <f>IF(G38="Y",0,ROUND((D38+E38)*F38,2))</f>
        <v/>
      </c>
    </row>
    <row r="39" ht="16" customHeight="1">
      <c r="A39" s="46" t="inlineStr">
        <is>
          <t>Asheville Bungalow</t>
        </is>
      </c>
      <c r="B39" s="47" t="inlineStr">
        <is>
          <t>Asheville NC</t>
        </is>
      </c>
      <c r="C39" s="48" t="inlineStr">
        <is>
          <t>Sep</t>
        </is>
      </c>
      <c r="D39" s="41">
        <f>'Revenue Matrix'!K10</f>
        <v/>
      </c>
      <c r="E39" s="41">
        <f>'Revenue Matrix'!K11</f>
        <v/>
      </c>
      <c r="F39" s="49">
        <f>IFERROR(VLOOKUP(B39,Settings!$B$21:$G$27,2,FALSE),0)</f>
        <v/>
      </c>
      <c r="G39" s="50">
        <f>IFERROR(VLOOKUP(B39,Settings!$B$21:$G$27,5,FALSE),"?")</f>
        <v/>
      </c>
      <c r="H39" s="51">
        <f>IF(G39="Y",0,ROUND((D39+E39)*F39,2))</f>
        <v/>
      </c>
    </row>
    <row r="40" ht="16" customHeight="1">
      <c r="A40" s="52" t="inlineStr">
        <is>
          <t>Asheville Bungalow</t>
        </is>
      </c>
      <c r="B40" s="47" t="inlineStr">
        <is>
          <t>Asheville NC</t>
        </is>
      </c>
      <c r="C40" s="53" t="inlineStr">
        <is>
          <t>Oct</t>
        </is>
      </c>
      <c r="D40" s="41">
        <f>'Revenue Matrix'!L10</f>
        <v/>
      </c>
      <c r="E40" s="41">
        <f>'Revenue Matrix'!L11</f>
        <v/>
      </c>
      <c r="F40" s="49">
        <f>IFERROR(VLOOKUP(B40,Settings!$B$21:$G$27,2,FALSE),0)</f>
        <v/>
      </c>
      <c r="G40" s="50">
        <f>IFERROR(VLOOKUP(B40,Settings!$B$21:$G$27,5,FALSE),"?")</f>
        <v/>
      </c>
      <c r="H40" s="51">
        <f>IF(G40="Y",0,ROUND((D40+E40)*F40,2))</f>
        <v/>
      </c>
    </row>
    <row r="41" ht="16" customHeight="1">
      <c r="A41" s="46" t="inlineStr">
        <is>
          <t>Asheville Bungalow</t>
        </is>
      </c>
      <c r="B41" s="47" t="inlineStr">
        <is>
          <t>Asheville NC</t>
        </is>
      </c>
      <c r="C41" s="48" t="inlineStr">
        <is>
          <t>Nov</t>
        </is>
      </c>
      <c r="D41" s="41">
        <f>'Revenue Matrix'!M10</f>
        <v/>
      </c>
      <c r="E41" s="41">
        <f>'Revenue Matrix'!M11</f>
        <v/>
      </c>
      <c r="F41" s="49">
        <f>IFERROR(VLOOKUP(B41,Settings!$B$21:$G$27,2,FALSE),0)</f>
        <v/>
      </c>
      <c r="G41" s="50">
        <f>IFERROR(VLOOKUP(B41,Settings!$B$21:$G$27,5,FALSE),"?")</f>
        <v/>
      </c>
      <c r="H41" s="51">
        <f>IF(G41="Y",0,ROUND((D41+E41)*F41,2))</f>
        <v/>
      </c>
    </row>
    <row r="42" ht="16" customHeight="1">
      <c r="A42" s="52" t="inlineStr">
        <is>
          <t>Asheville Bungalow</t>
        </is>
      </c>
      <c r="B42" s="47" t="inlineStr">
        <is>
          <t>Asheville NC</t>
        </is>
      </c>
      <c r="C42" s="53" t="inlineStr">
        <is>
          <t>Dec</t>
        </is>
      </c>
      <c r="D42" s="41">
        <f>'Revenue Matrix'!N10</f>
        <v/>
      </c>
      <c r="E42" s="41">
        <f>'Revenue Matrix'!N11</f>
        <v/>
      </c>
      <c r="F42" s="49">
        <f>IFERROR(VLOOKUP(B42,Settings!$B$21:$G$27,2,FALSE),0)</f>
        <v/>
      </c>
      <c r="G42" s="50">
        <f>IFERROR(VLOOKUP(B42,Settings!$B$21:$G$27,5,FALSE),"?")</f>
        <v/>
      </c>
      <c r="H42" s="51">
        <f>IF(G42="Y",0,ROUND((D42+E42)*F42,2))</f>
        <v/>
      </c>
    </row>
    <row r="43" ht="8" customHeight="1"/>
    <row r="44" ht="24" customHeight="1">
      <c r="A44" s="44" t="inlineStr">
        <is>
          <t>TOTAL — $ HOST OWES YTD</t>
        </is>
      </c>
      <c r="B44" s="1" t="n"/>
      <c r="C44" s="1" t="n"/>
      <c r="D44" s="1" t="n"/>
      <c r="E44" s="1" t="n"/>
      <c r="F44" s="1" t="n"/>
      <c r="G44" s="1" t="n"/>
      <c r="H44" s="54">
        <f>SUM(H7:H42)</f>
        <v/>
      </c>
    </row>
  </sheetData>
  <mergeCells count="5">
    <mergeCell ref="A4:H4"/>
    <mergeCell ref="A44:G44"/>
    <mergeCell ref="J2:L2"/>
    <mergeCell ref="D2:I2"/>
    <mergeCell ref="A2:C2"/>
  </mergeCells>
  <conditionalFormatting sqref="A7:H42">
    <cfRule type="expression" priority="1" dxfId="0">
      <formula>$G7="Y"</formula>
    </cfRule>
  </conditionalFormatting>
  <pageMargins left="0.4" right="0.4" top="0.5" bottom="0.5" header="0.5" footer="0.5"/>
  <pageSetup orientation="landscape" paperSize="1" fitToHeight="1" fitToWidth="1"/>
</worksheet>
</file>

<file path=xl/worksheets/sheet4.xml><?xml version="1.0" encoding="utf-8"?>
<worksheet xmlns="http://schemas.openxmlformats.org/spreadsheetml/2006/main">
  <sheetPr>
    <tabColor rgb="00C9A24B"/>
    <outlinePr summaryBelow="1" summaryRight="1"/>
    <pageSetUpPr fitToPage="1"/>
  </sheetPr>
  <dimension ref="A1:L4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4" customWidth="1" min="3" max="3"/>
    <col width="14" customWidth="1" min="4" max="4"/>
    <col width="12" customWidth="1" min="5" max="5"/>
    <col width="22" customWidth="1" min="6" max="6"/>
    <col width="6" customWidth="1" min="7" max="7"/>
    <col width="6" customWidth="1" min="8" max="8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2">
        <f>HYPERLINK("#'TOT Calculator'!A1", "← BACK")</f>
        <v/>
      </c>
      <c r="B2" s="13" t="n"/>
      <c r="C2" s="13" t="n"/>
      <c r="D2" s="35" t="inlineStr">
        <is>
          <t>FILING LIST · UPCOMING DEADLINES</t>
        </is>
      </c>
      <c r="J2" s="29">
        <f>HYPERLINK("#'Settings'!A1", "NEXT →")</f>
        <v/>
      </c>
      <c r="K2" s="30" t="n"/>
      <c r="L2" s="30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36" t="inlineStr">
        <is>
          <t>📅 Rolling 12-month forward view per property × period. Red = &lt;7 days, gold = 7-30 days, parchment = &gt;30 days.</t>
        </is>
      </c>
      <c r="I4" s="9" t="n"/>
      <c r="J4" s="9" t="n"/>
      <c r="K4" s="9" t="n"/>
      <c r="L4" s="9" t="n"/>
    </row>
    <row r="5" ht="20" customHeight="1">
      <c r="A5" s="37" t="inlineStr">
        <is>
          <t>Property</t>
        </is>
      </c>
      <c r="B5" s="37" t="inlineStr">
        <is>
          <t>Period</t>
        </is>
      </c>
      <c r="C5" s="37" t="inlineStr">
        <is>
          <t>Due Date</t>
        </is>
      </c>
      <c r="D5" s="37" t="inlineStr">
        <is>
          <t>$ Owed</t>
        </is>
      </c>
      <c r="E5" s="37" t="inlineStr">
        <is>
          <t>Status</t>
        </is>
      </c>
      <c r="F5" s="37" t="inlineStr">
        <is>
          <t>Confirmation #</t>
        </is>
      </c>
    </row>
    <row r="6" ht="18" customHeight="1">
      <c r="A6" s="46" t="inlineStr">
        <is>
          <t>Smoky Mtn Cabin</t>
        </is>
      </c>
      <c r="B6" s="46" t="inlineStr">
        <is>
          <t>Jan 2026</t>
        </is>
      </c>
      <c r="C6" s="55" t="n">
        <v>46073</v>
      </c>
      <c r="D6" s="51">
        <f>'TOT Calculator'!H7</f>
        <v/>
      </c>
      <c r="E6" s="56" t="inlineStr">
        <is>
          <t>Pending</t>
        </is>
      </c>
      <c r="F6" s="47" t="n"/>
    </row>
    <row r="7" ht="18" customHeight="1">
      <c r="A7" s="52" t="inlineStr">
        <is>
          <t>Smoky Mtn Cabin</t>
        </is>
      </c>
      <c r="B7" s="52" t="inlineStr">
        <is>
          <t>Feb 2026</t>
        </is>
      </c>
      <c r="C7" s="55" t="n">
        <v>46101</v>
      </c>
      <c r="D7" s="51">
        <f>'TOT Calculator'!H8</f>
        <v/>
      </c>
      <c r="E7" s="56" t="inlineStr">
        <is>
          <t>Pending</t>
        </is>
      </c>
      <c r="F7" s="47" t="n"/>
    </row>
    <row r="8" ht="18" customHeight="1">
      <c r="A8" s="46" t="inlineStr">
        <is>
          <t>Smoky Mtn Cabin</t>
        </is>
      </c>
      <c r="B8" s="46" t="inlineStr">
        <is>
          <t>Mar 2026</t>
        </is>
      </c>
      <c r="C8" s="55" t="n">
        <v>46132</v>
      </c>
      <c r="D8" s="51">
        <f>'TOT Calculator'!H9</f>
        <v/>
      </c>
      <c r="E8" s="56" t="inlineStr">
        <is>
          <t>Pending</t>
        </is>
      </c>
      <c r="F8" s="47" t="n"/>
    </row>
    <row r="9" ht="18" customHeight="1">
      <c r="A9" s="52" t="inlineStr">
        <is>
          <t>Smoky Mtn Cabin</t>
        </is>
      </c>
      <c r="B9" s="52" t="inlineStr">
        <is>
          <t>Apr 2026</t>
        </is>
      </c>
      <c r="C9" s="55" t="n">
        <v>46162</v>
      </c>
      <c r="D9" s="51">
        <f>'TOT Calculator'!H10</f>
        <v/>
      </c>
      <c r="E9" s="56" t="inlineStr">
        <is>
          <t>Pending</t>
        </is>
      </c>
      <c r="F9" s="47" t="n"/>
    </row>
    <row r="10" ht="18" customHeight="1">
      <c r="A10" s="46" t="inlineStr">
        <is>
          <t>Smoky Mtn Cabin</t>
        </is>
      </c>
      <c r="B10" s="46" t="inlineStr">
        <is>
          <t>May 2026</t>
        </is>
      </c>
      <c r="C10" s="55" t="n">
        <v>46193</v>
      </c>
      <c r="D10" s="51">
        <f>'TOT Calculator'!H11</f>
        <v/>
      </c>
      <c r="E10" s="56" t="inlineStr">
        <is>
          <t>Pending</t>
        </is>
      </c>
      <c r="F10" s="47" t="n"/>
    </row>
    <row r="11" ht="18" customHeight="1">
      <c r="A11" s="52" t="inlineStr">
        <is>
          <t>Smoky Mtn Cabin</t>
        </is>
      </c>
      <c r="B11" s="52" t="inlineStr">
        <is>
          <t>Jun 2026</t>
        </is>
      </c>
      <c r="C11" s="55" t="n">
        <v>46223</v>
      </c>
      <c r="D11" s="51">
        <f>'TOT Calculator'!H12</f>
        <v/>
      </c>
      <c r="E11" s="56" t="inlineStr">
        <is>
          <t>Pending</t>
        </is>
      </c>
      <c r="F11" s="47" t="n"/>
    </row>
    <row r="12" ht="18" customHeight="1">
      <c r="A12" s="46" t="inlineStr">
        <is>
          <t>Smoky Mtn Cabin</t>
        </is>
      </c>
      <c r="B12" s="46" t="inlineStr">
        <is>
          <t>Jul 2026</t>
        </is>
      </c>
      <c r="C12" s="55" t="n">
        <v>46254</v>
      </c>
      <c r="D12" s="51">
        <f>'TOT Calculator'!H13</f>
        <v/>
      </c>
      <c r="E12" s="56" t="inlineStr">
        <is>
          <t>Pending</t>
        </is>
      </c>
      <c r="F12" s="47" t="n"/>
    </row>
    <row r="13" ht="18" customHeight="1">
      <c r="A13" s="52" t="inlineStr">
        <is>
          <t>Smoky Mtn Cabin</t>
        </is>
      </c>
      <c r="B13" s="52" t="inlineStr">
        <is>
          <t>Aug 2026</t>
        </is>
      </c>
      <c r="C13" s="55" t="n">
        <v>46285</v>
      </c>
      <c r="D13" s="51">
        <f>'TOT Calculator'!H14</f>
        <v/>
      </c>
      <c r="E13" s="56" t="inlineStr">
        <is>
          <t>Pending</t>
        </is>
      </c>
      <c r="F13" s="47" t="n"/>
    </row>
    <row r="14" ht="18" customHeight="1">
      <c r="A14" s="46" t="inlineStr">
        <is>
          <t>Smoky Mtn Cabin</t>
        </is>
      </c>
      <c r="B14" s="46" t="inlineStr">
        <is>
          <t>Sep 2026</t>
        </is>
      </c>
      <c r="C14" s="55" t="n">
        <v>46315</v>
      </c>
      <c r="D14" s="51">
        <f>'TOT Calculator'!H15</f>
        <v/>
      </c>
      <c r="E14" s="56" t="inlineStr">
        <is>
          <t>Pending</t>
        </is>
      </c>
      <c r="F14" s="47" t="n"/>
    </row>
    <row r="15" ht="18" customHeight="1">
      <c r="A15" s="52" t="inlineStr">
        <is>
          <t>Smoky Mtn Cabin</t>
        </is>
      </c>
      <c r="B15" s="52" t="inlineStr">
        <is>
          <t>Oct 2026</t>
        </is>
      </c>
      <c r="C15" s="55" t="n">
        <v>46346</v>
      </c>
      <c r="D15" s="51">
        <f>'TOT Calculator'!H16</f>
        <v/>
      </c>
      <c r="E15" s="56" t="inlineStr">
        <is>
          <t>Pending</t>
        </is>
      </c>
      <c r="F15" s="47" t="n"/>
    </row>
    <row r="16" ht="18" customHeight="1">
      <c r="A16" s="46" t="inlineStr">
        <is>
          <t>Smoky Mtn Cabin</t>
        </is>
      </c>
      <c r="B16" s="46" t="inlineStr">
        <is>
          <t>Nov 2026</t>
        </is>
      </c>
      <c r="C16" s="55" t="n">
        <v>46376</v>
      </c>
      <c r="D16" s="51">
        <f>'TOT Calculator'!H17</f>
        <v/>
      </c>
      <c r="E16" s="56" t="inlineStr">
        <is>
          <t>Pending</t>
        </is>
      </c>
      <c r="F16" s="47" t="n"/>
    </row>
    <row r="17" ht="18" customHeight="1">
      <c r="A17" s="52" t="inlineStr">
        <is>
          <t>Smoky Mtn Cabin</t>
        </is>
      </c>
      <c r="B17" s="52" t="inlineStr">
        <is>
          <t>Dec 2026</t>
        </is>
      </c>
      <c r="C17" s="55" t="n">
        <v>46407</v>
      </c>
      <c r="D17" s="51">
        <f>'TOT Calculator'!H18</f>
        <v/>
      </c>
      <c r="E17" s="56" t="inlineStr">
        <is>
          <t>Pending</t>
        </is>
      </c>
      <c r="F17" s="47" t="n"/>
    </row>
    <row r="18" ht="18" customHeight="1">
      <c r="A18" s="52" t="inlineStr">
        <is>
          <t>Pigeon Forge Lodge</t>
        </is>
      </c>
      <c r="B18" s="52" t="inlineStr">
        <is>
          <t>Jan 2026</t>
        </is>
      </c>
      <c r="C18" s="55" t="n">
        <v>46073</v>
      </c>
      <c r="D18" s="51">
        <f>'TOT Calculator'!H19</f>
        <v/>
      </c>
      <c r="E18" s="56" t="inlineStr">
        <is>
          <t>Pending</t>
        </is>
      </c>
      <c r="F18" s="47" t="n"/>
    </row>
    <row r="19" ht="18" customHeight="1">
      <c r="A19" s="46" t="inlineStr">
        <is>
          <t>Pigeon Forge Lodge</t>
        </is>
      </c>
      <c r="B19" s="46" t="inlineStr">
        <is>
          <t>Feb 2026</t>
        </is>
      </c>
      <c r="C19" s="55" t="n">
        <v>46101</v>
      </c>
      <c r="D19" s="51">
        <f>'TOT Calculator'!H20</f>
        <v/>
      </c>
      <c r="E19" s="56" t="inlineStr">
        <is>
          <t>Pending</t>
        </is>
      </c>
      <c r="F19" s="47" t="n"/>
    </row>
    <row r="20" ht="18" customHeight="1">
      <c r="A20" s="52" t="inlineStr">
        <is>
          <t>Pigeon Forge Lodge</t>
        </is>
      </c>
      <c r="B20" s="52" t="inlineStr">
        <is>
          <t>Mar 2026</t>
        </is>
      </c>
      <c r="C20" s="55" t="n">
        <v>46132</v>
      </c>
      <c r="D20" s="51">
        <f>'TOT Calculator'!H21</f>
        <v/>
      </c>
      <c r="E20" s="56" t="inlineStr">
        <is>
          <t>Pending</t>
        </is>
      </c>
      <c r="F20" s="47" t="n"/>
    </row>
    <row r="21" ht="18" customHeight="1">
      <c r="A21" s="46" t="inlineStr">
        <is>
          <t>Pigeon Forge Lodge</t>
        </is>
      </c>
      <c r="B21" s="46" t="inlineStr">
        <is>
          <t>Apr 2026</t>
        </is>
      </c>
      <c r="C21" s="55" t="n">
        <v>46162</v>
      </c>
      <c r="D21" s="51">
        <f>'TOT Calculator'!H22</f>
        <v/>
      </c>
      <c r="E21" s="56" t="inlineStr">
        <is>
          <t>Pending</t>
        </is>
      </c>
      <c r="F21" s="47" t="n"/>
    </row>
    <row r="22" ht="18" customHeight="1">
      <c r="A22" s="52" t="inlineStr">
        <is>
          <t>Pigeon Forge Lodge</t>
        </is>
      </c>
      <c r="B22" s="52" t="inlineStr">
        <is>
          <t>May 2026</t>
        </is>
      </c>
      <c r="C22" s="55" t="n">
        <v>46193</v>
      </c>
      <c r="D22" s="51">
        <f>'TOT Calculator'!H23</f>
        <v/>
      </c>
      <c r="E22" s="56" t="inlineStr">
        <is>
          <t>Pending</t>
        </is>
      </c>
      <c r="F22" s="47" t="n"/>
    </row>
    <row r="23" ht="18" customHeight="1">
      <c r="A23" s="46" t="inlineStr">
        <is>
          <t>Pigeon Forge Lodge</t>
        </is>
      </c>
      <c r="B23" s="46" t="inlineStr">
        <is>
          <t>Jun 2026</t>
        </is>
      </c>
      <c r="C23" s="55" t="n">
        <v>46223</v>
      </c>
      <c r="D23" s="51">
        <f>'TOT Calculator'!H24</f>
        <v/>
      </c>
      <c r="E23" s="56" t="inlineStr">
        <is>
          <t>Pending</t>
        </is>
      </c>
      <c r="F23" s="47" t="n"/>
    </row>
    <row r="24" ht="18" customHeight="1">
      <c r="A24" s="52" t="inlineStr">
        <is>
          <t>Pigeon Forge Lodge</t>
        </is>
      </c>
      <c r="B24" s="52" t="inlineStr">
        <is>
          <t>Jul 2026</t>
        </is>
      </c>
      <c r="C24" s="55" t="n">
        <v>46254</v>
      </c>
      <c r="D24" s="51">
        <f>'TOT Calculator'!H25</f>
        <v/>
      </c>
      <c r="E24" s="56" t="inlineStr">
        <is>
          <t>Pending</t>
        </is>
      </c>
      <c r="F24" s="47" t="n"/>
    </row>
    <row r="25" ht="18" customHeight="1">
      <c r="A25" s="46" t="inlineStr">
        <is>
          <t>Pigeon Forge Lodge</t>
        </is>
      </c>
      <c r="B25" s="46" t="inlineStr">
        <is>
          <t>Aug 2026</t>
        </is>
      </c>
      <c r="C25" s="55" t="n">
        <v>46285</v>
      </c>
      <c r="D25" s="51">
        <f>'TOT Calculator'!H26</f>
        <v/>
      </c>
      <c r="E25" s="56" t="inlineStr">
        <is>
          <t>Pending</t>
        </is>
      </c>
      <c r="F25" s="47" t="n"/>
    </row>
    <row r="26" ht="18" customHeight="1">
      <c r="A26" s="52" t="inlineStr">
        <is>
          <t>Pigeon Forge Lodge</t>
        </is>
      </c>
      <c r="B26" s="52" t="inlineStr">
        <is>
          <t>Sep 2026</t>
        </is>
      </c>
      <c r="C26" s="55" t="n">
        <v>46315</v>
      </c>
      <c r="D26" s="51">
        <f>'TOT Calculator'!H27</f>
        <v/>
      </c>
      <c r="E26" s="56" t="inlineStr">
        <is>
          <t>Pending</t>
        </is>
      </c>
      <c r="F26" s="47" t="n"/>
    </row>
    <row r="27" ht="18" customHeight="1">
      <c r="A27" s="46" t="inlineStr">
        <is>
          <t>Pigeon Forge Lodge</t>
        </is>
      </c>
      <c r="B27" s="46" t="inlineStr">
        <is>
          <t>Oct 2026</t>
        </is>
      </c>
      <c r="C27" s="55" t="n">
        <v>46346</v>
      </c>
      <c r="D27" s="51">
        <f>'TOT Calculator'!H28</f>
        <v/>
      </c>
      <c r="E27" s="56" t="inlineStr">
        <is>
          <t>Pending</t>
        </is>
      </c>
      <c r="F27" s="47" t="n"/>
    </row>
    <row r="28" ht="18" customHeight="1">
      <c r="A28" s="52" t="inlineStr">
        <is>
          <t>Pigeon Forge Lodge</t>
        </is>
      </c>
      <c r="B28" s="52" t="inlineStr">
        <is>
          <t>Nov 2026</t>
        </is>
      </c>
      <c r="C28" s="55" t="n">
        <v>46376</v>
      </c>
      <c r="D28" s="51">
        <f>'TOT Calculator'!H29</f>
        <v/>
      </c>
      <c r="E28" s="56" t="inlineStr">
        <is>
          <t>Pending</t>
        </is>
      </c>
      <c r="F28" s="47" t="n"/>
    </row>
    <row r="29" ht="18" customHeight="1">
      <c r="A29" s="46" t="inlineStr">
        <is>
          <t>Pigeon Forge Lodge</t>
        </is>
      </c>
      <c r="B29" s="46" t="inlineStr">
        <is>
          <t>Dec 2026</t>
        </is>
      </c>
      <c r="C29" s="55" t="n">
        <v>46407</v>
      </c>
      <c r="D29" s="51">
        <f>'TOT Calculator'!H30</f>
        <v/>
      </c>
      <c r="E29" s="56" t="inlineStr">
        <is>
          <t>Pending</t>
        </is>
      </c>
      <c r="F29" s="47" t="n"/>
    </row>
    <row r="30" ht="18" customHeight="1">
      <c r="A30" s="46" t="inlineStr">
        <is>
          <t>Asheville Bungalow</t>
        </is>
      </c>
      <c r="B30" s="46" t="inlineStr">
        <is>
          <t>Jan 2026</t>
        </is>
      </c>
      <c r="C30" s="55" t="n">
        <v>46073</v>
      </c>
      <c r="D30" s="51">
        <f>'TOT Calculator'!H31</f>
        <v/>
      </c>
      <c r="E30" s="56" t="inlineStr">
        <is>
          <t>Pending</t>
        </is>
      </c>
      <c r="F30" s="47" t="n"/>
    </row>
    <row r="31" ht="18" customHeight="1">
      <c r="A31" s="52" t="inlineStr">
        <is>
          <t>Asheville Bungalow</t>
        </is>
      </c>
      <c r="B31" s="52" t="inlineStr">
        <is>
          <t>Feb 2026</t>
        </is>
      </c>
      <c r="C31" s="55" t="n">
        <v>46101</v>
      </c>
      <c r="D31" s="51">
        <f>'TOT Calculator'!H32</f>
        <v/>
      </c>
      <c r="E31" s="56" t="inlineStr">
        <is>
          <t>Pending</t>
        </is>
      </c>
      <c r="F31" s="47" t="n"/>
    </row>
    <row r="32" ht="18" customHeight="1">
      <c r="A32" s="46" t="inlineStr">
        <is>
          <t>Asheville Bungalow</t>
        </is>
      </c>
      <c r="B32" s="46" t="inlineStr">
        <is>
          <t>Mar 2026</t>
        </is>
      </c>
      <c r="C32" s="55" t="n">
        <v>46132</v>
      </c>
      <c r="D32" s="51">
        <f>'TOT Calculator'!H33</f>
        <v/>
      </c>
      <c r="E32" s="56" t="inlineStr">
        <is>
          <t>Pending</t>
        </is>
      </c>
      <c r="F32" s="47" t="n"/>
    </row>
    <row r="33" ht="18" customHeight="1">
      <c r="A33" s="52" t="inlineStr">
        <is>
          <t>Asheville Bungalow</t>
        </is>
      </c>
      <c r="B33" s="52" t="inlineStr">
        <is>
          <t>Apr 2026</t>
        </is>
      </c>
      <c r="C33" s="55" t="n">
        <v>46162</v>
      </c>
      <c r="D33" s="51">
        <f>'TOT Calculator'!H34</f>
        <v/>
      </c>
      <c r="E33" s="56" t="inlineStr">
        <is>
          <t>Pending</t>
        </is>
      </c>
      <c r="F33" s="47" t="n"/>
    </row>
    <row r="34" ht="18" customHeight="1">
      <c r="A34" s="46" t="inlineStr">
        <is>
          <t>Asheville Bungalow</t>
        </is>
      </c>
      <c r="B34" s="46" t="inlineStr">
        <is>
          <t>May 2026</t>
        </is>
      </c>
      <c r="C34" s="55" t="n">
        <v>46193</v>
      </c>
      <c r="D34" s="51">
        <f>'TOT Calculator'!H35</f>
        <v/>
      </c>
      <c r="E34" s="56" t="inlineStr">
        <is>
          <t>Pending</t>
        </is>
      </c>
      <c r="F34" s="47" t="n"/>
    </row>
    <row r="35" ht="18" customHeight="1">
      <c r="A35" s="52" t="inlineStr">
        <is>
          <t>Asheville Bungalow</t>
        </is>
      </c>
      <c r="B35" s="52" t="inlineStr">
        <is>
          <t>Jun 2026</t>
        </is>
      </c>
      <c r="C35" s="55" t="n">
        <v>46223</v>
      </c>
      <c r="D35" s="51">
        <f>'TOT Calculator'!H36</f>
        <v/>
      </c>
      <c r="E35" s="56" t="inlineStr">
        <is>
          <t>Pending</t>
        </is>
      </c>
      <c r="F35" s="47" t="n"/>
    </row>
    <row r="36" ht="18" customHeight="1">
      <c r="A36" s="46" t="inlineStr">
        <is>
          <t>Asheville Bungalow</t>
        </is>
      </c>
      <c r="B36" s="46" t="inlineStr">
        <is>
          <t>Jul 2026</t>
        </is>
      </c>
      <c r="C36" s="55" t="n">
        <v>46254</v>
      </c>
      <c r="D36" s="51">
        <f>'TOT Calculator'!H37</f>
        <v/>
      </c>
      <c r="E36" s="56" t="inlineStr">
        <is>
          <t>Pending</t>
        </is>
      </c>
      <c r="F36" s="47" t="n"/>
    </row>
    <row r="37" ht="18" customHeight="1">
      <c r="A37" s="52" t="inlineStr">
        <is>
          <t>Asheville Bungalow</t>
        </is>
      </c>
      <c r="B37" s="52" t="inlineStr">
        <is>
          <t>Aug 2026</t>
        </is>
      </c>
      <c r="C37" s="55" t="n">
        <v>46285</v>
      </c>
      <c r="D37" s="51">
        <f>'TOT Calculator'!H38</f>
        <v/>
      </c>
      <c r="E37" s="56" t="inlineStr">
        <is>
          <t>Pending</t>
        </is>
      </c>
      <c r="F37" s="47" t="n"/>
    </row>
    <row r="38" ht="18" customHeight="1">
      <c r="A38" s="46" t="inlineStr">
        <is>
          <t>Asheville Bungalow</t>
        </is>
      </c>
      <c r="B38" s="46" t="inlineStr">
        <is>
          <t>Sep 2026</t>
        </is>
      </c>
      <c r="C38" s="55" t="n">
        <v>46315</v>
      </c>
      <c r="D38" s="51">
        <f>'TOT Calculator'!H39</f>
        <v/>
      </c>
      <c r="E38" s="56" t="inlineStr">
        <is>
          <t>Pending</t>
        </is>
      </c>
      <c r="F38" s="47" t="n"/>
    </row>
    <row r="39" ht="18" customHeight="1">
      <c r="A39" s="52" t="inlineStr">
        <is>
          <t>Asheville Bungalow</t>
        </is>
      </c>
      <c r="B39" s="52" t="inlineStr">
        <is>
          <t>Oct 2026</t>
        </is>
      </c>
      <c r="C39" s="55" t="n">
        <v>46346</v>
      </c>
      <c r="D39" s="51">
        <f>'TOT Calculator'!H40</f>
        <v/>
      </c>
      <c r="E39" s="56" t="inlineStr">
        <is>
          <t>Pending</t>
        </is>
      </c>
      <c r="F39" s="47" t="n"/>
    </row>
    <row r="40" ht="18" customHeight="1">
      <c r="A40" s="46" t="inlineStr">
        <is>
          <t>Asheville Bungalow</t>
        </is>
      </c>
      <c r="B40" s="46" t="inlineStr">
        <is>
          <t>Nov 2026</t>
        </is>
      </c>
      <c r="C40" s="55" t="n">
        <v>46376</v>
      </c>
      <c r="D40" s="51">
        <f>'TOT Calculator'!H41</f>
        <v/>
      </c>
      <c r="E40" s="56" t="inlineStr">
        <is>
          <t>Pending</t>
        </is>
      </c>
      <c r="F40" s="47" t="n"/>
    </row>
    <row r="41" ht="18" customHeight="1">
      <c r="A41" s="52" t="inlineStr">
        <is>
          <t>Asheville Bungalow</t>
        </is>
      </c>
      <c r="B41" s="52" t="inlineStr">
        <is>
          <t>Dec 2026</t>
        </is>
      </c>
      <c r="C41" s="55" t="n">
        <v>46407</v>
      </c>
      <c r="D41" s="51">
        <f>'TOT Calculator'!H42</f>
        <v/>
      </c>
      <c r="E41" s="56" t="inlineStr">
        <is>
          <t>Pending</t>
        </is>
      </c>
      <c r="F41" s="47" t="n"/>
    </row>
  </sheetData>
  <autoFilter ref="A5:F41"/>
  <mergeCells count="4">
    <mergeCell ref="A4:H4"/>
    <mergeCell ref="J2:L2"/>
    <mergeCell ref="D2:I2"/>
    <mergeCell ref="A2:C2"/>
  </mergeCells>
  <conditionalFormatting sqref="A6:F41">
    <cfRule type="expression" priority="1" dxfId="1">
      <formula>AND($C6-TODAY()&lt;7,$C6&gt;=TODAY(),$E6&lt;&gt;"Filed",$E6&lt;&gt;"Paid",$E6&lt;&gt;"N/A")</formula>
    </cfRule>
    <cfRule type="expression" priority="2" dxfId="2">
      <formula>AND($C6-TODAY()&gt;=7,$C6-TODAY()&lt;=30,$E6&lt;&gt;"Filed",$E6&lt;&gt;"Paid",$E6&lt;&gt;"N/A")</formula>
    </cfRule>
    <cfRule type="expression" priority="3" dxfId="3">
      <formula>AND($C6&lt;TODAY(),$E6&lt;&gt;"Filed",$E6&lt;&gt;"Paid",$E6&lt;&gt;"N/A")</formula>
    </cfRule>
  </conditionalFormatting>
  <dataValidations count="1">
    <dataValidation sqref="E6:E41" showDropDown="0" showInputMessage="0" showErrorMessage="0" allowBlank="1" type="list">
      <formula1>"Pending,Filed,Paid,N/A"</formula1>
    </dataValidation>
  </dataValidations>
  <pageMargins left="0.4" right="0.4" top="0.5" bottom="0.5" header="0.5" footer="0.5"/>
  <pageSetup orientation="portrait" paperSize="1" fitToHeight="1" fitToWidth="1"/>
</worksheet>
</file>

<file path=xl/worksheets/sheet5.xml><?xml version="1.0" encoding="utf-8"?>
<worksheet xmlns="http://schemas.openxmlformats.org/spreadsheetml/2006/main">
  <sheetPr>
    <tabColor rgb="00F6EFE2"/>
    <outlinePr summaryBelow="1" summaryRight="1"/>
    <pageSetUpPr fitToPage="1"/>
  </sheetPr>
  <dimension ref="A1:L40"/>
  <sheetViews>
    <sheetView workbookViewId="0">
      <selection activeCell="A1" sqref="A1"/>
    </sheetView>
  </sheetViews>
  <sheetFormatPr baseColWidth="8" defaultRowHeight="15"/>
  <cols>
    <col width="32" customWidth="1" min="1" max="1"/>
    <col width="26" customWidth="1" min="2" max="2"/>
    <col width="10" customWidth="1" min="3" max="3"/>
    <col width="13" customWidth="1" min="4" max="4"/>
    <col width="11" customWidth="1" min="5" max="5"/>
    <col width="13" customWidth="1" min="6" max="6"/>
    <col width="38" customWidth="1" min="7" max="7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2">
        <f>HYPERLINK("#'Filing List'!A1", "← BACK")</f>
        <v/>
      </c>
      <c r="B2" s="13" t="n"/>
      <c r="C2" s="13" t="n"/>
      <c r="D2" s="35" t="inlineStr">
        <is>
          <t>SETTINGS</t>
        </is>
      </c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36" t="inlineStr">
        <is>
          <t>Active tax year · property list · jurisdiction registry (rate, frequency, due day, platform-remit Y/N).</t>
        </is>
      </c>
      <c r="H4" s="9" t="n"/>
      <c r="I4" s="9" t="n"/>
      <c r="J4" s="9" t="n"/>
      <c r="K4" s="9" t="n"/>
      <c r="L4" s="9" t="n"/>
    </row>
    <row r="5" ht="20" customHeight="1">
      <c r="A5" s="57" t="inlineStr">
        <is>
          <t>Active tax year:</t>
        </is>
      </c>
      <c r="B5" s="58" t="n">
        <v>2026</v>
      </c>
    </row>
    <row r="7" ht="20" customHeight="1">
      <c r="A7" s="59" t="inlineStr">
        <is>
          <t>Properties</t>
        </is>
      </c>
    </row>
    <row r="8" ht="16" customHeight="1">
      <c r="A8" s="57" t="inlineStr">
        <is>
          <t>Property 1:</t>
        </is>
      </c>
      <c r="B8" s="47" t="inlineStr">
        <is>
          <t>Smoky Mtn Cabin</t>
        </is>
      </c>
    </row>
    <row r="9" ht="16" customHeight="1">
      <c r="A9" s="57" t="inlineStr">
        <is>
          <t>Property 2:</t>
        </is>
      </c>
      <c r="B9" s="47" t="inlineStr">
        <is>
          <t>Pigeon Forge Lodge</t>
        </is>
      </c>
    </row>
    <row r="10" ht="16" customHeight="1">
      <c r="A10" s="57" t="inlineStr">
        <is>
          <t>Property 3:</t>
        </is>
      </c>
      <c r="B10" s="47" t="inlineStr">
        <is>
          <t>Asheville Bungalow</t>
        </is>
      </c>
    </row>
    <row r="11" ht="16" customHeight="1">
      <c r="A11" s="57" t="inlineStr">
        <is>
          <t>Property 4:</t>
        </is>
      </c>
      <c r="B11" s="47" t="n"/>
    </row>
    <row r="12" ht="16" customHeight="1">
      <c r="A12" s="57" t="inlineStr">
        <is>
          <t>Property 5:</t>
        </is>
      </c>
      <c r="B12" s="47" t="n"/>
    </row>
    <row r="13" ht="16" customHeight="1">
      <c r="A13" s="57" t="inlineStr">
        <is>
          <t>Property 6:</t>
        </is>
      </c>
      <c r="B13" s="47" t="n"/>
    </row>
    <row r="14" ht="16" customHeight="1">
      <c r="A14" s="57" t="inlineStr">
        <is>
          <t>Property 7:</t>
        </is>
      </c>
      <c r="B14" s="47" t="n"/>
    </row>
    <row r="15" ht="16" customHeight="1">
      <c r="A15" s="57" t="inlineStr">
        <is>
          <t>Property 8:</t>
        </is>
      </c>
      <c r="B15" s="47" t="n"/>
    </row>
    <row r="16" ht="16" customHeight="1">
      <c r="A16" s="57" t="inlineStr">
        <is>
          <t>Property 9:</t>
        </is>
      </c>
      <c r="B16" s="47" t="n"/>
    </row>
    <row r="17" ht="16" customHeight="1">
      <c r="A17" s="57" t="inlineStr">
        <is>
          <t>Property 10:</t>
        </is>
      </c>
      <c r="B17" s="47" t="n"/>
    </row>
    <row r="19" ht="20" customHeight="1">
      <c r="A19" s="59" t="inlineStr">
        <is>
          <t>Jurisdictions</t>
        </is>
      </c>
    </row>
    <row r="20" ht="20" customHeight="1">
      <c r="A20" s="37" t="inlineStr">
        <is>
          <t>#</t>
        </is>
      </c>
      <c r="B20" s="37" t="inlineStr">
        <is>
          <t>Jurisdiction</t>
        </is>
      </c>
      <c r="C20" s="37" t="inlineStr">
        <is>
          <t>TOT Rate</t>
        </is>
      </c>
      <c r="D20" s="37" t="inlineStr">
        <is>
          <t>Frequency</t>
        </is>
      </c>
      <c r="E20" s="37" t="inlineStr">
        <is>
          <t>Due Day</t>
        </is>
      </c>
      <c r="F20" s="37" t="inlineStr">
        <is>
          <t>Platform Remits?</t>
        </is>
      </c>
      <c r="G20" s="37" t="inlineStr">
        <is>
          <t>Filing URL</t>
        </is>
      </c>
    </row>
    <row r="21" ht="16" customHeight="1">
      <c r="A21" s="60" t="n">
        <v>1</v>
      </c>
      <c r="B21" s="47" t="inlineStr">
        <is>
          <t>Sevier County TN</t>
        </is>
      </c>
      <c r="C21" s="61" t="n">
        <v>0.03</v>
      </c>
      <c r="D21" s="56" t="inlineStr">
        <is>
          <t>Monthly</t>
        </is>
      </c>
      <c r="E21" s="56" t="n">
        <v>20</v>
      </c>
      <c r="F21" s="56" t="inlineStr">
        <is>
          <t>Y</t>
        </is>
      </c>
      <c r="G21" s="47" t="inlineStr">
        <is>
          <t>https://www.seviercountytn.gov</t>
        </is>
      </c>
    </row>
    <row r="22" ht="16" customHeight="1">
      <c r="A22" s="60" t="n">
        <v>2</v>
      </c>
      <c r="B22" s="47" t="inlineStr">
        <is>
          <t>Asheville NC</t>
        </is>
      </c>
      <c r="C22" s="61" t="n">
        <v>0.06</v>
      </c>
      <c r="D22" s="56" t="inlineStr">
        <is>
          <t>Monthly</t>
        </is>
      </c>
      <c r="E22" s="56" t="n">
        <v>20</v>
      </c>
      <c r="F22" s="56" t="inlineStr">
        <is>
          <t>N</t>
        </is>
      </c>
      <c r="G22" s="47" t="inlineStr">
        <is>
          <t>https://www.buncombecounty.org/governing/depts/tax</t>
        </is>
      </c>
    </row>
    <row r="23" ht="16" customHeight="1">
      <c r="A23" s="60" t="n">
        <v>3</v>
      </c>
      <c r="B23" s="47" t="inlineStr">
        <is>
          <t>Nashville TN</t>
        </is>
      </c>
      <c r="C23" s="61" t="n">
        <v>0.06</v>
      </c>
      <c r="D23" s="56" t="inlineStr">
        <is>
          <t>Monthly</t>
        </is>
      </c>
      <c r="E23" s="56" t="n">
        <v>20</v>
      </c>
      <c r="F23" s="56" t="inlineStr">
        <is>
          <t>Y</t>
        </is>
      </c>
      <c r="G23" s="47" t="inlineStr">
        <is>
          <t>https://www.nashville.gov/finance</t>
        </is>
      </c>
    </row>
    <row r="24" ht="16" customHeight="1">
      <c r="A24" s="60" t="n">
        <v>4</v>
      </c>
      <c r="B24" s="47" t="inlineStr">
        <is>
          <t>New Orleans LA</t>
        </is>
      </c>
      <c r="C24" s="61" t="n">
        <v>0.0675</v>
      </c>
      <c r="D24" s="56" t="inlineStr">
        <is>
          <t>Monthly</t>
        </is>
      </c>
      <c r="E24" s="56" t="n">
        <v>20</v>
      </c>
      <c r="F24" s="56" t="inlineStr">
        <is>
          <t>N</t>
        </is>
      </c>
      <c r="G24" s="47" t="inlineStr">
        <is>
          <t>https://www.nola.gov/finance</t>
        </is>
      </c>
    </row>
    <row r="25" ht="16" customHeight="1">
      <c r="A25" s="60" t="n">
        <v>5</v>
      </c>
      <c r="B25" s="47" t="inlineStr">
        <is>
          <t>San Diego CA</t>
        </is>
      </c>
      <c r="C25" s="61" t="n">
        <v>0.105</v>
      </c>
      <c r="D25" s="56" t="inlineStr">
        <is>
          <t>Monthly</t>
        </is>
      </c>
      <c r="E25" s="56" t="n">
        <v>1</v>
      </c>
      <c r="F25" s="56" t="inlineStr">
        <is>
          <t>N</t>
        </is>
      </c>
      <c r="G25" s="47" t="inlineStr">
        <is>
          <t>https://www.sandiego.gov/treasurer</t>
        </is>
      </c>
    </row>
    <row r="26" ht="16" customHeight="1">
      <c r="A26" s="60" t="n">
        <v>6</v>
      </c>
      <c r="B26" s="47" t="inlineStr">
        <is>
          <t>Austin TX</t>
        </is>
      </c>
      <c r="C26" s="61" t="n">
        <v>0.09</v>
      </c>
      <c r="D26" s="56" t="inlineStr">
        <is>
          <t>Quarterly</t>
        </is>
      </c>
      <c r="E26" s="56" t="n">
        <v>20</v>
      </c>
      <c r="F26" s="56" t="inlineStr">
        <is>
          <t>N</t>
        </is>
      </c>
      <c r="G26" s="47" t="inlineStr">
        <is>
          <t>https://www.austintexas.gov/department/hotel-occupancy-tax</t>
        </is>
      </c>
    </row>
    <row r="27" ht="16" customHeight="1">
      <c r="A27" s="60" t="n">
        <v>7</v>
      </c>
      <c r="B27" s="47" t="inlineStr">
        <is>
          <t>Park City UT</t>
        </is>
      </c>
      <c r="C27" s="61" t="n">
        <v>0.0395</v>
      </c>
      <c r="D27" s="56" t="inlineStr">
        <is>
          <t>Monthly</t>
        </is>
      </c>
      <c r="E27" s="56" t="n">
        <v>30</v>
      </c>
      <c r="F27" s="56" t="inlineStr">
        <is>
          <t>Y</t>
        </is>
      </c>
      <c r="G27" s="47" t="inlineStr">
        <is>
          <t>https://parkcity.org</t>
        </is>
      </c>
    </row>
    <row r="29" ht="36" customHeight="1">
      <c r="A29" s="62" t="inlineStr">
        <is>
          <t>📅 Rates table dated 2026-01-01. TOT rules change frequently — verify rate, due day, and platform-remit status with your jurisdiction before filing. This workbook is a working tool, not legal advice.</t>
        </is>
      </c>
    </row>
    <row r="31" ht="22" customHeight="1">
      <c r="A31" s="63" t="inlineStr">
        <is>
          <t>Year-end Archive</t>
        </is>
      </c>
    </row>
    <row r="32" ht="24" customHeight="1">
      <c r="A32" s="64" t="inlineStr">
        <is>
          <t>Each January, copy YTD totals into the row for the year you just closed, then clear Revenue Matrix for the new year.</t>
        </is>
      </c>
    </row>
    <row r="33" ht="18" customHeight="1">
      <c r="A33" s="37" t="inlineStr">
        <is>
          <t>Year</t>
        </is>
      </c>
      <c r="B33" s="37" t="inlineStr">
        <is>
          <t>Gross Revenue</t>
        </is>
      </c>
      <c r="C33" s="37" t="inlineStr">
        <is>
          <t>Cleaning</t>
        </is>
      </c>
      <c r="D33" s="37" t="inlineStr">
        <is>
          <t>$ Host Owes</t>
        </is>
      </c>
      <c r="E33" s="37" t="inlineStr">
        <is>
          <t>$ Platform Filed</t>
        </is>
      </c>
    </row>
    <row r="34" ht="16" customHeight="1">
      <c r="A34" s="65" t="n">
        <v>2024</v>
      </c>
      <c r="B34" s="40" t="n"/>
      <c r="C34" s="40" t="n"/>
      <c r="D34" s="40" t="n"/>
      <c r="E34" s="40" t="n"/>
    </row>
    <row r="35" ht="16" customHeight="1">
      <c r="A35" s="65" t="n">
        <v>2025</v>
      </c>
      <c r="B35" s="40" t="n"/>
      <c r="C35" s="40" t="n"/>
      <c r="D35" s="40" t="n"/>
      <c r="E35" s="40" t="n"/>
    </row>
    <row r="36" ht="16" customHeight="1">
      <c r="A36" s="65" t="n">
        <v>2026</v>
      </c>
      <c r="B36" s="40" t="n"/>
      <c r="C36" s="40" t="n"/>
      <c r="D36" s="40" t="n"/>
      <c r="E36" s="40" t="n"/>
    </row>
    <row r="37" ht="16" customHeight="1">
      <c r="A37" s="65" t="n">
        <v>2027</v>
      </c>
      <c r="B37" s="40" t="n"/>
      <c r="C37" s="40" t="n"/>
      <c r="D37" s="40" t="n"/>
      <c r="E37" s="40" t="n"/>
    </row>
    <row r="38" ht="16" customHeight="1">
      <c r="A38" s="65" t="n">
        <v>2028</v>
      </c>
      <c r="B38" s="40" t="n"/>
      <c r="C38" s="40" t="n"/>
      <c r="D38" s="40" t="n"/>
      <c r="E38" s="40" t="n"/>
    </row>
    <row r="39" ht="16" customHeight="1">
      <c r="A39" s="65" t="n">
        <v>2029</v>
      </c>
      <c r="B39" s="40" t="n"/>
      <c r="C39" s="40" t="n"/>
      <c r="D39" s="40" t="n"/>
      <c r="E39" s="40" t="n"/>
    </row>
    <row r="40" ht="16" customHeight="1">
      <c r="A40" s="65" t="n">
        <v>2030</v>
      </c>
      <c r="B40" s="40" t="n"/>
      <c r="C40" s="40" t="n"/>
      <c r="D40" s="40" t="n"/>
      <c r="E40" s="40" t="n"/>
    </row>
  </sheetData>
  <mergeCells count="7">
    <mergeCell ref="A32:G32"/>
    <mergeCell ref="D2:L2"/>
    <mergeCell ref="A7:B7"/>
    <mergeCell ref="A4:G4"/>
    <mergeCell ref="A29:G29"/>
    <mergeCell ref="A19:G19"/>
    <mergeCell ref="A2:C2"/>
  </mergeCells>
  <dataValidations count="2">
    <dataValidation sqref="D21:D27" showDropDown="0" showInputMessage="0" showErrorMessage="0" allowBlank="1" type="list">
      <formula1>"Monthly,Quarterly,Annual"</formula1>
    </dataValidation>
    <dataValidation sqref="F21:F27" showDropDown="0" showInputMessage="0" showErrorMessage="0" allowBlank="1" type="list">
      <formula1>"Y,N"</formula1>
    </dataValidation>
  </dataValidations>
  <pageMargins left="0.4" right="0.4" top="0.5" bottom="0.5" header="0.5" footer="0.5"/>
  <pageSetup orientation="landscape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The STR Ledger</dc:creator>
  <dc:title xmlns:dc="http://purl.org/dc/elements/1.1/">TOT Filing Calendar (DEMO) — The STR Ledger</dc:title>
  <dc:description xmlns:dc="http://purl.org/dc/elements/1.1/">Per-property monthly STR occupancy tax tracker with platform-remit split and rolling deadline view.</dc:description>
  <dcterms:created xmlns:dcterms="http://purl.org/dc/terms/" xmlns:xsi="http://www.w3.org/2001/XMLSchema-instance" xsi:type="dcterms:W3CDTF">2026-05-03T12:25:48Z</dcterms:created>
  <dcterms:modified xmlns:dcterms="http://purl.org/dc/terms/" xmlns:xsi="http://www.w3.org/2001/XMLSchema-instance" xsi:type="dcterms:W3CDTF">2026-05-03T12:25:48Z</dcterms:modified>
</cp:coreProperties>
</file>