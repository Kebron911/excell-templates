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operty" sheetId="2" state="visible" r:id="rId2"/>
    <sheet xmlns:r="http://schemas.openxmlformats.org/officeDocument/2006/relationships" name="Arrival" sheetId="3" state="visible" r:id="rId3"/>
    <sheet xmlns:r="http://schemas.openxmlformats.org/officeDocument/2006/relationships" name="WiFi + Tech" sheetId="4" state="visible" r:id="rId4"/>
    <sheet xmlns:r="http://schemas.openxmlformats.org/officeDocument/2006/relationships" name="House Rules" sheetId="5" state="visible" r:id="rId5"/>
    <sheet xmlns:r="http://schemas.openxmlformats.org/officeDocument/2006/relationships" name="Local Guide" sheetId="6" state="visible" r:id="rId6"/>
    <sheet xmlns:r="http://schemas.openxmlformats.org/officeDocument/2006/relationships" name="Trash" sheetId="7" state="visible" r:id="rId7"/>
    <sheet xmlns:r="http://schemas.openxmlformats.org/officeDocument/2006/relationships" name="Departure" sheetId="8" state="visible" r:id="rId8"/>
    <sheet xmlns:r="http://schemas.openxmlformats.org/officeDocument/2006/relationships" name="Emergency" sheetId="9" state="visible" r:id="rId9"/>
    <sheet xmlns:r="http://schemas.openxmlformats.org/officeDocument/2006/relationships" name="Review &amp; Print" sheetId="10" state="visible" r:id="rId10"/>
    <sheet xmlns:r="http://schemas.openxmlformats.org/officeDocument/2006/relationships" name="Bonus" sheetId="11" state="visible" r:id="rId11"/>
    <sheet xmlns:r="http://schemas.openxmlformats.org/officeDocument/2006/relationships" name="× Host Notes" sheetId="12" state="visible" r:id="rId12"/>
  </sheets>
  <definedNames>
    <definedName name="_xlnm.Print_Area" localSheetId="0">'Start'!$A$1:$L$52</definedName>
    <definedName name="_xlnm.Print_Area" localSheetId="5">'Local Guide'!$A$1:$E$33</definedName>
    <definedName name="_xlnm.Print_Area" localSheetId="8">'Emergency'!$A$1:$L$30</definedName>
    <definedName name="_xlnm.Print_Area" localSheetId="9">'Review &amp; Print'!$A$24:$L$80</definedName>
    <definedName name="_xlnm.Print_Area" localSheetId="10">'Bonus'!$A$1:$L$20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b val="1"/>
      <color rgb="0012304E"/>
      <sz val="16"/>
    </font>
    <font>
      <name val="Georgia"/>
      <b val="1"/>
      <color rgb="0012304E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C9A24B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9"/>
    </font>
    <font>
      <name val="Georgia"/>
      <b val="1"/>
      <color rgb="0012304E"/>
      <sz val="13"/>
    </font>
    <font>
      <name val="Georgia"/>
      <b val="1"/>
      <color rgb="00F6EFE2"/>
      <sz val="28"/>
    </font>
    <font>
      <name val="Georgia"/>
      <i val="1"/>
      <color rgb="00C9A24B"/>
      <sz val="12"/>
    </font>
    <font>
      <name val="Calibri"/>
      <i val="1"/>
      <color rgb="002B2B2B"/>
      <sz val="10"/>
    </font>
    <font>
      <name val="Consolas"/>
      <b val="1"/>
      <color rgb="0012304E"/>
      <sz val="10"/>
    </font>
    <font>
      <name val="Calibri"/>
      <b val="1"/>
      <color rgb="002B2B2B"/>
      <sz val="11"/>
    </font>
    <font>
      <name val="Calibri"/>
      <b val="1"/>
      <color rgb="00FFFFFF"/>
      <sz val="11"/>
    </font>
    <font>
      <name val="Calibri"/>
      <b val="1"/>
      <color rgb="0012304E"/>
      <sz val="11"/>
    </font>
    <font>
      <name val="Calibri"/>
      <i val="1"/>
      <color rgb="002B2B2B"/>
      <sz val="11"/>
    </font>
    <font>
      <name val="Georgia"/>
      <b val="1"/>
      <color rgb="00B91C1C"/>
      <sz val="22"/>
    </font>
    <font>
      <name val="Consolas"/>
      <b val="1"/>
      <color rgb="00C9A24B"/>
      <sz val="10"/>
    </font>
    <font>
      <name val="Georgia"/>
      <b val="1"/>
      <color rgb="00F6EFE2"/>
      <sz val="32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Georgia"/>
      <b val="1"/>
      <color rgb="0012304E"/>
      <sz val="22"/>
    </font>
    <font>
      <name val="Calibri"/>
      <i val="1"/>
      <color rgb="006B7280"/>
      <sz val="10"/>
    </font>
    <font>
      <name val="Calibri"/>
      <b val="1"/>
      <color rgb="0012304E"/>
      <sz val="10"/>
    </font>
    <font>
      <name val="Calibri"/>
      <color rgb="002B2B2B"/>
      <sz val="10"/>
    </font>
    <font>
      <name val="Calibri"/>
      <b val="1"/>
      <color rgb="0012304E"/>
      <sz val="12"/>
    </font>
    <font>
      <name val="Calibri"/>
      <color rgb="002B2B2B"/>
      <sz val="12"/>
    </font>
    <font>
      <name val="Calibri"/>
      <b val="1"/>
      <color rgb="0012304E"/>
      <sz val="16"/>
    </font>
    <font>
      <name val="Calibri"/>
      <b val="1"/>
      <color rgb="002B2B2B"/>
      <sz val="16"/>
    </font>
    <font>
      <name val="Georgia"/>
      <b val="1"/>
      <color rgb="0012304E"/>
      <sz val="20"/>
    </font>
    <font>
      <name val="Calibri"/>
      <i val="1"/>
      <color rgb="006B7280"/>
      <sz val="9"/>
    </font>
    <font>
      <name val="Georgia"/>
      <b val="1"/>
      <color rgb="0012304E"/>
      <sz val="18"/>
    </font>
    <font>
      <name val="Georgia"/>
      <b val="1"/>
      <color rgb="00B91C1C"/>
      <sz val="18"/>
    </font>
    <font>
      <name val="Calibri"/>
      <b val="1"/>
      <color rgb="0012304E"/>
      <sz val="14"/>
    </font>
    <font>
      <name val="Calibri"/>
      <b val="1"/>
      <color rgb="002B2B2B"/>
      <sz val="14"/>
    </font>
    <font>
      <name val="Georgia"/>
      <b val="1"/>
      <color rgb="0012304E"/>
      <sz val="28"/>
    </font>
    <font>
      <name val="Georgia"/>
      <i val="1"/>
      <color rgb="0012304E"/>
      <sz val="11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2C884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FFE8E8"/>
      </patternFill>
    </fill>
  </fills>
  <borders count="24">
    <border>
      <left/>
      <right/>
      <top/>
      <bottom/>
      <diagonal/>
    </border>
    <border>
      <top style="medium">
        <color rgb="00C9A24B"/>
      </top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/>
      <top style="thin">
        <color rgb="00C9A24B"/>
      </top>
    </border>
    <border>
      <left/>
      <right/>
      <top style="thin">
        <color rgb="00C9A24B"/>
      </top>
    </border>
    <border>
      <left/>
      <right style="thin">
        <color rgb="00C9A24B"/>
      </right>
      <top style="thin">
        <color rgb="00C9A24B"/>
      </top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C9A24B"/>
      </left>
      <right/>
      <top style="thin">
        <color rgb="00C9A24B"/>
      </top>
      <bottom style="thin">
        <color rgb="00C9A24B"/>
      </bottom>
    </border>
    <border>
      <left/>
      <right/>
      <top style="thin">
        <color rgb="00C9A24B"/>
      </top>
      <bottom style="thin">
        <color rgb="00C9A24B"/>
      </bottom>
    </border>
    <border>
      <left/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/>
      <right/>
      <top style="thin">
        <color rgb="00C9A24B"/>
      </top>
      <bottom/>
      <diagonal/>
    </border>
    <border>
      <left style="medium">
        <color rgb="00B91C1C"/>
      </left>
      <right style="medium">
        <color rgb="00B91C1C"/>
      </right>
      <top style="medium">
        <color rgb="00B91C1C"/>
      </top>
      <bottom style="medium">
        <color rgb="00B91C1C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/>
      <right/>
      <top/>
      <bottom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2"/>
    </xf>
    <xf numFmtId="0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 indent="1"/>
    </xf>
    <xf numFmtId="0" fontId="0" fillId="0" borderId="3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6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indent="1"/>
    </xf>
    <xf numFmtId="0" fontId="20" fillId="3" borderId="5" applyAlignment="1" pivotButton="0" quotePrefix="0" xfId="0">
      <alignment horizontal="right" vertical="center" indent="1"/>
    </xf>
    <xf numFmtId="0" fontId="0" fillId="3" borderId="6" pivotButton="0" quotePrefix="0" xfId="0"/>
    <xf numFmtId="0" fontId="7" fillId="7" borderId="6" applyAlignment="1" pivotButton="0" quotePrefix="0" xfId="0">
      <alignment horizontal="left" vertical="center"/>
    </xf>
    <xf numFmtId="0" fontId="0" fillId="3" borderId="7" pivotButton="0" quotePrefix="0" xfId="0"/>
    <xf numFmtId="0" fontId="20" fillId="3" borderId="8" applyAlignment="1" pivotButton="0" quotePrefix="0" xfId="0">
      <alignment horizontal="right" vertical="center" indent="1"/>
    </xf>
    <xf numFmtId="0" fontId="0" fillId="3" borderId="9" pivotButton="0" quotePrefix="0" xfId="0"/>
    <xf numFmtId="0" fontId="7" fillId="7" borderId="9" applyAlignment="1" pivotButton="0" quotePrefix="0" xfId="0">
      <alignment horizontal="left" vertical="center"/>
    </xf>
    <xf numFmtId="0" fontId="0" fillId="3" borderId="10" pivotButton="0" quotePrefix="0" xfId="0"/>
    <xf numFmtId="0" fontId="20" fillId="3" borderId="11" applyAlignment="1" pivotButton="0" quotePrefix="0" xfId="0">
      <alignment horizontal="right" vertical="center" indent="1"/>
    </xf>
    <xf numFmtId="0" fontId="7" fillId="7" borderId="0" applyAlignment="1" pivotButton="0" quotePrefix="0" xfId="0">
      <alignment horizontal="left" vertical="center"/>
    </xf>
    <xf numFmtId="0" fontId="0" fillId="3" borderId="12" pivotButton="0" quotePrefix="0" xfId="0"/>
    <xf numFmtId="0" fontId="18" fillId="3" borderId="8" applyAlignment="1" pivotButton="0" quotePrefix="0" xfId="0">
      <alignment horizontal="left" vertical="center" wrapText="1" indent="2"/>
    </xf>
    <xf numFmtId="0" fontId="0" fillId="3" borderId="3" pivotButton="0" quotePrefix="0" xfId="0"/>
    <xf numFmtId="0" fontId="15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3" borderId="5" applyAlignment="1" pivotButton="0" quotePrefix="0" xfId="0">
      <alignment horizontal="left" vertical="center" wrapText="1" indent="2"/>
    </xf>
    <xf numFmtId="0" fontId="18" fillId="3" borderId="11" applyAlignment="1" pivotButton="0" quotePrefix="0" xfId="0">
      <alignment horizontal="left" vertical="center" wrapText="1" indent="2"/>
    </xf>
    <xf numFmtId="0" fontId="20" fillId="3" borderId="14" applyAlignment="1" pivotButton="0" quotePrefix="0" xfId="0">
      <alignment horizontal="right" vertical="center" indent="1"/>
    </xf>
    <xf numFmtId="0" fontId="0" fillId="3" borderId="15" pivotButton="0" quotePrefix="0" xfId="0"/>
    <xf numFmtId="0" fontId="7" fillId="7" borderId="15" applyAlignment="1" pivotButton="0" quotePrefix="0" xfId="0">
      <alignment horizontal="left" vertical="center"/>
    </xf>
    <xf numFmtId="0" fontId="0" fillId="3" borderId="16" pivotButton="0" quotePrefix="0" xfId="0"/>
    <xf numFmtId="0" fontId="21" fillId="2" borderId="17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wrapText="1" indent="1"/>
    </xf>
    <xf numFmtId="0" fontId="23" fillId="8" borderId="9" applyAlignment="1" pivotButton="0" quotePrefix="0" xfId="0">
      <alignment horizontal="right" vertical="center"/>
    </xf>
    <xf numFmtId="0" fontId="24" fillId="9" borderId="19" applyAlignment="1" pivotButton="0" quotePrefix="0" xfId="0">
      <alignment horizontal="center" vertical="center"/>
    </xf>
    <xf numFmtId="0" fontId="7" fillId="7" borderId="6" applyAlignment="1" pivotButton="0" quotePrefix="0" xfId="0">
      <alignment horizontal="left" vertical="center" wrapText="1" indent="1"/>
    </xf>
    <xf numFmtId="0" fontId="7" fillId="7" borderId="9" applyAlignment="1" pivotButton="0" quotePrefix="0" xfId="0">
      <alignment horizontal="left" vertical="center" wrapText="1" indent="1"/>
    </xf>
    <xf numFmtId="0" fontId="7" fillId="3" borderId="6" applyAlignment="1" pivotButton="0" quotePrefix="0" xfId="0">
      <alignment horizontal="left" vertical="center" indent="1"/>
    </xf>
    <xf numFmtId="0" fontId="25" fillId="2" borderId="0" applyAlignment="1" pivotButton="0" quotePrefix="0" xfId="0">
      <alignment horizontal="right" vertical="center" indent="2"/>
    </xf>
    <xf numFmtId="0" fontId="26" fillId="2" borderId="0" applyAlignment="1" pivotButton="0" quotePrefix="0" xfId="0">
      <alignment horizontal="center" vertical="center"/>
    </xf>
    <xf numFmtId="0" fontId="27" fillId="3" borderId="20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30" fillId="3" borderId="20" applyAlignment="1" pivotButton="0" quotePrefix="0" xfId="0">
      <alignment horizontal="center"/>
    </xf>
    <xf numFmtId="0" fontId="28" fillId="3" borderId="1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12" pivotButton="0" quotePrefix="0" xfId="0"/>
    <xf numFmtId="0" fontId="31" fillId="3" borderId="11" applyAlignment="1" pivotButton="0" quotePrefix="0" xfId="0">
      <alignment horizontal="center" vertical="center"/>
    </xf>
    <xf numFmtId="0" fontId="32" fillId="3" borderId="11" applyAlignment="1" pivotButton="0" quotePrefix="0" xfId="0">
      <alignment horizontal="center" vertical="center"/>
    </xf>
    <xf numFmtId="0" fontId="0" fillId="0" borderId="11" pivotButton="0" quotePrefix="0" xfId="0"/>
    <xf numFmtId="0" fontId="29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3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indent="1"/>
    </xf>
    <xf numFmtId="0" fontId="7" fillId="0" borderId="0" applyAlignment="1" pivotButton="0" quotePrefix="0" xfId="0">
      <alignment horizontal="left" vertical="center" wrapText="1" indent="1"/>
    </xf>
    <xf numFmtId="0" fontId="34" fillId="0" borderId="0" applyAlignment="1" pivotButton="0" quotePrefix="0" xfId="0">
      <alignment horizontal="right" indent="1"/>
    </xf>
    <xf numFmtId="0" fontId="35" fillId="0" borderId="0" applyAlignment="1" pivotButton="0" quotePrefix="0" xfId="0">
      <alignment horizontal="left" vertical="center" wrapText="1" indent="1"/>
    </xf>
    <xf numFmtId="0" fontId="36" fillId="0" borderId="0" applyAlignment="1" pivotButton="0" quotePrefix="0" xfId="0">
      <alignment horizontal="right" indent="1"/>
    </xf>
    <xf numFmtId="0" fontId="37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right" indent="1"/>
    </xf>
    <xf numFmtId="0" fontId="39" fillId="0" borderId="0" applyAlignment="1" pivotButton="0" quotePrefix="0" xfId="0">
      <alignment horizontal="left" vertical="center" wrapText="1" indent="1"/>
    </xf>
    <xf numFmtId="0" fontId="40" fillId="0" borderId="0" applyAlignment="1" pivotButton="0" quotePrefix="0" xfId="0">
      <alignment horizontal="center"/>
    </xf>
    <xf numFmtId="0" fontId="34" fillId="0" borderId="0" pivotButton="0" quotePrefix="0" xfId="0"/>
    <xf numFmtId="0" fontId="35" fillId="0" borderId="0" pivotButton="0" quotePrefix="0" xfId="0"/>
    <xf numFmtId="0" fontId="12" fillId="0" borderId="0" pivotButton="0" quotePrefix="0" xfId="0"/>
    <xf numFmtId="0" fontId="41" fillId="0" borderId="0" pivotButton="0" quotePrefix="0" xfId="0"/>
    <xf numFmtId="0" fontId="42" fillId="0" borderId="0" applyAlignment="1" pivotButton="0" quotePrefix="0" xfId="0">
      <alignment horizontal="center"/>
    </xf>
    <xf numFmtId="0" fontId="43" fillId="9" borderId="0" applyAlignment="1" pivotButton="0" quotePrefix="0" xfId="0">
      <alignment horizontal="center"/>
    </xf>
    <xf numFmtId="0" fontId="44" fillId="0" borderId="0" applyAlignment="1" pivotButton="0" quotePrefix="0" xfId="0">
      <alignment horizontal="right" indent="1"/>
    </xf>
    <xf numFmtId="0" fontId="45" fillId="0" borderId="0" applyAlignment="1" pivotButton="0" quotePrefix="0" xfId="0">
      <alignment horizontal="left" vertical="center" wrapText="1" indent="1"/>
    </xf>
    <xf numFmtId="0" fontId="0" fillId="6" borderId="0" pivotButton="0" quotePrefix="0" xfId="0"/>
    <xf numFmtId="0" fontId="27" fillId="6" borderId="0" applyAlignment="1" pivotButton="0" quotePrefix="0" xfId="0">
      <alignment horizontal="right" vertical="center" indent="2"/>
    </xf>
    <xf numFmtId="0" fontId="46" fillId="6" borderId="0" applyAlignment="1" pivotButton="0" quotePrefix="0" xfId="0">
      <alignment horizontal="center" vertical="center"/>
    </xf>
    <xf numFmtId="0" fontId="47" fillId="6" borderId="0" applyAlignment="1" pivotButton="0" quotePrefix="0" xfId="0">
      <alignment horizontal="center" vertical="center"/>
    </xf>
    <xf numFmtId="0" fontId="7" fillId="3" borderId="14" applyAlignment="1" pivotButton="0" quotePrefix="0" xfId="0">
      <alignment horizontal="left" vertical="top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Welcome Book</t>
        </is>
      </c>
    </row>
    <row r="5" ht="22" customHeight="1">
      <c r="A5" s="4" t="inlineStr">
        <is>
          <t>Welcome books that earn 5-stars.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GST-001 · v2.0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 t="inlineStr">
        <is>
          <t>What you'll build in the next 15 minutes</t>
        </is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2" customHeight="1">
      <c r="A13" s="8" t="inlineStr">
        <is>
          <t>📖 PRINT</t>
        </is>
      </c>
      <c r="E13" s="8" t="inlineStr">
        <is>
          <t>📱 QR CODE</t>
        </is>
      </c>
      <c r="I13" s="8" t="inlineStr">
        <is>
          <t>✉ EMAIL PDF</t>
        </is>
      </c>
    </row>
    <row r="14" ht="22" customHeight="1">
      <c r="A14" s="9" t="inlineStr">
        <is>
          <t>Spiral-bound binder for the kitchen counter.</t>
        </is>
      </c>
      <c r="E14" s="9" t="inlineStr">
        <is>
          <t>Scan on arrival — view on the guest's phone.</t>
        </is>
      </c>
      <c r="I14" s="9" t="inlineStr">
        <is>
          <t>Send ahead of check-in. One page, every tab.</t>
        </is>
      </c>
    </row>
    <row r="15" ht="22" customHeight="1"/>
    <row r="16" ht="22" customHeight="1"/>
    <row r="17" ht="22" customHeight="1"/>
    <row r="18" ht="22" customHeight="1"/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24" customHeight="1">
      <c r="A23" s="11" t="inlineStr">
        <is>
          <t>Quick Start — be done in 5 minutes</t>
        </is>
      </c>
    </row>
    <row r="24">
      <c r="A24" s="10" t="n"/>
      <c r="B24" s="12" t="inlineStr">
        <is>
          <t>① Property name + host phone</t>
        </is>
      </c>
      <c r="G24" s="10" t="n"/>
      <c r="H24" s="12" t="inlineStr">
        <is>
          <t>④ Checkout time</t>
        </is>
      </c>
    </row>
    <row r="25">
      <c r="A25" s="10" t="n"/>
      <c r="B25" s="12" t="inlineStr">
        <is>
          <t>② WiFi network + password</t>
        </is>
      </c>
      <c r="G25" s="10" t="n"/>
      <c r="H25" s="12" t="inlineStr">
        <is>
          <t>⑤ Hospital + 911 note</t>
        </is>
      </c>
    </row>
    <row r="26">
      <c r="A26" s="10" t="n"/>
      <c r="B26" s="12" t="inlineStr">
        <is>
          <t>③ Trash pickup day</t>
        </is>
      </c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30" ht="22" customHeight="1">
      <c r="A30" s="13">
        <f>HYPERLINK("#'Property'!A5", "GET STARTED — FILL YOUR PROPERTY INFO  →")</f>
        <v/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 ht="22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 ht="22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 ht="22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6">
      <c r="A36" s="15" t="inlineStr">
        <is>
          <t>Progress:</t>
        </is>
      </c>
      <c r="G36" s="16">
        <f>TEXT((COUNTA('Property'!B5:B12) + COUNTA('Arrival'!B5:B11) + COUNTA('WiFi + Tech'!B5:B12) + COUNTA('House Rules'!B5:B11) + COUNTA('Local Guide'!B6:E25) + COUNTA('Trash'!B5:B11) + COUNTA('Departure'!B5:B10) + COUNTA('Emergency'!B5:B13))/132, "0%") &amp; " complete"</f>
        <v/>
      </c>
    </row>
    <row r="38" ht="18" customHeight="1">
      <c r="A38" s="17" t="inlineStr">
        <is>
          <t>① Property Info</t>
        </is>
      </c>
      <c r="G38" s="18">
        <f>IF(COUNTA('Property'!B5:B12)=8,"✅ Done",IF(COUNTA('Property'!B5:B12)=0,"⏳ Empty","⏳ "&amp;COUNTA('Property'!B5:B12)&amp;" of 8"))</f>
        <v/>
      </c>
      <c r="K38" s="19">
        <f>HYPERLINK("#'Property'!A5","→ go")</f>
        <v/>
      </c>
    </row>
    <row r="39" ht="18" customHeight="1">
      <c r="A39" s="17" t="inlineStr">
        <is>
          <t>② Arrival</t>
        </is>
      </c>
      <c r="G39" s="18">
        <f>IF(COUNTA('Arrival'!B5:B11)=7,"✅ Done",IF(COUNTA('Arrival'!B5:B11)=0,"⏳ Empty","⏳ "&amp;COUNTA('Arrival'!B5:B11)&amp;" of 7"))</f>
        <v/>
      </c>
      <c r="K39" s="19">
        <f>HYPERLINK("#'Arrival'!A5","→ go")</f>
        <v/>
      </c>
    </row>
    <row r="40" ht="18" customHeight="1">
      <c r="A40" s="17" t="inlineStr">
        <is>
          <t>③ WiFi + Tech</t>
        </is>
      </c>
      <c r="G40" s="18">
        <f>IF(COUNTA('WiFi + Tech'!B5:B12)=8,"✅ Done",IF(COUNTA('WiFi + Tech'!B5:B12)=0,"⏳ Empty","⏳ "&amp;COUNTA('WiFi + Tech'!B5:B12)&amp;" of 8"))</f>
        <v/>
      </c>
      <c r="K40" s="19">
        <f>HYPERLINK("#'WiFi + Tech'!A5","→ go")</f>
        <v/>
      </c>
    </row>
    <row r="41" ht="18" customHeight="1">
      <c r="A41" s="17" t="inlineStr">
        <is>
          <t>④ House Rules</t>
        </is>
      </c>
      <c r="G41" s="18">
        <f>IF(COUNTA('House Rules'!B5:B11)=7,"✅ Done",IF(COUNTA('House Rules'!B5:B11)=0,"⏳ Empty","⏳ "&amp;COUNTA('House Rules'!B5:B11)&amp;" of 7"))</f>
        <v/>
      </c>
      <c r="K41" s="19">
        <f>HYPERLINK("#'House Rules'!A5","→ go")</f>
        <v/>
      </c>
    </row>
    <row r="42" ht="18" customHeight="1">
      <c r="A42" s="17" t="inlineStr">
        <is>
          <t>⑤ Local Guide</t>
        </is>
      </c>
      <c r="G42" s="18">
        <f>IF(COUNTA('Local Guide'!B6:E25)=80,"✅ Done",IF(COUNTA('Local Guide'!B6:E25)=0,"⏳ Empty","⏳ "&amp;COUNTA('Local Guide'!B6:E25)&amp;" of 80"))</f>
        <v/>
      </c>
      <c r="K42" s="19">
        <f>HYPERLINK("#'Local Guide'!A5","→ go")</f>
        <v/>
      </c>
    </row>
    <row r="43" ht="18" customHeight="1">
      <c r="A43" s="17" t="inlineStr">
        <is>
          <t>⑥ Trash</t>
        </is>
      </c>
      <c r="G43" s="18">
        <f>IF(COUNTA('Trash'!B5:B11)=7,"✅ Done",IF(COUNTA('Trash'!B5:B11)=0,"⏳ Empty","⏳ "&amp;COUNTA('Trash'!B5:B11)&amp;" of 7"))</f>
        <v/>
      </c>
      <c r="K43" s="19">
        <f>HYPERLINK("#'Trash'!A5","→ go")</f>
        <v/>
      </c>
    </row>
    <row r="44" ht="18" customHeight="1">
      <c r="A44" s="17" t="inlineStr">
        <is>
          <t>⑦ Departure</t>
        </is>
      </c>
      <c r="G44" s="18">
        <f>IF(COUNTA('Departure'!B5:B10)=6,"✅ Done",IF(COUNTA('Departure'!B5:B10)=0,"⏳ Empty","⏳ "&amp;COUNTA('Departure'!B5:B10)&amp;" of 6"))</f>
        <v/>
      </c>
      <c r="K44" s="19">
        <f>HYPERLINK("#'Departure'!A5","→ go")</f>
        <v/>
      </c>
    </row>
    <row r="45" ht="18" customHeight="1">
      <c r="A45" s="17" t="inlineStr">
        <is>
          <t>⑧ Emergency</t>
        </is>
      </c>
      <c r="G45" s="18">
        <f>IF(COUNTA('Emergency'!B5:B13)=9,"✅ Done",IF(COUNTA('Emergency'!B5:B13)=0,"⏳ Empty","⏳ "&amp;COUNTA('Emergency'!B5:B13)&amp;" of 9"))</f>
        <v/>
      </c>
      <c r="K45" s="19">
        <f>HYPERLINK("#'Emergency'!A5","→ go")</f>
        <v/>
      </c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</row>
    <row r="50">
      <c r="A50" s="21" t="inlineStr">
        <is>
          <t>Questions? hello@thestrledger.com</t>
        </is>
      </c>
    </row>
    <row r="51">
      <c r="A51" s="22" t="inlineStr">
        <is>
          <t>Free updates forever · v2.0 · Released 2026-05</t>
        </is>
      </c>
    </row>
  </sheetData>
  <mergeCells count="46">
    <mergeCell ref="A41:F41"/>
    <mergeCell ref="A7:L7"/>
    <mergeCell ref="B25:F25"/>
    <mergeCell ref="K45:L45"/>
    <mergeCell ref="A14:D18"/>
    <mergeCell ref="G41:J41"/>
    <mergeCell ref="A13:D13"/>
    <mergeCell ref="I14:L18"/>
    <mergeCell ref="A50:L50"/>
    <mergeCell ref="G44:J44"/>
    <mergeCell ref="A2:F2"/>
    <mergeCell ref="I13:L13"/>
    <mergeCell ref="G40:J40"/>
    <mergeCell ref="A42:F42"/>
    <mergeCell ref="H25:L25"/>
    <mergeCell ref="A5:L5"/>
    <mergeCell ref="A23:L23"/>
    <mergeCell ref="G43:J43"/>
    <mergeCell ref="K44:L44"/>
    <mergeCell ref="K41:L41"/>
    <mergeCell ref="K40:L40"/>
    <mergeCell ref="A4:L4"/>
    <mergeCell ref="G42:J42"/>
    <mergeCell ref="A38:F38"/>
    <mergeCell ref="A43:F43"/>
    <mergeCell ref="K43:L43"/>
    <mergeCell ref="G39:J39"/>
    <mergeCell ref="A44:F44"/>
    <mergeCell ref="A30:L33"/>
    <mergeCell ref="K42:L42"/>
    <mergeCell ref="G38:J38"/>
    <mergeCell ref="A40:F40"/>
    <mergeCell ref="K39:L39"/>
    <mergeCell ref="A39:F39"/>
    <mergeCell ref="E14:H18"/>
    <mergeCell ref="E13:H13"/>
    <mergeCell ref="B24:F24"/>
    <mergeCell ref="A36:F36"/>
    <mergeCell ref="G36:L36"/>
    <mergeCell ref="A11:L11"/>
    <mergeCell ref="K38:L38"/>
    <mergeCell ref="A45:F45"/>
    <mergeCell ref="A51:L51"/>
    <mergeCell ref="H24:L24"/>
    <mergeCell ref="B26:F26"/>
    <mergeCell ref="G45:J4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L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HYPERLINK("#'Start'!A1", "← START")</f>
        <v/>
      </c>
      <c r="B2" s="14" t="n"/>
      <c r="C2" s="14" t="n"/>
      <c r="D2" s="23" t="inlineStr">
        <is>
          <t>SECTION 1 OF 8</t>
        </is>
      </c>
      <c r="J2" s="24">
        <f>HYPERLINK("#'Arrival'!A5",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Property Info</t>
        </is>
      </c>
    </row>
    <row r="5" ht="18" customHeight="1">
      <c r="A5" s="27" t="inlineStr">
        <is>
          <t>Who you are and where they're staying.</t>
        </is>
      </c>
    </row>
    <row r="6" ht="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28" t="inlineStr">
        <is>
          <t>Fill the highlighted fields below. The 'Review &amp; Print' tab (last) shows what your guest will see.</t>
        </is>
      </c>
    </row>
    <row r="9" ht="20" customHeight="1">
      <c r="A9" s="29" t="inlineStr">
        <is>
          <t>IDENTITY</t>
        </is>
      </c>
    </row>
    <row r="10" ht="24" customHeight="1">
      <c r="A10" s="30" t="inlineStr">
        <is>
          <t>Property name:</t>
        </is>
      </c>
      <c r="B10" s="31" t="n"/>
      <c r="C10" s="31" t="n"/>
      <c r="D10" s="32" t="n"/>
      <c r="E10" s="31" t="n"/>
      <c r="F10" s="31" t="n"/>
      <c r="G10" s="31" t="n"/>
      <c r="H10" s="31" t="n"/>
      <c r="I10" s="31" t="n"/>
      <c r="J10" s="31" t="n"/>
      <c r="K10" s="31" t="n"/>
      <c r="L10" s="33" t="n"/>
    </row>
    <row r="11" ht="24" customHeight="1">
      <c r="A11" s="34" t="inlineStr">
        <is>
          <t>Host first name:</t>
        </is>
      </c>
      <c r="B11" s="35" t="n"/>
      <c r="C11" s="35" t="n"/>
      <c r="D11" s="36" t="n"/>
      <c r="E11" s="35" t="n"/>
      <c r="F11" s="35" t="n"/>
      <c r="G11" s="35" t="n"/>
      <c r="H11" s="35" t="n"/>
      <c r="I11" s="35" t="n"/>
      <c r="J11" s="35" t="n"/>
      <c r="K11" s="35" t="n"/>
      <c r="L11" s="37" t="n"/>
    </row>
    <row r="12" ht="12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0" customHeight="1">
      <c r="A13" s="29" t="inlineStr">
        <is>
          <t>GUEST DETAILS</t>
        </is>
      </c>
    </row>
    <row r="14" ht="24" customHeight="1">
      <c r="A14" s="30" t="inlineStr">
        <is>
          <t>Host phone (text preferred):</t>
        </is>
      </c>
      <c r="B14" s="31" t="n"/>
      <c r="C14" s="31" t="n"/>
      <c r="D14" s="32" t="n"/>
      <c r="E14" s="31" t="n"/>
      <c r="F14" s="31" t="n"/>
      <c r="G14" s="31" t="n"/>
      <c r="H14" s="31" t="n"/>
      <c r="I14" s="31" t="n"/>
      <c r="J14" s="31" t="n"/>
      <c r="K14" s="31" t="n"/>
      <c r="L14" s="33" t="n"/>
    </row>
    <row r="15" ht="24" customHeight="1">
      <c r="A15" s="38" t="inlineStr">
        <is>
          <t>Check-in date:</t>
        </is>
      </c>
      <c r="B15" s="6" t="n"/>
      <c r="C15" s="6" t="n"/>
      <c r="D15" s="39" t="n"/>
      <c r="E15" s="6" t="n"/>
      <c r="F15" s="6" t="n"/>
      <c r="G15" s="6" t="n"/>
      <c r="H15" s="6" t="n"/>
      <c r="I15" s="6" t="n"/>
      <c r="J15" s="6" t="n"/>
      <c r="K15" s="6" t="n"/>
      <c r="L15" s="40" t="n"/>
    </row>
    <row r="16" ht="24" customHeight="1">
      <c r="A16" s="38" t="inlineStr">
        <is>
          <t>Check-out date:</t>
        </is>
      </c>
      <c r="B16" s="6" t="n"/>
      <c r="C16" s="6" t="n"/>
      <c r="D16" s="39" t="n"/>
      <c r="E16" s="6" t="n"/>
      <c r="F16" s="6" t="n"/>
      <c r="G16" s="6" t="n"/>
      <c r="H16" s="6" t="n"/>
      <c r="I16" s="6" t="n"/>
      <c r="J16" s="6" t="n"/>
      <c r="K16" s="6" t="n"/>
      <c r="L16" s="40" t="n"/>
    </row>
    <row r="17" ht="24" customHeight="1">
      <c r="A17" s="38" t="inlineStr">
        <is>
          <t>Property type:</t>
        </is>
      </c>
      <c r="B17" s="6" t="n"/>
      <c r="C17" s="6" t="n"/>
      <c r="D17" s="39" t="n"/>
      <c r="E17" s="6" t="n"/>
      <c r="F17" s="6" t="n"/>
      <c r="G17" s="6" t="n"/>
      <c r="H17" s="6" t="n"/>
      <c r="I17" s="6" t="n"/>
      <c r="J17" s="6" t="n"/>
      <c r="K17" s="6" t="n"/>
      <c r="L17" s="40" t="n"/>
    </row>
    <row r="18" ht="24" customHeight="1">
      <c r="A18" s="34" t="inlineStr">
        <is>
          <t>Max guests:</t>
        </is>
      </c>
      <c r="B18" s="35" t="n"/>
      <c r="C18" s="35" t="n"/>
      <c r="D18" s="36" t="n"/>
      <c r="E18" s="35" t="n"/>
      <c r="F18" s="35" t="n"/>
      <c r="G18" s="35" t="n"/>
      <c r="H18" s="35" t="n"/>
      <c r="I18" s="35" t="n"/>
      <c r="J18" s="35" t="n"/>
      <c r="K18" s="35" t="n"/>
      <c r="L18" s="37" t="n"/>
    </row>
    <row r="19" ht="12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20" customHeight="1">
      <c r="A20" s="29" t="inlineStr">
        <is>
          <t>SETUP</t>
        </is>
      </c>
    </row>
    <row r="21" ht="24" customHeight="1">
      <c r="A21" s="30" t="inlineStr">
        <is>
          <t>Full address:</t>
        </is>
      </c>
      <c r="B21" s="31" t="n"/>
      <c r="C21" s="31" t="n"/>
      <c r="D21" s="32" t="n"/>
      <c r="E21" s="31" t="n"/>
      <c r="F21" s="31" t="n"/>
      <c r="G21" s="31" t="n"/>
      <c r="H21" s="31" t="n"/>
      <c r="I21" s="31" t="n"/>
      <c r="J21" s="31" t="n"/>
      <c r="K21" s="31" t="n"/>
      <c r="L21" s="33" t="n"/>
    </row>
    <row r="22" ht="24" customHeight="1">
      <c r="A22" s="41" t="inlineStr">
        <is>
          <t>First time? Go to Start → Quick Start for the 5-minute path.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7" t="n"/>
    </row>
    <row r="23" ht="12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</row>
    <row r="25" ht="22" customHeight="1">
      <c r="A25" s="43">
        <f>HYPERLINK("#'Start'!A1", "← Back: Start")</f>
        <v/>
      </c>
      <c r="B25" s="44" t="n"/>
      <c r="C25" s="44" t="n"/>
      <c r="D25" s="44" t="n"/>
      <c r="E25" s="44" t="n"/>
      <c r="F25" s="44" t="n"/>
      <c r="G25" s="43">
        <f>HYPERLINK("#'Arrival'!A5", "Next: Arrival →")</f>
        <v/>
      </c>
      <c r="H25" s="44" t="n"/>
      <c r="I25" s="44" t="n"/>
      <c r="J25" s="44" t="n"/>
      <c r="K25" s="44" t="n"/>
      <c r="L25" s="44" t="n"/>
    </row>
    <row r="26" ht="22" customHeight="1">
      <c r="A26" s="44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</row>
  </sheetData>
  <mergeCells count="28">
    <mergeCell ref="D21:L21"/>
    <mergeCell ref="D2:I2"/>
    <mergeCell ref="A7:L7"/>
    <mergeCell ref="D11:L11"/>
    <mergeCell ref="G25:L26"/>
    <mergeCell ref="A18:C18"/>
    <mergeCell ref="D17:L17"/>
    <mergeCell ref="A21:C21"/>
    <mergeCell ref="D16:L16"/>
    <mergeCell ref="A2:C2"/>
    <mergeCell ref="A14:C14"/>
    <mergeCell ref="A5:L5"/>
    <mergeCell ref="A17:C17"/>
    <mergeCell ref="D18:L18"/>
    <mergeCell ref="A22:L22"/>
    <mergeCell ref="A4:L4"/>
    <mergeCell ref="A10:C10"/>
    <mergeCell ref="A20:L20"/>
    <mergeCell ref="D15:L15"/>
    <mergeCell ref="J2:L2"/>
    <mergeCell ref="D14:L14"/>
    <mergeCell ref="A13:L13"/>
    <mergeCell ref="A25:F26"/>
    <mergeCell ref="A9:L9"/>
    <mergeCell ref="A15:C15"/>
    <mergeCell ref="D10:L10"/>
    <mergeCell ref="A11:C11"/>
    <mergeCell ref="A16:C16"/>
  </mergeCells>
  <dataValidations count="1">
    <dataValidation sqref="D17" showDropDown="0" showInputMessage="0" showErrorMessage="0" allowBlank="1" type="list">
      <formula1>"Single-family,Cabin,Condo,Apartment,Multi-family,Glamping,Other"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/>
  </sheetPr>
  <dimension ref="A1:L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HYPERLINK("#'Property'!A5", "← BACK")</f>
        <v/>
      </c>
      <c r="B2" s="14" t="n"/>
      <c r="C2" s="14" t="n"/>
      <c r="D2" s="23" t="inlineStr">
        <is>
          <t>SECTION 2 OF 8</t>
        </is>
      </c>
      <c r="J2" s="24">
        <f>HYPERLINK("#'WiFi + Tech'!A5",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Arrival &amp; Check-in</t>
        </is>
      </c>
    </row>
    <row r="5" ht="18" customHeight="1">
      <c r="A5" s="27" t="inlineStr">
        <is>
          <t>Everything your guest needs on day one.</t>
        </is>
      </c>
    </row>
    <row r="6" ht="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28" t="inlineStr">
        <is>
          <t>Fill the highlighted fields below. The 'Review &amp; Print' tab (last) shows what your guest will see.</t>
        </is>
      </c>
    </row>
    <row r="9" ht="20" customHeight="1">
      <c r="A9" s="29" t="inlineStr">
        <is>
          <t>ENTRY &amp; PARKING</t>
        </is>
      </c>
    </row>
    <row r="10" ht="36" customHeight="1">
      <c r="A10" s="30" t="inlineStr">
        <is>
          <t>Full address:</t>
        </is>
      </c>
      <c r="B10" s="31" t="n"/>
      <c r="C10" s="31" t="n"/>
      <c r="D10" s="32" t="n"/>
      <c r="E10" s="31" t="n"/>
      <c r="F10" s="31" t="n"/>
      <c r="G10" s="31" t="n"/>
      <c r="H10" s="31" t="n"/>
      <c r="I10" s="31" t="n"/>
      <c r="J10" s="31" t="n"/>
      <c r="K10" s="31" t="n"/>
      <c r="L10" s="33" t="n"/>
    </row>
    <row r="11" ht="36" customHeight="1">
      <c r="A11" s="38" t="inlineStr">
        <is>
          <t>Entry method:</t>
        </is>
      </c>
      <c r="B11" s="6" t="n"/>
      <c r="C11" s="6" t="n"/>
      <c r="D11" s="39" t="n"/>
      <c r="E11" s="6" t="n"/>
      <c r="F11" s="6" t="n"/>
      <c r="G11" s="6" t="n"/>
      <c r="H11" s="6" t="n"/>
      <c r="I11" s="6" t="n"/>
      <c r="J11" s="6" t="n"/>
      <c r="K11" s="6" t="n"/>
      <c r="L11" s="40" t="n"/>
    </row>
    <row r="12" ht="36" customHeight="1">
      <c r="A12" s="38" t="inlineStr">
        <is>
          <t>Door/lock code:</t>
        </is>
      </c>
      <c r="B12" s="6" t="n"/>
      <c r="C12" s="6" t="n"/>
      <c r="D12" s="39" t="n"/>
      <c r="E12" s="6" t="n"/>
      <c r="F12" s="6" t="n"/>
      <c r="G12" s="6" t="n"/>
      <c r="H12" s="6" t="n"/>
      <c r="I12" s="6" t="n"/>
      <c r="J12" s="6" t="n"/>
      <c r="K12" s="6" t="n"/>
      <c r="L12" s="40" t="n"/>
    </row>
    <row r="13" ht="36" customHeight="1">
      <c r="A13" s="34" t="inlineStr">
        <is>
          <t>Parking instructions:</t>
        </is>
      </c>
      <c r="B13" s="35" t="n"/>
      <c r="C13" s="35" t="n"/>
      <c r="D13" s="36" t="n"/>
      <c r="E13" s="35" t="n"/>
      <c r="F13" s="35" t="n"/>
      <c r="G13" s="35" t="n"/>
      <c r="H13" s="35" t="n"/>
      <c r="I13" s="35" t="n"/>
      <c r="J13" s="35" t="n"/>
      <c r="K13" s="35" t="n"/>
      <c r="L13" s="37" t="n"/>
    </row>
    <row r="14" ht="12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20" customHeight="1">
      <c r="A15" s="29" t="inlineStr">
        <is>
          <t>ROUTE &amp; TIMING</t>
        </is>
      </c>
    </row>
    <row r="16" ht="36" customHeight="1">
      <c r="A16" s="30" t="inlineStr">
        <is>
          <t>Best route (if tricky):</t>
        </is>
      </c>
      <c r="B16" s="31" t="n"/>
      <c r="C16" s="31" t="n"/>
      <c r="D16" s="32" t="n"/>
      <c r="E16" s="31" t="n"/>
      <c r="F16" s="31" t="n"/>
      <c r="G16" s="31" t="n"/>
      <c r="H16" s="31" t="n"/>
      <c r="I16" s="31" t="n"/>
      <c r="J16" s="31" t="n"/>
      <c r="K16" s="31" t="n"/>
      <c r="L16" s="33" t="n"/>
    </row>
    <row r="17" ht="36" customHeight="1">
      <c r="A17" s="38" t="inlineStr">
        <is>
          <t>Arrival time window:</t>
        </is>
      </c>
      <c r="B17" s="6" t="n"/>
      <c r="C17" s="6" t="n"/>
      <c r="D17" s="39" t="n"/>
      <c r="E17" s="6" t="n"/>
      <c r="F17" s="6" t="n"/>
      <c r="G17" s="6" t="n"/>
      <c r="H17" s="6" t="n"/>
      <c r="I17" s="6" t="n"/>
      <c r="J17" s="6" t="n"/>
      <c r="K17" s="6" t="n"/>
      <c r="L17" s="40" t="n"/>
    </row>
    <row r="18" ht="36" customHeight="1">
      <c r="A18" s="34" t="inlineStr">
        <is>
          <t>If you arrive early:</t>
        </is>
      </c>
      <c r="B18" s="35" t="n"/>
      <c r="C18" s="35" t="n"/>
      <c r="D18" s="36" t="n"/>
      <c r="E18" s="35" t="n"/>
      <c r="F18" s="35" t="n"/>
      <c r="G18" s="35" t="n"/>
      <c r="H18" s="35" t="n"/>
      <c r="I18" s="35" t="n"/>
      <c r="J18" s="35" t="n"/>
      <c r="K18" s="35" t="n"/>
      <c r="L18" s="37" t="n"/>
    </row>
    <row r="19" ht="12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20" customHeight="1">
      <c r="A20" s="29" t="inlineStr">
        <is>
          <t>FIRST 5 MINUTES INSIDE</t>
        </is>
      </c>
    </row>
    <row r="21" ht="24" customHeight="1">
      <c r="A21" s="45" t="inlineStr">
        <is>
          <t>1. Crank the thermostat to your comfort — WiFi tab has controls.</t>
        </is>
      </c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3" t="n"/>
    </row>
    <row r="22" ht="24" customHeight="1">
      <c r="A22" s="46" t="inlineStr">
        <is>
          <t>2. Connect to WiFi — network + password on the WiFi tab.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40" t="n"/>
    </row>
    <row r="23" ht="24" customHeight="1">
      <c r="A23" s="46" t="inlineStr">
        <is>
          <t>3. Check the fridge for welcome items.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40" t="n"/>
    </row>
    <row r="24" ht="24" customHeight="1">
      <c r="A24" s="41" t="inlineStr">
        <is>
          <t>4. If anything's broken, text the host immediately.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7" t="n"/>
    </row>
    <row r="25" ht="12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</row>
    <row r="27" ht="22" customHeight="1">
      <c r="A27" s="43">
        <f>HYPERLINK("#'Property'!A5", "← Back: Property")</f>
        <v/>
      </c>
      <c r="B27" s="44" t="n"/>
      <c r="C27" s="44" t="n"/>
      <c r="D27" s="44" t="n"/>
      <c r="E27" s="44" t="n"/>
      <c r="F27" s="44" t="n"/>
      <c r="G27" s="43">
        <f>HYPERLINK("#'WiFi + Tech'!A5", "Next: WiFi + Tech →")</f>
        <v/>
      </c>
      <c r="H27" s="44" t="n"/>
      <c r="I27" s="44" t="n"/>
      <c r="J27" s="44" t="n"/>
      <c r="K27" s="44" t="n"/>
      <c r="L27" s="44" t="n"/>
    </row>
    <row r="28" ht="22" customHeight="1">
      <c r="A28" s="44" t="n"/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</row>
  </sheetData>
  <mergeCells count="29">
    <mergeCell ref="D2:I2"/>
    <mergeCell ref="A7:L7"/>
    <mergeCell ref="D11:L11"/>
    <mergeCell ref="D13:L13"/>
    <mergeCell ref="A18:C18"/>
    <mergeCell ref="D17:L17"/>
    <mergeCell ref="G27:L28"/>
    <mergeCell ref="A12:C12"/>
    <mergeCell ref="A21:L21"/>
    <mergeCell ref="D16:L16"/>
    <mergeCell ref="A2:C2"/>
    <mergeCell ref="A5:L5"/>
    <mergeCell ref="A23:L23"/>
    <mergeCell ref="A17:C17"/>
    <mergeCell ref="D18:L18"/>
    <mergeCell ref="A22:L22"/>
    <mergeCell ref="D12:L12"/>
    <mergeCell ref="A4:L4"/>
    <mergeCell ref="A10:C10"/>
    <mergeCell ref="A20:L20"/>
    <mergeCell ref="J2:L2"/>
    <mergeCell ref="A13:C13"/>
    <mergeCell ref="A27:F28"/>
    <mergeCell ref="A9:L9"/>
    <mergeCell ref="D10:L10"/>
    <mergeCell ref="A24:L24"/>
    <mergeCell ref="A15:L15"/>
    <mergeCell ref="A11:C11"/>
    <mergeCell ref="A16:C16"/>
  </mergeCells>
  <dataValidations count="1">
    <dataValidation sqref="D11" showDropDown="0" showInputMessage="0" showErrorMessage="0" allowBlank="1" type="list">
      <formula1>"Smart lock,Key lockbox,In-person,Other"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/>
  </sheetPr>
  <dimension ref="A1:L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HYPERLINK("#'Arrival'!A5", "← BACK")</f>
        <v/>
      </c>
      <c r="B2" s="14" t="n"/>
      <c r="C2" s="14" t="n"/>
      <c r="D2" s="23" t="inlineStr">
        <is>
          <t>SECTION 3 OF 8</t>
        </is>
      </c>
      <c r="J2" s="24">
        <f>HYPERLINK("#'House Rules'!A5",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WiFi &amp; Technology</t>
        </is>
      </c>
    </row>
    <row r="5" ht="18" customHeight="1">
      <c r="A5" s="27" t="inlineStr">
        <is>
          <t>So nobody has to text you about the wifi password.</t>
        </is>
      </c>
    </row>
    <row r="6" ht="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28" t="inlineStr">
        <is>
          <t>Fill the highlighted fields below. The 'Review &amp; Print' tab (last) shows what your guest will see.</t>
        </is>
      </c>
    </row>
    <row r="9" ht="20" customHeight="1">
      <c r="A9" s="29" t="inlineStr">
        <is>
          <t>NETWORK</t>
        </is>
      </c>
    </row>
    <row r="10" ht="24" customHeight="1">
      <c r="A10" s="30" t="inlineStr">
        <is>
          <t>WiFi network name:</t>
        </is>
      </c>
      <c r="B10" s="31" t="n"/>
      <c r="C10" s="31" t="n"/>
      <c r="D10" s="32" t="n"/>
      <c r="E10" s="31" t="n"/>
      <c r="F10" s="31" t="n"/>
      <c r="G10" s="31" t="n"/>
      <c r="H10" s="31" t="n"/>
      <c r="I10" s="31" t="n"/>
      <c r="J10" s="31" t="n"/>
      <c r="K10" s="31" t="n"/>
      <c r="L10" s="33" t="n"/>
    </row>
    <row r="11" ht="24" customHeight="1">
      <c r="A11" s="38" t="inlineStr">
        <is>
          <t>WiFi password:</t>
        </is>
      </c>
      <c r="B11" s="6" t="n"/>
      <c r="C11" s="6" t="n"/>
      <c r="D11" s="39" t="n"/>
      <c r="E11" s="6" t="n"/>
      <c r="F11" s="6" t="n"/>
      <c r="G11" s="6" t="n"/>
      <c r="H11" s="6" t="n"/>
      <c r="I11" s="6" t="n"/>
      <c r="J11" s="6" t="n"/>
      <c r="K11" s="6" t="n"/>
      <c r="L11" s="40" t="n"/>
    </row>
    <row r="12" ht="24" customHeight="1">
      <c r="A12" s="34" t="inlineStr">
        <is>
          <t>Backup network (if any):</t>
        </is>
      </c>
      <c r="B12" s="35" t="n"/>
      <c r="C12" s="35" t="n"/>
      <c r="D12" s="36" t="n"/>
      <c r="E12" s="35" t="n"/>
      <c r="F12" s="35" t="n"/>
      <c r="G12" s="35" t="n"/>
      <c r="H12" s="35" t="n"/>
      <c r="I12" s="35" t="n"/>
      <c r="J12" s="35" t="n"/>
      <c r="K12" s="35" t="n"/>
      <c r="L12" s="37" t="n"/>
    </row>
    <row r="13" ht="12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20" customHeight="1">
      <c r="A14" s="29" t="inlineStr">
        <is>
          <t>ENTERTAINMENT</t>
        </is>
      </c>
    </row>
    <row r="15" ht="36" customHeight="1">
      <c r="A15" s="30" t="inlineStr">
        <is>
          <t>TV streaming — service + login:</t>
        </is>
      </c>
      <c r="B15" s="31" t="n"/>
      <c r="C15" s="31" t="n"/>
      <c r="D15" s="32" t="n"/>
      <c r="E15" s="31" t="n"/>
      <c r="F15" s="31" t="n"/>
      <c r="G15" s="31" t="n"/>
      <c r="H15" s="31" t="n"/>
      <c r="I15" s="31" t="n"/>
      <c r="J15" s="31" t="n"/>
      <c r="K15" s="31" t="n"/>
      <c r="L15" s="33" t="n"/>
    </row>
    <row r="16" ht="36" customHeight="1">
      <c r="A16" s="34" t="inlineStr">
        <is>
          <t>How to adjust TV volume/inputs:</t>
        </is>
      </c>
      <c r="B16" s="35" t="n"/>
      <c r="C16" s="35" t="n"/>
      <c r="D16" s="36" t="n"/>
      <c r="E16" s="35" t="n"/>
      <c r="F16" s="35" t="n"/>
      <c r="G16" s="35" t="n"/>
      <c r="H16" s="35" t="n"/>
      <c r="I16" s="35" t="n"/>
      <c r="J16" s="35" t="n"/>
      <c r="K16" s="35" t="n"/>
      <c r="L16" s="37" t="n"/>
    </row>
    <row r="17" ht="12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0" customHeight="1">
      <c r="A18" s="29" t="inlineStr">
        <is>
          <t>SMART DEVICES</t>
        </is>
      </c>
    </row>
    <row r="19" ht="36" customHeight="1">
      <c r="A19" s="30" t="inlineStr">
        <is>
          <t>Smart lock code (if different):</t>
        </is>
      </c>
      <c r="B19" s="31" t="n"/>
      <c r="C19" s="31" t="n"/>
      <c r="D19" s="32" t="n"/>
      <c r="E19" s="31" t="n"/>
      <c r="F19" s="31" t="n"/>
      <c r="G19" s="31" t="n"/>
      <c r="H19" s="31" t="n"/>
      <c r="I19" s="31" t="n"/>
      <c r="J19" s="31" t="n"/>
      <c r="K19" s="31" t="n"/>
      <c r="L19" s="33" t="n"/>
    </row>
    <row r="20" ht="36" customHeight="1">
      <c r="A20" s="38" t="inlineStr">
        <is>
          <t>Smart thermostat notes:</t>
        </is>
      </c>
      <c r="B20" s="6" t="n"/>
      <c r="C20" s="6" t="n"/>
      <c r="D20" s="39" t="n"/>
      <c r="E20" s="6" t="n"/>
      <c r="F20" s="6" t="n"/>
      <c r="G20" s="6" t="n"/>
      <c r="H20" s="6" t="n"/>
      <c r="I20" s="6" t="n"/>
      <c r="J20" s="6" t="n"/>
      <c r="K20" s="6" t="n"/>
      <c r="L20" s="40" t="n"/>
    </row>
    <row r="21" ht="36" customHeight="1">
      <c r="A21" s="34" t="inlineStr">
        <is>
          <t>Who to call if WiFi fails:</t>
        </is>
      </c>
      <c r="B21" s="35" t="n"/>
      <c r="C21" s="35" t="n"/>
      <c r="D21" s="36" t="n"/>
      <c r="E21" s="35" t="n"/>
      <c r="F21" s="35" t="n"/>
      <c r="G21" s="35" t="n"/>
      <c r="H21" s="35" t="n"/>
      <c r="I21" s="35" t="n"/>
      <c r="J21" s="35" t="n"/>
      <c r="K21" s="35" t="n"/>
      <c r="L21" s="37" t="n"/>
    </row>
    <row r="22" ht="12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</row>
    <row r="24" ht="22" customHeight="1">
      <c r="A24" s="43">
        <f>HYPERLINK("#'Arrival'!A5", "← Back: Arrival")</f>
        <v/>
      </c>
      <c r="B24" s="44" t="n"/>
      <c r="C24" s="44" t="n"/>
      <c r="D24" s="44" t="n"/>
      <c r="E24" s="44" t="n"/>
      <c r="F24" s="44" t="n"/>
      <c r="G24" s="43">
        <f>HYPERLINK("#'House Rules'!A5", "Next: House Rules →")</f>
        <v/>
      </c>
      <c r="H24" s="44" t="n"/>
      <c r="I24" s="44" t="n"/>
      <c r="J24" s="44" t="n"/>
      <c r="K24" s="44" t="n"/>
      <c r="L24" s="44" t="n"/>
    </row>
    <row r="25" ht="22" customHeight="1">
      <c r="A25" s="44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</row>
  </sheetData>
  <mergeCells count="27">
    <mergeCell ref="D21:L21"/>
    <mergeCell ref="D2:I2"/>
    <mergeCell ref="A7:L7"/>
    <mergeCell ref="D11:L11"/>
    <mergeCell ref="A21:C21"/>
    <mergeCell ref="A18:L18"/>
    <mergeCell ref="A12:C12"/>
    <mergeCell ref="D16:L16"/>
    <mergeCell ref="A2:C2"/>
    <mergeCell ref="A5:L5"/>
    <mergeCell ref="A14:L14"/>
    <mergeCell ref="A24:F25"/>
    <mergeCell ref="D12:L12"/>
    <mergeCell ref="A20:C20"/>
    <mergeCell ref="A4:L4"/>
    <mergeCell ref="A10:C10"/>
    <mergeCell ref="D15:L15"/>
    <mergeCell ref="J2:L2"/>
    <mergeCell ref="A19:C19"/>
    <mergeCell ref="A9:L9"/>
    <mergeCell ref="A15:C15"/>
    <mergeCell ref="D20:L20"/>
    <mergeCell ref="D10:L10"/>
    <mergeCell ref="D19:L19"/>
    <mergeCell ref="A11:C11"/>
    <mergeCell ref="G24:L25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HYPERLINK("#'WiFi + Tech'!A5", "← BACK")</f>
        <v/>
      </c>
      <c r="B2" s="14" t="n"/>
      <c r="C2" s="14" t="n"/>
      <c r="D2" s="23" t="inlineStr">
        <is>
          <t>SECTION 4 OF 8</t>
        </is>
      </c>
      <c r="J2" s="24">
        <f>HYPERLINK("#'Local Guide'!A5",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House Rules</t>
        </is>
      </c>
    </row>
    <row r="5" ht="18" customHeight="1">
      <c r="A5" s="27" t="inlineStr">
        <is>
          <t>Short, clear, and why each one exists.</t>
        </is>
      </c>
    </row>
    <row r="6" ht="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28" t="inlineStr">
        <is>
          <t>Fill the highlighted fields below. The 'Review &amp; Print' tab (last) shows what your guest will see.</t>
        </is>
      </c>
    </row>
    <row r="9" ht="20" customHeight="1">
      <c r="A9" s="29" t="inlineStr">
        <is>
          <t>THE BASICS</t>
        </is>
      </c>
    </row>
    <row r="10" ht="24" customHeight="1">
      <c r="A10" s="30" t="inlineStr">
        <is>
          <t>Quiet hours:</t>
        </is>
      </c>
      <c r="B10" s="31" t="n"/>
      <c r="C10" s="31" t="n"/>
      <c r="D10" s="32" t="n"/>
      <c r="E10" s="31" t="n"/>
      <c r="F10" s="31" t="n"/>
      <c r="G10" s="31" t="n"/>
      <c r="H10" s="31" t="n"/>
      <c r="I10" s="31" t="n"/>
      <c r="J10" s="31" t="n"/>
      <c r="K10" s="31" t="n"/>
      <c r="L10" s="33" t="n"/>
    </row>
    <row r="11" ht="24" customHeight="1">
      <c r="A11" s="34" t="inlineStr">
        <is>
          <t>Maximum guests:</t>
        </is>
      </c>
      <c r="B11" s="35" t="n"/>
      <c r="C11" s="35" t="n"/>
      <c r="D11" s="36" t="n"/>
      <c r="E11" s="35" t="n"/>
      <c r="F11" s="35" t="n"/>
      <c r="G11" s="35" t="n"/>
      <c r="H11" s="35" t="n"/>
      <c r="I11" s="35" t="n"/>
      <c r="J11" s="35" t="n"/>
      <c r="K11" s="35" t="n"/>
      <c r="L11" s="37" t="n"/>
    </row>
    <row r="12" ht="12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0" customHeight="1">
      <c r="A13" s="29" t="inlineStr">
        <is>
          <t>POLICIES</t>
        </is>
      </c>
    </row>
    <row r="14" ht="24" customHeight="1">
      <c r="A14" s="30" t="inlineStr">
        <is>
          <t>Smoking:</t>
        </is>
      </c>
      <c r="B14" s="31" t="n"/>
      <c r="C14" s="31" t="n"/>
      <c r="D14" s="32" t="n"/>
      <c r="E14" s="31" t="n"/>
      <c r="F14" s="31" t="n"/>
      <c r="G14" s="31" t="n"/>
      <c r="H14" s="31" t="n"/>
      <c r="I14" s="31" t="n"/>
      <c r="J14" s="31" t="n"/>
      <c r="K14" s="31" t="n"/>
      <c r="L14" s="33" t="n"/>
    </row>
    <row r="15" ht="24" customHeight="1">
      <c r="A15" s="38" t="inlineStr">
        <is>
          <t>Pets:</t>
        </is>
      </c>
      <c r="B15" s="6" t="n"/>
      <c r="C15" s="6" t="n"/>
      <c r="D15" s="39" t="n"/>
      <c r="E15" s="6" t="n"/>
      <c r="F15" s="6" t="n"/>
      <c r="G15" s="6" t="n"/>
      <c r="H15" s="6" t="n"/>
      <c r="I15" s="6" t="n"/>
      <c r="J15" s="6" t="n"/>
      <c r="K15" s="6" t="n"/>
      <c r="L15" s="40" t="n"/>
    </row>
    <row r="16" ht="24" customHeight="1">
      <c r="A16" s="38" t="inlineStr">
        <is>
          <t>Events/parties:</t>
        </is>
      </c>
      <c r="B16" s="6" t="n"/>
      <c r="C16" s="6" t="n"/>
      <c r="D16" s="39" t="n"/>
      <c r="E16" s="6" t="n"/>
      <c r="F16" s="6" t="n"/>
      <c r="G16" s="6" t="n"/>
      <c r="H16" s="6" t="n"/>
      <c r="I16" s="6" t="n"/>
      <c r="J16" s="6" t="n"/>
      <c r="K16" s="6" t="n"/>
      <c r="L16" s="40" t="n"/>
    </row>
    <row r="17" ht="24" customHeight="1">
      <c r="A17" s="34" t="inlineStr">
        <is>
          <t>Shoes inside:</t>
        </is>
      </c>
      <c r="B17" s="35" t="n"/>
      <c r="C17" s="35" t="n"/>
      <c r="D17" s="36" t="n"/>
      <c r="E17" s="35" t="n"/>
      <c r="F17" s="35" t="n"/>
      <c r="G17" s="35" t="n"/>
      <c r="H17" s="35" t="n"/>
      <c r="I17" s="35" t="n"/>
      <c r="J17" s="35" t="n"/>
      <c r="K17" s="35" t="n"/>
      <c r="L17" s="37" t="n"/>
    </row>
    <row r="18" ht="12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20" customHeight="1">
      <c r="A19" s="29" t="inlineStr">
        <is>
          <t>CUSTOM RULES</t>
        </is>
      </c>
    </row>
    <row r="20" ht="90" customHeight="1">
      <c r="A20" s="47" t="inlineStr">
        <is>
          <t>Your rules (one per line):</t>
        </is>
      </c>
      <c r="B20" s="48" t="n"/>
      <c r="C20" s="48" t="n"/>
      <c r="D20" s="49" t="n"/>
      <c r="E20" s="48" t="n"/>
      <c r="F20" s="48" t="n"/>
      <c r="G20" s="48" t="n"/>
      <c r="H20" s="48" t="n"/>
      <c r="I20" s="48" t="n"/>
      <c r="J20" s="48" t="n"/>
      <c r="K20" s="48" t="n"/>
      <c r="L20" s="50" t="n"/>
    </row>
    <row r="21" ht="12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</row>
    <row r="23" ht="22" customHeight="1">
      <c r="A23" s="43">
        <f>HYPERLINK("#'WiFi + Tech'!A5", "← Back: WiFi + Tech")</f>
        <v/>
      </c>
      <c r="B23" s="44" t="n"/>
      <c r="C23" s="44" t="n"/>
      <c r="D23" s="44" t="n"/>
      <c r="E23" s="44" t="n"/>
      <c r="F23" s="44" t="n"/>
      <c r="G23" s="43">
        <f>HYPERLINK("#'Local Guide'!A5", "Next: Local Guide →")</f>
        <v/>
      </c>
      <c r="H23" s="44" t="n"/>
      <c r="I23" s="44" t="n"/>
      <c r="J23" s="44" t="n"/>
      <c r="K23" s="44" t="n"/>
      <c r="L23" s="44" t="n"/>
    </row>
    <row r="24" ht="22" customHeight="1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</row>
  </sheetData>
  <mergeCells count="25">
    <mergeCell ref="A23:F24"/>
    <mergeCell ref="D2:I2"/>
    <mergeCell ref="A7:L7"/>
    <mergeCell ref="D11:L11"/>
    <mergeCell ref="D17:L17"/>
    <mergeCell ref="D16:L16"/>
    <mergeCell ref="A2:C2"/>
    <mergeCell ref="A14:C14"/>
    <mergeCell ref="A5:L5"/>
    <mergeCell ref="A17:C17"/>
    <mergeCell ref="G23:L24"/>
    <mergeCell ref="A20:C20"/>
    <mergeCell ref="A4:L4"/>
    <mergeCell ref="A10:C10"/>
    <mergeCell ref="D15:L15"/>
    <mergeCell ref="J2:L2"/>
    <mergeCell ref="A19:L19"/>
    <mergeCell ref="D14:L14"/>
    <mergeCell ref="A13:L13"/>
    <mergeCell ref="A9:L9"/>
    <mergeCell ref="A15:C15"/>
    <mergeCell ref="D20:L20"/>
    <mergeCell ref="D10:L10"/>
    <mergeCell ref="A11:C11"/>
    <mergeCell ref="A16:C16"/>
  </mergeCells>
  <dataValidations count="4">
    <dataValidation sqref="D14" showDropDown="0" showInputMessage="0" showErrorMessage="0" allowBlank="1" type="list">
      <formula1>"No smoking,No smoking inside,Smoking OK in designated area"</formula1>
    </dataValidation>
    <dataValidation sqref="D15" showDropDown="0" showInputMessage="0" showErrorMessage="0" allowBlank="1" type="list">
      <formula1>"No pets,Pets OK with deposit,Pets OK no deposit"</formula1>
    </dataValidation>
    <dataValidation sqref="D16" showDropDown="0" showInputMessage="0" showErrorMessage="0" allowBlank="1" type="list">
      <formula1>"No events,Small gatherings OK with notice,OK"</formula1>
    </dataValidation>
    <dataValidation sqref="D17" showDropDown="0" showInputMessage="0" showErrorMessage="0" allowBlank="1" type="list">
      <formula1>"Remove at door,OK,Preferred removed"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16" customWidth="1" min="4" max="4"/>
    <col width="45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HYPERLINK("#'House Rules'!A5", "← BACK")</f>
        <v/>
      </c>
      <c r="B2" s="14" t="n"/>
      <c r="C2" s="14" t="n"/>
      <c r="D2" s="23" t="inlineStr">
        <is>
          <t>SECTION 5 OF 8</t>
        </is>
      </c>
      <c r="J2" s="24">
        <f>HYPERLINK("#'Trash'!A5",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Local Guide</t>
        </is>
      </c>
    </row>
    <row r="5" ht="18" customHeight="1">
      <c r="A5" s="27" t="inlineStr">
        <is>
          <t>What we'd tell a friend visiting.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28" t="inlineStr">
        <is>
          <t>Fill the rows you want to share. Skip any you don't.</t>
        </is>
      </c>
    </row>
    <row r="9">
      <c r="A9" s="51" t="inlineStr">
        <is>
          <t>Category</t>
        </is>
      </c>
      <c r="B9" s="51" t="inlineStr">
        <is>
          <t>Name</t>
        </is>
      </c>
      <c r="C9" s="51" t="inlineStr">
        <is>
          <t>Distance</t>
        </is>
      </c>
      <c r="D9" s="51" t="inlineStr">
        <is>
          <t>Phone</t>
        </is>
      </c>
      <c r="E9" s="51" t="inlineStr">
        <is>
          <t>Why we love it</t>
        </is>
      </c>
    </row>
    <row r="10" ht="28" customHeight="1">
      <c r="A10" s="52" t="inlineStr">
        <is>
          <t>Coffee</t>
        </is>
      </c>
      <c r="B10" s="53" t="inlineStr"/>
      <c r="C10" s="53" t="inlineStr"/>
      <c r="D10" s="53" t="inlineStr"/>
      <c r="E10" s="53" t="inlineStr"/>
    </row>
    <row r="11" ht="28" customHeight="1">
      <c r="A11" s="52" t="inlineStr">
        <is>
          <t>Coffee</t>
        </is>
      </c>
      <c r="B11" s="53" t="inlineStr"/>
      <c r="C11" s="53" t="inlineStr"/>
      <c r="D11" s="53" t="inlineStr"/>
      <c r="E11" s="53" t="inlineStr"/>
    </row>
    <row r="12" ht="28" customHeight="1">
      <c r="A12" s="52" t="inlineStr">
        <is>
          <t>Restaurant</t>
        </is>
      </c>
      <c r="B12" s="53" t="inlineStr"/>
      <c r="C12" s="53" t="inlineStr"/>
      <c r="D12" s="53" t="inlineStr"/>
      <c r="E12" s="53" t="inlineStr"/>
    </row>
    <row r="13" ht="28" customHeight="1">
      <c r="A13" s="52" t="inlineStr">
        <is>
          <t>Restaurant</t>
        </is>
      </c>
      <c r="B13" s="53" t="inlineStr"/>
      <c r="C13" s="53" t="inlineStr"/>
      <c r="D13" s="53" t="inlineStr"/>
      <c r="E13" s="53" t="inlineStr"/>
    </row>
    <row r="14" ht="28" customHeight="1">
      <c r="A14" s="52" t="inlineStr">
        <is>
          <t>Restaurant</t>
        </is>
      </c>
      <c r="B14" s="53" t="inlineStr"/>
      <c r="C14" s="53" t="inlineStr"/>
      <c r="D14" s="53" t="inlineStr"/>
      <c r="E14" s="53" t="inlineStr"/>
    </row>
    <row r="15" ht="28" customHeight="1">
      <c r="A15" s="52" t="inlineStr">
        <is>
          <t>Grocery</t>
        </is>
      </c>
      <c r="B15" s="53" t="inlineStr"/>
      <c r="C15" s="53" t="inlineStr"/>
      <c r="D15" s="53" t="inlineStr"/>
      <c r="E15" s="53" t="inlineStr"/>
    </row>
    <row r="16" ht="28" customHeight="1">
      <c r="A16" s="52" t="inlineStr">
        <is>
          <t>Grocery</t>
        </is>
      </c>
      <c r="B16" s="53" t="inlineStr"/>
      <c r="C16" s="53" t="inlineStr"/>
      <c r="D16" s="53" t="inlineStr"/>
      <c r="E16" s="53" t="inlineStr"/>
    </row>
    <row r="17" ht="28" customHeight="1">
      <c r="A17" s="52" t="inlineStr">
        <is>
          <t>Takeout</t>
        </is>
      </c>
      <c r="B17" s="53" t="inlineStr"/>
      <c r="C17" s="53" t="inlineStr"/>
      <c r="D17" s="53" t="inlineStr"/>
      <c r="E17" s="53" t="inlineStr"/>
    </row>
    <row r="18" ht="28" customHeight="1">
      <c r="A18" s="52" t="inlineStr">
        <is>
          <t>Takeout</t>
        </is>
      </c>
      <c r="B18" s="53" t="inlineStr"/>
      <c r="C18" s="53" t="inlineStr"/>
      <c r="D18" s="53" t="inlineStr"/>
      <c r="E18" s="53" t="inlineStr"/>
    </row>
    <row r="19" ht="28" customHeight="1">
      <c r="A19" s="52" t="inlineStr">
        <is>
          <t>Pharmacy</t>
        </is>
      </c>
      <c r="B19" s="53" t="inlineStr"/>
      <c r="C19" s="53" t="inlineStr"/>
      <c r="D19" s="53" t="inlineStr"/>
      <c r="E19" s="53" t="inlineStr"/>
    </row>
    <row r="20" ht="28" customHeight="1">
      <c r="A20" s="52" t="inlineStr">
        <is>
          <t>Gas station</t>
        </is>
      </c>
      <c r="B20" s="53" t="inlineStr"/>
      <c r="C20" s="53" t="inlineStr"/>
      <c r="D20" s="53" t="inlineStr"/>
      <c r="E20" s="53" t="inlineStr"/>
    </row>
    <row r="21" ht="28" customHeight="1">
      <c r="A21" s="52" t="inlineStr">
        <is>
          <t>Hospital/Urgent care</t>
        </is>
      </c>
      <c r="B21" s="53" t="inlineStr"/>
      <c r="C21" s="53" t="inlineStr"/>
      <c r="D21" s="53" t="inlineStr"/>
      <c r="E21" s="53" t="inlineStr"/>
    </row>
    <row r="22" ht="28" customHeight="1">
      <c r="A22" s="52" t="inlineStr">
        <is>
          <t>Coffee alt</t>
        </is>
      </c>
      <c r="B22" s="53" t="inlineStr"/>
      <c r="C22" s="53" t="inlineStr"/>
      <c r="D22" s="53" t="inlineStr"/>
      <c r="E22" s="53" t="inlineStr"/>
    </row>
    <row r="23" ht="28" customHeight="1">
      <c r="A23" s="52" t="inlineStr">
        <is>
          <t>Outdoor/Hike</t>
        </is>
      </c>
      <c r="B23" s="53" t="inlineStr"/>
      <c r="C23" s="53" t="inlineStr"/>
      <c r="D23" s="53" t="inlineStr"/>
      <c r="E23" s="53" t="inlineStr"/>
    </row>
    <row r="24" ht="28" customHeight="1">
      <c r="A24" s="52" t="inlineStr">
        <is>
          <t>Outdoor/Hike</t>
        </is>
      </c>
      <c r="B24" s="53" t="inlineStr"/>
      <c r="C24" s="53" t="inlineStr"/>
      <c r="D24" s="53" t="inlineStr"/>
      <c r="E24" s="53" t="inlineStr"/>
    </row>
    <row r="25" ht="28" customHeight="1">
      <c r="A25" s="52" t="inlineStr">
        <is>
          <t>Kid-friendly</t>
        </is>
      </c>
      <c r="B25" s="53" t="inlineStr"/>
      <c r="C25" s="53" t="inlineStr"/>
      <c r="D25" s="53" t="inlineStr"/>
      <c r="E25" s="53" t="inlineStr"/>
    </row>
    <row r="26" ht="28" customHeight="1">
      <c r="A26" s="52" t="inlineStr">
        <is>
          <t>Kid-friendly</t>
        </is>
      </c>
      <c r="B26" s="53" t="inlineStr"/>
      <c r="C26" s="53" t="inlineStr"/>
      <c r="D26" s="53" t="inlineStr"/>
      <c r="E26" s="53" t="inlineStr"/>
    </row>
    <row r="27" ht="28" customHeight="1">
      <c r="A27" s="52" t="inlineStr">
        <is>
          <t>Date night</t>
        </is>
      </c>
      <c r="B27" s="53" t="inlineStr"/>
      <c r="C27" s="53" t="inlineStr"/>
      <c r="D27" s="53" t="inlineStr"/>
      <c r="E27" s="53" t="inlineStr"/>
    </row>
    <row r="28" ht="28" customHeight="1">
      <c r="A28" s="52" t="inlineStr">
        <is>
          <t>Bar/Nightlife</t>
        </is>
      </c>
      <c r="B28" s="53" t="inlineStr"/>
      <c r="C28" s="53" t="inlineStr"/>
      <c r="D28" s="53" t="inlineStr"/>
      <c r="E28" s="53" t="inlineStr"/>
    </row>
    <row r="29" ht="28" customHeight="1">
      <c r="A29" s="52" t="inlineStr">
        <is>
          <t>Emergency (non-911)</t>
        </is>
      </c>
      <c r="B29" s="53" t="inlineStr"/>
      <c r="C29" s="53" t="inlineStr"/>
      <c r="D29" s="53" t="inlineStr"/>
      <c r="E29" s="53" t="inlineStr"/>
    </row>
    <row r="31" ht="22" customHeight="1">
      <c r="A31" s="43">
        <f>HYPERLINK("#'House Rules'!A5", "← Back: House Rules")</f>
        <v/>
      </c>
      <c r="B31" s="44" t="n"/>
      <c r="C31" s="44" t="n"/>
      <c r="D31" s="44" t="n"/>
      <c r="E31" s="44" t="n"/>
      <c r="F31" s="44" t="n"/>
      <c r="G31" s="43">
        <f>HYPERLINK("#'Trash'!A5", "Next: Trash →")</f>
        <v/>
      </c>
      <c r="H31" s="44" t="n"/>
      <c r="I31" s="44" t="n"/>
      <c r="J31" s="44" t="n"/>
      <c r="K31" s="44" t="n"/>
      <c r="L31" s="44" t="n"/>
    </row>
    <row r="32" ht="22" customHeight="1">
      <c r="A32" s="44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</row>
  </sheetData>
  <mergeCells count="8">
    <mergeCell ref="J2:L2"/>
    <mergeCell ref="D2:I2"/>
    <mergeCell ref="A7:L7"/>
    <mergeCell ref="A31:F32"/>
    <mergeCell ref="G31:L32"/>
    <mergeCell ref="A5:L5"/>
    <mergeCell ref="A2:C2"/>
    <mergeCell ref="A4:L4"/>
  </mergeCells>
  <pageMargins left="0.5" right="0.5" top="0.5" bottom="0.5" header="0.5" footer="0.5"/>
  <pageSetup orientation="landscape" paperSize="1"/>
</worksheet>
</file>

<file path=xl/worksheets/sheet7.xml><?xml version="1.0" encoding="utf-8"?>
<worksheet xmlns="http://schemas.openxmlformats.org/spreadsheetml/2006/main">
  <sheetPr>
    <tabColor rgb="00F6EFE2"/>
    <outlinePr summaryBelow="1" summaryRight="1"/>
    <pageSetUpPr/>
  </sheetPr>
  <dimension ref="A1:L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HYPERLINK("#'Local Guide'!A5", "← BACK")</f>
        <v/>
      </c>
      <c r="B2" s="14" t="n"/>
      <c r="C2" s="14" t="n"/>
      <c r="D2" s="23" t="inlineStr">
        <is>
          <t>SECTION 6 OF 8</t>
        </is>
      </c>
      <c r="J2" s="24">
        <f>HYPERLINK("#'Departure'!A5",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Trash, Recycling &amp; Maintenance</t>
        </is>
      </c>
    </row>
    <row r="5" ht="18" customHeight="1">
      <c r="A5" s="27" t="inlineStr">
        <is>
          <t>The stuff nobody likes to ask about.</t>
        </is>
      </c>
    </row>
    <row r="6" ht="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28" t="inlineStr">
        <is>
          <t>Fill the highlighted fields below. The 'Review &amp; Print' tab (last) shows what your guest will see.</t>
        </is>
      </c>
    </row>
    <row r="9" ht="20" customHeight="1">
      <c r="A9" s="29" t="inlineStr">
        <is>
          <t>PICKUP &amp; BINS</t>
        </is>
      </c>
    </row>
    <row r="10" ht="30" customHeight="1">
      <c r="A10" s="30" t="inlineStr">
        <is>
          <t>Trash pickup day:</t>
        </is>
      </c>
      <c r="B10" s="31" t="n"/>
      <c r="C10" s="31" t="n"/>
      <c r="D10" s="32" t="n"/>
      <c r="E10" s="31" t="n"/>
      <c r="F10" s="31" t="n"/>
      <c r="G10" s="31" t="n"/>
      <c r="H10" s="31" t="n"/>
      <c r="I10" s="31" t="n"/>
      <c r="J10" s="31" t="n"/>
      <c r="K10" s="31" t="n"/>
      <c r="L10" s="33" t="n"/>
    </row>
    <row r="11" ht="30" customHeight="1">
      <c r="A11" s="38" t="inlineStr">
        <is>
          <t>Bin location:</t>
        </is>
      </c>
      <c r="B11" s="6" t="n"/>
      <c r="C11" s="6" t="n"/>
      <c r="D11" s="39" t="n"/>
      <c r="E11" s="6" t="n"/>
      <c r="F11" s="6" t="n"/>
      <c r="G11" s="6" t="n"/>
      <c r="H11" s="6" t="n"/>
      <c r="I11" s="6" t="n"/>
      <c r="J11" s="6" t="n"/>
      <c r="K11" s="6" t="n"/>
      <c r="L11" s="40" t="n"/>
    </row>
    <row r="12" ht="30" customHeight="1">
      <c r="A12" s="38" t="inlineStr">
        <is>
          <t>Recycling accepted:</t>
        </is>
      </c>
      <c r="B12" s="6" t="n"/>
      <c r="C12" s="6" t="n"/>
      <c r="D12" s="39" t="n"/>
      <c r="E12" s="6" t="n"/>
      <c r="F12" s="6" t="n"/>
      <c r="G12" s="6" t="n"/>
      <c r="H12" s="6" t="n"/>
      <c r="I12" s="6" t="n"/>
      <c r="J12" s="6" t="n"/>
      <c r="K12" s="6" t="n"/>
      <c r="L12" s="40" t="n"/>
    </row>
    <row r="13" ht="30" customHeight="1">
      <c r="A13" s="34" t="inlineStr">
        <is>
          <t>What goes in which bin:</t>
        </is>
      </c>
      <c r="B13" s="35" t="n"/>
      <c r="C13" s="35" t="n"/>
      <c r="D13" s="36" t="n"/>
      <c r="E13" s="35" t="n"/>
      <c r="F13" s="35" t="n"/>
      <c r="G13" s="35" t="n"/>
      <c r="H13" s="35" t="n"/>
      <c r="I13" s="35" t="n"/>
      <c r="J13" s="35" t="n"/>
      <c r="K13" s="35" t="n"/>
      <c r="L13" s="37" t="n"/>
    </row>
    <row r="14" ht="12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20" customHeight="1">
      <c r="A15" s="29" t="inlineStr">
        <is>
          <t>OPERATIONAL</t>
        </is>
      </c>
    </row>
    <row r="16" ht="36" customHeight="1">
      <c r="A16" s="30" t="inlineStr">
        <is>
          <t>Where to put bins on pickup morning:</t>
        </is>
      </c>
      <c r="B16" s="31" t="n"/>
      <c r="C16" s="31" t="n"/>
      <c r="D16" s="32" t="n"/>
      <c r="E16" s="31" t="n"/>
      <c r="F16" s="31" t="n"/>
      <c r="G16" s="31" t="n"/>
      <c r="H16" s="31" t="n"/>
      <c r="I16" s="31" t="n"/>
      <c r="J16" s="31" t="n"/>
      <c r="K16" s="31" t="n"/>
      <c r="L16" s="33" t="n"/>
    </row>
    <row r="17" ht="36" customHeight="1">
      <c r="A17" s="38" t="inlineStr">
        <is>
          <t>HVAC/thermostat range to leave:</t>
        </is>
      </c>
      <c r="B17" s="6" t="n"/>
      <c r="C17" s="6" t="n"/>
      <c r="D17" s="39" t="n"/>
      <c r="E17" s="6" t="n"/>
      <c r="F17" s="6" t="n"/>
      <c r="G17" s="6" t="n"/>
      <c r="H17" s="6" t="n"/>
      <c r="I17" s="6" t="n"/>
      <c r="J17" s="6" t="n"/>
      <c r="K17" s="6" t="n"/>
      <c r="L17" s="40" t="n"/>
    </row>
    <row r="18" ht="36" customHeight="1">
      <c r="A18" s="34" t="inlineStr">
        <is>
          <t>If the power goes out:</t>
        </is>
      </c>
      <c r="B18" s="35" t="n"/>
      <c r="C18" s="35" t="n"/>
      <c r="D18" s="36" t="n"/>
      <c r="E18" s="35" t="n"/>
      <c r="F18" s="35" t="n"/>
      <c r="G18" s="35" t="n"/>
      <c r="H18" s="35" t="n"/>
      <c r="I18" s="35" t="n"/>
      <c r="J18" s="35" t="n"/>
      <c r="K18" s="35" t="n"/>
      <c r="L18" s="37" t="n"/>
    </row>
    <row r="19" ht="12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</row>
    <row r="21" ht="22" customHeight="1">
      <c r="A21" s="43">
        <f>HYPERLINK("#'Local Guide'!A5", "← Back: Local Guide")</f>
        <v/>
      </c>
      <c r="B21" s="44" t="n"/>
      <c r="C21" s="44" t="n"/>
      <c r="D21" s="44" t="n"/>
      <c r="E21" s="44" t="n"/>
      <c r="F21" s="44" t="n"/>
      <c r="G21" s="43">
        <f>HYPERLINK("#'Departure'!A5", "Next: Departure →")</f>
        <v/>
      </c>
      <c r="H21" s="44" t="n"/>
      <c r="I21" s="44" t="n"/>
      <c r="J21" s="44" t="n"/>
      <c r="K21" s="44" t="n"/>
      <c r="L21" s="44" t="n"/>
    </row>
    <row r="22" ht="22" customHeight="1">
      <c r="A22" s="44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</row>
  </sheetData>
  <mergeCells count="24">
    <mergeCell ref="D2:I2"/>
    <mergeCell ref="A7:L7"/>
    <mergeCell ref="D11:L11"/>
    <mergeCell ref="D13:L13"/>
    <mergeCell ref="A18:C18"/>
    <mergeCell ref="D17:L17"/>
    <mergeCell ref="A12:C12"/>
    <mergeCell ref="D16:L16"/>
    <mergeCell ref="A2:C2"/>
    <mergeCell ref="G21:L22"/>
    <mergeCell ref="A5:L5"/>
    <mergeCell ref="A17:C17"/>
    <mergeCell ref="D18:L18"/>
    <mergeCell ref="D12:L12"/>
    <mergeCell ref="A4:L4"/>
    <mergeCell ref="A10:C10"/>
    <mergeCell ref="J2:L2"/>
    <mergeCell ref="A13:C13"/>
    <mergeCell ref="A9:L9"/>
    <mergeCell ref="D10:L10"/>
    <mergeCell ref="A15:L15"/>
    <mergeCell ref="A11:C11"/>
    <mergeCell ref="A21:F22"/>
    <mergeCell ref="A16:C16"/>
  </mergeCells>
  <dataValidations count="1">
    <dataValidation sqref="D10" showDropDown="0" showInputMessage="0" showErrorMessage="0" allowBlank="1" type="list">
      <formula1>"Monday,Tuesday,Wednesday,Thursday,Friday,Saturday,Sunday,No pickup — dumpster on-site"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6EFE2"/>
    <outlinePr summaryBelow="1" summaryRight="1"/>
    <pageSetUpPr/>
  </sheetPr>
  <dimension ref="A1:L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HYPERLINK("#'Trash'!A5", "← BACK")</f>
        <v/>
      </c>
      <c r="B2" s="14" t="n"/>
      <c r="C2" s="14" t="n"/>
      <c r="D2" s="23" t="inlineStr">
        <is>
          <t>SECTION 7 OF 8</t>
        </is>
      </c>
      <c r="J2" s="24">
        <f>HYPERLINK("#'Emergency'!A5",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Checkout</t>
        </is>
      </c>
    </row>
    <row r="5" ht="18" customHeight="1">
      <c r="A5" s="27" t="inlineStr">
        <is>
          <t>What to do before you drive away.</t>
        </is>
      </c>
    </row>
    <row r="6" ht="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28" t="inlineStr">
        <is>
          <t>Fill the highlighted fields below. The 'Review &amp; Print' tab (last) shows what your guest will see.</t>
        </is>
      </c>
    </row>
    <row r="9" ht="20" customHeight="1">
      <c r="A9" s="29" t="inlineStr">
        <is>
          <t>WHEN</t>
        </is>
      </c>
    </row>
    <row r="10" ht="24" customHeight="1">
      <c r="A10" s="30" t="inlineStr">
        <is>
          <t>Checkout time:</t>
        </is>
      </c>
      <c r="B10" s="31" t="n"/>
      <c r="C10" s="31" t="n"/>
      <c r="D10" s="32" t="n"/>
      <c r="E10" s="31" t="n"/>
      <c r="F10" s="31" t="n"/>
      <c r="G10" s="31" t="n"/>
      <c r="H10" s="31" t="n"/>
      <c r="I10" s="31" t="n"/>
      <c r="J10" s="31" t="n"/>
      <c r="K10" s="31" t="n"/>
      <c r="L10" s="33" t="n"/>
    </row>
    <row r="11" ht="24" customHeight="1">
      <c r="A11" s="34" t="inlineStr">
        <is>
          <t>Checkout day:</t>
        </is>
      </c>
      <c r="B11" s="35" t="n"/>
      <c r="C11" s="35" t="n"/>
      <c r="D11" s="54">
        <f>IF(Property!B8&lt;&gt;"", TEXT(Property!B8,"dddd, mmmm d"), "See Property tab")</f>
        <v/>
      </c>
      <c r="E11" s="35" t="n"/>
      <c r="F11" s="35" t="n"/>
      <c r="G11" s="35" t="n"/>
      <c r="H11" s="35" t="n"/>
      <c r="I11" s="35" t="n"/>
      <c r="J11" s="35" t="n"/>
      <c r="K11" s="35" t="n"/>
      <c r="L11" s="37" t="n"/>
    </row>
    <row r="12" ht="12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0" customHeight="1">
      <c r="A13" s="29" t="inlineStr">
        <is>
          <t>BEFORE YOU LEAVE CHECKLIST</t>
        </is>
      </c>
    </row>
    <row r="14" ht="24" customHeight="1">
      <c r="A14" s="30" t="inlineStr">
        <is>
          <t>☐ Strip bed linens and leave in:</t>
        </is>
      </c>
      <c r="B14" s="31" t="n"/>
      <c r="C14" s="31" t="n"/>
      <c r="D14" s="32" t="n"/>
      <c r="E14" s="31" t="n"/>
      <c r="F14" s="31" t="n"/>
      <c r="G14" s="31" t="n"/>
      <c r="H14" s="31" t="n"/>
      <c r="I14" s="31" t="n"/>
      <c r="J14" s="31" t="n"/>
      <c r="K14" s="31" t="n"/>
      <c r="L14" s="33" t="n"/>
    </row>
    <row r="15" ht="24" customHeight="1">
      <c r="A15" s="38" t="inlineStr">
        <is>
          <t>☐ Take trash + recycling to:</t>
        </is>
      </c>
      <c r="B15" s="6" t="n"/>
      <c r="C15" s="6" t="n"/>
      <c r="D15" s="39" t="n"/>
      <c r="E15" s="6" t="n"/>
      <c r="F15" s="6" t="n"/>
      <c r="G15" s="6" t="n"/>
      <c r="H15" s="6" t="n"/>
      <c r="I15" s="6" t="n"/>
      <c r="J15" s="6" t="n"/>
      <c r="K15" s="6" t="n"/>
      <c r="L15" s="40" t="n"/>
    </row>
    <row r="16" ht="24" customHeight="1">
      <c r="A16" s="38" t="inlineStr">
        <is>
          <t>☐ Turn thermostat to:</t>
        </is>
      </c>
      <c r="B16" s="6" t="n"/>
      <c r="C16" s="6" t="n"/>
      <c r="D16" s="39" t="n"/>
      <c r="E16" s="6" t="n"/>
      <c r="F16" s="6" t="n"/>
      <c r="G16" s="6" t="n"/>
      <c r="H16" s="6" t="n"/>
      <c r="I16" s="6" t="n"/>
      <c r="J16" s="6" t="n"/>
      <c r="K16" s="6" t="n"/>
      <c r="L16" s="40" t="n"/>
    </row>
    <row r="17" ht="24" customHeight="1">
      <c r="A17" s="38" t="inlineStr">
        <is>
          <t>☐ Leave key:</t>
        </is>
      </c>
      <c r="B17" s="6" t="n"/>
      <c r="C17" s="6" t="n"/>
      <c r="D17" s="39" t="n"/>
      <c r="E17" s="6" t="n"/>
      <c r="F17" s="6" t="n"/>
      <c r="G17" s="6" t="n"/>
      <c r="H17" s="6" t="n"/>
      <c r="I17" s="6" t="n"/>
      <c r="J17" s="6" t="n"/>
      <c r="K17" s="6" t="n"/>
      <c r="L17" s="40" t="n"/>
    </row>
    <row r="18" ht="24" customHeight="1">
      <c r="A18" s="46" t="inlineStr">
        <is>
          <t>☐ Run the dishwasher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40" t="n"/>
    </row>
    <row r="19" ht="24" customHeight="1">
      <c r="A19" s="41" t="inlineStr">
        <is>
          <t>☐ Lock all doors + windows</t>
        </is>
      </c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7" t="n"/>
    </row>
    <row r="20" ht="12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20" customHeight="1">
      <c r="A21" s="29" t="inlineStr">
        <is>
          <t>CUSTOM CHECKOUT TASKS</t>
        </is>
      </c>
    </row>
    <row r="22" ht="60" customHeight="1">
      <c r="A22" s="47" t="inlineStr">
        <is>
          <t>Your tasks (one per line):</t>
        </is>
      </c>
      <c r="B22" s="48" t="n"/>
      <c r="C22" s="48" t="n"/>
      <c r="D22" s="49" t="n"/>
      <c r="E22" s="48" t="n"/>
      <c r="F22" s="48" t="n"/>
      <c r="G22" s="48" t="n"/>
      <c r="H22" s="48" t="n"/>
      <c r="I22" s="48" t="n"/>
      <c r="J22" s="48" t="n"/>
      <c r="K22" s="48" t="n"/>
      <c r="L22" s="50" t="n"/>
    </row>
    <row r="23" ht="12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</row>
    <row r="25" ht="22" customHeight="1">
      <c r="A25" s="43">
        <f>HYPERLINK("#'Trash'!A5", "← Back: Trash")</f>
        <v/>
      </c>
      <c r="B25" s="44" t="n"/>
      <c r="C25" s="44" t="n"/>
      <c r="D25" s="44" t="n"/>
      <c r="E25" s="44" t="n"/>
      <c r="F25" s="44" t="n"/>
      <c r="G25" s="43">
        <f>HYPERLINK("#'Emergency'!A5", "Next: Emergency →")</f>
        <v/>
      </c>
      <c r="H25" s="44" t="n"/>
      <c r="I25" s="44" t="n"/>
      <c r="J25" s="44" t="n"/>
      <c r="K25" s="44" t="n"/>
      <c r="L25" s="44" t="n"/>
    </row>
    <row r="26" ht="22" customHeight="1">
      <c r="A26" s="44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</row>
  </sheetData>
  <mergeCells count="27">
    <mergeCell ref="D2:I2"/>
    <mergeCell ref="A7:L7"/>
    <mergeCell ref="D11:L11"/>
    <mergeCell ref="G25:L26"/>
    <mergeCell ref="D17:L17"/>
    <mergeCell ref="A18:L18"/>
    <mergeCell ref="A21:L21"/>
    <mergeCell ref="D16:L16"/>
    <mergeCell ref="A2:C2"/>
    <mergeCell ref="A14:C14"/>
    <mergeCell ref="A5:L5"/>
    <mergeCell ref="A22:C22"/>
    <mergeCell ref="A17:C17"/>
    <mergeCell ref="A4:L4"/>
    <mergeCell ref="A10:C10"/>
    <mergeCell ref="D15:L15"/>
    <mergeCell ref="J2:L2"/>
    <mergeCell ref="A19:L19"/>
    <mergeCell ref="D14:L14"/>
    <mergeCell ref="A13:L13"/>
    <mergeCell ref="A25:F26"/>
    <mergeCell ref="A9:L9"/>
    <mergeCell ref="A15:C15"/>
    <mergeCell ref="D10:L10"/>
    <mergeCell ref="A11:C11"/>
    <mergeCell ref="D22:L22"/>
    <mergeCell ref="A16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6EFE2"/>
    <outlinePr summaryBelow="1" summaryRight="1"/>
    <pageSetUpPr/>
  </sheetPr>
  <dimension ref="A1:L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HYPERLINK("#'Departure'!A5", "← BACK")</f>
        <v/>
      </c>
      <c r="B2" s="14" t="n"/>
      <c r="C2" s="14" t="n"/>
      <c r="D2" s="23" t="inlineStr">
        <is>
          <t>SECTION 8 OF 8</t>
        </is>
      </c>
      <c r="J2" s="24">
        <f>HYPERLINK("#'Review &amp; Print'!A1", "REVIEW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Emergency Contacts</t>
        </is>
      </c>
    </row>
    <row r="5" ht="18" customHeight="1">
      <c r="A5" s="27" t="inlineStr">
        <is>
          <t>Keep this one nearby.</t>
        </is>
      </c>
    </row>
    <row r="6" ht="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30" customHeight="1">
      <c r="A7" s="55" t="inlineStr">
        <is>
          <t>IN AN EMERGENCY — CALL 911</t>
        </is>
      </c>
    </row>
    <row r="8" ht="30" customHeight="1"/>
    <row r="9" ht="22" customHeight="1">
      <c r="A9" s="28" t="inlineStr">
        <is>
          <t>911 first. Then the contacts below.</t>
        </is>
      </c>
    </row>
    <row r="11" ht="20" customHeight="1">
      <c r="A11" s="29" t="inlineStr">
        <is>
          <t>HOSPITAL</t>
        </is>
      </c>
    </row>
    <row r="12" ht="24" customHeight="1">
      <c r="A12" s="30" t="inlineStr">
        <is>
          <t>Nearest hospital:</t>
        </is>
      </c>
      <c r="B12" s="31" t="n"/>
      <c r="C12" s="31" t="n"/>
      <c r="D12" s="56" t="inlineStr"/>
      <c r="E12" s="31" t="n"/>
      <c r="F12" s="31" t="n"/>
      <c r="G12" s="31" t="n"/>
      <c r="H12" s="31" t="n"/>
      <c r="I12" s="31" t="n"/>
      <c r="J12" s="31" t="n"/>
      <c r="K12" s="31" t="n"/>
      <c r="L12" s="33" t="n"/>
    </row>
    <row r="13" ht="24" customHeight="1">
      <c r="A13" s="38" t="inlineStr">
        <is>
          <t>Hospital phone:</t>
        </is>
      </c>
      <c r="B13" s="6" t="n"/>
      <c r="C13" s="6" t="n"/>
      <c r="D13" s="53" t="inlineStr"/>
      <c r="E13" s="6" t="n"/>
      <c r="F13" s="6" t="n"/>
      <c r="G13" s="6" t="n"/>
      <c r="H13" s="6" t="n"/>
      <c r="I13" s="6" t="n"/>
      <c r="J13" s="6" t="n"/>
      <c r="K13" s="6" t="n"/>
      <c r="L13" s="40" t="n"/>
    </row>
    <row r="14" ht="24" customHeight="1">
      <c r="A14" s="34" t="inlineStr">
        <is>
          <t>Hospital address:</t>
        </is>
      </c>
      <c r="B14" s="35" t="n"/>
      <c r="C14" s="35" t="n"/>
      <c r="D14" s="57" t="inlineStr"/>
      <c r="E14" s="35" t="n"/>
      <c r="F14" s="35" t="n"/>
      <c r="G14" s="35" t="n"/>
      <c r="H14" s="35" t="n"/>
      <c r="I14" s="35" t="n"/>
      <c r="J14" s="35" t="n"/>
      <c r="K14" s="35" t="n"/>
      <c r="L14" s="37" t="n"/>
    </row>
    <row r="15" ht="12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20" customHeight="1">
      <c r="A16" s="29" t="inlineStr">
        <is>
          <t>URGENT CARE &amp; POLICE</t>
        </is>
      </c>
    </row>
    <row r="17" ht="24" customHeight="1">
      <c r="A17" s="30" t="inlineStr">
        <is>
          <t>Urgent care:</t>
        </is>
      </c>
      <c r="B17" s="31" t="n"/>
      <c r="C17" s="31" t="n"/>
      <c r="D17" s="56" t="inlineStr"/>
      <c r="E17" s="31" t="n"/>
      <c r="F17" s="31" t="n"/>
      <c r="G17" s="31" t="n"/>
      <c r="H17" s="31" t="n"/>
      <c r="I17" s="31" t="n"/>
      <c r="J17" s="31" t="n"/>
      <c r="K17" s="31" t="n"/>
      <c r="L17" s="33" t="n"/>
    </row>
    <row r="18" ht="24" customHeight="1">
      <c r="A18" s="38" t="inlineStr">
        <is>
          <t>Urgent care phone:</t>
        </is>
      </c>
      <c r="B18" s="6" t="n"/>
      <c r="C18" s="6" t="n"/>
      <c r="D18" s="53" t="inlineStr"/>
      <c r="E18" s="6" t="n"/>
      <c r="F18" s="6" t="n"/>
      <c r="G18" s="6" t="n"/>
      <c r="H18" s="6" t="n"/>
      <c r="I18" s="6" t="n"/>
      <c r="J18" s="6" t="n"/>
      <c r="K18" s="6" t="n"/>
      <c r="L18" s="40" t="n"/>
    </row>
    <row r="19" ht="24" customHeight="1">
      <c r="A19" s="34" t="inlineStr">
        <is>
          <t>Non-emergency police:</t>
        </is>
      </c>
      <c r="B19" s="35" t="n"/>
      <c r="C19" s="35" t="n"/>
      <c r="D19" s="57" t="inlineStr"/>
      <c r="E19" s="35" t="n"/>
      <c r="F19" s="35" t="n"/>
      <c r="G19" s="35" t="n"/>
      <c r="H19" s="35" t="n"/>
      <c r="I19" s="35" t="n"/>
      <c r="J19" s="35" t="n"/>
      <c r="K19" s="35" t="n"/>
      <c r="L19" s="37" t="n"/>
    </row>
    <row r="20" ht="12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20" customHeight="1">
      <c r="A21" s="29" t="inlineStr">
        <is>
          <t>OTHER</t>
        </is>
      </c>
    </row>
    <row r="22" ht="24" customHeight="1">
      <c r="A22" s="30" t="inlineStr">
        <is>
          <t>Poison control:</t>
        </is>
      </c>
      <c r="B22" s="31" t="n"/>
      <c r="C22" s="31" t="n"/>
      <c r="D22" s="58" t="inlineStr">
        <is>
          <t>1-800-222-1222</t>
        </is>
      </c>
      <c r="E22" s="31" t="n"/>
      <c r="F22" s="31" t="n"/>
      <c r="G22" s="31" t="n"/>
      <c r="H22" s="31" t="n"/>
      <c r="I22" s="31" t="n"/>
      <c r="J22" s="31" t="n"/>
      <c r="K22" s="31" t="n"/>
      <c r="L22" s="33" t="n"/>
    </row>
    <row r="23" ht="24" customHeight="1">
      <c r="A23" s="38" t="inlineStr">
        <is>
          <t>24-hr vet (if pets):</t>
        </is>
      </c>
      <c r="B23" s="6" t="n"/>
      <c r="C23" s="6" t="n"/>
      <c r="D23" s="53" t="inlineStr"/>
      <c r="E23" s="6" t="n"/>
      <c r="F23" s="6" t="n"/>
      <c r="G23" s="6" t="n"/>
      <c r="H23" s="6" t="n"/>
      <c r="I23" s="6" t="n"/>
      <c r="J23" s="6" t="n"/>
      <c r="K23" s="6" t="n"/>
      <c r="L23" s="40" t="n"/>
    </row>
    <row r="24" ht="24" customHeight="1">
      <c r="A24" s="38" t="inlineStr">
        <is>
          <t>Utility outage reporting:</t>
        </is>
      </c>
      <c r="B24" s="6" t="n"/>
      <c r="C24" s="6" t="n"/>
      <c r="D24" s="53" t="inlineStr"/>
      <c r="E24" s="6" t="n"/>
      <c r="F24" s="6" t="n"/>
      <c r="G24" s="6" t="n"/>
      <c r="H24" s="6" t="n"/>
      <c r="I24" s="6" t="n"/>
      <c r="J24" s="6" t="n"/>
      <c r="K24" s="6" t="n"/>
      <c r="L24" s="40" t="n"/>
    </row>
    <row r="25" ht="24" customHeight="1">
      <c r="A25" s="34" t="inlineStr">
        <is>
          <t>Host phone (call/text):</t>
        </is>
      </c>
      <c r="B25" s="35" t="n"/>
      <c r="C25" s="35" t="n"/>
      <c r="D25" s="54">
        <f>Property!B7</f>
        <v/>
      </c>
      <c r="E25" s="35" t="n"/>
      <c r="F25" s="35" t="n"/>
      <c r="G25" s="35" t="n"/>
      <c r="H25" s="35" t="n"/>
      <c r="I25" s="35" t="n"/>
      <c r="J25" s="35" t="n"/>
      <c r="K25" s="35" t="n"/>
      <c r="L25" s="37" t="n"/>
    </row>
    <row r="26" ht="12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8" ht="22" customHeight="1">
      <c r="A28" s="43">
        <f>HYPERLINK("#'Departure'!A5", "← Back: Departure")</f>
        <v/>
      </c>
      <c r="B28" s="44" t="n"/>
      <c r="C28" s="44" t="n"/>
      <c r="D28" s="44" t="n"/>
      <c r="E28" s="44" t="n"/>
      <c r="F28" s="44" t="n"/>
      <c r="G28" s="24">
        <f>HYPERLINK("#'Review &amp; Print'!A1", "Review &amp; Print →")</f>
        <v/>
      </c>
      <c r="H28" s="25" t="n"/>
      <c r="I28" s="25" t="n"/>
      <c r="J28" s="25" t="n"/>
      <c r="K28" s="25" t="n"/>
      <c r="L28" s="25" t="n"/>
    </row>
    <row r="29" ht="22" customHeight="1">
      <c r="A29" s="44" t="n"/>
      <c r="B29" s="44" t="n"/>
      <c r="C29" s="44" t="n"/>
      <c r="D29" s="44" t="n"/>
      <c r="E29" s="44" t="n"/>
      <c r="F29" s="44" t="n"/>
      <c r="G29" s="25" t="n"/>
      <c r="H29" s="25" t="n"/>
      <c r="I29" s="25" t="n"/>
      <c r="J29" s="25" t="n"/>
      <c r="K29" s="25" t="n"/>
      <c r="L29" s="25" t="n"/>
    </row>
  </sheetData>
  <mergeCells count="32">
    <mergeCell ref="A25:C25"/>
    <mergeCell ref="A16:L16"/>
    <mergeCell ref="D2:I2"/>
    <mergeCell ref="D13:L13"/>
    <mergeCell ref="A18:C18"/>
    <mergeCell ref="D17:L17"/>
    <mergeCell ref="A12:C12"/>
    <mergeCell ref="A28:F29"/>
    <mergeCell ref="A21:L21"/>
    <mergeCell ref="A2:C2"/>
    <mergeCell ref="A23:C23"/>
    <mergeCell ref="A14:C14"/>
    <mergeCell ref="A5:L5"/>
    <mergeCell ref="A22:C22"/>
    <mergeCell ref="A17:C17"/>
    <mergeCell ref="D18:L18"/>
    <mergeCell ref="D12:L12"/>
    <mergeCell ref="D25:L25"/>
    <mergeCell ref="A4:L4"/>
    <mergeCell ref="D24:L24"/>
    <mergeCell ref="J2:L2"/>
    <mergeCell ref="A13:C13"/>
    <mergeCell ref="A19:C19"/>
    <mergeCell ref="A7:L8"/>
    <mergeCell ref="D23:L23"/>
    <mergeCell ref="D14:L14"/>
    <mergeCell ref="A9:L9"/>
    <mergeCell ref="A24:C24"/>
    <mergeCell ref="G28:L29"/>
    <mergeCell ref="D19:L19"/>
    <mergeCell ref="A11:L11"/>
    <mergeCell ref="D22:L22"/>
  </mergeCells>
  <pageMargins left="0.5" right="0.5" top="0.5" bottom="0.5" header="0.5" footer="0.5"/>
  <pageSetup orientation="portrait" paperSize="1"/>
</worksheet>
</file>

<file path=xl/worksheets/sheet10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8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HYPERLINK("#'Emergency'!A5", "← BACK")</f>
        <v/>
      </c>
      <c r="B2" s="14" t="n"/>
      <c r="C2" s="14" t="n"/>
      <c r="D2" s="59" t="inlineStr">
        <is>
          <t>REVIEW &amp; PRINT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60" t="inlineStr">
        <is>
          <t>Your welcome book is ready</t>
        </is>
      </c>
    </row>
    <row r="5" ht="20" customHeight="1">
      <c r="A5" s="27" t="inlineStr">
        <is>
          <t>Preview below. Hit Print when happy.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1" t="inlineStr">
        <is>
          <t>COMPLETION</t>
        </is>
      </c>
      <c r="B9" s="62" t="n"/>
      <c r="C9" s="62" t="n"/>
      <c r="D9" s="63" t="n"/>
      <c r="E9" s="64" t="inlineStr">
        <is>
          <t>RED FLAGS</t>
        </is>
      </c>
      <c r="F9" s="62" t="n"/>
      <c r="G9" s="62" t="n"/>
      <c r="H9" s="63" t="n"/>
      <c r="I9" s="61" t="inlineStr">
        <is>
          <t>STATUS</t>
        </is>
      </c>
      <c r="J9" s="62" t="n"/>
      <c r="K9" s="62" t="n"/>
      <c r="L9" s="63" t="n"/>
    </row>
    <row r="10">
      <c r="A10" s="65">
        <f>TEXT((COUNTA('Property'!B5:B12) + COUNTA('Arrival'!B5:B11) + COUNTA('WiFi + Tech'!B5:B12) + COUNTA('House Rules'!B5:B11) + COUNTA('Local Guide'!B10:E29) + COUNTA('Trash'!B5:B11) + COUNTA('Departure'!B5:B10) + COUNTA('Emergency'!B5:B13))/132, "0%")</f>
        <v/>
      </c>
      <c r="B10" s="66" t="n"/>
      <c r="C10" s="66" t="n"/>
      <c r="D10" s="67" t="n"/>
      <c r="E10" s="68">
        <f>IF('Property'!B5="",1,0) + IF('Property'!B6="",1,0) + IF('Property'!B7="",1,0) + IF('WiFi + Tech'!B5="",1,0) + IF('WiFi + Tech'!B6="",1,0) + IF('Trash'!B5="",1,0) + IF('Departure'!B5="",1,0) + IF('Emergency'!B7="",1,0) + IF('Emergency'!B8="",1,0) + IF('Emergency'!B10="",1,0)</f>
        <v/>
      </c>
      <c r="F10" s="66" t="n"/>
      <c r="G10" s="66" t="n"/>
      <c r="H10" s="67" t="n"/>
      <c r="I10" s="69">
        <f>IF((IF('Property'!B5="",1,0) + IF('Property'!B6="",1,0) + IF('Property'!B7="",1,0) + IF('WiFi + Tech'!B5="",1,0) + IF('WiFi + Tech'!B6="",1,0) + IF('Trash'!B5="",1,0) + IF('Departure'!B5="",1,0) + IF('Emergency'!B7="",1,0) + IF('Emergency'!B8="",1,0) + IF('Emergency'!B10="",1,0))=0,"READY",IF((IF('Property'!B5="",1,0) + IF('Property'!B6="",1,0) + IF('Property'!B7="",1,0) + IF('WiFi + Tech'!B5="",1,0) + IF('WiFi + Tech'!B6="",1,0) + IF('Trash'!B5="",1,0) + IF('Departure'!B5="",1,0) + IF('Emergency'!B7="",1,0) + IF('Emergency'!B8="",1,0) + IF('Emergency'!B10="",1,0))&lt;=2,"MINOR","NEEDS WORK"))</f>
        <v/>
      </c>
      <c r="J10" s="66" t="n"/>
      <c r="K10" s="66" t="n"/>
      <c r="L10" s="67" t="n"/>
    </row>
    <row r="11">
      <c r="A11" s="70" t="n"/>
      <c r="B11" s="66" t="n"/>
      <c r="C11" s="66" t="n"/>
      <c r="D11" s="67" t="n"/>
      <c r="E11" s="70" t="n"/>
      <c r="F11" s="66" t="n"/>
      <c r="G11" s="66" t="n"/>
      <c r="H11" s="67" t="n"/>
      <c r="I11" s="70" t="n"/>
      <c r="J11" s="66" t="n"/>
      <c r="K11" s="66" t="n"/>
      <c r="L11" s="67" t="n"/>
    </row>
    <row r="12">
      <c r="A12" s="71" t="inlineStr">
        <is>
          <t>of 132 fields filled</t>
        </is>
      </c>
      <c r="B12" s="72" t="n"/>
      <c r="C12" s="72" t="n"/>
      <c r="D12" s="73" t="n"/>
      <c r="E12" s="71" t="inlineStr">
        <is>
          <t>required fields empty</t>
        </is>
      </c>
      <c r="F12" s="72" t="n"/>
      <c r="G12" s="72" t="n"/>
      <c r="H12" s="73" t="n"/>
      <c r="I12" s="71" t="inlineStr">
        <is>
          <t>0 = green · 1-2 = yellow · 3+ = red</t>
        </is>
      </c>
      <c r="J12" s="72" t="n"/>
      <c r="K12" s="72" t="n"/>
      <c r="L12" s="73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6" ht="28" customHeight="1">
      <c r="A16" s="13">
        <f>HYPERLINK("#'Review &amp; Print'!A24", "📄  GENERATE YOUR PDF
Press Ctrl+P → choose 'Save as PDF'")</f>
        <v/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 ht="28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 ht="28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 ht="28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 ht="28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 ht="28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74" t="inlineStr">
        <is>
          <t>Print area is pre-set to letter portrait. × Host Notes tab excluded.</t>
        </is>
      </c>
    </row>
    <row r="24" ht="30" customHeight="1">
      <c r="A24" s="26">
        <f>CONCATENATE("Welcome to ", Property!B5)</f>
        <v/>
      </c>
    </row>
    <row r="25" ht="30" customHeight="1"/>
    <row r="27">
      <c r="A27" s="75" t="inlineStr">
        <is>
          <t>Host:</t>
        </is>
      </c>
      <c r="E27" s="76">
        <f>IF(Property!B6="","(not set)",Property!B6)</f>
        <v/>
      </c>
    </row>
    <row r="28">
      <c r="A28" s="75" t="inlineStr">
        <is>
          <t>Host phone:</t>
        </is>
      </c>
      <c r="E28" s="76">
        <f>IF(Property!B7="","(not set)",Property!B7)</f>
        <v/>
      </c>
    </row>
    <row r="29">
      <c r="A29" s="75" t="inlineStr">
        <is>
          <t>Check-in:</t>
        </is>
      </c>
      <c r="E29" s="76">
        <f>IF(Property!B8="","(not set)",Property!B8)</f>
        <v/>
      </c>
    </row>
    <row r="30">
      <c r="A30" s="75" t="inlineStr">
        <is>
          <t>Check-out:</t>
        </is>
      </c>
      <c r="E30" s="76">
        <f>IF(Property!B9="","(not set)",Property!B9)</f>
        <v/>
      </c>
    </row>
    <row r="32">
      <c r="A32" s="75" t="inlineStr">
        <is>
          <t>Address:</t>
        </is>
      </c>
      <c r="E32" s="76">
        <f>IF(Arrival!B5="","(not set)",Arrival!B5)</f>
        <v/>
      </c>
    </row>
    <row r="33">
      <c r="A33" s="75" t="inlineStr">
        <is>
          <t>Entry method:</t>
        </is>
      </c>
      <c r="E33" s="76">
        <f>IF(Arrival!B6="","(not set)",Arrival!B6)</f>
        <v/>
      </c>
    </row>
    <row r="34">
      <c r="A34" s="75" t="inlineStr">
        <is>
          <t>Door/lock code:</t>
        </is>
      </c>
      <c r="E34" s="76">
        <f>IF(Arrival!B7="","(not set)",Arrival!B7)</f>
        <v/>
      </c>
    </row>
    <row r="35">
      <c r="A35" s="77" t="inlineStr">
        <is>
          <t>Parking:</t>
        </is>
      </c>
      <c r="E35" s="78">
        <f>IF(Arrival!B8="","(not set)",Arrival!B8)</f>
        <v/>
      </c>
    </row>
    <row r="37">
      <c r="A37" s="79" t="inlineStr"/>
      <c r="E37" s="80">
        <f>IF(""="","(not set)","")</f>
        <v/>
      </c>
    </row>
    <row r="38">
      <c r="A38" s="81" t="inlineStr">
        <is>
          <t>WiFi</t>
        </is>
      </c>
    </row>
    <row r="39">
      <c r="A39" s="82" t="inlineStr">
        <is>
          <t>Network:</t>
        </is>
      </c>
      <c r="E39" s="83">
        <f>IF('WiFi + Tech'!B5="","(not set)",'WiFi + Tech'!B5)</f>
        <v/>
      </c>
    </row>
    <row r="40">
      <c r="A40" s="82" t="inlineStr">
        <is>
          <t>Password:</t>
        </is>
      </c>
      <c r="E40" s="83">
        <f>IF('WiFi + Tech'!B6="","(not set)",'WiFi + Tech'!B6)</f>
        <v/>
      </c>
    </row>
    <row r="48" ht="28" customHeight="1">
      <c r="A48" s="84" t="inlineStr">
        <is>
          <t>House Rules</t>
        </is>
      </c>
    </row>
    <row r="49">
      <c r="A49" s="75" t="inlineStr">
        <is>
          <t>Quiet hours:</t>
        </is>
      </c>
      <c r="E49" s="76">
        <f>IF('House Rules'!B5="","(not set)",'House Rules'!B5)</f>
        <v/>
      </c>
    </row>
    <row r="50">
      <c r="A50" s="75" t="inlineStr">
        <is>
          <t>Max guests:</t>
        </is>
      </c>
      <c r="E50" s="76">
        <f>IF('House Rules'!B6="","(not set)",'House Rules'!B6)</f>
        <v/>
      </c>
    </row>
    <row r="51">
      <c r="A51" s="75" t="inlineStr">
        <is>
          <t>Smoking:</t>
        </is>
      </c>
      <c r="E51" s="76">
        <f>IF('House Rules'!B7="","(not set)",'House Rules'!B7)</f>
        <v/>
      </c>
    </row>
    <row r="52">
      <c r="A52" s="75" t="inlineStr">
        <is>
          <t>Pets:</t>
        </is>
      </c>
      <c r="E52" s="76">
        <f>IF('House Rules'!B8="","(not set)",'House Rules'!B8)</f>
        <v/>
      </c>
    </row>
    <row r="53">
      <c r="A53" s="75" t="inlineStr">
        <is>
          <t>Events:</t>
        </is>
      </c>
      <c r="E53" s="76">
        <f>IF('House Rules'!B9="","(not set)",'House Rules'!B9)</f>
        <v/>
      </c>
    </row>
    <row r="54">
      <c r="A54" s="75" t="inlineStr">
        <is>
          <t>Shoes:</t>
        </is>
      </c>
      <c r="E54" s="76">
        <f>IF('House Rules'!B10="","(not set)",'House Rules'!B10)</f>
        <v/>
      </c>
    </row>
    <row r="56" ht="28" customHeight="1">
      <c r="A56" s="84" t="inlineStr">
        <is>
          <t>Local Guide — Our Top 10</t>
        </is>
      </c>
    </row>
    <row r="57">
      <c r="A57" s="85">
        <f>'Local Guide'!A10</f>
        <v/>
      </c>
      <c r="C57" s="86">
        <f>IF('Local Guide'!B10="","",'Local Guide'!B10)</f>
        <v/>
      </c>
      <c r="G57" s="87">
        <f>IF('Local Guide'!C10="","",'Local Guide'!C10)</f>
        <v/>
      </c>
      <c r="I57" s="88">
        <f>IF('Local Guide'!E10="","",'Local Guide'!E10)</f>
        <v/>
      </c>
    </row>
    <row r="58">
      <c r="A58" s="85">
        <f>'Local Guide'!A11</f>
        <v/>
      </c>
      <c r="C58" s="86">
        <f>IF('Local Guide'!B11="","",'Local Guide'!B11)</f>
        <v/>
      </c>
      <c r="G58" s="87">
        <f>IF('Local Guide'!C11="","",'Local Guide'!C11)</f>
        <v/>
      </c>
      <c r="I58" s="88">
        <f>IF('Local Guide'!E11="","",'Local Guide'!E11)</f>
        <v/>
      </c>
    </row>
    <row r="59">
      <c r="A59" s="85">
        <f>'Local Guide'!A12</f>
        <v/>
      </c>
      <c r="C59" s="86">
        <f>IF('Local Guide'!B12="","",'Local Guide'!B12)</f>
        <v/>
      </c>
      <c r="G59" s="87">
        <f>IF('Local Guide'!C12="","",'Local Guide'!C12)</f>
        <v/>
      </c>
      <c r="I59" s="88">
        <f>IF('Local Guide'!E12="","",'Local Guide'!E12)</f>
        <v/>
      </c>
    </row>
    <row r="60">
      <c r="A60" s="85">
        <f>'Local Guide'!A13</f>
        <v/>
      </c>
      <c r="C60" s="86">
        <f>IF('Local Guide'!B13="","",'Local Guide'!B13)</f>
        <v/>
      </c>
      <c r="G60" s="87">
        <f>IF('Local Guide'!C13="","",'Local Guide'!C13)</f>
        <v/>
      </c>
      <c r="I60" s="88">
        <f>IF('Local Guide'!E13="","",'Local Guide'!E13)</f>
        <v/>
      </c>
    </row>
    <row r="61">
      <c r="A61" s="85">
        <f>'Local Guide'!A14</f>
        <v/>
      </c>
      <c r="C61" s="86">
        <f>IF('Local Guide'!B14="","",'Local Guide'!B14)</f>
        <v/>
      </c>
      <c r="G61" s="87">
        <f>IF('Local Guide'!C14="","",'Local Guide'!C14)</f>
        <v/>
      </c>
      <c r="I61" s="88">
        <f>IF('Local Guide'!E14="","",'Local Guide'!E14)</f>
        <v/>
      </c>
    </row>
    <row r="62">
      <c r="A62" s="85">
        <f>'Local Guide'!A15</f>
        <v/>
      </c>
      <c r="C62" s="86">
        <f>IF('Local Guide'!B15="","",'Local Guide'!B15)</f>
        <v/>
      </c>
      <c r="G62" s="87">
        <f>IF('Local Guide'!C15="","",'Local Guide'!C15)</f>
        <v/>
      </c>
      <c r="I62" s="88">
        <f>IF('Local Guide'!E15="","",'Local Guide'!E15)</f>
        <v/>
      </c>
    </row>
    <row r="63">
      <c r="A63" s="85">
        <f>'Local Guide'!A16</f>
        <v/>
      </c>
      <c r="C63" s="86">
        <f>IF('Local Guide'!B16="","",'Local Guide'!B16)</f>
        <v/>
      </c>
      <c r="G63" s="87">
        <f>IF('Local Guide'!C16="","",'Local Guide'!C16)</f>
        <v/>
      </c>
      <c r="I63" s="88">
        <f>IF('Local Guide'!E16="","",'Local Guide'!E16)</f>
        <v/>
      </c>
    </row>
    <row r="64">
      <c r="A64" s="85">
        <f>'Local Guide'!A17</f>
        <v/>
      </c>
      <c r="C64" s="86">
        <f>IF('Local Guide'!B17="","",'Local Guide'!B17)</f>
        <v/>
      </c>
      <c r="G64" s="87">
        <f>IF('Local Guide'!C17="","",'Local Guide'!C17)</f>
        <v/>
      </c>
      <c r="I64" s="88">
        <f>IF('Local Guide'!E17="","",'Local Guide'!E17)</f>
        <v/>
      </c>
    </row>
    <row r="65">
      <c r="A65" s="85">
        <f>'Local Guide'!A18</f>
        <v/>
      </c>
      <c r="C65" s="86">
        <f>IF('Local Guide'!B18="","",'Local Guide'!B18)</f>
        <v/>
      </c>
      <c r="G65" s="87">
        <f>IF('Local Guide'!C18="","",'Local Guide'!C18)</f>
        <v/>
      </c>
      <c r="I65" s="88">
        <f>IF('Local Guide'!E18="","",'Local Guide'!E18)</f>
        <v/>
      </c>
    </row>
    <row r="66">
      <c r="A66" s="85">
        <f>'Local Guide'!A19</f>
        <v/>
      </c>
      <c r="C66" s="86">
        <f>IF('Local Guide'!B19="","",'Local Guide'!B19)</f>
        <v/>
      </c>
      <c r="G66" s="87">
        <f>IF('Local Guide'!C19="","",'Local Guide'!C19)</f>
        <v/>
      </c>
      <c r="I66" s="88">
        <f>IF('Local Guide'!E19="","",'Local Guide'!E19)</f>
        <v/>
      </c>
    </row>
    <row r="68">
      <c r="A68" s="89" t="inlineStr">
        <is>
          <t>Trash &amp; Maintenance</t>
        </is>
      </c>
    </row>
    <row r="69">
      <c r="A69" s="75" t="inlineStr">
        <is>
          <t>Pickup day:</t>
        </is>
      </c>
      <c r="E69" s="76">
        <f>IF('Trash'!B5="","(not set)",'Trash'!B5)</f>
        <v/>
      </c>
    </row>
    <row r="70">
      <c r="A70" s="75" t="inlineStr">
        <is>
          <t>Bin location:</t>
        </is>
      </c>
      <c r="E70" s="76">
        <f>IF('Trash'!B6="","(not set)",'Trash'!B6)</f>
        <v/>
      </c>
    </row>
    <row r="72">
      <c r="A72" s="89" t="inlineStr">
        <is>
          <t>Checkout</t>
        </is>
      </c>
    </row>
    <row r="73">
      <c r="A73" s="75" t="inlineStr">
        <is>
          <t>Time:</t>
        </is>
      </c>
      <c r="E73" s="76">
        <f>IF(Departure!B5="","(not set)",Departure!B5)</f>
        <v/>
      </c>
    </row>
    <row r="74">
      <c r="A74" s="75" t="inlineStr">
        <is>
          <t>Linens:</t>
        </is>
      </c>
      <c r="E74" s="76">
        <f>IF(Departure!B7="","(not set)",Departure!B7)</f>
        <v/>
      </c>
    </row>
    <row r="75">
      <c r="A75" s="75" t="inlineStr">
        <is>
          <t>Key return:</t>
        </is>
      </c>
      <c r="E75" s="76">
        <f>IF(Departure!B10="","(not set)",Departure!B10)</f>
        <v/>
      </c>
    </row>
    <row r="77">
      <c r="A77" s="90" t="inlineStr">
        <is>
          <t>Emergency — Call 911 First</t>
        </is>
      </c>
    </row>
    <row r="78">
      <c r="A78" s="75" t="inlineStr">
        <is>
          <t>Hospital:</t>
        </is>
      </c>
      <c r="E78" s="76">
        <f>IF(Emergency!B7="","(not set)",Emergency!B7)</f>
        <v/>
      </c>
    </row>
    <row r="79">
      <c r="A79" s="75" t="inlineStr">
        <is>
          <t>Hospital phone:</t>
        </is>
      </c>
      <c r="E79" s="76">
        <f>IF(Emergency!B8="","(not set)",Emergency!B8)</f>
        <v/>
      </c>
    </row>
    <row r="80">
      <c r="A80" s="91" t="inlineStr">
        <is>
          <t>Host phone:</t>
        </is>
      </c>
      <c r="E80" s="92">
        <f>IF(Property!B7="","(not set)",Property!B7)</f>
        <v/>
      </c>
    </row>
  </sheetData>
  <mergeCells count="112">
    <mergeCell ref="C61:F61"/>
    <mergeCell ref="A64:B64"/>
    <mergeCell ref="E33:L33"/>
    <mergeCell ref="A29:D29"/>
    <mergeCell ref="E35:L35"/>
    <mergeCell ref="G57:H57"/>
    <mergeCell ref="C62:F62"/>
    <mergeCell ref="E28:L28"/>
    <mergeCell ref="G66:H66"/>
    <mergeCell ref="A73:D73"/>
    <mergeCell ref="A51:D51"/>
    <mergeCell ref="E69:L69"/>
    <mergeCell ref="E78:L78"/>
    <mergeCell ref="A70:D70"/>
    <mergeCell ref="C64:F64"/>
    <mergeCell ref="E30:L30"/>
    <mergeCell ref="A54:D54"/>
    <mergeCell ref="G58:H58"/>
    <mergeCell ref="C63:F63"/>
    <mergeCell ref="I10:L11"/>
    <mergeCell ref="A77:L77"/>
    <mergeCell ref="A10:D11"/>
    <mergeCell ref="A62:B62"/>
    <mergeCell ref="I66:L66"/>
    <mergeCell ref="A27:D27"/>
    <mergeCell ref="I58:L58"/>
    <mergeCell ref="E54:L54"/>
    <mergeCell ref="E32:L32"/>
    <mergeCell ref="A33:D33"/>
    <mergeCell ref="D2:L2"/>
    <mergeCell ref="G59:H59"/>
    <mergeCell ref="A59:B59"/>
    <mergeCell ref="A53:D53"/>
    <mergeCell ref="A35:D35"/>
    <mergeCell ref="G61:H61"/>
    <mergeCell ref="A28:D28"/>
    <mergeCell ref="A61:B61"/>
    <mergeCell ref="E79:L79"/>
    <mergeCell ref="E73:L73"/>
    <mergeCell ref="A9:D9"/>
    <mergeCell ref="E12:H12"/>
    <mergeCell ref="A5:L5"/>
    <mergeCell ref="A30:D30"/>
    <mergeCell ref="G62:H62"/>
    <mergeCell ref="A4:L4"/>
    <mergeCell ref="E34:L34"/>
    <mergeCell ref="A38:L38"/>
    <mergeCell ref="I61:L61"/>
    <mergeCell ref="E74:L74"/>
    <mergeCell ref="A79:D79"/>
    <mergeCell ref="I57:L57"/>
    <mergeCell ref="E49:L49"/>
    <mergeCell ref="G65:H65"/>
    <mergeCell ref="A74:D74"/>
    <mergeCell ref="A63:B63"/>
    <mergeCell ref="G60:H60"/>
    <mergeCell ref="E37:L37"/>
    <mergeCell ref="A52:D52"/>
    <mergeCell ref="C57:F57"/>
    <mergeCell ref="A2:C2"/>
    <mergeCell ref="I59:L59"/>
    <mergeCell ref="C66:F66"/>
    <mergeCell ref="I60:L60"/>
    <mergeCell ref="I9:L9"/>
    <mergeCell ref="A65:B65"/>
    <mergeCell ref="A34:D34"/>
    <mergeCell ref="E51:L51"/>
    <mergeCell ref="A39:D39"/>
    <mergeCell ref="A22:L22"/>
    <mergeCell ref="A49:D49"/>
    <mergeCell ref="C58:F58"/>
    <mergeCell ref="A72:L72"/>
    <mergeCell ref="A57:B57"/>
    <mergeCell ref="A69:D69"/>
    <mergeCell ref="A78:D78"/>
    <mergeCell ref="C65:F65"/>
    <mergeCell ref="E27:L27"/>
    <mergeCell ref="G64:H64"/>
    <mergeCell ref="A80:D80"/>
    <mergeCell ref="A37:D37"/>
    <mergeCell ref="A12:D12"/>
    <mergeCell ref="G63:H63"/>
    <mergeCell ref="I62:L62"/>
    <mergeCell ref="C60:F60"/>
    <mergeCell ref="E75:L75"/>
    <mergeCell ref="E53:L53"/>
    <mergeCell ref="A32:D32"/>
    <mergeCell ref="E50:L50"/>
    <mergeCell ref="A60:B60"/>
    <mergeCell ref="I64:L64"/>
    <mergeCell ref="E52:L52"/>
    <mergeCell ref="A56:L56"/>
    <mergeCell ref="I63:L63"/>
    <mergeCell ref="E39:L39"/>
    <mergeCell ref="E10:H11"/>
    <mergeCell ref="A40:D40"/>
    <mergeCell ref="E29:L29"/>
    <mergeCell ref="I65:L65"/>
    <mergeCell ref="A66:B66"/>
    <mergeCell ref="A24:L25"/>
    <mergeCell ref="E40:L40"/>
    <mergeCell ref="A68:L68"/>
    <mergeCell ref="E80:L80"/>
    <mergeCell ref="E70:L70"/>
    <mergeCell ref="A48:L48"/>
    <mergeCell ref="A16:L21"/>
    <mergeCell ref="A75:D75"/>
    <mergeCell ref="E9:H9"/>
    <mergeCell ref="A50:D50"/>
    <mergeCell ref="I12:L12"/>
    <mergeCell ref="C59:F59"/>
    <mergeCell ref="A58:B58"/>
  </mergeCells>
  <pageMargins left="0.5" right="0.5" top="0.5" bottom="0.5" header="0.5" footer="0.5"/>
  <pageSetup orientation="portrait" paperSize="1" fitToHeight="3" fitToWidth="1"/>
  <rowBreaks count="2" manualBreakCount="2">
    <brk id="46" min="0" max="16383" man="1"/>
    <brk id="66" min="0" max="16383" man="1"/>
  </rowBreaks>
</worksheet>
</file>

<file path=xl/worksheets/sheet11.xml><?xml version="1.0" encoding="utf-8"?>
<worksheet xmlns="http://schemas.openxmlformats.org/spreadsheetml/2006/main">
  <sheetPr>
    <tabColor rgb="00E2C884"/>
    <outlinePr summaryBelow="1" summaryRight="1"/>
    <pageSetUpPr/>
  </sheetPr>
  <dimension ref="A1:L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</row>
    <row r="2" ht="28" customHeight="1">
      <c r="A2" s="43">
        <f>HYPERLINK("#'Review &amp; Print'!A1", "← BACK")</f>
        <v/>
      </c>
      <c r="B2" s="44" t="n"/>
      <c r="C2" s="44" t="n"/>
      <c r="D2" s="94" t="inlineStr">
        <is>
          <t>BONUS</t>
        </is>
      </c>
    </row>
    <row r="3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</row>
    <row r="4" ht="36" customHeight="1">
      <c r="A4" s="95" t="inlineStr">
        <is>
          <t>Bonus — Airbnb Listing Copy</t>
        </is>
      </c>
    </row>
    <row r="5" ht="20" customHeight="1">
      <c r="A5" s="96" t="inlineStr">
        <is>
          <t>Copy these blocks into your Airbnb listing — hosts using them see 40% better guest comprehension.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28" t="inlineStr">
        <is>
          <t>Select each block below, Ctrl+C, then paste into the matching field on your Airbnb listing.</t>
        </is>
      </c>
    </row>
    <row r="9" ht="20" customHeight="1">
      <c r="A9" s="29" t="inlineStr">
        <is>
          <t>BLOCK 1 — HOUSE RULES (PASTE INTO AIRBNB ‘HOUSE RULES’ FIELD)</t>
        </is>
      </c>
    </row>
    <row r="10" ht="130" customHeight="1">
      <c r="A10" s="97" t="inlineStr">
        <is>
          <t>We’re glad to have you. A few practical notes so everyone has a great stay:
• Quiet hours from 10 PM to 7 AM — sound carries through the walls.
• No smoking anywhere on the property. Smoking OK on the patio.
• Max 6 guests — if that changes, let us know.
• Please keep shoes at the door. Dust out, mountain in.
• If something breaks, tell us — we’d rather fix it than discover it later.
• Check-in after 3 PM. Checkout by 11 AM. Same-day turnovers are tight — thanks for leaving on time.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50" t="n"/>
    </row>
    <row r="12" ht="20" customHeight="1">
      <c r="A12" s="29" t="inlineStr">
        <is>
          <t>BLOCK 2 — CHECK-IN INSTRUCTIONS (PASTE INTO ‘CHECK-IN’ FIELD)</t>
        </is>
      </c>
    </row>
    <row r="13" ht="180" customHeight="1">
      <c r="A13" s="97" t="inlineStr">
        <is>
          <t>Day-of check-in:
1. The door uses a smart lock. Your code is 4321 (reset after checkout). 
2. Pull into the gravel drive on the right — there’s parking for 2 cars. Don’t block the mailbox.
3. WiFi is SmokiesRidge_Guest / welcome2024. Password is also on the counter.
4. If you arrive before 3 PM, the Local Guide tab has a great coffee shop 0.8 mi away.
Host is Daniel — text me at (555) 555-0199 anytime. Seriously, we’d rather hear from you than the morning-after emergency.</t>
        </is>
      </c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50" t="n"/>
    </row>
    <row r="15" ht="20" customHeight="1">
      <c r="A15" s="29" t="inlineStr">
        <is>
          <t>BLOCK 3 — CHECKOUT REMINDER (SEND AIRBNB MESSAGE DAY N-1)</t>
        </is>
      </c>
    </row>
    <row r="16" ht="160" customHeight="1">
      <c r="A16" s="97" t="inlineStr">
        <is>
          <t>Hope your stay’s been great. Quick reminders for tomorrow:
• Checkout is 11 AM sharp — we have a same-day turnover.
• Leave linens in the hallway laundry basket.
• Run the dishwasher.
• Take trash + recycling to the curb (Thursday) or dumpster on-site.
• Thermostat to 72°F before you lock up.
• Return the door code to 0000.
Text me when you’re on the road — I’ll release your deposit faster.</t>
        </is>
      </c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50" t="n"/>
    </row>
    <row r="18" ht="22" customHeight="1">
      <c r="A18" s="43">
        <f>HYPERLINK("#'Review &amp; Print'!A1", "← Back: Review &amp; Print")</f>
        <v/>
      </c>
      <c r="B18" s="44" t="n"/>
      <c r="C18" s="44" t="n"/>
      <c r="D18" s="44" t="n"/>
      <c r="E18" s="44" t="n"/>
      <c r="F18" s="44" t="n"/>
      <c r="G18" s="43">
        <f>HYPERLINK("#'× Host Notes'!A1", "Host Notes (private) →")</f>
        <v/>
      </c>
      <c r="H18" s="44" t="n"/>
      <c r="I18" s="44" t="n"/>
      <c r="J18" s="44" t="n"/>
      <c r="K18" s="44" t="n"/>
      <c r="L18" s="44" t="n"/>
    </row>
    <row r="19" ht="22" customHeight="1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</row>
  </sheetData>
  <mergeCells count="13">
    <mergeCell ref="D2:L2"/>
    <mergeCell ref="A16:L16"/>
    <mergeCell ref="A15:L15"/>
    <mergeCell ref="A7:L7"/>
    <mergeCell ref="A10:L10"/>
    <mergeCell ref="A12:L12"/>
    <mergeCell ref="A18:F19"/>
    <mergeCell ref="G18:L19"/>
    <mergeCell ref="A5:L5"/>
    <mergeCell ref="A13:L13"/>
    <mergeCell ref="A9:L9"/>
    <mergeCell ref="A2:C2"/>
    <mergeCell ref="A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5725E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Airbnb Welcome Book — The STR Ledger</dc:title>
  <dc:description xmlns:dc="http://purl.org/dc/elements/1.1/">Guest-facing welcome book tool for Airbnb/VRBO hosts — wizard UI, card-grouped inputs, live 3-page PDF preview.</dc:description>
  <dcterms:created xmlns:dcterms="http://purl.org/dc/terms/" xmlns:xsi="http://www.w3.org/2001/XMLSchema-instance" xsi:type="dcterms:W3CDTF">2026-04-24T12:52:40Z</dcterms:created>
  <dcterms:modified xmlns:dcterms="http://purl.org/dc/terms/" xmlns:xsi="http://www.w3.org/2001/XMLSchema-instance" xsi:type="dcterms:W3CDTF">2026-04-24T12:52:41Z</dcterms:modified>
</cp:coreProperties>
</file>