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Launch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'Emergency'!$A$1:$L$21</definedName>
    <definedName name="_xlnm.Print_Area" localSheetId="9">'Launch'!$A$1:$L$22</definedName>
    <definedName name="_xlnm.Print_Area" localSheetId="10">'Bonus'!$A$1:$L$20</definedName>
    <definedName name="_xlnm.Print_Area" localSheetId="11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/>
      <right/>
      <top/>
      <bottom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/>
    </xf>
    <xf numFmtId="0" fontId="0" fillId="3" borderId="6" pivotButton="0" quotePrefix="0" xfId="0"/>
    <xf numFmtId="0" fontId="0" fillId="3" borderId="16" pivotButton="0" quotePrefix="0" xfId="0"/>
    <xf numFmtId="0" fontId="18" fillId="3" borderId="10" applyAlignment="1" pivotButton="0" quotePrefix="0" xfId="0">
      <alignment horizontal="left" vertical="center" wrapText="1" indent="2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18" fillId="3" borderId="13" applyAlignment="1" pivotButton="0" quotePrefix="0" xfId="0">
      <alignment horizontal="left" vertical="center" wrapText="1" indent="2"/>
    </xf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/>
    </xf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/>
    </xf>
    <xf numFmtId="0" fontId="0" fillId="3" borderId="19" pivotButton="0" quotePrefix="0" xfId="0"/>
    <xf numFmtId="0" fontId="0" fillId="3" borderId="20" pivotButton="0" quotePrefix="0" xfId="0"/>
    <xf numFmtId="0" fontId="21" fillId="2" borderId="2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 wrapText="1" indent="1"/>
    </xf>
    <xf numFmtId="0" fontId="23" fillId="8" borderId="0" applyAlignment="1" pivotButton="0" quotePrefix="0" xfId="0">
      <alignment horizontal="right" vertical="center"/>
    </xf>
    <xf numFmtId="0" fontId="24" fillId="9" borderId="22" applyAlignment="1" pivotButton="0" quotePrefix="0" xfId="0">
      <alignment horizontal="center" vertical="center"/>
    </xf>
    <xf numFmtId="0" fontId="7" fillId="3" borderId="5" applyAlignment="1" pivotButton="0" quotePrefix="0" xfId="0">
      <alignment horizontal="left" vertical="center" indent="1"/>
    </xf>
    <xf numFmtId="0" fontId="23" fillId="8" borderId="11" applyAlignment="1" pivotButton="0" quotePrefix="0" xfId="0">
      <alignment horizontal="right" vertical="center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30" fillId="3" borderId="15" applyAlignment="1" pivotButton="0" quotePrefix="0" xfId="0">
      <alignment horizontal="center"/>
    </xf>
    <xf numFmtId="0" fontId="28" fillId="3" borderId="13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4" pivotButton="0" quotePrefix="0" xfId="0"/>
    <xf numFmtId="0" fontId="31" fillId="3" borderId="13" applyAlignment="1" pivotButton="0" quotePrefix="0" xfId="0">
      <alignment horizontal="center" vertical="center"/>
    </xf>
    <xf numFmtId="0" fontId="32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9" fillId="3" borderId="10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33" fillId="0" borderId="0" applyAlignment="1" pivotButton="0" quotePrefix="0" xfId="0">
      <alignment horizontal="center" vertical="center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34" fillId="6" borderId="0" applyAlignment="1" pivotButton="0" quotePrefix="0" xfId="0">
      <alignment horizontal="center" vertical="center"/>
    </xf>
    <xf numFmtId="0" fontId="35" fillId="6" borderId="0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top" wrapText="1" indent="2"/>
    </xf>
    <xf numFmtId="0" fontId="36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7" borderId="8" applyAlignment="1" pivotButton="0" quotePrefix="0" xfId="0">
      <alignment horizontal="left" vertical="center" wrapText="1" indent="1"/>
    </xf>
    <xf numFmtId="0" fontId="7" fillId="7" borderId="11" applyAlignment="1" pivotButton="0" quotePrefix="0" xfId="0">
      <alignment horizontal="left" vertical="center" wrapText="1" indent="1"/>
    </xf>
    <xf numFmtId="0" fontId="7" fillId="7" borderId="19" applyAlignment="1" pivotButton="0" quotePrefix="0" xfId="0">
      <alignment horizontal="left" vertical="center" wrapText="1" indent="1"/>
    </xf>
    <xf numFmtId="0" fontId="37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TEXT((COUNTA('Property'!B8:B15) + COUNTA('Arrival'!B8:B14) + COUNTA('WiFi + Tech'!B8:B15) + COUNTA('House Rules'!B8:B14) + COUNTA('Local Guide'!B10:E29) + COUNTA('Trash'!B8:B14) + COUNTA('Departure'!B8,'Departure'!B10:B13,'Departure'!B16) + COUNTA('Emergency'!B8:B16))/132,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IF(COUNTA('Property'!B8:B15)=8,"✅ Done",IF(COUNTA('Property'!B8:B15)=0,"⏳ Empty","⏳ "&amp;COUNTA('Property'!B8:B15)&amp;"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IF(COUNTA('Arrival'!B8:B14)=7,"✅ Done",IF(COUNTA('Arrival'!B8:B14)=0,"⏳ Empty","⏳ "&amp;COUNTA('Arrival'!B8:B14)&amp;"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Tech'!B8:B15)=8,"✅ Done",IF(COUNTA('WiFi + Tech'!B8:B15)=0,"⏳ Empty","⏳ "&amp;COUNTA('WiFi + Tech'!B8:B15)&amp;"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Rules'!B8:B14)=7,"✅ Done",IF(COUNTA('House Rules'!B8:B14)=0,"⏳ Empty","⏳ "&amp;COUNTA('House Rules'!B8:B14)&amp;"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Guide'!B10:E29)=80,"✅ Done",IF(COUNTA('Local Guide'!B10:E29)=0,"⏳ Empty","⏳ "&amp;COUNTA('Local Guide'!B10:E29)&amp;"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IF(COUNTA('Trash'!B8:B14)=7,"✅ Done",IF(COUNTA('Trash'!B8:B14)=0,"⏳ Empty","⏳ "&amp;COUNTA('Trash'!B8:B14)&amp;"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IF(COUNTA('Departure'!B8,'Departure'!B10:B13,'Departure'!B16)=6,"✅ Done",IF(COUNTA('Departure'!B8,'Departure'!B10:B13,'Departure'!B16)=0,"⏳ Empty","⏳ "&amp;COUNTA('Departure'!B8,'Departure'!B10:B13,'Departure'!B16)&amp;"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IF(COUNTA('Emergency'!B8:B16)=9,"✅ Done",IF(COUNTA('Emergency'!B8:B16)=0,"⏳ Empty","⏳ "&amp;COUNTA('Emergency'!B8:B16)&amp;"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PROPERTY INFO</t>
        </is>
      </c>
    </row>
    <row r="8" ht="24" customHeight="1">
      <c r="A8" s="30" t="inlineStr">
        <is>
          <t>Property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Host first name: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Host phone (text preferred):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Check-in date: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Check-out date: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Property type: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4" t="inlineStr">
        <is>
          <t>Max guests: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37" t="inlineStr">
        <is>
          <t>Full address:</t>
        </is>
      </c>
      <c r="B15" s="38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40" t="n"/>
    </row>
    <row r="16" ht="24" customHeight="1">
      <c r="A16" s="41" t="inlineStr">
        <is>
          <t>First time? Go to Start → Quick Start for the 5-minute path.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HYPERLINK("#'Start'!A1", "← Back: Start")</f>
        <v/>
      </c>
      <c r="B18" s="46" t="n"/>
      <c r="C18" s="46" t="n"/>
      <c r="D18" s="46" t="n"/>
      <c r="E18" s="46" t="n"/>
      <c r="F18" s="46" t="n"/>
      <c r="G18" s="45">
        <f>HYPERLINK("#'Arrival'!A5", "Next: Arrival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A16:L16"/>
    <mergeCell ref="J2:L2"/>
    <mergeCell ref="D2:I2"/>
    <mergeCell ref="A7:L7"/>
    <mergeCell ref="B12:L12"/>
    <mergeCell ref="B13:L13"/>
    <mergeCell ref="A18:F19"/>
    <mergeCell ref="G18:L19"/>
    <mergeCell ref="B15:L15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13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ARRIVAL &amp; CHECK-IN</t>
        </is>
      </c>
    </row>
    <row r="8" ht="36" customHeight="1">
      <c r="A8" s="30" t="inlineStr">
        <is>
          <t>Full address: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Entry method: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Door/lock code: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4" t="inlineStr">
        <is>
          <t>Parking instructions: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Best route (if tricky):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Arrival time window: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34" t="inlineStr">
        <is>
          <t>If you arrive early: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1. Crank the thermostat to your comfort — WiFi tab has controls.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7" t="inlineStr">
        <is>
          <t>2. Connect to WiFi — network + password on the WiFi tab.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7" t="inlineStr">
        <is>
          <t>3. Check the fridge for welcome items.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4. If anything's broken, text the host immediately.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HYPERLINK("#'Property'!A5", "← Back: Property")</f>
        <v/>
      </c>
      <c r="B20" s="46" t="n"/>
      <c r="C20" s="46" t="n"/>
      <c r="D20" s="46" t="n"/>
      <c r="E20" s="46" t="n"/>
      <c r="F20" s="46" t="n"/>
      <c r="G20" s="45">
        <f>HYPERLINK("#'WiFi + Tech'!A5", "Next: WiFi + Tech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A16:L16"/>
    <mergeCell ref="D2:I2"/>
    <mergeCell ref="A7:L7"/>
    <mergeCell ref="A18:L18"/>
    <mergeCell ref="A2:C2"/>
    <mergeCell ref="B12:L12"/>
    <mergeCell ref="A5:L5"/>
    <mergeCell ref="B11:L11"/>
    <mergeCell ref="A17:L17"/>
    <mergeCell ref="B14:L14"/>
    <mergeCell ref="A4:L4"/>
    <mergeCell ref="B8:L8"/>
    <mergeCell ref="J2:L2"/>
    <mergeCell ref="B13:L13"/>
    <mergeCell ref="B10:L10"/>
    <mergeCell ref="B9:L9"/>
    <mergeCell ref="A15:L15"/>
    <mergeCell ref="G20:L21"/>
    <mergeCell ref="A6:L6"/>
    <mergeCell ref="A20:F21"/>
  </mergeCells>
  <dataValidations count="1">
    <dataValidation sqref="B9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WIFI &amp; TECHNOLOGY</t>
        </is>
      </c>
    </row>
    <row r="8" ht="24" customHeight="1">
      <c r="A8" s="30" t="inlineStr">
        <is>
          <t>WiFi network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WiFi password: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Backup network (if any):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TV streaming — service + login: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How to adjust TV volume/inputs: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Smart lock code (if different):</t>
        </is>
      </c>
      <c r="B13" s="38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Smart thermostat notes: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36" customHeight="1">
      <c r="A15" s="48" t="inlineStr">
        <is>
          <t>Who to call if WiFi fails:</t>
        </is>
      </c>
      <c r="B15" s="49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3" t="n"/>
    </row>
    <row r="16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</row>
    <row r="17" ht="22" customHeight="1">
      <c r="A17" s="45">
        <f>HYPERLINK("#'Arrival'!A5", "← Back: Arrival")</f>
        <v/>
      </c>
      <c r="B17" s="46" t="n"/>
      <c r="C17" s="46" t="n"/>
      <c r="D17" s="46" t="n"/>
      <c r="E17" s="46" t="n"/>
      <c r="F17" s="46" t="n"/>
      <c r="G17" s="45">
        <f>HYPERLINK("#'House Rules'!A5", "Next: House Rules →")</f>
        <v/>
      </c>
      <c r="H17" s="46" t="n"/>
      <c r="I17" s="46" t="n"/>
      <c r="J17" s="46" t="n"/>
      <c r="K17" s="46" t="n"/>
      <c r="L17" s="46" t="n"/>
    </row>
    <row r="18" ht="22" customHeight="1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</row>
  </sheetData>
  <mergeCells count="17">
    <mergeCell ref="J2:L2"/>
    <mergeCell ref="D2:I2"/>
    <mergeCell ref="A7:L7"/>
    <mergeCell ref="B12:L12"/>
    <mergeCell ref="B13:L13"/>
    <mergeCell ref="B15:L15"/>
    <mergeCell ref="B9:L9"/>
    <mergeCell ref="A5:L5"/>
    <mergeCell ref="B11:L11"/>
    <mergeCell ref="A17:F18"/>
    <mergeCell ref="A6:L6"/>
    <mergeCell ref="B10:L10"/>
    <mergeCell ref="G17:L18"/>
    <mergeCell ref="B14:L14"/>
    <mergeCell ref="A2:C2"/>
    <mergeCell ref="A4:L4"/>
    <mergeCell ref="B8:L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HOUSE RULES</t>
        </is>
      </c>
    </row>
    <row r="8" ht="24" customHeight="1">
      <c r="A8" s="30" t="inlineStr">
        <is>
          <t>Quiet hours: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Maximum guests: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Smoking: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Pets: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Events/parties: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Shoes inside: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90" customHeight="1">
      <c r="A14" s="50" t="inlineStr">
        <is>
          <t>Your rules (one per line):</t>
        </is>
      </c>
      <c r="B14" s="51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HYPERLINK("#'WiFi + Tech'!A5", "← Back: WiFi + Tech")</f>
        <v/>
      </c>
      <c r="B16" s="46" t="n"/>
      <c r="C16" s="46" t="n"/>
      <c r="D16" s="46" t="n"/>
      <c r="E16" s="46" t="n"/>
      <c r="F16" s="46" t="n"/>
      <c r="G16" s="45">
        <f>HYPERLINK("#'Local Guide'!A5", "Next: Local Guide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4">
    <dataValidation sqref="B10" showDropDown="0" showInputMessage="0" showErrorMessage="0" allowBlank="1" type="list">
      <formula1>"No smoking,No smoking inside,Smoking OK in designated area"</formula1>
    </dataValidation>
    <dataValidation sqref="B11" showDropDown="0" showInputMessage="0" showErrorMessage="0" allowBlank="1" type="list">
      <formula1>"No pets,Pets OK with deposit,Pets OK no deposit"</formula1>
    </dataValidation>
    <dataValidation sqref="B12" showDropDown="0" showInputMessage="0" showErrorMessage="0" allowBlank="1" type="list">
      <formula1>"No events,Small gatherings OK with notice,OK"</formula1>
    </dataValidation>
    <dataValidation sqref="B13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4" t="inlineStr">
        <is>
          <t>Category</t>
        </is>
      </c>
      <c r="B9" s="54" t="inlineStr">
        <is>
          <t>Name</t>
        </is>
      </c>
      <c r="C9" s="54" t="inlineStr">
        <is>
          <t>Distance</t>
        </is>
      </c>
      <c r="D9" s="54" t="inlineStr">
        <is>
          <t>Phone</t>
        </is>
      </c>
      <c r="E9" s="54" t="inlineStr">
        <is>
          <t>Why we love it</t>
        </is>
      </c>
    </row>
    <row r="10" ht="28" customHeight="1">
      <c r="A10" s="55" t="inlineStr">
        <is>
          <t>Coffee</t>
        </is>
      </c>
      <c r="B10" s="56" t="inlineStr"/>
      <c r="C10" s="56" t="inlineStr"/>
      <c r="D10" s="56" t="inlineStr"/>
      <c r="E10" s="56" t="inlineStr"/>
    </row>
    <row r="11" ht="28" customHeight="1">
      <c r="A11" s="55" t="inlineStr">
        <is>
          <t>Coffee</t>
        </is>
      </c>
      <c r="B11" s="56" t="inlineStr"/>
      <c r="C11" s="56" t="inlineStr"/>
      <c r="D11" s="56" t="inlineStr"/>
      <c r="E11" s="56" t="inlineStr"/>
    </row>
    <row r="12" ht="28" customHeight="1">
      <c r="A12" s="55" t="inlineStr">
        <is>
          <t>Restaurant</t>
        </is>
      </c>
      <c r="B12" s="56" t="inlineStr"/>
      <c r="C12" s="56" t="inlineStr"/>
      <c r="D12" s="56" t="inlineStr"/>
      <c r="E12" s="56" t="inlineStr"/>
    </row>
    <row r="13" ht="28" customHeight="1">
      <c r="A13" s="55" t="inlineStr">
        <is>
          <t>Restaurant</t>
        </is>
      </c>
      <c r="B13" s="56" t="inlineStr"/>
      <c r="C13" s="56" t="inlineStr"/>
      <c r="D13" s="56" t="inlineStr"/>
      <c r="E13" s="56" t="inlineStr"/>
    </row>
    <row r="14" ht="28" customHeight="1">
      <c r="A14" s="55" t="inlineStr">
        <is>
          <t>Restaurant</t>
        </is>
      </c>
      <c r="B14" s="56" t="inlineStr"/>
      <c r="C14" s="56" t="inlineStr"/>
      <c r="D14" s="56" t="inlineStr"/>
      <c r="E14" s="56" t="inlineStr"/>
    </row>
    <row r="15" ht="28" customHeight="1">
      <c r="A15" s="55" t="inlineStr">
        <is>
          <t>Grocery</t>
        </is>
      </c>
      <c r="B15" s="56" t="inlineStr"/>
      <c r="C15" s="56" t="inlineStr"/>
      <c r="D15" s="56" t="inlineStr"/>
      <c r="E15" s="56" t="inlineStr"/>
    </row>
    <row r="16" ht="28" customHeight="1">
      <c r="A16" s="55" t="inlineStr">
        <is>
          <t>Grocery</t>
        </is>
      </c>
      <c r="B16" s="56" t="inlineStr"/>
      <c r="C16" s="56" t="inlineStr"/>
      <c r="D16" s="56" t="inlineStr"/>
      <c r="E16" s="56" t="inlineStr"/>
    </row>
    <row r="17" ht="28" customHeight="1">
      <c r="A17" s="55" t="inlineStr">
        <is>
          <t>Takeout</t>
        </is>
      </c>
      <c r="B17" s="56" t="inlineStr"/>
      <c r="C17" s="56" t="inlineStr"/>
      <c r="D17" s="56" t="inlineStr"/>
      <c r="E17" s="56" t="inlineStr"/>
    </row>
    <row r="18" ht="28" customHeight="1">
      <c r="A18" s="55" t="inlineStr">
        <is>
          <t>Takeout</t>
        </is>
      </c>
      <c r="B18" s="56" t="inlineStr"/>
      <c r="C18" s="56" t="inlineStr"/>
      <c r="D18" s="56" t="inlineStr"/>
      <c r="E18" s="56" t="inlineStr"/>
    </row>
    <row r="19" ht="28" customHeight="1">
      <c r="A19" s="55" t="inlineStr">
        <is>
          <t>Pharmacy</t>
        </is>
      </c>
      <c r="B19" s="56" t="inlineStr"/>
      <c r="C19" s="56" t="inlineStr"/>
      <c r="D19" s="56" t="inlineStr"/>
      <c r="E19" s="56" t="inlineStr"/>
    </row>
    <row r="20" ht="28" customHeight="1">
      <c r="A20" s="55" t="inlineStr">
        <is>
          <t>Gas station</t>
        </is>
      </c>
      <c r="B20" s="56" t="inlineStr"/>
      <c r="C20" s="56" t="inlineStr"/>
      <c r="D20" s="56" t="inlineStr"/>
      <c r="E20" s="56" t="inlineStr"/>
    </row>
    <row r="21" ht="28" customHeight="1">
      <c r="A21" s="55" t="inlineStr">
        <is>
          <t>Hospital/Urgent care</t>
        </is>
      </c>
      <c r="B21" s="56" t="inlineStr"/>
      <c r="C21" s="56" t="inlineStr"/>
      <c r="D21" s="56" t="inlineStr"/>
      <c r="E21" s="56" t="inlineStr"/>
    </row>
    <row r="22" ht="28" customHeight="1">
      <c r="A22" s="55" t="inlineStr">
        <is>
          <t>Coffee alt</t>
        </is>
      </c>
      <c r="B22" s="56" t="inlineStr"/>
      <c r="C22" s="56" t="inlineStr"/>
      <c r="D22" s="56" t="inlineStr"/>
      <c r="E22" s="56" t="inlineStr"/>
    </row>
    <row r="23" ht="28" customHeight="1">
      <c r="A23" s="55" t="inlineStr">
        <is>
          <t>Outdoor/Hike</t>
        </is>
      </c>
      <c r="B23" s="56" t="inlineStr"/>
      <c r="C23" s="56" t="inlineStr"/>
      <c r="D23" s="56" t="inlineStr"/>
      <c r="E23" s="56" t="inlineStr"/>
    </row>
    <row r="24" ht="28" customHeight="1">
      <c r="A24" s="55" t="inlineStr">
        <is>
          <t>Outdoor/Hike</t>
        </is>
      </c>
      <c r="B24" s="56" t="inlineStr"/>
      <c r="C24" s="56" t="inlineStr"/>
      <c r="D24" s="56" t="inlineStr"/>
      <c r="E24" s="56" t="inlineStr"/>
    </row>
    <row r="25" ht="28" customHeight="1">
      <c r="A25" s="55" t="inlineStr">
        <is>
          <t>Kid-friendly</t>
        </is>
      </c>
      <c r="B25" s="56" t="inlineStr"/>
      <c r="C25" s="56" t="inlineStr"/>
      <c r="D25" s="56" t="inlineStr"/>
      <c r="E25" s="56" t="inlineStr"/>
    </row>
    <row r="26" ht="28" customHeight="1">
      <c r="A26" s="55" t="inlineStr">
        <is>
          <t>Kid-friendly</t>
        </is>
      </c>
      <c r="B26" s="56" t="inlineStr"/>
      <c r="C26" s="56" t="inlineStr"/>
      <c r="D26" s="56" t="inlineStr"/>
      <c r="E26" s="56" t="inlineStr"/>
    </row>
    <row r="27" ht="28" customHeight="1">
      <c r="A27" s="55" t="inlineStr">
        <is>
          <t>Date night</t>
        </is>
      </c>
      <c r="B27" s="56" t="inlineStr"/>
      <c r="C27" s="56" t="inlineStr"/>
      <c r="D27" s="56" t="inlineStr"/>
      <c r="E27" s="56" t="inlineStr"/>
    </row>
    <row r="28" ht="28" customHeight="1">
      <c r="A28" s="55" t="inlineStr">
        <is>
          <t>Bar/Nightlife</t>
        </is>
      </c>
      <c r="B28" s="56" t="inlineStr"/>
      <c r="C28" s="56" t="inlineStr"/>
      <c r="D28" s="56" t="inlineStr"/>
      <c r="E28" s="56" t="inlineStr"/>
    </row>
    <row r="29" ht="28" customHeight="1">
      <c r="A29" s="55" t="inlineStr">
        <is>
          <t>Emergency (non-911)</t>
        </is>
      </c>
      <c r="B29" s="56" t="inlineStr"/>
      <c r="C29" s="56" t="inlineStr"/>
      <c r="D29" s="56" t="inlineStr"/>
      <c r="E29" s="56" t="inlineStr"/>
    </row>
    <row r="31" ht="22" customHeight="1">
      <c r="A31" s="45">
        <f>HYPERLINK("#'House Rules'!A5", "← Back: House Rules")</f>
        <v/>
      </c>
      <c r="B31" s="46" t="n"/>
      <c r="C31" s="46" t="n"/>
      <c r="D31" s="46" t="n"/>
      <c r="E31" s="46" t="n"/>
      <c r="F31" s="46" t="n"/>
      <c r="G31" s="45">
        <f>HYPERLINK("#'Trash'!A5", "Next: Trash →")</f>
        <v/>
      </c>
      <c r="H31" s="46" t="n"/>
      <c r="I31" s="46" t="n"/>
      <c r="J31" s="46" t="n"/>
      <c r="K31" s="46" t="n"/>
      <c r="L31" s="46" t="n"/>
    </row>
    <row r="32" ht="22" customHeight="1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TRASH, RECYCLING &amp; MAINTENANCE</t>
        </is>
      </c>
    </row>
    <row r="8" ht="30" customHeight="1">
      <c r="A8" s="30" t="inlineStr">
        <is>
          <t>Trash pickup day: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0" customHeight="1">
      <c r="A9" s="34" t="inlineStr">
        <is>
          <t>Bin location: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0" customHeight="1">
      <c r="A10" s="34" t="inlineStr">
        <is>
          <t>Recycling accepted: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0" customHeight="1">
      <c r="A11" s="34" t="inlineStr">
        <is>
          <t>What goes in which bin: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Where to put bins on pickup morning: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HVAC/thermostat range to leave: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48" t="inlineStr">
        <is>
          <t>If the power goes out:</t>
        </is>
      </c>
      <c r="B14" s="49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HYPERLINK("#'Local Guide'!A5", "← Back: Local Guide")</f>
        <v/>
      </c>
      <c r="B16" s="46" t="n"/>
      <c r="C16" s="46" t="n"/>
      <c r="D16" s="46" t="n"/>
      <c r="E16" s="46" t="n"/>
      <c r="F16" s="46" t="n"/>
      <c r="G16" s="45">
        <f>HYPERLINK("#'Departure'!A5", "Next: Departure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8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CHECKOUT</t>
        </is>
      </c>
    </row>
    <row r="8" ht="24" customHeight="1">
      <c r="A8" s="30" t="inlineStr">
        <is>
          <t>Checkout time: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Checkout day:</t>
        </is>
      </c>
      <c r="B9" s="57">
        <f>IF(Property!B11&lt;&gt;"", TEXT(Property!B11,"dddd, mmmm d"), "See Property tab")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☐ Strip bed linens and leave in: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☐ Take trash + recycling to: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☐ Turn thermostat to: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☐ Leave key: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47" t="inlineStr">
        <is>
          <t>☐ Run the dishwasher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☐ Lock all doors + windows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60" customHeight="1">
      <c r="A16" s="50" t="inlineStr">
        <is>
          <t>Your tasks (one per line):</t>
        </is>
      </c>
      <c r="B16" s="51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HYPERLINK("#'Trash'!A5", "← Back: Trash")</f>
        <v/>
      </c>
      <c r="B18" s="46" t="n"/>
      <c r="C18" s="46" t="n"/>
      <c r="D18" s="46" t="n"/>
      <c r="E18" s="46" t="n"/>
      <c r="F18" s="46" t="n"/>
      <c r="G18" s="45">
        <f>HYPERLINK("#'Emergency'!A5", "Next: Emergency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J2:L2"/>
    <mergeCell ref="D2:I2"/>
    <mergeCell ref="A7:L7"/>
    <mergeCell ref="B12:L12"/>
    <mergeCell ref="B13:L13"/>
    <mergeCell ref="A15:L15"/>
    <mergeCell ref="B16:L16"/>
    <mergeCell ref="A18:F19"/>
    <mergeCell ref="B9:L9"/>
    <mergeCell ref="A5:L5"/>
    <mergeCell ref="B11:L11"/>
    <mergeCell ref="G18:L19"/>
    <mergeCell ref="A14:L14"/>
    <mergeCell ref="A6:L6"/>
    <mergeCell ref="B10:L10"/>
    <mergeCell ref="A2:C2"/>
    <mergeCell ref="A4:L4"/>
    <mergeCell ref="B8:L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HYPERLINK("#'Launch'!A1", "LAUNCH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22" customHeight="1">
      <c r="A6" s="28" t="inlineStr">
        <is>
          <t>911 first. Then the contacts below.</t>
        </is>
      </c>
    </row>
    <row r="7" ht="42" customHeight="1">
      <c r="A7" s="58" t="inlineStr">
        <is>
          <t>IN AN EMERGENCY — CALL 911</t>
        </is>
      </c>
    </row>
    <row r="8" ht="24" customHeight="1">
      <c r="A8" s="30" t="inlineStr">
        <is>
          <t>Nearest hospital: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Hospital phone: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Hospital address: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Urgent care: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Urgent care phone: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Non-emergency police: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7" t="inlineStr">
        <is>
          <t>Poison control:</t>
        </is>
      </c>
      <c r="B14" s="59" t="inlineStr">
        <is>
          <t>1-800-222-1222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40" t="n"/>
    </row>
    <row r="15" ht="24" customHeight="1">
      <c r="A15" s="34" t="inlineStr">
        <is>
          <t>24-hr vet (if pets):</t>
        </is>
      </c>
      <c r="B15" s="35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Utility outage reporting:</t>
        </is>
      </c>
      <c r="B16" s="35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8" t="inlineStr">
        <is>
          <t>Host phone (call/text):</t>
        </is>
      </c>
      <c r="B17" s="60">
        <f>Property!B10</f>
        <v/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3" t="n"/>
    </row>
    <row r="19" ht="22" customHeight="1">
      <c r="A19" s="45">
        <f>HYPERLINK("#'Departure'!A5", "← Back: Departure")</f>
        <v/>
      </c>
      <c r="B19" s="46" t="n"/>
      <c r="C19" s="46" t="n"/>
      <c r="D19" s="46" t="n"/>
      <c r="E19" s="46" t="n"/>
      <c r="F19" s="46" t="n"/>
      <c r="G19" s="24">
        <f>HYPERLINK("#'Launch'!A1", "Launch →")</f>
        <v/>
      </c>
      <c r="H19" s="25" t="n"/>
      <c r="I19" s="25" t="n"/>
      <c r="J19" s="25" t="n"/>
      <c r="K19" s="25" t="n"/>
      <c r="L19" s="25" t="n"/>
    </row>
    <row r="20" ht="22" customHeight="1">
      <c r="A20" s="46" t="n"/>
      <c r="B20" s="46" t="n"/>
      <c r="C20" s="46" t="n"/>
      <c r="D20" s="46" t="n"/>
      <c r="E20" s="46" t="n"/>
      <c r="F20" s="46" t="n"/>
      <c r="G20" s="25" t="n"/>
      <c r="H20" s="25" t="n"/>
      <c r="I20" s="25" t="n"/>
      <c r="J20" s="25" t="n"/>
      <c r="K20" s="25" t="n"/>
      <c r="L20" s="25" t="n"/>
    </row>
  </sheetData>
  <mergeCells count="19">
    <mergeCell ref="D2:I2"/>
    <mergeCell ref="A7:L7"/>
    <mergeCell ref="A19:F20"/>
    <mergeCell ref="B16:L16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G19:L20"/>
    <mergeCell ref="B10:L10"/>
    <mergeCell ref="B9:L9"/>
    <mergeCell ref="B15:L15"/>
    <mergeCell ref="A6:L6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BACK: Emergency")</f>
        <v/>
      </c>
      <c r="B2" s="14" t="n"/>
      <c r="C2" s="14" t="n"/>
      <c r="D2" s="61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2" t="inlineStr">
        <is>
          <t>Your welcome book is ready</t>
        </is>
      </c>
    </row>
    <row r="5" ht="20" customHeight="1">
      <c r="A5" s="27" t="inlineStr">
        <is>
          <t>Open it in the renderer, then save as PDF.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3" t="inlineStr">
        <is>
          <t>COMPLETION</t>
        </is>
      </c>
      <c r="B9" s="64" t="n"/>
      <c r="C9" s="64" t="n"/>
      <c r="D9" s="65" t="n"/>
      <c r="E9" s="66" t="inlineStr">
        <is>
          <t>RED FLAGS</t>
        </is>
      </c>
      <c r="F9" s="64" t="n"/>
      <c r="G9" s="64" t="n"/>
      <c r="H9" s="65" t="n"/>
      <c r="I9" s="63" t="inlineStr">
        <is>
          <t>STATUS</t>
        </is>
      </c>
      <c r="J9" s="64" t="n"/>
      <c r="K9" s="64" t="n"/>
      <c r="L9" s="65" t="n"/>
    </row>
    <row r="10">
      <c r="A10" s="67">
        <f>TEXT((COUNTA('Property'!B8:B15) + COUNTA('Arrival'!B8:B14) + COUNTA('WiFi + Tech'!B8:B15) + COUNTA('House Rules'!B8:B14) + COUNTA('Local Guide'!B10:E29) + COUNTA('Trash'!B8:B14) + COUNTA('Departure'!B8:B13) + COUNTA('Emergency'!B8:B16))/132, "0%")</f>
        <v/>
      </c>
      <c r="B10" s="68" t="n"/>
      <c r="C10" s="68" t="n"/>
      <c r="D10" s="69" t="n"/>
      <c r="E10" s="70">
        <f>IF('Property'!B8="",1,0) + IF('Property'!B9="",1,0) + IF('Property'!B10="",1,0) + IF('WiFi + Tech'!B8="",1,0) + IF('WiFi + Tech'!B9="",1,0) + IF('Trash'!B8="",1,0) + IF('Departure'!B8="",1,0) + IF('Emergency'!B8="",1,0) + IF('Emergency'!B9="",1,0) + IF('Emergency'!B11="",1,0)</f>
        <v/>
      </c>
      <c r="F10" s="68" t="n"/>
      <c r="G10" s="68" t="n"/>
      <c r="H10" s="69" t="n"/>
      <c r="I10" s="71">
        <f>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IF('Emergency'!B11="",1,0))=0,"READY",IF((IF('Property'!B8="",1,0)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IF('Emergency'!B11="",1,0))&lt;=2,"MINOR","NEEDS WORK"))</f>
        <v/>
      </c>
      <c r="J10" s="68" t="n"/>
      <c r="K10" s="68" t="n"/>
      <c r="L10" s="69" t="n"/>
    </row>
    <row r="11">
      <c r="A11" s="72" t="n"/>
      <c r="B11" s="68" t="n"/>
      <c r="C11" s="68" t="n"/>
      <c r="D11" s="69" t="n"/>
      <c r="E11" s="72" t="n"/>
      <c r="F11" s="68" t="n"/>
      <c r="G11" s="68" t="n"/>
      <c r="H11" s="69" t="n"/>
      <c r="I11" s="72" t="n"/>
      <c r="J11" s="68" t="n"/>
      <c r="K11" s="68" t="n"/>
      <c r="L11" s="69" t="n"/>
    </row>
    <row r="12">
      <c r="A12" s="73" t="inlineStr">
        <is>
          <t>of 132 fields filled</t>
        </is>
      </c>
      <c r="B12" s="74" t="n"/>
      <c r="C12" s="74" t="n"/>
      <c r="D12" s="75" t="n"/>
      <c r="E12" s="73" t="inlineStr">
        <is>
          <t>required fields empty</t>
        </is>
      </c>
      <c r="F12" s="74" t="n"/>
      <c r="G12" s="74" t="n"/>
      <c r="H12" s="75" t="n"/>
      <c r="I12" s="73" t="inlineStr">
        <is>
          <t>0 = green · 1-2 = yellow · 3+ = red</t>
        </is>
      </c>
      <c r="J12" s="74" t="n"/>
      <c r="K12" s="74" t="n"/>
      <c r="L12" s="7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HYPERLINK("welcome-book-renderer.html", "📘  OPEN YOUR WELCOME BOOK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18" customHeight="1">
      <c r="A22" s="76" t="inlineStr">
        <is>
          <t>Drag this xlsx onto the page that opens. Pick your theme, palette, and logo. Ctrl+P to save as PDF.</t>
        </is>
      </c>
    </row>
  </sheetData>
  <mergeCells count="15">
    <mergeCell ref="D2:L2"/>
    <mergeCell ref="A16:L21"/>
    <mergeCell ref="A9:D9"/>
    <mergeCell ref="E9:H9"/>
    <mergeCell ref="I9:L9"/>
    <mergeCell ref="A12:D12"/>
    <mergeCell ref="E12:H12"/>
    <mergeCell ref="A5:L5"/>
    <mergeCell ref="I12:L12"/>
    <mergeCell ref="E10:H11"/>
    <mergeCell ref="A22:L22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77" t="n"/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 ht="28" customHeight="1">
      <c r="A2" s="45">
        <f>HYPERLINK("#'Launch'!A1", "← BACK")</f>
        <v/>
      </c>
      <c r="B2" s="46" t="n"/>
      <c r="C2" s="46" t="n"/>
      <c r="D2" s="78" t="inlineStr">
        <is>
          <t>BONUS</t>
        </is>
      </c>
    </row>
    <row r="3">
      <c r="A3" s="77" t="n"/>
      <c r="B3" s="77" t="n"/>
      <c r="C3" s="77" t="n"/>
      <c r="D3" s="77" t="n"/>
      <c r="E3" s="77" t="n"/>
      <c r="F3" s="77" t="n"/>
      <c r="G3" s="77" t="n"/>
      <c r="H3" s="77" t="n"/>
      <c r="I3" s="77" t="n"/>
      <c r="J3" s="77" t="n"/>
      <c r="K3" s="77" t="n"/>
      <c r="L3" s="77" t="n"/>
    </row>
    <row r="4" ht="36" customHeight="1">
      <c r="A4" s="79" t="inlineStr">
        <is>
          <t>Bonus — Airbnb Listing Copy</t>
        </is>
      </c>
    </row>
    <row r="5" ht="20" customHeight="1">
      <c r="A5" s="80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81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3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81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3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81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3" t="n"/>
    </row>
    <row r="18" ht="22" customHeight="1">
      <c r="A18" s="45">
        <f>HYPERLINK("#'Launch'!A1", "← Back: Launch")</f>
        <v/>
      </c>
      <c r="B18" s="46" t="n"/>
      <c r="C18" s="46" t="n"/>
      <c r="D18" s="46" t="n"/>
      <c r="E18" s="46" t="n"/>
      <c r="F18" s="46" t="n"/>
      <c r="G18" s="45">
        <f>HYPERLINK("#'× Host Notes'!A1", "Host Notes (private)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8" t="inlineStr">
        <is>
          <t>⚠  PRIVATE — HIDE BEFORE SHARING</t>
        </is>
      </c>
    </row>
    <row r="2" ht="30" customHeight="1"/>
    <row r="3" ht="22" customHeight="1">
      <c r="A3" s="82" t="inlineStr">
        <is>
          <t>Right-click this tab → 'Hide' before saving the workbook as a PDF or sharing with guests.</t>
        </is>
      </c>
    </row>
    <row r="4" ht="18" customHeight="1">
      <c r="A4" s="83" t="inlineStr">
        <is>
          <t>This tab's Print Area is deliberately set to A1:A1 so if you accidentally print it, you get a near-empty page, not your private notes.</t>
        </is>
      </c>
    </row>
    <row r="5">
      <c r="A5" s="84" t="n"/>
      <c r="B5" s="84" t="n"/>
      <c r="C5" s="84" t="n"/>
      <c r="D5" s="84" t="n"/>
      <c r="E5" s="84" t="n"/>
      <c r="F5" s="84" t="n"/>
      <c r="G5" s="84" t="n"/>
      <c r="H5" s="84" t="n"/>
      <c r="I5" s="84" t="n"/>
      <c r="J5" s="84" t="n"/>
      <c r="K5" s="84" t="n"/>
      <c r="L5" s="84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2" t="n"/>
      <c r="C8" s="32" t="n"/>
      <c r="D8" s="85" t="inlineStr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Cleaner phone:</t>
        </is>
      </c>
      <c r="B9" s="6" t="n"/>
      <c r="C9" s="6" t="n"/>
      <c r="D9" s="56" t="inlineStr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Handyman:</t>
        </is>
      </c>
      <c r="B10" s="6" t="n"/>
      <c r="C10" s="6" t="n"/>
      <c r="D10" s="56" t="inlineStr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48" t="inlineStr">
        <is>
          <t>Plumber:</t>
        </is>
      </c>
      <c r="B11" s="42" t="n"/>
      <c r="C11" s="42" t="n"/>
      <c r="D11" s="86" t="inlineStr"/>
      <c r="E11" s="42" t="n"/>
      <c r="F11" s="42" t="n"/>
      <c r="G11" s="42" t="n"/>
      <c r="H11" s="42" t="n"/>
      <c r="I11" s="42" t="n"/>
      <c r="J11" s="42" t="n"/>
      <c r="K11" s="42" t="n"/>
      <c r="L11" s="43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2" t="n"/>
      <c r="C14" s="32" t="n"/>
      <c r="D14" s="85" t="inlineStr"/>
      <c r="E14" s="32" t="n"/>
      <c r="F14" s="32" t="n"/>
      <c r="G14" s="32" t="n"/>
      <c r="H14" s="32" t="n"/>
      <c r="I14" s="32" t="n"/>
      <c r="J14" s="32" t="n"/>
      <c r="K14" s="32" t="n"/>
      <c r="L14" s="33" t="n"/>
    </row>
    <row r="15" ht="24" customHeight="1">
      <c r="A15" s="34" t="inlineStr">
        <is>
          <t>Insurance policy #:</t>
        </is>
      </c>
      <c r="B15" s="6" t="n"/>
      <c r="C15" s="6" t="n"/>
      <c r="D15" s="56" t="inlineStr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WiFi admin password (router):</t>
        </is>
      </c>
      <c r="B16" s="6" t="n"/>
      <c r="C16" s="6" t="n"/>
      <c r="D16" s="56" t="inlineStr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34" t="inlineStr">
        <is>
          <t>Smart lock master code:</t>
        </is>
      </c>
      <c r="B17" s="6" t="n"/>
      <c r="C17" s="6" t="n"/>
      <c r="D17" s="56" t="inlineStr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8" t="inlineStr">
        <is>
          <t>Passcodes for safes/boxes:</t>
        </is>
      </c>
      <c r="B18" s="42" t="n"/>
      <c r="C18" s="42" t="n"/>
      <c r="D18" s="86" t="inlineStr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24" customHeight="1">
      <c r="A21" s="50" t="inlineStr">
        <is>
          <t>Things to NOT tell the guest:</t>
        </is>
      </c>
      <c r="B21" s="52" t="n"/>
      <c r="C21" s="52" t="n"/>
      <c r="D21" s="87" t="inlineStr"/>
      <c r="E21" s="52" t="n"/>
      <c r="F21" s="52" t="n"/>
      <c r="G21" s="52" t="n"/>
      <c r="H21" s="52" t="n"/>
      <c r="I21" s="52" t="n"/>
      <c r="J21" s="52" t="n"/>
      <c r="K21" s="52" t="n"/>
      <c r="L21" s="53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88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2026-04-24T22:30:04Z</dcterms:created>
  <dcterms:modified xmlns:dcterms="http://purl.org/dc/terms/" xmlns:xsi="http://www.w3.org/2001/XMLSchema-instance" xsi:type="dcterms:W3CDTF">2026-04-24T22:30:04Z</dcterms:modified>
</cp:coreProperties>
</file>