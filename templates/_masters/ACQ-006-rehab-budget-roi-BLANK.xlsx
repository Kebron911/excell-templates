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Budget Detail" sheetId="2" state="visible" r:id="rId2"/>
    <sheet xmlns:r="http://schemas.openxmlformats.org/officeDocument/2006/relationships" name="Cost Allocation" sheetId="3" state="visible" r:id="rId3"/>
    <sheet xmlns:r="http://schemas.openxmlformats.org/officeDocument/2006/relationships" name="ROI Projection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'Start'!$A$1:$L$36</definedName>
    <definedName name="_xlnm.Print_Titles" localSheetId="1">'Budget Detail'!$1:$5</definedName>
    <definedName name="_xlnm.Print_Area" localSheetId="1">'Budget Detail'!$A$1:$K$106</definedName>
    <definedName name="_xlnm.Print_Titles" localSheetId="2">'Cost Allocation'!$1:$5</definedName>
    <definedName name="_xlnm.Print_Area" localSheetId="2">'Cost Allocation'!$A$1:$L$28</definedName>
    <definedName name="_xlnm.Print_Area" localSheetId="3">'ROI Projection'!$A$1:$L$31</definedName>
    <definedName name="_xlnm.Print_Area" localSheetId="4">'Settings'!$A$1:$F$30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;[Red]&quot;-$&quot;#,##0"/>
    <numFmt numFmtId="167" formatCode="0.0"/>
    <numFmt numFmtId="168" formatCode="yyyy-mm-dd"/>
  </numFmts>
  <fonts count="3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onsolas"/>
      <b val="1"/>
      <color rgb="0012304E"/>
      <sz val="9"/>
    </font>
    <font>
      <name val="Georgia"/>
      <b val="1"/>
      <color rgb="0012304E"/>
      <sz val="18"/>
    </font>
    <font>
      <name val="Consolas"/>
      <b val="1"/>
      <color rgb="00B5725E"/>
      <sz val="9"/>
    </font>
    <font>
      <name val="Georgia"/>
      <b val="1"/>
      <color rgb="00B5725E"/>
      <sz val="18"/>
    </font>
    <font>
      <name val="Consolas"/>
      <b val="1"/>
      <color rgb="00C9A24B"/>
      <sz val="9"/>
    </font>
    <font>
      <name val="Georgia"/>
      <b val="1"/>
      <color rgb="00C9A24B"/>
      <sz val="18"/>
    </font>
    <font>
      <name val="Calibri"/>
      <i val="1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2B2B2B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onsolas"/>
      <color rgb="006B7280"/>
      <sz val="10"/>
    </font>
    <font>
      <name val="Calibri"/>
      <color rgb="002B2B2B"/>
      <sz val="11"/>
    </font>
    <font>
      <name val="Georgia"/>
      <b val="1"/>
      <color rgb="00F6EFE2"/>
      <sz val="12"/>
    </font>
    <font>
      <name val="Georgia"/>
      <b val="1"/>
      <color rgb="00C9A24B"/>
      <sz val="12"/>
    </font>
    <font>
      <name val="Calibri"/>
      <b val="1"/>
      <color rgb="002B2B2B"/>
      <sz val="11"/>
    </font>
    <font>
      <name val="Georgia"/>
      <b val="1"/>
      <color rgb="00F6EFE2"/>
      <sz val="11"/>
    </font>
    <font>
      <name val="Georgia"/>
      <b val="1"/>
      <color rgb="00C9A24B"/>
      <sz val="11"/>
    </font>
    <font>
      <name val="Calibri"/>
      <i val="1"/>
      <color rgb="002B2B2B"/>
      <sz val="9"/>
    </font>
    <font>
      <name val="Calibri"/>
      <i val="1"/>
      <color rgb="006B7280"/>
      <sz val="9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EFE5D0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5" fontId="9" fillId="3" borderId="0" applyAlignment="1" pivotButton="0" quotePrefix="0" xfId="0">
      <alignment horizontal="center" vertical="center"/>
    </xf>
    <xf numFmtId="165" fontId="1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2" fillId="3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4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5" fillId="5" borderId="0" applyAlignment="1" pivotButton="0" quotePrefix="0" xfId="0">
      <alignment horizontal="left" vertical="center" wrapText="1" indent="2"/>
    </xf>
    <xf numFmtId="0" fontId="16" fillId="4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20" fillId="3" borderId="0" applyAlignment="1" pivotButton="0" quotePrefix="0" xfId="0">
      <alignment horizontal="left" vertical="center" indent="1"/>
    </xf>
    <xf numFmtId="0" fontId="16" fillId="2" borderId="5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left" vertical="center" indent="1"/>
    </xf>
    <xf numFmtId="164" fontId="22" fillId="6" borderId="0" applyAlignment="1" pivotButton="0" quotePrefix="0" xfId="0">
      <alignment horizontal="right" vertical="center" indent="1"/>
    </xf>
    <xf numFmtId="166" fontId="12" fillId="7" borderId="0" applyAlignment="1" pivotButton="0" quotePrefix="0" xfId="0">
      <alignment horizontal="right" vertical="center" indent="1"/>
    </xf>
    <xf numFmtId="165" fontId="12" fillId="7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center" vertical="center"/>
    </xf>
    <xf numFmtId="166" fontId="12" fillId="5" borderId="0" applyAlignment="1" pivotButton="0" quotePrefix="0" xfId="0">
      <alignment horizontal="right" vertical="center" indent="1"/>
    </xf>
    <xf numFmtId="165" fontId="12" fillId="5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right" vertical="center" indent="1"/>
    </xf>
    <xf numFmtId="164" fontId="24" fillId="2" borderId="0" applyAlignment="1" pivotButton="0" quotePrefix="0" xfId="0">
      <alignment horizontal="right" vertical="center" indent="1"/>
    </xf>
    <xf numFmtId="165" fontId="24" fillId="2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64" fontId="12" fillId="7" borderId="0" applyAlignment="1" pivotButton="0" quotePrefix="0" xfId="0">
      <alignment horizontal="right" vertical="center" indent="1"/>
    </xf>
    <xf numFmtId="0" fontId="25" fillId="0" borderId="0" applyAlignment="1" pivotButton="0" quotePrefix="0" xfId="0">
      <alignment horizontal="left" vertical="center" indent="1"/>
    </xf>
    <xf numFmtId="0" fontId="26" fillId="2" borderId="0" applyAlignment="1" pivotButton="0" quotePrefix="0" xfId="0">
      <alignment horizontal="right" vertical="center" indent="1"/>
    </xf>
    <xf numFmtId="164" fontId="27" fillId="2" borderId="0" applyAlignment="1" pivotButton="0" quotePrefix="0" xfId="0">
      <alignment horizontal="right" vertical="center" indent="1"/>
    </xf>
    <xf numFmtId="0" fontId="28" fillId="5" borderId="0" applyAlignment="1" pivotButton="0" quotePrefix="0" xfId="0">
      <alignment horizontal="left" vertical="center" wrapText="1" indent="1"/>
    </xf>
    <xf numFmtId="0" fontId="23" fillId="2" borderId="0" applyAlignment="1" pivotButton="0" quotePrefix="0" xfId="0">
      <alignment horizontal="left" vertical="center" indent="2"/>
    </xf>
    <xf numFmtId="0" fontId="25" fillId="0" borderId="0" applyAlignment="1" pivotButton="0" quotePrefix="0" xfId="0">
      <alignment horizontal="right" vertical="center" indent="1"/>
    </xf>
    <xf numFmtId="164" fontId="22" fillId="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5" fontId="22" fillId="6" borderId="0" applyAlignment="1" pivotButton="0" quotePrefix="0" xfId="0">
      <alignment horizontal="center" vertical="center"/>
    </xf>
    <xf numFmtId="164" fontId="12" fillId="7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right" vertical="center" indent="1"/>
    </xf>
    <xf numFmtId="164" fontId="31" fillId="8" borderId="0" applyAlignment="1" pivotButton="0" quotePrefix="0" xfId="0">
      <alignment horizontal="center" vertical="center"/>
    </xf>
    <xf numFmtId="167" fontId="12" fillId="7" borderId="0" applyAlignment="1" pivotButton="0" quotePrefix="0" xfId="0">
      <alignment horizontal="center" vertical="center"/>
    </xf>
    <xf numFmtId="165" fontId="31" fillId="8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left" vertical="center" wrapText="1" indent="2"/>
    </xf>
    <xf numFmtId="0" fontId="25" fillId="0" borderId="0" applyAlignment="1" pivotButton="0" quotePrefix="0" xfId="0">
      <alignment horizontal="right" vertical="center"/>
    </xf>
    <xf numFmtId="0" fontId="22" fillId="6" borderId="0" applyAlignment="1" pivotButton="0" quotePrefix="0" xfId="0">
      <alignment horizontal="left" vertical="center"/>
    </xf>
    <xf numFmtId="1" fontId="22" fillId="6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indent="1"/>
    </xf>
    <xf numFmtId="168" fontId="22" fillId="6" borderId="0" applyAlignment="1" pivotButton="0" quotePrefix="0" xfId="0">
      <alignment horizontal="left" vertical="center"/>
    </xf>
    <xf numFmtId="165" fontId="22" fillId="6" borderId="0" applyAlignment="1" pivotButton="0" quotePrefix="0" xfId="0">
      <alignment horizontal="left" vertical="center"/>
    </xf>
    <xf numFmtId="164" fontId="12" fillId="7" borderId="0" applyAlignment="1" pivotButton="0" quotePrefix="0" xfId="0">
      <alignment horizontal="right" vertical="center"/>
    </xf>
    <xf numFmtId="0" fontId="14" fillId="0" borderId="0" pivotButton="0" quotePrefix="0" xfId="0"/>
    <xf numFmtId="0" fontId="3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center" vertical="center"/>
    </xf>
    <xf numFmtId="164" fontId="22" fillId="6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Calibri"/>
        <b val="1"/>
        <color rgb="00FFFFFF"/>
        <sz val="11"/>
      </font>
      <fill>
        <patternFill patternType="solid">
          <fgColor rgb="00B91C1C"/>
        </patternFill>
      </fill>
    </dxf>
    <dxf>
      <font>
        <name val="Calibri"/>
        <b val="1"/>
        <color rgb="0012304E"/>
        <sz val="11"/>
      </font>
      <fill>
        <patternFill patternType="solid">
          <fgColor rgb="00E2C884"/>
        </patternFill>
      </fill>
    </dxf>
    <dxf>
      <fill>
        <patternFill patternType="solid">
          <fgColor rgb="00F6EF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Category (Actual)</a:t>
            </a:r>
          </a:p>
        </rich>
      </tx>
    </title>
    <plotArea>
      <pieChart>
        <varyColors val="1"/>
        <ser>
          <idx val="0"/>
          <order val="0"/>
          <tx>
            <strRef>
              <f>'Cost Allocation'!D6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'Cost Allocation'!$B$7:$B$22</f>
            </numRef>
          </cat>
          <val>
            <numRef>
              <f>'Cost Allocation'!$D$7:$D$22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Rehab Budget + ROI</t>
        </is>
      </c>
    </row>
    <row r="5" ht="22" customHeight="1">
      <c r="A5" s="4" t="inlineStr">
        <is>
          <t>Track every line. Project the lift. Know your payback.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ACQ-006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18" customHeight="1">
      <c r="A10" s="6" t="inlineStr">
        <is>
          <t>PROJECT AT A GLANCE</t>
        </is>
      </c>
    </row>
    <row r="11" ht="16" customHeight="1">
      <c r="A11" s="7" t="inlineStr">
        <is>
          <t>BUDGET (EST)</t>
        </is>
      </c>
      <c r="D11" s="7" t="inlineStr">
        <is>
          <t>SPENT (ACTUAL)</t>
        </is>
      </c>
      <c r="G11" s="8" t="inlineStr">
        <is>
          <t>VARIANCE %</t>
        </is>
      </c>
      <c r="J11" s="9" t="inlineStr">
        <is>
          <t>5-YR ROI</t>
        </is>
      </c>
    </row>
    <row r="12" ht="26" customHeight="1">
      <c r="A12" s="10">
        <f>'Cost Allocation'!C26</f>
        <v/>
      </c>
      <c r="D12" s="10">
        <f>'Cost Allocation'!D26</f>
        <v/>
      </c>
      <c r="G12" s="11">
        <f>IFERROR(('Cost Allocation'!D26-'Cost Allocation'!C26)/'Cost Allocation'!C26,0)</f>
        <v/>
      </c>
      <c r="J12" s="12">
        <f>'ROI Projection'!C20</f>
        <v/>
      </c>
    </row>
    <row r="13" ht="18" customHeight="1"/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 ht="16" customHeight="1">
      <c r="A15" s="14" t="inlineStr">
        <is>
          <t>Log every line item — estimate vs actual, contractor, payment status, capex/repair tag. The Cost Allocation tab rolls it up by category and shows where dollars went. ROI Projection turns rehab spend into a year-1 revenue lift and a payback-period number you can defend.</t>
        </is>
      </c>
    </row>
    <row r="16" ht="16" customHeight="1"/>
    <row r="17" ht="16" customHeight="1"/>
    <row r="19" ht="22" customHeight="1">
      <c r="A19" s="15">
        <f>HYPERLINK("#'Budget Detail'!A1", "Budget Detail")</f>
        <v/>
      </c>
      <c r="B19" s="16" t="n"/>
      <c r="C19" s="16" t="n"/>
      <c r="D19" s="15">
        <f>HYPERLINK("#'Cost Allocation'!A1", "Cost Allocation")</f>
        <v/>
      </c>
      <c r="E19" s="16" t="n"/>
      <c r="F19" s="16" t="n"/>
      <c r="G19" s="15">
        <f>HYPERLINK("#'ROI Projection'!A1", "ROI Projection")</f>
        <v/>
      </c>
      <c r="H19" s="16" t="n"/>
      <c r="I19" s="16" t="n"/>
      <c r="J19" s="17">
        <f>HYPERLINK("#'Settings'!A1", "Settings")</f>
        <v/>
      </c>
      <c r="K19" s="18" t="n"/>
      <c r="L19" s="18" t="n"/>
    </row>
    <row r="20" ht="22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8" t="n"/>
      <c r="K20" s="18" t="n"/>
      <c r="L20" s="18" t="n"/>
    </row>
    <row r="21" ht="22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8" t="n"/>
      <c r="K21" s="18" t="n"/>
      <c r="L21" s="18" t="n"/>
    </row>
    <row r="23" ht="22" customHeight="1">
      <c r="A23" s="19">
        <f>HYPERLINK("#'Budget Detail'!B7", "→  ADD A REHAB LINE")</f>
        <v/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 ht="22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 ht="22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7" ht="16" customHeight="1">
      <c r="A27" s="21" t="inlineStr">
        <is>
          <t>1) Set property + dates on Settings.   2) Add lines on Budget Detail (estimate first; actual once paid).   3) Watch Variance % — red &gt;+15% means you're over.   4) Cost Allocation auto-rolls by category, splits Capex/Repair for tax.</t>
        </is>
      </c>
    </row>
    <row r="28" ht="16" customHeight="1"/>
    <row r="29" ht="16" customHeight="1"/>
    <row r="30" ht="16" customHeight="1"/>
    <row r="32" ht="28" customHeight="1">
      <c r="A32" s="22" t="inlineStr">
        <is>
          <t>Capex vs Repair classification matters for tax. Pair this with Cost Segregation DIY (TAX-010) to claim accelerated depreciation.</t>
        </is>
      </c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</row>
    <row r="35" ht="18" customHeight="1">
      <c r="A35" s="24" t="inlineStr">
        <is>
          <t>Questions? hello@thestrledger.com</t>
        </is>
      </c>
    </row>
    <row r="36" ht="18" customHeight="1">
      <c r="A36" s="25" t="inlineStr">
        <is>
          <t>ACQ-006 · v1.0 · BLANK · Free updates forever</t>
        </is>
      </c>
    </row>
  </sheetData>
  <mergeCells count="23">
    <mergeCell ref="J19:L21"/>
    <mergeCell ref="D11:F11"/>
    <mergeCell ref="A7:L7"/>
    <mergeCell ref="G12:I13"/>
    <mergeCell ref="J11:L11"/>
    <mergeCell ref="G19:I21"/>
    <mergeCell ref="A2:F2"/>
    <mergeCell ref="A5:L5"/>
    <mergeCell ref="A32:L32"/>
    <mergeCell ref="A35:L35"/>
    <mergeCell ref="A4:L4"/>
    <mergeCell ref="A10:L10"/>
    <mergeCell ref="A23:L25"/>
    <mergeCell ref="A19:C21"/>
    <mergeCell ref="A12:C13"/>
    <mergeCell ref="G11:I11"/>
    <mergeCell ref="D12:F13"/>
    <mergeCell ref="D19:F21"/>
    <mergeCell ref="A11:C11"/>
    <mergeCell ref="A15:L17"/>
    <mergeCell ref="A36:L36"/>
    <mergeCell ref="A27:L30"/>
    <mergeCell ref="J12:L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2" customWidth="1" min="4" max="4"/>
    <col width="12" customWidth="1" min="5" max="5"/>
    <col width="12" customWidth="1" min="6" max="6"/>
    <col width="9" customWidth="1" min="7" max="7"/>
    <col width="22" customWidth="1" min="8" max="8"/>
    <col width="18" customWidth="1" min="9" max="9"/>
    <col width="13" customWidth="1" min="10" max="10"/>
    <col width="24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HYPERLINK("#'Start'!A1", "← BACK")</f>
        <v/>
      </c>
      <c r="B2" s="16" t="n"/>
      <c r="C2" s="16" t="n"/>
      <c r="D2" s="26" t="inlineStr">
        <is>
          <t>BUDGET DETAIL</t>
        </is>
      </c>
      <c r="J2" s="19">
        <f>HYPERLINK("#'Cost Allocation'!A1",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Log every rehab line. Variance is auto-calculated. Capex/Repair drives tax treatment downstream.</t>
        </is>
      </c>
    </row>
    <row r="5" ht="22" customHeight="1">
      <c r="A5" s="28" t="inlineStr">
        <is>
          <t>Line #</t>
        </is>
      </c>
      <c r="B5" s="28" t="inlineStr">
        <is>
          <t>Category</t>
        </is>
      </c>
      <c r="C5" s="28" t="inlineStr">
        <is>
          <t>Description</t>
        </is>
      </c>
      <c r="D5" s="28" t="inlineStr">
        <is>
          <t>Estimate</t>
        </is>
      </c>
      <c r="E5" s="28" t="inlineStr">
        <is>
          <t>Actual</t>
        </is>
      </c>
      <c r="F5" s="28" t="inlineStr">
        <is>
          <t>Variance</t>
        </is>
      </c>
      <c r="G5" s="28" t="inlineStr">
        <is>
          <t>Var %</t>
        </is>
      </c>
      <c r="H5" s="28" t="inlineStr">
        <is>
          <t>Contractor</t>
        </is>
      </c>
      <c r="I5" s="28" t="inlineStr">
        <is>
          <t>Status</t>
        </is>
      </c>
      <c r="J5" s="28" t="inlineStr">
        <is>
          <t>Capex/Repair</t>
        </is>
      </c>
      <c r="K5" s="28" t="inlineStr">
        <is>
          <t>Notes</t>
        </is>
      </c>
    </row>
    <row r="6" ht="16" customHeight="1">
      <c r="A6" s="29" t="n">
        <v>1</v>
      </c>
      <c r="B6" s="30" t="n"/>
      <c r="C6" s="30" t="n"/>
      <c r="D6" s="31" t="n"/>
      <c r="E6" s="31" t="n"/>
      <c r="F6" s="32">
        <f>IF(AND(ISNUMBER(D6),ISNUMBER(E6)),E6-D6,"")</f>
        <v/>
      </c>
      <c r="G6" s="33">
        <f>IF(AND(ISNUMBER(D6),ISNUMBER(E6),D6&lt;&gt;0),(E6-D6)/D6,"")</f>
        <v/>
      </c>
      <c r="H6" s="30" t="n"/>
      <c r="I6" s="30" t="n"/>
      <c r="J6" s="34" t="n"/>
      <c r="K6" s="30" t="n"/>
    </row>
    <row r="7" ht="16" customHeight="1">
      <c r="A7" s="29" t="n">
        <v>2</v>
      </c>
      <c r="B7" s="30" t="n"/>
      <c r="C7" s="30" t="n"/>
      <c r="D7" s="31" t="n"/>
      <c r="E7" s="31" t="n"/>
      <c r="F7" s="35">
        <f>IF(AND(ISNUMBER(D7),ISNUMBER(E7)),E7-D7,"")</f>
        <v/>
      </c>
      <c r="G7" s="36">
        <f>IF(AND(ISNUMBER(D7),ISNUMBER(E7),D7&lt;&gt;0),(E7-D7)/D7,"")</f>
        <v/>
      </c>
      <c r="H7" s="30" t="n"/>
      <c r="I7" s="30" t="n"/>
      <c r="J7" s="34" t="n"/>
      <c r="K7" s="30" t="n"/>
    </row>
    <row r="8" ht="16" customHeight="1">
      <c r="A8" s="29" t="n">
        <v>3</v>
      </c>
      <c r="B8" s="30" t="n"/>
      <c r="C8" s="30" t="n"/>
      <c r="D8" s="31" t="n"/>
      <c r="E8" s="31" t="n"/>
      <c r="F8" s="32">
        <f>IF(AND(ISNUMBER(D8),ISNUMBER(E8)),E8-D8,"")</f>
        <v/>
      </c>
      <c r="G8" s="33">
        <f>IF(AND(ISNUMBER(D8),ISNUMBER(E8),D8&lt;&gt;0),(E8-D8)/D8,"")</f>
        <v/>
      </c>
      <c r="H8" s="30" t="n"/>
      <c r="I8" s="30" t="n"/>
      <c r="J8" s="34" t="n"/>
      <c r="K8" s="30" t="n"/>
    </row>
    <row r="9" ht="16" customHeight="1">
      <c r="A9" s="29" t="n">
        <v>4</v>
      </c>
      <c r="B9" s="30" t="n"/>
      <c r="C9" s="30" t="n"/>
      <c r="D9" s="31" t="n"/>
      <c r="E9" s="31" t="n"/>
      <c r="F9" s="35">
        <f>IF(AND(ISNUMBER(D9),ISNUMBER(E9)),E9-D9,"")</f>
        <v/>
      </c>
      <c r="G9" s="36">
        <f>IF(AND(ISNUMBER(D9),ISNUMBER(E9),D9&lt;&gt;0),(E9-D9)/D9,"")</f>
        <v/>
      </c>
      <c r="H9" s="30" t="n"/>
      <c r="I9" s="30" t="n"/>
      <c r="J9" s="34" t="n"/>
      <c r="K9" s="30" t="n"/>
    </row>
    <row r="10" ht="16" customHeight="1">
      <c r="A10" s="29" t="n">
        <v>5</v>
      </c>
      <c r="B10" s="30" t="n"/>
      <c r="C10" s="30" t="n"/>
      <c r="D10" s="31" t="n"/>
      <c r="E10" s="31" t="n"/>
      <c r="F10" s="32">
        <f>IF(AND(ISNUMBER(D10),ISNUMBER(E10)),E10-D10,"")</f>
        <v/>
      </c>
      <c r="G10" s="33">
        <f>IF(AND(ISNUMBER(D10),ISNUMBER(E10),D10&lt;&gt;0),(E10-D10)/D10,"")</f>
        <v/>
      </c>
      <c r="H10" s="30" t="n"/>
      <c r="I10" s="30" t="n"/>
      <c r="J10" s="34" t="n"/>
      <c r="K10" s="30" t="n"/>
    </row>
    <row r="11" ht="16" customHeight="1">
      <c r="A11" s="29" t="n">
        <v>6</v>
      </c>
      <c r="B11" s="30" t="n"/>
      <c r="C11" s="30" t="n"/>
      <c r="D11" s="31" t="n"/>
      <c r="E11" s="31" t="n"/>
      <c r="F11" s="35">
        <f>IF(AND(ISNUMBER(D11),ISNUMBER(E11)),E11-D11,"")</f>
        <v/>
      </c>
      <c r="G11" s="36">
        <f>IF(AND(ISNUMBER(D11),ISNUMBER(E11),D11&lt;&gt;0),(E11-D11)/D11,"")</f>
        <v/>
      </c>
      <c r="H11" s="30" t="n"/>
      <c r="I11" s="30" t="n"/>
      <c r="J11" s="34" t="n"/>
      <c r="K11" s="30" t="n"/>
    </row>
    <row r="12" ht="16" customHeight="1">
      <c r="A12" s="29" t="n">
        <v>7</v>
      </c>
      <c r="B12" s="30" t="n"/>
      <c r="C12" s="30" t="n"/>
      <c r="D12" s="31" t="n"/>
      <c r="E12" s="31" t="n"/>
      <c r="F12" s="32">
        <f>IF(AND(ISNUMBER(D12),ISNUMBER(E12)),E12-D12,"")</f>
        <v/>
      </c>
      <c r="G12" s="33">
        <f>IF(AND(ISNUMBER(D12),ISNUMBER(E12),D12&lt;&gt;0),(E12-D12)/D12,"")</f>
        <v/>
      </c>
      <c r="H12" s="30" t="n"/>
      <c r="I12" s="30" t="n"/>
      <c r="J12" s="34" t="n"/>
      <c r="K12" s="30" t="n"/>
    </row>
    <row r="13" ht="16" customHeight="1">
      <c r="A13" s="29" t="n">
        <v>8</v>
      </c>
      <c r="B13" s="30" t="n"/>
      <c r="C13" s="30" t="n"/>
      <c r="D13" s="31" t="n"/>
      <c r="E13" s="31" t="n"/>
      <c r="F13" s="35">
        <f>IF(AND(ISNUMBER(D13),ISNUMBER(E13)),E13-D13,"")</f>
        <v/>
      </c>
      <c r="G13" s="36">
        <f>IF(AND(ISNUMBER(D13),ISNUMBER(E13),D13&lt;&gt;0),(E13-D13)/D13,"")</f>
        <v/>
      </c>
      <c r="H13" s="30" t="n"/>
      <c r="I13" s="30" t="n"/>
      <c r="J13" s="34" t="n"/>
      <c r="K13" s="30" t="n"/>
    </row>
    <row r="14" ht="16" customHeight="1">
      <c r="A14" s="29" t="n">
        <v>9</v>
      </c>
      <c r="B14" s="30" t="n"/>
      <c r="C14" s="30" t="n"/>
      <c r="D14" s="31" t="n"/>
      <c r="E14" s="31" t="n"/>
      <c r="F14" s="32">
        <f>IF(AND(ISNUMBER(D14),ISNUMBER(E14)),E14-D14,"")</f>
        <v/>
      </c>
      <c r="G14" s="33">
        <f>IF(AND(ISNUMBER(D14),ISNUMBER(E14),D14&lt;&gt;0),(E14-D14)/D14,"")</f>
        <v/>
      </c>
      <c r="H14" s="30" t="n"/>
      <c r="I14" s="30" t="n"/>
      <c r="J14" s="34" t="n"/>
      <c r="K14" s="30" t="n"/>
    </row>
    <row r="15" ht="16" customHeight="1">
      <c r="A15" s="29" t="n">
        <v>10</v>
      </c>
      <c r="B15" s="30" t="n"/>
      <c r="C15" s="30" t="n"/>
      <c r="D15" s="31" t="n"/>
      <c r="E15" s="31" t="n"/>
      <c r="F15" s="35">
        <f>IF(AND(ISNUMBER(D15),ISNUMBER(E15)),E15-D15,"")</f>
        <v/>
      </c>
      <c r="G15" s="36">
        <f>IF(AND(ISNUMBER(D15),ISNUMBER(E15),D15&lt;&gt;0),(E15-D15)/D15,"")</f>
        <v/>
      </c>
      <c r="H15" s="30" t="n"/>
      <c r="I15" s="30" t="n"/>
      <c r="J15" s="34" t="n"/>
      <c r="K15" s="30" t="n"/>
    </row>
    <row r="16" ht="16" customHeight="1">
      <c r="A16" s="29" t="n">
        <v>11</v>
      </c>
      <c r="B16" s="30" t="n"/>
      <c r="C16" s="30" t="n"/>
      <c r="D16" s="31" t="n"/>
      <c r="E16" s="31" t="n"/>
      <c r="F16" s="32">
        <f>IF(AND(ISNUMBER(D16),ISNUMBER(E16)),E16-D16,"")</f>
        <v/>
      </c>
      <c r="G16" s="33">
        <f>IF(AND(ISNUMBER(D16),ISNUMBER(E16),D16&lt;&gt;0),(E16-D16)/D16,"")</f>
        <v/>
      </c>
      <c r="H16" s="30" t="n"/>
      <c r="I16" s="30" t="n"/>
      <c r="J16" s="34" t="n"/>
      <c r="K16" s="30" t="n"/>
    </row>
    <row r="17" ht="16" customHeight="1">
      <c r="A17" s="29" t="n">
        <v>12</v>
      </c>
      <c r="B17" s="30" t="n"/>
      <c r="C17" s="30" t="n"/>
      <c r="D17" s="31" t="n"/>
      <c r="E17" s="31" t="n"/>
      <c r="F17" s="35">
        <f>IF(AND(ISNUMBER(D17),ISNUMBER(E17)),E17-D17,"")</f>
        <v/>
      </c>
      <c r="G17" s="36">
        <f>IF(AND(ISNUMBER(D17),ISNUMBER(E17),D17&lt;&gt;0),(E17-D17)/D17,"")</f>
        <v/>
      </c>
      <c r="H17" s="30" t="n"/>
      <c r="I17" s="30" t="n"/>
      <c r="J17" s="34" t="n"/>
      <c r="K17" s="30" t="n"/>
    </row>
    <row r="18" ht="16" customHeight="1">
      <c r="A18" s="29" t="n">
        <v>13</v>
      </c>
      <c r="B18" s="30" t="n"/>
      <c r="C18" s="30" t="n"/>
      <c r="D18" s="31" t="n"/>
      <c r="E18" s="31" t="n"/>
      <c r="F18" s="32">
        <f>IF(AND(ISNUMBER(D18),ISNUMBER(E18)),E18-D18,"")</f>
        <v/>
      </c>
      <c r="G18" s="33">
        <f>IF(AND(ISNUMBER(D18),ISNUMBER(E18),D18&lt;&gt;0),(E18-D18)/D18,"")</f>
        <v/>
      </c>
      <c r="H18" s="30" t="n"/>
      <c r="I18" s="30" t="n"/>
      <c r="J18" s="34" t="n"/>
      <c r="K18" s="30" t="n"/>
    </row>
    <row r="19" ht="16" customHeight="1">
      <c r="A19" s="29" t="n">
        <v>14</v>
      </c>
      <c r="B19" s="30" t="n"/>
      <c r="C19" s="30" t="n"/>
      <c r="D19" s="31" t="n"/>
      <c r="E19" s="31" t="n"/>
      <c r="F19" s="35">
        <f>IF(AND(ISNUMBER(D19),ISNUMBER(E19)),E19-D19,"")</f>
        <v/>
      </c>
      <c r="G19" s="36">
        <f>IF(AND(ISNUMBER(D19),ISNUMBER(E19),D19&lt;&gt;0),(E19-D19)/D19,"")</f>
        <v/>
      </c>
      <c r="H19" s="30" t="n"/>
      <c r="I19" s="30" t="n"/>
      <c r="J19" s="34" t="n"/>
      <c r="K19" s="30" t="n"/>
    </row>
    <row r="20" ht="16" customHeight="1">
      <c r="A20" s="29" t="n">
        <v>15</v>
      </c>
      <c r="B20" s="30" t="n"/>
      <c r="C20" s="30" t="n"/>
      <c r="D20" s="31" t="n"/>
      <c r="E20" s="31" t="n"/>
      <c r="F20" s="32">
        <f>IF(AND(ISNUMBER(D20),ISNUMBER(E20)),E20-D20,"")</f>
        <v/>
      </c>
      <c r="G20" s="33">
        <f>IF(AND(ISNUMBER(D20),ISNUMBER(E20),D20&lt;&gt;0),(E20-D20)/D20,"")</f>
        <v/>
      </c>
      <c r="H20" s="30" t="n"/>
      <c r="I20" s="30" t="n"/>
      <c r="J20" s="34" t="n"/>
      <c r="K20" s="30" t="n"/>
    </row>
    <row r="21" ht="16" customHeight="1">
      <c r="A21" s="29" t="n">
        <v>16</v>
      </c>
      <c r="B21" s="30" t="n"/>
      <c r="C21" s="30" t="n"/>
      <c r="D21" s="31" t="n"/>
      <c r="E21" s="31" t="n"/>
      <c r="F21" s="35">
        <f>IF(AND(ISNUMBER(D21),ISNUMBER(E21)),E21-D21,"")</f>
        <v/>
      </c>
      <c r="G21" s="36">
        <f>IF(AND(ISNUMBER(D21),ISNUMBER(E21),D21&lt;&gt;0),(E21-D21)/D21,"")</f>
        <v/>
      </c>
      <c r="H21" s="30" t="n"/>
      <c r="I21" s="30" t="n"/>
      <c r="J21" s="34" t="n"/>
      <c r="K21" s="30" t="n"/>
    </row>
    <row r="22" ht="16" customHeight="1">
      <c r="A22" s="29" t="n">
        <v>17</v>
      </c>
      <c r="B22" s="30" t="n"/>
      <c r="C22" s="30" t="n"/>
      <c r="D22" s="31" t="n"/>
      <c r="E22" s="31" t="n"/>
      <c r="F22" s="32">
        <f>IF(AND(ISNUMBER(D22),ISNUMBER(E22)),E22-D22,"")</f>
        <v/>
      </c>
      <c r="G22" s="33">
        <f>IF(AND(ISNUMBER(D22),ISNUMBER(E22),D22&lt;&gt;0),(E22-D22)/D22,"")</f>
        <v/>
      </c>
      <c r="H22" s="30" t="n"/>
      <c r="I22" s="30" t="n"/>
      <c r="J22" s="34" t="n"/>
      <c r="K22" s="30" t="n"/>
    </row>
    <row r="23" ht="16" customHeight="1">
      <c r="A23" s="29" t="n">
        <v>18</v>
      </c>
      <c r="B23" s="30" t="n"/>
      <c r="C23" s="30" t="n"/>
      <c r="D23" s="31" t="n"/>
      <c r="E23" s="31" t="n"/>
      <c r="F23" s="35">
        <f>IF(AND(ISNUMBER(D23),ISNUMBER(E23)),E23-D23,"")</f>
        <v/>
      </c>
      <c r="G23" s="36">
        <f>IF(AND(ISNUMBER(D23),ISNUMBER(E23),D23&lt;&gt;0),(E23-D23)/D23,"")</f>
        <v/>
      </c>
      <c r="H23" s="30" t="n"/>
      <c r="I23" s="30" t="n"/>
      <c r="J23" s="34" t="n"/>
      <c r="K23" s="30" t="n"/>
    </row>
    <row r="24" ht="16" customHeight="1">
      <c r="A24" s="29" t="n">
        <v>19</v>
      </c>
      <c r="B24" s="30" t="n"/>
      <c r="C24" s="30" t="n"/>
      <c r="D24" s="31" t="n"/>
      <c r="E24" s="31" t="n"/>
      <c r="F24" s="32">
        <f>IF(AND(ISNUMBER(D24),ISNUMBER(E24)),E24-D24,"")</f>
        <v/>
      </c>
      <c r="G24" s="33">
        <f>IF(AND(ISNUMBER(D24),ISNUMBER(E24),D24&lt;&gt;0),(E24-D24)/D24,"")</f>
        <v/>
      </c>
      <c r="H24" s="30" t="n"/>
      <c r="I24" s="30" t="n"/>
      <c r="J24" s="34" t="n"/>
      <c r="K24" s="30" t="n"/>
    </row>
    <row r="25" ht="16" customHeight="1">
      <c r="A25" s="29" t="n">
        <v>20</v>
      </c>
      <c r="B25" s="30" t="n"/>
      <c r="C25" s="30" t="n"/>
      <c r="D25" s="31" t="n"/>
      <c r="E25" s="31" t="n"/>
      <c r="F25" s="35">
        <f>IF(AND(ISNUMBER(D25),ISNUMBER(E25)),E25-D25,"")</f>
        <v/>
      </c>
      <c r="G25" s="36">
        <f>IF(AND(ISNUMBER(D25),ISNUMBER(E25),D25&lt;&gt;0),(E25-D25)/D25,"")</f>
        <v/>
      </c>
      <c r="H25" s="30" t="n"/>
      <c r="I25" s="30" t="n"/>
      <c r="J25" s="34" t="n"/>
      <c r="K25" s="30" t="n"/>
    </row>
    <row r="26" ht="16" customHeight="1">
      <c r="A26" s="29" t="n">
        <v>21</v>
      </c>
      <c r="B26" s="30" t="n"/>
      <c r="C26" s="30" t="n"/>
      <c r="D26" s="31" t="n"/>
      <c r="E26" s="31" t="n"/>
      <c r="F26" s="32">
        <f>IF(AND(ISNUMBER(D26),ISNUMBER(E26)),E26-D26,"")</f>
        <v/>
      </c>
      <c r="G26" s="33">
        <f>IF(AND(ISNUMBER(D26),ISNUMBER(E26),D26&lt;&gt;0),(E26-D26)/D26,"")</f>
        <v/>
      </c>
      <c r="H26" s="30" t="n"/>
      <c r="I26" s="30" t="n"/>
      <c r="J26" s="34" t="n"/>
      <c r="K26" s="30" t="n"/>
    </row>
    <row r="27" ht="16" customHeight="1">
      <c r="A27" s="29" t="n">
        <v>22</v>
      </c>
      <c r="B27" s="30" t="n"/>
      <c r="C27" s="30" t="n"/>
      <c r="D27" s="31" t="n"/>
      <c r="E27" s="31" t="n"/>
      <c r="F27" s="35">
        <f>IF(AND(ISNUMBER(D27),ISNUMBER(E27)),E27-D27,"")</f>
        <v/>
      </c>
      <c r="G27" s="36">
        <f>IF(AND(ISNUMBER(D27),ISNUMBER(E27),D27&lt;&gt;0),(E27-D27)/D27,"")</f>
        <v/>
      </c>
      <c r="H27" s="30" t="n"/>
      <c r="I27" s="30" t="n"/>
      <c r="J27" s="34" t="n"/>
      <c r="K27" s="30" t="n"/>
    </row>
    <row r="28" ht="16" customHeight="1">
      <c r="A28" s="29" t="n">
        <v>23</v>
      </c>
      <c r="B28" s="30" t="n"/>
      <c r="C28" s="30" t="n"/>
      <c r="D28" s="31" t="n"/>
      <c r="E28" s="31" t="n"/>
      <c r="F28" s="32">
        <f>IF(AND(ISNUMBER(D28),ISNUMBER(E28)),E28-D28,"")</f>
        <v/>
      </c>
      <c r="G28" s="33">
        <f>IF(AND(ISNUMBER(D28),ISNUMBER(E28),D28&lt;&gt;0),(E28-D28)/D28,"")</f>
        <v/>
      </c>
      <c r="H28" s="30" t="n"/>
      <c r="I28" s="30" t="n"/>
      <c r="J28" s="34" t="n"/>
      <c r="K28" s="30" t="n"/>
    </row>
    <row r="29" ht="16" customHeight="1">
      <c r="A29" s="29" t="n">
        <v>24</v>
      </c>
      <c r="B29" s="30" t="n"/>
      <c r="C29" s="30" t="n"/>
      <c r="D29" s="31" t="n"/>
      <c r="E29" s="31" t="n"/>
      <c r="F29" s="35">
        <f>IF(AND(ISNUMBER(D29),ISNUMBER(E29)),E29-D29,"")</f>
        <v/>
      </c>
      <c r="G29" s="36">
        <f>IF(AND(ISNUMBER(D29),ISNUMBER(E29),D29&lt;&gt;0),(E29-D29)/D29,"")</f>
        <v/>
      </c>
      <c r="H29" s="30" t="n"/>
      <c r="I29" s="30" t="n"/>
      <c r="J29" s="34" t="n"/>
      <c r="K29" s="30" t="n"/>
    </row>
    <row r="30" ht="16" customHeight="1">
      <c r="A30" s="29" t="n">
        <v>25</v>
      </c>
      <c r="B30" s="30" t="n"/>
      <c r="C30" s="30" t="n"/>
      <c r="D30" s="31" t="n"/>
      <c r="E30" s="31" t="n"/>
      <c r="F30" s="32">
        <f>IF(AND(ISNUMBER(D30),ISNUMBER(E30)),E30-D30,"")</f>
        <v/>
      </c>
      <c r="G30" s="33">
        <f>IF(AND(ISNUMBER(D30),ISNUMBER(E30),D30&lt;&gt;0),(E30-D30)/D30,"")</f>
        <v/>
      </c>
      <c r="H30" s="30" t="n"/>
      <c r="I30" s="30" t="n"/>
      <c r="J30" s="34" t="n"/>
      <c r="K30" s="30" t="n"/>
    </row>
    <row r="31" ht="16" customHeight="1">
      <c r="A31" s="29" t="n">
        <v>26</v>
      </c>
      <c r="B31" s="30" t="n"/>
      <c r="C31" s="30" t="n"/>
      <c r="D31" s="31" t="n"/>
      <c r="E31" s="31" t="n"/>
      <c r="F31" s="35">
        <f>IF(AND(ISNUMBER(D31),ISNUMBER(E31)),E31-D31,"")</f>
        <v/>
      </c>
      <c r="G31" s="36">
        <f>IF(AND(ISNUMBER(D31),ISNUMBER(E31),D31&lt;&gt;0),(E31-D31)/D31,"")</f>
        <v/>
      </c>
      <c r="H31" s="30" t="n"/>
      <c r="I31" s="30" t="n"/>
      <c r="J31" s="34" t="n"/>
      <c r="K31" s="30" t="n"/>
    </row>
    <row r="32" ht="16" customHeight="1">
      <c r="A32" s="29" t="n">
        <v>27</v>
      </c>
      <c r="B32" s="30" t="n"/>
      <c r="C32" s="30" t="n"/>
      <c r="D32" s="31" t="n"/>
      <c r="E32" s="31" t="n"/>
      <c r="F32" s="32">
        <f>IF(AND(ISNUMBER(D32),ISNUMBER(E32)),E32-D32,"")</f>
        <v/>
      </c>
      <c r="G32" s="33">
        <f>IF(AND(ISNUMBER(D32),ISNUMBER(E32),D32&lt;&gt;0),(E32-D32)/D32,"")</f>
        <v/>
      </c>
      <c r="H32" s="30" t="n"/>
      <c r="I32" s="30" t="n"/>
      <c r="J32" s="34" t="n"/>
      <c r="K32" s="30" t="n"/>
    </row>
    <row r="33" ht="16" customHeight="1">
      <c r="A33" s="29" t="n">
        <v>28</v>
      </c>
      <c r="B33" s="30" t="n"/>
      <c r="C33" s="30" t="n"/>
      <c r="D33" s="31" t="n"/>
      <c r="E33" s="31" t="n"/>
      <c r="F33" s="35">
        <f>IF(AND(ISNUMBER(D33),ISNUMBER(E33)),E33-D33,"")</f>
        <v/>
      </c>
      <c r="G33" s="36">
        <f>IF(AND(ISNUMBER(D33),ISNUMBER(E33),D33&lt;&gt;0),(E33-D33)/D33,"")</f>
        <v/>
      </c>
      <c r="H33" s="30" t="n"/>
      <c r="I33" s="30" t="n"/>
      <c r="J33" s="34" t="n"/>
      <c r="K33" s="30" t="n"/>
    </row>
    <row r="34" ht="16" customHeight="1">
      <c r="A34" s="29" t="n">
        <v>29</v>
      </c>
      <c r="B34" s="30" t="n"/>
      <c r="C34" s="30" t="n"/>
      <c r="D34" s="31" t="n"/>
      <c r="E34" s="31" t="n"/>
      <c r="F34" s="32">
        <f>IF(AND(ISNUMBER(D34),ISNUMBER(E34)),E34-D34,"")</f>
        <v/>
      </c>
      <c r="G34" s="33">
        <f>IF(AND(ISNUMBER(D34),ISNUMBER(E34),D34&lt;&gt;0),(E34-D34)/D34,"")</f>
        <v/>
      </c>
      <c r="H34" s="30" t="n"/>
      <c r="I34" s="30" t="n"/>
      <c r="J34" s="34" t="n"/>
      <c r="K34" s="30" t="n"/>
    </row>
    <row r="35" ht="16" customHeight="1">
      <c r="A35" s="29" t="n">
        <v>30</v>
      </c>
      <c r="B35" s="30" t="n"/>
      <c r="C35" s="30" t="n"/>
      <c r="D35" s="31" t="n"/>
      <c r="E35" s="31" t="n"/>
      <c r="F35" s="35">
        <f>IF(AND(ISNUMBER(D35),ISNUMBER(E35)),E35-D35,"")</f>
        <v/>
      </c>
      <c r="G35" s="36">
        <f>IF(AND(ISNUMBER(D35),ISNUMBER(E35),D35&lt;&gt;0),(E35-D35)/D35,"")</f>
        <v/>
      </c>
      <c r="H35" s="30" t="n"/>
      <c r="I35" s="30" t="n"/>
      <c r="J35" s="34" t="n"/>
      <c r="K35" s="30" t="n"/>
    </row>
    <row r="36" ht="16" customHeight="1">
      <c r="A36" s="29" t="n">
        <v>31</v>
      </c>
      <c r="B36" s="30" t="n"/>
      <c r="C36" s="30" t="n"/>
      <c r="D36" s="31" t="n"/>
      <c r="E36" s="31" t="n"/>
      <c r="F36" s="32">
        <f>IF(AND(ISNUMBER(D36),ISNUMBER(E36)),E36-D36,"")</f>
        <v/>
      </c>
      <c r="G36" s="33">
        <f>IF(AND(ISNUMBER(D36),ISNUMBER(E36),D36&lt;&gt;0),(E36-D36)/D36,"")</f>
        <v/>
      </c>
      <c r="H36" s="30" t="n"/>
      <c r="I36" s="30" t="n"/>
      <c r="J36" s="34" t="n"/>
      <c r="K36" s="30" t="n"/>
    </row>
    <row r="37" ht="16" customHeight="1">
      <c r="A37" s="29" t="n">
        <v>32</v>
      </c>
      <c r="B37" s="30" t="n"/>
      <c r="C37" s="30" t="n"/>
      <c r="D37" s="31" t="n"/>
      <c r="E37" s="31" t="n"/>
      <c r="F37" s="35">
        <f>IF(AND(ISNUMBER(D37),ISNUMBER(E37)),E37-D37,"")</f>
        <v/>
      </c>
      <c r="G37" s="36">
        <f>IF(AND(ISNUMBER(D37),ISNUMBER(E37),D37&lt;&gt;0),(E37-D37)/D37,"")</f>
        <v/>
      </c>
      <c r="H37" s="30" t="n"/>
      <c r="I37" s="30" t="n"/>
      <c r="J37" s="34" t="n"/>
      <c r="K37" s="30" t="n"/>
    </row>
    <row r="38" ht="16" customHeight="1">
      <c r="A38" s="29" t="n">
        <v>33</v>
      </c>
      <c r="B38" s="30" t="n"/>
      <c r="C38" s="30" t="n"/>
      <c r="D38" s="31" t="n"/>
      <c r="E38" s="31" t="n"/>
      <c r="F38" s="32">
        <f>IF(AND(ISNUMBER(D38),ISNUMBER(E38)),E38-D38,"")</f>
        <v/>
      </c>
      <c r="G38" s="33">
        <f>IF(AND(ISNUMBER(D38),ISNUMBER(E38),D38&lt;&gt;0),(E38-D38)/D38,"")</f>
        <v/>
      </c>
      <c r="H38" s="30" t="n"/>
      <c r="I38" s="30" t="n"/>
      <c r="J38" s="34" t="n"/>
      <c r="K38" s="30" t="n"/>
    </row>
    <row r="39" ht="16" customHeight="1">
      <c r="A39" s="29" t="n">
        <v>34</v>
      </c>
      <c r="B39" s="30" t="n"/>
      <c r="C39" s="30" t="n"/>
      <c r="D39" s="31" t="n"/>
      <c r="E39" s="31" t="n"/>
      <c r="F39" s="35">
        <f>IF(AND(ISNUMBER(D39),ISNUMBER(E39)),E39-D39,"")</f>
        <v/>
      </c>
      <c r="G39" s="36">
        <f>IF(AND(ISNUMBER(D39),ISNUMBER(E39),D39&lt;&gt;0),(E39-D39)/D39,"")</f>
        <v/>
      </c>
      <c r="H39" s="30" t="n"/>
      <c r="I39" s="30" t="n"/>
      <c r="J39" s="34" t="n"/>
      <c r="K39" s="30" t="n"/>
    </row>
    <row r="40" ht="16" customHeight="1">
      <c r="A40" s="29" t="n">
        <v>35</v>
      </c>
      <c r="B40" s="30" t="n"/>
      <c r="C40" s="30" t="n"/>
      <c r="D40" s="31" t="n"/>
      <c r="E40" s="31" t="n"/>
      <c r="F40" s="32">
        <f>IF(AND(ISNUMBER(D40),ISNUMBER(E40)),E40-D40,"")</f>
        <v/>
      </c>
      <c r="G40" s="33">
        <f>IF(AND(ISNUMBER(D40),ISNUMBER(E40),D40&lt;&gt;0),(E40-D40)/D40,"")</f>
        <v/>
      </c>
      <c r="H40" s="30" t="n"/>
      <c r="I40" s="30" t="n"/>
      <c r="J40" s="34" t="n"/>
      <c r="K40" s="30" t="n"/>
    </row>
    <row r="41" ht="16" customHeight="1">
      <c r="A41" s="29" t="n">
        <v>36</v>
      </c>
      <c r="B41" s="30" t="n"/>
      <c r="C41" s="30" t="n"/>
      <c r="D41" s="31" t="n"/>
      <c r="E41" s="31" t="n"/>
      <c r="F41" s="35">
        <f>IF(AND(ISNUMBER(D41),ISNUMBER(E41)),E41-D41,"")</f>
        <v/>
      </c>
      <c r="G41" s="36">
        <f>IF(AND(ISNUMBER(D41),ISNUMBER(E41),D41&lt;&gt;0),(E41-D41)/D41,"")</f>
        <v/>
      </c>
      <c r="H41" s="30" t="n"/>
      <c r="I41" s="30" t="n"/>
      <c r="J41" s="34" t="n"/>
      <c r="K41" s="30" t="n"/>
    </row>
    <row r="42" ht="16" customHeight="1">
      <c r="A42" s="29" t="n">
        <v>37</v>
      </c>
      <c r="B42" s="30" t="n"/>
      <c r="C42" s="30" t="n"/>
      <c r="D42" s="31" t="n"/>
      <c r="E42" s="31" t="n"/>
      <c r="F42" s="32">
        <f>IF(AND(ISNUMBER(D42),ISNUMBER(E42)),E42-D42,"")</f>
        <v/>
      </c>
      <c r="G42" s="33">
        <f>IF(AND(ISNUMBER(D42),ISNUMBER(E42),D42&lt;&gt;0),(E42-D42)/D42,"")</f>
        <v/>
      </c>
      <c r="H42" s="30" t="n"/>
      <c r="I42" s="30" t="n"/>
      <c r="J42" s="34" t="n"/>
      <c r="K42" s="30" t="n"/>
    </row>
    <row r="43" ht="16" customHeight="1">
      <c r="A43" s="29" t="n">
        <v>38</v>
      </c>
      <c r="B43" s="30" t="n"/>
      <c r="C43" s="30" t="n"/>
      <c r="D43" s="31" t="n"/>
      <c r="E43" s="31" t="n"/>
      <c r="F43" s="35">
        <f>IF(AND(ISNUMBER(D43),ISNUMBER(E43)),E43-D43,"")</f>
        <v/>
      </c>
      <c r="G43" s="36">
        <f>IF(AND(ISNUMBER(D43),ISNUMBER(E43),D43&lt;&gt;0),(E43-D43)/D43,"")</f>
        <v/>
      </c>
      <c r="H43" s="30" t="n"/>
      <c r="I43" s="30" t="n"/>
      <c r="J43" s="34" t="n"/>
      <c r="K43" s="30" t="n"/>
    </row>
    <row r="44" ht="16" customHeight="1">
      <c r="A44" s="29" t="n">
        <v>39</v>
      </c>
      <c r="B44" s="30" t="n"/>
      <c r="C44" s="30" t="n"/>
      <c r="D44" s="31" t="n"/>
      <c r="E44" s="31" t="n"/>
      <c r="F44" s="32">
        <f>IF(AND(ISNUMBER(D44),ISNUMBER(E44)),E44-D44,"")</f>
        <v/>
      </c>
      <c r="G44" s="33">
        <f>IF(AND(ISNUMBER(D44),ISNUMBER(E44),D44&lt;&gt;0),(E44-D44)/D44,"")</f>
        <v/>
      </c>
      <c r="H44" s="30" t="n"/>
      <c r="I44" s="30" t="n"/>
      <c r="J44" s="34" t="n"/>
      <c r="K44" s="30" t="n"/>
    </row>
    <row r="45" ht="16" customHeight="1">
      <c r="A45" s="29" t="n">
        <v>40</v>
      </c>
      <c r="B45" s="30" t="n"/>
      <c r="C45" s="30" t="n"/>
      <c r="D45" s="31" t="n"/>
      <c r="E45" s="31" t="n"/>
      <c r="F45" s="35">
        <f>IF(AND(ISNUMBER(D45),ISNUMBER(E45)),E45-D45,"")</f>
        <v/>
      </c>
      <c r="G45" s="36">
        <f>IF(AND(ISNUMBER(D45),ISNUMBER(E45),D45&lt;&gt;0),(E45-D45)/D45,"")</f>
        <v/>
      </c>
      <c r="H45" s="30" t="n"/>
      <c r="I45" s="30" t="n"/>
      <c r="J45" s="34" t="n"/>
      <c r="K45" s="30" t="n"/>
    </row>
    <row r="46" ht="16" customHeight="1">
      <c r="A46" s="29" t="n">
        <v>41</v>
      </c>
      <c r="B46" s="30" t="n"/>
      <c r="C46" s="30" t="n"/>
      <c r="D46" s="31" t="n"/>
      <c r="E46" s="31" t="n"/>
      <c r="F46" s="32">
        <f>IF(AND(ISNUMBER(D46),ISNUMBER(E46)),E46-D46,"")</f>
        <v/>
      </c>
      <c r="G46" s="33">
        <f>IF(AND(ISNUMBER(D46),ISNUMBER(E46),D46&lt;&gt;0),(E46-D46)/D46,"")</f>
        <v/>
      </c>
      <c r="H46" s="30" t="n"/>
      <c r="I46" s="30" t="n"/>
      <c r="J46" s="34" t="n"/>
      <c r="K46" s="30" t="n"/>
    </row>
    <row r="47" ht="16" customHeight="1">
      <c r="A47" s="29" t="n">
        <v>42</v>
      </c>
      <c r="B47" s="30" t="n"/>
      <c r="C47" s="30" t="n"/>
      <c r="D47" s="31" t="n"/>
      <c r="E47" s="31" t="n"/>
      <c r="F47" s="35">
        <f>IF(AND(ISNUMBER(D47),ISNUMBER(E47)),E47-D47,"")</f>
        <v/>
      </c>
      <c r="G47" s="36">
        <f>IF(AND(ISNUMBER(D47),ISNUMBER(E47),D47&lt;&gt;0),(E47-D47)/D47,"")</f>
        <v/>
      </c>
      <c r="H47" s="30" t="n"/>
      <c r="I47" s="30" t="n"/>
      <c r="J47" s="34" t="n"/>
      <c r="K47" s="30" t="n"/>
    </row>
    <row r="48" ht="16" customHeight="1">
      <c r="A48" s="29" t="n">
        <v>43</v>
      </c>
      <c r="B48" s="30" t="n"/>
      <c r="C48" s="30" t="n"/>
      <c r="D48" s="31" t="n"/>
      <c r="E48" s="31" t="n"/>
      <c r="F48" s="32">
        <f>IF(AND(ISNUMBER(D48),ISNUMBER(E48)),E48-D48,"")</f>
        <v/>
      </c>
      <c r="G48" s="33">
        <f>IF(AND(ISNUMBER(D48),ISNUMBER(E48),D48&lt;&gt;0),(E48-D48)/D48,"")</f>
        <v/>
      </c>
      <c r="H48" s="30" t="n"/>
      <c r="I48" s="30" t="n"/>
      <c r="J48" s="34" t="n"/>
      <c r="K48" s="30" t="n"/>
    </row>
    <row r="49" ht="16" customHeight="1">
      <c r="A49" s="29" t="n">
        <v>44</v>
      </c>
      <c r="B49" s="30" t="n"/>
      <c r="C49" s="30" t="n"/>
      <c r="D49" s="31" t="n"/>
      <c r="E49" s="31" t="n"/>
      <c r="F49" s="35">
        <f>IF(AND(ISNUMBER(D49),ISNUMBER(E49)),E49-D49,"")</f>
        <v/>
      </c>
      <c r="G49" s="36">
        <f>IF(AND(ISNUMBER(D49),ISNUMBER(E49),D49&lt;&gt;0),(E49-D49)/D49,"")</f>
        <v/>
      </c>
      <c r="H49" s="30" t="n"/>
      <c r="I49" s="30" t="n"/>
      <c r="J49" s="34" t="n"/>
      <c r="K49" s="30" t="n"/>
    </row>
    <row r="50" ht="16" customHeight="1">
      <c r="A50" s="29" t="n">
        <v>45</v>
      </c>
      <c r="B50" s="30" t="n"/>
      <c r="C50" s="30" t="n"/>
      <c r="D50" s="31" t="n"/>
      <c r="E50" s="31" t="n"/>
      <c r="F50" s="32">
        <f>IF(AND(ISNUMBER(D50),ISNUMBER(E50)),E50-D50,"")</f>
        <v/>
      </c>
      <c r="G50" s="33">
        <f>IF(AND(ISNUMBER(D50),ISNUMBER(E50),D50&lt;&gt;0),(E50-D50)/D50,"")</f>
        <v/>
      </c>
      <c r="H50" s="30" t="n"/>
      <c r="I50" s="30" t="n"/>
      <c r="J50" s="34" t="n"/>
      <c r="K50" s="30" t="n"/>
    </row>
    <row r="51" ht="16" customHeight="1">
      <c r="A51" s="29" t="n">
        <v>46</v>
      </c>
      <c r="B51" s="30" t="n"/>
      <c r="C51" s="30" t="n"/>
      <c r="D51" s="31" t="n"/>
      <c r="E51" s="31" t="n"/>
      <c r="F51" s="35">
        <f>IF(AND(ISNUMBER(D51),ISNUMBER(E51)),E51-D51,"")</f>
        <v/>
      </c>
      <c r="G51" s="36">
        <f>IF(AND(ISNUMBER(D51),ISNUMBER(E51),D51&lt;&gt;0),(E51-D51)/D51,"")</f>
        <v/>
      </c>
      <c r="H51" s="30" t="n"/>
      <c r="I51" s="30" t="n"/>
      <c r="J51" s="34" t="n"/>
      <c r="K51" s="30" t="n"/>
    </row>
    <row r="52" ht="16" customHeight="1">
      <c r="A52" s="29" t="n">
        <v>47</v>
      </c>
      <c r="B52" s="30" t="n"/>
      <c r="C52" s="30" t="n"/>
      <c r="D52" s="31" t="n"/>
      <c r="E52" s="31" t="n"/>
      <c r="F52" s="32">
        <f>IF(AND(ISNUMBER(D52),ISNUMBER(E52)),E52-D52,"")</f>
        <v/>
      </c>
      <c r="G52" s="33">
        <f>IF(AND(ISNUMBER(D52),ISNUMBER(E52),D52&lt;&gt;0),(E52-D52)/D52,"")</f>
        <v/>
      </c>
      <c r="H52" s="30" t="n"/>
      <c r="I52" s="30" t="n"/>
      <c r="J52" s="34" t="n"/>
      <c r="K52" s="30" t="n"/>
    </row>
    <row r="53" ht="16" customHeight="1">
      <c r="A53" s="29" t="n">
        <v>48</v>
      </c>
      <c r="B53" s="30" t="n"/>
      <c r="C53" s="30" t="n"/>
      <c r="D53" s="31" t="n"/>
      <c r="E53" s="31" t="n"/>
      <c r="F53" s="35">
        <f>IF(AND(ISNUMBER(D53),ISNUMBER(E53)),E53-D53,"")</f>
        <v/>
      </c>
      <c r="G53" s="36">
        <f>IF(AND(ISNUMBER(D53),ISNUMBER(E53),D53&lt;&gt;0),(E53-D53)/D53,"")</f>
        <v/>
      </c>
      <c r="H53" s="30" t="n"/>
      <c r="I53" s="30" t="n"/>
      <c r="J53" s="34" t="n"/>
      <c r="K53" s="30" t="n"/>
    </row>
    <row r="54" ht="16" customHeight="1">
      <c r="A54" s="29" t="n">
        <v>49</v>
      </c>
      <c r="B54" s="30" t="n"/>
      <c r="C54" s="30" t="n"/>
      <c r="D54" s="31" t="n"/>
      <c r="E54" s="31" t="n"/>
      <c r="F54" s="32">
        <f>IF(AND(ISNUMBER(D54),ISNUMBER(E54)),E54-D54,"")</f>
        <v/>
      </c>
      <c r="G54" s="33">
        <f>IF(AND(ISNUMBER(D54),ISNUMBER(E54),D54&lt;&gt;0),(E54-D54)/D54,"")</f>
        <v/>
      </c>
      <c r="H54" s="30" t="n"/>
      <c r="I54" s="30" t="n"/>
      <c r="J54" s="34" t="n"/>
      <c r="K54" s="30" t="n"/>
    </row>
    <row r="55" ht="16" customHeight="1">
      <c r="A55" s="29" t="n">
        <v>50</v>
      </c>
      <c r="B55" s="30" t="n"/>
      <c r="C55" s="30" t="n"/>
      <c r="D55" s="31" t="n"/>
      <c r="E55" s="31" t="n"/>
      <c r="F55" s="35">
        <f>IF(AND(ISNUMBER(D55),ISNUMBER(E55)),E55-D55,"")</f>
        <v/>
      </c>
      <c r="G55" s="36">
        <f>IF(AND(ISNUMBER(D55),ISNUMBER(E55),D55&lt;&gt;0),(E55-D55)/D55,"")</f>
        <v/>
      </c>
      <c r="H55" s="30" t="n"/>
      <c r="I55" s="30" t="n"/>
      <c r="J55" s="34" t="n"/>
      <c r="K55" s="30" t="n"/>
    </row>
    <row r="56" ht="16" customHeight="1">
      <c r="A56" s="29" t="n">
        <v>51</v>
      </c>
      <c r="B56" s="30" t="n"/>
      <c r="C56" s="30" t="n"/>
      <c r="D56" s="31" t="n"/>
      <c r="E56" s="31" t="n"/>
      <c r="F56" s="32">
        <f>IF(AND(ISNUMBER(D56),ISNUMBER(E56)),E56-D56,"")</f>
        <v/>
      </c>
      <c r="G56" s="33">
        <f>IF(AND(ISNUMBER(D56),ISNUMBER(E56),D56&lt;&gt;0),(E56-D56)/D56,"")</f>
        <v/>
      </c>
      <c r="H56" s="30" t="n"/>
      <c r="I56" s="30" t="n"/>
      <c r="J56" s="34" t="n"/>
      <c r="K56" s="30" t="n"/>
    </row>
    <row r="57" ht="16" customHeight="1">
      <c r="A57" s="29" t="n">
        <v>52</v>
      </c>
      <c r="B57" s="30" t="n"/>
      <c r="C57" s="30" t="n"/>
      <c r="D57" s="31" t="n"/>
      <c r="E57" s="31" t="n"/>
      <c r="F57" s="35">
        <f>IF(AND(ISNUMBER(D57),ISNUMBER(E57)),E57-D57,"")</f>
        <v/>
      </c>
      <c r="G57" s="36">
        <f>IF(AND(ISNUMBER(D57),ISNUMBER(E57),D57&lt;&gt;0),(E57-D57)/D57,"")</f>
        <v/>
      </c>
      <c r="H57" s="30" t="n"/>
      <c r="I57" s="30" t="n"/>
      <c r="J57" s="34" t="n"/>
      <c r="K57" s="30" t="n"/>
    </row>
    <row r="58" ht="16" customHeight="1">
      <c r="A58" s="29" t="n">
        <v>53</v>
      </c>
      <c r="B58" s="30" t="n"/>
      <c r="C58" s="30" t="n"/>
      <c r="D58" s="31" t="n"/>
      <c r="E58" s="31" t="n"/>
      <c r="F58" s="32">
        <f>IF(AND(ISNUMBER(D58),ISNUMBER(E58)),E58-D58,"")</f>
        <v/>
      </c>
      <c r="G58" s="33">
        <f>IF(AND(ISNUMBER(D58),ISNUMBER(E58),D58&lt;&gt;0),(E58-D58)/D58,"")</f>
        <v/>
      </c>
      <c r="H58" s="30" t="n"/>
      <c r="I58" s="30" t="n"/>
      <c r="J58" s="34" t="n"/>
      <c r="K58" s="30" t="n"/>
    </row>
    <row r="59" ht="16" customHeight="1">
      <c r="A59" s="29" t="n">
        <v>54</v>
      </c>
      <c r="B59" s="30" t="n"/>
      <c r="C59" s="30" t="n"/>
      <c r="D59" s="31" t="n"/>
      <c r="E59" s="31" t="n"/>
      <c r="F59" s="35">
        <f>IF(AND(ISNUMBER(D59),ISNUMBER(E59)),E59-D59,"")</f>
        <v/>
      </c>
      <c r="G59" s="36">
        <f>IF(AND(ISNUMBER(D59),ISNUMBER(E59),D59&lt;&gt;0),(E59-D59)/D59,"")</f>
        <v/>
      </c>
      <c r="H59" s="30" t="n"/>
      <c r="I59" s="30" t="n"/>
      <c r="J59" s="34" t="n"/>
      <c r="K59" s="30" t="n"/>
    </row>
    <row r="60" ht="16" customHeight="1">
      <c r="A60" s="29" t="n">
        <v>55</v>
      </c>
      <c r="B60" s="30" t="n"/>
      <c r="C60" s="30" t="n"/>
      <c r="D60" s="31" t="n"/>
      <c r="E60" s="31" t="n"/>
      <c r="F60" s="32">
        <f>IF(AND(ISNUMBER(D60),ISNUMBER(E60)),E60-D60,"")</f>
        <v/>
      </c>
      <c r="G60" s="33">
        <f>IF(AND(ISNUMBER(D60),ISNUMBER(E60),D60&lt;&gt;0),(E60-D60)/D60,"")</f>
        <v/>
      </c>
      <c r="H60" s="30" t="n"/>
      <c r="I60" s="30" t="n"/>
      <c r="J60" s="34" t="n"/>
      <c r="K60" s="30" t="n"/>
    </row>
    <row r="61" ht="16" customHeight="1">
      <c r="A61" s="29" t="n">
        <v>56</v>
      </c>
      <c r="B61" s="30" t="n"/>
      <c r="C61" s="30" t="n"/>
      <c r="D61" s="31" t="n"/>
      <c r="E61" s="31" t="n"/>
      <c r="F61" s="35">
        <f>IF(AND(ISNUMBER(D61),ISNUMBER(E61)),E61-D61,"")</f>
        <v/>
      </c>
      <c r="G61" s="36">
        <f>IF(AND(ISNUMBER(D61),ISNUMBER(E61),D61&lt;&gt;0),(E61-D61)/D61,"")</f>
        <v/>
      </c>
      <c r="H61" s="30" t="n"/>
      <c r="I61" s="30" t="n"/>
      <c r="J61" s="34" t="n"/>
      <c r="K61" s="30" t="n"/>
    </row>
    <row r="62" ht="16" customHeight="1">
      <c r="A62" s="29" t="n">
        <v>57</v>
      </c>
      <c r="B62" s="30" t="n"/>
      <c r="C62" s="30" t="n"/>
      <c r="D62" s="31" t="n"/>
      <c r="E62" s="31" t="n"/>
      <c r="F62" s="32">
        <f>IF(AND(ISNUMBER(D62),ISNUMBER(E62)),E62-D62,"")</f>
        <v/>
      </c>
      <c r="G62" s="33">
        <f>IF(AND(ISNUMBER(D62),ISNUMBER(E62),D62&lt;&gt;0),(E62-D62)/D62,"")</f>
        <v/>
      </c>
      <c r="H62" s="30" t="n"/>
      <c r="I62" s="30" t="n"/>
      <c r="J62" s="34" t="n"/>
      <c r="K62" s="30" t="n"/>
    </row>
    <row r="63" ht="16" customHeight="1">
      <c r="A63" s="29" t="n">
        <v>58</v>
      </c>
      <c r="B63" s="30" t="n"/>
      <c r="C63" s="30" t="n"/>
      <c r="D63" s="31" t="n"/>
      <c r="E63" s="31" t="n"/>
      <c r="F63" s="35">
        <f>IF(AND(ISNUMBER(D63),ISNUMBER(E63)),E63-D63,"")</f>
        <v/>
      </c>
      <c r="G63" s="36">
        <f>IF(AND(ISNUMBER(D63),ISNUMBER(E63),D63&lt;&gt;0),(E63-D63)/D63,"")</f>
        <v/>
      </c>
      <c r="H63" s="30" t="n"/>
      <c r="I63" s="30" t="n"/>
      <c r="J63" s="34" t="n"/>
      <c r="K63" s="30" t="n"/>
    </row>
    <row r="64" ht="16" customHeight="1">
      <c r="A64" s="29" t="n">
        <v>59</v>
      </c>
      <c r="B64" s="30" t="n"/>
      <c r="C64" s="30" t="n"/>
      <c r="D64" s="31" t="n"/>
      <c r="E64" s="31" t="n"/>
      <c r="F64" s="32">
        <f>IF(AND(ISNUMBER(D64),ISNUMBER(E64)),E64-D64,"")</f>
        <v/>
      </c>
      <c r="G64" s="33">
        <f>IF(AND(ISNUMBER(D64),ISNUMBER(E64),D64&lt;&gt;0),(E64-D64)/D64,"")</f>
        <v/>
      </c>
      <c r="H64" s="30" t="n"/>
      <c r="I64" s="30" t="n"/>
      <c r="J64" s="34" t="n"/>
      <c r="K64" s="30" t="n"/>
    </row>
    <row r="65" ht="16" customHeight="1">
      <c r="A65" s="29" t="n">
        <v>60</v>
      </c>
      <c r="B65" s="30" t="n"/>
      <c r="C65" s="30" t="n"/>
      <c r="D65" s="31" t="n"/>
      <c r="E65" s="31" t="n"/>
      <c r="F65" s="35">
        <f>IF(AND(ISNUMBER(D65),ISNUMBER(E65)),E65-D65,"")</f>
        <v/>
      </c>
      <c r="G65" s="36">
        <f>IF(AND(ISNUMBER(D65),ISNUMBER(E65),D65&lt;&gt;0),(E65-D65)/D65,"")</f>
        <v/>
      </c>
      <c r="H65" s="30" t="n"/>
      <c r="I65" s="30" t="n"/>
      <c r="J65" s="34" t="n"/>
      <c r="K65" s="30" t="n"/>
    </row>
    <row r="66" ht="16" customHeight="1">
      <c r="A66" s="29" t="n">
        <v>61</v>
      </c>
      <c r="B66" s="30" t="n"/>
      <c r="C66" s="30" t="n"/>
      <c r="D66" s="31" t="n"/>
      <c r="E66" s="31" t="n"/>
      <c r="F66" s="32">
        <f>IF(AND(ISNUMBER(D66),ISNUMBER(E66)),E66-D66,"")</f>
        <v/>
      </c>
      <c r="G66" s="33">
        <f>IF(AND(ISNUMBER(D66),ISNUMBER(E66),D66&lt;&gt;0),(E66-D66)/D66,"")</f>
        <v/>
      </c>
      <c r="H66" s="30" t="n"/>
      <c r="I66" s="30" t="n"/>
      <c r="J66" s="34" t="n"/>
      <c r="K66" s="30" t="n"/>
    </row>
    <row r="67" ht="16" customHeight="1">
      <c r="A67" s="29" t="n">
        <v>62</v>
      </c>
      <c r="B67" s="30" t="n"/>
      <c r="C67" s="30" t="n"/>
      <c r="D67" s="31" t="n"/>
      <c r="E67" s="31" t="n"/>
      <c r="F67" s="35">
        <f>IF(AND(ISNUMBER(D67),ISNUMBER(E67)),E67-D67,"")</f>
        <v/>
      </c>
      <c r="G67" s="36">
        <f>IF(AND(ISNUMBER(D67),ISNUMBER(E67),D67&lt;&gt;0),(E67-D67)/D67,"")</f>
        <v/>
      </c>
      <c r="H67" s="30" t="n"/>
      <c r="I67" s="30" t="n"/>
      <c r="J67" s="34" t="n"/>
      <c r="K67" s="30" t="n"/>
    </row>
    <row r="68" ht="16" customHeight="1">
      <c r="A68" s="29" t="n">
        <v>63</v>
      </c>
      <c r="B68" s="30" t="n"/>
      <c r="C68" s="30" t="n"/>
      <c r="D68" s="31" t="n"/>
      <c r="E68" s="31" t="n"/>
      <c r="F68" s="32">
        <f>IF(AND(ISNUMBER(D68),ISNUMBER(E68)),E68-D68,"")</f>
        <v/>
      </c>
      <c r="G68" s="33">
        <f>IF(AND(ISNUMBER(D68),ISNUMBER(E68),D68&lt;&gt;0),(E68-D68)/D68,"")</f>
        <v/>
      </c>
      <c r="H68" s="30" t="n"/>
      <c r="I68" s="30" t="n"/>
      <c r="J68" s="34" t="n"/>
      <c r="K68" s="30" t="n"/>
    </row>
    <row r="69" ht="16" customHeight="1">
      <c r="A69" s="29" t="n">
        <v>64</v>
      </c>
      <c r="B69" s="30" t="n"/>
      <c r="C69" s="30" t="n"/>
      <c r="D69" s="31" t="n"/>
      <c r="E69" s="31" t="n"/>
      <c r="F69" s="35">
        <f>IF(AND(ISNUMBER(D69),ISNUMBER(E69)),E69-D69,"")</f>
        <v/>
      </c>
      <c r="G69" s="36">
        <f>IF(AND(ISNUMBER(D69),ISNUMBER(E69),D69&lt;&gt;0),(E69-D69)/D69,"")</f>
        <v/>
      </c>
      <c r="H69" s="30" t="n"/>
      <c r="I69" s="30" t="n"/>
      <c r="J69" s="34" t="n"/>
      <c r="K69" s="30" t="n"/>
    </row>
    <row r="70" ht="16" customHeight="1">
      <c r="A70" s="29" t="n">
        <v>65</v>
      </c>
      <c r="B70" s="30" t="n"/>
      <c r="C70" s="30" t="n"/>
      <c r="D70" s="31" t="n"/>
      <c r="E70" s="31" t="n"/>
      <c r="F70" s="32">
        <f>IF(AND(ISNUMBER(D70),ISNUMBER(E70)),E70-D70,"")</f>
        <v/>
      </c>
      <c r="G70" s="33">
        <f>IF(AND(ISNUMBER(D70),ISNUMBER(E70),D70&lt;&gt;0),(E70-D70)/D70,"")</f>
        <v/>
      </c>
      <c r="H70" s="30" t="n"/>
      <c r="I70" s="30" t="n"/>
      <c r="J70" s="34" t="n"/>
      <c r="K70" s="30" t="n"/>
    </row>
    <row r="71" ht="16" customHeight="1">
      <c r="A71" s="29" t="n">
        <v>66</v>
      </c>
      <c r="B71" s="30" t="n"/>
      <c r="C71" s="30" t="n"/>
      <c r="D71" s="31" t="n"/>
      <c r="E71" s="31" t="n"/>
      <c r="F71" s="35">
        <f>IF(AND(ISNUMBER(D71),ISNUMBER(E71)),E71-D71,"")</f>
        <v/>
      </c>
      <c r="G71" s="36">
        <f>IF(AND(ISNUMBER(D71),ISNUMBER(E71),D71&lt;&gt;0),(E71-D71)/D71,"")</f>
        <v/>
      </c>
      <c r="H71" s="30" t="n"/>
      <c r="I71" s="30" t="n"/>
      <c r="J71" s="34" t="n"/>
      <c r="K71" s="30" t="n"/>
    </row>
    <row r="72" ht="16" customHeight="1">
      <c r="A72" s="29" t="n">
        <v>67</v>
      </c>
      <c r="B72" s="30" t="n"/>
      <c r="C72" s="30" t="n"/>
      <c r="D72" s="31" t="n"/>
      <c r="E72" s="31" t="n"/>
      <c r="F72" s="32">
        <f>IF(AND(ISNUMBER(D72),ISNUMBER(E72)),E72-D72,"")</f>
        <v/>
      </c>
      <c r="G72" s="33">
        <f>IF(AND(ISNUMBER(D72),ISNUMBER(E72),D72&lt;&gt;0),(E72-D72)/D72,"")</f>
        <v/>
      </c>
      <c r="H72" s="30" t="n"/>
      <c r="I72" s="30" t="n"/>
      <c r="J72" s="34" t="n"/>
      <c r="K72" s="30" t="n"/>
    </row>
    <row r="73" ht="16" customHeight="1">
      <c r="A73" s="29" t="n">
        <v>68</v>
      </c>
      <c r="B73" s="30" t="n"/>
      <c r="C73" s="30" t="n"/>
      <c r="D73" s="31" t="n"/>
      <c r="E73" s="31" t="n"/>
      <c r="F73" s="35">
        <f>IF(AND(ISNUMBER(D73),ISNUMBER(E73)),E73-D73,"")</f>
        <v/>
      </c>
      <c r="G73" s="36">
        <f>IF(AND(ISNUMBER(D73),ISNUMBER(E73),D73&lt;&gt;0),(E73-D73)/D73,"")</f>
        <v/>
      </c>
      <c r="H73" s="30" t="n"/>
      <c r="I73" s="30" t="n"/>
      <c r="J73" s="34" t="n"/>
      <c r="K73" s="30" t="n"/>
    </row>
    <row r="74" ht="16" customHeight="1">
      <c r="A74" s="29" t="n">
        <v>69</v>
      </c>
      <c r="B74" s="30" t="n"/>
      <c r="C74" s="30" t="n"/>
      <c r="D74" s="31" t="n"/>
      <c r="E74" s="31" t="n"/>
      <c r="F74" s="32">
        <f>IF(AND(ISNUMBER(D74),ISNUMBER(E74)),E74-D74,"")</f>
        <v/>
      </c>
      <c r="G74" s="33">
        <f>IF(AND(ISNUMBER(D74),ISNUMBER(E74),D74&lt;&gt;0),(E74-D74)/D74,"")</f>
        <v/>
      </c>
      <c r="H74" s="30" t="n"/>
      <c r="I74" s="30" t="n"/>
      <c r="J74" s="34" t="n"/>
      <c r="K74" s="30" t="n"/>
    </row>
    <row r="75" ht="16" customHeight="1">
      <c r="A75" s="29" t="n">
        <v>70</v>
      </c>
      <c r="B75" s="30" t="n"/>
      <c r="C75" s="30" t="n"/>
      <c r="D75" s="31" t="n"/>
      <c r="E75" s="31" t="n"/>
      <c r="F75" s="35">
        <f>IF(AND(ISNUMBER(D75),ISNUMBER(E75)),E75-D75,"")</f>
        <v/>
      </c>
      <c r="G75" s="36">
        <f>IF(AND(ISNUMBER(D75),ISNUMBER(E75),D75&lt;&gt;0),(E75-D75)/D75,"")</f>
        <v/>
      </c>
      <c r="H75" s="30" t="n"/>
      <c r="I75" s="30" t="n"/>
      <c r="J75" s="34" t="n"/>
      <c r="K75" s="30" t="n"/>
    </row>
    <row r="76" ht="16" customHeight="1">
      <c r="A76" s="29" t="n">
        <v>71</v>
      </c>
      <c r="B76" s="30" t="n"/>
      <c r="C76" s="30" t="n"/>
      <c r="D76" s="31" t="n"/>
      <c r="E76" s="31" t="n"/>
      <c r="F76" s="32">
        <f>IF(AND(ISNUMBER(D76),ISNUMBER(E76)),E76-D76,"")</f>
        <v/>
      </c>
      <c r="G76" s="33">
        <f>IF(AND(ISNUMBER(D76),ISNUMBER(E76),D76&lt;&gt;0),(E76-D76)/D76,"")</f>
        <v/>
      </c>
      <c r="H76" s="30" t="n"/>
      <c r="I76" s="30" t="n"/>
      <c r="J76" s="34" t="n"/>
      <c r="K76" s="30" t="n"/>
    </row>
    <row r="77" ht="16" customHeight="1">
      <c r="A77" s="29" t="n">
        <v>72</v>
      </c>
      <c r="B77" s="30" t="n"/>
      <c r="C77" s="30" t="n"/>
      <c r="D77" s="31" t="n"/>
      <c r="E77" s="31" t="n"/>
      <c r="F77" s="35">
        <f>IF(AND(ISNUMBER(D77),ISNUMBER(E77)),E77-D77,"")</f>
        <v/>
      </c>
      <c r="G77" s="36">
        <f>IF(AND(ISNUMBER(D77),ISNUMBER(E77),D77&lt;&gt;0),(E77-D77)/D77,"")</f>
        <v/>
      </c>
      <c r="H77" s="30" t="n"/>
      <c r="I77" s="30" t="n"/>
      <c r="J77" s="34" t="n"/>
      <c r="K77" s="30" t="n"/>
    </row>
    <row r="78" ht="16" customHeight="1">
      <c r="A78" s="29" t="n">
        <v>73</v>
      </c>
      <c r="B78" s="30" t="n"/>
      <c r="C78" s="30" t="n"/>
      <c r="D78" s="31" t="n"/>
      <c r="E78" s="31" t="n"/>
      <c r="F78" s="32">
        <f>IF(AND(ISNUMBER(D78),ISNUMBER(E78)),E78-D78,"")</f>
        <v/>
      </c>
      <c r="G78" s="33">
        <f>IF(AND(ISNUMBER(D78),ISNUMBER(E78),D78&lt;&gt;0),(E78-D78)/D78,"")</f>
        <v/>
      </c>
      <c r="H78" s="30" t="n"/>
      <c r="I78" s="30" t="n"/>
      <c r="J78" s="34" t="n"/>
      <c r="K78" s="30" t="n"/>
    </row>
    <row r="79" ht="16" customHeight="1">
      <c r="A79" s="29" t="n">
        <v>74</v>
      </c>
      <c r="B79" s="30" t="n"/>
      <c r="C79" s="30" t="n"/>
      <c r="D79" s="31" t="n"/>
      <c r="E79" s="31" t="n"/>
      <c r="F79" s="35">
        <f>IF(AND(ISNUMBER(D79),ISNUMBER(E79)),E79-D79,"")</f>
        <v/>
      </c>
      <c r="G79" s="36">
        <f>IF(AND(ISNUMBER(D79),ISNUMBER(E79),D79&lt;&gt;0),(E79-D79)/D79,"")</f>
        <v/>
      </c>
      <c r="H79" s="30" t="n"/>
      <c r="I79" s="30" t="n"/>
      <c r="J79" s="34" t="n"/>
      <c r="K79" s="30" t="n"/>
    </row>
    <row r="80" ht="16" customHeight="1">
      <c r="A80" s="29" t="n">
        <v>75</v>
      </c>
      <c r="B80" s="30" t="n"/>
      <c r="C80" s="30" t="n"/>
      <c r="D80" s="31" t="n"/>
      <c r="E80" s="31" t="n"/>
      <c r="F80" s="32">
        <f>IF(AND(ISNUMBER(D80),ISNUMBER(E80)),E80-D80,"")</f>
        <v/>
      </c>
      <c r="G80" s="33">
        <f>IF(AND(ISNUMBER(D80),ISNUMBER(E80),D80&lt;&gt;0),(E80-D80)/D80,"")</f>
        <v/>
      </c>
      <c r="H80" s="30" t="n"/>
      <c r="I80" s="30" t="n"/>
      <c r="J80" s="34" t="n"/>
      <c r="K80" s="30" t="n"/>
    </row>
    <row r="81" ht="16" customHeight="1">
      <c r="A81" s="29" t="n">
        <v>76</v>
      </c>
      <c r="B81" s="30" t="n"/>
      <c r="C81" s="30" t="n"/>
      <c r="D81" s="31" t="n"/>
      <c r="E81" s="31" t="n"/>
      <c r="F81" s="35">
        <f>IF(AND(ISNUMBER(D81),ISNUMBER(E81)),E81-D81,"")</f>
        <v/>
      </c>
      <c r="G81" s="36">
        <f>IF(AND(ISNUMBER(D81),ISNUMBER(E81),D81&lt;&gt;0),(E81-D81)/D81,"")</f>
        <v/>
      </c>
      <c r="H81" s="30" t="n"/>
      <c r="I81" s="30" t="n"/>
      <c r="J81" s="34" t="n"/>
      <c r="K81" s="30" t="n"/>
    </row>
    <row r="82" ht="16" customHeight="1">
      <c r="A82" s="29" t="n">
        <v>77</v>
      </c>
      <c r="B82" s="30" t="n"/>
      <c r="C82" s="30" t="n"/>
      <c r="D82" s="31" t="n"/>
      <c r="E82" s="31" t="n"/>
      <c r="F82" s="32">
        <f>IF(AND(ISNUMBER(D82),ISNUMBER(E82)),E82-D82,"")</f>
        <v/>
      </c>
      <c r="G82" s="33">
        <f>IF(AND(ISNUMBER(D82),ISNUMBER(E82),D82&lt;&gt;0),(E82-D82)/D82,"")</f>
        <v/>
      </c>
      <c r="H82" s="30" t="n"/>
      <c r="I82" s="30" t="n"/>
      <c r="J82" s="34" t="n"/>
      <c r="K82" s="30" t="n"/>
    </row>
    <row r="83" ht="16" customHeight="1">
      <c r="A83" s="29" t="n">
        <v>78</v>
      </c>
      <c r="B83" s="30" t="n"/>
      <c r="C83" s="30" t="n"/>
      <c r="D83" s="31" t="n"/>
      <c r="E83" s="31" t="n"/>
      <c r="F83" s="35">
        <f>IF(AND(ISNUMBER(D83),ISNUMBER(E83)),E83-D83,"")</f>
        <v/>
      </c>
      <c r="G83" s="36">
        <f>IF(AND(ISNUMBER(D83),ISNUMBER(E83),D83&lt;&gt;0),(E83-D83)/D83,"")</f>
        <v/>
      </c>
      <c r="H83" s="30" t="n"/>
      <c r="I83" s="30" t="n"/>
      <c r="J83" s="34" t="n"/>
      <c r="K83" s="30" t="n"/>
    </row>
    <row r="84" ht="16" customHeight="1">
      <c r="A84" s="29" t="n">
        <v>79</v>
      </c>
      <c r="B84" s="30" t="n"/>
      <c r="C84" s="30" t="n"/>
      <c r="D84" s="31" t="n"/>
      <c r="E84" s="31" t="n"/>
      <c r="F84" s="32">
        <f>IF(AND(ISNUMBER(D84),ISNUMBER(E84)),E84-D84,"")</f>
        <v/>
      </c>
      <c r="G84" s="33">
        <f>IF(AND(ISNUMBER(D84),ISNUMBER(E84),D84&lt;&gt;0),(E84-D84)/D84,"")</f>
        <v/>
      </c>
      <c r="H84" s="30" t="n"/>
      <c r="I84" s="30" t="n"/>
      <c r="J84" s="34" t="n"/>
      <c r="K84" s="30" t="n"/>
    </row>
    <row r="85" ht="16" customHeight="1">
      <c r="A85" s="29" t="n">
        <v>80</v>
      </c>
      <c r="B85" s="30" t="n"/>
      <c r="C85" s="30" t="n"/>
      <c r="D85" s="31" t="n"/>
      <c r="E85" s="31" t="n"/>
      <c r="F85" s="35">
        <f>IF(AND(ISNUMBER(D85),ISNUMBER(E85)),E85-D85,"")</f>
        <v/>
      </c>
      <c r="G85" s="36">
        <f>IF(AND(ISNUMBER(D85),ISNUMBER(E85),D85&lt;&gt;0),(E85-D85)/D85,"")</f>
        <v/>
      </c>
      <c r="H85" s="30" t="n"/>
      <c r="I85" s="30" t="n"/>
      <c r="J85" s="34" t="n"/>
      <c r="K85" s="30" t="n"/>
    </row>
    <row r="86" ht="16" customHeight="1">
      <c r="A86" s="29" t="n">
        <v>81</v>
      </c>
      <c r="B86" s="30" t="n"/>
      <c r="C86" s="30" t="n"/>
      <c r="D86" s="31" t="n"/>
      <c r="E86" s="31" t="n"/>
      <c r="F86" s="32">
        <f>IF(AND(ISNUMBER(D86),ISNUMBER(E86)),E86-D86,"")</f>
        <v/>
      </c>
      <c r="G86" s="33">
        <f>IF(AND(ISNUMBER(D86),ISNUMBER(E86),D86&lt;&gt;0),(E86-D86)/D86,"")</f>
        <v/>
      </c>
      <c r="H86" s="30" t="n"/>
      <c r="I86" s="30" t="n"/>
      <c r="J86" s="34" t="n"/>
      <c r="K86" s="30" t="n"/>
    </row>
    <row r="87" ht="16" customHeight="1">
      <c r="A87" s="29" t="n">
        <v>82</v>
      </c>
      <c r="B87" s="30" t="n"/>
      <c r="C87" s="30" t="n"/>
      <c r="D87" s="31" t="n"/>
      <c r="E87" s="31" t="n"/>
      <c r="F87" s="35">
        <f>IF(AND(ISNUMBER(D87),ISNUMBER(E87)),E87-D87,"")</f>
        <v/>
      </c>
      <c r="G87" s="36">
        <f>IF(AND(ISNUMBER(D87),ISNUMBER(E87),D87&lt;&gt;0),(E87-D87)/D87,"")</f>
        <v/>
      </c>
      <c r="H87" s="30" t="n"/>
      <c r="I87" s="30" t="n"/>
      <c r="J87" s="34" t="n"/>
      <c r="K87" s="30" t="n"/>
    </row>
    <row r="88" ht="16" customHeight="1">
      <c r="A88" s="29" t="n">
        <v>83</v>
      </c>
      <c r="B88" s="30" t="n"/>
      <c r="C88" s="30" t="n"/>
      <c r="D88" s="31" t="n"/>
      <c r="E88" s="31" t="n"/>
      <c r="F88" s="32">
        <f>IF(AND(ISNUMBER(D88),ISNUMBER(E88)),E88-D88,"")</f>
        <v/>
      </c>
      <c r="G88" s="33">
        <f>IF(AND(ISNUMBER(D88),ISNUMBER(E88),D88&lt;&gt;0),(E88-D88)/D88,"")</f>
        <v/>
      </c>
      <c r="H88" s="30" t="n"/>
      <c r="I88" s="30" t="n"/>
      <c r="J88" s="34" t="n"/>
      <c r="K88" s="30" t="n"/>
    </row>
    <row r="89" ht="16" customHeight="1">
      <c r="A89" s="29" t="n">
        <v>84</v>
      </c>
      <c r="B89" s="30" t="n"/>
      <c r="C89" s="30" t="n"/>
      <c r="D89" s="31" t="n"/>
      <c r="E89" s="31" t="n"/>
      <c r="F89" s="35">
        <f>IF(AND(ISNUMBER(D89),ISNUMBER(E89)),E89-D89,"")</f>
        <v/>
      </c>
      <c r="G89" s="36">
        <f>IF(AND(ISNUMBER(D89),ISNUMBER(E89),D89&lt;&gt;0),(E89-D89)/D89,"")</f>
        <v/>
      </c>
      <c r="H89" s="30" t="n"/>
      <c r="I89" s="30" t="n"/>
      <c r="J89" s="34" t="n"/>
      <c r="K89" s="30" t="n"/>
    </row>
    <row r="90" ht="16" customHeight="1">
      <c r="A90" s="29" t="n">
        <v>85</v>
      </c>
      <c r="B90" s="30" t="n"/>
      <c r="C90" s="30" t="n"/>
      <c r="D90" s="31" t="n"/>
      <c r="E90" s="31" t="n"/>
      <c r="F90" s="32">
        <f>IF(AND(ISNUMBER(D90),ISNUMBER(E90)),E90-D90,"")</f>
        <v/>
      </c>
      <c r="G90" s="33">
        <f>IF(AND(ISNUMBER(D90),ISNUMBER(E90),D90&lt;&gt;0),(E90-D90)/D90,"")</f>
        <v/>
      </c>
      <c r="H90" s="30" t="n"/>
      <c r="I90" s="30" t="n"/>
      <c r="J90" s="34" t="n"/>
      <c r="K90" s="30" t="n"/>
    </row>
    <row r="91" ht="16" customHeight="1">
      <c r="A91" s="29" t="n">
        <v>86</v>
      </c>
      <c r="B91" s="30" t="n"/>
      <c r="C91" s="30" t="n"/>
      <c r="D91" s="31" t="n"/>
      <c r="E91" s="31" t="n"/>
      <c r="F91" s="35">
        <f>IF(AND(ISNUMBER(D91),ISNUMBER(E91)),E91-D91,"")</f>
        <v/>
      </c>
      <c r="G91" s="36">
        <f>IF(AND(ISNUMBER(D91),ISNUMBER(E91),D91&lt;&gt;0),(E91-D91)/D91,"")</f>
        <v/>
      </c>
      <c r="H91" s="30" t="n"/>
      <c r="I91" s="30" t="n"/>
      <c r="J91" s="34" t="n"/>
      <c r="K91" s="30" t="n"/>
    </row>
    <row r="92" ht="16" customHeight="1">
      <c r="A92" s="29" t="n">
        <v>87</v>
      </c>
      <c r="B92" s="30" t="n"/>
      <c r="C92" s="30" t="n"/>
      <c r="D92" s="31" t="n"/>
      <c r="E92" s="31" t="n"/>
      <c r="F92" s="32">
        <f>IF(AND(ISNUMBER(D92),ISNUMBER(E92)),E92-D92,"")</f>
        <v/>
      </c>
      <c r="G92" s="33">
        <f>IF(AND(ISNUMBER(D92),ISNUMBER(E92),D92&lt;&gt;0),(E92-D92)/D92,"")</f>
        <v/>
      </c>
      <c r="H92" s="30" t="n"/>
      <c r="I92" s="30" t="n"/>
      <c r="J92" s="34" t="n"/>
      <c r="K92" s="30" t="n"/>
    </row>
    <row r="93" ht="16" customHeight="1">
      <c r="A93" s="29" t="n">
        <v>88</v>
      </c>
      <c r="B93" s="30" t="n"/>
      <c r="C93" s="30" t="n"/>
      <c r="D93" s="31" t="n"/>
      <c r="E93" s="31" t="n"/>
      <c r="F93" s="35">
        <f>IF(AND(ISNUMBER(D93),ISNUMBER(E93)),E93-D93,"")</f>
        <v/>
      </c>
      <c r="G93" s="36">
        <f>IF(AND(ISNUMBER(D93),ISNUMBER(E93),D93&lt;&gt;0),(E93-D93)/D93,"")</f>
        <v/>
      </c>
      <c r="H93" s="30" t="n"/>
      <c r="I93" s="30" t="n"/>
      <c r="J93" s="34" t="n"/>
      <c r="K93" s="30" t="n"/>
    </row>
    <row r="94" ht="16" customHeight="1">
      <c r="A94" s="29" t="n">
        <v>89</v>
      </c>
      <c r="B94" s="30" t="n"/>
      <c r="C94" s="30" t="n"/>
      <c r="D94" s="31" t="n"/>
      <c r="E94" s="31" t="n"/>
      <c r="F94" s="32">
        <f>IF(AND(ISNUMBER(D94),ISNUMBER(E94)),E94-D94,"")</f>
        <v/>
      </c>
      <c r="G94" s="33">
        <f>IF(AND(ISNUMBER(D94),ISNUMBER(E94),D94&lt;&gt;0),(E94-D94)/D94,"")</f>
        <v/>
      </c>
      <c r="H94" s="30" t="n"/>
      <c r="I94" s="30" t="n"/>
      <c r="J94" s="34" t="n"/>
      <c r="K94" s="30" t="n"/>
    </row>
    <row r="95" ht="16" customHeight="1">
      <c r="A95" s="29" t="n">
        <v>90</v>
      </c>
      <c r="B95" s="30" t="n"/>
      <c r="C95" s="30" t="n"/>
      <c r="D95" s="31" t="n"/>
      <c r="E95" s="31" t="n"/>
      <c r="F95" s="35">
        <f>IF(AND(ISNUMBER(D95),ISNUMBER(E95)),E95-D95,"")</f>
        <v/>
      </c>
      <c r="G95" s="36">
        <f>IF(AND(ISNUMBER(D95),ISNUMBER(E95),D95&lt;&gt;0),(E95-D95)/D95,"")</f>
        <v/>
      </c>
      <c r="H95" s="30" t="n"/>
      <c r="I95" s="30" t="n"/>
      <c r="J95" s="34" t="n"/>
      <c r="K95" s="30" t="n"/>
    </row>
    <row r="96" ht="16" customHeight="1">
      <c r="A96" s="29" t="n">
        <v>91</v>
      </c>
      <c r="B96" s="30" t="n"/>
      <c r="C96" s="30" t="n"/>
      <c r="D96" s="31" t="n"/>
      <c r="E96" s="31" t="n"/>
      <c r="F96" s="32">
        <f>IF(AND(ISNUMBER(D96),ISNUMBER(E96)),E96-D96,"")</f>
        <v/>
      </c>
      <c r="G96" s="33">
        <f>IF(AND(ISNUMBER(D96),ISNUMBER(E96),D96&lt;&gt;0),(E96-D96)/D96,"")</f>
        <v/>
      </c>
      <c r="H96" s="30" t="n"/>
      <c r="I96" s="30" t="n"/>
      <c r="J96" s="34" t="n"/>
      <c r="K96" s="30" t="n"/>
    </row>
    <row r="97" ht="16" customHeight="1">
      <c r="A97" s="29" t="n">
        <v>92</v>
      </c>
      <c r="B97" s="30" t="n"/>
      <c r="C97" s="30" t="n"/>
      <c r="D97" s="31" t="n"/>
      <c r="E97" s="31" t="n"/>
      <c r="F97" s="35">
        <f>IF(AND(ISNUMBER(D97),ISNUMBER(E97)),E97-D97,"")</f>
        <v/>
      </c>
      <c r="G97" s="36">
        <f>IF(AND(ISNUMBER(D97),ISNUMBER(E97),D97&lt;&gt;0),(E97-D97)/D97,"")</f>
        <v/>
      </c>
      <c r="H97" s="30" t="n"/>
      <c r="I97" s="30" t="n"/>
      <c r="J97" s="34" t="n"/>
      <c r="K97" s="30" t="n"/>
    </row>
    <row r="98" ht="16" customHeight="1">
      <c r="A98" s="29" t="n">
        <v>93</v>
      </c>
      <c r="B98" s="30" t="n"/>
      <c r="C98" s="30" t="n"/>
      <c r="D98" s="31" t="n"/>
      <c r="E98" s="31" t="n"/>
      <c r="F98" s="32">
        <f>IF(AND(ISNUMBER(D98),ISNUMBER(E98)),E98-D98,"")</f>
        <v/>
      </c>
      <c r="G98" s="33">
        <f>IF(AND(ISNUMBER(D98),ISNUMBER(E98),D98&lt;&gt;0),(E98-D98)/D98,"")</f>
        <v/>
      </c>
      <c r="H98" s="30" t="n"/>
      <c r="I98" s="30" t="n"/>
      <c r="J98" s="34" t="n"/>
      <c r="K98" s="30" t="n"/>
    </row>
    <row r="99" ht="16" customHeight="1">
      <c r="A99" s="29" t="n">
        <v>94</v>
      </c>
      <c r="B99" s="30" t="n"/>
      <c r="C99" s="30" t="n"/>
      <c r="D99" s="31" t="n"/>
      <c r="E99" s="31" t="n"/>
      <c r="F99" s="35">
        <f>IF(AND(ISNUMBER(D99),ISNUMBER(E99)),E99-D99,"")</f>
        <v/>
      </c>
      <c r="G99" s="36">
        <f>IF(AND(ISNUMBER(D99),ISNUMBER(E99),D99&lt;&gt;0),(E99-D99)/D99,"")</f>
        <v/>
      </c>
      <c r="H99" s="30" t="n"/>
      <c r="I99" s="30" t="n"/>
      <c r="J99" s="34" t="n"/>
      <c r="K99" s="30" t="n"/>
    </row>
    <row r="100" ht="16" customHeight="1">
      <c r="A100" s="29" t="n">
        <v>95</v>
      </c>
      <c r="B100" s="30" t="n"/>
      <c r="C100" s="30" t="n"/>
      <c r="D100" s="31" t="n"/>
      <c r="E100" s="31" t="n"/>
      <c r="F100" s="32">
        <f>IF(AND(ISNUMBER(D100),ISNUMBER(E100)),E100-D100,"")</f>
        <v/>
      </c>
      <c r="G100" s="33">
        <f>IF(AND(ISNUMBER(D100),ISNUMBER(E100),D100&lt;&gt;0),(E100-D100)/D100,"")</f>
        <v/>
      </c>
      <c r="H100" s="30" t="n"/>
      <c r="I100" s="30" t="n"/>
      <c r="J100" s="34" t="n"/>
      <c r="K100" s="30" t="n"/>
    </row>
    <row r="101" ht="16" customHeight="1">
      <c r="A101" s="29" t="n">
        <v>96</v>
      </c>
      <c r="B101" s="30" t="n"/>
      <c r="C101" s="30" t="n"/>
      <c r="D101" s="31" t="n"/>
      <c r="E101" s="31" t="n"/>
      <c r="F101" s="35">
        <f>IF(AND(ISNUMBER(D101),ISNUMBER(E101)),E101-D101,"")</f>
        <v/>
      </c>
      <c r="G101" s="36">
        <f>IF(AND(ISNUMBER(D101),ISNUMBER(E101),D101&lt;&gt;0),(E101-D101)/D101,"")</f>
        <v/>
      </c>
      <c r="H101" s="30" t="n"/>
      <c r="I101" s="30" t="n"/>
      <c r="J101" s="34" t="n"/>
      <c r="K101" s="30" t="n"/>
    </row>
    <row r="102" ht="16" customHeight="1">
      <c r="A102" s="29" t="n">
        <v>97</v>
      </c>
      <c r="B102" s="30" t="n"/>
      <c r="C102" s="30" t="n"/>
      <c r="D102" s="31" t="n"/>
      <c r="E102" s="31" t="n"/>
      <c r="F102" s="32">
        <f>IF(AND(ISNUMBER(D102),ISNUMBER(E102)),E102-D102,"")</f>
        <v/>
      </c>
      <c r="G102" s="33">
        <f>IF(AND(ISNUMBER(D102),ISNUMBER(E102),D102&lt;&gt;0),(E102-D102)/D102,"")</f>
        <v/>
      </c>
      <c r="H102" s="30" t="n"/>
      <c r="I102" s="30" t="n"/>
      <c r="J102" s="34" t="n"/>
      <c r="K102" s="30" t="n"/>
    </row>
    <row r="103" ht="16" customHeight="1">
      <c r="A103" s="29" t="n">
        <v>98</v>
      </c>
      <c r="B103" s="30" t="n"/>
      <c r="C103" s="30" t="n"/>
      <c r="D103" s="31" t="n"/>
      <c r="E103" s="31" t="n"/>
      <c r="F103" s="35">
        <f>IF(AND(ISNUMBER(D103),ISNUMBER(E103)),E103-D103,"")</f>
        <v/>
      </c>
      <c r="G103" s="36">
        <f>IF(AND(ISNUMBER(D103),ISNUMBER(E103),D103&lt;&gt;0),(E103-D103)/D103,"")</f>
        <v/>
      </c>
      <c r="H103" s="30" t="n"/>
      <c r="I103" s="30" t="n"/>
      <c r="J103" s="34" t="n"/>
      <c r="K103" s="30" t="n"/>
    </row>
    <row r="104" ht="16" customHeight="1">
      <c r="A104" s="29" t="n">
        <v>99</v>
      </c>
      <c r="B104" s="30" t="n"/>
      <c r="C104" s="30" t="n"/>
      <c r="D104" s="31" t="n"/>
      <c r="E104" s="31" t="n"/>
      <c r="F104" s="32">
        <f>IF(AND(ISNUMBER(D104),ISNUMBER(E104)),E104-D104,"")</f>
        <v/>
      </c>
      <c r="G104" s="33">
        <f>IF(AND(ISNUMBER(D104),ISNUMBER(E104),D104&lt;&gt;0),(E104-D104)/D104,"")</f>
        <v/>
      </c>
      <c r="H104" s="30" t="n"/>
      <c r="I104" s="30" t="n"/>
      <c r="J104" s="34" t="n"/>
      <c r="K104" s="30" t="n"/>
    </row>
    <row r="105" ht="16" customHeight="1">
      <c r="A105" s="29" t="n">
        <v>100</v>
      </c>
      <c r="B105" s="30" t="n"/>
      <c r="C105" s="30" t="n"/>
      <c r="D105" s="31" t="n"/>
      <c r="E105" s="31" t="n"/>
      <c r="F105" s="35">
        <f>IF(AND(ISNUMBER(D105),ISNUMBER(E105)),E105-D105,"")</f>
        <v/>
      </c>
      <c r="G105" s="36">
        <f>IF(AND(ISNUMBER(D105),ISNUMBER(E105),D105&lt;&gt;0),(E105-D105)/D105,"")</f>
        <v/>
      </c>
      <c r="H105" s="30" t="n"/>
      <c r="I105" s="30" t="n"/>
      <c r="J105" s="34" t="n"/>
      <c r="K105" s="30" t="n"/>
    </row>
    <row r="106" ht="24" customHeight="1">
      <c r="A106" s="1" t="n"/>
      <c r="B106" s="1" t="n"/>
      <c r="C106" s="37" t="inlineStr">
        <is>
          <t>TOTALS</t>
        </is>
      </c>
      <c r="D106" s="38">
        <f>SUM(D6:D105)</f>
        <v/>
      </c>
      <c r="E106" s="38">
        <f>SUM(E6:E105)</f>
        <v/>
      </c>
      <c r="F106" s="38">
        <f>SUM(F6:F105)</f>
        <v/>
      </c>
      <c r="G106" s="39">
        <f>IFERROR((E106-D106)/D106,0)</f>
        <v/>
      </c>
      <c r="H106" s="1" t="n"/>
      <c r="I106" s="1" t="n"/>
      <c r="J106" s="1" t="n"/>
      <c r="K106" s="1" t="n"/>
    </row>
  </sheetData>
  <mergeCells count="4">
    <mergeCell ref="A4:K4"/>
    <mergeCell ref="J2:L2"/>
    <mergeCell ref="D2:I2"/>
    <mergeCell ref="A2:C2"/>
  </mergeCells>
  <conditionalFormatting sqref="G6:G105">
    <cfRule type="expression" priority="1" dxfId="0">
      <formula>AND(ISNUMBER(G6),G6&gt;0.15)</formula>
    </cfRule>
    <cfRule type="expression" priority="2" dxfId="1">
      <formula>AND(ISNUMBER(G6),G6&gt;0.05,G6&lt;=0.15)</formula>
    </cfRule>
    <cfRule type="expression" priority="3" dxfId="2">
      <formula>AND(ISNUMBER(G6),G6&lt;=0.05)</formula>
    </cfRule>
  </conditionalFormatting>
  <dataValidations count="3">
    <dataValidation sqref="B6:B105" showDropDown="0" showInputMessage="0" showErrorMessage="0" allowBlank="1" type="list">
      <formula1>"Demolition,Plumbing,Electrical,HVAC,Drywall,Flooring,Cabinets,Countertops,Appliances,Painting,Fixtures,Furniture,Decor,Outdoor,Permits,Misc"</formula1>
    </dataValidation>
    <dataValidation sqref="I6:I105" showDropDown="0" showInputMessage="0" showErrorMessage="0" allowBlank="1" type="list">
      <formula1>"Estimate only,Deposit paid,In progress,Complete,Paid in full"</formula1>
    </dataValidation>
    <dataValidation sqref="J6:J105" showDropDown="0" showInputMessage="0" showErrorMessage="0" allowBlank="1" type="list">
      <formula1>"Capex,Repair"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0" customWidth="1" min="6" max="6"/>
    <col width="4" customWidth="1" min="7" max="7"/>
    <col width="18" customWidth="1" min="8" max="8"/>
    <col width="14" customWidth="1" min="9" max="9"/>
    <col width="1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HYPERLINK("#'Budget Detail'!A1", "← BACK")</f>
        <v/>
      </c>
      <c r="B2" s="16" t="n"/>
      <c r="C2" s="16" t="n"/>
      <c r="D2" s="26" t="inlineStr">
        <is>
          <t>COST ALLOCATION</t>
        </is>
      </c>
      <c r="J2" s="19">
        <f>HYPERLINK("#'ROI Projection'!A1",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By-category roll-up · Capex vs Repair split · Spend by category pie</t>
        </is>
      </c>
    </row>
    <row r="6" ht="22" customHeight="1">
      <c r="B6" s="28" t="inlineStr">
        <is>
          <t>Category</t>
        </is>
      </c>
      <c r="C6" s="28" t="inlineStr">
        <is>
          <t>Estimate</t>
        </is>
      </c>
      <c r="D6" s="28" t="inlineStr">
        <is>
          <t>Actual</t>
        </is>
      </c>
      <c r="E6" s="28" t="inlineStr">
        <is>
          <t>Variance</t>
        </is>
      </c>
      <c r="F6" s="28" t="inlineStr">
        <is>
          <t>Var %</t>
        </is>
      </c>
      <c r="H6" s="28" t="inlineStr">
        <is>
          <t>Classification</t>
        </is>
      </c>
      <c r="I6" s="28" t="inlineStr">
        <is>
          <t>Estimate</t>
        </is>
      </c>
      <c r="J6" s="28" t="inlineStr">
        <is>
          <t>Actual</t>
        </is>
      </c>
    </row>
    <row r="7" ht="16" customHeight="1">
      <c r="B7" s="40" t="inlineStr">
        <is>
          <t>Demolition</t>
        </is>
      </c>
      <c r="C7" s="41">
        <f>SUMIFS('Budget Detail'!D6:D105,'Budget Detail'!B6:B105,B7)</f>
        <v/>
      </c>
      <c r="D7" s="41">
        <f>SUMIFS('Budget Detail'!E6:E105,'Budget Detail'!B6:B105,B7)</f>
        <v/>
      </c>
      <c r="E7" s="32">
        <f>D7-C7</f>
        <v/>
      </c>
      <c r="F7" s="33">
        <f>IFERROR((D7-C7)/C7,0)</f>
        <v/>
      </c>
      <c r="H7" s="42" t="inlineStr">
        <is>
          <t>Capex</t>
        </is>
      </c>
      <c r="I7" s="41">
        <f>SUMIFS('Budget Detail'!D6:D105,'Budget Detail'!J6:J105,H7)</f>
        <v/>
      </c>
      <c r="J7" s="41">
        <f>SUMIFS('Budget Detail'!E6:E105,'Budget Detail'!J6:J105,H7)</f>
        <v/>
      </c>
    </row>
    <row r="8" ht="16" customHeight="1">
      <c r="B8" s="40" t="inlineStr">
        <is>
          <t>Plumbing</t>
        </is>
      </c>
      <c r="C8" s="41">
        <f>SUMIFS('Budget Detail'!D6:D105,'Budget Detail'!B6:B105,B8)</f>
        <v/>
      </c>
      <c r="D8" s="41">
        <f>SUMIFS('Budget Detail'!E6:E105,'Budget Detail'!B6:B105,B8)</f>
        <v/>
      </c>
      <c r="E8" s="32">
        <f>D8-C8</f>
        <v/>
      </c>
      <c r="F8" s="33">
        <f>IFERROR((D8-C8)/C8,0)</f>
        <v/>
      </c>
      <c r="H8" s="42" t="inlineStr">
        <is>
          <t>Repair</t>
        </is>
      </c>
      <c r="I8" s="41">
        <f>SUMIFS('Budget Detail'!D6:D105,'Budget Detail'!J6:J105,H8)</f>
        <v/>
      </c>
      <c r="J8" s="41">
        <f>SUMIFS('Budget Detail'!E6:E105,'Budget Detail'!J6:J105,H8)</f>
        <v/>
      </c>
    </row>
    <row r="9" ht="22" customHeight="1">
      <c r="B9" s="40" t="inlineStr">
        <is>
          <t>Electrical</t>
        </is>
      </c>
      <c r="C9" s="41">
        <f>SUMIFS('Budget Detail'!D6:D105,'Budget Detail'!B6:B105,B9)</f>
        <v/>
      </c>
      <c r="D9" s="41">
        <f>SUMIFS('Budget Detail'!E6:E105,'Budget Detail'!B6:B105,B9)</f>
        <v/>
      </c>
      <c r="E9" s="32">
        <f>D9-C9</f>
        <v/>
      </c>
      <c r="F9" s="33">
        <f>IFERROR((D9-C9)/C9,0)</f>
        <v/>
      </c>
      <c r="H9" s="43" t="inlineStr">
        <is>
          <t>TOTAL</t>
        </is>
      </c>
      <c r="I9" s="44">
        <f>SUM(I7:I8)</f>
        <v/>
      </c>
      <c r="J9" s="44">
        <f>SUM(J7:J8)</f>
        <v/>
      </c>
    </row>
    <row r="10" ht="16" customHeight="1">
      <c r="B10" s="40" t="inlineStr">
        <is>
          <t>HVAC</t>
        </is>
      </c>
      <c r="C10" s="41">
        <f>SUMIFS('Budget Detail'!D6:D105,'Budget Detail'!B6:B105,B10)</f>
        <v/>
      </c>
      <c r="D10" s="41">
        <f>SUMIFS('Budget Detail'!E6:E105,'Budget Detail'!B6:B105,B10)</f>
        <v/>
      </c>
      <c r="E10" s="32">
        <f>D10-C10</f>
        <v/>
      </c>
      <c r="F10" s="33">
        <f>IFERROR((D10-C10)/C10,0)</f>
        <v/>
      </c>
    </row>
    <row r="11" ht="16" customHeight="1">
      <c r="B11" s="40" t="inlineStr">
        <is>
          <t>Drywall</t>
        </is>
      </c>
      <c r="C11" s="41">
        <f>SUMIFS('Budget Detail'!D6:D105,'Budget Detail'!B6:B105,B11)</f>
        <v/>
      </c>
      <c r="D11" s="41">
        <f>SUMIFS('Budget Detail'!E6:E105,'Budget Detail'!B6:B105,B11)</f>
        <v/>
      </c>
      <c r="E11" s="32">
        <f>D11-C11</f>
        <v/>
      </c>
      <c r="F11" s="33">
        <f>IFERROR((D11-C11)/C11,0)</f>
        <v/>
      </c>
      <c r="H11" s="45" t="inlineStr">
        <is>
          <t>Capex = depreciated over time (typically 27.5 yr res / 5-15 yr via cost seg). Repair = deductible in the year incurred. Hand this split to your CPA.</t>
        </is>
      </c>
    </row>
    <row r="12" ht="16" customHeight="1">
      <c r="B12" s="40" t="inlineStr">
        <is>
          <t>Flooring</t>
        </is>
      </c>
      <c r="C12" s="41">
        <f>SUMIFS('Budget Detail'!D6:D105,'Budget Detail'!B6:B105,B12)</f>
        <v/>
      </c>
      <c r="D12" s="41">
        <f>SUMIFS('Budget Detail'!E6:E105,'Budget Detail'!B6:B105,B12)</f>
        <v/>
      </c>
      <c r="E12" s="32">
        <f>D12-C12</f>
        <v/>
      </c>
      <c r="F12" s="33">
        <f>IFERROR((D12-C12)/C12,0)</f>
        <v/>
      </c>
    </row>
    <row r="13" ht="16" customHeight="1">
      <c r="B13" s="40" t="inlineStr">
        <is>
          <t>Cabinets</t>
        </is>
      </c>
      <c r="C13" s="41">
        <f>SUMIFS('Budget Detail'!D6:D105,'Budget Detail'!B6:B105,B13)</f>
        <v/>
      </c>
      <c r="D13" s="41">
        <f>SUMIFS('Budget Detail'!E6:E105,'Budget Detail'!B6:B105,B13)</f>
        <v/>
      </c>
      <c r="E13" s="32">
        <f>D13-C13</f>
        <v/>
      </c>
      <c r="F13" s="33">
        <f>IFERROR((D13-C13)/C13,0)</f>
        <v/>
      </c>
    </row>
    <row r="14" ht="16" customHeight="1">
      <c r="B14" s="40" t="inlineStr">
        <is>
          <t>Countertops</t>
        </is>
      </c>
      <c r="C14" s="41">
        <f>SUMIFS('Budget Detail'!D6:D105,'Budget Detail'!B6:B105,B14)</f>
        <v/>
      </c>
      <c r="D14" s="41">
        <f>SUMIFS('Budget Detail'!E6:E105,'Budget Detail'!B6:B105,B14)</f>
        <v/>
      </c>
      <c r="E14" s="32">
        <f>D14-C14</f>
        <v/>
      </c>
      <c r="F14" s="33">
        <f>IFERROR((D14-C14)/C14,0)</f>
        <v/>
      </c>
    </row>
    <row r="15" ht="16" customHeight="1">
      <c r="B15" s="40" t="inlineStr">
        <is>
          <t>Appliances</t>
        </is>
      </c>
      <c r="C15" s="41">
        <f>SUMIFS('Budget Detail'!D6:D105,'Budget Detail'!B6:B105,B15)</f>
        <v/>
      </c>
      <c r="D15" s="41">
        <f>SUMIFS('Budget Detail'!E6:E105,'Budget Detail'!B6:B105,B15)</f>
        <v/>
      </c>
      <c r="E15" s="32">
        <f>D15-C15</f>
        <v/>
      </c>
      <c r="F15" s="33">
        <f>IFERROR((D15-C15)/C15,0)</f>
        <v/>
      </c>
    </row>
    <row r="16" ht="16" customHeight="1">
      <c r="B16" s="40" t="inlineStr">
        <is>
          <t>Painting</t>
        </is>
      </c>
      <c r="C16" s="41">
        <f>SUMIFS('Budget Detail'!D6:D105,'Budget Detail'!B6:B105,B16)</f>
        <v/>
      </c>
      <c r="D16" s="41">
        <f>SUMIFS('Budget Detail'!E6:E105,'Budget Detail'!B6:B105,B16)</f>
        <v/>
      </c>
      <c r="E16" s="32">
        <f>D16-C16</f>
        <v/>
      </c>
      <c r="F16" s="33">
        <f>IFERROR((D16-C16)/C16,0)</f>
        <v/>
      </c>
    </row>
    <row r="17" ht="16" customHeight="1">
      <c r="B17" s="40" t="inlineStr">
        <is>
          <t>Fixtures</t>
        </is>
      </c>
      <c r="C17" s="41">
        <f>SUMIFS('Budget Detail'!D6:D105,'Budget Detail'!B6:B105,B17)</f>
        <v/>
      </c>
      <c r="D17" s="41">
        <f>SUMIFS('Budget Detail'!E6:E105,'Budget Detail'!B6:B105,B17)</f>
        <v/>
      </c>
      <c r="E17" s="32">
        <f>D17-C17</f>
        <v/>
      </c>
      <c r="F17" s="33">
        <f>IFERROR((D17-C17)/C17,0)</f>
        <v/>
      </c>
    </row>
    <row r="18" ht="16" customHeight="1">
      <c r="B18" s="40" t="inlineStr">
        <is>
          <t>Furniture</t>
        </is>
      </c>
      <c r="C18" s="41">
        <f>SUMIFS('Budget Detail'!D6:D105,'Budget Detail'!B6:B105,B18)</f>
        <v/>
      </c>
      <c r="D18" s="41">
        <f>SUMIFS('Budget Detail'!E6:E105,'Budget Detail'!B6:B105,B18)</f>
        <v/>
      </c>
      <c r="E18" s="32">
        <f>D18-C18</f>
        <v/>
      </c>
      <c r="F18" s="33">
        <f>IFERROR((D18-C18)/C18,0)</f>
        <v/>
      </c>
    </row>
    <row r="19" ht="16" customHeight="1">
      <c r="B19" s="40" t="inlineStr">
        <is>
          <t>Decor</t>
        </is>
      </c>
      <c r="C19" s="41">
        <f>SUMIFS('Budget Detail'!D6:D105,'Budget Detail'!B6:B105,B19)</f>
        <v/>
      </c>
      <c r="D19" s="41">
        <f>SUMIFS('Budget Detail'!E6:E105,'Budget Detail'!B6:B105,B19)</f>
        <v/>
      </c>
      <c r="E19" s="32">
        <f>D19-C19</f>
        <v/>
      </c>
      <c r="F19" s="33">
        <f>IFERROR((D19-C19)/C19,0)</f>
        <v/>
      </c>
    </row>
    <row r="20" ht="16" customHeight="1">
      <c r="B20" s="40" t="inlineStr">
        <is>
          <t>Outdoor</t>
        </is>
      </c>
      <c r="C20" s="41">
        <f>SUMIFS('Budget Detail'!D6:D105,'Budget Detail'!B6:B105,B20)</f>
        <v/>
      </c>
      <c r="D20" s="41">
        <f>SUMIFS('Budget Detail'!E6:E105,'Budget Detail'!B6:B105,B20)</f>
        <v/>
      </c>
      <c r="E20" s="32">
        <f>D20-C20</f>
        <v/>
      </c>
      <c r="F20" s="33">
        <f>IFERROR((D20-C20)/C20,0)</f>
        <v/>
      </c>
    </row>
    <row r="21" ht="16" customHeight="1">
      <c r="B21" s="40" t="inlineStr">
        <is>
          <t>Permits</t>
        </is>
      </c>
      <c r="C21" s="41">
        <f>SUMIFS('Budget Detail'!D6:D105,'Budget Detail'!B6:B105,B21)</f>
        <v/>
      </c>
      <c r="D21" s="41">
        <f>SUMIFS('Budget Detail'!E6:E105,'Budget Detail'!B6:B105,B21)</f>
        <v/>
      </c>
      <c r="E21" s="32">
        <f>D21-C21</f>
        <v/>
      </c>
      <c r="F21" s="33">
        <f>IFERROR((D21-C21)/C21,0)</f>
        <v/>
      </c>
    </row>
    <row r="22" ht="16" customHeight="1">
      <c r="B22" s="40" t="inlineStr">
        <is>
          <t>Misc</t>
        </is>
      </c>
      <c r="C22" s="41">
        <f>SUMIFS('Budget Detail'!D6:D105,'Budget Detail'!B6:B105,B22)</f>
        <v/>
      </c>
      <c r="D22" s="41">
        <f>SUMIFS('Budget Detail'!E6:E105,'Budget Detail'!B6:B105,B22)</f>
        <v/>
      </c>
      <c r="E22" s="32">
        <f>D22-C22</f>
        <v/>
      </c>
      <c r="F22" s="33">
        <f>IFERROR((D22-C22)/C22,0)</f>
        <v/>
      </c>
    </row>
    <row r="26" ht="24" customHeight="1">
      <c r="B26" s="37" t="inlineStr">
        <is>
          <t>TOTAL</t>
        </is>
      </c>
      <c r="C26" s="38">
        <f>SUM(C7:C22)</f>
        <v/>
      </c>
      <c r="D26" s="38">
        <f>SUM(D7:D22)</f>
        <v/>
      </c>
      <c r="E26" s="38">
        <f>SUM(E7:E22)</f>
        <v/>
      </c>
      <c r="F26" s="39">
        <f>IFERROR((D26-C26)/C26,0)</f>
        <v/>
      </c>
    </row>
  </sheetData>
  <mergeCells count="5">
    <mergeCell ref="H11:J14"/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HYPERLINK("#'Cost Allocation'!A1", "← BACK")</f>
        <v/>
      </c>
      <c r="B2" s="16" t="n"/>
      <c r="C2" s="16" t="n"/>
      <c r="D2" s="26" t="inlineStr">
        <is>
          <t>ROI PROJECTION</t>
        </is>
      </c>
      <c r="J2" s="19">
        <f>HYPERLINK("#'Settings'!A1",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Pre vs post-rehab nightly rate · year-1 lift · payback period · 5-yr cumulative</t>
        </is>
      </c>
    </row>
    <row r="6" ht="22" customHeight="1">
      <c r="A6" s="46" t="inlineStr">
        <is>
          <t>REVENUE INPUTS</t>
        </is>
      </c>
    </row>
    <row r="7" ht="18" customHeight="1">
      <c r="B7" s="47" t="inlineStr">
        <is>
          <t>Pre-rehab nightly rate ($):</t>
        </is>
      </c>
      <c r="C7" s="48" t="n"/>
      <c r="E7" s="49" t="inlineStr">
        <is>
          <t>ADR before this rehab — your baseline</t>
        </is>
      </c>
    </row>
    <row r="8" ht="18" customHeight="1">
      <c r="B8" s="47" t="inlineStr">
        <is>
          <t>Post-rehab nightly rate ($):</t>
        </is>
      </c>
      <c r="C8" s="48" t="n"/>
      <c r="E8" s="49" t="inlineStr">
        <is>
          <t>Defensible projection — pull from comp set</t>
        </is>
      </c>
    </row>
    <row r="9" ht="18" customHeight="1">
      <c r="B9" s="47" t="inlineStr">
        <is>
          <t>Occupancy lift (% points):</t>
        </is>
      </c>
      <c r="C9" s="50" t="n"/>
      <c r="E9" s="49" t="inlineStr">
        <is>
          <t>Extra occupancy nightly — e.g., +8% = 8 pts more</t>
        </is>
      </c>
    </row>
    <row r="10" ht="18" customHeight="1">
      <c r="B10" s="47" t="inlineStr">
        <is>
          <t>Post-rehab occupancy (%):</t>
        </is>
      </c>
      <c r="C10" s="50" t="n"/>
      <c r="E10" s="49" t="inlineStr">
        <is>
          <t>Used for 5-yr cumulative lift forecast</t>
        </is>
      </c>
    </row>
    <row r="12" ht="22" customHeight="1">
      <c r="A12" s="46" t="inlineStr">
        <is>
          <t>OUTPUTS</t>
        </is>
      </c>
    </row>
    <row r="13" ht="18" customHeight="1">
      <c r="B13" s="47" t="inlineStr">
        <is>
          <t>Total rehab spend (actual):</t>
        </is>
      </c>
      <c r="C13" s="51">
        <f>'Cost Allocation'!D26</f>
        <v/>
      </c>
    </row>
    <row r="14" ht="22" customHeight="1">
      <c r="B14" s="52" t="inlineStr">
        <is>
          <t>Year-1 revenue lift:</t>
        </is>
      </c>
      <c r="C14" s="53">
        <f>(C8-C7)*365*C9</f>
        <v/>
      </c>
    </row>
    <row r="15" ht="18" customHeight="1">
      <c r="B15" s="47" t="inlineStr">
        <is>
          <t>Payback (months):</t>
        </is>
      </c>
      <c r="C15" s="54">
        <f>IFERROR(('Cost Allocation'!D26)/(((C8-C7)*365*C9)/12),0)</f>
        <v/>
      </c>
    </row>
    <row r="16" ht="18" customHeight="1">
      <c r="B16" s="47" t="inlineStr">
        <is>
          <t>Year-1 lift (alt: rate × occ delta):</t>
        </is>
      </c>
      <c r="C16" s="51">
        <f>(C8*C10-C7*(C10-C9))*365</f>
        <v/>
      </c>
    </row>
    <row r="18" ht="22" customHeight="1">
      <c r="A18" s="46" t="inlineStr">
        <is>
          <t>5-YEAR PROJECTION</t>
        </is>
      </c>
    </row>
    <row r="19" ht="18" customHeight="1">
      <c r="B19" s="47" t="inlineStr">
        <is>
          <t>5-year cumulative lift:</t>
        </is>
      </c>
      <c r="C19" s="51">
        <f>C14*5</f>
        <v/>
      </c>
    </row>
    <row r="20" ht="22" customHeight="1">
      <c r="B20" s="52" t="inlineStr">
        <is>
          <t>5-year ROI on rehab:</t>
        </is>
      </c>
      <c r="C20" s="55">
        <f>IFERROR((C14*5)/'Cost Allocation'!D26,0)</f>
        <v/>
      </c>
    </row>
    <row r="21" ht="18" customHeight="1">
      <c r="B21" s="47" t="inlineStr">
        <is>
          <t>Net 5-yr profit (lift − spend):</t>
        </is>
      </c>
      <c r="C21" s="51">
        <f>C14*5-'Cost Allocation'!D26</f>
        <v/>
      </c>
    </row>
    <row r="24" ht="18" customHeight="1">
      <c r="A24" s="56" t="inlineStr">
        <is>
          <t>Why this matters: rehab dollars are an investment, not an expense. If your post-rehab ADR + occupancy lift can't pay back the spend in 60 months, the rehab is over-scoped. Right-size before you sign contractor estimates.</t>
        </is>
      </c>
    </row>
    <row r="25" ht="18" customHeight="1"/>
    <row r="26" ht="18" customHeight="1"/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</row>
    <row r="30" ht="18" customHeight="1">
      <c r="A30" s="24" t="inlineStr">
        <is>
          <t>Questions? hello@thestrledger.com</t>
        </is>
      </c>
    </row>
    <row r="31" ht="18" customHeight="1">
      <c r="A31" s="25" t="inlineStr">
        <is>
          <t>ACQ-006 · ROI Projection</t>
        </is>
      </c>
    </row>
  </sheetData>
  <mergeCells count="14">
    <mergeCell ref="A30:L30"/>
    <mergeCell ref="E9:L9"/>
    <mergeCell ref="J2:L2"/>
    <mergeCell ref="D2:I2"/>
    <mergeCell ref="A12:L12"/>
    <mergeCell ref="A24:L26"/>
    <mergeCell ref="E7:L7"/>
    <mergeCell ref="E10:L10"/>
    <mergeCell ref="A31:L31"/>
    <mergeCell ref="A6:L6"/>
    <mergeCell ref="E8:L8"/>
    <mergeCell ref="A18:L18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HYPERLINK("#'ROI Projection'!A1", "← BACK")</f>
        <v/>
      </c>
      <c r="B2" s="16" t="n"/>
      <c r="C2" s="16" t="n"/>
      <c r="D2" s="2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Property identity · rehab dates · contingency · year-end archive</t>
        </is>
      </c>
      <c r="G4" s="13" t="n"/>
      <c r="H4" s="13" t="n"/>
      <c r="I4" s="13" t="n"/>
      <c r="J4" s="13" t="n"/>
      <c r="K4" s="13" t="n"/>
      <c r="L4" s="13" t="n"/>
    </row>
    <row r="5" ht="20" customHeight="1">
      <c r="A5" s="57" t="inlineStr">
        <is>
          <t>Property name:</t>
        </is>
      </c>
      <c r="B5" s="58" t="n"/>
    </row>
    <row r="6" ht="18" customHeight="1">
      <c r="A6" s="57" t="inlineStr">
        <is>
          <t>Active rehab year:</t>
        </is>
      </c>
      <c r="B6" s="59" t="n">
        <v>2026</v>
      </c>
      <c r="C6" s="60" t="inlineStr">
        <is>
          <t>Bump in January for the next rehab. Drives any year-filtered logic.</t>
        </is>
      </c>
    </row>
    <row r="7" ht="18" customHeight="1">
      <c r="A7" s="57" t="inlineStr">
        <is>
          <t>Rehab start date:</t>
        </is>
      </c>
      <c r="B7" s="61" t="n"/>
    </row>
    <row r="9" ht="18" customHeight="1">
      <c r="A9" s="57" t="inlineStr">
        <is>
          <t>Rehab end date (target):</t>
        </is>
      </c>
      <c r="B9" s="61" t="n"/>
    </row>
    <row r="11" ht="18" customHeight="1">
      <c r="A11" s="57" t="inlineStr">
        <is>
          <t>Contingency %:</t>
        </is>
      </c>
      <c r="B11" s="62" t="n">
        <v>0.15</v>
      </c>
      <c r="C11" s="60" t="inlineStr">
        <is>
          <t>Default 15%. Reserve held back for surprises.</t>
        </is>
      </c>
    </row>
    <row r="13" ht="20" customHeight="1">
      <c r="A13" s="57" t="inlineStr">
        <is>
          <t>Contingency $ (auto):</t>
        </is>
      </c>
      <c r="B13" s="63">
        <f>'Cost Allocation'!C26*B11</f>
        <v/>
      </c>
    </row>
    <row r="15" ht="10" customHeight="1"/>
    <row r="16" ht="22" customHeight="1">
      <c r="A16" s="64" t="inlineStr">
        <is>
          <t>Year-end Archive</t>
        </is>
      </c>
    </row>
    <row r="17" ht="24" customHeight="1">
      <c r="A17" s="65" t="inlineStr">
        <is>
          <t>Each January, copy the YTD totals from the Cost Allocation tab into the row for the closing year, then clear Budget Detail for the next rehab project.</t>
        </is>
      </c>
    </row>
    <row r="18" ht="18" customHeight="1">
      <c r="A18" s="28" t="inlineStr">
        <is>
          <t>Year</t>
        </is>
      </c>
      <c r="B18" s="28" t="inlineStr">
        <is>
          <t>Property</t>
        </is>
      </c>
      <c r="C18" s="28" t="inlineStr">
        <is>
          <t>Total $</t>
        </is>
      </c>
      <c r="D18" s="28" t="inlineStr">
        <is>
          <t>5-yr ROI %</t>
        </is>
      </c>
      <c r="E18" s="28" t="inlineStr">
        <is>
          <t>Notes</t>
        </is>
      </c>
    </row>
    <row r="19" ht="16" customHeight="1">
      <c r="A19" s="66" t="n">
        <v>2024</v>
      </c>
      <c r="B19" s="58" t="n"/>
      <c r="C19" s="67" t="n"/>
      <c r="D19" s="62" t="n"/>
      <c r="E19" s="58" t="n"/>
    </row>
    <row r="20" ht="16" customHeight="1">
      <c r="A20" s="66" t="n">
        <v>2025</v>
      </c>
      <c r="B20" s="58" t="n"/>
      <c r="C20" s="67" t="n"/>
      <c r="D20" s="62" t="n"/>
      <c r="E20" s="58" t="n"/>
    </row>
    <row r="21" ht="16" customHeight="1">
      <c r="A21" s="66" t="n">
        <v>2026</v>
      </c>
      <c r="B21" s="58" t="n"/>
      <c r="C21" s="67" t="n"/>
      <c r="D21" s="62" t="n"/>
      <c r="E21" s="58" t="n"/>
    </row>
    <row r="22" ht="16" customHeight="1">
      <c r="A22" s="66" t="n">
        <v>2027</v>
      </c>
      <c r="B22" s="58" t="n"/>
      <c r="C22" s="67" t="n"/>
      <c r="D22" s="62" t="n"/>
      <c r="E22" s="58" t="n"/>
    </row>
    <row r="23" ht="16" customHeight="1">
      <c r="A23" s="66" t="n">
        <v>2028</v>
      </c>
      <c r="B23" s="58" t="n"/>
      <c r="C23" s="67" t="n"/>
      <c r="D23" s="62" t="n"/>
      <c r="E23" s="58" t="n"/>
    </row>
    <row r="24" ht="16" customHeight="1">
      <c r="A24" s="66" t="n">
        <v>2029</v>
      </c>
      <c r="B24" s="58" t="n"/>
      <c r="C24" s="67" t="n"/>
      <c r="D24" s="62" t="n"/>
      <c r="E24" s="58" t="n"/>
    </row>
    <row r="25" ht="16" customHeight="1">
      <c r="A25" s="66" t="n">
        <v>2030</v>
      </c>
      <c r="B25" s="58" t="n"/>
      <c r="C25" s="67" t="n"/>
      <c r="D25" s="62" t="n"/>
      <c r="E25" s="58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</row>
    <row r="29" ht="18" customHeight="1">
      <c r="A29" s="24" t="inlineStr">
        <is>
          <t>Questions? hello@thestrledger.com</t>
        </is>
      </c>
    </row>
    <row r="30" ht="18" customHeight="1">
      <c r="A30" s="25" t="inlineStr">
        <is>
          <t>ACQ-006 · Settings</t>
        </is>
      </c>
    </row>
  </sheetData>
  <mergeCells count="8">
    <mergeCell ref="D2:L2"/>
    <mergeCell ref="A30:L30"/>
    <mergeCell ref="A29:L29"/>
    <mergeCell ref="C6:F6"/>
    <mergeCell ref="A17:F17"/>
    <mergeCell ref="C11:F11"/>
    <mergeCell ref="A4:F4"/>
    <mergeCell ref="A2:C2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Rehab Budget + ROI — The STR Ledger</dc:title>
  <dc:description xmlns:dc="http://purl.org/dc/elements/1.1/">Rehab line-item register with embedded ROI projection. Per-line estimate vs actual, contractor, payment status, capex/repair tag. Cost allocation by category, capex/repair split, year-1 lift, payback.</dc:description>
  <dcterms:created xmlns:dcterms="http://purl.org/dc/terms/" xmlns:xsi="http://www.w3.org/2001/XMLSchema-instance" xsi:type="dcterms:W3CDTF">2026-05-03T12:26:14Z</dcterms:created>
  <dcterms:modified xmlns:dcterms="http://purl.org/dc/terms/" xmlns:xsi="http://www.w3.org/2001/XMLSchema-instance" xsi:type="dcterms:W3CDTF">2026-05-03T12:26:14Z</dcterms:modified>
</cp:coreProperties>
</file>