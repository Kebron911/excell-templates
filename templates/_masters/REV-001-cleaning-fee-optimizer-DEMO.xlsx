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trategy Compare" sheetId="3" state="visible" r:id="rId3"/>
    <sheet xmlns:r="http://schemas.openxmlformats.org/officeDocument/2006/relationships" name="LOS Sensitivity" sheetId="4" state="visible" r:id="rId4"/>
    <sheet xmlns:r="http://schemas.openxmlformats.org/officeDocument/2006/relationships" name="Recommendation" sheetId="5" state="visible" r:id="rId5"/>
  </sheets>
  <definedNames>
    <definedName name="_xlnm.Print_Area" localSheetId="0">'Start'!$A$1:$L$41</definedName>
    <definedName name="_xlnm.Print_Area" localSheetId="2">'Strategy Compare'!$A$1:$L$30</definedName>
    <definedName name="_xlnm.Print_Area" localSheetId="3">'LOS Sensitivity'!$A$1:$L$46</definedName>
    <definedName name="_xlnm.Print_Area" localSheetId="4">'Recommendation'!$A$1:$L$33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"/>
    <numFmt numFmtId="166" formatCode="0.0%"/>
    <numFmt numFmtId="167" formatCode="&quot;+&quot;$#,##0;&quot;-&quot;$#,##0;&quot;$0&quot;"/>
  </numFmts>
  <fonts count="33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10"/>
    </font>
    <font>
      <name val="Georgia"/>
      <b val="1"/>
      <color rgb="00C9A24B"/>
      <sz val="28"/>
    </font>
    <font>
      <name val="Consolas"/>
      <b val="1"/>
      <color rgb="0012304E"/>
      <sz val="9"/>
    </font>
    <font>
      <name val="Georgia"/>
      <b val="1"/>
      <color rgb="0012304E"/>
      <sz val="24"/>
    </font>
    <font>
      <name val="Georgia"/>
      <b val="1"/>
      <i val="1"/>
      <color rgb="00C9A24B"/>
      <sz val="14"/>
    </font>
    <font>
      <name val="Calibri"/>
      <color rgb="002B2B2B"/>
      <sz val="11"/>
    </font>
    <font>
      <name val="Calibri"/>
      <b val="1"/>
      <i val="1"/>
      <color rgb="00B5725E"/>
      <sz val="1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Calibri"/>
      <i val="1"/>
      <color rgb="006B7280"/>
      <sz val="10"/>
    </font>
    <font>
      <name val="Georgia"/>
      <b val="1"/>
      <color rgb="0012304E"/>
      <sz val="12"/>
    </font>
    <font>
      <name val="Calibri"/>
      <b val="1"/>
      <color rgb="00B5725E"/>
      <sz val="11"/>
    </font>
    <font>
      <name val="Calibri"/>
      <b val="1"/>
      <color rgb="0012304E"/>
      <sz val="11"/>
    </font>
    <font>
      <name val="Calibri"/>
      <b val="1"/>
      <color rgb="002B2B2B"/>
      <sz val="10"/>
    </font>
    <font>
      <name val="Calibri"/>
      <color rgb="006B7280"/>
      <sz val="11"/>
    </font>
    <font>
      <name val="Georgia"/>
      <b val="1"/>
      <color rgb="00C9A24B"/>
      <sz val="14"/>
    </font>
    <font>
      <name val="Georgia"/>
      <b val="1"/>
      <color rgb="0012304E"/>
      <sz val="14"/>
    </font>
    <font>
      <name val="Calibri"/>
      <color rgb="002B2B2B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</fills>
  <borders count="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2" fillId="0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5" fillId="5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0" fontId="20" fillId="2" borderId="0" applyAlignment="1" pivotButton="0" quotePrefix="0" xfId="0">
      <alignment horizontal="left" vertical="center" indent="2"/>
    </xf>
    <xf numFmtId="0" fontId="21" fillId="0" borderId="0" applyAlignment="1" pivotButton="0" quotePrefix="0" xfId="0">
      <alignment horizontal="right" vertical="center" indent="1"/>
    </xf>
    <xf numFmtId="0" fontId="11" fillId="6" borderId="0" applyAlignment="1" pivotButton="0" quotePrefix="0" xfId="0">
      <alignment horizontal="center" vertical="center"/>
    </xf>
    <xf numFmtId="164" fontId="11" fillId="6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165" fontId="11" fillId="6" borderId="0" applyAlignment="1" pivotButton="0" quotePrefix="0" xfId="0">
      <alignment horizontal="center" vertical="center"/>
    </xf>
    <xf numFmtId="166" fontId="11" fillId="6" borderId="0" applyAlignment="1" pivotButton="0" quotePrefix="0" xfId="0">
      <alignment horizontal="center" vertical="center"/>
    </xf>
    <xf numFmtId="166" fontId="23" fillId="7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left" vertical="top" wrapText="1" indent="2"/>
    </xf>
    <xf numFmtId="0" fontId="15" fillId="2" borderId="4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center" vertical="center" wrapText="1"/>
    </xf>
    <xf numFmtId="164" fontId="23" fillId="7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 indent="1"/>
    </xf>
    <xf numFmtId="164" fontId="25" fillId="8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vertical="center" indent="1"/>
    </xf>
    <xf numFmtId="0" fontId="27" fillId="7" borderId="0" applyAlignment="1" pivotButton="0" quotePrefix="0" xfId="0">
      <alignment horizontal="center" vertical="center"/>
    </xf>
    <xf numFmtId="167" fontId="27" fillId="7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 indent="1"/>
    </xf>
    <xf numFmtId="0" fontId="29" fillId="0" borderId="0" applyAlignment="1" pivotButton="0" quotePrefix="0" xfId="0">
      <alignment horizontal="center" vertical="center"/>
    </xf>
    <xf numFmtId="167" fontId="30" fillId="8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left" vertical="top" wrapText="1" indent="2"/>
    </xf>
    <xf numFmtId="0" fontId="30" fillId="8" borderId="0" applyAlignment="1" pivotButton="0" quotePrefix="0" xfId="0">
      <alignment horizontal="center" vertical="center" wrapText="1"/>
    </xf>
    <xf numFmtId="164" fontId="31" fillId="8" borderId="0" applyAlignment="1" pivotButton="0" quotePrefix="0" xfId="0">
      <alignment horizontal="center" vertical="center"/>
    </xf>
    <xf numFmtId="9" fontId="30" fillId="8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indent="1"/>
    </xf>
    <xf numFmtId="0" fontId="32" fillId="0" borderId="0" applyAlignment="1" pivotButton="0" quotePrefix="0" xfId="0">
      <alignment horizontal="left" vertical="top" wrapText="1" indent="1"/>
    </xf>
    <xf numFmtId="0" fontId="32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5">
    <dxf>
      <font>
        <name val="Calibri"/>
        <b val="1"/>
        <color rgb="00B91C1C"/>
        <sz val="11"/>
      </font>
      <fill>
        <patternFill patternType="solid">
          <fgColor rgb="00FFCCCC"/>
        </patternFill>
      </fill>
    </dxf>
    <dxf>
      <font>
        <name val="Georgia"/>
        <b val="1"/>
        <color rgb="00F6EFE2"/>
        <sz val="12"/>
      </font>
      <fill>
        <patternFill patternType="solid">
          <fgColor rgb="00C9A24B"/>
        </patternFill>
      </fill>
    </dxf>
    <dxf>
      <font>
        <name val="Calibri"/>
        <b val="1"/>
        <color rgb="00B91C1C"/>
        <sz val="10"/>
      </font>
    </dxf>
    <dxf>
      <font>
        <name val="Calibri"/>
        <b val="1"/>
        <color rgb="00B5725E"/>
        <sz val="10"/>
      </font>
    </dxf>
    <dxf>
      <font>
        <name val="Calibri"/>
        <b val="1"/>
        <color rgb="00166534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Cleaning Fee Optimizer</t>
        </is>
      </c>
    </row>
    <row r="5" ht="22" customHeight="1">
      <c r="A5" s="4" t="inlineStr">
        <is>
          <t>The fee strategy that nets you the most.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REV-001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22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1" ht="28" customHeight="1">
      <c r="A11" s="6">
        <f>IF(Inputs!C7="","(enter property on Inputs tab)",Inputs!C7)</f>
        <v/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18" customHeight="1">
      <c r="A13" s="8" t="inlineStr">
        <is>
          <t>RECOMMENDED STRATEGY</t>
        </is>
      </c>
    </row>
    <row r="14" ht="30" customHeight="1">
      <c r="A14" s="9">
        <f>Recommendation!C5</f>
        <v/>
      </c>
    </row>
    <row r="15" ht="18" customHeight="1"/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6" customHeight="1">
      <c r="A17" s="10" t="inlineStr">
        <is>
          <t>ANNUAL REVENUE LIFT</t>
        </is>
      </c>
    </row>
    <row r="18" ht="28" customHeight="1">
      <c r="A18" s="11">
        <f>IF(Recommendation!C6=0,"$0 — current strategy is already optimal","+"&amp;TEXT(Recommendation!C6,"$#,##0")&amp;" / year")</f>
        <v/>
      </c>
    </row>
    <row r="19" ht="16" customHeight="1"/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20" customHeight="1">
      <c r="A21" s="12">
        <f>"+"&amp;TEXT(Recommendation!C7,"0%")&amp;" search visibility est."</f>
        <v/>
      </c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5" ht="18" customHeight="1">
      <c r="A25" s="13" t="inlineStr">
        <is>
          <t>MATH SUMMARY</t>
        </is>
      </c>
    </row>
    <row r="26" ht="18" customHeight="1">
      <c r="A26" s="14">
        <f>"Cleaning paid to cleaner: "&amp;TEXT(Inputs!C8,"$#,##0")&amp;" per turnover"</f>
        <v/>
      </c>
    </row>
    <row r="27" ht="18" customHeight="1">
      <c r="A27" s="14">
        <f>"Cleaning charged to guest today: "&amp;TEXT(Inputs!C9,"$#,##0")&amp;" per turnover"</f>
        <v/>
      </c>
    </row>
    <row r="28" ht="18" customHeight="1">
      <c r="A28" s="14">
        <f>"Implied per-night cleaning subsidy: "&amp;TEXT(IFERROR((Inputs!C8-Inputs!C9)/Inputs!C11,0),"$#,##0.00")&amp;" / night"</f>
        <v/>
      </c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 ht="20" customHeight="1">
      <c r="A30" s="16" t="inlineStr">
        <is>
          <t>Re-run when your cleaner rate or ADR changes.</t>
        </is>
      </c>
    </row>
    <row r="32" ht="22" customHeight="1">
      <c r="A32" s="17">
        <f>HYPERLINK("#'Inputs'!A1", "Inputs")</f>
        <v/>
      </c>
      <c r="B32" s="18" t="n"/>
      <c r="C32" s="18" t="n"/>
      <c r="D32" s="17">
        <f>HYPERLINK("#'Strategy Compare'!A1", "Strategy Compare")</f>
        <v/>
      </c>
      <c r="E32" s="18" t="n"/>
      <c r="F32" s="18" t="n"/>
      <c r="G32" s="17">
        <f>HYPERLINK("#'LOS Sensitivity'!A1", "LOS Sensitivity")</f>
        <v/>
      </c>
      <c r="H32" s="18" t="n"/>
      <c r="I32" s="18" t="n"/>
      <c r="J32" s="19">
        <f>HYPERLINK("#'Recommendation'!A1", "Recommendation")</f>
        <v/>
      </c>
      <c r="K32" s="20" t="n"/>
      <c r="L32" s="20" t="n"/>
    </row>
    <row r="33" ht="22" customHeight="1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20" t="n"/>
      <c r="K33" s="20" t="n"/>
      <c r="L33" s="20" t="n"/>
    </row>
    <row r="34" ht="22" customHeight="1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20" t="n"/>
      <c r="K34" s="20" t="n"/>
      <c r="L34" s="20" t="n"/>
    </row>
    <row r="37" ht="36" customHeight="1">
      <c r="A37" s="21" t="inlineStr">
        <is>
          <t>Optimizing pricing across the portfolio? Get the Pricing Bundle at thestrledger.com/pricing — $97.</t>
        </is>
      </c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</row>
    <row r="40" ht="18" customHeight="1">
      <c r="A40" s="23" t="inlineStr">
        <is>
          <t>Questions? hello@thestrledger.com</t>
        </is>
      </c>
    </row>
    <row r="41" ht="18" customHeight="1">
      <c r="A41" s="24" t="inlineStr">
        <is>
          <t>REV-001 · v1.0 · DEMO · Free updates forever</t>
        </is>
      </c>
    </row>
  </sheetData>
  <mergeCells count="22">
    <mergeCell ref="A7:L7"/>
    <mergeCell ref="A25:L25"/>
    <mergeCell ref="A41:L41"/>
    <mergeCell ref="A37:L37"/>
    <mergeCell ref="A27:L27"/>
    <mergeCell ref="A21:L21"/>
    <mergeCell ref="A26:L26"/>
    <mergeCell ref="A2:F2"/>
    <mergeCell ref="D32:F34"/>
    <mergeCell ref="J32:L34"/>
    <mergeCell ref="A5:L5"/>
    <mergeCell ref="A17:L17"/>
    <mergeCell ref="A4:L4"/>
    <mergeCell ref="A32:C34"/>
    <mergeCell ref="G32:I34"/>
    <mergeCell ref="A28:L28"/>
    <mergeCell ref="A13:L13"/>
    <mergeCell ref="A40:L40"/>
    <mergeCell ref="A30:L30"/>
    <mergeCell ref="A11:L11"/>
    <mergeCell ref="A18:L19"/>
    <mergeCell ref="A14:L15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HYPERLINK("#'Start'!A1", "← BACK")</f>
        <v/>
      </c>
      <c r="B2" s="18" t="n"/>
      <c r="C2" s="18" t="n"/>
      <c r="D2" s="25" t="inlineStr">
        <is>
          <t>INPUTS</t>
        </is>
      </c>
      <c r="J2" s="19">
        <f>HYPERLINK("#'Strategy Compare'!A1",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Six numbers and the answer flips. Fill all of these — the math runs live.</t>
        </is>
      </c>
    </row>
    <row r="6" ht="24" customHeight="1">
      <c r="A6" s="27" t="inlineStr">
        <is>
          <t>PROPERTY SCENARIO</t>
        </is>
      </c>
    </row>
    <row r="7" ht="18" customHeight="1">
      <c r="B7" s="28" t="inlineStr">
        <is>
          <t>Property name:</t>
        </is>
      </c>
      <c r="C7" s="29" t="inlineStr">
        <is>
          <t>Smokies Ridge Cabin</t>
        </is>
      </c>
    </row>
    <row r="8" ht="18" customHeight="1">
      <c r="B8" s="28" t="inlineStr">
        <is>
          <t>Cleaning cost paid to cleaner ($/turn):</t>
        </is>
      </c>
      <c r="C8" s="30" t="n">
        <v>185</v>
      </c>
      <c r="E8" s="31" t="inlineStr">
        <is>
          <t>What you pay your cleaner per turnover</t>
        </is>
      </c>
    </row>
    <row r="9" ht="18" customHeight="1">
      <c r="B9" s="28" t="inlineStr">
        <is>
          <t>Current cleaning fee charged ($/turn):</t>
        </is>
      </c>
      <c r="C9" s="30" t="n">
        <v>185</v>
      </c>
      <c r="E9" s="31" t="inlineStr">
        <is>
          <t>What the guest pays at checkout today</t>
        </is>
      </c>
    </row>
    <row r="10" ht="18" customHeight="1">
      <c r="B10" s="28" t="inlineStr">
        <is>
          <t>Current nightly rate (ADR, $):</t>
        </is>
      </c>
      <c r="C10" s="30" t="n">
        <v>245</v>
      </c>
      <c r="E10" s="31" t="inlineStr">
        <is>
          <t>Average nightly rate today</t>
        </is>
      </c>
    </row>
    <row r="11" ht="18" customHeight="1">
      <c r="B11" s="28" t="inlineStr">
        <is>
          <t>Avg length of stay (nights):</t>
        </is>
      </c>
      <c r="C11" s="32" t="n">
        <v>3.2</v>
      </c>
      <c r="E11" s="31" t="inlineStr">
        <is>
          <t>Pull from Airbnb/Hospitable/PriceLabs reports</t>
        </is>
      </c>
    </row>
    <row r="12" ht="18" customHeight="1">
      <c r="B12" s="28" t="inlineStr">
        <is>
          <t>Monthly bookings (avg):</t>
        </is>
      </c>
      <c r="C12" s="32" t="n">
        <v>8</v>
      </c>
      <c r="E12" s="31" t="inlineStr">
        <is>
          <t>Average bookings per month</t>
        </is>
      </c>
    </row>
    <row r="13" ht="18" customHeight="1">
      <c r="B13" s="28" t="inlineStr">
        <is>
          <t>Platform commission (%):</t>
        </is>
      </c>
      <c r="C13" s="33" t="n">
        <v>0.15</v>
      </c>
      <c r="E13" s="31" t="inlineStr">
        <is>
          <t>Airbnb 15%, VRBO 8%, direct 0-3%</t>
        </is>
      </c>
    </row>
    <row r="15" ht="24" customHeight="1">
      <c r="A15" s="27" t="inlineStr">
        <is>
          <t>LOS DISTRIBUTION  (must sum to 100%)</t>
        </is>
      </c>
    </row>
    <row r="16" ht="18" customHeight="1">
      <c r="B16" s="28" t="inlineStr">
        <is>
          <t>% bookings — short (1-2 nights):</t>
        </is>
      </c>
      <c r="C16" s="33" t="n">
        <v>0.4</v>
      </c>
      <c r="E16" s="31" t="inlineStr">
        <is>
          <t>Highest sensitivity to bundling</t>
        </is>
      </c>
    </row>
    <row r="17" ht="18" customHeight="1">
      <c r="B17" s="28" t="inlineStr">
        <is>
          <t>% bookings — mid (3-4 nights):</t>
        </is>
      </c>
      <c r="C17" s="33" t="n">
        <v>0.45</v>
      </c>
      <c r="E17" s="31" t="inlineStr">
        <is>
          <t>Most STRs cluster here</t>
        </is>
      </c>
    </row>
    <row r="18" ht="18" customHeight="1">
      <c r="B18" s="28" t="inlineStr">
        <is>
          <t>% bookings — long (5+ nights):</t>
        </is>
      </c>
      <c r="C18" s="33" t="n">
        <v>0.15</v>
      </c>
      <c r="E18" s="31" t="inlineStr">
        <is>
          <t>Least sensitivity to bundling</t>
        </is>
      </c>
    </row>
    <row r="19" ht="18" customHeight="1">
      <c r="B19" s="28" t="inlineStr">
        <is>
          <t>LOS distribution sum:</t>
        </is>
      </c>
      <c r="C19" s="34">
        <f>SUM(C16:C18)</f>
        <v/>
      </c>
    </row>
    <row r="21" ht="16" customHeight="1">
      <c r="A21" s="35" t="inlineStr">
        <is>
          <t>Note: Airbnb (and most platforms) take their commission on TOTAL revenue including the cleaning fee — so passing through cleaning 1:1 still loses you the platform cut. The compare tab accounts for that.</t>
        </is>
      </c>
    </row>
    <row r="22" ht="16" customHeight="1"/>
    <row r="23" ht="16" customHeight="1"/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8" customHeight="1">
      <c r="A26" s="23" t="inlineStr">
        <is>
          <t>Questions? hello@thestrledger.com</t>
        </is>
      </c>
    </row>
    <row r="27" ht="18" customHeight="1">
      <c r="A27" s="24" t="inlineStr">
        <is>
          <t>REV-001 · Inputs</t>
        </is>
      </c>
    </row>
  </sheetData>
  <mergeCells count="18">
    <mergeCell ref="A26:L26"/>
    <mergeCell ref="E17:L17"/>
    <mergeCell ref="E9:L9"/>
    <mergeCell ref="E12:L12"/>
    <mergeCell ref="J2:L2"/>
    <mergeCell ref="D2:I2"/>
    <mergeCell ref="A15:L15"/>
    <mergeCell ref="E18:L18"/>
    <mergeCell ref="E16:L16"/>
    <mergeCell ref="E11:L11"/>
    <mergeCell ref="E10:L10"/>
    <mergeCell ref="A6:L6"/>
    <mergeCell ref="E13:L13"/>
    <mergeCell ref="E8:L8"/>
    <mergeCell ref="A27:L27"/>
    <mergeCell ref="A21:L23"/>
    <mergeCell ref="A2:C2"/>
    <mergeCell ref="A4:L4"/>
  </mergeCells>
  <conditionalFormatting sqref="C19">
    <cfRule type="cellIs" priority="1" operator="notEqual" dxfId="0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18" customWidth="1" min="5" max="5"/>
    <col width="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HYPERLINK("#'Inputs'!A1", "← BACK")</f>
        <v/>
      </c>
      <c r="B2" s="18" t="n"/>
      <c r="C2" s="18" t="n"/>
      <c r="D2" s="25" t="inlineStr">
        <is>
          <t>STRATEGY COMPARE</t>
        </is>
      </c>
      <c r="J2" s="19">
        <f>HYPERLINK("#'LOS Sensitivity'!A1",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Three pricing strategies, side by side. Numbers update from your Inputs.</t>
        </is>
      </c>
    </row>
    <row r="6" ht="26" customHeight="1">
      <c r="B6" s="36" t="inlineStr">
        <is>
          <t>Metric</t>
        </is>
      </c>
      <c r="C6" s="36" t="inlineStr">
        <is>
          <t>A — Full Fee</t>
        </is>
      </c>
      <c r="D6" s="36" t="inlineStr">
        <is>
          <t>B — Partial Bundle (50%)</t>
        </is>
      </c>
      <c r="E6" s="36" t="inlineStr">
        <is>
          <t>C — Fully Bundled</t>
        </is>
      </c>
    </row>
    <row r="7" ht="30" customHeight="1">
      <c r="B7" s="37" t="inlineStr">
        <is>
          <t>Description</t>
        </is>
      </c>
      <c r="C7" s="38" t="inlineStr">
        <is>
          <t>Charge cleaning fee in full at checkout</t>
        </is>
      </c>
      <c r="D7" s="38" t="inlineStr">
        <is>
          <t>Cut fee in half, raise nightly rate</t>
        </is>
      </c>
      <c r="E7" s="38" t="inlineStr">
        <is>
          <t>Roll cleaning fully into nightly rate</t>
        </is>
      </c>
    </row>
    <row r="9" ht="18" customHeight="1">
      <c r="B9" s="28" t="inlineStr">
        <is>
          <t>Cleaning fee charged ($/turn):</t>
        </is>
      </c>
      <c r="C9" s="39">
        <f>Inputs!C9</f>
        <v/>
      </c>
      <c r="D9" s="39">
        <f>(Inputs!C9*0.5)</f>
        <v/>
      </c>
      <c r="E9" s="39">
        <f>0</f>
        <v/>
      </c>
    </row>
    <row r="10" ht="18" customHeight="1">
      <c r="B10" s="28" t="inlineStr">
        <is>
          <t>Effective nightly rate ($):</t>
        </is>
      </c>
      <c r="C10" s="39">
        <f>Inputs!C10</f>
        <v/>
      </c>
      <c r="D10" s="39">
        <f>(Inputs!C10+(Inputs!C9*0.5)/Inputs!C11)</f>
        <v/>
      </c>
      <c r="E10" s="39">
        <f>(Inputs!C10+Inputs!C9/Inputs!C11)</f>
        <v/>
      </c>
    </row>
    <row r="11" ht="18" customHeight="1">
      <c r="B11" s="28" t="inlineStr">
        <is>
          <t>Gross per booking ($):</t>
        </is>
      </c>
      <c r="C11" s="39">
        <f>((Inputs!C10*Inputs!C11)+Inputs!C9)</f>
        <v/>
      </c>
      <c r="D11" s="39">
        <f>(((Inputs!C10+(Inputs!C9*0.5)/Inputs!C11)*Inputs!C11)+(Inputs!C9*0.5))</f>
        <v/>
      </c>
      <c r="E11" s="39">
        <f>(((Inputs!C10+Inputs!C9/Inputs!C11)*Inputs!C11)+0)</f>
        <v/>
      </c>
    </row>
    <row r="12" ht="18" customHeight="1">
      <c r="B12" s="28" t="inlineStr">
        <is>
          <t>Platform commission ($/booking):</t>
        </is>
      </c>
      <c r="C12" s="39">
        <f>(((Inputs!C10*Inputs!C11)+Inputs!C9)*Inputs!C13)</f>
        <v/>
      </c>
      <c r="D12" s="39">
        <f>((((Inputs!C10+(Inputs!C9*0.5)/Inputs!C11)*Inputs!C11)+(Inputs!C9*0.5))*Inputs!C13)</f>
        <v/>
      </c>
      <c r="E12" s="39">
        <f>((((Inputs!C10+Inputs!C9/Inputs!C11)*Inputs!C11)+0)*Inputs!C13)</f>
        <v/>
      </c>
    </row>
    <row r="13" ht="18" customHeight="1">
      <c r="B13" s="28" t="inlineStr">
        <is>
          <t>Net per booking ($):</t>
        </is>
      </c>
      <c r="C13" s="39">
        <f>(((Inputs!C10*Inputs!C11)+Inputs!C9)-(((Inputs!C10*Inputs!C11)+Inputs!C9)*Inputs!C13)-Inputs!C8)</f>
        <v/>
      </c>
      <c r="D13" s="39">
        <f>((((Inputs!C10+(Inputs!C9*0.5)/Inputs!C11)*Inputs!C11)+(Inputs!C9*0.5))-((((Inputs!C10+(Inputs!C9*0.5)/Inputs!C11)*Inputs!C11)+(Inputs!C9*0.5))*Inputs!C13)-Inputs!C8)</f>
        <v/>
      </c>
      <c r="E13" s="39">
        <f>((((Inputs!C10+Inputs!C9/Inputs!C11)*Inputs!C11)+0)-((((Inputs!C10+Inputs!C9/Inputs!C11)*Inputs!C11)+0)*Inputs!C13)-Inputs!C8)</f>
        <v/>
      </c>
    </row>
    <row r="14" ht="22" customHeight="1">
      <c r="B14" s="40" t="inlineStr">
        <is>
          <t>ANNUAL NET REVENUE:</t>
        </is>
      </c>
      <c r="C14" s="41">
        <f>((((Inputs!C10*Inputs!C11)+Inputs!C9)-(((Inputs!C10*Inputs!C11)+Inputs!C9)*Inputs!C13)-Inputs!C8)*Inputs!C12*12)</f>
        <v/>
      </c>
      <c r="D14" s="41">
        <f>(((((Inputs!C10+(Inputs!C9*0.5)/Inputs!C11)*Inputs!C11)+(Inputs!C9*0.5))-((((Inputs!C10+(Inputs!C9*0.5)/Inputs!C11)*Inputs!C11)+(Inputs!C9*0.5))*Inputs!C13)-Inputs!C8)*Inputs!C12*12)</f>
        <v/>
      </c>
      <c r="E14" s="41">
        <f>(((((Inputs!C10+Inputs!C9/Inputs!C11)*Inputs!C11)+0)-((((Inputs!C10+Inputs!C9/Inputs!C11)*Inputs!C11)+0)*Inputs!C13)-Inputs!C8)*Inputs!C12*12)</f>
        <v/>
      </c>
    </row>
    <row r="15" ht="20" customHeight="1">
      <c r="B15" s="42" t="inlineStr">
        <is>
          <t>Δ vs current (Strategy A):</t>
        </is>
      </c>
      <c r="C15" s="43">
        <f>"—"</f>
        <v/>
      </c>
      <c r="D15" s="44">
        <f>D14-C14</f>
        <v/>
      </c>
      <c r="E15" s="44">
        <f>E14-C14</f>
        <v/>
      </c>
    </row>
    <row r="17" ht="24" customHeight="1">
      <c r="A17" s="27" t="inlineStr">
        <is>
          <t>AIRBNB SEARCH-RANK IMPACT  (estimated)</t>
        </is>
      </c>
    </row>
    <row r="18" ht="18" customHeight="1">
      <c r="B18" s="28" t="inlineStr">
        <is>
          <t>Cleaning fee / 3-night stay ratio:</t>
        </is>
      </c>
      <c r="C18" s="34">
        <f>IFERROR(Inputs!C9/((Inputs!C10*3)+Inputs!C9),0)</f>
        <v/>
      </c>
      <c r="D18" s="34">
        <f>IFERROR((Inputs!C9*0.5)/(((Inputs!C10+(Inputs!C9*0.5)/Inputs!C11)*3)+(Inputs!C9*0.5)),0)</f>
        <v/>
      </c>
      <c r="E18" s="34">
        <f>IFERROR(0/(((Inputs!C10+Inputs!C9/Inputs!C11)*3)+0),0)</f>
        <v/>
      </c>
    </row>
    <row r="19" ht="18" customHeight="1">
      <c r="B19" s="28" t="inlineStr">
        <is>
          <t>Impact estimate:</t>
        </is>
      </c>
      <c r="C19" s="45">
        <f>IF(IFERROR(Inputs!C9/((Inputs!C10*3)+Inputs!C9),0)&gt;0.30,"Penalty (~10-15% loss)",IF(IFERROR(Inputs!C9/((Inputs!C10*3)+Inputs!C9),0)&gt;0.15,"Mild penalty (~5-8% loss)","No penalty"))</f>
        <v/>
      </c>
      <c r="D19" s="45">
        <f>IF(IFERROR((Inputs!C9*0.5)/(((Inputs!C10+(Inputs!C9*0.5)/Inputs!C11)*3)+(Inputs!C9*0.5)),0)&gt;0.30,"Penalty (~10-15% loss)",IF(IFERROR((Inputs!C9*0.5)/(((Inputs!C10+(Inputs!C9*0.5)/Inputs!C11)*3)+(Inputs!C9*0.5)),0)&gt;0.15,"Mild penalty (~5-8% loss)","No penalty"))</f>
        <v/>
      </c>
      <c r="E19" s="45">
        <f>IF(IFERROR(0/(((Inputs!C10+Inputs!C9/Inputs!C11)*3)+0),0)&gt;0.30,"Penalty (~10-15% loss)",IF(IFERROR(0/(((Inputs!C10+Inputs!C9/Inputs!C11)*3)+0),0)&gt;0.15,"Mild penalty (~5-8% loss)","No penalty"))</f>
        <v/>
      </c>
    </row>
    <row r="21" ht="28" customHeight="1">
      <c r="B21" s="37" t="inlineStr">
        <is>
          <t>Guest perception:</t>
        </is>
      </c>
      <c r="C21" s="46" t="inlineStr">
        <is>
          <t>Sticker shock at checkout</t>
        </is>
      </c>
      <c r="D21" s="46" t="inlineStr">
        <is>
          <t>Balanced — both items moderate</t>
        </is>
      </c>
      <c r="E21" s="46" t="inlineStr">
        <is>
          <t>Higher per-night feels expensive</t>
        </is>
      </c>
    </row>
    <row r="23" ht="16" customHeight="1">
      <c r="A23" s="35" t="inlineStr">
        <is>
          <t>Search-rank estimates: Airbnb's algorithm is opaque and changes constantly. Ranges are based on host-community A/B testing and Airbnb's published ranking factors as of 2026. Treat as directional, not exact.</t>
        </is>
      </c>
    </row>
    <row r="24" ht="16" customHeight="1"/>
    <row r="25" ht="16" customHeight="1"/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23" t="inlineStr">
        <is>
          <t>Questions? hello@thestrledger.com</t>
        </is>
      </c>
    </row>
    <row r="29" ht="18" customHeight="1">
      <c r="A29" s="24" t="inlineStr">
        <is>
          <t>REV-001 · Strategy Compare</t>
        </is>
      </c>
    </row>
  </sheetData>
  <mergeCells count="8">
    <mergeCell ref="J2:L2"/>
    <mergeCell ref="D2:I2"/>
    <mergeCell ref="A23:L25"/>
    <mergeCell ref="A29:L29"/>
    <mergeCell ref="A28:L28"/>
    <mergeCell ref="A17:L17"/>
    <mergeCell ref="A2:C2"/>
    <mergeCell ref="A4:L4"/>
  </mergeCells>
  <conditionalFormatting sqref="C14">
    <cfRule type="expression" priority="1" dxfId="1">
      <formula>C14=MAX($C$14:$E$14)</formula>
    </cfRule>
  </conditionalFormatting>
  <conditionalFormatting sqref="D14">
    <cfRule type="expression" priority="2" dxfId="1">
      <formula>D14=MAX($C$14:$E$14)</formula>
    </cfRule>
  </conditionalFormatting>
  <conditionalFormatting sqref="E14">
    <cfRule type="expression" priority="3" dxfId="1">
      <formula>E14=MAX($C$14:$E$14)</formula>
    </cfRule>
  </conditionalFormatting>
  <conditionalFormatting sqref="C19">
    <cfRule type="expression" priority="4" dxfId="2">
      <formula>C18&gt;0.30</formula>
    </cfRule>
    <cfRule type="expression" priority="5" dxfId="3">
      <formula>AND(C18&gt;0.15,C18&lt;=0.30)</formula>
    </cfRule>
    <cfRule type="expression" priority="6" dxfId="4">
      <formula>C18&lt;=0.15</formula>
    </cfRule>
  </conditionalFormatting>
  <conditionalFormatting sqref="D19">
    <cfRule type="expression" priority="7" dxfId="2">
      <formula>D18&gt;0.30</formula>
    </cfRule>
    <cfRule type="expression" priority="8" dxfId="3">
      <formula>AND(D18&gt;0.15,D18&lt;=0.30)</formula>
    </cfRule>
    <cfRule type="expression" priority="9" dxfId="4">
      <formula>D18&lt;=0.15</formula>
    </cfRule>
  </conditionalFormatting>
  <conditionalFormatting sqref="E19">
    <cfRule type="expression" priority="10" dxfId="2">
      <formula>E18&gt;0.30</formula>
    </cfRule>
    <cfRule type="expression" priority="11" dxfId="3">
      <formula>AND(E18&gt;0.15,E18&lt;=0.30)</formula>
    </cfRule>
    <cfRule type="expression" priority="12" dxfId="4">
      <formula>E18&lt;=0.15</formula>
    </cfRule>
  </conditionalFormatting>
  <pageMargins left="0.4" right="0.4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4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6" customWidth="1" min="4" max="4"/>
    <col width="16" customWidth="1" min="5" max="5"/>
    <col width="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HYPERLINK("#'Strategy Compare'!A1", "← BACK")</f>
        <v/>
      </c>
      <c r="B2" s="18" t="n"/>
      <c r="C2" s="18" t="n"/>
      <c r="D2" s="25" t="inlineStr">
        <is>
          <t>LOS SENSITIVITY</t>
        </is>
      </c>
      <c r="J2" s="19">
        <f>HYPERLINK("#'Recommendation'!A1", "NEXT →")</f>
        <v/>
      </c>
      <c r="K2" s="20" t="n"/>
      <c r="L2" s="2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Same compare, sliced by length-of-stay cohort. Short stays heavily favor bundling — long stays barely care.</t>
        </is>
      </c>
    </row>
    <row r="6" ht="24" customHeight="1">
      <c r="A6" s="27" t="inlineStr">
        <is>
          <t>SHORT  (1-2 nights)  ·  representative LOS = 1.5</t>
        </is>
      </c>
    </row>
    <row r="7" ht="22" customHeight="1">
      <c r="B7" s="36" t="inlineStr">
        <is>
          <t>Metric</t>
        </is>
      </c>
      <c r="C7" s="36" t="inlineStr">
        <is>
          <t>A — Full Fee</t>
        </is>
      </c>
      <c r="D7" s="36" t="inlineStr">
        <is>
          <t>B — Partial 50%</t>
        </is>
      </c>
      <c r="E7" s="36" t="inlineStr">
        <is>
          <t>C — Bundled</t>
        </is>
      </c>
    </row>
    <row r="8" ht="18" customHeight="1">
      <c r="B8" s="47" t="inlineStr">
        <is>
          <t>Net per booking ($):</t>
        </is>
      </c>
      <c r="C8" s="39">
        <f>(((Inputs!C10*1.5)+Inputs!C9)-(((Inputs!C10*1.5)+Inputs!C9)*Inputs!C13)-Inputs!C8)</f>
        <v/>
      </c>
      <c r="D8" s="39">
        <f>((((Inputs!C10+(Inputs!C9*0.5)/1.5)*1.5)+(Inputs!C9*0.5))-((((Inputs!C10+(Inputs!C9*0.5)/1.5)*1.5)+(Inputs!C9*0.5))*Inputs!C13)-Inputs!C8)</f>
        <v/>
      </c>
      <c r="E8" s="39">
        <f>((((Inputs!C10+Inputs!C9/1.5)*1.5)+0)-((((Inputs!C10+Inputs!C9/1.5)*1.5)+0)*Inputs!C13)-Inputs!C8)</f>
        <v/>
      </c>
    </row>
    <row r="9" ht="18" customHeight="1">
      <c r="B9" s="47" t="inlineStr">
        <is>
          <t>Annual net (cohort, weighted by % bookings):</t>
        </is>
      </c>
      <c r="C9" s="39">
        <f>(((((Inputs!C10*1.5)+Inputs!C9)-(((Inputs!C10*1.5)+Inputs!C9)*Inputs!C13)-Inputs!C8)*Inputs!C12*12)*Inputs!C16)</f>
        <v/>
      </c>
      <c r="D9" s="39">
        <f>((((((Inputs!C10+(Inputs!C9*0.5)/1.5)*1.5)+(Inputs!C9*0.5))-((((Inputs!C10+(Inputs!C9*0.5)/1.5)*1.5)+(Inputs!C9*0.5))*Inputs!C13)-Inputs!C8)*Inputs!C12*12)*Inputs!C16)</f>
        <v/>
      </c>
      <c r="E9" s="39">
        <f>((((((Inputs!C10+Inputs!C9/1.5)*1.5)+0)-((((Inputs!C10+Inputs!C9/1.5)*1.5)+0)*Inputs!C13)-Inputs!C8)*Inputs!C12*12)*Inputs!C16)</f>
        <v/>
      </c>
    </row>
    <row r="10" ht="18" customHeight="1">
      <c r="B10" s="42" t="inlineStr">
        <is>
          <t>Δ vs Strategy A:</t>
        </is>
      </c>
      <c r="C10" s="48">
        <f>"—"</f>
        <v/>
      </c>
      <c r="D10" s="44">
        <f>D9-C9</f>
        <v/>
      </c>
      <c r="E10" s="44">
        <f>E9-C9</f>
        <v/>
      </c>
    </row>
    <row r="16" ht="24" customHeight="1">
      <c r="A16" s="27" t="inlineStr">
        <is>
          <t>MID  (3-4 nights)  ·  representative LOS = 3.5</t>
        </is>
      </c>
    </row>
    <row r="17" ht="22" customHeight="1">
      <c r="B17" s="36" t="inlineStr">
        <is>
          <t>Metric</t>
        </is>
      </c>
      <c r="C17" s="36" t="inlineStr">
        <is>
          <t>A — Full Fee</t>
        </is>
      </c>
      <c r="D17" s="36" t="inlineStr">
        <is>
          <t>B — Partial 50%</t>
        </is>
      </c>
      <c r="E17" s="36" t="inlineStr">
        <is>
          <t>C — Bundled</t>
        </is>
      </c>
    </row>
    <row r="18" ht="18" customHeight="1">
      <c r="B18" s="47" t="inlineStr">
        <is>
          <t>Net per booking ($):</t>
        </is>
      </c>
      <c r="C18" s="39">
        <f>(((Inputs!C10*3.5)+Inputs!C9)-(((Inputs!C10*3.5)+Inputs!C9)*Inputs!C13)-Inputs!C8)</f>
        <v/>
      </c>
      <c r="D18" s="39">
        <f>((((Inputs!C10+(Inputs!C9*0.5)/3.5)*3.5)+(Inputs!C9*0.5))-((((Inputs!C10+(Inputs!C9*0.5)/3.5)*3.5)+(Inputs!C9*0.5))*Inputs!C13)-Inputs!C8)</f>
        <v/>
      </c>
      <c r="E18" s="39">
        <f>((((Inputs!C10+Inputs!C9/3.5)*3.5)+0)-((((Inputs!C10+Inputs!C9/3.5)*3.5)+0)*Inputs!C13)-Inputs!C8)</f>
        <v/>
      </c>
    </row>
    <row r="19" ht="18" customHeight="1">
      <c r="B19" s="47" t="inlineStr">
        <is>
          <t>Annual net (cohort, weighted by % bookings):</t>
        </is>
      </c>
      <c r="C19" s="39">
        <f>(((((Inputs!C10*3.5)+Inputs!C9)-(((Inputs!C10*3.5)+Inputs!C9)*Inputs!C13)-Inputs!C8)*Inputs!C12*12)*Inputs!C17)</f>
        <v/>
      </c>
      <c r="D19" s="39">
        <f>((((((Inputs!C10+(Inputs!C9*0.5)/3.5)*3.5)+(Inputs!C9*0.5))-((((Inputs!C10+(Inputs!C9*0.5)/3.5)*3.5)+(Inputs!C9*0.5))*Inputs!C13)-Inputs!C8)*Inputs!C12*12)*Inputs!C17)</f>
        <v/>
      </c>
      <c r="E19" s="39">
        <f>((((((Inputs!C10+Inputs!C9/3.5)*3.5)+0)-((((Inputs!C10+Inputs!C9/3.5)*3.5)+0)*Inputs!C13)-Inputs!C8)*Inputs!C12*12)*Inputs!C17)</f>
        <v/>
      </c>
    </row>
    <row r="20" ht="18" customHeight="1">
      <c r="B20" s="42" t="inlineStr">
        <is>
          <t>Δ vs Strategy A:</t>
        </is>
      </c>
      <c r="C20" s="48">
        <f>"—"</f>
        <v/>
      </c>
      <c r="D20" s="44">
        <f>D19-C19</f>
        <v/>
      </c>
      <c r="E20" s="44">
        <f>E19-C19</f>
        <v/>
      </c>
    </row>
    <row r="26" ht="24" customHeight="1">
      <c r="A26" s="27" t="inlineStr">
        <is>
          <t>LONG  (5+ nights)  ·  representative LOS = 6.0</t>
        </is>
      </c>
    </row>
    <row r="27" ht="22" customHeight="1">
      <c r="B27" s="36" t="inlineStr">
        <is>
          <t>Metric</t>
        </is>
      </c>
      <c r="C27" s="36" t="inlineStr">
        <is>
          <t>A — Full Fee</t>
        </is>
      </c>
      <c r="D27" s="36" t="inlineStr">
        <is>
          <t>B — Partial 50%</t>
        </is>
      </c>
      <c r="E27" s="36" t="inlineStr">
        <is>
          <t>C — Bundled</t>
        </is>
      </c>
    </row>
    <row r="28" ht="18" customHeight="1">
      <c r="B28" s="47" t="inlineStr">
        <is>
          <t>Net per booking ($):</t>
        </is>
      </c>
      <c r="C28" s="39">
        <f>(((Inputs!C10*6.0)+Inputs!C9)-(((Inputs!C10*6.0)+Inputs!C9)*Inputs!C13)-Inputs!C8)</f>
        <v/>
      </c>
      <c r="D28" s="39">
        <f>((((Inputs!C10+(Inputs!C9*0.5)/6.0)*6.0)+(Inputs!C9*0.5))-((((Inputs!C10+(Inputs!C9*0.5)/6.0)*6.0)+(Inputs!C9*0.5))*Inputs!C13)-Inputs!C8)</f>
        <v/>
      </c>
      <c r="E28" s="39">
        <f>((((Inputs!C10+Inputs!C9/6.0)*6.0)+0)-((((Inputs!C10+Inputs!C9/6.0)*6.0)+0)*Inputs!C13)-Inputs!C8)</f>
        <v/>
      </c>
    </row>
    <row r="29" ht="18" customHeight="1">
      <c r="B29" s="47" t="inlineStr">
        <is>
          <t>Annual net (cohort, weighted by % bookings):</t>
        </is>
      </c>
      <c r="C29" s="39">
        <f>(((((Inputs!C10*6.0)+Inputs!C9)-(((Inputs!C10*6.0)+Inputs!C9)*Inputs!C13)-Inputs!C8)*Inputs!C12*12)*Inputs!C18)</f>
        <v/>
      </c>
      <c r="D29" s="39">
        <f>((((((Inputs!C10+(Inputs!C9*0.5)/6.0)*6.0)+(Inputs!C9*0.5))-((((Inputs!C10+(Inputs!C9*0.5)/6.0)*6.0)+(Inputs!C9*0.5))*Inputs!C13)-Inputs!C8)*Inputs!C12*12)*Inputs!C18)</f>
        <v/>
      </c>
      <c r="E29" s="39">
        <f>((((((Inputs!C10+Inputs!C9/6.0)*6.0)+0)-((((Inputs!C10+Inputs!C9/6.0)*6.0)+0)*Inputs!C13)-Inputs!C8)*Inputs!C12*12)*Inputs!C18)</f>
        <v/>
      </c>
    </row>
    <row r="30" ht="18" customHeight="1">
      <c r="B30" s="42" t="inlineStr">
        <is>
          <t>Δ vs Strategy A:</t>
        </is>
      </c>
      <c r="C30" s="48">
        <f>"—"</f>
        <v/>
      </c>
      <c r="D30" s="44">
        <f>D29-C29</f>
        <v/>
      </c>
      <c r="E30" s="44">
        <f>E29-C29</f>
        <v/>
      </c>
    </row>
    <row r="36" ht="24" customHeight="1">
      <c r="A36" s="27" t="inlineStr">
        <is>
          <t>PORTFOLIO-WEIGHTED RESULT</t>
        </is>
      </c>
    </row>
    <row r="37" ht="26" customHeight="1">
      <c r="B37" s="40" t="inlineStr">
        <is>
          <t>Blended annual lift (Strategy C vs A):</t>
        </is>
      </c>
      <c r="C37" s="49">
        <f>(E9-C9)+(E19-C19)+(E29-C29)</f>
        <v/>
      </c>
    </row>
    <row r="39" ht="16" customHeight="1">
      <c r="A39" s="50" t="inlineStr">
        <is>
          <t>Why this matters: short stays carry the cleaning fee across fewer nights, so the per-night cleaning subsidy looks huge to the guest — and Airbnb's algorithm reads the high cleaning ratio as a signal to bury you. Long stays absorb the fee. Your LOS mix decides the right answer.</t>
        </is>
      </c>
    </row>
    <row r="40" ht="16" customHeight="1"/>
    <row r="41" ht="16" customHeight="1"/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</row>
    <row r="44" ht="18" customHeight="1">
      <c r="A44" s="23" t="inlineStr">
        <is>
          <t>Questions? hello@thestrledger.com</t>
        </is>
      </c>
    </row>
    <row r="45" ht="18" customHeight="1">
      <c r="A45" s="24" t="inlineStr">
        <is>
          <t>REV-001 · LOS Sensitivity</t>
        </is>
      </c>
    </row>
  </sheetData>
  <mergeCells count="11">
    <mergeCell ref="A26:L26"/>
    <mergeCell ref="A16:L16"/>
    <mergeCell ref="J2:L2"/>
    <mergeCell ref="D2:I2"/>
    <mergeCell ref="A45:L45"/>
    <mergeCell ref="A36:L36"/>
    <mergeCell ref="A39:L41"/>
    <mergeCell ref="A6:L6"/>
    <mergeCell ref="A44:L44"/>
    <mergeCell ref="A2:C2"/>
    <mergeCell ref="A4:L4"/>
  </mergeCells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A1:L32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4" customWidth="1" min="3" max="3"/>
    <col width="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HYPERLINK("#'LOS Sensitivity'!A1", "← BACK")</f>
        <v/>
      </c>
      <c r="B2" s="18" t="n"/>
      <c r="C2" s="18" t="n"/>
      <c r="D2" s="25" t="inlineStr">
        <is>
          <t>RECOMMENDATION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 ht="32" customHeight="1">
      <c r="B5" s="40" t="inlineStr">
        <is>
          <t>Recommended strategy:</t>
        </is>
      </c>
      <c r="C5" s="51">
        <f>IF('Strategy Compare'!E14&gt;=MAX('Strategy Compare'!C14:'Strategy Compare'!D14),"Strategy C — Fully Bundled",IF('Strategy Compare'!D14&gt;'Strategy Compare'!C14,"Strategy B — Partial Bundle (50%)","Strategy A — Full Fee (current)"))</f>
        <v/>
      </c>
    </row>
    <row r="6" ht="26" customHeight="1">
      <c r="B6" s="40" t="inlineStr">
        <is>
          <t>Annual revenue lift:</t>
        </is>
      </c>
      <c r="C6" s="52">
        <f>MAX('Strategy Compare'!C14:'Strategy Compare'!E14)-'Strategy Compare'!C14</f>
        <v/>
      </c>
    </row>
    <row r="7" ht="26" customHeight="1">
      <c r="B7" s="40" t="inlineStr">
        <is>
          <t>Search visibility lift (est.):</t>
        </is>
      </c>
      <c r="C7" s="53">
        <f>IF('Strategy Compare'!C18&gt;0.30,IF(MIN('Strategy Compare'!D18:'Strategy Compare'!E18)&lt;0.15,0.12,0.06),IF('Strategy Compare'!C18&gt;0.15,IF(MIN('Strategy Compare'!D18:'Strategy Compare'!E18)&lt;0.15,0.06,0.03),0))</f>
        <v/>
      </c>
    </row>
    <row r="10" ht="24" customHeight="1">
      <c r="A10" s="27" t="inlineStr">
        <is>
          <t>ACTION PLAN</t>
        </is>
      </c>
    </row>
    <row r="11" ht="20" customHeight="1">
      <c r="B11" s="54" t="inlineStr">
        <is>
          <t>1.  Open your Airbnb listing → Pricing → Cleaning fee.</t>
        </is>
      </c>
    </row>
    <row r="12" ht="20" customHeight="1">
      <c r="B12" s="54">
        <f>"2.  Set new cleaning fee → "&amp;IF('Strategy Compare'!E14&gt;=MAX('Strategy Compare'!C14:'Strategy Compare'!D14),TEXT('Strategy Compare'!E9,"$#,##0"),IF('Strategy Compare'!D14&gt;'Strategy Compare'!C14,TEXT('Strategy Compare'!D9,"$#,##0"),TEXT('Strategy Compare'!C9,"$#,##0")))</f>
        <v/>
      </c>
    </row>
    <row r="13" ht="20" customHeight="1">
      <c r="B13" s="54">
        <f>"3.  Set new nightly base rate → "&amp;IF('Strategy Compare'!E14&gt;=MAX('Strategy Compare'!C14:'Strategy Compare'!D14),TEXT('Strategy Compare'!E10,"$#,##0"),IF('Strategy Compare'!D14&gt;'Strategy Compare'!C14,TEXT('Strategy Compare'!D10,"$#,##0"),TEXT('Strategy Compare'!C10,"$#,##0")))&amp;"  (or update your dynamic-pricing tool base rate)"</f>
        <v/>
      </c>
    </row>
    <row r="14" ht="20" customHeight="1">
      <c r="B14" s="54" t="inlineStr">
        <is>
          <t>4.  Mirror the change on VRBO + your direct site if you list there.</t>
        </is>
      </c>
    </row>
    <row r="15" ht="20" customHeight="1">
      <c r="B15" s="54" t="inlineStr">
        <is>
          <t>5.  Hold the change for 60 days. Track booking pace + search-impression count (Airbnb Stats → Conversion).</t>
        </is>
      </c>
    </row>
    <row r="17" ht="24" customHeight="1">
      <c r="A17" s="27" t="inlineStr">
        <is>
          <t>RATIONALE</t>
        </is>
      </c>
    </row>
    <row r="18" ht="16" customHeight="1">
      <c r="B18" s="55" t="inlineStr">
        <is>
          <t>Airbnb takes a commission on the total stay cost — including the cleaning fee — so passing cleaning through 1:1 doesn't actually break even on the platform side. Bundling cleaning into the nightly rate compresses the cleaning-fee-to-nightly ratio, which is a documented Airbnb ranking factor (high ratio = search penalty). The compare tab shows the dollar version of that math.</t>
        </is>
      </c>
    </row>
    <row r="19" ht="16" customHeight="1"/>
    <row r="20" ht="16" customHeight="1"/>
    <row r="21" ht="16" customHeight="1"/>
    <row r="23" ht="24" customHeight="1">
      <c r="A23" s="27" t="inlineStr">
        <is>
          <t>RISKS  +  CAVEATS</t>
        </is>
      </c>
    </row>
    <row r="24" ht="28" customHeight="1">
      <c r="B24" s="56" t="inlineStr">
        <is>
          <t>•  Booking pace may shift in the first 30 days — guests filtering by nightly rate may not click your listing. Search visibility usually compensates within 60 days.</t>
        </is>
      </c>
    </row>
    <row r="25" ht="28" customHeight="1">
      <c r="B25" s="56" t="inlineStr">
        <is>
          <t>•  If your market is rate-sensitive (budget-traveler markets — Branson, Pigeon Forge in shoulder season), a 20%+ ADR jump may hurt more than the cleaning-ratio fix helps. Test in shoulder season, not peak.</t>
        </is>
      </c>
    </row>
    <row r="26" ht="28" customHeight="1">
      <c r="B26" s="56" t="inlineStr">
        <is>
          <t>•  These estimates assume your cleaner cost is fixed. If your cleaner raises rates mid-year, re-run.</t>
        </is>
      </c>
    </row>
    <row r="27" ht="28" customHeight="1">
      <c r="B27" s="56" t="inlineStr">
        <is>
          <t>•  Airbnb's algorithm changes. The cleaning-ratio rule has held since 2023 but isn't permanent.</t>
        </is>
      </c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</row>
    <row r="31" ht="18" customHeight="1">
      <c r="A31" s="23" t="inlineStr">
        <is>
          <t>Questions? hello@thestrledger.com</t>
        </is>
      </c>
    </row>
    <row r="32" ht="18" customHeight="1">
      <c r="A32" s="24" t="inlineStr">
        <is>
          <t>REV-001 · Recommendation</t>
        </is>
      </c>
    </row>
  </sheetData>
  <mergeCells count="17">
    <mergeCell ref="D2:L2"/>
    <mergeCell ref="B26:L26"/>
    <mergeCell ref="B12:L12"/>
    <mergeCell ref="A10:L10"/>
    <mergeCell ref="B13:L13"/>
    <mergeCell ref="B18:L21"/>
    <mergeCell ref="B27:L27"/>
    <mergeCell ref="B15:L15"/>
    <mergeCell ref="B11:L11"/>
    <mergeCell ref="A23:L23"/>
    <mergeCell ref="B24:L24"/>
    <mergeCell ref="B25:L25"/>
    <mergeCell ref="A31:L31"/>
    <mergeCell ref="A32:L32"/>
    <mergeCell ref="A17:L17"/>
    <mergeCell ref="B14:L14"/>
    <mergeCell ref="A2:C2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Cleaning Fee Optimizer — The STR Ledger</dc:title>
  <dc:description xmlns:dc="http://purl.org/dc/elements/1.1/">Compare cleaning-fee strategies side-by-side. Three pricing scenarios + Airbnb search-rank impact estimate + LOS sensitivity + a one-page action plan.</dc:description>
  <dcterms:created xmlns:dcterms="http://purl.org/dc/terms/" xmlns:xsi="http://www.w3.org/2001/XMLSchema-instance" xsi:type="dcterms:W3CDTF">2026-05-03T19:04:25Z</dcterms:created>
  <dcterms:modified xmlns:dcterms="http://purl.org/dc/terms/" xmlns:xsi="http://www.w3.org/2001/XMLSchema-instance" xsi:type="dcterms:W3CDTF">2026-05-03T19:04:25Z</dcterms:modified>
</cp:coreProperties>
</file>