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Claims Log" sheetId="2" state="visible" r:id="rId2"/>
    <sheet xmlns:r="http://schemas.openxmlformats.org/officeDocument/2006/relationships" name="Active Claim" sheetId="3" state="visible" r:id="rId3"/>
    <sheet xmlns:r="http://schemas.openxmlformats.org/officeDocument/2006/relationships" name="Annual Summary" sheetId="4" state="visible" r:id="rId4"/>
    <sheet xmlns:r="http://schemas.openxmlformats.org/officeDocument/2006/relationships" name="Settings" sheetId="5" state="visible" r:id="rId5"/>
  </sheets>
  <definedNames>
    <definedName name="_xlnm.Print_Area" localSheetId="0">'Start'!$A$1:$L$36</definedName>
    <definedName name="_xlnm.Print_Titles" localSheetId="1">'Claims Log'!$1:$5</definedName>
    <definedName name="_xlnm.Print_Area" localSheetId="2">'Active Claim'!$A$1:$L$82</definedName>
    <definedName name="_xlnm.Print_Area" localSheetId="3">'Annual Summary'!$A$1:$D$45</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35">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9"/>
    </font>
    <font>
      <name val="Georgia"/>
      <b val="1"/>
      <color rgb="0012304E"/>
      <sz val="32"/>
    </font>
    <font>
      <name val="Calibri"/>
      <color rgb="006B7280"/>
      <sz val="9"/>
    </font>
    <font>
      <name val="Consolas"/>
      <b val="1"/>
      <color rgb="00C9A24B"/>
      <sz val="9"/>
    </font>
    <font>
      <name val="Georgia"/>
      <b val="1"/>
      <color rgb="00C9A24B"/>
      <sz val="32"/>
    </font>
    <font>
      <name val="Consolas"/>
      <b val="1"/>
      <color rgb="00B5725E"/>
      <sz val="9"/>
    </font>
    <font>
      <name val="Georgia"/>
      <b val="1"/>
      <color rgb="00B5725E"/>
      <sz val="32"/>
    </font>
    <font>
      <name val="Consolas"/>
      <b val="1"/>
      <color rgb="0012304E"/>
      <sz val="10"/>
    </font>
    <font>
      <name val="Calibri"/>
      <color rgb="002B2B2B"/>
      <sz val="10"/>
    </font>
    <font>
      <name val="Georgia"/>
      <b val="1"/>
      <color rgb="00F6EFE2"/>
      <sz val="13"/>
    </font>
    <font>
      <name val="Georgia"/>
      <b val="1"/>
      <color rgb="0012304E"/>
      <sz val="13"/>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i val="1"/>
      <color rgb="002B2B2B"/>
      <sz val="11"/>
    </font>
    <font>
      <name val="Calibri"/>
      <color rgb="002B2B2B"/>
      <sz val="11"/>
    </font>
    <font>
      <name val="Calibri"/>
      <b val="1"/>
      <color rgb="002B2B2B"/>
      <sz val="10"/>
    </font>
    <font>
      <name val="Calibri"/>
      <b val="1"/>
      <color rgb="002B2B2B"/>
      <sz val="11"/>
    </font>
    <font>
      <name val="Calibri"/>
      <b val="1"/>
      <color rgb="0012304E"/>
      <sz val="11"/>
    </font>
    <font>
      <name val="Calibri"/>
      <b val="1"/>
      <color rgb="0012304E"/>
      <sz val="10"/>
    </font>
    <font>
      <name val="Calibri"/>
      <i val="1"/>
      <color rgb="006B7280"/>
      <sz val="9"/>
    </font>
    <font>
      <name val="Georgia"/>
      <b val="1"/>
      <color rgb="0012304E"/>
      <sz val="14"/>
    </font>
    <font>
      <name val="Georgia"/>
      <b val="1"/>
      <color rgb="00F6EFE2"/>
      <sz val="14"/>
    </font>
    <font>
      <name val="Calibri"/>
      <i val="1"/>
      <color rgb="006B7280"/>
      <sz val="11"/>
    </font>
    <font>
      <name val="Georgia"/>
      <b val="1"/>
      <color rgb="0012304E"/>
      <sz val="12"/>
    </font>
    <font>
      <name val="Calibri"/>
      <i val="1"/>
      <color rgb="006B7280"/>
      <sz val="10"/>
    </font>
    <font>
      <name val="Georgia"/>
      <b val="1"/>
      <color rgb="00F6EFE2"/>
      <sz val="12"/>
    </font>
    <font>
      <name val="Georgia"/>
      <b val="1"/>
      <color rgb="0012304E"/>
      <sz val="11"/>
    </font>
  </fonts>
  <fills count="9">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C9A24B"/>
      </patternFill>
    </fill>
    <fill>
      <patternFill patternType="solid">
        <fgColor rgb="00EDEDED"/>
      </patternFill>
    </fill>
    <fill>
      <patternFill patternType="solid">
        <fgColor rgb="00FFF7D6"/>
      </patternFill>
    </fill>
    <fill>
      <patternFill patternType="solid">
        <fgColor rgb="00E2C884"/>
      </patternFill>
    </fill>
  </fills>
  <borders count="16">
    <border>
      <left/>
      <right/>
      <top/>
      <bottom/>
      <diagonal/>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12304E"/>
      </left>
      <right style="thin">
        <color rgb="0012304E"/>
      </right>
      <top style="thin">
        <color rgb="0012304E"/>
      </top>
      <bottom style="thin">
        <color rgb="0012304E"/>
      </bottom>
    </border>
    <border>
      <left style="thin">
        <color rgb="00CCCCCC"/>
      </left>
      <right style="thin">
        <color rgb="00CCCCCC"/>
      </right>
      <top style="thin">
        <color rgb="00CCCCCC"/>
      </top>
      <bottom style="thin">
        <color rgb="00CCCCCC"/>
      </bottom>
    </border>
  </borders>
  <cellStyleXfs count="1">
    <xf numFmtId="0" fontId="0" fillId="0" borderId="0"/>
  </cellStyleXfs>
  <cellXfs count="64">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1" applyAlignment="1" pivotButton="0" quotePrefix="0" xfId="0">
      <alignment horizontal="center"/>
    </xf>
    <xf numFmtId="0" fontId="0" fillId="0" borderId="2" pivotButton="0" quotePrefix="0" xfId="0"/>
    <xf numFmtId="0" fontId="0" fillId="0" borderId="3" pivotButton="0" quotePrefix="0" xfId="0"/>
    <xf numFmtId="0" fontId="8" fillId="3" borderId="1" applyAlignment="1" pivotButton="0" quotePrefix="0" xfId="0">
      <alignment horizontal="center"/>
    </xf>
    <xf numFmtId="0" fontId="10" fillId="3" borderId="1" applyAlignment="1" pivotButton="0" quotePrefix="0" xfId="0">
      <alignment horizontal="center"/>
    </xf>
    <xf numFmtId="0" fontId="6" fillId="3" borderId="4" applyAlignment="1" pivotButton="0" quotePrefix="0" xfId="0">
      <alignment horizontal="center" vertical="center"/>
    </xf>
    <xf numFmtId="0" fontId="0" fillId="0" borderId="5" pivotButton="0" quotePrefix="0" xfId="0"/>
    <xf numFmtId="0" fontId="0" fillId="0" borderId="6" pivotButton="0" quotePrefix="0" xfId="0"/>
    <xf numFmtId="164" fontId="9" fillId="3" borderId="4" applyAlignment="1" pivotButton="0" quotePrefix="0" xfId="0">
      <alignment horizontal="center" vertical="center"/>
    </xf>
    <xf numFmtId="164" fontId="11" fillId="3" borderId="4" applyAlignment="1" pivotButton="0" quotePrefix="0" xfId="0">
      <alignment horizontal="center" vertical="center"/>
    </xf>
    <xf numFmtId="0" fontId="0" fillId="0" borderId="4" pivotButton="0" quotePrefix="0" xfId="0"/>
    <xf numFmtId="0" fontId="7" fillId="3" borderId="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12" fillId="4" borderId="0" applyAlignment="1" pivotButton="0" quotePrefix="0" xfId="0">
      <alignment horizontal="left" vertical="center" indent="2"/>
    </xf>
    <xf numFmtId="0" fontId="13" fillId="4" borderId="0" applyAlignment="1" pivotButton="0" quotePrefix="0" xfId="0">
      <alignment horizontal="left" vertical="top" wrapText="1" indent="2"/>
    </xf>
    <xf numFmtId="0" fontId="14" fillId="2" borderId="10" applyAlignment="1" pivotButton="0" quotePrefix="0" xfId="0">
      <alignment horizontal="center" vertical="center" wrapText="1"/>
    </xf>
    <xf numFmtId="0" fontId="0" fillId="0" borderId="10" pivotButton="0" quotePrefix="0" xfId="0"/>
    <xf numFmtId="0" fontId="15" fillId="3" borderId="11" applyAlignment="1" pivotButton="0" quotePrefix="0" xfId="0">
      <alignment horizontal="center" vertical="center" wrapText="1"/>
    </xf>
    <xf numFmtId="0" fontId="0" fillId="0" borderId="11" pivotButton="0" quotePrefix="0" xfId="0"/>
    <xf numFmtId="0" fontId="16" fillId="5" borderId="0" applyAlignment="1" pivotButton="0" quotePrefix="0" xfId="0">
      <alignment horizontal="center" vertical="center" wrapText="1"/>
    </xf>
    <xf numFmtId="0" fontId="0" fillId="0" borderId="12" pivotButton="0" quotePrefix="0" xfId="0"/>
    <xf numFmtId="0" fontId="17" fillId="0" borderId="0" applyAlignment="1" pivotButton="0" quotePrefix="0" xfId="0">
      <alignment horizontal="center" vertical="center"/>
    </xf>
    <xf numFmtId="0" fontId="18" fillId="0" borderId="0" applyAlignment="1" pivotButton="0" quotePrefix="0" xfId="0">
      <alignment horizontal="center" vertical="center"/>
    </xf>
    <xf numFmtId="0" fontId="19" fillId="2" borderId="0" applyAlignment="1" pivotButton="0" quotePrefix="0" xfId="0">
      <alignment horizontal="right" vertical="center" indent="2"/>
    </xf>
    <xf numFmtId="0" fontId="15" fillId="5" borderId="13" applyAlignment="1" pivotButton="0" quotePrefix="0" xfId="0">
      <alignment horizontal="center" vertical="center" wrapText="1"/>
    </xf>
    <xf numFmtId="0" fontId="0" fillId="0" borderId="13" pivotButton="0" quotePrefix="0" xfId="0"/>
    <xf numFmtId="0" fontId="20" fillId="3" borderId="0" applyAlignment="1" pivotButton="0" quotePrefix="0" xfId="0">
      <alignment horizontal="left" vertical="center" indent="1"/>
    </xf>
    <xf numFmtId="0" fontId="16" fillId="2" borderId="14" applyAlignment="1" pivotButton="0" quotePrefix="0" xfId="0">
      <alignment horizontal="center" vertical="center"/>
    </xf>
    <xf numFmtId="0" fontId="22" fillId="7" borderId="0" applyAlignment="1" pivotButton="0" quotePrefix="0" xfId="0">
      <alignment horizontal="left" vertical="center"/>
    </xf>
    <xf numFmtId="165" fontId="22" fillId="7" borderId="0" applyAlignment="1" pivotButton="0" quotePrefix="0" xfId="0">
      <alignment horizontal="left" vertical="center"/>
    </xf>
    <xf numFmtId="164" fontId="22" fillId="7" borderId="0" applyAlignment="1" pivotButton="0" quotePrefix="0" xfId="0">
      <alignment horizontal="left" vertical="center"/>
    </xf>
    <xf numFmtId="164" fontId="21" fillId="6" borderId="0" applyAlignment="1" pivotButton="0" quotePrefix="0" xfId="0">
      <alignment horizontal="right" vertical="center"/>
    </xf>
    <xf numFmtId="1" fontId="21" fillId="6" borderId="0" applyAlignment="1" pivotButton="0" quotePrefix="0" xfId="0">
      <alignment horizontal="center" vertical="center"/>
    </xf>
    <xf numFmtId="0" fontId="12" fillId="8" borderId="0" applyAlignment="1" pivotButton="0" quotePrefix="0" xfId="0">
      <alignment horizontal="left" vertical="center" indent="1"/>
    </xf>
    <xf numFmtId="0" fontId="23" fillId="0" borderId="0" pivotButton="0" quotePrefix="0" xfId="0"/>
    <xf numFmtId="0" fontId="22" fillId="7" borderId="0" applyAlignment="1" pivotButton="0" quotePrefix="0" xfId="0">
      <alignment horizontal="left" vertical="top" wrapText="1" indent="1"/>
    </xf>
    <xf numFmtId="166" fontId="22" fillId="7" borderId="0" applyAlignment="1" pivotButton="0" quotePrefix="0" xfId="0">
      <alignment horizontal="left" vertical="center"/>
    </xf>
    <xf numFmtId="0" fontId="24" fillId="0" borderId="0" pivotButton="0" quotePrefix="0" xfId="0"/>
    <xf numFmtId="166" fontId="25" fillId="6" borderId="0" applyAlignment="1" pivotButton="0" quotePrefix="0" xfId="0">
      <alignment horizontal="right" vertical="center"/>
    </xf>
    <xf numFmtId="0" fontId="26" fillId="7" borderId="15" applyAlignment="1" pivotButton="0" quotePrefix="0" xfId="0">
      <alignment horizontal="center" vertical="center"/>
    </xf>
    <xf numFmtId="0" fontId="13" fillId="0" borderId="0" applyAlignment="1" pivotButton="0" quotePrefix="0" xfId="0">
      <alignment horizontal="left" vertical="center" indent="1"/>
    </xf>
    <xf numFmtId="0" fontId="22" fillId="7" borderId="0" applyAlignment="1" pivotButton="0" quotePrefix="0" xfId="0">
      <alignment horizontal="center" vertical="center"/>
    </xf>
    <xf numFmtId="0" fontId="27" fillId="4" borderId="0" applyAlignment="1" pivotButton="0" quotePrefix="0" xfId="0">
      <alignment horizontal="center" vertical="center" wrapText="1"/>
    </xf>
    <xf numFmtId="0" fontId="28" fillId="6" borderId="0" applyAlignment="1" pivotButton="0" quotePrefix="0" xfId="0">
      <alignment horizontal="center" vertical="center"/>
    </xf>
    <xf numFmtId="0" fontId="29" fillId="2" borderId="0" applyAlignment="1" pivotButton="0" quotePrefix="0" xfId="0">
      <alignment horizontal="left" vertical="center" indent="2"/>
    </xf>
    <xf numFmtId="1" fontId="25" fillId="6" borderId="0" applyAlignment="1" pivotButton="0" quotePrefix="0" xfId="0">
      <alignment horizontal="right" vertical="center"/>
    </xf>
    <xf numFmtId="164" fontId="25" fillId="6" borderId="0" applyAlignment="1" pivotButton="0" quotePrefix="0" xfId="0">
      <alignment horizontal="right" vertical="center"/>
    </xf>
    <xf numFmtId="9" fontId="25" fillId="6" borderId="0" applyAlignment="1" pivotButton="0" quotePrefix="0" xfId="0">
      <alignment horizontal="right" vertical="center"/>
    </xf>
    <xf numFmtId="0" fontId="22" fillId="0" borderId="0" pivotButton="0" quotePrefix="0" xfId="0"/>
    <xf numFmtId="1" fontId="28" fillId="7" borderId="0" applyAlignment="1" pivotButton="0" quotePrefix="0" xfId="0">
      <alignment horizontal="center" vertical="center"/>
    </xf>
    <xf numFmtId="0" fontId="30" fillId="0" borderId="0" pivotButton="0" quotePrefix="0" xfId="0"/>
    <xf numFmtId="0" fontId="5" fillId="8" borderId="0" applyAlignment="1" pivotButton="0" quotePrefix="0" xfId="0">
      <alignment horizontal="left" vertical="center" indent="1"/>
    </xf>
    <xf numFmtId="164" fontId="31" fillId="7" borderId="0" applyAlignment="1" pivotButton="0" quotePrefix="0" xfId="0">
      <alignment horizontal="left" vertical="center"/>
    </xf>
    <xf numFmtId="0" fontId="32" fillId="0" borderId="0" pivotButton="0" quotePrefix="0" xfId="0"/>
    <xf numFmtId="0" fontId="33" fillId="2" borderId="0" applyAlignment="1" pivotButton="0" quotePrefix="0" xfId="0">
      <alignment horizontal="left" vertical="center" indent="2"/>
    </xf>
    <xf numFmtId="0" fontId="34" fillId="7" borderId="0" applyAlignment="1" pivotButton="0" quotePrefix="0" xfId="0">
      <alignment horizontal="center" vertical="center"/>
    </xf>
  </cellXfs>
  <cellStyles count="1">
    <cellStyle name="Normal" xfId="0" builtinId="0" hidden="0"/>
  </cellStyles>
  <dxfs count="2">
    <dxf>
      <fill>
        <patternFill patternType="solid">
          <fgColor rgb="00FFCCCC"/>
        </patternFill>
      </fill>
    </dxf>
    <dxf>
      <fill>
        <patternFill patternType="solid">
          <fgColor rgb="00E2C8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6"/>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Insurance Claim Log</t>
        </is>
      </c>
    </row>
    <row r="5" ht="22" customHeight="1">
      <c r="A5" s="4" t="inlineStr">
        <is>
          <t>Storm, fire, theft, water — every claim filed against your STR policy.</t>
        </is>
      </c>
    </row>
    <row r="6" ht="22" customHeight="1">
      <c r="A6" s="1" t="n"/>
      <c r="B6" s="1" t="n"/>
      <c r="C6" s="1" t="n"/>
      <c r="D6" s="1" t="n"/>
      <c r="E6" s="1" t="n"/>
      <c r="F6" s="1" t="n"/>
      <c r="G6" s="1" t="n"/>
      <c r="H6" s="1" t="n"/>
      <c r="I6" s="1" t="n"/>
      <c r="J6" s="1" t="n"/>
      <c r="K6" s="1" t="n"/>
      <c r="L6" s="1" t="n"/>
    </row>
    <row r="7" ht="22" customHeight="1">
      <c r="A7" s="5" t="inlineStr">
        <is>
          <t>LGL-004 · v1.0 · BLANK</t>
        </is>
      </c>
    </row>
    <row r="8" ht="22" customHeight="1">
      <c r="A8" s="1" t="n"/>
      <c r="B8" s="1" t="n"/>
      <c r="C8" s="1" t="n"/>
      <c r="D8" s="1" t="n"/>
      <c r="E8" s="1" t="n"/>
      <c r="F8" s="1" t="n"/>
      <c r="G8" s="1" t="n"/>
      <c r="H8" s="1" t="n"/>
      <c r="I8" s="1" t="n"/>
      <c r="J8" s="1" t="n"/>
      <c r="K8" s="1" t="n"/>
      <c r="L8" s="1" t="n"/>
    </row>
    <row r="10">
      <c r="A10" s="6" t="inlineStr">
        <is>
          <t>OPEN CLAIMS</t>
        </is>
      </c>
      <c r="B10" s="7" t="n"/>
      <c r="C10" s="7" t="n"/>
      <c r="D10" s="8" t="n"/>
      <c r="E10" s="9" t="inlineStr">
        <is>
          <t>$ AT RISK</t>
        </is>
      </c>
      <c r="F10" s="7" t="n"/>
      <c r="G10" s="7" t="n"/>
      <c r="H10" s="8" t="n"/>
      <c r="I10" s="10" t="inlineStr">
        <is>
          <t>RECOVERY YTD</t>
        </is>
      </c>
      <c r="J10" s="7" t="n"/>
      <c r="K10" s="7" t="n"/>
      <c r="L10" s="8" t="n"/>
    </row>
    <row r="11">
      <c r="A11" s="11">
        <f>COUNTIFS('Claims Log'!P6:P55,"&lt;&gt;Settled",'Claims Log'!P6:P55,"&lt;&gt;Closed",'Claims Log'!P6:P55,"&lt;&gt;Denied",'Claims Log'!P6:P55,"&lt;&gt;",'Claims Log'!A6:A55,"&lt;&gt;")</f>
        <v/>
      </c>
      <c r="B11" s="12" t="n"/>
      <c r="C11" s="12" t="n"/>
      <c r="D11" s="13" t="n"/>
      <c r="E11" s="14">
        <f>SUMIFS('Claims Log'!J6:J55,'Claims Log'!P6:P55,"&lt;&gt;Settled",'Claims Log'!P6:P55,"&lt;&gt;Closed",'Claims Log'!P6:P55,"&lt;&gt;Denied",'Claims Log'!A6:A55,"&lt;&gt;")</f>
        <v/>
      </c>
      <c r="F11" s="12" t="n"/>
      <c r="G11" s="12" t="n"/>
      <c r="H11" s="13" t="n"/>
      <c r="I11" s="15">
        <f>SUMPRODUCT((YEAR('Claims Log'!B6:B55)=Settings!$B$5)*'Claims Log'!K6:K55)</f>
        <v/>
      </c>
      <c r="J11" s="12" t="n"/>
      <c r="K11" s="12" t="n"/>
      <c r="L11" s="13" t="n"/>
    </row>
    <row r="12">
      <c r="A12" s="16" t="n"/>
      <c r="B12" s="12" t="n"/>
      <c r="C12" s="12" t="n"/>
      <c r="D12" s="13" t="n"/>
      <c r="E12" s="16" t="n"/>
      <c r="F12" s="12" t="n"/>
      <c r="G12" s="12" t="n"/>
      <c r="H12" s="13" t="n"/>
      <c r="I12" s="16" t="n"/>
      <c r="J12" s="12" t="n"/>
      <c r="K12" s="12" t="n"/>
      <c r="L12" s="13" t="n"/>
    </row>
    <row r="13">
      <c r="A13" s="16" t="n"/>
      <c r="B13" s="12" t="n"/>
      <c r="C13" s="12" t="n"/>
      <c r="D13" s="13" t="n"/>
      <c r="E13" s="16" t="n"/>
      <c r="F13" s="12" t="n"/>
      <c r="G13" s="12" t="n"/>
      <c r="H13" s="13" t="n"/>
      <c r="I13" s="16" t="n"/>
      <c r="J13" s="12" t="n"/>
      <c r="K13" s="12" t="n"/>
      <c r="L13" s="13" t="n"/>
    </row>
    <row r="14">
      <c r="A14" s="17" t="inlineStr">
        <is>
          <t>claims still in flight</t>
        </is>
      </c>
      <c r="B14" s="12" t="n"/>
      <c r="C14" s="12" t="n"/>
      <c r="D14" s="13" t="n"/>
      <c r="E14" s="17" t="inlineStr">
        <is>
          <t>submitted, not yet recovered</t>
        </is>
      </c>
      <c r="F14" s="12" t="n"/>
      <c r="G14" s="12" t="n"/>
      <c r="H14" s="13" t="n"/>
      <c r="I14" s="17" t="inlineStr">
        <is>
          <t>recovered this year</t>
        </is>
      </c>
      <c r="J14" s="12" t="n"/>
      <c r="K14" s="12" t="n"/>
      <c r="L14" s="13" t="n"/>
    </row>
    <row r="15">
      <c r="A15" s="18" t="n"/>
      <c r="B15" s="19" t="n"/>
      <c r="C15" s="19" t="n"/>
      <c r="D15" s="20" t="n"/>
      <c r="E15" s="18" t="n"/>
      <c r="F15" s="19" t="n"/>
      <c r="G15" s="19" t="n"/>
      <c r="H15" s="20" t="n"/>
      <c r="I15" s="18" t="n"/>
      <c r="J15" s="19" t="n"/>
      <c r="K15" s="19" t="n"/>
      <c r="L15" s="20" t="n"/>
    </row>
    <row r="17" ht="22" customHeight="1">
      <c r="A17" s="21" t="inlineStr">
        <is>
          <t>WHAT THIS DOES</t>
        </is>
      </c>
    </row>
    <row r="18">
      <c r="A18" s="22" t="inlineStr">
        <is>
          <t>Tracks claims filed against your underlying STR insurance carrier (HO-3, DP-3, Proper, Foremost, etc.) — separate from platform claims like Airbnb AirCover. Records every claim from FNOL through settlement, captures recovery $ vs deductible, and surfaces lessons-learned so each claim makes the next one easier.</t>
        </is>
      </c>
    </row>
    <row r="19"/>
    <row r="20"/>
    <row r="21"/>
    <row r="23" ht="20" customHeight="1">
      <c r="A23" s="23">
        <f>HYPERLINK("#'Claims Log'!A6", "→ NEW CLAIM")</f>
        <v/>
      </c>
      <c r="B23" s="24" t="n"/>
      <c r="C23" s="24" t="n"/>
      <c r="D23" s="24" t="n"/>
      <c r="E23" s="24" t="n"/>
      <c r="F23" s="24" t="n"/>
      <c r="G23" s="25">
        <f>HYPERLINK("#'Active Claim'!A1", "Active Claim Detail")</f>
        <v/>
      </c>
      <c r="H23" s="26" t="n"/>
      <c r="I23" s="26" t="n"/>
      <c r="J23" s="26" t="n"/>
      <c r="K23" s="26" t="n"/>
      <c r="L23" s="26" t="n"/>
    </row>
    <row r="24" ht="20" customHeight="1">
      <c r="A24" s="24" t="n"/>
      <c r="B24" s="24" t="n"/>
      <c r="C24" s="24" t="n"/>
      <c r="D24" s="24" t="n"/>
      <c r="E24" s="24" t="n"/>
      <c r="F24" s="24" t="n"/>
      <c r="G24" s="26" t="n"/>
      <c r="H24" s="26" t="n"/>
      <c r="I24" s="26" t="n"/>
      <c r="J24" s="26" t="n"/>
      <c r="K24" s="26" t="n"/>
      <c r="L24" s="26" t="n"/>
    </row>
    <row r="25" ht="20" customHeight="1">
      <c r="A25" s="24" t="n"/>
      <c r="B25" s="24" t="n"/>
      <c r="C25" s="24" t="n"/>
      <c r="D25" s="24" t="n"/>
      <c r="E25" s="24" t="n"/>
      <c r="F25" s="24" t="n"/>
      <c r="G25" s="26" t="n"/>
      <c r="H25" s="26" t="n"/>
      <c r="I25" s="26" t="n"/>
      <c r="J25" s="26" t="n"/>
      <c r="K25" s="26" t="n"/>
      <c r="L25" s="26" t="n"/>
    </row>
    <row r="26" ht="20" customHeight="1">
      <c r="A26" s="24" t="n"/>
      <c r="B26" s="24" t="n"/>
      <c r="C26" s="24" t="n"/>
      <c r="D26" s="24" t="n"/>
      <c r="E26" s="24" t="n"/>
      <c r="F26" s="24" t="n"/>
      <c r="G26" s="26" t="n"/>
      <c r="H26" s="26" t="n"/>
      <c r="I26" s="26" t="n"/>
      <c r="J26" s="26" t="n"/>
      <c r="K26" s="26" t="n"/>
      <c r="L26" s="26" t="n"/>
    </row>
    <row r="28" ht="20" customHeight="1">
      <c r="A28" s="25">
        <f>HYPERLINK("#'Annual Summary'!A1", "Annual Summary")</f>
        <v/>
      </c>
      <c r="B28" s="26" t="n"/>
      <c r="C28" s="26" t="n"/>
      <c r="D28" s="26" t="n"/>
      <c r="E28" s="26" t="n"/>
      <c r="F28" s="26" t="n"/>
      <c r="G28" s="25">
        <f>HYPERLINK("#'Settings'!A1", "Settings")</f>
        <v/>
      </c>
      <c r="H28" s="26" t="n"/>
      <c r="I28" s="26" t="n"/>
      <c r="J28" s="26" t="n"/>
      <c r="K28" s="26" t="n"/>
      <c r="L28" s="26" t="n"/>
    </row>
    <row r="29" ht="20" customHeight="1">
      <c r="A29" s="26" t="n"/>
      <c r="B29" s="26" t="n"/>
      <c r="C29" s="26" t="n"/>
      <c r="D29" s="26" t="n"/>
      <c r="E29" s="26" t="n"/>
      <c r="F29" s="26" t="n"/>
      <c r="G29" s="26" t="n"/>
      <c r="H29" s="26" t="n"/>
      <c r="I29" s="26" t="n"/>
      <c r="J29" s="26" t="n"/>
      <c r="K29" s="26" t="n"/>
      <c r="L29" s="26" t="n"/>
    </row>
    <row r="30" ht="20" customHeight="1">
      <c r="A30" s="26" t="n"/>
      <c r="B30" s="26" t="n"/>
      <c r="C30" s="26" t="n"/>
      <c r="D30" s="26" t="n"/>
      <c r="E30" s="26" t="n"/>
      <c r="F30" s="26" t="n"/>
      <c r="G30" s="26" t="n"/>
      <c r="H30" s="26" t="n"/>
      <c r="I30" s="26" t="n"/>
      <c r="J30" s="26" t="n"/>
      <c r="K30" s="26" t="n"/>
      <c r="L30" s="26" t="n"/>
    </row>
    <row r="32" ht="32" customHeight="1">
      <c r="A32" s="27" t="inlineStr">
        <is>
          <t>💡  Need full operations coverage? Add the Operator Bundle at thestrledger.com/operator — turnover + maintenance + claims + insurance.</t>
        </is>
      </c>
    </row>
    <row r="34">
      <c r="A34" s="28" t="n"/>
      <c r="B34" s="28" t="n"/>
      <c r="C34" s="28" t="n"/>
      <c r="D34" s="28" t="n"/>
      <c r="E34" s="28" t="n"/>
      <c r="F34" s="28" t="n"/>
      <c r="G34" s="28" t="n"/>
      <c r="H34" s="28" t="n"/>
      <c r="I34" s="28" t="n"/>
      <c r="J34" s="28" t="n"/>
      <c r="K34" s="28" t="n"/>
      <c r="L34" s="28" t="n"/>
    </row>
    <row r="35" ht="18" customHeight="1">
      <c r="A35" s="29" t="inlineStr">
        <is>
          <t>Questions? hello@thestrledger.com</t>
        </is>
      </c>
    </row>
    <row r="36" ht="18" customHeight="1">
      <c r="A36" s="30" t="inlineStr">
        <is>
          <t>LGL-004 · v1.0 · BLANK · Free updates forever</t>
        </is>
      </c>
    </row>
  </sheetData>
  <mergeCells count="22">
    <mergeCell ref="E14:H15"/>
    <mergeCell ref="A7:L7"/>
    <mergeCell ref="E11:H13"/>
    <mergeCell ref="I10:L10"/>
    <mergeCell ref="A10:D10"/>
    <mergeCell ref="A2:F2"/>
    <mergeCell ref="G28:L30"/>
    <mergeCell ref="A5:L5"/>
    <mergeCell ref="A32:L32"/>
    <mergeCell ref="A17:L17"/>
    <mergeCell ref="A35:L35"/>
    <mergeCell ref="A4:L4"/>
    <mergeCell ref="A14:D15"/>
    <mergeCell ref="I14:L15"/>
    <mergeCell ref="G23:L26"/>
    <mergeCell ref="A11:D13"/>
    <mergeCell ref="I11:L13"/>
    <mergeCell ref="E10:H10"/>
    <mergeCell ref="A28:F30"/>
    <mergeCell ref="A18:L21"/>
    <mergeCell ref="A36:L36"/>
    <mergeCell ref="A23:F2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Q55"/>
  <sheetViews>
    <sheetView workbookViewId="0">
      <pane ySplit="5" topLeftCell="A6" activePane="bottomLeft" state="frozen"/>
      <selection pane="bottomLeft" activeCell="A1" sqref="A1"/>
    </sheetView>
  </sheetViews>
  <sheetFormatPr baseColWidth="8" defaultRowHeight="15"/>
  <cols>
    <col width="14" customWidth="1" min="1" max="1"/>
    <col width="12" customWidth="1" min="2" max="2"/>
    <col width="22" customWidth="1" min="3" max="3"/>
    <col width="20" customWidth="1" min="4" max="4"/>
    <col width="14" customWidth="1" min="5" max="5"/>
    <col width="12" customWidth="1" min="6" max="6"/>
    <col width="38" customWidth="1" min="7" max="7"/>
    <col width="13" customWidth="1" min="8" max="8"/>
    <col width="11" customWidth="1" min="9" max="9"/>
    <col width="12" customWidth="1" min="10" max="10"/>
    <col width="12" customWidth="1" min="11" max="11"/>
    <col width="12" customWidth="1" min="12" max="12"/>
    <col width="12" customWidth="1" min="13" max="13"/>
    <col width="12" customWidth="1" min="14" max="14"/>
    <col width="11" customWidth="1" min="15" max="15"/>
    <col width="18" customWidth="1" min="16" max="16"/>
    <col width="32" customWidth="1" min="17" max="17"/>
  </cols>
  <sheetData>
    <row r="1" ht="8" customHeight="1">
      <c r="A1" s="1" t="n"/>
      <c r="B1" s="1" t="n"/>
      <c r="C1" s="1" t="n"/>
      <c r="D1" s="1" t="n"/>
      <c r="E1" s="1" t="n"/>
      <c r="F1" s="1" t="n"/>
      <c r="G1" s="1" t="n"/>
      <c r="H1" s="1" t="n"/>
      <c r="I1" s="1" t="n"/>
      <c r="J1" s="1" t="n"/>
      <c r="K1" s="1" t="n"/>
      <c r="L1" s="1" t="n"/>
    </row>
    <row r="2" ht="28" customHeight="1">
      <c r="A2" s="23">
        <f>HYPERLINK("#'Start'!A1", "← BACK")</f>
        <v/>
      </c>
      <c r="B2" s="24" t="n"/>
      <c r="C2" s="24" t="n"/>
      <c r="D2" s="31" t="inlineStr">
        <is>
          <t>CLAIMS LOG</t>
        </is>
      </c>
      <c r="J2" s="32">
        <f>HYPERLINK("#'Active Claim'!A1", "NEXT →")</f>
        <v/>
      </c>
      <c r="K2" s="33" t="n"/>
      <c r="L2" s="33" t="n"/>
    </row>
    <row r="3" ht="6" customHeight="1">
      <c r="A3" s="1" t="n"/>
      <c r="B3" s="1" t="n"/>
      <c r="C3" s="1" t="n"/>
      <c r="D3" s="1" t="n"/>
      <c r="E3" s="1" t="n"/>
      <c r="F3" s="1" t="n"/>
      <c r="G3" s="1" t="n"/>
      <c r="H3" s="1" t="n"/>
      <c r="I3" s="1" t="n"/>
      <c r="J3" s="1" t="n"/>
      <c r="K3" s="1" t="n"/>
      <c r="L3" s="1" t="n"/>
    </row>
    <row r="4" ht="18" customHeight="1">
      <c r="A4" s="34" t="inlineStr">
        <is>
          <t>Master register — every claim filed against the underlying carrier. Net to host (col L) = Recovered − Deductible. Days to close (col O) auto-calculates once you set Date closed.</t>
        </is>
      </c>
    </row>
    <row r="5" ht="28" customHeight="1">
      <c r="A5" s="35" t="inlineStr">
        <is>
          <t>Claim #</t>
        </is>
      </c>
      <c r="B5" s="35" t="inlineStr">
        <is>
          <t>Date of loss</t>
        </is>
      </c>
      <c r="C5" s="35" t="inlineStr">
        <is>
          <t>Property</t>
        </is>
      </c>
      <c r="D5" s="35" t="inlineStr">
        <is>
          <t>Carrier</t>
        </is>
      </c>
      <c r="E5" s="35" t="inlineStr">
        <is>
          <t>Policy #</t>
        </is>
      </c>
      <c r="F5" s="35" t="inlineStr">
        <is>
          <t>Type</t>
        </is>
      </c>
      <c r="G5" s="35" t="inlineStr">
        <is>
          <t>Loss description</t>
        </is>
      </c>
      <c r="H5" s="35" t="inlineStr">
        <is>
          <t>$ Est. damages</t>
        </is>
      </c>
      <c r="I5" s="35" t="inlineStr">
        <is>
          <t>Deductible</t>
        </is>
      </c>
      <c r="J5" s="35" t="inlineStr">
        <is>
          <t>$ Submitted</t>
        </is>
      </c>
      <c r="K5" s="35" t="inlineStr">
        <is>
          <t>$ Recovered</t>
        </is>
      </c>
      <c r="L5" s="35" t="inlineStr">
        <is>
          <t>Net to host</t>
        </is>
      </c>
      <c r="M5" s="35" t="inlineStr">
        <is>
          <t>Date filed</t>
        </is>
      </c>
      <c r="N5" s="35" t="inlineStr">
        <is>
          <t>Date closed</t>
        </is>
      </c>
      <c r="O5" s="35" t="inlineStr">
        <is>
          <t>Days to close</t>
        </is>
      </c>
      <c r="P5" s="35" t="inlineStr">
        <is>
          <t>Status</t>
        </is>
      </c>
      <c r="Q5" s="35" t="inlineStr">
        <is>
          <t>Notes</t>
        </is>
      </c>
    </row>
    <row r="6">
      <c r="A6" s="36" t="n"/>
      <c r="B6" s="37" t="n"/>
      <c r="C6" s="36" t="n"/>
      <c r="D6" s="36" t="n"/>
      <c r="E6" s="36" t="n"/>
      <c r="F6" s="36" t="n"/>
      <c r="G6" s="36" t="n"/>
      <c r="H6" s="38" t="n"/>
      <c r="I6" s="38" t="n"/>
      <c r="J6" s="38" t="n"/>
      <c r="K6" s="38" t="n"/>
      <c r="L6" s="39">
        <f>IF(K6="","",K6-I6)</f>
        <v/>
      </c>
      <c r="M6" s="37" t="n"/>
      <c r="N6" s="37" t="n"/>
      <c r="O6" s="40">
        <f>IF(AND(M6&lt;&gt;"",N6&lt;&gt;""),N6-M6,"")</f>
        <v/>
      </c>
      <c r="P6" s="36" t="n"/>
      <c r="Q6" s="36" t="n"/>
    </row>
    <row r="7">
      <c r="A7" s="36" t="n"/>
      <c r="B7" s="37" t="n"/>
      <c r="C7" s="36" t="n"/>
      <c r="D7" s="36" t="n"/>
      <c r="E7" s="36" t="n"/>
      <c r="F7" s="36" t="n"/>
      <c r="G7" s="36" t="n"/>
      <c r="H7" s="38" t="n"/>
      <c r="I7" s="38" t="n"/>
      <c r="J7" s="38" t="n"/>
      <c r="K7" s="38" t="n"/>
      <c r="L7" s="39">
        <f>IF(K7="","",K7-I7)</f>
        <v/>
      </c>
      <c r="M7" s="37" t="n"/>
      <c r="N7" s="37" t="n"/>
      <c r="O7" s="40">
        <f>IF(AND(M7&lt;&gt;"",N7&lt;&gt;""),N7-M7,"")</f>
        <v/>
      </c>
      <c r="P7" s="36" t="n"/>
      <c r="Q7" s="36" t="n"/>
    </row>
    <row r="8">
      <c r="A8" s="36" t="n"/>
      <c r="B8" s="37" t="n"/>
      <c r="C8" s="36" t="n"/>
      <c r="D8" s="36" t="n"/>
      <c r="E8" s="36" t="n"/>
      <c r="F8" s="36" t="n"/>
      <c r="G8" s="36" t="n"/>
      <c r="H8" s="38" t="n"/>
      <c r="I8" s="38" t="n"/>
      <c r="J8" s="38" t="n"/>
      <c r="K8" s="38" t="n"/>
      <c r="L8" s="39">
        <f>IF(K8="","",K8-I8)</f>
        <v/>
      </c>
      <c r="M8" s="37" t="n"/>
      <c r="N8" s="37" t="n"/>
      <c r="O8" s="40">
        <f>IF(AND(M8&lt;&gt;"",N8&lt;&gt;""),N8-M8,"")</f>
        <v/>
      </c>
      <c r="P8" s="36" t="n"/>
      <c r="Q8" s="36" t="n"/>
    </row>
    <row r="9">
      <c r="A9" s="36" t="n"/>
      <c r="B9" s="37" t="n"/>
      <c r="C9" s="36" t="n"/>
      <c r="D9" s="36" t="n"/>
      <c r="E9" s="36" t="n"/>
      <c r="F9" s="36" t="n"/>
      <c r="G9" s="36" t="n"/>
      <c r="H9" s="38" t="n"/>
      <c r="I9" s="38" t="n"/>
      <c r="J9" s="38" t="n"/>
      <c r="K9" s="38" t="n"/>
      <c r="L9" s="39">
        <f>IF(K9="","",K9-I9)</f>
        <v/>
      </c>
      <c r="M9" s="37" t="n"/>
      <c r="N9" s="37" t="n"/>
      <c r="O9" s="40">
        <f>IF(AND(M9&lt;&gt;"",N9&lt;&gt;""),N9-M9,"")</f>
        <v/>
      </c>
      <c r="P9" s="36" t="n"/>
      <c r="Q9" s="36" t="n"/>
    </row>
    <row r="10">
      <c r="A10" s="36" t="n"/>
      <c r="B10" s="37" t="n"/>
      <c r="C10" s="36" t="n"/>
      <c r="D10" s="36" t="n"/>
      <c r="E10" s="36" t="n"/>
      <c r="F10" s="36" t="n"/>
      <c r="G10" s="36" t="n"/>
      <c r="H10" s="38" t="n"/>
      <c r="I10" s="38" t="n"/>
      <c r="J10" s="38" t="n"/>
      <c r="K10" s="38" t="n"/>
      <c r="L10" s="39">
        <f>IF(K10="","",K10-I10)</f>
        <v/>
      </c>
      <c r="M10" s="37" t="n"/>
      <c r="N10" s="37" t="n"/>
      <c r="O10" s="40">
        <f>IF(AND(M10&lt;&gt;"",N10&lt;&gt;""),N10-M10,"")</f>
        <v/>
      </c>
      <c r="P10" s="36" t="n"/>
      <c r="Q10" s="36" t="n"/>
    </row>
    <row r="11">
      <c r="A11" s="36" t="n"/>
      <c r="B11" s="37" t="n"/>
      <c r="C11" s="36" t="n"/>
      <c r="D11" s="36" t="n"/>
      <c r="E11" s="36" t="n"/>
      <c r="F11" s="36" t="n"/>
      <c r="G11" s="36" t="n"/>
      <c r="H11" s="38" t="n"/>
      <c r="I11" s="38" t="n"/>
      <c r="J11" s="38" t="n"/>
      <c r="K11" s="38" t="n"/>
      <c r="L11" s="39">
        <f>IF(K11="","",K11-I11)</f>
        <v/>
      </c>
      <c r="M11" s="37" t="n"/>
      <c r="N11" s="37" t="n"/>
      <c r="O11" s="40">
        <f>IF(AND(M11&lt;&gt;"",N11&lt;&gt;""),N11-M11,"")</f>
        <v/>
      </c>
      <c r="P11" s="36" t="n"/>
      <c r="Q11" s="36" t="n"/>
    </row>
    <row r="12">
      <c r="A12" s="36" t="n"/>
      <c r="B12" s="37" t="n"/>
      <c r="C12" s="36" t="n"/>
      <c r="D12" s="36" t="n"/>
      <c r="E12" s="36" t="n"/>
      <c r="F12" s="36" t="n"/>
      <c r="G12" s="36" t="n"/>
      <c r="H12" s="38" t="n"/>
      <c r="I12" s="38" t="n"/>
      <c r="J12" s="38" t="n"/>
      <c r="K12" s="38" t="n"/>
      <c r="L12" s="39">
        <f>IF(K12="","",K12-I12)</f>
        <v/>
      </c>
      <c r="M12" s="37" t="n"/>
      <c r="N12" s="37" t="n"/>
      <c r="O12" s="40">
        <f>IF(AND(M12&lt;&gt;"",N12&lt;&gt;""),N12-M12,"")</f>
        <v/>
      </c>
      <c r="P12" s="36" t="n"/>
      <c r="Q12" s="36" t="n"/>
    </row>
    <row r="13">
      <c r="A13" s="36" t="n"/>
      <c r="B13" s="37" t="n"/>
      <c r="C13" s="36" t="n"/>
      <c r="D13" s="36" t="n"/>
      <c r="E13" s="36" t="n"/>
      <c r="F13" s="36" t="n"/>
      <c r="G13" s="36" t="n"/>
      <c r="H13" s="38" t="n"/>
      <c r="I13" s="38" t="n"/>
      <c r="J13" s="38" t="n"/>
      <c r="K13" s="38" t="n"/>
      <c r="L13" s="39">
        <f>IF(K13="","",K13-I13)</f>
        <v/>
      </c>
      <c r="M13" s="37" t="n"/>
      <c r="N13" s="37" t="n"/>
      <c r="O13" s="40">
        <f>IF(AND(M13&lt;&gt;"",N13&lt;&gt;""),N13-M13,"")</f>
        <v/>
      </c>
      <c r="P13" s="36" t="n"/>
      <c r="Q13" s="36" t="n"/>
    </row>
    <row r="14">
      <c r="A14" s="36" t="n"/>
      <c r="B14" s="37" t="n"/>
      <c r="C14" s="36" t="n"/>
      <c r="D14" s="36" t="n"/>
      <c r="E14" s="36" t="n"/>
      <c r="F14" s="36" t="n"/>
      <c r="G14" s="36" t="n"/>
      <c r="H14" s="38" t="n"/>
      <c r="I14" s="38" t="n"/>
      <c r="J14" s="38" t="n"/>
      <c r="K14" s="38" t="n"/>
      <c r="L14" s="39">
        <f>IF(K14="","",K14-I14)</f>
        <v/>
      </c>
      <c r="M14" s="37" t="n"/>
      <c r="N14" s="37" t="n"/>
      <c r="O14" s="40">
        <f>IF(AND(M14&lt;&gt;"",N14&lt;&gt;""),N14-M14,"")</f>
        <v/>
      </c>
      <c r="P14" s="36" t="n"/>
      <c r="Q14" s="36" t="n"/>
    </row>
    <row r="15">
      <c r="A15" s="36" t="n"/>
      <c r="B15" s="37" t="n"/>
      <c r="C15" s="36" t="n"/>
      <c r="D15" s="36" t="n"/>
      <c r="E15" s="36" t="n"/>
      <c r="F15" s="36" t="n"/>
      <c r="G15" s="36" t="n"/>
      <c r="H15" s="38" t="n"/>
      <c r="I15" s="38" t="n"/>
      <c r="J15" s="38" t="n"/>
      <c r="K15" s="38" t="n"/>
      <c r="L15" s="39">
        <f>IF(K15="","",K15-I15)</f>
        <v/>
      </c>
      <c r="M15" s="37" t="n"/>
      <c r="N15" s="37" t="n"/>
      <c r="O15" s="40">
        <f>IF(AND(M15&lt;&gt;"",N15&lt;&gt;""),N15-M15,"")</f>
        <v/>
      </c>
      <c r="P15" s="36" t="n"/>
      <c r="Q15" s="36" t="n"/>
    </row>
    <row r="16">
      <c r="A16" s="36" t="n"/>
      <c r="B16" s="37" t="n"/>
      <c r="C16" s="36" t="n"/>
      <c r="D16" s="36" t="n"/>
      <c r="E16" s="36" t="n"/>
      <c r="F16" s="36" t="n"/>
      <c r="G16" s="36" t="n"/>
      <c r="H16" s="38" t="n"/>
      <c r="I16" s="38" t="n"/>
      <c r="J16" s="38" t="n"/>
      <c r="K16" s="38" t="n"/>
      <c r="L16" s="39">
        <f>IF(K16="","",K16-I16)</f>
        <v/>
      </c>
      <c r="M16" s="37" t="n"/>
      <c r="N16" s="37" t="n"/>
      <c r="O16" s="40">
        <f>IF(AND(M16&lt;&gt;"",N16&lt;&gt;""),N16-M16,"")</f>
        <v/>
      </c>
      <c r="P16" s="36" t="n"/>
      <c r="Q16" s="36" t="n"/>
    </row>
    <row r="17">
      <c r="A17" s="36" t="n"/>
      <c r="B17" s="37" t="n"/>
      <c r="C17" s="36" t="n"/>
      <c r="D17" s="36" t="n"/>
      <c r="E17" s="36" t="n"/>
      <c r="F17" s="36" t="n"/>
      <c r="G17" s="36" t="n"/>
      <c r="H17" s="38" t="n"/>
      <c r="I17" s="38" t="n"/>
      <c r="J17" s="38" t="n"/>
      <c r="K17" s="38" t="n"/>
      <c r="L17" s="39">
        <f>IF(K17="","",K17-I17)</f>
        <v/>
      </c>
      <c r="M17" s="37" t="n"/>
      <c r="N17" s="37" t="n"/>
      <c r="O17" s="40">
        <f>IF(AND(M17&lt;&gt;"",N17&lt;&gt;""),N17-M17,"")</f>
        <v/>
      </c>
      <c r="P17" s="36" t="n"/>
      <c r="Q17" s="36" t="n"/>
    </row>
    <row r="18">
      <c r="A18" s="36" t="n"/>
      <c r="B18" s="37" t="n"/>
      <c r="C18" s="36" t="n"/>
      <c r="D18" s="36" t="n"/>
      <c r="E18" s="36" t="n"/>
      <c r="F18" s="36" t="n"/>
      <c r="G18" s="36" t="n"/>
      <c r="H18" s="38" t="n"/>
      <c r="I18" s="38" t="n"/>
      <c r="J18" s="38" t="n"/>
      <c r="K18" s="38" t="n"/>
      <c r="L18" s="39">
        <f>IF(K18="","",K18-I18)</f>
        <v/>
      </c>
      <c r="M18" s="37" t="n"/>
      <c r="N18" s="37" t="n"/>
      <c r="O18" s="40">
        <f>IF(AND(M18&lt;&gt;"",N18&lt;&gt;""),N18-M18,"")</f>
        <v/>
      </c>
      <c r="P18" s="36" t="n"/>
      <c r="Q18" s="36" t="n"/>
    </row>
    <row r="19">
      <c r="A19" s="36" t="n"/>
      <c r="B19" s="37" t="n"/>
      <c r="C19" s="36" t="n"/>
      <c r="D19" s="36" t="n"/>
      <c r="E19" s="36" t="n"/>
      <c r="F19" s="36" t="n"/>
      <c r="G19" s="36" t="n"/>
      <c r="H19" s="38" t="n"/>
      <c r="I19" s="38" t="n"/>
      <c r="J19" s="38" t="n"/>
      <c r="K19" s="38" t="n"/>
      <c r="L19" s="39">
        <f>IF(K19="","",K19-I19)</f>
        <v/>
      </c>
      <c r="M19" s="37" t="n"/>
      <c r="N19" s="37" t="n"/>
      <c r="O19" s="40">
        <f>IF(AND(M19&lt;&gt;"",N19&lt;&gt;""),N19-M19,"")</f>
        <v/>
      </c>
      <c r="P19" s="36" t="n"/>
      <c r="Q19" s="36" t="n"/>
    </row>
    <row r="20">
      <c r="A20" s="36" t="n"/>
      <c r="B20" s="37" t="n"/>
      <c r="C20" s="36" t="n"/>
      <c r="D20" s="36" t="n"/>
      <c r="E20" s="36" t="n"/>
      <c r="F20" s="36" t="n"/>
      <c r="G20" s="36" t="n"/>
      <c r="H20" s="38" t="n"/>
      <c r="I20" s="38" t="n"/>
      <c r="J20" s="38" t="n"/>
      <c r="K20" s="38" t="n"/>
      <c r="L20" s="39">
        <f>IF(K20="","",K20-I20)</f>
        <v/>
      </c>
      <c r="M20" s="37" t="n"/>
      <c r="N20" s="37" t="n"/>
      <c r="O20" s="40">
        <f>IF(AND(M20&lt;&gt;"",N20&lt;&gt;""),N20-M20,"")</f>
        <v/>
      </c>
      <c r="P20" s="36" t="n"/>
      <c r="Q20" s="36" t="n"/>
    </row>
    <row r="21">
      <c r="A21" s="36" t="n"/>
      <c r="B21" s="37" t="n"/>
      <c r="C21" s="36" t="n"/>
      <c r="D21" s="36" t="n"/>
      <c r="E21" s="36" t="n"/>
      <c r="F21" s="36" t="n"/>
      <c r="G21" s="36" t="n"/>
      <c r="H21" s="38" t="n"/>
      <c r="I21" s="38" t="n"/>
      <c r="J21" s="38" t="n"/>
      <c r="K21" s="38" t="n"/>
      <c r="L21" s="39">
        <f>IF(K21="","",K21-I21)</f>
        <v/>
      </c>
      <c r="M21" s="37" t="n"/>
      <c r="N21" s="37" t="n"/>
      <c r="O21" s="40">
        <f>IF(AND(M21&lt;&gt;"",N21&lt;&gt;""),N21-M21,"")</f>
        <v/>
      </c>
      <c r="P21" s="36" t="n"/>
      <c r="Q21" s="36" t="n"/>
    </row>
    <row r="22">
      <c r="A22" s="36" t="n"/>
      <c r="B22" s="37" t="n"/>
      <c r="C22" s="36" t="n"/>
      <c r="D22" s="36" t="n"/>
      <c r="E22" s="36" t="n"/>
      <c r="F22" s="36" t="n"/>
      <c r="G22" s="36" t="n"/>
      <c r="H22" s="38" t="n"/>
      <c r="I22" s="38" t="n"/>
      <c r="J22" s="38" t="n"/>
      <c r="K22" s="38" t="n"/>
      <c r="L22" s="39">
        <f>IF(K22="","",K22-I22)</f>
        <v/>
      </c>
      <c r="M22" s="37" t="n"/>
      <c r="N22" s="37" t="n"/>
      <c r="O22" s="40">
        <f>IF(AND(M22&lt;&gt;"",N22&lt;&gt;""),N22-M22,"")</f>
        <v/>
      </c>
      <c r="P22" s="36" t="n"/>
      <c r="Q22" s="36" t="n"/>
    </row>
    <row r="23">
      <c r="A23" s="36" t="n"/>
      <c r="B23" s="37" t="n"/>
      <c r="C23" s="36" t="n"/>
      <c r="D23" s="36" t="n"/>
      <c r="E23" s="36" t="n"/>
      <c r="F23" s="36" t="n"/>
      <c r="G23" s="36" t="n"/>
      <c r="H23" s="38" t="n"/>
      <c r="I23" s="38" t="n"/>
      <c r="J23" s="38" t="n"/>
      <c r="K23" s="38" t="n"/>
      <c r="L23" s="39">
        <f>IF(K23="","",K23-I23)</f>
        <v/>
      </c>
      <c r="M23" s="37" t="n"/>
      <c r="N23" s="37" t="n"/>
      <c r="O23" s="40">
        <f>IF(AND(M23&lt;&gt;"",N23&lt;&gt;""),N23-M23,"")</f>
        <v/>
      </c>
      <c r="P23" s="36" t="n"/>
      <c r="Q23" s="36" t="n"/>
    </row>
    <row r="24">
      <c r="A24" s="36" t="n"/>
      <c r="B24" s="37" t="n"/>
      <c r="C24" s="36" t="n"/>
      <c r="D24" s="36" t="n"/>
      <c r="E24" s="36" t="n"/>
      <c r="F24" s="36" t="n"/>
      <c r="G24" s="36" t="n"/>
      <c r="H24" s="38" t="n"/>
      <c r="I24" s="38" t="n"/>
      <c r="J24" s="38" t="n"/>
      <c r="K24" s="38" t="n"/>
      <c r="L24" s="39">
        <f>IF(K24="","",K24-I24)</f>
        <v/>
      </c>
      <c r="M24" s="37" t="n"/>
      <c r="N24" s="37" t="n"/>
      <c r="O24" s="40">
        <f>IF(AND(M24&lt;&gt;"",N24&lt;&gt;""),N24-M24,"")</f>
        <v/>
      </c>
      <c r="P24" s="36" t="n"/>
      <c r="Q24" s="36" t="n"/>
    </row>
    <row r="25">
      <c r="A25" s="36" t="n"/>
      <c r="B25" s="37" t="n"/>
      <c r="C25" s="36" t="n"/>
      <c r="D25" s="36" t="n"/>
      <c r="E25" s="36" t="n"/>
      <c r="F25" s="36" t="n"/>
      <c r="G25" s="36" t="n"/>
      <c r="H25" s="38" t="n"/>
      <c r="I25" s="38" t="n"/>
      <c r="J25" s="38" t="n"/>
      <c r="K25" s="38" t="n"/>
      <c r="L25" s="39">
        <f>IF(K25="","",K25-I25)</f>
        <v/>
      </c>
      <c r="M25" s="37" t="n"/>
      <c r="N25" s="37" t="n"/>
      <c r="O25" s="40">
        <f>IF(AND(M25&lt;&gt;"",N25&lt;&gt;""),N25-M25,"")</f>
        <v/>
      </c>
      <c r="P25" s="36" t="n"/>
      <c r="Q25" s="36" t="n"/>
    </row>
    <row r="26">
      <c r="A26" s="36" t="n"/>
      <c r="B26" s="37" t="n"/>
      <c r="C26" s="36" t="n"/>
      <c r="D26" s="36" t="n"/>
      <c r="E26" s="36" t="n"/>
      <c r="F26" s="36" t="n"/>
      <c r="G26" s="36" t="n"/>
      <c r="H26" s="38" t="n"/>
      <c r="I26" s="38" t="n"/>
      <c r="J26" s="38" t="n"/>
      <c r="K26" s="38" t="n"/>
      <c r="L26" s="39">
        <f>IF(K26="","",K26-I26)</f>
        <v/>
      </c>
      <c r="M26" s="37" t="n"/>
      <c r="N26" s="37" t="n"/>
      <c r="O26" s="40">
        <f>IF(AND(M26&lt;&gt;"",N26&lt;&gt;""),N26-M26,"")</f>
        <v/>
      </c>
      <c r="P26" s="36" t="n"/>
      <c r="Q26" s="36" t="n"/>
    </row>
    <row r="27">
      <c r="A27" s="36" t="n"/>
      <c r="B27" s="37" t="n"/>
      <c r="C27" s="36" t="n"/>
      <c r="D27" s="36" t="n"/>
      <c r="E27" s="36" t="n"/>
      <c r="F27" s="36" t="n"/>
      <c r="G27" s="36" t="n"/>
      <c r="H27" s="38" t="n"/>
      <c r="I27" s="38" t="n"/>
      <c r="J27" s="38" t="n"/>
      <c r="K27" s="38" t="n"/>
      <c r="L27" s="39">
        <f>IF(K27="","",K27-I27)</f>
        <v/>
      </c>
      <c r="M27" s="37" t="n"/>
      <c r="N27" s="37" t="n"/>
      <c r="O27" s="40">
        <f>IF(AND(M27&lt;&gt;"",N27&lt;&gt;""),N27-M27,"")</f>
        <v/>
      </c>
      <c r="P27" s="36" t="n"/>
      <c r="Q27" s="36" t="n"/>
    </row>
    <row r="28">
      <c r="A28" s="36" t="n"/>
      <c r="B28" s="37" t="n"/>
      <c r="C28" s="36" t="n"/>
      <c r="D28" s="36" t="n"/>
      <c r="E28" s="36" t="n"/>
      <c r="F28" s="36" t="n"/>
      <c r="G28" s="36" t="n"/>
      <c r="H28" s="38" t="n"/>
      <c r="I28" s="38" t="n"/>
      <c r="J28" s="38" t="n"/>
      <c r="K28" s="38" t="n"/>
      <c r="L28" s="39">
        <f>IF(K28="","",K28-I28)</f>
        <v/>
      </c>
      <c r="M28" s="37" t="n"/>
      <c r="N28" s="37" t="n"/>
      <c r="O28" s="40">
        <f>IF(AND(M28&lt;&gt;"",N28&lt;&gt;""),N28-M28,"")</f>
        <v/>
      </c>
      <c r="P28" s="36" t="n"/>
      <c r="Q28" s="36" t="n"/>
    </row>
    <row r="29">
      <c r="A29" s="36" t="n"/>
      <c r="B29" s="37" t="n"/>
      <c r="C29" s="36" t="n"/>
      <c r="D29" s="36" t="n"/>
      <c r="E29" s="36" t="n"/>
      <c r="F29" s="36" t="n"/>
      <c r="G29" s="36" t="n"/>
      <c r="H29" s="38" t="n"/>
      <c r="I29" s="38" t="n"/>
      <c r="J29" s="38" t="n"/>
      <c r="K29" s="38" t="n"/>
      <c r="L29" s="39">
        <f>IF(K29="","",K29-I29)</f>
        <v/>
      </c>
      <c r="M29" s="37" t="n"/>
      <c r="N29" s="37" t="n"/>
      <c r="O29" s="40">
        <f>IF(AND(M29&lt;&gt;"",N29&lt;&gt;""),N29-M29,"")</f>
        <v/>
      </c>
      <c r="P29" s="36" t="n"/>
      <c r="Q29" s="36" t="n"/>
    </row>
    <row r="30">
      <c r="A30" s="36" t="n"/>
      <c r="B30" s="37" t="n"/>
      <c r="C30" s="36" t="n"/>
      <c r="D30" s="36" t="n"/>
      <c r="E30" s="36" t="n"/>
      <c r="F30" s="36" t="n"/>
      <c r="G30" s="36" t="n"/>
      <c r="H30" s="38" t="n"/>
      <c r="I30" s="38" t="n"/>
      <c r="J30" s="38" t="n"/>
      <c r="K30" s="38" t="n"/>
      <c r="L30" s="39">
        <f>IF(K30="","",K30-I30)</f>
        <v/>
      </c>
      <c r="M30" s="37" t="n"/>
      <c r="N30" s="37" t="n"/>
      <c r="O30" s="40">
        <f>IF(AND(M30&lt;&gt;"",N30&lt;&gt;""),N30-M30,"")</f>
        <v/>
      </c>
      <c r="P30" s="36" t="n"/>
      <c r="Q30" s="36" t="n"/>
    </row>
    <row r="31">
      <c r="A31" s="36" t="n"/>
      <c r="B31" s="37" t="n"/>
      <c r="C31" s="36" t="n"/>
      <c r="D31" s="36" t="n"/>
      <c r="E31" s="36" t="n"/>
      <c r="F31" s="36" t="n"/>
      <c r="G31" s="36" t="n"/>
      <c r="H31" s="38" t="n"/>
      <c r="I31" s="38" t="n"/>
      <c r="J31" s="38" t="n"/>
      <c r="K31" s="38" t="n"/>
      <c r="L31" s="39">
        <f>IF(K31="","",K31-I31)</f>
        <v/>
      </c>
      <c r="M31" s="37" t="n"/>
      <c r="N31" s="37" t="n"/>
      <c r="O31" s="40">
        <f>IF(AND(M31&lt;&gt;"",N31&lt;&gt;""),N31-M31,"")</f>
        <v/>
      </c>
      <c r="P31" s="36" t="n"/>
      <c r="Q31" s="36" t="n"/>
    </row>
    <row r="32">
      <c r="A32" s="36" t="n"/>
      <c r="B32" s="37" t="n"/>
      <c r="C32" s="36" t="n"/>
      <c r="D32" s="36" t="n"/>
      <c r="E32" s="36" t="n"/>
      <c r="F32" s="36" t="n"/>
      <c r="G32" s="36" t="n"/>
      <c r="H32" s="38" t="n"/>
      <c r="I32" s="38" t="n"/>
      <c r="J32" s="38" t="n"/>
      <c r="K32" s="38" t="n"/>
      <c r="L32" s="39">
        <f>IF(K32="","",K32-I32)</f>
        <v/>
      </c>
      <c r="M32" s="37" t="n"/>
      <c r="N32" s="37" t="n"/>
      <c r="O32" s="40">
        <f>IF(AND(M32&lt;&gt;"",N32&lt;&gt;""),N32-M32,"")</f>
        <v/>
      </c>
      <c r="P32" s="36" t="n"/>
      <c r="Q32" s="36" t="n"/>
    </row>
    <row r="33">
      <c r="A33" s="36" t="n"/>
      <c r="B33" s="37" t="n"/>
      <c r="C33" s="36" t="n"/>
      <c r="D33" s="36" t="n"/>
      <c r="E33" s="36" t="n"/>
      <c r="F33" s="36" t="n"/>
      <c r="G33" s="36" t="n"/>
      <c r="H33" s="38" t="n"/>
      <c r="I33" s="38" t="n"/>
      <c r="J33" s="38" t="n"/>
      <c r="K33" s="38" t="n"/>
      <c r="L33" s="39">
        <f>IF(K33="","",K33-I33)</f>
        <v/>
      </c>
      <c r="M33" s="37" t="n"/>
      <c r="N33" s="37" t="n"/>
      <c r="O33" s="40">
        <f>IF(AND(M33&lt;&gt;"",N33&lt;&gt;""),N33-M33,"")</f>
        <v/>
      </c>
      <c r="P33" s="36" t="n"/>
      <c r="Q33" s="36" t="n"/>
    </row>
    <row r="34">
      <c r="A34" s="36" t="n"/>
      <c r="B34" s="37" t="n"/>
      <c r="C34" s="36" t="n"/>
      <c r="D34" s="36" t="n"/>
      <c r="E34" s="36" t="n"/>
      <c r="F34" s="36" t="n"/>
      <c r="G34" s="36" t="n"/>
      <c r="H34" s="38" t="n"/>
      <c r="I34" s="38" t="n"/>
      <c r="J34" s="38" t="n"/>
      <c r="K34" s="38" t="n"/>
      <c r="L34" s="39">
        <f>IF(K34="","",K34-I34)</f>
        <v/>
      </c>
      <c r="M34" s="37" t="n"/>
      <c r="N34" s="37" t="n"/>
      <c r="O34" s="40">
        <f>IF(AND(M34&lt;&gt;"",N34&lt;&gt;""),N34-M34,"")</f>
        <v/>
      </c>
      <c r="P34" s="36" t="n"/>
      <c r="Q34" s="36" t="n"/>
    </row>
    <row r="35">
      <c r="A35" s="36" t="n"/>
      <c r="B35" s="37" t="n"/>
      <c r="C35" s="36" t="n"/>
      <c r="D35" s="36" t="n"/>
      <c r="E35" s="36" t="n"/>
      <c r="F35" s="36" t="n"/>
      <c r="G35" s="36" t="n"/>
      <c r="H35" s="38" t="n"/>
      <c r="I35" s="38" t="n"/>
      <c r="J35" s="38" t="n"/>
      <c r="K35" s="38" t="n"/>
      <c r="L35" s="39">
        <f>IF(K35="","",K35-I35)</f>
        <v/>
      </c>
      <c r="M35" s="37" t="n"/>
      <c r="N35" s="37" t="n"/>
      <c r="O35" s="40">
        <f>IF(AND(M35&lt;&gt;"",N35&lt;&gt;""),N35-M35,"")</f>
        <v/>
      </c>
      <c r="P35" s="36" t="n"/>
      <c r="Q35" s="36" t="n"/>
    </row>
    <row r="36">
      <c r="A36" s="36" t="n"/>
      <c r="B36" s="37" t="n"/>
      <c r="C36" s="36" t="n"/>
      <c r="D36" s="36" t="n"/>
      <c r="E36" s="36" t="n"/>
      <c r="F36" s="36" t="n"/>
      <c r="G36" s="36" t="n"/>
      <c r="H36" s="38" t="n"/>
      <c r="I36" s="38" t="n"/>
      <c r="J36" s="38" t="n"/>
      <c r="K36" s="38" t="n"/>
      <c r="L36" s="39">
        <f>IF(K36="","",K36-I36)</f>
        <v/>
      </c>
      <c r="M36" s="37" t="n"/>
      <c r="N36" s="37" t="n"/>
      <c r="O36" s="40">
        <f>IF(AND(M36&lt;&gt;"",N36&lt;&gt;""),N36-M36,"")</f>
        <v/>
      </c>
      <c r="P36" s="36" t="n"/>
      <c r="Q36" s="36" t="n"/>
    </row>
    <row r="37">
      <c r="A37" s="36" t="n"/>
      <c r="B37" s="37" t="n"/>
      <c r="C37" s="36" t="n"/>
      <c r="D37" s="36" t="n"/>
      <c r="E37" s="36" t="n"/>
      <c r="F37" s="36" t="n"/>
      <c r="G37" s="36" t="n"/>
      <c r="H37" s="38" t="n"/>
      <c r="I37" s="38" t="n"/>
      <c r="J37" s="38" t="n"/>
      <c r="K37" s="38" t="n"/>
      <c r="L37" s="39">
        <f>IF(K37="","",K37-I37)</f>
        <v/>
      </c>
      <c r="M37" s="37" t="n"/>
      <c r="N37" s="37" t="n"/>
      <c r="O37" s="40">
        <f>IF(AND(M37&lt;&gt;"",N37&lt;&gt;""),N37-M37,"")</f>
        <v/>
      </c>
      <c r="P37" s="36" t="n"/>
      <c r="Q37" s="36" t="n"/>
    </row>
    <row r="38">
      <c r="A38" s="36" t="n"/>
      <c r="B38" s="37" t="n"/>
      <c r="C38" s="36" t="n"/>
      <c r="D38" s="36" t="n"/>
      <c r="E38" s="36" t="n"/>
      <c r="F38" s="36" t="n"/>
      <c r="G38" s="36" t="n"/>
      <c r="H38" s="38" t="n"/>
      <c r="I38" s="38" t="n"/>
      <c r="J38" s="38" t="n"/>
      <c r="K38" s="38" t="n"/>
      <c r="L38" s="39">
        <f>IF(K38="","",K38-I38)</f>
        <v/>
      </c>
      <c r="M38" s="37" t="n"/>
      <c r="N38" s="37" t="n"/>
      <c r="O38" s="40">
        <f>IF(AND(M38&lt;&gt;"",N38&lt;&gt;""),N38-M38,"")</f>
        <v/>
      </c>
      <c r="P38" s="36" t="n"/>
      <c r="Q38" s="36" t="n"/>
    </row>
    <row r="39">
      <c r="A39" s="36" t="n"/>
      <c r="B39" s="37" t="n"/>
      <c r="C39" s="36" t="n"/>
      <c r="D39" s="36" t="n"/>
      <c r="E39" s="36" t="n"/>
      <c r="F39" s="36" t="n"/>
      <c r="G39" s="36" t="n"/>
      <c r="H39" s="38" t="n"/>
      <c r="I39" s="38" t="n"/>
      <c r="J39" s="38" t="n"/>
      <c r="K39" s="38" t="n"/>
      <c r="L39" s="39">
        <f>IF(K39="","",K39-I39)</f>
        <v/>
      </c>
      <c r="M39" s="37" t="n"/>
      <c r="N39" s="37" t="n"/>
      <c r="O39" s="40">
        <f>IF(AND(M39&lt;&gt;"",N39&lt;&gt;""),N39-M39,"")</f>
        <v/>
      </c>
      <c r="P39" s="36" t="n"/>
      <c r="Q39" s="36" t="n"/>
    </row>
    <row r="40">
      <c r="A40" s="36" t="n"/>
      <c r="B40" s="37" t="n"/>
      <c r="C40" s="36" t="n"/>
      <c r="D40" s="36" t="n"/>
      <c r="E40" s="36" t="n"/>
      <c r="F40" s="36" t="n"/>
      <c r="G40" s="36" t="n"/>
      <c r="H40" s="38" t="n"/>
      <c r="I40" s="38" t="n"/>
      <c r="J40" s="38" t="n"/>
      <c r="K40" s="38" t="n"/>
      <c r="L40" s="39">
        <f>IF(K40="","",K40-I40)</f>
        <v/>
      </c>
      <c r="M40" s="37" t="n"/>
      <c r="N40" s="37" t="n"/>
      <c r="O40" s="40">
        <f>IF(AND(M40&lt;&gt;"",N40&lt;&gt;""),N40-M40,"")</f>
        <v/>
      </c>
      <c r="P40" s="36" t="n"/>
      <c r="Q40" s="36" t="n"/>
    </row>
    <row r="41">
      <c r="A41" s="36" t="n"/>
      <c r="B41" s="37" t="n"/>
      <c r="C41" s="36" t="n"/>
      <c r="D41" s="36" t="n"/>
      <c r="E41" s="36" t="n"/>
      <c r="F41" s="36" t="n"/>
      <c r="G41" s="36" t="n"/>
      <c r="H41" s="38" t="n"/>
      <c r="I41" s="38" t="n"/>
      <c r="J41" s="38" t="n"/>
      <c r="K41" s="38" t="n"/>
      <c r="L41" s="39">
        <f>IF(K41="","",K41-I41)</f>
        <v/>
      </c>
      <c r="M41" s="37" t="n"/>
      <c r="N41" s="37" t="n"/>
      <c r="O41" s="40">
        <f>IF(AND(M41&lt;&gt;"",N41&lt;&gt;""),N41-M41,"")</f>
        <v/>
      </c>
      <c r="P41" s="36" t="n"/>
      <c r="Q41" s="36" t="n"/>
    </row>
    <row r="42">
      <c r="A42" s="36" t="n"/>
      <c r="B42" s="37" t="n"/>
      <c r="C42" s="36" t="n"/>
      <c r="D42" s="36" t="n"/>
      <c r="E42" s="36" t="n"/>
      <c r="F42" s="36" t="n"/>
      <c r="G42" s="36" t="n"/>
      <c r="H42" s="38" t="n"/>
      <c r="I42" s="38" t="n"/>
      <c r="J42" s="38" t="n"/>
      <c r="K42" s="38" t="n"/>
      <c r="L42" s="39">
        <f>IF(K42="","",K42-I42)</f>
        <v/>
      </c>
      <c r="M42" s="37" t="n"/>
      <c r="N42" s="37" t="n"/>
      <c r="O42" s="40">
        <f>IF(AND(M42&lt;&gt;"",N42&lt;&gt;""),N42-M42,"")</f>
        <v/>
      </c>
      <c r="P42" s="36" t="n"/>
      <c r="Q42" s="36" t="n"/>
    </row>
    <row r="43">
      <c r="A43" s="36" t="n"/>
      <c r="B43" s="37" t="n"/>
      <c r="C43" s="36" t="n"/>
      <c r="D43" s="36" t="n"/>
      <c r="E43" s="36" t="n"/>
      <c r="F43" s="36" t="n"/>
      <c r="G43" s="36" t="n"/>
      <c r="H43" s="38" t="n"/>
      <c r="I43" s="38" t="n"/>
      <c r="J43" s="38" t="n"/>
      <c r="K43" s="38" t="n"/>
      <c r="L43" s="39">
        <f>IF(K43="","",K43-I43)</f>
        <v/>
      </c>
      <c r="M43" s="37" t="n"/>
      <c r="N43" s="37" t="n"/>
      <c r="O43" s="40">
        <f>IF(AND(M43&lt;&gt;"",N43&lt;&gt;""),N43-M43,"")</f>
        <v/>
      </c>
      <c r="P43" s="36" t="n"/>
      <c r="Q43" s="36" t="n"/>
    </row>
    <row r="44">
      <c r="A44" s="36" t="n"/>
      <c r="B44" s="37" t="n"/>
      <c r="C44" s="36" t="n"/>
      <c r="D44" s="36" t="n"/>
      <c r="E44" s="36" t="n"/>
      <c r="F44" s="36" t="n"/>
      <c r="G44" s="36" t="n"/>
      <c r="H44" s="38" t="n"/>
      <c r="I44" s="38" t="n"/>
      <c r="J44" s="38" t="n"/>
      <c r="K44" s="38" t="n"/>
      <c r="L44" s="39">
        <f>IF(K44="","",K44-I44)</f>
        <v/>
      </c>
      <c r="M44" s="37" t="n"/>
      <c r="N44" s="37" t="n"/>
      <c r="O44" s="40">
        <f>IF(AND(M44&lt;&gt;"",N44&lt;&gt;""),N44-M44,"")</f>
        <v/>
      </c>
      <c r="P44" s="36" t="n"/>
      <c r="Q44" s="36" t="n"/>
    </row>
    <row r="45">
      <c r="A45" s="36" t="n"/>
      <c r="B45" s="37" t="n"/>
      <c r="C45" s="36" t="n"/>
      <c r="D45" s="36" t="n"/>
      <c r="E45" s="36" t="n"/>
      <c r="F45" s="36" t="n"/>
      <c r="G45" s="36" t="n"/>
      <c r="H45" s="38" t="n"/>
      <c r="I45" s="38" t="n"/>
      <c r="J45" s="38" t="n"/>
      <c r="K45" s="38" t="n"/>
      <c r="L45" s="39">
        <f>IF(K45="","",K45-I45)</f>
        <v/>
      </c>
      <c r="M45" s="37" t="n"/>
      <c r="N45" s="37" t="n"/>
      <c r="O45" s="40">
        <f>IF(AND(M45&lt;&gt;"",N45&lt;&gt;""),N45-M45,"")</f>
        <v/>
      </c>
      <c r="P45" s="36" t="n"/>
      <c r="Q45" s="36" t="n"/>
    </row>
    <row r="46">
      <c r="A46" s="36" t="n"/>
      <c r="B46" s="37" t="n"/>
      <c r="C46" s="36" t="n"/>
      <c r="D46" s="36" t="n"/>
      <c r="E46" s="36" t="n"/>
      <c r="F46" s="36" t="n"/>
      <c r="G46" s="36" t="n"/>
      <c r="H46" s="38" t="n"/>
      <c r="I46" s="38" t="n"/>
      <c r="J46" s="38" t="n"/>
      <c r="K46" s="38" t="n"/>
      <c r="L46" s="39">
        <f>IF(K46="","",K46-I46)</f>
        <v/>
      </c>
      <c r="M46" s="37" t="n"/>
      <c r="N46" s="37" t="n"/>
      <c r="O46" s="40">
        <f>IF(AND(M46&lt;&gt;"",N46&lt;&gt;""),N46-M46,"")</f>
        <v/>
      </c>
      <c r="P46" s="36" t="n"/>
      <c r="Q46" s="36" t="n"/>
    </row>
    <row r="47">
      <c r="A47" s="36" t="n"/>
      <c r="B47" s="37" t="n"/>
      <c r="C47" s="36" t="n"/>
      <c r="D47" s="36" t="n"/>
      <c r="E47" s="36" t="n"/>
      <c r="F47" s="36" t="n"/>
      <c r="G47" s="36" t="n"/>
      <c r="H47" s="38" t="n"/>
      <c r="I47" s="38" t="n"/>
      <c r="J47" s="38" t="n"/>
      <c r="K47" s="38" t="n"/>
      <c r="L47" s="39">
        <f>IF(K47="","",K47-I47)</f>
        <v/>
      </c>
      <c r="M47" s="37" t="n"/>
      <c r="N47" s="37" t="n"/>
      <c r="O47" s="40">
        <f>IF(AND(M47&lt;&gt;"",N47&lt;&gt;""),N47-M47,"")</f>
        <v/>
      </c>
      <c r="P47" s="36" t="n"/>
      <c r="Q47" s="36" t="n"/>
    </row>
    <row r="48">
      <c r="A48" s="36" t="n"/>
      <c r="B48" s="37" t="n"/>
      <c r="C48" s="36" t="n"/>
      <c r="D48" s="36" t="n"/>
      <c r="E48" s="36" t="n"/>
      <c r="F48" s="36" t="n"/>
      <c r="G48" s="36" t="n"/>
      <c r="H48" s="38" t="n"/>
      <c r="I48" s="38" t="n"/>
      <c r="J48" s="38" t="n"/>
      <c r="K48" s="38" t="n"/>
      <c r="L48" s="39">
        <f>IF(K48="","",K48-I48)</f>
        <v/>
      </c>
      <c r="M48" s="37" t="n"/>
      <c r="N48" s="37" t="n"/>
      <c r="O48" s="40">
        <f>IF(AND(M48&lt;&gt;"",N48&lt;&gt;""),N48-M48,"")</f>
        <v/>
      </c>
      <c r="P48" s="36" t="n"/>
      <c r="Q48" s="36" t="n"/>
    </row>
    <row r="49">
      <c r="A49" s="36" t="n"/>
      <c r="B49" s="37" t="n"/>
      <c r="C49" s="36" t="n"/>
      <c r="D49" s="36" t="n"/>
      <c r="E49" s="36" t="n"/>
      <c r="F49" s="36" t="n"/>
      <c r="G49" s="36" t="n"/>
      <c r="H49" s="38" t="n"/>
      <c r="I49" s="38" t="n"/>
      <c r="J49" s="38" t="n"/>
      <c r="K49" s="38" t="n"/>
      <c r="L49" s="39">
        <f>IF(K49="","",K49-I49)</f>
        <v/>
      </c>
      <c r="M49" s="37" t="n"/>
      <c r="N49" s="37" t="n"/>
      <c r="O49" s="40">
        <f>IF(AND(M49&lt;&gt;"",N49&lt;&gt;""),N49-M49,"")</f>
        <v/>
      </c>
      <c r="P49" s="36" t="n"/>
      <c r="Q49" s="36" t="n"/>
    </row>
    <row r="50">
      <c r="A50" s="36" t="n"/>
      <c r="B50" s="37" t="n"/>
      <c r="C50" s="36" t="n"/>
      <c r="D50" s="36" t="n"/>
      <c r="E50" s="36" t="n"/>
      <c r="F50" s="36" t="n"/>
      <c r="G50" s="36" t="n"/>
      <c r="H50" s="38" t="n"/>
      <c r="I50" s="38" t="n"/>
      <c r="J50" s="38" t="n"/>
      <c r="K50" s="38" t="n"/>
      <c r="L50" s="39">
        <f>IF(K50="","",K50-I50)</f>
        <v/>
      </c>
      <c r="M50" s="37" t="n"/>
      <c r="N50" s="37" t="n"/>
      <c r="O50" s="40">
        <f>IF(AND(M50&lt;&gt;"",N50&lt;&gt;""),N50-M50,"")</f>
        <v/>
      </c>
      <c r="P50" s="36" t="n"/>
      <c r="Q50" s="36" t="n"/>
    </row>
    <row r="51">
      <c r="A51" s="36" t="n"/>
      <c r="B51" s="37" t="n"/>
      <c r="C51" s="36" t="n"/>
      <c r="D51" s="36" t="n"/>
      <c r="E51" s="36" t="n"/>
      <c r="F51" s="36" t="n"/>
      <c r="G51" s="36" t="n"/>
      <c r="H51" s="38" t="n"/>
      <c r="I51" s="38" t="n"/>
      <c r="J51" s="38" t="n"/>
      <c r="K51" s="38" t="n"/>
      <c r="L51" s="39">
        <f>IF(K51="","",K51-I51)</f>
        <v/>
      </c>
      <c r="M51" s="37" t="n"/>
      <c r="N51" s="37" t="n"/>
      <c r="O51" s="40">
        <f>IF(AND(M51&lt;&gt;"",N51&lt;&gt;""),N51-M51,"")</f>
        <v/>
      </c>
      <c r="P51" s="36" t="n"/>
      <c r="Q51" s="36" t="n"/>
    </row>
    <row r="52">
      <c r="A52" s="36" t="n"/>
      <c r="B52" s="37" t="n"/>
      <c r="C52" s="36" t="n"/>
      <c r="D52" s="36" t="n"/>
      <c r="E52" s="36" t="n"/>
      <c r="F52" s="36" t="n"/>
      <c r="G52" s="36" t="n"/>
      <c r="H52" s="38" t="n"/>
      <c r="I52" s="38" t="n"/>
      <c r="J52" s="38" t="n"/>
      <c r="K52" s="38" t="n"/>
      <c r="L52" s="39">
        <f>IF(K52="","",K52-I52)</f>
        <v/>
      </c>
      <c r="M52" s="37" t="n"/>
      <c r="N52" s="37" t="n"/>
      <c r="O52" s="40">
        <f>IF(AND(M52&lt;&gt;"",N52&lt;&gt;""),N52-M52,"")</f>
        <v/>
      </c>
      <c r="P52" s="36" t="n"/>
      <c r="Q52" s="36" t="n"/>
    </row>
    <row r="53">
      <c r="A53" s="36" t="n"/>
      <c r="B53" s="37" t="n"/>
      <c r="C53" s="36" t="n"/>
      <c r="D53" s="36" t="n"/>
      <c r="E53" s="36" t="n"/>
      <c r="F53" s="36" t="n"/>
      <c r="G53" s="36" t="n"/>
      <c r="H53" s="38" t="n"/>
      <c r="I53" s="38" t="n"/>
      <c r="J53" s="38" t="n"/>
      <c r="K53" s="38" t="n"/>
      <c r="L53" s="39">
        <f>IF(K53="","",K53-I53)</f>
        <v/>
      </c>
      <c r="M53" s="37" t="n"/>
      <c r="N53" s="37" t="n"/>
      <c r="O53" s="40">
        <f>IF(AND(M53&lt;&gt;"",N53&lt;&gt;""),N53-M53,"")</f>
        <v/>
      </c>
      <c r="P53" s="36" t="n"/>
      <c r="Q53" s="36" t="n"/>
    </row>
    <row r="54">
      <c r="A54" s="36" t="n"/>
      <c r="B54" s="37" t="n"/>
      <c r="C54" s="36" t="n"/>
      <c r="D54" s="36" t="n"/>
      <c r="E54" s="36" t="n"/>
      <c r="F54" s="36" t="n"/>
      <c r="G54" s="36" t="n"/>
      <c r="H54" s="38" t="n"/>
      <c r="I54" s="38" t="n"/>
      <c r="J54" s="38" t="n"/>
      <c r="K54" s="38" t="n"/>
      <c r="L54" s="39">
        <f>IF(K54="","",K54-I54)</f>
        <v/>
      </c>
      <c r="M54" s="37" t="n"/>
      <c r="N54" s="37" t="n"/>
      <c r="O54" s="40">
        <f>IF(AND(M54&lt;&gt;"",N54&lt;&gt;""),N54-M54,"")</f>
        <v/>
      </c>
      <c r="P54" s="36" t="n"/>
      <c r="Q54" s="36" t="n"/>
    </row>
    <row r="55">
      <c r="A55" s="36" t="n"/>
      <c r="B55" s="37" t="n"/>
      <c r="C55" s="36" t="n"/>
      <c r="D55" s="36" t="n"/>
      <c r="E55" s="36" t="n"/>
      <c r="F55" s="36" t="n"/>
      <c r="G55" s="36" t="n"/>
      <c r="H55" s="38" t="n"/>
      <c r="I55" s="38" t="n"/>
      <c r="J55" s="38" t="n"/>
      <c r="K55" s="38" t="n"/>
      <c r="L55" s="39">
        <f>IF(K55="","",K55-I55)</f>
        <v/>
      </c>
      <c r="M55" s="37" t="n"/>
      <c r="N55" s="37" t="n"/>
      <c r="O55" s="40">
        <f>IF(AND(M55&lt;&gt;"",N55&lt;&gt;""),N55-M55,"")</f>
        <v/>
      </c>
      <c r="P55" s="36" t="n"/>
      <c r="Q55" s="36" t="n"/>
    </row>
  </sheetData>
  <mergeCells count="4">
    <mergeCell ref="A4:Q4"/>
    <mergeCell ref="J2:L2"/>
    <mergeCell ref="D2:I2"/>
    <mergeCell ref="A2:C2"/>
  </mergeCells>
  <conditionalFormatting sqref="P6:P55">
    <cfRule type="cellIs" priority="1" operator="equal" dxfId="0">
      <formula>"Denied"</formula>
    </cfRule>
    <cfRule type="cellIs" priority="2" operator="equal" dxfId="1">
      <formula>"FNOL"</formula>
    </cfRule>
    <cfRule type="cellIs" priority="3" operator="equal" dxfId="1">
      <formula>"Adjuster assigned"</formula>
    </cfRule>
    <cfRule type="cellIs" priority="4" operator="equal" dxfId="1">
      <formula>"Estimate received"</formula>
    </cfRule>
  </conditionalFormatting>
  <dataValidations count="4">
    <dataValidation sqref="C6:C55" showDropDown="0" showInputMessage="0" showErrorMessage="0" allowBlank="1" type="list">
      <formula1>=Settings!$B$7:$B$16</formula1>
    </dataValidation>
    <dataValidation sqref="D6:D55" showDropDown="0" showInputMessage="0" showErrorMessage="0" allowBlank="1" type="list">
      <formula1>=Settings!$B$18:$B$27</formula1>
    </dataValidation>
    <dataValidation sqref="F6:F55" showDropDown="0" showInputMessage="0" showErrorMessage="0" allowBlank="1" type="list">
      <formula1>"Wind/Storm,Fire,Water,Theft,Liability,Vandalism,Other"</formula1>
    </dataValidation>
    <dataValidation sqref="P6:P55" showDropDown="0" showInputMessage="0" showErrorMessage="0" allowBlank="1" type="list">
      <formula1>=Settings!$B$29:$B$38</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B5725E"/>
    <outlinePr summaryBelow="1" summaryRight="1"/>
    <pageSetUpPr fitToPage="1"/>
  </sheetPr>
  <dimension ref="A1:L82"/>
  <sheetViews>
    <sheetView workbookViewId="0">
      <selection activeCell="A1" sqref="A1"/>
    </sheetView>
  </sheetViews>
  <sheetFormatPr baseColWidth="8" defaultRowHeight="15"/>
  <cols>
    <col width="4" customWidth="1" min="1" max="1"/>
    <col width="26" customWidth="1" min="2" max="2"/>
    <col width="14" customWidth="1" min="3" max="3"/>
    <col width="14" customWidth="1" min="4" max="4"/>
    <col width="14" customWidth="1" min="5" max="5"/>
    <col width="14" customWidth="1" min="6" max="6"/>
    <col width="12" customWidth="1" min="7" max="7"/>
    <col width="8" customWidth="1" min="8" max="8"/>
    <col width="8" customWidth="1" min="9" max="9"/>
    <col width="8" customWidth="1" min="10" max="10"/>
    <col width="8" customWidth="1" min="11" max="11"/>
    <col width="10" customWidth="1" min="12" max="12"/>
  </cols>
  <sheetData>
    <row r="1" ht="8" customHeight="1">
      <c r="A1" s="1" t="n"/>
      <c r="B1" s="1" t="n"/>
      <c r="C1" s="1" t="n"/>
      <c r="D1" s="1" t="n"/>
      <c r="E1" s="1" t="n"/>
      <c r="F1" s="1" t="n"/>
      <c r="G1" s="1" t="n"/>
      <c r="H1" s="1" t="n"/>
      <c r="I1" s="1" t="n"/>
      <c r="J1" s="1" t="n"/>
      <c r="K1" s="1" t="n"/>
      <c r="L1" s="1" t="n"/>
    </row>
    <row r="2" ht="28" customHeight="1">
      <c r="A2" s="23">
        <f>HYPERLINK("#'Claims Log'!A1", "← BACK")</f>
        <v/>
      </c>
      <c r="B2" s="24" t="n"/>
      <c r="C2" s="24" t="n"/>
      <c r="D2" s="31" t="inlineStr">
        <is>
          <t>ACTIVE CLAIM DETAIL</t>
        </is>
      </c>
      <c r="J2" s="32">
        <f>HYPERLINK("#'Annual Summary'!A1", "NEXT →")</f>
        <v/>
      </c>
      <c r="K2" s="33" t="n"/>
      <c r="L2" s="33" t="n"/>
    </row>
    <row r="3" ht="6" customHeight="1">
      <c r="A3" s="1" t="n"/>
      <c r="B3" s="1" t="n"/>
      <c r="C3" s="1" t="n"/>
      <c r="D3" s="1" t="n"/>
      <c r="E3" s="1" t="n"/>
      <c r="F3" s="1" t="n"/>
      <c r="G3" s="1" t="n"/>
      <c r="H3" s="1" t="n"/>
      <c r="I3" s="1" t="n"/>
      <c r="J3" s="1" t="n"/>
      <c r="K3" s="1" t="n"/>
      <c r="L3" s="1" t="n"/>
    </row>
    <row r="4" ht="18" customHeight="1">
      <c r="A4" s="34" t="inlineStr">
        <is>
          <t>Per-claim deep dive — fill from top to bottom. When the claim closes, copy the outcome row up to the Claims Log so the dashboard reflects it. Reuse this tab for the next claim (or duplicate it to keep history).</t>
        </is>
      </c>
    </row>
    <row r="6" ht="22" customHeight="1">
      <c r="A6" s="41" t="inlineStr">
        <is>
          <t>§1  LOSS DETAILS</t>
        </is>
      </c>
    </row>
    <row r="7" ht="18" customHeight="1">
      <c r="B7" s="42" t="inlineStr">
        <is>
          <t>Claim #:</t>
        </is>
      </c>
      <c r="C7" s="36" t="n"/>
    </row>
    <row r="8" ht="18" customHeight="1">
      <c r="B8" s="42" t="inlineStr">
        <is>
          <t>Date of loss:</t>
        </is>
      </c>
      <c r="C8" s="37" t="n"/>
    </row>
    <row r="9" ht="18" customHeight="1">
      <c r="B9" s="42" t="inlineStr">
        <is>
          <t>Time of loss:</t>
        </is>
      </c>
      <c r="C9" s="36" t="n"/>
    </row>
    <row r="10" ht="18" customHeight="1">
      <c r="B10" s="42" t="inlineStr">
        <is>
          <t>Property:</t>
        </is>
      </c>
      <c r="C10" s="36" t="n"/>
    </row>
    <row r="11" ht="18" customHeight="1">
      <c r="B11" s="42" t="inlineStr">
        <is>
          <t>Carrier:</t>
        </is>
      </c>
      <c r="C11" s="36" t="n"/>
    </row>
    <row r="12" ht="18" customHeight="1">
      <c r="B12" s="42" t="inlineStr">
        <is>
          <t>Policy #:</t>
        </is>
      </c>
      <c r="C12" s="36" t="n"/>
    </row>
    <row r="13" ht="18" customHeight="1">
      <c r="B13" s="42" t="inlineStr">
        <is>
          <t>Type of loss:</t>
        </is>
      </c>
      <c r="C13" s="36" t="n"/>
    </row>
    <row r="14" ht="18" customHeight="1">
      <c r="B14" s="42" t="inlineStr">
        <is>
          <t>Severity (1-5):</t>
        </is>
      </c>
      <c r="C14" s="36" t="n"/>
    </row>
    <row r="16" ht="20" customHeight="1">
      <c r="B16" s="42" t="inlineStr">
        <is>
          <t>Narrative:</t>
        </is>
      </c>
      <c r="C16" s="43" t="n"/>
    </row>
    <row r="17" ht="20" customHeight="1"/>
    <row r="18" ht="20" customHeight="1"/>
    <row r="19" ht="20" customHeight="1"/>
    <row r="21" ht="22" customHeight="1">
      <c r="A21" s="41" t="inlineStr">
        <is>
          <t>§2  DAMAGE INVENTORY</t>
        </is>
      </c>
    </row>
    <row r="22" ht="20" customHeight="1">
      <c r="B22" s="35" t="inlineStr">
        <is>
          <t>Item description</t>
        </is>
      </c>
      <c r="G22" s="35" t="inlineStr">
        <is>
          <t>Replacement cost</t>
        </is>
      </c>
      <c r="I22" s="35" t="inlineStr">
        <is>
          <t>Depreciation</t>
        </is>
      </c>
      <c r="K22" s="35" t="inlineStr">
        <is>
          <t>ACV</t>
        </is>
      </c>
    </row>
    <row r="23" ht="18" customHeight="1">
      <c r="B23" s="36" t="n"/>
      <c r="G23" s="44" t="n"/>
      <c r="I23" s="44" t="n"/>
      <c r="K23" s="44" t="n"/>
    </row>
    <row r="24" ht="18" customHeight="1">
      <c r="B24" s="36" t="n"/>
      <c r="G24" s="44" t="n"/>
      <c r="I24" s="44" t="n"/>
      <c r="K24" s="44" t="n"/>
    </row>
    <row r="25" ht="18" customHeight="1">
      <c r="B25" s="36" t="n"/>
      <c r="G25" s="44" t="n"/>
      <c r="I25" s="44" t="n"/>
      <c r="K25" s="44" t="n"/>
    </row>
    <row r="26" ht="18" customHeight="1">
      <c r="B26" s="36" t="n"/>
      <c r="G26" s="44" t="n"/>
      <c r="I26" s="44" t="n"/>
      <c r="K26" s="44" t="n"/>
    </row>
    <row r="27" ht="18" customHeight="1">
      <c r="B27" s="36" t="n"/>
      <c r="G27" s="44" t="n"/>
      <c r="I27" s="44" t="n"/>
      <c r="K27" s="44" t="n"/>
    </row>
    <row r="28" ht="18" customHeight="1">
      <c r="B28" s="36" t="n"/>
      <c r="G28" s="44" t="n"/>
      <c r="I28" s="44" t="n"/>
      <c r="K28" s="44" t="n"/>
    </row>
    <row r="29" ht="18" customHeight="1">
      <c r="B29" s="36" t="n"/>
      <c r="G29" s="44" t="n"/>
      <c r="I29" s="44" t="n"/>
      <c r="K29" s="44" t="n"/>
    </row>
    <row r="30" ht="18" customHeight="1">
      <c r="B30" s="36" t="n"/>
      <c r="G30" s="44" t="n"/>
      <c r="I30" s="44" t="n"/>
      <c r="K30" s="44" t="n"/>
    </row>
    <row r="31" ht="18" customHeight="1">
      <c r="B31" s="36" t="n"/>
      <c r="G31" s="44" t="n"/>
      <c r="I31" s="44" t="n"/>
      <c r="K31" s="44" t="n"/>
    </row>
    <row r="32" ht="18" customHeight="1">
      <c r="B32" s="36" t="n"/>
      <c r="G32" s="44" t="n"/>
      <c r="I32" s="44" t="n"/>
      <c r="K32" s="44" t="n"/>
    </row>
    <row r="33" ht="22" customHeight="1">
      <c r="B33" s="45" t="inlineStr">
        <is>
          <t>Total ACV:</t>
        </is>
      </c>
      <c r="K33" s="46">
        <f>SUM(K23:L32)</f>
        <v/>
      </c>
    </row>
    <row r="35" ht="22" customHeight="1">
      <c r="A35" s="41" t="inlineStr">
        <is>
          <t>§3  EVIDENCE CHECKLIST</t>
        </is>
      </c>
    </row>
    <row r="36" ht="18" customHeight="1">
      <c r="B36" s="47" t="n"/>
      <c r="C36" s="48" t="inlineStr">
        <is>
          <t>Photos of damage (pre-mitigation)</t>
        </is>
      </c>
    </row>
    <row r="37" ht="18" customHeight="1">
      <c r="B37" s="47" t="n"/>
      <c r="C37" s="48" t="inlineStr">
        <is>
          <t>Photos of damage (post-mitigation)</t>
        </is>
      </c>
    </row>
    <row r="38" ht="18" customHeight="1">
      <c r="B38" s="47" t="n"/>
      <c r="C38" s="48" t="inlineStr">
        <is>
          <t>Mitigation invoice (water-extraction, board-up, tarp)</t>
        </is>
      </c>
    </row>
    <row r="39" ht="18" customHeight="1">
      <c r="B39" s="47" t="n"/>
      <c r="C39" s="48" t="inlineStr">
        <is>
          <t>Repair / contractor receipts</t>
        </is>
      </c>
    </row>
    <row r="40" ht="18" customHeight="1">
      <c r="B40" s="47" t="n"/>
      <c r="C40" s="48" t="inlineStr">
        <is>
          <t>Contractor estimate(s) for restoration</t>
        </is>
      </c>
    </row>
    <row r="41" ht="18" customHeight="1">
      <c r="B41" s="47" t="n"/>
      <c r="C41" s="48" t="inlineStr">
        <is>
          <t>Original purchase receipts (damaged items)</t>
        </is>
      </c>
    </row>
    <row r="42" ht="18" customHeight="1">
      <c r="B42" s="47" t="n"/>
      <c r="C42" s="48" t="inlineStr">
        <is>
          <t>Police / fire report (if applicable)</t>
        </is>
      </c>
    </row>
    <row r="43" ht="18" customHeight="1">
      <c r="B43" s="47" t="n"/>
      <c r="C43" s="48" t="inlineStr">
        <is>
          <t>Weather report (if storm event)</t>
        </is>
      </c>
    </row>
    <row r="44" ht="18" customHeight="1">
      <c r="B44" s="47" t="n"/>
      <c r="C44" s="48" t="inlineStr">
        <is>
          <t>Witness statements (cleaner, vendor, neighbor)</t>
        </is>
      </c>
    </row>
    <row r="45" ht="18" customHeight="1">
      <c r="B45" s="47" t="n"/>
      <c r="C45" s="48" t="inlineStr">
        <is>
          <t>Loss-of-rent calculation worksheet</t>
        </is>
      </c>
    </row>
    <row r="48" ht="22" customHeight="1">
      <c r="A48" s="41" t="inlineStr">
        <is>
          <t>§4  COMMUNICATIONS LOG</t>
        </is>
      </c>
    </row>
    <row r="49" ht="20" customHeight="1">
      <c r="B49" s="35" t="inlineStr">
        <is>
          <t>Date / time</t>
        </is>
      </c>
      <c r="E49" s="35" t="inlineStr">
        <is>
          <t>Channel</t>
        </is>
      </c>
      <c r="G49" s="35" t="inlineStr">
        <is>
          <t>Direction</t>
        </is>
      </c>
      <c r="H49" s="35" t="inlineStr">
        <is>
          <t>Summary</t>
        </is>
      </c>
    </row>
    <row r="50" ht="18" customHeight="1">
      <c r="B50" s="36" t="n"/>
      <c r="E50" s="36" t="n"/>
      <c r="G50" s="49" t="n"/>
      <c r="H50" s="36" t="n"/>
    </row>
    <row r="51" ht="18" customHeight="1">
      <c r="B51" s="36" t="n"/>
      <c r="E51" s="36" t="n"/>
      <c r="G51" s="49" t="n"/>
      <c r="H51" s="36" t="n"/>
    </row>
    <row r="52" ht="18" customHeight="1">
      <c r="B52" s="36" t="n"/>
      <c r="E52" s="36" t="n"/>
      <c r="G52" s="49" t="n"/>
      <c r="H52" s="36" t="n"/>
    </row>
    <row r="53" ht="18" customHeight="1">
      <c r="B53" s="36" t="n"/>
      <c r="E53" s="36" t="n"/>
      <c r="G53" s="49" t="n"/>
      <c r="H53" s="36" t="n"/>
    </row>
    <row r="54" ht="18" customHeight="1">
      <c r="B54" s="36" t="n"/>
      <c r="E54" s="36" t="n"/>
      <c r="G54" s="49" t="n"/>
      <c r="H54" s="36" t="n"/>
    </row>
    <row r="55" ht="18" customHeight="1">
      <c r="B55" s="36" t="n"/>
      <c r="E55" s="36" t="n"/>
      <c r="G55" s="49" t="n"/>
      <c r="H55" s="36" t="n"/>
    </row>
    <row r="56" ht="18" customHeight="1">
      <c r="B56" s="36" t="n"/>
      <c r="E56" s="36" t="n"/>
      <c r="G56" s="49" t="n"/>
      <c r="H56" s="36" t="n"/>
    </row>
    <row r="57" ht="18" customHeight="1">
      <c r="B57" s="36" t="n"/>
      <c r="E57" s="36" t="n"/>
      <c r="G57" s="49" t="n"/>
      <c r="H57" s="36" t="n"/>
    </row>
    <row r="58" ht="18" customHeight="1">
      <c r="B58" s="36" t="n"/>
      <c r="E58" s="36" t="n"/>
      <c r="G58" s="49" t="n"/>
      <c r="H58" s="36" t="n"/>
    </row>
    <row r="59" ht="18" customHeight="1">
      <c r="B59" s="36" t="n"/>
      <c r="E59" s="36" t="n"/>
      <c r="G59" s="49" t="n"/>
      <c r="H59" s="36" t="n"/>
    </row>
    <row r="61" ht="22" customHeight="1">
      <c r="A61" s="41" t="inlineStr">
        <is>
          <t>§5  TIMELINE  —  FNOL → SETTLEMENT</t>
        </is>
      </c>
    </row>
    <row r="62" ht="18" customHeight="1">
      <c r="B62" s="42" t="inlineStr">
        <is>
          <t>FNOL filed</t>
        </is>
      </c>
      <c r="C62" s="37" t="n"/>
    </row>
    <row r="63" ht="18" customHeight="1">
      <c r="B63" s="42" t="inlineStr">
        <is>
          <t>Adjuster assigned</t>
        </is>
      </c>
      <c r="C63" s="37" t="n"/>
    </row>
    <row r="64" ht="18" customHeight="1">
      <c r="B64" s="42" t="inlineStr">
        <is>
          <t>Adjuster site visit</t>
        </is>
      </c>
      <c r="C64" s="37" t="n"/>
    </row>
    <row r="65" ht="18" customHeight="1">
      <c r="B65" s="42" t="inlineStr">
        <is>
          <t>Carrier estimate received</t>
        </is>
      </c>
      <c r="C65" s="37" t="n"/>
    </row>
    <row r="66" ht="18" customHeight="1">
      <c r="B66" s="42" t="inlineStr">
        <is>
          <t>Approval / scope agreed</t>
        </is>
      </c>
      <c r="C66" s="37" t="n"/>
    </row>
    <row r="67" ht="18" customHeight="1">
      <c r="B67" s="42" t="inlineStr">
        <is>
          <t>ACV check issued</t>
        </is>
      </c>
      <c r="C67" s="37" t="n"/>
    </row>
    <row r="68" ht="18" customHeight="1">
      <c r="B68" s="42" t="inlineStr">
        <is>
          <t>Repairs completed</t>
        </is>
      </c>
      <c r="C68" s="37" t="n"/>
    </row>
    <row r="69" ht="18" customHeight="1">
      <c r="B69" s="42" t="inlineStr">
        <is>
          <t>Final settlement</t>
        </is>
      </c>
      <c r="C69" s="37" t="n"/>
    </row>
    <row r="71" ht="22" customHeight="1">
      <c r="A71" s="41" t="inlineStr">
        <is>
          <t>§6  OUTCOME + LESSONS LEARNED</t>
        </is>
      </c>
    </row>
    <row r="72" ht="18" customHeight="1">
      <c r="B72" s="42" t="inlineStr">
        <is>
          <t>$ Submitted:</t>
        </is>
      </c>
      <c r="C72" s="44" t="n"/>
    </row>
    <row r="73" ht="18" customHeight="1">
      <c r="B73" s="42" t="inlineStr">
        <is>
          <t>$ Recovered:</t>
        </is>
      </c>
      <c r="C73" s="44" t="n"/>
    </row>
    <row r="74" ht="18" customHeight="1">
      <c r="B74" s="42" t="inlineStr">
        <is>
          <t>Deductible:</t>
        </is>
      </c>
      <c r="C74" s="44" t="n"/>
    </row>
    <row r="75" ht="18" customHeight="1">
      <c r="B75" s="42" t="inlineStr">
        <is>
          <t>Denial reason:</t>
        </is>
      </c>
      <c r="C75" s="36" t="n"/>
    </row>
    <row r="76" ht="20" customHeight="1">
      <c r="B76" s="42" t="inlineStr">
        <is>
          <t>Net to host:</t>
        </is>
      </c>
      <c r="C76" s="46">
        <f>C73-C74</f>
        <v/>
      </c>
    </row>
    <row r="78" ht="20" customHeight="1">
      <c r="B78" s="42" t="inlineStr">
        <is>
          <t>Lessons learned:</t>
        </is>
      </c>
      <c r="C78" s="43" t="n"/>
    </row>
    <row r="79" ht="20" customHeight="1"/>
    <row r="80" ht="20" customHeight="1"/>
    <row r="82" ht="28" customHeight="1">
      <c r="A82" s="50" t="inlineStr">
        <is>
          <t>When the claim closes — copy the key outcome values up to the matching row on the Claims Log tab so the Start dashboard reflects the result.</t>
        </is>
      </c>
    </row>
  </sheetData>
  <mergeCells count="123">
    <mergeCell ref="K24:L24"/>
    <mergeCell ref="B57:D57"/>
    <mergeCell ref="B25:F25"/>
    <mergeCell ref="K33:L33"/>
    <mergeCell ref="H54:L54"/>
    <mergeCell ref="G23:H23"/>
    <mergeCell ref="C14:G14"/>
    <mergeCell ref="B53:D53"/>
    <mergeCell ref="A21:L21"/>
    <mergeCell ref="I26:J26"/>
    <mergeCell ref="B27:F27"/>
    <mergeCell ref="K26:L26"/>
    <mergeCell ref="E51:F51"/>
    <mergeCell ref="H56:L56"/>
    <mergeCell ref="A71:L71"/>
    <mergeCell ref="I25:J25"/>
    <mergeCell ref="C62:F62"/>
    <mergeCell ref="C16:L19"/>
    <mergeCell ref="H49:L49"/>
    <mergeCell ref="C42:L42"/>
    <mergeCell ref="C74:L74"/>
    <mergeCell ref="C64:F64"/>
    <mergeCell ref="B28:F28"/>
    <mergeCell ref="E49:F49"/>
    <mergeCell ref="C63:F63"/>
    <mergeCell ref="B54:D54"/>
    <mergeCell ref="B30:F30"/>
    <mergeCell ref="C7:G7"/>
    <mergeCell ref="C75:L75"/>
    <mergeCell ref="K28:L28"/>
    <mergeCell ref="B56:D56"/>
    <mergeCell ref="A6:L6"/>
    <mergeCell ref="E53:F53"/>
    <mergeCell ref="G22:H22"/>
    <mergeCell ref="I30:J30"/>
    <mergeCell ref="K30:L30"/>
    <mergeCell ref="C39:L39"/>
    <mergeCell ref="E55:F55"/>
    <mergeCell ref="C67:F67"/>
    <mergeCell ref="C38:L38"/>
    <mergeCell ref="H58:L58"/>
    <mergeCell ref="C69:F69"/>
    <mergeCell ref="I32:J32"/>
    <mergeCell ref="K32:L32"/>
    <mergeCell ref="H51:L51"/>
    <mergeCell ref="C78:L80"/>
    <mergeCell ref="A4:L4"/>
    <mergeCell ref="J2:L2"/>
    <mergeCell ref="C12:G12"/>
    <mergeCell ref="G24:H24"/>
    <mergeCell ref="C73:L73"/>
    <mergeCell ref="I24:J24"/>
    <mergeCell ref="K27:L27"/>
    <mergeCell ref="H57:L57"/>
    <mergeCell ref="G26:H26"/>
    <mergeCell ref="B59:D59"/>
    <mergeCell ref="A82:L82"/>
    <mergeCell ref="G25:H25"/>
    <mergeCell ref="E58:F58"/>
    <mergeCell ref="C36:L36"/>
    <mergeCell ref="E50:F50"/>
    <mergeCell ref="K25:L25"/>
    <mergeCell ref="B31:F31"/>
    <mergeCell ref="E52:F52"/>
    <mergeCell ref="C72:L72"/>
    <mergeCell ref="A2:C2"/>
    <mergeCell ref="C66:F66"/>
    <mergeCell ref="K29:L29"/>
    <mergeCell ref="C37:L37"/>
    <mergeCell ref="H59:L59"/>
    <mergeCell ref="C10:G10"/>
    <mergeCell ref="B49:D49"/>
    <mergeCell ref="C68:F68"/>
    <mergeCell ref="B23:F23"/>
    <mergeCell ref="K31:L31"/>
    <mergeCell ref="C9:G9"/>
    <mergeCell ref="B51:D51"/>
    <mergeCell ref="E59:F59"/>
    <mergeCell ref="B50:D50"/>
    <mergeCell ref="C11:G11"/>
    <mergeCell ref="I23:J23"/>
    <mergeCell ref="C65:F65"/>
    <mergeCell ref="K23:L23"/>
    <mergeCell ref="C41:L41"/>
    <mergeCell ref="E57:F57"/>
    <mergeCell ref="E54:F54"/>
    <mergeCell ref="G49"/>
    <mergeCell ref="G32:H32"/>
    <mergeCell ref="A61:L61"/>
    <mergeCell ref="C43:L43"/>
    <mergeCell ref="C13:G13"/>
    <mergeCell ref="E56:F56"/>
    <mergeCell ref="C76:L76"/>
    <mergeCell ref="D2:I2"/>
    <mergeCell ref="H53:L53"/>
    <mergeCell ref="G27:H27"/>
    <mergeCell ref="I27:J27"/>
    <mergeCell ref="H50:L50"/>
    <mergeCell ref="B22:F22"/>
    <mergeCell ref="H55:L55"/>
    <mergeCell ref="G28:H28"/>
    <mergeCell ref="I22:J22"/>
    <mergeCell ref="I28:J28"/>
    <mergeCell ref="K22:L22"/>
    <mergeCell ref="B55:D55"/>
    <mergeCell ref="A35:L35"/>
    <mergeCell ref="H52:L52"/>
    <mergeCell ref="B29:F29"/>
    <mergeCell ref="C45:L45"/>
    <mergeCell ref="G30:H30"/>
    <mergeCell ref="C8:G8"/>
    <mergeCell ref="C44:L44"/>
    <mergeCell ref="G29:H29"/>
    <mergeCell ref="A48:L48"/>
    <mergeCell ref="I29:J29"/>
    <mergeCell ref="B24:F24"/>
    <mergeCell ref="C40:L40"/>
    <mergeCell ref="B58:D58"/>
    <mergeCell ref="G31:H31"/>
    <mergeCell ref="B52:D52"/>
    <mergeCell ref="I31:J31"/>
    <mergeCell ref="B32:F32"/>
    <mergeCell ref="B26:F26"/>
  </mergeCells>
  <dataValidations count="33">
    <dataValidation sqref="C10" showDropDown="0" showInputMessage="0" showErrorMessage="0" allowBlank="1" type="list">
      <formula1>=Settings!$B$7:$B$16</formula1>
    </dataValidation>
    <dataValidation sqref="C11" showDropDown="0" showInputMessage="0" showErrorMessage="0" allowBlank="1" type="list">
      <formula1>=Settings!$B$18:$B$27</formula1>
    </dataValidation>
    <dataValidation sqref="C13" showDropDown="0" showInputMessage="0" showErrorMessage="0" allowBlank="1" type="list">
      <formula1>"Wind/Storm,Fire,Water,Theft,Liability,Vandalism,Other"</formula1>
    </dataValidation>
    <dataValidation sqref="B36" showDropDown="0" showInputMessage="0" showErrorMessage="0" allowBlank="1" type="list">
      <formula1>"Yes,Partial,No,—"</formula1>
    </dataValidation>
    <dataValidation sqref="B37" showDropDown="0" showInputMessage="0" showErrorMessage="0" allowBlank="1" type="list">
      <formula1>"Yes,Partial,No,—"</formula1>
    </dataValidation>
    <dataValidation sqref="B38" showDropDown="0" showInputMessage="0" showErrorMessage="0" allowBlank="1" type="list">
      <formula1>"Yes,Partial,No,—"</formula1>
    </dataValidation>
    <dataValidation sqref="B39" showDropDown="0" showInputMessage="0" showErrorMessage="0" allowBlank="1" type="list">
      <formula1>"Yes,Partial,No,—"</formula1>
    </dataValidation>
    <dataValidation sqref="B40" showDropDown="0" showInputMessage="0" showErrorMessage="0" allowBlank="1" type="list">
      <formula1>"Yes,Partial,No,—"</formula1>
    </dataValidation>
    <dataValidation sqref="B41" showDropDown="0" showInputMessage="0" showErrorMessage="0" allowBlank="1" type="list">
      <formula1>"Yes,Partial,No,—"</formula1>
    </dataValidation>
    <dataValidation sqref="B42" showDropDown="0" showInputMessage="0" showErrorMessage="0" allowBlank="1" type="list">
      <formula1>"Yes,Partial,No,—"</formula1>
    </dataValidation>
    <dataValidation sqref="B43" showDropDown="0" showInputMessage="0" showErrorMessage="0" allowBlank="1" type="list">
      <formula1>"Yes,Partial,No,—"</formula1>
    </dataValidation>
    <dataValidation sqref="B44" showDropDown="0" showInputMessage="0" showErrorMessage="0" allowBlank="1" type="list">
      <formula1>"Yes,Partial,No,—"</formula1>
    </dataValidation>
    <dataValidation sqref="B45" showDropDown="0" showInputMessage="0" showErrorMessage="0" allowBlank="1" type="list">
      <formula1>"Yes,Partial,No,—"</formula1>
    </dataValidation>
    <dataValidation sqref="E50" showDropDown="0" showInputMessage="0" showErrorMessage="0" allowBlank="1" type="list">
      <formula1>"Phone,Email,In-person,Text/SMS,Portal,Letter"</formula1>
    </dataValidation>
    <dataValidation sqref="G50" showDropDown="0" showInputMessage="0" showErrorMessage="0" allowBlank="1" type="list">
      <formula1>"In,Out"</formula1>
    </dataValidation>
    <dataValidation sqref="E51" showDropDown="0" showInputMessage="0" showErrorMessage="0" allowBlank="1" type="list">
      <formula1>"Phone,Email,In-person,Text/SMS,Portal,Letter"</formula1>
    </dataValidation>
    <dataValidation sqref="G51" showDropDown="0" showInputMessage="0" showErrorMessage="0" allowBlank="1" type="list">
      <formula1>"In,Out"</formula1>
    </dataValidation>
    <dataValidation sqref="E52" showDropDown="0" showInputMessage="0" showErrorMessage="0" allowBlank="1" type="list">
      <formula1>"Phone,Email,In-person,Text/SMS,Portal,Letter"</formula1>
    </dataValidation>
    <dataValidation sqref="G52" showDropDown="0" showInputMessage="0" showErrorMessage="0" allowBlank="1" type="list">
      <formula1>"In,Out"</formula1>
    </dataValidation>
    <dataValidation sqref="E53" showDropDown="0" showInputMessage="0" showErrorMessage="0" allowBlank="1" type="list">
      <formula1>"Phone,Email,In-person,Text/SMS,Portal,Letter"</formula1>
    </dataValidation>
    <dataValidation sqref="G53" showDropDown="0" showInputMessage="0" showErrorMessage="0" allowBlank="1" type="list">
      <formula1>"In,Out"</formula1>
    </dataValidation>
    <dataValidation sqref="E54" showDropDown="0" showInputMessage="0" showErrorMessage="0" allowBlank="1" type="list">
      <formula1>"Phone,Email,In-person,Text/SMS,Portal,Letter"</formula1>
    </dataValidation>
    <dataValidation sqref="G54" showDropDown="0" showInputMessage="0" showErrorMessage="0" allowBlank="1" type="list">
      <formula1>"In,Out"</formula1>
    </dataValidation>
    <dataValidation sqref="E55" showDropDown="0" showInputMessage="0" showErrorMessage="0" allowBlank="1" type="list">
      <formula1>"Phone,Email,In-person,Text/SMS,Portal,Letter"</formula1>
    </dataValidation>
    <dataValidation sqref="G55" showDropDown="0" showInputMessage="0" showErrorMessage="0" allowBlank="1" type="list">
      <formula1>"In,Out"</formula1>
    </dataValidation>
    <dataValidation sqref="E56" showDropDown="0" showInputMessage="0" showErrorMessage="0" allowBlank="1" type="list">
      <formula1>"Phone,Email,In-person,Text/SMS,Portal,Letter"</formula1>
    </dataValidation>
    <dataValidation sqref="G56" showDropDown="0" showInputMessage="0" showErrorMessage="0" allowBlank="1" type="list">
      <formula1>"In,Out"</formula1>
    </dataValidation>
    <dataValidation sqref="E57" showDropDown="0" showInputMessage="0" showErrorMessage="0" allowBlank="1" type="list">
      <formula1>"Phone,Email,In-person,Text/SMS,Portal,Letter"</formula1>
    </dataValidation>
    <dataValidation sqref="G57" showDropDown="0" showInputMessage="0" showErrorMessage="0" allowBlank="1" type="list">
      <formula1>"In,Out"</formula1>
    </dataValidation>
    <dataValidation sqref="E58" showDropDown="0" showInputMessage="0" showErrorMessage="0" allowBlank="1" type="list">
      <formula1>"Phone,Email,In-person,Text/SMS,Portal,Letter"</formula1>
    </dataValidation>
    <dataValidation sqref="G58" showDropDown="0" showInputMessage="0" showErrorMessage="0" allowBlank="1" type="list">
      <formula1>"In,Out"</formula1>
    </dataValidation>
    <dataValidation sqref="E59" showDropDown="0" showInputMessage="0" showErrorMessage="0" allowBlank="1" type="list">
      <formula1>"Phone,Email,In-person,Text/SMS,Portal,Letter"</formula1>
    </dataValidation>
    <dataValidation sqref="G59" showDropDown="0" showInputMessage="0" showErrorMessage="0" allowBlank="1" type="list">
      <formula1>"In,Out"</formula1>
    </dataValidation>
  </dataValidations>
  <pageMargins left="0.4" right="0.4" top="0.5" bottom="0.5" header="0.5" footer="0.5"/>
  <pageSetup orientation="portrait" paperSize="1" fitToHeight="0" fitToWidth="1"/>
</worksheet>
</file>

<file path=xl/worksheets/sheet4.xml><?xml version="1.0" encoding="utf-8"?>
<worksheet xmlns="http://schemas.openxmlformats.org/spreadsheetml/2006/main">
  <sheetPr>
    <tabColor rgb="00C9A24B"/>
    <outlinePr summaryBelow="1" summaryRight="1"/>
    <pageSetUpPr fitToPage="1"/>
  </sheetPr>
  <dimension ref="A1:L43"/>
  <sheetViews>
    <sheetView workbookViewId="0">
      <selection activeCell="A1" sqref="A1"/>
    </sheetView>
  </sheetViews>
  <sheetFormatPr baseColWidth="8" defaultRowHeight="15"/>
  <cols>
    <col width="4" customWidth="1" min="1" max="1"/>
    <col width="36" customWidth="1" min="2" max="2"/>
    <col width="18" customWidth="1" min="3" max="3"/>
    <col width="18"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3">
        <f>HYPERLINK("#'Active Claim'!A1", "← BACK")</f>
        <v/>
      </c>
      <c r="B2" s="24" t="n"/>
      <c r="C2" s="24" t="n"/>
      <c r="D2" s="31" t="inlineStr">
        <is>
          <t>ANNUAL SUMMARY</t>
        </is>
      </c>
      <c r="J2" s="32">
        <f>HYPERLINK("#'Settings'!A1", "NEXT →")</f>
        <v/>
      </c>
      <c r="K2" s="33" t="n"/>
      <c r="L2" s="33" t="n"/>
    </row>
    <row r="3" ht="6" customHeight="1">
      <c r="A3" s="1" t="n"/>
      <c r="B3" s="1" t="n"/>
      <c r="C3" s="1" t="n"/>
      <c r="D3" s="1" t="n"/>
      <c r="E3" s="1" t="n"/>
      <c r="F3" s="1" t="n"/>
      <c r="G3" s="1" t="n"/>
      <c r="H3" s="1" t="n"/>
      <c r="I3" s="1" t="n"/>
      <c r="J3" s="1" t="n"/>
      <c r="K3" s="1" t="n"/>
      <c r="L3" s="1" t="n"/>
    </row>
    <row r="4" ht="22" customHeight="1">
      <c r="A4" s="34" t="inlineStr">
        <is>
          <t>Year-end summary — recovery rate, claim frequency, premium-vs-recovery ratio, and breakdowns by category and property. The active year is set in Settings → cell B5.</t>
        </is>
      </c>
    </row>
    <row r="6" ht="24" customHeight="1">
      <c r="B6" s="45" t="inlineStr">
        <is>
          <t>Active year:</t>
        </is>
      </c>
      <c r="C6" s="51">
        <f>Settings!$B$5</f>
        <v/>
      </c>
    </row>
    <row r="8" ht="28" customHeight="1">
      <c r="A8" s="52" t="inlineStr">
        <is>
          <t>TOTALS</t>
        </is>
      </c>
    </row>
    <row r="9" ht="20" customHeight="1">
      <c r="B9" s="45" t="inlineStr">
        <is>
          <t>Claim count:</t>
        </is>
      </c>
      <c r="C9" s="53">
        <f>SUMPRODUCT((YEAR('Claims Log'!B6:B55)=Settings!$B$5)*('Claims Log'!A6:A55&lt;&gt;""))</f>
        <v/>
      </c>
    </row>
    <row r="10" ht="20" customHeight="1">
      <c r="B10" s="45" t="inlineStr">
        <is>
          <t>Total $ submitted:</t>
        </is>
      </c>
      <c r="C10" s="54">
        <f>SUMPRODUCT((YEAR('Claims Log'!B6:B55)=Settings!$B$5)*'Claims Log'!J6:J55)</f>
        <v/>
      </c>
    </row>
    <row r="11" ht="20" customHeight="1">
      <c r="B11" s="45" t="inlineStr">
        <is>
          <t>Total $ recovered:</t>
        </is>
      </c>
      <c r="C11" s="54">
        <f>SUMPRODUCT((YEAR('Claims Log'!B6:B55)=Settings!$B$5)*'Claims Log'!K6:K55)</f>
        <v/>
      </c>
    </row>
    <row r="12" ht="20" customHeight="1">
      <c r="B12" s="45" t="inlineStr">
        <is>
          <t>Recovery rate:</t>
        </is>
      </c>
      <c r="C12" s="55">
        <f>IFERROR(C11/C10,0)</f>
        <v/>
      </c>
    </row>
    <row r="13" ht="20" customHeight="1">
      <c r="B13" s="45" t="inlineStr">
        <is>
          <t>Avg days to close:</t>
        </is>
      </c>
      <c r="C13" s="53">
        <f>IFERROR(AVERAGEIFS('Claims Log'!O6:O55,'Claims Log'!B6:B55,"&gt;="&amp;DATE(Settings!$B$5,1,1),'Claims Log'!B6:B55,"&lt;="&amp;DATE(Settings!$B$5,12,31),'Claims Log'!N6:N55,"&lt;&gt;"),0)</f>
        <v/>
      </c>
    </row>
    <row r="14" ht="20" customHeight="1">
      <c r="B14" s="45" t="inlineStr">
        <is>
          <t>Annual premium paid:</t>
        </is>
      </c>
      <c r="C14" s="54">
        <f>Settings!$B$40</f>
        <v/>
      </c>
    </row>
    <row r="15" ht="20" customHeight="1">
      <c r="B15" s="45" t="inlineStr">
        <is>
          <t>Insurance ROI (recovery ÷ premium):</t>
        </is>
      </c>
      <c r="C15" s="55">
        <f>IFERROR(C11/C14,0)</f>
        <v/>
      </c>
    </row>
    <row r="17" ht="28" customHeight="1">
      <c r="A17" s="52" t="inlineStr">
        <is>
          <t>BY CLAIM TYPE</t>
        </is>
      </c>
    </row>
    <row r="18" ht="22" customHeight="1">
      <c r="B18" s="35" t="inlineStr">
        <is>
          <t>Type</t>
        </is>
      </c>
      <c r="C18" s="35" t="inlineStr">
        <is>
          <t>$ Submitted</t>
        </is>
      </c>
      <c r="D18" s="35" t="inlineStr">
        <is>
          <t>$ Recovered</t>
        </is>
      </c>
    </row>
    <row r="19" ht="18" customHeight="1">
      <c r="B19" s="56" t="inlineStr">
        <is>
          <t>Wind/Storm</t>
        </is>
      </c>
      <c r="C19" s="39">
        <f>SUMPRODUCT((YEAR('Claims Log'!B6:B55)=Settings!$B$5)*('Claims Log'!F6:F55=B19)*'Claims Log'!J6:J55)</f>
        <v/>
      </c>
      <c r="D19" s="39">
        <f>SUMPRODUCT((YEAR('Claims Log'!B6:B55)=Settings!$B$5)*('Claims Log'!F6:F55=B19)*'Claims Log'!K6:K55)</f>
        <v/>
      </c>
    </row>
    <row r="20" ht="18" customHeight="1">
      <c r="B20" s="56" t="inlineStr">
        <is>
          <t>Fire</t>
        </is>
      </c>
      <c r="C20" s="39">
        <f>SUMPRODUCT((YEAR('Claims Log'!B6:B55)=Settings!$B$5)*('Claims Log'!F6:F55=B20)*'Claims Log'!J6:J55)</f>
        <v/>
      </c>
      <c r="D20" s="39">
        <f>SUMPRODUCT((YEAR('Claims Log'!B6:B55)=Settings!$B$5)*('Claims Log'!F6:F55=B20)*'Claims Log'!K6:K55)</f>
        <v/>
      </c>
    </row>
    <row r="21" ht="18" customHeight="1">
      <c r="B21" s="56" t="inlineStr">
        <is>
          <t>Water</t>
        </is>
      </c>
      <c r="C21" s="39">
        <f>SUMPRODUCT((YEAR('Claims Log'!B6:B55)=Settings!$B$5)*('Claims Log'!F6:F55=B21)*'Claims Log'!J6:J55)</f>
        <v/>
      </c>
      <c r="D21" s="39">
        <f>SUMPRODUCT((YEAR('Claims Log'!B6:B55)=Settings!$B$5)*('Claims Log'!F6:F55=B21)*'Claims Log'!K6:K55)</f>
        <v/>
      </c>
    </row>
    <row r="22" ht="18" customHeight="1">
      <c r="B22" s="56" t="inlineStr">
        <is>
          <t>Theft</t>
        </is>
      </c>
      <c r="C22" s="39">
        <f>SUMPRODUCT((YEAR('Claims Log'!B6:B55)=Settings!$B$5)*('Claims Log'!F6:F55=B22)*'Claims Log'!J6:J55)</f>
        <v/>
      </c>
      <c r="D22" s="39">
        <f>SUMPRODUCT((YEAR('Claims Log'!B6:B55)=Settings!$B$5)*('Claims Log'!F6:F55=B22)*'Claims Log'!K6:K55)</f>
        <v/>
      </c>
    </row>
    <row r="23" ht="18" customHeight="1">
      <c r="B23" s="56" t="inlineStr">
        <is>
          <t>Liability</t>
        </is>
      </c>
      <c r="C23" s="39">
        <f>SUMPRODUCT((YEAR('Claims Log'!B6:B55)=Settings!$B$5)*('Claims Log'!F6:F55=B23)*'Claims Log'!J6:J55)</f>
        <v/>
      </c>
      <c r="D23" s="39">
        <f>SUMPRODUCT((YEAR('Claims Log'!B6:B55)=Settings!$B$5)*('Claims Log'!F6:F55=B23)*'Claims Log'!K6:K55)</f>
        <v/>
      </c>
    </row>
    <row r="24" ht="18" customHeight="1">
      <c r="B24" s="56" t="inlineStr">
        <is>
          <t>Vandalism</t>
        </is>
      </c>
      <c r="C24" s="39">
        <f>SUMPRODUCT((YEAR('Claims Log'!B6:B55)=Settings!$B$5)*('Claims Log'!F6:F55=B24)*'Claims Log'!J6:J55)</f>
        <v/>
      </c>
      <c r="D24" s="39">
        <f>SUMPRODUCT((YEAR('Claims Log'!B6:B55)=Settings!$B$5)*('Claims Log'!F6:F55=B24)*'Claims Log'!K6:K55)</f>
        <v/>
      </c>
    </row>
    <row r="25" ht="18" customHeight="1">
      <c r="B25" s="56" t="inlineStr">
        <is>
          <t>Other</t>
        </is>
      </c>
      <c r="C25" s="39">
        <f>SUMPRODUCT((YEAR('Claims Log'!B6:B55)=Settings!$B$5)*('Claims Log'!F6:F55=B25)*'Claims Log'!J6:J55)</f>
        <v/>
      </c>
      <c r="D25" s="39">
        <f>SUMPRODUCT((YEAR('Claims Log'!B6:B55)=Settings!$B$5)*('Claims Log'!F6:F55=B25)*'Claims Log'!K6:K55)</f>
        <v/>
      </c>
    </row>
    <row r="27" ht="28" customHeight="1">
      <c r="A27" s="52" t="inlineStr">
        <is>
          <t>BY PROPERTY</t>
        </is>
      </c>
    </row>
    <row r="28" ht="22" customHeight="1">
      <c r="B28" s="35" t="inlineStr">
        <is>
          <t>Property</t>
        </is>
      </c>
      <c r="C28" s="35" t="inlineStr">
        <is>
          <t>$ Submitted</t>
        </is>
      </c>
      <c r="D28" s="35" t="inlineStr">
        <is>
          <t>$ Recovered</t>
        </is>
      </c>
    </row>
    <row r="29" ht="18" customHeight="1">
      <c r="B29" s="56" t="inlineStr">
        <is>
          <t>Smokies Ridge Cabin</t>
        </is>
      </c>
      <c r="C29" s="39">
        <f>SUMPRODUCT((YEAR('Claims Log'!B6:B55)=Settings!$B$5)*('Claims Log'!C6:C55=B29)*'Claims Log'!J6:J55)</f>
        <v/>
      </c>
      <c r="D29" s="39">
        <f>SUMPRODUCT((YEAR('Claims Log'!B6:B55)=Settings!$B$5)*('Claims Log'!C6:C55=B29)*'Claims Log'!K6:K55)</f>
        <v/>
      </c>
    </row>
    <row r="30" ht="18" customHeight="1">
      <c r="B30" s="56" t="inlineStr">
        <is>
          <t>Creek Side</t>
        </is>
      </c>
      <c r="C30" s="39">
        <f>SUMPRODUCT((YEAR('Claims Log'!B6:B55)=Settings!$B$5)*('Claims Log'!C6:C55=B30)*'Claims Log'!J6:J55)</f>
        <v/>
      </c>
      <c r="D30" s="39">
        <f>SUMPRODUCT((YEAR('Claims Log'!B6:B55)=Settings!$B$5)*('Claims Log'!C6:C55=B30)*'Claims Log'!K6:K55)</f>
        <v/>
      </c>
    </row>
    <row r="31" ht="18" customHeight="1">
      <c r="B31" s="56" t="inlineStr">
        <is>
          <t>Lakehouse A</t>
        </is>
      </c>
      <c r="C31" s="39">
        <f>SUMPRODUCT((YEAR('Claims Log'!B6:B55)=Settings!$B$5)*('Claims Log'!C6:C55=B31)*'Claims Log'!J6:J55)</f>
        <v/>
      </c>
      <c r="D31" s="39">
        <f>SUMPRODUCT((YEAR('Claims Log'!B6:B55)=Settings!$B$5)*('Claims Log'!C6:C55=B31)*'Claims Log'!K6:K55)</f>
        <v/>
      </c>
    </row>
    <row r="32" ht="18" customHeight="1">
      <c r="B32" s="56" t="inlineStr">
        <is>
          <t>Lakehouse B</t>
        </is>
      </c>
      <c r="C32" s="39">
        <f>SUMPRODUCT((YEAR('Claims Log'!B6:B55)=Settings!$B$5)*('Claims Log'!C6:C55=B32)*'Claims Log'!J6:J55)</f>
        <v/>
      </c>
      <c r="D32" s="39">
        <f>SUMPRODUCT((YEAR('Claims Log'!B6:B55)=Settings!$B$5)*('Claims Log'!C6:C55=B32)*'Claims Log'!K6:K55)</f>
        <v/>
      </c>
    </row>
    <row r="33" ht="18" customHeight="1">
      <c r="B33" s="56" t="inlineStr">
        <is>
          <t>Mountain View</t>
        </is>
      </c>
      <c r="C33" s="39">
        <f>SUMPRODUCT((YEAR('Claims Log'!B6:B55)=Settings!$B$5)*('Claims Log'!C6:C55=B33)*'Claims Log'!J6:J55)</f>
        <v/>
      </c>
      <c r="D33" s="39">
        <f>SUMPRODUCT((YEAR('Claims Log'!B6:B55)=Settings!$B$5)*('Claims Log'!C6:C55=B33)*'Claims Log'!K6:K55)</f>
        <v/>
      </c>
    </row>
    <row r="34" ht="18" customHeight="1">
      <c r="B34" s="56" t="inlineStr">
        <is>
          <t>Downtown Loft</t>
        </is>
      </c>
      <c r="C34" s="39">
        <f>SUMPRODUCT((YEAR('Claims Log'!B6:B55)=Settings!$B$5)*('Claims Log'!C6:C55=B34)*'Claims Log'!J6:J55)</f>
        <v/>
      </c>
      <c r="D34" s="39">
        <f>SUMPRODUCT((YEAR('Claims Log'!B6:B55)=Settings!$B$5)*('Claims Log'!C6:C55=B34)*'Claims Log'!K6:K55)</f>
        <v/>
      </c>
    </row>
    <row r="35" ht="18" customHeight="1"/>
    <row r="36" ht="18" customHeight="1"/>
    <row r="37" ht="18" customHeight="1"/>
    <row r="38" ht="18" customHeight="1"/>
    <row r="41" ht="18" customHeight="1">
      <c r="B41" s="25">
        <f>HYPERLINK("#'Claims Log'!A1", "← Back to Claims Log")</f>
        <v/>
      </c>
      <c r="C41" s="26" t="n"/>
      <c r="D41" s="26" t="n"/>
    </row>
    <row r="42" ht="18" customHeight="1">
      <c r="B42" s="26" t="n"/>
      <c r="C42" s="26" t="n"/>
      <c r="D42" s="26" t="n"/>
    </row>
    <row r="43" ht="18" customHeight="1">
      <c r="B43" s="26" t="n"/>
      <c r="C43" s="26" t="n"/>
      <c r="D43" s="26" t="n"/>
    </row>
  </sheetData>
  <mergeCells count="8">
    <mergeCell ref="J2:L2"/>
    <mergeCell ref="D2:I2"/>
    <mergeCell ref="B41:D43"/>
    <mergeCell ref="A8:L8"/>
    <mergeCell ref="A17:L17"/>
    <mergeCell ref="A27:L27"/>
    <mergeCell ref="A2:C2"/>
    <mergeCell ref="A4:L4"/>
  </mergeCells>
  <pageMargins left="0.5" right="0.5" top="0.5" bottom="0.5" header="0.5" footer="0.5"/>
  <pageSetup orientation="portrait" paperSize="1" fitToHeight="1" fitToWidth="1"/>
</worksheet>
</file>

<file path=xl/worksheets/sheet5.xml><?xml version="1.0" encoding="utf-8"?>
<worksheet xmlns="http://schemas.openxmlformats.org/spreadsheetml/2006/main">
  <sheetPr>
    <tabColor rgb="0012304E"/>
    <outlinePr summaryBelow="1" summaryRight="1"/>
    <pageSetUpPr fitToPage="1"/>
  </sheetPr>
  <dimension ref="A1:L50"/>
  <sheetViews>
    <sheetView workbookViewId="0">
      <selection activeCell="A1" sqref="A1"/>
    </sheetView>
  </sheetViews>
  <sheetFormatPr baseColWidth="8" defaultRowHeight="15"/>
  <cols>
    <col width="4" customWidth="1" min="1" max="1"/>
    <col width="30" customWidth="1" min="2" max="2"/>
    <col width="4" customWidth="1" min="3" max="3"/>
    <col width="28" customWidth="1" min="4" max="4"/>
    <col width="28" customWidth="1" min="5" max="5"/>
  </cols>
  <sheetData>
    <row r="1" ht="8" customHeight="1">
      <c r="A1" s="1" t="n"/>
      <c r="B1" s="1" t="n"/>
      <c r="C1" s="1" t="n"/>
      <c r="D1" s="1" t="n"/>
      <c r="E1" s="1" t="n"/>
      <c r="F1" s="1" t="n"/>
      <c r="G1" s="1" t="n"/>
      <c r="H1" s="1" t="n"/>
      <c r="I1" s="1" t="n"/>
      <c r="J1" s="1" t="n"/>
      <c r="K1" s="1" t="n"/>
      <c r="L1" s="1" t="n"/>
    </row>
    <row r="2" ht="28" customHeight="1">
      <c r="A2" s="23">
        <f>HYPERLINK("#'Annual Summary'!A1", "← BACK")</f>
        <v/>
      </c>
      <c r="B2" s="24" t="n"/>
      <c r="C2" s="24" t="n"/>
      <c r="D2" s="31" t="inlineStr">
        <is>
          <t>SETTINGS</t>
        </is>
      </c>
    </row>
    <row r="3" ht="6" customHeight="1">
      <c r="A3" s="1" t="n"/>
      <c r="B3" s="1" t="n"/>
      <c r="C3" s="1" t="n"/>
      <c r="D3" s="1" t="n"/>
      <c r="E3" s="1" t="n"/>
      <c r="F3" s="1" t="n"/>
      <c r="G3" s="1" t="n"/>
      <c r="H3" s="1" t="n"/>
      <c r="I3" s="1" t="n"/>
      <c r="J3" s="1" t="n"/>
      <c r="K3" s="1" t="n"/>
      <c r="L3" s="1" t="n"/>
    </row>
    <row r="4" ht="22" customHeight="1">
      <c r="A4" s="34" t="inlineStr">
        <is>
          <t>Edit these lists to match your portfolio + carriers. They drive the dropdowns and the year-scoped formulas on every other tab.</t>
        </is>
      </c>
    </row>
    <row r="5" ht="26" customHeight="1">
      <c r="B5" s="57" t="n">
        <v>2026</v>
      </c>
      <c r="D5" s="58" t="inlineStr">
        <is>
          <t>← Active year (drives all annual formulas)</t>
        </is>
      </c>
    </row>
    <row r="6" ht="20" customHeight="1">
      <c r="B6" s="59" t="inlineStr">
        <is>
          <t>PROPERTIES</t>
        </is>
      </c>
    </row>
    <row r="7" ht="18" customHeight="1">
      <c r="B7" s="36" t="inlineStr">
        <is>
          <t>Smokies Ridge Cabin</t>
        </is>
      </c>
    </row>
    <row r="8" ht="18" customHeight="1">
      <c r="B8" s="36" t="inlineStr">
        <is>
          <t>Creek Side</t>
        </is>
      </c>
    </row>
    <row r="9" ht="18" customHeight="1">
      <c r="B9" s="36" t="inlineStr">
        <is>
          <t>Lakehouse A</t>
        </is>
      </c>
    </row>
    <row r="10" ht="18" customHeight="1">
      <c r="B10" s="36" t="inlineStr">
        <is>
          <t>Lakehouse B</t>
        </is>
      </c>
    </row>
    <row r="11" ht="18" customHeight="1">
      <c r="B11" s="36" t="inlineStr">
        <is>
          <t>Mountain View</t>
        </is>
      </c>
    </row>
    <row r="12" ht="18" customHeight="1">
      <c r="B12" s="36" t="inlineStr">
        <is>
          <t>Downtown Loft</t>
        </is>
      </c>
    </row>
    <row r="13" ht="18" customHeight="1">
      <c r="B13" s="36" t="n"/>
    </row>
    <row r="14" ht="18" customHeight="1">
      <c r="B14" s="36" t="n"/>
    </row>
    <row r="15" ht="18" customHeight="1">
      <c r="B15" s="36" t="n"/>
    </row>
    <row r="16" ht="18" customHeight="1">
      <c r="B16" s="36" t="n"/>
    </row>
    <row r="17" ht="20" customHeight="1">
      <c r="B17" s="59" t="inlineStr">
        <is>
          <t>CARRIERS</t>
        </is>
      </c>
    </row>
    <row r="18" ht="18" customHeight="1">
      <c r="B18" s="36" t="inlineStr">
        <is>
          <t>Foremost Signature</t>
        </is>
      </c>
    </row>
    <row r="19" ht="18" customHeight="1">
      <c r="B19" s="36" t="inlineStr">
        <is>
          <t>Proper Insurance</t>
        </is>
      </c>
    </row>
    <row r="20" ht="18" customHeight="1">
      <c r="B20" s="36" t="inlineStr">
        <is>
          <t>Allstate</t>
        </is>
      </c>
    </row>
    <row r="21" ht="18" customHeight="1">
      <c r="B21" s="36" t="inlineStr">
        <is>
          <t>State Farm</t>
        </is>
      </c>
    </row>
    <row r="22" ht="18" customHeight="1">
      <c r="B22" s="36" t="inlineStr">
        <is>
          <t>Farmers</t>
        </is>
      </c>
    </row>
    <row r="23" ht="18" customHeight="1">
      <c r="B23" s="36" t="inlineStr">
        <is>
          <t>USAA</t>
        </is>
      </c>
    </row>
    <row r="24" ht="18" customHeight="1">
      <c r="B24" s="36" t="inlineStr">
        <is>
          <t>Travelers</t>
        </is>
      </c>
    </row>
    <row r="25" ht="18" customHeight="1">
      <c r="B25" s="36" t="inlineStr">
        <is>
          <t>American Modern</t>
        </is>
      </c>
    </row>
    <row r="26" ht="18" customHeight="1">
      <c r="B26" s="36" t="inlineStr">
        <is>
          <t>CBIZ Vacation Rental</t>
        </is>
      </c>
    </row>
    <row r="27" ht="18" customHeight="1">
      <c r="B27" s="36" t="inlineStr">
        <is>
          <t>Other</t>
        </is>
      </c>
    </row>
    <row r="28" ht="20" customHeight="1">
      <c r="B28" s="59" t="inlineStr">
        <is>
          <t>CLAIM STATUSES</t>
        </is>
      </c>
    </row>
    <row r="29" ht="18" customHeight="1">
      <c r="B29" s="36" t="inlineStr">
        <is>
          <t>FNOL</t>
        </is>
      </c>
    </row>
    <row r="30" ht="18" customHeight="1">
      <c r="B30" s="36" t="inlineStr">
        <is>
          <t>Adjuster assigned</t>
        </is>
      </c>
    </row>
    <row r="31" ht="18" customHeight="1">
      <c r="B31" s="36" t="inlineStr">
        <is>
          <t>Estimate received</t>
        </is>
      </c>
    </row>
    <row r="32" ht="18" customHeight="1">
      <c r="B32" s="36" t="inlineStr">
        <is>
          <t>Approved</t>
        </is>
      </c>
    </row>
    <row r="33" ht="18" customHeight="1">
      <c r="B33" s="36" t="inlineStr">
        <is>
          <t>Settled</t>
        </is>
      </c>
    </row>
    <row r="34" ht="18" customHeight="1">
      <c r="B34" s="36" t="inlineStr">
        <is>
          <t>Denied</t>
        </is>
      </c>
    </row>
    <row r="35" ht="18" customHeight="1">
      <c r="B35" s="36" t="inlineStr">
        <is>
          <t>Closed</t>
        </is>
      </c>
    </row>
    <row r="36" ht="18" customHeight="1">
      <c r="B36" s="36" t="n"/>
    </row>
    <row r="37" ht="18" customHeight="1">
      <c r="B37" s="36" t="n"/>
    </row>
    <row r="38" ht="18" customHeight="1">
      <c r="B38" s="36" t="n"/>
    </row>
    <row r="39" ht="20" customHeight="1">
      <c r="B39" s="59" t="inlineStr">
        <is>
          <t>ANNUAL PREMIUM</t>
        </is>
      </c>
    </row>
    <row r="40" ht="22" customHeight="1">
      <c r="B40" s="60" t="n"/>
      <c r="D40" s="61" t="inlineStr">
        <is>
          <t>← Total premium paid this year (for ROI calc)</t>
        </is>
      </c>
    </row>
    <row r="43" ht="24" customHeight="1">
      <c r="A43" s="62" t="inlineStr">
        <is>
          <t>YEAR-END ARCHIVE  —  fill each January from the Annual Summary</t>
        </is>
      </c>
    </row>
    <row r="44" ht="20" customHeight="1">
      <c r="B44" s="35" t="inlineStr">
        <is>
          <t>Year</t>
        </is>
      </c>
      <c r="C44" s="35" t="inlineStr">
        <is>
          <t>Claims</t>
        </is>
      </c>
      <c r="D44" s="35" t="inlineStr">
        <is>
          <t>$ Submitted</t>
        </is>
      </c>
      <c r="E44" s="35" t="inlineStr">
        <is>
          <t>$ Recovered</t>
        </is>
      </c>
    </row>
    <row r="45" ht="18" customHeight="1">
      <c r="B45" s="63" t="n">
        <v>2026</v>
      </c>
      <c r="C45" s="36" t="n"/>
      <c r="D45" s="38" t="n"/>
      <c r="E45" s="38" t="n"/>
    </row>
    <row r="46" ht="18" customHeight="1">
      <c r="B46" s="63" t="n">
        <v>2027</v>
      </c>
      <c r="C46" s="36" t="n"/>
      <c r="D46" s="38" t="n"/>
      <c r="E46" s="38" t="n"/>
    </row>
    <row r="47" ht="18" customHeight="1">
      <c r="B47" s="63" t="n">
        <v>2028</v>
      </c>
      <c r="C47" s="36" t="n"/>
      <c r="D47" s="38" t="n"/>
      <c r="E47" s="38" t="n"/>
    </row>
    <row r="48" ht="18" customHeight="1">
      <c r="B48" s="63" t="n">
        <v>2029</v>
      </c>
      <c r="C48" s="36" t="n"/>
      <c r="D48" s="38" t="n"/>
      <c r="E48" s="38" t="n"/>
    </row>
    <row r="49" ht="18" customHeight="1">
      <c r="B49" s="63" t="n">
        <v>2030</v>
      </c>
      <c r="C49" s="36" t="n"/>
      <c r="D49" s="38" t="n"/>
      <c r="E49" s="38" t="n"/>
    </row>
    <row r="50" ht="18" customHeight="1">
      <c r="B50" s="63" t="n">
        <v>2031</v>
      </c>
      <c r="C50" s="36" t="n"/>
      <c r="D50" s="38" t="n"/>
      <c r="E50" s="38" t="n"/>
    </row>
  </sheetData>
  <mergeCells count="4">
    <mergeCell ref="D2:L2"/>
    <mergeCell ref="A2:C2"/>
    <mergeCell ref="A4:L4"/>
    <mergeCell ref="A43:L43"/>
  </mergeCell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Insurance Claim Log — The STR Ledger</dc:title>
  <dc:description xmlns:dc="http://purl.org/dc/elements/1.1/">Carrier-side insurance claim register for STR hosts — wind/storm, fire, water, theft, liability. Tracks FNOL through settlement, recovery vs deductible, and annual ROI vs premium paid.</dc:description>
  <dcterms:created xmlns:dcterms="http://purl.org/dc/terms/" xmlns:xsi="http://www.w3.org/2001/XMLSchema-instance" xsi:type="dcterms:W3CDTF">2026-05-03T19:04:49Z</dcterms:created>
  <dcterms:modified xmlns:dcterms="http://purl.org/dc/terms/" xmlns:xsi="http://www.w3.org/2001/XMLSchema-instance" xsi:type="dcterms:W3CDTF">2026-05-03T19:04:49Z</dcterms:modified>
</cp:coreProperties>
</file>