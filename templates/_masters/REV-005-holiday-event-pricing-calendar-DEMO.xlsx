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Events" sheetId="2" state="visible" r:id="rId2"/>
    <sheet xmlns:r="http://schemas.openxmlformats.org/officeDocument/2006/relationships" name="Year-View Calendar" sheetId="3" state="visible" r:id="rId3"/>
    <sheet xmlns:r="http://schemas.openxmlformats.org/officeDocument/2006/relationships" name="Upcoming List" sheetId="4" state="visible" r:id="rId4"/>
    <sheet xmlns:r="http://schemas.openxmlformats.org/officeDocument/2006/relationships" name="Settings" sheetId="5" state="visible" r:id="rId5"/>
  </sheets>
  <definedNames>
    <definedName name="_xlnm.Print_Area" localSheetId="0">'Start'!$A$1:$L$37</definedName>
    <definedName name="_xlnm.Print_Titles" localSheetId="1">'Events'!$1:$6</definedName>
    <definedName name="_xlnm.Print_Titles" localSheetId="3">'Upcoming List'!$1:$6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$&quot;#,##0"/>
  </numFmts>
  <fonts count="30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0"/>
    </font>
    <font>
      <name val="Georgia"/>
      <i val="1"/>
      <color rgb="00C9A24B"/>
      <sz val="14"/>
    </font>
    <font>
      <name val="Consolas"/>
      <color rgb="00C9A24B"/>
      <sz val="9"/>
    </font>
    <font>
      <name val="Consolas"/>
      <b val="1"/>
      <color rgb="00B91C1C"/>
      <sz val="9"/>
    </font>
    <font>
      <name val="Georgia"/>
      <b val="1"/>
      <color rgb="00B91C1C"/>
      <sz val="32"/>
    </font>
    <font>
      <name val="Calibri"/>
      <color rgb="006B7280"/>
      <sz val="9"/>
    </font>
    <font>
      <name val="Consolas"/>
      <b val="1"/>
      <color rgb="00C9A24B"/>
      <sz val="9"/>
    </font>
    <font>
      <name val="Georgia"/>
      <b val="1"/>
      <color rgb="00C9A24B"/>
      <sz val="32"/>
    </font>
    <font>
      <name val="Consolas"/>
      <b val="1"/>
      <color rgb="0012304E"/>
      <sz val="9"/>
    </font>
    <font>
      <name val="Georgia"/>
      <b val="1"/>
      <color rgb="0012304E"/>
      <sz val="32"/>
    </font>
    <font>
      <name val="Consolas"/>
      <b val="1"/>
      <color rgb="0012304E"/>
      <sz val="10"/>
    </font>
    <font>
      <name val="Calibri"/>
      <i val="1"/>
      <color rgb="002B2B2B"/>
      <sz val="11"/>
    </font>
    <font>
      <name val="Calibri"/>
      <color rgb="002B2B2B"/>
      <sz val="11"/>
    </font>
    <font>
      <name val="Georgia"/>
      <b val="1"/>
      <color rgb="00F6EFE2"/>
      <sz val="13"/>
    </font>
    <font>
      <name val="Georgia"/>
      <b val="1"/>
      <color rgb="0012304E"/>
      <sz val="13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Georgia"/>
      <b val="1"/>
      <color rgb="00F6EFE2"/>
      <sz val="11"/>
    </font>
    <font>
      <name val="Consolas"/>
      <b val="1"/>
      <color rgb="0012304E"/>
      <sz val="8"/>
    </font>
    <font>
      <name val="Calibri"/>
      <color rgb="002B2B2B"/>
      <sz val="9"/>
    </font>
    <font>
      <name val="Calibri"/>
      <b val="1"/>
      <color rgb="0012304E"/>
      <sz val="9"/>
    </font>
    <font>
      <name val="Calibri"/>
      <b val="1"/>
      <color rgb="002B2B2B"/>
      <sz val="11"/>
    </font>
    <font>
      <name val="Georgia"/>
      <b val="1"/>
      <color rgb="0012304E"/>
      <sz val="18"/>
    </font>
    <font>
      <name val="Calibri"/>
      <i val="1"/>
      <color rgb="006B7280"/>
      <sz val="10"/>
    </font>
    <font>
      <name val="Georgia"/>
      <b val="1"/>
      <color rgb="0012304E"/>
      <sz val="14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2C884"/>
      </patternFill>
    </fill>
    <fill>
      <patternFill patternType="solid">
        <fgColor rgb="00EFE5D0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DEDED"/>
      </patternFill>
    </fill>
  </fills>
  <borders count="15">
    <border>
      <left/>
      <right/>
      <top/>
      <bottom/>
      <diagonal/>
    </border>
    <border>
      <left style="thin">
        <color rgb="00C9A24B"/>
      </left>
      <right/>
      <top style="thin">
        <color rgb="00C9A24B"/>
      </top>
      <bottom/>
    </border>
    <border>
      <left/>
      <right/>
      <top style="thin">
        <color rgb="00C9A24B"/>
      </top>
      <bottom/>
    </border>
    <border>
      <left/>
      <right style="thin">
        <color rgb="00C9A24B"/>
      </right>
      <top style="thin">
        <color rgb="00C9A24B"/>
      </top>
      <bottom/>
    </border>
    <border>
      <left style="thin">
        <color rgb="00C9A24B"/>
      </left>
      <right/>
      <top/>
      <bottom/>
    </border>
    <border>
      <left/>
      <right/>
      <top/>
      <bottom/>
    </border>
    <border>
      <left/>
      <right style="thin">
        <color rgb="00C9A24B"/>
      </right>
      <top/>
      <bottom/>
    </border>
    <border>
      <left style="thin">
        <color rgb="00C9A24B"/>
      </left>
      <right/>
      <top/>
      <bottom style="thin">
        <color rgb="00C9A24B"/>
      </bottom>
    </border>
    <border>
      <left/>
      <right/>
      <top/>
      <bottom style="thin">
        <color rgb="00C9A24B"/>
      </bottom>
    </border>
    <border>
      <left/>
      <right style="thin">
        <color rgb="00C9A24B"/>
      </right>
      <top/>
      <bottom style="thin">
        <color rgb="00C9A24B"/>
      </bottom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8" fillId="3" borderId="1" applyAlignment="1" pivotButton="0" quotePrefix="0" xfId="0">
      <alignment horizontal="center"/>
    </xf>
    <xf numFmtId="0" fontId="10" fillId="3" borderId="1" applyAlignment="1" pivotButton="0" quotePrefix="0" xfId="0">
      <alignment horizontal="center"/>
    </xf>
    <xf numFmtId="0" fontId="6" fillId="3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9" fillId="3" borderId="4" applyAlignment="1" pivotButton="0" quotePrefix="0" xfId="0">
      <alignment horizontal="center" vertical="center"/>
    </xf>
    <xf numFmtId="9" fontId="11" fillId="3" borderId="4" applyAlignment="1" pivotButton="0" quotePrefix="0" xfId="0">
      <alignment horizontal="center" vertical="center"/>
    </xf>
    <xf numFmtId="0" fontId="0" fillId="0" borderId="4" pivotButton="0" quotePrefix="0" xfId="0"/>
    <xf numFmtId="0" fontId="7" fillId="3" borderId="4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2" fillId="4" borderId="0" applyAlignment="1" pivotButton="0" quotePrefix="0" xfId="0">
      <alignment horizontal="left" vertical="center" indent="2"/>
    </xf>
    <xf numFmtId="0" fontId="13" fillId="3" borderId="0" applyAlignment="1" pivotButton="0" quotePrefix="0" xfId="0">
      <alignment horizontal="left" vertical="center" wrapText="1" indent="2"/>
    </xf>
    <xf numFmtId="0" fontId="14" fillId="5" borderId="0" applyAlignment="1" pivotButton="0" quotePrefix="0" xfId="0">
      <alignment horizontal="left" vertical="center" wrapText="1" indent="2"/>
    </xf>
    <xf numFmtId="0" fontId="15" fillId="2" borderId="10" applyAlignment="1" pivotButton="0" quotePrefix="0" xfId="0">
      <alignment horizontal="center" vertical="center" wrapText="1"/>
    </xf>
    <xf numFmtId="0" fontId="0" fillId="0" borderId="10" pivotButton="0" quotePrefix="0" xfId="0"/>
    <xf numFmtId="0" fontId="16" fillId="6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16" fillId="3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17" fillId="6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2" borderId="0" applyAlignment="1" pivotButton="0" quotePrefix="0" xfId="0">
      <alignment horizontal="right" vertical="center" indent="2"/>
    </xf>
    <xf numFmtId="0" fontId="21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17" fillId="2" borderId="14" applyAlignment="1" pivotButton="0" quotePrefix="0" xfId="0">
      <alignment horizontal="center" vertical="center"/>
    </xf>
    <xf numFmtId="164" fontId="14" fillId="7" borderId="0" applyAlignment="1" pivotButton="0" quotePrefix="0" xfId="0">
      <alignment horizontal="left" vertical="center"/>
    </xf>
    <xf numFmtId="0" fontId="14" fillId="7" borderId="0" applyAlignment="1" pivotButton="0" quotePrefix="0" xfId="0">
      <alignment horizontal="left" vertical="center"/>
    </xf>
    <xf numFmtId="1" fontId="14" fillId="7" borderId="0" applyAlignment="1" pivotButton="0" quotePrefix="0" xfId="0">
      <alignment horizontal="center" vertical="center"/>
    </xf>
    <xf numFmtId="165" fontId="13" fillId="8" borderId="0" applyAlignment="1" pivotButton="0" quotePrefix="0" xfId="0">
      <alignment horizontal="right" vertical="center"/>
    </xf>
    <xf numFmtId="0" fontId="14" fillId="7" borderId="0" applyAlignment="1" pivotButton="0" quotePrefix="0" xfId="0">
      <alignment horizontal="center" vertical="center"/>
    </xf>
    <xf numFmtId="0" fontId="22" fillId="2" borderId="0" applyAlignment="1" pivotButton="0" quotePrefix="0" xfId="0">
      <alignment horizontal="center" vertical="center"/>
    </xf>
    <xf numFmtId="0" fontId="23" fillId="5" borderId="0" applyAlignment="1" pivotButton="0" quotePrefix="0" xfId="0">
      <alignment horizontal="center" vertical="center"/>
    </xf>
    <xf numFmtId="0" fontId="0" fillId="3" borderId="12" pivotButton="0" quotePrefix="0" xfId="0"/>
    <xf numFmtId="0" fontId="25" fillId="4" borderId="12" applyAlignment="1" pivotButton="0" quotePrefix="0" xfId="0">
      <alignment horizontal="center" vertical="center"/>
    </xf>
    <xf numFmtId="0" fontId="24" fillId="3" borderId="12" applyAlignment="1" pivotButton="0" quotePrefix="0" xfId="0">
      <alignment horizontal="center" vertical="center"/>
    </xf>
    <xf numFmtId="164" fontId="24" fillId="3" borderId="0" applyAlignment="1" pivotButton="0" quotePrefix="0" xfId="0">
      <alignment horizontal="left" vertical="center" indent="1"/>
    </xf>
    <xf numFmtId="0" fontId="24" fillId="3" borderId="0" applyAlignment="1" pivotButton="0" quotePrefix="0" xfId="0">
      <alignment horizontal="left" vertical="center" indent="2"/>
    </xf>
    <xf numFmtId="1" fontId="13" fillId="8" borderId="0" applyAlignment="1" pivotButton="0" quotePrefix="0" xfId="0">
      <alignment horizontal="center" vertical="center"/>
    </xf>
    <xf numFmtId="1" fontId="27" fillId="7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 indent="1"/>
    </xf>
    <xf numFmtId="165" fontId="27" fillId="7" borderId="0" applyAlignment="1" pivotButton="0" quotePrefix="0" xfId="0">
      <alignment horizontal="center" vertical="center"/>
    </xf>
    <xf numFmtId="0" fontId="29" fillId="7" borderId="0" applyAlignment="1" pivotButton="0" quotePrefix="0" xfId="0">
      <alignment horizontal="center" vertical="center"/>
    </xf>
    <xf numFmtId="9" fontId="14" fillId="7" borderId="0" applyAlignment="1" pivotButton="0" quotePrefix="0" xfId="0">
      <alignment horizontal="left" vertical="center"/>
    </xf>
    <xf numFmtId="165" fontId="14" fillId="7" borderId="0" applyAlignment="1" pivotButton="0" quotePrefix="0" xfId="0">
      <alignment horizontal="left" vertical="center"/>
    </xf>
    <xf numFmtId="0" fontId="28" fillId="0" borderId="0" applyAlignment="1" pivotButton="0" quotePrefix="0" xfId="0">
      <alignment horizontal="left" vertical="top" wrapText="1" indent="1"/>
    </xf>
  </cellXfs>
  <cellStyles count="1">
    <cellStyle name="Normal" xfId="0" builtinId="0" hidden="0"/>
  </cellStyles>
  <dxfs count="2">
    <dxf>
      <font>
        <name val="Calibri"/>
        <b val="1"/>
        <color rgb="0012304E"/>
        <sz val="11"/>
      </font>
      <fill>
        <patternFill patternType="solid">
          <fgColor rgb="00E2C884"/>
        </patternFill>
      </fill>
    </dxf>
    <dxf>
      <font>
        <name val="Calibri"/>
        <b val="1"/>
        <color rgb="00B91C1C"/>
        <sz val="11"/>
      </font>
      <fill>
        <patternFill patternType="solid">
          <fgColor rgb="00FFB3B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3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4" customHeight="1">
      <c r="A4" s="3" t="inlineStr">
        <is>
          <t>Holiday + Event Pricing Calendar</t>
        </is>
      </c>
    </row>
    <row r="5" ht="22" customHeight="1">
      <c r="A5" s="4" t="inlineStr">
        <is>
          <t>Bump rates before the calendar bumps you.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REV-005 · v1.0 · DEMO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>
      <c r="A10" s="6" t="inlineStr">
        <is>
          <t>EVENTS NEXT 30 DAYS</t>
        </is>
      </c>
      <c r="B10" s="7" t="n"/>
      <c r="C10" s="7" t="n"/>
      <c r="D10" s="8" t="n"/>
      <c r="E10" s="9" t="inlineStr">
        <is>
          <t>EVENTS NEXT 60 DAYS</t>
        </is>
      </c>
      <c r="F10" s="7" t="n"/>
      <c r="G10" s="7" t="n"/>
      <c r="H10" s="8" t="n"/>
      <c r="I10" s="10" t="inlineStr">
        <is>
          <t>AVG LIFT % NEXT 90 DAYS</t>
        </is>
      </c>
      <c r="J10" s="7" t="n"/>
      <c r="K10" s="7" t="n"/>
      <c r="L10" s="8" t="n"/>
    </row>
    <row r="11">
      <c r="A11" s="11">
        <f>COUNTIFS(Events!A7:A206,"&gt;="&amp;TODAY(),Events!A7:A206,"&lt;="&amp;TODAY()+30)</f>
        <v/>
      </c>
      <c r="B11" s="12" t="n"/>
      <c r="C11" s="12" t="n"/>
      <c r="D11" s="13" t="n"/>
      <c r="E11" s="14">
        <f>COUNTIFS(Events!A7:A206,"&gt;="&amp;TODAY(),Events!A7:A206,"&lt;="&amp;TODAY()+60)</f>
        <v/>
      </c>
      <c r="F11" s="12" t="n"/>
      <c r="G11" s="12" t="n"/>
      <c r="H11" s="13" t="n"/>
      <c r="I11" s="15">
        <f>IFERROR(AVERAGEIFS(Events!F7:F206,Events!A7:A206,"&gt;="&amp;TODAY(),Events!A7:A206,"&lt;="&amp;TODAY()+90)/100,0)</f>
        <v/>
      </c>
      <c r="J11" s="12" t="n"/>
      <c r="K11" s="12" t="n"/>
      <c r="L11" s="13" t="n"/>
    </row>
    <row r="12">
      <c r="A12" s="16" t="n"/>
      <c r="B12" s="12" t="n"/>
      <c r="C12" s="12" t="n"/>
      <c r="D12" s="13" t="n"/>
      <c r="E12" s="16" t="n"/>
      <c r="F12" s="12" t="n"/>
      <c r="G12" s="12" t="n"/>
      <c r="H12" s="13" t="n"/>
      <c r="I12" s="16" t="n"/>
      <c r="J12" s="12" t="n"/>
      <c r="K12" s="12" t="n"/>
      <c r="L12" s="13" t="n"/>
    </row>
    <row r="13">
      <c r="A13" s="16" t="n"/>
      <c r="B13" s="12" t="n"/>
      <c r="C13" s="12" t="n"/>
      <c r="D13" s="13" t="n"/>
      <c r="E13" s="16" t="n"/>
      <c r="F13" s="12" t="n"/>
      <c r="G13" s="12" t="n"/>
      <c r="H13" s="13" t="n"/>
      <c r="I13" s="16" t="n"/>
      <c r="J13" s="12" t="n"/>
      <c r="K13" s="12" t="n"/>
      <c r="L13" s="13" t="n"/>
    </row>
    <row r="14">
      <c r="A14" s="17" t="inlineStr">
        <is>
          <t>high-rate dates inside 30 days — set rates now</t>
        </is>
      </c>
      <c r="B14" s="12" t="n"/>
      <c r="C14" s="12" t="n"/>
      <c r="D14" s="13" t="n"/>
      <c r="E14" s="17" t="inlineStr">
        <is>
          <t>events on the 60-day horizon</t>
        </is>
      </c>
      <c r="F14" s="12" t="n"/>
      <c r="G14" s="12" t="n"/>
      <c r="H14" s="13" t="n"/>
      <c r="I14" s="17" t="inlineStr">
        <is>
          <t>average demand lift on the 90-day horizon</t>
        </is>
      </c>
      <c r="J14" s="12" t="n"/>
      <c r="K14" s="12" t="n"/>
      <c r="L14" s="13" t="n"/>
    </row>
    <row r="15">
      <c r="A15" s="18" t="n"/>
      <c r="B15" s="19" t="n"/>
      <c r="C15" s="19" t="n"/>
      <c r="D15" s="20" t="n"/>
      <c r="E15" s="18" t="n"/>
      <c r="F15" s="19" t="n"/>
      <c r="G15" s="19" t="n"/>
      <c r="H15" s="20" t="n"/>
      <c r="I15" s="18" t="n"/>
      <c r="J15" s="19" t="n"/>
      <c r="K15" s="19" t="n"/>
      <c r="L15" s="20" t="n"/>
    </row>
    <row r="17" ht="22" customHeight="1">
      <c r="A17" s="21" t="inlineStr">
        <is>
          <t>WHAT THIS DOES</t>
        </is>
      </c>
    </row>
    <row r="18">
      <c r="A18" s="22" t="inlineStr">
        <is>
          <t>Tracks the 12 federal holidays, regional school breaks, and local high-demand events for your market. Each event has a demand-lift % that drives a suggested nightly rate from your base. Open the Upcoming List before peaks; verify rates are bumped on Airbnb/VRBO before guests book at flat pricing.</t>
        </is>
      </c>
    </row>
    <row r="19"/>
    <row r="20"/>
    <row r="21"/>
    <row r="23" ht="22" customHeight="1">
      <c r="A23" s="21" t="inlineStr">
        <is>
          <t>HOW TO USE</t>
        </is>
      </c>
    </row>
    <row r="24">
      <c r="A24" s="23" t="inlineStr">
        <is>
          <t xml:space="preserve">  1. Set base rate + active year on Settings.
  2. Customize Events: keep federal holidays, swap school breaks for your region, add your local festivals/concerts/games.
  3. Each Friday, open Upcoming List — red rows are &lt; 14 days out with rates not yet updated. Bump them, mark Status = Y.</t>
        </is>
      </c>
    </row>
    <row r="25"/>
    <row r="26"/>
    <row r="27"/>
    <row r="29" ht="22" customHeight="1">
      <c r="A29" s="24">
        <f>HYPERLINK("#'Events'!A1", "Events")</f>
        <v/>
      </c>
      <c r="B29" s="25" t="n"/>
      <c r="C29" s="25" t="n"/>
      <c r="D29" s="24">
        <f>HYPERLINK("#'Year-View Calendar'!A1", "Year-View Calendar")</f>
        <v/>
      </c>
      <c r="E29" s="25" t="n"/>
      <c r="F29" s="25" t="n"/>
      <c r="G29" s="26">
        <f>HYPERLINK("#'Upcoming List'!A1", "Upcoming List")</f>
        <v/>
      </c>
      <c r="H29" s="27" t="n"/>
      <c r="I29" s="27" t="n"/>
      <c r="J29" s="28">
        <f>HYPERLINK("#'Settings'!A1", "Settings")</f>
        <v/>
      </c>
      <c r="K29" s="29" t="n"/>
      <c r="L29" s="29" t="n"/>
    </row>
    <row r="30" ht="22" customHeight="1">
      <c r="A30" s="25" t="n"/>
      <c r="B30" s="25" t="n"/>
      <c r="C30" s="25" t="n"/>
      <c r="D30" s="25" t="n"/>
      <c r="E30" s="25" t="n"/>
      <c r="F30" s="25" t="n"/>
      <c r="G30" s="27" t="n"/>
      <c r="H30" s="27" t="n"/>
      <c r="I30" s="27" t="n"/>
      <c r="J30" s="29" t="n"/>
      <c r="K30" s="29" t="n"/>
      <c r="L30" s="29" t="n"/>
    </row>
    <row r="31" ht="22" customHeight="1">
      <c r="A31" s="25" t="n"/>
      <c r="B31" s="25" t="n"/>
      <c r="C31" s="25" t="n"/>
      <c r="D31" s="25" t="n"/>
      <c r="E31" s="25" t="n"/>
      <c r="F31" s="25" t="n"/>
      <c r="G31" s="27" t="n"/>
      <c r="H31" s="27" t="n"/>
      <c r="I31" s="27" t="n"/>
      <c r="J31" s="29" t="n"/>
      <c r="K31" s="29" t="n"/>
      <c r="L31" s="29" t="n"/>
    </row>
    <row r="33" ht="36" customHeight="1">
      <c r="A33" s="30" t="inlineStr">
        <is>
          <t>Need full revenue coverage? Add the Revenue Bundle at thestrledger.com/revenue — RevPAR, cleaning fee optimizer, break-even occupancy, holiday pricing.</t>
        </is>
      </c>
    </row>
    <row r="35">
      <c r="A35" s="31" t="n"/>
      <c r="B35" s="31" t="n"/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</row>
    <row r="36" ht="18" customHeight="1">
      <c r="A36" s="32" t="inlineStr">
        <is>
          <t>Questions? hello@thestrledger.com</t>
        </is>
      </c>
    </row>
    <row r="37" ht="18" customHeight="1">
      <c r="A37" s="33" t="inlineStr">
        <is>
          <t>REV-005 · v1.0 · DEMO · Free updates forever</t>
        </is>
      </c>
    </row>
  </sheetData>
  <mergeCells count="24">
    <mergeCell ref="E14:H15"/>
    <mergeCell ref="A7:L7"/>
    <mergeCell ref="A37:L37"/>
    <mergeCell ref="E11:H13"/>
    <mergeCell ref="I10:L10"/>
    <mergeCell ref="A10:D10"/>
    <mergeCell ref="A2:F2"/>
    <mergeCell ref="A24:L27"/>
    <mergeCell ref="A33:L33"/>
    <mergeCell ref="A5:L5"/>
    <mergeCell ref="A23:L23"/>
    <mergeCell ref="A17:L17"/>
    <mergeCell ref="A29:C31"/>
    <mergeCell ref="A4:L4"/>
    <mergeCell ref="G29:I31"/>
    <mergeCell ref="A14:D15"/>
    <mergeCell ref="I14:L15"/>
    <mergeCell ref="A11:D13"/>
    <mergeCell ref="I11:L13"/>
    <mergeCell ref="E10:H10"/>
    <mergeCell ref="D29:F31"/>
    <mergeCell ref="A18:L21"/>
    <mergeCell ref="A36:L36"/>
    <mergeCell ref="J29:L31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B5725E"/>
    <outlinePr summaryBelow="1" summaryRight="1"/>
    <pageSetUpPr fitToPage="1"/>
  </sheetPr>
  <dimension ref="A1:L2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6" customWidth="1" min="3" max="3"/>
    <col width="18" customWidth="1" min="4" max="4"/>
    <col width="14" customWidth="1" min="5" max="5"/>
    <col width="12" customWidth="1" min="6" max="6"/>
    <col width="16" customWidth="1" min="7" max="7"/>
    <col width="12" customWidth="1" min="8" max="8"/>
    <col width="36" customWidth="1" min="9" max="9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4">
        <f>HYPERLINK("#'Start'!A1", "← BACK")</f>
        <v/>
      </c>
      <c r="B2" s="25" t="n"/>
      <c r="C2" s="25" t="n"/>
      <c r="D2" s="34" t="inlineStr">
        <is>
          <t>EVENTS</t>
        </is>
      </c>
      <c r="J2" s="26">
        <f>HYPERLINK("#'Year-View Calendar'!A1", "NEXT →")</f>
        <v/>
      </c>
      <c r="K2" s="27" t="n"/>
      <c r="L2" s="27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5" t="inlineStr">
        <is>
          <t>Master register of high-demand dates. Suggested rate auto-calcs from base rate (Settings B7) × (1 + Lift%/100). Capacity 200 rows.</t>
        </is>
      </c>
      <c r="J4" s="36" t="n"/>
      <c r="K4" s="36" t="n"/>
      <c r="L4" s="36" t="n"/>
    </row>
    <row r="5" ht="6" customHeight="1"/>
    <row r="6" ht="28" customHeight="1">
      <c r="A6" s="37" t="inlineStr">
        <is>
          <t>Date</t>
        </is>
      </c>
      <c r="B6" s="37" t="inlineStr">
        <is>
          <t>End date</t>
        </is>
      </c>
      <c r="C6" s="37" t="inlineStr">
        <is>
          <t>Event name</t>
        </is>
      </c>
      <c r="D6" s="37" t="inlineStr">
        <is>
          <t>Type</t>
        </is>
      </c>
      <c r="E6" s="37" t="inlineStr">
        <is>
          <t>Region</t>
        </is>
      </c>
      <c r="F6" s="37" t="inlineStr">
        <is>
          <t>Lift %</t>
        </is>
      </c>
      <c r="G6" s="37" t="inlineStr">
        <is>
          <t>Suggested rate</t>
        </is>
      </c>
      <c r="H6" s="37" t="inlineStr">
        <is>
          <t>Min-night Y/N</t>
        </is>
      </c>
      <c r="I6" s="37" t="inlineStr">
        <is>
          <t>Notes / source URL</t>
        </is>
      </c>
    </row>
    <row r="7" ht="22" customHeight="1">
      <c r="A7" s="38" t="n">
        <v>46023</v>
      </c>
      <c r="B7" s="38" t="n">
        <v>46023</v>
      </c>
      <c r="C7" s="39" t="inlineStr">
        <is>
          <t>New Year's Day</t>
        </is>
      </c>
      <c r="D7" s="39" t="inlineStr">
        <is>
          <t>Federal Holiday</t>
        </is>
      </c>
      <c r="E7" s="39" t="inlineStr">
        <is>
          <t>All</t>
        </is>
      </c>
      <c r="F7" s="40" t="n">
        <v>25</v>
      </c>
      <c r="G7" s="41">
        <f>IF(F7="","",Settings!$B$7*(1+F7/100))</f>
        <v/>
      </c>
      <c r="H7" s="42" t="inlineStr">
        <is>
          <t>N</t>
        </is>
      </c>
      <c r="I7" s="39" t="inlineStr">
        <is>
          <t>Federal holiday — moderate demand, family travel.</t>
        </is>
      </c>
    </row>
    <row r="8" ht="22" customHeight="1">
      <c r="A8" s="38" t="n">
        <v>46041</v>
      </c>
      <c r="B8" s="38" t="n">
        <v>46041</v>
      </c>
      <c r="C8" s="39" t="inlineStr">
        <is>
          <t>Martin Luther King Jr. Day</t>
        </is>
      </c>
      <c r="D8" s="39" t="inlineStr">
        <is>
          <t>Federal Holiday</t>
        </is>
      </c>
      <c r="E8" s="39" t="inlineStr">
        <is>
          <t>All</t>
        </is>
      </c>
      <c r="F8" s="40" t="n">
        <v>20</v>
      </c>
      <c r="G8" s="41">
        <f>IF(F8="","",Settings!$B$7*(1+F8/100))</f>
        <v/>
      </c>
      <c r="H8" s="42" t="inlineStr">
        <is>
          <t>Y</t>
        </is>
      </c>
      <c r="I8" s="39" t="inlineStr">
        <is>
          <t>3-day weekend; require 3-night minimum.</t>
        </is>
      </c>
    </row>
    <row r="9" ht="22" customHeight="1">
      <c r="A9" s="38" t="n">
        <v>46069</v>
      </c>
      <c r="B9" s="38" t="n">
        <v>46069</v>
      </c>
      <c r="C9" s="39" t="inlineStr">
        <is>
          <t>Presidents' Day</t>
        </is>
      </c>
      <c r="D9" s="39" t="inlineStr">
        <is>
          <t>Federal Holiday</t>
        </is>
      </c>
      <c r="E9" s="39" t="inlineStr">
        <is>
          <t>All</t>
        </is>
      </c>
      <c r="F9" s="40" t="n">
        <v>25</v>
      </c>
      <c r="G9" s="41">
        <f>IF(F9="","",Settings!$B$7*(1+F9/100))</f>
        <v/>
      </c>
      <c r="H9" s="42" t="inlineStr">
        <is>
          <t>Y</t>
        </is>
      </c>
      <c r="I9" s="39" t="inlineStr">
        <is>
          <t>Long weekend, ski markets peak; 3-night minimum.</t>
        </is>
      </c>
    </row>
    <row r="10" ht="22" customHeight="1">
      <c r="A10" s="38" t="n">
        <v>46167</v>
      </c>
      <c r="B10" s="38" t="n">
        <v>46167</v>
      </c>
      <c r="C10" s="39" t="inlineStr">
        <is>
          <t>Memorial Day</t>
        </is>
      </c>
      <c r="D10" s="39" t="inlineStr">
        <is>
          <t>Federal Holiday</t>
        </is>
      </c>
      <c r="E10" s="39" t="inlineStr">
        <is>
          <t>All</t>
        </is>
      </c>
      <c r="F10" s="40" t="n">
        <v>45</v>
      </c>
      <c r="G10" s="41">
        <f>IF(F10="","",Settings!$B$7*(1+F10/100))</f>
        <v/>
      </c>
      <c r="H10" s="42" t="inlineStr">
        <is>
          <t>Y</t>
        </is>
      </c>
      <c r="I10" s="39" t="inlineStr">
        <is>
          <t>Unofficial start of summer — strong demand, 3-night min.</t>
        </is>
      </c>
    </row>
    <row r="11" ht="22" customHeight="1">
      <c r="A11" s="38" t="n">
        <v>46207</v>
      </c>
      <c r="B11" s="38" t="n">
        <v>46207</v>
      </c>
      <c r="C11" s="39" t="inlineStr">
        <is>
          <t>Independence Day</t>
        </is>
      </c>
      <c r="D11" s="39" t="inlineStr">
        <is>
          <t>Federal Holiday</t>
        </is>
      </c>
      <c r="E11" s="39" t="inlineStr">
        <is>
          <t>All</t>
        </is>
      </c>
      <c r="F11" s="40" t="n">
        <v>65</v>
      </c>
      <c r="G11" s="41">
        <f>IF(F11="","",Settings!$B$7*(1+F11/100))</f>
        <v/>
      </c>
      <c r="H11" s="42" t="inlineStr">
        <is>
          <t>Y</t>
        </is>
      </c>
      <c r="I11" s="39" t="inlineStr">
        <is>
          <t>Peak summer holiday; require 3-night minimum.</t>
        </is>
      </c>
    </row>
    <row r="12" ht="22" customHeight="1">
      <c r="A12" s="38" t="n">
        <v>46272</v>
      </c>
      <c r="B12" s="38" t="n">
        <v>46272</v>
      </c>
      <c r="C12" s="39" t="inlineStr">
        <is>
          <t>Labor Day</t>
        </is>
      </c>
      <c r="D12" s="39" t="inlineStr">
        <is>
          <t>Federal Holiday</t>
        </is>
      </c>
      <c r="E12" s="39" t="inlineStr">
        <is>
          <t>All</t>
        </is>
      </c>
      <c r="F12" s="40" t="n">
        <v>80</v>
      </c>
      <c r="G12" s="41">
        <f>IF(F12="","",Settings!$B$7*(1+F12/100))</f>
        <v/>
      </c>
      <c r="H12" s="42" t="inlineStr">
        <is>
          <t>Y</t>
        </is>
      </c>
      <c r="I12" s="39" t="inlineStr">
        <is>
          <t>Last big summer weekend; max lift, 3-night minimum.</t>
        </is>
      </c>
    </row>
    <row r="13" ht="22" customHeight="1">
      <c r="A13" s="38" t="n">
        <v>46307</v>
      </c>
      <c r="B13" s="38" t="n">
        <v>46307</v>
      </c>
      <c r="C13" s="39" t="inlineStr">
        <is>
          <t>Columbus Day / Indigenous Peoples Day</t>
        </is>
      </c>
      <c r="D13" s="39" t="inlineStr">
        <is>
          <t>Federal Holiday</t>
        </is>
      </c>
      <c r="E13" s="39" t="inlineStr">
        <is>
          <t>All</t>
        </is>
      </c>
      <c r="F13" s="40" t="n">
        <v>30</v>
      </c>
      <c r="G13" s="41">
        <f>IF(F13="","",Settings!$B$7*(1+F13/100))</f>
        <v/>
      </c>
      <c r="H13" s="42" t="inlineStr">
        <is>
          <t>N</t>
        </is>
      </c>
      <c r="I13" s="39" t="inlineStr">
        <is>
          <t>Fall foliage in mountain markets — moderate lift.</t>
        </is>
      </c>
    </row>
    <row r="14" ht="22" customHeight="1">
      <c r="A14" s="38" t="n">
        <v>46337</v>
      </c>
      <c r="B14" s="38" t="n">
        <v>46337</v>
      </c>
      <c r="C14" s="39" t="inlineStr">
        <is>
          <t>Veterans Day</t>
        </is>
      </c>
      <c r="D14" s="39" t="inlineStr">
        <is>
          <t>Federal Holiday</t>
        </is>
      </c>
      <c r="E14" s="39" t="inlineStr">
        <is>
          <t>All</t>
        </is>
      </c>
      <c r="F14" s="40" t="n">
        <v>20</v>
      </c>
      <c r="G14" s="41">
        <f>IF(F14="","",Settings!$B$7*(1+F14/100))</f>
        <v/>
      </c>
      <c r="H14" s="42" t="inlineStr">
        <is>
          <t>N</t>
        </is>
      </c>
      <c r="I14" s="39" t="inlineStr">
        <is>
          <t>Mid-week observance; light lift.</t>
        </is>
      </c>
    </row>
    <row r="15" ht="22" customHeight="1">
      <c r="A15" s="38" t="n">
        <v>46352</v>
      </c>
      <c r="B15" s="38" t="n">
        <v>46352</v>
      </c>
      <c r="C15" s="39" t="inlineStr">
        <is>
          <t>Thanksgiving Day</t>
        </is>
      </c>
      <c r="D15" s="39" t="inlineStr">
        <is>
          <t>Federal Holiday</t>
        </is>
      </c>
      <c r="E15" s="39" t="inlineStr">
        <is>
          <t>All</t>
        </is>
      </c>
      <c r="F15" s="40" t="n">
        <v>55</v>
      </c>
      <c r="G15" s="41">
        <f>IF(F15="","",Settings!$B$7*(1+F15/100))</f>
        <v/>
      </c>
      <c r="H15" s="42" t="inlineStr">
        <is>
          <t>Y</t>
        </is>
      </c>
      <c r="I15" s="39" t="inlineStr">
        <is>
          <t>Family travel peak; 3-night minimum recommended.</t>
        </is>
      </c>
    </row>
    <row r="16" ht="22" customHeight="1">
      <c r="A16" s="38" t="n">
        <v>46381</v>
      </c>
      <c r="B16" s="38" t="n">
        <v>46381</v>
      </c>
      <c r="C16" s="39" t="inlineStr">
        <is>
          <t>Christmas Day</t>
        </is>
      </c>
      <c r="D16" s="39" t="inlineStr">
        <is>
          <t>Federal Holiday</t>
        </is>
      </c>
      <c r="E16" s="39" t="inlineStr">
        <is>
          <t>All</t>
        </is>
      </c>
      <c r="F16" s="40" t="n">
        <v>60</v>
      </c>
      <c r="G16" s="41">
        <f>IF(F16="","",Settings!$B$7*(1+F16/100))</f>
        <v/>
      </c>
      <c r="H16" s="42" t="inlineStr">
        <is>
          <t>Y</t>
        </is>
      </c>
      <c r="I16" s="39" t="inlineStr">
        <is>
          <t>Holiday week peak; consider 4-night minimum.</t>
        </is>
      </c>
    </row>
    <row r="17" ht="22" customHeight="1">
      <c r="A17" s="38" t="n">
        <v>46387</v>
      </c>
      <c r="B17" s="38" t="n">
        <v>46387</v>
      </c>
      <c r="C17" s="39" t="inlineStr">
        <is>
          <t>New Year's Eve</t>
        </is>
      </c>
      <c r="D17" s="39" t="inlineStr">
        <is>
          <t>Federal Holiday</t>
        </is>
      </c>
      <c r="E17" s="39" t="inlineStr">
        <is>
          <t>All</t>
        </is>
      </c>
      <c r="F17" s="40" t="n">
        <v>80</v>
      </c>
      <c r="G17" s="41">
        <f>IF(F17="","",Settings!$B$7*(1+F17/100))</f>
        <v/>
      </c>
      <c r="H17" s="42" t="inlineStr">
        <is>
          <t>Y</t>
        </is>
      </c>
      <c r="I17" s="39" t="inlineStr">
        <is>
          <t>Top demand night of year; max lift + 3-night min.</t>
        </is>
      </c>
    </row>
    <row r="18" ht="22" customHeight="1">
      <c r="A18" s="38" t="n">
        <v>46117</v>
      </c>
      <c r="B18" s="38" t="n">
        <v>46117</v>
      </c>
      <c r="C18" s="39" t="inlineStr">
        <is>
          <t>Easter Sunday</t>
        </is>
      </c>
      <c r="D18" s="39" t="inlineStr">
        <is>
          <t>Federal Holiday</t>
        </is>
      </c>
      <c r="E18" s="39" t="inlineStr">
        <is>
          <t>All</t>
        </is>
      </c>
      <c r="F18" s="40" t="n">
        <v>40</v>
      </c>
      <c r="G18" s="41">
        <f>IF(F18="","",Settings!$B$7*(1+F18/100))</f>
        <v/>
      </c>
      <c r="H18" s="42" t="inlineStr">
        <is>
          <t>Y</t>
        </is>
      </c>
      <c r="I18" s="39" t="inlineStr">
        <is>
          <t>Spring family travel; school break overlap.</t>
        </is>
      </c>
    </row>
    <row r="19" ht="22" customHeight="1">
      <c r="A19" s="38" t="n">
        <v>46097</v>
      </c>
      <c r="B19" s="38" t="n">
        <v>46103</v>
      </c>
      <c r="C19" s="39" t="inlineStr">
        <is>
          <t>Spring Break — Southeast Schools</t>
        </is>
      </c>
      <c r="D19" s="39" t="inlineStr">
        <is>
          <t>School Break</t>
        </is>
      </c>
      <c r="E19" s="39" t="inlineStr">
        <is>
          <t>Southeast</t>
        </is>
      </c>
      <c r="F19" s="40" t="n">
        <v>50</v>
      </c>
      <c r="G19" s="41">
        <f>IF(F19="","",Settings!$B$7*(1+F19/100))</f>
        <v/>
      </c>
      <c r="H19" s="42" t="inlineStr">
        <is>
          <t>Y</t>
        </is>
      </c>
      <c r="I19" s="39" t="inlineStr">
        <is>
          <t>Mid-March spring break wave; 3-night minimum.</t>
        </is>
      </c>
    </row>
    <row r="20" ht="22" customHeight="1">
      <c r="A20" s="38" t="n">
        <v>46181</v>
      </c>
      <c r="B20" s="38" t="n">
        <v>46248</v>
      </c>
      <c r="C20" s="39" t="inlineStr">
        <is>
          <t>Summer Break — Southeast Schools</t>
        </is>
      </c>
      <c r="D20" s="39" t="inlineStr">
        <is>
          <t>School Break</t>
        </is>
      </c>
      <c r="E20" s="39" t="inlineStr">
        <is>
          <t>Southeast</t>
        </is>
      </c>
      <c r="F20" s="40" t="n">
        <v>35</v>
      </c>
      <c r="G20" s="41">
        <f>IF(F20="","",Settings!$B$7*(1+F20/100))</f>
        <v/>
      </c>
      <c r="H20" s="42" t="inlineStr">
        <is>
          <t>N</t>
        </is>
      </c>
      <c r="I20" s="39" t="inlineStr">
        <is>
          <t>Sustained baseline lift through summer.</t>
        </is>
      </c>
    </row>
    <row r="21" ht="22" customHeight="1">
      <c r="A21" s="38" t="n">
        <v>46300</v>
      </c>
      <c r="B21" s="38" t="n">
        <v>46304</v>
      </c>
      <c r="C21" s="39" t="inlineStr">
        <is>
          <t>Fall Break — Southeast Schools</t>
        </is>
      </c>
      <c r="D21" s="39" t="inlineStr">
        <is>
          <t>School Break</t>
        </is>
      </c>
      <c r="E21" s="39" t="inlineStr">
        <is>
          <t>Southeast</t>
        </is>
      </c>
      <c r="F21" s="40" t="n">
        <v>40</v>
      </c>
      <c r="G21" s="41">
        <f>IF(F21="","",Settings!$B$7*(1+F21/100))</f>
        <v/>
      </c>
      <c r="H21" s="42" t="inlineStr">
        <is>
          <t>Y</t>
        </is>
      </c>
      <c r="I21" s="39" t="inlineStr">
        <is>
          <t>Fall break + foliage overlap; strong demand.</t>
        </is>
      </c>
    </row>
    <row r="22" ht="22" customHeight="1">
      <c r="A22" s="38" t="n">
        <v>46377</v>
      </c>
      <c r="B22" s="38" t="n">
        <v>46387</v>
      </c>
      <c r="C22" s="39" t="inlineStr">
        <is>
          <t>Winter Break — Southeast Schools</t>
        </is>
      </c>
      <c r="D22" s="39" t="inlineStr">
        <is>
          <t>School Break</t>
        </is>
      </c>
      <c r="E22" s="39" t="inlineStr">
        <is>
          <t>Southeast</t>
        </is>
      </c>
      <c r="F22" s="40" t="n">
        <v>55</v>
      </c>
      <c r="G22" s="41">
        <f>IF(F22="","",Settings!$B$7*(1+F22/100))</f>
        <v/>
      </c>
      <c r="H22" s="42" t="inlineStr">
        <is>
          <t>Y</t>
        </is>
      </c>
      <c r="I22" s="39" t="inlineStr">
        <is>
          <t>Two-week holiday break; sustained peak.</t>
        </is>
      </c>
    </row>
    <row r="23" ht="22" customHeight="1">
      <c r="A23" s="38" t="n">
        <v>46128</v>
      </c>
      <c r="B23" s="38" t="n">
        <v>46131</v>
      </c>
      <c r="C23" s="39" t="inlineStr">
        <is>
          <t>Spring Rod Run — Pigeon Forge</t>
        </is>
      </c>
      <c r="D23" s="39" t="inlineStr">
        <is>
          <t>Festival</t>
        </is>
      </c>
      <c r="E23" s="39" t="inlineStr">
        <is>
          <t>Southeast</t>
        </is>
      </c>
      <c r="F23" s="40" t="n">
        <v>70</v>
      </c>
      <c r="G23" s="41">
        <f>IF(F23="","",Settings!$B$7*(1+F23/100))</f>
        <v/>
      </c>
      <c r="H23" s="42" t="inlineStr">
        <is>
          <t>Y</t>
        </is>
      </c>
      <c r="I23" s="39" t="inlineStr">
        <is>
          <t>Major car-show event; rooms book out 60+ days ahead.</t>
        </is>
      </c>
    </row>
    <row r="24" ht="22" customHeight="1">
      <c r="A24" s="38" t="n">
        <v>46282</v>
      </c>
      <c r="B24" s="38" t="n">
        <v>46285</v>
      </c>
      <c r="C24" s="39" t="inlineStr">
        <is>
          <t>Fall Rod Run — Pigeon Forge</t>
        </is>
      </c>
      <c r="D24" s="39" t="inlineStr">
        <is>
          <t>Festival</t>
        </is>
      </c>
      <c r="E24" s="39" t="inlineStr">
        <is>
          <t>Southeast</t>
        </is>
      </c>
      <c r="F24" s="40" t="n">
        <v>70</v>
      </c>
      <c r="G24" s="41">
        <f>IF(F24="","",Settings!$B$7*(1+F24/100))</f>
        <v/>
      </c>
      <c r="H24" s="42" t="inlineStr">
        <is>
          <t>Y</t>
        </is>
      </c>
      <c r="I24" s="39" t="inlineStr">
        <is>
          <t>Larger of the two Rod Runs; peak demand.</t>
        </is>
      </c>
    </row>
    <row r="25" ht="22" customHeight="1">
      <c r="A25" s="38" t="n">
        <v>46095</v>
      </c>
      <c r="B25" s="38" t="n">
        <v>46095</v>
      </c>
      <c r="C25" s="39" t="inlineStr">
        <is>
          <t>Dollywood Season Opening</t>
        </is>
      </c>
      <c r="D25" s="39" t="inlineStr">
        <is>
          <t>Festival</t>
        </is>
      </c>
      <c r="E25" s="39" t="inlineStr">
        <is>
          <t>Southeast</t>
        </is>
      </c>
      <c r="F25" s="40" t="n">
        <v>35</v>
      </c>
      <c r="G25" s="41">
        <f>IF(F25="","",Settings!$B$7*(1+F25/100))</f>
        <v/>
      </c>
      <c r="H25" s="42" t="inlineStr">
        <is>
          <t>N</t>
        </is>
      </c>
      <c r="I25" s="39" t="inlineStr">
        <is>
          <t>Theme park opening weekend; family demand.</t>
        </is>
      </c>
    </row>
    <row r="26" ht="22" customHeight="1">
      <c r="A26" s="38" t="n">
        <v>46333</v>
      </c>
      <c r="B26" s="38" t="n">
        <v>46333</v>
      </c>
      <c r="C26" s="39" t="inlineStr">
        <is>
          <t>Smoky Mountain Marathon</t>
        </is>
      </c>
      <c r="D26" s="39" t="inlineStr">
        <is>
          <t>Sporting</t>
        </is>
      </c>
      <c r="E26" s="39" t="inlineStr">
        <is>
          <t>Southeast</t>
        </is>
      </c>
      <c r="F26" s="40" t="n">
        <v>45</v>
      </c>
      <c r="G26" s="41">
        <f>IF(F26="","",Settings!$B$7*(1+F26/100))</f>
        <v/>
      </c>
      <c r="H26" s="42" t="inlineStr">
        <is>
          <t>Y</t>
        </is>
      </c>
      <c r="I26" s="39" t="inlineStr">
        <is>
          <t>Runners + spectators fill Sevierville/Pigeon Forge.</t>
        </is>
      </c>
    </row>
    <row r="27" ht="22" customHeight="1">
      <c r="A27" s="38" t="n">
        <v>46339</v>
      </c>
      <c r="B27" s="38" t="n">
        <v>46387</v>
      </c>
      <c r="C27" s="39" t="inlineStr">
        <is>
          <t>Smoky Mountain Christmas — Dollywood</t>
        </is>
      </c>
      <c r="D27" s="39" t="inlineStr">
        <is>
          <t>Festival</t>
        </is>
      </c>
      <c r="E27" s="39" t="inlineStr">
        <is>
          <t>Southeast</t>
        </is>
      </c>
      <c r="F27" s="40" t="n">
        <v>50</v>
      </c>
      <c r="G27" s="41">
        <f>IF(F27="","",Settings!$B$7*(1+F27/100))</f>
        <v/>
      </c>
      <c r="H27" s="42" t="inlineStr">
        <is>
          <t>Y</t>
        </is>
      </c>
      <c r="I27" s="39" t="inlineStr">
        <is>
          <t>Multi-week Christmas event drives sustained lift.</t>
        </is>
      </c>
    </row>
    <row r="28" ht="22" customHeight="1">
      <c r="A28" s="38" t="n">
        <v>46240</v>
      </c>
      <c r="B28" s="38" t="n">
        <v>46243</v>
      </c>
      <c r="C28" s="39" t="inlineStr">
        <is>
          <t>Gatlinburg Craftsmen's Fair</t>
        </is>
      </c>
      <c r="D28" s="39" t="inlineStr">
        <is>
          <t>Festival</t>
        </is>
      </c>
      <c r="E28" s="39" t="inlineStr">
        <is>
          <t>Southeast</t>
        </is>
      </c>
      <c r="F28" s="40" t="n">
        <v>40</v>
      </c>
      <c r="G28" s="41">
        <f>IF(F28="","",Settings!$B$7*(1+F28/100))</f>
        <v/>
      </c>
      <c r="H28" s="42" t="inlineStr">
        <is>
          <t>Y</t>
        </is>
      </c>
      <c r="I28" s="39" t="inlineStr">
        <is>
          <t>Long-running summer arts festival; strong weekend lift.</t>
        </is>
      </c>
    </row>
    <row r="29" ht="20" customHeight="1">
      <c r="A29" s="38" t="n"/>
      <c r="B29" s="38" t="n"/>
      <c r="C29" s="39" t="n"/>
      <c r="D29" s="39" t="n"/>
      <c r="E29" s="39" t="n"/>
      <c r="F29" s="40" t="n"/>
      <c r="G29" s="41">
        <f>IF(F29="","",Settings!$B$7*(1+F29/100))</f>
        <v/>
      </c>
      <c r="H29" s="42" t="n"/>
      <c r="I29" s="39" t="n"/>
    </row>
    <row r="30" ht="20" customHeight="1">
      <c r="A30" s="38" t="n"/>
      <c r="B30" s="38" t="n"/>
      <c r="C30" s="39" t="n"/>
      <c r="D30" s="39" t="n"/>
      <c r="E30" s="39" t="n"/>
      <c r="F30" s="40" t="n"/>
      <c r="G30" s="41">
        <f>IF(F30="","",Settings!$B$7*(1+F30/100))</f>
        <v/>
      </c>
      <c r="H30" s="42" t="n"/>
      <c r="I30" s="39" t="n"/>
    </row>
    <row r="31" ht="20" customHeight="1">
      <c r="A31" s="38" t="n"/>
      <c r="B31" s="38" t="n"/>
      <c r="C31" s="39" t="n"/>
      <c r="D31" s="39" t="n"/>
      <c r="E31" s="39" t="n"/>
      <c r="F31" s="40" t="n"/>
      <c r="G31" s="41">
        <f>IF(F31="","",Settings!$B$7*(1+F31/100))</f>
        <v/>
      </c>
      <c r="H31" s="42" t="n"/>
      <c r="I31" s="39" t="n"/>
    </row>
    <row r="32" ht="20" customHeight="1">
      <c r="A32" s="38" t="n"/>
      <c r="B32" s="38" t="n"/>
      <c r="C32" s="39" t="n"/>
      <c r="D32" s="39" t="n"/>
      <c r="E32" s="39" t="n"/>
      <c r="F32" s="40" t="n"/>
      <c r="G32" s="41">
        <f>IF(F32="","",Settings!$B$7*(1+F32/100))</f>
        <v/>
      </c>
      <c r="H32" s="42" t="n"/>
      <c r="I32" s="39" t="n"/>
    </row>
    <row r="33" ht="20" customHeight="1">
      <c r="A33" s="38" t="n"/>
      <c r="B33" s="38" t="n"/>
      <c r="C33" s="39" t="n"/>
      <c r="D33" s="39" t="n"/>
      <c r="E33" s="39" t="n"/>
      <c r="F33" s="40" t="n"/>
      <c r="G33" s="41">
        <f>IF(F33="","",Settings!$B$7*(1+F33/100))</f>
        <v/>
      </c>
      <c r="H33" s="42" t="n"/>
      <c r="I33" s="39" t="n"/>
    </row>
    <row r="34" ht="20" customHeight="1">
      <c r="A34" s="38" t="n"/>
      <c r="B34" s="38" t="n"/>
      <c r="C34" s="39" t="n"/>
      <c r="D34" s="39" t="n"/>
      <c r="E34" s="39" t="n"/>
      <c r="F34" s="40" t="n"/>
      <c r="G34" s="41">
        <f>IF(F34="","",Settings!$B$7*(1+F34/100))</f>
        <v/>
      </c>
      <c r="H34" s="42" t="n"/>
      <c r="I34" s="39" t="n"/>
    </row>
    <row r="35" ht="20" customHeight="1">
      <c r="A35" s="38" t="n"/>
      <c r="B35" s="38" t="n"/>
      <c r="C35" s="39" t="n"/>
      <c r="D35" s="39" t="n"/>
      <c r="E35" s="39" t="n"/>
      <c r="F35" s="40" t="n"/>
      <c r="G35" s="41">
        <f>IF(F35="","",Settings!$B$7*(1+F35/100))</f>
        <v/>
      </c>
      <c r="H35" s="42" t="n"/>
      <c r="I35" s="39" t="n"/>
    </row>
    <row r="36" ht="20" customHeight="1">
      <c r="A36" s="38" t="n"/>
      <c r="B36" s="38" t="n"/>
      <c r="C36" s="39" t="n"/>
      <c r="D36" s="39" t="n"/>
      <c r="E36" s="39" t="n"/>
      <c r="F36" s="40" t="n"/>
      <c r="G36" s="41">
        <f>IF(F36="","",Settings!$B$7*(1+F36/100))</f>
        <v/>
      </c>
      <c r="H36" s="42" t="n"/>
      <c r="I36" s="39" t="n"/>
    </row>
    <row r="37" ht="20" customHeight="1">
      <c r="A37" s="38" t="n"/>
      <c r="B37" s="38" t="n"/>
      <c r="C37" s="39" t="n"/>
      <c r="D37" s="39" t="n"/>
      <c r="E37" s="39" t="n"/>
      <c r="F37" s="40" t="n"/>
      <c r="G37" s="41">
        <f>IF(F37="","",Settings!$B$7*(1+F37/100))</f>
        <v/>
      </c>
      <c r="H37" s="42" t="n"/>
      <c r="I37" s="39" t="n"/>
    </row>
    <row r="38" ht="20" customHeight="1">
      <c r="A38" s="38" t="n"/>
      <c r="B38" s="38" t="n"/>
      <c r="C38" s="39" t="n"/>
      <c r="D38" s="39" t="n"/>
      <c r="E38" s="39" t="n"/>
      <c r="F38" s="40" t="n"/>
      <c r="G38" s="41">
        <f>IF(F38="","",Settings!$B$7*(1+F38/100))</f>
        <v/>
      </c>
      <c r="H38" s="42" t="n"/>
      <c r="I38" s="39" t="n"/>
    </row>
    <row r="39" ht="20" customHeight="1">
      <c r="A39" s="38" t="n"/>
      <c r="B39" s="38" t="n"/>
      <c r="C39" s="39" t="n"/>
      <c r="D39" s="39" t="n"/>
      <c r="E39" s="39" t="n"/>
      <c r="F39" s="40" t="n"/>
      <c r="G39" s="41">
        <f>IF(F39="","",Settings!$B$7*(1+F39/100))</f>
        <v/>
      </c>
      <c r="H39" s="42" t="n"/>
      <c r="I39" s="39" t="n"/>
    </row>
    <row r="40" ht="20" customHeight="1">
      <c r="A40" s="38" t="n"/>
      <c r="B40" s="38" t="n"/>
      <c r="C40" s="39" t="n"/>
      <c r="D40" s="39" t="n"/>
      <c r="E40" s="39" t="n"/>
      <c r="F40" s="40" t="n"/>
      <c r="G40" s="41">
        <f>IF(F40="","",Settings!$B$7*(1+F40/100))</f>
        <v/>
      </c>
      <c r="H40" s="42" t="n"/>
      <c r="I40" s="39" t="n"/>
    </row>
    <row r="41" ht="20" customHeight="1">
      <c r="A41" s="38" t="n"/>
      <c r="B41" s="38" t="n"/>
      <c r="C41" s="39" t="n"/>
      <c r="D41" s="39" t="n"/>
      <c r="E41" s="39" t="n"/>
      <c r="F41" s="40" t="n"/>
      <c r="G41" s="41">
        <f>IF(F41="","",Settings!$B$7*(1+F41/100))</f>
        <v/>
      </c>
      <c r="H41" s="42" t="n"/>
      <c r="I41" s="39" t="n"/>
    </row>
    <row r="42" ht="20" customHeight="1">
      <c r="A42" s="38" t="n"/>
      <c r="B42" s="38" t="n"/>
      <c r="C42" s="39" t="n"/>
      <c r="D42" s="39" t="n"/>
      <c r="E42" s="39" t="n"/>
      <c r="F42" s="40" t="n"/>
      <c r="G42" s="41">
        <f>IF(F42="","",Settings!$B$7*(1+F42/100))</f>
        <v/>
      </c>
      <c r="H42" s="42" t="n"/>
      <c r="I42" s="39" t="n"/>
    </row>
    <row r="43" ht="20" customHeight="1">
      <c r="A43" s="38" t="n"/>
      <c r="B43" s="38" t="n"/>
      <c r="C43" s="39" t="n"/>
      <c r="D43" s="39" t="n"/>
      <c r="E43" s="39" t="n"/>
      <c r="F43" s="40" t="n"/>
      <c r="G43" s="41">
        <f>IF(F43="","",Settings!$B$7*(1+F43/100))</f>
        <v/>
      </c>
      <c r="H43" s="42" t="n"/>
      <c r="I43" s="39" t="n"/>
    </row>
    <row r="44" ht="20" customHeight="1">
      <c r="A44" s="38" t="n"/>
      <c r="B44" s="38" t="n"/>
      <c r="C44" s="39" t="n"/>
      <c r="D44" s="39" t="n"/>
      <c r="E44" s="39" t="n"/>
      <c r="F44" s="40" t="n"/>
      <c r="G44" s="41">
        <f>IF(F44="","",Settings!$B$7*(1+F44/100))</f>
        <v/>
      </c>
      <c r="H44" s="42" t="n"/>
      <c r="I44" s="39" t="n"/>
    </row>
    <row r="45" ht="20" customHeight="1">
      <c r="A45" s="38" t="n"/>
      <c r="B45" s="38" t="n"/>
      <c r="C45" s="39" t="n"/>
      <c r="D45" s="39" t="n"/>
      <c r="E45" s="39" t="n"/>
      <c r="F45" s="40" t="n"/>
      <c r="G45" s="41">
        <f>IF(F45="","",Settings!$B$7*(1+F45/100))</f>
        <v/>
      </c>
      <c r="H45" s="42" t="n"/>
      <c r="I45" s="39" t="n"/>
    </row>
    <row r="46" ht="20" customHeight="1">
      <c r="A46" s="38" t="n"/>
      <c r="B46" s="38" t="n"/>
      <c r="C46" s="39" t="n"/>
      <c r="D46" s="39" t="n"/>
      <c r="E46" s="39" t="n"/>
      <c r="F46" s="40" t="n"/>
      <c r="G46" s="41">
        <f>IF(F46="","",Settings!$B$7*(1+F46/100))</f>
        <v/>
      </c>
      <c r="H46" s="42" t="n"/>
      <c r="I46" s="39" t="n"/>
    </row>
    <row r="47" ht="20" customHeight="1">
      <c r="A47" s="38" t="n"/>
      <c r="B47" s="38" t="n"/>
      <c r="C47" s="39" t="n"/>
      <c r="D47" s="39" t="n"/>
      <c r="E47" s="39" t="n"/>
      <c r="F47" s="40" t="n"/>
      <c r="G47" s="41">
        <f>IF(F47="","",Settings!$B$7*(1+F47/100))</f>
        <v/>
      </c>
      <c r="H47" s="42" t="n"/>
      <c r="I47" s="39" t="n"/>
    </row>
    <row r="48" ht="20" customHeight="1">
      <c r="A48" s="38" t="n"/>
      <c r="B48" s="38" t="n"/>
      <c r="C48" s="39" t="n"/>
      <c r="D48" s="39" t="n"/>
      <c r="E48" s="39" t="n"/>
      <c r="F48" s="40" t="n"/>
      <c r="G48" s="41">
        <f>IF(F48="","",Settings!$B$7*(1+F48/100))</f>
        <v/>
      </c>
      <c r="H48" s="42" t="n"/>
      <c r="I48" s="39" t="n"/>
    </row>
    <row r="49" ht="20" customHeight="1">
      <c r="A49" s="38" t="n"/>
      <c r="B49" s="38" t="n"/>
      <c r="C49" s="39" t="n"/>
      <c r="D49" s="39" t="n"/>
      <c r="E49" s="39" t="n"/>
      <c r="F49" s="40" t="n"/>
      <c r="G49" s="41">
        <f>IF(F49="","",Settings!$B$7*(1+F49/100))</f>
        <v/>
      </c>
      <c r="H49" s="42" t="n"/>
      <c r="I49" s="39" t="n"/>
    </row>
    <row r="50" ht="20" customHeight="1">
      <c r="A50" s="38" t="n"/>
      <c r="B50" s="38" t="n"/>
      <c r="C50" s="39" t="n"/>
      <c r="D50" s="39" t="n"/>
      <c r="E50" s="39" t="n"/>
      <c r="F50" s="40" t="n"/>
      <c r="G50" s="41">
        <f>IF(F50="","",Settings!$B$7*(1+F50/100))</f>
        <v/>
      </c>
      <c r="H50" s="42" t="n"/>
      <c r="I50" s="39" t="n"/>
    </row>
    <row r="51" ht="20" customHeight="1">
      <c r="A51" s="38" t="n"/>
      <c r="B51" s="38" t="n"/>
      <c r="C51" s="39" t="n"/>
      <c r="D51" s="39" t="n"/>
      <c r="E51" s="39" t="n"/>
      <c r="F51" s="40" t="n"/>
      <c r="G51" s="41">
        <f>IF(F51="","",Settings!$B$7*(1+F51/100))</f>
        <v/>
      </c>
      <c r="H51" s="42" t="n"/>
      <c r="I51" s="39" t="n"/>
    </row>
    <row r="52" ht="20" customHeight="1">
      <c r="A52" s="38" t="n"/>
      <c r="B52" s="38" t="n"/>
      <c r="C52" s="39" t="n"/>
      <c r="D52" s="39" t="n"/>
      <c r="E52" s="39" t="n"/>
      <c r="F52" s="40" t="n"/>
      <c r="G52" s="41">
        <f>IF(F52="","",Settings!$B$7*(1+F52/100))</f>
        <v/>
      </c>
      <c r="H52" s="42" t="n"/>
      <c r="I52" s="39" t="n"/>
    </row>
    <row r="53" ht="20" customHeight="1">
      <c r="A53" s="38" t="n"/>
      <c r="B53" s="38" t="n"/>
      <c r="C53" s="39" t="n"/>
      <c r="D53" s="39" t="n"/>
      <c r="E53" s="39" t="n"/>
      <c r="F53" s="40" t="n"/>
      <c r="G53" s="41">
        <f>IF(F53="","",Settings!$B$7*(1+F53/100))</f>
        <v/>
      </c>
      <c r="H53" s="42" t="n"/>
      <c r="I53" s="39" t="n"/>
    </row>
    <row r="54" ht="20" customHeight="1">
      <c r="A54" s="38" t="n"/>
      <c r="B54" s="38" t="n"/>
      <c r="C54" s="39" t="n"/>
      <c r="D54" s="39" t="n"/>
      <c r="E54" s="39" t="n"/>
      <c r="F54" s="40" t="n"/>
      <c r="G54" s="41">
        <f>IF(F54="","",Settings!$B$7*(1+F54/100))</f>
        <v/>
      </c>
      <c r="H54" s="42" t="n"/>
      <c r="I54" s="39" t="n"/>
    </row>
    <row r="55" ht="20" customHeight="1">
      <c r="A55" s="38" t="n"/>
      <c r="B55" s="38" t="n"/>
      <c r="C55" s="39" t="n"/>
      <c r="D55" s="39" t="n"/>
      <c r="E55" s="39" t="n"/>
      <c r="F55" s="40" t="n"/>
      <c r="G55" s="41">
        <f>IF(F55="","",Settings!$B$7*(1+F55/100))</f>
        <v/>
      </c>
      <c r="H55" s="42" t="n"/>
      <c r="I55" s="39" t="n"/>
    </row>
    <row r="56" ht="20" customHeight="1">
      <c r="A56" s="38" t="n"/>
      <c r="B56" s="38" t="n"/>
      <c r="C56" s="39" t="n"/>
      <c r="D56" s="39" t="n"/>
      <c r="E56" s="39" t="n"/>
      <c r="F56" s="40" t="n"/>
      <c r="G56" s="41">
        <f>IF(F56="","",Settings!$B$7*(1+F56/100))</f>
        <v/>
      </c>
      <c r="H56" s="42" t="n"/>
      <c r="I56" s="39" t="n"/>
    </row>
    <row r="57" ht="20" customHeight="1">
      <c r="A57" s="38" t="n"/>
      <c r="B57" s="38" t="n"/>
      <c r="C57" s="39" t="n"/>
      <c r="D57" s="39" t="n"/>
      <c r="E57" s="39" t="n"/>
      <c r="F57" s="40" t="n"/>
      <c r="G57" s="41">
        <f>IF(F57="","",Settings!$B$7*(1+F57/100))</f>
        <v/>
      </c>
      <c r="H57" s="42" t="n"/>
      <c r="I57" s="39" t="n"/>
    </row>
    <row r="58" ht="20" customHeight="1">
      <c r="A58" s="38" t="n"/>
      <c r="B58" s="38" t="n"/>
      <c r="C58" s="39" t="n"/>
      <c r="D58" s="39" t="n"/>
      <c r="E58" s="39" t="n"/>
      <c r="F58" s="40" t="n"/>
      <c r="G58" s="41">
        <f>IF(F58="","",Settings!$B$7*(1+F58/100))</f>
        <v/>
      </c>
      <c r="H58" s="42" t="n"/>
      <c r="I58" s="39" t="n"/>
    </row>
    <row r="59" ht="20" customHeight="1">
      <c r="A59" s="38" t="n"/>
      <c r="B59" s="38" t="n"/>
      <c r="C59" s="39" t="n"/>
      <c r="D59" s="39" t="n"/>
      <c r="E59" s="39" t="n"/>
      <c r="F59" s="40" t="n"/>
      <c r="G59" s="41">
        <f>IF(F59="","",Settings!$B$7*(1+F59/100))</f>
        <v/>
      </c>
      <c r="H59" s="42" t="n"/>
      <c r="I59" s="39" t="n"/>
    </row>
    <row r="60" ht="20" customHeight="1">
      <c r="A60" s="38" t="n"/>
      <c r="B60" s="38" t="n"/>
      <c r="C60" s="39" t="n"/>
      <c r="D60" s="39" t="n"/>
      <c r="E60" s="39" t="n"/>
      <c r="F60" s="40" t="n"/>
      <c r="G60" s="41">
        <f>IF(F60="","",Settings!$B$7*(1+F60/100))</f>
        <v/>
      </c>
      <c r="H60" s="42" t="n"/>
      <c r="I60" s="39" t="n"/>
    </row>
    <row r="61" ht="20" customHeight="1">
      <c r="A61" s="38" t="n"/>
      <c r="B61" s="38" t="n"/>
      <c r="C61" s="39" t="n"/>
      <c r="D61" s="39" t="n"/>
      <c r="E61" s="39" t="n"/>
      <c r="F61" s="40" t="n"/>
      <c r="G61" s="41">
        <f>IF(F61="","",Settings!$B$7*(1+F61/100))</f>
        <v/>
      </c>
      <c r="H61" s="42" t="n"/>
      <c r="I61" s="39" t="n"/>
    </row>
    <row r="62" ht="20" customHeight="1">
      <c r="A62" s="38" t="n"/>
      <c r="B62" s="38" t="n"/>
      <c r="C62" s="39" t="n"/>
      <c r="D62" s="39" t="n"/>
      <c r="E62" s="39" t="n"/>
      <c r="F62" s="40" t="n"/>
      <c r="G62" s="41">
        <f>IF(F62="","",Settings!$B$7*(1+F62/100))</f>
        <v/>
      </c>
      <c r="H62" s="42" t="n"/>
      <c r="I62" s="39" t="n"/>
    </row>
    <row r="63" ht="20" customHeight="1">
      <c r="A63" s="38" t="n"/>
      <c r="B63" s="38" t="n"/>
      <c r="C63" s="39" t="n"/>
      <c r="D63" s="39" t="n"/>
      <c r="E63" s="39" t="n"/>
      <c r="F63" s="40" t="n"/>
      <c r="G63" s="41">
        <f>IF(F63="","",Settings!$B$7*(1+F63/100))</f>
        <v/>
      </c>
      <c r="H63" s="42" t="n"/>
      <c r="I63" s="39" t="n"/>
    </row>
    <row r="64" ht="20" customHeight="1">
      <c r="A64" s="38" t="n"/>
      <c r="B64" s="38" t="n"/>
      <c r="C64" s="39" t="n"/>
      <c r="D64" s="39" t="n"/>
      <c r="E64" s="39" t="n"/>
      <c r="F64" s="40" t="n"/>
      <c r="G64" s="41">
        <f>IF(F64="","",Settings!$B$7*(1+F64/100))</f>
        <v/>
      </c>
      <c r="H64" s="42" t="n"/>
      <c r="I64" s="39" t="n"/>
    </row>
    <row r="65" ht="20" customHeight="1">
      <c r="A65" s="38" t="n"/>
      <c r="B65" s="38" t="n"/>
      <c r="C65" s="39" t="n"/>
      <c r="D65" s="39" t="n"/>
      <c r="E65" s="39" t="n"/>
      <c r="F65" s="40" t="n"/>
      <c r="G65" s="41">
        <f>IF(F65="","",Settings!$B$7*(1+F65/100))</f>
        <v/>
      </c>
      <c r="H65" s="42" t="n"/>
      <c r="I65" s="39" t="n"/>
    </row>
    <row r="66" ht="20" customHeight="1">
      <c r="A66" s="38" t="n"/>
      <c r="B66" s="38" t="n"/>
      <c r="C66" s="39" t="n"/>
      <c r="D66" s="39" t="n"/>
      <c r="E66" s="39" t="n"/>
      <c r="F66" s="40" t="n"/>
      <c r="G66" s="41">
        <f>IF(F66="","",Settings!$B$7*(1+F66/100))</f>
        <v/>
      </c>
      <c r="H66" s="42" t="n"/>
      <c r="I66" s="39" t="n"/>
    </row>
    <row r="67" ht="20" customHeight="1">
      <c r="A67" s="38" t="n"/>
      <c r="B67" s="38" t="n"/>
      <c r="C67" s="39" t="n"/>
      <c r="D67" s="39" t="n"/>
      <c r="E67" s="39" t="n"/>
      <c r="F67" s="40" t="n"/>
      <c r="G67" s="41">
        <f>IF(F67="","",Settings!$B$7*(1+F67/100))</f>
        <v/>
      </c>
      <c r="H67" s="42" t="n"/>
      <c r="I67" s="39" t="n"/>
    </row>
    <row r="68" ht="20" customHeight="1">
      <c r="A68" s="38" t="n"/>
      <c r="B68" s="38" t="n"/>
      <c r="C68" s="39" t="n"/>
      <c r="D68" s="39" t="n"/>
      <c r="E68" s="39" t="n"/>
      <c r="F68" s="40" t="n"/>
      <c r="G68" s="41">
        <f>IF(F68="","",Settings!$B$7*(1+F68/100))</f>
        <v/>
      </c>
      <c r="H68" s="42" t="n"/>
      <c r="I68" s="39" t="n"/>
    </row>
    <row r="69" ht="20" customHeight="1">
      <c r="A69" s="38" t="n"/>
      <c r="B69" s="38" t="n"/>
      <c r="C69" s="39" t="n"/>
      <c r="D69" s="39" t="n"/>
      <c r="E69" s="39" t="n"/>
      <c r="F69" s="40" t="n"/>
      <c r="G69" s="41">
        <f>IF(F69="","",Settings!$B$7*(1+F69/100))</f>
        <v/>
      </c>
      <c r="H69" s="42" t="n"/>
      <c r="I69" s="39" t="n"/>
    </row>
    <row r="70" ht="20" customHeight="1">
      <c r="A70" s="38" t="n"/>
      <c r="B70" s="38" t="n"/>
      <c r="C70" s="39" t="n"/>
      <c r="D70" s="39" t="n"/>
      <c r="E70" s="39" t="n"/>
      <c r="F70" s="40" t="n"/>
      <c r="G70" s="41">
        <f>IF(F70="","",Settings!$B$7*(1+F70/100))</f>
        <v/>
      </c>
      <c r="H70" s="42" t="n"/>
      <c r="I70" s="39" t="n"/>
    </row>
    <row r="71" ht="20" customHeight="1">
      <c r="A71" s="38" t="n"/>
      <c r="B71" s="38" t="n"/>
      <c r="C71" s="39" t="n"/>
      <c r="D71" s="39" t="n"/>
      <c r="E71" s="39" t="n"/>
      <c r="F71" s="40" t="n"/>
      <c r="G71" s="41">
        <f>IF(F71="","",Settings!$B$7*(1+F71/100))</f>
        <v/>
      </c>
      <c r="H71" s="42" t="n"/>
      <c r="I71" s="39" t="n"/>
    </row>
    <row r="72" ht="20" customHeight="1">
      <c r="A72" s="38" t="n"/>
      <c r="B72" s="38" t="n"/>
      <c r="C72" s="39" t="n"/>
      <c r="D72" s="39" t="n"/>
      <c r="E72" s="39" t="n"/>
      <c r="F72" s="40" t="n"/>
      <c r="G72" s="41">
        <f>IF(F72="","",Settings!$B$7*(1+F72/100))</f>
        <v/>
      </c>
      <c r="H72" s="42" t="n"/>
      <c r="I72" s="39" t="n"/>
    </row>
    <row r="73" ht="20" customHeight="1">
      <c r="A73" s="38" t="n"/>
      <c r="B73" s="38" t="n"/>
      <c r="C73" s="39" t="n"/>
      <c r="D73" s="39" t="n"/>
      <c r="E73" s="39" t="n"/>
      <c r="F73" s="40" t="n"/>
      <c r="G73" s="41">
        <f>IF(F73="","",Settings!$B$7*(1+F73/100))</f>
        <v/>
      </c>
      <c r="H73" s="42" t="n"/>
      <c r="I73" s="39" t="n"/>
    </row>
    <row r="74" ht="20" customHeight="1">
      <c r="A74" s="38" t="n"/>
      <c r="B74" s="38" t="n"/>
      <c r="C74" s="39" t="n"/>
      <c r="D74" s="39" t="n"/>
      <c r="E74" s="39" t="n"/>
      <c r="F74" s="40" t="n"/>
      <c r="G74" s="41">
        <f>IF(F74="","",Settings!$B$7*(1+F74/100))</f>
        <v/>
      </c>
      <c r="H74" s="42" t="n"/>
      <c r="I74" s="39" t="n"/>
    </row>
    <row r="75" ht="20" customHeight="1">
      <c r="A75" s="38" t="n"/>
      <c r="B75" s="38" t="n"/>
      <c r="C75" s="39" t="n"/>
      <c r="D75" s="39" t="n"/>
      <c r="E75" s="39" t="n"/>
      <c r="F75" s="40" t="n"/>
      <c r="G75" s="41">
        <f>IF(F75="","",Settings!$B$7*(1+F75/100))</f>
        <v/>
      </c>
      <c r="H75" s="42" t="n"/>
      <c r="I75" s="39" t="n"/>
    </row>
    <row r="76" ht="20" customHeight="1">
      <c r="A76" s="38" t="n"/>
      <c r="B76" s="38" t="n"/>
      <c r="C76" s="39" t="n"/>
      <c r="D76" s="39" t="n"/>
      <c r="E76" s="39" t="n"/>
      <c r="F76" s="40" t="n"/>
      <c r="G76" s="41">
        <f>IF(F76="","",Settings!$B$7*(1+F76/100))</f>
        <v/>
      </c>
      <c r="H76" s="42" t="n"/>
      <c r="I76" s="39" t="n"/>
    </row>
    <row r="77" ht="20" customHeight="1">
      <c r="A77" s="38" t="n"/>
      <c r="B77" s="38" t="n"/>
      <c r="C77" s="39" t="n"/>
      <c r="D77" s="39" t="n"/>
      <c r="E77" s="39" t="n"/>
      <c r="F77" s="40" t="n"/>
      <c r="G77" s="41">
        <f>IF(F77="","",Settings!$B$7*(1+F77/100))</f>
        <v/>
      </c>
      <c r="H77" s="42" t="n"/>
      <c r="I77" s="39" t="n"/>
    </row>
    <row r="78" ht="20" customHeight="1">
      <c r="A78" s="38" t="n"/>
      <c r="B78" s="38" t="n"/>
      <c r="C78" s="39" t="n"/>
      <c r="D78" s="39" t="n"/>
      <c r="E78" s="39" t="n"/>
      <c r="F78" s="40" t="n"/>
      <c r="G78" s="41">
        <f>IF(F78="","",Settings!$B$7*(1+F78/100))</f>
        <v/>
      </c>
      <c r="H78" s="42" t="n"/>
      <c r="I78" s="39" t="n"/>
    </row>
    <row r="79" ht="20" customHeight="1">
      <c r="A79" s="38" t="n"/>
      <c r="B79" s="38" t="n"/>
      <c r="C79" s="39" t="n"/>
      <c r="D79" s="39" t="n"/>
      <c r="E79" s="39" t="n"/>
      <c r="F79" s="40" t="n"/>
      <c r="G79" s="41">
        <f>IF(F79="","",Settings!$B$7*(1+F79/100))</f>
        <v/>
      </c>
      <c r="H79" s="42" t="n"/>
      <c r="I79" s="39" t="n"/>
    </row>
    <row r="80" ht="20" customHeight="1">
      <c r="A80" s="38" t="n"/>
      <c r="B80" s="38" t="n"/>
      <c r="C80" s="39" t="n"/>
      <c r="D80" s="39" t="n"/>
      <c r="E80" s="39" t="n"/>
      <c r="F80" s="40" t="n"/>
      <c r="G80" s="41">
        <f>IF(F80="","",Settings!$B$7*(1+F80/100))</f>
        <v/>
      </c>
      <c r="H80" s="42" t="n"/>
      <c r="I80" s="39" t="n"/>
    </row>
    <row r="81" ht="20" customHeight="1">
      <c r="A81" s="38" t="n"/>
      <c r="B81" s="38" t="n"/>
      <c r="C81" s="39" t="n"/>
      <c r="D81" s="39" t="n"/>
      <c r="E81" s="39" t="n"/>
      <c r="F81" s="40" t="n"/>
      <c r="G81" s="41">
        <f>IF(F81="","",Settings!$B$7*(1+F81/100))</f>
        <v/>
      </c>
      <c r="H81" s="42" t="n"/>
      <c r="I81" s="39" t="n"/>
    </row>
    <row r="82" ht="20" customHeight="1">
      <c r="A82" s="38" t="n"/>
      <c r="B82" s="38" t="n"/>
      <c r="C82" s="39" t="n"/>
      <c r="D82" s="39" t="n"/>
      <c r="E82" s="39" t="n"/>
      <c r="F82" s="40" t="n"/>
      <c r="G82" s="41">
        <f>IF(F82="","",Settings!$B$7*(1+F82/100))</f>
        <v/>
      </c>
      <c r="H82" s="42" t="n"/>
      <c r="I82" s="39" t="n"/>
    </row>
    <row r="83" ht="20" customHeight="1">
      <c r="A83" s="38" t="n"/>
      <c r="B83" s="38" t="n"/>
      <c r="C83" s="39" t="n"/>
      <c r="D83" s="39" t="n"/>
      <c r="E83" s="39" t="n"/>
      <c r="F83" s="40" t="n"/>
      <c r="G83" s="41">
        <f>IF(F83="","",Settings!$B$7*(1+F83/100))</f>
        <v/>
      </c>
      <c r="H83" s="42" t="n"/>
      <c r="I83" s="39" t="n"/>
    </row>
    <row r="84" ht="20" customHeight="1">
      <c r="A84" s="38" t="n"/>
      <c r="B84" s="38" t="n"/>
      <c r="C84" s="39" t="n"/>
      <c r="D84" s="39" t="n"/>
      <c r="E84" s="39" t="n"/>
      <c r="F84" s="40" t="n"/>
      <c r="G84" s="41">
        <f>IF(F84="","",Settings!$B$7*(1+F84/100))</f>
        <v/>
      </c>
      <c r="H84" s="42" t="n"/>
      <c r="I84" s="39" t="n"/>
    </row>
    <row r="85" ht="20" customHeight="1">
      <c r="A85" s="38" t="n"/>
      <c r="B85" s="38" t="n"/>
      <c r="C85" s="39" t="n"/>
      <c r="D85" s="39" t="n"/>
      <c r="E85" s="39" t="n"/>
      <c r="F85" s="40" t="n"/>
      <c r="G85" s="41">
        <f>IF(F85="","",Settings!$B$7*(1+F85/100))</f>
        <v/>
      </c>
      <c r="H85" s="42" t="n"/>
      <c r="I85" s="39" t="n"/>
    </row>
    <row r="86" ht="20" customHeight="1">
      <c r="A86" s="38" t="n"/>
      <c r="B86" s="38" t="n"/>
      <c r="C86" s="39" t="n"/>
      <c r="D86" s="39" t="n"/>
      <c r="E86" s="39" t="n"/>
      <c r="F86" s="40" t="n"/>
      <c r="G86" s="41">
        <f>IF(F86="","",Settings!$B$7*(1+F86/100))</f>
        <v/>
      </c>
      <c r="H86" s="42" t="n"/>
      <c r="I86" s="39" t="n"/>
    </row>
    <row r="87" ht="20" customHeight="1">
      <c r="A87" s="38" t="n"/>
      <c r="B87" s="38" t="n"/>
      <c r="C87" s="39" t="n"/>
      <c r="D87" s="39" t="n"/>
      <c r="E87" s="39" t="n"/>
      <c r="F87" s="40" t="n"/>
      <c r="G87" s="41">
        <f>IF(F87="","",Settings!$B$7*(1+F87/100))</f>
        <v/>
      </c>
      <c r="H87" s="42" t="n"/>
      <c r="I87" s="39" t="n"/>
    </row>
    <row r="88" ht="20" customHeight="1">
      <c r="A88" s="38" t="n"/>
      <c r="B88" s="38" t="n"/>
      <c r="C88" s="39" t="n"/>
      <c r="D88" s="39" t="n"/>
      <c r="E88" s="39" t="n"/>
      <c r="F88" s="40" t="n"/>
      <c r="G88" s="41">
        <f>IF(F88="","",Settings!$B$7*(1+F88/100))</f>
        <v/>
      </c>
      <c r="H88" s="42" t="n"/>
      <c r="I88" s="39" t="n"/>
    </row>
    <row r="89" ht="20" customHeight="1">
      <c r="A89" s="38" t="n"/>
      <c r="B89" s="38" t="n"/>
      <c r="C89" s="39" t="n"/>
      <c r="D89" s="39" t="n"/>
      <c r="E89" s="39" t="n"/>
      <c r="F89" s="40" t="n"/>
      <c r="G89" s="41">
        <f>IF(F89="","",Settings!$B$7*(1+F89/100))</f>
        <v/>
      </c>
      <c r="H89" s="42" t="n"/>
      <c r="I89" s="39" t="n"/>
    </row>
    <row r="90" ht="20" customHeight="1">
      <c r="A90" s="38" t="n"/>
      <c r="B90" s="38" t="n"/>
      <c r="C90" s="39" t="n"/>
      <c r="D90" s="39" t="n"/>
      <c r="E90" s="39" t="n"/>
      <c r="F90" s="40" t="n"/>
      <c r="G90" s="41">
        <f>IF(F90="","",Settings!$B$7*(1+F90/100))</f>
        <v/>
      </c>
      <c r="H90" s="42" t="n"/>
      <c r="I90" s="39" t="n"/>
    </row>
    <row r="91" ht="20" customHeight="1">
      <c r="A91" s="38" t="n"/>
      <c r="B91" s="38" t="n"/>
      <c r="C91" s="39" t="n"/>
      <c r="D91" s="39" t="n"/>
      <c r="E91" s="39" t="n"/>
      <c r="F91" s="40" t="n"/>
      <c r="G91" s="41">
        <f>IF(F91="","",Settings!$B$7*(1+F91/100))</f>
        <v/>
      </c>
      <c r="H91" s="42" t="n"/>
      <c r="I91" s="39" t="n"/>
    </row>
    <row r="92" ht="20" customHeight="1">
      <c r="A92" s="38" t="n"/>
      <c r="B92" s="38" t="n"/>
      <c r="C92" s="39" t="n"/>
      <c r="D92" s="39" t="n"/>
      <c r="E92" s="39" t="n"/>
      <c r="F92" s="40" t="n"/>
      <c r="G92" s="41">
        <f>IF(F92="","",Settings!$B$7*(1+F92/100))</f>
        <v/>
      </c>
      <c r="H92" s="42" t="n"/>
      <c r="I92" s="39" t="n"/>
    </row>
    <row r="93" ht="20" customHeight="1">
      <c r="A93" s="38" t="n"/>
      <c r="B93" s="38" t="n"/>
      <c r="C93" s="39" t="n"/>
      <c r="D93" s="39" t="n"/>
      <c r="E93" s="39" t="n"/>
      <c r="F93" s="40" t="n"/>
      <c r="G93" s="41">
        <f>IF(F93="","",Settings!$B$7*(1+F93/100))</f>
        <v/>
      </c>
      <c r="H93" s="42" t="n"/>
      <c r="I93" s="39" t="n"/>
    </row>
    <row r="94" ht="20" customHeight="1">
      <c r="A94" s="38" t="n"/>
      <c r="B94" s="38" t="n"/>
      <c r="C94" s="39" t="n"/>
      <c r="D94" s="39" t="n"/>
      <c r="E94" s="39" t="n"/>
      <c r="F94" s="40" t="n"/>
      <c r="G94" s="41">
        <f>IF(F94="","",Settings!$B$7*(1+F94/100))</f>
        <v/>
      </c>
      <c r="H94" s="42" t="n"/>
      <c r="I94" s="39" t="n"/>
    </row>
    <row r="95" ht="20" customHeight="1">
      <c r="A95" s="38" t="n"/>
      <c r="B95" s="38" t="n"/>
      <c r="C95" s="39" t="n"/>
      <c r="D95" s="39" t="n"/>
      <c r="E95" s="39" t="n"/>
      <c r="F95" s="40" t="n"/>
      <c r="G95" s="41">
        <f>IF(F95="","",Settings!$B$7*(1+F95/100))</f>
        <v/>
      </c>
      <c r="H95" s="42" t="n"/>
      <c r="I95" s="39" t="n"/>
    </row>
    <row r="96" ht="20" customHeight="1">
      <c r="A96" s="38" t="n"/>
      <c r="B96" s="38" t="n"/>
      <c r="C96" s="39" t="n"/>
      <c r="D96" s="39" t="n"/>
      <c r="E96" s="39" t="n"/>
      <c r="F96" s="40" t="n"/>
      <c r="G96" s="41">
        <f>IF(F96="","",Settings!$B$7*(1+F96/100))</f>
        <v/>
      </c>
      <c r="H96" s="42" t="n"/>
      <c r="I96" s="39" t="n"/>
    </row>
    <row r="97" ht="20" customHeight="1">
      <c r="A97" s="38" t="n"/>
      <c r="B97" s="38" t="n"/>
      <c r="C97" s="39" t="n"/>
      <c r="D97" s="39" t="n"/>
      <c r="E97" s="39" t="n"/>
      <c r="F97" s="40" t="n"/>
      <c r="G97" s="41">
        <f>IF(F97="","",Settings!$B$7*(1+F97/100))</f>
        <v/>
      </c>
      <c r="H97" s="42" t="n"/>
      <c r="I97" s="39" t="n"/>
    </row>
    <row r="98" ht="20" customHeight="1">
      <c r="A98" s="38" t="n"/>
      <c r="B98" s="38" t="n"/>
      <c r="C98" s="39" t="n"/>
      <c r="D98" s="39" t="n"/>
      <c r="E98" s="39" t="n"/>
      <c r="F98" s="40" t="n"/>
      <c r="G98" s="41">
        <f>IF(F98="","",Settings!$B$7*(1+F98/100))</f>
        <v/>
      </c>
      <c r="H98" s="42" t="n"/>
      <c r="I98" s="39" t="n"/>
    </row>
    <row r="99" ht="20" customHeight="1">
      <c r="A99" s="38" t="n"/>
      <c r="B99" s="38" t="n"/>
      <c r="C99" s="39" t="n"/>
      <c r="D99" s="39" t="n"/>
      <c r="E99" s="39" t="n"/>
      <c r="F99" s="40" t="n"/>
      <c r="G99" s="41">
        <f>IF(F99="","",Settings!$B$7*(1+F99/100))</f>
        <v/>
      </c>
      <c r="H99" s="42" t="n"/>
      <c r="I99" s="39" t="n"/>
    </row>
    <row r="100" ht="20" customHeight="1">
      <c r="A100" s="38" t="n"/>
      <c r="B100" s="38" t="n"/>
      <c r="C100" s="39" t="n"/>
      <c r="D100" s="39" t="n"/>
      <c r="E100" s="39" t="n"/>
      <c r="F100" s="40" t="n"/>
      <c r="G100" s="41">
        <f>IF(F100="","",Settings!$B$7*(1+F100/100))</f>
        <v/>
      </c>
      <c r="H100" s="42" t="n"/>
      <c r="I100" s="39" t="n"/>
    </row>
    <row r="101" ht="20" customHeight="1">
      <c r="A101" s="38" t="n"/>
      <c r="B101" s="38" t="n"/>
      <c r="C101" s="39" t="n"/>
      <c r="D101" s="39" t="n"/>
      <c r="E101" s="39" t="n"/>
      <c r="F101" s="40" t="n"/>
      <c r="G101" s="41">
        <f>IF(F101="","",Settings!$B$7*(1+F101/100))</f>
        <v/>
      </c>
      <c r="H101" s="42" t="n"/>
      <c r="I101" s="39" t="n"/>
    </row>
    <row r="102" ht="20" customHeight="1">
      <c r="A102" s="38" t="n"/>
      <c r="B102" s="38" t="n"/>
      <c r="C102" s="39" t="n"/>
      <c r="D102" s="39" t="n"/>
      <c r="E102" s="39" t="n"/>
      <c r="F102" s="40" t="n"/>
      <c r="G102" s="41">
        <f>IF(F102="","",Settings!$B$7*(1+F102/100))</f>
        <v/>
      </c>
      <c r="H102" s="42" t="n"/>
      <c r="I102" s="39" t="n"/>
    </row>
    <row r="103" ht="20" customHeight="1">
      <c r="A103" s="38" t="n"/>
      <c r="B103" s="38" t="n"/>
      <c r="C103" s="39" t="n"/>
      <c r="D103" s="39" t="n"/>
      <c r="E103" s="39" t="n"/>
      <c r="F103" s="40" t="n"/>
      <c r="G103" s="41">
        <f>IF(F103="","",Settings!$B$7*(1+F103/100))</f>
        <v/>
      </c>
      <c r="H103" s="42" t="n"/>
      <c r="I103" s="39" t="n"/>
    </row>
    <row r="104" ht="20" customHeight="1">
      <c r="A104" s="38" t="n"/>
      <c r="B104" s="38" t="n"/>
      <c r="C104" s="39" t="n"/>
      <c r="D104" s="39" t="n"/>
      <c r="E104" s="39" t="n"/>
      <c r="F104" s="40" t="n"/>
      <c r="G104" s="41">
        <f>IF(F104="","",Settings!$B$7*(1+F104/100))</f>
        <v/>
      </c>
      <c r="H104" s="42" t="n"/>
      <c r="I104" s="39" t="n"/>
    </row>
    <row r="105" ht="20" customHeight="1">
      <c r="A105" s="38" t="n"/>
      <c r="B105" s="38" t="n"/>
      <c r="C105" s="39" t="n"/>
      <c r="D105" s="39" t="n"/>
      <c r="E105" s="39" t="n"/>
      <c r="F105" s="40" t="n"/>
      <c r="G105" s="41">
        <f>IF(F105="","",Settings!$B$7*(1+F105/100))</f>
        <v/>
      </c>
      <c r="H105" s="42" t="n"/>
      <c r="I105" s="39" t="n"/>
    </row>
    <row r="106" ht="20" customHeight="1">
      <c r="A106" s="38" t="n"/>
      <c r="B106" s="38" t="n"/>
      <c r="C106" s="39" t="n"/>
      <c r="D106" s="39" t="n"/>
      <c r="E106" s="39" t="n"/>
      <c r="F106" s="40" t="n"/>
      <c r="G106" s="41">
        <f>IF(F106="","",Settings!$B$7*(1+F106/100))</f>
        <v/>
      </c>
      <c r="H106" s="42" t="n"/>
      <c r="I106" s="39" t="n"/>
    </row>
    <row r="107" ht="20" customHeight="1">
      <c r="A107" s="38" t="n"/>
      <c r="B107" s="38" t="n"/>
      <c r="C107" s="39" t="n"/>
      <c r="D107" s="39" t="n"/>
      <c r="E107" s="39" t="n"/>
      <c r="F107" s="40" t="n"/>
      <c r="G107" s="41">
        <f>IF(F107="","",Settings!$B$7*(1+F107/100))</f>
        <v/>
      </c>
      <c r="H107" s="42" t="n"/>
      <c r="I107" s="39" t="n"/>
    </row>
    <row r="108" ht="20" customHeight="1">
      <c r="A108" s="38" t="n"/>
      <c r="B108" s="38" t="n"/>
      <c r="C108" s="39" t="n"/>
      <c r="D108" s="39" t="n"/>
      <c r="E108" s="39" t="n"/>
      <c r="F108" s="40" t="n"/>
      <c r="G108" s="41">
        <f>IF(F108="","",Settings!$B$7*(1+F108/100))</f>
        <v/>
      </c>
      <c r="H108" s="42" t="n"/>
      <c r="I108" s="39" t="n"/>
    </row>
    <row r="109" ht="20" customHeight="1">
      <c r="A109" s="38" t="n"/>
      <c r="B109" s="38" t="n"/>
      <c r="C109" s="39" t="n"/>
      <c r="D109" s="39" t="n"/>
      <c r="E109" s="39" t="n"/>
      <c r="F109" s="40" t="n"/>
      <c r="G109" s="41">
        <f>IF(F109="","",Settings!$B$7*(1+F109/100))</f>
        <v/>
      </c>
      <c r="H109" s="42" t="n"/>
      <c r="I109" s="39" t="n"/>
    </row>
    <row r="110" ht="20" customHeight="1">
      <c r="A110" s="38" t="n"/>
      <c r="B110" s="38" t="n"/>
      <c r="C110" s="39" t="n"/>
      <c r="D110" s="39" t="n"/>
      <c r="E110" s="39" t="n"/>
      <c r="F110" s="40" t="n"/>
      <c r="G110" s="41">
        <f>IF(F110="","",Settings!$B$7*(1+F110/100))</f>
        <v/>
      </c>
      <c r="H110" s="42" t="n"/>
      <c r="I110" s="39" t="n"/>
    </row>
    <row r="111" ht="20" customHeight="1">
      <c r="A111" s="38" t="n"/>
      <c r="B111" s="38" t="n"/>
      <c r="C111" s="39" t="n"/>
      <c r="D111" s="39" t="n"/>
      <c r="E111" s="39" t="n"/>
      <c r="F111" s="40" t="n"/>
      <c r="G111" s="41">
        <f>IF(F111="","",Settings!$B$7*(1+F111/100))</f>
        <v/>
      </c>
      <c r="H111" s="42" t="n"/>
      <c r="I111" s="39" t="n"/>
    </row>
    <row r="112" ht="20" customHeight="1">
      <c r="A112" s="38" t="n"/>
      <c r="B112" s="38" t="n"/>
      <c r="C112" s="39" t="n"/>
      <c r="D112" s="39" t="n"/>
      <c r="E112" s="39" t="n"/>
      <c r="F112" s="40" t="n"/>
      <c r="G112" s="41">
        <f>IF(F112="","",Settings!$B$7*(1+F112/100))</f>
        <v/>
      </c>
      <c r="H112" s="42" t="n"/>
      <c r="I112" s="39" t="n"/>
    </row>
    <row r="113" ht="20" customHeight="1">
      <c r="A113" s="38" t="n"/>
      <c r="B113" s="38" t="n"/>
      <c r="C113" s="39" t="n"/>
      <c r="D113" s="39" t="n"/>
      <c r="E113" s="39" t="n"/>
      <c r="F113" s="40" t="n"/>
      <c r="G113" s="41">
        <f>IF(F113="","",Settings!$B$7*(1+F113/100))</f>
        <v/>
      </c>
      <c r="H113" s="42" t="n"/>
      <c r="I113" s="39" t="n"/>
    </row>
    <row r="114" ht="20" customHeight="1">
      <c r="A114" s="38" t="n"/>
      <c r="B114" s="38" t="n"/>
      <c r="C114" s="39" t="n"/>
      <c r="D114" s="39" t="n"/>
      <c r="E114" s="39" t="n"/>
      <c r="F114" s="40" t="n"/>
      <c r="G114" s="41">
        <f>IF(F114="","",Settings!$B$7*(1+F114/100))</f>
        <v/>
      </c>
      <c r="H114" s="42" t="n"/>
      <c r="I114" s="39" t="n"/>
    </row>
    <row r="115" ht="20" customHeight="1">
      <c r="A115" s="38" t="n"/>
      <c r="B115" s="38" t="n"/>
      <c r="C115" s="39" t="n"/>
      <c r="D115" s="39" t="n"/>
      <c r="E115" s="39" t="n"/>
      <c r="F115" s="40" t="n"/>
      <c r="G115" s="41">
        <f>IF(F115="","",Settings!$B$7*(1+F115/100))</f>
        <v/>
      </c>
      <c r="H115" s="42" t="n"/>
      <c r="I115" s="39" t="n"/>
    </row>
    <row r="116" ht="20" customHeight="1">
      <c r="A116" s="38" t="n"/>
      <c r="B116" s="38" t="n"/>
      <c r="C116" s="39" t="n"/>
      <c r="D116" s="39" t="n"/>
      <c r="E116" s="39" t="n"/>
      <c r="F116" s="40" t="n"/>
      <c r="G116" s="41">
        <f>IF(F116="","",Settings!$B$7*(1+F116/100))</f>
        <v/>
      </c>
      <c r="H116" s="42" t="n"/>
      <c r="I116" s="39" t="n"/>
    </row>
    <row r="117" ht="20" customHeight="1">
      <c r="A117" s="38" t="n"/>
      <c r="B117" s="38" t="n"/>
      <c r="C117" s="39" t="n"/>
      <c r="D117" s="39" t="n"/>
      <c r="E117" s="39" t="n"/>
      <c r="F117" s="40" t="n"/>
      <c r="G117" s="41">
        <f>IF(F117="","",Settings!$B$7*(1+F117/100))</f>
        <v/>
      </c>
      <c r="H117" s="42" t="n"/>
      <c r="I117" s="39" t="n"/>
    </row>
    <row r="118" ht="20" customHeight="1">
      <c r="A118" s="38" t="n"/>
      <c r="B118" s="38" t="n"/>
      <c r="C118" s="39" t="n"/>
      <c r="D118" s="39" t="n"/>
      <c r="E118" s="39" t="n"/>
      <c r="F118" s="40" t="n"/>
      <c r="G118" s="41">
        <f>IF(F118="","",Settings!$B$7*(1+F118/100))</f>
        <v/>
      </c>
      <c r="H118" s="42" t="n"/>
      <c r="I118" s="39" t="n"/>
    </row>
    <row r="119" ht="20" customHeight="1">
      <c r="A119" s="38" t="n"/>
      <c r="B119" s="38" t="n"/>
      <c r="C119" s="39" t="n"/>
      <c r="D119" s="39" t="n"/>
      <c r="E119" s="39" t="n"/>
      <c r="F119" s="40" t="n"/>
      <c r="G119" s="41">
        <f>IF(F119="","",Settings!$B$7*(1+F119/100))</f>
        <v/>
      </c>
      <c r="H119" s="42" t="n"/>
      <c r="I119" s="39" t="n"/>
    </row>
    <row r="120" ht="20" customHeight="1">
      <c r="A120" s="38" t="n"/>
      <c r="B120" s="38" t="n"/>
      <c r="C120" s="39" t="n"/>
      <c r="D120" s="39" t="n"/>
      <c r="E120" s="39" t="n"/>
      <c r="F120" s="40" t="n"/>
      <c r="G120" s="41">
        <f>IF(F120="","",Settings!$B$7*(1+F120/100))</f>
        <v/>
      </c>
      <c r="H120" s="42" t="n"/>
      <c r="I120" s="39" t="n"/>
    </row>
    <row r="121" ht="20" customHeight="1">
      <c r="A121" s="38" t="n"/>
      <c r="B121" s="38" t="n"/>
      <c r="C121" s="39" t="n"/>
      <c r="D121" s="39" t="n"/>
      <c r="E121" s="39" t="n"/>
      <c r="F121" s="40" t="n"/>
      <c r="G121" s="41">
        <f>IF(F121="","",Settings!$B$7*(1+F121/100))</f>
        <v/>
      </c>
      <c r="H121" s="42" t="n"/>
      <c r="I121" s="39" t="n"/>
    </row>
    <row r="122" ht="20" customHeight="1">
      <c r="A122" s="38" t="n"/>
      <c r="B122" s="38" t="n"/>
      <c r="C122" s="39" t="n"/>
      <c r="D122" s="39" t="n"/>
      <c r="E122" s="39" t="n"/>
      <c r="F122" s="40" t="n"/>
      <c r="G122" s="41">
        <f>IF(F122="","",Settings!$B$7*(1+F122/100))</f>
        <v/>
      </c>
      <c r="H122" s="42" t="n"/>
      <c r="I122" s="39" t="n"/>
    </row>
    <row r="123" ht="20" customHeight="1">
      <c r="A123" s="38" t="n"/>
      <c r="B123" s="38" t="n"/>
      <c r="C123" s="39" t="n"/>
      <c r="D123" s="39" t="n"/>
      <c r="E123" s="39" t="n"/>
      <c r="F123" s="40" t="n"/>
      <c r="G123" s="41">
        <f>IF(F123="","",Settings!$B$7*(1+F123/100))</f>
        <v/>
      </c>
      <c r="H123" s="42" t="n"/>
      <c r="I123" s="39" t="n"/>
    </row>
    <row r="124" ht="20" customHeight="1">
      <c r="A124" s="38" t="n"/>
      <c r="B124" s="38" t="n"/>
      <c r="C124" s="39" t="n"/>
      <c r="D124" s="39" t="n"/>
      <c r="E124" s="39" t="n"/>
      <c r="F124" s="40" t="n"/>
      <c r="G124" s="41">
        <f>IF(F124="","",Settings!$B$7*(1+F124/100))</f>
        <v/>
      </c>
      <c r="H124" s="42" t="n"/>
      <c r="I124" s="39" t="n"/>
    </row>
    <row r="125" ht="20" customHeight="1">
      <c r="A125" s="38" t="n"/>
      <c r="B125" s="38" t="n"/>
      <c r="C125" s="39" t="n"/>
      <c r="D125" s="39" t="n"/>
      <c r="E125" s="39" t="n"/>
      <c r="F125" s="40" t="n"/>
      <c r="G125" s="41">
        <f>IF(F125="","",Settings!$B$7*(1+F125/100))</f>
        <v/>
      </c>
      <c r="H125" s="42" t="n"/>
      <c r="I125" s="39" t="n"/>
    </row>
    <row r="126" ht="20" customHeight="1">
      <c r="A126" s="38" t="n"/>
      <c r="B126" s="38" t="n"/>
      <c r="C126" s="39" t="n"/>
      <c r="D126" s="39" t="n"/>
      <c r="E126" s="39" t="n"/>
      <c r="F126" s="40" t="n"/>
      <c r="G126" s="41">
        <f>IF(F126="","",Settings!$B$7*(1+F126/100))</f>
        <v/>
      </c>
      <c r="H126" s="42" t="n"/>
      <c r="I126" s="39" t="n"/>
    </row>
    <row r="127" ht="20" customHeight="1">
      <c r="A127" s="38" t="n"/>
      <c r="B127" s="38" t="n"/>
      <c r="C127" s="39" t="n"/>
      <c r="D127" s="39" t="n"/>
      <c r="E127" s="39" t="n"/>
      <c r="F127" s="40" t="n"/>
      <c r="G127" s="41">
        <f>IF(F127="","",Settings!$B$7*(1+F127/100))</f>
        <v/>
      </c>
      <c r="H127" s="42" t="n"/>
      <c r="I127" s="39" t="n"/>
    </row>
    <row r="128" ht="20" customHeight="1">
      <c r="A128" s="38" t="n"/>
      <c r="B128" s="38" t="n"/>
      <c r="C128" s="39" t="n"/>
      <c r="D128" s="39" t="n"/>
      <c r="E128" s="39" t="n"/>
      <c r="F128" s="40" t="n"/>
      <c r="G128" s="41">
        <f>IF(F128="","",Settings!$B$7*(1+F128/100))</f>
        <v/>
      </c>
      <c r="H128" s="42" t="n"/>
      <c r="I128" s="39" t="n"/>
    </row>
    <row r="129" ht="20" customHeight="1">
      <c r="A129" s="38" t="n"/>
      <c r="B129" s="38" t="n"/>
      <c r="C129" s="39" t="n"/>
      <c r="D129" s="39" t="n"/>
      <c r="E129" s="39" t="n"/>
      <c r="F129" s="40" t="n"/>
      <c r="G129" s="41">
        <f>IF(F129="","",Settings!$B$7*(1+F129/100))</f>
        <v/>
      </c>
      <c r="H129" s="42" t="n"/>
      <c r="I129" s="39" t="n"/>
    </row>
    <row r="130" ht="20" customHeight="1">
      <c r="A130" s="38" t="n"/>
      <c r="B130" s="38" t="n"/>
      <c r="C130" s="39" t="n"/>
      <c r="D130" s="39" t="n"/>
      <c r="E130" s="39" t="n"/>
      <c r="F130" s="40" t="n"/>
      <c r="G130" s="41">
        <f>IF(F130="","",Settings!$B$7*(1+F130/100))</f>
        <v/>
      </c>
      <c r="H130" s="42" t="n"/>
      <c r="I130" s="39" t="n"/>
    </row>
    <row r="131" ht="20" customHeight="1">
      <c r="A131" s="38" t="n"/>
      <c r="B131" s="38" t="n"/>
      <c r="C131" s="39" t="n"/>
      <c r="D131" s="39" t="n"/>
      <c r="E131" s="39" t="n"/>
      <c r="F131" s="40" t="n"/>
      <c r="G131" s="41">
        <f>IF(F131="","",Settings!$B$7*(1+F131/100))</f>
        <v/>
      </c>
      <c r="H131" s="42" t="n"/>
      <c r="I131" s="39" t="n"/>
    </row>
    <row r="132" ht="20" customHeight="1">
      <c r="A132" s="38" t="n"/>
      <c r="B132" s="38" t="n"/>
      <c r="C132" s="39" t="n"/>
      <c r="D132" s="39" t="n"/>
      <c r="E132" s="39" t="n"/>
      <c r="F132" s="40" t="n"/>
      <c r="G132" s="41">
        <f>IF(F132="","",Settings!$B$7*(1+F132/100))</f>
        <v/>
      </c>
      <c r="H132" s="42" t="n"/>
      <c r="I132" s="39" t="n"/>
    </row>
    <row r="133" ht="20" customHeight="1">
      <c r="A133" s="38" t="n"/>
      <c r="B133" s="38" t="n"/>
      <c r="C133" s="39" t="n"/>
      <c r="D133" s="39" t="n"/>
      <c r="E133" s="39" t="n"/>
      <c r="F133" s="40" t="n"/>
      <c r="G133" s="41">
        <f>IF(F133="","",Settings!$B$7*(1+F133/100))</f>
        <v/>
      </c>
      <c r="H133" s="42" t="n"/>
      <c r="I133" s="39" t="n"/>
    </row>
    <row r="134" ht="20" customHeight="1">
      <c r="A134" s="38" t="n"/>
      <c r="B134" s="38" t="n"/>
      <c r="C134" s="39" t="n"/>
      <c r="D134" s="39" t="n"/>
      <c r="E134" s="39" t="n"/>
      <c r="F134" s="40" t="n"/>
      <c r="G134" s="41">
        <f>IF(F134="","",Settings!$B$7*(1+F134/100))</f>
        <v/>
      </c>
      <c r="H134" s="42" t="n"/>
      <c r="I134" s="39" t="n"/>
    </row>
    <row r="135" ht="20" customHeight="1">
      <c r="A135" s="38" t="n"/>
      <c r="B135" s="38" t="n"/>
      <c r="C135" s="39" t="n"/>
      <c r="D135" s="39" t="n"/>
      <c r="E135" s="39" t="n"/>
      <c r="F135" s="40" t="n"/>
      <c r="G135" s="41">
        <f>IF(F135="","",Settings!$B$7*(1+F135/100))</f>
        <v/>
      </c>
      <c r="H135" s="42" t="n"/>
      <c r="I135" s="39" t="n"/>
    </row>
    <row r="136" ht="20" customHeight="1">
      <c r="A136" s="38" t="n"/>
      <c r="B136" s="38" t="n"/>
      <c r="C136" s="39" t="n"/>
      <c r="D136" s="39" t="n"/>
      <c r="E136" s="39" t="n"/>
      <c r="F136" s="40" t="n"/>
      <c r="G136" s="41">
        <f>IF(F136="","",Settings!$B$7*(1+F136/100))</f>
        <v/>
      </c>
      <c r="H136" s="42" t="n"/>
      <c r="I136" s="39" t="n"/>
    </row>
    <row r="137" ht="20" customHeight="1">
      <c r="A137" s="38" t="n"/>
      <c r="B137" s="38" t="n"/>
      <c r="C137" s="39" t="n"/>
      <c r="D137" s="39" t="n"/>
      <c r="E137" s="39" t="n"/>
      <c r="F137" s="40" t="n"/>
      <c r="G137" s="41">
        <f>IF(F137="","",Settings!$B$7*(1+F137/100))</f>
        <v/>
      </c>
      <c r="H137" s="42" t="n"/>
      <c r="I137" s="39" t="n"/>
    </row>
    <row r="138" ht="20" customHeight="1">
      <c r="A138" s="38" t="n"/>
      <c r="B138" s="38" t="n"/>
      <c r="C138" s="39" t="n"/>
      <c r="D138" s="39" t="n"/>
      <c r="E138" s="39" t="n"/>
      <c r="F138" s="40" t="n"/>
      <c r="G138" s="41">
        <f>IF(F138="","",Settings!$B$7*(1+F138/100))</f>
        <v/>
      </c>
      <c r="H138" s="42" t="n"/>
      <c r="I138" s="39" t="n"/>
    </row>
    <row r="139" ht="20" customHeight="1">
      <c r="A139" s="38" t="n"/>
      <c r="B139" s="38" t="n"/>
      <c r="C139" s="39" t="n"/>
      <c r="D139" s="39" t="n"/>
      <c r="E139" s="39" t="n"/>
      <c r="F139" s="40" t="n"/>
      <c r="G139" s="41">
        <f>IF(F139="","",Settings!$B$7*(1+F139/100))</f>
        <v/>
      </c>
      <c r="H139" s="42" t="n"/>
      <c r="I139" s="39" t="n"/>
    </row>
    <row r="140" ht="20" customHeight="1">
      <c r="A140" s="38" t="n"/>
      <c r="B140" s="38" t="n"/>
      <c r="C140" s="39" t="n"/>
      <c r="D140" s="39" t="n"/>
      <c r="E140" s="39" t="n"/>
      <c r="F140" s="40" t="n"/>
      <c r="G140" s="41">
        <f>IF(F140="","",Settings!$B$7*(1+F140/100))</f>
        <v/>
      </c>
      <c r="H140" s="42" t="n"/>
      <c r="I140" s="39" t="n"/>
    </row>
    <row r="141" ht="20" customHeight="1">
      <c r="A141" s="38" t="n"/>
      <c r="B141" s="38" t="n"/>
      <c r="C141" s="39" t="n"/>
      <c r="D141" s="39" t="n"/>
      <c r="E141" s="39" t="n"/>
      <c r="F141" s="40" t="n"/>
      <c r="G141" s="41">
        <f>IF(F141="","",Settings!$B$7*(1+F141/100))</f>
        <v/>
      </c>
      <c r="H141" s="42" t="n"/>
      <c r="I141" s="39" t="n"/>
    </row>
    <row r="142" ht="20" customHeight="1">
      <c r="A142" s="38" t="n"/>
      <c r="B142" s="38" t="n"/>
      <c r="C142" s="39" t="n"/>
      <c r="D142" s="39" t="n"/>
      <c r="E142" s="39" t="n"/>
      <c r="F142" s="40" t="n"/>
      <c r="G142" s="41">
        <f>IF(F142="","",Settings!$B$7*(1+F142/100))</f>
        <v/>
      </c>
      <c r="H142" s="42" t="n"/>
      <c r="I142" s="39" t="n"/>
    </row>
    <row r="143" ht="20" customHeight="1">
      <c r="A143" s="38" t="n"/>
      <c r="B143" s="38" t="n"/>
      <c r="C143" s="39" t="n"/>
      <c r="D143" s="39" t="n"/>
      <c r="E143" s="39" t="n"/>
      <c r="F143" s="40" t="n"/>
      <c r="G143" s="41">
        <f>IF(F143="","",Settings!$B$7*(1+F143/100))</f>
        <v/>
      </c>
      <c r="H143" s="42" t="n"/>
      <c r="I143" s="39" t="n"/>
    </row>
    <row r="144" ht="20" customHeight="1">
      <c r="A144" s="38" t="n"/>
      <c r="B144" s="38" t="n"/>
      <c r="C144" s="39" t="n"/>
      <c r="D144" s="39" t="n"/>
      <c r="E144" s="39" t="n"/>
      <c r="F144" s="40" t="n"/>
      <c r="G144" s="41">
        <f>IF(F144="","",Settings!$B$7*(1+F144/100))</f>
        <v/>
      </c>
      <c r="H144" s="42" t="n"/>
      <c r="I144" s="39" t="n"/>
    </row>
    <row r="145" ht="20" customHeight="1">
      <c r="A145" s="38" t="n"/>
      <c r="B145" s="38" t="n"/>
      <c r="C145" s="39" t="n"/>
      <c r="D145" s="39" t="n"/>
      <c r="E145" s="39" t="n"/>
      <c r="F145" s="40" t="n"/>
      <c r="G145" s="41">
        <f>IF(F145="","",Settings!$B$7*(1+F145/100))</f>
        <v/>
      </c>
      <c r="H145" s="42" t="n"/>
      <c r="I145" s="39" t="n"/>
    </row>
    <row r="146" ht="20" customHeight="1">
      <c r="A146" s="38" t="n"/>
      <c r="B146" s="38" t="n"/>
      <c r="C146" s="39" t="n"/>
      <c r="D146" s="39" t="n"/>
      <c r="E146" s="39" t="n"/>
      <c r="F146" s="40" t="n"/>
      <c r="G146" s="41">
        <f>IF(F146="","",Settings!$B$7*(1+F146/100))</f>
        <v/>
      </c>
      <c r="H146" s="42" t="n"/>
      <c r="I146" s="39" t="n"/>
    </row>
    <row r="147" ht="20" customHeight="1">
      <c r="A147" s="38" t="n"/>
      <c r="B147" s="38" t="n"/>
      <c r="C147" s="39" t="n"/>
      <c r="D147" s="39" t="n"/>
      <c r="E147" s="39" t="n"/>
      <c r="F147" s="40" t="n"/>
      <c r="G147" s="41">
        <f>IF(F147="","",Settings!$B$7*(1+F147/100))</f>
        <v/>
      </c>
      <c r="H147" s="42" t="n"/>
      <c r="I147" s="39" t="n"/>
    </row>
    <row r="148" ht="20" customHeight="1">
      <c r="A148" s="38" t="n"/>
      <c r="B148" s="38" t="n"/>
      <c r="C148" s="39" t="n"/>
      <c r="D148" s="39" t="n"/>
      <c r="E148" s="39" t="n"/>
      <c r="F148" s="40" t="n"/>
      <c r="G148" s="41">
        <f>IF(F148="","",Settings!$B$7*(1+F148/100))</f>
        <v/>
      </c>
      <c r="H148" s="42" t="n"/>
      <c r="I148" s="39" t="n"/>
    </row>
    <row r="149" ht="20" customHeight="1">
      <c r="A149" s="38" t="n"/>
      <c r="B149" s="38" t="n"/>
      <c r="C149" s="39" t="n"/>
      <c r="D149" s="39" t="n"/>
      <c r="E149" s="39" t="n"/>
      <c r="F149" s="40" t="n"/>
      <c r="G149" s="41">
        <f>IF(F149="","",Settings!$B$7*(1+F149/100))</f>
        <v/>
      </c>
      <c r="H149" s="42" t="n"/>
      <c r="I149" s="39" t="n"/>
    </row>
    <row r="150" ht="20" customHeight="1">
      <c r="A150" s="38" t="n"/>
      <c r="B150" s="38" t="n"/>
      <c r="C150" s="39" t="n"/>
      <c r="D150" s="39" t="n"/>
      <c r="E150" s="39" t="n"/>
      <c r="F150" s="40" t="n"/>
      <c r="G150" s="41">
        <f>IF(F150="","",Settings!$B$7*(1+F150/100))</f>
        <v/>
      </c>
      <c r="H150" s="42" t="n"/>
      <c r="I150" s="39" t="n"/>
    </row>
    <row r="151" ht="20" customHeight="1">
      <c r="A151" s="38" t="n"/>
      <c r="B151" s="38" t="n"/>
      <c r="C151" s="39" t="n"/>
      <c r="D151" s="39" t="n"/>
      <c r="E151" s="39" t="n"/>
      <c r="F151" s="40" t="n"/>
      <c r="G151" s="41">
        <f>IF(F151="","",Settings!$B$7*(1+F151/100))</f>
        <v/>
      </c>
      <c r="H151" s="42" t="n"/>
      <c r="I151" s="39" t="n"/>
    </row>
    <row r="152" ht="20" customHeight="1">
      <c r="A152" s="38" t="n"/>
      <c r="B152" s="38" t="n"/>
      <c r="C152" s="39" t="n"/>
      <c r="D152" s="39" t="n"/>
      <c r="E152" s="39" t="n"/>
      <c r="F152" s="40" t="n"/>
      <c r="G152" s="41">
        <f>IF(F152="","",Settings!$B$7*(1+F152/100))</f>
        <v/>
      </c>
      <c r="H152" s="42" t="n"/>
      <c r="I152" s="39" t="n"/>
    </row>
    <row r="153" ht="20" customHeight="1">
      <c r="A153" s="38" t="n"/>
      <c r="B153" s="38" t="n"/>
      <c r="C153" s="39" t="n"/>
      <c r="D153" s="39" t="n"/>
      <c r="E153" s="39" t="n"/>
      <c r="F153" s="40" t="n"/>
      <c r="G153" s="41">
        <f>IF(F153="","",Settings!$B$7*(1+F153/100))</f>
        <v/>
      </c>
      <c r="H153" s="42" t="n"/>
      <c r="I153" s="39" t="n"/>
    </row>
    <row r="154" ht="20" customHeight="1">
      <c r="A154" s="38" t="n"/>
      <c r="B154" s="38" t="n"/>
      <c r="C154" s="39" t="n"/>
      <c r="D154" s="39" t="n"/>
      <c r="E154" s="39" t="n"/>
      <c r="F154" s="40" t="n"/>
      <c r="G154" s="41">
        <f>IF(F154="","",Settings!$B$7*(1+F154/100))</f>
        <v/>
      </c>
      <c r="H154" s="42" t="n"/>
      <c r="I154" s="39" t="n"/>
    </row>
    <row r="155" ht="20" customHeight="1">
      <c r="A155" s="38" t="n"/>
      <c r="B155" s="38" t="n"/>
      <c r="C155" s="39" t="n"/>
      <c r="D155" s="39" t="n"/>
      <c r="E155" s="39" t="n"/>
      <c r="F155" s="40" t="n"/>
      <c r="G155" s="41">
        <f>IF(F155="","",Settings!$B$7*(1+F155/100))</f>
        <v/>
      </c>
      <c r="H155" s="42" t="n"/>
      <c r="I155" s="39" t="n"/>
    </row>
    <row r="156" ht="20" customHeight="1">
      <c r="A156" s="38" t="n"/>
      <c r="B156" s="38" t="n"/>
      <c r="C156" s="39" t="n"/>
      <c r="D156" s="39" t="n"/>
      <c r="E156" s="39" t="n"/>
      <c r="F156" s="40" t="n"/>
      <c r="G156" s="41">
        <f>IF(F156="","",Settings!$B$7*(1+F156/100))</f>
        <v/>
      </c>
      <c r="H156" s="42" t="n"/>
      <c r="I156" s="39" t="n"/>
    </row>
    <row r="157" ht="20" customHeight="1">
      <c r="A157" s="38" t="n"/>
      <c r="B157" s="38" t="n"/>
      <c r="C157" s="39" t="n"/>
      <c r="D157" s="39" t="n"/>
      <c r="E157" s="39" t="n"/>
      <c r="F157" s="40" t="n"/>
      <c r="G157" s="41">
        <f>IF(F157="","",Settings!$B$7*(1+F157/100))</f>
        <v/>
      </c>
      <c r="H157" s="42" t="n"/>
      <c r="I157" s="39" t="n"/>
    </row>
    <row r="158" ht="20" customHeight="1">
      <c r="A158" s="38" t="n"/>
      <c r="B158" s="38" t="n"/>
      <c r="C158" s="39" t="n"/>
      <c r="D158" s="39" t="n"/>
      <c r="E158" s="39" t="n"/>
      <c r="F158" s="40" t="n"/>
      <c r="G158" s="41">
        <f>IF(F158="","",Settings!$B$7*(1+F158/100))</f>
        <v/>
      </c>
      <c r="H158" s="42" t="n"/>
      <c r="I158" s="39" t="n"/>
    </row>
    <row r="159" ht="20" customHeight="1">
      <c r="A159" s="38" t="n"/>
      <c r="B159" s="38" t="n"/>
      <c r="C159" s="39" t="n"/>
      <c r="D159" s="39" t="n"/>
      <c r="E159" s="39" t="n"/>
      <c r="F159" s="40" t="n"/>
      <c r="G159" s="41">
        <f>IF(F159="","",Settings!$B$7*(1+F159/100))</f>
        <v/>
      </c>
      <c r="H159" s="42" t="n"/>
      <c r="I159" s="39" t="n"/>
    </row>
    <row r="160" ht="20" customHeight="1">
      <c r="A160" s="38" t="n"/>
      <c r="B160" s="38" t="n"/>
      <c r="C160" s="39" t="n"/>
      <c r="D160" s="39" t="n"/>
      <c r="E160" s="39" t="n"/>
      <c r="F160" s="40" t="n"/>
      <c r="G160" s="41">
        <f>IF(F160="","",Settings!$B$7*(1+F160/100))</f>
        <v/>
      </c>
      <c r="H160" s="42" t="n"/>
      <c r="I160" s="39" t="n"/>
    </row>
    <row r="161" ht="20" customHeight="1">
      <c r="A161" s="38" t="n"/>
      <c r="B161" s="38" t="n"/>
      <c r="C161" s="39" t="n"/>
      <c r="D161" s="39" t="n"/>
      <c r="E161" s="39" t="n"/>
      <c r="F161" s="40" t="n"/>
      <c r="G161" s="41">
        <f>IF(F161="","",Settings!$B$7*(1+F161/100))</f>
        <v/>
      </c>
      <c r="H161" s="42" t="n"/>
      <c r="I161" s="39" t="n"/>
    </row>
    <row r="162" ht="20" customHeight="1">
      <c r="A162" s="38" t="n"/>
      <c r="B162" s="38" t="n"/>
      <c r="C162" s="39" t="n"/>
      <c r="D162" s="39" t="n"/>
      <c r="E162" s="39" t="n"/>
      <c r="F162" s="40" t="n"/>
      <c r="G162" s="41">
        <f>IF(F162="","",Settings!$B$7*(1+F162/100))</f>
        <v/>
      </c>
      <c r="H162" s="42" t="n"/>
      <c r="I162" s="39" t="n"/>
    </row>
    <row r="163" ht="20" customHeight="1">
      <c r="A163" s="38" t="n"/>
      <c r="B163" s="38" t="n"/>
      <c r="C163" s="39" t="n"/>
      <c r="D163" s="39" t="n"/>
      <c r="E163" s="39" t="n"/>
      <c r="F163" s="40" t="n"/>
      <c r="G163" s="41">
        <f>IF(F163="","",Settings!$B$7*(1+F163/100))</f>
        <v/>
      </c>
      <c r="H163" s="42" t="n"/>
      <c r="I163" s="39" t="n"/>
    </row>
    <row r="164" ht="20" customHeight="1">
      <c r="A164" s="38" t="n"/>
      <c r="B164" s="38" t="n"/>
      <c r="C164" s="39" t="n"/>
      <c r="D164" s="39" t="n"/>
      <c r="E164" s="39" t="n"/>
      <c r="F164" s="40" t="n"/>
      <c r="G164" s="41">
        <f>IF(F164="","",Settings!$B$7*(1+F164/100))</f>
        <v/>
      </c>
      <c r="H164" s="42" t="n"/>
      <c r="I164" s="39" t="n"/>
    </row>
    <row r="165" ht="20" customHeight="1">
      <c r="A165" s="38" t="n"/>
      <c r="B165" s="38" t="n"/>
      <c r="C165" s="39" t="n"/>
      <c r="D165" s="39" t="n"/>
      <c r="E165" s="39" t="n"/>
      <c r="F165" s="40" t="n"/>
      <c r="G165" s="41">
        <f>IF(F165="","",Settings!$B$7*(1+F165/100))</f>
        <v/>
      </c>
      <c r="H165" s="42" t="n"/>
      <c r="I165" s="39" t="n"/>
    </row>
    <row r="166" ht="20" customHeight="1">
      <c r="A166" s="38" t="n"/>
      <c r="B166" s="38" t="n"/>
      <c r="C166" s="39" t="n"/>
      <c r="D166" s="39" t="n"/>
      <c r="E166" s="39" t="n"/>
      <c r="F166" s="40" t="n"/>
      <c r="G166" s="41">
        <f>IF(F166="","",Settings!$B$7*(1+F166/100))</f>
        <v/>
      </c>
      <c r="H166" s="42" t="n"/>
      <c r="I166" s="39" t="n"/>
    </row>
    <row r="167" ht="20" customHeight="1">
      <c r="A167" s="38" t="n"/>
      <c r="B167" s="38" t="n"/>
      <c r="C167" s="39" t="n"/>
      <c r="D167" s="39" t="n"/>
      <c r="E167" s="39" t="n"/>
      <c r="F167" s="40" t="n"/>
      <c r="G167" s="41">
        <f>IF(F167="","",Settings!$B$7*(1+F167/100))</f>
        <v/>
      </c>
      <c r="H167" s="42" t="n"/>
      <c r="I167" s="39" t="n"/>
    </row>
    <row r="168" ht="20" customHeight="1">
      <c r="A168" s="38" t="n"/>
      <c r="B168" s="38" t="n"/>
      <c r="C168" s="39" t="n"/>
      <c r="D168" s="39" t="n"/>
      <c r="E168" s="39" t="n"/>
      <c r="F168" s="40" t="n"/>
      <c r="G168" s="41">
        <f>IF(F168="","",Settings!$B$7*(1+F168/100))</f>
        <v/>
      </c>
      <c r="H168" s="42" t="n"/>
      <c r="I168" s="39" t="n"/>
    </row>
    <row r="169" ht="20" customHeight="1">
      <c r="A169" s="38" t="n"/>
      <c r="B169" s="38" t="n"/>
      <c r="C169" s="39" t="n"/>
      <c r="D169" s="39" t="n"/>
      <c r="E169" s="39" t="n"/>
      <c r="F169" s="40" t="n"/>
      <c r="G169" s="41">
        <f>IF(F169="","",Settings!$B$7*(1+F169/100))</f>
        <v/>
      </c>
      <c r="H169" s="42" t="n"/>
      <c r="I169" s="39" t="n"/>
    </row>
    <row r="170" ht="20" customHeight="1">
      <c r="A170" s="38" t="n"/>
      <c r="B170" s="38" t="n"/>
      <c r="C170" s="39" t="n"/>
      <c r="D170" s="39" t="n"/>
      <c r="E170" s="39" t="n"/>
      <c r="F170" s="40" t="n"/>
      <c r="G170" s="41">
        <f>IF(F170="","",Settings!$B$7*(1+F170/100))</f>
        <v/>
      </c>
      <c r="H170" s="42" t="n"/>
      <c r="I170" s="39" t="n"/>
    </row>
    <row r="171" ht="20" customHeight="1">
      <c r="A171" s="38" t="n"/>
      <c r="B171" s="38" t="n"/>
      <c r="C171" s="39" t="n"/>
      <c r="D171" s="39" t="n"/>
      <c r="E171" s="39" t="n"/>
      <c r="F171" s="40" t="n"/>
      <c r="G171" s="41">
        <f>IF(F171="","",Settings!$B$7*(1+F171/100))</f>
        <v/>
      </c>
      <c r="H171" s="42" t="n"/>
      <c r="I171" s="39" t="n"/>
    </row>
    <row r="172" ht="20" customHeight="1">
      <c r="A172" s="38" t="n"/>
      <c r="B172" s="38" t="n"/>
      <c r="C172" s="39" t="n"/>
      <c r="D172" s="39" t="n"/>
      <c r="E172" s="39" t="n"/>
      <c r="F172" s="40" t="n"/>
      <c r="G172" s="41">
        <f>IF(F172="","",Settings!$B$7*(1+F172/100))</f>
        <v/>
      </c>
      <c r="H172" s="42" t="n"/>
      <c r="I172" s="39" t="n"/>
    </row>
    <row r="173" ht="20" customHeight="1">
      <c r="A173" s="38" t="n"/>
      <c r="B173" s="38" t="n"/>
      <c r="C173" s="39" t="n"/>
      <c r="D173" s="39" t="n"/>
      <c r="E173" s="39" t="n"/>
      <c r="F173" s="40" t="n"/>
      <c r="G173" s="41">
        <f>IF(F173="","",Settings!$B$7*(1+F173/100))</f>
        <v/>
      </c>
      <c r="H173" s="42" t="n"/>
      <c r="I173" s="39" t="n"/>
    </row>
    <row r="174" ht="20" customHeight="1">
      <c r="A174" s="38" t="n"/>
      <c r="B174" s="38" t="n"/>
      <c r="C174" s="39" t="n"/>
      <c r="D174" s="39" t="n"/>
      <c r="E174" s="39" t="n"/>
      <c r="F174" s="40" t="n"/>
      <c r="G174" s="41">
        <f>IF(F174="","",Settings!$B$7*(1+F174/100))</f>
        <v/>
      </c>
      <c r="H174" s="42" t="n"/>
      <c r="I174" s="39" t="n"/>
    </row>
    <row r="175" ht="20" customHeight="1">
      <c r="A175" s="38" t="n"/>
      <c r="B175" s="38" t="n"/>
      <c r="C175" s="39" t="n"/>
      <c r="D175" s="39" t="n"/>
      <c r="E175" s="39" t="n"/>
      <c r="F175" s="40" t="n"/>
      <c r="G175" s="41">
        <f>IF(F175="","",Settings!$B$7*(1+F175/100))</f>
        <v/>
      </c>
      <c r="H175" s="42" t="n"/>
      <c r="I175" s="39" t="n"/>
    </row>
    <row r="176" ht="20" customHeight="1">
      <c r="A176" s="38" t="n"/>
      <c r="B176" s="38" t="n"/>
      <c r="C176" s="39" t="n"/>
      <c r="D176" s="39" t="n"/>
      <c r="E176" s="39" t="n"/>
      <c r="F176" s="40" t="n"/>
      <c r="G176" s="41">
        <f>IF(F176="","",Settings!$B$7*(1+F176/100))</f>
        <v/>
      </c>
      <c r="H176" s="42" t="n"/>
      <c r="I176" s="39" t="n"/>
    </row>
    <row r="177" ht="20" customHeight="1">
      <c r="A177" s="38" t="n"/>
      <c r="B177" s="38" t="n"/>
      <c r="C177" s="39" t="n"/>
      <c r="D177" s="39" t="n"/>
      <c r="E177" s="39" t="n"/>
      <c r="F177" s="40" t="n"/>
      <c r="G177" s="41">
        <f>IF(F177="","",Settings!$B$7*(1+F177/100))</f>
        <v/>
      </c>
      <c r="H177" s="42" t="n"/>
      <c r="I177" s="39" t="n"/>
    </row>
    <row r="178" ht="20" customHeight="1">
      <c r="A178" s="38" t="n"/>
      <c r="B178" s="38" t="n"/>
      <c r="C178" s="39" t="n"/>
      <c r="D178" s="39" t="n"/>
      <c r="E178" s="39" t="n"/>
      <c r="F178" s="40" t="n"/>
      <c r="G178" s="41">
        <f>IF(F178="","",Settings!$B$7*(1+F178/100))</f>
        <v/>
      </c>
      <c r="H178" s="42" t="n"/>
      <c r="I178" s="39" t="n"/>
    </row>
    <row r="179" ht="20" customHeight="1">
      <c r="A179" s="38" t="n"/>
      <c r="B179" s="38" t="n"/>
      <c r="C179" s="39" t="n"/>
      <c r="D179" s="39" t="n"/>
      <c r="E179" s="39" t="n"/>
      <c r="F179" s="40" t="n"/>
      <c r="G179" s="41">
        <f>IF(F179="","",Settings!$B$7*(1+F179/100))</f>
        <v/>
      </c>
      <c r="H179" s="42" t="n"/>
      <c r="I179" s="39" t="n"/>
    </row>
    <row r="180" ht="20" customHeight="1">
      <c r="A180" s="38" t="n"/>
      <c r="B180" s="38" t="n"/>
      <c r="C180" s="39" t="n"/>
      <c r="D180" s="39" t="n"/>
      <c r="E180" s="39" t="n"/>
      <c r="F180" s="40" t="n"/>
      <c r="G180" s="41">
        <f>IF(F180="","",Settings!$B$7*(1+F180/100))</f>
        <v/>
      </c>
      <c r="H180" s="42" t="n"/>
      <c r="I180" s="39" t="n"/>
    </row>
    <row r="181" ht="20" customHeight="1">
      <c r="A181" s="38" t="n"/>
      <c r="B181" s="38" t="n"/>
      <c r="C181" s="39" t="n"/>
      <c r="D181" s="39" t="n"/>
      <c r="E181" s="39" t="n"/>
      <c r="F181" s="40" t="n"/>
      <c r="G181" s="41">
        <f>IF(F181="","",Settings!$B$7*(1+F181/100))</f>
        <v/>
      </c>
      <c r="H181" s="42" t="n"/>
      <c r="I181" s="39" t="n"/>
    </row>
    <row r="182" ht="20" customHeight="1">
      <c r="A182" s="38" t="n"/>
      <c r="B182" s="38" t="n"/>
      <c r="C182" s="39" t="n"/>
      <c r="D182" s="39" t="n"/>
      <c r="E182" s="39" t="n"/>
      <c r="F182" s="40" t="n"/>
      <c r="G182" s="41">
        <f>IF(F182="","",Settings!$B$7*(1+F182/100))</f>
        <v/>
      </c>
      <c r="H182" s="42" t="n"/>
      <c r="I182" s="39" t="n"/>
    </row>
    <row r="183" ht="20" customHeight="1">
      <c r="A183" s="38" t="n"/>
      <c r="B183" s="38" t="n"/>
      <c r="C183" s="39" t="n"/>
      <c r="D183" s="39" t="n"/>
      <c r="E183" s="39" t="n"/>
      <c r="F183" s="40" t="n"/>
      <c r="G183" s="41">
        <f>IF(F183="","",Settings!$B$7*(1+F183/100))</f>
        <v/>
      </c>
      <c r="H183" s="42" t="n"/>
      <c r="I183" s="39" t="n"/>
    </row>
    <row r="184" ht="20" customHeight="1">
      <c r="A184" s="38" t="n"/>
      <c r="B184" s="38" t="n"/>
      <c r="C184" s="39" t="n"/>
      <c r="D184" s="39" t="n"/>
      <c r="E184" s="39" t="n"/>
      <c r="F184" s="40" t="n"/>
      <c r="G184" s="41">
        <f>IF(F184="","",Settings!$B$7*(1+F184/100))</f>
        <v/>
      </c>
      <c r="H184" s="42" t="n"/>
      <c r="I184" s="39" t="n"/>
    </row>
    <row r="185" ht="20" customHeight="1">
      <c r="A185" s="38" t="n"/>
      <c r="B185" s="38" t="n"/>
      <c r="C185" s="39" t="n"/>
      <c r="D185" s="39" t="n"/>
      <c r="E185" s="39" t="n"/>
      <c r="F185" s="40" t="n"/>
      <c r="G185" s="41">
        <f>IF(F185="","",Settings!$B$7*(1+F185/100))</f>
        <v/>
      </c>
      <c r="H185" s="42" t="n"/>
      <c r="I185" s="39" t="n"/>
    </row>
    <row r="186" ht="20" customHeight="1">
      <c r="A186" s="38" t="n"/>
      <c r="B186" s="38" t="n"/>
      <c r="C186" s="39" t="n"/>
      <c r="D186" s="39" t="n"/>
      <c r="E186" s="39" t="n"/>
      <c r="F186" s="40" t="n"/>
      <c r="G186" s="41">
        <f>IF(F186="","",Settings!$B$7*(1+F186/100))</f>
        <v/>
      </c>
      <c r="H186" s="42" t="n"/>
      <c r="I186" s="39" t="n"/>
    </row>
    <row r="187" ht="20" customHeight="1">
      <c r="A187" s="38" t="n"/>
      <c r="B187" s="38" t="n"/>
      <c r="C187" s="39" t="n"/>
      <c r="D187" s="39" t="n"/>
      <c r="E187" s="39" t="n"/>
      <c r="F187" s="40" t="n"/>
      <c r="G187" s="41">
        <f>IF(F187="","",Settings!$B$7*(1+F187/100))</f>
        <v/>
      </c>
      <c r="H187" s="42" t="n"/>
      <c r="I187" s="39" t="n"/>
    </row>
    <row r="188" ht="20" customHeight="1">
      <c r="A188" s="38" t="n"/>
      <c r="B188" s="38" t="n"/>
      <c r="C188" s="39" t="n"/>
      <c r="D188" s="39" t="n"/>
      <c r="E188" s="39" t="n"/>
      <c r="F188" s="40" t="n"/>
      <c r="G188" s="41">
        <f>IF(F188="","",Settings!$B$7*(1+F188/100))</f>
        <v/>
      </c>
      <c r="H188" s="42" t="n"/>
      <c r="I188" s="39" t="n"/>
    </row>
    <row r="189" ht="20" customHeight="1">
      <c r="A189" s="38" t="n"/>
      <c r="B189" s="38" t="n"/>
      <c r="C189" s="39" t="n"/>
      <c r="D189" s="39" t="n"/>
      <c r="E189" s="39" t="n"/>
      <c r="F189" s="40" t="n"/>
      <c r="G189" s="41">
        <f>IF(F189="","",Settings!$B$7*(1+F189/100))</f>
        <v/>
      </c>
      <c r="H189" s="42" t="n"/>
      <c r="I189" s="39" t="n"/>
    </row>
    <row r="190" ht="20" customHeight="1">
      <c r="A190" s="38" t="n"/>
      <c r="B190" s="38" t="n"/>
      <c r="C190" s="39" t="n"/>
      <c r="D190" s="39" t="n"/>
      <c r="E190" s="39" t="n"/>
      <c r="F190" s="40" t="n"/>
      <c r="G190" s="41">
        <f>IF(F190="","",Settings!$B$7*(1+F190/100))</f>
        <v/>
      </c>
      <c r="H190" s="42" t="n"/>
      <c r="I190" s="39" t="n"/>
    </row>
    <row r="191" ht="20" customHeight="1">
      <c r="A191" s="38" t="n"/>
      <c r="B191" s="38" t="n"/>
      <c r="C191" s="39" t="n"/>
      <c r="D191" s="39" t="n"/>
      <c r="E191" s="39" t="n"/>
      <c r="F191" s="40" t="n"/>
      <c r="G191" s="41">
        <f>IF(F191="","",Settings!$B$7*(1+F191/100))</f>
        <v/>
      </c>
      <c r="H191" s="42" t="n"/>
      <c r="I191" s="39" t="n"/>
    </row>
    <row r="192" ht="20" customHeight="1">
      <c r="A192" s="38" t="n"/>
      <c r="B192" s="38" t="n"/>
      <c r="C192" s="39" t="n"/>
      <c r="D192" s="39" t="n"/>
      <c r="E192" s="39" t="n"/>
      <c r="F192" s="40" t="n"/>
      <c r="G192" s="41">
        <f>IF(F192="","",Settings!$B$7*(1+F192/100))</f>
        <v/>
      </c>
      <c r="H192" s="42" t="n"/>
      <c r="I192" s="39" t="n"/>
    </row>
    <row r="193" ht="20" customHeight="1">
      <c r="A193" s="38" t="n"/>
      <c r="B193" s="38" t="n"/>
      <c r="C193" s="39" t="n"/>
      <c r="D193" s="39" t="n"/>
      <c r="E193" s="39" t="n"/>
      <c r="F193" s="40" t="n"/>
      <c r="G193" s="41">
        <f>IF(F193="","",Settings!$B$7*(1+F193/100))</f>
        <v/>
      </c>
      <c r="H193" s="42" t="n"/>
      <c r="I193" s="39" t="n"/>
    </row>
    <row r="194" ht="20" customHeight="1">
      <c r="A194" s="38" t="n"/>
      <c r="B194" s="38" t="n"/>
      <c r="C194" s="39" t="n"/>
      <c r="D194" s="39" t="n"/>
      <c r="E194" s="39" t="n"/>
      <c r="F194" s="40" t="n"/>
      <c r="G194" s="41">
        <f>IF(F194="","",Settings!$B$7*(1+F194/100))</f>
        <v/>
      </c>
      <c r="H194" s="42" t="n"/>
      <c r="I194" s="39" t="n"/>
    </row>
    <row r="195" ht="20" customHeight="1">
      <c r="A195" s="38" t="n"/>
      <c r="B195" s="38" t="n"/>
      <c r="C195" s="39" t="n"/>
      <c r="D195" s="39" t="n"/>
      <c r="E195" s="39" t="n"/>
      <c r="F195" s="40" t="n"/>
      <c r="G195" s="41">
        <f>IF(F195="","",Settings!$B$7*(1+F195/100))</f>
        <v/>
      </c>
      <c r="H195" s="42" t="n"/>
      <c r="I195" s="39" t="n"/>
    </row>
    <row r="196" ht="20" customHeight="1">
      <c r="A196" s="38" t="n"/>
      <c r="B196" s="38" t="n"/>
      <c r="C196" s="39" t="n"/>
      <c r="D196" s="39" t="n"/>
      <c r="E196" s="39" t="n"/>
      <c r="F196" s="40" t="n"/>
      <c r="G196" s="41">
        <f>IF(F196="","",Settings!$B$7*(1+F196/100))</f>
        <v/>
      </c>
      <c r="H196" s="42" t="n"/>
      <c r="I196" s="39" t="n"/>
    </row>
    <row r="197" ht="20" customHeight="1">
      <c r="A197" s="38" t="n"/>
      <c r="B197" s="38" t="n"/>
      <c r="C197" s="39" t="n"/>
      <c r="D197" s="39" t="n"/>
      <c r="E197" s="39" t="n"/>
      <c r="F197" s="40" t="n"/>
      <c r="G197" s="41">
        <f>IF(F197="","",Settings!$B$7*(1+F197/100))</f>
        <v/>
      </c>
      <c r="H197" s="42" t="n"/>
      <c r="I197" s="39" t="n"/>
    </row>
    <row r="198" ht="20" customHeight="1">
      <c r="A198" s="38" t="n"/>
      <c r="B198" s="38" t="n"/>
      <c r="C198" s="39" t="n"/>
      <c r="D198" s="39" t="n"/>
      <c r="E198" s="39" t="n"/>
      <c r="F198" s="40" t="n"/>
      <c r="G198" s="41">
        <f>IF(F198="","",Settings!$B$7*(1+F198/100))</f>
        <v/>
      </c>
      <c r="H198" s="42" t="n"/>
      <c r="I198" s="39" t="n"/>
    </row>
    <row r="199" ht="20" customHeight="1">
      <c r="A199" s="38" t="n"/>
      <c r="B199" s="38" t="n"/>
      <c r="C199" s="39" t="n"/>
      <c r="D199" s="39" t="n"/>
      <c r="E199" s="39" t="n"/>
      <c r="F199" s="40" t="n"/>
      <c r="G199" s="41">
        <f>IF(F199="","",Settings!$B$7*(1+F199/100))</f>
        <v/>
      </c>
      <c r="H199" s="42" t="n"/>
      <c r="I199" s="39" t="n"/>
    </row>
    <row r="200" ht="20" customHeight="1">
      <c r="A200" s="38" t="n"/>
      <c r="B200" s="38" t="n"/>
      <c r="C200" s="39" t="n"/>
      <c r="D200" s="39" t="n"/>
      <c r="E200" s="39" t="n"/>
      <c r="F200" s="40" t="n"/>
      <c r="G200" s="41">
        <f>IF(F200="","",Settings!$B$7*(1+F200/100))</f>
        <v/>
      </c>
      <c r="H200" s="42" t="n"/>
      <c r="I200" s="39" t="n"/>
    </row>
    <row r="201" ht="20" customHeight="1">
      <c r="A201" s="38" t="n"/>
      <c r="B201" s="38" t="n"/>
      <c r="C201" s="39" t="n"/>
      <c r="D201" s="39" t="n"/>
      <c r="E201" s="39" t="n"/>
      <c r="F201" s="40" t="n"/>
      <c r="G201" s="41">
        <f>IF(F201="","",Settings!$B$7*(1+F201/100))</f>
        <v/>
      </c>
      <c r="H201" s="42" t="n"/>
      <c r="I201" s="39" t="n"/>
    </row>
    <row r="202" ht="20" customHeight="1">
      <c r="A202" s="38" t="n"/>
      <c r="B202" s="38" t="n"/>
      <c r="C202" s="39" t="n"/>
      <c r="D202" s="39" t="n"/>
      <c r="E202" s="39" t="n"/>
      <c r="F202" s="40" t="n"/>
      <c r="G202" s="41">
        <f>IF(F202="","",Settings!$B$7*(1+F202/100))</f>
        <v/>
      </c>
      <c r="H202" s="42" t="n"/>
      <c r="I202" s="39" t="n"/>
    </row>
    <row r="203" ht="20" customHeight="1">
      <c r="A203" s="38" t="n"/>
      <c r="B203" s="38" t="n"/>
      <c r="C203" s="39" t="n"/>
      <c r="D203" s="39" t="n"/>
      <c r="E203" s="39" t="n"/>
      <c r="F203" s="40" t="n"/>
      <c r="G203" s="41">
        <f>IF(F203="","",Settings!$B$7*(1+F203/100))</f>
        <v/>
      </c>
      <c r="H203" s="42" t="n"/>
      <c r="I203" s="39" t="n"/>
    </row>
    <row r="204" ht="20" customHeight="1">
      <c r="A204" s="38" t="n"/>
      <c r="B204" s="38" t="n"/>
      <c r="C204" s="39" t="n"/>
      <c r="D204" s="39" t="n"/>
      <c r="E204" s="39" t="n"/>
      <c r="F204" s="40" t="n"/>
      <c r="G204" s="41">
        <f>IF(F204="","",Settings!$B$7*(1+F204/100))</f>
        <v/>
      </c>
      <c r="H204" s="42" t="n"/>
      <c r="I204" s="39" t="n"/>
    </row>
    <row r="205" ht="20" customHeight="1">
      <c r="A205" s="38" t="n"/>
      <c r="B205" s="38" t="n"/>
      <c r="C205" s="39" t="n"/>
      <c r="D205" s="39" t="n"/>
      <c r="E205" s="39" t="n"/>
      <c r="F205" s="40" t="n"/>
      <c r="G205" s="41">
        <f>IF(F205="","",Settings!$B$7*(1+F205/100))</f>
        <v/>
      </c>
      <c r="H205" s="42" t="n"/>
      <c r="I205" s="39" t="n"/>
    </row>
    <row r="206" ht="20" customHeight="1">
      <c r="A206" s="38" t="n"/>
      <c r="B206" s="38" t="n"/>
      <c r="C206" s="39" t="n"/>
      <c r="D206" s="39" t="n"/>
      <c r="E206" s="39" t="n"/>
      <c r="F206" s="40" t="n"/>
      <c r="G206" s="41">
        <f>IF(F206="","",Settings!$B$7*(1+F206/100))</f>
        <v/>
      </c>
      <c r="H206" s="42" t="n"/>
      <c r="I206" s="39" t="n"/>
    </row>
  </sheetData>
  <mergeCells count="4">
    <mergeCell ref="A4:I4"/>
    <mergeCell ref="J2:L2"/>
    <mergeCell ref="D2:I2"/>
    <mergeCell ref="A2:C2"/>
  </mergeCells>
  <conditionalFormatting sqref="F7:F206">
    <cfRule type="cellIs" priority="1" operator="greaterThanOrEqual" dxfId="0">
      <formula>60</formula>
    </cfRule>
  </conditionalFormatting>
  <dataValidations count="3">
    <dataValidation sqref="D7:D206" showDropDown="0" showInputMessage="0" showErrorMessage="0" allowBlank="1" type="list">
      <formula1>=Settings!$D$6:$D$15</formula1>
    </dataValidation>
    <dataValidation sqref="E7:E206" showDropDown="0" showInputMessage="0" showErrorMessage="0" allowBlank="1" type="list">
      <formula1>=Settings!$E$6:$E$15</formula1>
    </dataValidation>
    <dataValidation sqref="H7:H206" showDropDown="0" showInputMessage="0" showErrorMessage="0" allowBlank="1" type="list">
      <formula1>"Y,N"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U107"/>
  <sheetViews>
    <sheetView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4">
        <f>HYPERLINK("#'Events'!A1", "← BACK")</f>
        <v/>
      </c>
      <c r="B2" s="25" t="n"/>
      <c r="C2" s="25" t="n"/>
      <c r="D2" s="34" t="inlineStr">
        <is>
          <t>YEAR-VIEW CALENDAR</t>
        </is>
      </c>
      <c r="J2" s="26">
        <f>HYPERLINK("#'Upcoming List'!A1", "NEXT →")</f>
        <v/>
      </c>
      <c r="K2" s="27" t="n"/>
      <c r="L2" s="27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35" t="inlineStr">
        <is>
          <t>12-month grid for the active year (Settings B5). Days that fall on a registered event are gold-soft. Legend below lists each highlighted date with its event.</t>
        </is>
      </c>
      <c r="I4" s="36" t="n"/>
      <c r="J4" s="36" t="n"/>
      <c r="K4" s="36" t="n"/>
      <c r="L4" s="36" t="n"/>
    </row>
    <row r="6" ht="18" customHeight="1">
      <c r="A6" s="43" t="inlineStr">
        <is>
          <t>January 2026</t>
        </is>
      </c>
      <c r="H6" s="43" t="inlineStr">
        <is>
          <t>February 2026</t>
        </is>
      </c>
      <c r="O6" s="43" t="inlineStr">
        <is>
          <t>March 2026</t>
        </is>
      </c>
    </row>
    <row r="7" ht="14" customHeight="1">
      <c r="A7" s="44" t="inlineStr">
        <is>
          <t>S</t>
        </is>
      </c>
      <c r="B7" s="44" t="inlineStr">
        <is>
          <t>M</t>
        </is>
      </c>
      <c r="C7" s="44" t="inlineStr">
        <is>
          <t>T</t>
        </is>
      </c>
      <c r="D7" s="44" t="inlineStr">
        <is>
          <t>W</t>
        </is>
      </c>
      <c r="E7" s="44" t="inlineStr">
        <is>
          <t>T</t>
        </is>
      </c>
      <c r="F7" s="44" t="inlineStr">
        <is>
          <t>F</t>
        </is>
      </c>
      <c r="G7" s="44" t="inlineStr">
        <is>
          <t>S</t>
        </is>
      </c>
      <c r="H7" s="44" t="inlineStr">
        <is>
          <t>S</t>
        </is>
      </c>
      <c r="I7" s="44" t="inlineStr">
        <is>
          <t>M</t>
        </is>
      </c>
      <c r="J7" s="44" t="inlineStr">
        <is>
          <t>T</t>
        </is>
      </c>
      <c r="K7" s="44" t="inlineStr">
        <is>
          <t>W</t>
        </is>
      </c>
      <c r="L7" s="44" t="inlineStr">
        <is>
          <t>T</t>
        </is>
      </c>
      <c r="M7" s="44" t="inlineStr">
        <is>
          <t>F</t>
        </is>
      </c>
      <c r="N7" s="44" t="inlineStr">
        <is>
          <t>S</t>
        </is>
      </c>
      <c r="O7" s="44" t="inlineStr">
        <is>
          <t>S</t>
        </is>
      </c>
      <c r="P7" s="44" t="inlineStr">
        <is>
          <t>M</t>
        </is>
      </c>
      <c r="Q7" s="44" t="inlineStr">
        <is>
          <t>T</t>
        </is>
      </c>
      <c r="R7" s="44" t="inlineStr">
        <is>
          <t>W</t>
        </is>
      </c>
      <c r="S7" s="44" t="inlineStr">
        <is>
          <t>T</t>
        </is>
      </c>
      <c r="T7" s="44" t="inlineStr">
        <is>
          <t>F</t>
        </is>
      </c>
      <c r="U7" s="44" t="inlineStr">
        <is>
          <t>S</t>
        </is>
      </c>
    </row>
    <row r="8" ht="14" customHeight="1">
      <c r="A8" s="45" t="inlineStr"/>
      <c r="B8" s="45" t="inlineStr"/>
      <c r="C8" s="45" t="inlineStr"/>
      <c r="D8" s="45" t="inlineStr"/>
      <c r="E8" s="46" t="n">
        <v>1</v>
      </c>
      <c r="F8" s="47" t="n">
        <v>2</v>
      </c>
      <c r="G8" s="47" t="n">
        <v>3</v>
      </c>
      <c r="H8" s="47" t="n">
        <v>1</v>
      </c>
      <c r="I8" s="47" t="n">
        <v>2</v>
      </c>
      <c r="J8" s="47" t="n">
        <v>3</v>
      </c>
      <c r="K8" s="47" t="n">
        <v>4</v>
      </c>
      <c r="L8" s="47" t="n">
        <v>5</v>
      </c>
      <c r="M8" s="47" t="n">
        <v>6</v>
      </c>
      <c r="N8" s="47" t="n">
        <v>7</v>
      </c>
      <c r="O8" s="47" t="n">
        <v>1</v>
      </c>
      <c r="P8" s="47" t="n">
        <v>2</v>
      </c>
      <c r="Q8" s="47" t="n">
        <v>3</v>
      </c>
      <c r="R8" s="47" t="n">
        <v>4</v>
      </c>
      <c r="S8" s="47" t="n">
        <v>5</v>
      </c>
      <c r="T8" s="47" t="n">
        <v>6</v>
      </c>
      <c r="U8" s="47" t="n">
        <v>7</v>
      </c>
    </row>
    <row r="9" ht="14" customHeight="1">
      <c r="A9" s="47" t="n">
        <v>4</v>
      </c>
      <c r="B9" s="47" t="n">
        <v>5</v>
      </c>
      <c r="C9" s="47" t="n">
        <v>6</v>
      </c>
      <c r="D9" s="47" t="n">
        <v>7</v>
      </c>
      <c r="E9" s="47" t="n">
        <v>8</v>
      </c>
      <c r="F9" s="47" t="n">
        <v>9</v>
      </c>
      <c r="G9" s="47" t="n">
        <v>10</v>
      </c>
      <c r="H9" s="47" t="n">
        <v>8</v>
      </c>
      <c r="I9" s="47" t="n">
        <v>9</v>
      </c>
      <c r="J9" s="47" t="n">
        <v>10</v>
      </c>
      <c r="K9" s="47" t="n">
        <v>11</v>
      </c>
      <c r="L9" s="47" t="n">
        <v>12</v>
      </c>
      <c r="M9" s="47" t="n">
        <v>13</v>
      </c>
      <c r="N9" s="47" t="n">
        <v>14</v>
      </c>
      <c r="O9" s="47" t="n">
        <v>8</v>
      </c>
      <c r="P9" s="47" t="n">
        <v>9</v>
      </c>
      <c r="Q9" s="47" t="n">
        <v>10</v>
      </c>
      <c r="R9" s="47" t="n">
        <v>11</v>
      </c>
      <c r="S9" s="47" t="n">
        <v>12</v>
      </c>
      <c r="T9" s="47" t="n">
        <v>13</v>
      </c>
      <c r="U9" s="46" t="n">
        <v>14</v>
      </c>
    </row>
    <row r="10" ht="14" customHeight="1">
      <c r="A10" s="47" t="n">
        <v>11</v>
      </c>
      <c r="B10" s="47" t="n">
        <v>12</v>
      </c>
      <c r="C10" s="47" t="n">
        <v>13</v>
      </c>
      <c r="D10" s="47" t="n">
        <v>14</v>
      </c>
      <c r="E10" s="47" t="n">
        <v>15</v>
      </c>
      <c r="F10" s="47" t="n">
        <v>16</v>
      </c>
      <c r="G10" s="47" t="n">
        <v>17</v>
      </c>
      <c r="H10" s="47" t="n">
        <v>15</v>
      </c>
      <c r="I10" s="46" t="n">
        <v>16</v>
      </c>
      <c r="J10" s="47" t="n">
        <v>17</v>
      </c>
      <c r="K10" s="47" t="n">
        <v>18</v>
      </c>
      <c r="L10" s="47" t="n">
        <v>19</v>
      </c>
      <c r="M10" s="47" t="n">
        <v>20</v>
      </c>
      <c r="N10" s="47" t="n">
        <v>21</v>
      </c>
      <c r="O10" s="47" t="n">
        <v>15</v>
      </c>
      <c r="P10" s="46" t="n">
        <v>16</v>
      </c>
      <c r="Q10" s="46" t="n">
        <v>17</v>
      </c>
      <c r="R10" s="46" t="n">
        <v>18</v>
      </c>
      <c r="S10" s="46" t="n">
        <v>19</v>
      </c>
      <c r="T10" s="46" t="n">
        <v>20</v>
      </c>
      <c r="U10" s="46" t="n">
        <v>21</v>
      </c>
    </row>
    <row r="11" ht="14" customHeight="1">
      <c r="A11" s="47" t="n">
        <v>18</v>
      </c>
      <c r="B11" s="46" t="n">
        <v>19</v>
      </c>
      <c r="C11" s="47" t="n">
        <v>20</v>
      </c>
      <c r="D11" s="47" t="n">
        <v>21</v>
      </c>
      <c r="E11" s="47" t="n">
        <v>22</v>
      </c>
      <c r="F11" s="47" t="n">
        <v>23</v>
      </c>
      <c r="G11" s="47" t="n">
        <v>24</v>
      </c>
      <c r="H11" s="47" t="n">
        <v>22</v>
      </c>
      <c r="I11" s="47" t="n">
        <v>23</v>
      </c>
      <c r="J11" s="47" t="n">
        <v>24</v>
      </c>
      <c r="K11" s="47" t="n">
        <v>25</v>
      </c>
      <c r="L11" s="47" t="n">
        <v>26</v>
      </c>
      <c r="M11" s="47" t="n">
        <v>27</v>
      </c>
      <c r="N11" s="47" t="n">
        <v>28</v>
      </c>
      <c r="O11" s="46" t="n">
        <v>22</v>
      </c>
      <c r="P11" s="47" t="n">
        <v>23</v>
      </c>
      <c r="Q11" s="47" t="n">
        <v>24</v>
      </c>
      <c r="R11" s="47" t="n">
        <v>25</v>
      </c>
      <c r="S11" s="47" t="n">
        <v>26</v>
      </c>
      <c r="T11" s="47" t="n">
        <v>27</v>
      </c>
      <c r="U11" s="47" t="n">
        <v>28</v>
      </c>
    </row>
    <row r="12" ht="14" customHeight="1">
      <c r="A12" s="47" t="n">
        <v>25</v>
      </c>
      <c r="B12" s="47" t="n">
        <v>26</v>
      </c>
      <c r="C12" s="47" t="n">
        <v>27</v>
      </c>
      <c r="D12" s="47" t="n">
        <v>28</v>
      </c>
      <c r="E12" s="47" t="n">
        <v>29</v>
      </c>
      <c r="F12" s="47" t="n">
        <v>30</v>
      </c>
      <c r="G12" s="47" t="n">
        <v>31</v>
      </c>
      <c r="O12" s="47" t="n">
        <v>29</v>
      </c>
      <c r="P12" s="47" t="n">
        <v>30</v>
      </c>
      <c r="Q12" s="47" t="n">
        <v>31</v>
      </c>
      <c r="R12" s="45" t="inlineStr"/>
      <c r="S12" s="45" t="inlineStr"/>
      <c r="T12" s="45" t="inlineStr"/>
      <c r="U12" s="45" t="inlineStr"/>
    </row>
    <row r="16" ht="18" customHeight="1">
      <c r="A16" s="43" t="inlineStr">
        <is>
          <t>April 2026</t>
        </is>
      </c>
      <c r="H16" s="43" t="inlineStr">
        <is>
          <t>May 2026</t>
        </is>
      </c>
      <c r="O16" s="43" t="inlineStr">
        <is>
          <t>June 2026</t>
        </is>
      </c>
    </row>
    <row r="17" ht="14" customHeight="1">
      <c r="A17" s="44" t="inlineStr">
        <is>
          <t>S</t>
        </is>
      </c>
      <c r="B17" s="44" t="inlineStr">
        <is>
          <t>M</t>
        </is>
      </c>
      <c r="C17" s="44" t="inlineStr">
        <is>
          <t>T</t>
        </is>
      </c>
      <c r="D17" s="44" t="inlineStr">
        <is>
          <t>W</t>
        </is>
      </c>
      <c r="E17" s="44" t="inlineStr">
        <is>
          <t>T</t>
        </is>
      </c>
      <c r="F17" s="44" t="inlineStr">
        <is>
          <t>F</t>
        </is>
      </c>
      <c r="G17" s="44" t="inlineStr">
        <is>
          <t>S</t>
        </is>
      </c>
      <c r="H17" s="44" t="inlineStr">
        <is>
          <t>S</t>
        </is>
      </c>
      <c r="I17" s="44" t="inlineStr">
        <is>
          <t>M</t>
        </is>
      </c>
      <c r="J17" s="44" t="inlineStr">
        <is>
          <t>T</t>
        </is>
      </c>
      <c r="K17" s="44" t="inlineStr">
        <is>
          <t>W</t>
        </is>
      </c>
      <c r="L17" s="44" t="inlineStr">
        <is>
          <t>T</t>
        </is>
      </c>
      <c r="M17" s="44" t="inlineStr">
        <is>
          <t>F</t>
        </is>
      </c>
      <c r="N17" s="44" t="inlineStr">
        <is>
          <t>S</t>
        </is>
      </c>
      <c r="O17" s="44" t="inlineStr">
        <is>
          <t>S</t>
        </is>
      </c>
      <c r="P17" s="44" t="inlineStr">
        <is>
          <t>M</t>
        </is>
      </c>
      <c r="Q17" s="44" t="inlineStr">
        <is>
          <t>T</t>
        </is>
      </c>
      <c r="R17" s="44" t="inlineStr">
        <is>
          <t>W</t>
        </is>
      </c>
      <c r="S17" s="44" t="inlineStr">
        <is>
          <t>T</t>
        </is>
      </c>
      <c r="T17" s="44" t="inlineStr">
        <is>
          <t>F</t>
        </is>
      </c>
      <c r="U17" s="44" t="inlineStr">
        <is>
          <t>S</t>
        </is>
      </c>
    </row>
    <row r="18" ht="14" customHeight="1">
      <c r="A18" s="45" t="inlineStr"/>
      <c r="B18" s="45" t="inlineStr"/>
      <c r="C18" s="45" t="inlineStr"/>
      <c r="D18" s="47" t="n">
        <v>1</v>
      </c>
      <c r="E18" s="47" t="n">
        <v>2</v>
      </c>
      <c r="F18" s="47" t="n">
        <v>3</v>
      </c>
      <c r="G18" s="47" t="n">
        <v>4</v>
      </c>
      <c r="H18" s="45" t="inlineStr"/>
      <c r="I18" s="45" t="inlineStr"/>
      <c r="J18" s="45" t="inlineStr"/>
      <c r="K18" s="45" t="inlineStr"/>
      <c r="L18" s="45" t="inlineStr"/>
      <c r="M18" s="47" t="n">
        <v>1</v>
      </c>
      <c r="N18" s="47" t="n">
        <v>2</v>
      </c>
      <c r="O18" s="45" t="inlineStr"/>
      <c r="P18" s="47" t="n">
        <v>1</v>
      </c>
      <c r="Q18" s="47" t="n">
        <v>2</v>
      </c>
      <c r="R18" s="47" t="n">
        <v>3</v>
      </c>
      <c r="S18" s="47" t="n">
        <v>4</v>
      </c>
      <c r="T18" s="47" t="n">
        <v>5</v>
      </c>
      <c r="U18" s="47" t="n">
        <v>6</v>
      </c>
    </row>
    <row r="19" ht="14" customHeight="1">
      <c r="A19" s="46" t="n">
        <v>5</v>
      </c>
      <c r="B19" s="47" t="n">
        <v>6</v>
      </c>
      <c r="C19" s="47" t="n">
        <v>7</v>
      </c>
      <c r="D19" s="47" t="n">
        <v>8</v>
      </c>
      <c r="E19" s="47" t="n">
        <v>9</v>
      </c>
      <c r="F19" s="47" t="n">
        <v>10</v>
      </c>
      <c r="G19" s="47" t="n">
        <v>11</v>
      </c>
      <c r="H19" s="47" t="n">
        <v>3</v>
      </c>
      <c r="I19" s="47" t="n">
        <v>4</v>
      </c>
      <c r="J19" s="47" t="n">
        <v>5</v>
      </c>
      <c r="K19" s="47" t="n">
        <v>6</v>
      </c>
      <c r="L19" s="47" t="n">
        <v>7</v>
      </c>
      <c r="M19" s="47" t="n">
        <v>8</v>
      </c>
      <c r="N19" s="47" t="n">
        <v>9</v>
      </c>
      <c r="O19" s="47" t="n">
        <v>7</v>
      </c>
      <c r="P19" s="46" t="n">
        <v>8</v>
      </c>
      <c r="Q19" s="46" t="n">
        <v>9</v>
      </c>
      <c r="R19" s="46" t="n">
        <v>10</v>
      </c>
      <c r="S19" s="46" t="n">
        <v>11</v>
      </c>
      <c r="T19" s="46" t="n">
        <v>12</v>
      </c>
      <c r="U19" s="46" t="n">
        <v>13</v>
      </c>
    </row>
    <row r="20" ht="14" customHeight="1">
      <c r="A20" s="47" t="n">
        <v>12</v>
      </c>
      <c r="B20" s="47" t="n">
        <v>13</v>
      </c>
      <c r="C20" s="47" t="n">
        <v>14</v>
      </c>
      <c r="D20" s="47" t="n">
        <v>15</v>
      </c>
      <c r="E20" s="46" t="n">
        <v>16</v>
      </c>
      <c r="F20" s="46" t="n">
        <v>17</v>
      </c>
      <c r="G20" s="46" t="n">
        <v>18</v>
      </c>
      <c r="H20" s="47" t="n">
        <v>10</v>
      </c>
      <c r="I20" s="47" t="n">
        <v>11</v>
      </c>
      <c r="J20" s="47" t="n">
        <v>12</v>
      </c>
      <c r="K20" s="47" t="n">
        <v>13</v>
      </c>
      <c r="L20" s="47" t="n">
        <v>14</v>
      </c>
      <c r="M20" s="47" t="n">
        <v>15</v>
      </c>
      <c r="N20" s="47" t="n">
        <v>16</v>
      </c>
      <c r="O20" s="46" t="n">
        <v>14</v>
      </c>
      <c r="P20" s="46" t="n">
        <v>15</v>
      </c>
      <c r="Q20" s="46" t="n">
        <v>16</v>
      </c>
      <c r="R20" s="46" t="n">
        <v>17</v>
      </c>
      <c r="S20" s="46" t="n">
        <v>18</v>
      </c>
      <c r="T20" s="46" t="n">
        <v>19</v>
      </c>
      <c r="U20" s="46" t="n">
        <v>20</v>
      </c>
    </row>
    <row r="21" ht="14" customHeight="1">
      <c r="A21" s="46" t="n">
        <v>19</v>
      </c>
      <c r="B21" s="47" t="n">
        <v>20</v>
      </c>
      <c r="C21" s="47" t="n">
        <v>21</v>
      </c>
      <c r="D21" s="47" t="n">
        <v>22</v>
      </c>
      <c r="E21" s="47" t="n">
        <v>23</v>
      </c>
      <c r="F21" s="47" t="n">
        <v>24</v>
      </c>
      <c r="G21" s="47" t="n">
        <v>25</v>
      </c>
      <c r="H21" s="47" t="n">
        <v>17</v>
      </c>
      <c r="I21" s="47" t="n">
        <v>18</v>
      </c>
      <c r="J21" s="47" t="n">
        <v>19</v>
      </c>
      <c r="K21" s="47" t="n">
        <v>20</v>
      </c>
      <c r="L21" s="47" t="n">
        <v>21</v>
      </c>
      <c r="M21" s="47" t="n">
        <v>22</v>
      </c>
      <c r="N21" s="47" t="n">
        <v>23</v>
      </c>
      <c r="O21" s="46" t="n">
        <v>21</v>
      </c>
      <c r="P21" s="46" t="n">
        <v>22</v>
      </c>
      <c r="Q21" s="46" t="n">
        <v>23</v>
      </c>
      <c r="R21" s="46" t="n">
        <v>24</v>
      </c>
      <c r="S21" s="46" t="n">
        <v>25</v>
      </c>
      <c r="T21" s="46" t="n">
        <v>26</v>
      </c>
      <c r="U21" s="46" t="n">
        <v>27</v>
      </c>
    </row>
    <row r="22" ht="14" customHeight="1">
      <c r="A22" s="47" t="n">
        <v>26</v>
      </c>
      <c r="B22" s="47" t="n">
        <v>27</v>
      </c>
      <c r="C22" s="47" t="n">
        <v>28</v>
      </c>
      <c r="D22" s="47" t="n">
        <v>29</v>
      </c>
      <c r="E22" s="47" t="n">
        <v>30</v>
      </c>
      <c r="F22" s="45" t="inlineStr"/>
      <c r="G22" s="45" t="inlineStr"/>
      <c r="H22" s="47" t="n">
        <v>24</v>
      </c>
      <c r="I22" s="46" t="n">
        <v>25</v>
      </c>
      <c r="J22" s="47" t="n">
        <v>26</v>
      </c>
      <c r="K22" s="47" t="n">
        <v>27</v>
      </c>
      <c r="L22" s="47" t="n">
        <v>28</v>
      </c>
      <c r="M22" s="47" t="n">
        <v>29</v>
      </c>
      <c r="N22" s="47" t="n">
        <v>30</v>
      </c>
      <c r="O22" s="46" t="n">
        <v>28</v>
      </c>
      <c r="P22" s="46" t="n">
        <v>29</v>
      </c>
      <c r="Q22" s="46" t="n">
        <v>30</v>
      </c>
      <c r="R22" s="45" t="inlineStr"/>
      <c r="S22" s="45" t="inlineStr"/>
      <c r="T22" s="45" t="inlineStr"/>
      <c r="U22" s="45" t="inlineStr"/>
    </row>
    <row r="23" ht="14" customHeight="1">
      <c r="H23" s="47" t="n">
        <v>31</v>
      </c>
      <c r="I23" s="45" t="inlineStr"/>
      <c r="J23" s="45" t="inlineStr"/>
      <c r="K23" s="45" t="inlineStr"/>
      <c r="L23" s="45" t="inlineStr"/>
      <c r="M23" s="45" t="inlineStr"/>
      <c r="N23" s="45" t="inlineStr"/>
    </row>
    <row r="26" ht="18" customHeight="1">
      <c r="A26" s="43" t="inlineStr">
        <is>
          <t>July 2026</t>
        </is>
      </c>
      <c r="H26" s="43" t="inlineStr">
        <is>
          <t>August 2026</t>
        </is>
      </c>
      <c r="O26" s="43" t="inlineStr">
        <is>
          <t>September 2026</t>
        </is>
      </c>
    </row>
    <row r="27" ht="14" customHeight="1">
      <c r="A27" s="44" t="inlineStr">
        <is>
          <t>S</t>
        </is>
      </c>
      <c r="B27" s="44" t="inlineStr">
        <is>
          <t>M</t>
        </is>
      </c>
      <c r="C27" s="44" t="inlineStr">
        <is>
          <t>T</t>
        </is>
      </c>
      <c r="D27" s="44" t="inlineStr">
        <is>
          <t>W</t>
        </is>
      </c>
      <c r="E27" s="44" t="inlineStr">
        <is>
          <t>T</t>
        </is>
      </c>
      <c r="F27" s="44" t="inlineStr">
        <is>
          <t>F</t>
        </is>
      </c>
      <c r="G27" s="44" t="inlineStr">
        <is>
          <t>S</t>
        </is>
      </c>
      <c r="H27" s="44" t="inlineStr">
        <is>
          <t>S</t>
        </is>
      </c>
      <c r="I27" s="44" t="inlineStr">
        <is>
          <t>M</t>
        </is>
      </c>
      <c r="J27" s="44" t="inlineStr">
        <is>
          <t>T</t>
        </is>
      </c>
      <c r="K27" s="44" t="inlineStr">
        <is>
          <t>W</t>
        </is>
      </c>
      <c r="L27" s="44" t="inlineStr">
        <is>
          <t>T</t>
        </is>
      </c>
      <c r="M27" s="44" t="inlineStr">
        <is>
          <t>F</t>
        </is>
      </c>
      <c r="N27" s="44" t="inlineStr">
        <is>
          <t>S</t>
        </is>
      </c>
      <c r="O27" s="44" t="inlineStr">
        <is>
          <t>S</t>
        </is>
      </c>
      <c r="P27" s="44" t="inlineStr">
        <is>
          <t>M</t>
        </is>
      </c>
      <c r="Q27" s="44" t="inlineStr">
        <is>
          <t>T</t>
        </is>
      </c>
      <c r="R27" s="44" t="inlineStr">
        <is>
          <t>W</t>
        </is>
      </c>
      <c r="S27" s="44" t="inlineStr">
        <is>
          <t>T</t>
        </is>
      </c>
      <c r="T27" s="44" t="inlineStr">
        <is>
          <t>F</t>
        </is>
      </c>
      <c r="U27" s="44" t="inlineStr">
        <is>
          <t>S</t>
        </is>
      </c>
    </row>
    <row r="28" ht="14" customHeight="1">
      <c r="A28" s="45" t="inlineStr"/>
      <c r="B28" s="45" t="inlineStr"/>
      <c r="C28" s="45" t="inlineStr"/>
      <c r="D28" s="46" t="n">
        <v>1</v>
      </c>
      <c r="E28" s="46" t="n">
        <v>2</v>
      </c>
      <c r="F28" s="46" t="n">
        <v>3</v>
      </c>
      <c r="G28" s="46" t="n">
        <v>4</v>
      </c>
      <c r="H28" s="45" t="inlineStr"/>
      <c r="I28" s="45" t="inlineStr"/>
      <c r="J28" s="45" t="inlineStr"/>
      <c r="K28" s="45" t="inlineStr"/>
      <c r="L28" s="45" t="inlineStr"/>
      <c r="M28" s="45" t="inlineStr"/>
      <c r="N28" s="46" t="n">
        <v>1</v>
      </c>
      <c r="O28" s="45" t="inlineStr"/>
      <c r="P28" s="45" t="inlineStr"/>
      <c r="Q28" s="47" t="n">
        <v>1</v>
      </c>
      <c r="R28" s="47" t="n">
        <v>2</v>
      </c>
      <c r="S28" s="47" t="n">
        <v>3</v>
      </c>
      <c r="T28" s="47" t="n">
        <v>4</v>
      </c>
      <c r="U28" s="47" t="n">
        <v>5</v>
      </c>
    </row>
    <row r="29" ht="14" customHeight="1">
      <c r="A29" s="46" t="n">
        <v>5</v>
      </c>
      <c r="B29" s="46" t="n">
        <v>6</v>
      </c>
      <c r="C29" s="46" t="n">
        <v>7</v>
      </c>
      <c r="D29" s="46" t="n">
        <v>8</v>
      </c>
      <c r="E29" s="46" t="n">
        <v>9</v>
      </c>
      <c r="F29" s="46" t="n">
        <v>10</v>
      </c>
      <c r="G29" s="46" t="n">
        <v>11</v>
      </c>
      <c r="H29" s="46" t="n">
        <v>2</v>
      </c>
      <c r="I29" s="46" t="n">
        <v>3</v>
      </c>
      <c r="J29" s="46" t="n">
        <v>4</v>
      </c>
      <c r="K29" s="46" t="n">
        <v>5</v>
      </c>
      <c r="L29" s="46" t="n">
        <v>6</v>
      </c>
      <c r="M29" s="46" t="n">
        <v>7</v>
      </c>
      <c r="N29" s="46" t="n">
        <v>8</v>
      </c>
      <c r="O29" s="47" t="n">
        <v>6</v>
      </c>
      <c r="P29" s="46" t="n">
        <v>7</v>
      </c>
      <c r="Q29" s="47" t="n">
        <v>8</v>
      </c>
      <c r="R29" s="47" t="n">
        <v>9</v>
      </c>
      <c r="S29" s="47" t="n">
        <v>10</v>
      </c>
      <c r="T29" s="47" t="n">
        <v>11</v>
      </c>
      <c r="U29" s="47" t="n">
        <v>12</v>
      </c>
    </row>
    <row r="30" ht="14" customHeight="1">
      <c r="A30" s="46" t="n">
        <v>12</v>
      </c>
      <c r="B30" s="46" t="n">
        <v>13</v>
      </c>
      <c r="C30" s="46" t="n">
        <v>14</v>
      </c>
      <c r="D30" s="46" t="n">
        <v>15</v>
      </c>
      <c r="E30" s="46" t="n">
        <v>16</v>
      </c>
      <c r="F30" s="46" t="n">
        <v>17</v>
      </c>
      <c r="G30" s="46" t="n">
        <v>18</v>
      </c>
      <c r="H30" s="46" t="n">
        <v>9</v>
      </c>
      <c r="I30" s="46" t="n">
        <v>10</v>
      </c>
      <c r="J30" s="46" t="n">
        <v>11</v>
      </c>
      <c r="K30" s="46" t="n">
        <v>12</v>
      </c>
      <c r="L30" s="46" t="n">
        <v>13</v>
      </c>
      <c r="M30" s="46" t="n">
        <v>14</v>
      </c>
      <c r="N30" s="47" t="n">
        <v>15</v>
      </c>
      <c r="O30" s="47" t="n">
        <v>13</v>
      </c>
      <c r="P30" s="47" t="n">
        <v>14</v>
      </c>
      <c r="Q30" s="47" t="n">
        <v>15</v>
      </c>
      <c r="R30" s="47" t="n">
        <v>16</v>
      </c>
      <c r="S30" s="46" t="n">
        <v>17</v>
      </c>
      <c r="T30" s="46" t="n">
        <v>18</v>
      </c>
      <c r="U30" s="46" t="n">
        <v>19</v>
      </c>
    </row>
    <row r="31" ht="14" customHeight="1">
      <c r="A31" s="46" t="n">
        <v>19</v>
      </c>
      <c r="B31" s="46" t="n">
        <v>20</v>
      </c>
      <c r="C31" s="46" t="n">
        <v>21</v>
      </c>
      <c r="D31" s="46" t="n">
        <v>22</v>
      </c>
      <c r="E31" s="46" t="n">
        <v>23</v>
      </c>
      <c r="F31" s="46" t="n">
        <v>24</v>
      </c>
      <c r="G31" s="46" t="n">
        <v>25</v>
      </c>
      <c r="H31" s="47" t="n">
        <v>16</v>
      </c>
      <c r="I31" s="47" t="n">
        <v>17</v>
      </c>
      <c r="J31" s="47" t="n">
        <v>18</v>
      </c>
      <c r="K31" s="47" t="n">
        <v>19</v>
      </c>
      <c r="L31" s="47" t="n">
        <v>20</v>
      </c>
      <c r="M31" s="47" t="n">
        <v>21</v>
      </c>
      <c r="N31" s="47" t="n">
        <v>22</v>
      </c>
      <c r="O31" s="46" t="n">
        <v>20</v>
      </c>
      <c r="P31" s="47" t="n">
        <v>21</v>
      </c>
      <c r="Q31" s="47" t="n">
        <v>22</v>
      </c>
      <c r="R31" s="47" t="n">
        <v>23</v>
      </c>
      <c r="S31" s="47" t="n">
        <v>24</v>
      </c>
      <c r="T31" s="47" t="n">
        <v>25</v>
      </c>
      <c r="U31" s="47" t="n">
        <v>26</v>
      </c>
    </row>
    <row r="32" ht="14" customHeight="1">
      <c r="A32" s="46" t="n">
        <v>26</v>
      </c>
      <c r="B32" s="46" t="n">
        <v>27</v>
      </c>
      <c r="C32" s="46" t="n">
        <v>28</v>
      </c>
      <c r="D32" s="46" t="n">
        <v>29</v>
      </c>
      <c r="E32" s="46" t="n">
        <v>30</v>
      </c>
      <c r="F32" s="46" t="n">
        <v>31</v>
      </c>
      <c r="G32" s="45" t="inlineStr"/>
      <c r="H32" s="47" t="n">
        <v>23</v>
      </c>
      <c r="I32" s="47" t="n">
        <v>24</v>
      </c>
      <c r="J32" s="47" t="n">
        <v>25</v>
      </c>
      <c r="K32" s="47" t="n">
        <v>26</v>
      </c>
      <c r="L32" s="47" t="n">
        <v>27</v>
      </c>
      <c r="M32" s="47" t="n">
        <v>28</v>
      </c>
      <c r="N32" s="47" t="n">
        <v>29</v>
      </c>
      <c r="O32" s="47" t="n">
        <v>27</v>
      </c>
      <c r="P32" s="47" t="n">
        <v>28</v>
      </c>
      <c r="Q32" s="47" t="n">
        <v>29</v>
      </c>
      <c r="R32" s="47" t="n">
        <v>30</v>
      </c>
      <c r="S32" s="45" t="inlineStr"/>
      <c r="T32" s="45" t="inlineStr"/>
      <c r="U32" s="45" t="inlineStr"/>
    </row>
    <row r="33" ht="14" customHeight="1">
      <c r="H33" s="47" t="n">
        <v>30</v>
      </c>
      <c r="I33" s="47" t="n">
        <v>31</v>
      </c>
      <c r="J33" s="45" t="inlineStr"/>
      <c r="K33" s="45" t="inlineStr"/>
      <c r="L33" s="45" t="inlineStr"/>
      <c r="M33" s="45" t="inlineStr"/>
      <c r="N33" s="45" t="inlineStr"/>
    </row>
    <row r="36" ht="18" customHeight="1">
      <c r="A36" s="43" t="inlineStr">
        <is>
          <t>October 2026</t>
        </is>
      </c>
      <c r="H36" s="43" t="inlineStr">
        <is>
          <t>November 2026</t>
        </is>
      </c>
      <c r="O36" s="43" t="inlineStr">
        <is>
          <t>December 2026</t>
        </is>
      </c>
    </row>
    <row r="37" ht="14" customHeight="1">
      <c r="A37" s="44" t="inlineStr">
        <is>
          <t>S</t>
        </is>
      </c>
      <c r="B37" s="44" t="inlineStr">
        <is>
          <t>M</t>
        </is>
      </c>
      <c r="C37" s="44" t="inlineStr">
        <is>
          <t>T</t>
        </is>
      </c>
      <c r="D37" s="44" t="inlineStr">
        <is>
          <t>W</t>
        </is>
      </c>
      <c r="E37" s="44" t="inlineStr">
        <is>
          <t>T</t>
        </is>
      </c>
      <c r="F37" s="44" t="inlineStr">
        <is>
          <t>F</t>
        </is>
      </c>
      <c r="G37" s="44" t="inlineStr">
        <is>
          <t>S</t>
        </is>
      </c>
      <c r="H37" s="44" t="inlineStr">
        <is>
          <t>S</t>
        </is>
      </c>
      <c r="I37" s="44" t="inlineStr">
        <is>
          <t>M</t>
        </is>
      </c>
      <c r="J37" s="44" t="inlineStr">
        <is>
          <t>T</t>
        </is>
      </c>
      <c r="K37" s="44" t="inlineStr">
        <is>
          <t>W</t>
        </is>
      </c>
      <c r="L37" s="44" t="inlineStr">
        <is>
          <t>T</t>
        </is>
      </c>
      <c r="M37" s="44" t="inlineStr">
        <is>
          <t>F</t>
        </is>
      </c>
      <c r="N37" s="44" t="inlineStr">
        <is>
          <t>S</t>
        </is>
      </c>
      <c r="O37" s="44" t="inlineStr">
        <is>
          <t>S</t>
        </is>
      </c>
      <c r="P37" s="44" t="inlineStr">
        <is>
          <t>M</t>
        </is>
      </c>
      <c r="Q37" s="44" t="inlineStr">
        <is>
          <t>T</t>
        </is>
      </c>
      <c r="R37" s="44" t="inlineStr">
        <is>
          <t>W</t>
        </is>
      </c>
      <c r="S37" s="44" t="inlineStr">
        <is>
          <t>T</t>
        </is>
      </c>
      <c r="T37" s="44" t="inlineStr">
        <is>
          <t>F</t>
        </is>
      </c>
      <c r="U37" s="44" t="inlineStr">
        <is>
          <t>S</t>
        </is>
      </c>
    </row>
    <row r="38" ht="14" customHeight="1">
      <c r="A38" s="45" t="inlineStr"/>
      <c r="B38" s="45" t="inlineStr"/>
      <c r="C38" s="45" t="inlineStr"/>
      <c r="D38" s="45" t="inlineStr"/>
      <c r="E38" s="47" t="n">
        <v>1</v>
      </c>
      <c r="F38" s="47" t="n">
        <v>2</v>
      </c>
      <c r="G38" s="47" t="n">
        <v>3</v>
      </c>
      <c r="H38" s="47" t="n">
        <v>1</v>
      </c>
      <c r="I38" s="47" t="n">
        <v>2</v>
      </c>
      <c r="J38" s="47" t="n">
        <v>3</v>
      </c>
      <c r="K38" s="47" t="n">
        <v>4</v>
      </c>
      <c r="L38" s="47" t="n">
        <v>5</v>
      </c>
      <c r="M38" s="47" t="n">
        <v>6</v>
      </c>
      <c r="N38" s="46" t="n">
        <v>7</v>
      </c>
      <c r="O38" s="45" t="inlineStr"/>
      <c r="P38" s="45" t="inlineStr"/>
      <c r="Q38" s="46" t="n">
        <v>1</v>
      </c>
      <c r="R38" s="46" t="n">
        <v>2</v>
      </c>
      <c r="S38" s="46" t="n">
        <v>3</v>
      </c>
      <c r="T38" s="46" t="n">
        <v>4</v>
      </c>
      <c r="U38" s="46" t="n">
        <v>5</v>
      </c>
    </row>
    <row r="39" ht="14" customHeight="1">
      <c r="A39" s="47" t="n">
        <v>4</v>
      </c>
      <c r="B39" s="46" t="n">
        <v>5</v>
      </c>
      <c r="C39" s="46" t="n">
        <v>6</v>
      </c>
      <c r="D39" s="46" t="n">
        <v>7</v>
      </c>
      <c r="E39" s="46" t="n">
        <v>8</v>
      </c>
      <c r="F39" s="46" t="n">
        <v>9</v>
      </c>
      <c r="G39" s="47" t="n">
        <v>10</v>
      </c>
      <c r="H39" s="47" t="n">
        <v>8</v>
      </c>
      <c r="I39" s="47" t="n">
        <v>9</v>
      </c>
      <c r="J39" s="47" t="n">
        <v>10</v>
      </c>
      <c r="K39" s="46" t="n">
        <v>11</v>
      </c>
      <c r="L39" s="47" t="n">
        <v>12</v>
      </c>
      <c r="M39" s="46" t="n">
        <v>13</v>
      </c>
      <c r="N39" s="46" t="n">
        <v>14</v>
      </c>
      <c r="O39" s="46" t="n">
        <v>6</v>
      </c>
      <c r="P39" s="46" t="n">
        <v>7</v>
      </c>
      <c r="Q39" s="46" t="n">
        <v>8</v>
      </c>
      <c r="R39" s="46" t="n">
        <v>9</v>
      </c>
      <c r="S39" s="46" t="n">
        <v>10</v>
      </c>
      <c r="T39" s="46" t="n">
        <v>11</v>
      </c>
      <c r="U39" s="46" t="n">
        <v>12</v>
      </c>
    </row>
    <row r="40" ht="14" customHeight="1">
      <c r="A40" s="47" t="n">
        <v>11</v>
      </c>
      <c r="B40" s="46" t="n">
        <v>12</v>
      </c>
      <c r="C40" s="47" t="n">
        <v>13</v>
      </c>
      <c r="D40" s="47" t="n">
        <v>14</v>
      </c>
      <c r="E40" s="47" t="n">
        <v>15</v>
      </c>
      <c r="F40" s="47" t="n">
        <v>16</v>
      </c>
      <c r="G40" s="47" t="n">
        <v>17</v>
      </c>
      <c r="H40" s="46" t="n">
        <v>15</v>
      </c>
      <c r="I40" s="46" t="n">
        <v>16</v>
      </c>
      <c r="J40" s="46" t="n">
        <v>17</v>
      </c>
      <c r="K40" s="46" t="n">
        <v>18</v>
      </c>
      <c r="L40" s="46" t="n">
        <v>19</v>
      </c>
      <c r="M40" s="46" t="n">
        <v>20</v>
      </c>
      <c r="N40" s="46" t="n">
        <v>21</v>
      </c>
      <c r="O40" s="46" t="n">
        <v>13</v>
      </c>
      <c r="P40" s="46" t="n">
        <v>14</v>
      </c>
      <c r="Q40" s="46" t="n">
        <v>15</v>
      </c>
      <c r="R40" s="46" t="n">
        <v>16</v>
      </c>
      <c r="S40" s="46" t="n">
        <v>17</v>
      </c>
      <c r="T40" s="46" t="n">
        <v>18</v>
      </c>
      <c r="U40" s="46" t="n">
        <v>19</v>
      </c>
    </row>
    <row r="41" ht="14" customHeight="1">
      <c r="A41" s="47" t="n">
        <v>18</v>
      </c>
      <c r="B41" s="47" t="n">
        <v>19</v>
      </c>
      <c r="C41" s="47" t="n">
        <v>20</v>
      </c>
      <c r="D41" s="47" t="n">
        <v>21</v>
      </c>
      <c r="E41" s="47" t="n">
        <v>22</v>
      </c>
      <c r="F41" s="47" t="n">
        <v>23</v>
      </c>
      <c r="G41" s="47" t="n">
        <v>24</v>
      </c>
      <c r="H41" s="46" t="n">
        <v>22</v>
      </c>
      <c r="I41" s="46" t="n">
        <v>23</v>
      </c>
      <c r="J41" s="46" t="n">
        <v>24</v>
      </c>
      <c r="K41" s="46" t="n">
        <v>25</v>
      </c>
      <c r="L41" s="46" t="n">
        <v>26</v>
      </c>
      <c r="M41" s="46" t="n">
        <v>27</v>
      </c>
      <c r="N41" s="46" t="n">
        <v>28</v>
      </c>
      <c r="O41" s="46" t="n">
        <v>20</v>
      </c>
      <c r="P41" s="46" t="n">
        <v>21</v>
      </c>
      <c r="Q41" s="46" t="n">
        <v>22</v>
      </c>
      <c r="R41" s="46" t="n">
        <v>23</v>
      </c>
      <c r="S41" s="46" t="n">
        <v>24</v>
      </c>
      <c r="T41" s="46" t="n">
        <v>25</v>
      </c>
      <c r="U41" s="46" t="n">
        <v>26</v>
      </c>
    </row>
    <row r="42" ht="14" customHeight="1">
      <c r="A42" s="47" t="n">
        <v>25</v>
      </c>
      <c r="B42" s="47" t="n">
        <v>26</v>
      </c>
      <c r="C42" s="47" t="n">
        <v>27</v>
      </c>
      <c r="D42" s="47" t="n">
        <v>28</v>
      </c>
      <c r="E42" s="47" t="n">
        <v>29</v>
      </c>
      <c r="F42" s="47" t="n">
        <v>30</v>
      </c>
      <c r="G42" s="47" t="n">
        <v>31</v>
      </c>
      <c r="H42" s="46" t="n">
        <v>29</v>
      </c>
      <c r="I42" s="46" t="n">
        <v>30</v>
      </c>
      <c r="J42" s="45" t="inlineStr"/>
      <c r="K42" s="45" t="inlineStr"/>
      <c r="L42" s="45" t="inlineStr"/>
      <c r="M42" s="45" t="inlineStr"/>
      <c r="N42" s="45" t="inlineStr"/>
      <c r="O42" s="46" t="n">
        <v>27</v>
      </c>
      <c r="P42" s="46" t="n">
        <v>28</v>
      </c>
      <c r="Q42" s="46" t="n">
        <v>29</v>
      </c>
      <c r="R42" s="46" t="n">
        <v>30</v>
      </c>
      <c r="S42" s="46" t="n">
        <v>31</v>
      </c>
      <c r="T42" s="45" t="inlineStr"/>
      <c r="U42" s="45" t="inlineStr"/>
    </row>
    <row r="47" ht="22" customHeight="1">
      <c r="A47" s="21" t="inlineStr">
        <is>
          <t>EVENT LEGEND  —  highlighted dates above</t>
        </is>
      </c>
    </row>
    <row r="48" ht="16" customHeight="1">
      <c r="A48" s="48" t="n">
        <v>46023</v>
      </c>
      <c r="D48" s="49" t="inlineStr">
        <is>
          <t>New Year's Day</t>
        </is>
      </c>
    </row>
    <row r="49" ht="16" customHeight="1">
      <c r="A49" s="48" t="n">
        <v>46041</v>
      </c>
      <c r="D49" s="49" t="inlineStr">
        <is>
          <t>Martin Luther King Jr. Day</t>
        </is>
      </c>
    </row>
    <row r="50" ht="16" customHeight="1">
      <c r="A50" s="48" t="n">
        <v>46069</v>
      </c>
      <c r="D50" s="49" t="inlineStr">
        <is>
          <t>Presidents' Day</t>
        </is>
      </c>
    </row>
    <row r="51" ht="16" customHeight="1">
      <c r="A51" s="48" t="n">
        <v>46095</v>
      </c>
      <c r="D51" s="49" t="inlineStr">
        <is>
          <t>Dollywood Season Opening</t>
        </is>
      </c>
    </row>
    <row r="52" ht="16" customHeight="1">
      <c r="A52" s="48" t="n">
        <v>46097</v>
      </c>
      <c r="D52" s="49" t="inlineStr">
        <is>
          <t>Spring Break — Southeast Schools</t>
        </is>
      </c>
    </row>
    <row r="53" ht="16" customHeight="1">
      <c r="A53" s="48" t="n">
        <v>46098</v>
      </c>
      <c r="D53" s="49" t="inlineStr">
        <is>
          <t>Spring Break — Southeast Schools</t>
        </is>
      </c>
    </row>
    <row r="54" ht="16" customHeight="1">
      <c r="A54" s="48" t="n">
        <v>46099</v>
      </c>
      <c r="D54" s="49" t="inlineStr">
        <is>
          <t>Spring Break — Southeast Schools</t>
        </is>
      </c>
    </row>
    <row r="55" ht="16" customHeight="1">
      <c r="A55" s="48" t="n">
        <v>46100</v>
      </c>
      <c r="D55" s="49" t="inlineStr">
        <is>
          <t>Spring Break — Southeast Schools</t>
        </is>
      </c>
    </row>
    <row r="56" ht="16" customHeight="1">
      <c r="A56" s="48" t="n">
        <v>46101</v>
      </c>
      <c r="D56" s="49" t="inlineStr">
        <is>
          <t>Spring Break — Southeast Schools</t>
        </is>
      </c>
    </row>
    <row r="57" ht="16" customHeight="1">
      <c r="A57" s="48" t="n">
        <v>46102</v>
      </c>
      <c r="D57" s="49" t="inlineStr">
        <is>
          <t>Spring Break — Southeast Schools</t>
        </is>
      </c>
    </row>
    <row r="58" ht="16" customHeight="1">
      <c r="A58" s="48" t="n">
        <v>46103</v>
      </c>
      <c r="D58" s="49" t="inlineStr">
        <is>
          <t>Spring Break — Southeast Schools</t>
        </is>
      </c>
    </row>
    <row r="59" ht="16" customHeight="1">
      <c r="A59" s="48" t="n">
        <v>46117</v>
      </c>
      <c r="D59" s="49" t="inlineStr">
        <is>
          <t>Easter Sunday</t>
        </is>
      </c>
    </row>
    <row r="60" ht="16" customHeight="1">
      <c r="A60" s="48" t="n">
        <v>46128</v>
      </c>
      <c r="D60" s="49" t="inlineStr">
        <is>
          <t>Spring Rod Run — Pigeon Forge</t>
        </is>
      </c>
    </row>
    <row r="61" ht="16" customHeight="1">
      <c r="A61" s="48" t="n">
        <v>46129</v>
      </c>
      <c r="D61" s="49" t="inlineStr">
        <is>
          <t>Spring Rod Run — Pigeon Forge</t>
        </is>
      </c>
    </row>
    <row r="62" ht="16" customHeight="1">
      <c r="A62" s="48" t="n">
        <v>46130</v>
      </c>
      <c r="D62" s="49" t="inlineStr">
        <is>
          <t>Spring Rod Run — Pigeon Forge</t>
        </is>
      </c>
    </row>
    <row r="63" ht="16" customHeight="1">
      <c r="A63" s="48" t="n">
        <v>46131</v>
      </c>
      <c r="D63" s="49" t="inlineStr">
        <is>
          <t>Spring Rod Run — Pigeon Forge</t>
        </is>
      </c>
    </row>
    <row r="64" ht="16" customHeight="1">
      <c r="A64" s="48" t="n">
        <v>46167</v>
      </c>
      <c r="D64" s="49" t="inlineStr">
        <is>
          <t>Memorial Day</t>
        </is>
      </c>
    </row>
    <row r="65" ht="16" customHeight="1">
      <c r="A65" s="48" t="n">
        <v>46181</v>
      </c>
      <c r="D65" s="49" t="inlineStr">
        <is>
          <t>Summer Break — Southeast Schools</t>
        </is>
      </c>
    </row>
    <row r="66" ht="16" customHeight="1">
      <c r="A66" s="48" t="n">
        <v>46182</v>
      </c>
      <c r="D66" s="49" t="inlineStr">
        <is>
          <t>Summer Break — Southeast Schools</t>
        </is>
      </c>
    </row>
    <row r="67" ht="16" customHeight="1">
      <c r="A67" s="48" t="n">
        <v>46183</v>
      </c>
      <c r="D67" s="49" t="inlineStr">
        <is>
          <t>Summer Break — Southeast Schools</t>
        </is>
      </c>
    </row>
    <row r="68" ht="16" customHeight="1">
      <c r="A68" s="48" t="n">
        <v>46184</v>
      </c>
      <c r="D68" s="49" t="inlineStr">
        <is>
          <t>Summer Break — Southeast Schools</t>
        </is>
      </c>
    </row>
    <row r="69" ht="16" customHeight="1">
      <c r="A69" s="48" t="n">
        <v>46185</v>
      </c>
      <c r="D69" s="49" t="inlineStr">
        <is>
          <t>Summer Break — Southeast Schools</t>
        </is>
      </c>
    </row>
    <row r="70" ht="16" customHeight="1">
      <c r="A70" s="48" t="n">
        <v>46186</v>
      </c>
      <c r="D70" s="49" t="inlineStr">
        <is>
          <t>Summer Break — Southeast Schools</t>
        </is>
      </c>
    </row>
    <row r="71" ht="16" customHeight="1">
      <c r="A71" s="48" t="n">
        <v>46187</v>
      </c>
      <c r="D71" s="49" t="inlineStr">
        <is>
          <t>Summer Break — Southeast Schools</t>
        </is>
      </c>
    </row>
    <row r="72" ht="16" customHeight="1">
      <c r="A72" s="48" t="n">
        <v>46188</v>
      </c>
      <c r="D72" s="49" t="inlineStr">
        <is>
          <t>Summer Break — Southeast Schools</t>
        </is>
      </c>
    </row>
    <row r="73" ht="16" customHeight="1">
      <c r="A73" s="48" t="n">
        <v>46189</v>
      </c>
      <c r="D73" s="49" t="inlineStr">
        <is>
          <t>Summer Break — Southeast Schools</t>
        </is>
      </c>
    </row>
    <row r="74" ht="16" customHeight="1">
      <c r="A74" s="48" t="n">
        <v>46190</v>
      </c>
      <c r="D74" s="49" t="inlineStr">
        <is>
          <t>Summer Break — Southeast Schools</t>
        </is>
      </c>
    </row>
    <row r="75" ht="16" customHeight="1">
      <c r="A75" s="48" t="n">
        <v>46191</v>
      </c>
      <c r="D75" s="49" t="inlineStr">
        <is>
          <t>Summer Break — Southeast Schools</t>
        </is>
      </c>
    </row>
    <row r="76" ht="16" customHeight="1">
      <c r="A76" s="48" t="n">
        <v>46192</v>
      </c>
      <c r="D76" s="49" t="inlineStr">
        <is>
          <t>Summer Break — Southeast Schools</t>
        </is>
      </c>
    </row>
    <row r="77" ht="16" customHeight="1">
      <c r="A77" s="48" t="n">
        <v>46193</v>
      </c>
      <c r="D77" s="49" t="inlineStr">
        <is>
          <t>Summer Break — Southeast Schools</t>
        </is>
      </c>
    </row>
    <row r="78" ht="16" customHeight="1">
      <c r="A78" s="48" t="n">
        <v>46194</v>
      </c>
      <c r="D78" s="49" t="inlineStr">
        <is>
          <t>Summer Break — Southeast Schools</t>
        </is>
      </c>
    </row>
    <row r="79" ht="16" customHeight="1">
      <c r="A79" s="48" t="n">
        <v>46195</v>
      </c>
      <c r="D79" s="49" t="inlineStr">
        <is>
          <t>Summer Break — Southeast Schools</t>
        </is>
      </c>
    </row>
    <row r="80" ht="16" customHeight="1">
      <c r="A80" s="48" t="n">
        <v>46196</v>
      </c>
      <c r="D80" s="49" t="inlineStr">
        <is>
          <t>Summer Break — Southeast Schools</t>
        </is>
      </c>
    </row>
    <row r="81" ht="16" customHeight="1">
      <c r="A81" s="48" t="n">
        <v>46197</v>
      </c>
      <c r="D81" s="49" t="inlineStr">
        <is>
          <t>Summer Break — Southeast Schools</t>
        </is>
      </c>
    </row>
    <row r="82" ht="16" customHeight="1">
      <c r="A82" s="48" t="n">
        <v>46198</v>
      </c>
      <c r="D82" s="49" t="inlineStr">
        <is>
          <t>Summer Break — Southeast Schools</t>
        </is>
      </c>
    </row>
    <row r="83" ht="16" customHeight="1">
      <c r="A83" s="48" t="n">
        <v>46199</v>
      </c>
      <c r="D83" s="49" t="inlineStr">
        <is>
          <t>Summer Break — Southeast Schools</t>
        </is>
      </c>
    </row>
    <row r="84" ht="16" customHeight="1">
      <c r="A84" s="48" t="n">
        <v>46200</v>
      </c>
      <c r="D84" s="49" t="inlineStr">
        <is>
          <t>Summer Break — Southeast Schools</t>
        </is>
      </c>
    </row>
    <row r="85" ht="16" customHeight="1">
      <c r="A85" s="48" t="n">
        <v>46201</v>
      </c>
      <c r="D85" s="49" t="inlineStr">
        <is>
          <t>Summer Break — Southeast Schools</t>
        </is>
      </c>
    </row>
    <row r="86" ht="16" customHeight="1">
      <c r="A86" s="48" t="n">
        <v>46202</v>
      </c>
      <c r="D86" s="49" t="inlineStr">
        <is>
          <t>Summer Break — Southeast Schools</t>
        </is>
      </c>
    </row>
    <row r="87" ht="16" customHeight="1">
      <c r="A87" s="48" t="n">
        <v>46203</v>
      </c>
      <c r="D87" s="49" t="inlineStr">
        <is>
          <t>Summer Break — Southeast Schools</t>
        </is>
      </c>
    </row>
    <row r="88" ht="16" customHeight="1">
      <c r="A88" s="48" t="n">
        <v>46204</v>
      </c>
      <c r="D88" s="49" t="inlineStr">
        <is>
          <t>Summer Break — Southeast Schools</t>
        </is>
      </c>
    </row>
    <row r="89" ht="16" customHeight="1">
      <c r="A89" s="48" t="n">
        <v>46205</v>
      </c>
      <c r="D89" s="49" t="inlineStr">
        <is>
          <t>Summer Break — Southeast Schools</t>
        </is>
      </c>
    </row>
    <row r="90" ht="16" customHeight="1">
      <c r="A90" s="48" t="n">
        <v>46206</v>
      </c>
      <c r="D90" s="49" t="inlineStr">
        <is>
          <t>Summer Break — Southeast Schools</t>
        </is>
      </c>
    </row>
    <row r="91" ht="16" customHeight="1">
      <c r="A91" s="48" t="n">
        <v>46207</v>
      </c>
      <c r="D91" s="49" t="inlineStr">
        <is>
          <t>Summer Break — Southeast Schools</t>
        </is>
      </c>
    </row>
    <row r="92" ht="16" customHeight="1">
      <c r="A92" s="48" t="n">
        <v>46208</v>
      </c>
      <c r="D92" s="49" t="inlineStr">
        <is>
          <t>Summer Break — Southeast Schools</t>
        </is>
      </c>
    </row>
    <row r="93" ht="16" customHeight="1">
      <c r="A93" s="48" t="n">
        <v>46209</v>
      </c>
      <c r="D93" s="49" t="inlineStr">
        <is>
          <t>Summer Break — Southeast Schools</t>
        </is>
      </c>
    </row>
    <row r="94" ht="16" customHeight="1">
      <c r="A94" s="48" t="n">
        <v>46210</v>
      </c>
      <c r="D94" s="49" t="inlineStr">
        <is>
          <t>Summer Break — Southeast Schools</t>
        </is>
      </c>
    </row>
    <row r="95" ht="16" customHeight="1">
      <c r="A95" s="48" t="n">
        <v>46211</v>
      </c>
      <c r="D95" s="49" t="inlineStr">
        <is>
          <t>Summer Break — Southeast Schools</t>
        </is>
      </c>
    </row>
    <row r="96" ht="16" customHeight="1">
      <c r="A96" s="48" t="n">
        <v>46212</v>
      </c>
      <c r="D96" s="49" t="inlineStr">
        <is>
          <t>Summer Break — Southeast Schools</t>
        </is>
      </c>
    </row>
    <row r="97" ht="16" customHeight="1">
      <c r="A97" s="48" t="n">
        <v>46213</v>
      </c>
      <c r="D97" s="49" t="inlineStr">
        <is>
          <t>Summer Break — Southeast Schools</t>
        </is>
      </c>
    </row>
    <row r="98" ht="16" customHeight="1">
      <c r="A98" s="48" t="n">
        <v>46214</v>
      </c>
      <c r="D98" s="49" t="inlineStr">
        <is>
          <t>Summer Break — Southeast Schools</t>
        </is>
      </c>
    </row>
    <row r="99" ht="16" customHeight="1">
      <c r="A99" s="48" t="n">
        <v>46215</v>
      </c>
      <c r="D99" s="49" t="inlineStr">
        <is>
          <t>Summer Break — Southeast Schools</t>
        </is>
      </c>
    </row>
    <row r="100" ht="16" customHeight="1">
      <c r="A100" s="48" t="n">
        <v>46216</v>
      </c>
      <c r="D100" s="49" t="inlineStr">
        <is>
          <t>Summer Break — Southeast Schools</t>
        </is>
      </c>
    </row>
    <row r="101" ht="16" customHeight="1">
      <c r="A101" s="48" t="n">
        <v>46217</v>
      </c>
      <c r="D101" s="49" t="inlineStr">
        <is>
          <t>Summer Break — Southeast Schools</t>
        </is>
      </c>
    </row>
    <row r="102" ht="16" customHeight="1">
      <c r="A102" s="48" t="n">
        <v>46218</v>
      </c>
      <c r="D102" s="49" t="inlineStr">
        <is>
          <t>Summer Break — Southeast Schools</t>
        </is>
      </c>
    </row>
    <row r="103" ht="16" customHeight="1">
      <c r="A103" s="48" t="n">
        <v>46219</v>
      </c>
      <c r="D103" s="49" t="inlineStr">
        <is>
          <t>Summer Break — Southeast Schools</t>
        </is>
      </c>
    </row>
    <row r="104" ht="16" customHeight="1">
      <c r="A104" s="48" t="n">
        <v>46220</v>
      </c>
      <c r="D104" s="49" t="inlineStr">
        <is>
          <t>Summer Break — Southeast Schools</t>
        </is>
      </c>
    </row>
    <row r="105" ht="16" customHeight="1">
      <c r="A105" s="48" t="n">
        <v>46221</v>
      </c>
      <c r="D105" s="49" t="inlineStr">
        <is>
          <t>Summer Break — Southeast Schools</t>
        </is>
      </c>
    </row>
    <row r="106" ht="16" customHeight="1">
      <c r="A106" s="48" t="n">
        <v>46222</v>
      </c>
      <c r="D106" s="49" t="inlineStr">
        <is>
          <t>Summer Break — Southeast Schools</t>
        </is>
      </c>
    </row>
    <row r="107" ht="16" customHeight="1">
      <c r="A107" s="48" t="n">
        <v>46223</v>
      </c>
      <c r="D107" s="49" t="inlineStr">
        <is>
          <t>Summer Break — Southeast Schools</t>
        </is>
      </c>
    </row>
  </sheetData>
  <mergeCells count="137">
    <mergeCell ref="D86:U86"/>
    <mergeCell ref="A80:C80"/>
    <mergeCell ref="D95:U95"/>
    <mergeCell ref="A89:C89"/>
    <mergeCell ref="D70:U70"/>
    <mergeCell ref="A105:C105"/>
    <mergeCell ref="D48:U48"/>
    <mergeCell ref="A57:C57"/>
    <mergeCell ref="D97:U97"/>
    <mergeCell ref="A71:C71"/>
    <mergeCell ref="D72:U72"/>
    <mergeCell ref="D78:U78"/>
    <mergeCell ref="D87:U87"/>
    <mergeCell ref="D62:U62"/>
    <mergeCell ref="D56:U56"/>
    <mergeCell ref="D71:U71"/>
    <mergeCell ref="A91:C91"/>
    <mergeCell ref="D58:U58"/>
    <mergeCell ref="A52:C52"/>
    <mergeCell ref="A63:C63"/>
    <mergeCell ref="O36:U36"/>
    <mergeCell ref="D64:U64"/>
    <mergeCell ref="A93:C93"/>
    <mergeCell ref="D73:U73"/>
    <mergeCell ref="D51:U51"/>
    <mergeCell ref="A77:C77"/>
    <mergeCell ref="A83:C83"/>
    <mergeCell ref="D50:U50"/>
    <mergeCell ref="H36:N36"/>
    <mergeCell ref="A49:C49"/>
    <mergeCell ref="D99:U99"/>
    <mergeCell ref="A26:G26"/>
    <mergeCell ref="A69:C69"/>
    <mergeCell ref="D101:U101"/>
    <mergeCell ref="A66:C66"/>
    <mergeCell ref="A75:C75"/>
    <mergeCell ref="D77:U77"/>
    <mergeCell ref="A55:C55"/>
    <mergeCell ref="D61:U61"/>
    <mergeCell ref="A95:C95"/>
    <mergeCell ref="D75:U75"/>
    <mergeCell ref="D53:U53"/>
    <mergeCell ref="A104:C104"/>
    <mergeCell ref="D103:U103"/>
    <mergeCell ref="A97:C97"/>
    <mergeCell ref="A106:C106"/>
    <mergeCell ref="A81:C81"/>
    <mergeCell ref="A96:C96"/>
    <mergeCell ref="A36:G36"/>
    <mergeCell ref="J2:L2"/>
    <mergeCell ref="A58:C58"/>
    <mergeCell ref="D89:U89"/>
    <mergeCell ref="A67:C67"/>
    <mergeCell ref="D98:U98"/>
    <mergeCell ref="D79:U79"/>
    <mergeCell ref="A73:C73"/>
    <mergeCell ref="A51:C51"/>
    <mergeCell ref="D88:U88"/>
    <mergeCell ref="A82:C82"/>
    <mergeCell ref="A60:C60"/>
    <mergeCell ref="D63:U63"/>
    <mergeCell ref="D81:U81"/>
    <mergeCell ref="D90:U90"/>
    <mergeCell ref="H16:N16"/>
    <mergeCell ref="D65:U65"/>
    <mergeCell ref="D105:U105"/>
    <mergeCell ref="A99:C99"/>
    <mergeCell ref="D52:U52"/>
    <mergeCell ref="D49:U49"/>
    <mergeCell ref="A84:C84"/>
    <mergeCell ref="D76:U76"/>
    <mergeCell ref="D107:U107"/>
    <mergeCell ref="A101:C101"/>
    <mergeCell ref="A50:C50"/>
    <mergeCell ref="A2:C2"/>
    <mergeCell ref="A86:C86"/>
    <mergeCell ref="D66:U66"/>
    <mergeCell ref="D91:U91"/>
    <mergeCell ref="A47:U47"/>
    <mergeCell ref="D93:U93"/>
    <mergeCell ref="A62:C62"/>
    <mergeCell ref="D102:U102"/>
    <mergeCell ref="A72:C72"/>
    <mergeCell ref="D83:U83"/>
    <mergeCell ref="D92:U92"/>
    <mergeCell ref="A6:G6"/>
    <mergeCell ref="D67:U67"/>
    <mergeCell ref="A16:G16"/>
    <mergeCell ref="D85:U85"/>
    <mergeCell ref="H6:N6"/>
    <mergeCell ref="D54:U54"/>
    <mergeCell ref="D94:U94"/>
    <mergeCell ref="A59:C59"/>
    <mergeCell ref="A64:C64"/>
    <mergeCell ref="D69:U69"/>
    <mergeCell ref="A98:C98"/>
    <mergeCell ref="A107:C107"/>
    <mergeCell ref="A79:C79"/>
    <mergeCell ref="A61:C61"/>
    <mergeCell ref="A88:C88"/>
    <mergeCell ref="A70:C70"/>
    <mergeCell ref="D80:U80"/>
    <mergeCell ref="A54:C54"/>
    <mergeCell ref="D96:U96"/>
    <mergeCell ref="A90:C90"/>
    <mergeCell ref="D2:I2"/>
    <mergeCell ref="D104:U104"/>
    <mergeCell ref="D57:U57"/>
    <mergeCell ref="A74:C74"/>
    <mergeCell ref="A56:C56"/>
    <mergeCell ref="A76:C76"/>
    <mergeCell ref="A85:C85"/>
    <mergeCell ref="H26:N26"/>
    <mergeCell ref="A100:C100"/>
    <mergeCell ref="D106:U106"/>
    <mergeCell ref="A53:C53"/>
    <mergeCell ref="O6:U6"/>
    <mergeCell ref="D74:U74"/>
    <mergeCell ref="A68:C68"/>
    <mergeCell ref="D68:U68"/>
    <mergeCell ref="A102:C102"/>
    <mergeCell ref="D82:U82"/>
    <mergeCell ref="D55:U55"/>
    <mergeCell ref="A92:C92"/>
    <mergeCell ref="A48:C48"/>
    <mergeCell ref="D59:U59"/>
    <mergeCell ref="A4:H4"/>
    <mergeCell ref="D60:U60"/>
    <mergeCell ref="O26:U26"/>
    <mergeCell ref="D100:U100"/>
    <mergeCell ref="A94:C94"/>
    <mergeCell ref="A103:C103"/>
    <mergeCell ref="O16:U16"/>
    <mergeCell ref="D84:U84"/>
    <mergeCell ref="A78:C78"/>
    <mergeCell ref="A87:C87"/>
    <mergeCell ref="A65:C65"/>
  </mergeCells>
  <pageMargins left="0.3" right="0.3" top="0.5" bottom="0.5" header="0.5" footer="0.5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3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36" customWidth="1" min="3" max="3"/>
    <col width="10" customWidth="1" min="4" max="4"/>
    <col width="16" customWidth="1" min="5" max="5"/>
    <col width="12" customWidth="1" min="6" max="6"/>
    <col width="36" customWidth="1" min="7" max="7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4">
        <f>HYPERLINK("#'Year-View Calendar'!A1", "← BACK")</f>
        <v/>
      </c>
      <c r="B2" s="25" t="n"/>
      <c r="C2" s="25" t="n"/>
      <c r="D2" s="34" t="inlineStr">
        <is>
          <t>UPCOMING LIST</t>
        </is>
      </c>
      <c r="J2" s="26">
        <f>HYPERLINK("#'Settings'!A1", "NEXT →")</f>
        <v/>
      </c>
      <c r="K2" s="27" t="n"/>
      <c r="L2" s="27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35" t="inlineStr">
        <is>
          <t>Next 30 events sorted by date. Red rows = ≤ 14 days out AND Status = N — set the rate now before guests book at flat pricing.</t>
        </is>
      </c>
      <c r="H4" s="36" t="n"/>
      <c r="I4" s="36" t="n"/>
      <c r="J4" s="36" t="n"/>
      <c r="K4" s="36" t="n"/>
      <c r="L4" s="36" t="n"/>
    </row>
    <row r="5" ht="6" customHeight="1"/>
    <row r="6" ht="28" customHeight="1">
      <c r="A6" s="37" t="inlineStr">
        <is>
          <t>Date</t>
        </is>
      </c>
      <c r="B6" s="37" t="inlineStr">
        <is>
          <t>Days away</t>
        </is>
      </c>
      <c r="C6" s="37" t="inlineStr">
        <is>
          <t>Event</t>
        </is>
      </c>
      <c r="D6" s="37" t="inlineStr">
        <is>
          <t>Lift %</t>
        </is>
      </c>
      <c r="E6" s="37" t="inlineStr">
        <is>
          <t>Suggested rate</t>
        </is>
      </c>
      <c r="F6" s="37" t="inlineStr">
        <is>
          <t>Status</t>
        </is>
      </c>
      <c r="G6" s="37" t="inlineStr">
        <is>
          <t>Notes</t>
        </is>
      </c>
    </row>
    <row r="7" ht="20" customHeight="1">
      <c r="A7" s="38" t="n">
        <v>46167</v>
      </c>
      <c r="B7" s="50">
        <f>IF(A7&lt;&gt;"",A7-TODAY(),"")</f>
        <v/>
      </c>
      <c r="C7" s="39" t="inlineStr">
        <is>
          <t>Memorial Day</t>
        </is>
      </c>
      <c r="D7" s="40" t="n">
        <v>45</v>
      </c>
      <c r="E7" s="41">
        <f>IF(D7="","",Settings!$B$7*(1+D7/100))</f>
        <v/>
      </c>
      <c r="F7" s="42" t="inlineStr">
        <is>
          <t>N</t>
        </is>
      </c>
      <c r="G7" s="39" t="inlineStr">
        <is>
          <t>Unofficial start of summer — strong demand, 3-night min.</t>
        </is>
      </c>
    </row>
    <row r="8" ht="20" customHeight="1">
      <c r="A8" s="38" t="n">
        <v>46181</v>
      </c>
      <c r="B8" s="50">
        <f>IF(A8&lt;&gt;"",A8-TODAY(),"")</f>
        <v/>
      </c>
      <c r="C8" s="39" t="inlineStr">
        <is>
          <t>Summer Break — Southeast Schools</t>
        </is>
      </c>
      <c r="D8" s="40" t="n">
        <v>35</v>
      </c>
      <c r="E8" s="41">
        <f>IF(D8="","",Settings!$B$7*(1+D8/100))</f>
        <v/>
      </c>
      <c r="F8" s="42" t="inlineStr">
        <is>
          <t>N</t>
        </is>
      </c>
      <c r="G8" s="39" t="inlineStr">
        <is>
          <t>Sustained baseline lift through summer.</t>
        </is>
      </c>
    </row>
    <row r="9" ht="20" customHeight="1">
      <c r="A9" s="38" t="n">
        <v>46207</v>
      </c>
      <c r="B9" s="50">
        <f>IF(A9&lt;&gt;"",A9-TODAY(),"")</f>
        <v/>
      </c>
      <c r="C9" s="39" t="inlineStr">
        <is>
          <t>Independence Day</t>
        </is>
      </c>
      <c r="D9" s="40" t="n">
        <v>65</v>
      </c>
      <c r="E9" s="41">
        <f>IF(D9="","",Settings!$B$7*(1+D9/100))</f>
        <v/>
      </c>
      <c r="F9" s="42" t="inlineStr">
        <is>
          <t>N</t>
        </is>
      </c>
      <c r="G9" s="39" t="inlineStr">
        <is>
          <t>Peak summer holiday; require 3-night minimum.</t>
        </is>
      </c>
    </row>
    <row r="10" ht="20" customHeight="1">
      <c r="A10" s="38" t="n">
        <v>46240</v>
      </c>
      <c r="B10" s="50">
        <f>IF(A10&lt;&gt;"",A10-TODAY(),"")</f>
        <v/>
      </c>
      <c r="C10" s="39" t="inlineStr">
        <is>
          <t>Gatlinburg Craftsmen's Fair</t>
        </is>
      </c>
      <c r="D10" s="40" t="n">
        <v>40</v>
      </c>
      <c r="E10" s="41">
        <f>IF(D10="","",Settings!$B$7*(1+D10/100))</f>
        <v/>
      </c>
      <c r="F10" s="42" t="inlineStr">
        <is>
          <t>N</t>
        </is>
      </c>
      <c r="G10" s="39" t="inlineStr">
        <is>
          <t>Long-running summer arts festival; strong weekend lift.</t>
        </is>
      </c>
    </row>
    <row r="11" ht="20" customHeight="1">
      <c r="A11" s="38" t="n">
        <v>46272</v>
      </c>
      <c r="B11" s="50">
        <f>IF(A11&lt;&gt;"",A11-TODAY(),"")</f>
        <v/>
      </c>
      <c r="C11" s="39" t="inlineStr">
        <is>
          <t>Labor Day</t>
        </is>
      </c>
      <c r="D11" s="40" t="n">
        <v>80</v>
      </c>
      <c r="E11" s="41">
        <f>IF(D11="","",Settings!$B$7*(1+D11/100))</f>
        <v/>
      </c>
      <c r="F11" s="42" t="inlineStr">
        <is>
          <t>N</t>
        </is>
      </c>
      <c r="G11" s="39" t="inlineStr">
        <is>
          <t>Last big summer weekend; max lift, 3-night minimum.</t>
        </is>
      </c>
    </row>
    <row r="12" ht="20" customHeight="1">
      <c r="A12" s="38" t="n">
        <v>46282</v>
      </c>
      <c r="B12" s="50">
        <f>IF(A12&lt;&gt;"",A12-TODAY(),"")</f>
        <v/>
      </c>
      <c r="C12" s="39" t="inlineStr">
        <is>
          <t>Fall Rod Run — Pigeon Forge</t>
        </is>
      </c>
      <c r="D12" s="40" t="n">
        <v>70</v>
      </c>
      <c r="E12" s="41">
        <f>IF(D12="","",Settings!$B$7*(1+D12/100))</f>
        <v/>
      </c>
      <c r="F12" s="42" t="inlineStr">
        <is>
          <t>N</t>
        </is>
      </c>
      <c r="G12" s="39" t="inlineStr">
        <is>
          <t>Larger of the two Rod Runs; peak demand.</t>
        </is>
      </c>
    </row>
    <row r="13" ht="20" customHeight="1">
      <c r="A13" s="38" t="n">
        <v>46300</v>
      </c>
      <c r="B13" s="50">
        <f>IF(A13&lt;&gt;"",A13-TODAY(),"")</f>
        <v/>
      </c>
      <c r="C13" s="39" t="inlineStr">
        <is>
          <t>Fall Break — Southeast Schools</t>
        </is>
      </c>
      <c r="D13" s="40" t="n">
        <v>40</v>
      </c>
      <c r="E13" s="41">
        <f>IF(D13="","",Settings!$B$7*(1+D13/100))</f>
        <v/>
      </c>
      <c r="F13" s="42" t="inlineStr">
        <is>
          <t>N</t>
        </is>
      </c>
      <c r="G13" s="39" t="inlineStr">
        <is>
          <t>Fall break + foliage overlap; strong demand.</t>
        </is>
      </c>
    </row>
    <row r="14" ht="20" customHeight="1">
      <c r="A14" s="38" t="n">
        <v>46307</v>
      </c>
      <c r="B14" s="50">
        <f>IF(A14&lt;&gt;"",A14-TODAY(),"")</f>
        <v/>
      </c>
      <c r="C14" s="39" t="inlineStr">
        <is>
          <t>Columbus Day / Indigenous Peoples Day</t>
        </is>
      </c>
      <c r="D14" s="40" t="n">
        <v>30</v>
      </c>
      <c r="E14" s="41">
        <f>IF(D14="","",Settings!$B$7*(1+D14/100))</f>
        <v/>
      </c>
      <c r="F14" s="42" t="inlineStr">
        <is>
          <t>N</t>
        </is>
      </c>
      <c r="G14" s="39" t="inlineStr">
        <is>
          <t>Fall foliage in mountain markets — moderate lift.</t>
        </is>
      </c>
    </row>
    <row r="15" ht="20" customHeight="1">
      <c r="A15" s="38" t="n">
        <v>46333</v>
      </c>
      <c r="B15" s="50">
        <f>IF(A15&lt;&gt;"",A15-TODAY(),"")</f>
        <v/>
      </c>
      <c r="C15" s="39" t="inlineStr">
        <is>
          <t>Smoky Mountain Marathon</t>
        </is>
      </c>
      <c r="D15" s="40" t="n">
        <v>45</v>
      </c>
      <c r="E15" s="41">
        <f>IF(D15="","",Settings!$B$7*(1+D15/100))</f>
        <v/>
      </c>
      <c r="F15" s="42" t="inlineStr">
        <is>
          <t>N</t>
        </is>
      </c>
      <c r="G15" s="39" t="inlineStr">
        <is>
          <t>Runners + spectators fill Sevierville/Pigeon Forge.</t>
        </is>
      </c>
    </row>
    <row r="16" ht="20" customHeight="1">
      <c r="A16" s="38" t="n">
        <v>46337</v>
      </c>
      <c r="B16" s="50">
        <f>IF(A16&lt;&gt;"",A16-TODAY(),"")</f>
        <v/>
      </c>
      <c r="C16" s="39" t="inlineStr">
        <is>
          <t>Veterans Day</t>
        </is>
      </c>
      <c r="D16" s="40" t="n">
        <v>20</v>
      </c>
      <c r="E16" s="41">
        <f>IF(D16="","",Settings!$B$7*(1+D16/100))</f>
        <v/>
      </c>
      <c r="F16" s="42" t="inlineStr">
        <is>
          <t>N</t>
        </is>
      </c>
      <c r="G16" s="39" t="inlineStr">
        <is>
          <t>Mid-week observance; light lift.</t>
        </is>
      </c>
    </row>
    <row r="17" ht="20" customHeight="1">
      <c r="A17" s="38" t="n">
        <v>46339</v>
      </c>
      <c r="B17" s="50">
        <f>IF(A17&lt;&gt;"",A17-TODAY(),"")</f>
        <v/>
      </c>
      <c r="C17" s="39" t="inlineStr">
        <is>
          <t>Smoky Mountain Christmas — Dollywood</t>
        </is>
      </c>
      <c r="D17" s="40" t="n">
        <v>50</v>
      </c>
      <c r="E17" s="41">
        <f>IF(D17="","",Settings!$B$7*(1+D17/100))</f>
        <v/>
      </c>
      <c r="F17" s="42" t="inlineStr">
        <is>
          <t>N</t>
        </is>
      </c>
      <c r="G17" s="39" t="inlineStr">
        <is>
          <t>Multi-week Christmas event drives sustained lift.</t>
        </is>
      </c>
    </row>
    <row r="18" ht="20" customHeight="1">
      <c r="A18" s="38" t="n">
        <v>46352</v>
      </c>
      <c r="B18" s="50">
        <f>IF(A18&lt;&gt;"",A18-TODAY(),"")</f>
        <v/>
      </c>
      <c r="C18" s="39" t="inlineStr">
        <is>
          <t>Thanksgiving Day</t>
        </is>
      </c>
      <c r="D18" s="40" t="n">
        <v>55</v>
      </c>
      <c r="E18" s="41">
        <f>IF(D18="","",Settings!$B$7*(1+D18/100))</f>
        <v/>
      </c>
      <c r="F18" s="42" t="inlineStr">
        <is>
          <t>N</t>
        </is>
      </c>
      <c r="G18" s="39" t="inlineStr">
        <is>
          <t>Family travel peak; 3-night minimum recommended.</t>
        </is>
      </c>
    </row>
    <row r="19" ht="20" customHeight="1">
      <c r="A19" s="38" t="n">
        <v>46377</v>
      </c>
      <c r="B19" s="50">
        <f>IF(A19&lt;&gt;"",A19-TODAY(),"")</f>
        <v/>
      </c>
      <c r="C19" s="39" t="inlineStr">
        <is>
          <t>Winter Break — Southeast Schools</t>
        </is>
      </c>
      <c r="D19" s="40" t="n">
        <v>55</v>
      </c>
      <c r="E19" s="41">
        <f>IF(D19="","",Settings!$B$7*(1+D19/100))</f>
        <v/>
      </c>
      <c r="F19" s="42" t="inlineStr">
        <is>
          <t>N</t>
        </is>
      </c>
      <c r="G19" s="39" t="inlineStr">
        <is>
          <t>Two-week holiday break; sustained peak.</t>
        </is>
      </c>
    </row>
    <row r="20" ht="20" customHeight="1">
      <c r="A20" s="38" t="n">
        <v>46381</v>
      </c>
      <c r="B20" s="50">
        <f>IF(A20&lt;&gt;"",A20-TODAY(),"")</f>
        <v/>
      </c>
      <c r="C20" s="39" t="inlineStr">
        <is>
          <t>Christmas Day</t>
        </is>
      </c>
      <c r="D20" s="40" t="n">
        <v>60</v>
      </c>
      <c r="E20" s="41">
        <f>IF(D20="","",Settings!$B$7*(1+D20/100))</f>
        <v/>
      </c>
      <c r="F20" s="42" t="inlineStr">
        <is>
          <t>N</t>
        </is>
      </c>
      <c r="G20" s="39" t="inlineStr">
        <is>
          <t>Holiday week peak; consider 4-night minimum.</t>
        </is>
      </c>
    </row>
    <row r="21" ht="20" customHeight="1">
      <c r="A21" s="38" t="n">
        <v>46387</v>
      </c>
      <c r="B21" s="50">
        <f>IF(A21&lt;&gt;"",A21-TODAY(),"")</f>
        <v/>
      </c>
      <c r="C21" s="39" t="inlineStr">
        <is>
          <t>New Year's Eve</t>
        </is>
      </c>
      <c r="D21" s="40" t="n">
        <v>80</v>
      </c>
      <c r="E21" s="41">
        <f>IF(D21="","",Settings!$B$7*(1+D21/100))</f>
        <v/>
      </c>
      <c r="F21" s="42" t="inlineStr">
        <is>
          <t>N</t>
        </is>
      </c>
      <c r="G21" s="39" t="inlineStr">
        <is>
          <t>Top demand night of year; max lift + 3-night min.</t>
        </is>
      </c>
    </row>
    <row r="22" ht="20" customHeight="1">
      <c r="A22" s="38" t="n"/>
      <c r="B22" s="50">
        <f>IF(A22&lt;&gt;"",A22-TODAY(),"")</f>
        <v/>
      </c>
      <c r="C22" s="39" t="n"/>
      <c r="D22" s="40" t="n"/>
      <c r="E22" s="41">
        <f>IF(D22="","",Settings!$B$7*(1+D22/100))</f>
        <v/>
      </c>
      <c r="F22" s="42" t="n"/>
      <c r="G22" s="39" t="n"/>
    </row>
    <row r="23" ht="20" customHeight="1">
      <c r="A23" s="38" t="n"/>
      <c r="B23" s="50">
        <f>IF(A23&lt;&gt;"",A23-TODAY(),"")</f>
        <v/>
      </c>
      <c r="C23" s="39" t="n"/>
      <c r="D23" s="40" t="n"/>
      <c r="E23" s="41">
        <f>IF(D23="","",Settings!$B$7*(1+D23/100))</f>
        <v/>
      </c>
      <c r="F23" s="42" t="n"/>
      <c r="G23" s="39" t="n"/>
    </row>
    <row r="24" ht="20" customHeight="1">
      <c r="A24" s="38" t="n"/>
      <c r="B24" s="50">
        <f>IF(A24&lt;&gt;"",A24-TODAY(),"")</f>
        <v/>
      </c>
      <c r="C24" s="39" t="n"/>
      <c r="D24" s="40" t="n"/>
      <c r="E24" s="41">
        <f>IF(D24="","",Settings!$B$7*(1+D24/100))</f>
        <v/>
      </c>
      <c r="F24" s="42" t="n"/>
      <c r="G24" s="39" t="n"/>
    </row>
    <row r="25" ht="20" customHeight="1">
      <c r="A25" s="38" t="n"/>
      <c r="B25" s="50">
        <f>IF(A25&lt;&gt;"",A25-TODAY(),"")</f>
        <v/>
      </c>
      <c r="C25" s="39" t="n"/>
      <c r="D25" s="40" t="n"/>
      <c r="E25" s="41">
        <f>IF(D25="","",Settings!$B$7*(1+D25/100))</f>
        <v/>
      </c>
      <c r="F25" s="42" t="n"/>
      <c r="G25" s="39" t="n"/>
    </row>
    <row r="26" ht="20" customHeight="1">
      <c r="A26" s="38" t="n"/>
      <c r="B26" s="50">
        <f>IF(A26&lt;&gt;"",A26-TODAY(),"")</f>
        <v/>
      </c>
      <c r="C26" s="39" t="n"/>
      <c r="D26" s="40" t="n"/>
      <c r="E26" s="41">
        <f>IF(D26="","",Settings!$B$7*(1+D26/100))</f>
        <v/>
      </c>
      <c r="F26" s="42" t="n"/>
      <c r="G26" s="39" t="n"/>
    </row>
    <row r="27" ht="20" customHeight="1">
      <c r="A27" s="38" t="n"/>
      <c r="B27" s="50">
        <f>IF(A27&lt;&gt;"",A27-TODAY(),"")</f>
        <v/>
      </c>
      <c r="C27" s="39" t="n"/>
      <c r="D27" s="40" t="n"/>
      <c r="E27" s="41">
        <f>IF(D27="","",Settings!$B$7*(1+D27/100))</f>
        <v/>
      </c>
      <c r="F27" s="42" t="n"/>
      <c r="G27" s="39" t="n"/>
    </row>
    <row r="28" ht="20" customHeight="1">
      <c r="A28" s="38" t="n"/>
      <c r="B28" s="50">
        <f>IF(A28&lt;&gt;"",A28-TODAY(),"")</f>
        <v/>
      </c>
      <c r="C28" s="39" t="n"/>
      <c r="D28" s="40" t="n"/>
      <c r="E28" s="41">
        <f>IF(D28="","",Settings!$B$7*(1+D28/100))</f>
        <v/>
      </c>
      <c r="F28" s="42" t="n"/>
      <c r="G28" s="39" t="n"/>
    </row>
    <row r="29" ht="20" customHeight="1">
      <c r="A29" s="38" t="n"/>
      <c r="B29" s="50">
        <f>IF(A29&lt;&gt;"",A29-TODAY(),"")</f>
        <v/>
      </c>
      <c r="C29" s="39" t="n"/>
      <c r="D29" s="40" t="n"/>
      <c r="E29" s="41">
        <f>IF(D29="","",Settings!$B$7*(1+D29/100))</f>
        <v/>
      </c>
      <c r="F29" s="42" t="n"/>
      <c r="G29" s="39" t="n"/>
    </row>
    <row r="30" ht="20" customHeight="1">
      <c r="A30" s="38" t="n"/>
      <c r="B30" s="50">
        <f>IF(A30&lt;&gt;"",A30-TODAY(),"")</f>
        <v/>
      </c>
      <c r="C30" s="39" t="n"/>
      <c r="D30" s="40" t="n"/>
      <c r="E30" s="41">
        <f>IF(D30="","",Settings!$B$7*(1+D30/100))</f>
        <v/>
      </c>
      <c r="F30" s="42" t="n"/>
      <c r="G30" s="39" t="n"/>
    </row>
    <row r="31" ht="20" customHeight="1">
      <c r="A31" s="38" t="n"/>
      <c r="B31" s="50">
        <f>IF(A31&lt;&gt;"",A31-TODAY(),"")</f>
        <v/>
      </c>
      <c r="C31" s="39" t="n"/>
      <c r="D31" s="40" t="n"/>
      <c r="E31" s="41">
        <f>IF(D31="","",Settings!$B$7*(1+D31/100))</f>
        <v/>
      </c>
      <c r="F31" s="42" t="n"/>
      <c r="G31" s="39" t="n"/>
    </row>
    <row r="32" ht="20" customHeight="1">
      <c r="A32" s="38" t="n"/>
      <c r="B32" s="50">
        <f>IF(A32&lt;&gt;"",A32-TODAY(),"")</f>
        <v/>
      </c>
      <c r="C32" s="39" t="n"/>
      <c r="D32" s="40" t="n"/>
      <c r="E32" s="41">
        <f>IF(D32="","",Settings!$B$7*(1+D32/100))</f>
        <v/>
      </c>
      <c r="F32" s="42" t="n"/>
      <c r="G32" s="39" t="n"/>
    </row>
    <row r="33" ht="20" customHeight="1">
      <c r="A33" s="38" t="n"/>
      <c r="B33" s="50">
        <f>IF(A33&lt;&gt;"",A33-TODAY(),"")</f>
        <v/>
      </c>
      <c r="C33" s="39" t="n"/>
      <c r="D33" s="40" t="n"/>
      <c r="E33" s="41">
        <f>IF(D33="","",Settings!$B$7*(1+D33/100))</f>
        <v/>
      </c>
      <c r="F33" s="42" t="n"/>
      <c r="G33" s="39" t="n"/>
    </row>
    <row r="34" ht="20" customHeight="1">
      <c r="A34" s="38" t="n"/>
      <c r="B34" s="50">
        <f>IF(A34&lt;&gt;"",A34-TODAY(),"")</f>
        <v/>
      </c>
      <c r="C34" s="39" t="n"/>
      <c r="D34" s="40" t="n"/>
      <c r="E34" s="41">
        <f>IF(D34="","",Settings!$B$7*(1+D34/100))</f>
        <v/>
      </c>
      <c r="F34" s="42" t="n"/>
      <c r="G34" s="39" t="n"/>
    </row>
    <row r="35" ht="20" customHeight="1">
      <c r="A35" s="38" t="n"/>
      <c r="B35" s="50">
        <f>IF(A35&lt;&gt;"",A35-TODAY(),"")</f>
        <v/>
      </c>
      <c r="C35" s="39" t="n"/>
      <c r="D35" s="40" t="n"/>
      <c r="E35" s="41">
        <f>IF(D35="","",Settings!$B$7*(1+D35/100))</f>
        <v/>
      </c>
      <c r="F35" s="42" t="n"/>
      <c r="G35" s="39" t="n"/>
    </row>
    <row r="36" ht="20" customHeight="1">
      <c r="A36" s="38" t="n"/>
      <c r="B36" s="50">
        <f>IF(A36&lt;&gt;"",A36-TODAY(),"")</f>
        <v/>
      </c>
      <c r="C36" s="39" t="n"/>
      <c r="D36" s="40" t="n"/>
      <c r="E36" s="41">
        <f>IF(D36="","",Settings!$B$7*(1+D36/100))</f>
        <v/>
      </c>
      <c r="F36" s="42" t="n"/>
      <c r="G36" s="39" t="n"/>
    </row>
  </sheetData>
  <mergeCells count="4">
    <mergeCell ref="J2:L2"/>
    <mergeCell ref="D2:I2"/>
    <mergeCell ref="A2:C2"/>
    <mergeCell ref="A4:G4"/>
  </mergeCells>
  <conditionalFormatting sqref="A7:G7">
    <cfRule type="expression" priority="1" dxfId="1">
      <formula>AND(ISNUMBER($B7),$B7&lt;=14,$B7&gt;=0,$F7="N")</formula>
    </cfRule>
  </conditionalFormatting>
  <conditionalFormatting sqref="A8:G8">
    <cfRule type="expression" priority="2" dxfId="1">
      <formula>AND(ISNUMBER($B8),$B8&lt;=14,$B8&gt;=0,$F8="N")</formula>
    </cfRule>
  </conditionalFormatting>
  <conditionalFormatting sqref="A9:G9">
    <cfRule type="expression" priority="3" dxfId="1">
      <formula>AND(ISNUMBER($B9),$B9&lt;=14,$B9&gt;=0,$F9="N")</formula>
    </cfRule>
  </conditionalFormatting>
  <conditionalFormatting sqref="A10:G10">
    <cfRule type="expression" priority="4" dxfId="1">
      <formula>AND(ISNUMBER($B10),$B10&lt;=14,$B10&gt;=0,$F10="N")</formula>
    </cfRule>
  </conditionalFormatting>
  <conditionalFormatting sqref="A11:G11">
    <cfRule type="expression" priority="5" dxfId="1">
      <formula>AND(ISNUMBER($B11),$B11&lt;=14,$B11&gt;=0,$F11="N")</formula>
    </cfRule>
  </conditionalFormatting>
  <conditionalFormatting sqref="A12:G12">
    <cfRule type="expression" priority="6" dxfId="1">
      <formula>AND(ISNUMBER($B12),$B12&lt;=14,$B12&gt;=0,$F12="N")</formula>
    </cfRule>
  </conditionalFormatting>
  <conditionalFormatting sqref="A13:G13">
    <cfRule type="expression" priority="7" dxfId="1">
      <formula>AND(ISNUMBER($B13),$B13&lt;=14,$B13&gt;=0,$F13="N")</formula>
    </cfRule>
  </conditionalFormatting>
  <conditionalFormatting sqref="A14:G14">
    <cfRule type="expression" priority="8" dxfId="1">
      <formula>AND(ISNUMBER($B14),$B14&lt;=14,$B14&gt;=0,$F14="N")</formula>
    </cfRule>
  </conditionalFormatting>
  <conditionalFormatting sqref="A15:G15">
    <cfRule type="expression" priority="9" dxfId="1">
      <formula>AND(ISNUMBER($B15),$B15&lt;=14,$B15&gt;=0,$F15="N")</formula>
    </cfRule>
  </conditionalFormatting>
  <conditionalFormatting sqref="A16:G16">
    <cfRule type="expression" priority="10" dxfId="1">
      <formula>AND(ISNUMBER($B16),$B16&lt;=14,$B16&gt;=0,$F16="N")</formula>
    </cfRule>
  </conditionalFormatting>
  <conditionalFormatting sqref="A17:G17">
    <cfRule type="expression" priority="11" dxfId="1">
      <formula>AND(ISNUMBER($B17),$B17&lt;=14,$B17&gt;=0,$F17="N")</formula>
    </cfRule>
  </conditionalFormatting>
  <conditionalFormatting sqref="A18:G18">
    <cfRule type="expression" priority="12" dxfId="1">
      <formula>AND(ISNUMBER($B18),$B18&lt;=14,$B18&gt;=0,$F18="N")</formula>
    </cfRule>
  </conditionalFormatting>
  <conditionalFormatting sqref="A19:G19">
    <cfRule type="expression" priority="13" dxfId="1">
      <formula>AND(ISNUMBER($B19),$B19&lt;=14,$B19&gt;=0,$F19="N")</formula>
    </cfRule>
  </conditionalFormatting>
  <conditionalFormatting sqref="A20:G20">
    <cfRule type="expression" priority="14" dxfId="1">
      <formula>AND(ISNUMBER($B20),$B20&lt;=14,$B20&gt;=0,$F20="N")</formula>
    </cfRule>
  </conditionalFormatting>
  <conditionalFormatting sqref="A21:G21">
    <cfRule type="expression" priority="15" dxfId="1">
      <formula>AND(ISNUMBER($B21),$B21&lt;=14,$B21&gt;=0,$F21="N")</formula>
    </cfRule>
  </conditionalFormatting>
  <conditionalFormatting sqref="A22:G22">
    <cfRule type="expression" priority="16" dxfId="1">
      <formula>AND(ISNUMBER($B22),$B22&lt;=14,$B22&gt;=0,$F22="N")</formula>
    </cfRule>
  </conditionalFormatting>
  <conditionalFormatting sqref="A23:G23">
    <cfRule type="expression" priority="17" dxfId="1">
      <formula>AND(ISNUMBER($B23),$B23&lt;=14,$B23&gt;=0,$F23="N")</formula>
    </cfRule>
  </conditionalFormatting>
  <conditionalFormatting sqref="A24:G24">
    <cfRule type="expression" priority="18" dxfId="1">
      <formula>AND(ISNUMBER($B24),$B24&lt;=14,$B24&gt;=0,$F24="N")</formula>
    </cfRule>
  </conditionalFormatting>
  <conditionalFormatting sqref="A25:G25">
    <cfRule type="expression" priority="19" dxfId="1">
      <formula>AND(ISNUMBER($B25),$B25&lt;=14,$B25&gt;=0,$F25="N")</formula>
    </cfRule>
  </conditionalFormatting>
  <conditionalFormatting sqref="A26:G26">
    <cfRule type="expression" priority="20" dxfId="1">
      <formula>AND(ISNUMBER($B26),$B26&lt;=14,$B26&gt;=0,$F26="N")</formula>
    </cfRule>
  </conditionalFormatting>
  <conditionalFormatting sqref="A27:G27">
    <cfRule type="expression" priority="21" dxfId="1">
      <formula>AND(ISNUMBER($B27),$B27&lt;=14,$B27&gt;=0,$F27="N")</formula>
    </cfRule>
  </conditionalFormatting>
  <conditionalFormatting sqref="A28:G28">
    <cfRule type="expression" priority="22" dxfId="1">
      <formula>AND(ISNUMBER($B28),$B28&lt;=14,$B28&gt;=0,$F28="N")</formula>
    </cfRule>
  </conditionalFormatting>
  <conditionalFormatting sqref="A29:G29">
    <cfRule type="expression" priority="23" dxfId="1">
      <formula>AND(ISNUMBER($B29),$B29&lt;=14,$B29&gt;=0,$F29="N")</formula>
    </cfRule>
  </conditionalFormatting>
  <conditionalFormatting sqref="A30:G30">
    <cfRule type="expression" priority="24" dxfId="1">
      <formula>AND(ISNUMBER($B30),$B30&lt;=14,$B30&gt;=0,$F30="N")</formula>
    </cfRule>
  </conditionalFormatting>
  <conditionalFormatting sqref="A31:G31">
    <cfRule type="expression" priority="25" dxfId="1">
      <formula>AND(ISNUMBER($B31),$B31&lt;=14,$B31&gt;=0,$F31="N")</formula>
    </cfRule>
  </conditionalFormatting>
  <conditionalFormatting sqref="A32:G32">
    <cfRule type="expression" priority="26" dxfId="1">
      <formula>AND(ISNUMBER($B32),$B32&lt;=14,$B32&gt;=0,$F32="N")</formula>
    </cfRule>
  </conditionalFormatting>
  <conditionalFormatting sqref="A33:G33">
    <cfRule type="expression" priority="27" dxfId="1">
      <formula>AND(ISNUMBER($B33),$B33&lt;=14,$B33&gt;=0,$F33="N")</formula>
    </cfRule>
  </conditionalFormatting>
  <conditionalFormatting sqref="A34:G34">
    <cfRule type="expression" priority="28" dxfId="1">
      <formula>AND(ISNUMBER($B34),$B34&lt;=14,$B34&gt;=0,$F34="N")</formula>
    </cfRule>
  </conditionalFormatting>
  <conditionalFormatting sqref="A35:G35">
    <cfRule type="expression" priority="29" dxfId="1">
      <formula>AND(ISNUMBER($B35),$B35&lt;=14,$B35&gt;=0,$F35="N")</formula>
    </cfRule>
  </conditionalFormatting>
  <conditionalFormatting sqref="A36:G36">
    <cfRule type="expression" priority="30" dxfId="1">
      <formula>AND(ISNUMBER($B36),$B36&lt;=14,$B36&gt;=0,$F36="N")</formula>
    </cfRule>
  </conditionalFormatting>
  <dataValidations count="1">
    <dataValidation sqref="F7:F36" showDropDown="0" showInputMessage="0" showErrorMessage="0" allowBlank="1" type="list">
      <formula1>"Y,N"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5.xml><?xml version="1.0" encoding="utf-8"?>
<worksheet xmlns="http://schemas.openxmlformats.org/spreadsheetml/2006/main">
  <sheetPr>
    <tabColor rgb="0012304E"/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4" customWidth="1" min="3" max="3"/>
    <col width="22" customWidth="1" min="4" max="4"/>
    <col width="18" customWidth="1" min="5" max="5"/>
    <col width="56" customWidth="1" min="6" max="6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4">
        <f>HYPERLINK("#'Upcoming List'!A1", "← BACK")</f>
        <v/>
      </c>
      <c r="B2" s="25" t="n"/>
      <c r="C2" s="25" t="n"/>
      <c r="D2" s="34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35" t="inlineStr">
        <is>
          <t>Active year, base rate, and dropdown lists for Events. Edit to match your portfolio.</t>
        </is>
      </c>
    </row>
    <row r="5" ht="30" customHeight="1">
      <c r="A5" s="36" t="inlineStr"/>
      <c r="B5" s="51" t="n">
        <v>2026</v>
      </c>
      <c r="D5" s="52" t="inlineStr">
        <is>
          <t>Active year — drives Year-View Calendar and Upcoming List</t>
        </is>
      </c>
      <c r="F5" s="52" t="inlineStr">
        <is>
          <t>Active year — drives Year-View Calendar and Upcoming List</t>
        </is>
      </c>
    </row>
    <row r="6" ht="18" customHeight="1">
      <c r="D6" s="39" t="inlineStr">
        <is>
          <t>Federal Holiday</t>
        </is>
      </c>
      <c r="E6" s="39" t="inlineStr">
        <is>
          <t>All</t>
        </is>
      </c>
    </row>
    <row r="7" ht="18" customHeight="1">
      <c r="B7" s="53" t="n">
        <v>185</v>
      </c>
      <c r="D7" s="39" t="inlineStr">
        <is>
          <t>School Break</t>
        </is>
      </c>
      <c r="E7" s="39" t="inlineStr">
        <is>
          <t>Northeast</t>
        </is>
      </c>
      <c r="F7" s="52" t="inlineStr">
        <is>
          <t>Base nightly rate — Suggested rate = Base × (1 + Lift%)</t>
        </is>
      </c>
    </row>
    <row r="8" ht="18" customHeight="1">
      <c r="D8" s="39" t="inlineStr">
        <is>
          <t>Sporting</t>
        </is>
      </c>
      <c r="E8" s="39" t="inlineStr">
        <is>
          <t>Southeast</t>
        </is>
      </c>
    </row>
    <row r="9" ht="18" customHeight="1">
      <c r="B9" s="54" t="inlineStr">
        <is>
          <t>Southeast</t>
        </is>
      </c>
      <c r="D9" s="39" t="inlineStr">
        <is>
          <t>Concert</t>
        </is>
      </c>
      <c r="E9" s="39" t="inlineStr">
        <is>
          <t>Midwest</t>
        </is>
      </c>
      <c r="F9" s="52" t="inlineStr">
        <is>
          <t>Region — drives default school break dates</t>
        </is>
      </c>
    </row>
    <row r="10" ht="18" customHeight="1">
      <c r="D10" s="39" t="inlineStr">
        <is>
          <t>Festival</t>
        </is>
      </c>
      <c r="E10" s="39" t="inlineStr">
        <is>
          <t>Southwest</t>
        </is>
      </c>
    </row>
    <row r="11" ht="18" customHeight="1">
      <c r="D11" s="39" t="inlineStr">
        <is>
          <t>Convention</t>
        </is>
      </c>
      <c r="E11" s="39" t="inlineStr">
        <is>
          <t>West Coast</t>
        </is>
      </c>
    </row>
    <row r="12" ht="18" customHeight="1">
      <c r="A12" s="21" t="inlineStr">
        <is>
          <t>DROPDOWN LISTS  —  edit to match your portfolio</t>
        </is>
      </c>
      <c r="D12" s="39" t="inlineStr">
        <is>
          <t>Other</t>
        </is>
      </c>
      <c r="E12" s="39" t="inlineStr">
        <is>
          <t>Mountain</t>
        </is>
      </c>
    </row>
    <row r="13" ht="18" customHeight="1">
      <c r="D13" s="39" t="inlineStr">
        <is>
          <t>Event types</t>
        </is>
      </c>
      <c r="E13" s="39" t="inlineStr">
        <is>
          <t>Regions</t>
        </is>
      </c>
    </row>
    <row r="14" ht="18" customHeight="1">
      <c r="D14" s="39" t="n"/>
      <c r="E14" s="39" t="n"/>
    </row>
    <row r="15" ht="18" customHeight="1">
      <c r="D15" s="39" t="n"/>
      <c r="E15" s="39" t="n"/>
    </row>
    <row r="18" ht="22" customHeight="1">
      <c r="A18" s="21" t="inlineStr">
        <is>
          <t>YEAR-END ARCHIVE  —  fill in Jan, then clear Events for the new year</t>
        </is>
      </c>
    </row>
    <row r="19" ht="22" customHeight="1">
      <c r="A19" s="37" t="inlineStr">
        <is>
          <t>Year</t>
        </is>
      </c>
      <c r="B19" s="37" t="inlineStr">
        <is>
          <t>Events tracked</t>
        </is>
      </c>
      <c r="C19" s="37" t="inlineStr">
        <is>
          <t>Avg lift %</t>
        </is>
      </c>
      <c r="D19" s="37" t="inlineStr">
        <is>
          <t>Total $ lift captured</t>
        </is>
      </c>
    </row>
    <row r="20" ht="18" customHeight="1">
      <c r="A20" s="40" t="n">
        <v>2026</v>
      </c>
      <c r="B20" s="39" t="n"/>
      <c r="C20" s="55" t="n"/>
      <c r="D20" s="56" t="n"/>
    </row>
    <row r="21" ht="18" customHeight="1">
      <c r="A21" s="40" t="n">
        <v>2027</v>
      </c>
      <c r="B21" s="39" t="n"/>
      <c r="C21" s="55" t="n"/>
      <c r="D21" s="56" t="n"/>
    </row>
    <row r="22" ht="18" customHeight="1">
      <c r="A22" s="40" t="n">
        <v>2028</v>
      </c>
      <c r="B22" s="39" t="n"/>
      <c r="C22" s="55" t="n"/>
      <c r="D22" s="56" t="n"/>
    </row>
    <row r="23" ht="18" customHeight="1">
      <c r="A23" s="40" t="n">
        <v>2029</v>
      </c>
      <c r="B23" s="39" t="n"/>
      <c r="C23" s="55" t="n"/>
      <c r="D23" s="56" t="n"/>
    </row>
    <row r="24" ht="18" customHeight="1">
      <c r="A24" s="40" t="n">
        <v>2030</v>
      </c>
      <c r="B24" s="39" t="n"/>
      <c r="C24" s="55" t="n"/>
      <c r="D24" s="56" t="n"/>
    </row>
    <row r="25" ht="18" customHeight="1">
      <c r="A25" s="40" t="n">
        <v>2031</v>
      </c>
      <c r="B25" s="39" t="n"/>
      <c r="C25" s="55" t="n"/>
      <c r="D25" s="56" t="n"/>
    </row>
    <row r="28" ht="36" customHeight="1">
      <c r="A28" s="57" t="inlineStr">
        <is>
          <t>Tip: each January, copy your YTD totals from Events into the row above for last year, then clear Events to repopulate with the new year's holidays + festivals.</t>
        </is>
      </c>
    </row>
  </sheetData>
  <mergeCells count="6">
    <mergeCell ref="D2:L2"/>
    <mergeCell ref="A28:F28"/>
    <mergeCell ref="A18:F18"/>
    <mergeCell ref="A12:C12"/>
    <mergeCell ref="A2:C2"/>
    <mergeCell ref="A4:L4"/>
  </mergeCells>
  <dataValidations count="1">
    <dataValidation sqref="B9" showDropDown="0" showInputMessage="0" showErrorMessage="0" allowBlank="1" type="list">
      <formula1>"Northeast,Southeast,Midwest,Southwest,West Coast,Mountain"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Holiday + Event Pricing Calendar — The STR Ledger</dc:title>
  <dc:description xmlns:dc="http://purl.org/dc/elements/1.1/">Pre-built calendar of high-rate dates (federal holidays, school breaks, regional events) with per-event demand lift % and auto-calculated suggested nightly rate.</dc:description>
  <dcterms:created xmlns:dcterms="http://purl.org/dc/terms/" xmlns:xsi="http://www.w3.org/2001/XMLSchema-instance" xsi:type="dcterms:W3CDTF">2026-05-03T12:28:47Z</dcterms:created>
  <dcterms:modified xmlns:dcterms="http://purl.org/dc/terms/" xmlns:xsi="http://www.w3.org/2001/XMLSchema-instance" xsi:type="dcterms:W3CDTF">2026-05-03T12:28:48Z</dcterms:modified>
</cp:coreProperties>
</file>