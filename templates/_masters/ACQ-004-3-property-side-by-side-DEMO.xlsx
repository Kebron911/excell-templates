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Comparison Matrix" sheetId="4" state="visible" r:id="rId4"/>
    <sheet xmlns:r="http://schemas.openxmlformats.org/officeDocument/2006/relationships" name="Decision Notes" sheetId="5" state="visible" r:id="rId5"/>
  </sheets>
  <definedNames>
    <definedName name="_xlnm.Print_Area" localSheetId="0">'Start'!$A$1:$L$36</definedName>
    <definedName name="_xlnm.Print_Area" localSheetId="1">'Inputs'!$A$1:$L$38</definedName>
    <definedName name="_xlnm.Print_Area" localSheetId="2">'Underwriting'!$A$1:$L$23</definedName>
    <definedName name="_xlnm.Print_Area" localSheetId="3">'Comparison Matrix'!$A$1:$L$35</definedName>
    <definedName name="_xlnm.Print_Area" localSheetId="4">'Decision Notes'!$A$1:$L$43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0.0"/>
    <numFmt numFmtId="167" formatCode="0.000%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Georgia"/>
      <i val="1"/>
      <color rgb="0012304E"/>
      <sz val="14"/>
    </font>
    <font>
      <name val="Consolas"/>
      <b val="1"/>
      <color rgb="006B7280"/>
      <sz val="9"/>
    </font>
    <font>
      <name val="Georgia"/>
      <b val="1"/>
      <color rgb="00C9A24B"/>
      <sz val="22"/>
    </font>
    <font>
      <name val="Georgia"/>
      <b val="1"/>
      <color rgb="0012304E"/>
      <sz val="16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2"/>
    </font>
    <font>
      <name val="Consolas"/>
      <i val="1"/>
      <color rgb="006B7280"/>
      <sz val="9"/>
    </font>
    <font>
      <name val="Georgia"/>
      <b val="1"/>
      <color rgb="00C9A24B"/>
      <sz val="14"/>
    </font>
    <font>
      <name val="Georgia"/>
      <b val="1"/>
      <color rgb="0012304E"/>
      <sz val="14"/>
    </font>
    <font>
      <name val="Georgia"/>
      <i val="1"/>
      <color rgb="00C9A24B"/>
      <sz val="12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FE5D0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1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 vertical="center" indent="2"/>
    </xf>
    <xf numFmtId="0" fontId="16" fillId="3" borderId="0" applyAlignment="1" pivotButton="0" quotePrefix="0" xfId="0">
      <alignment horizontal="left" vertical="center" indent="1"/>
    </xf>
    <xf numFmtId="0" fontId="12" fillId="2" borderId="5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 indent="2"/>
    </xf>
    <xf numFmtId="0" fontId="18" fillId="0" borderId="0" applyAlignment="1" pivotButton="0" quotePrefix="0" xfId="0">
      <alignment horizontal="right" vertical="center" indent="1"/>
    </xf>
    <xf numFmtId="0" fontId="19" fillId="6" borderId="0" applyAlignment="1" pivotButton="0" quotePrefix="0" xfId="0">
      <alignment horizontal="center" vertical="center"/>
    </xf>
    <xf numFmtId="1" fontId="19" fillId="6" borderId="0" applyAlignment="1" pivotButton="0" quotePrefix="0" xfId="0">
      <alignment horizontal="center" vertical="center"/>
    </xf>
    <xf numFmtId="166" fontId="19" fillId="6" borderId="0" applyAlignment="1" pivotButton="0" quotePrefix="0" xfId="0">
      <alignment horizontal="center" vertical="center"/>
    </xf>
    <xf numFmtId="164" fontId="19" fillId="6" borderId="0" applyAlignment="1" pivotButton="0" quotePrefix="0" xfId="0">
      <alignment horizontal="center" vertical="center"/>
    </xf>
    <xf numFmtId="165" fontId="19" fillId="6" borderId="0" applyAlignment="1" pivotButton="0" quotePrefix="0" xfId="0">
      <alignment horizontal="center" vertical="center"/>
    </xf>
    <xf numFmtId="167" fontId="19" fillId="6" borderId="0" applyAlignment="1" pivotButton="0" quotePrefix="0" xfId="0">
      <alignment horizontal="center" vertical="center"/>
    </xf>
    <xf numFmtId="164" fontId="20" fillId="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indent="1"/>
    </xf>
    <xf numFmtId="164" fontId="22" fillId="4" borderId="0" applyAlignment="1" pivotButton="0" quotePrefix="0" xfId="0">
      <alignment horizontal="center" vertical="center"/>
    </xf>
    <xf numFmtId="165" fontId="22" fillId="4" borderId="0" applyAlignment="1" pivotButton="0" quotePrefix="0" xfId="0">
      <alignment horizontal="center" vertical="center"/>
    </xf>
    <xf numFmtId="165" fontId="20" fillId="7" borderId="0" applyAlignment="1" pivotButton="0" quotePrefix="0" xfId="0">
      <alignment horizontal="center" vertical="center"/>
    </xf>
    <xf numFmtId="2" fontId="20" fillId="7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indent="1"/>
    </xf>
    <xf numFmtId="164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 indent="1"/>
    </xf>
    <xf numFmtId="164" fontId="19" fillId="8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165" fontId="19" fillId="8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2" fontId="19" fillId="8" borderId="0" applyAlignment="1" pivotButton="0" quotePrefix="0" xfId="0">
      <alignment horizontal="center" vertical="center"/>
    </xf>
    <xf numFmtId="1" fontId="19" fillId="0" borderId="0" applyAlignment="1" pivotButton="0" quotePrefix="0" xfId="0">
      <alignment horizontal="center" vertical="center"/>
    </xf>
    <xf numFmtId="1" fontId="19" fillId="8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right" vertical="center" indent="1"/>
    </xf>
    <xf numFmtId="1" fontId="24" fillId="4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26" fillId="8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19" fillId="6" borderId="0" applyAlignment="1" pivotButton="0" quotePrefix="0" xfId="0">
      <alignment horizontal="left" vertical="top" wrapText="1" indent="1"/>
    </xf>
    <xf numFmtId="0" fontId="24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alibri"/>
        <b val="1"/>
        <color rgb="0012304E"/>
        <sz val="11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3-Property Side-by-Side</t>
        </is>
      </c>
    </row>
    <row r="5" ht="22" customHeight="1">
      <c r="A5" s="4" t="inlineStr">
        <is>
          <t>Compare 3 acquisition candidates head-to-head. Pick the winner.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ACQ-004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2" customHeight="1">
      <c r="A10" s="6" t="inlineStr">
        <is>
          <t>PROPERTY A</t>
        </is>
      </c>
      <c r="E10" s="6" t="inlineStr">
        <is>
          <t>PROPERTY B</t>
        </is>
      </c>
      <c r="I10" s="6" t="inlineStr">
        <is>
          <t>PROPERTY C</t>
        </is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4" customHeight="1">
      <c r="A12" s="8">
        <f>IF(Inputs!C7="","(unnamed)",Inputs!C7)</f>
        <v/>
      </c>
      <c r="E12" s="8">
        <f>IF(Inputs!D7="","(unnamed)",Inputs!D7)</f>
        <v/>
      </c>
      <c r="I12" s="8">
        <f>IF(Inputs!E7="","(unnamed)",Inputs!E7)</f>
        <v/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6" customHeight="1">
      <c r="A14" s="9" t="inlineStr">
        <is>
          <t>Y1 CASH FLOW</t>
        </is>
      </c>
      <c r="E14" s="9" t="inlineStr">
        <is>
          <t>Y1 CASH FLOW</t>
        </is>
      </c>
      <c r="I14" s="9" t="inlineStr">
        <is>
          <t>Y1 CASH FLOW</t>
        </is>
      </c>
    </row>
    <row r="15" ht="22" customHeight="1">
      <c r="A15" s="10">
        <f>Underwriting!C16</f>
        <v/>
      </c>
      <c r="E15" s="10">
        <f>Underwriting!D16</f>
        <v/>
      </c>
      <c r="I15" s="10">
        <f>Underwriting!E16</f>
        <v/>
      </c>
    </row>
    <row r="16" ht="18" customHeight="1"/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16" customHeight="1">
      <c r="A18" s="9" t="inlineStr">
        <is>
          <t>CASH-ON-CASH</t>
        </is>
      </c>
      <c r="E18" s="9" t="inlineStr">
        <is>
          <t>CASH-ON-CASH</t>
        </is>
      </c>
      <c r="I18" s="9" t="inlineStr">
        <is>
          <t>CASH-ON-CASH</t>
        </is>
      </c>
    </row>
    <row r="19" ht="22" customHeight="1">
      <c r="A19" s="11">
        <f>Underwriting!C12</f>
        <v/>
      </c>
      <c r="E19" s="11">
        <f>Underwriting!D12</f>
        <v/>
      </c>
      <c r="I19" s="11">
        <f>Underwriting!E12</f>
        <v/>
      </c>
    </row>
    <row r="22" ht="18" customHeight="1">
      <c r="A22" s="12" t="inlineStr">
        <is>
          <t>RECOMMENDATION</t>
        </is>
      </c>
    </row>
    <row r="23" ht="30" customHeight="1">
      <c r="A23" s="13">
        <f>'Comparison Matrix'!A30</f>
        <v/>
      </c>
    </row>
    <row r="24" ht="18" customHeight="1"/>
    <row r="26" ht="22" customHeight="1">
      <c r="A26" s="14">
        <f>HYPERLINK("#'Inputs'!A1", "Inputs")</f>
        <v/>
      </c>
      <c r="B26" s="15" t="n"/>
      <c r="C26" s="15" t="n"/>
      <c r="D26" s="14">
        <f>HYPERLINK("#'Underwriting'!A1", "Underwriting")</f>
        <v/>
      </c>
      <c r="E26" s="15" t="n"/>
      <c r="F26" s="15" t="n"/>
      <c r="G26" s="16">
        <f>HYPERLINK("#'Comparison Matrix'!A1", "→ Compare")</f>
        <v/>
      </c>
      <c r="H26" s="17" t="n"/>
      <c r="I26" s="17" t="n"/>
      <c r="J26" s="18">
        <f>HYPERLINK("#'Decision Notes'!A1", "Decision Notes")</f>
        <v/>
      </c>
      <c r="K26" s="19" t="n"/>
      <c r="L26" s="19" t="n"/>
    </row>
    <row r="27" ht="22" customHeight="1">
      <c r="A27" s="15" t="n"/>
      <c r="B27" s="15" t="n"/>
      <c r="C27" s="15" t="n"/>
      <c r="D27" s="15" t="n"/>
      <c r="E27" s="15" t="n"/>
      <c r="F27" s="15" t="n"/>
      <c r="G27" s="17" t="n"/>
      <c r="H27" s="17" t="n"/>
      <c r="I27" s="17" t="n"/>
      <c r="J27" s="19" t="n"/>
      <c r="K27" s="19" t="n"/>
      <c r="L27" s="19" t="n"/>
    </row>
    <row r="28" ht="22" customHeight="1">
      <c r="A28" s="15" t="n"/>
      <c r="B28" s="15" t="n"/>
      <c r="C28" s="15" t="n"/>
      <c r="D28" s="15" t="n"/>
      <c r="E28" s="15" t="n"/>
      <c r="F28" s="15" t="n"/>
      <c r="G28" s="17" t="n"/>
      <c r="H28" s="17" t="n"/>
      <c r="I28" s="17" t="n"/>
      <c r="J28" s="19" t="n"/>
      <c r="K28" s="19" t="n"/>
      <c r="L28" s="19" t="n"/>
    </row>
    <row r="31" ht="36" customHeight="1">
      <c r="A31" s="20" t="inlineStr">
        <is>
          <t>💡  Need to compare more than 3? The Acquisition Bundle at thestrledger.com includes deal analyzer + cost-to-launch + arbitrage analyzer.</t>
        </is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 ht="18" customHeight="1">
      <c r="A34" s="22" t="inlineStr">
        <is>
          <t>Questions? hello@thestrledger.com</t>
        </is>
      </c>
    </row>
    <row r="35" ht="18" customHeight="1">
      <c r="A35" s="23" t="inlineStr">
        <is>
          <t>ACQ-004 · v1.0 · DEMO · Free updates forever</t>
        </is>
      </c>
    </row>
  </sheetData>
  <mergeCells count="31">
    <mergeCell ref="I14:L14"/>
    <mergeCell ref="A7:L7"/>
    <mergeCell ref="A23:L24"/>
    <mergeCell ref="I10:L10"/>
    <mergeCell ref="A19:D19"/>
    <mergeCell ref="A10:D10"/>
    <mergeCell ref="I19:L19"/>
    <mergeCell ref="A2:F2"/>
    <mergeCell ref="E18:H18"/>
    <mergeCell ref="E12:H12"/>
    <mergeCell ref="A5:L5"/>
    <mergeCell ref="J26:L28"/>
    <mergeCell ref="A26:C28"/>
    <mergeCell ref="A22:L22"/>
    <mergeCell ref="E15:H16"/>
    <mergeCell ref="A35:L35"/>
    <mergeCell ref="A4:L4"/>
    <mergeCell ref="E14:H14"/>
    <mergeCell ref="G26:I28"/>
    <mergeCell ref="A31:L31"/>
    <mergeCell ref="E19:H19"/>
    <mergeCell ref="D26:F28"/>
    <mergeCell ref="E10:H10"/>
    <mergeCell ref="A34:L34"/>
    <mergeCell ref="A18:D18"/>
    <mergeCell ref="I18:L18"/>
    <mergeCell ref="A12:D12"/>
    <mergeCell ref="I12:L12"/>
    <mergeCell ref="A15:D16"/>
    <mergeCell ref="I15:L16"/>
    <mergeCell ref="A14:D1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BACK")</f>
        <v/>
      </c>
      <c r="B2" s="15" t="n"/>
      <c r="C2" s="15" t="n"/>
      <c r="D2" s="24" t="inlineStr">
        <is>
          <t>INPUTS</t>
        </is>
      </c>
      <c r="J2" s="16">
        <f>HYPERLINK("#'Underwriting'!A1",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Three properties side-by-side. Fill A, B, C columns. Underwriting computes automatically.</t>
        </is>
      </c>
    </row>
    <row r="5" ht="24" customHeight="1">
      <c r="B5" t="inlineStr"/>
      <c r="C5" s="26" t="inlineStr">
        <is>
          <t>PROPERTY A</t>
        </is>
      </c>
      <c r="D5" s="26" t="inlineStr">
        <is>
          <t>PROPERTY B</t>
        </is>
      </c>
      <c r="E5" s="26" t="inlineStr">
        <is>
          <t>PROPERTY C</t>
        </is>
      </c>
    </row>
    <row r="6" ht="24" customHeight="1">
      <c r="A6" s="27" t="inlineStr">
        <is>
          <t>PROPERTY</t>
        </is>
      </c>
    </row>
    <row r="7" ht="18" customHeight="1">
      <c r="B7" s="28" t="inlineStr">
        <is>
          <t>Property name:</t>
        </is>
      </c>
      <c r="C7" s="29" t="inlineStr">
        <is>
          <t>Smokies Ridge Cabin</t>
        </is>
      </c>
      <c r="D7" s="29" t="inlineStr">
        <is>
          <t>Lakehouse Retreat</t>
        </is>
      </c>
      <c r="E7" s="29" t="inlineStr">
        <is>
          <t>Creek Side Cottage</t>
        </is>
      </c>
    </row>
    <row r="8" ht="18" customHeight="1">
      <c r="B8" s="28" t="inlineStr">
        <is>
          <t>Address:</t>
        </is>
      </c>
      <c r="C8" s="29" t="inlineStr">
        <is>
          <t>123 Mountain Lane, Gatlinburg TN</t>
        </is>
      </c>
      <c r="D8" s="29" t="inlineStr">
        <is>
          <t>47 Shoreline Dr, Sevierville TN</t>
        </is>
      </c>
      <c r="E8" s="29" t="inlineStr">
        <is>
          <t>9 Creekbed Rd, Pigeon Forge TN</t>
        </is>
      </c>
    </row>
    <row r="9" ht="18" customHeight="1">
      <c r="B9" s="28" t="inlineStr">
        <is>
          <t>Bedrooms:</t>
        </is>
      </c>
      <c r="C9" s="30" t="n">
        <v>3</v>
      </c>
      <c r="D9" s="30" t="n">
        <v>4</v>
      </c>
      <c r="E9" s="30" t="n">
        <v>2</v>
      </c>
    </row>
    <row r="10" ht="18" customHeight="1">
      <c r="B10" s="28" t="inlineStr">
        <is>
          <t>Bathrooms:</t>
        </is>
      </c>
      <c r="C10" s="31" t="n">
        <v>2</v>
      </c>
      <c r="D10" s="31" t="n">
        <v>3</v>
      </c>
      <c r="E10" s="31" t="n">
        <v>2</v>
      </c>
    </row>
    <row r="11" ht="18" customHeight="1">
      <c r="B11" s="28" t="inlineStr">
        <is>
          <t>Sleeps:</t>
        </is>
      </c>
      <c r="C11" s="30" t="n">
        <v>8</v>
      </c>
      <c r="D11" s="30" t="n">
        <v>10</v>
      </c>
      <c r="E11" s="30" t="n">
        <v>6</v>
      </c>
    </row>
    <row r="13" ht="24" customHeight="1">
      <c r="A13" s="27" t="inlineStr">
        <is>
          <t>FINANCING</t>
        </is>
      </c>
    </row>
    <row r="14" ht="18" customHeight="1">
      <c r="B14" s="28" t="inlineStr">
        <is>
          <t>Purchase price ($):</t>
        </is>
      </c>
      <c r="C14" s="32" t="n">
        <v>485000</v>
      </c>
      <c r="D14" s="32" t="n">
        <v>625000</v>
      </c>
      <c r="E14" s="32" t="n">
        <v>360000</v>
      </c>
    </row>
    <row r="15" ht="18" customHeight="1">
      <c r="B15" s="28" t="inlineStr">
        <is>
          <t>Down payment (%):</t>
        </is>
      </c>
      <c r="C15" s="33" t="n">
        <v>0.25</v>
      </c>
      <c r="D15" s="33" t="n">
        <v>0.25</v>
      </c>
      <c r="E15" s="33" t="n">
        <v>0.25</v>
      </c>
    </row>
    <row r="16" ht="18" customHeight="1">
      <c r="B16" s="28" t="inlineStr">
        <is>
          <t>Interest rate (%):</t>
        </is>
      </c>
      <c r="C16" s="34" t="n">
        <v>0.07000000000000001</v>
      </c>
      <c r="D16" s="34" t="n">
        <v>0.07000000000000001</v>
      </c>
      <c r="E16" s="34" t="n">
        <v>0.07000000000000001</v>
      </c>
    </row>
    <row r="17" ht="18" customHeight="1">
      <c r="B17" s="28" t="inlineStr">
        <is>
          <t>Term (years):</t>
        </is>
      </c>
      <c r="C17" s="30" t="n">
        <v>30</v>
      </c>
      <c r="D17" s="30" t="n">
        <v>30</v>
      </c>
      <c r="E17" s="30" t="n">
        <v>30</v>
      </c>
    </row>
    <row r="18" ht="18" customHeight="1">
      <c r="B18" s="28" t="inlineStr">
        <is>
          <t>Rehab budget ($):</t>
        </is>
      </c>
      <c r="C18" s="32" t="n">
        <v>35000</v>
      </c>
      <c r="D18" s="32" t="n">
        <v>22000</v>
      </c>
      <c r="E18" s="32" t="n">
        <v>18000</v>
      </c>
    </row>
    <row r="19" ht="18" customHeight="1">
      <c r="B19" s="28" t="inlineStr">
        <is>
          <t>Furniture budget ($):</t>
        </is>
      </c>
      <c r="C19" s="32" t="n">
        <v>25000</v>
      </c>
      <c r="D19" s="32" t="n">
        <v>32000</v>
      </c>
      <c r="E19" s="32" t="n">
        <v>18000</v>
      </c>
    </row>
    <row r="20" ht="18" customHeight="1">
      <c r="B20" s="28" t="inlineStr">
        <is>
          <t>Reserves ($):</t>
        </is>
      </c>
      <c r="C20" s="32" t="n">
        <v>12000</v>
      </c>
      <c r="D20" s="32" t="n">
        <v>15000</v>
      </c>
      <c r="E20" s="32" t="n">
        <v>9000</v>
      </c>
    </row>
    <row r="22" ht="24" customHeight="1">
      <c r="A22" s="27" t="inlineStr">
        <is>
          <t>REVENUE</t>
        </is>
      </c>
    </row>
    <row r="23" ht="18" customHeight="1">
      <c r="B23" s="28" t="inlineStr">
        <is>
          <t>Projected occupancy (%):</t>
        </is>
      </c>
      <c r="C23" s="33" t="n">
        <v>0.68</v>
      </c>
      <c r="D23" s="33" t="n">
        <v>0.62</v>
      </c>
      <c r="E23" s="33" t="n">
        <v>0.64</v>
      </c>
    </row>
    <row r="24" ht="18" customHeight="1">
      <c r="B24" s="28" t="inlineStr">
        <is>
          <t>ADR — nightly rate ($):</t>
        </is>
      </c>
      <c r="C24" s="32" t="n">
        <v>285</v>
      </c>
      <c r="D24" s="32" t="n">
        <v>340</v>
      </c>
      <c r="E24" s="32" t="n">
        <v>215</v>
      </c>
    </row>
    <row r="26" ht="24" customHeight="1">
      <c r="A26" s="27" t="inlineStr">
        <is>
          <t>OPERATING EXPENSES (ANNUAL)</t>
        </is>
      </c>
    </row>
    <row r="27" ht="18" customHeight="1">
      <c r="B27" s="28" t="inlineStr">
        <is>
          <t>Insurance ($):</t>
        </is>
      </c>
      <c r="C27" s="32" t="n">
        <v>3400</v>
      </c>
      <c r="D27" s="32" t="n">
        <v>4100</v>
      </c>
      <c r="E27" s="32" t="n">
        <v>2700</v>
      </c>
    </row>
    <row r="28" ht="18" customHeight="1">
      <c r="B28" s="28" t="inlineStr">
        <is>
          <t>Property tax ($):</t>
        </is>
      </c>
      <c r="C28" s="32" t="n">
        <v>5800</v>
      </c>
      <c r="D28" s="32" t="n">
        <v>7200</v>
      </c>
      <c r="E28" s="32" t="n">
        <v>4200</v>
      </c>
    </row>
    <row r="29" ht="18" customHeight="1">
      <c r="B29" s="28" t="inlineStr">
        <is>
          <t>Utilities ($):</t>
        </is>
      </c>
      <c r="C29" s="32" t="n">
        <v>2400</v>
      </c>
      <c r="D29" s="32" t="n">
        <v>3000</v>
      </c>
      <c r="E29" s="32" t="n">
        <v>1800</v>
      </c>
    </row>
    <row r="30" ht="18" customHeight="1">
      <c r="B30" s="28" t="inlineStr">
        <is>
          <t>Management fee (%):</t>
        </is>
      </c>
      <c r="C30" s="33" t="n">
        <v>0</v>
      </c>
      <c r="D30" s="33" t="n">
        <v>0</v>
      </c>
      <c r="E30" s="33" t="n">
        <v>0</v>
      </c>
    </row>
    <row r="31" ht="18" customHeight="1">
      <c r="B31" s="28" t="inlineStr">
        <is>
          <t>Cleaning ($/yr):</t>
        </is>
      </c>
      <c r="C31" s="32" t="n">
        <v>6800</v>
      </c>
      <c r="D31" s="32" t="n">
        <v>8200</v>
      </c>
      <c r="E31" s="32" t="n">
        <v>5400</v>
      </c>
    </row>
    <row r="32" ht="18" customHeight="1">
      <c r="B32" s="28" t="inlineStr">
        <is>
          <t>Supplies ($/yr):</t>
        </is>
      </c>
      <c r="C32" s="32" t="n">
        <v>1400</v>
      </c>
      <c r="D32" s="32" t="n">
        <v>1700</v>
      </c>
      <c r="E32" s="32" t="n">
        <v>1100</v>
      </c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</row>
    <row r="36" ht="18" customHeight="1">
      <c r="A36" s="22" t="inlineStr">
        <is>
          <t>Questions? hello@thestrledger.com</t>
        </is>
      </c>
    </row>
    <row r="37" ht="18" customHeight="1">
      <c r="A37" s="23" t="inlineStr">
        <is>
          <t>ACQ-004 · Inputs</t>
        </is>
      </c>
    </row>
  </sheetData>
  <mergeCells count="10">
    <mergeCell ref="J2:L2"/>
    <mergeCell ref="D2:I2"/>
    <mergeCell ref="A26:E26"/>
    <mergeCell ref="A37:L37"/>
    <mergeCell ref="A36:L36"/>
    <mergeCell ref="A13:E13"/>
    <mergeCell ref="A6:E6"/>
    <mergeCell ref="A22:E22"/>
    <mergeCell ref="A2:C2"/>
    <mergeCell ref="A4:L4"/>
  </mergeCells>
  <pageMargins left="0.5" right="0.5" top="0.5" bottom="0.5" header="0.5" footer="0.5"/>
  <pageSetup orientation="portrait" paperSize="1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2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HYPERLINK("#'Inputs'!A1", "← BACK")</f>
        <v/>
      </c>
      <c r="B2" s="15" t="n"/>
      <c r="C2" s="15" t="n"/>
      <c r="D2" s="24" t="inlineStr">
        <is>
          <t>UNDERWRITING</t>
        </is>
      </c>
      <c r="J2" s="16">
        <f>HYPERLINK("#'Comparison Matrix'!A1",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Computed metrics. Don't edit — these flow from Inputs.</t>
        </is>
      </c>
    </row>
    <row r="5" ht="24" customHeight="1">
      <c r="C5" s="26" t="inlineStr">
        <is>
          <t>PROPERTY A</t>
        </is>
      </c>
      <c r="D5" s="26" t="inlineStr">
        <is>
          <t>PROPERTY B</t>
        </is>
      </c>
      <c r="E5" s="26" t="inlineStr">
        <is>
          <t>PROPERTY C</t>
        </is>
      </c>
    </row>
    <row r="6" ht="24" customHeight="1">
      <c r="A6" s="27" t="inlineStr">
        <is>
          <t>COMPUTED METRICS</t>
        </is>
      </c>
    </row>
    <row r="7" ht="18" customHeight="1">
      <c r="B7" s="28" t="inlineStr">
        <is>
          <t>Total cash invested:</t>
        </is>
      </c>
      <c r="C7" s="35">
        <f>(Inputs!C14*Inputs!C15+Inputs!C18+Inputs!C19+Inputs!C20)</f>
        <v/>
      </c>
      <c r="D7" s="35">
        <f>(Inputs!D14*Inputs!D15+Inputs!D18+Inputs!D19+Inputs!D20)</f>
        <v/>
      </c>
      <c r="E7" s="35">
        <f>(Inputs!E14*Inputs!E15+Inputs!E18+Inputs!E19+Inputs!E20)</f>
        <v/>
      </c>
    </row>
    <row r="8" ht="18" customHeight="1">
      <c r="B8" s="28" t="inlineStr">
        <is>
          <t>Gross revenue (annual):</t>
        </is>
      </c>
      <c r="C8" s="35">
        <f>(Inputs!C23*365*Inputs!C24)</f>
        <v/>
      </c>
      <c r="D8" s="35">
        <f>(Inputs!D23*365*Inputs!D24)</f>
        <v/>
      </c>
      <c r="E8" s="35">
        <f>(Inputs!E23*365*Inputs!E24)</f>
        <v/>
      </c>
    </row>
    <row r="9" ht="18" customHeight="1">
      <c r="B9" s="28" t="inlineStr">
        <is>
          <t>Operating expenses:</t>
        </is>
      </c>
      <c r="C9" s="35">
        <f>(Inputs!C27+Inputs!C28+Inputs!C29+Inputs!C31+Inputs!C32+(Inputs!C23*365*Inputs!C24)*Inputs!C30)</f>
        <v/>
      </c>
      <c r="D9" s="35">
        <f>(Inputs!D27+Inputs!D28+Inputs!D29+Inputs!D31+Inputs!D32+(Inputs!D23*365*Inputs!D24)*Inputs!D30)</f>
        <v/>
      </c>
      <c r="E9" s="35">
        <f>(Inputs!E27+Inputs!E28+Inputs!E29+Inputs!E31+Inputs!E32+(Inputs!E23*365*Inputs!E24)*Inputs!E30)</f>
        <v/>
      </c>
    </row>
    <row r="10" ht="22" customHeight="1">
      <c r="B10" s="36" t="inlineStr">
        <is>
          <t>NOI (annual):</t>
        </is>
      </c>
      <c r="C10" s="37">
        <f>((Inputs!C23*365*Inputs!C24)-(Inputs!C27+Inputs!C28+Inputs!C29+Inputs!C31+Inputs!C32+(Inputs!C23*365*Inputs!C24)*Inputs!C30))</f>
        <v/>
      </c>
      <c r="D10" s="37">
        <f>((Inputs!D23*365*Inputs!D24)-(Inputs!D27+Inputs!D28+Inputs!D29+Inputs!D31+Inputs!D32+(Inputs!D23*365*Inputs!D24)*Inputs!D30))</f>
        <v/>
      </c>
      <c r="E10" s="37">
        <f>((Inputs!E23*365*Inputs!E24)-(Inputs!E27+Inputs!E28+Inputs!E29+Inputs!E31+Inputs!E32+(Inputs!E23*365*Inputs!E24)*Inputs!E30))</f>
        <v/>
      </c>
    </row>
    <row r="11" ht="18" customHeight="1">
      <c r="B11" s="28" t="inlineStr">
        <is>
          <t>Annual debt service:</t>
        </is>
      </c>
      <c r="C11" s="35">
        <f>(IFERROR(PMT(Inputs!C16/12,Inputs!C17*12,-(Inputs!C14*(1-Inputs!C15))),0)*12)</f>
        <v/>
      </c>
      <c r="D11" s="35">
        <f>(IFERROR(PMT(Inputs!D16/12,Inputs!D17*12,-(Inputs!D14*(1-Inputs!D15))),0)*12)</f>
        <v/>
      </c>
      <c r="E11" s="35">
        <f>(IFERROR(PMT(Inputs!E16/12,Inputs!E17*12,-(Inputs!E14*(1-Inputs!E15))),0)*12)</f>
        <v/>
      </c>
    </row>
    <row r="12" ht="22" customHeight="1">
      <c r="B12" s="36" t="inlineStr">
        <is>
          <t>Cash-on-cash:</t>
        </is>
      </c>
      <c r="C12" s="38">
        <f>((((Inputs!C23*365*Inputs!C24)-(Inputs!C27+Inputs!C28+Inputs!C29+Inputs!C31+Inputs!C32+(Inputs!C23*365*Inputs!C24)*Inputs!C30))-(IFERROR(PMT(Inputs!C16/12,Inputs!C17*12,-(Inputs!C14*(1-Inputs!C15))),0)*12))/(Inputs!C14*Inputs!C15+Inputs!C18+Inputs!C19+Inputs!C20))</f>
        <v/>
      </c>
      <c r="D12" s="38">
        <f>((((Inputs!D23*365*Inputs!D24)-(Inputs!D27+Inputs!D28+Inputs!D29+Inputs!D31+Inputs!D32+(Inputs!D23*365*Inputs!D24)*Inputs!D30))-(IFERROR(PMT(Inputs!D16/12,Inputs!D17*12,-(Inputs!D14*(1-Inputs!D15))),0)*12))/(Inputs!D14*Inputs!D15+Inputs!D18+Inputs!D19+Inputs!D20))</f>
        <v/>
      </c>
      <c r="E12" s="38">
        <f>((((Inputs!E23*365*Inputs!E24)-(Inputs!E27+Inputs!E28+Inputs!E29+Inputs!E31+Inputs!E32+(Inputs!E23*365*Inputs!E24)*Inputs!E30))-(IFERROR(PMT(Inputs!E16/12,Inputs!E17*12,-(Inputs!E14*(1-Inputs!E15))),0)*12))/(Inputs!E14*Inputs!E15+Inputs!E18+Inputs!E19+Inputs!E20))</f>
        <v/>
      </c>
    </row>
    <row r="13" ht="18" customHeight="1">
      <c r="B13" s="28" t="inlineStr">
        <is>
          <t>Cap rate:</t>
        </is>
      </c>
      <c r="C13" s="39">
        <f>(((Inputs!C23*365*Inputs!C24)-(Inputs!C27+Inputs!C28+Inputs!C29+Inputs!C31+Inputs!C32+(Inputs!C23*365*Inputs!C24)*Inputs!C30))/Inputs!C14)</f>
        <v/>
      </c>
      <c r="D13" s="39">
        <f>(((Inputs!D23*365*Inputs!D24)-(Inputs!D27+Inputs!D28+Inputs!D29+Inputs!D31+Inputs!D32+(Inputs!D23*365*Inputs!D24)*Inputs!D30))/Inputs!D14)</f>
        <v/>
      </c>
      <c r="E13" s="39">
        <f>(((Inputs!E23*365*Inputs!E24)-(Inputs!E27+Inputs!E28+Inputs!E29+Inputs!E31+Inputs!E32+(Inputs!E23*365*Inputs!E24)*Inputs!E30))/Inputs!E14)</f>
        <v/>
      </c>
    </row>
    <row r="14" ht="18" customHeight="1">
      <c r="B14" s="28" t="inlineStr">
        <is>
          <t>DSCR:</t>
        </is>
      </c>
      <c r="C14" s="40">
        <f>(((Inputs!C23*365*Inputs!C24)-(Inputs!C27+Inputs!C28+Inputs!C29+Inputs!C31+Inputs!C32+(Inputs!C23*365*Inputs!C24)*Inputs!C30))/(IFERROR(PMT(Inputs!C16/12,Inputs!C17*12,-(Inputs!C14*(1-Inputs!C15))),0)*12))</f>
        <v/>
      </c>
      <c r="D14" s="40">
        <f>(((Inputs!D23*365*Inputs!D24)-(Inputs!D27+Inputs!D28+Inputs!D29+Inputs!D31+Inputs!D32+(Inputs!D23*365*Inputs!D24)*Inputs!D30))/(IFERROR(PMT(Inputs!D16/12,Inputs!D17*12,-(Inputs!D14*(1-Inputs!D15))),0)*12))</f>
        <v/>
      </c>
      <c r="E14" s="40">
        <f>(((Inputs!E23*365*Inputs!E24)-(Inputs!E27+Inputs!E28+Inputs!E29+Inputs!E31+Inputs!E32+(Inputs!E23*365*Inputs!E24)*Inputs!E30))/(IFERROR(PMT(Inputs!E16/12,Inputs!E17*12,-(Inputs!E14*(1-Inputs!E15))),0)*12))</f>
        <v/>
      </c>
    </row>
    <row r="15" ht="18" customHeight="1">
      <c r="B15" s="28" t="inlineStr">
        <is>
          <t>Break-even occupancy:</t>
        </is>
      </c>
      <c r="C15" s="39">
        <f>(((Inputs!C27+Inputs!C28+Inputs!C29+Inputs!C31+Inputs!C32)+(IFERROR(PMT(Inputs!C16/12,Inputs!C17*12,-(Inputs!C14*(1-Inputs!C15))),0)*12))/(365*Inputs!C24*(1-Inputs!C30)))</f>
        <v/>
      </c>
      <c r="D15" s="39">
        <f>(((Inputs!D27+Inputs!D28+Inputs!D29+Inputs!D31+Inputs!D32)+(IFERROR(PMT(Inputs!D16/12,Inputs!D17*12,-(Inputs!D14*(1-Inputs!D15))),0)*12))/(365*Inputs!D24*(1-Inputs!D30)))</f>
        <v/>
      </c>
      <c r="E15" s="39">
        <f>(((Inputs!E27+Inputs!E28+Inputs!E29+Inputs!E31+Inputs!E32)+(IFERROR(PMT(Inputs!E16/12,Inputs!E17*12,-(Inputs!E14*(1-Inputs!E15))),0)*12))/(365*Inputs!E24*(1-Inputs!E30)))</f>
        <v/>
      </c>
    </row>
    <row r="16" ht="22" customHeight="1">
      <c r="B16" s="36" t="inlineStr">
        <is>
          <t>Annual cash flow (Y1):</t>
        </is>
      </c>
      <c r="C16" s="37">
        <f>(((Inputs!C23*365*Inputs!C24)-(Inputs!C27+Inputs!C28+Inputs!C29+Inputs!C31+Inputs!C32+(Inputs!C23*365*Inputs!C24)*Inputs!C30))-(IFERROR(PMT(Inputs!C16/12,Inputs!C17*12,-(Inputs!C14*(1-Inputs!C15))),0)*12))</f>
        <v/>
      </c>
      <c r="D16" s="37">
        <f>(((Inputs!D23*365*Inputs!D24)-(Inputs!D27+Inputs!D28+Inputs!D29+Inputs!D31+Inputs!D32+(Inputs!D23*365*Inputs!D24)*Inputs!D30))-(IFERROR(PMT(Inputs!D16/12,Inputs!D17*12,-(Inputs!D14*(1-Inputs!D15))),0)*12))</f>
        <v/>
      </c>
      <c r="E16" s="37">
        <f>(((Inputs!E23*365*Inputs!E24)-(Inputs!E27+Inputs!E28+Inputs!E29+Inputs!E31+Inputs!E32+(Inputs!E23*365*Inputs!E24)*Inputs!E30))-(IFERROR(PMT(Inputs!E16/12,Inputs!E17*12,-(Inputs!E14*(1-Inputs!E15))),0)*12))</f>
        <v/>
      </c>
    </row>
    <row r="17" ht="18" customHeight="1">
      <c r="B17" s="28" t="inlineStr">
        <is>
          <t>5-yr IRR (proxy):</t>
        </is>
      </c>
      <c r="C17" s="39">
        <f>((((((Inputs!C23*365*Inputs!C24)-(Inputs!C27+Inputs!C28+Inputs!C29+Inputs!C31+Inputs!C32+(Inputs!C23*365*Inputs!C24)*Inputs!C30))-(IFERROR(PMT(Inputs!C16/12,Inputs!C17*12,-(Inputs!C14*(1-Inputs!C15))),0)*12))*5)+(Inputs!C14*0.16))/(Inputs!C14*Inputs!C15+Inputs!C18+Inputs!C19+Inputs!C20)/5)</f>
        <v/>
      </c>
      <c r="D17" s="39">
        <f>((((((Inputs!D23*365*Inputs!D24)-(Inputs!D27+Inputs!D28+Inputs!D29+Inputs!D31+Inputs!D32+(Inputs!D23*365*Inputs!D24)*Inputs!D30))-(IFERROR(PMT(Inputs!D16/12,Inputs!D17*12,-(Inputs!D14*(1-Inputs!D15))),0)*12))*5)+(Inputs!D14*0.16))/(Inputs!D14*Inputs!D15+Inputs!D18+Inputs!D19+Inputs!D20)/5)</f>
        <v/>
      </c>
      <c r="E17" s="39">
        <f>((((((Inputs!E23*365*Inputs!E24)-(Inputs!E27+Inputs!E28+Inputs!E29+Inputs!E31+Inputs!E32+(Inputs!E23*365*Inputs!E24)*Inputs!E30))-(IFERROR(PMT(Inputs!E16/12,Inputs!E17*12,-(Inputs!E14*(1-Inputs!E15))),0)*12))*5)+(Inputs!E14*0.16))/(Inputs!E14*Inputs!E15+Inputs!E18+Inputs!E19+Inputs!E20)/5)</f>
        <v/>
      </c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 ht="18" customHeight="1">
      <c r="A21" s="22" t="inlineStr">
        <is>
          <t>Questions? hello@thestrledger.com</t>
        </is>
      </c>
    </row>
    <row r="22" ht="18" customHeight="1">
      <c r="A22" s="23" t="inlineStr">
        <is>
          <t>ACQ-004 · Underwriting</t>
        </is>
      </c>
    </row>
  </sheetData>
  <mergeCells count="7">
    <mergeCell ref="J2:L2"/>
    <mergeCell ref="D2:I2"/>
    <mergeCell ref="A22:L22"/>
    <mergeCell ref="A6:E6"/>
    <mergeCell ref="A21:L21"/>
    <mergeCell ref="A2:C2"/>
    <mergeCell ref="A4:L4"/>
  </mergeCells>
  <pageMargins left="0.5" right="0.5" top="0.5" bottom="0.5" header="0.5" footer="0.5"/>
  <pageSetup orientation="portrait" paperSize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1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HYPERLINK("#'Underwriting'!A1", "← BACK")</f>
        <v/>
      </c>
      <c r="B2" s="15" t="n"/>
      <c r="C2" s="15" t="n"/>
      <c r="D2" s="24" t="inlineStr">
        <is>
          <t>COMPARISON MATRIX</t>
        </is>
      </c>
      <c r="J2" s="16">
        <f>HYPERLINK("#'Decision Notes'!A1",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Per-row winner highlighted in gold. Recommendation auto-computes if one wins ≥ 10/16 metrics.</t>
        </is>
      </c>
    </row>
    <row r="5" ht="24" customHeight="1">
      <c r="B5" s="26" t="inlineStr">
        <is>
          <t>Metric</t>
        </is>
      </c>
      <c r="C5" s="26" t="inlineStr">
        <is>
          <t>Property A</t>
        </is>
      </c>
      <c r="D5" s="26" t="inlineStr">
        <is>
          <t>Property B</t>
        </is>
      </c>
      <c r="E5" s="26" t="inlineStr">
        <is>
          <t>Property C</t>
        </is>
      </c>
      <c r="F5" s="26" t="inlineStr">
        <is>
          <t>Direction</t>
        </is>
      </c>
    </row>
    <row r="6" ht="20" customHeight="1">
      <c r="B6" s="41" t="inlineStr">
        <is>
          <t>Purchase price</t>
        </is>
      </c>
      <c r="C6" s="42">
        <f>Inputs!C14</f>
        <v/>
      </c>
      <c r="D6" s="42">
        <f>Inputs!D14</f>
        <v/>
      </c>
      <c r="E6" s="42">
        <f>Inputs!E14</f>
        <v/>
      </c>
      <c r="F6" s="43" t="inlineStr">
        <is>
          <t>↓ lower wins</t>
        </is>
      </c>
    </row>
    <row r="7" ht="20" customHeight="1">
      <c r="B7" s="44" t="inlineStr">
        <is>
          <t>Total cash invested</t>
        </is>
      </c>
      <c r="C7" s="45">
        <f>Underwriting!C7</f>
        <v/>
      </c>
      <c r="D7" s="45">
        <f>Underwriting!D7</f>
        <v/>
      </c>
      <c r="E7" s="45">
        <f>Underwriting!E7</f>
        <v/>
      </c>
      <c r="F7" s="46" t="inlineStr">
        <is>
          <t>↓ lower wins</t>
        </is>
      </c>
    </row>
    <row r="8" ht="20" customHeight="1">
      <c r="B8" s="41" t="inlineStr">
        <is>
          <t>Gross revenue (Y1)</t>
        </is>
      </c>
      <c r="C8" s="42">
        <f>Underwriting!C8</f>
        <v/>
      </c>
      <c r="D8" s="42">
        <f>Underwriting!D8</f>
        <v/>
      </c>
      <c r="E8" s="42">
        <f>Underwriting!E8</f>
        <v/>
      </c>
      <c r="F8" s="43" t="inlineStr">
        <is>
          <t>↑ higher wins</t>
        </is>
      </c>
    </row>
    <row r="9" ht="20" customHeight="1">
      <c r="B9" s="44" t="inlineStr">
        <is>
          <t>NOI</t>
        </is>
      </c>
      <c r="C9" s="45">
        <f>Underwriting!C10</f>
        <v/>
      </c>
      <c r="D9" s="45">
        <f>Underwriting!D10</f>
        <v/>
      </c>
      <c r="E9" s="45">
        <f>Underwriting!E10</f>
        <v/>
      </c>
      <c r="F9" s="46" t="inlineStr">
        <is>
          <t>↑ higher wins</t>
        </is>
      </c>
    </row>
    <row r="10" ht="20" customHeight="1">
      <c r="B10" s="41" t="inlineStr">
        <is>
          <t>Annual cash flow (Y1)</t>
        </is>
      </c>
      <c r="C10" s="42">
        <f>Underwriting!C16</f>
        <v/>
      </c>
      <c r="D10" s="42">
        <f>Underwriting!D16</f>
        <v/>
      </c>
      <c r="E10" s="42">
        <f>Underwriting!E16</f>
        <v/>
      </c>
      <c r="F10" s="43" t="inlineStr">
        <is>
          <t>↑ higher wins</t>
        </is>
      </c>
    </row>
    <row r="11" ht="20" customHeight="1">
      <c r="B11" s="44" t="inlineStr">
        <is>
          <t>Cash-on-cash</t>
        </is>
      </c>
      <c r="C11" s="47">
        <f>Underwriting!C12</f>
        <v/>
      </c>
      <c r="D11" s="47">
        <f>Underwriting!D12</f>
        <v/>
      </c>
      <c r="E11" s="47">
        <f>Underwriting!E12</f>
        <v/>
      </c>
      <c r="F11" s="46" t="inlineStr">
        <is>
          <t>↑ higher wins</t>
        </is>
      </c>
    </row>
    <row r="12" ht="20" customHeight="1">
      <c r="B12" s="41" t="inlineStr">
        <is>
          <t>Cap rate</t>
        </is>
      </c>
      <c r="C12" s="48">
        <f>Underwriting!C13</f>
        <v/>
      </c>
      <c r="D12" s="48">
        <f>Underwriting!D13</f>
        <v/>
      </c>
      <c r="E12" s="48">
        <f>Underwriting!E13</f>
        <v/>
      </c>
      <c r="F12" s="43" t="inlineStr">
        <is>
          <t>↑ higher wins</t>
        </is>
      </c>
    </row>
    <row r="13" ht="20" customHeight="1">
      <c r="B13" s="44" t="inlineStr">
        <is>
          <t>DSCR</t>
        </is>
      </c>
      <c r="C13" s="49">
        <f>Underwriting!C14</f>
        <v/>
      </c>
      <c r="D13" s="49">
        <f>Underwriting!D14</f>
        <v/>
      </c>
      <c r="E13" s="49">
        <f>Underwriting!E14</f>
        <v/>
      </c>
      <c r="F13" s="46" t="inlineStr">
        <is>
          <t>↑ higher wins</t>
        </is>
      </c>
    </row>
    <row r="14" ht="20" customHeight="1">
      <c r="B14" s="41" t="inlineStr">
        <is>
          <t>Break-even occupancy</t>
        </is>
      </c>
      <c r="C14" s="48">
        <f>Underwriting!C15</f>
        <v/>
      </c>
      <c r="D14" s="48">
        <f>Underwriting!D15</f>
        <v/>
      </c>
      <c r="E14" s="48">
        <f>Underwriting!E15</f>
        <v/>
      </c>
      <c r="F14" s="43" t="inlineStr">
        <is>
          <t>↓ lower wins</t>
        </is>
      </c>
    </row>
    <row r="15" ht="20" customHeight="1">
      <c r="B15" s="44" t="inlineStr">
        <is>
          <t>5-yr IRR (proxy)</t>
        </is>
      </c>
      <c r="C15" s="47">
        <f>Underwriting!C17</f>
        <v/>
      </c>
      <c r="D15" s="47">
        <f>Underwriting!D17</f>
        <v/>
      </c>
      <c r="E15" s="47">
        <f>Underwriting!E17</f>
        <v/>
      </c>
      <c r="F15" s="46" t="inlineStr">
        <is>
          <t>↑ higher wins</t>
        </is>
      </c>
    </row>
    <row r="16" ht="20" customHeight="1">
      <c r="B16" s="41" t="inlineStr">
        <is>
          <t>Operating expenses</t>
        </is>
      </c>
      <c r="C16" s="42">
        <f>Underwriting!C9</f>
        <v/>
      </c>
      <c r="D16" s="42">
        <f>Underwriting!D9</f>
        <v/>
      </c>
      <c r="E16" s="42">
        <f>Underwriting!E9</f>
        <v/>
      </c>
      <c r="F16" s="43" t="inlineStr">
        <is>
          <t>↓ lower wins</t>
        </is>
      </c>
    </row>
    <row r="17" ht="20" customHeight="1">
      <c r="B17" s="44" t="inlineStr">
        <is>
          <t>Annual debt service</t>
        </is>
      </c>
      <c r="C17" s="45">
        <f>Underwriting!C11</f>
        <v/>
      </c>
      <c r="D17" s="45">
        <f>Underwriting!D11</f>
        <v/>
      </c>
      <c r="E17" s="45">
        <f>Underwriting!E11</f>
        <v/>
      </c>
      <c r="F17" s="46" t="inlineStr">
        <is>
          <t>↓ lower wins</t>
        </is>
      </c>
    </row>
    <row r="18" ht="20" customHeight="1">
      <c r="B18" s="41" t="inlineStr">
        <is>
          <t>ADR</t>
        </is>
      </c>
      <c r="C18" s="42">
        <f>Inputs!C24</f>
        <v/>
      </c>
      <c r="D18" s="42">
        <f>Inputs!D24</f>
        <v/>
      </c>
      <c r="E18" s="42">
        <f>Inputs!E24</f>
        <v/>
      </c>
      <c r="F18" s="43" t="inlineStr">
        <is>
          <t>↑ higher wins</t>
        </is>
      </c>
    </row>
    <row r="19" ht="20" customHeight="1">
      <c r="B19" s="44" t="inlineStr">
        <is>
          <t>Occupancy</t>
        </is>
      </c>
      <c r="C19" s="47">
        <f>Inputs!C23</f>
        <v/>
      </c>
      <c r="D19" s="47">
        <f>Inputs!D23</f>
        <v/>
      </c>
      <c r="E19" s="47">
        <f>Inputs!E23</f>
        <v/>
      </c>
      <c r="F19" s="46" t="inlineStr">
        <is>
          <t>↑ higher wins</t>
        </is>
      </c>
    </row>
    <row r="20" ht="20" customHeight="1">
      <c r="B20" s="41" t="inlineStr">
        <is>
          <t>Bedrooms</t>
        </is>
      </c>
      <c r="C20" s="50">
        <f>Inputs!C9</f>
        <v/>
      </c>
      <c r="D20" s="50">
        <f>Inputs!D9</f>
        <v/>
      </c>
      <c r="E20" s="50">
        <f>Inputs!E9</f>
        <v/>
      </c>
      <c r="F20" s="43" t="inlineStr">
        <is>
          <t>↑ higher wins</t>
        </is>
      </c>
    </row>
    <row r="21" ht="20" customHeight="1">
      <c r="B21" s="44" t="inlineStr">
        <is>
          <t>Sleeps</t>
        </is>
      </c>
      <c r="C21" s="51">
        <f>Inputs!C11</f>
        <v/>
      </c>
      <c r="D21" s="51">
        <f>Inputs!D11</f>
        <v/>
      </c>
      <c r="E21" s="51">
        <f>Inputs!E11</f>
        <v/>
      </c>
      <c r="F21" s="46" t="inlineStr">
        <is>
          <t>↑ higher wins</t>
        </is>
      </c>
    </row>
    <row r="23" ht="26" customHeight="1">
      <c r="B23" s="52" t="inlineStr">
        <is>
          <t>WINS PER PROPERTY</t>
        </is>
      </c>
      <c r="C23" s="53">
        <f>($C6=MIN($C6:$E6))+($C7=MIN($C7:$E7))+($C8=MAX($C8:$E8))+($C9=MAX($C9:$E9))+($C10=MAX($C10:$E10))+($C11=MAX($C11:$E11))+($C12=MAX($C12:$E12))+($C13=MAX($C13:$E13))+($C14=MIN($C14:$E14))+($C15=MAX($C15:$E15))+($C16=MIN($C16:$E16))+($C17=MIN($C17:$E17))+($C18=MAX($C18:$E18))+($C19=MAX($C19:$E19))+($C20=MAX($C20:$E20))+($C21=MAX($C21:$E21))</f>
        <v/>
      </c>
      <c r="D23" s="53">
        <f>($D6=MIN($C6:$E6))+($D7=MIN($C7:$E7))+($D8=MAX($C8:$E8))+($D9=MAX($C9:$E9))+($D10=MAX($C10:$E10))+($D11=MAX($C11:$E11))+($D12=MAX($C12:$E12))+($D13=MAX($C13:$E13))+($D14=MIN($C14:$E14))+($D15=MAX($C15:$E15))+($D16=MIN($C16:$E16))+($D17=MIN($C17:$E17))+($D18=MAX($C18:$E18))+($D19=MAX($C19:$E19))+($D20=MAX($C20:$E20))+($D21=MAX($C21:$E21))</f>
        <v/>
      </c>
      <c r="E23" s="53">
        <f>($E6=MIN($C6:$E6))+($E7=MIN($C7:$E7))+($E8=MAX($C8:$E8))+($E9=MAX($C9:$E9))+($E10=MAX($C10:$E10))+($E11=MAX($C11:$E11))+($E12=MAX($C12:$E12))+($E13=MAX($C13:$E13))+($E14=MIN($C14:$E14))+($E15=MAX($C15:$E15))+($E16=MIN($C16:$E16))+($E17=MIN($C17:$E17))+($E18=MAX($C18:$E18))+($E19=MAX($C19:$E19))+($E20=MAX($C20:$E20))+($E21=MAX($C21:$E21))</f>
        <v/>
      </c>
    </row>
    <row r="30" ht="32" customHeight="1">
      <c r="A30" s="54">
        <f>IF(MAX(C23:E23)&gt;=10,"Recommendation: "&amp;INDEX({"Property A","Property B","Property C"},MATCH(MAX(C23:E23),C23:E23,0))&amp;" — wins "&amp;MAX(C23:E23)&amp;"/16 metrics","⚠  Close call — no clear winner. Review Decision Notes.")</f>
        <v/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 ht="18" customHeight="1">
      <c r="A34" s="22" t="inlineStr">
        <is>
          <t>Questions? hello@thestrledger.com</t>
        </is>
      </c>
    </row>
    <row r="35" ht="18" customHeight="1">
      <c r="A35" s="23" t="inlineStr">
        <is>
          <t>ACQ-004 · Comparison Matrix</t>
        </is>
      </c>
    </row>
  </sheetData>
  <mergeCells count="7">
    <mergeCell ref="A30:L30"/>
    <mergeCell ref="J2:L2"/>
    <mergeCell ref="D2:I2"/>
    <mergeCell ref="A35:L35"/>
    <mergeCell ref="A34:L34"/>
    <mergeCell ref="A2:C2"/>
    <mergeCell ref="A4:L4"/>
  </mergeCells>
  <conditionalFormatting sqref="C6">
    <cfRule type="expression" priority="1" dxfId="0">
      <formula>AND($C$6&lt;&gt;"",$C$6=MIN($C$6:$E$6))</formula>
    </cfRule>
  </conditionalFormatting>
  <conditionalFormatting sqref="D6">
    <cfRule type="expression" priority="2" dxfId="0">
      <formula>AND($D$6&lt;&gt;"",$D$6=MIN($C$6:$E$6))</formula>
    </cfRule>
  </conditionalFormatting>
  <conditionalFormatting sqref="E6">
    <cfRule type="expression" priority="3" dxfId="0">
      <formula>AND($E$6&lt;&gt;"",$E$6=MIN($C$6:$E$6))</formula>
    </cfRule>
  </conditionalFormatting>
  <conditionalFormatting sqref="C7">
    <cfRule type="expression" priority="4" dxfId="0">
      <formula>AND($C$7&lt;&gt;"",$C$7=MIN($C$7:$E$7))</formula>
    </cfRule>
  </conditionalFormatting>
  <conditionalFormatting sqref="D7">
    <cfRule type="expression" priority="5" dxfId="0">
      <formula>AND($D$7&lt;&gt;"",$D$7=MIN($C$7:$E$7))</formula>
    </cfRule>
  </conditionalFormatting>
  <conditionalFormatting sqref="E7">
    <cfRule type="expression" priority="6" dxfId="0">
      <formula>AND($E$7&lt;&gt;"",$E$7=MIN($C$7:$E$7))</formula>
    </cfRule>
  </conditionalFormatting>
  <conditionalFormatting sqref="C8">
    <cfRule type="expression" priority="7" dxfId="0">
      <formula>AND($C$8&lt;&gt;"",$C$8=MAX($C$8:$E$8))</formula>
    </cfRule>
  </conditionalFormatting>
  <conditionalFormatting sqref="D8">
    <cfRule type="expression" priority="8" dxfId="0">
      <formula>AND($D$8&lt;&gt;"",$D$8=MAX($C$8:$E$8))</formula>
    </cfRule>
  </conditionalFormatting>
  <conditionalFormatting sqref="E8">
    <cfRule type="expression" priority="9" dxfId="0">
      <formula>AND($E$8&lt;&gt;"",$E$8=MAX($C$8:$E$8))</formula>
    </cfRule>
  </conditionalFormatting>
  <conditionalFormatting sqref="C9">
    <cfRule type="expression" priority="10" dxfId="0">
      <formula>AND($C$9&lt;&gt;"",$C$9=MAX($C$9:$E$9))</formula>
    </cfRule>
  </conditionalFormatting>
  <conditionalFormatting sqref="D9">
    <cfRule type="expression" priority="11" dxfId="0">
      <formula>AND($D$9&lt;&gt;"",$D$9=MAX($C$9:$E$9))</formula>
    </cfRule>
  </conditionalFormatting>
  <conditionalFormatting sqref="E9">
    <cfRule type="expression" priority="12" dxfId="0">
      <formula>AND($E$9&lt;&gt;"",$E$9=MAX($C$9:$E$9))</formula>
    </cfRule>
  </conditionalFormatting>
  <conditionalFormatting sqref="C10">
    <cfRule type="expression" priority="13" dxfId="0">
      <formula>AND($C$10&lt;&gt;"",$C$10=MAX($C$10:$E$10))</formula>
    </cfRule>
  </conditionalFormatting>
  <conditionalFormatting sqref="D10">
    <cfRule type="expression" priority="14" dxfId="0">
      <formula>AND($D$10&lt;&gt;"",$D$10=MAX($C$10:$E$10))</formula>
    </cfRule>
  </conditionalFormatting>
  <conditionalFormatting sqref="E10">
    <cfRule type="expression" priority="15" dxfId="0">
      <formula>AND($E$10&lt;&gt;"",$E$10=MAX($C$10:$E$10))</formula>
    </cfRule>
  </conditionalFormatting>
  <conditionalFormatting sqref="C11">
    <cfRule type="expression" priority="16" dxfId="0">
      <formula>AND($C$11&lt;&gt;"",$C$11=MAX($C$11:$E$11))</formula>
    </cfRule>
  </conditionalFormatting>
  <conditionalFormatting sqref="D11">
    <cfRule type="expression" priority="17" dxfId="0">
      <formula>AND($D$11&lt;&gt;"",$D$11=MAX($C$11:$E$11))</formula>
    </cfRule>
  </conditionalFormatting>
  <conditionalFormatting sqref="E11">
    <cfRule type="expression" priority="18" dxfId="0">
      <formula>AND($E$11&lt;&gt;"",$E$11=MAX($C$11:$E$11))</formula>
    </cfRule>
  </conditionalFormatting>
  <conditionalFormatting sqref="C12">
    <cfRule type="expression" priority="19" dxfId="0">
      <formula>AND($C$12&lt;&gt;"",$C$12=MAX($C$12:$E$12))</formula>
    </cfRule>
  </conditionalFormatting>
  <conditionalFormatting sqref="D12">
    <cfRule type="expression" priority="20" dxfId="0">
      <formula>AND($D$12&lt;&gt;"",$D$12=MAX($C$12:$E$12))</formula>
    </cfRule>
  </conditionalFormatting>
  <conditionalFormatting sqref="E12">
    <cfRule type="expression" priority="21" dxfId="0">
      <formula>AND($E$12&lt;&gt;"",$E$12=MAX($C$12:$E$12))</formula>
    </cfRule>
  </conditionalFormatting>
  <conditionalFormatting sqref="C13">
    <cfRule type="expression" priority="22" dxfId="0">
      <formula>AND($C$13&lt;&gt;"",$C$13=MAX($C$13:$E$13))</formula>
    </cfRule>
  </conditionalFormatting>
  <conditionalFormatting sqref="D13">
    <cfRule type="expression" priority="23" dxfId="0">
      <formula>AND($D$13&lt;&gt;"",$D$13=MAX($C$13:$E$13))</formula>
    </cfRule>
  </conditionalFormatting>
  <conditionalFormatting sqref="E13">
    <cfRule type="expression" priority="24" dxfId="0">
      <formula>AND($E$13&lt;&gt;"",$E$13=MAX($C$13:$E$13))</formula>
    </cfRule>
  </conditionalFormatting>
  <conditionalFormatting sqref="C14">
    <cfRule type="expression" priority="25" dxfId="0">
      <formula>AND($C$14&lt;&gt;"",$C$14=MIN($C$14:$E$14))</formula>
    </cfRule>
  </conditionalFormatting>
  <conditionalFormatting sqref="D14">
    <cfRule type="expression" priority="26" dxfId="0">
      <formula>AND($D$14&lt;&gt;"",$D$14=MIN($C$14:$E$14))</formula>
    </cfRule>
  </conditionalFormatting>
  <conditionalFormatting sqref="E14">
    <cfRule type="expression" priority="27" dxfId="0">
      <formula>AND($E$14&lt;&gt;"",$E$14=MIN($C$14:$E$14))</formula>
    </cfRule>
  </conditionalFormatting>
  <conditionalFormatting sqref="C15">
    <cfRule type="expression" priority="28" dxfId="0">
      <formula>AND($C$15&lt;&gt;"",$C$15=MAX($C$15:$E$15))</formula>
    </cfRule>
  </conditionalFormatting>
  <conditionalFormatting sqref="D15">
    <cfRule type="expression" priority="29" dxfId="0">
      <formula>AND($D$15&lt;&gt;"",$D$15=MAX($C$15:$E$15))</formula>
    </cfRule>
  </conditionalFormatting>
  <conditionalFormatting sqref="E15">
    <cfRule type="expression" priority="30" dxfId="0">
      <formula>AND($E$15&lt;&gt;"",$E$15=MAX($C$15:$E$15))</formula>
    </cfRule>
  </conditionalFormatting>
  <conditionalFormatting sqref="C16">
    <cfRule type="expression" priority="31" dxfId="0">
      <formula>AND($C$16&lt;&gt;"",$C$16=MIN($C$16:$E$16))</formula>
    </cfRule>
  </conditionalFormatting>
  <conditionalFormatting sqref="D16">
    <cfRule type="expression" priority="32" dxfId="0">
      <formula>AND($D$16&lt;&gt;"",$D$16=MIN($C$16:$E$16))</formula>
    </cfRule>
  </conditionalFormatting>
  <conditionalFormatting sqref="E16">
    <cfRule type="expression" priority="33" dxfId="0">
      <formula>AND($E$16&lt;&gt;"",$E$16=MIN($C$16:$E$16))</formula>
    </cfRule>
  </conditionalFormatting>
  <conditionalFormatting sqref="C17">
    <cfRule type="expression" priority="34" dxfId="0">
      <formula>AND($C$17&lt;&gt;"",$C$17=MIN($C$17:$E$17))</formula>
    </cfRule>
  </conditionalFormatting>
  <conditionalFormatting sqref="D17">
    <cfRule type="expression" priority="35" dxfId="0">
      <formula>AND($D$17&lt;&gt;"",$D$17=MIN($C$17:$E$17))</formula>
    </cfRule>
  </conditionalFormatting>
  <conditionalFormatting sqref="E17">
    <cfRule type="expression" priority="36" dxfId="0">
      <formula>AND($E$17&lt;&gt;"",$E$17=MIN($C$17:$E$17))</formula>
    </cfRule>
  </conditionalFormatting>
  <conditionalFormatting sqref="C18">
    <cfRule type="expression" priority="37" dxfId="0">
      <formula>AND($C$18&lt;&gt;"",$C$18=MAX($C$18:$E$18))</formula>
    </cfRule>
  </conditionalFormatting>
  <conditionalFormatting sqref="D18">
    <cfRule type="expression" priority="38" dxfId="0">
      <formula>AND($D$18&lt;&gt;"",$D$18=MAX($C$18:$E$18))</formula>
    </cfRule>
  </conditionalFormatting>
  <conditionalFormatting sqref="E18">
    <cfRule type="expression" priority="39" dxfId="0">
      <formula>AND($E$18&lt;&gt;"",$E$18=MAX($C$18:$E$18))</formula>
    </cfRule>
  </conditionalFormatting>
  <conditionalFormatting sqref="C19">
    <cfRule type="expression" priority="40" dxfId="0">
      <formula>AND($C$19&lt;&gt;"",$C$19=MAX($C$19:$E$19))</formula>
    </cfRule>
  </conditionalFormatting>
  <conditionalFormatting sqref="D19">
    <cfRule type="expression" priority="41" dxfId="0">
      <formula>AND($D$19&lt;&gt;"",$D$19=MAX($C$19:$E$19))</formula>
    </cfRule>
  </conditionalFormatting>
  <conditionalFormatting sqref="E19">
    <cfRule type="expression" priority="42" dxfId="0">
      <formula>AND($E$19&lt;&gt;"",$E$19=MAX($C$19:$E$19))</formula>
    </cfRule>
  </conditionalFormatting>
  <conditionalFormatting sqref="C20">
    <cfRule type="expression" priority="43" dxfId="0">
      <formula>AND($C$20&lt;&gt;"",$C$20=MAX($C$20:$E$20))</formula>
    </cfRule>
  </conditionalFormatting>
  <conditionalFormatting sqref="D20">
    <cfRule type="expression" priority="44" dxfId="0">
      <formula>AND($D$20&lt;&gt;"",$D$20=MAX($C$20:$E$20))</formula>
    </cfRule>
  </conditionalFormatting>
  <conditionalFormatting sqref="E20">
    <cfRule type="expression" priority="45" dxfId="0">
      <formula>AND($E$20&lt;&gt;"",$E$20=MAX($C$20:$E$20))</formula>
    </cfRule>
  </conditionalFormatting>
  <conditionalFormatting sqref="C21">
    <cfRule type="expression" priority="46" dxfId="0">
      <formula>AND($C$21&lt;&gt;"",$C$21=MAX($C$21:$E$21))</formula>
    </cfRule>
  </conditionalFormatting>
  <conditionalFormatting sqref="D21">
    <cfRule type="expression" priority="47" dxfId="0">
      <formula>AND($D$21&lt;&gt;"",$D$21=MAX($C$21:$E$21))</formula>
    </cfRule>
  </conditionalFormatting>
  <conditionalFormatting sqref="E21">
    <cfRule type="expression" priority="48" dxfId="0">
      <formula>AND($E$21&lt;&gt;"",$E$21=MAX($C$21:$E$21))</formula>
    </cfRule>
  </conditionalFormatting>
  <pageMargins left="0.5" right="0.5" top="0.5" bottom="0.5" header="0.5" footer="0.5"/>
  <pageSetup orientation="portrait" paperSize="1" fitToWidth="1"/>
</worksheet>
</file>

<file path=xl/worksheets/sheet5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4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28" customWidth="1" min="4" max="4"/>
    <col width="28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HYPERLINK("#'Comparison Matrix'!A1", "← BACK")</f>
        <v/>
      </c>
      <c r="B2" s="15" t="n"/>
      <c r="C2" s="15" t="n"/>
      <c r="D2" s="24" t="inlineStr">
        <is>
          <t>DECISION NOTES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Free-form notes per property. Pros/cons, gut feel, intel from showings.</t>
        </is>
      </c>
    </row>
    <row r="6" ht="24" customHeight="1">
      <c r="C6" s="26" t="inlineStr">
        <is>
          <t>PROPERTY A</t>
        </is>
      </c>
      <c r="D6" s="26" t="inlineStr">
        <is>
          <t>PROPERTY B</t>
        </is>
      </c>
      <c r="E6" s="26" t="inlineStr">
        <is>
          <t>PROPERTY C</t>
        </is>
      </c>
    </row>
    <row r="7" ht="22" customHeight="1">
      <c r="C7" s="55">
        <f>IF(Inputs!C7="","(unnamed)",Inputs!C7)</f>
        <v/>
      </c>
      <c r="D7" s="55">
        <f>IF(Inputs!D7="","(unnamed)",Inputs!D7)</f>
        <v/>
      </c>
      <c r="E7" s="55">
        <f>IF(Inputs!E7="","(unnamed)",Inputs!E7)</f>
        <v/>
      </c>
    </row>
    <row r="9" ht="20" customHeight="1">
      <c r="B9" s="56" t="inlineStr">
        <is>
          <t>PROS</t>
        </is>
      </c>
    </row>
    <row r="10" ht="18" customHeight="1">
      <c r="C10" s="57" t="inlineStr">
        <is>
          <t>Best CoC return; strong amenity stack (hot tub + view).</t>
        </is>
      </c>
      <c r="D10" s="57" t="inlineStr">
        <is>
          <t>Highest ADR ceiling; lakefront premium.</t>
        </is>
      </c>
      <c r="E10" s="57" t="inlineStr">
        <is>
          <t>Lowest cash invested; lowest break-even occupancy.</t>
        </is>
      </c>
    </row>
    <row r="11" ht="18" customHeight="1"/>
    <row r="12" ht="18" customHeight="1"/>
    <row r="13" ht="18" customHeight="1"/>
    <row r="14" ht="18" customHeight="1"/>
    <row r="15" ht="20" customHeight="1">
      <c r="B15" s="56" t="inlineStr">
        <is>
          <t>CONS</t>
        </is>
      </c>
    </row>
    <row r="16" ht="18" customHeight="1">
      <c r="C16" s="57" t="inlineStr">
        <is>
          <t>Older HVAC; furnace replacement likely Y3.</t>
        </is>
      </c>
      <c r="D16" s="57" t="inlineStr">
        <is>
          <t>Highest cash invested; insurance bid still pending.</t>
        </is>
      </c>
      <c r="E16" s="57" t="inlineStr">
        <is>
          <t>Smaller (sleeps 6) caps revenue ceiling vs A/B.</t>
        </is>
      </c>
    </row>
    <row r="17" ht="18" customHeight="1"/>
    <row r="18" ht="18" customHeight="1"/>
    <row r="19" ht="18" customHeight="1"/>
    <row r="20" ht="18" customHeight="1"/>
    <row r="21" ht="20" customHeight="1">
      <c r="B21" s="56" t="inlineStr">
        <is>
          <t>INTEL FROM SHOWING</t>
        </is>
      </c>
    </row>
    <row r="22" ht="18" customHeight="1">
      <c r="C22" s="57" t="inlineStr">
        <is>
          <t>Seller motivated — relocation. Comp ADR $268 verified.</t>
        </is>
      </c>
      <c r="D22" s="57" t="inlineStr">
        <is>
          <t>Multiple offers expected. Seller wants 30-day close.</t>
        </is>
      </c>
      <c r="E22" s="57" t="inlineStr">
        <is>
          <t>Tenant occupied — vacancy on close not guaranteed.</t>
        </is>
      </c>
    </row>
    <row r="23" ht="18" customHeight="1"/>
    <row r="24" ht="18" customHeight="1"/>
    <row r="25" ht="18" customHeight="1"/>
    <row r="26" ht="18" customHeight="1"/>
    <row r="27" ht="20" customHeight="1">
      <c r="B27" s="56" t="inlineStr">
        <is>
          <t>OFFER STRATEGY</t>
        </is>
      </c>
    </row>
    <row r="28" ht="18" customHeight="1">
      <c r="C28" s="57" t="inlineStr">
        <is>
          <t>Offer $470K, request 2.5K closing credit.</t>
        </is>
      </c>
      <c r="D28" s="57" t="inlineStr">
        <is>
          <t>Pass unless price drops below $600K.</t>
        </is>
      </c>
      <c r="E28" s="57" t="inlineStr">
        <is>
          <t>Offer $345K with vacancy contingency.</t>
        </is>
      </c>
    </row>
    <row r="29" ht="18" customHeight="1"/>
    <row r="30" ht="18" customHeight="1"/>
    <row r="31" ht="18" customHeight="1"/>
    <row r="32" ht="18" customHeight="1"/>
    <row r="33" ht="24" customHeight="1">
      <c r="A33" s="27" t="inlineStr">
        <is>
          <t>FINAL RECOMMENDATION</t>
        </is>
      </c>
    </row>
    <row r="34" ht="28" customHeight="1">
      <c r="B34" s="58">
        <f>'Comparison Matrix'!A30</f>
        <v/>
      </c>
    </row>
    <row r="35" ht="22" customHeight="1">
      <c r="B35" s="57" t="inlineStr">
        <is>
          <t>Property A wins on cash-on-cash, NOI, and break-even. Lake (B) is overpriced for the revenue. Creek (C) has best entry price but smaller revenue ceiling. Going with A — submitting offer this week.</t>
        </is>
      </c>
    </row>
    <row r="36" ht="22" customHeight="1"/>
    <row r="37" ht="22" customHeight="1"/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</row>
    <row r="41" ht="18" customHeight="1">
      <c r="A41" s="22" t="inlineStr">
        <is>
          <t>Questions? hello@thestrledger.com</t>
        </is>
      </c>
    </row>
    <row r="42" ht="18" customHeight="1">
      <c r="A42" s="23" t="inlineStr">
        <is>
          <t>ACQ-004 · Decision Notes</t>
        </is>
      </c>
    </row>
  </sheetData>
  <mergeCells count="24">
    <mergeCell ref="D2:L2"/>
    <mergeCell ref="B9:E9"/>
    <mergeCell ref="A41:L41"/>
    <mergeCell ref="D16:D20"/>
    <mergeCell ref="B15:E15"/>
    <mergeCell ref="D28:D32"/>
    <mergeCell ref="A2:C2"/>
    <mergeCell ref="A42:L42"/>
    <mergeCell ref="B35:E37"/>
    <mergeCell ref="E16:E20"/>
    <mergeCell ref="C28:C32"/>
    <mergeCell ref="E22:E26"/>
    <mergeCell ref="A4:L4"/>
    <mergeCell ref="D10:D14"/>
    <mergeCell ref="B27:E27"/>
    <mergeCell ref="D22:D26"/>
    <mergeCell ref="B21:E21"/>
    <mergeCell ref="A33:E33"/>
    <mergeCell ref="E10:E14"/>
    <mergeCell ref="C10:C14"/>
    <mergeCell ref="C16:C20"/>
    <mergeCell ref="E28:E32"/>
    <mergeCell ref="B34:E34"/>
    <mergeCell ref="C22:C26"/>
  </mergeCells>
  <pageMargins left="0.5" right="0.5" top="0.5" bottom="0.5" header="0.5" footer="0.5"/>
  <pageSetup orientation="portrait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3-Property Side-by-Side — The STR Ledger</dc:title>
  <dc:description xmlns:dc="http://purl.org/dc/elements/1.1/">Compare three STR acquisition candidates head-to-head — winner-per-metric highlight, auto recommendation, decision notes.</dc:description>
  <dcterms:created xmlns:dcterms="http://purl.org/dc/terms/" xmlns:xsi="http://www.w3.org/2001/XMLSchema-instance" xsi:type="dcterms:W3CDTF">2026-05-03T12:26:13Z</dcterms:created>
  <dcterms:modified xmlns:dcterms="http://purl.org/dc/terms/" xmlns:xsi="http://www.w3.org/2001/XMLSchema-instance" xsi:type="dcterms:W3CDTF">2026-05-03T12:26:13Z</dcterms:modified>
</cp:coreProperties>
</file>