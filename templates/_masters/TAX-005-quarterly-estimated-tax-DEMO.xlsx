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Quarterly P&amp;L" sheetId="2" state="visible" r:id="rId2"/>
    <sheet xmlns:r="http://schemas.openxmlformats.org/officeDocument/2006/relationships" name="Estimated Tax" sheetId="3" state="visible" r:id="rId3"/>
    <sheet xmlns:r="http://schemas.openxmlformats.org/officeDocument/2006/relationships" name="Payment Schedule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'Start'!$A$1:$L$45</definedName>
    <definedName name="_xlnm.Print_Titles" localSheetId="1">'Quarterly P&amp;L'!$1:$5</definedName>
    <definedName name="_xlnm.Print_Area" localSheetId="1">'Quarterly P&amp;L'!$A$1:$F$32</definedName>
    <definedName name="_xlnm.Print_Titles" localSheetId="2">'Estimated Tax'!$1:$5</definedName>
    <definedName name="_xlnm.Print_Area" localSheetId="2">'Estimated Tax'!$A$1:$L$31</definedName>
    <definedName name="_xlnm.Print_Titles" localSheetId="3">'Payment Schedule'!$1:$5</definedName>
    <definedName name="_xlnm.Print_Area" localSheetId="3">'Payment Schedule'!$A$1:$H$14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;[Red](&quot;$&quot;#,##0)"/>
    <numFmt numFmtId="165" formatCode="&quot;$&quot;#,##0"/>
    <numFmt numFmtId="166" formatCode="yyyy-mm-dd"/>
  </numFmts>
  <fonts count="32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Georgia"/>
      <b val="1"/>
      <color rgb="0012304E"/>
      <sz val="20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b val="1"/>
      <color rgb="002B2B2B"/>
      <sz val="11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Calibri"/>
      <b val="1"/>
      <color rgb="0012304E"/>
      <sz val="11"/>
    </font>
    <font>
      <name val="Georgia"/>
      <b val="1"/>
      <color rgb="00F6EFE2"/>
      <sz val="14"/>
    </font>
    <font>
      <name val="Georgia"/>
      <b val="1"/>
      <color rgb="00F6EFE2"/>
      <sz val="12"/>
    </font>
    <font>
      <name val="Georgia"/>
      <b val="1"/>
      <color rgb="00C9A24B"/>
      <sz val="14"/>
    </font>
    <font>
      <name val="Calibri"/>
      <i val="1"/>
      <color rgb="0012304E"/>
      <sz val="10"/>
    </font>
    <font>
      <name val="Georgia"/>
      <b val="1"/>
      <color rgb="0012304E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7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2" fillId="3" borderId="2" applyAlignment="1" pivotButton="0" quotePrefix="0" xfId="0">
      <alignment horizontal="center"/>
    </xf>
    <xf numFmtId="164" fontId="10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13" fillId="3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1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4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20" fillId="3" borderId="0" applyAlignment="1" pivotButton="0" quotePrefix="0" xfId="0">
      <alignment horizontal="left" vertical="center" indent="1"/>
    </xf>
    <xf numFmtId="0" fontId="21" fillId="2" borderId="14" applyAlignment="1" pivotButton="0" quotePrefix="0" xfId="0">
      <alignment horizontal="center" vertical="center"/>
    </xf>
    <xf numFmtId="0" fontId="6" fillId="4" borderId="0" pivotButton="0" quotePrefix="0" xfId="0"/>
    <xf numFmtId="0" fontId="0" fillId="4" borderId="0" pivotButton="0" quotePrefix="0" xfId="0"/>
    <xf numFmtId="0" fontId="22" fillId="0" borderId="0" applyAlignment="1" pivotButton="0" quotePrefix="0" xfId="0">
      <alignment horizontal="right" vertical="center" indent="1"/>
    </xf>
    <xf numFmtId="164" fontId="7" fillId="7" borderId="0" applyAlignment="1" pivotButton="0" quotePrefix="0" xfId="0">
      <alignment horizontal="left" vertical="center"/>
    </xf>
    <xf numFmtId="164" fontId="23" fillId="8" borderId="0" applyAlignment="1" pivotButton="0" quotePrefix="0" xfId="0">
      <alignment horizontal="right" vertical="center"/>
    </xf>
    <xf numFmtId="0" fontId="24" fillId="4" borderId="0" applyAlignment="1" pivotButton="0" quotePrefix="0" xfId="0">
      <alignment horizontal="right" vertical="center" indent="1"/>
    </xf>
    <xf numFmtId="164" fontId="25" fillId="4" borderId="0" applyAlignment="1" pivotButton="0" quotePrefix="0" xfId="0">
      <alignment horizontal="right" vertical="center" indent="1"/>
    </xf>
    <xf numFmtId="165" fontId="7" fillId="7" borderId="0" applyAlignment="1" pivotButton="0" quotePrefix="0" xfId="0">
      <alignment horizontal="left" vertical="center"/>
    </xf>
    <xf numFmtId="165" fontId="23" fillId="8" borderId="0" applyAlignment="1" pivotButton="0" quotePrefix="0" xfId="0">
      <alignment horizontal="right" vertical="center"/>
    </xf>
    <xf numFmtId="165" fontId="25" fillId="4" borderId="0" applyAlignment="1" pivotButton="0" quotePrefix="0" xfId="0">
      <alignment horizontal="right" vertical="center" indent="1"/>
    </xf>
    <xf numFmtId="0" fontId="26" fillId="2" borderId="0" applyAlignment="1" pivotButton="0" quotePrefix="0" xfId="0">
      <alignment horizontal="right" vertical="center" indent="1"/>
    </xf>
    <xf numFmtId="164" fontId="27" fillId="2" borderId="0" applyAlignment="1" pivotButton="0" quotePrefix="0" xfId="0">
      <alignment horizontal="right" vertical="center" indent="1"/>
    </xf>
    <xf numFmtId="0" fontId="24" fillId="4" borderId="0" applyAlignment="1" pivotButton="0" quotePrefix="0" xfId="0">
      <alignment horizontal="left" vertical="center" indent="1"/>
    </xf>
    <xf numFmtId="9" fontId="23" fillId="8" borderId="0" applyAlignment="1" pivotButton="0" quotePrefix="0" xfId="0">
      <alignment horizontal="right" vertical="center"/>
    </xf>
    <xf numFmtId="165" fontId="28" fillId="4" borderId="0" applyAlignment="1" pivotButton="0" quotePrefix="0" xfId="0">
      <alignment horizontal="right" vertical="center"/>
    </xf>
    <xf numFmtId="0" fontId="23" fillId="8" borderId="0" applyAlignment="1" pivotButton="0" quotePrefix="0" xfId="0">
      <alignment horizontal="left" vertical="center" indent="1"/>
    </xf>
    <xf numFmtId="0" fontId="29" fillId="4" borderId="0" applyAlignment="1" pivotButton="0" quotePrefix="0" xfId="0">
      <alignment horizontal="left" vertical="center" wrapText="1" indent="2"/>
    </xf>
    <xf numFmtId="0" fontId="7" fillId="0" borderId="0" pivotButton="0" quotePrefix="0" xfId="0"/>
    <xf numFmtId="166" fontId="7" fillId="0" borderId="0" pivotButton="0" quotePrefix="0" xfId="0"/>
    <xf numFmtId="0" fontId="7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27" fillId="2" borderId="0" applyAlignment="1" pivotButton="0" quotePrefix="0" xfId="0">
      <alignment horizontal="left" vertical="center" indent="1"/>
    </xf>
    <xf numFmtId="165" fontId="27" fillId="2" borderId="0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right" vertical="center"/>
    </xf>
    <xf numFmtId="1" fontId="7" fillId="7" borderId="0" applyAlignment="1" pivotButton="0" quotePrefix="0" xfId="0">
      <alignment horizontal="left" vertical="center"/>
    </xf>
    <xf numFmtId="0" fontId="30" fillId="0" borderId="0" pivotButton="0" quotePrefix="0" xfId="0"/>
    <xf numFmtId="0" fontId="22" fillId="0" borderId="0" pivotButton="0" quotePrefix="0" xfId="0"/>
    <xf numFmtId="165" fontId="0" fillId="0" borderId="0" pivotButton="0" quotePrefix="0" xfId="0"/>
    <xf numFmtId="0" fontId="31" fillId="0" borderId="0" applyAlignment="1" pivotButton="0" quotePrefix="0" xfId="0">
      <alignment horizontal="left" vertical="center" indent="1"/>
    </xf>
    <xf numFmtId="0" fontId="24" fillId="0" borderId="0" pivotButton="0" quotePrefix="0" xfId="0"/>
    <xf numFmtId="165" fontId="7" fillId="0" borderId="0" applyAlignment="1" pivotButton="0" quotePrefix="0" xfId="0">
      <alignment horizontal="right" vertical="center" indent="1"/>
    </xf>
    <xf numFmtId="9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right" vertical="center" indent="1"/>
    </xf>
    <xf numFmtId="0" fontId="15" fillId="0" borderId="0" pivotButton="0" quotePrefix="0" xfId="0"/>
    <xf numFmtId="0" fontId="3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Georgia"/>
        <b val="1"/>
        <color rgb="00B91C1C"/>
        <sz val="12"/>
      </font>
      <fill>
        <patternFill patternType="solid">
          <fgColor rgb="00FFCCCC"/>
        </patternFill>
      </fill>
    </dxf>
    <dxf>
      <font>
        <b val="1"/>
        <color rgb="00B91C1C"/>
      </font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Profit by Quarter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'Quarterly P&amp;L'!$B$5:$E$5</f>
            </numRef>
          </cat>
          <val>
            <numRef>
              <f>'Quarterly P&amp;L'!$B$31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'Quarterly P&amp;L'!$B$5:$E$5</f>
            </numRef>
          </cat>
          <val>
            <numRef>
              <f>'Quarterly P&amp;L'!$C$31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'Quarterly P&amp;L'!$B$5:$E$5</f>
            </numRef>
          </cat>
          <val>
            <numRef>
              <f>'Quarterly P&amp;L'!$D$31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'Quarterly P&amp;L'!$B$5:$E$5</f>
            </numRef>
          </cat>
          <val>
            <numRef>
              <f>'Quarterly P&amp;L'!$E$31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Quarterly Estimated Tax</t>
        </is>
      </c>
    </row>
    <row r="5" ht="22" customHeight="1">
      <c r="A5" s="4" t="inlineStr">
        <is>
          <t>Stop guessing what you owe.</t>
        </is>
      </c>
    </row>
    <row r="6" ht="32" customHeight="1">
      <c r="A6" s="5">
        <f>IF(SUM('Quarterly P&amp;L'!B11:E11)=0,"📊  Fill Settings + Quarterly P&amp;L to see your verdict.","→  Next voucher = "&amp;TEXT(IFERROR(INDEX('Payment Schedule'!E6:E9,MATCH("",'Payment Schedule'!F6:F9,0)),0),"$#,##0")&amp;"  ·  "&amp;'Estimated Tax'!B27)</f>
        <v/>
      </c>
    </row>
    <row r="7" ht="22" customHeight="1">
      <c r="A7" s="6" t="inlineStr">
        <is>
          <t>TAX-005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7" t="inlineStr">
        <is>
          <t>WHAT THIS DOES</t>
        </is>
      </c>
    </row>
    <row r="11">
      <c r="A11" s="8" t="inlineStr">
        <is>
          <t>Track your rental income and expenses by IRS quarter (NOT calendar quarter — Q1 = Jan-Mar 31, Q2 = Apr-May 31, Q3 = Jun-Aug 31, Q4 = Sep-Dec 31). The Estimated Tax tab applies the safe-harbor rule (100% / 110% of prior-year tax) and the annualized installment method (Form 1040-ES). The Payment Schedule tab shows what to send each due date.</t>
        </is>
      </c>
    </row>
    <row r="12"/>
    <row r="13"/>
    <row r="14"/>
    <row r="15"/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8" ht="20" customHeight="1">
      <c r="A18" s="7" t="inlineStr">
        <is>
          <t>HOW TO USE</t>
        </is>
      </c>
    </row>
    <row r="19" ht="22" customHeight="1">
      <c r="A19" s="10" t="inlineStr">
        <is>
          <t>① Open Settings — fill prior-year AGI, prior-year tax, filing status.</t>
        </is>
      </c>
    </row>
    <row r="20" ht="22" customHeight="1">
      <c r="A20" s="10" t="inlineStr">
        <is>
          <t>② Quarterly P&amp;L — enter each quarter's actual income and expenses as they happen.</t>
        </is>
      </c>
    </row>
    <row r="21" ht="22" customHeight="1">
      <c r="A21" s="10" t="inlineStr">
        <is>
          <t>③ Estimated Tax — automatic. Shows annualized vs safe-harbor; uses the lower.</t>
        </is>
      </c>
    </row>
    <row r="22" ht="22" customHeight="1">
      <c r="A22" s="10" t="inlineStr">
        <is>
          <t>④ Payment Schedule — print or screenshot the quarter's voucher amount.</t>
        </is>
      </c>
    </row>
    <row r="23" ht="22" customHeight="1">
      <c r="A23" s="10" t="inlineStr">
        <is>
          <t>⑤ Pay via IRS Direct Pay (irs.gov/payments) and mark the row Paid.</t>
        </is>
      </c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 ht="22" customHeight="1">
      <c r="A26" s="12">
        <f>HYPERLINK("#'Quarterly P&amp;L'!A6", "→  UPDATE QUARTERLY P&amp;L  →")</f>
        <v/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22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22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14" t="inlineStr">
        <is>
          <t>YTD NET PROFIT</t>
        </is>
      </c>
      <c r="B32" s="15" t="n"/>
      <c r="C32" s="15" t="n"/>
      <c r="D32" s="16" t="n"/>
      <c r="E32" s="17" t="inlineStr">
        <is>
          <t>NEXT VOUCHER</t>
        </is>
      </c>
      <c r="F32" s="15" t="n"/>
      <c r="G32" s="15" t="n"/>
      <c r="H32" s="16" t="n"/>
      <c r="I32" s="14" t="inlineStr">
        <is>
          <t>STATUS</t>
        </is>
      </c>
      <c r="J32" s="15" t="n"/>
      <c r="K32" s="15" t="n"/>
      <c r="L32" s="16" t="n"/>
    </row>
    <row r="33">
      <c r="A33" s="18">
        <f>'Quarterly P&amp;L'!F31</f>
        <v/>
      </c>
      <c r="B33" s="19" t="n"/>
      <c r="C33" s="19" t="n"/>
      <c r="D33" s="20" t="n"/>
      <c r="E33" s="21">
        <f>IFERROR(INDEX('Payment Schedule'!E6:E9,MATCH("",'Payment Schedule'!F6:F9,0)),"all paid")</f>
        <v/>
      </c>
      <c r="F33" s="19" t="n"/>
      <c r="G33" s="19" t="n"/>
      <c r="H33" s="20" t="n"/>
      <c r="I33" s="22">
        <f>'Estimated Tax'!B27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from rentals YTD</t>
        </is>
      </c>
      <c r="B35" s="25" t="n"/>
      <c r="C35" s="25" t="n"/>
      <c r="D35" s="26" t="n"/>
      <c r="E35" s="24" t="inlineStr">
        <is>
          <t>next unpaid quarter</t>
        </is>
      </c>
      <c r="F35" s="25" t="n"/>
      <c r="G35" s="25" t="n"/>
      <c r="H35" s="26" t="n"/>
      <c r="I35" s="24" t="inlineStr">
        <is>
          <t>vs safe-harbor floor</t>
        </is>
      </c>
      <c r="J35" s="25" t="n"/>
      <c r="K35" s="25" t="n"/>
      <c r="L35" s="26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8" ht="22" customHeight="1">
      <c r="A38" s="27">
        <f>HYPERLINK("#'Quarterly P&amp;L'!A1", "Quarterly P&amp;L")</f>
        <v/>
      </c>
      <c r="B38" s="28" t="n"/>
      <c r="C38" s="28" t="n"/>
      <c r="D38" s="27">
        <f>HYPERLINK("#'Estimated Tax'!A1", "Estimated Tax")</f>
        <v/>
      </c>
      <c r="E38" s="28" t="n"/>
      <c r="F38" s="28" t="n"/>
      <c r="G38" s="29">
        <f>HYPERLINK("#'Payment Schedule'!A1", "Payment Schedule")</f>
        <v/>
      </c>
      <c r="H38" s="30" t="n"/>
      <c r="I38" s="30" t="n"/>
      <c r="J38" s="27">
        <f>HYPERLINK("#'Settings'!A1", "Settings")</f>
        <v/>
      </c>
      <c r="K38" s="28" t="n"/>
      <c r="L38" s="28" t="n"/>
    </row>
    <row r="39" ht="22" customHeight="1">
      <c r="A39" s="28" t="n"/>
      <c r="B39" s="28" t="n"/>
      <c r="C39" s="28" t="n"/>
      <c r="D39" s="28" t="n"/>
      <c r="E39" s="28" t="n"/>
      <c r="F39" s="28" t="n"/>
      <c r="G39" s="30" t="n"/>
      <c r="H39" s="30" t="n"/>
      <c r="I39" s="30" t="n"/>
      <c r="J39" s="28" t="n"/>
      <c r="K39" s="28" t="n"/>
      <c r="L39" s="28" t="n"/>
    </row>
    <row r="41" ht="32" customHeight="1">
      <c r="A41" s="31" t="inlineStr">
        <is>
          <t>📅 IRS due dates — Apr 15 (Q1), Jun 15 (Q2), Sep 15 (Q3), Jan 15 NEXT YEAR (Q4). Underpayment penalty is 8% APR (IRC §6621) on each shortfall.</t>
        </is>
      </c>
    </row>
    <row r="43">
      <c r="A43" s="32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</row>
    <row r="44" ht="18" customHeight="1">
      <c r="A44" s="33" t="inlineStr">
        <is>
          <t>Questions? hello@thestrledger.com</t>
        </is>
      </c>
    </row>
    <row r="45" ht="18" customHeight="1">
      <c r="A45" s="34" t="inlineStr">
        <is>
          <t>TAX-005 · v2.3 · Free updates forever</t>
        </is>
      </c>
    </row>
  </sheetData>
  <mergeCells count="30">
    <mergeCell ref="A7:L7"/>
    <mergeCell ref="A11:L15"/>
    <mergeCell ref="A41:L41"/>
    <mergeCell ref="A35:D35"/>
    <mergeCell ref="E33:H34"/>
    <mergeCell ref="I35:L35"/>
    <mergeCell ref="A38:C39"/>
    <mergeCell ref="A18:L18"/>
    <mergeCell ref="E32:H32"/>
    <mergeCell ref="A21:L21"/>
    <mergeCell ref="D38:F39"/>
    <mergeCell ref="A2:F2"/>
    <mergeCell ref="A5:L5"/>
    <mergeCell ref="A23:L23"/>
    <mergeCell ref="A22:L22"/>
    <mergeCell ref="J38:L39"/>
    <mergeCell ref="I33:L34"/>
    <mergeCell ref="A4:L4"/>
    <mergeCell ref="A20:L20"/>
    <mergeCell ref="G38:I39"/>
    <mergeCell ref="A10:L10"/>
    <mergeCell ref="A19:L19"/>
    <mergeCell ref="A33:D34"/>
    <mergeCell ref="E35:H35"/>
    <mergeCell ref="A44:L44"/>
    <mergeCell ref="I32:L32"/>
    <mergeCell ref="A45:L45"/>
    <mergeCell ref="A6:L6"/>
    <mergeCell ref="A26:L29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HYPERLINK("#'Start'!A1", "← BACK")</f>
        <v/>
      </c>
      <c r="B2" s="13" t="n"/>
      <c r="C2" s="13" t="n"/>
      <c r="D2" s="35" t="inlineStr">
        <is>
          <t>QUARTERLY P&amp;L</t>
        </is>
      </c>
      <c r="J2" s="29">
        <f>HYPERLINK("#'Estimated Tax'!A1",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Income and expenses by IRS quarter — Q1 (Jan-Mar), Q2 (Apr-May), Q3 (Jun-Aug), Q4 (Sep-Dec).</t>
        </is>
      </c>
    </row>
    <row r="5" ht="20" customHeight="1">
      <c r="A5" s="37" t="inlineStr">
        <is>
          <t>Line</t>
        </is>
      </c>
      <c r="B5" s="37" t="inlineStr">
        <is>
          <t>Q1 (Jan-Mar)</t>
        </is>
      </c>
      <c r="C5" s="37" t="inlineStr">
        <is>
          <t>Q2 (Apr-May)</t>
        </is>
      </c>
      <c r="D5" s="37" t="inlineStr">
        <is>
          <t>Q3 (Jun-Aug)</t>
        </is>
      </c>
      <c r="E5" s="37" t="inlineStr">
        <is>
          <t>Q4 (Sep-Dec)</t>
        </is>
      </c>
      <c r="F5" s="37" t="inlineStr">
        <is>
          <t>YTD</t>
        </is>
      </c>
    </row>
    <row r="6" ht="18" customHeight="1">
      <c r="A6" s="38" t="inlineStr">
        <is>
          <t>INCOME</t>
        </is>
      </c>
      <c r="B6" s="39" t="n"/>
      <c r="C6" s="39" t="n"/>
      <c r="D6" s="39" t="n"/>
      <c r="E6" s="39" t="n"/>
      <c r="F6" s="39" t="n"/>
    </row>
    <row r="7" ht="18" customHeight="1">
      <c r="A7" s="40" t="inlineStr">
        <is>
          <t>Gross rents (Airbnb/VRBO net of host fee)</t>
        </is>
      </c>
      <c r="B7" s="41" t="n">
        <v>12400</v>
      </c>
      <c r="C7" s="41" t="n">
        <v>18900</v>
      </c>
      <c r="D7" s="41" t="n">
        <v>22600</v>
      </c>
      <c r="E7" s="41" t="n">
        <v>14200</v>
      </c>
      <c r="F7" s="42">
        <f>SUM(B7:E7)</f>
        <v/>
      </c>
    </row>
    <row r="8" ht="18" customHeight="1">
      <c r="A8" s="40" t="inlineStr">
        <is>
          <t>Cleaning fees collected</t>
        </is>
      </c>
      <c r="B8" s="41" t="n">
        <v>1800</v>
      </c>
      <c r="C8" s="41" t="n">
        <v>2400</v>
      </c>
      <c r="D8" s="41" t="n">
        <v>2900</v>
      </c>
      <c r="E8" s="41" t="n">
        <v>1900</v>
      </c>
      <c r="F8" s="42">
        <f>SUM(B8:E8)</f>
        <v/>
      </c>
    </row>
    <row r="9" ht="18" customHeight="1">
      <c r="A9" s="40" t="inlineStr">
        <is>
          <t>Other income (cancellations kept, late fees)</t>
        </is>
      </c>
      <c r="B9" s="41" t="n">
        <v>120</v>
      </c>
      <c r="C9" s="41" t="n">
        <v>240</v>
      </c>
      <c r="D9" s="41" t="n">
        <v>360</v>
      </c>
      <c r="E9" s="41" t="n">
        <v>80</v>
      </c>
      <c r="F9" s="42">
        <f>SUM(B9:E9)</f>
        <v/>
      </c>
    </row>
    <row r="10" ht="18" customHeight="1">
      <c r="A10" s="40" t="inlineStr">
        <is>
          <t>Less refunds / chargebacks</t>
        </is>
      </c>
      <c r="B10" s="41" t="n">
        <v>-200</v>
      </c>
      <c r="C10" s="41" t="n">
        <v>0</v>
      </c>
      <c r="D10" s="41" t="n">
        <v>-150</v>
      </c>
      <c r="E10" s="41" t="n">
        <v>-100</v>
      </c>
      <c r="F10" s="42">
        <f>SUM(B10:E10)</f>
        <v/>
      </c>
    </row>
    <row r="11" ht="22" customHeight="1">
      <c r="A11" s="43" t="inlineStr">
        <is>
          <t>Total Income</t>
        </is>
      </c>
      <c r="B11" s="44">
        <f>SUM(B7:B10)</f>
        <v/>
      </c>
      <c r="C11" s="44">
        <f>SUM(C7:C10)</f>
        <v/>
      </c>
      <c r="D11" s="44">
        <f>SUM(D7:D10)</f>
        <v/>
      </c>
      <c r="E11" s="44">
        <f>SUM(E7:E10)</f>
        <v/>
      </c>
      <c r="F11" s="44">
        <f>SUM(F7:F10)</f>
        <v/>
      </c>
    </row>
    <row r="12" ht="8" customHeight="1"/>
    <row r="13" ht="18" customHeight="1">
      <c r="A13" s="38" t="inlineStr">
        <is>
          <t>EXPENSES</t>
        </is>
      </c>
      <c r="B13" s="39" t="n"/>
      <c r="C13" s="39" t="n"/>
      <c r="D13" s="39" t="n"/>
      <c r="E13" s="39" t="n"/>
      <c r="F13" s="39" t="n"/>
    </row>
    <row r="14" ht="18" customHeight="1">
      <c r="A14" s="40" t="inlineStr">
        <is>
          <t>Advertising / listing photos</t>
        </is>
      </c>
      <c r="B14" s="45" t="n">
        <v>180</v>
      </c>
      <c r="C14" s="45" t="n">
        <v>0</v>
      </c>
      <c r="D14" s="45" t="n">
        <v>0</v>
      </c>
      <c r="E14" s="45" t="n">
        <v>220</v>
      </c>
      <c r="F14" s="46">
        <f>SUM(B14:E14)</f>
        <v/>
      </c>
    </row>
    <row r="15" ht="18" customHeight="1">
      <c r="A15" s="40" t="inlineStr">
        <is>
          <t>Auto and travel (mileage × IRS rate)</t>
        </is>
      </c>
      <c r="B15" s="45" t="n">
        <v>820</v>
      </c>
      <c r="C15" s="45" t="n">
        <v>1240</v>
      </c>
      <c r="D15" s="45" t="n">
        <v>1680</v>
      </c>
      <c r="E15" s="45" t="n">
        <v>940</v>
      </c>
      <c r="F15" s="46">
        <f>SUM(B15:E15)</f>
        <v/>
      </c>
    </row>
    <row r="16" ht="18" customHeight="1">
      <c r="A16" s="40" t="inlineStr">
        <is>
          <t>Cleaning and maintenance</t>
        </is>
      </c>
      <c r="B16" s="45" t="n">
        <v>1800</v>
      </c>
      <c r="C16" s="45" t="n">
        <v>2200</v>
      </c>
      <c r="D16" s="45" t="n">
        <v>2600</v>
      </c>
      <c r="E16" s="45" t="n">
        <v>1900</v>
      </c>
      <c r="F16" s="46">
        <f>SUM(B16:E16)</f>
        <v/>
      </c>
    </row>
    <row r="17" ht="18" customHeight="1">
      <c r="A17" s="40" t="inlineStr">
        <is>
          <t>Commissions (Airbnb host fee 3%)</t>
        </is>
      </c>
      <c r="B17" s="45" t="n">
        <v>372</v>
      </c>
      <c r="C17" s="45" t="n">
        <v>567</v>
      </c>
      <c r="D17" s="45" t="n">
        <v>678</v>
      </c>
      <c r="E17" s="45" t="n">
        <v>426</v>
      </c>
      <c r="F17" s="46">
        <f>SUM(B17:E17)</f>
        <v/>
      </c>
    </row>
    <row r="18" ht="18" customHeight="1">
      <c r="A18" s="40" t="inlineStr">
        <is>
          <t>Insurance</t>
        </is>
      </c>
      <c r="B18" s="45" t="n">
        <v>620</v>
      </c>
      <c r="C18" s="45" t="n">
        <v>0</v>
      </c>
      <c r="D18" s="45" t="n">
        <v>620</v>
      </c>
      <c r="E18" s="45" t="n">
        <v>0</v>
      </c>
      <c r="F18" s="46">
        <f>SUM(B18:E18)</f>
        <v/>
      </c>
    </row>
    <row r="19" ht="18" customHeight="1">
      <c r="A19" s="40" t="inlineStr">
        <is>
          <t>Legal / professional fees</t>
        </is>
      </c>
      <c r="B19" s="45" t="n">
        <v>0</v>
      </c>
      <c r="C19" s="45" t="n">
        <v>280</v>
      </c>
      <c r="D19" s="45" t="n">
        <v>0</v>
      </c>
      <c r="E19" s="45" t="n">
        <v>200</v>
      </c>
      <c r="F19" s="46">
        <f>SUM(B19:E19)</f>
        <v/>
      </c>
    </row>
    <row r="20" ht="18" customHeight="1">
      <c r="A20" s="40" t="inlineStr">
        <is>
          <t>Management fees</t>
        </is>
      </c>
      <c r="B20" s="45" t="n">
        <v>0</v>
      </c>
      <c r="C20" s="45" t="n">
        <v>0</v>
      </c>
      <c r="D20" s="45" t="n">
        <v>0</v>
      </c>
      <c r="E20" s="45" t="n">
        <v>0</v>
      </c>
      <c r="F20" s="46">
        <f>SUM(B20:E20)</f>
        <v/>
      </c>
    </row>
    <row r="21" ht="18" customHeight="1">
      <c r="A21" s="40" t="inlineStr">
        <is>
          <t>Mortgage interest</t>
        </is>
      </c>
      <c r="B21" s="45" t="n">
        <v>3200</v>
      </c>
      <c r="C21" s="45" t="n">
        <v>3180</v>
      </c>
      <c r="D21" s="45" t="n">
        <v>3160</v>
      </c>
      <c r="E21" s="45" t="n">
        <v>3140</v>
      </c>
      <c r="F21" s="46">
        <f>SUM(B21:E21)</f>
        <v/>
      </c>
    </row>
    <row r="22" ht="18" customHeight="1">
      <c r="A22" s="40" t="inlineStr">
        <is>
          <t>Repairs</t>
        </is>
      </c>
      <c r="B22" s="45" t="n">
        <v>380</v>
      </c>
      <c r="C22" s="45" t="n">
        <v>720</v>
      </c>
      <c r="D22" s="45" t="n">
        <v>940</v>
      </c>
      <c r="E22" s="45" t="n">
        <v>280</v>
      </c>
      <c r="F22" s="46">
        <f>SUM(B22:E22)</f>
        <v/>
      </c>
    </row>
    <row r="23" ht="18" customHeight="1">
      <c r="A23" s="40" t="inlineStr">
        <is>
          <t>Supplies</t>
        </is>
      </c>
      <c r="B23" s="45" t="n">
        <v>410</v>
      </c>
      <c r="C23" s="45" t="n">
        <v>380</v>
      </c>
      <c r="D23" s="45" t="n">
        <v>480</v>
      </c>
      <c r="E23" s="45" t="n">
        <v>320</v>
      </c>
      <c r="F23" s="46">
        <f>SUM(B23:E23)</f>
        <v/>
      </c>
    </row>
    <row r="24" ht="18" customHeight="1">
      <c r="A24" s="40" t="inlineStr">
        <is>
          <t>Property taxes</t>
        </is>
      </c>
      <c r="B24" s="45" t="n">
        <v>0</v>
      </c>
      <c r="C24" s="45" t="n">
        <v>0</v>
      </c>
      <c r="D24" s="45" t="n">
        <v>1840</v>
      </c>
      <c r="E24" s="45" t="n">
        <v>0</v>
      </c>
      <c r="F24" s="46">
        <f>SUM(B24:E24)</f>
        <v/>
      </c>
    </row>
    <row r="25" ht="18" customHeight="1">
      <c r="A25" s="40" t="inlineStr">
        <is>
          <t>Utilities</t>
        </is>
      </c>
      <c r="B25" s="45" t="n">
        <v>820</v>
      </c>
      <c r="C25" s="45" t="n">
        <v>940</v>
      </c>
      <c r="D25" s="45" t="n">
        <v>1140</v>
      </c>
      <c r="E25" s="45" t="n">
        <v>880</v>
      </c>
      <c r="F25" s="46">
        <f>SUM(B25:E25)</f>
        <v/>
      </c>
    </row>
    <row r="26" ht="18" customHeight="1">
      <c r="A26" s="40" t="inlineStr">
        <is>
          <t>Depreciation (1/4 of annual)</t>
        </is>
      </c>
      <c r="B26" s="45" t="n">
        <v>3090</v>
      </c>
      <c r="C26" s="45" t="n">
        <v>3090</v>
      </c>
      <c r="D26" s="45" t="n">
        <v>3090</v>
      </c>
      <c r="E26" s="45" t="n">
        <v>3090</v>
      </c>
      <c r="F26" s="46">
        <f>SUM(B26:E26)</f>
        <v/>
      </c>
    </row>
    <row r="27" ht="18" customHeight="1">
      <c r="A27" s="40" t="inlineStr">
        <is>
          <t>Home office allocation</t>
        </is>
      </c>
      <c r="B27" s="45" t="n">
        <v>240</v>
      </c>
      <c r="C27" s="45" t="n">
        <v>240</v>
      </c>
      <c r="D27" s="45" t="n">
        <v>240</v>
      </c>
      <c r="E27" s="45" t="n">
        <v>240</v>
      </c>
      <c r="F27" s="46">
        <f>SUM(B27:E27)</f>
        <v/>
      </c>
    </row>
    <row r="28" ht="18" customHeight="1">
      <c r="A28" s="40" t="inlineStr">
        <is>
          <t>Other (platform tech, software)</t>
        </is>
      </c>
      <c r="B28" s="45" t="n">
        <v>180</v>
      </c>
      <c r="C28" s="45" t="n">
        <v>220</v>
      </c>
      <c r="D28" s="45" t="n">
        <v>240</v>
      </c>
      <c r="E28" s="45" t="n">
        <v>200</v>
      </c>
      <c r="F28" s="46">
        <f>SUM(B28:E28)</f>
        <v/>
      </c>
    </row>
    <row r="29" ht="22" customHeight="1">
      <c r="A29" s="43" t="inlineStr">
        <is>
          <t>Total Expenses</t>
        </is>
      </c>
      <c r="B29" s="47">
        <f>SUM(B14:B28)</f>
        <v/>
      </c>
      <c r="C29" s="47">
        <f>SUM(C14:C28)</f>
        <v/>
      </c>
      <c r="D29" s="47">
        <f>SUM(D14:D28)</f>
        <v/>
      </c>
      <c r="E29" s="47">
        <f>SUM(E14:E28)</f>
        <v/>
      </c>
      <c r="F29" s="47">
        <f>SUM(F14:F28)</f>
        <v/>
      </c>
    </row>
    <row r="30" ht="8" customHeight="1"/>
    <row r="31" ht="28" customHeight="1">
      <c r="A31" s="48" t="inlineStr">
        <is>
          <t>NET PROFIT (Income − Expenses)</t>
        </is>
      </c>
      <c r="B31" s="49">
        <f>B11-B29</f>
        <v/>
      </c>
      <c r="C31" s="49">
        <f>C11-C29</f>
        <v/>
      </c>
      <c r="D31" s="49">
        <f>D11-D29</f>
        <v/>
      </c>
      <c r="E31" s="49">
        <f>E11-E29</f>
        <v/>
      </c>
      <c r="F31" s="49">
        <f>F11-F29</f>
        <v/>
      </c>
    </row>
  </sheetData>
  <mergeCells count="4">
    <mergeCell ref="J2:L2"/>
    <mergeCell ref="D2:I2"/>
    <mergeCell ref="A2:C2"/>
    <mergeCell ref="A4:L4"/>
  </mergeCells>
  <conditionalFormatting sqref="B31:F31">
    <cfRule type="cellIs" priority="1" operator="lessThan" dxfId="0">
      <formula>0</formula>
    </cfRule>
  </conditionalFormatting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HYPERLINK("#'Quarterly P&amp;L'!A1", "← BACK")</f>
        <v/>
      </c>
      <c r="B2" s="13" t="n"/>
      <c r="C2" s="13" t="n"/>
      <c r="D2" s="35" t="inlineStr">
        <is>
          <t>ESTIMATED TAX</t>
        </is>
      </c>
      <c r="J2" s="29">
        <f>HYPERLINK("#'Payment Schedule'!A1",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1040-ES annualized installment method + safe-harbor rule.</t>
        </is>
      </c>
    </row>
    <row r="5" ht="22" customHeight="1">
      <c r="A5" s="50" t="inlineStr">
        <is>
          <t>METHOD A — Annualized installment</t>
        </is>
      </c>
    </row>
    <row r="6" ht="18" customHeight="1">
      <c r="A6" s="40" t="inlineStr">
        <is>
          <t>YTD net profit (from Quarterly P&amp;L):</t>
        </is>
      </c>
      <c r="B6" s="42">
        <f>'Quarterly P&amp;L'!F31</f>
        <v/>
      </c>
    </row>
    <row r="7" ht="18" customHeight="1">
      <c r="A7" s="40" t="inlineStr">
        <is>
          <t>Other YTD income (memo, e.g., spouse W-2):</t>
        </is>
      </c>
      <c r="B7" s="42">
        <f>'Settings'!B11</f>
        <v/>
      </c>
    </row>
    <row r="8" ht="18" customHeight="1">
      <c r="A8" s="40" t="inlineStr">
        <is>
          <t>Combined YTD income:</t>
        </is>
      </c>
      <c r="B8" s="42">
        <f>B6+B7</f>
        <v/>
      </c>
    </row>
    <row r="9" ht="18" customHeight="1">
      <c r="A9" s="40" t="inlineStr">
        <is>
          <t>Standard deduction (filing status):</t>
        </is>
      </c>
      <c r="B9" s="42">
        <f>VLOOKUP('Settings'!B8,'Settings'!E15:F18,2,FALSE)</f>
        <v/>
      </c>
    </row>
    <row r="10" ht="18" customHeight="1">
      <c r="A10" s="40" t="inlineStr">
        <is>
          <t>Taxable income (YTD, est.):</t>
        </is>
      </c>
      <c r="B10" s="42">
        <f>MAX(B8-B9,0)</f>
        <v/>
      </c>
    </row>
    <row r="11" ht="18" customHeight="1">
      <c r="A11" s="40" t="inlineStr">
        <is>
          <t>Income tax (bracket lookup, est.):</t>
        </is>
      </c>
      <c r="B11" s="42">
        <f>ROUND(B10*0.22,0)</f>
        <v/>
      </c>
    </row>
    <row r="12" ht="18" customHeight="1">
      <c r="A12" s="40" t="inlineStr">
        <is>
          <t>SE tax (Sched C only — 15.3% × 92.35% × net SE):</t>
        </is>
      </c>
      <c r="B12" s="42">
        <f>IF('Settings'!B6="Schedule C (active)",ROUND(B6*0.9235*0.153,0),0)</f>
        <v/>
      </c>
    </row>
    <row r="13" ht="18" customHeight="1">
      <c r="A13" s="40" t="inlineStr">
        <is>
          <t>Half SE-tax adjustment (deductible above the line):</t>
        </is>
      </c>
      <c r="B13" s="42">
        <f>ROUND(B12/2,0)</f>
        <v/>
      </c>
    </row>
    <row r="14" ht="18" customHeight="1">
      <c r="A14" s="40" t="inlineStr">
        <is>
          <t>Total federal tax (annualized YTD):</t>
        </is>
      </c>
      <c r="B14" s="42">
        <f>B11+B12-B13</f>
        <v/>
      </c>
    </row>
    <row r="15" ht="8" customHeight="1"/>
    <row r="16" ht="22" customHeight="1">
      <c r="A16" s="50" t="inlineStr">
        <is>
          <t>METHOD B — Safe harbor (prior-year)</t>
        </is>
      </c>
    </row>
    <row r="17" ht="18" customHeight="1">
      <c r="A17" s="40" t="inlineStr">
        <is>
          <t>Prior-year AGI:</t>
        </is>
      </c>
      <c r="B17" s="46">
        <f>Settings!B9</f>
        <v/>
      </c>
    </row>
    <row r="18" ht="18" customHeight="1">
      <c r="A18" s="40" t="inlineStr">
        <is>
          <t>Prior-year total tax:</t>
        </is>
      </c>
      <c r="B18" s="46">
        <f>Settings!B10</f>
        <v/>
      </c>
    </row>
    <row r="19" ht="18" customHeight="1">
      <c r="A19" s="40" t="inlineStr">
        <is>
          <t>Safe-harbor multiplier (110% if prior AGI &gt; $150K):</t>
        </is>
      </c>
      <c r="B19" s="51">
        <f>IF(B17&gt;150000,1.10,1.00)</f>
        <v/>
      </c>
    </row>
    <row r="20" ht="18" customHeight="1">
      <c r="A20" s="40" t="inlineStr">
        <is>
          <t>Safe-harbor minimum required:</t>
        </is>
      </c>
      <c r="B20" s="46">
        <f>ROUND(B18*B19,0)</f>
        <v/>
      </c>
    </row>
    <row r="21" ht="8" customHeight="1"/>
    <row r="22" ht="22" customHeight="1">
      <c r="A22" s="50" t="inlineStr">
        <is>
          <t>REQUIRED PAYMENT — annual + per-quarter</t>
        </is>
      </c>
    </row>
    <row r="23" ht="18" customHeight="1">
      <c r="A23" s="40" t="inlineStr">
        <is>
          <t>Required annual (lesser of A or B):</t>
        </is>
      </c>
      <c r="B23" s="46">
        <f>MIN(B14,B20)</f>
        <v/>
      </c>
    </row>
    <row r="24" ht="18" customHeight="1">
      <c r="A24" s="40" t="inlineStr">
        <is>
          <t>Less: YTD W-2 withholding (spouse, etc.):</t>
        </is>
      </c>
      <c r="B24" s="46">
        <f>Settings!B12</f>
        <v/>
      </c>
    </row>
    <row r="25" ht="18" customHeight="1">
      <c r="A25" s="40" t="inlineStr">
        <is>
          <t>Net required from estimateds:</t>
        </is>
      </c>
      <c r="B25" s="46">
        <f>MAX(B23-B24,0)</f>
        <v/>
      </c>
    </row>
    <row r="26" ht="18" customHeight="1">
      <c r="A26" s="40" t="inlineStr">
        <is>
          <t>Per-quarter voucher (÷ 4):</t>
        </is>
      </c>
      <c r="B26" s="52">
        <f>ROUND(B25/4,0)</f>
        <v/>
      </c>
    </row>
    <row r="27" ht="18" customHeight="1">
      <c r="A27" s="40" t="inlineStr">
        <is>
          <t>Underpayment risk flag:</t>
        </is>
      </c>
      <c r="B27" s="53">
        <f>IF(SUM('Payment Schedule'!E6:E9)&gt;=B25,"ON TRACK",IF(SUM('Payment Schedule'!G6:G9)&gt;=B25*COUNTIF('Payment Schedule'!F6:F9,"Paid")/4,"PACED","BEHIND"))</f>
        <v/>
      </c>
    </row>
    <row r="28" ht="8" customHeight="1"/>
    <row r="29" ht="36" customHeight="1">
      <c r="A29" s="54" t="inlineStr">
        <is>
          <t>ⓘ Method A is forward-looking (where YTD income suggests the year will land); Method B locks in protection from underpayment penalty by guaranteeing you pay at least last year's tax. The IRS waives §6654 penalty if you pay the lower.</t>
        </is>
      </c>
    </row>
  </sheetData>
  <mergeCells count="8">
    <mergeCell ref="A16:L16"/>
    <mergeCell ref="J2:L2"/>
    <mergeCell ref="D2:I2"/>
    <mergeCell ref="A29:L29"/>
    <mergeCell ref="A5:L5"/>
    <mergeCell ref="A22:L22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6" customWidth="1" min="5" max="5"/>
    <col width="12" customWidth="1" min="6" max="6"/>
    <col width="16" customWidth="1" min="7" max="7"/>
    <col width="24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HYPERLINK("#'Estimated Tax'!A1", "← BACK")</f>
        <v/>
      </c>
      <c r="B2" s="13" t="n"/>
      <c r="C2" s="13" t="n"/>
      <c r="D2" s="35" t="inlineStr">
        <is>
          <t>PAYMENT SCHEDULE · FOR YOUR CPA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📄 FOR YOUR CPA — print this tab. Quarterly voucher amounts and IRS due dates (Form 1040-ES).</t>
        </is>
      </c>
    </row>
    <row r="5" ht="20" customHeight="1">
      <c r="A5" s="37" t="inlineStr">
        <is>
          <t>Quarter</t>
        </is>
      </c>
      <c r="B5" s="37" t="inlineStr">
        <is>
          <t>Period</t>
        </is>
      </c>
      <c r="C5" s="37" t="inlineStr">
        <is>
          <t>Due Date</t>
        </is>
      </c>
      <c r="D5" s="37" t="inlineStr">
        <is>
          <t>Suggested $</t>
        </is>
      </c>
      <c r="E5" s="37" t="inlineStr">
        <is>
          <t>Voucher $</t>
        </is>
      </c>
      <c r="F5" s="37" t="inlineStr">
        <is>
          <t>Status</t>
        </is>
      </c>
      <c r="G5" s="37" t="inlineStr">
        <is>
          <t>Paid $</t>
        </is>
      </c>
      <c r="H5" s="37" t="inlineStr">
        <is>
          <t>Confirmation # / Method</t>
        </is>
      </c>
    </row>
    <row r="6" ht="22" customHeight="1">
      <c r="A6" s="55" t="inlineStr">
        <is>
          <t>Q1</t>
        </is>
      </c>
      <c r="B6" s="55" t="inlineStr">
        <is>
          <t>(Jan-Mar)</t>
        </is>
      </c>
      <c r="C6" s="56" t="n">
        <v>46127</v>
      </c>
      <c r="D6" s="46">
        <f>'Estimated Tax'!$B$26</f>
        <v/>
      </c>
      <c r="E6" s="45" t="n"/>
      <c r="F6" s="57" t="inlineStr"/>
      <c r="G6" s="45" t="n"/>
      <c r="H6" s="58" t="inlineStr"/>
    </row>
    <row r="7" ht="22" customHeight="1">
      <c r="A7" s="55" t="inlineStr">
        <is>
          <t>Q2</t>
        </is>
      </c>
      <c r="B7" s="55" t="inlineStr">
        <is>
          <t>(Apr-May)</t>
        </is>
      </c>
      <c r="C7" s="56" t="n">
        <v>46188</v>
      </c>
      <c r="D7" s="46">
        <f>'Estimated Tax'!$B$26</f>
        <v/>
      </c>
      <c r="E7" s="45" t="n"/>
      <c r="F7" s="57" t="inlineStr"/>
      <c r="G7" s="45" t="n"/>
      <c r="H7" s="58" t="inlineStr"/>
    </row>
    <row r="8" ht="22" customHeight="1">
      <c r="A8" s="55" t="inlineStr">
        <is>
          <t>Q3</t>
        </is>
      </c>
      <c r="B8" s="55" t="inlineStr">
        <is>
          <t>(Jun-Aug)</t>
        </is>
      </c>
      <c r="C8" s="56" t="n">
        <v>46280</v>
      </c>
      <c r="D8" s="46">
        <f>'Estimated Tax'!$B$26</f>
        <v/>
      </c>
      <c r="E8" s="45" t="n"/>
      <c r="F8" s="57" t="inlineStr"/>
      <c r="G8" s="45" t="n"/>
      <c r="H8" s="58" t="inlineStr"/>
    </row>
    <row r="9" ht="22" customHeight="1">
      <c r="A9" s="55" t="inlineStr">
        <is>
          <t>Q4</t>
        </is>
      </c>
      <c r="B9" s="55" t="inlineStr">
        <is>
          <t>(Sep-Dec)</t>
        </is>
      </c>
      <c r="C9" s="56" t="n">
        <v>46402</v>
      </c>
      <c r="D9" s="46">
        <f>'Estimated Tax'!$B$26</f>
        <v/>
      </c>
      <c r="E9" s="45" t="n"/>
      <c r="F9" s="57" t="inlineStr"/>
      <c r="G9" s="45" t="n"/>
      <c r="H9" s="58" t="inlineStr"/>
    </row>
    <row r="10" ht="8" customHeight="1"/>
    <row r="11" ht="22" customHeight="1">
      <c r="A11" s="59" t="inlineStr">
        <is>
          <t>YTD</t>
        </is>
      </c>
      <c r="B11" s="1" t="inlineStr"/>
      <c r="C11" s="1" t="inlineStr"/>
      <c r="D11" s="60">
        <f>SUM(D6:D9)</f>
        <v/>
      </c>
      <c r="E11" s="60">
        <f>SUM(E6:E9)</f>
        <v/>
      </c>
      <c r="F11" s="1" t="inlineStr"/>
      <c r="G11" s="60">
        <f>SUM(G6:G9)</f>
        <v/>
      </c>
      <c r="H11" s="1" t="inlineStr"/>
    </row>
    <row r="13" ht="32" customHeight="1">
      <c r="A13" s="54" t="inlineStr">
        <is>
          <t>💡 Pay via IRS Direct Pay (irs.gov/payments) — free, no enrollment, or EFTPS (eftps.gov, requires enrollment). Mail-in vouchers also accepted with check, but allow 7-10 days for posting. Save the confirmation number.</t>
        </is>
      </c>
    </row>
  </sheetData>
  <mergeCells count="5">
    <mergeCell ref="J2:L2"/>
    <mergeCell ref="D2:I2"/>
    <mergeCell ref="A13:L13"/>
    <mergeCell ref="A2:C2"/>
    <mergeCell ref="A4:L4"/>
  </mergeCells>
  <conditionalFormatting sqref="C6:C9">
    <cfRule type="expression" priority="1" dxfId="1">
      <formula>AND(C6&lt;TODAY(),F6&lt;&gt;"Paid")</formula>
    </cfRule>
  </conditionalFormatting>
  <dataValidations count="1">
    <dataValidation sqref="F6:F9" showDropDown="0" showInputMessage="0" showErrorMessage="0" allowBlank="1" type="list">
      <formula1>",Paid,Late,Skipped"</formula1>
    </dataValidation>
  </dataValidations>
  <pageMargins left="0.75" right="0.75" top="1" bottom="1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" customWidth="1" min="3" max="3"/>
    <col width="16" customWidth="1" min="4" max="4"/>
    <col width="16" customWidth="1" min="5" max="5"/>
    <col width="1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HYPERLINK("#'Payment Schedule'!A1", "← BACK")</f>
        <v/>
      </c>
      <c r="B2" s="13" t="n"/>
      <c r="C2" s="13" t="n"/>
      <c r="D2" s="3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Tax year · classification · prior year · withholding · brackets.</t>
        </is>
      </c>
    </row>
    <row r="5" ht="18" customHeight="1">
      <c r="A5" s="61" t="inlineStr">
        <is>
          <t>Active tax year:</t>
        </is>
      </c>
      <c r="B5" s="62" t="n">
        <v>2026</v>
      </c>
    </row>
    <row r="6" ht="18" customHeight="1">
      <c r="A6" s="61" t="inlineStr">
        <is>
          <t>Schedule classification:</t>
        </is>
      </c>
      <c r="B6" s="58" t="inlineStr">
        <is>
          <t>Schedule E (passive)</t>
        </is>
      </c>
    </row>
    <row r="7" ht="18" customHeight="1">
      <c r="A7" s="61" t="inlineStr">
        <is>
          <t>Substantial services? (Y/N — drives Schedule C):</t>
        </is>
      </c>
      <c r="B7" s="58" t="inlineStr">
        <is>
          <t>N</t>
        </is>
      </c>
    </row>
    <row r="8" ht="18" customHeight="1">
      <c r="A8" s="61" t="inlineStr">
        <is>
          <t>Filing status:</t>
        </is>
      </c>
      <c r="B8" s="58" t="inlineStr">
        <is>
          <t>MFJ</t>
        </is>
      </c>
    </row>
    <row r="9" ht="18" customHeight="1">
      <c r="A9" s="61" t="inlineStr">
        <is>
          <t>Prior-year AGI:</t>
        </is>
      </c>
      <c r="B9" s="45" t="n">
        <v>148000</v>
      </c>
    </row>
    <row r="10" ht="18" customHeight="1">
      <c r="A10" s="61" t="inlineStr">
        <is>
          <t>Prior-year total tax (Form 1040 Line 24):</t>
        </is>
      </c>
      <c r="B10" s="45" t="n">
        <v>14200</v>
      </c>
    </row>
    <row r="11" ht="18" customHeight="1">
      <c r="A11" s="61" t="inlineStr">
        <is>
          <t>Other YTD income (memo, e.g., spouse W-2):</t>
        </is>
      </c>
      <c r="B11" s="45" t="n">
        <v>88000</v>
      </c>
    </row>
    <row r="12" ht="18" customHeight="1">
      <c r="A12" s="61" t="inlineStr">
        <is>
          <t>YTD W-2 withholding (spouse, this year):</t>
        </is>
      </c>
      <c r="B12" s="45" t="n">
        <v>8000</v>
      </c>
    </row>
    <row r="14">
      <c r="E14" s="63" t="inlineStr">
        <is>
          <t>2026 Standard Deduction</t>
        </is>
      </c>
    </row>
    <row r="15">
      <c r="E15" s="64" t="inlineStr">
        <is>
          <t>Single</t>
        </is>
      </c>
      <c r="F15" s="65" t="n">
        <v>15750</v>
      </c>
    </row>
    <row r="16">
      <c r="E16" s="64" t="inlineStr">
        <is>
          <t>MFJ</t>
        </is>
      </c>
      <c r="F16" s="65" t="n">
        <v>31500</v>
      </c>
    </row>
    <row r="17">
      <c r="E17" s="64" t="inlineStr">
        <is>
          <t>HoH</t>
        </is>
      </c>
      <c r="F17" s="65" t="n">
        <v>23625</v>
      </c>
    </row>
    <row r="18">
      <c r="E18" s="64" t="inlineStr">
        <is>
          <t>MFS</t>
        </is>
      </c>
      <c r="F18" s="65" t="n">
        <v>15750</v>
      </c>
    </row>
    <row r="19" ht="18" customHeight="1">
      <c r="A19" s="66" t="inlineStr">
        <is>
          <t>📅 Brackets + standard deduction as of 2026-01-01 — edit me each Nov when IRS publishes new figures.</t>
        </is>
      </c>
    </row>
    <row r="20" ht="22" customHeight="1">
      <c r="A20" s="67" t="inlineStr">
        <is>
          <t>2026 Federal Income Tax Brackets (reference)</t>
        </is>
      </c>
    </row>
    <row r="21" ht="18" customHeight="1">
      <c r="A21" s="37" t="inlineStr">
        <is>
          <t>From (Single)</t>
        </is>
      </c>
      <c r="B21" s="37" t="inlineStr">
        <is>
          <t>To (Single)</t>
        </is>
      </c>
      <c r="C21" s="37" t="inlineStr">
        <is>
          <t>Rate</t>
        </is>
      </c>
      <c r="D21" s="37" t="inlineStr">
        <is>
          <t>From (MFJ)</t>
        </is>
      </c>
      <c r="E21" s="37" t="inlineStr">
        <is>
          <t>To (MFJ)</t>
        </is>
      </c>
      <c r="F21" s="37" t="inlineStr">
        <is>
          <t>Rate</t>
        </is>
      </c>
    </row>
    <row r="22" ht="16" customHeight="1">
      <c r="A22" s="68" t="n">
        <v>0</v>
      </c>
      <c r="B22" s="68" t="n">
        <v>11925</v>
      </c>
      <c r="C22" s="69" t="n">
        <v>0.1</v>
      </c>
      <c r="D22" s="68" t="n">
        <v>0</v>
      </c>
      <c r="E22" s="68" t="n">
        <v>23850</v>
      </c>
      <c r="F22" s="69" t="n">
        <v>0.1</v>
      </c>
    </row>
    <row r="23" ht="16" customHeight="1">
      <c r="A23" s="68" t="n">
        <v>11925</v>
      </c>
      <c r="B23" s="68" t="n">
        <v>48475</v>
      </c>
      <c r="C23" s="69" t="n">
        <v>0.12</v>
      </c>
      <c r="D23" s="68" t="n">
        <v>23850</v>
      </c>
      <c r="E23" s="68" t="n">
        <v>96950</v>
      </c>
      <c r="F23" s="69" t="n">
        <v>0.12</v>
      </c>
    </row>
    <row r="24" ht="16" customHeight="1">
      <c r="A24" s="68" t="n">
        <v>48475</v>
      </c>
      <c r="B24" s="68" t="n">
        <v>103350</v>
      </c>
      <c r="C24" s="69" t="n">
        <v>0.22</v>
      </c>
      <c r="D24" s="68" t="n">
        <v>96950</v>
      </c>
      <c r="E24" s="68" t="n">
        <v>206700</v>
      </c>
      <c r="F24" s="69" t="n">
        <v>0.22</v>
      </c>
    </row>
    <row r="25" ht="16" customHeight="1">
      <c r="A25" s="68" t="n">
        <v>103350</v>
      </c>
      <c r="B25" s="68" t="n">
        <v>197300</v>
      </c>
      <c r="C25" s="69" t="n">
        <v>0.24</v>
      </c>
      <c r="D25" s="68" t="n">
        <v>206700</v>
      </c>
      <c r="E25" s="68" t="n">
        <v>394600</v>
      </c>
      <c r="F25" s="69" t="n">
        <v>0.24</v>
      </c>
    </row>
    <row r="26" ht="16" customHeight="1">
      <c r="A26" s="68" t="n">
        <v>197300</v>
      </c>
      <c r="B26" s="68" t="n">
        <v>250525</v>
      </c>
      <c r="C26" s="69" t="n">
        <v>0.32</v>
      </c>
      <c r="D26" s="68" t="n">
        <v>394600</v>
      </c>
      <c r="E26" s="68" t="n">
        <v>501050</v>
      </c>
      <c r="F26" s="69" t="n">
        <v>0.32</v>
      </c>
    </row>
    <row r="27" ht="16" customHeight="1">
      <c r="A27" s="68" t="n">
        <v>250525</v>
      </c>
      <c r="B27" s="68" t="n">
        <v>626350</v>
      </c>
      <c r="C27" s="69" t="n">
        <v>0.35</v>
      </c>
      <c r="D27" s="68" t="n">
        <v>501050</v>
      </c>
      <c r="E27" s="68" t="n">
        <v>751600</v>
      </c>
      <c r="F27" s="69" t="n">
        <v>0.35</v>
      </c>
    </row>
    <row r="28" ht="16" customHeight="1">
      <c r="A28" s="68" t="n">
        <v>626350</v>
      </c>
      <c r="B28" s="70" t="inlineStr">
        <is>
          <t>—</t>
        </is>
      </c>
      <c r="C28" s="69" t="n">
        <v>0.37</v>
      </c>
      <c r="D28" s="68" t="n">
        <v>751600</v>
      </c>
      <c r="E28" s="70" t="inlineStr">
        <is>
          <t>—</t>
        </is>
      </c>
      <c r="F28" s="69" t="n">
        <v>0.37</v>
      </c>
    </row>
    <row r="31" ht="22" customHeight="1">
      <c r="A31" s="71" t="inlineStr">
        <is>
          <t>Year-end Archive</t>
        </is>
      </c>
    </row>
    <row r="32" ht="24" customHeight="1">
      <c r="A32" s="72" t="inlineStr">
        <is>
          <t>Each January, copy YTD net + total paid + filed-tax into the row.</t>
        </is>
      </c>
    </row>
    <row r="33" ht="18" customHeight="1">
      <c r="A33" s="37" t="inlineStr">
        <is>
          <t>Year</t>
        </is>
      </c>
      <c r="B33" s="37" t="inlineStr">
        <is>
          <t>YTD Net Profit</t>
        </is>
      </c>
      <c r="C33" s="37" t="inlineStr">
        <is>
          <t>Total Paid (Estimateds)</t>
        </is>
      </c>
      <c r="D33" s="37" t="inlineStr">
        <is>
          <t>Filed Tax</t>
        </is>
      </c>
    </row>
    <row r="34" ht="16" customHeight="1">
      <c r="A34" s="55" t="n">
        <v>2024</v>
      </c>
      <c r="B34" s="41" t="n"/>
      <c r="C34" s="41" t="n"/>
      <c r="D34" s="41" t="n"/>
    </row>
    <row r="35" ht="16" customHeight="1">
      <c r="A35" s="55" t="n">
        <v>2025</v>
      </c>
      <c r="B35" s="41" t="n"/>
      <c r="C35" s="41" t="n"/>
      <c r="D35" s="41" t="n"/>
    </row>
    <row r="36" ht="16" customHeight="1">
      <c r="A36" s="55" t="n">
        <v>2026</v>
      </c>
      <c r="B36" s="41" t="n"/>
      <c r="C36" s="41" t="n"/>
      <c r="D36" s="41" t="n"/>
    </row>
    <row r="37" ht="16" customHeight="1">
      <c r="A37" s="55" t="n">
        <v>2027</v>
      </c>
      <c r="B37" s="41" t="n"/>
      <c r="C37" s="41" t="n"/>
      <c r="D37" s="41" t="n"/>
    </row>
    <row r="38" ht="16" customHeight="1">
      <c r="A38" s="55" t="n">
        <v>2028</v>
      </c>
      <c r="B38" s="41" t="n"/>
      <c r="C38" s="41" t="n"/>
      <c r="D38" s="41" t="n"/>
    </row>
    <row r="39" ht="16" customHeight="1">
      <c r="A39" s="55" t="n">
        <v>2029</v>
      </c>
      <c r="B39" s="41" t="n"/>
      <c r="C39" s="41" t="n"/>
      <c r="D39" s="41" t="n"/>
    </row>
    <row r="40" ht="16" customHeight="1">
      <c r="A40" s="55" t="n">
        <v>2030</v>
      </c>
      <c r="B40" s="41" t="n"/>
      <c r="C40" s="41" t="n"/>
      <c r="D40" s="41" t="n"/>
    </row>
  </sheetData>
  <mergeCells count="5">
    <mergeCell ref="D2:L2"/>
    <mergeCell ref="A19:F19"/>
    <mergeCell ref="A32:F32"/>
    <mergeCell ref="A2:C2"/>
    <mergeCell ref="A4:L4"/>
  </mergeCells>
  <dataValidations count="3">
    <dataValidation sqref="B6" showDropDown="0" showInputMessage="0" showErrorMessage="0" allowBlank="1" type="list">
      <formula1>"Schedule E (passive),Schedule C (active),Ask my CPA"</formula1>
    </dataValidation>
    <dataValidation sqref="B7" showDropDown="0" showInputMessage="0" showErrorMessage="0" allowBlank="1" type="list">
      <formula1>"Y,N"</formula1>
    </dataValidation>
    <dataValidation sqref="B8" showDropDown="0" showInputMessage="0" showErrorMessage="0" allowBlank="1" type="list">
      <formula1>"Single,MFJ,HoH,MFS"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Quarterly Estimated Tax Calculator (DEMO) — The STR Ledger</dc:title>
  <dc:description xmlns:dc="http://purl.org/dc/elements/1.1/">IRS-compliant quarterly estimated tax tracker for STR hosts.</dc:description>
  <dcterms:created xmlns:dcterms="http://purl.org/dc/terms/" xmlns:xsi="http://www.w3.org/2001/XMLSchema-instance" xsi:type="dcterms:W3CDTF">2026-05-03T19:05:56Z</dcterms:created>
  <dcterms:modified xmlns:dcterms="http://purl.org/dc/terms/" xmlns:xsi="http://www.w3.org/2001/XMLSchema-instance" xsi:type="dcterms:W3CDTF">2026-05-03T19:05:56Z</dcterms:modified>
</cp:coreProperties>
</file>