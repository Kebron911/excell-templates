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Settings" sheetId="4" state="visible" r:id="rId4"/>
  </sheets>
  <definedNames>
    <definedName name="_xlnm.Print_Area" localSheetId="0">'Start'!$A$1:$L$34</definedName>
    <definedName name="_xlnm.Print_Area" localSheetId="2">'Comparison'!$A$1:$L$57</definedName>
    <definedName name="_xlnm.Print_Area" localSheetId="3">'Settings'!$A$1:$L$15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"/>
    <numFmt numFmtId="166" formatCode="0.0%"/>
    <numFmt numFmtId="167" formatCode="&quot;$&quot;#,##0.00"/>
    <numFmt numFmtId="168" formatCode="&quot;+&quot;$#,##0;&quot;-&quot;$#,##0;&quot;$0&quot;"/>
  </numFmts>
  <fonts count="2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alibri"/>
      <i val="1"/>
      <color rgb="002B2B2B"/>
      <sz val="12"/>
    </font>
    <font>
      <name val="Consolas"/>
      <b val="1"/>
      <color rgb="0012304E"/>
      <sz val="10"/>
    </font>
    <font>
      <name val="Georgia"/>
      <b val="1"/>
      <color rgb="00C9A24B"/>
      <sz val="32"/>
    </font>
    <font>
      <name val="Georgia"/>
      <b val="1"/>
      <color rgb="0012304E"/>
      <sz val="14"/>
    </font>
    <font>
      <name val="Calibri"/>
      <i val="1"/>
      <color rgb="00B5725E"/>
      <sz val="12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b val="1"/>
      <color rgb="0012304E"/>
      <sz val="11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Calibri"/>
      <b val="1"/>
      <color rgb="00B5725E"/>
      <sz val="11"/>
    </font>
    <font>
      <name val="Calibri"/>
      <color rgb="006B7280"/>
      <sz val="11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FE5D0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3" fillId="4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right" vertical="center" indent="2"/>
    </xf>
    <xf numFmtId="0" fontId="17" fillId="3" borderId="0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left" vertical="center" indent="2"/>
    </xf>
    <xf numFmtId="0" fontId="19" fillId="0" borderId="0" applyAlignment="1" pivotButton="0" quotePrefix="0" xfId="0">
      <alignment horizontal="right" vertical="center" indent="1"/>
    </xf>
    <xf numFmtId="164" fontId="20" fillId="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indent="1"/>
    </xf>
    <xf numFmtId="165" fontId="20" fillId="5" borderId="0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166" fontId="20" fillId="5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left" vertical="top" wrapText="1" indent="2"/>
    </xf>
    <xf numFmtId="0" fontId="22" fillId="6" borderId="0" applyAlignment="1" pivotButton="0" quotePrefix="0" xfId="0">
      <alignment horizontal="center" vertical="center"/>
    </xf>
    <xf numFmtId="165" fontId="23" fillId="7" borderId="0" applyAlignment="1" pivotButton="0" quotePrefix="0" xfId="0">
      <alignment horizontal="center" vertical="center"/>
    </xf>
    <xf numFmtId="1" fontId="23" fillId="7" borderId="0" applyAlignment="1" pivotButton="0" quotePrefix="0" xfId="0">
      <alignment horizontal="center" vertical="center"/>
    </xf>
    <xf numFmtId="164" fontId="23" fillId="7" borderId="0" applyAlignment="1" pivotButton="0" quotePrefix="0" xfId="0">
      <alignment horizontal="center" vertical="center"/>
    </xf>
    <xf numFmtId="164" fontId="23" fillId="6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 indent="1"/>
    </xf>
    <xf numFmtId="164" fontId="24" fillId="7" borderId="0" applyAlignment="1" pivotButton="0" quotePrefix="0" xfId="0">
      <alignment horizontal="center" vertical="center"/>
    </xf>
    <xf numFmtId="167" fontId="23" fillId="7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indent="1"/>
    </xf>
    <xf numFmtId="0" fontId="26" fillId="0" borderId="0" applyAlignment="1" pivotButton="0" quotePrefix="0" xfId="0">
      <alignment horizontal="center" vertical="center"/>
    </xf>
    <xf numFmtId="168" fontId="22" fillId="7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top" wrapText="1" indent="2"/>
    </xf>
    <xf numFmtId="0" fontId="20" fillId="5" borderId="0" applyAlignment="1" pivotButton="0" quotePrefix="0" xfId="0">
      <alignment horizontal="center" vertical="center"/>
    </xf>
    <xf numFmtId="1" fontId="20" fillId="5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C884"/>
        </patternFill>
      </fill>
    </dxf>
    <dxf>
      <font>
        <name val="Georgia"/>
        <b val="1"/>
        <color rgb="00F6EFE2"/>
        <sz val="12"/>
      </font>
      <fill>
        <patternFill patternType="solid">
          <fgColor rgb="00C9A24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by MNS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'Comparison'!$C$7:$G$7</f>
            </numRef>
          </cat>
          <val>
            <numRef>
              <f>'Comparison'!$C$24:$G$24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Minimum-night-stay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NET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Minimum-Night-Stay Optimizer</t>
        </is>
      </c>
    </row>
    <row r="5" ht="22" customHeight="1">
      <c r="A5" s="4" t="inlineStr">
        <is>
          <t>Does 1-night really beat 3-night? Run the math.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REV-004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2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1" ht="28" customHeight="1">
      <c r="A11" s="6">
        <f>IF(Settings!C5="","(set property on Settings tab)",Settings!C5)</f>
        <v/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2" customHeight="1">
      <c r="A13" s="8" t="inlineStr">
        <is>
          <t>Most hosts assume a 1-night minimum maximizes revenue.
Turnover cost often makes 3-night MNS net better. Let's see.</t>
        </is>
      </c>
    </row>
    <row r="14" ht="22" customHeight="1"/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18" customHeight="1">
      <c r="A16" s="9" t="inlineStr">
        <is>
          <t>RECOMMENDED MINIMUM-NIGHT-STAY</t>
        </is>
      </c>
    </row>
    <row r="17" ht="32" customHeight="1">
      <c r="A17" s="10">
        <f>INDEX(Comparison!C7:G7,MATCH(MAX(Comparison!C24:G24),Comparison!C24:G24,0))&amp;"-night minimum"</f>
        <v/>
      </c>
    </row>
    <row r="18" ht="22" customHeight="1"/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22" customHeight="1">
      <c r="A20" s="11">
        <f>"Annual NET: "&amp;TEXT(MAX(Comparison!C24:G24),"$#,##0")&amp;"   ·   vs 1-night NET: "&amp;TEXT(Comparison!C24,"$#,##0")</f>
        <v/>
      </c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0" customHeight="1">
      <c r="A22" s="12">
        <f>"Lift over 1-night minimum: "&amp;TEXT(MAX(Comparison!C24:G24)-Comparison!C24,"+$#,##0;-$#,##0;$0")&amp;" / year"</f>
        <v/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5" ht="22" customHeight="1">
      <c r="A25" s="13">
        <f>HYPERLINK("#'Inputs'!A1", "→  Inputs")</f>
        <v/>
      </c>
      <c r="B25" s="14" t="n"/>
      <c r="C25" s="14" t="n"/>
      <c r="D25" s="14" t="n"/>
      <c r="E25" s="15">
        <f>HYPERLINK("#'Comparison'!A1", "→  Run Comparison")</f>
        <v/>
      </c>
      <c r="F25" s="16" t="n"/>
      <c r="G25" s="16" t="n"/>
      <c r="H25" s="16" t="n"/>
      <c r="I25" s="17">
        <f>HYPERLINK("#'Settings'!A1", "Settings")</f>
        <v/>
      </c>
      <c r="J25" s="18" t="n"/>
      <c r="K25" s="18" t="n"/>
      <c r="L25" s="18" t="n"/>
    </row>
    <row r="26" ht="22" customHeight="1">
      <c r="A26" s="14" t="n"/>
      <c r="B26" s="14" t="n"/>
      <c r="C26" s="14" t="n"/>
      <c r="D26" s="14" t="n"/>
      <c r="E26" s="16" t="n"/>
      <c r="F26" s="16" t="n"/>
      <c r="G26" s="16" t="n"/>
      <c r="H26" s="16" t="n"/>
      <c r="I26" s="18" t="n"/>
      <c r="J26" s="18" t="n"/>
      <c r="K26" s="18" t="n"/>
      <c r="L26" s="18" t="n"/>
    </row>
    <row r="27" ht="22" customHeight="1">
      <c r="A27" s="14" t="n"/>
      <c r="B27" s="14" t="n"/>
      <c r="C27" s="14" t="n"/>
      <c r="D27" s="14" t="n"/>
      <c r="E27" s="16" t="n"/>
      <c r="F27" s="16" t="n"/>
      <c r="G27" s="16" t="n"/>
      <c r="H27" s="16" t="n"/>
      <c r="I27" s="18" t="n"/>
      <c r="J27" s="18" t="n"/>
      <c r="K27" s="18" t="n"/>
      <c r="L27" s="18" t="n"/>
    </row>
    <row r="30" ht="36" customHeight="1">
      <c r="A30" s="19" t="inlineStr">
        <is>
          <t>Optimizing pricing across scenarios? Get the Pricing Bundle at thestrledger.com/pricing — cleaning fee + MNS + base-rate together.</t>
        </is>
      </c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</row>
    <row r="33" ht="18" customHeight="1">
      <c r="A33" s="21" t="inlineStr">
        <is>
          <t>Questions? hello@thestrledger.com</t>
        </is>
      </c>
    </row>
    <row r="34" ht="18" customHeight="1">
      <c r="A34" s="22" t="inlineStr">
        <is>
          <t>REV-004 · v1.0 · Free updates forever</t>
        </is>
      </c>
    </row>
  </sheetData>
  <mergeCells count="16">
    <mergeCell ref="A20:L20"/>
    <mergeCell ref="A2:F2"/>
    <mergeCell ref="A16:L16"/>
    <mergeCell ref="A30:L30"/>
    <mergeCell ref="A7:L7"/>
    <mergeCell ref="A33:L33"/>
    <mergeCell ref="A11:L11"/>
    <mergeCell ref="A25:D27"/>
    <mergeCell ref="E25:H27"/>
    <mergeCell ref="A5:L5"/>
    <mergeCell ref="I25:L27"/>
    <mergeCell ref="A22:L22"/>
    <mergeCell ref="A17:L18"/>
    <mergeCell ref="A13:L14"/>
    <mergeCell ref="A34:L34"/>
    <mergeCell ref="A4:L4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HYPERLINK("#'Start'!A1", "← BACK")</f>
        <v/>
      </c>
      <c r="B2" s="14" t="n"/>
      <c r="C2" s="14" t="n"/>
      <c r="D2" s="23" t="inlineStr">
        <is>
          <t>INPUTS</t>
        </is>
      </c>
      <c r="J2" s="15">
        <f>HYPERLINK("#'Comparison'!A1", "NEXT →")</f>
        <v/>
      </c>
      <c r="K2" s="16" t="n"/>
      <c r="L2" s="1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Yellow = edit. Set base costs once, then tune per-scenario occupancy + ADR by MNS.</t>
        </is>
      </c>
    </row>
    <row r="6" ht="24" customHeight="1">
      <c r="A6" s="25" t="inlineStr">
        <is>
          <t>BASE PROPERTY  &amp;  COSTS</t>
        </is>
      </c>
    </row>
    <row r="7" ht="18" customHeight="1">
      <c r="B7" s="26" t="inlineStr">
        <is>
          <t>Base nightly rate ($):</t>
        </is>
      </c>
      <c r="C7" s="27" t="n">
        <v>185</v>
      </c>
      <c r="E7" s="28" t="inlineStr">
        <is>
          <t>Reference rate — per-scenario ADR overrides below</t>
        </is>
      </c>
    </row>
    <row r="8" ht="18" customHeight="1">
      <c r="B8" s="26" t="inlineStr">
        <is>
          <t>Cleaning cost per turnover ($):</t>
        </is>
      </c>
      <c r="C8" s="27" t="n">
        <v>90</v>
      </c>
      <c r="E8" s="28" t="inlineStr">
        <is>
          <t>What you pay your cleaner each turnover</t>
        </is>
      </c>
    </row>
    <row r="9" ht="18" customHeight="1">
      <c r="B9" s="26" t="inlineStr">
        <is>
          <t>Supply restock per turnover ($):</t>
        </is>
      </c>
      <c r="C9" s="27" t="n">
        <v>25</v>
      </c>
      <c r="E9" s="28" t="inlineStr">
        <is>
          <t>Toiletries, paper, coffee, consumables</t>
        </is>
      </c>
    </row>
    <row r="10" ht="18" customHeight="1">
      <c r="B10" s="26" t="inlineStr">
        <is>
          <t>Host hours per turnover:</t>
        </is>
      </c>
      <c r="C10" s="29" t="n">
        <v>1.5</v>
      </c>
      <c r="E10" s="28" t="inlineStr">
        <is>
          <t>Coordination, inspection, supply runs</t>
        </is>
      </c>
    </row>
    <row r="11" ht="18" customHeight="1">
      <c r="B11" s="26" t="inlineStr">
        <is>
          <t>Host hourly opportunity cost ($):</t>
        </is>
      </c>
      <c r="C11" s="27" t="n">
        <v>40</v>
      </c>
      <c r="E11" s="28" t="inlineStr">
        <is>
          <t>What your time is worth — be honest</t>
        </is>
      </c>
    </row>
    <row r="15" ht="24" customHeight="1">
      <c r="A15" s="25" t="inlineStr">
        <is>
          <t>PER-SCENARIO  —  OCCUPANCY  &amp;  ADR BY MNS</t>
        </is>
      </c>
    </row>
    <row r="16" ht="24" customHeight="1">
      <c r="B16" s="30" t="inlineStr">
        <is>
          <t>MNS scenario</t>
        </is>
      </c>
      <c r="C16" s="30" t="inlineStr">
        <is>
          <t>Expected occ.</t>
        </is>
      </c>
      <c r="D16" s="30" t="inlineStr">
        <is>
          <t>Expected ADR</t>
        </is>
      </c>
      <c r="E16" s="30" t="inlineStr">
        <is>
          <t>Note</t>
        </is>
      </c>
    </row>
    <row r="17" ht="20" customHeight="1">
      <c r="B17" s="26" t="inlineStr">
        <is>
          <t>1-night MNS</t>
        </is>
      </c>
      <c r="C17" s="31" t="n">
        <v>0.78</v>
      </c>
      <c r="D17" s="27" t="n">
        <v>185</v>
      </c>
      <c r="E17" s="28" t="inlineStr">
        <is>
          <t>1-night = max nightly availability, max turnovers</t>
        </is>
      </c>
    </row>
    <row r="18" ht="20" customHeight="1">
      <c r="B18" s="26" t="inlineStr">
        <is>
          <t>2-night MNS</t>
        </is>
      </c>
      <c r="C18" s="31" t="n">
        <v>0.76</v>
      </c>
      <c r="D18" s="27" t="n">
        <v>185</v>
      </c>
      <c r="E18" s="28" t="inlineStr">
        <is>
          <t>Filters out single-night party bookers</t>
        </is>
      </c>
    </row>
    <row r="19" ht="20" customHeight="1">
      <c r="B19" s="26" t="inlineStr">
        <is>
          <t>3-night MNS</t>
        </is>
      </c>
      <c r="C19" s="31" t="n">
        <v>0.7</v>
      </c>
      <c r="D19" s="27" t="n">
        <v>192</v>
      </c>
      <c r="E19" s="28" t="inlineStr">
        <is>
          <t>Sweet spot for most STR markets</t>
        </is>
      </c>
    </row>
    <row r="20" ht="20" customHeight="1">
      <c r="B20" s="26" t="inlineStr">
        <is>
          <t>5-night MNS</t>
        </is>
      </c>
      <c r="C20" s="31" t="n">
        <v>0.58</v>
      </c>
      <c r="D20" s="27" t="n">
        <v>200</v>
      </c>
      <c r="E20" s="28" t="inlineStr">
        <is>
          <t>Long-weekend bookings only</t>
        </is>
      </c>
    </row>
    <row r="21" ht="20" customHeight="1">
      <c r="B21" s="26" t="inlineStr">
        <is>
          <t>7-night MNS</t>
        </is>
      </c>
      <c r="C21" s="31" t="n">
        <v>0.45</v>
      </c>
      <c r="D21" s="27" t="n">
        <v>210</v>
      </c>
      <c r="E21" s="28" t="inlineStr">
        <is>
          <t>Week-long stays — lowest ops cost, lowest occupancy</t>
        </is>
      </c>
    </row>
    <row r="24" ht="16" customHeight="1">
      <c r="A24" s="32" t="inlineStr">
        <is>
          <t>Why ADR rises with longer MNS: longer minimums filter to vacationers (less price-sensitive) and avoid Airbnb's length-of-stay discount territory. Conservative estimate: +$5-15/night per additional MNS step. Pull real numbers from PriceLabs/Wheelhouse.</t>
        </is>
      </c>
    </row>
    <row r="25" ht="16" customHeight="1"/>
    <row r="26" ht="16" customHeight="1"/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</row>
    <row r="29" ht="18" customHeight="1">
      <c r="A29" s="21" t="inlineStr">
        <is>
          <t>Questions? hello@thestrledger.com</t>
        </is>
      </c>
    </row>
    <row r="30" ht="18" customHeight="1">
      <c r="A30" s="22" t="inlineStr">
        <is>
          <t>REV-004 · Inputs</t>
        </is>
      </c>
    </row>
  </sheetData>
  <mergeCells count="20">
    <mergeCell ref="E18:L18"/>
    <mergeCell ref="D2:I2"/>
    <mergeCell ref="E21:L21"/>
    <mergeCell ref="E8:L8"/>
    <mergeCell ref="A2:C2"/>
    <mergeCell ref="E17:L17"/>
    <mergeCell ref="E20:L20"/>
    <mergeCell ref="E10:L10"/>
    <mergeCell ref="E19:L19"/>
    <mergeCell ref="A4:L4"/>
    <mergeCell ref="E9:L9"/>
    <mergeCell ref="J2:L2"/>
    <mergeCell ref="A29:L29"/>
    <mergeCell ref="E11:L11"/>
    <mergeCell ref="A30:L30"/>
    <mergeCell ref="A15:L15"/>
    <mergeCell ref="A24:L26"/>
    <mergeCell ref="E7:L7"/>
    <mergeCell ref="E16:L16"/>
    <mergeCell ref="A6:L6"/>
  </mergeCells>
  <pageMargins left="0.5" right="0.5" top="0.5" bottom="0.5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5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HYPERLINK("#'Inputs'!A1", "← BACK")</f>
        <v/>
      </c>
      <c r="B2" s="14" t="n"/>
      <c r="C2" s="14" t="n"/>
      <c r="D2" s="23" t="inlineStr">
        <is>
          <t>COMPARISON</t>
        </is>
      </c>
      <c r="J2" s="15">
        <f>HYPERLINK("#'Settings'!A1", "NEXT →")</f>
        <v/>
      </c>
      <c r="K2" s="16" t="n"/>
      <c r="L2" s="1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Five MNS policies side-by-side. Gold-soft column = highest NET. Numbers update from Inputs.</t>
        </is>
      </c>
    </row>
    <row r="6" ht="26" customHeight="1">
      <c r="B6" s="30" t="inlineStr">
        <is>
          <t>Metric</t>
        </is>
      </c>
      <c r="C6" s="30" t="inlineStr">
        <is>
          <t>1-night MNS</t>
        </is>
      </c>
      <c r="D6" s="30" t="inlineStr">
        <is>
          <t>2-night MNS</t>
        </is>
      </c>
      <c r="E6" s="30" t="inlineStr">
        <is>
          <t>3-night MNS</t>
        </is>
      </c>
      <c r="F6" s="30" t="inlineStr">
        <is>
          <t>5-night MNS</t>
        </is>
      </c>
      <c r="G6" s="30" t="inlineStr">
        <is>
          <t>7-night MNS</t>
        </is>
      </c>
    </row>
    <row r="7" ht="22" customHeight="1">
      <c r="B7" s="26" t="inlineStr">
        <is>
          <t>Min nights per booking</t>
        </is>
      </c>
      <c r="C7" s="33" t="n">
        <v>1</v>
      </c>
      <c r="D7" s="33" t="n">
        <v>2</v>
      </c>
      <c r="E7" s="33" t="n">
        <v>3</v>
      </c>
      <c r="F7" s="33" t="n">
        <v>5</v>
      </c>
      <c r="G7" s="33" t="n">
        <v>7</v>
      </c>
    </row>
    <row r="8" ht="18" customHeight="1">
      <c r="B8" s="26" t="inlineStr">
        <is>
          <t>Avg nights per booking</t>
        </is>
      </c>
      <c r="C8" s="34">
        <f>C7</f>
        <v/>
      </c>
      <c r="D8" s="34">
        <f>D7</f>
        <v/>
      </c>
      <c r="E8" s="34">
        <f>E7</f>
        <v/>
      </c>
      <c r="F8" s="34">
        <f>F7</f>
        <v/>
      </c>
      <c r="G8" s="34">
        <f>G7</f>
        <v/>
      </c>
    </row>
    <row r="9" ht="18" customHeight="1">
      <c r="B9" s="26" t="inlineStr">
        <is>
          <t>Bookings / year</t>
        </is>
      </c>
      <c r="C9" s="35">
        <f>IFERROR((365*Inputs!C17)/C7,0)</f>
        <v/>
      </c>
      <c r="D9" s="35">
        <f>IFERROR((365*Inputs!C18)/D7,0)</f>
        <v/>
      </c>
      <c r="E9" s="35">
        <f>IFERROR((365*Inputs!C19)/E7,0)</f>
        <v/>
      </c>
      <c r="F9" s="35">
        <f>IFERROR((365*Inputs!C20)/F7,0)</f>
        <v/>
      </c>
      <c r="G9" s="35">
        <f>IFERROR((365*Inputs!C21)/G7,0)</f>
        <v/>
      </c>
    </row>
    <row r="10" ht="18" customHeight="1">
      <c r="B10" s="26" t="inlineStr">
        <is>
          <t>Turnovers / year</t>
        </is>
      </c>
      <c r="C10" s="35">
        <f>C9</f>
        <v/>
      </c>
      <c r="D10" s="35">
        <f>D9</f>
        <v/>
      </c>
      <c r="E10" s="35">
        <f>E9</f>
        <v/>
      </c>
      <c r="F10" s="35">
        <f>F9</f>
        <v/>
      </c>
      <c r="G10" s="35">
        <f>G9</f>
        <v/>
      </c>
    </row>
    <row r="11" ht="18" customHeight="1">
      <c r="B11" s="26" t="inlineStr">
        <is>
          <t>Occupied nights / year</t>
        </is>
      </c>
      <c r="C11" s="35">
        <f>365*Inputs!C17</f>
        <v/>
      </c>
      <c r="D11" s="35">
        <f>365*Inputs!C18</f>
        <v/>
      </c>
      <c r="E11" s="35">
        <f>365*Inputs!C19</f>
        <v/>
      </c>
      <c r="F11" s="35">
        <f>365*Inputs!C20</f>
        <v/>
      </c>
      <c r="G11" s="35">
        <f>365*Inputs!C21</f>
        <v/>
      </c>
    </row>
    <row r="12" ht="24" customHeight="1">
      <c r="A12" s="25" t="inlineStr">
        <is>
          <t>REVENUE  &amp;  COSTS</t>
        </is>
      </c>
    </row>
    <row r="13" ht="18" customHeight="1">
      <c r="B13" s="26" t="inlineStr">
        <is>
          <t>Gross revenue</t>
        </is>
      </c>
      <c r="C13" s="36">
        <f>365*Inputs!C17*Inputs!D17</f>
        <v/>
      </c>
      <c r="D13" s="36">
        <f>365*Inputs!C18*Inputs!D18</f>
        <v/>
      </c>
      <c r="E13" s="36">
        <f>365*Inputs!C19*Inputs!D19</f>
        <v/>
      </c>
      <c r="F13" s="36">
        <f>365*Inputs!C20*Inputs!D20</f>
        <v/>
      </c>
      <c r="G13" s="36">
        <f>365*Inputs!C21*Inputs!D21</f>
        <v/>
      </c>
    </row>
    <row r="14" ht="18" customHeight="1">
      <c r="B14" s="26" t="inlineStr">
        <is>
          <t>Cleaning cost (total)</t>
        </is>
      </c>
      <c r="C14" s="36">
        <f>C10*Inputs!$C$8</f>
        <v/>
      </c>
      <c r="D14" s="36">
        <f>D10*Inputs!$C$8</f>
        <v/>
      </c>
      <c r="E14" s="36">
        <f>E10*Inputs!$C$8</f>
        <v/>
      </c>
      <c r="F14" s="36">
        <f>F10*Inputs!$C$8</f>
        <v/>
      </c>
      <c r="G14" s="36">
        <f>G10*Inputs!$C$8</f>
        <v/>
      </c>
    </row>
    <row r="15" ht="18" customHeight="1">
      <c r="B15" s="26" t="inlineStr">
        <is>
          <t>Supply restock cost</t>
        </is>
      </c>
      <c r="C15" s="36">
        <f>C10*Inputs!$C$9</f>
        <v/>
      </c>
      <c r="D15" s="36">
        <f>D10*Inputs!$C$9</f>
        <v/>
      </c>
      <c r="E15" s="36">
        <f>E10*Inputs!$C$9</f>
        <v/>
      </c>
      <c r="F15" s="36">
        <f>F10*Inputs!$C$9</f>
        <v/>
      </c>
      <c r="G15" s="36">
        <f>G10*Inputs!$C$9</f>
        <v/>
      </c>
    </row>
    <row r="16" ht="18" customHeight="1">
      <c r="B16" s="26" t="inlineStr">
        <is>
          <t>Host labor cost</t>
        </is>
      </c>
      <c r="C16" s="36">
        <f>C10*Inputs!$C$10*Inputs!$C$11</f>
        <v/>
      </c>
      <c r="D16" s="36">
        <f>D10*Inputs!$C$10*Inputs!$C$11</f>
        <v/>
      </c>
      <c r="E16" s="36">
        <f>E10*Inputs!$C$10*Inputs!$C$11</f>
        <v/>
      </c>
      <c r="F16" s="36">
        <f>F10*Inputs!$C$10*Inputs!$C$11</f>
        <v/>
      </c>
      <c r="G16" s="36">
        <f>G10*Inputs!$C$10*Inputs!$C$11</f>
        <v/>
      </c>
    </row>
    <row r="17" ht="18" customHeight="1">
      <c r="B17" s="26" t="inlineStr">
        <is>
          <t>Total operating costs</t>
        </is>
      </c>
      <c r="C17" s="37">
        <f>SUM(C14:C16)</f>
        <v/>
      </c>
      <c r="D17" s="37">
        <f>SUM(D14:D16)</f>
        <v/>
      </c>
      <c r="E17" s="37">
        <f>SUM(E14:E16)</f>
        <v/>
      </c>
      <c r="F17" s="37">
        <f>SUM(F14:F16)</f>
        <v/>
      </c>
      <c r="G17" s="37">
        <f>SUM(G14:G16)</f>
        <v/>
      </c>
    </row>
    <row r="23" ht="24" customHeight="1">
      <c r="A23" s="25" t="inlineStr">
        <is>
          <t>NET RESULT</t>
        </is>
      </c>
    </row>
    <row r="24" ht="22" customHeight="1">
      <c r="B24" s="38" t="inlineStr">
        <is>
          <t>ANNUAL NET REVENUE</t>
        </is>
      </c>
      <c r="C24" s="39">
        <f>C13-C17</f>
        <v/>
      </c>
      <c r="D24" s="39">
        <f>D13-D17</f>
        <v/>
      </c>
      <c r="E24" s="39">
        <f>E13-E17</f>
        <v/>
      </c>
      <c r="F24" s="39">
        <f>F13-F17</f>
        <v/>
      </c>
      <c r="G24" s="39">
        <f>G13-G17</f>
        <v/>
      </c>
    </row>
    <row r="25" ht="18" customHeight="1">
      <c r="B25" s="26" t="inlineStr">
        <is>
          <t>NET / occupied night</t>
        </is>
      </c>
      <c r="C25" s="40">
        <f>IFERROR(C24/C11,0)</f>
        <v/>
      </c>
      <c r="D25" s="40">
        <f>IFERROR(D24/D11,0)</f>
        <v/>
      </c>
      <c r="E25" s="40">
        <f>IFERROR(E24/E11,0)</f>
        <v/>
      </c>
      <c r="F25" s="40">
        <f>IFERROR(F24/F11,0)</f>
        <v/>
      </c>
      <c r="G25" s="40">
        <f>IFERROR(G24/G11,0)</f>
        <v/>
      </c>
    </row>
    <row r="26" ht="20" customHeight="1">
      <c r="B26" s="41" t="inlineStr">
        <is>
          <t>Δ vs 1-night MNS</t>
        </is>
      </c>
      <c r="C26" s="42">
        <f>"—"</f>
        <v/>
      </c>
      <c r="D26" s="43">
        <f>D24-C24</f>
        <v/>
      </c>
      <c r="E26" s="43">
        <f>E24-C24</f>
        <v/>
      </c>
      <c r="F26" s="43">
        <f>F24-C24</f>
        <v/>
      </c>
      <c r="G26" s="43">
        <f>G24-C24</f>
        <v/>
      </c>
    </row>
    <row r="50" ht="16" customHeight="1">
      <c r="A50" s="44" t="inlineStr">
        <is>
          <t>Why this matters: every turnover costs cleaning + supplies + your hours. A 1-night minimum maximizes booking velocity but multiplies turnover cost. Most properties net more at a 2- or 3-night minimum even with lower occupancy. Re-run when your cleaner rate or occupancy data shifts.</t>
        </is>
      </c>
    </row>
    <row r="51" ht="16" customHeight="1"/>
    <row r="52" ht="16" customHeight="1"/>
    <row r="54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</row>
    <row r="55" ht="18" customHeight="1">
      <c r="A55" s="21" t="inlineStr">
        <is>
          <t>Questions? hello@thestrledger.com</t>
        </is>
      </c>
    </row>
    <row r="56" ht="18" customHeight="1">
      <c r="A56" s="22" t="inlineStr">
        <is>
          <t>REV-004 · Comparison</t>
        </is>
      </c>
    </row>
  </sheetData>
  <mergeCells count="9">
    <mergeCell ref="J2:L2"/>
    <mergeCell ref="D2:I2"/>
    <mergeCell ref="A2:C2"/>
    <mergeCell ref="A50:L52"/>
    <mergeCell ref="A23:L23"/>
    <mergeCell ref="A56:L56"/>
    <mergeCell ref="A55:L55"/>
    <mergeCell ref="A12:L12"/>
    <mergeCell ref="A4:L4"/>
  </mergeCells>
  <conditionalFormatting sqref="C8:C26">
    <cfRule type="expression" priority="1" dxfId="0">
      <formula>C$24=MAX($C$24:$G$24)</formula>
    </cfRule>
  </conditionalFormatting>
  <conditionalFormatting sqref="C6:C7">
    <cfRule type="expression" priority="2" dxfId="1">
      <formula>C$24=MAX($C$24:$G$24)</formula>
    </cfRule>
  </conditionalFormatting>
  <conditionalFormatting sqref="D8:D26">
    <cfRule type="expression" priority="3" dxfId="0">
      <formula>D$24=MAX($C$24:$G$24)</formula>
    </cfRule>
  </conditionalFormatting>
  <conditionalFormatting sqref="D6:D7">
    <cfRule type="expression" priority="4" dxfId="1">
      <formula>D$24=MAX($C$24:$G$24)</formula>
    </cfRule>
  </conditionalFormatting>
  <conditionalFormatting sqref="E8:E26">
    <cfRule type="expression" priority="5" dxfId="0">
      <formula>E$24=MAX($C$24:$G$24)</formula>
    </cfRule>
  </conditionalFormatting>
  <conditionalFormatting sqref="E6:E7">
    <cfRule type="expression" priority="6" dxfId="1">
      <formula>E$24=MAX($C$24:$G$24)</formula>
    </cfRule>
  </conditionalFormatting>
  <conditionalFormatting sqref="F8:F26">
    <cfRule type="expression" priority="7" dxfId="0">
      <formula>F$24=MAX($C$24:$G$24)</formula>
    </cfRule>
  </conditionalFormatting>
  <conditionalFormatting sqref="F6:F7">
    <cfRule type="expression" priority="8" dxfId="1">
      <formula>F$24=MAX($C$24:$G$24)</formula>
    </cfRule>
  </conditionalFormatting>
  <conditionalFormatting sqref="G8:G26">
    <cfRule type="expression" priority="9" dxfId="0">
      <formula>G$24=MAX($C$24:$G$24)</formula>
    </cfRule>
  </conditionalFormatting>
  <conditionalFormatting sqref="G6:G7">
    <cfRule type="expression" priority="10" dxfId="1">
      <formula>G$24=MAX($C$24:$G$24)</formula>
    </cfRule>
  </conditionalFormatting>
  <pageMargins left="0.4" right="0.4" top="0.5" bottom="0.5" header="0.5" footer="0.5"/>
  <pageSetup orientation="landscape" paperSize="1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L1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4" customWidth="1" min="4" max="4"/>
    <col width="3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HYPERLINK("#'Comparison'!A1", "← BACK")</f>
        <v/>
      </c>
      <c r="B2" s="14" t="n"/>
      <c r="C2" s="14" t="n"/>
      <c r="D2" s="23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4" t="inlineStr">
        <is>
          <t>Property selector + active year. Used in the Start tab headline.</t>
        </is>
      </c>
    </row>
    <row r="5" ht="18" customHeight="1">
      <c r="B5" s="26" t="inlineStr">
        <is>
          <t>Property:</t>
        </is>
      </c>
      <c r="C5" s="45" t="inlineStr">
        <is>
          <t>Smokies Ridge Cabin</t>
        </is>
      </c>
      <c r="E5" s="28" t="inlineStr">
        <is>
          <t>Shown on Start tab headline</t>
        </is>
      </c>
    </row>
    <row r="7" ht="18" customHeight="1">
      <c r="B7" s="26" t="inlineStr">
        <is>
          <t>Active year:</t>
        </is>
      </c>
      <c r="C7" s="46" t="n">
        <v>2026</v>
      </c>
      <c r="E7" s="28" t="inlineStr">
        <is>
          <t>Tax/reporting year for this analysis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</row>
    <row r="13" ht="18" customHeight="1">
      <c r="A13" s="21" t="inlineStr">
        <is>
          <t>Questions? hello@thestrledger.com</t>
        </is>
      </c>
    </row>
    <row r="14" ht="18" customHeight="1">
      <c r="A14" s="22" t="inlineStr">
        <is>
          <t>REV-004 · Settings</t>
        </is>
      </c>
    </row>
  </sheetData>
  <mergeCells count="7">
    <mergeCell ref="D2:L2"/>
    <mergeCell ref="E7:L7"/>
    <mergeCell ref="A13:L13"/>
    <mergeCell ref="A14:L14"/>
    <mergeCell ref="E5:L5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Minimum-Night-Stay Optimizer — The STR Ledger</dc:title>
  <dc:description xmlns:dc="http://purl.org/dc/elements/1.1/">Compare 1n / 2n / 3n / 5n / 7n minimum-night-stay policies for an STR property side-by-side. Surfaces the truth that turnover costs often make a 2- or 3-night minimum net more than 1-night.</dc:description>
  <dcterms:created xmlns:dcterms="http://purl.org/dc/terms/" xmlns:xsi="http://www.w3.org/2001/XMLSchema-instance" xsi:type="dcterms:W3CDTF">2026-05-03T12:36:14Z</dcterms:created>
  <dcterms:modified xmlns:dcterms="http://purl.org/dc/terms/" xmlns:xsi="http://www.w3.org/2001/XMLSchema-instance" xsi:type="dcterms:W3CDTF">2026-05-03T12:36:14Z</dcterms:modified>
</cp:coreProperties>
</file>