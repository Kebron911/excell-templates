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Claims Register" sheetId="2" state="visible" r:id="rId2"/>
    <sheet xmlns:r="http://schemas.openxmlformats.org/officeDocument/2006/relationships" name="Claim Packet" sheetId="3" state="visible" r:id="rId3"/>
    <sheet xmlns:r="http://schemas.openxmlformats.org/officeDocument/2006/relationships" name="Coverage Reference" sheetId="4" state="visible" r:id="rId4"/>
    <sheet xmlns:r="http://schemas.openxmlformats.org/officeDocument/2006/relationships" name="Message Scripts" sheetId="5" state="visible" r:id="rId5"/>
    <sheet xmlns:r="http://schemas.openxmlformats.org/officeDocument/2006/relationships" name="Annual Damage P&amp;L" sheetId="6" state="visible" r:id="rId6"/>
    <sheet xmlns:r="http://schemas.openxmlformats.org/officeDocument/2006/relationships" name="Settings" sheetId="7" state="visible" r:id="rId7"/>
  </sheets>
  <definedNames>
    <definedName name="_xlnm.Print_Area" localSheetId="0">'Start'!$A$1:$L$37</definedName>
    <definedName name="_xlnm.Print_Titles" localSheetId="1">'Claims Register'!$1:$5</definedName>
    <definedName name="_xlnm.Print_Area" localSheetId="2">'Claim Packet'!$A$1:$L$75</definedName>
    <definedName name="_xlnm.Print_Area" localSheetId="5">'Annual Damage P&amp;L'!$A$1:$D$36</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38">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9"/>
    </font>
    <font>
      <name val="Georgia"/>
      <b val="1"/>
      <color rgb="0012304E"/>
      <sz val="32"/>
    </font>
    <font>
      <name val="Calibri"/>
      <color rgb="006B7280"/>
      <sz val="9"/>
    </font>
    <font>
      <name val="Consolas"/>
      <b val="1"/>
      <color rgb="00C9A24B"/>
      <sz val="9"/>
    </font>
    <font>
      <name val="Georgia"/>
      <b val="1"/>
      <color rgb="00C9A24B"/>
      <sz val="32"/>
    </font>
    <font>
      <name val="Consolas"/>
      <b val="1"/>
      <color rgb="00B5725E"/>
      <sz val="9"/>
    </font>
    <font>
      <name val="Georgia"/>
      <b val="1"/>
      <color rgb="00B5725E"/>
      <sz val="32"/>
    </font>
    <font>
      <name val="Consolas"/>
      <b val="1"/>
      <color rgb="00B91C1C"/>
      <sz val="10"/>
    </font>
    <font>
      <name val="Calibri"/>
      <color rgb="002B2B2B"/>
      <sz val="10"/>
    </font>
    <font>
      <name val="Calibri"/>
      <i val="1"/>
      <color rgb="002B2B2B"/>
      <sz val="10"/>
    </font>
    <font>
      <name val="Georgia"/>
      <b val="1"/>
      <color rgb="00F6EFE2"/>
      <sz val="13"/>
    </font>
    <font>
      <name val="Georgia"/>
      <b val="1"/>
      <color rgb="0012304E"/>
      <sz val="13"/>
    </font>
    <font>
      <name val="Calibri"/>
      <b val="1"/>
      <color rgb="00FFFFFF"/>
      <sz val="11"/>
    </font>
    <font>
      <name val="Calibri"/>
      <color rgb="006B7280"/>
      <sz val="10"/>
    </font>
    <font>
      <name val="Calibri"/>
      <i val="1"/>
      <color rgb="00C9A24B"/>
      <sz val="10"/>
    </font>
    <font>
      <name val="Consolas"/>
      <b val="1"/>
      <color rgb="00C9A24B"/>
      <sz val="10"/>
    </font>
    <font>
      <name val="Calibri"/>
      <color rgb="002B2B2B"/>
      <sz val="11"/>
    </font>
    <font>
      <name val="Calibri"/>
      <i val="1"/>
      <color rgb="002B2B2B"/>
      <sz val="11"/>
    </font>
    <font>
      <name val="Consolas"/>
      <b val="1"/>
      <color rgb="0012304E"/>
      <sz val="10"/>
    </font>
    <font>
      <name val="Calibri"/>
      <b val="1"/>
      <color rgb="002B2B2B"/>
      <sz val="10"/>
    </font>
    <font>
      <name val="Calibri"/>
      <b val="1"/>
      <color rgb="002B2B2B"/>
      <sz val="11"/>
    </font>
    <font>
      <name val="Calibri"/>
      <b val="1"/>
      <color rgb="0012304E"/>
      <sz val="11"/>
    </font>
    <font>
      <name val="Calibri"/>
      <color rgb="0012304E"/>
      <sz val="14"/>
    </font>
    <font>
      <name val="Georgia"/>
      <b val="1"/>
      <color rgb="0012304E"/>
      <sz val="14"/>
    </font>
    <font>
      <name val="Georgia"/>
      <b val="1"/>
      <color rgb="0012304E"/>
      <sz val="12"/>
    </font>
    <font>
      <name val="Calibri"/>
      <i val="1"/>
      <color rgb="006B7280"/>
      <sz val="9"/>
    </font>
    <font>
      <name val="Georgia"/>
      <b val="1"/>
      <color rgb="00F6EFE2"/>
      <sz val="16"/>
    </font>
    <font>
      <name val="Consolas"/>
      <b val="1"/>
      <color rgb="00166534"/>
      <sz val="10"/>
    </font>
    <font>
      <name val="Consolas"/>
      <b val="1"/>
      <color rgb="007F1D1D"/>
      <sz val="10"/>
    </font>
    <font>
      <name val="Calibri"/>
      <i val="1"/>
      <color rgb="00B91C1C"/>
      <sz val="10"/>
    </font>
    <font>
      <name val="Georgia"/>
      <b val="1"/>
      <color rgb="00F6EFE2"/>
      <sz val="14"/>
    </font>
    <font>
      <name val="Calibri"/>
      <i val="1"/>
      <color rgb="006B7280"/>
      <sz val="10"/>
    </font>
    <font>
      <name val="Calibri"/>
      <color rgb="0012304E"/>
      <sz val="11"/>
    </font>
  </fonts>
  <fills count="11">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E2C884"/>
      </patternFill>
    </fill>
    <fill>
      <patternFill patternType="solid">
        <fgColor rgb="00C9A24B"/>
      </patternFill>
    </fill>
    <fill>
      <patternFill patternType="solid">
        <fgColor rgb="00FFF7D6"/>
      </patternFill>
    </fill>
    <fill>
      <patternFill patternType="solid">
        <fgColor rgb="00EDEDED"/>
      </patternFill>
    </fill>
    <fill>
      <patternFill patternType="solid">
        <fgColor rgb="00C7EFCF"/>
      </patternFill>
    </fill>
    <fill>
      <patternFill patternType="solid">
        <fgColor rgb="00FFCCCC"/>
      </patternFill>
    </fill>
  </fills>
  <borders count="16">
    <border>
      <left/>
      <right/>
      <top/>
      <bottom/>
      <diagonal/>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12304E"/>
      </left>
      <right style="thin">
        <color rgb="0012304E"/>
      </right>
      <top style="thin">
        <color rgb="0012304E"/>
      </top>
      <bottom style="thin">
        <color rgb="0012304E"/>
      </bottom>
    </border>
    <border>
      <left style="thin">
        <color rgb="00CCCCCC"/>
      </left>
      <right style="thin">
        <color rgb="00CCCCCC"/>
      </right>
      <top style="thin">
        <color rgb="00CCCCCC"/>
      </top>
      <bottom style="thin">
        <color rgb="00CCCCCC"/>
      </bottom>
    </border>
  </borders>
  <cellStyleXfs count="1">
    <xf numFmtId="0" fontId="0" fillId="0" borderId="0"/>
  </cellStyleXfs>
  <cellXfs count="77">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center"/>
    </xf>
    <xf numFmtId="0" fontId="0" fillId="0" borderId="2" pivotButton="0" quotePrefix="0" xfId="0"/>
    <xf numFmtId="0" fontId="0" fillId="0" borderId="3" pivotButton="0" quotePrefix="0" xfId="0"/>
    <xf numFmtId="0" fontId="8" fillId="3" borderId="1" applyAlignment="1" pivotButton="0" quotePrefix="0" xfId="0">
      <alignment horizontal="center"/>
    </xf>
    <xf numFmtId="0" fontId="10" fillId="3" borderId="1" applyAlignment="1" pivotButton="0" quotePrefix="0" xfId="0">
      <alignment horizontal="center"/>
    </xf>
    <xf numFmtId="0" fontId="6" fillId="3" borderId="4" applyAlignment="1" pivotButton="0" quotePrefix="0" xfId="0">
      <alignment horizontal="center" vertical="center"/>
    </xf>
    <xf numFmtId="0" fontId="0" fillId="0" borderId="5" pivotButton="0" quotePrefix="0" xfId="0"/>
    <xf numFmtId="0" fontId="0" fillId="0" borderId="6" pivotButton="0" quotePrefix="0" xfId="0"/>
    <xf numFmtId="164" fontId="9" fillId="3" borderId="4" applyAlignment="1" pivotButton="0" quotePrefix="0" xfId="0">
      <alignment horizontal="center" vertical="center"/>
    </xf>
    <xf numFmtId="9" fontId="11" fillId="3" borderId="4" applyAlignment="1" pivotButton="0" quotePrefix="0" xfId="0">
      <alignment horizontal="center" vertical="center"/>
    </xf>
    <xf numFmtId="0" fontId="0" fillId="0" borderId="4" pivotButton="0" quotePrefix="0" xfId="0"/>
    <xf numFmtId="0" fontId="7" fillId="3"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12" fillId="5" borderId="0" applyAlignment="1" pivotButton="0" quotePrefix="0" xfId="0">
      <alignment horizontal="left" vertical="center" indent="2"/>
    </xf>
    <xf numFmtId="0" fontId="13" fillId="4" borderId="0" applyAlignment="1" pivotButton="0" quotePrefix="0" xfId="0">
      <alignment horizontal="left" vertical="center" wrapText="1" indent="2"/>
    </xf>
    <xf numFmtId="0" fontId="0" fillId="4" borderId="0" pivotButton="0" quotePrefix="0" xfId="0"/>
    <xf numFmtId="0" fontId="14" fillId="4" borderId="0" applyAlignment="1" pivotButton="0" quotePrefix="0" xfId="0">
      <alignment horizontal="left" vertical="center" wrapText="1" indent="2"/>
    </xf>
    <xf numFmtId="0" fontId="15" fillId="2" borderId="10" applyAlignment="1" pivotButton="0" quotePrefix="0" xfId="0">
      <alignment horizontal="center" vertical="center" wrapText="1"/>
    </xf>
    <xf numFmtId="0" fontId="0" fillId="0" borderId="10" pivotButton="0" quotePrefix="0" xfId="0"/>
    <xf numFmtId="0" fontId="16" fillId="3" borderId="11" applyAlignment="1" pivotButton="0" quotePrefix="0" xfId="0">
      <alignment horizontal="center" vertical="center" wrapText="1"/>
    </xf>
    <xf numFmtId="0" fontId="0" fillId="0" borderId="11" pivotButton="0" quotePrefix="0" xfId="0"/>
    <xf numFmtId="0" fontId="17" fillId="6" borderId="0" applyAlignment="1" pivotButton="0" quotePrefix="0" xfId="0">
      <alignment horizontal="center" vertical="center" wrapText="1"/>
    </xf>
    <xf numFmtId="0" fontId="0" fillId="0" borderId="12" pivotButton="0" quotePrefix="0" xfId="0"/>
    <xf numFmtId="0" fontId="18" fillId="0" borderId="0" applyAlignment="1" pivotButton="0" quotePrefix="0" xfId="0">
      <alignment horizontal="center" vertical="center"/>
    </xf>
    <xf numFmtId="0" fontId="19" fillId="0" borderId="0" applyAlignment="1" pivotButton="0" quotePrefix="0" xfId="0">
      <alignment horizontal="center" vertical="center"/>
    </xf>
    <xf numFmtId="0" fontId="20" fillId="2" borderId="0" applyAlignment="1" pivotButton="0" quotePrefix="0" xfId="0">
      <alignment horizontal="right" vertical="center" indent="2"/>
    </xf>
    <xf numFmtId="0" fontId="16" fillId="6" borderId="13" applyAlignment="1" pivotButton="0" quotePrefix="0" xfId="0">
      <alignment horizontal="center" vertical="center" wrapText="1"/>
    </xf>
    <xf numFmtId="0" fontId="0" fillId="0" borderId="13" pivotButton="0" quotePrefix="0" xfId="0"/>
    <xf numFmtId="0" fontId="14" fillId="3" borderId="0" applyAlignment="1" pivotButton="0" quotePrefix="0" xfId="0">
      <alignment horizontal="left" vertical="center" indent="1"/>
    </xf>
    <xf numFmtId="0" fontId="17" fillId="2" borderId="14" applyAlignment="1" pivotButton="0" quotePrefix="0" xfId="0">
      <alignment horizontal="center" vertical="center"/>
    </xf>
    <xf numFmtId="165" fontId="21" fillId="7" borderId="0" applyAlignment="1" pivotButton="0" quotePrefix="0" xfId="0">
      <alignment horizontal="left" vertical="center"/>
    </xf>
    <xf numFmtId="0" fontId="21" fillId="7" borderId="0" applyAlignment="1" pivotButton="0" quotePrefix="0" xfId="0">
      <alignment horizontal="left" vertical="center"/>
    </xf>
    <xf numFmtId="164" fontId="21" fillId="7" borderId="0" applyAlignment="1" pivotButton="0" quotePrefix="0" xfId="0">
      <alignment horizontal="left" vertical="center"/>
    </xf>
    <xf numFmtId="1" fontId="22" fillId="8" borderId="0" applyAlignment="1" pivotButton="0" quotePrefix="0" xfId="0">
      <alignment horizontal="center" vertical="center"/>
    </xf>
    <xf numFmtId="9" fontId="22" fillId="8" borderId="0" applyAlignment="1" pivotButton="0" quotePrefix="0" xfId="0">
      <alignment horizontal="right" vertical="center"/>
    </xf>
    <xf numFmtId="0" fontId="23" fillId="5" borderId="0" applyAlignment="1" pivotButton="0" quotePrefix="0" xfId="0">
      <alignment horizontal="left" vertical="center" indent="1"/>
    </xf>
    <xf numFmtId="0" fontId="24" fillId="0" borderId="0" pivotButton="0" quotePrefix="0" xfId="0"/>
    <xf numFmtId="0" fontId="21" fillId="7" borderId="0" applyAlignment="1" pivotButton="0" quotePrefix="0" xfId="0">
      <alignment horizontal="left" vertical="top" wrapText="1" indent="1"/>
    </xf>
    <xf numFmtId="166" fontId="21" fillId="7" borderId="0" applyAlignment="1" pivotButton="0" quotePrefix="0" xfId="0">
      <alignment horizontal="left" vertical="center"/>
    </xf>
    <xf numFmtId="0" fontId="21" fillId="7" borderId="0" applyAlignment="1" pivotButton="0" quotePrefix="0" xfId="0">
      <alignment horizontal="center" vertical="center"/>
    </xf>
    <xf numFmtId="0" fontId="25" fillId="0" borderId="0" pivotButton="0" quotePrefix="0" xfId="0"/>
    <xf numFmtId="166" fontId="26" fillId="8" borderId="0" applyAlignment="1" pivotButton="0" quotePrefix="0" xfId="0">
      <alignment horizontal="right" vertical="center"/>
    </xf>
    <xf numFmtId="0" fontId="27" fillId="7" borderId="15" applyAlignment="1" pivotButton="0" quotePrefix="0" xfId="0">
      <alignment horizontal="center" vertical="center"/>
    </xf>
    <xf numFmtId="0" fontId="13" fillId="0" borderId="0" applyAlignment="1" pivotButton="0" quotePrefix="0" xfId="0">
      <alignment horizontal="left" vertical="center" indent="1"/>
    </xf>
    <xf numFmtId="9" fontId="28" fillId="8" borderId="0" applyAlignment="1" pivotButton="0" quotePrefix="0" xfId="0">
      <alignment horizontal="right" vertical="center"/>
    </xf>
    <xf numFmtId="0" fontId="29" fillId="8" borderId="0" applyAlignment="1" pivotButton="0" quotePrefix="0" xfId="0">
      <alignment horizontal="left" vertical="center" indent="1"/>
    </xf>
    <xf numFmtId="0" fontId="30" fillId="4" borderId="0" applyAlignment="1" pivotButton="0" quotePrefix="0" xfId="0">
      <alignment horizontal="center" vertical="center" wrapText="1"/>
    </xf>
    <xf numFmtId="0" fontId="31" fillId="2" borderId="0" applyAlignment="1" pivotButton="0" quotePrefix="0" xfId="0">
      <alignment horizontal="left" vertical="center" indent="2"/>
    </xf>
    <xf numFmtId="0" fontId="4" fillId="0" borderId="0" applyAlignment="1" pivotButton="0" quotePrefix="0" xfId="0">
      <alignment horizontal="left" vertical="center" indent="2"/>
    </xf>
    <xf numFmtId="0" fontId="32" fillId="9" borderId="0" applyAlignment="1" pivotButton="0" quotePrefix="0" xfId="0">
      <alignment horizontal="left" vertical="center" indent="2"/>
    </xf>
    <xf numFmtId="0" fontId="13" fillId="0" borderId="0" applyAlignment="1" pivotButton="0" quotePrefix="0" xfId="0">
      <alignment horizontal="left" vertical="center" wrapText="1" indent="2"/>
    </xf>
    <xf numFmtId="0" fontId="33" fillId="10" borderId="0" applyAlignment="1" pivotButton="0" quotePrefix="0" xfId="0">
      <alignment horizontal="left" vertical="center" indent="2"/>
    </xf>
    <xf numFmtId="0" fontId="5" fillId="5" borderId="0" applyAlignment="1" pivotButton="0" quotePrefix="0" xfId="0">
      <alignment horizontal="left" vertical="center" indent="2"/>
    </xf>
    <xf numFmtId="0" fontId="13" fillId="0" borderId="0" applyAlignment="1" pivotButton="0" quotePrefix="0" xfId="0">
      <alignment horizontal="left" vertical="top" wrapText="1" indent="2"/>
    </xf>
    <xf numFmtId="0" fontId="34" fillId="5" borderId="0" applyAlignment="1" pivotButton="0" quotePrefix="0" xfId="0">
      <alignment horizontal="center" vertical="center" wrapText="1"/>
    </xf>
    <xf numFmtId="0" fontId="35" fillId="2" borderId="0" applyAlignment="1" pivotButton="0" quotePrefix="0" xfId="0">
      <alignment horizontal="left" vertical="center" indent="2"/>
    </xf>
    <xf numFmtId="0" fontId="36" fillId="4" borderId="0" applyAlignment="1" pivotButton="0" quotePrefix="0" xfId="0">
      <alignment horizontal="left" vertical="top" wrapText="1" indent="2"/>
    </xf>
    <xf numFmtId="0" fontId="26" fillId="0" borderId="0" applyAlignment="1" pivotButton="0" quotePrefix="0" xfId="0">
      <alignment horizontal="left" vertical="center" indent="2"/>
    </xf>
    <xf numFmtId="0" fontId="21" fillId="3" borderId="0" applyAlignment="1" pivotButton="0" quotePrefix="0" xfId="0">
      <alignment horizontal="left" vertical="top" wrapText="1" indent="2"/>
    </xf>
    <xf numFmtId="0" fontId="4" fillId="5" borderId="0" applyAlignment="1" pivotButton="0" quotePrefix="0" xfId="0">
      <alignment horizontal="left" vertical="center" wrapText="1" indent="2"/>
    </xf>
    <xf numFmtId="0" fontId="28" fillId="7" borderId="0" applyAlignment="1" pivotButton="0" quotePrefix="0" xfId="0">
      <alignment horizontal="center" vertical="center"/>
    </xf>
    <xf numFmtId="9" fontId="26" fillId="8" borderId="0" applyAlignment="1" pivotButton="0" quotePrefix="0" xfId="0">
      <alignment horizontal="right" vertical="center"/>
    </xf>
    <xf numFmtId="1" fontId="26" fillId="8" borderId="0" applyAlignment="1" pivotButton="0" quotePrefix="0" xfId="0">
      <alignment horizontal="right" vertical="center"/>
    </xf>
    <xf numFmtId="0" fontId="21" fillId="0" borderId="0" pivotButton="0" quotePrefix="0" xfId="0"/>
    <xf numFmtId="166" fontId="22" fillId="8" borderId="0" applyAlignment="1" pivotButton="0" quotePrefix="0" xfId="0">
      <alignment horizontal="right" vertical="center"/>
    </xf>
    <xf numFmtId="0" fontId="5" fillId="5" borderId="0" applyAlignment="1" pivotButton="0" quotePrefix="0" xfId="0">
      <alignment horizontal="left" vertical="center" indent="1"/>
    </xf>
    <xf numFmtId="1" fontId="28" fillId="7" borderId="0" applyAlignment="1" pivotButton="0" quotePrefix="0" xfId="0">
      <alignment horizontal="center" vertical="center"/>
    </xf>
    <xf numFmtId="0" fontId="36" fillId="0" borderId="0" applyAlignment="1" pivotButton="0" quotePrefix="0" xfId="0">
      <alignment horizontal="left" vertical="top" wrapText="1" indent="1"/>
    </xf>
    <xf numFmtId="165" fontId="37" fillId="7" borderId="0" applyAlignment="1" pivotButton="0" quotePrefix="0" xfId="0">
      <alignment horizontal="left" vertical="center"/>
    </xf>
  </cellXfs>
  <cellStyles count="1">
    <cellStyle name="Normal" xfId="0" builtinId="0" hidden="0"/>
  </cellStyles>
  <dxfs count="2">
    <dxf>
      <fill>
        <patternFill patternType="solid">
          <fgColor rgb="00FFCCCC"/>
        </patternFill>
      </fill>
    </dxf>
    <dxf>
      <fill>
        <patternFill patternType="solid">
          <fgColor rgb="00E2C8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37"/>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Damage Claim + AirCover Log</t>
        </is>
      </c>
    </row>
    <row r="5" ht="22" customHeight="1">
      <c r="A5" s="4" t="inlineStr">
        <is>
          <t>When a guest breaks something, this is the calm move.</t>
        </is>
      </c>
    </row>
    <row r="6" ht="22" customHeight="1">
      <c r="A6" s="1" t="n"/>
      <c r="B6" s="1" t="n"/>
      <c r="C6" s="1" t="n"/>
      <c r="D6" s="1" t="n"/>
      <c r="E6" s="1" t="n"/>
      <c r="F6" s="1" t="n"/>
      <c r="G6" s="1" t="n"/>
      <c r="H6" s="1" t="n"/>
      <c r="I6" s="1" t="n"/>
      <c r="J6" s="1" t="n"/>
      <c r="K6" s="1" t="n"/>
      <c r="L6" s="1" t="n"/>
    </row>
    <row r="7" ht="22" customHeight="1">
      <c r="A7" s="5" t="inlineStr">
        <is>
          <t>OPS-002 · v1.0 · DEMO</t>
        </is>
      </c>
    </row>
    <row r="8" ht="22" customHeight="1">
      <c r="A8" s="1" t="n"/>
      <c r="B8" s="1" t="n"/>
      <c r="C8" s="1" t="n"/>
      <c r="D8" s="1" t="n"/>
      <c r="E8" s="1" t="n"/>
      <c r="F8" s="1" t="n"/>
      <c r="G8" s="1" t="n"/>
      <c r="H8" s="1" t="n"/>
      <c r="I8" s="1" t="n"/>
      <c r="J8" s="1" t="n"/>
      <c r="K8" s="1" t="n"/>
      <c r="L8" s="1" t="n"/>
    </row>
    <row r="10">
      <c r="A10" s="6" t="inlineStr">
        <is>
          <t>OPEN CLAIMS</t>
        </is>
      </c>
      <c r="B10" s="7" t="n"/>
      <c r="C10" s="7" t="n"/>
      <c r="D10" s="8" t="n"/>
      <c r="E10" s="9" t="inlineStr">
        <is>
          <t>$ AT RISK</t>
        </is>
      </c>
      <c r="F10" s="7" t="n"/>
      <c r="G10" s="7" t="n"/>
      <c r="H10" s="8" t="n"/>
      <c r="I10" s="10" t="inlineStr">
        <is>
          <t>RECOVERY RATE</t>
        </is>
      </c>
      <c r="J10" s="7" t="n"/>
      <c r="K10" s="7" t="n"/>
      <c r="L10" s="8" t="n"/>
    </row>
    <row r="11">
      <c r="A11" s="11">
        <f>COUNTIFS('Claims Register'!K6:K205,"&lt;&gt;Paid",'Claims Register'!K6:K205,"&lt;&gt;Closed unpaid",'Claims Register'!A6:A205,"&lt;&gt;")</f>
        <v/>
      </c>
      <c r="B11" s="12" t="n"/>
      <c r="C11" s="12" t="n"/>
      <c r="D11" s="13" t="n"/>
      <c r="E11" s="14">
        <f>SUMIFS('Claims Register'!I6:I205,'Claims Register'!K6:K205,"&lt;&gt;Paid",'Claims Register'!K6:K205,"&lt;&gt;Closed unpaid",'Claims Register'!A6:A205,"&lt;&gt;")</f>
        <v/>
      </c>
      <c r="F11" s="12" t="n"/>
      <c r="G11" s="12" t="n"/>
      <c r="H11" s="13" t="n"/>
      <c r="I11" s="15">
        <f>IFERROR(SUM('Claims Register'!J6:J205)/SUM('Claims Register'!I6:I205),0)</f>
        <v/>
      </c>
      <c r="J11" s="12" t="n"/>
      <c r="K11" s="12" t="n"/>
      <c r="L11" s="13" t="n"/>
    </row>
    <row r="12">
      <c r="A12" s="16" t="n"/>
      <c r="B12" s="12" t="n"/>
      <c r="C12" s="12" t="n"/>
      <c r="D12" s="13" t="n"/>
      <c r="E12" s="16" t="n"/>
      <c r="F12" s="12" t="n"/>
      <c r="G12" s="12" t="n"/>
      <c r="H12" s="13" t="n"/>
      <c r="I12" s="16" t="n"/>
      <c r="J12" s="12" t="n"/>
      <c r="K12" s="12" t="n"/>
      <c r="L12" s="13" t="n"/>
    </row>
    <row r="13">
      <c r="A13" s="16" t="n"/>
      <c r="B13" s="12" t="n"/>
      <c r="C13" s="12" t="n"/>
      <c r="D13" s="13" t="n"/>
      <c r="E13" s="16" t="n"/>
      <c r="F13" s="12" t="n"/>
      <c r="G13" s="12" t="n"/>
      <c r="H13" s="13" t="n"/>
      <c r="I13" s="16" t="n"/>
      <c r="J13" s="12" t="n"/>
      <c r="K13" s="12" t="n"/>
      <c r="L13" s="13" t="n"/>
    </row>
    <row r="14">
      <c r="A14" s="17" t="inlineStr">
        <is>
          <t>claims still in flight</t>
        </is>
      </c>
      <c r="B14" s="12" t="n"/>
      <c r="C14" s="12" t="n"/>
      <c r="D14" s="13" t="n"/>
      <c r="E14" s="17" t="inlineStr">
        <is>
          <t>claimed, not yet recovered</t>
        </is>
      </c>
      <c r="F14" s="12" t="n"/>
      <c r="G14" s="12" t="n"/>
      <c r="H14" s="13" t="n"/>
      <c r="I14" s="17" t="inlineStr">
        <is>
          <t>$ recovered ÷ $ claimed</t>
        </is>
      </c>
      <c r="J14" s="12" t="n"/>
      <c r="K14" s="12" t="n"/>
      <c r="L14" s="13" t="n"/>
    </row>
    <row r="15">
      <c r="A15" s="18" t="n"/>
      <c r="B15" s="19" t="n"/>
      <c r="C15" s="19" t="n"/>
      <c r="D15" s="20" t="n"/>
      <c r="E15" s="18" t="n"/>
      <c r="F15" s="19" t="n"/>
      <c r="G15" s="19" t="n"/>
      <c r="H15" s="20" t="n"/>
      <c r="I15" s="18" t="n"/>
      <c r="J15" s="19" t="n"/>
      <c r="K15" s="19" t="n"/>
      <c r="L15" s="20" t="n"/>
    </row>
    <row r="17" ht="22" customHeight="1">
      <c r="A17" s="21" t="inlineStr">
        <is>
          <t>⚠  DEADLINE WATCH  —  CLAIMS WITH &lt; 7 DAYS LEFT</t>
        </is>
      </c>
    </row>
    <row r="18" ht="36" customHeight="1">
      <c r="A18" s="22" t="inlineStr">
        <is>
          <t>Open the Claims Register tab — rows with red 'Days to deadline' values are listed there in priority order. The countdown is keyed to the guest's checkout date plus your filing-window default (Settings → 14 days for Airbnb).</t>
        </is>
      </c>
    </row>
    <row r="19">
      <c r="A19" s="23" t="n"/>
      <c r="B19" s="23" t="n"/>
      <c r="C19" s="23" t="n"/>
      <c r="D19" s="23" t="n"/>
      <c r="E19" s="23" t="n"/>
      <c r="F19" s="23" t="n"/>
      <c r="G19" s="23" t="n"/>
      <c r="H19" s="23" t="n"/>
      <c r="I19" s="23" t="n"/>
      <c r="J19" s="23" t="n"/>
      <c r="K19" s="23" t="n"/>
      <c r="L19" s="23" t="n"/>
    </row>
    <row r="20">
      <c r="A20" s="24" t="inlineStr">
        <is>
          <t>Why this matters: AirCover's standard window is 14 days from guest checkout — OR before the next guest checks in, whichever is sooner. Most denied claims are denied for missing the window, not for weak evidence. Open the Coverage Reference tab for the current policy (verified 2026-05-02).</t>
        </is>
      </c>
    </row>
    <row r="21"/>
    <row r="22"/>
    <row r="23"/>
    <row r="25" ht="22" customHeight="1">
      <c r="A25" s="25">
        <f>HYPERLINK("#'Claims Register'!A1", "Claims Register")</f>
        <v/>
      </c>
      <c r="B25" s="26" t="n"/>
      <c r="C25" s="26" t="n"/>
      <c r="D25" s="25">
        <f>HYPERLINK("#'Claim Packet'!A1", "New Claim Packet")</f>
        <v/>
      </c>
      <c r="E25" s="26" t="n"/>
      <c r="F25" s="26" t="n"/>
      <c r="G25" s="27">
        <f>HYPERLINK("#'Coverage Reference'!A1", "Coverage Reference")</f>
        <v/>
      </c>
      <c r="H25" s="28" t="n"/>
      <c r="I25" s="28" t="n"/>
      <c r="J25" s="27">
        <f>HYPERLINK("#'Message Scripts'!A1", "Message Scripts")</f>
        <v/>
      </c>
      <c r="K25" s="28" t="n"/>
      <c r="L25" s="28" t="n"/>
    </row>
    <row r="26" ht="22" customHeight="1">
      <c r="A26" s="26" t="n"/>
      <c r="B26" s="26" t="n"/>
      <c r="C26" s="26" t="n"/>
      <c r="D26" s="26" t="n"/>
      <c r="E26" s="26" t="n"/>
      <c r="F26" s="26" t="n"/>
      <c r="G26" s="28" t="n"/>
      <c r="H26" s="28" t="n"/>
      <c r="I26" s="28" t="n"/>
      <c r="J26" s="28" t="n"/>
      <c r="K26" s="28" t="n"/>
      <c r="L26" s="28" t="n"/>
    </row>
    <row r="27" ht="22" customHeight="1">
      <c r="A27" s="26" t="n"/>
      <c r="B27" s="26" t="n"/>
      <c r="C27" s="26" t="n"/>
      <c r="D27" s="26" t="n"/>
      <c r="E27" s="26" t="n"/>
      <c r="F27" s="26" t="n"/>
      <c r="G27" s="28" t="n"/>
      <c r="H27" s="28" t="n"/>
      <c r="I27" s="28" t="n"/>
      <c r="J27" s="28" t="n"/>
      <c r="K27" s="28" t="n"/>
      <c r="L27" s="28" t="n"/>
    </row>
    <row r="29" ht="22" customHeight="1">
      <c r="A29" s="27">
        <f>HYPERLINK("#'Annual Damage P&amp;L'!A1", "Annual Damage P&amp;L")</f>
        <v/>
      </c>
      <c r="B29" s="28" t="n"/>
      <c r="C29" s="28" t="n"/>
      <c r="D29" s="28" t="n"/>
      <c r="E29" s="28" t="n"/>
      <c r="F29" s="28" t="n"/>
      <c r="G29" s="27">
        <f>HYPERLINK("#'Settings'!A1", "Settings")</f>
        <v/>
      </c>
      <c r="H29" s="28" t="n"/>
      <c r="I29" s="28" t="n"/>
      <c r="J29" s="28" t="n"/>
      <c r="K29" s="28" t="n"/>
      <c r="L29" s="28" t="n"/>
    </row>
    <row r="30" ht="22" customHeight="1">
      <c r="A30" s="28" t="n"/>
      <c r="B30" s="28" t="n"/>
      <c r="C30" s="28" t="n"/>
      <c r="D30" s="28" t="n"/>
      <c r="E30" s="28" t="n"/>
      <c r="F30" s="28" t="n"/>
      <c r="G30" s="28" t="n"/>
      <c r="H30" s="28" t="n"/>
      <c r="I30" s="28" t="n"/>
      <c r="J30" s="28" t="n"/>
      <c r="K30" s="28" t="n"/>
      <c r="L30" s="28" t="n"/>
    </row>
    <row r="31" ht="22" customHeight="1">
      <c r="A31" s="28" t="n"/>
      <c r="B31" s="28" t="n"/>
      <c r="C31" s="28" t="n"/>
      <c r="D31" s="28" t="n"/>
      <c r="E31" s="28" t="n"/>
      <c r="F31" s="28" t="n"/>
      <c r="G31" s="28" t="n"/>
      <c r="H31" s="28" t="n"/>
      <c r="I31" s="28" t="n"/>
      <c r="J31" s="28" t="n"/>
      <c r="K31" s="28" t="n"/>
      <c r="L31" s="28" t="n"/>
    </row>
    <row r="33" ht="36" customHeight="1">
      <c r="A33" s="29" t="inlineStr">
        <is>
          <t>💡  Need full operations coverage? Add the Operator Bundle at thestrledger.com/operator — turnover + maintenance + supply + damage claims + insurance + permits, $197.</t>
        </is>
      </c>
    </row>
    <row r="35">
      <c r="A35" s="30" t="n"/>
      <c r="B35" s="30" t="n"/>
      <c r="C35" s="30" t="n"/>
      <c r="D35" s="30" t="n"/>
      <c r="E35" s="30" t="n"/>
      <c r="F35" s="30" t="n"/>
      <c r="G35" s="30" t="n"/>
      <c r="H35" s="30" t="n"/>
      <c r="I35" s="30" t="n"/>
      <c r="J35" s="30" t="n"/>
      <c r="K35" s="30" t="n"/>
      <c r="L35" s="30" t="n"/>
    </row>
    <row r="36" ht="18" customHeight="1">
      <c r="A36" s="31" t="inlineStr">
        <is>
          <t>Questions? hello@thestrledger.com</t>
        </is>
      </c>
    </row>
    <row r="37" ht="18" customHeight="1">
      <c r="A37" s="32" t="inlineStr">
        <is>
          <t>OPS-002 · v1.0 · DEMO · Free updates forever</t>
        </is>
      </c>
    </row>
  </sheetData>
  <mergeCells count="25">
    <mergeCell ref="E14:H15"/>
    <mergeCell ref="A7:L7"/>
    <mergeCell ref="A20:L23"/>
    <mergeCell ref="A37:L37"/>
    <mergeCell ref="E11:H13"/>
    <mergeCell ref="I10:L10"/>
    <mergeCell ref="A18:L18"/>
    <mergeCell ref="A25:C27"/>
    <mergeCell ref="A10:D10"/>
    <mergeCell ref="A2:F2"/>
    <mergeCell ref="A33:L33"/>
    <mergeCell ref="A5:L5"/>
    <mergeCell ref="A17:L17"/>
    <mergeCell ref="J25:L27"/>
    <mergeCell ref="D25:F27"/>
    <mergeCell ref="A4:L4"/>
    <mergeCell ref="A14:D15"/>
    <mergeCell ref="A29:F31"/>
    <mergeCell ref="G29:L31"/>
    <mergeCell ref="I14:L15"/>
    <mergeCell ref="A11:D13"/>
    <mergeCell ref="I11:L13"/>
    <mergeCell ref="E10:H10"/>
    <mergeCell ref="G25:I27"/>
    <mergeCell ref="A36:L3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N205"/>
  <sheetViews>
    <sheetView workbookViewId="0">
      <pane ySplit="5" topLeftCell="A6" activePane="bottomLeft" state="frozen"/>
      <selection pane="bottomLeft" activeCell="A1" sqref="A1"/>
    </sheetView>
  </sheetViews>
  <sheetFormatPr baseColWidth="8" defaultRowHeight="15"/>
  <cols>
    <col width="12" customWidth="1" min="1" max="1"/>
    <col width="22" customWidth="1" min="2" max="2"/>
    <col width="18" customWidth="1" min="3" max="3"/>
    <col width="14" customWidth="1" min="4" max="4"/>
    <col width="11" customWidth="1" min="5" max="5"/>
    <col width="12" customWidth="1" min="6" max="6"/>
    <col width="38" customWidth="1" min="7" max="7"/>
    <col width="12" customWidth="1" min="8" max="8"/>
    <col width="11" customWidth="1" min="9" max="9"/>
    <col width="12" customWidth="1" min="10" max="10"/>
    <col width="16" customWidth="1" min="11" max="11"/>
    <col width="11" customWidth="1" min="12" max="12"/>
    <col width="10" customWidth="1" min="13" max="13"/>
    <col width="28" customWidth="1" min="14" max="14"/>
  </cols>
  <sheetData>
    <row r="1" ht="8" customHeight="1">
      <c r="A1" s="1" t="n"/>
      <c r="B1" s="1" t="n"/>
      <c r="C1" s="1" t="n"/>
      <c r="D1" s="1" t="n"/>
      <c r="E1" s="1" t="n"/>
      <c r="F1" s="1" t="n"/>
      <c r="G1" s="1" t="n"/>
      <c r="H1" s="1" t="n"/>
      <c r="I1" s="1" t="n"/>
      <c r="J1" s="1" t="n"/>
      <c r="K1" s="1" t="n"/>
      <c r="L1" s="1" t="n"/>
    </row>
    <row r="2" ht="28" customHeight="1">
      <c r="A2" s="25">
        <f>HYPERLINK("#'Start'!A1", "← BACK")</f>
        <v/>
      </c>
      <c r="B2" s="26" t="n"/>
      <c r="C2" s="26" t="n"/>
      <c r="D2" s="33" t="inlineStr">
        <is>
          <t>CLAIMS REGISTER</t>
        </is>
      </c>
      <c r="J2" s="34">
        <f>HYPERLINK("#'Claim Packet'!A1", "NEXT →")</f>
        <v/>
      </c>
      <c r="K2" s="35" t="n"/>
      <c r="L2" s="35" t="n"/>
    </row>
    <row r="3" ht="6" customHeight="1">
      <c r="A3" s="1" t="n"/>
      <c r="B3" s="1" t="n"/>
      <c r="C3" s="1" t="n"/>
      <c r="D3" s="1" t="n"/>
      <c r="E3" s="1" t="n"/>
      <c r="F3" s="1" t="n"/>
      <c r="G3" s="1" t="n"/>
      <c r="H3" s="1" t="n"/>
      <c r="I3" s="1" t="n"/>
      <c r="J3" s="1" t="n"/>
      <c r="K3" s="1" t="n"/>
      <c r="L3" s="1" t="n"/>
    </row>
    <row r="4" ht="18" customHeight="1">
      <c r="A4" s="36" t="inlineStr">
        <is>
          <t>Master log — all claims. Days-to-deadline is auto-calculated from checkout date + filing window (Settings → 14 days default).</t>
        </is>
      </c>
    </row>
    <row r="5" ht="28" customHeight="1">
      <c r="A5" s="37" t="inlineStr">
        <is>
          <t>Date discovered</t>
        </is>
      </c>
      <c r="B5" s="37" t="inlineStr">
        <is>
          <t>Property</t>
        </is>
      </c>
      <c r="C5" s="37" t="inlineStr">
        <is>
          <t>Guest</t>
        </is>
      </c>
      <c r="D5" s="37" t="inlineStr">
        <is>
          <t>Booking ID</t>
        </is>
      </c>
      <c r="E5" s="37" t="inlineStr">
        <is>
          <t>Channel</t>
        </is>
      </c>
      <c r="F5" s="37" t="inlineStr">
        <is>
          <t>Checkout</t>
        </is>
      </c>
      <c r="G5" s="37" t="inlineStr">
        <is>
          <t>Damage description</t>
        </is>
      </c>
      <c r="H5" s="37" t="inlineStr">
        <is>
          <t>Category</t>
        </is>
      </c>
      <c r="I5" s="37" t="inlineStr">
        <is>
          <t>$ Claimed</t>
        </is>
      </c>
      <c r="J5" s="37" t="inlineStr">
        <is>
          <t>$ Recovered</t>
        </is>
      </c>
      <c r="K5" s="37" t="inlineStr">
        <is>
          <t>Status</t>
        </is>
      </c>
      <c r="L5" s="37" t="inlineStr">
        <is>
          <t>Days to deadline</t>
        </is>
      </c>
      <c r="M5" s="37" t="inlineStr">
        <is>
          <t>Recovery %</t>
        </is>
      </c>
      <c r="N5" s="37" t="inlineStr">
        <is>
          <t>Notes</t>
        </is>
      </c>
    </row>
    <row r="6" ht="22" customHeight="1">
      <c r="A6" s="38" t="n">
        <v>46037</v>
      </c>
      <c r="B6" s="39" t="inlineStr">
        <is>
          <t>Smokies Ridge Cabin</t>
        </is>
      </c>
      <c r="C6" s="39" t="inlineStr">
        <is>
          <t>Jordan M.</t>
        </is>
      </c>
      <c r="D6" s="39" t="inlineStr">
        <is>
          <t>HMABCD123</t>
        </is>
      </c>
      <c r="E6" s="39" t="inlineStr">
        <is>
          <t>Airbnb</t>
        </is>
      </c>
      <c r="F6" s="38" t="n">
        <v>46037</v>
      </c>
      <c r="G6" s="39" t="inlineStr">
        <is>
          <t>Coffee table cracked diagonal — guest moved it on uneven floor</t>
        </is>
      </c>
      <c r="H6" s="39" t="inlineStr">
        <is>
          <t>Furniture</t>
        </is>
      </c>
      <c r="I6" s="40" t="n">
        <v>340</v>
      </c>
      <c r="J6" s="40" t="n">
        <v>340</v>
      </c>
      <c r="K6" s="39" t="inlineStr">
        <is>
          <t>Paid</t>
        </is>
      </c>
      <c r="L6" s="41">
        <f>IF(AND(F6&lt;&gt;"",K6&lt;&gt;"Paid",K6&lt;&gt;"Closed unpaid"),Settings!$C$27-(TODAY()-F6),"")</f>
        <v/>
      </c>
      <c r="M6" s="42">
        <f>IF(I6&gt;0,J6/I6,"")</f>
        <v/>
      </c>
      <c r="N6" s="39" t="inlineStr">
        <is>
          <t>Resolved AirCover in 9 days; replacement table sourced from Wayfair.</t>
        </is>
      </c>
    </row>
    <row r="7" ht="22" customHeight="1">
      <c r="A7" s="38" t="n">
        <v>46075</v>
      </c>
      <c r="B7" s="39" t="inlineStr">
        <is>
          <t>Creek Side</t>
        </is>
      </c>
      <c r="C7" s="39" t="inlineStr">
        <is>
          <t>Taylor R.</t>
        </is>
      </c>
      <c r="D7" s="39" t="inlineStr">
        <is>
          <t>HMEFGH456</t>
        </is>
      </c>
      <c r="E7" s="39" t="inlineStr">
        <is>
          <t>Airbnb</t>
        </is>
      </c>
      <c r="F7" s="38" t="n">
        <v>46074</v>
      </c>
      <c r="G7" s="39" t="inlineStr">
        <is>
          <t>Bedside lamp shattered + linen stain on duvet (red wine)</t>
        </is>
      </c>
      <c r="H7" s="39" t="inlineStr">
        <is>
          <t>Decor</t>
        </is>
      </c>
      <c r="I7" s="40" t="n">
        <v>180</v>
      </c>
      <c r="J7" s="40" t="n">
        <v>90</v>
      </c>
      <c r="K7" s="39" t="inlineStr">
        <is>
          <t>Paid</t>
        </is>
      </c>
      <c r="L7" s="41">
        <f>IF(AND(F7&lt;&gt;"",K7&lt;&gt;"Paid",K7&lt;&gt;"Closed unpaid"),Settings!$C$27-(TODAY()-F7),"")</f>
        <v/>
      </c>
      <c r="M7" s="42">
        <f>IF(I7&gt;0,J7/I7,"")</f>
        <v/>
      </c>
      <c r="N7" s="39" t="inlineStr">
        <is>
          <t>Partial payout — AirCover argued lamp was 'normal wear'; duvet covered.</t>
        </is>
      </c>
    </row>
    <row r="8" ht="22" customHeight="1">
      <c r="A8" s="38" t="n">
        <v>46089</v>
      </c>
      <c r="B8" s="39" t="inlineStr">
        <is>
          <t>Lakehouse A</t>
        </is>
      </c>
      <c r="C8" s="39" t="inlineStr">
        <is>
          <t>Devin K.</t>
        </is>
      </c>
      <c r="D8" s="39" t="inlineStr">
        <is>
          <t>HMIJKL789</t>
        </is>
      </c>
      <c r="E8" s="39" t="inlineStr">
        <is>
          <t>Airbnb</t>
        </is>
      </c>
      <c r="F8" s="38" t="n">
        <v>46087</v>
      </c>
      <c r="G8" s="39" t="inlineStr">
        <is>
          <t>TV cracked — guest claimed pre-existing; we have arrival photos showing intact</t>
        </is>
      </c>
      <c r="H8" s="39" t="inlineStr">
        <is>
          <t>Appliance</t>
        </is>
      </c>
      <c r="I8" s="40" t="n">
        <v>720</v>
      </c>
      <c r="J8" s="40" t="n">
        <v>0</v>
      </c>
      <c r="K8" s="39" t="inlineStr">
        <is>
          <t>Disputed</t>
        </is>
      </c>
      <c r="L8" s="41">
        <f>IF(AND(F8&lt;&gt;"",K8&lt;&gt;"Paid",K8&lt;&gt;"Closed unpaid"),Settings!$C$27-(TODAY()-F8),"")</f>
        <v/>
      </c>
      <c r="M8" s="42">
        <f>IF(I8&gt;0,J8/I8,"")</f>
        <v/>
      </c>
      <c r="N8" s="39" t="inlineStr">
        <is>
          <t>Open. Arrival-day photos timestamped + sent. Awaiting Airbnb decision.</t>
        </is>
      </c>
    </row>
    <row r="9">
      <c r="A9" s="38" t="n"/>
      <c r="B9" s="39" t="n"/>
      <c r="C9" s="39" t="n"/>
      <c r="D9" s="39" t="n"/>
      <c r="E9" s="39" t="n"/>
      <c r="F9" s="38" t="n"/>
      <c r="G9" s="39" t="n"/>
      <c r="H9" s="39" t="n"/>
      <c r="I9" s="40" t="n"/>
      <c r="J9" s="40" t="n"/>
      <c r="K9" s="39" t="n"/>
      <c r="L9" s="41">
        <f>IF(AND(F9&lt;&gt;"",K9&lt;&gt;"Paid",K9&lt;&gt;"Closed unpaid"),Settings!$C$27-(TODAY()-F9),"")</f>
        <v/>
      </c>
      <c r="M9" s="42">
        <f>IF(I9&gt;0,J9/I9,"")</f>
        <v/>
      </c>
      <c r="N9" s="39" t="n"/>
    </row>
    <row r="10">
      <c r="A10" s="38" t="n"/>
      <c r="B10" s="39" t="n"/>
      <c r="C10" s="39" t="n"/>
      <c r="D10" s="39" t="n"/>
      <c r="E10" s="39" t="n"/>
      <c r="F10" s="38" t="n"/>
      <c r="G10" s="39" t="n"/>
      <c r="H10" s="39" t="n"/>
      <c r="I10" s="40" t="n"/>
      <c r="J10" s="40" t="n"/>
      <c r="K10" s="39" t="n"/>
      <c r="L10" s="41">
        <f>IF(AND(F10&lt;&gt;"",K10&lt;&gt;"Paid",K10&lt;&gt;"Closed unpaid"),Settings!$C$27-(TODAY()-F10),"")</f>
        <v/>
      </c>
      <c r="M10" s="42">
        <f>IF(I10&gt;0,J10/I10,"")</f>
        <v/>
      </c>
      <c r="N10" s="39" t="n"/>
    </row>
    <row r="11">
      <c r="A11" s="38" t="n"/>
      <c r="B11" s="39" t="n"/>
      <c r="C11" s="39" t="n"/>
      <c r="D11" s="39" t="n"/>
      <c r="E11" s="39" t="n"/>
      <c r="F11" s="38" t="n"/>
      <c r="G11" s="39" t="n"/>
      <c r="H11" s="39" t="n"/>
      <c r="I11" s="40" t="n"/>
      <c r="J11" s="40" t="n"/>
      <c r="K11" s="39" t="n"/>
      <c r="L11" s="41">
        <f>IF(AND(F11&lt;&gt;"",K11&lt;&gt;"Paid",K11&lt;&gt;"Closed unpaid"),Settings!$C$27-(TODAY()-F11),"")</f>
        <v/>
      </c>
      <c r="M11" s="42">
        <f>IF(I11&gt;0,J11/I11,"")</f>
        <v/>
      </c>
      <c r="N11" s="39" t="n"/>
    </row>
    <row r="12">
      <c r="A12" s="38" t="n"/>
      <c r="B12" s="39" t="n"/>
      <c r="C12" s="39" t="n"/>
      <c r="D12" s="39" t="n"/>
      <c r="E12" s="39" t="n"/>
      <c r="F12" s="38" t="n"/>
      <c r="G12" s="39" t="n"/>
      <c r="H12" s="39" t="n"/>
      <c r="I12" s="40" t="n"/>
      <c r="J12" s="40" t="n"/>
      <c r="K12" s="39" t="n"/>
      <c r="L12" s="41">
        <f>IF(AND(F12&lt;&gt;"",K12&lt;&gt;"Paid",K12&lt;&gt;"Closed unpaid"),Settings!$C$27-(TODAY()-F12),"")</f>
        <v/>
      </c>
      <c r="M12" s="42">
        <f>IF(I12&gt;0,J12/I12,"")</f>
        <v/>
      </c>
      <c r="N12" s="39" t="n"/>
    </row>
    <row r="13">
      <c r="A13" s="38" t="n"/>
      <c r="B13" s="39" t="n"/>
      <c r="C13" s="39" t="n"/>
      <c r="D13" s="39" t="n"/>
      <c r="E13" s="39" t="n"/>
      <c r="F13" s="38" t="n"/>
      <c r="G13" s="39" t="n"/>
      <c r="H13" s="39" t="n"/>
      <c r="I13" s="40" t="n"/>
      <c r="J13" s="40" t="n"/>
      <c r="K13" s="39" t="n"/>
      <c r="L13" s="41">
        <f>IF(AND(F13&lt;&gt;"",K13&lt;&gt;"Paid",K13&lt;&gt;"Closed unpaid"),Settings!$C$27-(TODAY()-F13),"")</f>
        <v/>
      </c>
      <c r="M13" s="42">
        <f>IF(I13&gt;0,J13/I13,"")</f>
        <v/>
      </c>
      <c r="N13" s="39" t="n"/>
    </row>
    <row r="14">
      <c r="A14" s="38" t="n"/>
      <c r="B14" s="39" t="n"/>
      <c r="C14" s="39" t="n"/>
      <c r="D14" s="39" t="n"/>
      <c r="E14" s="39" t="n"/>
      <c r="F14" s="38" t="n"/>
      <c r="G14" s="39" t="n"/>
      <c r="H14" s="39" t="n"/>
      <c r="I14" s="40" t="n"/>
      <c r="J14" s="40" t="n"/>
      <c r="K14" s="39" t="n"/>
      <c r="L14" s="41">
        <f>IF(AND(F14&lt;&gt;"",K14&lt;&gt;"Paid",K14&lt;&gt;"Closed unpaid"),Settings!$C$27-(TODAY()-F14),"")</f>
        <v/>
      </c>
      <c r="M14" s="42">
        <f>IF(I14&gt;0,J14/I14,"")</f>
        <v/>
      </c>
      <c r="N14" s="39" t="n"/>
    </row>
    <row r="15">
      <c r="A15" s="38" t="n"/>
      <c r="B15" s="39" t="n"/>
      <c r="C15" s="39" t="n"/>
      <c r="D15" s="39" t="n"/>
      <c r="E15" s="39" t="n"/>
      <c r="F15" s="38" t="n"/>
      <c r="G15" s="39" t="n"/>
      <c r="H15" s="39" t="n"/>
      <c r="I15" s="40" t="n"/>
      <c r="J15" s="40" t="n"/>
      <c r="K15" s="39" t="n"/>
      <c r="L15" s="41">
        <f>IF(AND(F15&lt;&gt;"",K15&lt;&gt;"Paid",K15&lt;&gt;"Closed unpaid"),Settings!$C$27-(TODAY()-F15),"")</f>
        <v/>
      </c>
      <c r="M15" s="42">
        <f>IF(I15&gt;0,J15/I15,"")</f>
        <v/>
      </c>
      <c r="N15" s="39" t="n"/>
    </row>
    <row r="16">
      <c r="A16" s="38" t="n"/>
      <c r="B16" s="39" t="n"/>
      <c r="C16" s="39" t="n"/>
      <c r="D16" s="39" t="n"/>
      <c r="E16" s="39" t="n"/>
      <c r="F16" s="38" t="n"/>
      <c r="G16" s="39" t="n"/>
      <c r="H16" s="39" t="n"/>
      <c r="I16" s="40" t="n"/>
      <c r="J16" s="40" t="n"/>
      <c r="K16" s="39" t="n"/>
      <c r="L16" s="41">
        <f>IF(AND(F16&lt;&gt;"",K16&lt;&gt;"Paid",K16&lt;&gt;"Closed unpaid"),Settings!$C$27-(TODAY()-F16),"")</f>
        <v/>
      </c>
      <c r="M16" s="42">
        <f>IF(I16&gt;0,J16/I16,"")</f>
        <v/>
      </c>
      <c r="N16" s="39" t="n"/>
    </row>
    <row r="17">
      <c r="A17" s="38" t="n"/>
      <c r="B17" s="39" t="n"/>
      <c r="C17" s="39" t="n"/>
      <c r="D17" s="39" t="n"/>
      <c r="E17" s="39" t="n"/>
      <c r="F17" s="38" t="n"/>
      <c r="G17" s="39" t="n"/>
      <c r="H17" s="39" t="n"/>
      <c r="I17" s="40" t="n"/>
      <c r="J17" s="40" t="n"/>
      <c r="K17" s="39" t="n"/>
      <c r="L17" s="41">
        <f>IF(AND(F17&lt;&gt;"",K17&lt;&gt;"Paid",K17&lt;&gt;"Closed unpaid"),Settings!$C$27-(TODAY()-F17),"")</f>
        <v/>
      </c>
      <c r="M17" s="42">
        <f>IF(I17&gt;0,J17/I17,"")</f>
        <v/>
      </c>
      <c r="N17" s="39" t="n"/>
    </row>
    <row r="18">
      <c r="A18" s="38" t="n"/>
      <c r="B18" s="39" t="n"/>
      <c r="C18" s="39" t="n"/>
      <c r="D18" s="39" t="n"/>
      <c r="E18" s="39" t="n"/>
      <c r="F18" s="38" t="n"/>
      <c r="G18" s="39" t="n"/>
      <c r="H18" s="39" t="n"/>
      <c r="I18" s="40" t="n"/>
      <c r="J18" s="40" t="n"/>
      <c r="K18" s="39" t="n"/>
      <c r="L18" s="41">
        <f>IF(AND(F18&lt;&gt;"",K18&lt;&gt;"Paid",K18&lt;&gt;"Closed unpaid"),Settings!$C$27-(TODAY()-F18),"")</f>
        <v/>
      </c>
      <c r="M18" s="42">
        <f>IF(I18&gt;0,J18/I18,"")</f>
        <v/>
      </c>
      <c r="N18" s="39" t="n"/>
    </row>
    <row r="19">
      <c r="A19" s="38" t="n"/>
      <c r="B19" s="39" t="n"/>
      <c r="C19" s="39" t="n"/>
      <c r="D19" s="39" t="n"/>
      <c r="E19" s="39" t="n"/>
      <c r="F19" s="38" t="n"/>
      <c r="G19" s="39" t="n"/>
      <c r="H19" s="39" t="n"/>
      <c r="I19" s="40" t="n"/>
      <c r="J19" s="40" t="n"/>
      <c r="K19" s="39" t="n"/>
      <c r="L19" s="41">
        <f>IF(AND(F19&lt;&gt;"",K19&lt;&gt;"Paid",K19&lt;&gt;"Closed unpaid"),Settings!$C$27-(TODAY()-F19),"")</f>
        <v/>
      </c>
      <c r="M19" s="42">
        <f>IF(I19&gt;0,J19/I19,"")</f>
        <v/>
      </c>
      <c r="N19" s="39" t="n"/>
    </row>
    <row r="20">
      <c r="A20" s="38" t="n"/>
      <c r="B20" s="39" t="n"/>
      <c r="C20" s="39" t="n"/>
      <c r="D20" s="39" t="n"/>
      <c r="E20" s="39" t="n"/>
      <c r="F20" s="38" t="n"/>
      <c r="G20" s="39" t="n"/>
      <c r="H20" s="39" t="n"/>
      <c r="I20" s="40" t="n"/>
      <c r="J20" s="40" t="n"/>
      <c r="K20" s="39" t="n"/>
      <c r="L20" s="41">
        <f>IF(AND(F20&lt;&gt;"",K20&lt;&gt;"Paid",K20&lt;&gt;"Closed unpaid"),Settings!$C$27-(TODAY()-F20),"")</f>
        <v/>
      </c>
      <c r="M20" s="42">
        <f>IF(I20&gt;0,J20/I20,"")</f>
        <v/>
      </c>
      <c r="N20" s="39" t="n"/>
    </row>
    <row r="21">
      <c r="A21" s="38" t="n"/>
      <c r="B21" s="39" t="n"/>
      <c r="C21" s="39" t="n"/>
      <c r="D21" s="39" t="n"/>
      <c r="E21" s="39" t="n"/>
      <c r="F21" s="38" t="n"/>
      <c r="G21" s="39" t="n"/>
      <c r="H21" s="39" t="n"/>
      <c r="I21" s="40" t="n"/>
      <c r="J21" s="40" t="n"/>
      <c r="K21" s="39" t="n"/>
      <c r="L21" s="41">
        <f>IF(AND(F21&lt;&gt;"",K21&lt;&gt;"Paid",K21&lt;&gt;"Closed unpaid"),Settings!$C$27-(TODAY()-F21),"")</f>
        <v/>
      </c>
      <c r="M21" s="42">
        <f>IF(I21&gt;0,J21/I21,"")</f>
        <v/>
      </c>
      <c r="N21" s="39" t="n"/>
    </row>
    <row r="22">
      <c r="A22" s="38" t="n"/>
      <c r="B22" s="39" t="n"/>
      <c r="C22" s="39" t="n"/>
      <c r="D22" s="39" t="n"/>
      <c r="E22" s="39" t="n"/>
      <c r="F22" s="38" t="n"/>
      <c r="G22" s="39" t="n"/>
      <c r="H22" s="39" t="n"/>
      <c r="I22" s="40" t="n"/>
      <c r="J22" s="40" t="n"/>
      <c r="K22" s="39" t="n"/>
      <c r="L22" s="41">
        <f>IF(AND(F22&lt;&gt;"",K22&lt;&gt;"Paid",K22&lt;&gt;"Closed unpaid"),Settings!$C$27-(TODAY()-F22),"")</f>
        <v/>
      </c>
      <c r="M22" s="42">
        <f>IF(I22&gt;0,J22/I22,"")</f>
        <v/>
      </c>
      <c r="N22" s="39" t="n"/>
    </row>
    <row r="23">
      <c r="A23" s="38" t="n"/>
      <c r="B23" s="39" t="n"/>
      <c r="C23" s="39" t="n"/>
      <c r="D23" s="39" t="n"/>
      <c r="E23" s="39" t="n"/>
      <c r="F23" s="38" t="n"/>
      <c r="G23" s="39" t="n"/>
      <c r="H23" s="39" t="n"/>
      <c r="I23" s="40" t="n"/>
      <c r="J23" s="40" t="n"/>
      <c r="K23" s="39" t="n"/>
      <c r="L23" s="41">
        <f>IF(AND(F23&lt;&gt;"",K23&lt;&gt;"Paid",K23&lt;&gt;"Closed unpaid"),Settings!$C$27-(TODAY()-F23),"")</f>
        <v/>
      </c>
      <c r="M23" s="42">
        <f>IF(I23&gt;0,J23/I23,"")</f>
        <v/>
      </c>
      <c r="N23" s="39" t="n"/>
    </row>
    <row r="24">
      <c r="A24" s="38" t="n"/>
      <c r="B24" s="39" t="n"/>
      <c r="C24" s="39" t="n"/>
      <c r="D24" s="39" t="n"/>
      <c r="E24" s="39" t="n"/>
      <c r="F24" s="38" t="n"/>
      <c r="G24" s="39" t="n"/>
      <c r="H24" s="39" t="n"/>
      <c r="I24" s="40" t="n"/>
      <c r="J24" s="40" t="n"/>
      <c r="K24" s="39" t="n"/>
      <c r="L24" s="41">
        <f>IF(AND(F24&lt;&gt;"",K24&lt;&gt;"Paid",K24&lt;&gt;"Closed unpaid"),Settings!$C$27-(TODAY()-F24),"")</f>
        <v/>
      </c>
      <c r="M24" s="42">
        <f>IF(I24&gt;0,J24/I24,"")</f>
        <v/>
      </c>
      <c r="N24" s="39" t="n"/>
    </row>
    <row r="25">
      <c r="A25" s="38" t="n"/>
      <c r="B25" s="39" t="n"/>
      <c r="C25" s="39" t="n"/>
      <c r="D25" s="39" t="n"/>
      <c r="E25" s="39" t="n"/>
      <c r="F25" s="38" t="n"/>
      <c r="G25" s="39" t="n"/>
      <c r="H25" s="39" t="n"/>
      <c r="I25" s="40" t="n"/>
      <c r="J25" s="40" t="n"/>
      <c r="K25" s="39" t="n"/>
      <c r="L25" s="41">
        <f>IF(AND(F25&lt;&gt;"",K25&lt;&gt;"Paid",K25&lt;&gt;"Closed unpaid"),Settings!$C$27-(TODAY()-F25),"")</f>
        <v/>
      </c>
      <c r="M25" s="42">
        <f>IF(I25&gt;0,J25/I25,"")</f>
        <v/>
      </c>
      <c r="N25" s="39" t="n"/>
    </row>
    <row r="26">
      <c r="A26" s="38" t="n"/>
      <c r="B26" s="39" t="n"/>
      <c r="C26" s="39" t="n"/>
      <c r="D26" s="39" t="n"/>
      <c r="E26" s="39" t="n"/>
      <c r="F26" s="38" t="n"/>
      <c r="G26" s="39" t="n"/>
      <c r="H26" s="39" t="n"/>
      <c r="I26" s="40" t="n"/>
      <c r="J26" s="40" t="n"/>
      <c r="K26" s="39" t="n"/>
      <c r="L26" s="41">
        <f>IF(AND(F26&lt;&gt;"",K26&lt;&gt;"Paid",K26&lt;&gt;"Closed unpaid"),Settings!$C$27-(TODAY()-F26),"")</f>
        <v/>
      </c>
      <c r="M26" s="42">
        <f>IF(I26&gt;0,J26/I26,"")</f>
        <v/>
      </c>
      <c r="N26" s="39" t="n"/>
    </row>
    <row r="27">
      <c r="A27" s="38" t="n"/>
      <c r="B27" s="39" t="n"/>
      <c r="C27" s="39" t="n"/>
      <c r="D27" s="39" t="n"/>
      <c r="E27" s="39" t="n"/>
      <c r="F27" s="38" t="n"/>
      <c r="G27" s="39" t="n"/>
      <c r="H27" s="39" t="n"/>
      <c r="I27" s="40" t="n"/>
      <c r="J27" s="40" t="n"/>
      <c r="K27" s="39" t="n"/>
      <c r="L27" s="41">
        <f>IF(AND(F27&lt;&gt;"",K27&lt;&gt;"Paid",K27&lt;&gt;"Closed unpaid"),Settings!$C$27-(TODAY()-F27),"")</f>
        <v/>
      </c>
      <c r="M27" s="42">
        <f>IF(I27&gt;0,J27/I27,"")</f>
        <v/>
      </c>
      <c r="N27" s="39" t="n"/>
    </row>
    <row r="28">
      <c r="A28" s="38" t="n"/>
      <c r="B28" s="39" t="n"/>
      <c r="C28" s="39" t="n"/>
      <c r="D28" s="39" t="n"/>
      <c r="E28" s="39" t="n"/>
      <c r="F28" s="38" t="n"/>
      <c r="G28" s="39" t="n"/>
      <c r="H28" s="39" t="n"/>
      <c r="I28" s="40" t="n"/>
      <c r="J28" s="40" t="n"/>
      <c r="K28" s="39" t="n"/>
      <c r="L28" s="41">
        <f>IF(AND(F28&lt;&gt;"",K28&lt;&gt;"Paid",K28&lt;&gt;"Closed unpaid"),Settings!$C$27-(TODAY()-F28),"")</f>
        <v/>
      </c>
      <c r="M28" s="42">
        <f>IF(I28&gt;0,J28/I28,"")</f>
        <v/>
      </c>
      <c r="N28" s="39" t="n"/>
    </row>
    <row r="29">
      <c r="A29" s="38" t="n"/>
      <c r="B29" s="39" t="n"/>
      <c r="C29" s="39" t="n"/>
      <c r="D29" s="39" t="n"/>
      <c r="E29" s="39" t="n"/>
      <c r="F29" s="38" t="n"/>
      <c r="G29" s="39" t="n"/>
      <c r="H29" s="39" t="n"/>
      <c r="I29" s="40" t="n"/>
      <c r="J29" s="40" t="n"/>
      <c r="K29" s="39" t="n"/>
      <c r="L29" s="41">
        <f>IF(AND(F29&lt;&gt;"",K29&lt;&gt;"Paid",K29&lt;&gt;"Closed unpaid"),Settings!$C$27-(TODAY()-F29),"")</f>
        <v/>
      </c>
      <c r="M29" s="42">
        <f>IF(I29&gt;0,J29/I29,"")</f>
        <v/>
      </c>
      <c r="N29" s="39" t="n"/>
    </row>
    <row r="30">
      <c r="A30" s="38" t="n"/>
      <c r="B30" s="39" t="n"/>
      <c r="C30" s="39" t="n"/>
      <c r="D30" s="39" t="n"/>
      <c r="E30" s="39" t="n"/>
      <c r="F30" s="38" t="n"/>
      <c r="G30" s="39" t="n"/>
      <c r="H30" s="39" t="n"/>
      <c r="I30" s="40" t="n"/>
      <c r="J30" s="40" t="n"/>
      <c r="K30" s="39" t="n"/>
      <c r="L30" s="41">
        <f>IF(AND(F30&lt;&gt;"",K30&lt;&gt;"Paid",K30&lt;&gt;"Closed unpaid"),Settings!$C$27-(TODAY()-F30),"")</f>
        <v/>
      </c>
      <c r="M30" s="42">
        <f>IF(I30&gt;0,J30/I30,"")</f>
        <v/>
      </c>
      <c r="N30" s="39" t="n"/>
    </row>
    <row r="31">
      <c r="A31" s="38" t="n"/>
      <c r="B31" s="39" t="n"/>
      <c r="C31" s="39" t="n"/>
      <c r="D31" s="39" t="n"/>
      <c r="E31" s="39" t="n"/>
      <c r="F31" s="38" t="n"/>
      <c r="G31" s="39" t="n"/>
      <c r="H31" s="39" t="n"/>
      <c r="I31" s="40" t="n"/>
      <c r="J31" s="40" t="n"/>
      <c r="K31" s="39" t="n"/>
      <c r="L31" s="41">
        <f>IF(AND(F31&lt;&gt;"",K31&lt;&gt;"Paid",K31&lt;&gt;"Closed unpaid"),Settings!$C$27-(TODAY()-F31),"")</f>
        <v/>
      </c>
      <c r="M31" s="42">
        <f>IF(I31&gt;0,J31/I31,"")</f>
        <v/>
      </c>
      <c r="N31" s="39" t="n"/>
    </row>
    <row r="32">
      <c r="A32" s="38" t="n"/>
      <c r="B32" s="39" t="n"/>
      <c r="C32" s="39" t="n"/>
      <c r="D32" s="39" t="n"/>
      <c r="E32" s="39" t="n"/>
      <c r="F32" s="38" t="n"/>
      <c r="G32" s="39" t="n"/>
      <c r="H32" s="39" t="n"/>
      <c r="I32" s="40" t="n"/>
      <c r="J32" s="40" t="n"/>
      <c r="K32" s="39" t="n"/>
      <c r="L32" s="41">
        <f>IF(AND(F32&lt;&gt;"",K32&lt;&gt;"Paid",K32&lt;&gt;"Closed unpaid"),Settings!$C$27-(TODAY()-F32),"")</f>
        <v/>
      </c>
      <c r="M32" s="42">
        <f>IF(I32&gt;0,J32/I32,"")</f>
        <v/>
      </c>
      <c r="N32" s="39" t="n"/>
    </row>
    <row r="33">
      <c r="A33" s="38" t="n"/>
      <c r="B33" s="39" t="n"/>
      <c r="C33" s="39" t="n"/>
      <c r="D33" s="39" t="n"/>
      <c r="E33" s="39" t="n"/>
      <c r="F33" s="38" t="n"/>
      <c r="G33" s="39" t="n"/>
      <c r="H33" s="39" t="n"/>
      <c r="I33" s="40" t="n"/>
      <c r="J33" s="40" t="n"/>
      <c r="K33" s="39" t="n"/>
      <c r="L33" s="41">
        <f>IF(AND(F33&lt;&gt;"",K33&lt;&gt;"Paid",K33&lt;&gt;"Closed unpaid"),Settings!$C$27-(TODAY()-F33),"")</f>
        <v/>
      </c>
      <c r="M33" s="42">
        <f>IF(I33&gt;0,J33/I33,"")</f>
        <v/>
      </c>
      <c r="N33" s="39" t="n"/>
    </row>
    <row r="34">
      <c r="A34" s="38" t="n"/>
      <c r="B34" s="39" t="n"/>
      <c r="C34" s="39" t="n"/>
      <c r="D34" s="39" t="n"/>
      <c r="E34" s="39" t="n"/>
      <c r="F34" s="38" t="n"/>
      <c r="G34" s="39" t="n"/>
      <c r="H34" s="39" t="n"/>
      <c r="I34" s="40" t="n"/>
      <c r="J34" s="40" t="n"/>
      <c r="K34" s="39" t="n"/>
      <c r="L34" s="41">
        <f>IF(AND(F34&lt;&gt;"",K34&lt;&gt;"Paid",K34&lt;&gt;"Closed unpaid"),Settings!$C$27-(TODAY()-F34),"")</f>
        <v/>
      </c>
      <c r="M34" s="42">
        <f>IF(I34&gt;0,J34/I34,"")</f>
        <v/>
      </c>
      <c r="N34" s="39" t="n"/>
    </row>
    <row r="35">
      <c r="A35" s="38" t="n"/>
      <c r="B35" s="39" t="n"/>
      <c r="C35" s="39" t="n"/>
      <c r="D35" s="39" t="n"/>
      <c r="E35" s="39" t="n"/>
      <c r="F35" s="38" t="n"/>
      <c r="G35" s="39" t="n"/>
      <c r="H35" s="39" t="n"/>
      <c r="I35" s="40" t="n"/>
      <c r="J35" s="40" t="n"/>
      <c r="K35" s="39" t="n"/>
      <c r="L35" s="41">
        <f>IF(AND(F35&lt;&gt;"",K35&lt;&gt;"Paid",K35&lt;&gt;"Closed unpaid"),Settings!$C$27-(TODAY()-F35),"")</f>
        <v/>
      </c>
      <c r="M35" s="42">
        <f>IF(I35&gt;0,J35/I35,"")</f>
        <v/>
      </c>
      <c r="N35" s="39" t="n"/>
    </row>
    <row r="36">
      <c r="A36" s="38" t="n"/>
      <c r="B36" s="39" t="n"/>
      <c r="C36" s="39" t="n"/>
      <c r="D36" s="39" t="n"/>
      <c r="E36" s="39" t="n"/>
      <c r="F36" s="38" t="n"/>
      <c r="G36" s="39" t="n"/>
      <c r="H36" s="39" t="n"/>
      <c r="I36" s="40" t="n"/>
      <c r="J36" s="40" t="n"/>
      <c r="K36" s="39" t="n"/>
      <c r="L36" s="41">
        <f>IF(AND(F36&lt;&gt;"",K36&lt;&gt;"Paid",K36&lt;&gt;"Closed unpaid"),Settings!$C$27-(TODAY()-F36),"")</f>
        <v/>
      </c>
      <c r="M36" s="42">
        <f>IF(I36&gt;0,J36/I36,"")</f>
        <v/>
      </c>
      <c r="N36" s="39" t="n"/>
    </row>
    <row r="37">
      <c r="A37" s="38" t="n"/>
      <c r="B37" s="39" t="n"/>
      <c r="C37" s="39" t="n"/>
      <c r="D37" s="39" t="n"/>
      <c r="E37" s="39" t="n"/>
      <c r="F37" s="38" t="n"/>
      <c r="G37" s="39" t="n"/>
      <c r="H37" s="39" t="n"/>
      <c r="I37" s="40" t="n"/>
      <c r="J37" s="40" t="n"/>
      <c r="K37" s="39" t="n"/>
      <c r="L37" s="41">
        <f>IF(AND(F37&lt;&gt;"",K37&lt;&gt;"Paid",K37&lt;&gt;"Closed unpaid"),Settings!$C$27-(TODAY()-F37),"")</f>
        <v/>
      </c>
      <c r="M37" s="42">
        <f>IF(I37&gt;0,J37/I37,"")</f>
        <v/>
      </c>
      <c r="N37" s="39" t="n"/>
    </row>
    <row r="38">
      <c r="A38" s="38" t="n"/>
      <c r="B38" s="39" t="n"/>
      <c r="C38" s="39" t="n"/>
      <c r="D38" s="39" t="n"/>
      <c r="E38" s="39" t="n"/>
      <c r="F38" s="38" t="n"/>
      <c r="G38" s="39" t="n"/>
      <c r="H38" s="39" t="n"/>
      <c r="I38" s="40" t="n"/>
      <c r="J38" s="40" t="n"/>
      <c r="K38" s="39" t="n"/>
      <c r="L38" s="41">
        <f>IF(AND(F38&lt;&gt;"",K38&lt;&gt;"Paid",K38&lt;&gt;"Closed unpaid"),Settings!$C$27-(TODAY()-F38),"")</f>
        <v/>
      </c>
      <c r="M38" s="42">
        <f>IF(I38&gt;0,J38/I38,"")</f>
        <v/>
      </c>
      <c r="N38" s="39" t="n"/>
    </row>
    <row r="39">
      <c r="A39" s="38" t="n"/>
      <c r="B39" s="39" t="n"/>
      <c r="C39" s="39" t="n"/>
      <c r="D39" s="39" t="n"/>
      <c r="E39" s="39" t="n"/>
      <c r="F39" s="38" t="n"/>
      <c r="G39" s="39" t="n"/>
      <c r="H39" s="39" t="n"/>
      <c r="I39" s="40" t="n"/>
      <c r="J39" s="40" t="n"/>
      <c r="K39" s="39" t="n"/>
      <c r="L39" s="41">
        <f>IF(AND(F39&lt;&gt;"",K39&lt;&gt;"Paid",K39&lt;&gt;"Closed unpaid"),Settings!$C$27-(TODAY()-F39),"")</f>
        <v/>
      </c>
      <c r="M39" s="42">
        <f>IF(I39&gt;0,J39/I39,"")</f>
        <v/>
      </c>
      <c r="N39" s="39" t="n"/>
    </row>
    <row r="40">
      <c r="A40" s="38" t="n"/>
      <c r="B40" s="39" t="n"/>
      <c r="C40" s="39" t="n"/>
      <c r="D40" s="39" t="n"/>
      <c r="E40" s="39" t="n"/>
      <c r="F40" s="38" t="n"/>
      <c r="G40" s="39" t="n"/>
      <c r="H40" s="39" t="n"/>
      <c r="I40" s="40" t="n"/>
      <c r="J40" s="40" t="n"/>
      <c r="K40" s="39" t="n"/>
      <c r="L40" s="41">
        <f>IF(AND(F40&lt;&gt;"",K40&lt;&gt;"Paid",K40&lt;&gt;"Closed unpaid"),Settings!$C$27-(TODAY()-F40),"")</f>
        <v/>
      </c>
      <c r="M40" s="42">
        <f>IF(I40&gt;0,J40/I40,"")</f>
        <v/>
      </c>
      <c r="N40" s="39" t="n"/>
    </row>
    <row r="41">
      <c r="A41" s="38" t="n"/>
      <c r="B41" s="39" t="n"/>
      <c r="C41" s="39" t="n"/>
      <c r="D41" s="39" t="n"/>
      <c r="E41" s="39" t="n"/>
      <c r="F41" s="38" t="n"/>
      <c r="G41" s="39" t="n"/>
      <c r="H41" s="39" t="n"/>
      <c r="I41" s="40" t="n"/>
      <c r="J41" s="40" t="n"/>
      <c r="K41" s="39" t="n"/>
      <c r="L41" s="41">
        <f>IF(AND(F41&lt;&gt;"",K41&lt;&gt;"Paid",K41&lt;&gt;"Closed unpaid"),Settings!$C$27-(TODAY()-F41),"")</f>
        <v/>
      </c>
      <c r="M41" s="42">
        <f>IF(I41&gt;0,J41/I41,"")</f>
        <v/>
      </c>
      <c r="N41" s="39" t="n"/>
    </row>
    <row r="42">
      <c r="A42" s="38" t="n"/>
      <c r="B42" s="39" t="n"/>
      <c r="C42" s="39" t="n"/>
      <c r="D42" s="39" t="n"/>
      <c r="E42" s="39" t="n"/>
      <c r="F42" s="38" t="n"/>
      <c r="G42" s="39" t="n"/>
      <c r="H42" s="39" t="n"/>
      <c r="I42" s="40" t="n"/>
      <c r="J42" s="40" t="n"/>
      <c r="K42" s="39" t="n"/>
      <c r="L42" s="41">
        <f>IF(AND(F42&lt;&gt;"",K42&lt;&gt;"Paid",K42&lt;&gt;"Closed unpaid"),Settings!$C$27-(TODAY()-F42),"")</f>
        <v/>
      </c>
      <c r="M42" s="42">
        <f>IF(I42&gt;0,J42/I42,"")</f>
        <v/>
      </c>
      <c r="N42" s="39" t="n"/>
    </row>
    <row r="43">
      <c r="A43" s="38" t="n"/>
      <c r="B43" s="39" t="n"/>
      <c r="C43" s="39" t="n"/>
      <c r="D43" s="39" t="n"/>
      <c r="E43" s="39" t="n"/>
      <c r="F43" s="38" t="n"/>
      <c r="G43" s="39" t="n"/>
      <c r="H43" s="39" t="n"/>
      <c r="I43" s="40" t="n"/>
      <c r="J43" s="40" t="n"/>
      <c r="K43" s="39" t="n"/>
      <c r="L43" s="41">
        <f>IF(AND(F43&lt;&gt;"",K43&lt;&gt;"Paid",K43&lt;&gt;"Closed unpaid"),Settings!$C$27-(TODAY()-F43),"")</f>
        <v/>
      </c>
      <c r="M43" s="42">
        <f>IF(I43&gt;0,J43/I43,"")</f>
        <v/>
      </c>
      <c r="N43" s="39" t="n"/>
    </row>
    <row r="44">
      <c r="A44" s="38" t="n"/>
      <c r="B44" s="39" t="n"/>
      <c r="C44" s="39" t="n"/>
      <c r="D44" s="39" t="n"/>
      <c r="E44" s="39" t="n"/>
      <c r="F44" s="38" t="n"/>
      <c r="G44" s="39" t="n"/>
      <c r="H44" s="39" t="n"/>
      <c r="I44" s="40" t="n"/>
      <c r="J44" s="40" t="n"/>
      <c r="K44" s="39" t="n"/>
      <c r="L44" s="41">
        <f>IF(AND(F44&lt;&gt;"",K44&lt;&gt;"Paid",K44&lt;&gt;"Closed unpaid"),Settings!$C$27-(TODAY()-F44),"")</f>
        <v/>
      </c>
      <c r="M44" s="42">
        <f>IF(I44&gt;0,J44/I44,"")</f>
        <v/>
      </c>
      <c r="N44" s="39" t="n"/>
    </row>
    <row r="45">
      <c r="A45" s="38" t="n"/>
      <c r="B45" s="39" t="n"/>
      <c r="C45" s="39" t="n"/>
      <c r="D45" s="39" t="n"/>
      <c r="E45" s="39" t="n"/>
      <c r="F45" s="38" t="n"/>
      <c r="G45" s="39" t="n"/>
      <c r="H45" s="39" t="n"/>
      <c r="I45" s="40" t="n"/>
      <c r="J45" s="40" t="n"/>
      <c r="K45" s="39" t="n"/>
      <c r="L45" s="41">
        <f>IF(AND(F45&lt;&gt;"",K45&lt;&gt;"Paid",K45&lt;&gt;"Closed unpaid"),Settings!$C$27-(TODAY()-F45),"")</f>
        <v/>
      </c>
      <c r="M45" s="42">
        <f>IF(I45&gt;0,J45/I45,"")</f>
        <v/>
      </c>
      <c r="N45" s="39" t="n"/>
    </row>
    <row r="46">
      <c r="A46" s="38" t="n"/>
      <c r="B46" s="39" t="n"/>
      <c r="C46" s="39" t="n"/>
      <c r="D46" s="39" t="n"/>
      <c r="E46" s="39" t="n"/>
      <c r="F46" s="38" t="n"/>
      <c r="G46" s="39" t="n"/>
      <c r="H46" s="39" t="n"/>
      <c r="I46" s="40" t="n"/>
      <c r="J46" s="40" t="n"/>
      <c r="K46" s="39" t="n"/>
      <c r="L46" s="41">
        <f>IF(AND(F46&lt;&gt;"",K46&lt;&gt;"Paid",K46&lt;&gt;"Closed unpaid"),Settings!$C$27-(TODAY()-F46),"")</f>
        <v/>
      </c>
      <c r="M46" s="42">
        <f>IF(I46&gt;0,J46/I46,"")</f>
        <v/>
      </c>
      <c r="N46" s="39" t="n"/>
    </row>
    <row r="47">
      <c r="A47" s="38" t="n"/>
      <c r="B47" s="39" t="n"/>
      <c r="C47" s="39" t="n"/>
      <c r="D47" s="39" t="n"/>
      <c r="E47" s="39" t="n"/>
      <c r="F47" s="38" t="n"/>
      <c r="G47" s="39" t="n"/>
      <c r="H47" s="39" t="n"/>
      <c r="I47" s="40" t="n"/>
      <c r="J47" s="40" t="n"/>
      <c r="K47" s="39" t="n"/>
      <c r="L47" s="41">
        <f>IF(AND(F47&lt;&gt;"",K47&lt;&gt;"Paid",K47&lt;&gt;"Closed unpaid"),Settings!$C$27-(TODAY()-F47),"")</f>
        <v/>
      </c>
      <c r="M47" s="42">
        <f>IF(I47&gt;0,J47/I47,"")</f>
        <v/>
      </c>
      <c r="N47" s="39" t="n"/>
    </row>
    <row r="48">
      <c r="A48" s="38" t="n"/>
      <c r="B48" s="39" t="n"/>
      <c r="C48" s="39" t="n"/>
      <c r="D48" s="39" t="n"/>
      <c r="E48" s="39" t="n"/>
      <c r="F48" s="38" t="n"/>
      <c r="G48" s="39" t="n"/>
      <c r="H48" s="39" t="n"/>
      <c r="I48" s="40" t="n"/>
      <c r="J48" s="40" t="n"/>
      <c r="K48" s="39" t="n"/>
      <c r="L48" s="41">
        <f>IF(AND(F48&lt;&gt;"",K48&lt;&gt;"Paid",K48&lt;&gt;"Closed unpaid"),Settings!$C$27-(TODAY()-F48),"")</f>
        <v/>
      </c>
      <c r="M48" s="42">
        <f>IF(I48&gt;0,J48/I48,"")</f>
        <v/>
      </c>
      <c r="N48" s="39" t="n"/>
    </row>
    <row r="49">
      <c r="A49" s="38" t="n"/>
      <c r="B49" s="39" t="n"/>
      <c r="C49" s="39" t="n"/>
      <c r="D49" s="39" t="n"/>
      <c r="E49" s="39" t="n"/>
      <c r="F49" s="38" t="n"/>
      <c r="G49" s="39" t="n"/>
      <c r="H49" s="39" t="n"/>
      <c r="I49" s="40" t="n"/>
      <c r="J49" s="40" t="n"/>
      <c r="K49" s="39" t="n"/>
      <c r="L49" s="41">
        <f>IF(AND(F49&lt;&gt;"",K49&lt;&gt;"Paid",K49&lt;&gt;"Closed unpaid"),Settings!$C$27-(TODAY()-F49),"")</f>
        <v/>
      </c>
      <c r="M49" s="42">
        <f>IF(I49&gt;0,J49/I49,"")</f>
        <v/>
      </c>
      <c r="N49" s="39" t="n"/>
    </row>
    <row r="50">
      <c r="A50" s="38" t="n"/>
      <c r="B50" s="39" t="n"/>
      <c r="C50" s="39" t="n"/>
      <c r="D50" s="39" t="n"/>
      <c r="E50" s="39" t="n"/>
      <c r="F50" s="38" t="n"/>
      <c r="G50" s="39" t="n"/>
      <c r="H50" s="39" t="n"/>
      <c r="I50" s="40" t="n"/>
      <c r="J50" s="40" t="n"/>
      <c r="K50" s="39" t="n"/>
      <c r="L50" s="41">
        <f>IF(AND(F50&lt;&gt;"",K50&lt;&gt;"Paid",K50&lt;&gt;"Closed unpaid"),Settings!$C$27-(TODAY()-F50),"")</f>
        <v/>
      </c>
      <c r="M50" s="42">
        <f>IF(I50&gt;0,J50/I50,"")</f>
        <v/>
      </c>
      <c r="N50" s="39" t="n"/>
    </row>
    <row r="51">
      <c r="A51" s="38" t="n"/>
      <c r="B51" s="39" t="n"/>
      <c r="C51" s="39" t="n"/>
      <c r="D51" s="39" t="n"/>
      <c r="E51" s="39" t="n"/>
      <c r="F51" s="38" t="n"/>
      <c r="G51" s="39" t="n"/>
      <c r="H51" s="39" t="n"/>
      <c r="I51" s="40" t="n"/>
      <c r="J51" s="40" t="n"/>
      <c r="K51" s="39" t="n"/>
      <c r="L51" s="41">
        <f>IF(AND(F51&lt;&gt;"",K51&lt;&gt;"Paid",K51&lt;&gt;"Closed unpaid"),Settings!$C$27-(TODAY()-F51),"")</f>
        <v/>
      </c>
      <c r="M51" s="42">
        <f>IF(I51&gt;0,J51/I51,"")</f>
        <v/>
      </c>
      <c r="N51" s="39" t="n"/>
    </row>
    <row r="52">
      <c r="A52" s="38" t="n"/>
      <c r="B52" s="39" t="n"/>
      <c r="C52" s="39" t="n"/>
      <c r="D52" s="39" t="n"/>
      <c r="E52" s="39" t="n"/>
      <c r="F52" s="38" t="n"/>
      <c r="G52" s="39" t="n"/>
      <c r="H52" s="39" t="n"/>
      <c r="I52" s="40" t="n"/>
      <c r="J52" s="40" t="n"/>
      <c r="K52" s="39" t="n"/>
      <c r="L52" s="41">
        <f>IF(AND(F52&lt;&gt;"",K52&lt;&gt;"Paid",K52&lt;&gt;"Closed unpaid"),Settings!$C$27-(TODAY()-F52),"")</f>
        <v/>
      </c>
      <c r="M52" s="42">
        <f>IF(I52&gt;0,J52/I52,"")</f>
        <v/>
      </c>
      <c r="N52" s="39" t="n"/>
    </row>
    <row r="53">
      <c r="A53" s="38" t="n"/>
      <c r="B53" s="39" t="n"/>
      <c r="C53" s="39" t="n"/>
      <c r="D53" s="39" t="n"/>
      <c r="E53" s="39" t="n"/>
      <c r="F53" s="38" t="n"/>
      <c r="G53" s="39" t="n"/>
      <c r="H53" s="39" t="n"/>
      <c r="I53" s="40" t="n"/>
      <c r="J53" s="40" t="n"/>
      <c r="K53" s="39" t="n"/>
      <c r="L53" s="41">
        <f>IF(AND(F53&lt;&gt;"",K53&lt;&gt;"Paid",K53&lt;&gt;"Closed unpaid"),Settings!$C$27-(TODAY()-F53),"")</f>
        <v/>
      </c>
      <c r="M53" s="42">
        <f>IF(I53&gt;0,J53/I53,"")</f>
        <v/>
      </c>
      <c r="N53" s="39" t="n"/>
    </row>
    <row r="54">
      <c r="A54" s="38" t="n"/>
      <c r="B54" s="39" t="n"/>
      <c r="C54" s="39" t="n"/>
      <c r="D54" s="39" t="n"/>
      <c r="E54" s="39" t="n"/>
      <c r="F54" s="38" t="n"/>
      <c r="G54" s="39" t="n"/>
      <c r="H54" s="39" t="n"/>
      <c r="I54" s="40" t="n"/>
      <c r="J54" s="40" t="n"/>
      <c r="K54" s="39" t="n"/>
      <c r="L54" s="41">
        <f>IF(AND(F54&lt;&gt;"",K54&lt;&gt;"Paid",K54&lt;&gt;"Closed unpaid"),Settings!$C$27-(TODAY()-F54),"")</f>
        <v/>
      </c>
      <c r="M54" s="42">
        <f>IF(I54&gt;0,J54/I54,"")</f>
        <v/>
      </c>
      <c r="N54" s="39" t="n"/>
    </row>
    <row r="55">
      <c r="A55" s="38" t="n"/>
      <c r="B55" s="39" t="n"/>
      <c r="C55" s="39" t="n"/>
      <c r="D55" s="39" t="n"/>
      <c r="E55" s="39" t="n"/>
      <c r="F55" s="38" t="n"/>
      <c r="G55" s="39" t="n"/>
      <c r="H55" s="39" t="n"/>
      <c r="I55" s="40" t="n"/>
      <c r="J55" s="40" t="n"/>
      <c r="K55" s="39" t="n"/>
      <c r="L55" s="41">
        <f>IF(AND(F55&lt;&gt;"",K55&lt;&gt;"Paid",K55&lt;&gt;"Closed unpaid"),Settings!$C$27-(TODAY()-F55),"")</f>
        <v/>
      </c>
      <c r="M55" s="42">
        <f>IF(I55&gt;0,J55/I55,"")</f>
        <v/>
      </c>
      <c r="N55" s="39" t="n"/>
    </row>
    <row r="56">
      <c r="A56" s="38" t="n"/>
      <c r="B56" s="39" t="n"/>
      <c r="C56" s="39" t="n"/>
      <c r="D56" s="39" t="n"/>
      <c r="E56" s="39" t="n"/>
      <c r="F56" s="38" t="n"/>
      <c r="G56" s="39" t="n"/>
      <c r="H56" s="39" t="n"/>
      <c r="I56" s="40" t="n"/>
      <c r="J56" s="40" t="n"/>
      <c r="K56" s="39" t="n"/>
      <c r="L56" s="41">
        <f>IF(AND(F56&lt;&gt;"",K56&lt;&gt;"Paid",K56&lt;&gt;"Closed unpaid"),Settings!$C$27-(TODAY()-F56),"")</f>
        <v/>
      </c>
      <c r="M56" s="42">
        <f>IF(I56&gt;0,J56/I56,"")</f>
        <v/>
      </c>
      <c r="N56" s="39" t="n"/>
    </row>
    <row r="57">
      <c r="A57" s="38" t="n"/>
      <c r="B57" s="39" t="n"/>
      <c r="C57" s="39" t="n"/>
      <c r="D57" s="39" t="n"/>
      <c r="E57" s="39" t="n"/>
      <c r="F57" s="38" t="n"/>
      <c r="G57" s="39" t="n"/>
      <c r="H57" s="39" t="n"/>
      <c r="I57" s="40" t="n"/>
      <c r="J57" s="40" t="n"/>
      <c r="K57" s="39" t="n"/>
      <c r="L57" s="41">
        <f>IF(AND(F57&lt;&gt;"",K57&lt;&gt;"Paid",K57&lt;&gt;"Closed unpaid"),Settings!$C$27-(TODAY()-F57),"")</f>
        <v/>
      </c>
      <c r="M57" s="42">
        <f>IF(I57&gt;0,J57/I57,"")</f>
        <v/>
      </c>
      <c r="N57" s="39" t="n"/>
    </row>
    <row r="58">
      <c r="A58" s="38" t="n"/>
      <c r="B58" s="39" t="n"/>
      <c r="C58" s="39" t="n"/>
      <c r="D58" s="39" t="n"/>
      <c r="E58" s="39" t="n"/>
      <c r="F58" s="38" t="n"/>
      <c r="G58" s="39" t="n"/>
      <c r="H58" s="39" t="n"/>
      <c r="I58" s="40" t="n"/>
      <c r="J58" s="40" t="n"/>
      <c r="K58" s="39" t="n"/>
      <c r="L58" s="41">
        <f>IF(AND(F58&lt;&gt;"",K58&lt;&gt;"Paid",K58&lt;&gt;"Closed unpaid"),Settings!$C$27-(TODAY()-F58),"")</f>
        <v/>
      </c>
      <c r="M58" s="42">
        <f>IF(I58&gt;0,J58/I58,"")</f>
        <v/>
      </c>
      <c r="N58" s="39" t="n"/>
    </row>
    <row r="59">
      <c r="A59" s="38" t="n"/>
      <c r="B59" s="39" t="n"/>
      <c r="C59" s="39" t="n"/>
      <c r="D59" s="39" t="n"/>
      <c r="E59" s="39" t="n"/>
      <c r="F59" s="38" t="n"/>
      <c r="G59" s="39" t="n"/>
      <c r="H59" s="39" t="n"/>
      <c r="I59" s="40" t="n"/>
      <c r="J59" s="40" t="n"/>
      <c r="K59" s="39" t="n"/>
      <c r="L59" s="41">
        <f>IF(AND(F59&lt;&gt;"",K59&lt;&gt;"Paid",K59&lt;&gt;"Closed unpaid"),Settings!$C$27-(TODAY()-F59),"")</f>
        <v/>
      </c>
      <c r="M59" s="42">
        <f>IF(I59&gt;0,J59/I59,"")</f>
        <v/>
      </c>
      <c r="N59" s="39" t="n"/>
    </row>
    <row r="60">
      <c r="A60" s="38" t="n"/>
      <c r="B60" s="39" t="n"/>
      <c r="C60" s="39" t="n"/>
      <c r="D60" s="39" t="n"/>
      <c r="E60" s="39" t="n"/>
      <c r="F60" s="38" t="n"/>
      <c r="G60" s="39" t="n"/>
      <c r="H60" s="39" t="n"/>
      <c r="I60" s="40" t="n"/>
      <c r="J60" s="40" t="n"/>
      <c r="K60" s="39" t="n"/>
      <c r="L60" s="41">
        <f>IF(AND(F60&lt;&gt;"",K60&lt;&gt;"Paid",K60&lt;&gt;"Closed unpaid"),Settings!$C$27-(TODAY()-F60),"")</f>
        <v/>
      </c>
      <c r="M60" s="42">
        <f>IF(I60&gt;0,J60/I60,"")</f>
        <v/>
      </c>
      <c r="N60" s="39" t="n"/>
    </row>
    <row r="61">
      <c r="A61" s="38" t="n"/>
      <c r="B61" s="39" t="n"/>
      <c r="C61" s="39" t="n"/>
      <c r="D61" s="39" t="n"/>
      <c r="E61" s="39" t="n"/>
      <c r="F61" s="38" t="n"/>
      <c r="G61" s="39" t="n"/>
      <c r="H61" s="39" t="n"/>
      <c r="I61" s="40" t="n"/>
      <c r="J61" s="40" t="n"/>
      <c r="K61" s="39" t="n"/>
      <c r="L61" s="41">
        <f>IF(AND(F61&lt;&gt;"",K61&lt;&gt;"Paid",K61&lt;&gt;"Closed unpaid"),Settings!$C$27-(TODAY()-F61),"")</f>
        <v/>
      </c>
      <c r="M61" s="42">
        <f>IF(I61&gt;0,J61/I61,"")</f>
        <v/>
      </c>
      <c r="N61" s="39" t="n"/>
    </row>
    <row r="62">
      <c r="A62" s="38" t="n"/>
      <c r="B62" s="39" t="n"/>
      <c r="C62" s="39" t="n"/>
      <c r="D62" s="39" t="n"/>
      <c r="E62" s="39" t="n"/>
      <c r="F62" s="38" t="n"/>
      <c r="G62" s="39" t="n"/>
      <c r="H62" s="39" t="n"/>
      <c r="I62" s="40" t="n"/>
      <c r="J62" s="40" t="n"/>
      <c r="K62" s="39" t="n"/>
      <c r="L62" s="41">
        <f>IF(AND(F62&lt;&gt;"",K62&lt;&gt;"Paid",K62&lt;&gt;"Closed unpaid"),Settings!$C$27-(TODAY()-F62),"")</f>
        <v/>
      </c>
      <c r="M62" s="42">
        <f>IF(I62&gt;0,J62/I62,"")</f>
        <v/>
      </c>
      <c r="N62" s="39" t="n"/>
    </row>
    <row r="63">
      <c r="A63" s="38" t="n"/>
      <c r="B63" s="39" t="n"/>
      <c r="C63" s="39" t="n"/>
      <c r="D63" s="39" t="n"/>
      <c r="E63" s="39" t="n"/>
      <c r="F63" s="38" t="n"/>
      <c r="G63" s="39" t="n"/>
      <c r="H63" s="39" t="n"/>
      <c r="I63" s="40" t="n"/>
      <c r="J63" s="40" t="n"/>
      <c r="K63" s="39" t="n"/>
      <c r="L63" s="41">
        <f>IF(AND(F63&lt;&gt;"",K63&lt;&gt;"Paid",K63&lt;&gt;"Closed unpaid"),Settings!$C$27-(TODAY()-F63),"")</f>
        <v/>
      </c>
      <c r="M63" s="42">
        <f>IF(I63&gt;0,J63/I63,"")</f>
        <v/>
      </c>
      <c r="N63" s="39" t="n"/>
    </row>
    <row r="64">
      <c r="A64" s="38" t="n"/>
      <c r="B64" s="39" t="n"/>
      <c r="C64" s="39" t="n"/>
      <c r="D64" s="39" t="n"/>
      <c r="E64" s="39" t="n"/>
      <c r="F64" s="38" t="n"/>
      <c r="G64" s="39" t="n"/>
      <c r="H64" s="39" t="n"/>
      <c r="I64" s="40" t="n"/>
      <c r="J64" s="40" t="n"/>
      <c r="K64" s="39" t="n"/>
      <c r="L64" s="41">
        <f>IF(AND(F64&lt;&gt;"",K64&lt;&gt;"Paid",K64&lt;&gt;"Closed unpaid"),Settings!$C$27-(TODAY()-F64),"")</f>
        <v/>
      </c>
      <c r="M64" s="42">
        <f>IF(I64&gt;0,J64/I64,"")</f>
        <v/>
      </c>
      <c r="N64" s="39" t="n"/>
    </row>
    <row r="65">
      <c r="A65" s="38" t="n"/>
      <c r="B65" s="39" t="n"/>
      <c r="C65" s="39" t="n"/>
      <c r="D65" s="39" t="n"/>
      <c r="E65" s="39" t="n"/>
      <c r="F65" s="38" t="n"/>
      <c r="G65" s="39" t="n"/>
      <c r="H65" s="39" t="n"/>
      <c r="I65" s="40" t="n"/>
      <c r="J65" s="40" t="n"/>
      <c r="K65" s="39" t="n"/>
      <c r="L65" s="41">
        <f>IF(AND(F65&lt;&gt;"",K65&lt;&gt;"Paid",K65&lt;&gt;"Closed unpaid"),Settings!$C$27-(TODAY()-F65),"")</f>
        <v/>
      </c>
      <c r="M65" s="42">
        <f>IF(I65&gt;0,J65/I65,"")</f>
        <v/>
      </c>
      <c r="N65" s="39" t="n"/>
    </row>
    <row r="66">
      <c r="A66" s="38" t="n"/>
      <c r="B66" s="39" t="n"/>
      <c r="C66" s="39" t="n"/>
      <c r="D66" s="39" t="n"/>
      <c r="E66" s="39" t="n"/>
      <c r="F66" s="38" t="n"/>
      <c r="G66" s="39" t="n"/>
      <c r="H66" s="39" t="n"/>
      <c r="I66" s="40" t="n"/>
      <c r="J66" s="40" t="n"/>
      <c r="K66" s="39" t="n"/>
      <c r="L66" s="41">
        <f>IF(AND(F66&lt;&gt;"",K66&lt;&gt;"Paid",K66&lt;&gt;"Closed unpaid"),Settings!$C$27-(TODAY()-F66),"")</f>
        <v/>
      </c>
      <c r="M66" s="42">
        <f>IF(I66&gt;0,J66/I66,"")</f>
        <v/>
      </c>
      <c r="N66" s="39" t="n"/>
    </row>
    <row r="67">
      <c r="A67" s="38" t="n"/>
      <c r="B67" s="39" t="n"/>
      <c r="C67" s="39" t="n"/>
      <c r="D67" s="39" t="n"/>
      <c r="E67" s="39" t="n"/>
      <c r="F67" s="38" t="n"/>
      <c r="G67" s="39" t="n"/>
      <c r="H67" s="39" t="n"/>
      <c r="I67" s="40" t="n"/>
      <c r="J67" s="40" t="n"/>
      <c r="K67" s="39" t="n"/>
      <c r="L67" s="41">
        <f>IF(AND(F67&lt;&gt;"",K67&lt;&gt;"Paid",K67&lt;&gt;"Closed unpaid"),Settings!$C$27-(TODAY()-F67),"")</f>
        <v/>
      </c>
      <c r="M67" s="42">
        <f>IF(I67&gt;0,J67/I67,"")</f>
        <v/>
      </c>
      <c r="N67" s="39" t="n"/>
    </row>
    <row r="68">
      <c r="A68" s="38" t="n"/>
      <c r="B68" s="39" t="n"/>
      <c r="C68" s="39" t="n"/>
      <c r="D68" s="39" t="n"/>
      <c r="E68" s="39" t="n"/>
      <c r="F68" s="38" t="n"/>
      <c r="G68" s="39" t="n"/>
      <c r="H68" s="39" t="n"/>
      <c r="I68" s="40" t="n"/>
      <c r="J68" s="40" t="n"/>
      <c r="K68" s="39" t="n"/>
      <c r="L68" s="41">
        <f>IF(AND(F68&lt;&gt;"",K68&lt;&gt;"Paid",K68&lt;&gt;"Closed unpaid"),Settings!$C$27-(TODAY()-F68),"")</f>
        <v/>
      </c>
      <c r="M68" s="42">
        <f>IF(I68&gt;0,J68/I68,"")</f>
        <v/>
      </c>
      <c r="N68" s="39" t="n"/>
    </row>
    <row r="69">
      <c r="A69" s="38" t="n"/>
      <c r="B69" s="39" t="n"/>
      <c r="C69" s="39" t="n"/>
      <c r="D69" s="39" t="n"/>
      <c r="E69" s="39" t="n"/>
      <c r="F69" s="38" t="n"/>
      <c r="G69" s="39" t="n"/>
      <c r="H69" s="39" t="n"/>
      <c r="I69" s="40" t="n"/>
      <c r="J69" s="40" t="n"/>
      <c r="K69" s="39" t="n"/>
      <c r="L69" s="41">
        <f>IF(AND(F69&lt;&gt;"",K69&lt;&gt;"Paid",K69&lt;&gt;"Closed unpaid"),Settings!$C$27-(TODAY()-F69),"")</f>
        <v/>
      </c>
      <c r="M69" s="42">
        <f>IF(I69&gt;0,J69/I69,"")</f>
        <v/>
      </c>
      <c r="N69" s="39" t="n"/>
    </row>
    <row r="70">
      <c r="A70" s="38" t="n"/>
      <c r="B70" s="39" t="n"/>
      <c r="C70" s="39" t="n"/>
      <c r="D70" s="39" t="n"/>
      <c r="E70" s="39" t="n"/>
      <c r="F70" s="38" t="n"/>
      <c r="G70" s="39" t="n"/>
      <c r="H70" s="39" t="n"/>
      <c r="I70" s="40" t="n"/>
      <c r="J70" s="40" t="n"/>
      <c r="K70" s="39" t="n"/>
      <c r="L70" s="41">
        <f>IF(AND(F70&lt;&gt;"",K70&lt;&gt;"Paid",K70&lt;&gt;"Closed unpaid"),Settings!$C$27-(TODAY()-F70),"")</f>
        <v/>
      </c>
      <c r="M70" s="42">
        <f>IF(I70&gt;0,J70/I70,"")</f>
        <v/>
      </c>
      <c r="N70" s="39" t="n"/>
    </row>
    <row r="71">
      <c r="A71" s="38" t="n"/>
      <c r="B71" s="39" t="n"/>
      <c r="C71" s="39" t="n"/>
      <c r="D71" s="39" t="n"/>
      <c r="E71" s="39" t="n"/>
      <c r="F71" s="38" t="n"/>
      <c r="G71" s="39" t="n"/>
      <c r="H71" s="39" t="n"/>
      <c r="I71" s="40" t="n"/>
      <c r="J71" s="40" t="n"/>
      <c r="K71" s="39" t="n"/>
      <c r="L71" s="41">
        <f>IF(AND(F71&lt;&gt;"",K71&lt;&gt;"Paid",K71&lt;&gt;"Closed unpaid"),Settings!$C$27-(TODAY()-F71),"")</f>
        <v/>
      </c>
      <c r="M71" s="42">
        <f>IF(I71&gt;0,J71/I71,"")</f>
        <v/>
      </c>
      <c r="N71" s="39" t="n"/>
    </row>
    <row r="72">
      <c r="A72" s="38" t="n"/>
      <c r="B72" s="39" t="n"/>
      <c r="C72" s="39" t="n"/>
      <c r="D72" s="39" t="n"/>
      <c r="E72" s="39" t="n"/>
      <c r="F72" s="38" t="n"/>
      <c r="G72" s="39" t="n"/>
      <c r="H72" s="39" t="n"/>
      <c r="I72" s="40" t="n"/>
      <c r="J72" s="40" t="n"/>
      <c r="K72" s="39" t="n"/>
      <c r="L72" s="41">
        <f>IF(AND(F72&lt;&gt;"",K72&lt;&gt;"Paid",K72&lt;&gt;"Closed unpaid"),Settings!$C$27-(TODAY()-F72),"")</f>
        <v/>
      </c>
      <c r="M72" s="42">
        <f>IF(I72&gt;0,J72/I72,"")</f>
        <v/>
      </c>
      <c r="N72" s="39" t="n"/>
    </row>
    <row r="73">
      <c r="A73" s="38" t="n"/>
      <c r="B73" s="39" t="n"/>
      <c r="C73" s="39" t="n"/>
      <c r="D73" s="39" t="n"/>
      <c r="E73" s="39" t="n"/>
      <c r="F73" s="38" t="n"/>
      <c r="G73" s="39" t="n"/>
      <c r="H73" s="39" t="n"/>
      <c r="I73" s="40" t="n"/>
      <c r="J73" s="40" t="n"/>
      <c r="K73" s="39" t="n"/>
      <c r="L73" s="41">
        <f>IF(AND(F73&lt;&gt;"",K73&lt;&gt;"Paid",K73&lt;&gt;"Closed unpaid"),Settings!$C$27-(TODAY()-F73),"")</f>
        <v/>
      </c>
      <c r="M73" s="42">
        <f>IF(I73&gt;0,J73/I73,"")</f>
        <v/>
      </c>
      <c r="N73" s="39" t="n"/>
    </row>
    <row r="74">
      <c r="A74" s="38" t="n"/>
      <c r="B74" s="39" t="n"/>
      <c r="C74" s="39" t="n"/>
      <c r="D74" s="39" t="n"/>
      <c r="E74" s="39" t="n"/>
      <c r="F74" s="38" t="n"/>
      <c r="G74" s="39" t="n"/>
      <c r="H74" s="39" t="n"/>
      <c r="I74" s="40" t="n"/>
      <c r="J74" s="40" t="n"/>
      <c r="K74" s="39" t="n"/>
      <c r="L74" s="41">
        <f>IF(AND(F74&lt;&gt;"",K74&lt;&gt;"Paid",K74&lt;&gt;"Closed unpaid"),Settings!$C$27-(TODAY()-F74),"")</f>
        <v/>
      </c>
      <c r="M74" s="42">
        <f>IF(I74&gt;0,J74/I74,"")</f>
        <v/>
      </c>
      <c r="N74" s="39" t="n"/>
    </row>
    <row r="75">
      <c r="A75" s="38" t="n"/>
      <c r="B75" s="39" t="n"/>
      <c r="C75" s="39" t="n"/>
      <c r="D75" s="39" t="n"/>
      <c r="E75" s="39" t="n"/>
      <c r="F75" s="38" t="n"/>
      <c r="G75" s="39" t="n"/>
      <c r="H75" s="39" t="n"/>
      <c r="I75" s="40" t="n"/>
      <c r="J75" s="40" t="n"/>
      <c r="K75" s="39" t="n"/>
      <c r="L75" s="41">
        <f>IF(AND(F75&lt;&gt;"",K75&lt;&gt;"Paid",K75&lt;&gt;"Closed unpaid"),Settings!$C$27-(TODAY()-F75),"")</f>
        <v/>
      </c>
      <c r="M75" s="42">
        <f>IF(I75&gt;0,J75/I75,"")</f>
        <v/>
      </c>
      <c r="N75" s="39" t="n"/>
    </row>
    <row r="76">
      <c r="A76" s="38" t="n"/>
      <c r="B76" s="39" t="n"/>
      <c r="C76" s="39" t="n"/>
      <c r="D76" s="39" t="n"/>
      <c r="E76" s="39" t="n"/>
      <c r="F76" s="38" t="n"/>
      <c r="G76" s="39" t="n"/>
      <c r="H76" s="39" t="n"/>
      <c r="I76" s="40" t="n"/>
      <c r="J76" s="40" t="n"/>
      <c r="K76" s="39" t="n"/>
      <c r="L76" s="41">
        <f>IF(AND(F76&lt;&gt;"",K76&lt;&gt;"Paid",K76&lt;&gt;"Closed unpaid"),Settings!$C$27-(TODAY()-F76),"")</f>
        <v/>
      </c>
      <c r="M76" s="42">
        <f>IF(I76&gt;0,J76/I76,"")</f>
        <v/>
      </c>
      <c r="N76" s="39" t="n"/>
    </row>
    <row r="77">
      <c r="A77" s="38" t="n"/>
      <c r="B77" s="39" t="n"/>
      <c r="C77" s="39" t="n"/>
      <c r="D77" s="39" t="n"/>
      <c r="E77" s="39" t="n"/>
      <c r="F77" s="38" t="n"/>
      <c r="G77" s="39" t="n"/>
      <c r="H77" s="39" t="n"/>
      <c r="I77" s="40" t="n"/>
      <c r="J77" s="40" t="n"/>
      <c r="K77" s="39" t="n"/>
      <c r="L77" s="41">
        <f>IF(AND(F77&lt;&gt;"",K77&lt;&gt;"Paid",K77&lt;&gt;"Closed unpaid"),Settings!$C$27-(TODAY()-F77),"")</f>
        <v/>
      </c>
      <c r="M77" s="42">
        <f>IF(I77&gt;0,J77/I77,"")</f>
        <v/>
      </c>
      <c r="N77" s="39" t="n"/>
    </row>
    <row r="78">
      <c r="A78" s="38" t="n"/>
      <c r="B78" s="39" t="n"/>
      <c r="C78" s="39" t="n"/>
      <c r="D78" s="39" t="n"/>
      <c r="E78" s="39" t="n"/>
      <c r="F78" s="38" t="n"/>
      <c r="G78" s="39" t="n"/>
      <c r="H78" s="39" t="n"/>
      <c r="I78" s="40" t="n"/>
      <c r="J78" s="40" t="n"/>
      <c r="K78" s="39" t="n"/>
      <c r="L78" s="41">
        <f>IF(AND(F78&lt;&gt;"",K78&lt;&gt;"Paid",K78&lt;&gt;"Closed unpaid"),Settings!$C$27-(TODAY()-F78),"")</f>
        <v/>
      </c>
      <c r="M78" s="42">
        <f>IF(I78&gt;0,J78/I78,"")</f>
        <v/>
      </c>
      <c r="N78" s="39" t="n"/>
    </row>
    <row r="79">
      <c r="A79" s="38" t="n"/>
      <c r="B79" s="39" t="n"/>
      <c r="C79" s="39" t="n"/>
      <c r="D79" s="39" t="n"/>
      <c r="E79" s="39" t="n"/>
      <c r="F79" s="38" t="n"/>
      <c r="G79" s="39" t="n"/>
      <c r="H79" s="39" t="n"/>
      <c r="I79" s="40" t="n"/>
      <c r="J79" s="40" t="n"/>
      <c r="K79" s="39" t="n"/>
      <c r="L79" s="41">
        <f>IF(AND(F79&lt;&gt;"",K79&lt;&gt;"Paid",K79&lt;&gt;"Closed unpaid"),Settings!$C$27-(TODAY()-F79),"")</f>
        <v/>
      </c>
      <c r="M79" s="42">
        <f>IF(I79&gt;0,J79/I79,"")</f>
        <v/>
      </c>
      <c r="N79" s="39" t="n"/>
    </row>
    <row r="80">
      <c r="A80" s="38" t="n"/>
      <c r="B80" s="39" t="n"/>
      <c r="C80" s="39" t="n"/>
      <c r="D80" s="39" t="n"/>
      <c r="E80" s="39" t="n"/>
      <c r="F80" s="38" t="n"/>
      <c r="G80" s="39" t="n"/>
      <c r="H80" s="39" t="n"/>
      <c r="I80" s="40" t="n"/>
      <c r="J80" s="40" t="n"/>
      <c r="K80" s="39" t="n"/>
      <c r="L80" s="41">
        <f>IF(AND(F80&lt;&gt;"",K80&lt;&gt;"Paid",K80&lt;&gt;"Closed unpaid"),Settings!$C$27-(TODAY()-F80),"")</f>
        <v/>
      </c>
      <c r="M80" s="42">
        <f>IF(I80&gt;0,J80/I80,"")</f>
        <v/>
      </c>
      <c r="N80" s="39" t="n"/>
    </row>
    <row r="81">
      <c r="A81" s="38" t="n"/>
      <c r="B81" s="39" t="n"/>
      <c r="C81" s="39" t="n"/>
      <c r="D81" s="39" t="n"/>
      <c r="E81" s="39" t="n"/>
      <c r="F81" s="38" t="n"/>
      <c r="G81" s="39" t="n"/>
      <c r="H81" s="39" t="n"/>
      <c r="I81" s="40" t="n"/>
      <c r="J81" s="40" t="n"/>
      <c r="K81" s="39" t="n"/>
      <c r="L81" s="41">
        <f>IF(AND(F81&lt;&gt;"",K81&lt;&gt;"Paid",K81&lt;&gt;"Closed unpaid"),Settings!$C$27-(TODAY()-F81),"")</f>
        <v/>
      </c>
      <c r="M81" s="42">
        <f>IF(I81&gt;0,J81/I81,"")</f>
        <v/>
      </c>
      <c r="N81" s="39" t="n"/>
    </row>
    <row r="82">
      <c r="A82" s="38" t="n"/>
      <c r="B82" s="39" t="n"/>
      <c r="C82" s="39" t="n"/>
      <c r="D82" s="39" t="n"/>
      <c r="E82" s="39" t="n"/>
      <c r="F82" s="38" t="n"/>
      <c r="G82" s="39" t="n"/>
      <c r="H82" s="39" t="n"/>
      <c r="I82" s="40" t="n"/>
      <c r="J82" s="40" t="n"/>
      <c r="K82" s="39" t="n"/>
      <c r="L82" s="41">
        <f>IF(AND(F82&lt;&gt;"",K82&lt;&gt;"Paid",K82&lt;&gt;"Closed unpaid"),Settings!$C$27-(TODAY()-F82),"")</f>
        <v/>
      </c>
      <c r="M82" s="42">
        <f>IF(I82&gt;0,J82/I82,"")</f>
        <v/>
      </c>
      <c r="N82" s="39" t="n"/>
    </row>
    <row r="83">
      <c r="A83" s="38" t="n"/>
      <c r="B83" s="39" t="n"/>
      <c r="C83" s="39" t="n"/>
      <c r="D83" s="39" t="n"/>
      <c r="E83" s="39" t="n"/>
      <c r="F83" s="38" t="n"/>
      <c r="G83" s="39" t="n"/>
      <c r="H83" s="39" t="n"/>
      <c r="I83" s="40" t="n"/>
      <c r="J83" s="40" t="n"/>
      <c r="K83" s="39" t="n"/>
      <c r="L83" s="41">
        <f>IF(AND(F83&lt;&gt;"",K83&lt;&gt;"Paid",K83&lt;&gt;"Closed unpaid"),Settings!$C$27-(TODAY()-F83),"")</f>
        <v/>
      </c>
      <c r="M83" s="42">
        <f>IF(I83&gt;0,J83/I83,"")</f>
        <v/>
      </c>
      <c r="N83" s="39" t="n"/>
    </row>
    <row r="84">
      <c r="A84" s="38" t="n"/>
      <c r="B84" s="39" t="n"/>
      <c r="C84" s="39" t="n"/>
      <c r="D84" s="39" t="n"/>
      <c r="E84" s="39" t="n"/>
      <c r="F84" s="38" t="n"/>
      <c r="G84" s="39" t="n"/>
      <c r="H84" s="39" t="n"/>
      <c r="I84" s="40" t="n"/>
      <c r="J84" s="40" t="n"/>
      <c r="K84" s="39" t="n"/>
      <c r="L84" s="41">
        <f>IF(AND(F84&lt;&gt;"",K84&lt;&gt;"Paid",K84&lt;&gt;"Closed unpaid"),Settings!$C$27-(TODAY()-F84),"")</f>
        <v/>
      </c>
      <c r="M84" s="42">
        <f>IF(I84&gt;0,J84/I84,"")</f>
        <v/>
      </c>
      <c r="N84" s="39" t="n"/>
    </row>
    <row r="85">
      <c r="A85" s="38" t="n"/>
      <c r="B85" s="39" t="n"/>
      <c r="C85" s="39" t="n"/>
      <c r="D85" s="39" t="n"/>
      <c r="E85" s="39" t="n"/>
      <c r="F85" s="38" t="n"/>
      <c r="G85" s="39" t="n"/>
      <c r="H85" s="39" t="n"/>
      <c r="I85" s="40" t="n"/>
      <c r="J85" s="40" t="n"/>
      <c r="K85" s="39" t="n"/>
      <c r="L85" s="41">
        <f>IF(AND(F85&lt;&gt;"",K85&lt;&gt;"Paid",K85&lt;&gt;"Closed unpaid"),Settings!$C$27-(TODAY()-F85),"")</f>
        <v/>
      </c>
      <c r="M85" s="42">
        <f>IF(I85&gt;0,J85/I85,"")</f>
        <v/>
      </c>
      <c r="N85" s="39" t="n"/>
    </row>
    <row r="86">
      <c r="A86" s="38" t="n"/>
      <c r="B86" s="39" t="n"/>
      <c r="C86" s="39" t="n"/>
      <c r="D86" s="39" t="n"/>
      <c r="E86" s="39" t="n"/>
      <c r="F86" s="38" t="n"/>
      <c r="G86" s="39" t="n"/>
      <c r="H86" s="39" t="n"/>
      <c r="I86" s="40" t="n"/>
      <c r="J86" s="40" t="n"/>
      <c r="K86" s="39" t="n"/>
      <c r="L86" s="41">
        <f>IF(AND(F86&lt;&gt;"",K86&lt;&gt;"Paid",K86&lt;&gt;"Closed unpaid"),Settings!$C$27-(TODAY()-F86),"")</f>
        <v/>
      </c>
      <c r="M86" s="42">
        <f>IF(I86&gt;0,J86/I86,"")</f>
        <v/>
      </c>
      <c r="N86" s="39" t="n"/>
    </row>
    <row r="87">
      <c r="A87" s="38" t="n"/>
      <c r="B87" s="39" t="n"/>
      <c r="C87" s="39" t="n"/>
      <c r="D87" s="39" t="n"/>
      <c r="E87" s="39" t="n"/>
      <c r="F87" s="38" t="n"/>
      <c r="G87" s="39" t="n"/>
      <c r="H87" s="39" t="n"/>
      <c r="I87" s="40" t="n"/>
      <c r="J87" s="40" t="n"/>
      <c r="K87" s="39" t="n"/>
      <c r="L87" s="41">
        <f>IF(AND(F87&lt;&gt;"",K87&lt;&gt;"Paid",K87&lt;&gt;"Closed unpaid"),Settings!$C$27-(TODAY()-F87),"")</f>
        <v/>
      </c>
      <c r="M87" s="42">
        <f>IF(I87&gt;0,J87/I87,"")</f>
        <v/>
      </c>
      <c r="N87" s="39" t="n"/>
    </row>
    <row r="88">
      <c r="A88" s="38" t="n"/>
      <c r="B88" s="39" t="n"/>
      <c r="C88" s="39" t="n"/>
      <c r="D88" s="39" t="n"/>
      <c r="E88" s="39" t="n"/>
      <c r="F88" s="38" t="n"/>
      <c r="G88" s="39" t="n"/>
      <c r="H88" s="39" t="n"/>
      <c r="I88" s="40" t="n"/>
      <c r="J88" s="40" t="n"/>
      <c r="K88" s="39" t="n"/>
      <c r="L88" s="41">
        <f>IF(AND(F88&lt;&gt;"",K88&lt;&gt;"Paid",K88&lt;&gt;"Closed unpaid"),Settings!$C$27-(TODAY()-F88),"")</f>
        <v/>
      </c>
      <c r="M88" s="42">
        <f>IF(I88&gt;0,J88/I88,"")</f>
        <v/>
      </c>
      <c r="N88" s="39" t="n"/>
    </row>
    <row r="89">
      <c r="A89" s="38" t="n"/>
      <c r="B89" s="39" t="n"/>
      <c r="C89" s="39" t="n"/>
      <c r="D89" s="39" t="n"/>
      <c r="E89" s="39" t="n"/>
      <c r="F89" s="38" t="n"/>
      <c r="G89" s="39" t="n"/>
      <c r="H89" s="39" t="n"/>
      <c r="I89" s="40" t="n"/>
      <c r="J89" s="40" t="n"/>
      <c r="K89" s="39" t="n"/>
      <c r="L89" s="41">
        <f>IF(AND(F89&lt;&gt;"",K89&lt;&gt;"Paid",K89&lt;&gt;"Closed unpaid"),Settings!$C$27-(TODAY()-F89),"")</f>
        <v/>
      </c>
      <c r="M89" s="42">
        <f>IF(I89&gt;0,J89/I89,"")</f>
        <v/>
      </c>
      <c r="N89" s="39" t="n"/>
    </row>
    <row r="90">
      <c r="A90" s="38" t="n"/>
      <c r="B90" s="39" t="n"/>
      <c r="C90" s="39" t="n"/>
      <c r="D90" s="39" t="n"/>
      <c r="E90" s="39" t="n"/>
      <c r="F90" s="38" t="n"/>
      <c r="G90" s="39" t="n"/>
      <c r="H90" s="39" t="n"/>
      <c r="I90" s="40" t="n"/>
      <c r="J90" s="40" t="n"/>
      <c r="K90" s="39" t="n"/>
      <c r="L90" s="41">
        <f>IF(AND(F90&lt;&gt;"",K90&lt;&gt;"Paid",K90&lt;&gt;"Closed unpaid"),Settings!$C$27-(TODAY()-F90),"")</f>
        <v/>
      </c>
      <c r="M90" s="42">
        <f>IF(I90&gt;0,J90/I90,"")</f>
        <v/>
      </c>
      <c r="N90" s="39" t="n"/>
    </row>
    <row r="91">
      <c r="A91" s="38" t="n"/>
      <c r="B91" s="39" t="n"/>
      <c r="C91" s="39" t="n"/>
      <c r="D91" s="39" t="n"/>
      <c r="E91" s="39" t="n"/>
      <c r="F91" s="38" t="n"/>
      <c r="G91" s="39" t="n"/>
      <c r="H91" s="39" t="n"/>
      <c r="I91" s="40" t="n"/>
      <c r="J91" s="40" t="n"/>
      <c r="K91" s="39" t="n"/>
      <c r="L91" s="41">
        <f>IF(AND(F91&lt;&gt;"",K91&lt;&gt;"Paid",K91&lt;&gt;"Closed unpaid"),Settings!$C$27-(TODAY()-F91),"")</f>
        <v/>
      </c>
      <c r="M91" s="42">
        <f>IF(I91&gt;0,J91/I91,"")</f>
        <v/>
      </c>
      <c r="N91" s="39" t="n"/>
    </row>
    <row r="92">
      <c r="A92" s="38" t="n"/>
      <c r="B92" s="39" t="n"/>
      <c r="C92" s="39" t="n"/>
      <c r="D92" s="39" t="n"/>
      <c r="E92" s="39" t="n"/>
      <c r="F92" s="38" t="n"/>
      <c r="G92" s="39" t="n"/>
      <c r="H92" s="39" t="n"/>
      <c r="I92" s="40" t="n"/>
      <c r="J92" s="40" t="n"/>
      <c r="K92" s="39" t="n"/>
      <c r="L92" s="41">
        <f>IF(AND(F92&lt;&gt;"",K92&lt;&gt;"Paid",K92&lt;&gt;"Closed unpaid"),Settings!$C$27-(TODAY()-F92),"")</f>
        <v/>
      </c>
      <c r="M92" s="42">
        <f>IF(I92&gt;0,J92/I92,"")</f>
        <v/>
      </c>
      <c r="N92" s="39" t="n"/>
    </row>
    <row r="93">
      <c r="A93" s="38" t="n"/>
      <c r="B93" s="39" t="n"/>
      <c r="C93" s="39" t="n"/>
      <c r="D93" s="39" t="n"/>
      <c r="E93" s="39" t="n"/>
      <c r="F93" s="38" t="n"/>
      <c r="G93" s="39" t="n"/>
      <c r="H93" s="39" t="n"/>
      <c r="I93" s="40" t="n"/>
      <c r="J93" s="40" t="n"/>
      <c r="K93" s="39" t="n"/>
      <c r="L93" s="41">
        <f>IF(AND(F93&lt;&gt;"",K93&lt;&gt;"Paid",K93&lt;&gt;"Closed unpaid"),Settings!$C$27-(TODAY()-F93),"")</f>
        <v/>
      </c>
      <c r="M93" s="42">
        <f>IF(I93&gt;0,J93/I93,"")</f>
        <v/>
      </c>
      <c r="N93" s="39" t="n"/>
    </row>
    <row r="94">
      <c r="A94" s="38" t="n"/>
      <c r="B94" s="39" t="n"/>
      <c r="C94" s="39" t="n"/>
      <c r="D94" s="39" t="n"/>
      <c r="E94" s="39" t="n"/>
      <c r="F94" s="38" t="n"/>
      <c r="G94" s="39" t="n"/>
      <c r="H94" s="39" t="n"/>
      <c r="I94" s="40" t="n"/>
      <c r="J94" s="40" t="n"/>
      <c r="K94" s="39" t="n"/>
      <c r="L94" s="41">
        <f>IF(AND(F94&lt;&gt;"",K94&lt;&gt;"Paid",K94&lt;&gt;"Closed unpaid"),Settings!$C$27-(TODAY()-F94),"")</f>
        <v/>
      </c>
      <c r="M94" s="42">
        <f>IF(I94&gt;0,J94/I94,"")</f>
        <v/>
      </c>
      <c r="N94" s="39" t="n"/>
    </row>
    <row r="95">
      <c r="A95" s="38" t="n"/>
      <c r="B95" s="39" t="n"/>
      <c r="C95" s="39" t="n"/>
      <c r="D95" s="39" t="n"/>
      <c r="E95" s="39" t="n"/>
      <c r="F95" s="38" t="n"/>
      <c r="G95" s="39" t="n"/>
      <c r="H95" s="39" t="n"/>
      <c r="I95" s="40" t="n"/>
      <c r="J95" s="40" t="n"/>
      <c r="K95" s="39" t="n"/>
      <c r="L95" s="41">
        <f>IF(AND(F95&lt;&gt;"",K95&lt;&gt;"Paid",K95&lt;&gt;"Closed unpaid"),Settings!$C$27-(TODAY()-F95),"")</f>
        <v/>
      </c>
      <c r="M95" s="42">
        <f>IF(I95&gt;0,J95/I95,"")</f>
        <v/>
      </c>
      <c r="N95" s="39" t="n"/>
    </row>
    <row r="96">
      <c r="A96" s="38" t="n"/>
      <c r="B96" s="39" t="n"/>
      <c r="C96" s="39" t="n"/>
      <c r="D96" s="39" t="n"/>
      <c r="E96" s="39" t="n"/>
      <c r="F96" s="38" t="n"/>
      <c r="G96" s="39" t="n"/>
      <c r="H96" s="39" t="n"/>
      <c r="I96" s="40" t="n"/>
      <c r="J96" s="40" t="n"/>
      <c r="K96" s="39" t="n"/>
      <c r="L96" s="41">
        <f>IF(AND(F96&lt;&gt;"",K96&lt;&gt;"Paid",K96&lt;&gt;"Closed unpaid"),Settings!$C$27-(TODAY()-F96),"")</f>
        <v/>
      </c>
      <c r="M96" s="42">
        <f>IF(I96&gt;0,J96/I96,"")</f>
        <v/>
      </c>
      <c r="N96" s="39" t="n"/>
    </row>
    <row r="97">
      <c r="A97" s="38" t="n"/>
      <c r="B97" s="39" t="n"/>
      <c r="C97" s="39" t="n"/>
      <c r="D97" s="39" t="n"/>
      <c r="E97" s="39" t="n"/>
      <c r="F97" s="38" t="n"/>
      <c r="G97" s="39" t="n"/>
      <c r="H97" s="39" t="n"/>
      <c r="I97" s="40" t="n"/>
      <c r="J97" s="40" t="n"/>
      <c r="K97" s="39" t="n"/>
      <c r="L97" s="41">
        <f>IF(AND(F97&lt;&gt;"",K97&lt;&gt;"Paid",K97&lt;&gt;"Closed unpaid"),Settings!$C$27-(TODAY()-F97),"")</f>
        <v/>
      </c>
      <c r="M97" s="42">
        <f>IF(I97&gt;0,J97/I97,"")</f>
        <v/>
      </c>
      <c r="N97" s="39" t="n"/>
    </row>
    <row r="98">
      <c r="A98" s="38" t="n"/>
      <c r="B98" s="39" t="n"/>
      <c r="C98" s="39" t="n"/>
      <c r="D98" s="39" t="n"/>
      <c r="E98" s="39" t="n"/>
      <c r="F98" s="38" t="n"/>
      <c r="G98" s="39" t="n"/>
      <c r="H98" s="39" t="n"/>
      <c r="I98" s="40" t="n"/>
      <c r="J98" s="40" t="n"/>
      <c r="K98" s="39" t="n"/>
      <c r="L98" s="41">
        <f>IF(AND(F98&lt;&gt;"",K98&lt;&gt;"Paid",K98&lt;&gt;"Closed unpaid"),Settings!$C$27-(TODAY()-F98),"")</f>
        <v/>
      </c>
      <c r="M98" s="42">
        <f>IF(I98&gt;0,J98/I98,"")</f>
        <v/>
      </c>
      <c r="N98" s="39" t="n"/>
    </row>
    <row r="99">
      <c r="A99" s="38" t="n"/>
      <c r="B99" s="39" t="n"/>
      <c r="C99" s="39" t="n"/>
      <c r="D99" s="39" t="n"/>
      <c r="E99" s="39" t="n"/>
      <c r="F99" s="38" t="n"/>
      <c r="G99" s="39" t="n"/>
      <c r="H99" s="39" t="n"/>
      <c r="I99" s="40" t="n"/>
      <c r="J99" s="40" t="n"/>
      <c r="K99" s="39" t="n"/>
      <c r="L99" s="41">
        <f>IF(AND(F99&lt;&gt;"",K99&lt;&gt;"Paid",K99&lt;&gt;"Closed unpaid"),Settings!$C$27-(TODAY()-F99),"")</f>
        <v/>
      </c>
      <c r="M99" s="42">
        <f>IF(I99&gt;0,J99/I99,"")</f>
        <v/>
      </c>
      <c r="N99" s="39" t="n"/>
    </row>
    <row r="100">
      <c r="A100" s="38" t="n"/>
      <c r="B100" s="39" t="n"/>
      <c r="C100" s="39" t="n"/>
      <c r="D100" s="39" t="n"/>
      <c r="E100" s="39" t="n"/>
      <c r="F100" s="38" t="n"/>
      <c r="G100" s="39" t="n"/>
      <c r="H100" s="39" t="n"/>
      <c r="I100" s="40" t="n"/>
      <c r="J100" s="40" t="n"/>
      <c r="K100" s="39" t="n"/>
      <c r="L100" s="41">
        <f>IF(AND(F100&lt;&gt;"",K100&lt;&gt;"Paid",K100&lt;&gt;"Closed unpaid"),Settings!$C$27-(TODAY()-F100),"")</f>
        <v/>
      </c>
      <c r="M100" s="42">
        <f>IF(I100&gt;0,J100/I100,"")</f>
        <v/>
      </c>
      <c r="N100" s="39" t="n"/>
    </row>
    <row r="101">
      <c r="A101" s="38" t="n"/>
      <c r="B101" s="39" t="n"/>
      <c r="C101" s="39" t="n"/>
      <c r="D101" s="39" t="n"/>
      <c r="E101" s="39" t="n"/>
      <c r="F101" s="38" t="n"/>
      <c r="G101" s="39" t="n"/>
      <c r="H101" s="39" t="n"/>
      <c r="I101" s="40" t="n"/>
      <c r="J101" s="40" t="n"/>
      <c r="K101" s="39" t="n"/>
      <c r="L101" s="41">
        <f>IF(AND(F101&lt;&gt;"",K101&lt;&gt;"Paid",K101&lt;&gt;"Closed unpaid"),Settings!$C$27-(TODAY()-F101),"")</f>
        <v/>
      </c>
      <c r="M101" s="42">
        <f>IF(I101&gt;0,J101/I101,"")</f>
        <v/>
      </c>
      <c r="N101" s="39" t="n"/>
    </row>
    <row r="102">
      <c r="A102" s="38" t="n"/>
      <c r="B102" s="39" t="n"/>
      <c r="C102" s="39" t="n"/>
      <c r="D102" s="39" t="n"/>
      <c r="E102" s="39" t="n"/>
      <c r="F102" s="38" t="n"/>
      <c r="G102" s="39" t="n"/>
      <c r="H102" s="39" t="n"/>
      <c r="I102" s="40" t="n"/>
      <c r="J102" s="40" t="n"/>
      <c r="K102" s="39" t="n"/>
      <c r="L102" s="41">
        <f>IF(AND(F102&lt;&gt;"",K102&lt;&gt;"Paid",K102&lt;&gt;"Closed unpaid"),Settings!$C$27-(TODAY()-F102),"")</f>
        <v/>
      </c>
      <c r="M102" s="42">
        <f>IF(I102&gt;0,J102/I102,"")</f>
        <v/>
      </c>
      <c r="N102" s="39" t="n"/>
    </row>
    <row r="103">
      <c r="A103" s="38" t="n"/>
      <c r="B103" s="39" t="n"/>
      <c r="C103" s="39" t="n"/>
      <c r="D103" s="39" t="n"/>
      <c r="E103" s="39" t="n"/>
      <c r="F103" s="38" t="n"/>
      <c r="G103" s="39" t="n"/>
      <c r="H103" s="39" t="n"/>
      <c r="I103" s="40" t="n"/>
      <c r="J103" s="40" t="n"/>
      <c r="K103" s="39" t="n"/>
      <c r="L103" s="41">
        <f>IF(AND(F103&lt;&gt;"",K103&lt;&gt;"Paid",K103&lt;&gt;"Closed unpaid"),Settings!$C$27-(TODAY()-F103),"")</f>
        <v/>
      </c>
      <c r="M103" s="42">
        <f>IF(I103&gt;0,J103/I103,"")</f>
        <v/>
      </c>
      <c r="N103" s="39" t="n"/>
    </row>
    <row r="104">
      <c r="A104" s="38" t="n"/>
      <c r="B104" s="39" t="n"/>
      <c r="C104" s="39" t="n"/>
      <c r="D104" s="39" t="n"/>
      <c r="E104" s="39" t="n"/>
      <c r="F104" s="38" t="n"/>
      <c r="G104" s="39" t="n"/>
      <c r="H104" s="39" t="n"/>
      <c r="I104" s="40" t="n"/>
      <c r="J104" s="40" t="n"/>
      <c r="K104" s="39" t="n"/>
      <c r="L104" s="41">
        <f>IF(AND(F104&lt;&gt;"",K104&lt;&gt;"Paid",K104&lt;&gt;"Closed unpaid"),Settings!$C$27-(TODAY()-F104),"")</f>
        <v/>
      </c>
      <c r="M104" s="42">
        <f>IF(I104&gt;0,J104/I104,"")</f>
        <v/>
      </c>
      <c r="N104" s="39" t="n"/>
    </row>
    <row r="105">
      <c r="A105" s="38" t="n"/>
      <c r="B105" s="39" t="n"/>
      <c r="C105" s="39" t="n"/>
      <c r="D105" s="39" t="n"/>
      <c r="E105" s="39" t="n"/>
      <c r="F105" s="38" t="n"/>
      <c r="G105" s="39" t="n"/>
      <c r="H105" s="39" t="n"/>
      <c r="I105" s="40" t="n"/>
      <c r="J105" s="40" t="n"/>
      <c r="K105" s="39" t="n"/>
      <c r="L105" s="41">
        <f>IF(AND(F105&lt;&gt;"",K105&lt;&gt;"Paid",K105&lt;&gt;"Closed unpaid"),Settings!$C$27-(TODAY()-F105),"")</f>
        <v/>
      </c>
      <c r="M105" s="42">
        <f>IF(I105&gt;0,J105/I105,"")</f>
        <v/>
      </c>
      <c r="N105" s="39" t="n"/>
    </row>
    <row r="106">
      <c r="A106" s="38" t="n"/>
      <c r="B106" s="39" t="n"/>
      <c r="C106" s="39" t="n"/>
      <c r="D106" s="39" t="n"/>
      <c r="E106" s="39" t="n"/>
      <c r="F106" s="38" t="n"/>
      <c r="G106" s="39" t="n"/>
      <c r="H106" s="39" t="n"/>
      <c r="I106" s="40" t="n"/>
      <c r="J106" s="40" t="n"/>
      <c r="K106" s="39" t="n"/>
      <c r="L106" s="41">
        <f>IF(AND(F106&lt;&gt;"",K106&lt;&gt;"Paid",K106&lt;&gt;"Closed unpaid"),Settings!$C$27-(TODAY()-F106),"")</f>
        <v/>
      </c>
      <c r="M106" s="42">
        <f>IF(I106&gt;0,J106/I106,"")</f>
        <v/>
      </c>
      <c r="N106" s="39" t="n"/>
    </row>
    <row r="107">
      <c r="A107" s="38" t="n"/>
      <c r="B107" s="39" t="n"/>
      <c r="C107" s="39" t="n"/>
      <c r="D107" s="39" t="n"/>
      <c r="E107" s="39" t="n"/>
      <c r="F107" s="38" t="n"/>
      <c r="G107" s="39" t="n"/>
      <c r="H107" s="39" t="n"/>
      <c r="I107" s="40" t="n"/>
      <c r="J107" s="40" t="n"/>
      <c r="K107" s="39" t="n"/>
      <c r="L107" s="41">
        <f>IF(AND(F107&lt;&gt;"",K107&lt;&gt;"Paid",K107&lt;&gt;"Closed unpaid"),Settings!$C$27-(TODAY()-F107),"")</f>
        <v/>
      </c>
      <c r="M107" s="42">
        <f>IF(I107&gt;0,J107/I107,"")</f>
        <v/>
      </c>
      <c r="N107" s="39" t="n"/>
    </row>
    <row r="108">
      <c r="A108" s="38" t="n"/>
      <c r="B108" s="39" t="n"/>
      <c r="C108" s="39" t="n"/>
      <c r="D108" s="39" t="n"/>
      <c r="E108" s="39" t="n"/>
      <c r="F108" s="38" t="n"/>
      <c r="G108" s="39" t="n"/>
      <c r="H108" s="39" t="n"/>
      <c r="I108" s="40" t="n"/>
      <c r="J108" s="40" t="n"/>
      <c r="K108" s="39" t="n"/>
      <c r="L108" s="41">
        <f>IF(AND(F108&lt;&gt;"",K108&lt;&gt;"Paid",K108&lt;&gt;"Closed unpaid"),Settings!$C$27-(TODAY()-F108),"")</f>
        <v/>
      </c>
      <c r="M108" s="42">
        <f>IF(I108&gt;0,J108/I108,"")</f>
        <v/>
      </c>
      <c r="N108" s="39" t="n"/>
    </row>
    <row r="109">
      <c r="A109" s="38" t="n"/>
      <c r="B109" s="39" t="n"/>
      <c r="C109" s="39" t="n"/>
      <c r="D109" s="39" t="n"/>
      <c r="E109" s="39" t="n"/>
      <c r="F109" s="38" t="n"/>
      <c r="G109" s="39" t="n"/>
      <c r="H109" s="39" t="n"/>
      <c r="I109" s="40" t="n"/>
      <c r="J109" s="40" t="n"/>
      <c r="K109" s="39" t="n"/>
      <c r="L109" s="41">
        <f>IF(AND(F109&lt;&gt;"",K109&lt;&gt;"Paid",K109&lt;&gt;"Closed unpaid"),Settings!$C$27-(TODAY()-F109),"")</f>
        <v/>
      </c>
      <c r="M109" s="42">
        <f>IF(I109&gt;0,J109/I109,"")</f>
        <v/>
      </c>
      <c r="N109" s="39" t="n"/>
    </row>
    <row r="110">
      <c r="A110" s="38" t="n"/>
      <c r="B110" s="39" t="n"/>
      <c r="C110" s="39" t="n"/>
      <c r="D110" s="39" t="n"/>
      <c r="E110" s="39" t="n"/>
      <c r="F110" s="38" t="n"/>
      <c r="G110" s="39" t="n"/>
      <c r="H110" s="39" t="n"/>
      <c r="I110" s="40" t="n"/>
      <c r="J110" s="40" t="n"/>
      <c r="K110" s="39" t="n"/>
      <c r="L110" s="41">
        <f>IF(AND(F110&lt;&gt;"",K110&lt;&gt;"Paid",K110&lt;&gt;"Closed unpaid"),Settings!$C$27-(TODAY()-F110),"")</f>
        <v/>
      </c>
      <c r="M110" s="42">
        <f>IF(I110&gt;0,J110/I110,"")</f>
        <v/>
      </c>
      <c r="N110" s="39" t="n"/>
    </row>
    <row r="111">
      <c r="A111" s="38" t="n"/>
      <c r="B111" s="39" t="n"/>
      <c r="C111" s="39" t="n"/>
      <c r="D111" s="39" t="n"/>
      <c r="E111" s="39" t="n"/>
      <c r="F111" s="38" t="n"/>
      <c r="G111" s="39" t="n"/>
      <c r="H111" s="39" t="n"/>
      <c r="I111" s="40" t="n"/>
      <c r="J111" s="40" t="n"/>
      <c r="K111" s="39" t="n"/>
      <c r="L111" s="41">
        <f>IF(AND(F111&lt;&gt;"",K111&lt;&gt;"Paid",K111&lt;&gt;"Closed unpaid"),Settings!$C$27-(TODAY()-F111),"")</f>
        <v/>
      </c>
      <c r="M111" s="42">
        <f>IF(I111&gt;0,J111/I111,"")</f>
        <v/>
      </c>
      <c r="N111" s="39" t="n"/>
    </row>
    <row r="112">
      <c r="A112" s="38" t="n"/>
      <c r="B112" s="39" t="n"/>
      <c r="C112" s="39" t="n"/>
      <c r="D112" s="39" t="n"/>
      <c r="E112" s="39" t="n"/>
      <c r="F112" s="38" t="n"/>
      <c r="G112" s="39" t="n"/>
      <c r="H112" s="39" t="n"/>
      <c r="I112" s="40" t="n"/>
      <c r="J112" s="40" t="n"/>
      <c r="K112" s="39" t="n"/>
      <c r="L112" s="41">
        <f>IF(AND(F112&lt;&gt;"",K112&lt;&gt;"Paid",K112&lt;&gt;"Closed unpaid"),Settings!$C$27-(TODAY()-F112),"")</f>
        <v/>
      </c>
      <c r="M112" s="42">
        <f>IF(I112&gt;0,J112/I112,"")</f>
        <v/>
      </c>
      <c r="N112" s="39" t="n"/>
    </row>
    <row r="113">
      <c r="A113" s="38" t="n"/>
      <c r="B113" s="39" t="n"/>
      <c r="C113" s="39" t="n"/>
      <c r="D113" s="39" t="n"/>
      <c r="E113" s="39" t="n"/>
      <c r="F113" s="38" t="n"/>
      <c r="G113" s="39" t="n"/>
      <c r="H113" s="39" t="n"/>
      <c r="I113" s="40" t="n"/>
      <c r="J113" s="40" t="n"/>
      <c r="K113" s="39" t="n"/>
      <c r="L113" s="41">
        <f>IF(AND(F113&lt;&gt;"",K113&lt;&gt;"Paid",K113&lt;&gt;"Closed unpaid"),Settings!$C$27-(TODAY()-F113),"")</f>
        <v/>
      </c>
      <c r="M113" s="42">
        <f>IF(I113&gt;0,J113/I113,"")</f>
        <v/>
      </c>
      <c r="N113" s="39" t="n"/>
    </row>
    <row r="114">
      <c r="A114" s="38" t="n"/>
      <c r="B114" s="39" t="n"/>
      <c r="C114" s="39" t="n"/>
      <c r="D114" s="39" t="n"/>
      <c r="E114" s="39" t="n"/>
      <c r="F114" s="38" t="n"/>
      <c r="G114" s="39" t="n"/>
      <c r="H114" s="39" t="n"/>
      <c r="I114" s="40" t="n"/>
      <c r="J114" s="40" t="n"/>
      <c r="K114" s="39" t="n"/>
      <c r="L114" s="41">
        <f>IF(AND(F114&lt;&gt;"",K114&lt;&gt;"Paid",K114&lt;&gt;"Closed unpaid"),Settings!$C$27-(TODAY()-F114),"")</f>
        <v/>
      </c>
      <c r="M114" s="42">
        <f>IF(I114&gt;0,J114/I114,"")</f>
        <v/>
      </c>
      <c r="N114" s="39" t="n"/>
    </row>
    <row r="115">
      <c r="A115" s="38" t="n"/>
      <c r="B115" s="39" t="n"/>
      <c r="C115" s="39" t="n"/>
      <c r="D115" s="39" t="n"/>
      <c r="E115" s="39" t="n"/>
      <c r="F115" s="38" t="n"/>
      <c r="G115" s="39" t="n"/>
      <c r="H115" s="39" t="n"/>
      <c r="I115" s="40" t="n"/>
      <c r="J115" s="40" t="n"/>
      <c r="K115" s="39" t="n"/>
      <c r="L115" s="41">
        <f>IF(AND(F115&lt;&gt;"",K115&lt;&gt;"Paid",K115&lt;&gt;"Closed unpaid"),Settings!$C$27-(TODAY()-F115),"")</f>
        <v/>
      </c>
      <c r="M115" s="42">
        <f>IF(I115&gt;0,J115/I115,"")</f>
        <v/>
      </c>
      <c r="N115" s="39" t="n"/>
    </row>
    <row r="116">
      <c r="A116" s="38" t="n"/>
      <c r="B116" s="39" t="n"/>
      <c r="C116" s="39" t="n"/>
      <c r="D116" s="39" t="n"/>
      <c r="E116" s="39" t="n"/>
      <c r="F116" s="38" t="n"/>
      <c r="G116" s="39" t="n"/>
      <c r="H116" s="39" t="n"/>
      <c r="I116" s="40" t="n"/>
      <c r="J116" s="40" t="n"/>
      <c r="K116" s="39" t="n"/>
      <c r="L116" s="41">
        <f>IF(AND(F116&lt;&gt;"",K116&lt;&gt;"Paid",K116&lt;&gt;"Closed unpaid"),Settings!$C$27-(TODAY()-F116),"")</f>
        <v/>
      </c>
      <c r="M116" s="42">
        <f>IF(I116&gt;0,J116/I116,"")</f>
        <v/>
      </c>
      <c r="N116" s="39" t="n"/>
    </row>
    <row r="117">
      <c r="A117" s="38" t="n"/>
      <c r="B117" s="39" t="n"/>
      <c r="C117" s="39" t="n"/>
      <c r="D117" s="39" t="n"/>
      <c r="E117" s="39" t="n"/>
      <c r="F117" s="38" t="n"/>
      <c r="G117" s="39" t="n"/>
      <c r="H117" s="39" t="n"/>
      <c r="I117" s="40" t="n"/>
      <c r="J117" s="40" t="n"/>
      <c r="K117" s="39" t="n"/>
      <c r="L117" s="41">
        <f>IF(AND(F117&lt;&gt;"",K117&lt;&gt;"Paid",K117&lt;&gt;"Closed unpaid"),Settings!$C$27-(TODAY()-F117),"")</f>
        <v/>
      </c>
      <c r="M117" s="42">
        <f>IF(I117&gt;0,J117/I117,"")</f>
        <v/>
      </c>
      <c r="N117" s="39" t="n"/>
    </row>
    <row r="118">
      <c r="A118" s="38" t="n"/>
      <c r="B118" s="39" t="n"/>
      <c r="C118" s="39" t="n"/>
      <c r="D118" s="39" t="n"/>
      <c r="E118" s="39" t="n"/>
      <c r="F118" s="38" t="n"/>
      <c r="G118" s="39" t="n"/>
      <c r="H118" s="39" t="n"/>
      <c r="I118" s="40" t="n"/>
      <c r="J118" s="40" t="n"/>
      <c r="K118" s="39" t="n"/>
      <c r="L118" s="41">
        <f>IF(AND(F118&lt;&gt;"",K118&lt;&gt;"Paid",K118&lt;&gt;"Closed unpaid"),Settings!$C$27-(TODAY()-F118),"")</f>
        <v/>
      </c>
      <c r="M118" s="42">
        <f>IF(I118&gt;0,J118/I118,"")</f>
        <v/>
      </c>
      <c r="N118" s="39" t="n"/>
    </row>
    <row r="119">
      <c r="A119" s="38" t="n"/>
      <c r="B119" s="39" t="n"/>
      <c r="C119" s="39" t="n"/>
      <c r="D119" s="39" t="n"/>
      <c r="E119" s="39" t="n"/>
      <c r="F119" s="38" t="n"/>
      <c r="G119" s="39" t="n"/>
      <c r="H119" s="39" t="n"/>
      <c r="I119" s="40" t="n"/>
      <c r="J119" s="40" t="n"/>
      <c r="K119" s="39" t="n"/>
      <c r="L119" s="41">
        <f>IF(AND(F119&lt;&gt;"",K119&lt;&gt;"Paid",K119&lt;&gt;"Closed unpaid"),Settings!$C$27-(TODAY()-F119),"")</f>
        <v/>
      </c>
      <c r="M119" s="42">
        <f>IF(I119&gt;0,J119/I119,"")</f>
        <v/>
      </c>
      <c r="N119" s="39" t="n"/>
    </row>
    <row r="120">
      <c r="A120" s="38" t="n"/>
      <c r="B120" s="39" t="n"/>
      <c r="C120" s="39" t="n"/>
      <c r="D120" s="39" t="n"/>
      <c r="E120" s="39" t="n"/>
      <c r="F120" s="38" t="n"/>
      <c r="G120" s="39" t="n"/>
      <c r="H120" s="39" t="n"/>
      <c r="I120" s="40" t="n"/>
      <c r="J120" s="40" t="n"/>
      <c r="K120" s="39" t="n"/>
      <c r="L120" s="41">
        <f>IF(AND(F120&lt;&gt;"",K120&lt;&gt;"Paid",K120&lt;&gt;"Closed unpaid"),Settings!$C$27-(TODAY()-F120),"")</f>
        <v/>
      </c>
      <c r="M120" s="42">
        <f>IF(I120&gt;0,J120/I120,"")</f>
        <v/>
      </c>
      <c r="N120" s="39" t="n"/>
    </row>
    <row r="121">
      <c r="A121" s="38" t="n"/>
      <c r="B121" s="39" t="n"/>
      <c r="C121" s="39" t="n"/>
      <c r="D121" s="39" t="n"/>
      <c r="E121" s="39" t="n"/>
      <c r="F121" s="38" t="n"/>
      <c r="G121" s="39" t="n"/>
      <c r="H121" s="39" t="n"/>
      <c r="I121" s="40" t="n"/>
      <c r="J121" s="40" t="n"/>
      <c r="K121" s="39" t="n"/>
      <c r="L121" s="41">
        <f>IF(AND(F121&lt;&gt;"",K121&lt;&gt;"Paid",K121&lt;&gt;"Closed unpaid"),Settings!$C$27-(TODAY()-F121),"")</f>
        <v/>
      </c>
      <c r="M121" s="42">
        <f>IF(I121&gt;0,J121/I121,"")</f>
        <v/>
      </c>
      <c r="N121" s="39" t="n"/>
    </row>
    <row r="122">
      <c r="A122" s="38" t="n"/>
      <c r="B122" s="39" t="n"/>
      <c r="C122" s="39" t="n"/>
      <c r="D122" s="39" t="n"/>
      <c r="E122" s="39" t="n"/>
      <c r="F122" s="38" t="n"/>
      <c r="G122" s="39" t="n"/>
      <c r="H122" s="39" t="n"/>
      <c r="I122" s="40" t="n"/>
      <c r="J122" s="40" t="n"/>
      <c r="K122" s="39" t="n"/>
      <c r="L122" s="41">
        <f>IF(AND(F122&lt;&gt;"",K122&lt;&gt;"Paid",K122&lt;&gt;"Closed unpaid"),Settings!$C$27-(TODAY()-F122),"")</f>
        <v/>
      </c>
      <c r="M122" s="42">
        <f>IF(I122&gt;0,J122/I122,"")</f>
        <v/>
      </c>
      <c r="N122" s="39" t="n"/>
    </row>
    <row r="123">
      <c r="A123" s="38" t="n"/>
      <c r="B123" s="39" t="n"/>
      <c r="C123" s="39" t="n"/>
      <c r="D123" s="39" t="n"/>
      <c r="E123" s="39" t="n"/>
      <c r="F123" s="38" t="n"/>
      <c r="G123" s="39" t="n"/>
      <c r="H123" s="39" t="n"/>
      <c r="I123" s="40" t="n"/>
      <c r="J123" s="40" t="n"/>
      <c r="K123" s="39" t="n"/>
      <c r="L123" s="41">
        <f>IF(AND(F123&lt;&gt;"",K123&lt;&gt;"Paid",K123&lt;&gt;"Closed unpaid"),Settings!$C$27-(TODAY()-F123),"")</f>
        <v/>
      </c>
      <c r="M123" s="42">
        <f>IF(I123&gt;0,J123/I123,"")</f>
        <v/>
      </c>
      <c r="N123" s="39" t="n"/>
    </row>
    <row r="124">
      <c r="A124" s="38" t="n"/>
      <c r="B124" s="39" t="n"/>
      <c r="C124" s="39" t="n"/>
      <c r="D124" s="39" t="n"/>
      <c r="E124" s="39" t="n"/>
      <c r="F124" s="38" t="n"/>
      <c r="G124" s="39" t="n"/>
      <c r="H124" s="39" t="n"/>
      <c r="I124" s="40" t="n"/>
      <c r="J124" s="40" t="n"/>
      <c r="K124" s="39" t="n"/>
      <c r="L124" s="41">
        <f>IF(AND(F124&lt;&gt;"",K124&lt;&gt;"Paid",K124&lt;&gt;"Closed unpaid"),Settings!$C$27-(TODAY()-F124),"")</f>
        <v/>
      </c>
      <c r="M124" s="42">
        <f>IF(I124&gt;0,J124/I124,"")</f>
        <v/>
      </c>
      <c r="N124" s="39" t="n"/>
    </row>
    <row r="125">
      <c r="A125" s="38" t="n"/>
      <c r="B125" s="39" t="n"/>
      <c r="C125" s="39" t="n"/>
      <c r="D125" s="39" t="n"/>
      <c r="E125" s="39" t="n"/>
      <c r="F125" s="38" t="n"/>
      <c r="G125" s="39" t="n"/>
      <c r="H125" s="39" t="n"/>
      <c r="I125" s="40" t="n"/>
      <c r="J125" s="40" t="n"/>
      <c r="K125" s="39" t="n"/>
      <c r="L125" s="41">
        <f>IF(AND(F125&lt;&gt;"",K125&lt;&gt;"Paid",K125&lt;&gt;"Closed unpaid"),Settings!$C$27-(TODAY()-F125),"")</f>
        <v/>
      </c>
      <c r="M125" s="42">
        <f>IF(I125&gt;0,J125/I125,"")</f>
        <v/>
      </c>
      <c r="N125" s="39" t="n"/>
    </row>
    <row r="126">
      <c r="A126" s="38" t="n"/>
      <c r="B126" s="39" t="n"/>
      <c r="C126" s="39" t="n"/>
      <c r="D126" s="39" t="n"/>
      <c r="E126" s="39" t="n"/>
      <c r="F126" s="38" t="n"/>
      <c r="G126" s="39" t="n"/>
      <c r="H126" s="39" t="n"/>
      <c r="I126" s="40" t="n"/>
      <c r="J126" s="40" t="n"/>
      <c r="K126" s="39" t="n"/>
      <c r="L126" s="41">
        <f>IF(AND(F126&lt;&gt;"",K126&lt;&gt;"Paid",K126&lt;&gt;"Closed unpaid"),Settings!$C$27-(TODAY()-F126),"")</f>
        <v/>
      </c>
      <c r="M126" s="42">
        <f>IF(I126&gt;0,J126/I126,"")</f>
        <v/>
      </c>
      <c r="N126" s="39" t="n"/>
    </row>
    <row r="127">
      <c r="A127" s="38" t="n"/>
      <c r="B127" s="39" t="n"/>
      <c r="C127" s="39" t="n"/>
      <c r="D127" s="39" t="n"/>
      <c r="E127" s="39" t="n"/>
      <c r="F127" s="38" t="n"/>
      <c r="G127" s="39" t="n"/>
      <c r="H127" s="39" t="n"/>
      <c r="I127" s="40" t="n"/>
      <c r="J127" s="40" t="n"/>
      <c r="K127" s="39" t="n"/>
      <c r="L127" s="41">
        <f>IF(AND(F127&lt;&gt;"",K127&lt;&gt;"Paid",K127&lt;&gt;"Closed unpaid"),Settings!$C$27-(TODAY()-F127),"")</f>
        <v/>
      </c>
      <c r="M127" s="42">
        <f>IF(I127&gt;0,J127/I127,"")</f>
        <v/>
      </c>
      <c r="N127" s="39" t="n"/>
    </row>
    <row r="128">
      <c r="A128" s="38" t="n"/>
      <c r="B128" s="39" t="n"/>
      <c r="C128" s="39" t="n"/>
      <c r="D128" s="39" t="n"/>
      <c r="E128" s="39" t="n"/>
      <c r="F128" s="38" t="n"/>
      <c r="G128" s="39" t="n"/>
      <c r="H128" s="39" t="n"/>
      <c r="I128" s="40" t="n"/>
      <c r="J128" s="40" t="n"/>
      <c r="K128" s="39" t="n"/>
      <c r="L128" s="41">
        <f>IF(AND(F128&lt;&gt;"",K128&lt;&gt;"Paid",K128&lt;&gt;"Closed unpaid"),Settings!$C$27-(TODAY()-F128),"")</f>
        <v/>
      </c>
      <c r="M128" s="42">
        <f>IF(I128&gt;0,J128/I128,"")</f>
        <v/>
      </c>
      <c r="N128" s="39" t="n"/>
    </row>
    <row r="129">
      <c r="A129" s="38" t="n"/>
      <c r="B129" s="39" t="n"/>
      <c r="C129" s="39" t="n"/>
      <c r="D129" s="39" t="n"/>
      <c r="E129" s="39" t="n"/>
      <c r="F129" s="38" t="n"/>
      <c r="G129" s="39" t="n"/>
      <c r="H129" s="39" t="n"/>
      <c r="I129" s="40" t="n"/>
      <c r="J129" s="40" t="n"/>
      <c r="K129" s="39" t="n"/>
      <c r="L129" s="41">
        <f>IF(AND(F129&lt;&gt;"",K129&lt;&gt;"Paid",K129&lt;&gt;"Closed unpaid"),Settings!$C$27-(TODAY()-F129),"")</f>
        <v/>
      </c>
      <c r="M129" s="42">
        <f>IF(I129&gt;0,J129/I129,"")</f>
        <v/>
      </c>
      <c r="N129" s="39" t="n"/>
    </row>
    <row r="130">
      <c r="A130" s="38" t="n"/>
      <c r="B130" s="39" t="n"/>
      <c r="C130" s="39" t="n"/>
      <c r="D130" s="39" t="n"/>
      <c r="E130" s="39" t="n"/>
      <c r="F130" s="38" t="n"/>
      <c r="G130" s="39" t="n"/>
      <c r="H130" s="39" t="n"/>
      <c r="I130" s="40" t="n"/>
      <c r="J130" s="40" t="n"/>
      <c r="K130" s="39" t="n"/>
      <c r="L130" s="41">
        <f>IF(AND(F130&lt;&gt;"",K130&lt;&gt;"Paid",K130&lt;&gt;"Closed unpaid"),Settings!$C$27-(TODAY()-F130),"")</f>
        <v/>
      </c>
      <c r="M130" s="42">
        <f>IF(I130&gt;0,J130/I130,"")</f>
        <v/>
      </c>
      <c r="N130" s="39" t="n"/>
    </row>
    <row r="131">
      <c r="A131" s="38" t="n"/>
      <c r="B131" s="39" t="n"/>
      <c r="C131" s="39" t="n"/>
      <c r="D131" s="39" t="n"/>
      <c r="E131" s="39" t="n"/>
      <c r="F131" s="38" t="n"/>
      <c r="G131" s="39" t="n"/>
      <c r="H131" s="39" t="n"/>
      <c r="I131" s="40" t="n"/>
      <c r="J131" s="40" t="n"/>
      <c r="K131" s="39" t="n"/>
      <c r="L131" s="41">
        <f>IF(AND(F131&lt;&gt;"",K131&lt;&gt;"Paid",K131&lt;&gt;"Closed unpaid"),Settings!$C$27-(TODAY()-F131),"")</f>
        <v/>
      </c>
      <c r="M131" s="42">
        <f>IF(I131&gt;0,J131/I131,"")</f>
        <v/>
      </c>
      <c r="N131" s="39" t="n"/>
    </row>
    <row r="132">
      <c r="A132" s="38" t="n"/>
      <c r="B132" s="39" t="n"/>
      <c r="C132" s="39" t="n"/>
      <c r="D132" s="39" t="n"/>
      <c r="E132" s="39" t="n"/>
      <c r="F132" s="38" t="n"/>
      <c r="G132" s="39" t="n"/>
      <c r="H132" s="39" t="n"/>
      <c r="I132" s="40" t="n"/>
      <c r="J132" s="40" t="n"/>
      <c r="K132" s="39" t="n"/>
      <c r="L132" s="41">
        <f>IF(AND(F132&lt;&gt;"",K132&lt;&gt;"Paid",K132&lt;&gt;"Closed unpaid"),Settings!$C$27-(TODAY()-F132),"")</f>
        <v/>
      </c>
      <c r="M132" s="42">
        <f>IF(I132&gt;0,J132/I132,"")</f>
        <v/>
      </c>
      <c r="N132" s="39" t="n"/>
    </row>
    <row r="133">
      <c r="A133" s="38" t="n"/>
      <c r="B133" s="39" t="n"/>
      <c r="C133" s="39" t="n"/>
      <c r="D133" s="39" t="n"/>
      <c r="E133" s="39" t="n"/>
      <c r="F133" s="38" t="n"/>
      <c r="G133" s="39" t="n"/>
      <c r="H133" s="39" t="n"/>
      <c r="I133" s="40" t="n"/>
      <c r="J133" s="40" t="n"/>
      <c r="K133" s="39" t="n"/>
      <c r="L133" s="41">
        <f>IF(AND(F133&lt;&gt;"",K133&lt;&gt;"Paid",K133&lt;&gt;"Closed unpaid"),Settings!$C$27-(TODAY()-F133),"")</f>
        <v/>
      </c>
      <c r="M133" s="42">
        <f>IF(I133&gt;0,J133/I133,"")</f>
        <v/>
      </c>
      <c r="N133" s="39" t="n"/>
    </row>
    <row r="134">
      <c r="A134" s="38" t="n"/>
      <c r="B134" s="39" t="n"/>
      <c r="C134" s="39" t="n"/>
      <c r="D134" s="39" t="n"/>
      <c r="E134" s="39" t="n"/>
      <c r="F134" s="38" t="n"/>
      <c r="G134" s="39" t="n"/>
      <c r="H134" s="39" t="n"/>
      <c r="I134" s="40" t="n"/>
      <c r="J134" s="40" t="n"/>
      <c r="K134" s="39" t="n"/>
      <c r="L134" s="41">
        <f>IF(AND(F134&lt;&gt;"",K134&lt;&gt;"Paid",K134&lt;&gt;"Closed unpaid"),Settings!$C$27-(TODAY()-F134),"")</f>
        <v/>
      </c>
      <c r="M134" s="42">
        <f>IF(I134&gt;0,J134/I134,"")</f>
        <v/>
      </c>
      <c r="N134" s="39" t="n"/>
    </row>
    <row r="135">
      <c r="A135" s="38" t="n"/>
      <c r="B135" s="39" t="n"/>
      <c r="C135" s="39" t="n"/>
      <c r="D135" s="39" t="n"/>
      <c r="E135" s="39" t="n"/>
      <c r="F135" s="38" t="n"/>
      <c r="G135" s="39" t="n"/>
      <c r="H135" s="39" t="n"/>
      <c r="I135" s="40" t="n"/>
      <c r="J135" s="40" t="n"/>
      <c r="K135" s="39" t="n"/>
      <c r="L135" s="41">
        <f>IF(AND(F135&lt;&gt;"",K135&lt;&gt;"Paid",K135&lt;&gt;"Closed unpaid"),Settings!$C$27-(TODAY()-F135),"")</f>
        <v/>
      </c>
      <c r="M135" s="42">
        <f>IF(I135&gt;0,J135/I135,"")</f>
        <v/>
      </c>
      <c r="N135" s="39" t="n"/>
    </row>
    <row r="136">
      <c r="A136" s="38" t="n"/>
      <c r="B136" s="39" t="n"/>
      <c r="C136" s="39" t="n"/>
      <c r="D136" s="39" t="n"/>
      <c r="E136" s="39" t="n"/>
      <c r="F136" s="38" t="n"/>
      <c r="G136" s="39" t="n"/>
      <c r="H136" s="39" t="n"/>
      <c r="I136" s="40" t="n"/>
      <c r="J136" s="40" t="n"/>
      <c r="K136" s="39" t="n"/>
      <c r="L136" s="41">
        <f>IF(AND(F136&lt;&gt;"",K136&lt;&gt;"Paid",K136&lt;&gt;"Closed unpaid"),Settings!$C$27-(TODAY()-F136),"")</f>
        <v/>
      </c>
      <c r="M136" s="42">
        <f>IF(I136&gt;0,J136/I136,"")</f>
        <v/>
      </c>
      <c r="N136" s="39" t="n"/>
    </row>
    <row r="137">
      <c r="A137" s="38" t="n"/>
      <c r="B137" s="39" t="n"/>
      <c r="C137" s="39" t="n"/>
      <c r="D137" s="39" t="n"/>
      <c r="E137" s="39" t="n"/>
      <c r="F137" s="38" t="n"/>
      <c r="G137" s="39" t="n"/>
      <c r="H137" s="39" t="n"/>
      <c r="I137" s="40" t="n"/>
      <c r="J137" s="40" t="n"/>
      <c r="K137" s="39" t="n"/>
      <c r="L137" s="41">
        <f>IF(AND(F137&lt;&gt;"",K137&lt;&gt;"Paid",K137&lt;&gt;"Closed unpaid"),Settings!$C$27-(TODAY()-F137),"")</f>
        <v/>
      </c>
      <c r="M137" s="42">
        <f>IF(I137&gt;0,J137/I137,"")</f>
        <v/>
      </c>
      <c r="N137" s="39" t="n"/>
    </row>
    <row r="138">
      <c r="A138" s="38" t="n"/>
      <c r="B138" s="39" t="n"/>
      <c r="C138" s="39" t="n"/>
      <c r="D138" s="39" t="n"/>
      <c r="E138" s="39" t="n"/>
      <c r="F138" s="38" t="n"/>
      <c r="G138" s="39" t="n"/>
      <c r="H138" s="39" t="n"/>
      <c r="I138" s="40" t="n"/>
      <c r="J138" s="40" t="n"/>
      <c r="K138" s="39" t="n"/>
      <c r="L138" s="41">
        <f>IF(AND(F138&lt;&gt;"",K138&lt;&gt;"Paid",K138&lt;&gt;"Closed unpaid"),Settings!$C$27-(TODAY()-F138),"")</f>
        <v/>
      </c>
      <c r="M138" s="42">
        <f>IF(I138&gt;0,J138/I138,"")</f>
        <v/>
      </c>
      <c r="N138" s="39" t="n"/>
    </row>
    <row r="139">
      <c r="A139" s="38" t="n"/>
      <c r="B139" s="39" t="n"/>
      <c r="C139" s="39" t="n"/>
      <c r="D139" s="39" t="n"/>
      <c r="E139" s="39" t="n"/>
      <c r="F139" s="38" t="n"/>
      <c r="G139" s="39" t="n"/>
      <c r="H139" s="39" t="n"/>
      <c r="I139" s="40" t="n"/>
      <c r="J139" s="40" t="n"/>
      <c r="K139" s="39" t="n"/>
      <c r="L139" s="41">
        <f>IF(AND(F139&lt;&gt;"",K139&lt;&gt;"Paid",K139&lt;&gt;"Closed unpaid"),Settings!$C$27-(TODAY()-F139),"")</f>
        <v/>
      </c>
      <c r="M139" s="42">
        <f>IF(I139&gt;0,J139/I139,"")</f>
        <v/>
      </c>
      <c r="N139" s="39" t="n"/>
    </row>
    <row r="140">
      <c r="A140" s="38" t="n"/>
      <c r="B140" s="39" t="n"/>
      <c r="C140" s="39" t="n"/>
      <c r="D140" s="39" t="n"/>
      <c r="E140" s="39" t="n"/>
      <c r="F140" s="38" t="n"/>
      <c r="G140" s="39" t="n"/>
      <c r="H140" s="39" t="n"/>
      <c r="I140" s="40" t="n"/>
      <c r="J140" s="40" t="n"/>
      <c r="K140" s="39" t="n"/>
      <c r="L140" s="41">
        <f>IF(AND(F140&lt;&gt;"",K140&lt;&gt;"Paid",K140&lt;&gt;"Closed unpaid"),Settings!$C$27-(TODAY()-F140),"")</f>
        <v/>
      </c>
      <c r="M140" s="42">
        <f>IF(I140&gt;0,J140/I140,"")</f>
        <v/>
      </c>
      <c r="N140" s="39" t="n"/>
    </row>
    <row r="141">
      <c r="A141" s="38" t="n"/>
      <c r="B141" s="39" t="n"/>
      <c r="C141" s="39" t="n"/>
      <c r="D141" s="39" t="n"/>
      <c r="E141" s="39" t="n"/>
      <c r="F141" s="38" t="n"/>
      <c r="G141" s="39" t="n"/>
      <c r="H141" s="39" t="n"/>
      <c r="I141" s="40" t="n"/>
      <c r="J141" s="40" t="n"/>
      <c r="K141" s="39" t="n"/>
      <c r="L141" s="41">
        <f>IF(AND(F141&lt;&gt;"",K141&lt;&gt;"Paid",K141&lt;&gt;"Closed unpaid"),Settings!$C$27-(TODAY()-F141),"")</f>
        <v/>
      </c>
      <c r="M141" s="42">
        <f>IF(I141&gt;0,J141/I141,"")</f>
        <v/>
      </c>
      <c r="N141" s="39" t="n"/>
    </row>
    <row r="142">
      <c r="A142" s="38" t="n"/>
      <c r="B142" s="39" t="n"/>
      <c r="C142" s="39" t="n"/>
      <c r="D142" s="39" t="n"/>
      <c r="E142" s="39" t="n"/>
      <c r="F142" s="38" t="n"/>
      <c r="G142" s="39" t="n"/>
      <c r="H142" s="39" t="n"/>
      <c r="I142" s="40" t="n"/>
      <c r="J142" s="40" t="n"/>
      <c r="K142" s="39" t="n"/>
      <c r="L142" s="41">
        <f>IF(AND(F142&lt;&gt;"",K142&lt;&gt;"Paid",K142&lt;&gt;"Closed unpaid"),Settings!$C$27-(TODAY()-F142),"")</f>
        <v/>
      </c>
      <c r="M142" s="42">
        <f>IF(I142&gt;0,J142/I142,"")</f>
        <v/>
      </c>
      <c r="N142" s="39" t="n"/>
    </row>
    <row r="143">
      <c r="A143" s="38" t="n"/>
      <c r="B143" s="39" t="n"/>
      <c r="C143" s="39" t="n"/>
      <c r="D143" s="39" t="n"/>
      <c r="E143" s="39" t="n"/>
      <c r="F143" s="38" t="n"/>
      <c r="G143" s="39" t="n"/>
      <c r="H143" s="39" t="n"/>
      <c r="I143" s="40" t="n"/>
      <c r="J143" s="40" t="n"/>
      <c r="K143" s="39" t="n"/>
      <c r="L143" s="41">
        <f>IF(AND(F143&lt;&gt;"",K143&lt;&gt;"Paid",K143&lt;&gt;"Closed unpaid"),Settings!$C$27-(TODAY()-F143),"")</f>
        <v/>
      </c>
      <c r="M143" s="42">
        <f>IF(I143&gt;0,J143/I143,"")</f>
        <v/>
      </c>
      <c r="N143" s="39" t="n"/>
    </row>
    <row r="144">
      <c r="A144" s="38" t="n"/>
      <c r="B144" s="39" t="n"/>
      <c r="C144" s="39" t="n"/>
      <c r="D144" s="39" t="n"/>
      <c r="E144" s="39" t="n"/>
      <c r="F144" s="38" t="n"/>
      <c r="G144" s="39" t="n"/>
      <c r="H144" s="39" t="n"/>
      <c r="I144" s="40" t="n"/>
      <c r="J144" s="40" t="n"/>
      <c r="K144" s="39" t="n"/>
      <c r="L144" s="41">
        <f>IF(AND(F144&lt;&gt;"",K144&lt;&gt;"Paid",K144&lt;&gt;"Closed unpaid"),Settings!$C$27-(TODAY()-F144),"")</f>
        <v/>
      </c>
      <c r="M144" s="42">
        <f>IF(I144&gt;0,J144/I144,"")</f>
        <v/>
      </c>
      <c r="N144" s="39" t="n"/>
    </row>
    <row r="145">
      <c r="A145" s="38" t="n"/>
      <c r="B145" s="39" t="n"/>
      <c r="C145" s="39" t="n"/>
      <c r="D145" s="39" t="n"/>
      <c r="E145" s="39" t="n"/>
      <c r="F145" s="38" t="n"/>
      <c r="G145" s="39" t="n"/>
      <c r="H145" s="39" t="n"/>
      <c r="I145" s="40" t="n"/>
      <c r="J145" s="40" t="n"/>
      <c r="K145" s="39" t="n"/>
      <c r="L145" s="41">
        <f>IF(AND(F145&lt;&gt;"",K145&lt;&gt;"Paid",K145&lt;&gt;"Closed unpaid"),Settings!$C$27-(TODAY()-F145),"")</f>
        <v/>
      </c>
      <c r="M145" s="42">
        <f>IF(I145&gt;0,J145/I145,"")</f>
        <v/>
      </c>
      <c r="N145" s="39" t="n"/>
    </row>
    <row r="146">
      <c r="A146" s="38" t="n"/>
      <c r="B146" s="39" t="n"/>
      <c r="C146" s="39" t="n"/>
      <c r="D146" s="39" t="n"/>
      <c r="E146" s="39" t="n"/>
      <c r="F146" s="38" t="n"/>
      <c r="G146" s="39" t="n"/>
      <c r="H146" s="39" t="n"/>
      <c r="I146" s="40" t="n"/>
      <c r="J146" s="40" t="n"/>
      <c r="K146" s="39" t="n"/>
      <c r="L146" s="41">
        <f>IF(AND(F146&lt;&gt;"",K146&lt;&gt;"Paid",K146&lt;&gt;"Closed unpaid"),Settings!$C$27-(TODAY()-F146),"")</f>
        <v/>
      </c>
      <c r="M146" s="42">
        <f>IF(I146&gt;0,J146/I146,"")</f>
        <v/>
      </c>
      <c r="N146" s="39" t="n"/>
    </row>
    <row r="147">
      <c r="A147" s="38" t="n"/>
      <c r="B147" s="39" t="n"/>
      <c r="C147" s="39" t="n"/>
      <c r="D147" s="39" t="n"/>
      <c r="E147" s="39" t="n"/>
      <c r="F147" s="38" t="n"/>
      <c r="G147" s="39" t="n"/>
      <c r="H147" s="39" t="n"/>
      <c r="I147" s="40" t="n"/>
      <c r="J147" s="40" t="n"/>
      <c r="K147" s="39" t="n"/>
      <c r="L147" s="41">
        <f>IF(AND(F147&lt;&gt;"",K147&lt;&gt;"Paid",K147&lt;&gt;"Closed unpaid"),Settings!$C$27-(TODAY()-F147),"")</f>
        <v/>
      </c>
      <c r="M147" s="42">
        <f>IF(I147&gt;0,J147/I147,"")</f>
        <v/>
      </c>
      <c r="N147" s="39" t="n"/>
    </row>
    <row r="148">
      <c r="A148" s="38" t="n"/>
      <c r="B148" s="39" t="n"/>
      <c r="C148" s="39" t="n"/>
      <c r="D148" s="39" t="n"/>
      <c r="E148" s="39" t="n"/>
      <c r="F148" s="38" t="n"/>
      <c r="G148" s="39" t="n"/>
      <c r="H148" s="39" t="n"/>
      <c r="I148" s="40" t="n"/>
      <c r="J148" s="40" t="n"/>
      <c r="K148" s="39" t="n"/>
      <c r="L148" s="41">
        <f>IF(AND(F148&lt;&gt;"",K148&lt;&gt;"Paid",K148&lt;&gt;"Closed unpaid"),Settings!$C$27-(TODAY()-F148),"")</f>
        <v/>
      </c>
      <c r="M148" s="42">
        <f>IF(I148&gt;0,J148/I148,"")</f>
        <v/>
      </c>
      <c r="N148" s="39" t="n"/>
    </row>
    <row r="149">
      <c r="A149" s="38" t="n"/>
      <c r="B149" s="39" t="n"/>
      <c r="C149" s="39" t="n"/>
      <c r="D149" s="39" t="n"/>
      <c r="E149" s="39" t="n"/>
      <c r="F149" s="38" t="n"/>
      <c r="G149" s="39" t="n"/>
      <c r="H149" s="39" t="n"/>
      <c r="I149" s="40" t="n"/>
      <c r="J149" s="40" t="n"/>
      <c r="K149" s="39" t="n"/>
      <c r="L149" s="41">
        <f>IF(AND(F149&lt;&gt;"",K149&lt;&gt;"Paid",K149&lt;&gt;"Closed unpaid"),Settings!$C$27-(TODAY()-F149),"")</f>
        <v/>
      </c>
      <c r="M149" s="42">
        <f>IF(I149&gt;0,J149/I149,"")</f>
        <v/>
      </c>
      <c r="N149" s="39" t="n"/>
    </row>
    <row r="150">
      <c r="A150" s="38" t="n"/>
      <c r="B150" s="39" t="n"/>
      <c r="C150" s="39" t="n"/>
      <c r="D150" s="39" t="n"/>
      <c r="E150" s="39" t="n"/>
      <c r="F150" s="38" t="n"/>
      <c r="G150" s="39" t="n"/>
      <c r="H150" s="39" t="n"/>
      <c r="I150" s="40" t="n"/>
      <c r="J150" s="40" t="n"/>
      <c r="K150" s="39" t="n"/>
      <c r="L150" s="41">
        <f>IF(AND(F150&lt;&gt;"",K150&lt;&gt;"Paid",K150&lt;&gt;"Closed unpaid"),Settings!$C$27-(TODAY()-F150),"")</f>
        <v/>
      </c>
      <c r="M150" s="42">
        <f>IF(I150&gt;0,J150/I150,"")</f>
        <v/>
      </c>
      <c r="N150" s="39" t="n"/>
    </row>
    <row r="151">
      <c r="A151" s="38" t="n"/>
      <c r="B151" s="39" t="n"/>
      <c r="C151" s="39" t="n"/>
      <c r="D151" s="39" t="n"/>
      <c r="E151" s="39" t="n"/>
      <c r="F151" s="38" t="n"/>
      <c r="G151" s="39" t="n"/>
      <c r="H151" s="39" t="n"/>
      <c r="I151" s="40" t="n"/>
      <c r="J151" s="40" t="n"/>
      <c r="K151" s="39" t="n"/>
      <c r="L151" s="41">
        <f>IF(AND(F151&lt;&gt;"",K151&lt;&gt;"Paid",K151&lt;&gt;"Closed unpaid"),Settings!$C$27-(TODAY()-F151),"")</f>
        <v/>
      </c>
      <c r="M151" s="42">
        <f>IF(I151&gt;0,J151/I151,"")</f>
        <v/>
      </c>
      <c r="N151" s="39" t="n"/>
    </row>
    <row r="152">
      <c r="A152" s="38" t="n"/>
      <c r="B152" s="39" t="n"/>
      <c r="C152" s="39" t="n"/>
      <c r="D152" s="39" t="n"/>
      <c r="E152" s="39" t="n"/>
      <c r="F152" s="38" t="n"/>
      <c r="G152" s="39" t="n"/>
      <c r="H152" s="39" t="n"/>
      <c r="I152" s="40" t="n"/>
      <c r="J152" s="40" t="n"/>
      <c r="K152" s="39" t="n"/>
      <c r="L152" s="41">
        <f>IF(AND(F152&lt;&gt;"",K152&lt;&gt;"Paid",K152&lt;&gt;"Closed unpaid"),Settings!$C$27-(TODAY()-F152),"")</f>
        <v/>
      </c>
      <c r="M152" s="42">
        <f>IF(I152&gt;0,J152/I152,"")</f>
        <v/>
      </c>
      <c r="N152" s="39" t="n"/>
    </row>
    <row r="153">
      <c r="A153" s="38" t="n"/>
      <c r="B153" s="39" t="n"/>
      <c r="C153" s="39" t="n"/>
      <c r="D153" s="39" t="n"/>
      <c r="E153" s="39" t="n"/>
      <c r="F153" s="38" t="n"/>
      <c r="G153" s="39" t="n"/>
      <c r="H153" s="39" t="n"/>
      <c r="I153" s="40" t="n"/>
      <c r="J153" s="40" t="n"/>
      <c r="K153" s="39" t="n"/>
      <c r="L153" s="41">
        <f>IF(AND(F153&lt;&gt;"",K153&lt;&gt;"Paid",K153&lt;&gt;"Closed unpaid"),Settings!$C$27-(TODAY()-F153),"")</f>
        <v/>
      </c>
      <c r="M153" s="42">
        <f>IF(I153&gt;0,J153/I153,"")</f>
        <v/>
      </c>
      <c r="N153" s="39" t="n"/>
    </row>
    <row r="154">
      <c r="A154" s="38" t="n"/>
      <c r="B154" s="39" t="n"/>
      <c r="C154" s="39" t="n"/>
      <c r="D154" s="39" t="n"/>
      <c r="E154" s="39" t="n"/>
      <c r="F154" s="38" t="n"/>
      <c r="G154" s="39" t="n"/>
      <c r="H154" s="39" t="n"/>
      <c r="I154" s="40" t="n"/>
      <c r="J154" s="40" t="n"/>
      <c r="K154" s="39" t="n"/>
      <c r="L154" s="41">
        <f>IF(AND(F154&lt;&gt;"",K154&lt;&gt;"Paid",K154&lt;&gt;"Closed unpaid"),Settings!$C$27-(TODAY()-F154),"")</f>
        <v/>
      </c>
      <c r="M154" s="42">
        <f>IF(I154&gt;0,J154/I154,"")</f>
        <v/>
      </c>
      <c r="N154" s="39" t="n"/>
    </row>
    <row r="155">
      <c r="A155" s="38" t="n"/>
      <c r="B155" s="39" t="n"/>
      <c r="C155" s="39" t="n"/>
      <c r="D155" s="39" t="n"/>
      <c r="E155" s="39" t="n"/>
      <c r="F155" s="38" t="n"/>
      <c r="G155" s="39" t="n"/>
      <c r="H155" s="39" t="n"/>
      <c r="I155" s="40" t="n"/>
      <c r="J155" s="40" t="n"/>
      <c r="K155" s="39" t="n"/>
      <c r="L155" s="41">
        <f>IF(AND(F155&lt;&gt;"",K155&lt;&gt;"Paid",K155&lt;&gt;"Closed unpaid"),Settings!$C$27-(TODAY()-F155),"")</f>
        <v/>
      </c>
      <c r="M155" s="42">
        <f>IF(I155&gt;0,J155/I155,"")</f>
        <v/>
      </c>
      <c r="N155" s="39" t="n"/>
    </row>
    <row r="156">
      <c r="A156" s="38" t="n"/>
      <c r="B156" s="39" t="n"/>
      <c r="C156" s="39" t="n"/>
      <c r="D156" s="39" t="n"/>
      <c r="E156" s="39" t="n"/>
      <c r="F156" s="38" t="n"/>
      <c r="G156" s="39" t="n"/>
      <c r="H156" s="39" t="n"/>
      <c r="I156" s="40" t="n"/>
      <c r="J156" s="40" t="n"/>
      <c r="K156" s="39" t="n"/>
      <c r="L156" s="41">
        <f>IF(AND(F156&lt;&gt;"",K156&lt;&gt;"Paid",K156&lt;&gt;"Closed unpaid"),Settings!$C$27-(TODAY()-F156),"")</f>
        <v/>
      </c>
      <c r="M156" s="42">
        <f>IF(I156&gt;0,J156/I156,"")</f>
        <v/>
      </c>
      <c r="N156" s="39" t="n"/>
    </row>
    <row r="157">
      <c r="A157" s="38" t="n"/>
      <c r="B157" s="39" t="n"/>
      <c r="C157" s="39" t="n"/>
      <c r="D157" s="39" t="n"/>
      <c r="E157" s="39" t="n"/>
      <c r="F157" s="38" t="n"/>
      <c r="G157" s="39" t="n"/>
      <c r="H157" s="39" t="n"/>
      <c r="I157" s="40" t="n"/>
      <c r="J157" s="40" t="n"/>
      <c r="K157" s="39" t="n"/>
      <c r="L157" s="41">
        <f>IF(AND(F157&lt;&gt;"",K157&lt;&gt;"Paid",K157&lt;&gt;"Closed unpaid"),Settings!$C$27-(TODAY()-F157),"")</f>
        <v/>
      </c>
      <c r="M157" s="42">
        <f>IF(I157&gt;0,J157/I157,"")</f>
        <v/>
      </c>
      <c r="N157" s="39" t="n"/>
    </row>
    <row r="158">
      <c r="A158" s="38" t="n"/>
      <c r="B158" s="39" t="n"/>
      <c r="C158" s="39" t="n"/>
      <c r="D158" s="39" t="n"/>
      <c r="E158" s="39" t="n"/>
      <c r="F158" s="38" t="n"/>
      <c r="G158" s="39" t="n"/>
      <c r="H158" s="39" t="n"/>
      <c r="I158" s="40" t="n"/>
      <c r="J158" s="40" t="n"/>
      <c r="K158" s="39" t="n"/>
      <c r="L158" s="41">
        <f>IF(AND(F158&lt;&gt;"",K158&lt;&gt;"Paid",K158&lt;&gt;"Closed unpaid"),Settings!$C$27-(TODAY()-F158),"")</f>
        <v/>
      </c>
      <c r="M158" s="42">
        <f>IF(I158&gt;0,J158/I158,"")</f>
        <v/>
      </c>
      <c r="N158" s="39" t="n"/>
    </row>
    <row r="159">
      <c r="A159" s="38" t="n"/>
      <c r="B159" s="39" t="n"/>
      <c r="C159" s="39" t="n"/>
      <c r="D159" s="39" t="n"/>
      <c r="E159" s="39" t="n"/>
      <c r="F159" s="38" t="n"/>
      <c r="G159" s="39" t="n"/>
      <c r="H159" s="39" t="n"/>
      <c r="I159" s="40" t="n"/>
      <c r="J159" s="40" t="n"/>
      <c r="K159" s="39" t="n"/>
      <c r="L159" s="41">
        <f>IF(AND(F159&lt;&gt;"",K159&lt;&gt;"Paid",K159&lt;&gt;"Closed unpaid"),Settings!$C$27-(TODAY()-F159),"")</f>
        <v/>
      </c>
      <c r="M159" s="42">
        <f>IF(I159&gt;0,J159/I159,"")</f>
        <v/>
      </c>
      <c r="N159" s="39" t="n"/>
    </row>
    <row r="160">
      <c r="A160" s="38" t="n"/>
      <c r="B160" s="39" t="n"/>
      <c r="C160" s="39" t="n"/>
      <c r="D160" s="39" t="n"/>
      <c r="E160" s="39" t="n"/>
      <c r="F160" s="38" t="n"/>
      <c r="G160" s="39" t="n"/>
      <c r="H160" s="39" t="n"/>
      <c r="I160" s="40" t="n"/>
      <c r="J160" s="40" t="n"/>
      <c r="K160" s="39" t="n"/>
      <c r="L160" s="41">
        <f>IF(AND(F160&lt;&gt;"",K160&lt;&gt;"Paid",K160&lt;&gt;"Closed unpaid"),Settings!$C$27-(TODAY()-F160),"")</f>
        <v/>
      </c>
      <c r="M160" s="42">
        <f>IF(I160&gt;0,J160/I160,"")</f>
        <v/>
      </c>
      <c r="N160" s="39" t="n"/>
    </row>
    <row r="161">
      <c r="A161" s="38" t="n"/>
      <c r="B161" s="39" t="n"/>
      <c r="C161" s="39" t="n"/>
      <c r="D161" s="39" t="n"/>
      <c r="E161" s="39" t="n"/>
      <c r="F161" s="38" t="n"/>
      <c r="G161" s="39" t="n"/>
      <c r="H161" s="39" t="n"/>
      <c r="I161" s="40" t="n"/>
      <c r="J161" s="40" t="n"/>
      <c r="K161" s="39" t="n"/>
      <c r="L161" s="41">
        <f>IF(AND(F161&lt;&gt;"",K161&lt;&gt;"Paid",K161&lt;&gt;"Closed unpaid"),Settings!$C$27-(TODAY()-F161),"")</f>
        <v/>
      </c>
      <c r="M161" s="42">
        <f>IF(I161&gt;0,J161/I161,"")</f>
        <v/>
      </c>
      <c r="N161" s="39" t="n"/>
    </row>
    <row r="162">
      <c r="A162" s="38" t="n"/>
      <c r="B162" s="39" t="n"/>
      <c r="C162" s="39" t="n"/>
      <c r="D162" s="39" t="n"/>
      <c r="E162" s="39" t="n"/>
      <c r="F162" s="38" t="n"/>
      <c r="G162" s="39" t="n"/>
      <c r="H162" s="39" t="n"/>
      <c r="I162" s="40" t="n"/>
      <c r="J162" s="40" t="n"/>
      <c r="K162" s="39" t="n"/>
      <c r="L162" s="41">
        <f>IF(AND(F162&lt;&gt;"",K162&lt;&gt;"Paid",K162&lt;&gt;"Closed unpaid"),Settings!$C$27-(TODAY()-F162),"")</f>
        <v/>
      </c>
      <c r="M162" s="42">
        <f>IF(I162&gt;0,J162/I162,"")</f>
        <v/>
      </c>
      <c r="N162" s="39" t="n"/>
    </row>
    <row r="163">
      <c r="A163" s="38" t="n"/>
      <c r="B163" s="39" t="n"/>
      <c r="C163" s="39" t="n"/>
      <c r="D163" s="39" t="n"/>
      <c r="E163" s="39" t="n"/>
      <c r="F163" s="38" t="n"/>
      <c r="G163" s="39" t="n"/>
      <c r="H163" s="39" t="n"/>
      <c r="I163" s="40" t="n"/>
      <c r="J163" s="40" t="n"/>
      <c r="K163" s="39" t="n"/>
      <c r="L163" s="41">
        <f>IF(AND(F163&lt;&gt;"",K163&lt;&gt;"Paid",K163&lt;&gt;"Closed unpaid"),Settings!$C$27-(TODAY()-F163),"")</f>
        <v/>
      </c>
      <c r="M163" s="42">
        <f>IF(I163&gt;0,J163/I163,"")</f>
        <v/>
      </c>
      <c r="N163" s="39" t="n"/>
    </row>
    <row r="164">
      <c r="A164" s="38" t="n"/>
      <c r="B164" s="39" t="n"/>
      <c r="C164" s="39" t="n"/>
      <c r="D164" s="39" t="n"/>
      <c r="E164" s="39" t="n"/>
      <c r="F164" s="38" t="n"/>
      <c r="G164" s="39" t="n"/>
      <c r="H164" s="39" t="n"/>
      <c r="I164" s="40" t="n"/>
      <c r="J164" s="40" t="n"/>
      <c r="K164" s="39" t="n"/>
      <c r="L164" s="41">
        <f>IF(AND(F164&lt;&gt;"",K164&lt;&gt;"Paid",K164&lt;&gt;"Closed unpaid"),Settings!$C$27-(TODAY()-F164),"")</f>
        <v/>
      </c>
      <c r="M164" s="42">
        <f>IF(I164&gt;0,J164/I164,"")</f>
        <v/>
      </c>
      <c r="N164" s="39" t="n"/>
    </row>
    <row r="165">
      <c r="A165" s="38" t="n"/>
      <c r="B165" s="39" t="n"/>
      <c r="C165" s="39" t="n"/>
      <c r="D165" s="39" t="n"/>
      <c r="E165" s="39" t="n"/>
      <c r="F165" s="38" t="n"/>
      <c r="G165" s="39" t="n"/>
      <c r="H165" s="39" t="n"/>
      <c r="I165" s="40" t="n"/>
      <c r="J165" s="40" t="n"/>
      <c r="K165" s="39" t="n"/>
      <c r="L165" s="41">
        <f>IF(AND(F165&lt;&gt;"",K165&lt;&gt;"Paid",K165&lt;&gt;"Closed unpaid"),Settings!$C$27-(TODAY()-F165),"")</f>
        <v/>
      </c>
      <c r="M165" s="42">
        <f>IF(I165&gt;0,J165/I165,"")</f>
        <v/>
      </c>
      <c r="N165" s="39" t="n"/>
    </row>
    <row r="166">
      <c r="A166" s="38" t="n"/>
      <c r="B166" s="39" t="n"/>
      <c r="C166" s="39" t="n"/>
      <c r="D166" s="39" t="n"/>
      <c r="E166" s="39" t="n"/>
      <c r="F166" s="38" t="n"/>
      <c r="G166" s="39" t="n"/>
      <c r="H166" s="39" t="n"/>
      <c r="I166" s="40" t="n"/>
      <c r="J166" s="40" t="n"/>
      <c r="K166" s="39" t="n"/>
      <c r="L166" s="41">
        <f>IF(AND(F166&lt;&gt;"",K166&lt;&gt;"Paid",K166&lt;&gt;"Closed unpaid"),Settings!$C$27-(TODAY()-F166),"")</f>
        <v/>
      </c>
      <c r="M166" s="42">
        <f>IF(I166&gt;0,J166/I166,"")</f>
        <v/>
      </c>
      <c r="N166" s="39" t="n"/>
    </row>
    <row r="167">
      <c r="A167" s="38" t="n"/>
      <c r="B167" s="39" t="n"/>
      <c r="C167" s="39" t="n"/>
      <c r="D167" s="39" t="n"/>
      <c r="E167" s="39" t="n"/>
      <c r="F167" s="38" t="n"/>
      <c r="G167" s="39" t="n"/>
      <c r="H167" s="39" t="n"/>
      <c r="I167" s="40" t="n"/>
      <c r="J167" s="40" t="n"/>
      <c r="K167" s="39" t="n"/>
      <c r="L167" s="41">
        <f>IF(AND(F167&lt;&gt;"",K167&lt;&gt;"Paid",K167&lt;&gt;"Closed unpaid"),Settings!$C$27-(TODAY()-F167),"")</f>
        <v/>
      </c>
      <c r="M167" s="42">
        <f>IF(I167&gt;0,J167/I167,"")</f>
        <v/>
      </c>
      <c r="N167" s="39" t="n"/>
    </row>
    <row r="168">
      <c r="A168" s="38" t="n"/>
      <c r="B168" s="39" t="n"/>
      <c r="C168" s="39" t="n"/>
      <c r="D168" s="39" t="n"/>
      <c r="E168" s="39" t="n"/>
      <c r="F168" s="38" t="n"/>
      <c r="G168" s="39" t="n"/>
      <c r="H168" s="39" t="n"/>
      <c r="I168" s="40" t="n"/>
      <c r="J168" s="40" t="n"/>
      <c r="K168" s="39" t="n"/>
      <c r="L168" s="41">
        <f>IF(AND(F168&lt;&gt;"",K168&lt;&gt;"Paid",K168&lt;&gt;"Closed unpaid"),Settings!$C$27-(TODAY()-F168),"")</f>
        <v/>
      </c>
      <c r="M168" s="42">
        <f>IF(I168&gt;0,J168/I168,"")</f>
        <v/>
      </c>
      <c r="N168" s="39" t="n"/>
    </row>
    <row r="169">
      <c r="A169" s="38" t="n"/>
      <c r="B169" s="39" t="n"/>
      <c r="C169" s="39" t="n"/>
      <c r="D169" s="39" t="n"/>
      <c r="E169" s="39" t="n"/>
      <c r="F169" s="38" t="n"/>
      <c r="G169" s="39" t="n"/>
      <c r="H169" s="39" t="n"/>
      <c r="I169" s="40" t="n"/>
      <c r="J169" s="40" t="n"/>
      <c r="K169" s="39" t="n"/>
      <c r="L169" s="41">
        <f>IF(AND(F169&lt;&gt;"",K169&lt;&gt;"Paid",K169&lt;&gt;"Closed unpaid"),Settings!$C$27-(TODAY()-F169),"")</f>
        <v/>
      </c>
      <c r="M169" s="42">
        <f>IF(I169&gt;0,J169/I169,"")</f>
        <v/>
      </c>
      <c r="N169" s="39" t="n"/>
    </row>
    <row r="170">
      <c r="A170" s="38" t="n"/>
      <c r="B170" s="39" t="n"/>
      <c r="C170" s="39" t="n"/>
      <c r="D170" s="39" t="n"/>
      <c r="E170" s="39" t="n"/>
      <c r="F170" s="38" t="n"/>
      <c r="G170" s="39" t="n"/>
      <c r="H170" s="39" t="n"/>
      <c r="I170" s="40" t="n"/>
      <c r="J170" s="40" t="n"/>
      <c r="K170" s="39" t="n"/>
      <c r="L170" s="41">
        <f>IF(AND(F170&lt;&gt;"",K170&lt;&gt;"Paid",K170&lt;&gt;"Closed unpaid"),Settings!$C$27-(TODAY()-F170),"")</f>
        <v/>
      </c>
      <c r="M170" s="42">
        <f>IF(I170&gt;0,J170/I170,"")</f>
        <v/>
      </c>
      <c r="N170" s="39" t="n"/>
    </row>
    <row r="171">
      <c r="A171" s="38" t="n"/>
      <c r="B171" s="39" t="n"/>
      <c r="C171" s="39" t="n"/>
      <c r="D171" s="39" t="n"/>
      <c r="E171" s="39" t="n"/>
      <c r="F171" s="38" t="n"/>
      <c r="G171" s="39" t="n"/>
      <c r="H171" s="39" t="n"/>
      <c r="I171" s="40" t="n"/>
      <c r="J171" s="40" t="n"/>
      <c r="K171" s="39" t="n"/>
      <c r="L171" s="41">
        <f>IF(AND(F171&lt;&gt;"",K171&lt;&gt;"Paid",K171&lt;&gt;"Closed unpaid"),Settings!$C$27-(TODAY()-F171),"")</f>
        <v/>
      </c>
      <c r="M171" s="42">
        <f>IF(I171&gt;0,J171/I171,"")</f>
        <v/>
      </c>
      <c r="N171" s="39" t="n"/>
    </row>
    <row r="172">
      <c r="A172" s="38" t="n"/>
      <c r="B172" s="39" t="n"/>
      <c r="C172" s="39" t="n"/>
      <c r="D172" s="39" t="n"/>
      <c r="E172" s="39" t="n"/>
      <c r="F172" s="38" t="n"/>
      <c r="G172" s="39" t="n"/>
      <c r="H172" s="39" t="n"/>
      <c r="I172" s="40" t="n"/>
      <c r="J172" s="40" t="n"/>
      <c r="K172" s="39" t="n"/>
      <c r="L172" s="41">
        <f>IF(AND(F172&lt;&gt;"",K172&lt;&gt;"Paid",K172&lt;&gt;"Closed unpaid"),Settings!$C$27-(TODAY()-F172),"")</f>
        <v/>
      </c>
      <c r="M172" s="42">
        <f>IF(I172&gt;0,J172/I172,"")</f>
        <v/>
      </c>
      <c r="N172" s="39" t="n"/>
    </row>
    <row r="173">
      <c r="A173" s="38" t="n"/>
      <c r="B173" s="39" t="n"/>
      <c r="C173" s="39" t="n"/>
      <c r="D173" s="39" t="n"/>
      <c r="E173" s="39" t="n"/>
      <c r="F173" s="38" t="n"/>
      <c r="G173" s="39" t="n"/>
      <c r="H173" s="39" t="n"/>
      <c r="I173" s="40" t="n"/>
      <c r="J173" s="40" t="n"/>
      <c r="K173" s="39" t="n"/>
      <c r="L173" s="41">
        <f>IF(AND(F173&lt;&gt;"",K173&lt;&gt;"Paid",K173&lt;&gt;"Closed unpaid"),Settings!$C$27-(TODAY()-F173),"")</f>
        <v/>
      </c>
      <c r="M173" s="42">
        <f>IF(I173&gt;0,J173/I173,"")</f>
        <v/>
      </c>
      <c r="N173" s="39" t="n"/>
    </row>
    <row r="174">
      <c r="A174" s="38" t="n"/>
      <c r="B174" s="39" t="n"/>
      <c r="C174" s="39" t="n"/>
      <c r="D174" s="39" t="n"/>
      <c r="E174" s="39" t="n"/>
      <c r="F174" s="38" t="n"/>
      <c r="G174" s="39" t="n"/>
      <c r="H174" s="39" t="n"/>
      <c r="I174" s="40" t="n"/>
      <c r="J174" s="40" t="n"/>
      <c r="K174" s="39" t="n"/>
      <c r="L174" s="41">
        <f>IF(AND(F174&lt;&gt;"",K174&lt;&gt;"Paid",K174&lt;&gt;"Closed unpaid"),Settings!$C$27-(TODAY()-F174),"")</f>
        <v/>
      </c>
      <c r="M174" s="42">
        <f>IF(I174&gt;0,J174/I174,"")</f>
        <v/>
      </c>
      <c r="N174" s="39" t="n"/>
    </row>
    <row r="175">
      <c r="A175" s="38" t="n"/>
      <c r="B175" s="39" t="n"/>
      <c r="C175" s="39" t="n"/>
      <c r="D175" s="39" t="n"/>
      <c r="E175" s="39" t="n"/>
      <c r="F175" s="38" t="n"/>
      <c r="G175" s="39" t="n"/>
      <c r="H175" s="39" t="n"/>
      <c r="I175" s="40" t="n"/>
      <c r="J175" s="40" t="n"/>
      <c r="K175" s="39" t="n"/>
      <c r="L175" s="41">
        <f>IF(AND(F175&lt;&gt;"",K175&lt;&gt;"Paid",K175&lt;&gt;"Closed unpaid"),Settings!$C$27-(TODAY()-F175),"")</f>
        <v/>
      </c>
      <c r="M175" s="42">
        <f>IF(I175&gt;0,J175/I175,"")</f>
        <v/>
      </c>
      <c r="N175" s="39" t="n"/>
    </row>
    <row r="176">
      <c r="A176" s="38" t="n"/>
      <c r="B176" s="39" t="n"/>
      <c r="C176" s="39" t="n"/>
      <c r="D176" s="39" t="n"/>
      <c r="E176" s="39" t="n"/>
      <c r="F176" s="38" t="n"/>
      <c r="G176" s="39" t="n"/>
      <c r="H176" s="39" t="n"/>
      <c r="I176" s="40" t="n"/>
      <c r="J176" s="40" t="n"/>
      <c r="K176" s="39" t="n"/>
      <c r="L176" s="41">
        <f>IF(AND(F176&lt;&gt;"",K176&lt;&gt;"Paid",K176&lt;&gt;"Closed unpaid"),Settings!$C$27-(TODAY()-F176),"")</f>
        <v/>
      </c>
      <c r="M176" s="42">
        <f>IF(I176&gt;0,J176/I176,"")</f>
        <v/>
      </c>
      <c r="N176" s="39" t="n"/>
    </row>
    <row r="177">
      <c r="A177" s="38" t="n"/>
      <c r="B177" s="39" t="n"/>
      <c r="C177" s="39" t="n"/>
      <c r="D177" s="39" t="n"/>
      <c r="E177" s="39" t="n"/>
      <c r="F177" s="38" t="n"/>
      <c r="G177" s="39" t="n"/>
      <c r="H177" s="39" t="n"/>
      <c r="I177" s="40" t="n"/>
      <c r="J177" s="40" t="n"/>
      <c r="K177" s="39" t="n"/>
      <c r="L177" s="41">
        <f>IF(AND(F177&lt;&gt;"",K177&lt;&gt;"Paid",K177&lt;&gt;"Closed unpaid"),Settings!$C$27-(TODAY()-F177),"")</f>
        <v/>
      </c>
      <c r="M177" s="42">
        <f>IF(I177&gt;0,J177/I177,"")</f>
        <v/>
      </c>
      <c r="N177" s="39" t="n"/>
    </row>
    <row r="178">
      <c r="A178" s="38" t="n"/>
      <c r="B178" s="39" t="n"/>
      <c r="C178" s="39" t="n"/>
      <c r="D178" s="39" t="n"/>
      <c r="E178" s="39" t="n"/>
      <c r="F178" s="38" t="n"/>
      <c r="G178" s="39" t="n"/>
      <c r="H178" s="39" t="n"/>
      <c r="I178" s="40" t="n"/>
      <c r="J178" s="40" t="n"/>
      <c r="K178" s="39" t="n"/>
      <c r="L178" s="41">
        <f>IF(AND(F178&lt;&gt;"",K178&lt;&gt;"Paid",K178&lt;&gt;"Closed unpaid"),Settings!$C$27-(TODAY()-F178),"")</f>
        <v/>
      </c>
      <c r="M178" s="42">
        <f>IF(I178&gt;0,J178/I178,"")</f>
        <v/>
      </c>
      <c r="N178" s="39" t="n"/>
    </row>
    <row r="179">
      <c r="A179" s="38" t="n"/>
      <c r="B179" s="39" t="n"/>
      <c r="C179" s="39" t="n"/>
      <c r="D179" s="39" t="n"/>
      <c r="E179" s="39" t="n"/>
      <c r="F179" s="38" t="n"/>
      <c r="G179" s="39" t="n"/>
      <c r="H179" s="39" t="n"/>
      <c r="I179" s="40" t="n"/>
      <c r="J179" s="40" t="n"/>
      <c r="K179" s="39" t="n"/>
      <c r="L179" s="41">
        <f>IF(AND(F179&lt;&gt;"",K179&lt;&gt;"Paid",K179&lt;&gt;"Closed unpaid"),Settings!$C$27-(TODAY()-F179),"")</f>
        <v/>
      </c>
      <c r="M179" s="42">
        <f>IF(I179&gt;0,J179/I179,"")</f>
        <v/>
      </c>
      <c r="N179" s="39" t="n"/>
    </row>
    <row r="180">
      <c r="A180" s="38" t="n"/>
      <c r="B180" s="39" t="n"/>
      <c r="C180" s="39" t="n"/>
      <c r="D180" s="39" t="n"/>
      <c r="E180" s="39" t="n"/>
      <c r="F180" s="38" t="n"/>
      <c r="G180" s="39" t="n"/>
      <c r="H180" s="39" t="n"/>
      <c r="I180" s="40" t="n"/>
      <c r="J180" s="40" t="n"/>
      <c r="K180" s="39" t="n"/>
      <c r="L180" s="41">
        <f>IF(AND(F180&lt;&gt;"",K180&lt;&gt;"Paid",K180&lt;&gt;"Closed unpaid"),Settings!$C$27-(TODAY()-F180),"")</f>
        <v/>
      </c>
      <c r="M180" s="42">
        <f>IF(I180&gt;0,J180/I180,"")</f>
        <v/>
      </c>
      <c r="N180" s="39" t="n"/>
    </row>
    <row r="181">
      <c r="A181" s="38" t="n"/>
      <c r="B181" s="39" t="n"/>
      <c r="C181" s="39" t="n"/>
      <c r="D181" s="39" t="n"/>
      <c r="E181" s="39" t="n"/>
      <c r="F181" s="38" t="n"/>
      <c r="G181" s="39" t="n"/>
      <c r="H181" s="39" t="n"/>
      <c r="I181" s="40" t="n"/>
      <c r="J181" s="40" t="n"/>
      <c r="K181" s="39" t="n"/>
      <c r="L181" s="41">
        <f>IF(AND(F181&lt;&gt;"",K181&lt;&gt;"Paid",K181&lt;&gt;"Closed unpaid"),Settings!$C$27-(TODAY()-F181),"")</f>
        <v/>
      </c>
      <c r="M181" s="42">
        <f>IF(I181&gt;0,J181/I181,"")</f>
        <v/>
      </c>
      <c r="N181" s="39" t="n"/>
    </row>
    <row r="182">
      <c r="A182" s="38" t="n"/>
      <c r="B182" s="39" t="n"/>
      <c r="C182" s="39" t="n"/>
      <c r="D182" s="39" t="n"/>
      <c r="E182" s="39" t="n"/>
      <c r="F182" s="38" t="n"/>
      <c r="G182" s="39" t="n"/>
      <c r="H182" s="39" t="n"/>
      <c r="I182" s="40" t="n"/>
      <c r="J182" s="40" t="n"/>
      <c r="K182" s="39" t="n"/>
      <c r="L182" s="41">
        <f>IF(AND(F182&lt;&gt;"",K182&lt;&gt;"Paid",K182&lt;&gt;"Closed unpaid"),Settings!$C$27-(TODAY()-F182),"")</f>
        <v/>
      </c>
      <c r="M182" s="42">
        <f>IF(I182&gt;0,J182/I182,"")</f>
        <v/>
      </c>
      <c r="N182" s="39" t="n"/>
    </row>
    <row r="183">
      <c r="A183" s="38" t="n"/>
      <c r="B183" s="39" t="n"/>
      <c r="C183" s="39" t="n"/>
      <c r="D183" s="39" t="n"/>
      <c r="E183" s="39" t="n"/>
      <c r="F183" s="38" t="n"/>
      <c r="G183" s="39" t="n"/>
      <c r="H183" s="39" t="n"/>
      <c r="I183" s="40" t="n"/>
      <c r="J183" s="40" t="n"/>
      <c r="K183" s="39" t="n"/>
      <c r="L183" s="41">
        <f>IF(AND(F183&lt;&gt;"",K183&lt;&gt;"Paid",K183&lt;&gt;"Closed unpaid"),Settings!$C$27-(TODAY()-F183),"")</f>
        <v/>
      </c>
      <c r="M183" s="42">
        <f>IF(I183&gt;0,J183/I183,"")</f>
        <v/>
      </c>
      <c r="N183" s="39" t="n"/>
    </row>
    <row r="184">
      <c r="A184" s="38" t="n"/>
      <c r="B184" s="39" t="n"/>
      <c r="C184" s="39" t="n"/>
      <c r="D184" s="39" t="n"/>
      <c r="E184" s="39" t="n"/>
      <c r="F184" s="38" t="n"/>
      <c r="G184" s="39" t="n"/>
      <c r="H184" s="39" t="n"/>
      <c r="I184" s="40" t="n"/>
      <c r="J184" s="40" t="n"/>
      <c r="K184" s="39" t="n"/>
      <c r="L184" s="41">
        <f>IF(AND(F184&lt;&gt;"",K184&lt;&gt;"Paid",K184&lt;&gt;"Closed unpaid"),Settings!$C$27-(TODAY()-F184),"")</f>
        <v/>
      </c>
      <c r="M184" s="42">
        <f>IF(I184&gt;0,J184/I184,"")</f>
        <v/>
      </c>
      <c r="N184" s="39" t="n"/>
    </row>
    <row r="185">
      <c r="A185" s="38" t="n"/>
      <c r="B185" s="39" t="n"/>
      <c r="C185" s="39" t="n"/>
      <c r="D185" s="39" t="n"/>
      <c r="E185" s="39" t="n"/>
      <c r="F185" s="38" t="n"/>
      <c r="G185" s="39" t="n"/>
      <c r="H185" s="39" t="n"/>
      <c r="I185" s="40" t="n"/>
      <c r="J185" s="40" t="n"/>
      <c r="K185" s="39" t="n"/>
      <c r="L185" s="41">
        <f>IF(AND(F185&lt;&gt;"",K185&lt;&gt;"Paid",K185&lt;&gt;"Closed unpaid"),Settings!$C$27-(TODAY()-F185),"")</f>
        <v/>
      </c>
      <c r="M185" s="42">
        <f>IF(I185&gt;0,J185/I185,"")</f>
        <v/>
      </c>
      <c r="N185" s="39" t="n"/>
    </row>
    <row r="186">
      <c r="A186" s="38" t="n"/>
      <c r="B186" s="39" t="n"/>
      <c r="C186" s="39" t="n"/>
      <c r="D186" s="39" t="n"/>
      <c r="E186" s="39" t="n"/>
      <c r="F186" s="38" t="n"/>
      <c r="G186" s="39" t="n"/>
      <c r="H186" s="39" t="n"/>
      <c r="I186" s="40" t="n"/>
      <c r="J186" s="40" t="n"/>
      <c r="K186" s="39" t="n"/>
      <c r="L186" s="41">
        <f>IF(AND(F186&lt;&gt;"",K186&lt;&gt;"Paid",K186&lt;&gt;"Closed unpaid"),Settings!$C$27-(TODAY()-F186),"")</f>
        <v/>
      </c>
      <c r="M186" s="42">
        <f>IF(I186&gt;0,J186/I186,"")</f>
        <v/>
      </c>
      <c r="N186" s="39" t="n"/>
    </row>
    <row r="187">
      <c r="A187" s="38" t="n"/>
      <c r="B187" s="39" t="n"/>
      <c r="C187" s="39" t="n"/>
      <c r="D187" s="39" t="n"/>
      <c r="E187" s="39" t="n"/>
      <c r="F187" s="38" t="n"/>
      <c r="G187" s="39" t="n"/>
      <c r="H187" s="39" t="n"/>
      <c r="I187" s="40" t="n"/>
      <c r="J187" s="40" t="n"/>
      <c r="K187" s="39" t="n"/>
      <c r="L187" s="41">
        <f>IF(AND(F187&lt;&gt;"",K187&lt;&gt;"Paid",K187&lt;&gt;"Closed unpaid"),Settings!$C$27-(TODAY()-F187),"")</f>
        <v/>
      </c>
      <c r="M187" s="42">
        <f>IF(I187&gt;0,J187/I187,"")</f>
        <v/>
      </c>
      <c r="N187" s="39" t="n"/>
    </row>
    <row r="188">
      <c r="A188" s="38" t="n"/>
      <c r="B188" s="39" t="n"/>
      <c r="C188" s="39" t="n"/>
      <c r="D188" s="39" t="n"/>
      <c r="E188" s="39" t="n"/>
      <c r="F188" s="38" t="n"/>
      <c r="G188" s="39" t="n"/>
      <c r="H188" s="39" t="n"/>
      <c r="I188" s="40" t="n"/>
      <c r="J188" s="40" t="n"/>
      <c r="K188" s="39" t="n"/>
      <c r="L188" s="41">
        <f>IF(AND(F188&lt;&gt;"",K188&lt;&gt;"Paid",K188&lt;&gt;"Closed unpaid"),Settings!$C$27-(TODAY()-F188),"")</f>
        <v/>
      </c>
      <c r="M188" s="42">
        <f>IF(I188&gt;0,J188/I188,"")</f>
        <v/>
      </c>
      <c r="N188" s="39" t="n"/>
    </row>
    <row r="189">
      <c r="A189" s="38" t="n"/>
      <c r="B189" s="39" t="n"/>
      <c r="C189" s="39" t="n"/>
      <c r="D189" s="39" t="n"/>
      <c r="E189" s="39" t="n"/>
      <c r="F189" s="38" t="n"/>
      <c r="G189" s="39" t="n"/>
      <c r="H189" s="39" t="n"/>
      <c r="I189" s="40" t="n"/>
      <c r="J189" s="40" t="n"/>
      <c r="K189" s="39" t="n"/>
      <c r="L189" s="41">
        <f>IF(AND(F189&lt;&gt;"",K189&lt;&gt;"Paid",K189&lt;&gt;"Closed unpaid"),Settings!$C$27-(TODAY()-F189),"")</f>
        <v/>
      </c>
      <c r="M189" s="42">
        <f>IF(I189&gt;0,J189/I189,"")</f>
        <v/>
      </c>
      <c r="N189" s="39" t="n"/>
    </row>
    <row r="190">
      <c r="A190" s="38" t="n"/>
      <c r="B190" s="39" t="n"/>
      <c r="C190" s="39" t="n"/>
      <c r="D190" s="39" t="n"/>
      <c r="E190" s="39" t="n"/>
      <c r="F190" s="38" t="n"/>
      <c r="G190" s="39" t="n"/>
      <c r="H190" s="39" t="n"/>
      <c r="I190" s="40" t="n"/>
      <c r="J190" s="40" t="n"/>
      <c r="K190" s="39" t="n"/>
      <c r="L190" s="41">
        <f>IF(AND(F190&lt;&gt;"",K190&lt;&gt;"Paid",K190&lt;&gt;"Closed unpaid"),Settings!$C$27-(TODAY()-F190),"")</f>
        <v/>
      </c>
      <c r="M190" s="42">
        <f>IF(I190&gt;0,J190/I190,"")</f>
        <v/>
      </c>
      <c r="N190" s="39" t="n"/>
    </row>
    <row r="191">
      <c r="A191" s="38" t="n"/>
      <c r="B191" s="39" t="n"/>
      <c r="C191" s="39" t="n"/>
      <c r="D191" s="39" t="n"/>
      <c r="E191" s="39" t="n"/>
      <c r="F191" s="38" t="n"/>
      <c r="G191" s="39" t="n"/>
      <c r="H191" s="39" t="n"/>
      <c r="I191" s="40" t="n"/>
      <c r="J191" s="40" t="n"/>
      <c r="K191" s="39" t="n"/>
      <c r="L191" s="41">
        <f>IF(AND(F191&lt;&gt;"",K191&lt;&gt;"Paid",K191&lt;&gt;"Closed unpaid"),Settings!$C$27-(TODAY()-F191),"")</f>
        <v/>
      </c>
      <c r="M191" s="42">
        <f>IF(I191&gt;0,J191/I191,"")</f>
        <v/>
      </c>
      <c r="N191" s="39" t="n"/>
    </row>
    <row r="192">
      <c r="A192" s="38" t="n"/>
      <c r="B192" s="39" t="n"/>
      <c r="C192" s="39" t="n"/>
      <c r="D192" s="39" t="n"/>
      <c r="E192" s="39" t="n"/>
      <c r="F192" s="38" t="n"/>
      <c r="G192" s="39" t="n"/>
      <c r="H192" s="39" t="n"/>
      <c r="I192" s="40" t="n"/>
      <c r="J192" s="40" t="n"/>
      <c r="K192" s="39" t="n"/>
      <c r="L192" s="41">
        <f>IF(AND(F192&lt;&gt;"",K192&lt;&gt;"Paid",K192&lt;&gt;"Closed unpaid"),Settings!$C$27-(TODAY()-F192),"")</f>
        <v/>
      </c>
      <c r="M192" s="42">
        <f>IF(I192&gt;0,J192/I192,"")</f>
        <v/>
      </c>
      <c r="N192" s="39" t="n"/>
    </row>
    <row r="193">
      <c r="A193" s="38" t="n"/>
      <c r="B193" s="39" t="n"/>
      <c r="C193" s="39" t="n"/>
      <c r="D193" s="39" t="n"/>
      <c r="E193" s="39" t="n"/>
      <c r="F193" s="38" t="n"/>
      <c r="G193" s="39" t="n"/>
      <c r="H193" s="39" t="n"/>
      <c r="I193" s="40" t="n"/>
      <c r="J193" s="40" t="n"/>
      <c r="K193" s="39" t="n"/>
      <c r="L193" s="41">
        <f>IF(AND(F193&lt;&gt;"",K193&lt;&gt;"Paid",K193&lt;&gt;"Closed unpaid"),Settings!$C$27-(TODAY()-F193),"")</f>
        <v/>
      </c>
      <c r="M193" s="42">
        <f>IF(I193&gt;0,J193/I193,"")</f>
        <v/>
      </c>
      <c r="N193" s="39" t="n"/>
    </row>
    <row r="194">
      <c r="A194" s="38" t="n"/>
      <c r="B194" s="39" t="n"/>
      <c r="C194" s="39" t="n"/>
      <c r="D194" s="39" t="n"/>
      <c r="E194" s="39" t="n"/>
      <c r="F194" s="38" t="n"/>
      <c r="G194" s="39" t="n"/>
      <c r="H194" s="39" t="n"/>
      <c r="I194" s="40" t="n"/>
      <c r="J194" s="40" t="n"/>
      <c r="K194" s="39" t="n"/>
      <c r="L194" s="41">
        <f>IF(AND(F194&lt;&gt;"",K194&lt;&gt;"Paid",K194&lt;&gt;"Closed unpaid"),Settings!$C$27-(TODAY()-F194),"")</f>
        <v/>
      </c>
      <c r="M194" s="42">
        <f>IF(I194&gt;0,J194/I194,"")</f>
        <v/>
      </c>
      <c r="N194" s="39" t="n"/>
    </row>
    <row r="195">
      <c r="A195" s="38" t="n"/>
      <c r="B195" s="39" t="n"/>
      <c r="C195" s="39" t="n"/>
      <c r="D195" s="39" t="n"/>
      <c r="E195" s="39" t="n"/>
      <c r="F195" s="38" t="n"/>
      <c r="G195" s="39" t="n"/>
      <c r="H195" s="39" t="n"/>
      <c r="I195" s="40" t="n"/>
      <c r="J195" s="40" t="n"/>
      <c r="K195" s="39" t="n"/>
      <c r="L195" s="41">
        <f>IF(AND(F195&lt;&gt;"",K195&lt;&gt;"Paid",K195&lt;&gt;"Closed unpaid"),Settings!$C$27-(TODAY()-F195),"")</f>
        <v/>
      </c>
      <c r="M195" s="42">
        <f>IF(I195&gt;0,J195/I195,"")</f>
        <v/>
      </c>
      <c r="N195" s="39" t="n"/>
    </row>
    <row r="196">
      <c r="A196" s="38" t="n"/>
      <c r="B196" s="39" t="n"/>
      <c r="C196" s="39" t="n"/>
      <c r="D196" s="39" t="n"/>
      <c r="E196" s="39" t="n"/>
      <c r="F196" s="38" t="n"/>
      <c r="G196" s="39" t="n"/>
      <c r="H196" s="39" t="n"/>
      <c r="I196" s="40" t="n"/>
      <c r="J196" s="40" t="n"/>
      <c r="K196" s="39" t="n"/>
      <c r="L196" s="41">
        <f>IF(AND(F196&lt;&gt;"",K196&lt;&gt;"Paid",K196&lt;&gt;"Closed unpaid"),Settings!$C$27-(TODAY()-F196),"")</f>
        <v/>
      </c>
      <c r="M196" s="42">
        <f>IF(I196&gt;0,J196/I196,"")</f>
        <v/>
      </c>
      <c r="N196" s="39" t="n"/>
    </row>
    <row r="197">
      <c r="A197" s="38" t="n"/>
      <c r="B197" s="39" t="n"/>
      <c r="C197" s="39" t="n"/>
      <c r="D197" s="39" t="n"/>
      <c r="E197" s="39" t="n"/>
      <c r="F197" s="38" t="n"/>
      <c r="G197" s="39" t="n"/>
      <c r="H197" s="39" t="n"/>
      <c r="I197" s="40" t="n"/>
      <c r="J197" s="40" t="n"/>
      <c r="K197" s="39" t="n"/>
      <c r="L197" s="41">
        <f>IF(AND(F197&lt;&gt;"",K197&lt;&gt;"Paid",K197&lt;&gt;"Closed unpaid"),Settings!$C$27-(TODAY()-F197),"")</f>
        <v/>
      </c>
      <c r="M197" s="42">
        <f>IF(I197&gt;0,J197/I197,"")</f>
        <v/>
      </c>
      <c r="N197" s="39" t="n"/>
    </row>
    <row r="198">
      <c r="A198" s="38" t="n"/>
      <c r="B198" s="39" t="n"/>
      <c r="C198" s="39" t="n"/>
      <c r="D198" s="39" t="n"/>
      <c r="E198" s="39" t="n"/>
      <c r="F198" s="38" t="n"/>
      <c r="G198" s="39" t="n"/>
      <c r="H198" s="39" t="n"/>
      <c r="I198" s="40" t="n"/>
      <c r="J198" s="40" t="n"/>
      <c r="K198" s="39" t="n"/>
      <c r="L198" s="41">
        <f>IF(AND(F198&lt;&gt;"",K198&lt;&gt;"Paid",K198&lt;&gt;"Closed unpaid"),Settings!$C$27-(TODAY()-F198),"")</f>
        <v/>
      </c>
      <c r="M198" s="42">
        <f>IF(I198&gt;0,J198/I198,"")</f>
        <v/>
      </c>
      <c r="N198" s="39" t="n"/>
    </row>
    <row r="199">
      <c r="A199" s="38" t="n"/>
      <c r="B199" s="39" t="n"/>
      <c r="C199" s="39" t="n"/>
      <c r="D199" s="39" t="n"/>
      <c r="E199" s="39" t="n"/>
      <c r="F199" s="38" t="n"/>
      <c r="G199" s="39" t="n"/>
      <c r="H199" s="39" t="n"/>
      <c r="I199" s="40" t="n"/>
      <c r="J199" s="40" t="n"/>
      <c r="K199" s="39" t="n"/>
      <c r="L199" s="41">
        <f>IF(AND(F199&lt;&gt;"",K199&lt;&gt;"Paid",K199&lt;&gt;"Closed unpaid"),Settings!$C$27-(TODAY()-F199),"")</f>
        <v/>
      </c>
      <c r="M199" s="42">
        <f>IF(I199&gt;0,J199/I199,"")</f>
        <v/>
      </c>
      <c r="N199" s="39" t="n"/>
    </row>
    <row r="200">
      <c r="A200" s="38" t="n"/>
      <c r="B200" s="39" t="n"/>
      <c r="C200" s="39" t="n"/>
      <c r="D200" s="39" t="n"/>
      <c r="E200" s="39" t="n"/>
      <c r="F200" s="38" t="n"/>
      <c r="G200" s="39" t="n"/>
      <c r="H200" s="39" t="n"/>
      <c r="I200" s="40" t="n"/>
      <c r="J200" s="40" t="n"/>
      <c r="K200" s="39" t="n"/>
      <c r="L200" s="41">
        <f>IF(AND(F200&lt;&gt;"",K200&lt;&gt;"Paid",K200&lt;&gt;"Closed unpaid"),Settings!$C$27-(TODAY()-F200),"")</f>
        <v/>
      </c>
      <c r="M200" s="42">
        <f>IF(I200&gt;0,J200/I200,"")</f>
        <v/>
      </c>
      <c r="N200" s="39" t="n"/>
    </row>
    <row r="201">
      <c r="A201" s="38" t="n"/>
      <c r="B201" s="39" t="n"/>
      <c r="C201" s="39" t="n"/>
      <c r="D201" s="39" t="n"/>
      <c r="E201" s="39" t="n"/>
      <c r="F201" s="38" t="n"/>
      <c r="G201" s="39" t="n"/>
      <c r="H201" s="39" t="n"/>
      <c r="I201" s="40" t="n"/>
      <c r="J201" s="40" t="n"/>
      <c r="K201" s="39" t="n"/>
      <c r="L201" s="41">
        <f>IF(AND(F201&lt;&gt;"",K201&lt;&gt;"Paid",K201&lt;&gt;"Closed unpaid"),Settings!$C$27-(TODAY()-F201),"")</f>
        <v/>
      </c>
      <c r="M201" s="42">
        <f>IF(I201&gt;0,J201/I201,"")</f>
        <v/>
      </c>
      <c r="N201" s="39" t="n"/>
    </row>
    <row r="202">
      <c r="A202" s="38" t="n"/>
      <c r="B202" s="39" t="n"/>
      <c r="C202" s="39" t="n"/>
      <c r="D202" s="39" t="n"/>
      <c r="E202" s="39" t="n"/>
      <c r="F202" s="38" t="n"/>
      <c r="G202" s="39" t="n"/>
      <c r="H202" s="39" t="n"/>
      <c r="I202" s="40" t="n"/>
      <c r="J202" s="40" t="n"/>
      <c r="K202" s="39" t="n"/>
      <c r="L202" s="41">
        <f>IF(AND(F202&lt;&gt;"",K202&lt;&gt;"Paid",K202&lt;&gt;"Closed unpaid"),Settings!$C$27-(TODAY()-F202),"")</f>
        <v/>
      </c>
      <c r="M202" s="42">
        <f>IF(I202&gt;0,J202/I202,"")</f>
        <v/>
      </c>
      <c r="N202" s="39" t="n"/>
    </row>
    <row r="203">
      <c r="A203" s="38" t="n"/>
      <c r="B203" s="39" t="n"/>
      <c r="C203" s="39" t="n"/>
      <c r="D203" s="39" t="n"/>
      <c r="E203" s="39" t="n"/>
      <c r="F203" s="38" t="n"/>
      <c r="G203" s="39" t="n"/>
      <c r="H203" s="39" t="n"/>
      <c r="I203" s="40" t="n"/>
      <c r="J203" s="40" t="n"/>
      <c r="K203" s="39" t="n"/>
      <c r="L203" s="41">
        <f>IF(AND(F203&lt;&gt;"",K203&lt;&gt;"Paid",K203&lt;&gt;"Closed unpaid"),Settings!$C$27-(TODAY()-F203),"")</f>
        <v/>
      </c>
      <c r="M203" s="42">
        <f>IF(I203&gt;0,J203/I203,"")</f>
        <v/>
      </c>
      <c r="N203" s="39" t="n"/>
    </row>
    <row r="204">
      <c r="A204" s="38" t="n"/>
      <c r="B204" s="39" t="n"/>
      <c r="C204" s="39" t="n"/>
      <c r="D204" s="39" t="n"/>
      <c r="E204" s="39" t="n"/>
      <c r="F204" s="38" t="n"/>
      <c r="G204" s="39" t="n"/>
      <c r="H204" s="39" t="n"/>
      <c r="I204" s="40" t="n"/>
      <c r="J204" s="40" t="n"/>
      <c r="K204" s="39" t="n"/>
      <c r="L204" s="41">
        <f>IF(AND(F204&lt;&gt;"",K204&lt;&gt;"Paid",K204&lt;&gt;"Closed unpaid"),Settings!$C$27-(TODAY()-F204),"")</f>
        <v/>
      </c>
      <c r="M204" s="42">
        <f>IF(I204&gt;0,J204/I204,"")</f>
        <v/>
      </c>
      <c r="N204" s="39" t="n"/>
    </row>
    <row r="205">
      <c r="A205" s="38" t="n"/>
      <c r="B205" s="39" t="n"/>
      <c r="C205" s="39" t="n"/>
      <c r="D205" s="39" t="n"/>
      <c r="E205" s="39" t="n"/>
      <c r="F205" s="38" t="n"/>
      <c r="G205" s="39" t="n"/>
      <c r="H205" s="39" t="n"/>
      <c r="I205" s="40" t="n"/>
      <c r="J205" s="40" t="n"/>
      <c r="K205" s="39" t="n"/>
      <c r="L205" s="41">
        <f>IF(AND(F205&lt;&gt;"",K205&lt;&gt;"Paid",K205&lt;&gt;"Closed unpaid"),Settings!$C$27-(TODAY()-F205),"")</f>
        <v/>
      </c>
      <c r="M205" s="42">
        <f>IF(I205&gt;0,J205/I205,"")</f>
        <v/>
      </c>
      <c r="N205" s="39" t="n"/>
    </row>
  </sheetData>
  <mergeCells count="4">
    <mergeCell ref="A4:N4"/>
    <mergeCell ref="J2:L2"/>
    <mergeCell ref="D2:I2"/>
    <mergeCell ref="A2:C2"/>
  </mergeCells>
  <conditionalFormatting sqref="L6:L205">
    <cfRule type="cellIs" priority="1" operator="lessThan" dxfId="0">
      <formula>3</formula>
    </cfRule>
    <cfRule type="cellIs" priority="2" operator="between" dxfId="1">
      <formula>3</formula>
      <formula>7</formula>
    </cfRule>
  </conditionalFormatting>
  <dataValidations count="7">
    <dataValidation sqref="B6:B205" showDropDown="0" showInputMessage="0" showErrorMessage="0" allowBlank="1" type="list">
      <formula1>=Settings!$B$5:$B$24</formula1>
    </dataValidation>
    <dataValidation sqref="E6:E205" showDropDown="0" showInputMessage="0" showErrorMessage="0" allowBlank="1" type="list">
      <formula1>"Airbnb,VRBO,Booking.com,Direct,Other"</formula1>
    </dataValidation>
    <dataValidation sqref="H6:H205" showDropDown="0" showInputMessage="0" showErrorMessage="0" allowBlank="1" type="list">
      <formula1>=Settings!$D$5:$D$14</formula1>
    </dataValidation>
    <dataValidation sqref="K6:K205" showDropDown="0" showInputMessage="0" showErrorMessage="0" allowBlank="1" type="list">
      <formula1>=Settings!$C$5:$C$14</formula1>
    </dataValidation>
    <dataValidation sqref="B6:B205" showDropDown="0" showInputMessage="0" showErrorMessage="0" allowBlank="1" type="list">
      <formula1>=Settings!$B$6:$B$25</formula1>
    </dataValidation>
    <dataValidation sqref="H6:H205" showDropDown="0" showInputMessage="0" showErrorMessage="0" allowBlank="1" type="list">
      <formula1>=Settings!$D$6:$D$15</formula1>
    </dataValidation>
    <dataValidation sqref="K6:K205" showDropDown="0" showInputMessage="0" showErrorMessage="0" allowBlank="1" type="list">
      <formula1>=Settings!$C$6:$C$15</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B5725E"/>
    <outlinePr summaryBelow="1" summaryRight="1"/>
    <pageSetUpPr fitToPage="1"/>
  </sheetPr>
  <dimension ref="A1:L75"/>
  <sheetViews>
    <sheetView workbookViewId="0">
      <selection activeCell="A1" sqref="A1"/>
    </sheetView>
  </sheetViews>
  <sheetFormatPr baseColWidth="8" defaultRowHeight="15"/>
  <cols>
    <col width="4" customWidth="1" min="1" max="1"/>
    <col width="28" customWidth="1" min="2" max="2"/>
    <col width="18" customWidth="1" min="3" max="3"/>
    <col width="14" customWidth="1" min="4" max="4"/>
    <col width="14" customWidth="1" min="5" max="5"/>
    <col width="14" customWidth="1" min="6" max="6"/>
    <col width="14" customWidth="1" min="7" max="7"/>
    <col width="8" customWidth="1" min="8" max="8"/>
    <col width="8" customWidth="1" min="9" max="9"/>
    <col width="8" customWidth="1" min="10" max="10"/>
    <col width="8" customWidth="1" min="11" max="11"/>
    <col width="10" customWidth="1" min="12" max="12"/>
  </cols>
  <sheetData>
    <row r="1" ht="8" customHeight="1">
      <c r="A1" s="1" t="n"/>
      <c r="B1" s="1" t="n"/>
      <c r="C1" s="1" t="n"/>
      <c r="D1" s="1" t="n"/>
      <c r="E1" s="1" t="n"/>
      <c r="F1" s="1" t="n"/>
      <c r="G1" s="1" t="n"/>
      <c r="H1" s="1" t="n"/>
      <c r="I1" s="1" t="n"/>
      <c r="J1" s="1" t="n"/>
      <c r="K1" s="1" t="n"/>
      <c r="L1" s="1" t="n"/>
    </row>
    <row r="2" ht="28" customHeight="1">
      <c r="A2" s="25">
        <f>HYPERLINK("#'Claims Register'!A1", "← BACK")</f>
        <v/>
      </c>
      <c r="B2" s="26" t="n"/>
      <c r="C2" s="26" t="n"/>
      <c r="D2" s="33" t="inlineStr">
        <is>
          <t>CLAIM PACKET</t>
        </is>
      </c>
      <c r="J2" s="34">
        <f>HYPERLINK("#'Coverage Reference'!A1", "NEXT →")</f>
        <v/>
      </c>
      <c r="K2" s="35" t="n"/>
      <c r="L2" s="35" t="n"/>
    </row>
    <row r="3" ht="6" customHeight="1">
      <c r="A3" s="1" t="n"/>
      <c r="B3" s="1" t="n"/>
      <c r="C3" s="1" t="n"/>
      <c r="D3" s="1" t="n"/>
      <c r="E3" s="1" t="n"/>
      <c r="F3" s="1" t="n"/>
      <c r="G3" s="1" t="n"/>
      <c r="H3" s="1" t="n"/>
      <c r="I3" s="1" t="n"/>
      <c r="J3" s="1" t="n"/>
      <c r="K3" s="1" t="n"/>
      <c r="L3" s="1" t="n"/>
    </row>
    <row r="4" ht="18" customHeight="1">
      <c r="A4" s="36" t="inlineStr">
        <is>
          <t>Per-claim worksheet — fill from top to bottom. Reuse for next claim (or duplicate this tab if you want to keep history).</t>
        </is>
      </c>
    </row>
    <row r="6" ht="22" customHeight="1">
      <c r="A6" s="43" t="inlineStr">
        <is>
          <t>§1  INCIDENT</t>
        </is>
      </c>
    </row>
    <row r="7" ht="18" customHeight="1">
      <c r="B7" s="44" t="inlineStr">
        <is>
          <t>Discovery date:</t>
        </is>
      </c>
      <c r="C7" s="38" t="n">
        <v>46037</v>
      </c>
    </row>
    <row r="8" ht="18" customHeight="1">
      <c r="B8" s="44" t="inlineStr">
        <is>
          <t>Discovery time:</t>
        </is>
      </c>
      <c r="C8" s="39" t="inlineStr">
        <is>
          <t>10:42 AM</t>
        </is>
      </c>
    </row>
    <row r="9" ht="18" customHeight="1">
      <c r="B9" s="44" t="inlineStr">
        <is>
          <t>Discovered by:</t>
        </is>
      </c>
      <c r="C9" s="39" t="inlineStr">
        <is>
          <t>Cleaner — Sarah (Smokies Clean)</t>
        </is>
      </c>
    </row>
    <row r="10" ht="18" customHeight="1">
      <c r="B10" s="44" t="inlineStr">
        <is>
          <t>Severity (1-5):</t>
        </is>
      </c>
      <c r="C10" s="39" t="n">
        <v>3</v>
      </c>
    </row>
    <row r="11" ht="18" customHeight="1">
      <c r="B11" s="44" t="inlineStr">
        <is>
          <t>Category:</t>
        </is>
      </c>
      <c r="C11" s="39" t="inlineStr">
        <is>
          <t>Furniture</t>
        </is>
      </c>
    </row>
    <row r="12" ht="24" customHeight="1">
      <c r="B12" s="44" t="inlineStr">
        <is>
          <t>Narrative:</t>
        </is>
      </c>
      <c r="C12" s="45" t="inlineStr">
        <is>
          <t>Cleaner found the coffee table cracked diagonally across the top after guest checkout. Floor in living area is uneven by ~½ inch; guest had moved the table to set up a board game. Damage is structural — table is no longer usable.</t>
        </is>
      </c>
    </row>
    <row r="13" ht="24" customHeight="1"/>
    <row r="14" ht="24" customHeight="1"/>
    <row r="16" ht="22" customHeight="1">
      <c r="A16" s="43" t="inlineStr">
        <is>
          <t>§2  DAMAGE LIST</t>
        </is>
      </c>
    </row>
    <row r="17" ht="20" customHeight="1">
      <c r="B17" s="37" t="inlineStr">
        <is>
          <t>Item description</t>
        </is>
      </c>
      <c r="G17" s="37" t="inlineStr">
        <is>
          <t>Replacement cost</t>
        </is>
      </c>
      <c r="I17" s="37" t="inlineStr">
        <is>
          <t>Receipt?</t>
        </is>
      </c>
      <c r="K17" s="37" t="inlineStr">
        <is>
          <t>Photo?</t>
        </is>
      </c>
    </row>
    <row r="18" ht="18" customHeight="1">
      <c r="B18" s="39" t="inlineStr">
        <is>
          <t>West Elm Mid-Century Coffee Table (oak)</t>
        </is>
      </c>
      <c r="G18" s="46" t="n">
        <v>340</v>
      </c>
      <c r="I18" s="47" t="inlineStr">
        <is>
          <t>Yes</t>
        </is>
      </c>
      <c r="K18" s="47" t="inlineStr">
        <is>
          <t>Yes</t>
        </is>
      </c>
    </row>
    <row r="19" ht="18" customHeight="1">
      <c r="B19" s="39" t="n"/>
      <c r="G19" s="46" t="n"/>
      <c r="I19" s="47" t="n"/>
      <c r="K19" s="47" t="n"/>
    </row>
    <row r="20" ht="18" customHeight="1">
      <c r="B20" s="39" t="n"/>
      <c r="G20" s="46" t="n"/>
      <c r="I20" s="47" t="n"/>
      <c r="K20" s="47" t="n"/>
    </row>
    <row r="21" ht="18" customHeight="1">
      <c r="B21" s="39" t="n"/>
      <c r="G21" s="46" t="n"/>
      <c r="I21" s="47" t="n"/>
      <c r="K21" s="47" t="n"/>
    </row>
    <row r="22" ht="18" customHeight="1">
      <c r="B22" s="39" t="n"/>
      <c r="G22" s="46" t="n"/>
      <c r="I22" s="47" t="n"/>
      <c r="K22" s="47" t="n"/>
    </row>
    <row r="23" ht="18" customHeight="1">
      <c r="B23" s="39" t="n"/>
      <c r="G23" s="46" t="n"/>
      <c r="I23" s="47" t="n"/>
      <c r="K23" s="47" t="n"/>
    </row>
    <row r="24" ht="18" customHeight="1">
      <c r="B24" s="39" t="n"/>
      <c r="G24" s="46" t="n"/>
      <c r="I24" s="47" t="n"/>
      <c r="K24" s="47" t="n"/>
    </row>
    <row r="25" ht="18" customHeight="1">
      <c r="B25" s="39" t="n"/>
      <c r="G25" s="46" t="n"/>
      <c r="I25" s="47" t="n"/>
      <c r="K25" s="47" t="n"/>
    </row>
    <row r="26" ht="18" customHeight="1">
      <c r="B26" s="39" t="n"/>
      <c r="G26" s="46" t="n"/>
      <c r="I26" s="47" t="n"/>
      <c r="K26" s="47" t="n"/>
    </row>
    <row r="27" ht="18" customHeight="1">
      <c r="B27" s="39" t="n"/>
      <c r="G27" s="46" t="n"/>
      <c r="I27" s="47" t="n"/>
      <c r="K27" s="47" t="n"/>
    </row>
    <row r="29" ht="22" customHeight="1">
      <c r="B29" s="48" t="inlineStr">
        <is>
          <t>Total replacement cost:</t>
        </is>
      </c>
      <c r="G29" s="49">
        <f>SUM(G18:H27)</f>
        <v/>
      </c>
    </row>
    <row r="31" ht="22" customHeight="1">
      <c r="A31" s="43" t="inlineStr">
        <is>
          <t>§3  EVIDENCE CHECKLIST  —  AT LEAST 75% TO BE 'SUBMIT-READY'</t>
        </is>
      </c>
    </row>
    <row r="32" ht="18" customHeight="1">
      <c r="B32" s="50" t="inlineStr">
        <is>
          <t>✓</t>
        </is>
      </c>
      <c r="C32" s="51" t="inlineStr">
        <is>
          <t>Before-stay photo of item (intact)</t>
        </is>
      </c>
    </row>
    <row r="33" ht="18" customHeight="1">
      <c r="B33" s="50" t="inlineStr">
        <is>
          <t>✓</t>
        </is>
      </c>
      <c r="C33" s="51" t="inlineStr">
        <is>
          <t>After-stay photo of damage</t>
        </is>
      </c>
    </row>
    <row r="34" ht="18" customHeight="1">
      <c r="B34" s="50" t="inlineStr">
        <is>
          <t>✓</t>
        </is>
      </c>
      <c r="C34" s="51" t="inlineStr">
        <is>
          <t>Replacement receipt or invoice</t>
        </is>
      </c>
    </row>
    <row r="35" ht="18" customHeight="1">
      <c r="B35" s="50" t="inlineStr">
        <is>
          <t>✓</t>
        </is>
      </c>
      <c r="C35" s="51" t="inlineStr">
        <is>
          <t>Written guest message acknowledging</t>
        </is>
      </c>
    </row>
    <row r="36" ht="18" customHeight="1">
      <c r="B36" s="50" t="inlineStr">
        <is>
          <t>—</t>
        </is>
      </c>
      <c r="C36" s="51" t="inlineStr">
        <is>
          <t>Second witness if applicable</t>
        </is>
      </c>
    </row>
    <row r="37" ht="18" customHeight="1">
      <c r="B37" s="50" t="inlineStr">
        <is>
          <t>—</t>
        </is>
      </c>
      <c r="C37" s="51" t="inlineStr">
        <is>
          <t>Police report number (if applicable)</t>
        </is>
      </c>
    </row>
    <row r="38" ht="18" customHeight="1">
      <c r="B38" s="50" t="inlineStr">
        <is>
          <t>✓</t>
        </is>
      </c>
      <c r="C38" s="51" t="inlineStr">
        <is>
          <t>Date-stamped photos (metadata visible)</t>
        </is>
      </c>
    </row>
    <row r="39" ht="18" customHeight="1">
      <c r="B39" s="50" t="inlineStr">
        <is>
          <t>✓</t>
        </is>
      </c>
      <c r="C39" s="51" t="inlineStr">
        <is>
          <t>Original receipt of damaged item</t>
        </is>
      </c>
    </row>
    <row r="40" ht="18" customHeight="1">
      <c r="B40" s="50" t="inlineStr">
        <is>
          <t>✓</t>
        </is>
      </c>
      <c r="C40" s="51" t="inlineStr">
        <is>
          <t>Communication log with guest in writing</t>
        </is>
      </c>
    </row>
    <row r="41" ht="18" customHeight="1">
      <c r="B41" s="50" t="inlineStr">
        <is>
          <t>✓</t>
        </is>
      </c>
      <c r="C41" s="51" t="inlineStr">
        <is>
          <t>Cleaner statement or text message</t>
        </is>
      </c>
    </row>
    <row r="42" ht="18" customHeight="1">
      <c r="B42" s="50" t="inlineStr">
        <is>
          <t>✓</t>
        </is>
      </c>
      <c r="C42" s="51" t="inlineStr">
        <is>
          <t>Photos of contributing context (uneven floor)</t>
        </is>
      </c>
    </row>
    <row r="43" ht="18" customHeight="1">
      <c r="B43" s="50" t="inlineStr">
        <is>
          <t>✓</t>
        </is>
      </c>
      <c r="C43" s="51" t="inlineStr">
        <is>
          <t>Inventory of items in room before stay</t>
        </is>
      </c>
    </row>
    <row r="45" ht="22" customHeight="1">
      <c r="B45" s="48" t="inlineStr">
        <is>
          <t>Completeness score:</t>
        </is>
      </c>
      <c r="C45" s="52">
        <f>COUNTIF(B32:B43,"✓")/12</f>
        <v/>
      </c>
    </row>
    <row r="46" ht="22" customHeight="1">
      <c r="B46" s="48" t="inlineStr">
        <is>
          <t>Submit-ready?</t>
        </is>
      </c>
      <c r="C46" s="53">
        <f>IF(C45&gt;=0.75,"✅ Submit-ready","⚠ Gather more evidence")</f>
        <v/>
      </c>
    </row>
    <row r="48" ht="22" customHeight="1">
      <c r="A48" s="43" t="inlineStr">
        <is>
          <t>§4  COMMUNICATIONS LOG</t>
        </is>
      </c>
    </row>
    <row r="49" ht="20" customHeight="1">
      <c r="B49" s="37" t="inlineStr">
        <is>
          <t>Date / time</t>
        </is>
      </c>
      <c r="E49" s="37" t="inlineStr">
        <is>
          <t>Channel</t>
        </is>
      </c>
      <c r="G49" s="37" t="inlineStr">
        <is>
          <t>Direction</t>
        </is>
      </c>
      <c r="H49" s="37" t="inlineStr">
        <is>
          <t>Summary</t>
        </is>
      </c>
    </row>
    <row r="50" ht="18" customHeight="1">
      <c r="B50" s="39" t="inlineStr">
        <is>
          <t>2026-01-15 11:02 AM</t>
        </is>
      </c>
      <c r="E50" s="39" t="inlineStr">
        <is>
          <t>Airbnb msg</t>
        </is>
      </c>
      <c r="G50" s="47" t="inlineStr">
        <is>
          <t>Out</t>
        </is>
      </c>
      <c r="H50" s="39" t="inlineStr">
        <is>
          <t>Notified guest, asked what happened, included photo.</t>
        </is>
      </c>
    </row>
    <row r="51" ht="18" customHeight="1">
      <c r="B51" s="39" t="inlineStr">
        <is>
          <t>2026-01-15 02:18 PM</t>
        </is>
      </c>
      <c r="E51" s="39" t="inlineStr">
        <is>
          <t>Airbnb msg</t>
        </is>
      </c>
      <c r="G51" s="47" t="inlineStr">
        <is>
          <t>In</t>
        </is>
      </c>
      <c r="H51" s="39" t="inlineStr">
        <is>
          <t>Guest acknowledged moving table, apologized, declined direct payment.</t>
        </is>
      </c>
    </row>
    <row r="52" ht="18" customHeight="1">
      <c r="B52" s="39" t="inlineStr">
        <is>
          <t>2026-01-15 03:30 PM</t>
        </is>
      </c>
      <c r="E52" s="39" t="inlineStr">
        <is>
          <t>Airbnb msg</t>
        </is>
      </c>
      <c r="G52" s="47" t="inlineStr">
        <is>
          <t>Out</t>
        </is>
      </c>
      <c r="H52" s="39" t="inlineStr">
        <is>
          <t>Opened AirCover claim through Resolution Center.</t>
        </is>
      </c>
    </row>
    <row r="53" ht="18" customHeight="1">
      <c r="B53" s="39" t="inlineStr">
        <is>
          <t>2026-01-18 09:15 AM</t>
        </is>
      </c>
      <c r="E53" s="39" t="inlineStr">
        <is>
          <t>Airbnb msg</t>
        </is>
      </c>
      <c r="G53" s="47" t="inlineStr">
        <is>
          <t>In</t>
        </is>
      </c>
      <c r="H53" s="39" t="inlineStr">
        <is>
          <t>AirCover requested replacement receipt + serial of damaged item.</t>
        </is>
      </c>
    </row>
    <row r="54" ht="18" customHeight="1">
      <c r="B54" s="39" t="inlineStr">
        <is>
          <t>2026-01-18 10:40 AM</t>
        </is>
      </c>
      <c r="E54" s="39" t="inlineStr">
        <is>
          <t>Airbnb msg</t>
        </is>
      </c>
      <c r="G54" s="47" t="inlineStr">
        <is>
          <t>Out</t>
        </is>
      </c>
      <c r="H54" s="39" t="inlineStr">
        <is>
          <t>Sent receipt scan + product page screenshot.</t>
        </is>
      </c>
    </row>
    <row r="55" ht="18" customHeight="1">
      <c r="B55" s="39" t="inlineStr">
        <is>
          <t>2026-01-24 01:22 PM</t>
        </is>
      </c>
      <c r="E55" s="39" t="inlineStr">
        <is>
          <t>Airbnb email</t>
        </is>
      </c>
      <c r="G55" s="47" t="inlineStr">
        <is>
          <t>In</t>
        </is>
      </c>
      <c r="H55" s="39" t="inlineStr">
        <is>
          <t>AirCover approved $340 full payout.</t>
        </is>
      </c>
    </row>
    <row r="56" ht="18" customHeight="1">
      <c r="B56" s="39" t="n"/>
      <c r="E56" s="39" t="n"/>
      <c r="G56" s="47" t="n"/>
      <c r="H56" s="39" t="n"/>
    </row>
    <row r="57" ht="18" customHeight="1">
      <c r="B57" s="39" t="n"/>
      <c r="E57" s="39" t="n"/>
      <c r="G57" s="47" t="n"/>
      <c r="H57" s="39" t="n"/>
    </row>
    <row r="59" ht="22" customHeight="1">
      <c r="A59" s="43" t="inlineStr">
        <is>
          <t>§5  TIMELINE</t>
        </is>
      </c>
    </row>
    <row r="60" ht="18" customHeight="1">
      <c r="B60" s="44" t="inlineStr">
        <is>
          <t>Discovery</t>
        </is>
      </c>
      <c r="C60" s="38" t="n">
        <v>46037</v>
      </c>
    </row>
    <row r="61" ht="18" customHeight="1">
      <c r="B61" s="44" t="inlineStr">
        <is>
          <t>Guest contact opened</t>
        </is>
      </c>
      <c r="C61" s="38" t="n">
        <v>46037</v>
      </c>
    </row>
    <row r="62" ht="18" customHeight="1">
      <c r="B62" s="44" t="inlineStr">
        <is>
          <t>Platform claim escalated</t>
        </is>
      </c>
      <c r="C62" s="38" t="n">
        <v>46037</v>
      </c>
    </row>
    <row r="63" ht="18" customHeight="1">
      <c r="B63" s="44" t="inlineStr">
        <is>
          <t>Submission complete</t>
        </is>
      </c>
      <c r="C63" s="38" t="n">
        <v>46040</v>
      </c>
    </row>
    <row r="64" ht="18" customHeight="1">
      <c r="B64" s="44" t="inlineStr">
        <is>
          <t>Platform response</t>
        </is>
      </c>
      <c r="C64" s="38" t="n">
        <v>46040</v>
      </c>
    </row>
    <row r="65" ht="18" customHeight="1">
      <c r="B65" s="44" t="inlineStr">
        <is>
          <t>Resolution</t>
        </is>
      </c>
      <c r="C65" s="38" t="n">
        <v>46046</v>
      </c>
    </row>
    <row r="67" ht="22" customHeight="1">
      <c r="A67" s="43" t="inlineStr">
        <is>
          <t>§6  OUTCOME</t>
        </is>
      </c>
    </row>
    <row r="68" ht="18" customHeight="1">
      <c r="B68" s="44" t="inlineStr">
        <is>
          <t>$ Requested:</t>
        </is>
      </c>
      <c r="C68" s="46" t="n">
        <v>340</v>
      </c>
    </row>
    <row r="69" ht="18" customHeight="1">
      <c r="B69" s="44" t="inlineStr">
        <is>
          <t>$ Received:</t>
        </is>
      </c>
      <c r="C69" s="46" t="n">
        <v>340</v>
      </c>
    </row>
    <row r="70" ht="18" customHeight="1">
      <c r="B70" s="44" t="inlineStr">
        <is>
          <t>Denial reason:</t>
        </is>
      </c>
      <c r="C70" s="39" t="inlineStr">
        <is>
          <t>—</t>
        </is>
      </c>
    </row>
    <row r="71" ht="22" customHeight="1">
      <c r="B71" s="44" t="inlineStr">
        <is>
          <t>Lessons learned:</t>
        </is>
      </c>
      <c r="C71" s="45" t="inlineStr">
        <is>
          <t>Cleaner texts photos of any room with movable heavy furniture WITHIN 30 minutes of arrival from now on. Reduces 'pre-existing' disputes.</t>
        </is>
      </c>
    </row>
    <row r="72" ht="22" customHeight="1"/>
    <row r="73" ht="22" customHeight="1"/>
    <row r="75" ht="28" customHeight="1">
      <c r="A75" s="54" t="inlineStr">
        <is>
          <t>When the claim closes — copy the outcome row up to the Claims Register so the at-a-glance dashboard reflects it. Then reuse this packet for the next claim.</t>
        </is>
      </c>
    </row>
  </sheetData>
  <mergeCells count="114">
    <mergeCell ref="G21:H21"/>
    <mergeCell ref="C61:F61"/>
    <mergeCell ref="K24:L24"/>
    <mergeCell ref="B57:D57"/>
    <mergeCell ref="B25:F25"/>
    <mergeCell ref="H54:L54"/>
    <mergeCell ref="G23:H23"/>
    <mergeCell ref="B53:D53"/>
    <mergeCell ref="I26:J26"/>
    <mergeCell ref="B18:F18"/>
    <mergeCell ref="B27:F27"/>
    <mergeCell ref="K26:L26"/>
    <mergeCell ref="E51:F51"/>
    <mergeCell ref="H56:L56"/>
    <mergeCell ref="I25:J25"/>
    <mergeCell ref="C62:F62"/>
    <mergeCell ref="C34:L34"/>
    <mergeCell ref="H49:L49"/>
    <mergeCell ref="G18:H18"/>
    <mergeCell ref="C42:L42"/>
    <mergeCell ref="I18:J18"/>
    <mergeCell ref="C64:F64"/>
    <mergeCell ref="E49:F49"/>
    <mergeCell ref="C63:F63"/>
    <mergeCell ref="B54:D54"/>
    <mergeCell ref="C7:G7"/>
    <mergeCell ref="G20:H20"/>
    <mergeCell ref="I20:J20"/>
    <mergeCell ref="B20:F20"/>
    <mergeCell ref="B56:D56"/>
    <mergeCell ref="A6:L6"/>
    <mergeCell ref="E53:F53"/>
    <mergeCell ref="G22:H22"/>
    <mergeCell ref="C39:L39"/>
    <mergeCell ref="E55:F55"/>
    <mergeCell ref="C70:L70"/>
    <mergeCell ref="C12:L14"/>
    <mergeCell ref="A75:L75"/>
    <mergeCell ref="C32:L32"/>
    <mergeCell ref="C38:L38"/>
    <mergeCell ref="K21:L21"/>
    <mergeCell ref="H51:L51"/>
    <mergeCell ref="B17:F17"/>
    <mergeCell ref="C33:L33"/>
    <mergeCell ref="A4:L4"/>
    <mergeCell ref="J2:L2"/>
    <mergeCell ref="G24:H24"/>
    <mergeCell ref="I24:J24"/>
    <mergeCell ref="B19:F19"/>
    <mergeCell ref="K27:L27"/>
    <mergeCell ref="A31:L31"/>
    <mergeCell ref="C35:L35"/>
    <mergeCell ref="H57:L57"/>
    <mergeCell ref="A67:L67"/>
    <mergeCell ref="I17:J17"/>
    <mergeCell ref="G26:H26"/>
    <mergeCell ref="K17:L17"/>
    <mergeCell ref="G25:H25"/>
    <mergeCell ref="I19:J19"/>
    <mergeCell ref="K19:L19"/>
    <mergeCell ref="C36:L36"/>
    <mergeCell ref="E50:F50"/>
    <mergeCell ref="A16:L16"/>
    <mergeCell ref="K25:L25"/>
    <mergeCell ref="E52:F52"/>
    <mergeCell ref="A2:C2"/>
    <mergeCell ref="B21:F21"/>
    <mergeCell ref="C37:L37"/>
    <mergeCell ref="C69:L69"/>
    <mergeCell ref="C10:G10"/>
    <mergeCell ref="B49:D49"/>
    <mergeCell ref="B23:F23"/>
    <mergeCell ref="C9:G9"/>
    <mergeCell ref="B51:D51"/>
    <mergeCell ref="I21:J21"/>
    <mergeCell ref="C45:F45"/>
    <mergeCell ref="B50:D50"/>
    <mergeCell ref="C11:G11"/>
    <mergeCell ref="I23:J23"/>
    <mergeCell ref="C65:F65"/>
    <mergeCell ref="K23:L23"/>
    <mergeCell ref="A59:L59"/>
    <mergeCell ref="C41:L41"/>
    <mergeCell ref="E57:F57"/>
    <mergeCell ref="E54:F54"/>
    <mergeCell ref="G49"/>
    <mergeCell ref="C46:F46"/>
    <mergeCell ref="C43:L43"/>
    <mergeCell ref="E56:F56"/>
    <mergeCell ref="K18:L18"/>
    <mergeCell ref="C60:F60"/>
    <mergeCell ref="D2:I2"/>
    <mergeCell ref="H53:L53"/>
    <mergeCell ref="C71:L73"/>
    <mergeCell ref="G27:H27"/>
    <mergeCell ref="I27:J27"/>
    <mergeCell ref="H50:L50"/>
    <mergeCell ref="B22:F22"/>
    <mergeCell ref="H55:L55"/>
    <mergeCell ref="G17:H17"/>
    <mergeCell ref="K20:L20"/>
    <mergeCell ref="G19:H19"/>
    <mergeCell ref="C68:L68"/>
    <mergeCell ref="I22:J22"/>
    <mergeCell ref="K22:L22"/>
    <mergeCell ref="B55:D55"/>
    <mergeCell ref="H52:L52"/>
    <mergeCell ref="C8:G8"/>
    <mergeCell ref="A48:L48"/>
    <mergeCell ref="G29:H29"/>
    <mergeCell ref="B24:F24"/>
    <mergeCell ref="C40:L40"/>
    <mergeCell ref="B52:D52"/>
    <mergeCell ref="B26:F26"/>
  </mergeCells>
  <dataValidations count="30">
    <dataValidation sqref="C11" showDropDown="0" showInputMessage="0" showErrorMessage="0" allowBlank="1" type="list">
      <formula1>=Settings!$D$5:$D$14</formula1>
    </dataValidation>
    <dataValidation sqref="I18" showDropDown="0" showInputMessage="0" showErrorMessage="0" allowBlank="1" type="list">
      <formula1>"Yes,No"</formula1>
    </dataValidation>
    <dataValidation sqref="K18" showDropDown="0" showInputMessage="0" showErrorMessage="0" allowBlank="1" type="list">
      <formula1>"Yes,No"</formula1>
    </dataValidation>
    <dataValidation sqref="I19" showDropDown="0" showInputMessage="0" showErrorMessage="0" allowBlank="1" type="list">
      <formula1>"Yes,No"</formula1>
    </dataValidation>
    <dataValidation sqref="K19" showDropDown="0" showInputMessage="0" showErrorMessage="0" allowBlank="1" type="list">
      <formula1>"Yes,No"</formula1>
    </dataValidation>
    <dataValidation sqref="I20" showDropDown="0" showInputMessage="0" showErrorMessage="0" allowBlank="1" type="list">
      <formula1>"Yes,No"</formula1>
    </dataValidation>
    <dataValidation sqref="K20" showDropDown="0" showInputMessage="0" showErrorMessage="0" allowBlank="1" type="list">
      <formula1>"Yes,No"</formula1>
    </dataValidation>
    <dataValidation sqref="I21" showDropDown="0" showInputMessage="0" showErrorMessage="0" allowBlank="1" type="list">
      <formula1>"Yes,No"</formula1>
    </dataValidation>
    <dataValidation sqref="K21" showDropDown="0" showInputMessage="0" showErrorMessage="0" allowBlank="1" type="list">
      <formula1>"Yes,No"</formula1>
    </dataValidation>
    <dataValidation sqref="I22" showDropDown="0" showInputMessage="0" showErrorMessage="0" allowBlank="1" type="list">
      <formula1>"Yes,No"</formula1>
    </dataValidation>
    <dataValidation sqref="K22" showDropDown="0" showInputMessage="0" showErrorMessage="0" allowBlank="1" type="list">
      <formula1>"Yes,No"</formula1>
    </dataValidation>
    <dataValidation sqref="I23" showDropDown="0" showInputMessage="0" showErrorMessage="0" allowBlank="1" type="list">
      <formula1>"Yes,No"</formula1>
    </dataValidation>
    <dataValidation sqref="K23" showDropDown="0" showInputMessage="0" showErrorMessage="0" allowBlank="1" type="list">
      <formula1>"Yes,No"</formula1>
    </dataValidation>
    <dataValidation sqref="I24" showDropDown="0" showInputMessage="0" showErrorMessage="0" allowBlank="1" type="list">
      <formula1>"Yes,No"</formula1>
    </dataValidation>
    <dataValidation sqref="K24" showDropDown="0" showInputMessage="0" showErrorMessage="0" allowBlank="1" type="list">
      <formula1>"Yes,No"</formula1>
    </dataValidation>
    <dataValidation sqref="I25" showDropDown="0" showInputMessage="0" showErrorMessage="0" allowBlank="1" type="list">
      <formula1>"Yes,No"</formula1>
    </dataValidation>
    <dataValidation sqref="K25" showDropDown="0" showInputMessage="0" showErrorMessage="0" allowBlank="1" type="list">
      <formula1>"Yes,No"</formula1>
    </dataValidation>
    <dataValidation sqref="I26" showDropDown="0" showInputMessage="0" showErrorMessage="0" allowBlank="1" type="list">
      <formula1>"Yes,No"</formula1>
    </dataValidation>
    <dataValidation sqref="K26" showDropDown="0" showInputMessage="0" showErrorMessage="0" allowBlank="1" type="list">
      <formula1>"Yes,No"</formula1>
    </dataValidation>
    <dataValidation sqref="I27" showDropDown="0" showInputMessage="0" showErrorMessage="0" allowBlank="1" type="list">
      <formula1>"Yes,No"</formula1>
    </dataValidation>
    <dataValidation sqref="K27" showDropDown="0" showInputMessage="0" showErrorMessage="0" allowBlank="1" type="list">
      <formula1>"Yes,No"</formula1>
    </dataValidation>
    <dataValidation sqref="G50" showDropDown="0" showInputMessage="0" showErrorMessage="0" allowBlank="1" type="list">
      <formula1>"In,Out"</formula1>
    </dataValidation>
    <dataValidation sqref="G51" showDropDown="0" showInputMessage="0" showErrorMessage="0" allowBlank="1" type="list">
      <formula1>"In,Out"</formula1>
    </dataValidation>
    <dataValidation sqref="G52" showDropDown="0" showInputMessage="0" showErrorMessage="0" allowBlank="1" type="list">
      <formula1>"In,Out"</formula1>
    </dataValidation>
    <dataValidation sqref="G53" showDropDown="0" showInputMessage="0" showErrorMessage="0" allowBlank="1" type="list">
      <formula1>"In,Out"</formula1>
    </dataValidation>
    <dataValidation sqref="G54" showDropDown="0" showInputMessage="0" showErrorMessage="0" allowBlank="1" type="list">
      <formula1>"In,Out"</formula1>
    </dataValidation>
    <dataValidation sqref="G55" showDropDown="0" showInputMessage="0" showErrorMessage="0" allowBlank="1" type="list">
      <formula1>"In,Out"</formula1>
    </dataValidation>
    <dataValidation sqref="G56" showDropDown="0" showInputMessage="0" showErrorMessage="0" allowBlank="1" type="list">
      <formula1>"In,Out"</formula1>
    </dataValidation>
    <dataValidation sqref="G57" showDropDown="0" showInputMessage="0" showErrorMessage="0" allowBlank="1" type="list">
      <formula1>"In,Out"</formula1>
    </dataValidation>
    <dataValidation sqref="C11" showDropDown="0" showInputMessage="0" showErrorMessage="0" allowBlank="1" type="list">
      <formula1>=Settings!$D$6:$D$15</formula1>
    </dataValidation>
  </dataValidations>
  <pageMargins left="0.4" right="0.4" top="0.5" bottom="0.5" header="0.5" footer="0.5"/>
  <pageSetup orientation="portrait" paperSize="1" fitToHeight="0" fitToWidth="1"/>
</worksheet>
</file>

<file path=xl/worksheets/sheet4.xml><?xml version="1.0" encoding="utf-8"?>
<worksheet xmlns="http://schemas.openxmlformats.org/spreadsheetml/2006/main">
  <sheetPr>
    <tabColor rgb="00F6EFE2"/>
    <outlinePr summaryBelow="1" summaryRight="1"/>
    <pageSetUpPr/>
  </sheetPr>
  <dimension ref="A1:L89"/>
  <sheetViews>
    <sheetView workbookViewId="0">
      <selection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8" customHeight="1">
      <c r="A1" s="1" t="n"/>
      <c r="B1" s="1" t="n"/>
      <c r="C1" s="1" t="n"/>
      <c r="D1" s="1" t="n"/>
      <c r="E1" s="1" t="n"/>
      <c r="F1" s="1" t="n"/>
      <c r="G1" s="1" t="n"/>
      <c r="H1" s="1" t="n"/>
      <c r="I1" s="1" t="n"/>
      <c r="J1" s="1" t="n"/>
      <c r="K1" s="1" t="n"/>
      <c r="L1" s="1" t="n"/>
    </row>
    <row r="2" ht="28" customHeight="1">
      <c r="A2" s="25">
        <f>HYPERLINK("#'Claim Packet'!A1", "← BACK")</f>
        <v/>
      </c>
      <c r="B2" s="26" t="n"/>
      <c r="C2" s="26" t="n"/>
      <c r="D2" s="33" t="inlineStr">
        <is>
          <t>COVERAGE REFERENCE</t>
        </is>
      </c>
      <c r="J2" s="34">
        <f>HYPERLINK("#'Message Scripts'!A1", "NEXT →")</f>
        <v/>
      </c>
      <c r="K2" s="35" t="n"/>
      <c r="L2" s="35" t="n"/>
    </row>
    <row r="3" ht="6" customHeight="1">
      <c r="A3" s="1" t="n"/>
      <c r="B3" s="1" t="n"/>
      <c r="C3" s="1" t="n"/>
      <c r="D3" s="1" t="n"/>
      <c r="E3" s="1" t="n"/>
      <c r="F3" s="1" t="n"/>
      <c r="G3" s="1" t="n"/>
      <c r="H3" s="1" t="n"/>
      <c r="I3" s="1" t="n"/>
      <c r="J3" s="1" t="n"/>
      <c r="K3" s="1" t="n"/>
      <c r="L3" s="1" t="n"/>
    </row>
    <row r="4" ht="22" customHeight="1">
      <c r="A4" s="36" t="inlineStr">
        <is>
          <t>Policy snapshots — verified 2026-05-02. Verify the current policy at each platform's help center before relying on this for a claim.</t>
        </is>
      </c>
    </row>
    <row r="6" ht="30" customHeight="1">
      <c r="A6" s="55" t="inlineStr">
        <is>
          <t>Airbnb AirCover for Hosts</t>
        </is>
      </c>
    </row>
    <row r="7" ht="18" customHeight="1">
      <c r="A7" s="56" t="inlineStr">
        <is>
          <t>Reference: https://www.airbnb.com/aircover-for-hosts</t>
        </is>
      </c>
    </row>
    <row r="9" ht="20" customHeight="1">
      <c r="A9" s="57" t="inlineStr">
        <is>
          <t>✓  COVERED</t>
        </is>
      </c>
    </row>
    <row r="10" ht="18" customHeight="1">
      <c r="A10" s="58" t="inlineStr">
        <is>
          <t xml:space="preserve">  •  Damage to your home, furnishings, or personal belongings caused by guest</t>
        </is>
      </c>
    </row>
    <row r="11" ht="18" customHeight="1">
      <c r="A11" s="58" t="inlineStr">
        <is>
          <t xml:space="preserve">  •  Pet damage (whether or not pets were disclosed)</t>
        </is>
      </c>
    </row>
    <row r="12" ht="18" customHeight="1">
      <c r="A12" s="58" t="inlineStr">
        <is>
          <t xml:space="preserve">  •  Income lost from cancellations required by guest damage</t>
        </is>
      </c>
    </row>
    <row r="13" ht="18" customHeight="1">
      <c r="A13" s="58" t="inlineStr">
        <is>
          <t xml:space="preserve">  •  Deep cleaning cost from extreme mess (smoke, biohazard)</t>
        </is>
      </c>
    </row>
    <row r="14" ht="18" customHeight="1">
      <c r="A14" s="58" t="inlineStr">
        <is>
          <t xml:space="preserve">  •  Damage from guests' guests / unauthorized parties</t>
        </is>
      </c>
    </row>
    <row r="15" ht="18" customHeight="1">
      <c r="A15" s="58" t="inlineStr">
        <is>
          <t xml:space="preserve">  •  Auto / boat / equipment damage at the listing</t>
        </is>
      </c>
    </row>
    <row r="16" ht="18" customHeight="1">
      <c r="A16" s="58" t="inlineStr">
        <is>
          <t xml:space="preserve">  •  Up to $3M USD in primary host damage protection</t>
        </is>
      </c>
    </row>
    <row r="17" ht="18" customHeight="1">
      <c r="A17" s="58" t="inlineStr">
        <is>
          <t xml:space="preserve">  •  $1M USD in liability for guest injury or guest property damage</t>
        </is>
      </c>
    </row>
    <row r="19" ht="20" customHeight="1">
      <c r="A19" s="59" t="inlineStr">
        <is>
          <t>✗  NOT COVERED</t>
        </is>
      </c>
    </row>
    <row r="20" ht="18" customHeight="1">
      <c r="A20" s="58" t="inlineStr">
        <is>
          <t xml:space="preserve">  •  Normal wear and tear (worn carpet, sun-faded fabric, scuffs)</t>
        </is>
      </c>
    </row>
    <row r="21" ht="18" customHeight="1">
      <c r="A21" s="58" t="inlineStr">
        <is>
          <t xml:space="preserve">  •  Pre-existing damage (date-stamp your before-stay photos)</t>
        </is>
      </c>
    </row>
    <row r="22" ht="18" customHeight="1">
      <c r="A22" s="58" t="inlineStr">
        <is>
          <t xml:space="preserve">  •  Damage caused by host or host's family</t>
        </is>
      </c>
    </row>
    <row r="23" ht="18" customHeight="1">
      <c r="A23" s="58" t="inlineStr">
        <is>
          <t xml:space="preserve">  •  Cash, securities, deeds, or collectibles above stated limits</t>
        </is>
      </c>
    </row>
    <row r="24" ht="18" customHeight="1">
      <c r="A24" s="58" t="inlineStr">
        <is>
          <t xml:space="preserve">  •  Acts of war, nuclear/radiological events, intentional damage by host</t>
        </is>
      </c>
    </row>
    <row r="26" ht="18" customHeight="1">
      <c r="A26" s="60" t="inlineStr">
        <is>
          <t>FILING WINDOW</t>
        </is>
      </c>
    </row>
    <row r="27" ht="22" customHeight="1">
      <c r="A27" s="61" t="inlineStr">
        <is>
          <t>Within 14 days of guest checkout OR before next guest checks in, whichever is sooner. The 'next-guest' constraint catches many hosts off guard.</t>
        </is>
      </c>
    </row>
    <row r="28" ht="22" customHeight="1"/>
    <row r="29" ht="18" customHeight="1">
      <c r="A29" s="60" t="inlineStr">
        <is>
          <t>EVIDENCE REQUIRED</t>
        </is>
      </c>
    </row>
    <row r="30" ht="22" customHeight="1">
      <c r="A30" s="61" t="inlineStr">
        <is>
          <t>Photos of damage, replacement receipts/invoices, written communication with guest, original receipts of damaged items if requested.</t>
        </is>
      </c>
    </row>
    <row r="31" ht="22" customHeight="1"/>
    <row r="32" ht="18" customHeight="1">
      <c r="A32" s="60" t="inlineStr">
        <is>
          <t>DISPUTE PATH</t>
        </is>
      </c>
    </row>
    <row r="33" ht="22" customHeight="1">
      <c r="A33" s="61" t="inlineStr">
        <is>
          <t>Resolution Center → AirCover claim → if denied, request review by Airbnb Trust &amp; Safety. Final escalation: state DOI complaint (rare).</t>
        </is>
      </c>
    </row>
    <row r="34" ht="22" customHeight="1"/>
    <row r="37" ht="30" customHeight="1">
      <c r="A37" s="55" t="inlineStr">
        <is>
          <t>VRBO Property Damage Protection</t>
        </is>
      </c>
    </row>
    <row r="38" ht="18" customHeight="1">
      <c r="A38" s="56" t="inlineStr">
        <is>
          <t>Reference: https://help.vrbo.com/articles/Property-Damage-Protection</t>
        </is>
      </c>
    </row>
    <row r="40" ht="20" customHeight="1">
      <c r="A40" s="57" t="inlineStr">
        <is>
          <t>✓  COVERED</t>
        </is>
      </c>
    </row>
    <row r="41" ht="18" customHeight="1">
      <c r="A41" s="58" t="inlineStr">
        <is>
          <t xml:space="preserve">  •  Accidental damage by guest up to property value</t>
        </is>
      </c>
    </row>
    <row r="42" ht="18" customHeight="1">
      <c r="A42" s="58" t="inlineStr">
        <is>
          <t xml:space="preserve">  •  Comes auto-included on most VRBO bookings (verify per booking)</t>
        </is>
      </c>
    </row>
    <row r="43" ht="18" customHeight="1">
      <c r="A43" s="58" t="inlineStr">
        <is>
          <t xml:space="preserve">  •  Replaces traditional damage deposits in most jurisdictions</t>
        </is>
      </c>
    </row>
    <row r="45" ht="20" customHeight="1">
      <c r="A45" s="59" t="inlineStr">
        <is>
          <t>✗  NOT COVERED</t>
        </is>
      </c>
    </row>
    <row r="46" ht="18" customHeight="1">
      <c r="A46" s="58" t="inlineStr">
        <is>
          <t xml:space="preserve">  •  Intentional damage (file a separate claim with criminal report)</t>
        </is>
      </c>
    </row>
    <row r="47" ht="18" customHeight="1">
      <c r="A47" s="58" t="inlineStr">
        <is>
          <t xml:space="preserve">  •  Pre-existing damage</t>
        </is>
      </c>
    </row>
    <row r="48" ht="18" customHeight="1">
      <c r="A48" s="58" t="inlineStr">
        <is>
          <t xml:space="preserve">  •  Normal wear and tear</t>
        </is>
      </c>
    </row>
    <row r="49" ht="18" customHeight="1">
      <c r="A49" s="58" t="inlineStr">
        <is>
          <t xml:space="preserve">  •  Damage from guests' pets unless pets were authorized + paid for</t>
        </is>
      </c>
    </row>
    <row r="51" ht="18" customHeight="1">
      <c r="A51" s="60" t="inlineStr">
        <is>
          <t>FILING WINDOW</t>
        </is>
      </c>
    </row>
    <row r="52" ht="22" customHeight="1">
      <c r="A52" s="61" t="inlineStr">
        <is>
          <t>Within 60 days of guest departure for most accidental damage. Verify the specific booking's terms — coverage varies by package.</t>
        </is>
      </c>
    </row>
    <row r="53" ht="22" customHeight="1"/>
    <row r="54" ht="18" customHeight="1">
      <c r="A54" s="60" t="inlineStr">
        <is>
          <t>EVIDENCE REQUIRED</t>
        </is>
      </c>
    </row>
    <row r="55" ht="22" customHeight="1">
      <c r="A55" s="61" t="inlineStr">
        <is>
          <t>Damage photos, repair estimate or receipt, booking details. VRBO may request a 3-day notice to guest before filing.</t>
        </is>
      </c>
    </row>
    <row r="56" ht="22" customHeight="1"/>
    <row r="57" ht="18" customHeight="1">
      <c r="A57" s="60" t="inlineStr">
        <is>
          <t>DISPUTE PATH</t>
        </is>
      </c>
    </row>
    <row r="58" ht="22" customHeight="1">
      <c r="A58" s="61" t="inlineStr">
        <is>
          <t>VRBO Customer Support → escalate to Trust &amp; Safety. Owners with Premier Partner status get faster review.</t>
        </is>
      </c>
    </row>
    <row r="59" ht="22" customHeight="1"/>
    <row r="62" ht="30" customHeight="1">
      <c r="A62" s="55" t="inlineStr">
        <is>
          <t>Booking.com Partner Liability Insurance</t>
        </is>
      </c>
    </row>
    <row r="63" ht="18" customHeight="1">
      <c r="A63" s="56" t="inlineStr">
        <is>
          <t>Reference: https://partner.booking.com/en-us/help</t>
        </is>
      </c>
    </row>
    <row r="65" ht="20" customHeight="1">
      <c r="A65" s="57" t="inlineStr">
        <is>
          <t>✓  COVERED</t>
        </is>
      </c>
    </row>
    <row r="66" ht="18" customHeight="1">
      <c r="A66" s="58" t="inlineStr">
        <is>
          <t xml:space="preserve">  •  Guest property damage ($/€ amount varies by region)</t>
        </is>
      </c>
    </row>
    <row r="67" ht="18" customHeight="1">
      <c r="A67" s="58" t="inlineStr">
        <is>
          <t xml:space="preserve">  •  Third-party liability at the property</t>
        </is>
      </c>
    </row>
    <row r="68" ht="18" customHeight="1">
      <c r="A68" s="58" t="inlineStr">
        <is>
          <t xml:space="preserve">  •  Coverage included automatically — no opt-in</t>
        </is>
      </c>
    </row>
    <row r="70" ht="20" customHeight="1">
      <c r="A70" s="59" t="inlineStr">
        <is>
          <t>✗  NOT COVERED</t>
        </is>
      </c>
    </row>
    <row r="71" ht="18" customHeight="1">
      <c r="A71" s="58" t="inlineStr">
        <is>
          <t xml:space="preserve">  •  Intentional damage by host or host's family</t>
        </is>
      </c>
    </row>
    <row r="72" ht="18" customHeight="1">
      <c r="A72" s="58" t="inlineStr">
        <is>
          <t xml:space="preserve">  •  Pre-existing damage</t>
        </is>
      </c>
    </row>
    <row r="73" ht="18" customHeight="1">
      <c r="A73" s="58" t="inlineStr">
        <is>
          <t xml:space="preserve">  •  Normal wear and tear</t>
        </is>
      </c>
    </row>
    <row r="74" ht="18" customHeight="1">
      <c r="A74" s="58" t="inlineStr">
        <is>
          <t xml:space="preserve">  •  Loss of income from cancellations (separate process)</t>
        </is>
      </c>
    </row>
    <row r="76" ht="18" customHeight="1">
      <c r="A76" s="60" t="inlineStr">
        <is>
          <t>FILING WINDOW</t>
        </is>
      </c>
    </row>
    <row r="77" ht="22" customHeight="1">
      <c r="A77" s="61" t="inlineStr">
        <is>
          <t>Generally 30 days from guest checkout. Confirm via your Extranet → Inbox → 'Report a problem with this guest' flow.</t>
        </is>
      </c>
    </row>
    <row r="78" ht="22" customHeight="1"/>
    <row r="79" ht="18" customHeight="1">
      <c r="A79" s="60" t="inlineStr">
        <is>
          <t>EVIDENCE REQUIRED</t>
        </is>
      </c>
    </row>
    <row r="80" ht="22" customHeight="1">
      <c r="A80" s="61" t="inlineStr">
        <is>
          <t>Photos, receipts, damage description, guest booking reference.</t>
        </is>
      </c>
    </row>
    <row r="81" ht="22" customHeight="1"/>
    <row r="82" ht="18" customHeight="1">
      <c r="A82" s="60" t="inlineStr">
        <is>
          <t>DISPUTE PATH</t>
        </is>
      </c>
    </row>
    <row r="83" ht="22" customHeight="1">
      <c r="A83" s="61" t="inlineStr">
        <is>
          <t>Booking.com Partner Support → if denied, escalate via Account Manager (Preferred Partner+ tier).</t>
        </is>
      </c>
    </row>
    <row r="84" ht="22" customHeight="1"/>
    <row r="87" ht="18" customHeight="1">
      <c r="A87" s="62" t="inlineStr">
        <is>
          <t>⚠  Claim policies change frequently. Treat this tab as a starting point, not as legal advice. For high-value claims (&gt;$500), confirm the current policy directly with the platform before submission.</t>
        </is>
      </c>
    </row>
    <row r="88" ht="18" customHeight="1"/>
    <row r="89" ht="18" customHeight="1"/>
  </sheetData>
  <mergeCells count="62">
    <mergeCell ref="A16:L16"/>
    <mergeCell ref="A54:L54"/>
    <mergeCell ref="D2:I2"/>
    <mergeCell ref="A7:L7"/>
    <mergeCell ref="A87:L89"/>
    <mergeCell ref="A41:L41"/>
    <mergeCell ref="A77:L78"/>
    <mergeCell ref="A37:L37"/>
    <mergeCell ref="A46:L46"/>
    <mergeCell ref="A66:L66"/>
    <mergeCell ref="A74:L74"/>
    <mergeCell ref="A52:L53"/>
    <mergeCell ref="A21:L21"/>
    <mergeCell ref="A12:L12"/>
    <mergeCell ref="A2:C2"/>
    <mergeCell ref="A83:L84"/>
    <mergeCell ref="A26:L26"/>
    <mergeCell ref="A57:L57"/>
    <mergeCell ref="A42:L42"/>
    <mergeCell ref="A58:L59"/>
    <mergeCell ref="A76:L76"/>
    <mergeCell ref="A71:L71"/>
    <mergeCell ref="A47:L47"/>
    <mergeCell ref="A23:L23"/>
    <mergeCell ref="A32:L32"/>
    <mergeCell ref="A14:L14"/>
    <mergeCell ref="A22:L22"/>
    <mergeCell ref="A17:L17"/>
    <mergeCell ref="A30:L31"/>
    <mergeCell ref="A4:L4"/>
    <mergeCell ref="A62:L62"/>
    <mergeCell ref="A20:L20"/>
    <mergeCell ref="A38:L38"/>
    <mergeCell ref="A72:L72"/>
    <mergeCell ref="J2:L2"/>
    <mergeCell ref="A10:L10"/>
    <mergeCell ref="A29:L29"/>
    <mergeCell ref="A43:L43"/>
    <mergeCell ref="A19:L19"/>
    <mergeCell ref="A63:L63"/>
    <mergeCell ref="A68:L68"/>
    <mergeCell ref="A13:L13"/>
    <mergeCell ref="A40:L40"/>
    <mergeCell ref="A9:L9"/>
    <mergeCell ref="A67:L67"/>
    <mergeCell ref="A80:L81"/>
    <mergeCell ref="A27:L28"/>
    <mergeCell ref="A48:L48"/>
    <mergeCell ref="A55:L56"/>
    <mergeCell ref="A24:L24"/>
    <mergeCell ref="A73:L73"/>
    <mergeCell ref="A15:L15"/>
    <mergeCell ref="A82:L82"/>
    <mergeCell ref="A11:L11"/>
    <mergeCell ref="A49:L49"/>
    <mergeCell ref="A51:L51"/>
    <mergeCell ref="A45:L45"/>
    <mergeCell ref="A6:L6"/>
    <mergeCell ref="A70:L70"/>
    <mergeCell ref="A79:L79"/>
    <mergeCell ref="A33:L34"/>
    <mergeCell ref="A65:L65"/>
  </mergeCells>
  <pageMargins left="0.75" right="0.75" top="1" bottom="1" header="0.5" footer="0.5"/>
</worksheet>
</file>

<file path=xl/worksheets/sheet5.xml><?xml version="1.0" encoding="utf-8"?>
<worksheet xmlns="http://schemas.openxmlformats.org/spreadsheetml/2006/main">
  <sheetPr>
    <tabColor rgb="00F6EFE2"/>
    <outlinePr summaryBelow="1" summaryRight="1"/>
    <pageSetUpPr/>
  </sheetPr>
  <dimension ref="A1:L85"/>
  <sheetViews>
    <sheetView workbookViewId="0">
      <selection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8" customHeight="1">
      <c r="A1" s="1" t="n"/>
      <c r="B1" s="1" t="n"/>
      <c r="C1" s="1" t="n"/>
      <c r="D1" s="1" t="n"/>
      <c r="E1" s="1" t="n"/>
      <c r="F1" s="1" t="n"/>
      <c r="G1" s="1" t="n"/>
      <c r="H1" s="1" t="n"/>
      <c r="I1" s="1" t="n"/>
      <c r="J1" s="1" t="n"/>
      <c r="K1" s="1" t="n"/>
      <c r="L1" s="1" t="n"/>
    </row>
    <row r="2" ht="28" customHeight="1">
      <c r="A2" s="25">
        <f>HYPERLINK("#'Coverage Reference'!A1", "← BACK")</f>
        <v/>
      </c>
      <c r="B2" s="26" t="n"/>
      <c r="C2" s="26" t="n"/>
      <c r="D2" s="33" t="inlineStr">
        <is>
          <t>MESSAGE SCRIPTS</t>
        </is>
      </c>
      <c r="J2" s="34">
        <f>HYPERLINK("#'Annual Damage P&amp;L'!A1", "NEXT →")</f>
        <v/>
      </c>
      <c r="K2" s="35" t="n"/>
      <c r="L2" s="35" t="n"/>
    </row>
    <row r="3" ht="6" customHeight="1">
      <c r="A3" s="1" t="n"/>
      <c r="B3" s="1" t="n"/>
      <c r="C3" s="1" t="n"/>
      <c r="D3" s="1" t="n"/>
      <c r="E3" s="1" t="n"/>
      <c r="F3" s="1" t="n"/>
      <c r="G3" s="1" t="n"/>
      <c r="H3" s="1" t="n"/>
      <c r="I3" s="1" t="n"/>
      <c r="J3" s="1" t="n"/>
      <c r="K3" s="1" t="n"/>
      <c r="L3" s="1" t="n"/>
    </row>
    <row r="4" ht="22" customHeight="1">
      <c r="A4" s="36" t="inlineStr">
        <is>
          <t>Five copy-paste scripts for the most-common claim moments. Replace the [BRACKETED] fields with your specifics.</t>
        </is>
      </c>
    </row>
    <row r="6" ht="28" customHeight="1">
      <c r="A6" s="63" t="inlineStr">
        <is>
          <t>Script 1 — First contact, propose direct resolution</t>
        </is>
      </c>
    </row>
    <row r="7" ht="22" customHeight="1">
      <c r="A7" s="64" t="inlineStr">
        <is>
          <t>When to send:  Within 2-4 hours of damage discovery. Goal: settle direct so you skip the platform process and the guest avoids a claim history. Offer ~70% of replacement cost as a friction-killer.</t>
        </is>
      </c>
    </row>
    <row r="8" ht="22" customHeight="1"/>
    <row r="9" ht="20" customHeight="1">
      <c r="A9" s="65" t="inlineStr">
        <is>
          <t>Subject:  Heads up about [item] in your stay</t>
        </is>
      </c>
    </row>
    <row r="10" ht="16" customHeight="1">
      <c r="A10" s="66" t="inlineStr">
        <is>
          <t>Hi [Guest first name],
Hope your trip home was easy. Quick heads-up — when our cleaner arrived this morning, we found [specific damage to specific item]. We're sure it was an accident.
Easiest path for both of us: would you be open to sending $[70% of replacement cost] via Airbnb's Resolution Center directly? That covers the replacement and we close it out — no formal claim, no marks on your account.
Photos attached for context. Let me know what you think.
Thanks,
[Your name]</t>
        </is>
      </c>
    </row>
    <row r="11" ht="16" customHeight="1"/>
    <row r="12" ht="16" customHeight="1"/>
    <row r="13" ht="16" customHeight="1"/>
    <row r="14" ht="16" customHeight="1"/>
    <row r="15" ht="16" customHeight="1"/>
    <row r="16" ht="16" customHeight="1"/>
    <row r="17" ht="16" customHeight="1"/>
    <row r="18" ht="16" customHeight="1"/>
    <row r="19" ht="16" customHeight="1"/>
    <row r="20" ht="22" customHeight="1">
      <c r="A20" s="67" t="inlineStr">
        <is>
          <t>Customize:  [Guest first name] · [specific damage to specific item] · [70% of replacement cost] · [Your name]</t>
        </is>
      </c>
    </row>
    <row r="23" ht="28" customHeight="1">
      <c r="A23" s="63" t="inlineStr">
        <is>
          <t>Script 2 — Formal claim opening</t>
        </is>
      </c>
    </row>
    <row r="24" ht="22" customHeight="1">
      <c r="A24" s="64" t="inlineStr">
        <is>
          <t>When to send:  If guest doesn't respond to Script 1 within 24 hours, OR if guest declined to pay direct. File the platform claim. Tone: factual, not adversarial.</t>
        </is>
      </c>
    </row>
    <row r="25" ht="22" customHeight="1"/>
    <row r="26" ht="20" customHeight="1">
      <c r="A26" s="65" t="inlineStr">
        <is>
          <t>Subject:  Filing AirCover claim — [Booking ID]</t>
        </is>
      </c>
    </row>
    <row r="27" ht="16" customHeight="1">
      <c r="A27" s="66" t="inlineStr">
        <is>
          <t>Hi [Guest first name],
Following up on the [damage to item] from your stay — since we weren't able to resolve directly, I'm filing an AirCover claim for $[full replacement cost].
I've attached: before-stay photos showing intact, after-stay photos showing damage, and the replacement receipt.
Airbnb may reach out for your side of the story. No action needed from you here unless they ask.
Best,
[Your name]</t>
        </is>
      </c>
    </row>
    <row r="28" ht="16" customHeight="1"/>
    <row r="29" ht="16" customHeight="1"/>
    <row r="30" ht="16" customHeight="1"/>
    <row r="31" ht="16" customHeight="1"/>
    <row r="32" ht="16" customHeight="1"/>
    <row r="33" ht="16" customHeight="1"/>
    <row r="34" ht="16" customHeight="1"/>
    <row r="35" ht="16" customHeight="1"/>
    <row r="36" ht="16" customHeight="1"/>
    <row r="37" ht="22" customHeight="1">
      <c r="A37" s="67" t="inlineStr">
        <is>
          <t>Customize:  [Guest first name] · [damage to item] · [Booking ID] · [full replacement cost] · [Your name]</t>
        </is>
      </c>
    </row>
    <row r="40" ht="28" customHeight="1">
      <c r="A40" s="63" t="inlineStr">
        <is>
          <t>Script 3 — Evidence-request response (when AirCover asks for more)</t>
        </is>
      </c>
    </row>
    <row r="41" ht="22" customHeight="1">
      <c r="A41" s="64" t="inlineStr">
        <is>
          <t>When to send:  AirCover or platform support asks for additional evidence. Respond within 48 hours — slow responses correlate with denials. Be specific, attach everything in one message.</t>
        </is>
      </c>
    </row>
    <row r="42" ht="22" customHeight="1"/>
    <row r="43" ht="20" customHeight="1">
      <c r="A43" s="65" t="inlineStr">
        <is>
          <t>Subject:  RE: AirCover claim [claim ID] — additional evidence</t>
        </is>
      </c>
    </row>
    <row r="44" ht="16" customHeight="1">
      <c r="A44" s="66" t="inlineStr">
        <is>
          <t>Hi [Agent name],
Thanks for the follow-up. Attaching the additional materials you requested:
1. [evidence type 1] — [filename]
2. [evidence type 2] — [filename]
3. [evidence type 3] — [filename]
For context: [brief 2-sentence narrative — what happened, why this evidence is dispositive]. Happy to provide anything else useful.
[Your name] · [Listing name]</t>
        </is>
      </c>
    </row>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22" customHeight="1">
      <c r="A55" s="67" t="inlineStr">
        <is>
          <t>Customize:  [Agent name] · [claim ID] · [evidence type 1/2/3] · [filename] · [Your name] · [Listing name]</t>
        </is>
      </c>
    </row>
    <row r="58" ht="28" customHeight="1">
      <c r="A58" s="63" t="inlineStr">
        <is>
          <t>Script 4 — Dispute response (when platform denies/partial-pays)</t>
        </is>
      </c>
    </row>
    <row r="59" ht="22" customHeight="1">
      <c r="A59" s="64" t="inlineStr">
        <is>
          <t>When to send:  Platform partially pays or denies. Don't escalate emotionally. Reference specific policy language. Request review by a different agent. ~30% of disputed claims flip on second review.</t>
        </is>
      </c>
    </row>
    <row r="60" ht="22" customHeight="1"/>
    <row r="61" ht="20" customHeight="1">
      <c r="A61" s="65" t="inlineStr">
        <is>
          <t>Subject:  Request for second review — claim [claim ID]</t>
        </is>
      </c>
    </row>
    <row r="62" ht="16" customHeight="1">
      <c r="A62" s="66" t="inlineStr">
        <is>
          <t>Hi [Agent name],
Following up on the partial decision on claim [claim ID] ($[awarded] of $[requested]). Respectfully requesting a second review based on the following:
• [Policy language X applies because Y]
• [Evidence already submitted shows Z]
• [Comparable claim resolved differently — if you have one]
I want to resolve this fairly without escalating further. Could you assign a second agent to review?
[Your name]</t>
        </is>
      </c>
    </row>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22" customHeight="1">
      <c r="A73" s="67" t="inlineStr">
        <is>
          <t>Customize:  [Agent name] · [claim ID] · [awarded amount] · [requested amount] · [Policy language X / evidence Z]</t>
        </is>
      </c>
    </row>
    <row r="76" ht="28" customHeight="1">
      <c r="A76" s="63" t="inlineStr">
        <is>
          <t>Script 5 — Post-resolution review management</t>
        </is>
      </c>
    </row>
    <row r="77" ht="22" customHeight="1">
      <c r="A77" s="64" t="inlineStr">
        <is>
          <t>When to send:  After claim closes, before review windows expire. Decide whether to leave a public review. Honest &gt; harsh. Mention damage in a way that warns future hosts without sounding bitter.</t>
        </is>
      </c>
    </row>
    <row r="78" ht="22" customHeight="1"/>
    <row r="79" ht="20" customHeight="1">
      <c r="A79" s="65" t="inlineStr">
        <is>
          <t>Subject:  (internal note — NOT sent to guest; private review only)</t>
        </is>
      </c>
    </row>
    <row r="80" ht="16" customHeight="1">
      <c r="A80" s="66" t="inlineStr">
        <is>
          <t>[Guest first name] communicated promptly and respectfully. Stay was within house rules and quiet hours were observed. [Damage to specific item] occurred during the stay — claim was [paid in full / partial / disputed] through AirCover. Thumbs-up may be appropriate depending on responsiveness; use the private feedback to flag the damage for future hosts.</t>
        </is>
      </c>
    </row>
    <row r="81" ht="16" customHeight="1"/>
    <row r="82" ht="16" customHeight="1"/>
    <row r="83" ht="16" customHeight="1"/>
    <row r="84" ht="16" customHeight="1"/>
    <row r="85" ht="22" customHeight="1">
      <c r="A85" s="67" t="inlineStr">
        <is>
          <t>Customize:  [Guest first name] · [Damage to specific item] · [paid in full / partial / disputed]</t>
        </is>
      </c>
    </row>
  </sheetData>
  <mergeCells count="29">
    <mergeCell ref="D2:I2"/>
    <mergeCell ref="A77:L78"/>
    <mergeCell ref="A37:L37"/>
    <mergeCell ref="A62:L72"/>
    <mergeCell ref="A44:L54"/>
    <mergeCell ref="A27:L36"/>
    <mergeCell ref="A55:L55"/>
    <mergeCell ref="A2:C2"/>
    <mergeCell ref="A26:L26"/>
    <mergeCell ref="A59:L60"/>
    <mergeCell ref="A76:L76"/>
    <mergeCell ref="A85:L85"/>
    <mergeCell ref="A23:L23"/>
    <mergeCell ref="A80:L84"/>
    <mergeCell ref="A24:L25"/>
    <mergeCell ref="A4:L4"/>
    <mergeCell ref="A10:L19"/>
    <mergeCell ref="A20:L20"/>
    <mergeCell ref="J2:L2"/>
    <mergeCell ref="A43:L43"/>
    <mergeCell ref="A7:L8"/>
    <mergeCell ref="A41:L42"/>
    <mergeCell ref="A58:L58"/>
    <mergeCell ref="A40:L40"/>
    <mergeCell ref="A9:L9"/>
    <mergeCell ref="A73:L73"/>
    <mergeCell ref="A61:L61"/>
    <mergeCell ref="A6:L6"/>
    <mergeCell ref="A79:L79"/>
  </mergeCells>
  <pageMargins left="0.75" right="0.75" top="1" bottom="1" header="0.5" footer="0.5"/>
</worksheet>
</file>

<file path=xl/worksheets/sheet6.xml><?xml version="1.0" encoding="utf-8"?>
<worksheet xmlns="http://schemas.openxmlformats.org/spreadsheetml/2006/main">
  <sheetPr>
    <tabColor rgb="00C9A24B"/>
    <outlinePr summaryBelow="1" summaryRight="1"/>
    <pageSetUpPr fitToPage="1"/>
  </sheetPr>
  <dimension ref="A1:L30"/>
  <sheetViews>
    <sheetView workbookViewId="0">
      <selection activeCell="A1" sqref="A1"/>
    </sheetView>
  </sheetViews>
  <sheetFormatPr baseColWidth="8" defaultRowHeight="15"/>
  <cols>
    <col width="4" customWidth="1" min="1" max="1"/>
    <col width="36" customWidth="1" min="2" max="2"/>
    <col width="18"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25">
        <f>HYPERLINK("#'Message Scripts'!A1", "← BACK")</f>
        <v/>
      </c>
      <c r="B2" s="26" t="n"/>
      <c r="C2" s="26" t="n"/>
      <c r="D2" s="33" t="inlineStr">
        <is>
          <t>ANNUAL DAMAGE P&amp;L</t>
        </is>
      </c>
      <c r="J2" s="34">
        <f>HYPERLINK("#'Settings'!A1", "NEXT →")</f>
        <v/>
      </c>
      <c r="K2" s="35" t="n"/>
      <c r="L2" s="35" t="n"/>
    </row>
    <row r="3" ht="6" customHeight="1">
      <c r="A3" s="1" t="n"/>
      <c r="B3" s="1" t="n"/>
      <c r="C3" s="1" t="n"/>
      <c r="D3" s="1" t="n"/>
      <c r="E3" s="1" t="n"/>
      <c r="F3" s="1" t="n"/>
      <c r="G3" s="1" t="n"/>
      <c r="H3" s="1" t="n"/>
      <c r="I3" s="1" t="n"/>
      <c r="J3" s="1" t="n"/>
      <c r="K3" s="1" t="n"/>
      <c r="L3" s="1" t="n"/>
    </row>
    <row r="4" ht="22" customHeight="1">
      <c r="A4" s="36" t="inlineStr">
        <is>
          <t>Year-end summary — claims filed, recovery rate, top loss categories, by-property breakdown. Set the year below; everything else auto-pulls.</t>
        </is>
      </c>
    </row>
    <row r="6" ht="24" customHeight="1">
      <c r="B6" s="48" t="inlineStr">
        <is>
          <t>Tax year:</t>
        </is>
      </c>
      <c r="C6" s="68">
        <f>YEAR(TODAY())</f>
        <v/>
      </c>
    </row>
    <row r="8" ht="28" customHeight="1">
      <c r="A8" s="63" t="inlineStr">
        <is>
          <t>TOTALS</t>
        </is>
      </c>
    </row>
    <row r="9" ht="20" customHeight="1">
      <c r="B9" s="48" t="inlineStr">
        <is>
          <t>Total $ claimed:</t>
        </is>
      </c>
      <c r="C9" s="49">
        <f>SUMPRODUCT((YEAR('Claims Register'!A6:A205)=C6)*'Claims Register'!I6:I205)</f>
        <v/>
      </c>
    </row>
    <row r="10" ht="20" customHeight="1">
      <c r="B10" s="48" t="inlineStr">
        <is>
          <t>Total $ recovered:</t>
        </is>
      </c>
      <c r="C10" s="49">
        <f>SUMPRODUCT((YEAR('Claims Register'!A6:A205)=C6)*'Claims Register'!J6:J205)</f>
        <v/>
      </c>
    </row>
    <row r="11" ht="20" customHeight="1">
      <c r="B11" s="48" t="inlineStr">
        <is>
          <t>Recovery rate:</t>
        </is>
      </c>
      <c r="C11" s="69">
        <f>IFERROR(C10/C9,0)</f>
        <v/>
      </c>
    </row>
    <row r="12" ht="20" customHeight="1">
      <c r="B12" s="48" t="inlineStr">
        <is>
          <t>Claim count:</t>
        </is>
      </c>
      <c r="C12" s="70">
        <f>SUMPRODUCT((YEAR('Claims Register'!A6:A205)=C6)*('Claims Register'!A6:A205&lt;&gt;""))</f>
        <v/>
      </c>
    </row>
    <row r="13" ht="20" customHeight="1">
      <c r="B13" s="48" t="inlineStr">
        <is>
          <t>Avg claim size:</t>
        </is>
      </c>
      <c r="C13" s="49">
        <f>IFERROR(C9/C12,0)</f>
        <v/>
      </c>
    </row>
    <row r="15" ht="28" customHeight="1">
      <c r="A15" s="63" t="inlineStr">
        <is>
          <t>TOP LOSS CATEGORIES</t>
        </is>
      </c>
    </row>
    <row r="16" ht="18" customHeight="1">
      <c r="B16" s="71" t="inlineStr">
        <is>
          <t>Furniture</t>
        </is>
      </c>
      <c r="C16" s="72">
        <f>SUMPRODUCT((YEAR('Claims Register'!A6:A205)=C6)*('Claims Register'!H6:H205=B16)*'Claims Register'!I6:I205)</f>
        <v/>
      </c>
    </row>
    <row r="17" ht="18" customHeight="1">
      <c r="B17" s="71" t="inlineStr">
        <is>
          <t>Appliance</t>
        </is>
      </c>
      <c r="C17" s="72">
        <f>SUMPRODUCT((YEAR('Claims Register'!A6:A205)=C6)*('Claims Register'!H6:H205=B17)*'Claims Register'!I6:I205)</f>
        <v/>
      </c>
    </row>
    <row r="18" ht="18" customHeight="1">
      <c r="B18" s="71" t="inlineStr">
        <is>
          <t>Decor</t>
        </is>
      </c>
      <c r="C18" s="72">
        <f>SUMPRODUCT((YEAR('Claims Register'!A6:A205)=C6)*('Claims Register'!H6:H205=B18)*'Claims Register'!I6:I205)</f>
        <v/>
      </c>
    </row>
    <row r="19" ht="18" customHeight="1">
      <c r="B19" s="71" t="inlineStr">
        <is>
          <t>Linen</t>
        </is>
      </c>
      <c r="C19" s="72">
        <f>SUMPRODUCT((YEAR('Claims Register'!A6:A205)=C6)*('Claims Register'!H6:H205=B19)*'Claims Register'!I6:I205)</f>
        <v/>
      </c>
    </row>
    <row r="20" ht="18" customHeight="1">
      <c r="B20" s="71" t="inlineStr">
        <is>
          <t>Structural</t>
        </is>
      </c>
      <c r="C20" s="72">
        <f>SUMPRODUCT((YEAR('Claims Register'!A6:A205)=C6)*('Claims Register'!H6:H205=B20)*'Claims Register'!I6:I205)</f>
        <v/>
      </c>
    </row>
    <row r="21" ht="18" customHeight="1">
      <c r="B21" s="71" t="inlineStr">
        <is>
          <t>Other</t>
        </is>
      </c>
      <c r="C21" s="72">
        <f>SUMPRODUCT((YEAR('Claims Register'!A6:A205)=C6)*('Claims Register'!H6:H205=B21)*'Claims Register'!I6:I205)</f>
        <v/>
      </c>
    </row>
    <row r="23" ht="28" customHeight="1">
      <c r="A23" s="63" t="inlineStr">
        <is>
          <t>BY PROPERTY</t>
        </is>
      </c>
    </row>
    <row r="24" ht="22" customHeight="1">
      <c r="B24" s="37" t="inlineStr">
        <is>
          <t>Property</t>
        </is>
      </c>
      <c r="C24" s="37" t="inlineStr">
        <is>
          <t>$ Claimed</t>
        </is>
      </c>
      <c r="D24" s="37" t="inlineStr">
        <is>
          <t>$ Recovered</t>
        </is>
      </c>
    </row>
    <row r="25" ht="18" customHeight="1">
      <c r="B25" s="71" t="inlineStr">
        <is>
          <t>Smokies Ridge Cabin</t>
        </is>
      </c>
      <c r="C25" s="72">
        <f>SUMPRODUCT((YEAR('Claims Register'!A6:A205)=C6)*('Claims Register'!B6:B205=B25)*'Claims Register'!I6:I205)</f>
        <v/>
      </c>
      <c r="D25" s="72">
        <f>SUMPRODUCT((YEAR('Claims Register'!A6:A205)=C6)*('Claims Register'!B6:B205=B25)*'Claims Register'!J6:J205)</f>
        <v/>
      </c>
    </row>
    <row r="26" ht="18" customHeight="1">
      <c r="B26" s="71" t="inlineStr">
        <is>
          <t>Creek Side</t>
        </is>
      </c>
      <c r="C26" s="72">
        <f>SUMPRODUCT((YEAR('Claims Register'!A6:A205)=C6)*('Claims Register'!B6:B205=B26)*'Claims Register'!I6:I205)</f>
        <v/>
      </c>
      <c r="D26" s="72">
        <f>SUMPRODUCT((YEAR('Claims Register'!A6:A205)=C6)*('Claims Register'!B6:B205=B26)*'Claims Register'!J6:J205)</f>
        <v/>
      </c>
    </row>
    <row r="27" ht="18" customHeight="1">
      <c r="B27" s="71" t="inlineStr">
        <is>
          <t>Lakehouse A</t>
        </is>
      </c>
      <c r="C27" s="72">
        <f>SUMPRODUCT((YEAR('Claims Register'!A6:A205)=C6)*('Claims Register'!B6:B205=B27)*'Claims Register'!I6:I205)</f>
        <v/>
      </c>
      <c r="D27" s="72">
        <f>SUMPRODUCT((YEAR('Claims Register'!A6:A205)=C6)*('Claims Register'!B6:B205=B27)*'Claims Register'!J6:J205)</f>
        <v/>
      </c>
    </row>
    <row r="28" ht="18" customHeight="1">
      <c r="B28" s="71" t="inlineStr">
        <is>
          <t>Lakehouse B</t>
        </is>
      </c>
      <c r="C28" s="72">
        <f>SUMPRODUCT((YEAR('Claims Register'!A6:A205)=C6)*('Claims Register'!B6:B205=B28)*'Claims Register'!I6:I205)</f>
        <v/>
      </c>
      <c r="D28" s="72">
        <f>SUMPRODUCT((YEAR('Claims Register'!A6:A205)=C6)*('Claims Register'!B6:B205=B28)*'Claims Register'!J6:J205)</f>
        <v/>
      </c>
    </row>
    <row r="29" ht="18" customHeight="1">
      <c r="B29" s="71" t="inlineStr">
        <is>
          <t>Mountain View</t>
        </is>
      </c>
      <c r="C29" s="72">
        <f>SUMPRODUCT((YEAR('Claims Register'!A6:A205)=C6)*('Claims Register'!B6:B205=B29)*'Claims Register'!I6:I205)</f>
        <v/>
      </c>
      <c r="D29" s="72">
        <f>SUMPRODUCT((YEAR('Claims Register'!A6:A205)=C6)*('Claims Register'!B6:B205=B29)*'Claims Register'!J6:J205)</f>
        <v/>
      </c>
    </row>
    <row r="30" ht="18" customHeight="1">
      <c r="B30" s="71" t="inlineStr">
        <is>
          <t>Downtown Loft</t>
        </is>
      </c>
      <c r="C30" s="72">
        <f>SUMPRODUCT((YEAR('Claims Register'!A6:A205)=C6)*('Claims Register'!B6:B205=B30)*'Claims Register'!I6:I205)</f>
        <v/>
      </c>
      <c r="D30" s="72">
        <f>SUMPRODUCT((YEAR('Claims Register'!A6:A205)=C6)*('Claims Register'!B6:B205=B30)*'Claims Register'!J6:J205)</f>
        <v/>
      </c>
    </row>
    <row r="31" ht="18" customHeight="1"/>
    <row r="32" ht="18" customHeight="1"/>
    <row r="33" ht="18" customHeight="1"/>
    <row r="34" ht="18" customHeight="1"/>
  </sheetData>
  <mergeCells count="7">
    <mergeCell ref="J2:L2"/>
    <mergeCell ref="D2:I2"/>
    <mergeCell ref="A15:L15"/>
    <mergeCell ref="A23:L23"/>
    <mergeCell ref="A8:L8"/>
    <mergeCell ref="A2:C2"/>
    <mergeCell ref="A4:L4"/>
  </mergeCells>
  <pageMargins left="0.5" right="0.5" top="0.5" bottom="0.5" header="0.5" footer="0.5"/>
  <pageSetup orientation="portrait" paperSize="1" fitToHeight="1" fitToWidth="1"/>
</worksheet>
</file>

<file path=xl/worksheets/sheet7.xml><?xml version="1.0" encoding="utf-8"?>
<worksheet xmlns="http://schemas.openxmlformats.org/spreadsheetml/2006/main">
  <sheetPr>
    <tabColor rgb="0012304E"/>
    <outlinePr summaryBelow="1" summaryRight="1"/>
    <pageSetUpPr/>
  </sheetPr>
  <dimension ref="A1:L30"/>
  <sheetViews>
    <sheetView workbookViewId="0">
      <selection activeCell="A1" sqref="A1"/>
    </sheetView>
  </sheetViews>
  <sheetFormatPr baseColWidth="8" defaultRowHeight="15"/>
  <cols>
    <col width="4" customWidth="1" min="1" max="1"/>
    <col width="28" customWidth="1" min="2" max="2"/>
    <col width="28" customWidth="1" min="3" max="3"/>
    <col width="28" customWidth="1" min="4" max="4"/>
  </cols>
  <sheetData>
    <row r="1" ht="8" customHeight="1">
      <c r="A1" s="1" t="n"/>
      <c r="B1" s="1" t="n"/>
      <c r="C1" s="1" t="n"/>
      <c r="D1" s="1" t="n"/>
      <c r="E1" s="1" t="n"/>
      <c r="F1" s="1" t="n"/>
      <c r="G1" s="1" t="n"/>
      <c r="H1" s="1" t="n"/>
      <c r="I1" s="1" t="n"/>
      <c r="J1" s="1" t="n"/>
      <c r="K1" s="1" t="n"/>
      <c r="L1" s="1" t="n"/>
    </row>
    <row r="2" ht="28" customHeight="1">
      <c r="A2" s="25">
        <f>HYPERLINK("#'Annual Damage P&amp;L'!A1", "← BACK")</f>
        <v/>
      </c>
      <c r="B2" s="26" t="n"/>
      <c r="C2" s="26" t="n"/>
      <c r="D2" s="33" t="inlineStr">
        <is>
          <t>SETTINGS</t>
        </is>
      </c>
    </row>
    <row r="3" ht="6" customHeight="1">
      <c r="A3" s="1" t="n"/>
      <c r="B3" s="1" t="n"/>
      <c r="C3" s="1" t="n"/>
      <c r="D3" s="1" t="n"/>
      <c r="E3" s="1" t="n"/>
      <c r="F3" s="1" t="n"/>
      <c r="G3" s="1" t="n"/>
      <c r="H3" s="1" t="n"/>
      <c r="I3" s="1" t="n"/>
      <c r="J3" s="1" t="n"/>
      <c r="K3" s="1" t="n"/>
      <c r="L3" s="1" t="n"/>
    </row>
    <row r="4" ht="22" customHeight="1">
      <c r="A4" s="36" t="inlineStr">
        <is>
          <t>Edit these lists to match your portfolio + workflow. They drive the dropdowns on the Claims Register and Claim Packet tabs.</t>
        </is>
      </c>
    </row>
    <row r="5" ht="20" customHeight="1">
      <c r="B5" s="73" t="inlineStr">
        <is>
          <t>Properties</t>
        </is>
      </c>
      <c r="C5" s="73" t="inlineStr">
        <is>
          <t>Claim status</t>
        </is>
      </c>
      <c r="D5" s="73" t="inlineStr">
        <is>
          <t>Damage category</t>
        </is>
      </c>
    </row>
    <row r="6" ht="18" customHeight="1">
      <c r="B6" s="39" t="inlineStr">
        <is>
          <t>Smokies Ridge Cabin</t>
        </is>
      </c>
      <c r="C6" s="39" t="inlineStr">
        <is>
          <t>Discovered</t>
        </is>
      </c>
      <c r="D6" s="39" t="inlineStr">
        <is>
          <t>Furniture</t>
        </is>
      </c>
    </row>
    <row r="7" ht="18" customHeight="1">
      <c r="B7" s="39" t="inlineStr">
        <is>
          <t>Creek Side</t>
        </is>
      </c>
      <c r="C7" s="39" t="inlineStr">
        <is>
          <t>Evidence gathering</t>
        </is>
      </c>
      <c r="D7" s="39" t="inlineStr">
        <is>
          <t>Appliance</t>
        </is>
      </c>
    </row>
    <row r="8" ht="18" customHeight="1">
      <c r="B8" s="39" t="inlineStr">
        <is>
          <t>Lakehouse A</t>
        </is>
      </c>
      <c r="C8" s="39" t="inlineStr">
        <is>
          <t>Submitted</t>
        </is>
      </c>
      <c r="D8" s="39" t="inlineStr">
        <is>
          <t>Decor</t>
        </is>
      </c>
    </row>
    <row r="9" ht="18" customHeight="1">
      <c r="B9" s="39" t="inlineStr">
        <is>
          <t>Lakehouse B</t>
        </is>
      </c>
      <c r="C9" s="39" t="inlineStr">
        <is>
          <t>Disputed</t>
        </is>
      </c>
      <c r="D9" s="39" t="inlineStr">
        <is>
          <t>Linen</t>
        </is>
      </c>
    </row>
    <row r="10" ht="18" customHeight="1">
      <c r="B10" s="39" t="inlineStr">
        <is>
          <t>Mountain View</t>
        </is>
      </c>
      <c r="C10" s="39" t="inlineStr">
        <is>
          <t>Paid</t>
        </is>
      </c>
      <c r="D10" s="39" t="inlineStr">
        <is>
          <t>Structural</t>
        </is>
      </c>
    </row>
    <row r="11" ht="18" customHeight="1">
      <c r="B11" s="39" t="inlineStr">
        <is>
          <t>Downtown Loft</t>
        </is>
      </c>
      <c r="C11" s="39" t="inlineStr">
        <is>
          <t>Closed unpaid</t>
        </is>
      </c>
      <c r="D11" s="39" t="inlineStr">
        <is>
          <t>Other</t>
        </is>
      </c>
    </row>
    <row r="12" ht="18" customHeight="1">
      <c r="B12" s="39" t="n"/>
      <c r="C12" s="39" t="inlineStr">
        <is>
          <t>Other</t>
        </is>
      </c>
      <c r="D12" s="39" t="n"/>
    </row>
    <row r="13" ht="18" customHeight="1">
      <c r="B13" s="39" t="n"/>
      <c r="C13" s="39" t="n"/>
      <c r="D13" s="39" t="n"/>
    </row>
    <row r="14" ht="18" customHeight="1">
      <c r="B14" s="39" t="n"/>
      <c r="C14" s="39" t="n"/>
      <c r="D14" s="39" t="n"/>
    </row>
    <row r="15" ht="18" customHeight="1">
      <c r="B15" s="39" t="n"/>
      <c r="C15" s="39" t="n"/>
      <c r="D15" s="39" t="n"/>
    </row>
    <row r="16" ht="18" customHeight="1">
      <c r="B16" s="39" t="n"/>
    </row>
    <row r="17" ht="18" customHeight="1">
      <c r="B17" s="39" t="n"/>
    </row>
    <row r="18" ht="18" customHeight="1">
      <c r="B18" s="39" t="n"/>
    </row>
    <row r="19" ht="18" customHeight="1">
      <c r="B19" s="39" t="n"/>
    </row>
    <row r="20" ht="18" customHeight="1">
      <c r="B20" s="39" t="n"/>
    </row>
    <row r="21" ht="18" customHeight="1">
      <c r="B21" s="39" t="n"/>
    </row>
    <row r="22" ht="18" customHeight="1">
      <c r="B22" s="39" t="n"/>
    </row>
    <row r="23" ht="18" customHeight="1">
      <c r="B23" s="39" t="n"/>
    </row>
    <row r="24" ht="18" customHeight="1">
      <c r="B24" s="39" t="n"/>
    </row>
    <row r="25" ht="18" customHeight="1">
      <c r="B25" s="39" t="n"/>
    </row>
    <row r="27" ht="24" customHeight="1">
      <c r="B27" s="48" t="inlineStr">
        <is>
          <t>Filing window (days):</t>
        </is>
      </c>
      <c r="C27" s="74" t="n">
        <v>14</v>
      </c>
    </row>
    <row r="28" ht="36" customHeight="1">
      <c r="B28" s="75" t="inlineStr">
        <is>
          <t>Default 14 days = Airbnb's standard filing window from guest checkout. VRBO is generally 60 days, Booking.com generally 30. Set this to match your most-common channel or the strictest one.</t>
        </is>
      </c>
    </row>
    <row r="30" ht="24" customHeight="1">
      <c r="B30" s="48" t="inlineStr">
        <is>
          <t>Coverage Reference verified:</t>
        </is>
      </c>
      <c r="C30" s="76" t="n">
        <v>46144</v>
      </c>
    </row>
  </sheetData>
  <mergeCells count="4">
    <mergeCell ref="D2:L2"/>
    <mergeCell ref="B28:L28"/>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Damage Claim + AirCover Log — The STR Ledger</dc:title>
  <dc:description xmlns:dc="http://purl.org/dc/elements/1.1/">Damage claim management workspace for STR hosts — deadline countdown, evidence completeness, message scripts, AirCover/VRBO/Booking reference.</dc:description>
  <dcterms:created xmlns:dcterms="http://purl.org/dc/terms/" xmlns:xsi="http://www.w3.org/2001/XMLSchema-instance" xsi:type="dcterms:W3CDTF">2026-05-03T19:04:33Z</dcterms:created>
  <dcterms:modified xmlns:dcterms="http://purl.org/dc/terms/" xmlns:xsi="http://www.w3.org/2001/XMLSchema-instance" xsi:type="dcterms:W3CDTF">2026-05-03T19:04:34Z</dcterms:modified>
</cp:coreProperties>
</file>