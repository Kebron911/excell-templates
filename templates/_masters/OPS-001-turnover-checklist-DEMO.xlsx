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intable Checklist" sheetId="2" state="visible" r:id="rId2"/>
    <sheet xmlns:r="http://schemas.openxmlformats.org/officeDocument/2006/relationships" name="Turnover Log" sheetId="3" state="visible" r:id="rId3"/>
    <sheet xmlns:r="http://schemas.openxmlformats.org/officeDocument/2006/relationships" name="Scorecard Dashboard" sheetId="4" state="visible" r:id="rId4"/>
    <sheet xmlns:r="http://schemas.openxmlformats.org/officeDocument/2006/relationships" name="Cleaner Roster" sheetId="5" state="visible" r:id="rId5"/>
    <sheet xmlns:r="http://schemas.openxmlformats.org/officeDocument/2006/relationships" name="Supplies Par Levels" sheetId="6" state="visible" r:id="rId6"/>
  </sheets>
  <definedNames>
    <definedName name="_xlnm.Print_Area" localSheetId="0">'Start'!$A$1:$L$49</definedName>
    <definedName name="_xlnm.Print_Area" localSheetId="1">'Printable Checklist'!$A$4:$D$85</definedName>
    <definedName name="_xlnm.Print_Titles" localSheetId="2">'Turnover Log'!$1:$5</definedName>
    <definedName name="_xlnm.Print_Titles" localSheetId="3">'Scorecard Dashboard'!$1:$5</definedName>
    <definedName name="_xlnm.Print_Area" localSheetId="3">'Scorecard Dashboard'!$A$1:$E$27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&quot;$&quot;#,##0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Georgia"/>
      <b val="1"/>
      <color rgb="0012304E"/>
      <sz val="18"/>
    </font>
    <font>
      <name val="Calibri"/>
      <i val="1"/>
      <color rgb="006B7280"/>
      <sz val="10"/>
    </font>
    <font>
      <name val="Calibri"/>
      <b val="1"/>
      <color rgb="002B2B2B"/>
      <sz val="10"/>
    </font>
    <font>
      <name val="Georgia"/>
      <b val="1"/>
      <color rgb="0012304E"/>
      <sz val="12"/>
    </font>
    <font>
      <name val="Calibri"/>
      <color rgb="002B2B2B"/>
      <sz val="14"/>
    </font>
    <font>
      <name val="Calibri"/>
      <color rgb="002B2B2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bottom style="thin">
        <color rgb="00CCCCCC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2" fillId="3" borderId="5" applyAlignment="1" pivotButton="0" quotePrefix="0" xfId="0">
      <alignment horizontal="center" vertical="center"/>
    </xf>
    <xf numFmtId="9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6" fillId="4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21" fillId="0" borderId="0" pivotButton="0" quotePrefix="0" xfId="0"/>
    <xf numFmtId="0" fontId="22" fillId="0" borderId="0" pivotButton="0" quotePrefix="0" xfId="0"/>
    <xf numFmtId="0" fontId="6" fillId="7" borderId="0" applyAlignment="1" pivotButton="0" quotePrefix="0" xfId="0">
      <alignment horizontal="left" vertical="center"/>
    </xf>
    <xf numFmtId="0" fontId="23" fillId="5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25" fillId="0" borderId="13" applyAlignment="1" pivotButton="0" quotePrefix="0" xfId="0">
      <alignment horizontal="center" vertical="center"/>
    </xf>
    <xf numFmtId="0" fontId="0" fillId="0" borderId="13" pivotButton="0" quotePrefix="0" xfId="0"/>
    <xf numFmtId="0" fontId="26" fillId="2" borderId="0" applyAlignment="1" pivotButton="0" quotePrefix="0" xfId="0">
      <alignment horizontal="right" vertical="center" indent="2"/>
    </xf>
    <xf numFmtId="0" fontId="15" fillId="6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27" fillId="3" borderId="0" applyAlignment="1" pivotButton="0" quotePrefix="0" xfId="0">
      <alignment horizontal="left" vertical="center" indent="1"/>
    </xf>
    <xf numFmtId="0" fontId="17" fillId="2" borderId="15" applyAlignment="1" pivotButton="0" quotePrefix="0" xfId="0">
      <alignment horizontal="center" vertical="center"/>
    </xf>
    <xf numFmtId="165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28" fillId="8" borderId="0" applyAlignment="1" pivotButton="0" quotePrefix="0" xfId="0">
      <alignment horizontal="right" vertical="center"/>
    </xf>
    <xf numFmtId="164" fontId="28" fillId="8" borderId="0" applyAlignment="1" pivotButton="0" quotePrefix="0" xfId="0">
      <alignment horizontal="right" vertical="center"/>
    </xf>
    <xf numFmtId="9" fontId="28" fillId="8" borderId="0" applyAlignment="1" pivotButton="0" quotePrefix="0" xfId="0">
      <alignment horizontal="right" vertical="center"/>
    </xf>
    <xf numFmtId="0" fontId="23" fillId="0" borderId="0" pivotButton="0" quotePrefix="0" xfId="0"/>
    <xf numFmtId="166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C7EFCF"/>
        </patternFill>
      </fill>
    </dxf>
    <dxf>
      <fill>
        <patternFill patternType="solid">
          <fgColor rgb="00FFF3BF"/>
        </patternFill>
      </fill>
    </dxf>
    <dxf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Score by Cleaner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'Scorecard Dashboard'!C5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'Scorecard Dashboard'!$A$6:$A$15</f>
            </numRef>
          </cat>
          <val>
            <numRef>
              <f>'Scorecard Dashboard'!$C$6:$C$15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Cleaner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Cleaner Turnover Checklist + Scorecard</t>
        </is>
      </c>
    </row>
    <row r="5" ht="22" customHeight="1">
      <c r="A5" s="4" t="inlineStr">
        <is>
          <t>Turnover chaos has a spreadsheet.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OPS-001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A 40-item per-turnover checklist your cleaner runs every time, plus a host-side log + Scorecard Dashboard that ranks your cleaners over time. After a few weeks of data, you'll know who your A-team is — by score, issue rate, and time-on-site — instead of relying on gut feel.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Print the Printable Checklist tab — one per turnover. Hand to your cleaner.</t>
        </is>
      </c>
    </row>
    <row r="20" ht="22" customHeight="1">
      <c r="A20" s="9" t="inlineStr">
        <is>
          <t>② Cleaner checks off each item, signs, dates, returns to you (text photo OK).</t>
        </is>
      </c>
    </row>
    <row r="21" ht="22" customHeight="1">
      <c r="A21" s="9" t="inlineStr">
        <is>
          <t>③ Open Turnover Log → add a row: date, property, cleaner, items checked, notes.</t>
        </is>
      </c>
    </row>
    <row r="22" ht="22" customHeight="1">
      <c r="A22" s="9" t="inlineStr">
        <is>
          <t>④ Open Scorecard Dashboard → see your ranked cleaners + issue rates.</t>
        </is>
      </c>
    </row>
    <row r="23" ht="22" customHeight="1">
      <c r="A23" s="9" t="inlineStr">
        <is>
          <t>⑤ Cleaner Roster: list all cleaners — drives the Turnover Log dropdown.</t>
        </is>
      </c>
    </row>
    <row r="24" ht="22" customHeight="1">
      <c r="A24" s="9" t="inlineStr">
        <is>
          <t>⑥ (Optional) Supplies Par Levels: per-property stock targets so par-checks are objective.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7" ht="22" customHeight="1">
      <c r="A27" s="11">
        <f>HYPERLINK("#'Printable Checklist'!A1", "→  PRINT CHECKLIST  (OPEN PRINTABLE)")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TURNOVERS LOGGED</t>
        </is>
      </c>
      <c r="B32" s="14" t="n"/>
      <c r="C32" s="14" t="n"/>
      <c r="D32" s="15" t="n"/>
      <c r="E32" s="16" t="inlineStr">
        <is>
          <t>AVG SCORE</t>
        </is>
      </c>
      <c r="F32" s="14" t="n"/>
      <c r="G32" s="14" t="n"/>
      <c r="H32" s="15" t="n"/>
      <c r="I32" s="17" t="inlineStr">
        <is>
          <t>ISSUE RATE</t>
        </is>
      </c>
      <c r="J32" s="14" t="n"/>
      <c r="K32" s="14" t="n"/>
      <c r="L32" s="15" t="n"/>
    </row>
    <row r="33">
      <c r="A33" s="18">
        <f>COUNTA('Turnover Log'!A6:A506)</f>
        <v/>
      </c>
      <c r="B33" s="19" t="n"/>
      <c r="C33" s="19" t="n"/>
      <c r="D33" s="20" t="n"/>
      <c r="E33" s="21">
        <f>IFERROR(AVERAGE('Turnover Log'!D6:D506),"—")</f>
        <v/>
      </c>
      <c r="F33" s="19" t="n"/>
      <c r="G33" s="19" t="n"/>
      <c r="H33" s="20" t="n"/>
      <c r="I33" s="22">
        <f>IFERROR(COUNTIF('Turnover Log'!F6:F506,"Yes")/COUNTA('Turnover Log'!A6:A506),"—")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rows on the Turnover Log</t>
        </is>
      </c>
      <c r="B35" s="25" t="n"/>
      <c r="C35" s="25" t="n"/>
      <c r="D35" s="26" t="n"/>
      <c r="E35" s="24" t="inlineStr">
        <is>
          <t>items checked / 52 max</t>
        </is>
      </c>
      <c r="F35" s="25" t="n"/>
      <c r="G35" s="25" t="n"/>
      <c r="H35" s="26" t="n"/>
      <c r="I35" s="24" t="inlineStr">
        <is>
          <t>turnovers with guest complaints</t>
        </is>
      </c>
      <c r="J35" s="25" t="n"/>
      <c r="K35" s="25" t="n"/>
      <c r="L35" s="2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7">
        <f>HYPERLINK("#'Turnover Log'!A1", "Turnover Log")</f>
        <v/>
      </c>
      <c r="B39" s="28" t="n"/>
      <c r="C39" s="28" t="n"/>
      <c r="D39" s="27">
        <f>HYPERLINK("#'Scorecard Dashboard'!A1", "Scorecard Dashboard")</f>
        <v/>
      </c>
      <c r="E39" s="28" t="n"/>
      <c r="F39" s="28" t="n"/>
      <c r="G39" s="27">
        <f>HYPERLINK("#'Cleaner Roster'!A1", "Cleaner Roster")</f>
        <v/>
      </c>
      <c r="H39" s="28" t="n"/>
      <c r="I39" s="28" t="n"/>
      <c r="J39" s="27">
        <f>HYPERLINK("#'Supplies Par Levels'!A1", "Supplies Par Levels")</f>
        <v/>
      </c>
      <c r="K39" s="28" t="n"/>
      <c r="L39" s="28" t="n"/>
    </row>
    <row r="40" ht="22" customHeight="1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</row>
    <row r="42" ht="36" customHeight="1">
      <c r="A42" s="29" t="inlineStr">
        <is>
          <t>🧰 BEFORE FIRST USE: open the Cleaner Roster tab, replace the 3 sample cleaners with your real ones; open Scorecard Dashboard rows 18-23 and swap sample property names. Then print the Checklist for your next turnover.</t>
        </is>
      </c>
    </row>
    <row r="45" ht="30" customHeight="1">
      <c r="A45" s="30" t="inlineStr">
        <is>
          <t>💡 Upgrade to the Full version at thestrledger.com/upgrade — multi-property, depreciation, multi-LLC support.</t>
        </is>
      </c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</row>
    <row r="48" ht="18" customHeight="1">
      <c r="A48" s="32" t="inlineStr">
        <is>
          <t>Questions? hello@thestrledger.com</t>
        </is>
      </c>
    </row>
    <row r="49" ht="18" customHeight="1">
      <c r="A49" s="33" t="inlineStr">
        <is>
          <t>OPS-001 · v2.3 · Free updates forever</t>
        </is>
      </c>
    </row>
  </sheetData>
  <mergeCells count="30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2:F2"/>
    <mergeCell ref="J39:L40"/>
    <mergeCell ref="A42:L42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I32:L32"/>
    <mergeCell ref="A48:L48"/>
    <mergeCell ref="A24:L24"/>
    <mergeCell ref="A49:L49"/>
    <mergeCell ref="A27:L30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D85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0" customWidth="1" min="3" max="3"/>
    <col width="15" customWidth="1" min="4" max="4"/>
  </cols>
  <sheetData>
    <row r="1">
      <c r="A1" s="27">
        <f>HYPERLINK("#'Start'!A1", "← START")</f>
        <v/>
      </c>
      <c r="B1" s="28" t="n"/>
      <c r="C1" s="27">
        <f>HYPERLINK("#'Turnover Log'!A1", "Log →")</f>
        <v/>
      </c>
      <c r="D1" s="28" t="n"/>
    </row>
    <row r="2">
      <c r="A2" s="28" t="n"/>
      <c r="B2" s="28" t="n"/>
      <c r="C2" s="28" t="n"/>
      <c r="D2" s="28" t="n"/>
    </row>
    <row r="4" ht="26" customHeight="1">
      <c r="A4" s="34" t="inlineStr">
        <is>
          <t>Cleaner Turnover Checklist</t>
        </is>
      </c>
    </row>
    <row r="5" ht="16" customHeight="1">
      <c r="A5" s="35" t="inlineStr">
        <is>
          <t>Print one per turnover · The STR Ledger</t>
        </is>
      </c>
    </row>
    <row r="6" ht="20" customHeight="1">
      <c r="A6" s="36" t="inlineStr">
        <is>
          <t>Property:</t>
        </is>
      </c>
      <c r="B6" s="37" t="inlineStr"/>
      <c r="C6" s="36" t="inlineStr">
        <is>
          <t>Date:</t>
        </is>
      </c>
      <c r="D6" s="37" t="inlineStr"/>
    </row>
    <row r="7" ht="8" customHeight="1"/>
    <row r="8" ht="18" customHeight="1">
      <c r="A8" s="38" t="inlineStr">
        <is>
          <t>BEDROOM (6)</t>
        </is>
      </c>
    </row>
    <row r="9" ht="16" customHeight="1">
      <c r="A9" s="39" t="inlineStr">
        <is>
          <t>☐</t>
        </is>
      </c>
      <c r="B9" s="40" t="inlineStr">
        <is>
          <t>Dust all horizontal surfaces (nightstands, dresser, headboard)</t>
        </is>
      </c>
      <c r="C9" s="41" t="inlineStr"/>
      <c r="D9" t="inlineStr"/>
    </row>
    <row r="10" ht="16" customHeight="1">
      <c r="A10" s="39" t="inlineStr">
        <is>
          <t>☐</t>
        </is>
      </c>
      <c r="B10" s="40" t="inlineStr">
        <is>
          <t>Strip and replace bed linens (crisp hospital corners)</t>
        </is>
      </c>
      <c r="C10" s="41" t="inlineStr"/>
      <c r="D10" t="inlineStr"/>
    </row>
    <row r="11" ht="16" customHeight="1">
      <c r="A11" s="39" t="inlineStr">
        <is>
          <t>☐</t>
        </is>
      </c>
      <c r="B11" s="40" t="inlineStr">
        <is>
          <t>Fresh pillowcases both sides</t>
        </is>
      </c>
      <c r="C11" s="41" t="inlineStr"/>
      <c r="D11" t="inlineStr"/>
    </row>
    <row r="12" ht="16" customHeight="1">
      <c r="A12" s="39" t="inlineStr">
        <is>
          <t>☐</t>
        </is>
      </c>
      <c r="B12" s="40" t="inlineStr">
        <is>
          <t>Vacuum under bed</t>
        </is>
      </c>
      <c r="C12" s="41" t="inlineStr"/>
      <c r="D12" t="inlineStr"/>
    </row>
    <row r="13" ht="16" customHeight="1">
      <c r="A13" s="39" t="inlineStr">
        <is>
          <t>☐</t>
        </is>
      </c>
      <c r="B13" s="40" t="inlineStr">
        <is>
          <t>Empty wastebasket</t>
        </is>
      </c>
      <c r="C13" s="41" t="inlineStr"/>
      <c r="D13" t="inlineStr"/>
    </row>
    <row r="14" ht="16" customHeight="1">
      <c r="A14" s="39" t="inlineStr">
        <is>
          <t>☐</t>
        </is>
      </c>
      <c r="B14" s="40" t="inlineStr">
        <is>
          <t>Check under bed for guest items</t>
        </is>
      </c>
      <c r="C14" s="41" t="inlineStr"/>
      <c r="D14" t="inlineStr"/>
    </row>
    <row r="15" ht="6" customHeight="1"/>
    <row r="16" ht="18" customHeight="1">
      <c r="A16" s="38" t="inlineStr">
        <is>
          <t>BATHROOM (8)</t>
        </is>
      </c>
    </row>
    <row r="17" ht="16" customHeight="1">
      <c r="A17" s="39" t="inlineStr">
        <is>
          <t>☐</t>
        </is>
      </c>
      <c r="B17" s="40" t="inlineStr">
        <is>
          <t>Scrub toilet inside + outside base</t>
        </is>
      </c>
      <c r="C17" s="41" t="inlineStr"/>
      <c r="D17" t="inlineStr"/>
    </row>
    <row r="18" ht="16" customHeight="1">
      <c r="A18" s="39" t="inlineStr">
        <is>
          <t>☐</t>
        </is>
      </c>
      <c r="B18" s="40" t="inlineStr">
        <is>
          <t>Clean mirror streak-free</t>
        </is>
      </c>
      <c r="C18" s="41" t="inlineStr"/>
      <c r="D18" t="inlineStr"/>
    </row>
    <row r="19" ht="16" customHeight="1">
      <c r="A19" s="39" t="inlineStr">
        <is>
          <t>☐</t>
        </is>
      </c>
      <c r="B19" s="40" t="inlineStr">
        <is>
          <t>Wipe + SANITIZE sink, faucet handles, light switches (high-touch, EPA-approved)</t>
        </is>
      </c>
      <c r="C19" s="41" t="inlineStr"/>
      <c r="D19" t="inlineStr"/>
    </row>
    <row r="20" ht="16" customHeight="1">
      <c r="A20" s="39" t="inlineStr">
        <is>
          <t>☐</t>
        </is>
      </c>
      <c r="B20" s="40" t="inlineStr">
        <is>
          <t>Scrub shower/tub including drain</t>
        </is>
      </c>
      <c r="C20" s="41" t="inlineStr"/>
      <c r="D20" t="inlineStr"/>
    </row>
    <row r="21" ht="16" customHeight="1">
      <c r="A21" s="39" t="inlineStr">
        <is>
          <t>☐</t>
        </is>
      </c>
      <c r="B21" s="40" t="inlineStr">
        <is>
          <t>Replace towels (bath, hand, face)</t>
        </is>
      </c>
      <c r="C21" s="41" t="inlineStr"/>
      <c r="D21" t="inlineStr"/>
    </row>
    <row r="22" ht="16" customHeight="1">
      <c r="A22" s="39" t="inlineStr">
        <is>
          <t>☐</t>
        </is>
      </c>
      <c r="B22" s="40" t="inlineStr">
        <is>
          <t>Restock toilet paper (min 2 rolls)</t>
        </is>
      </c>
      <c r="C22" s="41" t="inlineStr"/>
      <c r="D22" t="inlineStr"/>
    </row>
    <row r="23" ht="16" customHeight="1">
      <c r="A23" s="39" t="inlineStr">
        <is>
          <t>☐</t>
        </is>
      </c>
      <c r="B23" s="40" t="inlineStr">
        <is>
          <t>Empty wastebasket</t>
        </is>
      </c>
      <c r="C23" s="41" t="inlineStr"/>
      <c r="D23" t="inlineStr"/>
    </row>
    <row r="24" ht="16" customHeight="1">
      <c r="A24" s="39" t="inlineStr">
        <is>
          <t>☐</t>
        </is>
      </c>
      <c r="B24" s="40" t="inlineStr">
        <is>
          <t>Check + restock soap, shampoo, body wash to par</t>
        </is>
      </c>
      <c r="C24" s="41" t="inlineStr"/>
      <c r="D24" t="inlineStr"/>
    </row>
    <row r="25" ht="6" customHeight="1"/>
    <row r="26" ht="18" customHeight="1">
      <c r="A26" s="38" t="inlineStr">
        <is>
          <t>KITCHEN (9)</t>
        </is>
      </c>
    </row>
    <row r="27" ht="16" customHeight="1">
      <c r="A27" s="39" t="inlineStr">
        <is>
          <t>☐</t>
        </is>
      </c>
      <c r="B27" s="40" t="inlineStr">
        <is>
          <t>Wipe all counters</t>
        </is>
      </c>
      <c r="C27" s="41" t="inlineStr"/>
      <c r="D27" t="inlineStr"/>
    </row>
    <row r="28" ht="16" customHeight="1">
      <c r="A28" s="39" t="inlineStr">
        <is>
          <t>☐</t>
        </is>
      </c>
      <c r="B28" s="40" t="inlineStr">
        <is>
          <t>Clean stovetop (all burners + under)</t>
        </is>
      </c>
      <c r="C28" s="41" t="inlineStr"/>
      <c r="D28" t="inlineStr"/>
    </row>
    <row r="29" ht="16" customHeight="1">
      <c r="A29" s="39" t="inlineStr">
        <is>
          <t>☐</t>
        </is>
      </c>
      <c r="B29" s="40" t="inlineStr">
        <is>
          <t>Wipe inside microwave</t>
        </is>
      </c>
      <c r="C29" s="41" t="inlineStr"/>
      <c r="D29" t="inlineStr"/>
    </row>
    <row r="30" ht="16" customHeight="1">
      <c r="A30" s="39" t="inlineStr">
        <is>
          <t>☐</t>
        </is>
      </c>
      <c r="B30" s="40" t="inlineStr">
        <is>
          <t>Run dishwasher if items inside</t>
        </is>
      </c>
      <c r="C30" s="41" t="inlineStr"/>
      <c r="D30" t="inlineStr"/>
    </row>
    <row r="31" ht="16" customHeight="1">
      <c r="A31" s="39" t="inlineStr">
        <is>
          <t>☐</t>
        </is>
      </c>
      <c r="B31" s="40" t="inlineStr">
        <is>
          <t>Wipe fridge exterior + handles</t>
        </is>
      </c>
      <c r="C31" s="41" t="inlineStr"/>
      <c r="D31" t="inlineStr"/>
    </row>
    <row r="32" ht="16" customHeight="1">
      <c r="A32" s="39" t="inlineStr">
        <is>
          <t>☐</t>
        </is>
      </c>
      <c r="B32" s="40" t="inlineStr">
        <is>
          <t>Check fridge interior for guest leftovers (discard)</t>
        </is>
      </c>
      <c r="C32" s="41" t="inlineStr"/>
      <c r="D32" t="inlineStr"/>
    </row>
    <row r="33" ht="16" customHeight="1">
      <c r="A33" s="39" t="inlineStr">
        <is>
          <t>☐</t>
        </is>
      </c>
      <c r="B33" s="40" t="inlineStr">
        <is>
          <t>Empty trash + replace liner</t>
        </is>
      </c>
      <c r="C33" s="41" t="inlineStr"/>
      <c r="D33" t="inlineStr"/>
    </row>
    <row r="34" ht="16" customHeight="1">
      <c r="A34" s="39" t="inlineStr">
        <is>
          <t>☐</t>
        </is>
      </c>
      <c r="B34" s="40" t="inlineStr">
        <is>
          <t>Restock coffee + filters (check par level)</t>
        </is>
      </c>
      <c r="C34" s="41" t="inlineStr"/>
      <c r="D34" t="inlineStr"/>
    </row>
    <row r="35" ht="16" customHeight="1">
      <c r="A35" s="39" t="inlineStr">
        <is>
          <t>☐</t>
        </is>
      </c>
      <c r="B35" s="40" t="inlineStr">
        <is>
          <t>SANITIZE high-touch: cabinet handles, faucet, light switches (EPA-approved)</t>
        </is>
      </c>
      <c r="C35" s="41" t="inlineStr"/>
      <c r="D35" t="inlineStr"/>
    </row>
    <row r="36" ht="6" customHeight="1"/>
    <row r="37" ht="18" customHeight="1">
      <c r="A37" s="38" t="inlineStr">
        <is>
          <t>LIVING (6)</t>
        </is>
      </c>
    </row>
    <row r="38" ht="16" customHeight="1">
      <c r="A38" s="39" t="inlineStr">
        <is>
          <t>☐</t>
        </is>
      </c>
      <c r="B38" s="40" t="inlineStr">
        <is>
          <t>Vacuum/sweep floors</t>
        </is>
      </c>
      <c r="C38" s="41" t="inlineStr"/>
      <c r="D38" t="inlineStr"/>
    </row>
    <row r="39" ht="16" customHeight="1">
      <c r="A39" s="39" t="inlineStr">
        <is>
          <t>☐</t>
        </is>
      </c>
      <c r="B39" s="40" t="inlineStr">
        <is>
          <t>Dust TV + surfaces</t>
        </is>
      </c>
      <c r="C39" s="41" t="inlineStr"/>
      <c r="D39" t="inlineStr"/>
    </row>
    <row r="40" ht="16" customHeight="1">
      <c r="A40" s="39" t="inlineStr">
        <is>
          <t>☐</t>
        </is>
      </c>
      <c r="B40" s="40" t="inlineStr">
        <is>
          <t>Fluff + realign pillows + throws</t>
        </is>
      </c>
      <c r="C40" s="41" t="inlineStr"/>
      <c r="D40" t="inlineStr"/>
    </row>
    <row r="41" ht="16" customHeight="1">
      <c r="A41" s="39" t="inlineStr">
        <is>
          <t>☐</t>
        </is>
      </c>
      <c r="B41" s="40" t="inlineStr">
        <is>
          <t>Wipe + SANITIZE remote controls, light switches, door knobs (high-touch)</t>
        </is>
      </c>
      <c r="C41" s="41" t="inlineStr"/>
      <c r="D41" t="inlineStr"/>
    </row>
    <row r="42" ht="16" customHeight="1">
      <c r="A42" s="39" t="inlineStr">
        <is>
          <t>☐</t>
        </is>
      </c>
      <c r="B42" s="40" t="inlineStr">
        <is>
          <t>Reset all furniture to original position</t>
        </is>
      </c>
      <c r="C42" s="41" t="inlineStr"/>
      <c r="D42" t="inlineStr"/>
    </row>
    <row r="43" ht="16" customHeight="1">
      <c r="A43" s="39" t="inlineStr">
        <is>
          <t>☐</t>
        </is>
      </c>
      <c r="B43" s="40" t="inlineStr">
        <is>
          <t>Test wifi connects + speed (note router reset if needed)</t>
        </is>
      </c>
      <c r="C43" s="41" t="inlineStr"/>
      <c r="D43" t="inlineStr"/>
    </row>
    <row r="44" ht="6" customHeight="1"/>
    <row r="45" ht="18" customHeight="1">
      <c r="A45" s="38" t="inlineStr">
        <is>
          <t>OUTDOOR (5)</t>
        </is>
      </c>
    </row>
    <row r="46" ht="16" customHeight="1">
      <c r="A46" s="39" t="inlineStr">
        <is>
          <t>☐</t>
        </is>
      </c>
      <c r="B46" s="40" t="inlineStr">
        <is>
          <t>Sweep porch/deck</t>
        </is>
      </c>
      <c r="C46" s="41" t="inlineStr"/>
      <c r="D46" t="inlineStr"/>
    </row>
    <row r="47" ht="16" customHeight="1">
      <c r="A47" s="39" t="inlineStr">
        <is>
          <t>☐</t>
        </is>
      </c>
      <c r="B47" s="40" t="inlineStr">
        <is>
          <t>Wipe outdoor furniture if present</t>
        </is>
      </c>
      <c r="C47" s="41" t="inlineStr"/>
      <c r="D47" t="inlineStr"/>
    </row>
    <row r="48" ht="16" customHeight="1">
      <c r="A48" s="39" t="inlineStr">
        <is>
          <t>☐</t>
        </is>
      </c>
      <c r="B48" s="40" t="inlineStr">
        <is>
          <t>Empty outdoor trash + take to curb if pickup day</t>
        </is>
      </c>
      <c r="C48" s="41" t="inlineStr"/>
      <c r="D48" t="inlineStr"/>
    </row>
    <row r="49" ht="16" customHeight="1">
      <c r="A49" s="39" t="inlineStr">
        <is>
          <t>☐</t>
        </is>
      </c>
      <c r="B49" s="40" t="inlineStr">
        <is>
          <t>Pest / wasp / rodent sweep (under deck, eaves, trash bins)</t>
        </is>
      </c>
      <c r="C49" s="41" t="inlineStr"/>
      <c r="D49" t="inlineStr"/>
    </row>
    <row r="50" ht="16" customHeight="1">
      <c r="A50" s="39" t="inlineStr">
        <is>
          <t>☐</t>
        </is>
      </c>
      <c r="B50" s="40" t="inlineStr">
        <is>
          <t>Check exterior — no broken bottles, debris, neighbor-facing mess</t>
        </is>
      </c>
      <c r="C50" s="41" t="inlineStr"/>
      <c r="D50" t="inlineStr"/>
    </row>
    <row r="51" ht="6" customHeight="1"/>
    <row r="52" ht="18" customHeight="1">
      <c r="A52" s="38" t="inlineStr">
        <is>
          <t>HOT TUB / POOL (3)</t>
        </is>
      </c>
    </row>
    <row r="53" ht="16" customHeight="1">
      <c r="A53" s="39" t="inlineStr">
        <is>
          <t>☐</t>
        </is>
      </c>
      <c r="B53" s="40" t="inlineStr">
        <is>
          <t>Hot tub: cover seated, water level OK, chemical test strip in green range</t>
        </is>
      </c>
      <c r="C53" s="41" t="inlineStr"/>
      <c r="D53" t="inlineStr"/>
    </row>
    <row r="54" ht="16" customHeight="1">
      <c r="A54" s="39" t="inlineStr">
        <is>
          <t>☐</t>
        </is>
      </c>
      <c r="B54" s="40" t="inlineStr">
        <is>
          <t>Pool: skimmer cleared, chemical level OK, safety cover/gate latched</t>
        </is>
      </c>
      <c r="C54" s="41" t="inlineStr"/>
      <c r="D54" t="inlineStr"/>
    </row>
    <row r="55" ht="16" customHeight="1">
      <c r="A55" s="39" t="inlineStr">
        <is>
          <t>☐</t>
        </is>
      </c>
      <c r="B55" s="40" t="inlineStr">
        <is>
          <t>Log chemical reading + dose added (if any) — chemical log on roster tab</t>
        </is>
      </c>
      <c r="C55" s="41" t="inlineStr"/>
      <c r="D55" t="inlineStr"/>
    </row>
    <row r="56" ht="6" customHeight="1"/>
    <row r="57" ht="18" customHeight="1">
      <c r="A57" s="38" t="inlineStr">
        <is>
          <t>SUPPLIES (4)</t>
        </is>
      </c>
    </row>
    <row r="58" ht="16" customHeight="1">
      <c r="A58" s="39" t="inlineStr">
        <is>
          <t>☐</t>
        </is>
      </c>
      <c r="B58" s="40" t="inlineStr">
        <is>
          <t>Coffee pods ≥ 10</t>
        </is>
      </c>
      <c r="C58" s="41" t="inlineStr"/>
      <c r="D58" t="inlineStr"/>
    </row>
    <row r="59" ht="16" customHeight="1">
      <c r="A59" s="39" t="inlineStr">
        <is>
          <t>☐</t>
        </is>
      </c>
      <c r="B59" s="40" t="inlineStr">
        <is>
          <t>Paper towels ≥ 2 rolls</t>
        </is>
      </c>
      <c r="C59" s="41" t="inlineStr"/>
      <c r="D59" t="inlineStr"/>
    </row>
    <row r="60" ht="16" customHeight="1">
      <c r="A60" s="39" t="inlineStr">
        <is>
          <t>☐</t>
        </is>
      </c>
      <c r="B60" s="40" t="inlineStr">
        <is>
          <t>TP ≥ 2 per bathroom</t>
        </is>
      </c>
      <c r="C60" s="41" t="inlineStr"/>
      <c r="D60" t="inlineStr"/>
    </row>
    <row r="61" ht="16" customHeight="1">
      <c r="A61" s="39" t="inlineStr">
        <is>
          <t>☐</t>
        </is>
      </c>
      <c r="B61" s="40" t="inlineStr">
        <is>
          <t>Dish soap + dishwasher pods topped up</t>
        </is>
      </c>
      <c r="C61" s="41" t="inlineStr"/>
      <c r="D61" t="inlineStr"/>
    </row>
    <row r="62" ht="6" customHeight="1"/>
    <row r="63" ht="18" customHeight="1">
      <c r="A63" s="38" t="inlineStr">
        <is>
          <t>SAFETY (5)</t>
        </is>
      </c>
    </row>
    <row r="64" ht="16" customHeight="1">
      <c r="A64" s="39" t="inlineStr">
        <is>
          <t>☐</t>
        </is>
      </c>
      <c r="B64" s="40" t="inlineStr">
        <is>
          <t>All SMOKE detectors blinking green (test if unsure)</t>
        </is>
      </c>
      <c r="C64" s="41" t="inlineStr"/>
      <c r="D64" t="inlineStr"/>
    </row>
    <row r="65" ht="16" customHeight="1">
      <c r="A65" s="39" t="inlineStr">
        <is>
          <t>☐</t>
        </is>
      </c>
      <c r="B65" s="40" t="inlineStr">
        <is>
          <t>All CARBON MONOXIDE detectors blinking green (every level + near sleeping areas)</t>
        </is>
      </c>
      <c r="C65" s="41" t="inlineStr"/>
      <c r="D65" t="inlineStr"/>
    </row>
    <row r="66" ht="16" customHeight="1">
      <c r="A66" s="39" t="inlineStr">
        <is>
          <t>☐</t>
        </is>
      </c>
      <c r="B66" s="40" t="inlineStr">
        <is>
          <t>All doors + windows locked</t>
        </is>
      </c>
      <c r="C66" s="41" t="inlineStr"/>
      <c r="D66" t="inlineStr"/>
    </row>
    <row r="67" ht="16" customHeight="1">
      <c r="A67" s="39" t="inlineStr">
        <is>
          <t>☐</t>
        </is>
      </c>
      <c r="B67" s="40" t="inlineStr">
        <is>
          <t>Keyless entry code reset (if applicable) — log new code in Host Notes</t>
        </is>
      </c>
      <c r="C67" s="41" t="inlineStr"/>
      <c r="D67" t="inlineStr"/>
    </row>
    <row r="68" ht="16" customHeight="1">
      <c r="A68" s="39" t="inlineStr">
        <is>
          <t>☐</t>
        </is>
      </c>
      <c r="B68" s="40" t="inlineStr">
        <is>
          <t>Tripping hazards / loose railings / exposed wires sweep</t>
        </is>
      </c>
      <c r="C68" s="41" t="inlineStr"/>
      <c r="D68" t="inlineStr"/>
    </row>
    <row r="69" ht="6" customHeight="1"/>
    <row r="70" ht="18" customHeight="1">
      <c r="A70" s="38" t="inlineStr">
        <is>
          <t>MAINTENANCE (2)</t>
        </is>
      </c>
    </row>
    <row r="71" ht="16" customHeight="1">
      <c r="A71" s="39" t="inlineStr">
        <is>
          <t>☐</t>
        </is>
      </c>
      <c r="B71" s="40" t="inlineStr">
        <is>
          <t>HVAC filter — check + replace per cadence (60-90 days residential filter)</t>
        </is>
      </c>
      <c r="C71" s="41" t="inlineStr"/>
      <c r="D71" t="inlineStr"/>
    </row>
    <row r="72" ht="16" customHeight="1">
      <c r="A72" s="39" t="inlineStr">
        <is>
          <t>☐</t>
        </is>
      </c>
      <c r="B72" s="40" t="inlineStr">
        <is>
          <t>Run all faucets 30s — check for leaks, slow drains, smells</t>
        </is>
      </c>
      <c r="C72" s="41" t="inlineStr"/>
      <c r="D72" t="inlineStr"/>
    </row>
    <row r="73" ht="6" customHeight="1"/>
    <row r="74" ht="18" customHeight="1">
      <c r="A74" s="38" t="inlineStr">
        <is>
          <t>FINAL WALK (4)</t>
        </is>
      </c>
    </row>
    <row r="75" ht="16" customHeight="1">
      <c r="A75" s="39" t="inlineStr">
        <is>
          <t>☐</t>
        </is>
      </c>
      <c r="B75" s="40" t="inlineStr">
        <is>
          <t>Damage / wear photo log — every room, naming: yyyy-mm-dd_property_room.jpg</t>
        </is>
      </c>
      <c r="C75" s="41" t="inlineStr"/>
      <c r="D75" t="inlineStr"/>
    </row>
    <row r="76" ht="16" customHeight="1">
      <c r="A76" s="39" t="inlineStr">
        <is>
          <t>☐</t>
        </is>
      </c>
      <c r="B76" s="40" t="inlineStr">
        <is>
          <t>Turn thermostat to host vacancy-saver setting (no frozen pipes, no waste)</t>
        </is>
      </c>
      <c r="C76" s="41" t="inlineStr"/>
      <c r="D76" t="inlineStr"/>
    </row>
    <row r="77" ht="16" customHeight="1">
      <c r="A77" s="39" t="inlineStr">
        <is>
          <t>☐</t>
        </is>
      </c>
      <c r="B77" s="40" t="inlineStr">
        <is>
          <t>If damage found: text host + tag photo with arrow note for AirCover claim</t>
        </is>
      </c>
      <c r="C77" s="41" t="inlineStr"/>
      <c r="D77" t="inlineStr"/>
    </row>
    <row r="78" ht="16" customHeight="1">
      <c r="A78" s="39" t="inlineStr">
        <is>
          <t>☐</t>
        </is>
      </c>
      <c r="B78" s="40" t="inlineStr">
        <is>
          <t>Lock up + leave</t>
        </is>
      </c>
      <c r="C78" s="41" t="inlineStr"/>
      <c r="D78" t="inlineStr"/>
    </row>
    <row r="79" ht="6" customHeight="1"/>
    <row r="80" ht="18" customHeight="1">
      <c r="A80" s="36" t="inlineStr">
        <is>
          <t>Cleaner name:</t>
        </is>
      </c>
      <c r="B80" s="42" t="inlineStr"/>
    </row>
    <row r="81" ht="18" customHeight="1">
      <c r="A81" s="36" t="inlineStr">
        <is>
          <t>Date:</t>
        </is>
      </c>
      <c r="B81" s="42" t="inlineStr"/>
    </row>
    <row r="82" ht="8" customHeight="1"/>
    <row r="83" ht="20" customHeight="1">
      <c r="A83" s="36" t="inlineStr">
        <is>
          <t>Signature:</t>
        </is>
      </c>
      <c r="B83" s="42" t="inlineStr"/>
    </row>
    <row r="84" ht="8" customHeight="1"/>
    <row r="85" ht="18" customHeight="1">
      <c r="A85" s="36" t="inlineStr">
        <is>
          <t>Time on site (min):</t>
        </is>
      </c>
      <c r="B85" s="42" t="inlineStr"/>
    </row>
  </sheetData>
  <mergeCells count="13">
    <mergeCell ref="A45:D45"/>
    <mergeCell ref="A37:D37"/>
    <mergeCell ref="A70:D70"/>
    <mergeCell ref="A8:D8"/>
    <mergeCell ref="A74:D74"/>
    <mergeCell ref="C1:D2"/>
    <mergeCell ref="A26:D26"/>
    <mergeCell ref="A52:D52"/>
    <mergeCell ref="A57:D57"/>
    <mergeCell ref="A16:D16"/>
    <mergeCell ref="A63:D63"/>
    <mergeCell ref="A1:B2"/>
    <mergeCell ref="B83:D83"/>
  </mergeCells>
  <pageMargins left="0.5" right="0.5" top="0.5" bottom="0.5" header="0.5" footer="0.5"/>
  <pageSetup orientation="portrait" paperSize="1" fitToHeight="1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5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40" customWidth="1" min="5" max="5"/>
    <col width="16" customWidth="1" min="6" max="6"/>
    <col width="12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HYPERLINK("#'Printable Checklist'!A1", "← BACK")</f>
        <v/>
      </c>
      <c r="B2" s="12" t="n"/>
      <c r="C2" s="12" t="n"/>
      <c r="D2" s="43" t="inlineStr">
        <is>
          <t>TURNOVER LOG</t>
        </is>
      </c>
      <c r="J2" s="44">
        <f>HYPERLINK("#'Scorecard Dashboard'!A1", "NEXT →")</f>
        <v/>
      </c>
      <c r="K2" s="45" t="n"/>
      <c r="L2" s="4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46" t="inlineStr">
        <is>
          <t>One row per turnover — feeds the Scorecard Dashboard</t>
        </is>
      </c>
    </row>
    <row r="5" ht="20" customHeight="1">
      <c r="A5" s="47" t="inlineStr">
        <is>
          <t>Date</t>
        </is>
      </c>
      <c r="B5" s="47" t="inlineStr">
        <is>
          <t>Property</t>
        </is>
      </c>
      <c r="C5" s="47" t="inlineStr">
        <is>
          <t>Cleaner</t>
        </is>
      </c>
      <c r="D5" s="47" t="inlineStr">
        <is>
          <t>Items Checked (0-52)</t>
        </is>
      </c>
      <c r="E5" s="47" t="inlineStr">
        <is>
          <t>Notes/Issues</t>
        </is>
      </c>
      <c r="F5" s="47" t="inlineStr">
        <is>
          <t>Guest Complaint?</t>
        </is>
      </c>
      <c r="G5" s="47" t="inlineStr">
        <is>
          <t>Minutes on Site</t>
        </is>
      </c>
    </row>
    <row r="6" ht="16" customHeight="1">
      <c r="A6" s="48" t="n">
        <v>46095</v>
      </c>
      <c r="B6" s="37" t="inlineStr">
        <is>
          <t>Smokies Ridge</t>
        </is>
      </c>
      <c r="C6" s="37" t="inlineStr">
        <is>
          <t>Sarah — Smokies Clean</t>
        </is>
      </c>
      <c r="D6" s="37" t="n">
        <v>52</v>
      </c>
      <c r="E6" s="37" t="inlineStr">
        <is>
          <t>Perfect turnover</t>
        </is>
      </c>
      <c r="F6" s="49" t="inlineStr">
        <is>
          <t>No</t>
        </is>
      </c>
      <c r="G6" s="37" t="n">
        <v>95</v>
      </c>
    </row>
    <row r="7" ht="16" customHeight="1">
      <c r="A7" s="48" t="n">
        <v>46097</v>
      </c>
      <c r="B7" s="37" t="inlineStr">
        <is>
          <t>Creek Side</t>
        </is>
      </c>
      <c r="C7" s="37" t="inlineStr">
        <is>
          <t>Miguel — Ridge Housekeeping</t>
        </is>
      </c>
      <c r="D7" s="37" t="n">
        <v>47</v>
      </c>
      <c r="E7" s="37" t="inlineStr">
        <is>
          <t>Missed: CO detector test, hot tub strip</t>
        </is>
      </c>
      <c r="F7" s="49" t="inlineStr">
        <is>
          <t>No</t>
        </is>
      </c>
      <c r="G7" s="37" t="n">
        <v>110</v>
      </c>
    </row>
    <row r="8" ht="16" customHeight="1">
      <c r="A8" s="48" t="n">
        <v>46099</v>
      </c>
      <c r="B8" s="37" t="inlineStr">
        <is>
          <t>Lakehouse A</t>
        </is>
      </c>
      <c r="C8" s="37" t="inlineStr">
        <is>
          <t>Sarah — Smokies Clean</t>
        </is>
      </c>
      <c r="D8" s="37" t="n">
        <v>50</v>
      </c>
      <c r="E8" s="37" t="inlineStr">
        <is>
          <t>Minor: 1 pillowcase off-center</t>
        </is>
      </c>
      <c r="F8" s="49" t="inlineStr">
        <is>
          <t>No</t>
        </is>
      </c>
      <c r="G8" s="37" t="n">
        <v>90</v>
      </c>
    </row>
    <row r="9" ht="16" customHeight="1">
      <c r="A9" s="48" t="n">
        <v>46101</v>
      </c>
      <c r="B9" s="37" t="inlineStr">
        <is>
          <t>Smokies Ridge</t>
        </is>
      </c>
      <c r="C9" s="37" t="inlineStr">
        <is>
          <t>Jamie — Solo</t>
        </is>
      </c>
      <c r="D9" s="37" t="n">
        <v>41</v>
      </c>
      <c r="E9" s="37" t="inlineStr">
        <is>
          <t>TP not restocked; shower drain clogged; HVAC filter skipped</t>
        </is>
      </c>
      <c r="F9" s="49" t="inlineStr">
        <is>
          <t>Yes</t>
        </is>
      </c>
      <c r="G9" s="37" t="n">
        <v>75</v>
      </c>
    </row>
    <row r="10" ht="16" customHeight="1">
      <c r="A10" s="48" t="n">
        <v>46102</v>
      </c>
      <c r="B10" s="37" t="inlineStr">
        <is>
          <t>Lakehouse B</t>
        </is>
      </c>
      <c r="C10" s="37" t="inlineStr">
        <is>
          <t>Miguel — Ridge Housekeeping</t>
        </is>
      </c>
      <c r="D10" s="37" t="n">
        <v>49</v>
      </c>
      <c r="E10" s="37" t="inlineStr">
        <is>
          <t>All good</t>
        </is>
      </c>
      <c r="F10" s="49" t="inlineStr">
        <is>
          <t>No</t>
        </is>
      </c>
      <c r="G10" s="37" t="n">
        <v>105</v>
      </c>
    </row>
    <row r="11" ht="16" customHeight="1">
      <c r="A11" s="48" t="n">
        <v>46104</v>
      </c>
      <c r="B11" s="37" t="inlineStr">
        <is>
          <t>Smokies Ridge</t>
        </is>
      </c>
      <c r="C11" s="37" t="inlineStr">
        <is>
          <t>Sarah — Smokies Clean</t>
        </is>
      </c>
      <c r="D11" s="37" t="n">
        <v>49</v>
      </c>
      <c r="E11" s="37" t="inlineStr">
        <is>
          <t>Missed outdoor trash + pest sweep</t>
        </is>
      </c>
      <c r="F11" s="49" t="inlineStr">
        <is>
          <t>No</t>
        </is>
      </c>
      <c r="G11" s="37" t="n">
        <v>92</v>
      </c>
    </row>
    <row r="12" ht="16" customHeight="1">
      <c r="A12" s="48" t="n">
        <v>46106</v>
      </c>
      <c r="B12" s="37" t="inlineStr">
        <is>
          <t>Creek Side</t>
        </is>
      </c>
      <c r="C12" s="37" t="inlineStr">
        <is>
          <t>Jamie — Solo</t>
        </is>
      </c>
      <c r="D12" s="37" t="n">
        <v>38</v>
      </c>
      <c r="E12" s="37" t="inlineStr">
        <is>
          <t>Coffee pods empty; mirror streaked; high-touch sanitize skipped</t>
        </is>
      </c>
      <c r="F12" s="49" t="inlineStr">
        <is>
          <t>Yes</t>
        </is>
      </c>
      <c r="G12" s="37" t="n">
        <v>65</v>
      </c>
    </row>
    <row r="13" ht="16" customHeight="1">
      <c r="A13" s="48" t="n">
        <v>46107</v>
      </c>
      <c r="B13" s="37" t="inlineStr">
        <is>
          <t>Mountain View</t>
        </is>
      </c>
      <c r="C13" s="37" t="inlineStr">
        <is>
          <t>Miguel — Ridge Housekeeping</t>
        </is>
      </c>
      <c r="D13" s="37" t="n">
        <v>48</v>
      </c>
      <c r="E13" s="37" t="inlineStr"/>
      <c r="F13" s="49" t="inlineStr">
        <is>
          <t>No</t>
        </is>
      </c>
      <c r="G13" s="37" t="n">
        <v>100</v>
      </c>
    </row>
    <row r="14" ht="16" customHeight="1">
      <c r="A14" s="48" t="n">
        <v>46109</v>
      </c>
      <c r="B14" s="37" t="inlineStr">
        <is>
          <t>Lakehouse A</t>
        </is>
      </c>
      <c r="C14" s="37" t="inlineStr">
        <is>
          <t>Sarah — Smokies Clean</t>
        </is>
      </c>
      <c r="D14" s="37" t="n">
        <v>52</v>
      </c>
      <c r="E14" s="37" t="inlineStr"/>
      <c r="F14" s="49" t="inlineStr">
        <is>
          <t>No</t>
        </is>
      </c>
      <c r="G14" s="37" t="n">
        <v>88</v>
      </c>
    </row>
    <row r="15" ht="16" customHeight="1">
      <c r="A15" s="48" t="n">
        <v>46110</v>
      </c>
      <c r="B15" s="37" t="inlineStr">
        <is>
          <t>Downtown Loft</t>
        </is>
      </c>
      <c r="C15" s="37" t="inlineStr">
        <is>
          <t>Miguel — Ridge Housekeeping</t>
        </is>
      </c>
      <c r="D15" s="37" t="n">
        <v>45</v>
      </c>
      <c r="E15" s="37" t="inlineStr">
        <is>
          <t>Dishwasher not run, damage photo log incomplete</t>
        </is>
      </c>
      <c r="F15" s="49" t="inlineStr">
        <is>
          <t>No</t>
        </is>
      </c>
      <c r="G15" s="37" t="n">
        <v>85</v>
      </c>
    </row>
    <row r="16" ht="16" customHeight="1">
      <c r="A16" s="48" t="n">
        <v>46111</v>
      </c>
      <c r="B16" s="37" t="inlineStr">
        <is>
          <t>Smokies Ridge</t>
        </is>
      </c>
      <c r="C16" s="37" t="inlineStr">
        <is>
          <t>Sarah — Smokies Clean</t>
        </is>
      </c>
      <c r="D16" s="37" t="n">
        <v>48</v>
      </c>
      <c r="E16" s="37" t="inlineStr">
        <is>
          <t>Late start — guest arrived early</t>
        </is>
      </c>
      <c r="F16" s="49" t="inlineStr">
        <is>
          <t>No</t>
        </is>
      </c>
      <c r="G16" s="37" t="n">
        <v>70</v>
      </c>
    </row>
    <row r="17" ht="16" customHeight="1">
      <c r="A17" s="48" t="n">
        <v>46113</v>
      </c>
      <c r="B17" s="37" t="inlineStr">
        <is>
          <t>Lakehouse B</t>
        </is>
      </c>
      <c r="C17" s="37" t="inlineStr">
        <is>
          <t>Jamie — Solo</t>
        </is>
      </c>
      <c r="D17" s="37" t="n">
        <v>44</v>
      </c>
      <c r="E17" s="37" t="inlineStr">
        <is>
          <t>Fridge not checked</t>
        </is>
      </c>
      <c r="F17" s="49" t="inlineStr">
        <is>
          <t>No</t>
        </is>
      </c>
      <c r="G17" s="37" t="n">
        <v>72</v>
      </c>
    </row>
    <row r="18" ht="16" customHeight="1">
      <c r="A18" s="48" t="n">
        <v>46115</v>
      </c>
      <c r="B18" s="37" t="inlineStr">
        <is>
          <t>Mountain View</t>
        </is>
      </c>
      <c r="C18" s="37" t="inlineStr">
        <is>
          <t>Miguel — Ridge Housekeeping</t>
        </is>
      </c>
      <c r="D18" s="37" t="n">
        <v>47</v>
      </c>
      <c r="E18" s="37" t="inlineStr"/>
      <c r="F18" s="49" t="inlineStr">
        <is>
          <t>No</t>
        </is>
      </c>
      <c r="G18" s="37" t="n">
        <v>95</v>
      </c>
    </row>
    <row r="19" ht="16" customHeight="1">
      <c r="A19" s="48" t="n">
        <v>46117</v>
      </c>
      <c r="B19" s="37" t="inlineStr">
        <is>
          <t>Creek Side</t>
        </is>
      </c>
      <c r="C19" s="37" t="inlineStr">
        <is>
          <t>Jamie — Solo</t>
        </is>
      </c>
      <c r="D19" s="37" t="n">
        <v>44</v>
      </c>
      <c r="E19" s="37" t="inlineStr">
        <is>
          <t>Minor: thermostat not reset</t>
        </is>
      </c>
      <c r="F19" s="49" t="inlineStr">
        <is>
          <t>No</t>
        </is>
      </c>
      <c r="G19" s="37" t="n">
        <v>68</v>
      </c>
    </row>
    <row r="20" ht="16" customHeight="1">
      <c r="A20" s="48" t="n">
        <v>46119</v>
      </c>
      <c r="B20" s="37" t="inlineStr">
        <is>
          <t>Lakehouse A</t>
        </is>
      </c>
      <c r="C20" s="37" t="inlineStr">
        <is>
          <t>Miguel — Ridge Housekeeping</t>
        </is>
      </c>
      <c r="D20" s="37" t="n">
        <v>50</v>
      </c>
      <c r="E20" s="37" t="inlineStr"/>
      <c r="F20" s="49" t="inlineStr">
        <is>
          <t>No</t>
        </is>
      </c>
      <c r="G20" s="37" t="n">
        <v>100</v>
      </c>
    </row>
    <row r="21">
      <c r="A21" s="48" t="n"/>
      <c r="B21" s="37" t="n"/>
      <c r="C21" s="37" t="n"/>
      <c r="D21" s="37" t="n"/>
      <c r="E21" s="37" t="n"/>
      <c r="F21" s="49" t="n"/>
      <c r="G21" s="37" t="n"/>
    </row>
    <row r="22">
      <c r="A22" s="48" t="n"/>
      <c r="B22" s="37" t="n"/>
      <c r="C22" s="37" t="n"/>
      <c r="D22" s="37" t="n"/>
      <c r="E22" s="37" t="n"/>
      <c r="F22" s="49" t="n"/>
      <c r="G22" s="37" t="n"/>
    </row>
    <row r="23">
      <c r="A23" s="48" t="n"/>
      <c r="B23" s="37" t="n"/>
      <c r="C23" s="37" t="n"/>
      <c r="D23" s="37" t="n"/>
      <c r="E23" s="37" t="n"/>
      <c r="F23" s="49" t="n"/>
      <c r="G23" s="37" t="n"/>
    </row>
    <row r="24">
      <c r="A24" s="48" t="n"/>
      <c r="B24" s="37" t="n"/>
      <c r="C24" s="37" t="n"/>
      <c r="D24" s="37" t="n"/>
      <c r="E24" s="37" t="n"/>
      <c r="F24" s="49" t="n"/>
      <c r="G24" s="37" t="n"/>
    </row>
    <row r="25">
      <c r="A25" s="48" t="n"/>
      <c r="B25" s="37" t="n"/>
      <c r="C25" s="37" t="n"/>
      <c r="D25" s="37" t="n"/>
      <c r="E25" s="37" t="n"/>
      <c r="F25" s="49" t="n"/>
      <c r="G25" s="37" t="n"/>
    </row>
    <row r="26">
      <c r="A26" s="48" t="n"/>
      <c r="B26" s="37" t="n"/>
      <c r="C26" s="37" t="n"/>
      <c r="D26" s="37" t="n"/>
      <c r="E26" s="37" t="n"/>
      <c r="F26" s="49" t="n"/>
      <c r="G26" s="37" t="n"/>
    </row>
    <row r="27">
      <c r="A27" s="48" t="n"/>
      <c r="B27" s="37" t="n"/>
      <c r="C27" s="37" t="n"/>
      <c r="D27" s="37" t="n"/>
      <c r="E27" s="37" t="n"/>
      <c r="F27" s="49" t="n"/>
      <c r="G27" s="37" t="n"/>
    </row>
    <row r="28">
      <c r="A28" s="48" t="n"/>
      <c r="B28" s="37" t="n"/>
      <c r="C28" s="37" t="n"/>
      <c r="D28" s="37" t="n"/>
      <c r="E28" s="37" t="n"/>
      <c r="F28" s="49" t="n"/>
      <c r="G28" s="37" t="n"/>
    </row>
    <row r="29">
      <c r="A29" s="48" t="n"/>
      <c r="B29" s="37" t="n"/>
      <c r="C29" s="37" t="n"/>
      <c r="D29" s="37" t="n"/>
      <c r="E29" s="37" t="n"/>
      <c r="F29" s="49" t="n"/>
      <c r="G29" s="37" t="n"/>
    </row>
    <row r="30">
      <c r="A30" s="48" t="n"/>
      <c r="B30" s="37" t="n"/>
      <c r="C30" s="37" t="n"/>
      <c r="D30" s="37" t="n"/>
      <c r="E30" s="37" t="n"/>
      <c r="F30" s="49" t="n"/>
      <c r="G30" s="37" t="n"/>
    </row>
    <row r="31">
      <c r="A31" s="48" t="n"/>
      <c r="B31" s="37" t="n"/>
      <c r="C31" s="37" t="n"/>
      <c r="D31" s="37" t="n"/>
      <c r="E31" s="37" t="n"/>
      <c r="F31" s="49" t="n"/>
      <c r="G31" s="37" t="n"/>
    </row>
    <row r="32">
      <c r="A32" s="48" t="n"/>
      <c r="B32" s="37" t="n"/>
      <c r="C32" s="37" t="n"/>
      <c r="D32" s="37" t="n"/>
      <c r="E32" s="37" t="n"/>
      <c r="F32" s="49" t="n"/>
      <c r="G32" s="37" t="n"/>
    </row>
    <row r="33">
      <c r="A33" s="48" t="n"/>
      <c r="B33" s="37" t="n"/>
      <c r="C33" s="37" t="n"/>
      <c r="D33" s="37" t="n"/>
      <c r="E33" s="37" t="n"/>
      <c r="F33" s="49" t="n"/>
      <c r="G33" s="37" t="n"/>
    </row>
    <row r="34">
      <c r="A34" s="48" t="n"/>
      <c r="B34" s="37" t="n"/>
      <c r="C34" s="37" t="n"/>
      <c r="D34" s="37" t="n"/>
      <c r="E34" s="37" t="n"/>
      <c r="F34" s="49" t="n"/>
      <c r="G34" s="37" t="n"/>
    </row>
    <row r="35">
      <c r="A35" s="48" t="n"/>
      <c r="B35" s="37" t="n"/>
      <c r="C35" s="37" t="n"/>
      <c r="D35" s="37" t="n"/>
      <c r="E35" s="37" t="n"/>
      <c r="F35" s="49" t="n"/>
      <c r="G35" s="37" t="n"/>
    </row>
    <row r="36">
      <c r="A36" s="48" t="n"/>
      <c r="B36" s="37" t="n"/>
      <c r="C36" s="37" t="n"/>
      <c r="D36" s="37" t="n"/>
      <c r="E36" s="37" t="n"/>
      <c r="F36" s="49" t="n"/>
      <c r="G36" s="37" t="n"/>
    </row>
    <row r="37">
      <c r="A37" s="48" t="n"/>
      <c r="B37" s="37" t="n"/>
      <c r="C37" s="37" t="n"/>
      <c r="D37" s="37" t="n"/>
      <c r="E37" s="37" t="n"/>
      <c r="F37" s="49" t="n"/>
      <c r="G37" s="37" t="n"/>
    </row>
    <row r="38">
      <c r="A38" s="48" t="n"/>
      <c r="B38" s="37" t="n"/>
      <c r="C38" s="37" t="n"/>
      <c r="D38" s="37" t="n"/>
      <c r="E38" s="37" t="n"/>
      <c r="F38" s="49" t="n"/>
      <c r="G38" s="37" t="n"/>
    </row>
    <row r="39">
      <c r="A39" s="48" t="n"/>
      <c r="B39" s="37" t="n"/>
      <c r="C39" s="37" t="n"/>
      <c r="D39" s="37" t="n"/>
      <c r="E39" s="37" t="n"/>
      <c r="F39" s="49" t="n"/>
      <c r="G39" s="37" t="n"/>
    </row>
    <row r="40">
      <c r="A40" s="48" t="n"/>
      <c r="B40" s="37" t="n"/>
      <c r="C40" s="37" t="n"/>
      <c r="D40" s="37" t="n"/>
      <c r="E40" s="37" t="n"/>
      <c r="F40" s="49" t="n"/>
      <c r="G40" s="37" t="n"/>
    </row>
    <row r="41">
      <c r="A41" s="48" t="n"/>
      <c r="B41" s="37" t="n"/>
      <c r="C41" s="37" t="n"/>
      <c r="D41" s="37" t="n"/>
      <c r="E41" s="37" t="n"/>
      <c r="F41" s="49" t="n"/>
      <c r="G41" s="37" t="n"/>
    </row>
    <row r="42">
      <c r="A42" s="48" t="n"/>
      <c r="B42" s="37" t="n"/>
      <c r="C42" s="37" t="n"/>
      <c r="D42" s="37" t="n"/>
      <c r="E42" s="37" t="n"/>
      <c r="F42" s="49" t="n"/>
      <c r="G42" s="37" t="n"/>
    </row>
    <row r="43">
      <c r="A43" s="48" t="n"/>
      <c r="B43" s="37" t="n"/>
      <c r="C43" s="37" t="n"/>
      <c r="D43" s="37" t="n"/>
      <c r="E43" s="37" t="n"/>
      <c r="F43" s="49" t="n"/>
      <c r="G43" s="37" t="n"/>
    </row>
    <row r="44">
      <c r="A44" s="48" t="n"/>
      <c r="B44" s="37" t="n"/>
      <c r="C44" s="37" t="n"/>
      <c r="D44" s="37" t="n"/>
      <c r="E44" s="37" t="n"/>
      <c r="F44" s="49" t="n"/>
      <c r="G44" s="37" t="n"/>
    </row>
    <row r="45">
      <c r="A45" s="48" t="n"/>
      <c r="B45" s="37" t="n"/>
      <c r="C45" s="37" t="n"/>
      <c r="D45" s="37" t="n"/>
      <c r="E45" s="37" t="n"/>
      <c r="F45" s="49" t="n"/>
      <c r="G45" s="37" t="n"/>
    </row>
    <row r="46">
      <c r="A46" s="48" t="n"/>
      <c r="B46" s="37" t="n"/>
      <c r="C46" s="37" t="n"/>
      <c r="D46" s="37" t="n"/>
      <c r="E46" s="37" t="n"/>
      <c r="F46" s="49" t="n"/>
      <c r="G46" s="37" t="n"/>
    </row>
    <row r="47">
      <c r="A47" s="48" t="n"/>
      <c r="B47" s="37" t="n"/>
      <c r="C47" s="37" t="n"/>
      <c r="D47" s="37" t="n"/>
      <c r="E47" s="37" t="n"/>
      <c r="F47" s="49" t="n"/>
      <c r="G47" s="37" t="n"/>
    </row>
    <row r="48">
      <c r="A48" s="48" t="n"/>
      <c r="B48" s="37" t="n"/>
      <c r="C48" s="37" t="n"/>
      <c r="D48" s="37" t="n"/>
      <c r="E48" s="37" t="n"/>
      <c r="F48" s="49" t="n"/>
      <c r="G48" s="37" t="n"/>
    </row>
    <row r="49">
      <c r="A49" s="48" t="n"/>
      <c r="B49" s="37" t="n"/>
      <c r="C49" s="37" t="n"/>
      <c r="D49" s="37" t="n"/>
      <c r="E49" s="37" t="n"/>
      <c r="F49" s="49" t="n"/>
      <c r="G49" s="37" t="n"/>
    </row>
    <row r="50">
      <c r="A50" s="48" t="n"/>
      <c r="B50" s="37" t="n"/>
      <c r="C50" s="37" t="n"/>
      <c r="D50" s="37" t="n"/>
      <c r="E50" s="37" t="n"/>
      <c r="F50" s="49" t="n"/>
      <c r="G50" s="37" t="n"/>
    </row>
    <row r="51">
      <c r="A51" s="48" t="n"/>
      <c r="B51" s="37" t="n"/>
      <c r="C51" s="37" t="n"/>
      <c r="D51" s="37" t="n"/>
      <c r="E51" s="37" t="n"/>
      <c r="F51" s="49" t="n"/>
      <c r="G51" s="37" t="n"/>
    </row>
    <row r="52">
      <c r="A52" s="48" t="n"/>
      <c r="B52" s="37" t="n"/>
      <c r="C52" s="37" t="n"/>
      <c r="D52" s="37" t="n"/>
      <c r="E52" s="37" t="n"/>
      <c r="F52" s="49" t="n"/>
      <c r="G52" s="37" t="n"/>
    </row>
    <row r="53">
      <c r="A53" s="48" t="n"/>
      <c r="B53" s="37" t="n"/>
      <c r="C53" s="37" t="n"/>
      <c r="D53" s="37" t="n"/>
      <c r="E53" s="37" t="n"/>
      <c r="F53" s="49" t="n"/>
      <c r="G53" s="37" t="n"/>
    </row>
    <row r="54">
      <c r="A54" s="48" t="n"/>
      <c r="B54" s="37" t="n"/>
      <c r="C54" s="37" t="n"/>
      <c r="D54" s="37" t="n"/>
      <c r="E54" s="37" t="n"/>
      <c r="F54" s="49" t="n"/>
      <c r="G54" s="37" t="n"/>
    </row>
    <row r="55">
      <c r="A55" s="48" t="n"/>
      <c r="B55" s="37" t="n"/>
      <c r="C55" s="37" t="n"/>
      <c r="D55" s="37" t="n"/>
      <c r="E55" s="37" t="n"/>
      <c r="F55" s="49" t="n"/>
      <c r="G55" s="37" t="n"/>
    </row>
    <row r="56">
      <c r="A56" s="48" t="n"/>
      <c r="B56" s="37" t="n"/>
      <c r="C56" s="37" t="n"/>
      <c r="D56" s="37" t="n"/>
      <c r="E56" s="37" t="n"/>
      <c r="F56" s="49" t="n"/>
      <c r="G56" s="37" t="n"/>
    </row>
    <row r="57">
      <c r="A57" s="48" t="n"/>
      <c r="B57" s="37" t="n"/>
      <c r="C57" s="37" t="n"/>
      <c r="D57" s="37" t="n"/>
      <c r="E57" s="37" t="n"/>
      <c r="F57" s="49" t="n"/>
      <c r="G57" s="37" t="n"/>
    </row>
    <row r="58">
      <c r="A58" s="48" t="n"/>
      <c r="B58" s="37" t="n"/>
      <c r="C58" s="37" t="n"/>
      <c r="D58" s="37" t="n"/>
      <c r="E58" s="37" t="n"/>
      <c r="F58" s="49" t="n"/>
      <c r="G58" s="37" t="n"/>
    </row>
    <row r="59">
      <c r="A59" s="48" t="n"/>
      <c r="B59" s="37" t="n"/>
      <c r="C59" s="37" t="n"/>
      <c r="D59" s="37" t="n"/>
      <c r="E59" s="37" t="n"/>
      <c r="F59" s="49" t="n"/>
      <c r="G59" s="37" t="n"/>
    </row>
    <row r="60">
      <c r="A60" s="48" t="n"/>
      <c r="B60" s="37" t="n"/>
      <c r="C60" s="37" t="n"/>
      <c r="D60" s="37" t="n"/>
      <c r="E60" s="37" t="n"/>
      <c r="F60" s="49" t="n"/>
      <c r="G60" s="37" t="n"/>
    </row>
    <row r="61">
      <c r="A61" s="48" t="n"/>
      <c r="B61" s="37" t="n"/>
      <c r="C61" s="37" t="n"/>
      <c r="D61" s="37" t="n"/>
      <c r="E61" s="37" t="n"/>
      <c r="F61" s="49" t="n"/>
      <c r="G61" s="37" t="n"/>
    </row>
    <row r="62">
      <c r="A62" s="48" t="n"/>
      <c r="B62" s="37" t="n"/>
      <c r="C62" s="37" t="n"/>
      <c r="D62" s="37" t="n"/>
      <c r="E62" s="37" t="n"/>
      <c r="F62" s="49" t="n"/>
      <c r="G62" s="37" t="n"/>
    </row>
    <row r="63">
      <c r="A63" s="48" t="n"/>
      <c r="B63" s="37" t="n"/>
      <c r="C63" s="37" t="n"/>
      <c r="D63" s="37" t="n"/>
      <c r="E63" s="37" t="n"/>
      <c r="F63" s="49" t="n"/>
      <c r="G63" s="37" t="n"/>
    </row>
    <row r="64">
      <c r="A64" s="48" t="n"/>
      <c r="B64" s="37" t="n"/>
      <c r="C64" s="37" t="n"/>
      <c r="D64" s="37" t="n"/>
      <c r="E64" s="37" t="n"/>
      <c r="F64" s="49" t="n"/>
      <c r="G64" s="37" t="n"/>
    </row>
    <row r="65">
      <c r="A65" s="48" t="n"/>
      <c r="B65" s="37" t="n"/>
      <c r="C65" s="37" t="n"/>
      <c r="D65" s="37" t="n"/>
      <c r="E65" s="37" t="n"/>
      <c r="F65" s="49" t="n"/>
      <c r="G65" s="37" t="n"/>
    </row>
    <row r="66">
      <c r="A66" s="48" t="n"/>
      <c r="B66" s="37" t="n"/>
      <c r="C66" s="37" t="n"/>
      <c r="D66" s="37" t="n"/>
      <c r="E66" s="37" t="n"/>
      <c r="F66" s="49" t="n"/>
      <c r="G66" s="37" t="n"/>
    </row>
    <row r="67">
      <c r="A67" s="48" t="n"/>
      <c r="B67" s="37" t="n"/>
      <c r="C67" s="37" t="n"/>
      <c r="D67" s="37" t="n"/>
      <c r="E67" s="37" t="n"/>
      <c r="F67" s="49" t="n"/>
      <c r="G67" s="37" t="n"/>
    </row>
    <row r="68">
      <c r="A68" s="48" t="n"/>
      <c r="B68" s="37" t="n"/>
      <c r="C68" s="37" t="n"/>
      <c r="D68" s="37" t="n"/>
      <c r="E68" s="37" t="n"/>
      <c r="F68" s="49" t="n"/>
      <c r="G68" s="37" t="n"/>
    </row>
    <row r="69">
      <c r="A69" s="48" t="n"/>
      <c r="B69" s="37" t="n"/>
      <c r="C69" s="37" t="n"/>
      <c r="D69" s="37" t="n"/>
      <c r="E69" s="37" t="n"/>
      <c r="F69" s="49" t="n"/>
      <c r="G69" s="37" t="n"/>
    </row>
    <row r="70">
      <c r="A70" s="48" t="n"/>
      <c r="B70" s="37" t="n"/>
      <c r="C70" s="37" t="n"/>
      <c r="D70" s="37" t="n"/>
      <c r="E70" s="37" t="n"/>
      <c r="F70" s="49" t="n"/>
      <c r="G70" s="37" t="n"/>
    </row>
    <row r="71">
      <c r="A71" s="48" t="n"/>
      <c r="B71" s="37" t="n"/>
      <c r="C71" s="37" t="n"/>
      <c r="D71" s="37" t="n"/>
      <c r="E71" s="37" t="n"/>
      <c r="F71" s="49" t="n"/>
      <c r="G71" s="37" t="n"/>
    </row>
    <row r="72">
      <c r="A72" s="48" t="n"/>
      <c r="B72" s="37" t="n"/>
      <c r="C72" s="37" t="n"/>
      <c r="D72" s="37" t="n"/>
      <c r="E72" s="37" t="n"/>
      <c r="F72" s="49" t="n"/>
      <c r="G72" s="37" t="n"/>
    </row>
    <row r="73">
      <c r="A73" s="48" t="n"/>
      <c r="B73" s="37" t="n"/>
      <c r="C73" s="37" t="n"/>
      <c r="D73" s="37" t="n"/>
      <c r="E73" s="37" t="n"/>
      <c r="F73" s="49" t="n"/>
      <c r="G73" s="37" t="n"/>
    </row>
    <row r="74">
      <c r="A74" s="48" t="n"/>
      <c r="B74" s="37" t="n"/>
      <c r="C74" s="37" t="n"/>
      <c r="D74" s="37" t="n"/>
      <c r="E74" s="37" t="n"/>
      <c r="F74" s="49" t="n"/>
      <c r="G74" s="37" t="n"/>
    </row>
    <row r="75">
      <c r="A75" s="48" t="n"/>
      <c r="B75" s="37" t="n"/>
      <c r="C75" s="37" t="n"/>
      <c r="D75" s="37" t="n"/>
      <c r="E75" s="37" t="n"/>
      <c r="F75" s="49" t="n"/>
      <c r="G75" s="37" t="n"/>
    </row>
    <row r="76">
      <c r="A76" s="48" t="n"/>
      <c r="B76" s="37" t="n"/>
      <c r="C76" s="37" t="n"/>
      <c r="D76" s="37" t="n"/>
      <c r="E76" s="37" t="n"/>
      <c r="F76" s="49" t="n"/>
      <c r="G76" s="37" t="n"/>
    </row>
    <row r="77">
      <c r="A77" s="48" t="n"/>
      <c r="B77" s="37" t="n"/>
      <c r="C77" s="37" t="n"/>
      <c r="D77" s="37" t="n"/>
      <c r="E77" s="37" t="n"/>
      <c r="F77" s="49" t="n"/>
      <c r="G77" s="37" t="n"/>
    </row>
    <row r="78">
      <c r="A78" s="48" t="n"/>
      <c r="B78" s="37" t="n"/>
      <c r="C78" s="37" t="n"/>
      <c r="D78" s="37" t="n"/>
      <c r="E78" s="37" t="n"/>
      <c r="F78" s="49" t="n"/>
      <c r="G78" s="37" t="n"/>
    </row>
    <row r="79">
      <c r="A79" s="48" t="n"/>
      <c r="B79" s="37" t="n"/>
      <c r="C79" s="37" t="n"/>
      <c r="D79" s="37" t="n"/>
      <c r="E79" s="37" t="n"/>
      <c r="F79" s="49" t="n"/>
      <c r="G79" s="37" t="n"/>
    </row>
    <row r="80">
      <c r="A80" s="48" t="n"/>
      <c r="B80" s="37" t="n"/>
      <c r="C80" s="37" t="n"/>
      <c r="D80" s="37" t="n"/>
      <c r="E80" s="37" t="n"/>
      <c r="F80" s="49" t="n"/>
      <c r="G80" s="37" t="n"/>
    </row>
    <row r="81">
      <c r="A81" s="48" t="n"/>
      <c r="B81" s="37" t="n"/>
      <c r="C81" s="37" t="n"/>
      <c r="D81" s="37" t="n"/>
      <c r="E81" s="37" t="n"/>
      <c r="F81" s="49" t="n"/>
      <c r="G81" s="37" t="n"/>
    </row>
    <row r="82">
      <c r="A82" s="48" t="n"/>
      <c r="B82" s="37" t="n"/>
      <c r="C82" s="37" t="n"/>
      <c r="D82" s="37" t="n"/>
      <c r="E82" s="37" t="n"/>
      <c r="F82" s="49" t="n"/>
      <c r="G82" s="37" t="n"/>
    </row>
    <row r="83">
      <c r="A83" s="48" t="n"/>
      <c r="B83" s="37" t="n"/>
      <c r="C83" s="37" t="n"/>
      <c r="D83" s="37" t="n"/>
      <c r="E83" s="37" t="n"/>
      <c r="F83" s="49" t="n"/>
      <c r="G83" s="37" t="n"/>
    </row>
    <row r="84">
      <c r="A84" s="48" t="n"/>
      <c r="B84" s="37" t="n"/>
      <c r="C84" s="37" t="n"/>
      <c r="D84" s="37" t="n"/>
      <c r="E84" s="37" t="n"/>
      <c r="F84" s="49" t="n"/>
      <c r="G84" s="37" t="n"/>
    </row>
    <row r="85">
      <c r="A85" s="48" t="n"/>
      <c r="B85" s="37" t="n"/>
      <c r="C85" s="37" t="n"/>
      <c r="D85" s="37" t="n"/>
      <c r="E85" s="37" t="n"/>
      <c r="F85" s="49" t="n"/>
      <c r="G85" s="37" t="n"/>
    </row>
    <row r="86">
      <c r="A86" s="48" t="n"/>
      <c r="B86" s="37" t="n"/>
      <c r="C86" s="37" t="n"/>
      <c r="D86" s="37" t="n"/>
      <c r="E86" s="37" t="n"/>
      <c r="F86" s="49" t="n"/>
      <c r="G86" s="37" t="n"/>
    </row>
    <row r="87">
      <c r="A87" s="48" t="n"/>
      <c r="B87" s="37" t="n"/>
      <c r="C87" s="37" t="n"/>
      <c r="D87" s="37" t="n"/>
      <c r="E87" s="37" t="n"/>
      <c r="F87" s="49" t="n"/>
      <c r="G87" s="37" t="n"/>
    </row>
    <row r="88">
      <c r="A88" s="48" t="n"/>
      <c r="B88" s="37" t="n"/>
      <c r="C88" s="37" t="n"/>
      <c r="D88" s="37" t="n"/>
      <c r="E88" s="37" t="n"/>
      <c r="F88" s="49" t="n"/>
      <c r="G88" s="37" t="n"/>
    </row>
    <row r="89">
      <c r="A89" s="48" t="n"/>
      <c r="B89" s="37" t="n"/>
      <c r="C89" s="37" t="n"/>
      <c r="D89" s="37" t="n"/>
      <c r="E89" s="37" t="n"/>
      <c r="F89" s="49" t="n"/>
      <c r="G89" s="37" t="n"/>
    </row>
    <row r="90">
      <c r="A90" s="48" t="n"/>
      <c r="B90" s="37" t="n"/>
      <c r="C90" s="37" t="n"/>
      <c r="D90" s="37" t="n"/>
      <c r="E90" s="37" t="n"/>
      <c r="F90" s="49" t="n"/>
      <c r="G90" s="37" t="n"/>
    </row>
    <row r="91">
      <c r="A91" s="48" t="n"/>
      <c r="B91" s="37" t="n"/>
      <c r="C91" s="37" t="n"/>
      <c r="D91" s="37" t="n"/>
      <c r="E91" s="37" t="n"/>
      <c r="F91" s="49" t="n"/>
      <c r="G91" s="37" t="n"/>
    </row>
    <row r="92">
      <c r="A92" s="48" t="n"/>
      <c r="B92" s="37" t="n"/>
      <c r="C92" s="37" t="n"/>
      <c r="D92" s="37" t="n"/>
      <c r="E92" s="37" t="n"/>
      <c r="F92" s="49" t="n"/>
      <c r="G92" s="37" t="n"/>
    </row>
    <row r="93">
      <c r="A93" s="48" t="n"/>
      <c r="B93" s="37" t="n"/>
      <c r="C93" s="37" t="n"/>
      <c r="D93" s="37" t="n"/>
      <c r="E93" s="37" t="n"/>
      <c r="F93" s="49" t="n"/>
      <c r="G93" s="37" t="n"/>
    </row>
    <row r="94">
      <c r="A94" s="48" t="n"/>
      <c r="B94" s="37" t="n"/>
      <c r="C94" s="37" t="n"/>
      <c r="D94" s="37" t="n"/>
      <c r="E94" s="37" t="n"/>
      <c r="F94" s="49" t="n"/>
      <c r="G94" s="37" t="n"/>
    </row>
    <row r="95">
      <c r="A95" s="48" t="n"/>
      <c r="B95" s="37" t="n"/>
      <c r="C95" s="37" t="n"/>
      <c r="D95" s="37" t="n"/>
      <c r="E95" s="37" t="n"/>
      <c r="F95" s="49" t="n"/>
      <c r="G95" s="37" t="n"/>
    </row>
    <row r="96">
      <c r="A96" s="48" t="n"/>
      <c r="B96" s="37" t="n"/>
      <c r="C96" s="37" t="n"/>
      <c r="D96" s="37" t="n"/>
      <c r="E96" s="37" t="n"/>
      <c r="F96" s="49" t="n"/>
      <c r="G96" s="37" t="n"/>
    </row>
    <row r="97">
      <c r="A97" s="48" t="n"/>
      <c r="B97" s="37" t="n"/>
      <c r="C97" s="37" t="n"/>
      <c r="D97" s="37" t="n"/>
      <c r="E97" s="37" t="n"/>
      <c r="F97" s="49" t="n"/>
      <c r="G97" s="37" t="n"/>
    </row>
    <row r="98">
      <c r="A98" s="48" t="n"/>
      <c r="B98" s="37" t="n"/>
      <c r="C98" s="37" t="n"/>
      <c r="D98" s="37" t="n"/>
      <c r="E98" s="37" t="n"/>
      <c r="F98" s="49" t="n"/>
      <c r="G98" s="37" t="n"/>
    </row>
    <row r="99">
      <c r="A99" s="48" t="n"/>
      <c r="B99" s="37" t="n"/>
      <c r="C99" s="37" t="n"/>
      <c r="D99" s="37" t="n"/>
      <c r="E99" s="37" t="n"/>
      <c r="F99" s="49" t="n"/>
      <c r="G99" s="37" t="n"/>
    </row>
    <row r="100">
      <c r="A100" s="48" t="n"/>
      <c r="B100" s="37" t="n"/>
      <c r="C100" s="37" t="n"/>
      <c r="D100" s="37" t="n"/>
      <c r="E100" s="37" t="n"/>
      <c r="F100" s="49" t="n"/>
      <c r="G100" s="37" t="n"/>
    </row>
    <row r="101">
      <c r="A101" s="48" t="n"/>
      <c r="B101" s="37" t="n"/>
      <c r="C101" s="37" t="n"/>
      <c r="D101" s="37" t="n"/>
      <c r="E101" s="37" t="n"/>
      <c r="F101" s="49" t="n"/>
      <c r="G101" s="37" t="n"/>
    </row>
    <row r="102">
      <c r="A102" s="48" t="n"/>
      <c r="B102" s="37" t="n"/>
      <c r="C102" s="37" t="n"/>
      <c r="D102" s="37" t="n"/>
      <c r="E102" s="37" t="n"/>
      <c r="F102" s="49" t="n"/>
      <c r="G102" s="37" t="n"/>
    </row>
    <row r="103">
      <c r="A103" s="48" t="n"/>
      <c r="B103" s="37" t="n"/>
      <c r="C103" s="37" t="n"/>
      <c r="D103" s="37" t="n"/>
      <c r="E103" s="37" t="n"/>
      <c r="F103" s="49" t="n"/>
      <c r="G103" s="37" t="n"/>
    </row>
    <row r="104">
      <c r="A104" s="48" t="n"/>
      <c r="B104" s="37" t="n"/>
      <c r="C104" s="37" t="n"/>
      <c r="D104" s="37" t="n"/>
      <c r="E104" s="37" t="n"/>
      <c r="F104" s="49" t="n"/>
      <c r="G104" s="37" t="n"/>
    </row>
    <row r="105">
      <c r="A105" s="48" t="n"/>
      <c r="B105" s="37" t="n"/>
      <c r="C105" s="37" t="n"/>
      <c r="D105" s="37" t="n"/>
      <c r="E105" s="37" t="n"/>
      <c r="F105" s="49" t="n"/>
      <c r="G105" s="37" t="n"/>
    </row>
    <row r="106">
      <c r="A106" s="48" t="n"/>
      <c r="B106" s="37" t="n"/>
      <c r="C106" s="37" t="n"/>
      <c r="D106" s="37" t="n"/>
      <c r="E106" s="37" t="n"/>
      <c r="F106" s="49" t="n"/>
      <c r="G106" s="37" t="n"/>
    </row>
    <row r="107">
      <c r="A107" s="48" t="n"/>
      <c r="B107" s="37" t="n"/>
      <c r="C107" s="37" t="n"/>
      <c r="D107" s="37" t="n"/>
      <c r="E107" s="37" t="n"/>
      <c r="F107" s="49" t="n"/>
      <c r="G107" s="37" t="n"/>
    </row>
    <row r="108">
      <c r="A108" s="48" t="n"/>
      <c r="B108" s="37" t="n"/>
      <c r="C108" s="37" t="n"/>
      <c r="D108" s="37" t="n"/>
      <c r="E108" s="37" t="n"/>
      <c r="F108" s="49" t="n"/>
      <c r="G108" s="37" t="n"/>
    </row>
    <row r="109">
      <c r="A109" s="48" t="n"/>
      <c r="B109" s="37" t="n"/>
      <c r="C109" s="37" t="n"/>
      <c r="D109" s="37" t="n"/>
      <c r="E109" s="37" t="n"/>
      <c r="F109" s="49" t="n"/>
      <c r="G109" s="37" t="n"/>
    </row>
    <row r="110">
      <c r="A110" s="48" t="n"/>
      <c r="B110" s="37" t="n"/>
      <c r="C110" s="37" t="n"/>
      <c r="D110" s="37" t="n"/>
      <c r="E110" s="37" t="n"/>
      <c r="F110" s="49" t="n"/>
      <c r="G110" s="37" t="n"/>
    </row>
    <row r="111">
      <c r="A111" s="48" t="n"/>
      <c r="B111" s="37" t="n"/>
      <c r="C111" s="37" t="n"/>
      <c r="D111" s="37" t="n"/>
      <c r="E111" s="37" t="n"/>
      <c r="F111" s="49" t="n"/>
      <c r="G111" s="37" t="n"/>
    </row>
    <row r="112">
      <c r="A112" s="48" t="n"/>
      <c r="B112" s="37" t="n"/>
      <c r="C112" s="37" t="n"/>
      <c r="D112" s="37" t="n"/>
      <c r="E112" s="37" t="n"/>
      <c r="F112" s="49" t="n"/>
      <c r="G112" s="37" t="n"/>
    </row>
    <row r="113">
      <c r="A113" s="48" t="n"/>
      <c r="B113" s="37" t="n"/>
      <c r="C113" s="37" t="n"/>
      <c r="D113" s="37" t="n"/>
      <c r="E113" s="37" t="n"/>
      <c r="F113" s="49" t="n"/>
      <c r="G113" s="37" t="n"/>
    </row>
    <row r="114">
      <c r="A114" s="48" t="n"/>
      <c r="B114" s="37" t="n"/>
      <c r="C114" s="37" t="n"/>
      <c r="D114" s="37" t="n"/>
      <c r="E114" s="37" t="n"/>
      <c r="F114" s="49" t="n"/>
      <c r="G114" s="37" t="n"/>
    </row>
    <row r="115">
      <c r="A115" s="48" t="n"/>
      <c r="B115" s="37" t="n"/>
      <c r="C115" s="37" t="n"/>
      <c r="D115" s="37" t="n"/>
      <c r="E115" s="37" t="n"/>
      <c r="F115" s="49" t="n"/>
      <c r="G115" s="37" t="n"/>
    </row>
    <row r="116">
      <c r="A116" s="48" t="n"/>
      <c r="B116" s="37" t="n"/>
      <c r="C116" s="37" t="n"/>
      <c r="D116" s="37" t="n"/>
      <c r="E116" s="37" t="n"/>
      <c r="F116" s="49" t="n"/>
      <c r="G116" s="37" t="n"/>
    </row>
    <row r="117">
      <c r="A117" s="48" t="n"/>
      <c r="B117" s="37" t="n"/>
      <c r="C117" s="37" t="n"/>
      <c r="D117" s="37" t="n"/>
      <c r="E117" s="37" t="n"/>
      <c r="F117" s="49" t="n"/>
      <c r="G117" s="37" t="n"/>
    </row>
    <row r="118">
      <c r="A118" s="48" t="n"/>
      <c r="B118" s="37" t="n"/>
      <c r="C118" s="37" t="n"/>
      <c r="D118" s="37" t="n"/>
      <c r="E118" s="37" t="n"/>
      <c r="F118" s="49" t="n"/>
      <c r="G118" s="37" t="n"/>
    </row>
    <row r="119">
      <c r="A119" s="48" t="n"/>
      <c r="B119" s="37" t="n"/>
      <c r="C119" s="37" t="n"/>
      <c r="D119" s="37" t="n"/>
      <c r="E119" s="37" t="n"/>
      <c r="F119" s="49" t="n"/>
      <c r="G119" s="37" t="n"/>
    </row>
    <row r="120">
      <c r="A120" s="48" t="n"/>
      <c r="B120" s="37" t="n"/>
      <c r="C120" s="37" t="n"/>
      <c r="D120" s="37" t="n"/>
      <c r="E120" s="37" t="n"/>
      <c r="F120" s="49" t="n"/>
      <c r="G120" s="37" t="n"/>
    </row>
    <row r="121">
      <c r="A121" s="48" t="n"/>
      <c r="B121" s="37" t="n"/>
      <c r="C121" s="37" t="n"/>
      <c r="D121" s="37" t="n"/>
      <c r="E121" s="37" t="n"/>
      <c r="F121" s="49" t="n"/>
      <c r="G121" s="37" t="n"/>
    </row>
    <row r="122">
      <c r="A122" s="48" t="n"/>
      <c r="B122" s="37" t="n"/>
      <c r="C122" s="37" t="n"/>
      <c r="D122" s="37" t="n"/>
      <c r="E122" s="37" t="n"/>
      <c r="F122" s="49" t="n"/>
      <c r="G122" s="37" t="n"/>
    </row>
    <row r="123">
      <c r="A123" s="48" t="n"/>
      <c r="B123" s="37" t="n"/>
      <c r="C123" s="37" t="n"/>
      <c r="D123" s="37" t="n"/>
      <c r="E123" s="37" t="n"/>
      <c r="F123" s="49" t="n"/>
      <c r="G123" s="37" t="n"/>
    </row>
    <row r="124">
      <c r="A124" s="48" t="n"/>
      <c r="B124" s="37" t="n"/>
      <c r="C124" s="37" t="n"/>
      <c r="D124" s="37" t="n"/>
      <c r="E124" s="37" t="n"/>
      <c r="F124" s="49" t="n"/>
      <c r="G124" s="37" t="n"/>
    </row>
    <row r="125">
      <c r="A125" s="48" t="n"/>
      <c r="B125" s="37" t="n"/>
      <c r="C125" s="37" t="n"/>
      <c r="D125" s="37" t="n"/>
      <c r="E125" s="37" t="n"/>
      <c r="F125" s="49" t="n"/>
      <c r="G125" s="37" t="n"/>
    </row>
    <row r="126">
      <c r="A126" s="48" t="n"/>
      <c r="B126" s="37" t="n"/>
      <c r="C126" s="37" t="n"/>
      <c r="D126" s="37" t="n"/>
      <c r="E126" s="37" t="n"/>
      <c r="F126" s="49" t="n"/>
      <c r="G126" s="37" t="n"/>
    </row>
    <row r="127">
      <c r="A127" s="48" t="n"/>
      <c r="B127" s="37" t="n"/>
      <c r="C127" s="37" t="n"/>
      <c r="D127" s="37" t="n"/>
      <c r="E127" s="37" t="n"/>
      <c r="F127" s="49" t="n"/>
      <c r="G127" s="37" t="n"/>
    </row>
    <row r="128">
      <c r="A128" s="48" t="n"/>
      <c r="B128" s="37" t="n"/>
      <c r="C128" s="37" t="n"/>
      <c r="D128" s="37" t="n"/>
      <c r="E128" s="37" t="n"/>
      <c r="F128" s="49" t="n"/>
      <c r="G128" s="37" t="n"/>
    </row>
    <row r="129">
      <c r="A129" s="48" t="n"/>
      <c r="B129" s="37" t="n"/>
      <c r="C129" s="37" t="n"/>
      <c r="D129" s="37" t="n"/>
      <c r="E129" s="37" t="n"/>
      <c r="F129" s="49" t="n"/>
      <c r="G129" s="37" t="n"/>
    </row>
    <row r="130">
      <c r="A130" s="48" t="n"/>
      <c r="B130" s="37" t="n"/>
      <c r="C130" s="37" t="n"/>
      <c r="D130" s="37" t="n"/>
      <c r="E130" s="37" t="n"/>
      <c r="F130" s="49" t="n"/>
      <c r="G130" s="37" t="n"/>
    </row>
    <row r="131">
      <c r="A131" s="48" t="n"/>
      <c r="B131" s="37" t="n"/>
      <c r="C131" s="37" t="n"/>
      <c r="D131" s="37" t="n"/>
      <c r="E131" s="37" t="n"/>
      <c r="F131" s="49" t="n"/>
      <c r="G131" s="37" t="n"/>
    </row>
    <row r="132">
      <c r="A132" s="48" t="n"/>
      <c r="B132" s="37" t="n"/>
      <c r="C132" s="37" t="n"/>
      <c r="D132" s="37" t="n"/>
      <c r="E132" s="37" t="n"/>
      <c r="F132" s="49" t="n"/>
      <c r="G132" s="37" t="n"/>
    </row>
    <row r="133">
      <c r="A133" s="48" t="n"/>
      <c r="B133" s="37" t="n"/>
      <c r="C133" s="37" t="n"/>
      <c r="D133" s="37" t="n"/>
      <c r="E133" s="37" t="n"/>
      <c r="F133" s="49" t="n"/>
      <c r="G133" s="37" t="n"/>
    </row>
    <row r="134">
      <c r="A134" s="48" t="n"/>
      <c r="B134" s="37" t="n"/>
      <c r="C134" s="37" t="n"/>
      <c r="D134" s="37" t="n"/>
      <c r="E134" s="37" t="n"/>
      <c r="F134" s="49" t="n"/>
      <c r="G134" s="37" t="n"/>
    </row>
    <row r="135">
      <c r="A135" s="48" t="n"/>
      <c r="B135" s="37" t="n"/>
      <c r="C135" s="37" t="n"/>
      <c r="D135" s="37" t="n"/>
      <c r="E135" s="37" t="n"/>
      <c r="F135" s="49" t="n"/>
      <c r="G135" s="37" t="n"/>
    </row>
    <row r="136">
      <c r="A136" s="48" t="n"/>
      <c r="B136" s="37" t="n"/>
      <c r="C136" s="37" t="n"/>
      <c r="D136" s="37" t="n"/>
      <c r="E136" s="37" t="n"/>
      <c r="F136" s="49" t="n"/>
      <c r="G136" s="37" t="n"/>
    </row>
    <row r="137">
      <c r="A137" s="48" t="n"/>
      <c r="B137" s="37" t="n"/>
      <c r="C137" s="37" t="n"/>
      <c r="D137" s="37" t="n"/>
      <c r="E137" s="37" t="n"/>
      <c r="F137" s="49" t="n"/>
      <c r="G137" s="37" t="n"/>
    </row>
    <row r="138">
      <c r="A138" s="48" t="n"/>
      <c r="B138" s="37" t="n"/>
      <c r="C138" s="37" t="n"/>
      <c r="D138" s="37" t="n"/>
      <c r="E138" s="37" t="n"/>
      <c r="F138" s="49" t="n"/>
      <c r="G138" s="37" t="n"/>
    </row>
    <row r="139">
      <c r="A139" s="48" t="n"/>
      <c r="B139" s="37" t="n"/>
      <c r="C139" s="37" t="n"/>
      <c r="D139" s="37" t="n"/>
      <c r="E139" s="37" t="n"/>
      <c r="F139" s="49" t="n"/>
      <c r="G139" s="37" t="n"/>
    </row>
    <row r="140">
      <c r="A140" s="48" t="n"/>
      <c r="B140" s="37" t="n"/>
      <c r="C140" s="37" t="n"/>
      <c r="D140" s="37" t="n"/>
      <c r="E140" s="37" t="n"/>
      <c r="F140" s="49" t="n"/>
      <c r="G140" s="37" t="n"/>
    </row>
    <row r="141">
      <c r="A141" s="48" t="n"/>
      <c r="B141" s="37" t="n"/>
      <c r="C141" s="37" t="n"/>
      <c r="D141" s="37" t="n"/>
      <c r="E141" s="37" t="n"/>
      <c r="F141" s="49" t="n"/>
      <c r="G141" s="37" t="n"/>
    </row>
    <row r="142">
      <c r="A142" s="48" t="n"/>
      <c r="B142" s="37" t="n"/>
      <c r="C142" s="37" t="n"/>
      <c r="D142" s="37" t="n"/>
      <c r="E142" s="37" t="n"/>
      <c r="F142" s="49" t="n"/>
      <c r="G142" s="37" t="n"/>
    </row>
    <row r="143">
      <c r="A143" s="48" t="n"/>
      <c r="B143" s="37" t="n"/>
      <c r="C143" s="37" t="n"/>
      <c r="D143" s="37" t="n"/>
      <c r="E143" s="37" t="n"/>
      <c r="F143" s="49" t="n"/>
      <c r="G143" s="37" t="n"/>
    </row>
    <row r="144">
      <c r="A144" s="48" t="n"/>
      <c r="B144" s="37" t="n"/>
      <c r="C144" s="37" t="n"/>
      <c r="D144" s="37" t="n"/>
      <c r="E144" s="37" t="n"/>
      <c r="F144" s="49" t="n"/>
      <c r="G144" s="37" t="n"/>
    </row>
    <row r="145">
      <c r="A145" s="48" t="n"/>
      <c r="B145" s="37" t="n"/>
      <c r="C145" s="37" t="n"/>
      <c r="D145" s="37" t="n"/>
      <c r="E145" s="37" t="n"/>
      <c r="F145" s="49" t="n"/>
      <c r="G145" s="37" t="n"/>
    </row>
    <row r="146">
      <c r="A146" s="48" t="n"/>
      <c r="B146" s="37" t="n"/>
      <c r="C146" s="37" t="n"/>
      <c r="D146" s="37" t="n"/>
      <c r="E146" s="37" t="n"/>
      <c r="F146" s="49" t="n"/>
      <c r="G146" s="37" t="n"/>
    </row>
    <row r="147">
      <c r="A147" s="48" t="n"/>
      <c r="B147" s="37" t="n"/>
      <c r="C147" s="37" t="n"/>
      <c r="D147" s="37" t="n"/>
      <c r="E147" s="37" t="n"/>
      <c r="F147" s="49" t="n"/>
      <c r="G147" s="37" t="n"/>
    </row>
    <row r="148">
      <c r="A148" s="48" t="n"/>
      <c r="B148" s="37" t="n"/>
      <c r="C148" s="37" t="n"/>
      <c r="D148" s="37" t="n"/>
      <c r="E148" s="37" t="n"/>
      <c r="F148" s="49" t="n"/>
      <c r="G148" s="37" t="n"/>
    </row>
    <row r="149">
      <c r="A149" s="48" t="n"/>
      <c r="B149" s="37" t="n"/>
      <c r="C149" s="37" t="n"/>
      <c r="D149" s="37" t="n"/>
      <c r="E149" s="37" t="n"/>
      <c r="F149" s="49" t="n"/>
      <c r="G149" s="37" t="n"/>
    </row>
    <row r="150">
      <c r="A150" s="48" t="n"/>
      <c r="B150" s="37" t="n"/>
      <c r="C150" s="37" t="n"/>
      <c r="D150" s="37" t="n"/>
      <c r="E150" s="37" t="n"/>
      <c r="F150" s="49" t="n"/>
      <c r="G150" s="37" t="n"/>
    </row>
    <row r="151">
      <c r="A151" s="48" t="n"/>
      <c r="B151" s="37" t="n"/>
      <c r="C151" s="37" t="n"/>
      <c r="D151" s="37" t="n"/>
      <c r="E151" s="37" t="n"/>
      <c r="F151" s="49" t="n"/>
      <c r="G151" s="37" t="n"/>
    </row>
    <row r="152">
      <c r="A152" s="48" t="n"/>
      <c r="B152" s="37" t="n"/>
      <c r="C152" s="37" t="n"/>
      <c r="D152" s="37" t="n"/>
      <c r="E152" s="37" t="n"/>
      <c r="F152" s="49" t="n"/>
      <c r="G152" s="37" t="n"/>
    </row>
    <row r="153">
      <c r="A153" s="48" t="n"/>
      <c r="B153" s="37" t="n"/>
      <c r="C153" s="37" t="n"/>
      <c r="D153" s="37" t="n"/>
      <c r="E153" s="37" t="n"/>
      <c r="F153" s="49" t="n"/>
      <c r="G153" s="37" t="n"/>
    </row>
    <row r="154">
      <c r="A154" s="48" t="n"/>
      <c r="B154" s="37" t="n"/>
      <c r="C154" s="37" t="n"/>
      <c r="D154" s="37" t="n"/>
      <c r="E154" s="37" t="n"/>
      <c r="F154" s="49" t="n"/>
      <c r="G154" s="37" t="n"/>
    </row>
    <row r="155">
      <c r="A155" s="48" t="n"/>
      <c r="B155" s="37" t="n"/>
      <c r="C155" s="37" t="n"/>
      <c r="D155" s="37" t="n"/>
      <c r="E155" s="37" t="n"/>
      <c r="F155" s="49" t="n"/>
      <c r="G155" s="37" t="n"/>
    </row>
    <row r="156">
      <c r="A156" s="48" t="n"/>
      <c r="B156" s="37" t="n"/>
      <c r="C156" s="37" t="n"/>
      <c r="D156" s="37" t="n"/>
      <c r="E156" s="37" t="n"/>
      <c r="F156" s="49" t="n"/>
      <c r="G156" s="37" t="n"/>
    </row>
    <row r="157">
      <c r="A157" s="48" t="n"/>
      <c r="B157" s="37" t="n"/>
      <c r="C157" s="37" t="n"/>
      <c r="D157" s="37" t="n"/>
      <c r="E157" s="37" t="n"/>
      <c r="F157" s="49" t="n"/>
      <c r="G157" s="37" t="n"/>
    </row>
    <row r="158">
      <c r="A158" s="48" t="n"/>
      <c r="B158" s="37" t="n"/>
      <c r="C158" s="37" t="n"/>
      <c r="D158" s="37" t="n"/>
      <c r="E158" s="37" t="n"/>
      <c r="F158" s="49" t="n"/>
      <c r="G158" s="37" t="n"/>
    </row>
    <row r="159">
      <c r="A159" s="48" t="n"/>
      <c r="B159" s="37" t="n"/>
      <c r="C159" s="37" t="n"/>
      <c r="D159" s="37" t="n"/>
      <c r="E159" s="37" t="n"/>
      <c r="F159" s="49" t="n"/>
      <c r="G159" s="37" t="n"/>
    </row>
    <row r="160">
      <c r="A160" s="48" t="n"/>
      <c r="B160" s="37" t="n"/>
      <c r="C160" s="37" t="n"/>
      <c r="D160" s="37" t="n"/>
      <c r="E160" s="37" t="n"/>
      <c r="F160" s="49" t="n"/>
      <c r="G160" s="37" t="n"/>
    </row>
    <row r="161">
      <c r="A161" s="48" t="n"/>
      <c r="B161" s="37" t="n"/>
      <c r="C161" s="37" t="n"/>
      <c r="D161" s="37" t="n"/>
      <c r="E161" s="37" t="n"/>
      <c r="F161" s="49" t="n"/>
      <c r="G161" s="37" t="n"/>
    </row>
    <row r="162">
      <c r="A162" s="48" t="n"/>
      <c r="B162" s="37" t="n"/>
      <c r="C162" s="37" t="n"/>
      <c r="D162" s="37" t="n"/>
      <c r="E162" s="37" t="n"/>
      <c r="F162" s="49" t="n"/>
      <c r="G162" s="37" t="n"/>
    </row>
    <row r="163">
      <c r="A163" s="48" t="n"/>
      <c r="B163" s="37" t="n"/>
      <c r="C163" s="37" t="n"/>
      <c r="D163" s="37" t="n"/>
      <c r="E163" s="37" t="n"/>
      <c r="F163" s="49" t="n"/>
      <c r="G163" s="37" t="n"/>
    </row>
    <row r="164">
      <c r="A164" s="48" t="n"/>
      <c r="B164" s="37" t="n"/>
      <c r="C164" s="37" t="n"/>
      <c r="D164" s="37" t="n"/>
      <c r="E164" s="37" t="n"/>
      <c r="F164" s="49" t="n"/>
      <c r="G164" s="37" t="n"/>
    </row>
    <row r="165">
      <c r="A165" s="48" t="n"/>
      <c r="B165" s="37" t="n"/>
      <c r="C165" s="37" t="n"/>
      <c r="D165" s="37" t="n"/>
      <c r="E165" s="37" t="n"/>
      <c r="F165" s="49" t="n"/>
      <c r="G165" s="37" t="n"/>
    </row>
    <row r="166">
      <c r="A166" s="48" t="n"/>
      <c r="B166" s="37" t="n"/>
      <c r="C166" s="37" t="n"/>
      <c r="D166" s="37" t="n"/>
      <c r="E166" s="37" t="n"/>
      <c r="F166" s="49" t="n"/>
      <c r="G166" s="37" t="n"/>
    </row>
    <row r="167">
      <c r="A167" s="48" t="n"/>
      <c r="B167" s="37" t="n"/>
      <c r="C167" s="37" t="n"/>
      <c r="D167" s="37" t="n"/>
      <c r="E167" s="37" t="n"/>
      <c r="F167" s="49" t="n"/>
      <c r="G167" s="37" t="n"/>
    </row>
    <row r="168">
      <c r="A168" s="48" t="n"/>
      <c r="B168" s="37" t="n"/>
      <c r="C168" s="37" t="n"/>
      <c r="D168" s="37" t="n"/>
      <c r="E168" s="37" t="n"/>
      <c r="F168" s="49" t="n"/>
      <c r="G168" s="37" t="n"/>
    </row>
    <row r="169">
      <c r="A169" s="48" t="n"/>
      <c r="B169" s="37" t="n"/>
      <c r="C169" s="37" t="n"/>
      <c r="D169" s="37" t="n"/>
      <c r="E169" s="37" t="n"/>
      <c r="F169" s="49" t="n"/>
      <c r="G169" s="37" t="n"/>
    </row>
    <row r="170">
      <c r="A170" s="48" t="n"/>
      <c r="B170" s="37" t="n"/>
      <c r="C170" s="37" t="n"/>
      <c r="D170" s="37" t="n"/>
      <c r="E170" s="37" t="n"/>
      <c r="F170" s="49" t="n"/>
      <c r="G170" s="37" t="n"/>
    </row>
    <row r="171">
      <c r="A171" s="48" t="n"/>
      <c r="B171" s="37" t="n"/>
      <c r="C171" s="37" t="n"/>
      <c r="D171" s="37" t="n"/>
      <c r="E171" s="37" t="n"/>
      <c r="F171" s="49" t="n"/>
      <c r="G171" s="37" t="n"/>
    </row>
    <row r="172">
      <c r="A172" s="48" t="n"/>
      <c r="B172" s="37" t="n"/>
      <c r="C172" s="37" t="n"/>
      <c r="D172" s="37" t="n"/>
      <c r="E172" s="37" t="n"/>
      <c r="F172" s="49" t="n"/>
      <c r="G172" s="37" t="n"/>
    </row>
    <row r="173">
      <c r="A173" s="48" t="n"/>
      <c r="B173" s="37" t="n"/>
      <c r="C173" s="37" t="n"/>
      <c r="D173" s="37" t="n"/>
      <c r="E173" s="37" t="n"/>
      <c r="F173" s="49" t="n"/>
      <c r="G173" s="37" t="n"/>
    </row>
    <row r="174">
      <c r="A174" s="48" t="n"/>
      <c r="B174" s="37" t="n"/>
      <c r="C174" s="37" t="n"/>
      <c r="D174" s="37" t="n"/>
      <c r="E174" s="37" t="n"/>
      <c r="F174" s="49" t="n"/>
      <c r="G174" s="37" t="n"/>
    </row>
    <row r="175">
      <c r="A175" s="48" t="n"/>
      <c r="B175" s="37" t="n"/>
      <c r="C175" s="37" t="n"/>
      <c r="D175" s="37" t="n"/>
      <c r="E175" s="37" t="n"/>
      <c r="F175" s="49" t="n"/>
      <c r="G175" s="37" t="n"/>
    </row>
    <row r="176">
      <c r="A176" s="48" t="n"/>
      <c r="B176" s="37" t="n"/>
      <c r="C176" s="37" t="n"/>
      <c r="D176" s="37" t="n"/>
      <c r="E176" s="37" t="n"/>
      <c r="F176" s="49" t="n"/>
      <c r="G176" s="37" t="n"/>
    </row>
    <row r="177">
      <c r="A177" s="48" t="n"/>
      <c r="B177" s="37" t="n"/>
      <c r="C177" s="37" t="n"/>
      <c r="D177" s="37" t="n"/>
      <c r="E177" s="37" t="n"/>
      <c r="F177" s="49" t="n"/>
      <c r="G177" s="37" t="n"/>
    </row>
    <row r="178">
      <c r="A178" s="48" t="n"/>
      <c r="B178" s="37" t="n"/>
      <c r="C178" s="37" t="n"/>
      <c r="D178" s="37" t="n"/>
      <c r="E178" s="37" t="n"/>
      <c r="F178" s="49" t="n"/>
      <c r="G178" s="37" t="n"/>
    </row>
    <row r="179">
      <c r="A179" s="48" t="n"/>
      <c r="B179" s="37" t="n"/>
      <c r="C179" s="37" t="n"/>
      <c r="D179" s="37" t="n"/>
      <c r="E179" s="37" t="n"/>
      <c r="F179" s="49" t="n"/>
      <c r="G179" s="37" t="n"/>
    </row>
    <row r="180">
      <c r="A180" s="48" t="n"/>
      <c r="B180" s="37" t="n"/>
      <c r="C180" s="37" t="n"/>
      <c r="D180" s="37" t="n"/>
      <c r="E180" s="37" t="n"/>
      <c r="F180" s="49" t="n"/>
      <c r="G180" s="37" t="n"/>
    </row>
    <row r="181">
      <c r="A181" s="48" t="n"/>
      <c r="B181" s="37" t="n"/>
      <c r="C181" s="37" t="n"/>
      <c r="D181" s="37" t="n"/>
      <c r="E181" s="37" t="n"/>
      <c r="F181" s="49" t="n"/>
      <c r="G181" s="37" t="n"/>
    </row>
    <row r="182">
      <c r="A182" s="48" t="n"/>
      <c r="B182" s="37" t="n"/>
      <c r="C182" s="37" t="n"/>
      <c r="D182" s="37" t="n"/>
      <c r="E182" s="37" t="n"/>
      <c r="F182" s="49" t="n"/>
      <c r="G182" s="37" t="n"/>
    </row>
    <row r="183">
      <c r="A183" s="48" t="n"/>
      <c r="B183" s="37" t="n"/>
      <c r="C183" s="37" t="n"/>
      <c r="D183" s="37" t="n"/>
      <c r="E183" s="37" t="n"/>
      <c r="F183" s="49" t="n"/>
      <c r="G183" s="37" t="n"/>
    </row>
    <row r="184">
      <c r="A184" s="48" t="n"/>
      <c r="B184" s="37" t="n"/>
      <c r="C184" s="37" t="n"/>
      <c r="D184" s="37" t="n"/>
      <c r="E184" s="37" t="n"/>
      <c r="F184" s="49" t="n"/>
      <c r="G184" s="37" t="n"/>
    </row>
    <row r="185">
      <c r="A185" s="48" t="n"/>
      <c r="B185" s="37" t="n"/>
      <c r="C185" s="37" t="n"/>
      <c r="D185" s="37" t="n"/>
      <c r="E185" s="37" t="n"/>
      <c r="F185" s="49" t="n"/>
      <c r="G185" s="37" t="n"/>
    </row>
    <row r="186">
      <c r="A186" s="48" t="n"/>
      <c r="B186" s="37" t="n"/>
      <c r="C186" s="37" t="n"/>
      <c r="D186" s="37" t="n"/>
      <c r="E186" s="37" t="n"/>
      <c r="F186" s="49" t="n"/>
      <c r="G186" s="37" t="n"/>
    </row>
    <row r="187">
      <c r="A187" s="48" t="n"/>
      <c r="B187" s="37" t="n"/>
      <c r="C187" s="37" t="n"/>
      <c r="D187" s="37" t="n"/>
      <c r="E187" s="37" t="n"/>
      <c r="F187" s="49" t="n"/>
      <c r="G187" s="37" t="n"/>
    </row>
    <row r="188">
      <c r="A188" s="48" t="n"/>
      <c r="B188" s="37" t="n"/>
      <c r="C188" s="37" t="n"/>
      <c r="D188" s="37" t="n"/>
      <c r="E188" s="37" t="n"/>
      <c r="F188" s="49" t="n"/>
      <c r="G188" s="37" t="n"/>
    </row>
    <row r="189">
      <c r="A189" s="48" t="n"/>
      <c r="B189" s="37" t="n"/>
      <c r="C189" s="37" t="n"/>
      <c r="D189" s="37" t="n"/>
      <c r="E189" s="37" t="n"/>
      <c r="F189" s="49" t="n"/>
      <c r="G189" s="37" t="n"/>
    </row>
    <row r="190">
      <c r="A190" s="48" t="n"/>
      <c r="B190" s="37" t="n"/>
      <c r="C190" s="37" t="n"/>
      <c r="D190" s="37" t="n"/>
      <c r="E190" s="37" t="n"/>
      <c r="F190" s="49" t="n"/>
      <c r="G190" s="37" t="n"/>
    </row>
    <row r="191">
      <c r="A191" s="48" t="n"/>
      <c r="B191" s="37" t="n"/>
      <c r="C191" s="37" t="n"/>
      <c r="D191" s="37" t="n"/>
      <c r="E191" s="37" t="n"/>
      <c r="F191" s="49" t="n"/>
      <c r="G191" s="37" t="n"/>
    </row>
    <row r="192">
      <c r="A192" s="48" t="n"/>
      <c r="B192" s="37" t="n"/>
      <c r="C192" s="37" t="n"/>
      <c r="D192" s="37" t="n"/>
      <c r="E192" s="37" t="n"/>
      <c r="F192" s="49" t="n"/>
      <c r="G192" s="37" t="n"/>
    </row>
    <row r="193">
      <c r="A193" s="48" t="n"/>
      <c r="B193" s="37" t="n"/>
      <c r="C193" s="37" t="n"/>
      <c r="D193" s="37" t="n"/>
      <c r="E193" s="37" t="n"/>
      <c r="F193" s="49" t="n"/>
      <c r="G193" s="37" t="n"/>
    </row>
    <row r="194">
      <c r="A194" s="48" t="n"/>
      <c r="B194" s="37" t="n"/>
      <c r="C194" s="37" t="n"/>
      <c r="D194" s="37" t="n"/>
      <c r="E194" s="37" t="n"/>
      <c r="F194" s="49" t="n"/>
      <c r="G194" s="37" t="n"/>
    </row>
    <row r="195">
      <c r="A195" s="48" t="n"/>
      <c r="B195" s="37" t="n"/>
      <c r="C195" s="37" t="n"/>
      <c r="D195" s="37" t="n"/>
      <c r="E195" s="37" t="n"/>
      <c r="F195" s="49" t="n"/>
      <c r="G195" s="37" t="n"/>
    </row>
    <row r="196">
      <c r="A196" s="48" t="n"/>
      <c r="B196" s="37" t="n"/>
      <c r="C196" s="37" t="n"/>
      <c r="D196" s="37" t="n"/>
      <c r="E196" s="37" t="n"/>
      <c r="F196" s="49" t="n"/>
      <c r="G196" s="37" t="n"/>
    </row>
    <row r="197">
      <c r="A197" s="48" t="n"/>
      <c r="B197" s="37" t="n"/>
      <c r="C197" s="37" t="n"/>
      <c r="D197" s="37" t="n"/>
      <c r="E197" s="37" t="n"/>
      <c r="F197" s="49" t="n"/>
      <c r="G197" s="37" t="n"/>
    </row>
    <row r="198">
      <c r="A198" s="48" t="n"/>
      <c r="B198" s="37" t="n"/>
      <c r="C198" s="37" t="n"/>
      <c r="D198" s="37" t="n"/>
      <c r="E198" s="37" t="n"/>
      <c r="F198" s="49" t="n"/>
      <c r="G198" s="37" t="n"/>
    </row>
    <row r="199">
      <c r="A199" s="48" t="n"/>
      <c r="B199" s="37" t="n"/>
      <c r="C199" s="37" t="n"/>
      <c r="D199" s="37" t="n"/>
      <c r="E199" s="37" t="n"/>
      <c r="F199" s="49" t="n"/>
      <c r="G199" s="37" t="n"/>
    </row>
    <row r="200">
      <c r="A200" s="48" t="n"/>
      <c r="B200" s="37" t="n"/>
      <c r="C200" s="37" t="n"/>
      <c r="D200" s="37" t="n"/>
      <c r="E200" s="37" t="n"/>
      <c r="F200" s="49" t="n"/>
      <c r="G200" s="37" t="n"/>
    </row>
    <row r="201">
      <c r="A201" s="48" t="n"/>
      <c r="B201" s="37" t="n"/>
      <c r="C201" s="37" t="n"/>
      <c r="D201" s="37" t="n"/>
      <c r="E201" s="37" t="n"/>
      <c r="F201" s="49" t="n"/>
      <c r="G201" s="37" t="n"/>
    </row>
    <row r="202">
      <c r="A202" s="48" t="n"/>
      <c r="B202" s="37" t="n"/>
      <c r="C202" s="37" t="n"/>
      <c r="D202" s="37" t="n"/>
      <c r="E202" s="37" t="n"/>
      <c r="F202" s="49" t="n"/>
      <c r="G202" s="37" t="n"/>
    </row>
    <row r="203">
      <c r="A203" s="48" t="n"/>
      <c r="B203" s="37" t="n"/>
      <c r="C203" s="37" t="n"/>
      <c r="D203" s="37" t="n"/>
      <c r="E203" s="37" t="n"/>
      <c r="F203" s="49" t="n"/>
      <c r="G203" s="37" t="n"/>
    </row>
    <row r="204">
      <c r="A204" s="48" t="n"/>
      <c r="B204" s="37" t="n"/>
      <c r="C204" s="37" t="n"/>
      <c r="D204" s="37" t="n"/>
      <c r="E204" s="37" t="n"/>
      <c r="F204" s="49" t="n"/>
      <c r="G204" s="37" t="n"/>
    </row>
    <row r="205">
      <c r="A205" s="48" t="n"/>
      <c r="B205" s="37" t="n"/>
      <c r="C205" s="37" t="n"/>
      <c r="D205" s="37" t="n"/>
      <c r="E205" s="37" t="n"/>
      <c r="F205" s="49" t="n"/>
      <c r="G205" s="37" t="n"/>
    </row>
    <row r="206">
      <c r="A206" s="48" t="n"/>
      <c r="B206" s="37" t="n"/>
      <c r="C206" s="37" t="n"/>
      <c r="D206" s="37" t="n"/>
      <c r="E206" s="37" t="n"/>
      <c r="F206" s="49" t="n"/>
      <c r="G206" s="37" t="n"/>
    </row>
    <row r="207">
      <c r="A207" s="48" t="n"/>
      <c r="B207" s="37" t="n"/>
      <c r="C207" s="37" t="n"/>
      <c r="D207" s="37" t="n"/>
      <c r="E207" s="37" t="n"/>
      <c r="F207" s="49" t="n"/>
      <c r="G207" s="37" t="n"/>
    </row>
    <row r="208">
      <c r="A208" s="48" t="n"/>
      <c r="B208" s="37" t="n"/>
      <c r="C208" s="37" t="n"/>
      <c r="D208" s="37" t="n"/>
      <c r="E208" s="37" t="n"/>
      <c r="F208" s="49" t="n"/>
      <c r="G208" s="37" t="n"/>
    </row>
    <row r="209">
      <c r="A209" s="48" t="n"/>
      <c r="B209" s="37" t="n"/>
      <c r="C209" s="37" t="n"/>
      <c r="D209" s="37" t="n"/>
      <c r="E209" s="37" t="n"/>
      <c r="F209" s="49" t="n"/>
      <c r="G209" s="37" t="n"/>
    </row>
    <row r="210">
      <c r="A210" s="48" t="n"/>
      <c r="B210" s="37" t="n"/>
      <c r="C210" s="37" t="n"/>
      <c r="D210" s="37" t="n"/>
      <c r="E210" s="37" t="n"/>
      <c r="F210" s="49" t="n"/>
      <c r="G210" s="37" t="n"/>
    </row>
    <row r="211">
      <c r="A211" s="48" t="n"/>
      <c r="B211" s="37" t="n"/>
      <c r="C211" s="37" t="n"/>
      <c r="D211" s="37" t="n"/>
      <c r="E211" s="37" t="n"/>
      <c r="F211" s="49" t="n"/>
      <c r="G211" s="37" t="n"/>
    </row>
    <row r="212">
      <c r="A212" s="48" t="n"/>
      <c r="B212" s="37" t="n"/>
      <c r="C212" s="37" t="n"/>
      <c r="D212" s="37" t="n"/>
      <c r="E212" s="37" t="n"/>
      <c r="F212" s="49" t="n"/>
      <c r="G212" s="37" t="n"/>
    </row>
    <row r="213">
      <c r="A213" s="48" t="n"/>
      <c r="B213" s="37" t="n"/>
      <c r="C213" s="37" t="n"/>
      <c r="D213" s="37" t="n"/>
      <c r="E213" s="37" t="n"/>
      <c r="F213" s="49" t="n"/>
      <c r="G213" s="37" t="n"/>
    </row>
    <row r="214">
      <c r="A214" s="48" t="n"/>
      <c r="B214" s="37" t="n"/>
      <c r="C214" s="37" t="n"/>
      <c r="D214" s="37" t="n"/>
      <c r="E214" s="37" t="n"/>
      <c r="F214" s="49" t="n"/>
      <c r="G214" s="37" t="n"/>
    </row>
    <row r="215">
      <c r="A215" s="48" t="n"/>
      <c r="B215" s="37" t="n"/>
      <c r="C215" s="37" t="n"/>
      <c r="D215" s="37" t="n"/>
      <c r="E215" s="37" t="n"/>
      <c r="F215" s="49" t="n"/>
      <c r="G215" s="37" t="n"/>
    </row>
    <row r="216">
      <c r="A216" s="48" t="n"/>
      <c r="B216" s="37" t="n"/>
      <c r="C216" s="37" t="n"/>
      <c r="D216" s="37" t="n"/>
      <c r="E216" s="37" t="n"/>
      <c r="F216" s="49" t="n"/>
      <c r="G216" s="37" t="n"/>
    </row>
    <row r="217">
      <c r="A217" s="48" t="n"/>
      <c r="B217" s="37" t="n"/>
      <c r="C217" s="37" t="n"/>
      <c r="D217" s="37" t="n"/>
      <c r="E217" s="37" t="n"/>
      <c r="F217" s="49" t="n"/>
      <c r="G217" s="37" t="n"/>
    </row>
    <row r="218">
      <c r="A218" s="48" t="n"/>
      <c r="B218" s="37" t="n"/>
      <c r="C218" s="37" t="n"/>
      <c r="D218" s="37" t="n"/>
      <c r="E218" s="37" t="n"/>
      <c r="F218" s="49" t="n"/>
      <c r="G218" s="37" t="n"/>
    </row>
    <row r="219">
      <c r="A219" s="48" t="n"/>
      <c r="B219" s="37" t="n"/>
      <c r="C219" s="37" t="n"/>
      <c r="D219" s="37" t="n"/>
      <c r="E219" s="37" t="n"/>
      <c r="F219" s="49" t="n"/>
      <c r="G219" s="37" t="n"/>
    </row>
    <row r="220">
      <c r="A220" s="48" t="n"/>
      <c r="B220" s="37" t="n"/>
      <c r="C220" s="37" t="n"/>
      <c r="D220" s="37" t="n"/>
      <c r="E220" s="37" t="n"/>
      <c r="F220" s="49" t="n"/>
      <c r="G220" s="37" t="n"/>
    </row>
    <row r="221">
      <c r="A221" s="48" t="n"/>
      <c r="B221" s="37" t="n"/>
      <c r="C221" s="37" t="n"/>
      <c r="D221" s="37" t="n"/>
      <c r="E221" s="37" t="n"/>
      <c r="F221" s="49" t="n"/>
      <c r="G221" s="37" t="n"/>
    </row>
    <row r="222">
      <c r="A222" s="48" t="n"/>
      <c r="B222" s="37" t="n"/>
      <c r="C222" s="37" t="n"/>
      <c r="D222" s="37" t="n"/>
      <c r="E222" s="37" t="n"/>
      <c r="F222" s="49" t="n"/>
      <c r="G222" s="37" t="n"/>
    </row>
    <row r="223">
      <c r="A223" s="48" t="n"/>
      <c r="B223" s="37" t="n"/>
      <c r="C223" s="37" t="n"/>
      <c r="D223" s="37" t="n"/>
      <c r="E223" s="37" t="n"/>
      <c r="F223" s="49" t="n"/>
      <c r="G223" s="37" t="n"/>
    </row>
    <row r="224">
      <c r="A224" s="48" t="n"/>
      <c r="B224" s="37" t="n"/>
      <c r="C224" s="37" t="n"/>
      <c r="D224" s="37" t="n"/>
      <c r="E224" s="37" t="n"/>
      <c r="F224" s="49" t="n"/>
      <c r="G224" s="37" t="n"/>
    </row>
    <row r="225">
      <c r="A225" s="48" t="n"/>
      <c r="B225" s="37" t="n"/>
      <c r="C225" s="37" t="n"/>
      <c r="D225" s="37" t="n"/>
      <c r="E225" s="37" t="n"/>
      <c r="F225" s="49" t="n"/>
      <c r="G225" s="37" t="n"/>
    </row>
    <row r="226">
      <c r="A226" s="48" t="n"/>
      <c r="B226" s="37" t="n"/>
      <c r="C226" s="37" t="n"/>
      <c r="D226" s="37" t="n"/>
      <c r="E226" s="37" t="n"/>
      <c r="F226" s="49" t="n"/>
      <c r="G226" s="37" t="n"/>
    </row>
    <row r="227">
      <c r="A227" s="48" t="n"/>
      <c r="B227" s="37" t="n"/>
      <c r="C227" s="37" t="n"/>
      <c r="D227" s="37" t="n"/>
      <c r="E227" s="37" t="n"/>
      <c r="F227" s="49" t="n"/>
      <c r="G227" s="37" t="n"/>
    </row>
    <row r="228">
      <c r="A228" s="48" t="n"/>
      <c r="B228" s="37" t="n"/>
      <c r="C228" s="37" t="n"/>
      <c r="D228" s="37" t="n"/>
      <c r="E228" s="37" t="n"/>
      <c r="F228" s="49" t="n"/>
      <c r="G228" s="37" t="n"/>
    </row>
    <row r="229">
      <c r="A229" s="48" t="n"/>
      <c r="B229" s="37" t="n"/>
      <c r="C229" s="37" t="n"/>
      <c r="D229" s="37" t="n"/>
      <c r="E229" s="37" t="n"/>
      <c r="F229" s="49" t="n"/>
      <c r="G229" s="37" t="n"/>
    </row>
    <row r="230">
      <c r="A230" s="48" t="n"/>
      <c r="B230" s="37" t="n"/>
      <c r="C230" s="37" t="n"/>
      <c r="D230" s="37" t="n"/>
      <c r="E230" s="37" t="n"/>
      <c r="F230" s="49" t="n"/>
      <c r="G230" s="37" t="n"/>
    </row>
    <row r="231">
      <c r="A231" s="48" t="n"/>
      <c r="B231" s="37" t="n"/>
      <c r="C231" s="37" t="n"/>
      <c r="D231" s="37" t="n"/>
      <c r="E231" s="37" t="n"/>
      <c r="F231" s="49" t="n"/>
      <c r="G231" s="37" t="n"/>
    </row>
    <row r="232">
      <c r="A232" s="48" t="n"/>
      <c r="B232" s="37" t="n"/>
      <c r="C232" s="37" t="n"/>
      <c r="D232" s="37" t="n"/>
      <c r="E232" s="37" t="n"/>
      <c r="F232" s="49" t="n"/>
      <c r="G232" s="37" t="n"/>
    </row>
    <row r="233">
      <c r="A233" s="48" t="n"/>
      <c r="B233" s="37" t="n"/>
      <c r="C233" s="37" t="n"/>
      <c r="D233" s="37" t="n"/>
      <c r="E233" s="37" t="n"/>
      <c r="F233" s="49" t="n"/>
      <c r="G233" s="37" t="n"/>
    </row>
    <row r="234">
      <c r="A234" s="48" t="n"/>
      <c r="B234" s="37" t="n"/>
      <c r="C234" s="37" t="n"/>
      <c r="D234" s="37" t="n"/>
      <c r="E234" s="37" t="n"/>
      <c r="F234" s="49" t="n"/>
      <c r="G234" s="37" t="n"/>
    </row>
    <row r="235">
      <c r="A235" s="48" t="n"/>
      <c r="B235" s="37" t="n"/>
      <c r="C235" s="37" t="n"/>
      <c r="D235" s="37" t="n"/>
      <c r="E235" s="37" t="n"/>
      <c r="F235" s="49" t="n"/>
      <c r="G235" s="37" t="n"/>
    </row>
    <row r="236">
      <c r="A236" s="48" t="n"/>
      <c r="B236" s="37" t="n"/>
      <c r="C236" s="37" t="n"/>
      <c r="D236" s="37" t="n"/>
      <c r="E236" s="37" t="n"/>
      <c r="F236" s="49" t="n"/>
      <c r="G236" s="37" t="n"/>
    </row>
    <row r="237">
      <c r="A237" s="48" t="n"/>
      <c r="B237" s="37" t="n"/>
      <c r="C237" s="37" t="n"/>
      <c r="D237" s="37" t="n"/>
      <c r="E237" s="37" t="n"/>
      <c r="F237" s="49" t="n"/>
      <c r="G237" s="37" t="n"/>
    </row>
    <row r="238">
      <c r="A238" s="48" t="n"/>
      <c r="B238" s="37" t="n"/>
      <c r="C238" s="37" t="n"/>
      <c r="D238" s="37" t="n"/>
      <c r="E238" s="37" t="n"/>
      <c r="F238" s="49" t="n"/>
      <c r="G238" s="37" t="n"/>
    </row>
    <row r="239">
      <c r="A239" s="48" t="n"/>
      <c r="B239" s="37" t="n"/>
      <c r="C239" s="37" t="n"/>
      <c r="D239" s="37" t="n"/>
      <c r="E239" s="37" t="n"/>
      <c r="F239" s="49" t="n"/>
      <c r="G239" s="37" t="n"/>
    </row>
    <row r="240">
      <c r="A240" s="48" t="n"/>
      <c r="B240" s="37" t="n"/>
      <c r="C240" s="37" t="n"/>
      <c r="D240" s="37" t="n"/>
      <c r="E240" s="37" t="n"/>
      <c r="F240" s="49" t="n"/>
      <c r="G240" s="37" t="n"/>
    </row>
    <row r="241">
      <c r="A241" s="48" t="n"/>
      <c r="B241" s="37" t="n"/>
      <c r="C241" s="37" t="n"/>
      <c r="D241" s="37" t="n"/>
      <c r="E241" s="37" t="n"/>
      <c r="F241" s="49" t="n"/>
      <c r="G241" s="37" t="n"/>
    </row>
    <row r="242">
      <c r="A242" s="48" t="n"/>
      <c r="B242" s="37" t="n"/>
      <c r="C242" s="37" t="n"/>
      <c r="D242" s="37" t="n"/>
      <c r="E242" s="37" t="n"/>
      <c r="F242" s="49" t="n"/>
      <c r="G242" s="37" t="n"/>
    </row>
    <row r="243">
      <c r="A243" s="48" t="n"/>
      <c r="B243" s="37" t="n"/>
      <c r="C243" s="37" t="n"/>
      <c r="D243" s="37" t="n"/>
      <c r="E243" s="37" t="n"/>
      <c r="F243" s="49" t="n"/>
      <c r="G243" s="37" t="n"/>
    </row>
    <row r="244">
      <c r="A244" s="48" t="n"/>
      <c r="B244" s="37" t="n"/>
      <c r="C244" s="37" t="n"/>
      <c r="D244" s="37" t="n"/>
      <c r="E244" s="37" t="n"/>
      <c r="F244" s="49" t="n"/>
      <c r="G244" s="37" t="n"/>
    </row>
    <row r="245">
      <c r="A245" s="48" t="n"/>
      <c r="B245" s="37" t="n"/>
      <c r="C245" s="37" t="n"/>
      <c r="D245" s="37" t="n"/>
      <c r="E245" s="37" t="n"/>
      <c r="F245" s="49" t="n"/>
      <c r="G245" s="37" t="n"/>
    </row>
    <row r="246">
      <c r="A246" s="48" t="n"/>
      <c r="B246" s="37" t="n"/>
      <c r="C246" s="37" t="n"/>
      <c r="D246" s="37" t="n"/>
      <c r="E246" s="37" t="n"/>
      <c r="F246" s="49" t="n"/>
      <c r="G246" s="37" t="n"/>
    </row>
    <row r="247">
      <c r="A247" s="48" t="n"/>
      <c r="B247" s="37" t="n"/>
      <c r="C247" s="37" t="n"/>
      <c r="D247" s="37" t="n"/>
      <c r="E247" s="37" t="n"/>
      <c r="F247" s="49" t="n"/>
      <c r="G247" s="37" t="n"/>
    </row>
    <row r="248">
      <c r="A248" s="48" t="n"/>
      <c r="B248" s="37" t="n"/>
      <c r="C248" s="37" t="n"/>
      <c r="D248" s="37" t="n"/>
      <c r="E248" s="37" t="n"/>
      <c r="F248" s="49" t="n"/>
      <c r="G248" s="37" t="n"/>
    </row>
    <row r="249">
      <c r="A249" s="48" t="n"/>
      <c r="B249" s="37" t="n"/>
      <c r="C249" s="37" t="n"/>
      <c r="D249" s="37" t="n"/>
      <c r="E249" s="37" t="n"/>
      <c r="F249" s="49" t="n"/>
      <c r="G249" s="37" t="n"/>
    </row>
    <row r="250">
      <c r="A250" s="48" t="n"/>
      <c r="B250" s="37" t="n"/>
      <c r="C250" s="37" t="n"/>
      <c r="D250" s="37" t="n"/>
      <c r="E250" s="37" t="n"/>
      <c r="F250" s="49" t="n"/>
      <c r="G250" s="37" t="n"/>
    </row>
    <row r="251">
      <c r="A251" s="48" t="n"/>
      <c r="B251" s="37" t="n"/>
      <c r="C251" s="37" t="n"/>
      <c r="D251" s="37" t="n"/>
      <c r="E251" s="37" t="n"/>
      <c r="F251" s="49" t="n"/>
      <c r="G251" s="37" t="n"/>
    </row>
    <row r="252">
      <c r="A252" s="48" t="n"/>
      <c r="B252" s="37" t="n"/>
      <c r="C252" s="37" t="n"/>
      <c r="D252" s="37" t="n"/>
      <c r="E252" s="37" t="n"/>
      <c r="F252" s="49" t="n"/>
      <c r="G252" s="37" t="n"/>
    </row>
    <row r="253">
      <c r="A253" s="48" t="n"/>
      <c r="B253" s="37" t="n"/>
      <c r="C253" s="37" t="n"/>
      <c r="D253" s="37" t="n"/>
      <c r="E253" s="37" t="n"/>
      <c r="F253" s="49" t="n"/>
      <c r="G253" s="37" t="n"/>
    </row>
    <row r="254">
      <c r="A254" s="48" t="n"/>
      <c r="B254" s="37" t="n"/>
      <c r="C254" s="37" t="n"/>
      <c r="D254" s="37" t="n"/>
      <c r="E254" s="37" t="n"/>
      <c r="F254" s="49" t="n"/>
      <c r="G254" s="37" t="n"/>
    </row>
    <row r="255">
      <c r="A255" s="48" t="n"/>
      <c r="B255" s="37" t="n"/>
      <c r="C255" s="37" t="n"/>
      <c r="D255" s="37" t="n"/>
      <c r="E255" s="37" t="n"/>
      <c r="F255" s="49" t="n"/>
      <c r="G255" s="37" t="n"/>
    </row>
    <row r="256">
      <c r="A256" s="48" t="n"/>
      <c r="B256" s="37" t="n"/>
      <c r="C256" s="37" t="n"/>
      <c r="D256" s="37" t="n"/>
      <c r="E256" s="37" t="n"/>
      <c r="F256" s="49" t="n"/>
      <c r="G256" s="37" t="n"/>
    </row>
    <row r="257">
      <c r="A257" s="48" t="n"/>
      <c r="B257" s="37" t="n"/>
      <c r="C257" s="37" t="n"/>
      <c r="D257" s="37" t="n"/>
      <c r="E257" s="37" t="n"/>
      <c r="F257" s="49" t="n"/>
      <c r="G257" s="37" t="n"/>
    </row>
    <row r="258">
      <c r="A258" s="48" t="n"/>
      <c r="B258" s="37" t="n"/>
      <c r="C258" s="37" t="n"/>
      <c r="D258" s="37" t="n"/>
      <c r="E258" s="37" t="n"/>
      <c r="F258" s="49" t="n"/>
      <c r="G258" s="37" t="n"/>
    </row>
    <row r="259">
      <c r="A259" s="48" t="n"/>
      <c r="B259" s="37" t="n"/>
      <c r="C259" s="37" t="n"/>
      <c r="D259" s="37" t="n"/>
      <c r="E259" s="37" t="n"/>
      <c r="F259" s="49" t="n"/>
      <c r="G259" s="37" t="n"/>
    </row>
    <row r="260">
      <c r="A260" s="48" t="n"/>
      <c r="B260" s="37" t="n"/>
      <c r="C260" s="37" t="n"/>
      <c r="D260" s="37" t="n"/>
      <c r="E260" s="37" t="n"/>
      <c r="F260" s="49" t="n"/>
      <c r="G260" s="37" t="n"/>
    </row>
    <row r="261">
      <c r="A261" s="48" t="n"/>
      <c r="B261" s="37" t="n"/>
      <c r="C261" s="37" t="n"/>
      <c r="D261" s="37" t="n"/>
      <c r="E261" s="37" t="n"/>
      <c r="F261" s="49" t="n"/>
      <c r="G261" s="37" t="n"/>
    </row>
    <row r="262">
      <c r="A262" s="48" t="n"/>
      <c r="B262" s="37" t="n"/>
      <c r="C262" s="37" t="n"/>
      <c r="D262" s="37" t="n"/>
      <c r="E262" s="37" t="n"/>
      <c r="F262" s="49" t="n"/>
      <c r="G262" s="37" t="n"/>
    </row>
    <row r="263">
      <c r="A263" s="48" t="n"/>
      <c r="B263" s="37" t="n"/>
      <c r="C263" s="37" t="n"/>
      <c r="D263" s="37" t="n"/>
      <c r="E263" s="37" t="n"/>
      <c r="F263" s="49" t="n"/>
      <c r="G263" s="37" t="n"/>
    </row>
    <row r="264">
      <c r="A264" s="48" t="n"/>
      <c r="B264" s="37" t="n"/>
      <c r="C264" s="37" t="n"/>
      <c r="D264" s="37" t="n"/>
      <c r="E264" s="37" t="n"/>
      <c r="F264" s="49" t="n"/>
      <c r="G264" s="37" t="n"/>
    </row>
    <row r="265">
      <c r="A265" s="48" t="n"/>
      <c r="B265" s="37" t="n"/>
      <c r="C265" s="37" t="n"/>
      <c r="D265" s="37" t="n"/>
      <c r="E265" s="37" t="n"/>
      <c r="F265" s="49" t="n"/>
      <c r="G265" s="37" t="n"/>
    </row>
    <row r="266">
      <c r="A266" s="48" t="n"/>
      <c r="B266" s="37" t="n"/>
      <c r="C266" s="37" t="n"/>
      <c r="D266" s="37" t="n"/>
      <c r="E266" s="37" t="n"/>
      <c r="F266" s="49" t="n"/>
      <c r="G266" s="37" t="n"/>
    </row>
    <row r="267">
      <c r="A267" s="48" t="n"/>
      <c r="B267" s="37" t="n"/>
      <c r="C267" s="37" t="n"/>
      <c r="D267" s="37" t="n"/>
      <c r="E267" s="37" t="n"/>
      <c r="F267" s="49" t="n"/>
      <c r="G267" s="37" t="n"/>
    </row>
    <row r="268">
      <c r="A268" s="48" t="n"/>
      <c r="B268" s="37" t="n"/>
      <c r="C268" s="37" t="n"/>
      <c r="D268" s="37" t="n"/>
      <c r="E268" s="37" t="n"/>
      <c r="F268" s="49" t="n"/>
      <c r="G268" s="37" t="n"/>
    </row>
    <row r="269">
      <c r="A269" s="48" t="n"/>
      <c r="B269" s="37" t="n"/>
      <c r="C269" s="37" t="n"/>
      <c r="D269" s="37" t="n"/>
      <c r="E269" s="37" t="n"/>
      <c r="F269" s="49" t="n"/>
      <c r="G269" s="37" t="n"/>
    </row>
    <row r="270">
      <c r="A270" s="48" t="n"/>
      <c r="B270" s="37" t="n"/>
      <c r="C270" s="37" t="n"/>
      <c r="D270" s="37" t="n"/>
      <c r="E270" s="37" t="n"/>
      <c r="F270" s="49" t="n"/>
      <c r="G270" s="37" t="n"/>
    </row>
    <row r="271">
      <c r="A271" s="48" t="n"/>
      <c r="B271" s="37" t="n"/>
      <c r="C271" s="37" t="n"/>
      <c r="D271" s="37" t="n"/>
      <c r="E271" s="37" t="n"/>
      <c r="F271" s="49" t="n"/>
      <c r="G271" s="37" t="n"/>
    </row>
    <row r="272">
      <c r="A272" s="48" t="n"/>
      <c r="B272" s="37" t="n"/>
      <c r="C272" s="37" t="n"/>
      <c r="D272" s="37" t="n"/>
      <c r="E272" s="37" t="n"/>
      <c r="F272" s="49" t="n"/>
      <c r="G272" s="37" t="n"/>
    </row>
    <row r="273">
      <c r="A273" s="48" t="n"/>
      <c r="B273" s="37" t="n"/>
      <c r="C273" s="37" t="n"/>
      <c r="D273" s="37" t="n"/>
      <c r="E273" s="37" t="n"/>
      <c r="F273" s="49" t="n"/>
      <c r="G273" s="37" t="n"/>
    </row>
    <row r="274">
      <c r="A274" s="48" t="n"/>
      <c r="B274" s="37" t="n"/>
      <c r="C274" s="37" t="n"/>
      <c r="D274" s="37" t="n"/>
      <c r="E274" s="37" t="n"/>
      <c r="F274" s="49" t="n"/>
      <c r="G274" s="37" t="n"/>
    </row>
    <row r="275">
      <c r="A275" s="48" t="n"/>
      <c r="B275" s="37" t="n"/>
      <c r="C275" s="37" t="n"/>
      <c r="D275" s="37" t="n"/>
      <c r="E275" s="37" t="n"/>
      <c r="F275" s="49" t="n"/>
      <c r="G275" s="37" t="n"/>
    </row>
    <row r="276">
      <c r="A276" s="48" t="n"/>
      <c r="B276" s="37" t="n"/>
      <c r="C276" s="37" t="n"/>
      <c r="D276" s="37" t="n"/>
      <c r="E276" s="37" t="n"/>
      <c r="F276" s="49" t="n"/>
      <c r="G276" s="37" t="n"/>
    </row>
    <row r="277">
      <c r="A277" s="48" t="n"/>
      <c r="B277" s="37" t="n"/>
      <c r="C277" s="37" t="n"/>
      <c r="D277" s="37" t="n"/>
      <c r="E277" s="37" t="n"/>
      <c r="F277" s="49" t="n"/>
      <c r="G277" s="37" t="n"/>
    </row>
    <row r="278">
      <c r="A278" s="48" t="n"/>
      <c r="B278" s="37" t="n"/>
      <c r="C278" s="37" t="n"/>
      <c r="D278" s="37" t="n"/>
      <c r="E278" s="37" t="n"/>
      <c r="F278" s="49" t="n"/>
      <c r="G278" s="37" t="n"/>
    </row>
    <row r="279">
      <c r="A279" s="48" t="n"/>
      <c r="B279" s="37" t="n"/>
      <c r="C279" s="37" t="n"/>
      <c r="D279" s="37" t="n"/>
      <c r="E279" s="37" t="n"/>
      <c r="F279" s="49" t="n"/>
      <c r="G279" s="37" t="n"/>
    </row>
    <row r="280">
      <c r="A280" s="48" t="n"/>
      <c r="B280" s="37" t="n"/>
      <c r="C280" s="37" t="n"/>
      <c r="D280" s="37" t="n"/>
      <c r="E280" s="37" t="n"/>
      <c r="F280" s="49" t="n"/>
      <c r="G280" s="37" t="n"/>
    </row>
    <row r="281">
      <c r="A281" s="48" t="n"/>
      <c r="B281" s="37" t="n"/>
      <c r="C281" s="37" t="n"/>
      <c r="D281" s="37" t="n"/>
      <c r="E281" s="37" t="n"/>
      <c r="F281" s="49" t="n"/>
      <c r="G281" s="37" t="n"/>
    </row>
    <row r="282">
      <c r="A282" s="48" t="n"/>
      <c r="B282" s="37" t="n"/>
      <c r="C282" s="37" t="n"/>
      <c r="D282" s="37" t="n"/>
      <c r="E282" s="37" t="n"/>
      <c r="F282" s="49" t="n"/>
      <c r="G282" s="37" t="n"/>
    </row>
    <row r="283">
      <c r="A283" s="48" t="n"/>
      <c r="B283" s="37" t="n"/>
      <c r="C283" s="37" t="n"/>
      <c r="D283" s="37" t="n"/>
      <c r="E283" s="37" t="n"/>
      <c r="F283" s="49" t="n"/>
      <c r="G283" s="37" t="n"/>
    </row>
    <row r="284">
      <c r="A284" s="48" t="n"/>
      <c r="B284" s="37" t="n"/>
      <c r="C284" s="37" t="n"/>
      <c r="D284" s="37" t="n"/>
      <c r="E284" s="37" t="n"/>
      <c r="F284" s="49" t="n"/>
      <c r="G284" s="37" t="n"/>
    </row>
    <row r="285">
      <c r="A285" s="48" t="n"/>
      <c r="B285" s="37" t="n"/>
      <c r="C285" s="37" t="n"/>
      <c r="D285" s="37" t="n"/>
      <c r="E285" s="37" t="n"/>
      <c r="F285" s="49" t="n"/>
      <c r="G285" s="37" t="n"/>
    </row>
    <row r="286">
      <c r="A286" s="48" t="n"/>
      <c r="B286" s="37" t="n"/>
      <c r="C286" s="37" t="n"/>
      <c r="D286" s="37" t="n"/>
      <c r="E286" s="37" t="n"/>
      <c r="F286" s="49" t="n"/>
      <c r="G286" s="37" t="n"/>
    </row>
    <row r="287">
      <c r="A287" s="48" t="n"/>
      <c r="B287" s="37" t="n"/>
      <c r="C287" s="37" t="n"/>
      <c r="D287" s="37" t="n"/>
      <c r="E287" s="37" t="n"/>
      <c r="F287" s="49" t="n"/>
      <c r="G287" s="37" t="n"/>
    </row>
    <row r="288">
      <c r="A288" s="48" t="n"/>
      <c r="B288" s="37" t="n"/>
      <c r="C288" s="37" t="n"/>
      <c r="D288" s="37" t="n"/>
      <c r="E288" s="37" t="n"/>
      <c r="F288" s="49" t="n"/>
      <c r="G288" s="37" t="n"/>
    </row>
    <row r="289">
      <c r="A289" s="48" t="n"/>
      <c r="B289" s="37" t="n"/>
      <c r="C289" s="37" t="n"/>
      <c r="D289" s="37" t="n"/>
      <c r="E289" s="37" t="n"/>
      <c r="F289" s="49" t="n"/>
      <c r="G289" s="37" t="n"/>
    </row>
    <row r="290">
      <c r="A290" s="48" t="n"/>
      <c r="B290" s="37" t="n"/>
      <c r="C290" s="37" t="n"/>
      <c r="D290" s="37" t="n"/>
      <c r="E290" s="37" t="n"/>
      <c r="F290" s="49" t="n"/>
      <c r="G290" s="37" t="n"/>
    </row>
    <row r="291">
      <c r="A291" s="48" t="n"/>
      <c r="B291" s="37" t="n"/>
      <c r="C291" s="37" t="n"/>
      <c r="D291" s="37" t="n"/>
      <c r="E291" s="37" t="n"/>
      <c r="F291" s="49" t="n"/>
      <c r="G291" s="37" t="n"/>
    </row>
    <row r="292">
      <c r="A292" s="48" t="n"/>
      <c r="B292" s="37" t="n"/>
      <c r="C292" s="37" t="n"/>
      <c r="D292" s="37" t="n"/>
      <c r="E292" s="37" t="n"/>
      <c r="F292" s="49" t="n"/>
      <c r="G292" s="37" t="n"/>
    </row>
    <row r="293">
      <c r="A293" s="48" t="n"/>
      <c r="B293" s="37" t="n"/>
      <c r="C293" s="37" t="n"/>
      <c r="D293" s="37" t="n"/>
      <c r="E293" s="37" t="n"/>
      <c r="F293" s="49" t="n"/>
      <c r="G293" s="37" t="n"/>
    </row>
    <row r="294">
      <c r="A294" s="48" t="n"/>
      <c r="B294" s="37" t="n"/>
      <c r="C294" s="37" t="n"/>
      <c r="D294" s="37" t="n"/>
      <c r="E294" s="37" t="n"/>
      <c r="F294" s="49" t="n"/>
      <c r="G294" s="37" t="n"/>
    </row>
    <row r="295">
      <c r="A295" s="48" t="n"/>
      <c r="B295" s="37" t="n"/>
      <c r="C295" s="37" t="n"/>
      <c r="D295" s="37" t="n"/>
      <c r="E295" s="37" t="n"/>
      <c r="F295" s="49" t="n"/>
      <c r="G295" s="37" t="n"/>
    </row>
    <row r="296">
      <c r="A296" s="48" t="n"/>
      <c r="B296" s="37" t="n"/>
      <c r="C296" s="37" t="n"/>
      <c r="D296" s="37" t="n"/>
      <c r="E296" s="37" t="n"/>
      <c r="F296" s="49" t="n"/>
      <c r="G296" s="37" t="n"/>
    </row>
    <row r="297">
      <c r="A297" s="48" t="n"/>
      <c r="B297" s="37" t="n"/>
      <c r="C297" s="37" t="n"/>
      <c r="D297" s="37" t="n"/>
      <c r="E297" s="37" t="n"/>
      <c r="F297" s="49" t="n"/>
      <c r="G297" s="37" t="n"/>
    </row>
    <row r="298">
      <c r="A298" s="48" t="n"/>
      <c r="B298" s="37" t="n"/>
      <c r="C298" s="37" t="n"/>
      <c r="D298" s="37" t="n"/>
      <c r="E298" s="37" t="n"/>
      <c r="F298" s="49" t="n"/>
      <c r="G298" s="37" t="n"/>
    </row>
    <row r="299">
      <c r="A299" s="48" t="n"/>
      <c r="B299" s="37" t="n"/>
      <c r="C299" s="37" t="n"/>
      <c r="D299" s="37" t="n"/>
      <c r="E299" s="37" t="n"/>
      <c r="F299" s="49" t="n"/>
      <c r="G299" s="37" t="n"/>
    </row>
    <row r="300">
      <c r="A300" s="48" t="n"/>
      <c r="B300" s="37" t="n"/>
      <c r="C300" s="37" t="n"/>
      <c r="D300" s="37" t="n"/>
      <c r="E300" s="37" t="n"/>
      <c r="F300" s="49" t="n"/>
      <c r="G300" s="37" t="n"/>
    </row>
    <row r="301">
      <c r="A301" s="48" t="n"/>
      <c r="B301" s="37" t="n"/>
      <c r="C301" s="37" t="n"/>
      <c r="D301" s="37" t="n"/>
      <c r="E301" s="37" t="n"/>
      <c r="F301" s="49" t="n"/>
      <c r="G301" s="37" t="n"/>
    </row>
    <row r="302">
      <c r="A302" s="48" t="n"/>
      <c r="B302" s="37" t="n"/>
      <c r="C302" s="37" t="n"/>
      <c r="D302" s="37" t="n"/>
      <c r="E302" s="37" t="n"/>
      <c r="F302" s="49" t="n"/>
      <c r="G302" s="37" t="n"/>
    </row>
    <row r="303">
      <c r="A303" s="48" t="n"/>
      <c r="B303" s="37" t="n"/>
      <c r="C303" s="37" t="n"/>
      <c r="D303" s="37" t="n"/>
      <c r="E303" s="37" t="n"/>
      <c r="F303" s="49" t="n"/>
      <c r="G303" s="37" t="n"/>
    </row>
    <row r="304">
      <c r="A304" s="48" t="n"/>
      <c r="B304" s="37" t="n"/>
      <c r="C304" s="37" t="n"/>
      <c r="D304" s="37" t="n"/>
      <c r="E304" s="37" t="n"/>
      <c r="F304" s="49" t="n"/>
      <c r="G304" s="37" t="n"/>
    </row>
    <row r="305">
      <c r="A305" s="48" t="n"/>
      <c r="B305" s="37" t="n"/>
      <c r="C305" s="37" t="n"/>
      <c r="D305" s="37" t="n"/>
      <c r="E305" s="37" t="n"/>
      <c r="F305" s="49" t="n"/>
      <c r="G305" s="37" t="n"/>
    </row>
    <row r="306">
      <c r="A306" s="48" t="n"/>
      <c r="B306" s="37" t="n"/>
      <c r="C306" s="37" t="n"/>
      <c r="D306" s="37" t="n"/>
      <c r="E306" s="37" t="n"/>
      <c r="F306" s="49" t="n"/>
      <c r="G306" s="37" t="n"/>
    </row>
    <row r="307">
      <c r="A307" s="48" t="n"/>
      <c r="B307" s="37" t="n"/>
      <c r="C307" s="37" t="n"/>
      <c r="D307" s="37" t="n"/>
      <c r="E307" s="37" t="n"/>
      <c r="F307" s="49" t="n"/>
      <c r="G307" s="37" t="n"/>
    </row>
    <row r="308">
      <c r="A308" s="48" t="n"/>
      <c r="B308" s="37" t="n"/>
      <c r="C308" s="37" t="n"/>
      <c r="D308" s="37" t="n"/>
      <c r="E308" s="37" t="n"/>
      <c r="F308" s="49" t="n"/>
      <c r="G308" s="37" t="n"/>
    </row>
    <row r="309">
      <c r="A309" s="48" t="n"/>
      <c r="B309" s="37" t="n"/>
      <c r="C309" s="37" t="n"/>
      <c r="D309" s="37" t="n"/>
      <c r="E309" s="37" t="n"/>
      <c r="F309" s="49" t="n"/>
      <c r="G309" s="37" t="n"/>
    </row>
    <row r="310">
      <c r="A310" s="48" t="n"/>
      <c r="B310" s="37" t="n"/>
      <c r="C310" s="37" t="n"/>
      <c r="D310" s="37" t="n"/>
      <c r="E310" s="37" t="n"/>
      <c r="F310" s="49" t="n"/>
      <c r="G310" s="37" t="n"/>
    </row>
    <row r="311">
      <c r="A311" s="48" t="n"/>
      <c r="B311" s="37" t="n"/>
      <c r="C311" s="37" t="n"/>
      <c r="D311" s="37" t="n"/>
      <c r="E311" s="37" t="n"/>
      <c r="F311" s="49" t="n"/>
      <c r="G311" s="37" t="n"/>
    </row>
    <row r="312">
      <c r="A312" s="48" t="n"/>
      <c r="B312" s="37" t="n"/>
      <c r="C312" s="37" t="n"/>
      <c r="D312" s="37" t="n"/>
      <c r="E312" s="37" t="n"/>
      <c r="F312" s="49" t="n"/>
      <c r="G312" s="37" t="n"/>
    </row>
    <row r="313">
      <c r="A313" s="48" t="n"/>
      <c r="B313" s="37" t="n"/>
      <c r="C313" s="37" t="n"/>
      <c r="D313" s="37" t="n"/>
      <c r="E313" s="37" t="n"/>
      <c r="F313" s="49" t="n"/>
      <c r="G313" s="37" t="n"/>
    </row>
    <row r="314">
      <c r="A314" s="48" t="n"/>
      <c r="B314" s="37" t="n"/>
      <c r="C314" s="37" t="n"/>
      <c r="D314" s="37" t="n"/>
      <c r="E314" s="37" t="n"/>
      <c r="F314" s="49" t="n"/>
      <c r="G314" s="37" t="n"/>
    </row>
    <row r="315">
      <c r="A315" s="48" t="n"/>
      <c r="B315" s="37" t="n"/>
      <c r="C315" s="37" t="n"/>
      <c r="D315" s="37" t="n"/>
      <c r="E315" s="37" t="n"/>
      <c r="F315" s="49" t="n"/>
      <c r="G315" s="37" t="n"/>
    </row>
    <row r="316">
      <c r="A316" s="48" t="n"/>
      <c r="B316" s="37" t="n"/>
      <c r="C316" s="37" t="n"/>
      <c r="D316" s="37" t="n"/>
      <c r="E316" s="37" t="n"/>
      <c r="F316" s="49" t="n"/>
      <c r="G316" s="37" t="n"/>
    </row>
    <row r="317">
      <c r="A317" s="48" t="n"/>
      <c r="B317" s="37" t="n"/>
      <c r="C317" s="37" t="n"/>
      <c r="D317" s="37" t="n"/>
      <c r="E317" s="37" t="n"/>
      <c r="F317" s="49" t="n"/>
      <c r="G317" s="37" t="n"/>
    </row>
    <row r="318">
      <c r="A318" s="48" t="n"/>
      <c r="B318" s="37" t="n"/>
      <c r="C318" s="37" t="n"/>
      <c r="D318" s="37" t="n"/>
      <c r="E318" s="37" t="n"/>
      <c r="F318" s="49" t="n"/>
      <c r="G318" s="37" t="n"/>
    </row>
    <row r="319">
      <c r="A319" s="48" t="n"/>
      <c r="B319" s="37" t="n"/>
      <c r="C319" s="37" t="n"/>
      <c r="D319" s="37" t="n"/>
      <c r="E319" s="37" t="n"/>
      <c r="F319" s="49" t="n"/>
      <c r="G319" s="37" t="n"/>
    </row>
    <row r="320">
      <c r="A320" s="48" t="n"/>
      <c r="B320" s="37" t="n"/>
      <c r="C320" s="37" t="n"/>
      <c r="D320" s="37" t="n"/>
      <c r="E320" s="37" t="n"/>
      <c r="F320" s="49" t="n"/>
      <c r="G320" s="37" t="n"/>
    </row>
    <row r="321">
      <c r="A321" s="48" t="n"/>
      <c r="B321" s="37" t="n"/>
      <c r="C321" s="37" t="n"/>
      <c r="D321" s="37" t="n"/>
      <c r="E321" s="37" t="n"/>
      <c r="F321" s="49" t="n"/>
      <c r="G321" s="37" t="n"/>
    </row>
    <row r="322">
      <c r="A322" s="48" t="n"/>
      <c r="B322" s="37" t="n"/>
      <c r="C322" s="37" t="n"/>
      <c r="D322" s="37" t="n"/>
      <c r="E322" s="37" t="n"/>
      <c r="F322" s="49" t="n"/>
      <c r="G322" s="37" t="n"/>
    </row>
    <row r="323">
      <c r="A323" s="48" t="n"/>
      <c r="B323" s="37" t="n"/>
      <c r="C323" s="37" t="n"/>
      <c r="D323" s="37" t="n"/>
      <c r="E323" s="37" t="n"/>
      <c r="F323" s="49" t="n"/>
      <c r="G323" s="37" t="n"/>
    </row>
    <row r="324">
      <c r="A324" s="48" t="n"/>
      <c r="B324" s="37" t="n"/>
      <c r="C324" s="37" t="n"/>
      <c r="D324" s="37" t="n"/>
      <c r="E324" s="37" t="n"/>
      <c r="F324" s="49" t="n"/>
      <c r="G324" s="37" t="n"/>
    </row>
    <row r="325">
      <c r="A325" s="48" t="n"/>
      <c r="B325" s="37" t="n"/>
      <c r="C325" s="37" t="n"/>
      <c r="D325" s="37" t="n"/>
      <c r="E325" s="37" t="n"/>
      <c r="F325" s="49" t="n"/>
      <c r="G325" s="37" t="n"/>
    </row>
    <row r="326">
      <c r="A326" s="48" t="n"/>
      <c r="B326" s="37" t="n"/>
      <c r="C326" s="37" t="n"/>
      <c r="D326" s="37" t="n"/>
      <c r="E326" s="37" t="n"/>
      <c r="F326" s="49" t="n"/>
      <c r="G326" s="37" t="n"/>
    </row>
    <row r="327">
      <c r="A327" s="48" t="n"/>
      <c r="B327" s="37" t="n"/>
      <c r="C327" s="37" t="n"/>
      <c r="D327" s="37" t="n"/>
      <c r="E327" s="37" t="n"/>
      <c r="F327" s="49" t="n"/>
      <c r="G327" s="37" t="n"/>
    </row>
    <row r="328">
      <c r="A328" s="48" t="n"/>
      <c r="B328" s="37" t="n"/>
      <c r="C328" s="37" t="n"/>
      <c r="D328" s="37" t="n"/>
      <c r="E328" s="37" t="n"/>
      <c r="F328" s="49" t="n"/>
      <c r="G328" s="37" t="n"/>
    </row>
    <row r="329">
      <c r="A329" s="48" t="n"/>
      <c r="B329" s="37" t="n"/>
      <c r="C329" s="37" t="n"/>
      <c r="D329" s="37" t="n"/>
      <c r="E329" s="37" t="n"/>
      <c r="F329" s="49" t="n"/>
      <c r="G329" s="37" t="n"/>
    </row>
    <row r="330">
      <c r="A330" s="48" t="n"/>
      <c r="B330" s="37" t="n"/>
      <c r="C330" s="37" t="n"/>
      <c r="D330" s="37" t="n"/>
      <c r="E330" s="37" t="n"/>
      <c r="F330" s="49" t="n"/>
      <c r="G330" s="37" t="n"/>
    </row>
    <row r="331">
      <c r="A331" s="48" t="n"/>
      <c r="B331" s="37" t="n"/>
      <c r="C331" s="37" t="n"/>
      <c r="D331" s="37" t="n"/>
      <c r="E331" s="37" t="n"/>
      <c r="F331" s="49" t="n"/>
      <c r="G331" s="37" t="n"/>
    </row>
    <row r="332">
      <c r="A332" s="48" t="n"/>
      <c r="B332" s="37" t="n"/>
      <c r="C332" s="37" t="n"/>
      <c r="D332" s="37" t="n"/>
      <c r="E332" s="37" t="n"/>
      <c r="F332" s="49" t="n"/>
      <c r="G332" s="37" t="n"/>
    </row>
    <row r="333">
      <c r="A333" s="48" t="n"/>
      <c r="B333" s="37" t="n"/>
      <c r="C333" s="37" t="n"/>
      <c r="D333" s="37" t="n"/>
      <c r="E333" s="37" t="n"/>
      <c r="F333" s="49" t="n"/>
      <c r="G333" s="37" t="n"/>
    </row>
    <row r="334">
      <c r="A334" s="48" t="n"/>
      <c r="B334" s="37" t="n"/>
      <c r="C334" s="37" t="n"/>
      <c r="D334" s="37" t="n"/>
      <c r="E334" s="37" t="n"/>
      <c r="F334" s="49" t="n"/>
      <c r="G334" s="37" t="n"/>
    </row>
    <row r="335">
      <c r="A335" s="48" t="n"/>
      <c r="B335" s="37" t="n"/>
      <c r="C335" s="37" t="n"/>
      <c r="D335" s="37" t="n"/>
      <c r="E335" s="37" t="n"/>
      <c r="F335" s="49" t="n"/>
      <c r="G335" s="37" t="n"/>
    </row>
    <row r="336">
      <c r="A336" s="48" t="n"/>
      <c r="B336" s="37" t="n"/>
      <c r="C336" s="37" t="n"/>
      <c r="D336" s="37" t="n"/>
      <c r="E336" s="37" t="n"/>
      <c r="F336" s="49" t="n"/>
      <c r="G336" s="37" t="n"/>
    </row>
    <row r="337">
      <c r="A337" s="48" t="n"/>
      <c r="B337" s="37" t="n"/>
      <c r="C337" s="37" t="n"/>
      <c r="D337" s="37" t="n"/>
      <c r="E337" s="37" t="n"/>
      <c r="F337" s="49" t="n"/>
      <c r="G337" s="37" t="n"/>
    </row>
    <row r="338">
      <c r="A338" s="48" t="n"/>
      <c r="B338" s="37" t="n"/>
      <c r="C338" s="37" t="n"/>
      <c r="D338" s="37" t="n"/>
      <c r="E338" s="37" t="n"/>
      <c r="F338" s="49" t="n"/>
      <c r="G338" s="37" t="n"/>
    </row>
    <row r="339">
      <c r="A339" s="48" t="n"/>
      <c r="B339" s="37" t="n"/>
      <c r="C339" s="37" t="n"/>
      <c r="D339" s="37" t="n"/>
      <c r="E339" s="37" t="n"/>
      <c r="F339" s="49" t="n"/>
      <c r="G339" s="37" t="n"/>
    </row>
    <row r="340">
      <c r="A340" s="48" t="n"/>
      <c r="B340" s="37" t="n"/>
      <c r="C340" s="37" t="n"/>
      <c r="D340" s="37" t="n"/>
      <c r="E340" s="37" t="n"/>
      <c r="F340" s="49" t="n"/>
      <c r="G340" s="37" t="n"/>
    </row>
    <row r="341">
      <c r="A341" s="48" t="n"/>
      <c r="B341" s="37" t="n"/>
      <c r="C341" s="37" t="n"/>
      <c r="D341" s="37" t="n"/>
      <c r="E341" s="37" t="n"/>
      <c r="F341" s="49" t="n"/>
      <c r="G341" s="37" t="n"/>
    </row>
    <row r="342">
      <c r="A342" s="48" t="n"/>
      <c r="B342" s="37" t="n"/>
      <c r="C342" s="37" t="n"/>
      <c r="D342" s="37" t="n"/>
      <c r="E342" s="37" t="n"/>
      <c r="F342" s="49" t="n"/>
      <c r="G342" s="37" t="n"/>
    </row>
    <row r="343">
      <c r="A343" s="48" t="n"/>
      <c r="B343" s="37" t="n"/>
      <c r="C343" s="37" t="n"/>
      <c r="D343" s="37" t="n"/>
      <c r="E343" s="37" t="n"/>
      <c r="F343" s="49" t="n"/>
      <c r="G343" s="37" t="n"/>
    </row>
    <row r="344">
      <c r="A344" s="48" t="n"/>
      <c r="B344" s="37" t="n"/>
      <c r="C344" s="37" t="n"/>
      <c r="D344" s="37" t="n"/>
      <c r="E344" s="37" t="n"/>
      <c r="F344" s="49" t="n"/>
      <c r="G344" s="37" t="n"/>
    </row>
    <row r="345">
      <c r="A345" s="48" t="n"/>
      <c r="B345" s="37" t="n"/>
      <c r="C345" s="37" t="n"/>
      <c r="D345" s="37" t="n"/>
      <c r="E345" s="37" t="n"/>
      <c r="F345" s="49" t="n"/>
      <c r="G345" s="37" t="n"/>
    </row>
    <row r="346">
      <c r="A346" s="48" t="n"/>
      <c r="B346" s="37" t="n"/>
      <c r="C346" s="37" t="n"/>
      <c r="D346" s="37" t="n"/>
      <c r="E346" s="37" t="n"/>
      <c r="F346" s="49" t="n"/>
      <c r="G346" s="37" t="n"/>
    </row>
    <row r="347">
      <c r="A347" s="48" t="n"/>
      <c r="B347" s="37" t="n"/>
      <c r="C347" s="37" t="n"/>
      <c r="D347" s="37" t="n"/>
      <c r="E347" s="37" t="n"/>
      <c r="F347" s="49" t="n"/>
      <c r="G347" s="37" t="n"/>
    </row>
    <row r="348">
      <c r="A348" s="48" t="n"/>
      <c r="B348" s="37" t="n"/>
      <c r="C348" s="37" t="n"/>
      <c r="D348" s="37" t="n"/>
      <c r="E348" s="37" t="n"/>
      <c r="F348" s="49" t="n"/>
      <c r="G348" s="37" t="n"/>
    </row>
    <row r="349">
      <c r="A349" s="48" t="n"/>
      <c r="B349" s="37" t="n"/>
      <c r="C349" s="37" t="n"/>
      <c r="D349" s="37" t="n"/>
      <c r="E349" s="37" t="n"/>
      <c r="F349" s="49" t="n"/>
      <c r="G349" s="37" t="n"/>
    </row>
    <row r="350">
      <c r="A350" s="48" t="n"/>
      <c r="B350" s="37" t="n"/>
      <c r="C350" s="37" t="n"/>
      <c r="D350" s="37" t="n"/>
      <c r="E350" s="37" t="n"/>
      <c r="F350" s="49" t="n"/>
      <c r="G350" s="37" t="n"/>
    </row>
    <row r="351">
      <c r="A351" s="48" t="n"/>
      <c r="B351" s="37" t="n"/>
      <c r="C351" s="37" t="n"/>
      <c r="D351" s="37" t="n"/>
      <c r="E351" s="37" t="n"/>
      <c r="F351" s="49" t="n"/>
      <c r="G351" s="37" t="n"/>
    </row>
    <row r="352">
      <c r="A352" s="48" t="n"/>
      <c r="B352" s="37" t="n"/>
      <c r="C352" s="37" t="n"/>
      <c r="D352" s="37" t="n"/>
      <c r="E352" s="37" t="n"/>
      <c r="F352" s="49" t="n"/>
      <c r="G352" s="37" t="n"/>
    </row>
    <row r="353">
      <c r="A353" s="48" t="n"/>
      <c r="B353" s="37" t="n"/>
      <c r="C353" s="37" t="n"/>
      <c r="D353" s="37" t="n"/>
      <c r="E353" s="37" t="n"/>
      <c r="F353" s="49" t="n"/>
      <c r="G353" s="37" t="n"/>
    </row>
    <row r="354">
      <c r="A354" s="48" t="n"/>
      <c r="B354" s="37" t="n"/>
      <c r="C354" s="37" t="n"/>
      <c r="D354" s="37" t="n"/>
      <c r="E354" s="37" t="n"/>
      <c r="F354" s="49" t="n"/>
      <c r="G354" s="37" t="n"/>
    </row>
    <row r="355">
      <c r="A355" s="48" t="n"/>
      <c r="B355" s="37" t="n"/>
      <c r="C355" s="37" t="n"/>
      <c r="D355" s="37" t="n"/>
      <c r="E355" s="37" t="n"/>
      <c r="F355" s="49" t="n"/>
      <c r="G355" s="37" t="n"/>
    </row>
    <row r="356">
      <c r="A356" s="48" t="n"/>
      <c r="B356" s="37" t="n"/>
      <c r="C356" s="37" t="n"/>
      <c r="D356" s="37" t="n"/>
      <c r="E356" s="37" t="n"/>
      <c r="F356" s="49" t="n"/>
      <c r="G356" s="37" t="n"/>
    </row>
    <row r="357">
      <c r="A357" s="48" t="n"/>
      <c r="B357" s="37" t="n"/>
      <c r="C357" s="37" t="n"/>
      <c r="D357" s="37" t="n"/>
      <c r="E357" s="37" t="n"/>
      <c r="F357" s="49" t="n"/>
      <c r="G357" s="37" t="n"/>
    </row>
    <row r="358">
      <c r="A358" s="48" t="n"/>
      <c r="B358" s="37" t="n"/>
      <c r="C358" s="37" t="n"/>
      <c r="D358" s="37" t="n"/>
      <c r="E358" s="37" t="n"/>
      <c r="F358" s="49" t="n"/>
      <c r="G358" s="37" t="n"/>
    </row>
    <row r="359">
      <c r="A359" s="48" t="n"/>
      <c r="B359" s="37" t="n"/>
      <c r="C359" s="37" t="n"/>
      <c r="D359" s="37" t="n"/>
      <c r="E359" s="37" t="n"/>
      <c r="F359" s="49" t="n"/>
      <c r="G359" s="37" t="n"/>
    </row>
    <row r="360">
      <c r="A360" s="48" t="n"/>
      <c r="B360" s="37" t="n"/>
      <c r="C360" s="37" t="n"/>
      <c r="D360" s="37" t="n"/>
      <c r="E360" s="37" t="n"/>
      <c r="F360" s="49" t="n"/>
      <c r="G360" s="37" t="n"/>
    </row>
    <row r="361">
      <c r="A361" s="48" t="n"/>
      <c r="B361" s="37" t="n"/>
      <c r="C361" s="37" t="n"/>
      <c r="D361" s="37" t="n"/>
      <c r="E361" s="37" t="n"/>
      <c r="F361" s="49" t="n"/>
      <c r="G361" s="37" t="n"/>
    </row>
    <row r="362">
      <c r="A362" s="48" t="n"/>
      <c r="B362" s="37" t="n"/>
      <c r="C362" s="37" t="n"/>
      <c r="D362" s="37" t="n"/>
      <c r="E362" s="37" t="n"/>
      <c r="F362" s="49" t="n"/>
      <c r="G362" s="37" t="n"/>
    </row>
    <row r="363">
      <c r="A363" s="48" t="n"/>
      <c r="B363" s="37" t="n"/>
      <c r="C363" s="37" t="n"/>
      <c r="D363" s="37" t="n"/>
      <c r="E363" s="37" t="n"/>
      <c r="F363" s="49" t="n"/>
      <c r="G363" s="37" t="n"/>
    </row>
    <row r="364">
      <c r="A364" s="48" t="n"/>
      <c r="B364" s="37" t="n"/>
      <c r="C364" s="37" t="n"/>
      <c r="D364" s="37" t="n"/>
      <c r="E364" s="37" t="n"/>
      <c r="F364" s="49" t="n"/>
      <c r="G364" s="37" t="n"/>
    </row>
    <row r="365">
      <c r="A365" s="48" t="n"/>
      <c r="B365" s="37" t="n"/>
      <c r="C365" s="37" t="n"/>
      <c r="D365" s="37" t="n"/>
      <c r="E365" s="37" t="n"/>
      <c r="F365" s="49" t="n"/>
      <c r="G365" s="37" t="n"/>
    </row>
    <row r="366">
      <c r="A366" s="48" t="n"/>
      <c r="B366" s="37" t="n"/>
      <c r="C366" s="37" t="n"/>
      <c r="D366" s="37" t="n"/>
      <c r="E366" s="37" t="n"/>
      <c r="F366" s="49" t="n"/>
      <c r="G366" s="37" t="n"/>
    </row>
    <row r="367">
      <c r="A367" s="48" t="n"/>
      <c r="B367" s="37" t="n"/>
      <c r="C367" s="37" t="n"/>
      <c r="D367" s="37" t="n"/>
      <c r="E367" s="37" t="n"/>
      <c r="F367" s="49" t="n"/>
      <c r="G367" s="37" t="n"/>
    </row>
    <row r="368">
      <c r="A368" s="48" t="n"/>
      <c r="B368" s="37" t="n"/>
      <c r="C368" s="37" t="n"/>
      <c r="D368" s="37" t="n"/>
      <c r="E368" s="37" t="n"/>
      <c r="F368" s="49" t="n"/>
      <c r="G368" s="37" t="n"/>
    </row>
    <row r="369">
      <c r="A369" s="48" t="n"/>
      <c r="B369" s="37" t="n"/>
      <c r="C369" s="37" t="n"/>
      <c r="D369" s="37" t="n"/>
      <c r="E369" s="37" t="n"/>
      <c r="F369" s="49" t="n"/>
      <c r="G369" s="37" t="n"/>
    </row>
    <row r="370">
      <c r="A370" s="48" t="n"/>
      <c r="B370" s="37" t="n"/>
      <c r="C370" s="37" t="n"/>
      <c r="D370" s="37" t="n"/>
      <c r="E370" s="37" t="n"/>
      <c r="F370" s="49" t="n"/>
      <c r="G370" s="37" t="n"/>
    </row>
    <row r="371">
      <c r="A371" s="48" t="n"/>
      <c r="B371" s="37" t="n"/>
      <c r="C371" s="37" t="n"/>
      <c r="D371" s="37" t="n"/>
      <c r="E371" s="37" t="n"/>
      <c r="F371" s="49" t="n"/>
      <c r="G371" s="37" t="n"/>
    </row>
    <row r="372">
      <c r="A372" s="48" t="n"/>
      <c r="B372" s="37" t="n"/>
      <c r="C372" s="37" t="n"/>
      <c r="D372" s="37" t="n"/>
      <c r="E372" s="37" t="n"/>
      <c r="F372" s="49" t="n"/>
      <c r="G372" s="37" t="n"/>
    </row>
    <row r="373">
      <c r="A373" s="48" t="n"/>
      <c r="B373" s="37" t="n"/>
      <c r="C373" s="37" t="n"/>
      <c r="D373" s="37" t="n"/>
      <c r="E373" s="37" t="n"/>
      <c r="F373" s="49" t="n"/>
      <c r="G373" s="37" t="n"/>
    </row>
    <row r="374">
      <c r="A374" s="48" t="n"/>
      <c r="B374" s="37" t="n"/>
      <c r="C374" s="37" t="n"/>
      <c r="D374" s="37" t="n"/>
      <c r="E374" s="37" t="n"/>
      <c r="F374" s="49" t="n"/>
      <c r="G374" s="37" t="n"/>
    </row>
    <row r="375">
      <c r="A375" s="48" t="n"/>
      <c r="B375" s="37" t="n"/>
      <c r="C375" s="37" t="n"/>
      <c r="D375" s="37" t="n"/>
      <c r="E375" s="37" t="n"/>
      <c r="F375" s="49" t="n"/>
      <c r="G375" s="37" t="n"/>
    </row>
    <row r="376">
      <c r="A376" s="48" t="n"/>
      <c r="B376" s="37" t="n"/>
      <c r="C376" s="37" t="n"/>
      <c r="D376" s="37" t="n"/>
      <c r="E376" s="37" t="n"/>
      <c r="F376" s="49" t="n"/>
      <c r="G376" s="37" t="n"/>
    </row>
    <row r="377">
      <c r="A377" s="48" t="n"/>
      <c r="B377" s="37" t="n"/>
      <c r="C377" s="37" t="n"/>
      <c r="D377" s="37" t="n"/>
      <c r="E377" s="37" t="n"/>
      <c r="F377" s="49" t="n"/>
      <c r="G377" s="37" t="n"/>
    </row>
    <row r="378">
      <c r="A378" s="48" t="n"/>
      <c r="B378" s="37" t="n"/>
      <c r="C378" s="37" t="n"/>
      <c r="D378" s="37" t="n"/>
      <c r="E378" s="37" t="n"/>
      <c r="F378" s="49" t="n"/>
      <c r="G378" s="37" t="n"/>
    </row>
    <row r="379">
      <c r="A379" s="48" t="n"/>
      <c r="B379" s="37" t="n"/>
      <c r="C379" s="37" t="n"/>
      <c r="D379" s="37" t="n"/>
      <c r="E379" s="37" t="n"/>
      <c r="F379" s="49" t="n"/>
      <c r="G379" s="37" t="n"/>
    </row>
    <row r="380">
      <c r="A380" s="48" t="n"/>
      <c r="B380" s="37" t="n"/>
      <c r="C380" s="37" t="n"/>
      <c r="D380" s="37" t="n"/>
      <c r="E380" s="37" t="n"/>
      <c r="F380" s="49" t="n"/>
      <c r="G380" s="37" t="n"/>
    </row>
    <row r="381">
      <c r="A381" s="48" t="n"/>
      <c r="B381" s="37" t="n"/>
      <c r="C381" s="37" t="n"/>
      <c r="D381" s="37" t="n"/>
      <c r="E381" s="37" t="n"/>
      <c r="F381" s="49" t="n"/>
      <c r="G381" s="37" t="n"/>
    </row>
    <row r="382">
      <c r="A382" s="48" t="n"/>
      <c r="B382" s="37" t="n"/>
      <c r="C382" s="37" t="n"/>
      <c r="D382" s="37" t="n"/>
      <c r="E382" s="37" t="n"/>
      <c r="F382" s="49" t="n"/>
      <c r="G382" s="37" t="n"/>
    </row>
    <row r="383">
      <c r="A383" s="48" t="n"/>
      <c r="B383" s="37" t="n"/>
      <c r="C383" s="37" t="n"/>
      <c r="D383" s="37" t="n"/>
      <c r="E383" s="37" t="n"/>
      <c r="F383" s="49" t="n"/>
      <c r="G383" s="37" t="n"/>
    </row>
    <row r="384">
      <c r="A384" s="48" t="n"/>
      <c r="B384" s="37" t="n"/>
      <c r="C384" s="37" t="n"/>
      <c r="D384" s="37" t="n"/>
      <c r="E384" s="37" t="n"/>
      <c r="F384" s="49" t="n"/>
      <c r="G384" s="37" t="n"/>
    </row>
    <row r="385">
      <c r="A385" s="48" t="n"/>
      <c r="B385" s="37" t="n"/>
      <c r="C385" s="37" t="n"/>
      <c r="D385" s="37" t="n"/>
      <c r="E385" s="37" t="n"/>
      <c r="F385" s="49" t="n"/>
      <c r="G385" s="37" t="n"/>
    </row>
    <row r="386">
      <c r="A386" s="48" t="n"/>
      <c r="B386" s="37" t="n"/>
      <c r="C386" s="37" t="n"/>
      <c r="D386" s="37" t="n"/>
      <c r="E386" s="37" t="n"/>
      <c r="F386" s="49" t="n"/>
      <c r="G386" s="37" t="n"/>
    </row>
    <row r="387">
      <c r="A387" s="48" t="n"/>
      <c r="B387" s="37" t="n"/>
      <c r="C387" s="37" t="n"/>
      <c r="D387" s="37" t="n"/>
      <c r="E387" s="37" t="n"/>
      <c r="F387" s="49" t="n"/>
      <c r="G387" s="37" t="n"/>
    </row>
    <row r="388">
      <c r="A388" s="48" t="n"/>
      <c r="B388" s="37" t="n"/>
      <c r="C388" s="37" t="n"/>
      <c r="D388" s="37" t="n"/>
      <c r="E388" s="37" t="n"/>
      <c r="F388" s="49" t="n"/>
      <c r="G388" s="37" t="n"/>
    </row>
    <row r="389">
      <c r="A389" s="48" t="n"/>
      <c r="B389" s="37" t="n"/>
      <c r="C389" s="37" t="n"/>
      <c r="D389" s="37" t="n"/>
      <c r="E389" s="37" t="n"/>
      <c r="F389" s="49" t="n"/>
      <c r="G389" s="37" t="n"/>
    </row>
    <row r="390">
      <c r="A390" s="48" t="n"/>
      <c r="B390" s="37" t="n"/>
      <c r="C390" s="37" t="n"/>
      <c r="D390" s="37" t="n"/>
      <c r="E390" s="37" t="n"/>
      <c r="F390" s="49" t="n"/>
      <c r="G390" s="37" t="n"/>
    </row>
    <row r="391">
      <c r="A391" s="48" t="n"/>
      <c r="B391" s="37" t="n"/>
      <c r="C391" s="37" t="n"/>
      <c r="D391" s="37" t="n"/>
      <c r="E391" s="37" t="n"/>
      <c r="F391" s="49" t="n"/>
      <c r="G391" s="37" t="n"/>
    </row>
    <row r="392">
      <c r="A392" s="48" t="n"/>
      <c r="B392" s="37" t="n"/>
      <c r="C392" s="37" t="n"/>
      <c r="D392" s="37" t="n"/>
      <c r="E392" s="37" t="n"/>
      <c r="F392" s="49" t="n"/>
      <c r="G392" s="37" t="n"/>
    </row>
    <row r="393">
      <c r="A393" s="48" t="n"/>
      <c r="B393" s="37" t="n"/>
      <c r="C393" s="37" t="n"/>
      <c r="D393" s="37" t="n"/>
      <c r="E393" s="37" t="n"/>
      <c r="F393" s="49" t="n"/>
      <c r="G393" s="37" t="n"/>
    </row>
    <row r="394">
      <c r="A394" s="48" t="n"/>
      <c r="B394" s="37" t="n"/>
      <c r="C394" s="37" t="n"/>
      <c r="D394" s="37" t="n"/>
      <c r="E394" s="37" t="n"/>
      <c r="F394" s="49" t="n"/>
      <c r="G394" s="37" t="n"/>
    </row>
    <row r="395">
      <c r="A395" s="48" t="n"/>
      <c r="B395" s="37" t="n"/>
      <c r="C395" s="37" t="n"/>
      <c r="D395" s="37" t="n"/>
      <c r="E395" s="37" t="n"/>
      <c r="F395" s="49" t="n"/>
      <c r="G395" s="37" t="n"/>
    </row>
    <row r="396">
      <c r="A396" s="48" t="n"/>
      <c r="B396" s="37" t="n"/>
      <c r="C396" s="37" t="n"/>
      <c r="D396" s="37" t="n"/>
      <c r="E396" s="37" t="n"/>
      <c r="F396" s="49" t="n"/>
      <c r="G396" s="37" t="n"/>
    </row>
    <row r="397">
      <c r="A397" s="48" t="n"/>
      <c r="B397" s="37" t="n"/>
      <c r="C397" s="37" t="n"/>
      <c r="D397" s="37" t="n"/>
      <c r="E397" s="37" t="n"/>
      <c r="F397" s="49" t="n"/>
      <c r="G397" s="37" t="n"/>
    </row>
    <row r="398">
      <c r="A398" s="48" t="n"/>
      <c r="B398" s="37" t="n"/>
      <c r="C398" s="37" t="n"/>
      <c r="D398" s="37" t="n"/>
      <c r="E398" s="37" t="n"/>
      <c r="F398" s="49" t="n"/>
      <c r="G398" s="37" t="n"/>
    </row>
    <row r="399">
      <c r="A399" s="48" t="n"/>
      <c r="B399" s="37" t="n"/>
      <c r="C399" s="37" t="n"/>
      <c r="D399" s="37" t="n"/>
      <c r="E399" s="37" t="n"/>
      <c r="F399" s="49" t="n"/>
      <c r="G399" s="37" t="n"/>
    </row>
    <row r="400">
      <c r="A400" s="48" t="n"/>
      <c r="B400" s="37" t="n"/>
      <c r="C400" s="37" t="n"/>
      <c r="D400" s="37" t="n"/>
      <c r="E400" s="37" t="n"/>
      <c r="F400" s="49" t="n"/>
      <c r="G400" s="37" t="n"/>
    </row>
    <row r="401">
      <c r="A401" s="48" t="n"/>
      <c r="B401" s="37" t="n"/>
      <c r="C401" s="37" t="n"/>
      <c r="D401" s="37" t="n"/>
      <c r="E401" s="37" t="n"/>
      <c r="F401" s="49" t="n"/>
      <c r="G401" s="37" t="n"/>
    </row>
    <row r="402">
      <c r="A402" s="48" t="n"/>
      <c r="B402" s="37" t="n"/>
      <c r="C402" s="37" t="n"/>
      <c r="D402" s="37" t="n"/>
      <c r="E402" s="37" t="n"/>
      <c r="F402" s="49" t="n"/>
      <c r="G402" s="37" t="n"/>
    </row>
    <row r="403">
      <c r="A403" s="48" t="n"/>
      <c r="B403" s="37" t="n"/>
      <c r="C403" s="37" t="n"/>
      <c r="D403" s="37" t="n"/>
      <c r="E403" s="37" t="n"/>
      <c r="F403" s="49" t="n"/>
      <c r="G403" s="37" t="n"/>
    </row>
    <row r="404">
      <c r="A404" s="48" t="n"/>
      <c r="B404" s="37" t="n"/>
      <c r="C404" s="37" t="n"/>
      <c r="D404" s="37" t="n"/>
      <c r="E404" s="37" t="n"/>
      <c r="F404" s="49" t="n"/>
      <c r="G404" s="37" t="n"/>
    </row>
    <row r="405">
      <c r="A405" s="48" t="n"/>
      <c r="B405" s="37" t="n"/>
      <c r="C405" s="37" t="n"/>
      <c r="D405" s="37" t="n"/>
      <c r="E405" s="37" t="n"/>
      <c r="F405" s="49" t="n"/>
      <c r="G405" s="37" t="n"/>
    </row>
    <row r="406">
      <c r="A406" s="48" t="n"/>
      <c r="B406" s="37" t="n"/>
      <c r="C406" s="37" t="n"/>
      <c r="D406" s="37" t="n"/>
      <c r="E406" s="37" t="n"/>
      <c r="F406" s="49" t="n"/>
      <c r="G406" s="37" t="n"/>
    </row>
    <row r="407">
      <c r="A407" s="48" t="n"/>
      <c r="B407" s="37" t="n"/>
      <c r="C407" s="37" t="n"/>
      <c r="D407" s="37" t="n"/>
      <c r="E407" s="37" t="n"/>
      <c r="F407" s="49" t="n"/>
      <c r="G407" s="37" t="n"/>
    </row>
    <row r="408">
      <c r="A408" s="48" t="n"/>
      <c r="B408" s="37" t="n"/>
      <c r="C408" s="37" t="n"/>
      <c r="D408" s="37" t="n"/>
      <c r="E408" s="37" t="n"/>
      <c r="F408" s="49" t="n"/>
      <c r="G408" s="37" t="n"/>
    </row>
    <row r="409">
      <c r="A409" s="48" t="n"/>
      <c r="B409" s="37" t="n"/>
      <c r="C409" s="37" t="n"/>
      <c r="D409" s="37" t="n"/>
      <c r="E409" s="37" t="n"/>
      <c r="F409" s="49" t="n"/>
      <c r="G409" s="37" t="n"/>
    </row>
    <row r="410">
      <c r="A410" s="48" t="n"/>
      <c r="B410" s="37" t="n"/>
      <c r="C410" s="37" t="n"/>
      <c r="D410" s="37" t="n"/>
      <c r="E410" s="37" t="n"/>
      <c r="F410" s="49" t="n"/>
      <c r="G410" s="37" t="n"/>
    </row>
    <row r="411">
      <c r="A411" s="48" t="n"/>
      <c r="B411" s="37" t="n"/>
      <c r="C411" s="37" t="n"/>
      <c r="D411" s="37" t="n"/>
      <c r="E411" s="37" t="n"/>
      <c r="F411" s="49" t="n"/>
      <c r="G411" s="37" t="n"/>
    </row>
    <row r="412">
      <c r="A412" s="48" t="n"/>
      <c r="B412" s="37" t="n"/>
      <c r="C412" s="37" t="n"/>
      <c r="D412" s="37" t="n"/>
      <c r="E412" s="37" t="n"/>
      <c r="F412" s="49" t="n"/>
      <c r="G412" s="37" t="n"/>
    </row>
    <row r="413">
      <c r="A413" s="48" t="n"/>
      <c r="B413" s="37" t="n"/>
      <c r="C413" s="37" t="n"/>
      <c r="D413" s="37" t="n"/>
      <c r="E413" s="37" t="n"/>
      <c r="F413" s="49" t="n"/>
      <c r="G413" s="37" t="n"/>
    </row>
    <row r="414">
      <c r="A414" s="48" t="n"/>
      <c r="B414" s="37" t="n"/>
      <c r="C414" s="37" t="n"/>
      <c r="D414" s="37" t="n"/>
      <c r="E414" s="37" t="n"/>
      <c r="F414" s="49" t="n"/>
      <c r="G414" s="37" t="n"/>
    </row>
    <row r="415">
      <c r="A415" s="48" t="n"/>
      <c r="B415" s="37" t="n"/>
      <c r="C415" s="37" t="n"/>
      <c r="D415" s="37" t="n"/>
      <c r="E415" s="37" t="n"/>
      <c r="F415" s="49" t="n"/>
      <c r="G415" s="37" t="n"/>
    </row>
    <row r="416">
      <c r="A416" s="48" t="n"/>
      <c r="B416" s="37" t="n"/>
      <c r="C416" s="37" t="n"/>
      <c r="D416" s="37" t="n"/>
      <c r="E416" s="37" t="n"/>
      <c r="F416" s="49" t="n"/>
      <c r="G416" s="37" t="n"/>
    </row>
    <row r="417">
      <c r="A417" s="48" t="n"/>
      <c r="B417" s="37" t="n"/>
      <c r="C417" s="37" t="n"/>
      <c r="D417" s="37" t="n"/>
      <c r="E417" s="37" t="n"/>
      <c r="F417" s="49" t="n"/>
      <c r="G417" s="37" t="n"/>
    </row>
    <row r="418">
      <c r="A418" s="48" t="n"/>
      <c r="B418" s="37" t="n"/>
      <c r="C418" s="37" t="n"/>
      <c r="D418" s="37" t="n"/>
      <c r="E418" s="37" t="n"/>
      <c r="F418" s="49" t="n"/>
      <c r="G418" s="37" t="n"/>
    </row>
    <row r="419">
      <c r="A419" s="48" t="n"/>
      <c r="B419" s="37" t="n"/>
      <c r="C419" s="37" t="n"/>
      <c r="D419" s="37" t="n"/>
      <c r="E419" s="37" t="n"/>
      <c r="F419" s="49" t="n"/>
      <c r="G419" s="37" t="n"/>
    </row>
    <row r="420">
      <c r="A420" s="48" t="n"/>
      <c r="B420" s="37" t="n"/>
      <c r="C420" s="37" t="n"/>
      <c r="D420" s="37" t="n"/>
      <c r="E420" s="37" t="n"/>
      <c r="F420" s="49" t="n"/>
      <c r="G420" s="37" t="n"/>
    </row>
    <row r="421">
      <c r="A421" s="48" t="n"/>
      <c r="B421" s="37" t="n"/>
      <c r="C421" s="37" t="n"/>
      <c r="D421" s="37" t="n"/>
      <c r="E421" s="37" t="n"/>
      <c r="F421" s="49" t="n"/>
      <c r="G421" s="37" t="n"/>
    </row>
    <row r="422">
      <c r="A422" s="48" t="n"/>
      <c r="B422" s="37" t="n"/>
      <c r="C422" s="37" t="n"/>
      <c r="D422" s="37" t="n"/>
      <c r="E422" s="37" t="n"/>
      <c r="F422" s="49" t="n"/>
      <c r="G422" s="37" t="n"/>
    </row>
    <row r="423">
      <c r="A423" s="48" t="n"/>
      <c r="B423" s="37" t="n"/>
      <c r="C423" s="37" t="n"/>
      <c r="D423" s="37" t="n"/>
      <c r="E423" s="37" t="n"/>
      <c r="F423" s="49" t="n"/>
      <c r="G423" s="37" t="n"/>
    </row>
    <row r="424">
      <c r="A424" s="48" t="n"/>
      <c r="B424" s="37" t="n"/>
      <c r="C424" s="37" t="n"/>
      <c r="D424" s="37" t="n"/>
      <c r="E424" s="37" t="n"/>
      <c r="F424" s="49" t="n"/>
      <c r="G424" s="37" t="n"/>
    </row>
    <row r="425">
      <c r="A425" s="48" t="n"/>
      <c r="B425" s="37" t="n"/>
      <c r="C425" s="37" t="n"/>
      <c r="D425" s="37" t="n"/>
      <c r="E425" s="37" t="n"/>
      <c r="F425" s="49" t="n"/>
      <c r="G425" s="37" t="n"/>
    </row>
    <row r="426">
      <c r="A426" s="48" t="n"/>
      <c r="B426" s="37" t="n"/>
      <c r="C426" s="37" t="n"/>
      <c r="D426" s="37" t="n"/>
      <c r="E426" s="37" t="n"/>
      <c r="F426" s="49" t="n"/>
      <c r="G426" s="37" t="n"/>
    </row>
    <row r="427">
      <c r="A427" s="48" t="n"/>
      <c r="B427" s="37" t="n"/>
      <c r="C427" s="37" t="n"/>
      <c r="D427" s="37" t="n"/>
      <c r="E427" s="37" t="n"/>
      <c r="F427" s="49" t="n"/>
      <c r="G427" s="37" t="n"/>
    </row>
    <row r="428">
      <c r="A428" s="48" t="n"/>
      <c r="B428" s="37" t="n"/>
      <c r="C428" s="37" t="n"/>
      <c r="D428" s="37" t="n"/>
      <c r="E428" s="37" t="n"/>
      <c r="F428" s="49" t="n"/>
      <c r="G428" s="37" t="n"/>
    </row>
    <row r="429">
      <c r="A429" s="48" t="n"/>
      <c r="B429" s="37" t="n"/>
      <c r="C429" s="37" t="n"/>
      <c r="D429" s="37" t="n"/>
      <c r="E429" s="37" t="n"/>
      <c r="F429" s="49" t="n"/>
      <c r="G429" s="37" t="n"/>
    </row>
    <row r="430">
      <c r="A430" s="48" t="n"/>
      <c r="B430" s="37" t="n"/>
      <c r="C430" s="37" t="n"/>
      <c r="D430" s="37" t="n"/>
      <c r="E430" s="37" t="n"/>
      <c r="F430" s="49" t="n"/>
      <c r="G430" s="37" t="n"/>
    </row>
    <row r="431">
      <c r="A431" s="48" t="n"/>
      <c r="B431" s="37" t="n"/>
      <c r="C431" s="37" t="n"/>
      <c r="D431" s="37" t="n"/>
      <c r="E431" s="37" t="n"/>
      <c r="F431" s="49" t="n"/>
      <c r="G431" s="37" t="n"/>
    </row>
    <row r="432">
      <c r="A432" s="48" t="n"/>
      <c r="B432" s="37" t="n"/>
      <c r="C432" s="37" t="n"/>
      <c r="D432" s="37" t="n"/>
      <c r="E432" s="37" t="n"/>
      <c r="F432" s="49" t="n"/>
      <c r="G432" s="37" t="n"/>
    </row>
    <row r="433">
      <c r="A433" s="48" t="n"/>
      <c r="B433" s="37" t="n"/>
      <c r="C433" s="37" t="n"/>
      <c r="D433" s="37" t="n"/>
      <c r="E433" s="37" t="n"/>
      <c r="F433" s="49" t="n"/>
      <c r="G433" s="37" t="n"/>
    </row>
    <row r="434">
      <c r="A434" s="48" t="n"/>
      <c r="B434" s="37" t="n"/>
      <c r="C434" s="37" t="n"/>
      <c r="D434" s="37" t="n"/>
      <c r="E434" s="37" t="n"/>
      <c r="F434" s="49" t="n"/>
      <c r="G434" s="37" t="n"/>
    </row>
    <row r="435">
      <c r="A435" s="48" t="n"/>
      <c r="B435" s="37" t="n"/>
      <c r="C435" s="37" t="n"/>
      <c r="D435" s="37" t="n"/>
      <c r="E435" s="37" t="n"/>
      <c r="F435" s="49" t="n"/>
      <c r="G435" s="37" t="n"/>
    </row>
    <row r="436">
      <c r="A436" s="48" t="n"/>
      <c r="B436" s="37" t="n"/>
      <c r="C436" s="37" t="n"/>
      <c r="D436" s="37" t="n"/>
      <c r="E436" s="37" t="n"/>
      <c r="F436" s="49" t="n"/>
      <c r="G436" s="37" t="n"/>
    </row>
    <row r="437">
      <c r="A437" s="48" t="n"/>
      <c r="B437" s="37" t="n"/>
      <c r="C437" s="37" t="n"/>
      <c r="D437" s="37" t="n"/>
      <c r="E437" s="37" t="n"/>
      <c r="F437" s="49" t="n"/>
      <c r="G437" s="37" t="n"/>
    </row>
    <row r="438">
      <c r="A438" s="48" t="n"/>
      <c r="B438" s="37" t="n"/>
      <c r="C438" s="37" t="n"/>
      <c r="D438" s="37" t="n"/>
      <c r="E438" s="37" t="n"/>
      <c r="F438" s="49" t="n"/>
      <c r="G438" s="37" t="n"/>
    </row>
    <row r="439">
      <c r="A439" s="48" t="n"/>
      <c r="B439" s="37" t="n"/>
      <c r="C439" s="37" t="n"/>
      <c r="D439" s="37" t="n"/>
      <c r="E439" s="37" t="n"/>
      <c r="F439" s="49" t="n"/>
      <c r="G439" s="37" t="n"/>
    </row>
    <row r="440">
      <c r="A440" s="48" t="n"/>
      <c r="B440" s="37" t="n"/>
      <c r="C440" s="37" t="n"/>
      <c r="D440" s="37" t="n"/>
      <c r="E440" s="37" t="n"/>
      <c r="F440" s="49" t="n"/>
      <c r="G440" s="37" t="n"/>
    </row>
    <row r="441">
      <c r="A441" s="48" t="n"/>
      <c r="B441" s="37" t="n"/>
      <c r="C441" s="37" t="n"/>
      <c r="D441" s="37" t="n"/>
      <c r="E441" s="37" t="n"/>
      <c r="F441" s="49" t="n"/>
      <c r="G441" s="37" t="n"/>
    </row>
    <row r="442">
      <c r="A442" s="48" t="n"/>
      <c r="B442" s="37" t="n"/>
      <c r="C442" s="37" t="n"/>
      <c r="D442" s="37" t="n"/>
      <c r="E442" s="37" t="n"/>
      <c r="F442" s="49" t="n"/>
      <c r="G442" s="37" t="n"/>
    </row>
    <row r="443">
      <c r="A443" s="48" t="n"/>
      <c r="B443" s="37" t="n"/>
      <c r="C443" s="37" t="n"/>
      <c r="D443" s="37" t="n"/>
      <c r="E443" s="37" t="n"/>
      <c r="F443" s="49" t="n"/>
      <c r="G443" s="37" t="n"/>
    </row>
    <row r="444">
      <c r="A444" s="48" t="n"/>
      <c r="B444" s="37" t="n"/>
      <c r="C444" s="37" t="n"/>
      <c r="D444" s="37" t="n"/>
      <c r="E444" s="37" t="n"/>
      <c r="F444" s="49" t="n"/>
      <c r="G444" s="37" t="n"/>
    </row>
    <row r="445">
      <c r="A445" s="48" t="n"/>
      <c r="B445" s="37" t="n"/>
      <c r="C445" s="37" t="n"/>
      <c r="D445" s="37" t="n"/>
      <c r="E445" s="37" t="n"/>
      <c r="F445" s="49" t="n"/>
      <c r="G445" s="37" t="n"/>
    </row>
    <row r="446">
      <c r="A446" s="48" t="n"/>
      <c r="B446" s="37" t="n"/>
      <c r="C446" s="37" t="n"/>
      <c r="D446" s="37" t="n"/>
      <c r="E446" s="37" t="n"/>
      <c r="F446" s="49" t="n"/>
      <c r="G446" s="37" t="n"/>
    </row>
    <row r="447">
      <c r="A447" s="48" t="n"/>
      <c r="B447" s="37" t="n"/>
      <c r="C447" s="37" t="n"/>
      <c r="D447" s="37" t="n"/>
      <c r="E447" s="37" t="n"/>
      <c r="F447" s="49" t="n"/>
      <c r="G447" s="37" t="n"/>
    </row>
    <row r="448">
      <c r="A448" s="48" t="n"/>
      <c r="B448" s="37" t="n"/>
      <c r="C448" s="37" t="n"/>
      <c r="D448" s="37" t="n"/>
      <c r="E448" s="37" t="n"/>
      <c r="F448" s="49" t="n"/>
      <c r="G448" s="37" t="n"/>
    </row>
    <row r="449">
      <c r="A449" s="48" t="n"/>
      <c r="B449" s="37" t="n"/>
      <c r="C449" s="37" t="n"/>
      <c r="D449" s="37" t="n"/>
      <c r="E449" s="37" t="n"/>
      <c r="F449" s="49" t="n"/>
      <c r="G449" s="37" t="n"/>
    </row>
    <row r="450">
      <c r="A450" s="48" t="n"/>
      <c r="B450" s="37" t="n"/>
      <c r="C450" s="37" t="n"/>
      <c r="D450" s="37" t="n"/>
      <c r="E450" s="37" t="n"/>
      <c r="F450" s="49" t="n"/>
      <c r="G450" s="37" t="n"/>
    </row>
    <row r="451">
      <c r="A451" s="48" t="n"/>
      <c r="B451" s="37" t="n"/>
      <c r="C451" s="37" t="n"/>
      <c r="D451" s="37" t="n"/>
      <c r="E451" s="37" t="n"/>
      <c r="F451" s="49" t="n"/>
      <c r="G451" s="37" t="n"/>
    </row>
    <row r="452">
      <c r="A452" s="48" t="n"/>
      <c r="B452" s="37" t="n"/>
      <c r="C452" s="37" t="n"/>
      <c r="D452" s="37" t="n"/>
      <c r="E452" s="37" t="n"/>
      <c r="F452" s="49" t="n"/>
      <c r="G452" s="37" t="n"/>
    </row>
    <row r="453">
      <c r="A453" s="48" t="n"/>
      <c r="B453" s="37" t="n"/>
      <c r="C453" s="37" t="n"/>
      <c r="D453" s="37" t="n"/>
      <c r="E453" s="37" t="n"/>
      <c r="F453" s="49" t="n"/>
      <c r="G453" s="37" t="n"/>
    </row>
    <row r="454">
      <c r="A454" s="48" t="n"/>
      <c r="B454" s="37" t="n"/>
      <c r="C454" s="37" t="n"/>
      <c r="D454" s="37" t="n"/>
      <c r="E454" s="37" t="n"/>
      <c r="F454" s="49" t="n"/>
      <c r="G454" s="37" t="n"/>
    </row>
    <row r="455">
      <c r="A455" s="48" t="n"/>
      <c r="B455" s="37" t="n"/>
      <c r="C455" s="37" t="n"/>
      <c r="D455" s="37" t="n"/>
      <c r="E455" s="37" t="n"/>
      <c r="F455" s="49" t="n"/>
      <c r="G455" s="37" t="n"/>
    </row>
    <row r="456">
      <c r="A456" s="48" t="n"/>
      <c r="B456" s="37" t="n"/>
      <c r="C456" s="37" t="n"/>
      <c r="D456" s="37" t="n"/>
      <c r="E456" s="37" t="n"/>
      <c r="F456" s="49" t="n"/>
      <c r="G456" s="37" t="n"/>
    </row>
    <row r="457">
      <c r="A457" s="48" t="n"/>
      <c r="B457" s="37" t="n"/>
      <c r="C457" s="37" t="n"/>
      <c r="D457" s="37" t="n"/>
      <c r="E457" s="37" t="n"/>
      <c r="F457" s="49" t="n"/>
      <c r="G457" s="37" t="n"/>
    </row>
    <row r="458">
      <c r="A458" s="48" t="n"/>
      <c r="B458" s="37" t="n"/>
      <c r="C458" s="37" t="n"/>
      <c r="D458" s="37" t="n"/>
      <c r="E458" s="37" t="n"/>
      <c r="F458" s="49" t="n"/>
      <c r="G458" s="37" t="n"/>
    </row>
    <row r="459">
      <c r="A459" s="48" t="n"/>
      <c r="B459" s="37" t="n"/>
      <c r="C459" s="37" t="n"/>
      <c r="D459" s="37" t="n"/>
      <c r="E459" s="37" t="n"/>
      <c r="F459" s="49" t="n"/>
      <c r="G459" s="37" t="n"/>
    </row>
    <row r="460">
      <c r="A460" s="48" t="n"/>
      <c r="B460" s="37" t="n"/>
      <c r="C460" s="37" t="n"/>
      <c r="D460" s="37" t="n"/>
      <c r="E460" s="37" t="n"/>
      <c r="F460" s="49" t="n"/>
      <c r="G460" s="37" t="n"/>
    </row>
    <row r="461">
      <c r="A461" s="48" t="n"/>
      <c r="B461" s="37" t="n"/>
      <c r="C461" s="37" t="n"/>
      <c r="D461" s="37" t="n"/>
      <c r="E461" s="37" t="n"/>
      <c r="F461" s="49" t="n"/>
      <c r="G461" s="37" t="n"/>
    </row>
    <row r="462">
      <c r="A462" s="48" t="n"/>
      <c r="B462" s="37" t="n"/>
      <c r="C462" s="37" t="n"/>
      <c r="D462" s="37" t="n"/>
      <c r="E462" s="37" t="n"/>
      <c r="F462" s="49" t="n"/>
      <c r="G462" s="37" t="n"/>
    </row>
    <row r="463">
      <c r="A463" s="48" t="n"/>
      <c r="B463" s="37" t="n"/>
      <c r="C463" s="37" t="n"/>
      <c r="D463" s="37" t="n"/>
      <c r="E463" s="37" t="n"/>
      <c r="F463" s="49" t="n"/>
      <c r="G463" s="37" t="n"/>
    </row>
    <row r="464">
      <c r="A464" s="48" t="n"/>
      <c r="B464" s="37" t="n"/>
      <c r="C464" s="37" t="n"/>
      <c r="D464" s="37" t="n"/>
      <c r="E464" s="37" t="n"/>
      <c r="F464" s="49" t="n"/>
      <c r="G464" s="37" t="n"/>
    </row>
    <row r="465">
      <c r="A465" s="48" t="n"/>
      <c r="B465" s="37" t="n"/>
      <c r="C465" s="37" t="n"/>
      <c r="D465" s="37" t="n"/>
      <c r="E465" s="37" t="n"/>
      <c r="F465" s="49" t="n"/>
      <c r="G465" s="37" t="n"/>
    </row>
    <row r="466">
      <c r="A466" s="48" t="n"/>
      <c r="B466" s="37" t="n"/>
      <c r="C466" s="37" t="n"/>
      <c r="D466" s="37" t="n"/>
      <c r="E466" s="37" t="n"/>
      <c r="F466" s="49" t="n"/>
      <c r="G466" s="37" t="n"/>
    </row>
    <row r="467">
      <c r="A467" s="48" t="n"/>
      <c r="B467" s="37" t="n"/>
      <c r="C467" s="37" t="n"/>
      <c r="D467" s="37" t="n"/>
      <c r="E467" s="37" t="n"/>
      <c r="F467" s="49" t="n"/>
      <c r="G467" s="37" t="n"/>
    </row>
    <row r="468">
      <c r="A468" s="48" t="n"/>
      <c r="B468" s="37" t="n"/>
      <c r="C468" s="37" t="n"/>
      <c r="D468" s="37" t="n"/>
      <c r="E468" s="37" t="n"/>
      <c r="F468" s="49" t="n"/>
      <c r="G468" s="37" t="n"/>
    </row>
    <row r="469">
      <c r="A469" s="48" t="n"/>
      <c r="B469" s="37" t="n"/>
      <c r="C469" s="37" t="n"/>
      <c r="D469" s="37" t="n"/>
      <c r="E469" s="37" t="n"/>
      <c r="F469" s="49" t="n"/>
      <c r="G469" s="37" t="n"/>
    </row>
    <row r="470">
      <c r="A470" s="48" t="n"/>
      <c r="B470" s="37" t="n"/>
      <c r="C470" s="37" t="n"/>
      <c r="D470" s="37" t="n"/>
      <c r="E470" s="37" t="n"/>
      <c r="F470" s="49" t="n"/>
      <c r="G470" s="37" t="n"/>
    </row>
    <row r="471">
      <c r="A471" s="48" t="n"/>
      <c r="B471" s="37" t="n"/>
      <c r="C471" s="37" t="n"/>
      <c r="D471" s="37" t="n"/>
      <c r="E471" s="37" t="n"/>
      <c r="F471" s="49" t="n"/>
      <c r="G471" s="37" t="n"/>
    </row>
    <row r="472">
      <c r="A472" s="48" t="n"/>
      <c r="B472" s="37" t="n"/>
      <c r="C472" s="37" t="n"/>
      <c r="D472" s="37" t="n"/>
      <c r="E472" s="37" t="n"/>
      <c r="F472" s="49" t="n"/>
      <c r="G472" s="37" t="n"/>
    </row>
    <row r="473">
      <c r="A473" s="48" t="n"/>
      <c r="B473" s="37" t="n"/>
      <c r="C473" s="37" t="n"/>
      <c r="D473" s="37" t="n"/>
      <c r="E473" s="37" t="n"/>
      <c r="F473" s="49" t="n"/>
      <c r="G473" s="37" t="n"/>
    </row>
    <row r="474">
      <c r="A474" s="48" t="n"/>
      <c r="B474" s="37" t="n"/>
      <c r="C474" s="37" t="n"/>
      <c r="D474" s="37" t="n"/>
      <c r="E474" s="37" t="n"/>
      <c r="F474" s="49" t="n"/>
      <c r="G474" s="37" t="n"/>
    </row>
    <row r="475">
      <c r="A475" s="48" t="n"/>
      <c r="B475" s="37" t="n"/>
      <c r="C475" s="37" t="n"/>
      <c r="D475" s="37" t="n"/>
      <c r="E475" s="37" t="n"/>
      <c r="F475" s="49" t="n"/>
      <c r="G475" s="37" t="n"/>
    </row>
    <row r="476">
      <c r="A476" s="48" t="n"/>
      <c r="B476" s="37" t="n"/>
      <c r="C476" s="37" t="n"/>
      <c r="D476" s="37" t="n"/>
      <c r="E476" s="37" t="n"/>
      <c r="F476" s="49" t="n"/>
      <c r="G476" s="37" t="n"/>
    </row>
    <row r="477">
      <c r="A477" s="48" t="n"/>
      <c r="B477" s="37" t="n"/>
      <c r="C477" s="37" t="n"/>
      <c r="D477" s="37" t="n"/>
      <c r="E477" s="37" t="n"/>
      <c r="F477" s="49" t="n"/>
      <c r="G477" s="37" t="n"/>
    </row>
    <row r="478">
      <c r="A478" s="48" t="n"/>
      <c r="B478" s="37" t="n"/>
      <c r="C478" s="37" t="n"/>
      <c r="D478" s="37" t="n"/>
      <c r="E478" s="37" t="n"/>
      <c r="F478" s="49" t="n"/>
      <c r="G478" s="37" t="n"/>
    </row>
    <row r="479">
      <c r="A479" s="48" t="n"/>
      <c r="B479" s="37" t="n"/>
      <c r="C479" s="37" t="n"/>
      <c r="D479" s="37" t="n"/>
      <c r="E479" s="37" t="n"/>
      <c r="F479" s="49" t="n"/>
      <c r="G479" s="37" t="n"/>
    </row>
    <row r="480">
      <c r="A480" s="48" t="n"/>
      <c r="B480" s="37" t="n"/>
      <c r="C480" s="37" t="n"/>
      <c r="D480" s="37" t="n"/>
      <c r="E480" s="37" t="n"/>
      <c r="F480" s="49" t="n"/>
      <c r="G480" s="37" t="n"/>
    </row>
    <row r="481">
      <c r="A481" s="48" t="n"/>
      <c r="B481" s="37" t="n"/>
      <c r="C481" s="37" t="n"/>
      <c r="D481" s="37" t="n"/>
      <c r="E481" s="37" t="n"/>
      <c r="F481" s="49" t="n"/>
      <c r="G481" s="37" t="n"/>
    </row>
    <row r="482">
      <c r="A482" s="48" t="n"/>
      <c r="B482" s="37" t="n"/>
      <c r="C482" s="37" t="n"/>
      <c r="D482" s="37" t="n"/>
      <c r="E482" s="37" t="n"/>
      <c r="F482" s="49" t="n"/>
      <c r="G482" s="37" t="n"/>
    </row>
    <row r="483">
      <c r="A483" s="48" t="n"/>
      <c r="B483" s="37" t="n"/>
      <c r="C483" s="37" t="n"/>
      <c r="D483" s="37" t="n"/>
      <c r="E483" s="37" t="n"/>
      <c r="F483" s="49" t="n"/>
      <c r="G483" s="37" t="n"/>
    </row>
    <row r="484">
      <c r="A484" s="48" t="n"/>
      <c r="B484" s="37" t="n"/>
      <c r="C484" s="37" t="n"/>
      <c r="D484" s="37" t="n"/>
      <c r="E484" s="37" t="n"/>
      <c r="F484" s="49" t="n"/>
      <c r="G484" s="37" t="n"/>
    </row>
    <row r="485">
      <c r="A485" s="48" t="n"/>
      <c r="B485" s="37" t="n"/>
      <c r="C485" s="37" t="n"/>
      <c r="D485" s="37" t="n"/>
      <c r="E485" s="37" t="n"/>
      <c r="F485" s="49" t="n"/>
      <c r="G485" s="37" t="n"/>
    </row>
    <row r="486">
      <c r="A486" s="48" t="n"/>
      <c r="B486" s="37" t="n"/>
      <c r="C486" s="37" t="n"/>
      <c r="D486" s="37" t="n"/>
      <c r="E486" s="37" t="n"/>
      <c r="F486" s="49" t="n"/>
      <c r="G486" s="37" t="n"/>
    </row>
    <row r="487">
      <c r="A487" s="48" t="n"/>
      <c r="B487" s="37" t="n"/>
      <c r="C487" s="37" t="n"/>
      <c r="D487" s="37" t="n"/>
      <c r="E487" s="37" t="n"/>
      <c r="F487" s="49" t="n"/>
      <c r="G487" s="37" t="n"/>
    </row>
    <row r="488">
      <c r="A488" s="48" t="n"/>
      <c r="B488" s="37" t="n"/>
      <c r="C488" s="37" t="n"/>
      <c r="D488" s="37" t="n"/>
      <c r="E488" s="37" t="n"/>
      <c r="F488" s="49" t="n"/>
      <c r="G488" s="37" t="n"/>
    </row>
    <row r="489">
      <c r="A489" s="48" t="n"/>
      <c r="B489" s="37" t="n"/>
      <c r="C489" s="37" t="n"/>
      <c r="D489" s="37" t="n"/>
      <c r="E489" s="37" t="n"/>
      <c r="F489" s="49" t="n"/>
      <c r="G489" s="37" t="n"/>
    </row>
    <row r="490">
      <c r="A490" s="48" t="n"/>
      <c r="B490" s="37" t="n"/>
      <c r="C490" s="37" t="n"/>
      <c r="D490" s="37" t="n"/>
      <c r="E490" s="37" t="n"/>
      <c r="F490" s="49" t="n"/>
      <c r="G490" s="37" t="n"/>
    </row>
    <row r="491">
      <c r="A491" s="48" t="n"/>
      <c r="B491" s="37" t="n"/>
      <c r="C491" s="37" t="n"/>
      <c r="D491" s="37" t="n"/>
      <c r="E491" s="37" t="n"/>
      <c r="F491" s="49" t="n"/>
      <c r="G491" s="37" t="n"/>
    </row>
    <row r="492">
      <c r="A492" s="48" t="n"/>
      <c r="B492" s="37" t="n"/>
      <c r="C492" s="37" t="n"/>
      <c r="D492" s="37" t="n"/>
      <c r="E492" s="37" t="n"/>
      <c r="F492" s="49" t="n"/>
      <c r="G492" s="37" t="n"/>
    </row>
    <row r="493">
      <c r="A493" s="48" t="n"/>
      <c r="B493" s="37" t="n"/>
      <c r="C493" s="37" t="n"/>
      <c r="D493" s="37" t="n"/>
      <c r="E493" s="37" t="n"/>
      <c r="F493" s="49" t="n"/>
      <c r="G493" s="37" t="n"/>
    </row>
    <row r="494">
      <c r="A494" s="48" t="n"/>
      <c r="B494" s="37" t="n"/>
      <c r="C494" s="37" t="n"/>
      <c r="D494" s="37" t="n"/>
      <c r="E494" s="37" t="n"/>
      <c r="F494" s="49" t="n"/>
      <c r="G494" s="37" t="n"/>
    </row>
    <row r="495">
      <c r="A495" s="48" t="n"/>
      <c r="B495" s="37" t="n"/>
      <c r="C495" s="37" t="n"/>
      <c r="D495" s="37" t="n"/>
      <c r="E495" s="37" t="n"/>
      <c r="F495" s="49" t="n"/>
      <c r="G495" s="37" t="n"/>
    </row>
    <row r="496">
      <c r="A496" s="48" t="n"/>
      <c r="B496" s="37" t="n"/>
      <c r="C496" s="37" t="n"/>
      <c r="D496" s="37" t="n"/>
      <c r="E496" s="37" t="n"/>
      <c r="F496" s="49" t="n"/>
      <c r="G496" s="37" t="n"/>
    </row>
    <row r="497">
      <c r="A497" s="48" t="n"/>
      <c r="B497" s="37" t="n"/>
      <c r="C497" s="37" t="n"/>
      <c r="D497" s="37" t="n"/>
      <c r="E497" s="37" t="n"/>
      <c r="F497" s="49" t="n"/>
      <c r="G497" s="37" t="n"/>
    </row>
    <row r="498">
      <c r="A498" s="48" t="n"/>
      <c r="B498" s="37" t="n"/>
      <c r="C498" s="37" t="n"/>
      <c r="D498" s="37" t="n"/>
      <c r="E498" s="37" t="n"/>
      <c r="F498" s="49" t="n"/>
      <c r="G498" s="37" t="n"/>
    </row>
    <row r="499">
      <c r="A499" s="48" t="n"/>
      <c r="B499" s="37" t="n"/>
      <c r="C499" s="37" t="n"/>
      <c r="D499" s="37" t="n"/>
      <c r="E499" s="37" t="n"/>
      <c r="F499" s="49" t="n"/>
      <c r="G499" s="37" t="n"/>
    </row>
    <row r="500">
      <c r="A500" s="48" t="n"/>
      <c r="B500" s="37" t="n"/>
      <c r="C500" s="37" t="n"/>
      <c r="D500" s="37" t="n"/>
      <c r="E500" s="37" t="n"/>
      <c r="F500" s="49" t="n"/>
      <c r="G500" s="37" t="n"/>
    </row>
    <row r="501">
      <c r="A501" s="48" t="n"/>
      <c r="B501" s="37" t="n"/>
      <c r="C501" s="37" t="n"/>
      <c r="D501" s="37" t="n"/>
      <c r="E501" s="37" t="n"/>
      <c r="F501" s="49" t="n"/>
      <c r="G501" s="37" t="n"/>
    </row>
    <row r="502">
      <c r="A502" s="48" t="n"/>
      <c r="B502" s="37" t="n"/>
      <c r="C502" s="37" t="n"/>
      <c r="D502" s="37" t="n"/>
      <c r="E502" s="37" t="n"/>
      <c r="F502" s="49" t="n"/>
      <c r="G502" s="37" t="n"/>
    </row>
    <row r="503">
      <c r="A503" s="48" t="n"/>
      <c r="B503" s="37" t="n"/>
      <c r="C503" s="37" t="n"/>
      <c r="D503" s="37" t="n"/>
      <c r="E503" s="37" t="n"/>
      <c r="F503" s="49" t="n"/>
      <c r="G503" s="37" t="n"/>
    </row>
    <row r="504">
      <c r="A504" s="48" t="n"/>
      <c r="B504" s="37" t="n"/>
      <c r="C504" s="37" t="n"/>
      <c r="D504" s="37" t="n"/>
      <c r="E504" s="37" t="n"/>
      <c r="F504" s="49" t="n"/>
      <c r="G504" s="37" t="n"/>
    </row>
    <row r="505">
      <c r="A505" s="48" t="n"/>
      <c r="B505" s="37" t="n"/>
      <c r="C505" s="37" t="n"/>
      <c r="D505" s="37" t="n"/>
      <c r="E505" s="37" t="n"/>
      <c r="F505" s="49" t="n"/>
      <c r="G505" s="37" t="n"/>
    </row>
    <row r="506">
      <c r="A506" s="48" t="n"/>
      <c r="B506" s="37" t="n"/>
      <c r="C506" s="37" t="n"/>
      <c r="D506" s="37" t="n"/>
      <c r="E506" s="37" t="n"/>
      <c r="F506" s="49" t="n"/>
      <c r="G506" s="37" t="n"/>
    </row>
  </sheetData>
  <mergeCells count="4">
    <mergeCell ref="J2:L2"/>
    <mergeCell ref="D2:I2"/>
    <mergeCell ref="A2:C2"/>
    <mergeCell ref="A4:L4"/>
  </mergeCells>
  <dataValidations count="3">
    <dataValidation sqref="B6:B506" showDropDown="0" showInputMessage="0" showErrorMessage="0" allowBlank="1" type="list">
      <formula1>='Scorecard Dashboard'!$A$18:$A$27</formula1>
    </dataValidation>
    <dataValidation sqref="C6:C506" showDropDown="0" showInputMessage="0" showErrorMessage="0" allowBlank="1" type="list">
      <formula1>='Cleaner Roster'!$A$6:$A$25</formula1>
    </dataValidation>
    <dataValidation sqref="F6:F506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HYPERLINK("#'Turnover Log'!A1", "← BACK")</f>
        <v/>
      </c>
      <c r="B2" s="12" t="n"/>
      <c r="C2" s="12" t="n"/>
      <c r="D2" s="43" t="inlineStr">
        <is>
          <t>SCORECARD DASHBOARD</t>
        </is>
      </c>
      <c r="J2" s="44">
        <f>HYPERLINK("#'Cleaner Roster'!A1", "NEXT →")</f>
        <v/>
      </c>
      <c r="K2" s="45" t="n"/>
      <c r="L2" s="4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46" t="inlineStr">
        <is>
          <t>Rolling metrics per cleaner — auto-calculated from the Turnover Log</t>
        </is>
      </c>
    </row>
    <row r="5" ht="20" customHeight="1">
      <c r="A5" s="47" t="inlineStr">
        <is>
          <t>Cleaner</t>
        </is>
      </c>
      <c r="B5" s="47" t="inlineStr">
        <is>
          <t>Turnovers</t>
        </is>
      </c>
      <c r="C5" s="47" t="inlineStr">
        <is>
          <t>Avg Score</t>
        </is>
      </c>
      <c r="D5" s="47" t="inlineStr">
        <is>
          <t>Issue Rate</t>
        </is>
      </c>
      <c r="E5" s="47" t="inlineStr">
        <is>
          <t>Rank</t>
        </is>
      </c>
    </row>
    <row r="6" ht="16" customHeight="1">
      <c r="A6" s="50" t="inlineStr">
        <is>
          <t>Sarah — Smokies Clean</t>
        </is>
      </c>
      <c r="B6" s="51">
        <f>IF(A6="","",COUNTIF('Turnover Log'!C:C,A6))</f>
        <v/>
      </c>
      <c r="C6" s="52">
        <f>IF(A6="","",IFERROR(AVERAGEIF('Turnover Log'!C:C,A6,'Turnover Log'!D:D),0))</f>
        <v/>
      </c>
      <c r="D6" s="53">
        <f>IF(A6="","",IFERROR(COUNTIFS('Turnover Log'!C:C,A6,'Turnover Log'!F:F,"Yes")/COUNTIF('Turnover Log'!C:C,A6),0))</f>
        <v/>
      </c>
      <c r="E6" s="51">
        <f>IF(OR(A6="",B6=0),"",RANK.EQ(C6,$C$6:$C$15,0))</f>
        <v/>
      </c>
    </row>
    <row r="7" ht="16" customHeight="1">
      <c r="A7" s="50" t="inlineStr">
        <is>
          <t>Miguel — Ridge Housekeeping</t>
        </is>
      </c>
      <c r="B7" s="51">
        <f>IF(A7="","",COUNTIF('Turnover Log'!C:C,A7))</f>
        <v/>
      </c>
      <c r="C7" s="52">
        <f>IF(A7="","",IFERROR(AVERAGEIF('Turnover Log'!C:C,A7,'Turnover Log'!D:D),0))</f>
        <v/>
      </c>
      <c r="D7" s="53">
        <f>IF(A7="","",IFERROR(COUNTIFS('Turnover Log'!C:C,A7,'Turnover Log'!F:F,"Yes")/COUNTIF('Turnover Log'!C:C,A7),0))</f>
        <v/>
      </c>
      <c r="E7" s="51">
        <f>IF(OR(A7="",B7=0),"",RANK.EQ(C7,$C$6:$C$15,0))</f>
        <v/>
      </c>
    </row>
    <row r="8" ht="16" customHeight="1">
      <c r="A8" s="50" t="inlineStr">
        <is>
          <t>Jamie — Solo</t>
        </is>
      </c>
      <c r="B8" s="51">
        <f>IF(A8="","",COUNTIF('Turnover Log'!C:C,A8))</f>
        <v/>
      </c>
      <c r="C8" s="52">
        <f>IF(A8="","",IFERROR(AVERAGEIF('Turnover Log'!C:C,A8,'Turnover Log'!D:D),0))</f>
        <v/>
      </c>
      <c r="D8" s="53">
        <f>IF(A8="","",IFERROR(COUNTIFS('Turnover Log'!C:C,A8,'Turnover Log'!F:F,"Yes")/COUNTIF('Turnover Log'!C:C,A8),0))</f>
        <v/>
      </c>
      <c r="E8" s="51">
        <f>IF(OR(A8="",B8=0),"",RANK.EQ(C8,$C$6:$C$15,0))</f>
        <v/>
      </c>
    </row>
    <row r="9" ht="16" customHeight="1">
      <c r="B9" s="51">
        <f>IF(A9="","",COUNTIF('Turnover Log'!C:C,A9))</f>
        <v/>
      </c>
      <c r="C9" s="52">
        <f>IF(A9="","",IFERROR(AVERAGEIF('Turnover Log'!C:C,A9,'Turnover Log'!D:D),0))</f>
        <v/>
      </c>
      <c r="D9" s="53">
        <f>IF(A9="","",IFERROR(COUNTIFS('Turnover Log'!C:C,A9,'Turnover Log'!F:F,"Yes")/COUNTIF('Turnover Log'!C:C,A9),0))</f>
        <v/>
      </c>
      <c r="E9" s="51">
        <f>IF(OR(A9="",B9=0),"",RANK.EQ(C9,$C$6:$C$15,0))</f>
        <v/>
      </c>
    </row>
    <row r="10" ht="16" customHeight="1">
      <c r="B10" s="51">
        <f>IF(A10="","",COUNTIF('Turnover Log'!C:C,A10))</f>
        <v/>
      </c>
      <c r="C10" s="52">
        <f>IF(A10="","",IFERROR(AVERAGEIF('Turnover Log'!C:C,A10,'Turnover Log'!D:D),0))</f>
        <v/>
      </c>
      <c r="D10" s="53">
        <f>IF(A10="","",IFERROR(COUNTIFS('Turnover Log'!C:C,A10,'Turnover Log'!F:F,"Yes")/COUNTIF('Turnover Log'!C:C,A10),0))</f>
        <v/>
      </c>
      <c r="E10" s="51">
        <f>IF(OR(A10="",B10=0),"",RANK.EQ(C10,$C$6:$C$15,0))</f>
        <v/>
      </c>
    </row>
    <row r="11" ht="16" customHeight="1">
      <c r="B11" s="51">
        <f>IF(A11="","",COUNTIF('Turnover Log'!C:C,A11))</f>
        <v/>
      </c>
      <c r="C11" s="52">
        <f>IF(A11="","",IFERROR(AVERAGEIF('Turnover Log'!C:C,A11,'Turnover Log'!D:D),0))</f>
        <v/>
      </c>
      <c r="D11" s="53">
        <f>IF(A11="","",IFERROR(COUNTIFS('Turnover Log'!C:C,A11,'Turnover Log'!F:F,"Yes")/COUNTIF('Turnover Log'!C:C,A11),0))</f>
        <v/>
      </c>
      <c r="E11" s="51">
        <f>IF(OR(A11="",B11=0),"",RANK.EQ(C11,$C$6:$C$15,0))</f>
        <v/>
      </c>
    </row>
    <row r="12" ht="16" customHeight="1">
      <c r="B12" s="51">
        <f>IF(A12="","",COUNTIF('Turnover Log'!C:C,A12))</f>
        <v/>
      </c>
      <c r="C12" s="52">
        <f>IF(A12="","",IFERROR(AVERAGEIF('Turnover Log'!C:C,A12,'Turnover Log'!D:D),0))</f>
        <v/>
      </c>
      <c r="D12" s="53">
        <f>IF(A12="","",IFERROR(COUNTIFS('Turnover Log'!C:C,A12,'Turnover Log'!F:F,"Yes")/COUNTIF('Turnover Log'!C:C,A12),0))</f>
        <v/>
      </c>
      <c r="E12" s="51">
        <f>IF(OR(A12="",B12=0),"",RANK.EQ(C12,$C$6:$C$15,0))</f>
        <v/>
      </c>
    </row>
    <row r="13" ht="16" customHeight="1">
      <c r="B13" s="51">
        <f>IF(A13="","",COUNTIF('Turnover Log'!C:C,A13))</f>
        <v/>
      </c>
      <c r="C13" s="52">
        <f>IF(A13="","",IFERROR(AVERAGEIF('Turnover Log'!C:C,A13,'Turnover Log'!D:D),0))</f>
        <v/>
      </c>
      <c r="D13" s="53">
        <f>IF(A13="","",IFERROR(COUNTIFS('Turnover Log'!C:C,A13,'Turnover Log'!F:F,"Yes")/COUNTIF('Turnover Log'!C:C,A13),0))</f>
        <v/>
      </c>
      <c r="E13" s="51">
        <f>IF(OR(A13="",B13=0),"",RANK.EQ(C13,$C$6:$C$15,0))</f>
        <v/>
      </c>
    </row>
    <row r="14" ht="16" customHeight="1">
      <c r="B14" s="51">
        <f>IF(A14="","",COUNTIF('Turnover Log'!C:C,A14))</f>
        <v/>
      </c>
      <c r="C14" s="52">
        <f>IF(A14="","",IFERROR(AVERAGEIF('Turnover Log'!C:C,A14,'Turnover Log'!D:D),0))</f>
        <v/>
      </c>
      <c r="D14" s="53">
        <f>IF(A14="","",IFERROR(COUNTIFS('Turnover Log'!C:C,A14,'Turnover Log'!F:F,"Yes")/COUNTIF('Turnover Log'!C:C,A14),0))</f>
        <v/>
      </c>
      <c r="E14" s="51">
        <f>IF(OR(A14="",B14=0),"",RANK.EQ(C14,$C$6:$C$15,0))</f>
        <v/>
      </c>
    </row>
    <row r="15" ht="16" customHeight="1">
      <c r="B15" s="51">
        <f>IF(A15="","",COUNTIF('Turnover Log'!C:C,A15))</f>
        <v/>
      </c>
      <c r="C15" s="52">
        <f>IF(A15="","",IFERROR(AVERAGEIF('Turnover Log'!C:C,A15,'Turnover Log'!D:D),0))</f>
        <v/>
      </c>
      <c r="D15" s="53">
        <f>IF(A15="","",IFERROR(COUNTIFS('Turnover Log'!C:C,A15,'Turnover Log'!F:F,"Yes")/COUNTIF('Turnover Log'!C:C,A15),0))</f>
        <v/>
      </c>
      <c r="E15" s="51">
        <f>IF(OR(A15="",B15=0),"",RANK.EQ(C15,$C$6:$C$15,0))</f>
        <v/>
      </c>
    </row>
    <row r="16" ht="10" customHeight="1"/>
    <row r="17" ht="20" customHeight="1">
      <c r="A17" s="54" t="inlineStr">
        <is>
          <t>Properties (source for Turnover Log dropdown):</t>
        </is>
      </c>
    </row>
    <row r="18" ht="16" customHeight="1">
      <c r="A18" s="37" t="inlineStr">
        <is>
          <t>Smokies Ridge</t>
        </is>
      </c>
    </row>
    <row r="19" ht="16" customHeight="1">
      <c r="A19" s="37" t="inlineStr">
        <is>
          <t>Creek Side</t>
        </is>
      </c>
    </row>
    <row r="20" ht="16" customHeight="1">
      <c r="A20" s="37" t="inlineStr">
        <is>
          <t>Lakehouse A</t>
        </is>
      </c>
    </row>
    <row r="21" ht="16" customHeight="1">
      <c r="A21" s="37" t="inlineStr">
        <is>
          <t>Lakehouse B</t>
        </is>
      </c>
    </row>
    <row r="22" ht="16" customHeight="1">
      <c r="A22" s="37" t="inlineStr">
        <is>
          <t>Mountain View</t>
        </is>
      </c>
    </row>
    <row r="23" ht="16" customHeight="1">
      <c r="A23" s="37" t="inlineStr">
        <is>
          <t>Downtown Loft</t>
        </is>
      </c>
    </row>
    <row r="24" ht="16" customHeight="1">
      <c r="A24" s="37" t="n"/>
    </row>
    <row r="25" ht="16" customHeight="1">
      <c r="A25" s="37" t="n"/>
    </row>
    <row r="26" ht="16" customHeight="1">
      <c r="A26" s="37" t="n"/>
    </row>
    <row r="27" ht="16" customHeight="1">
      <c r="A27" s="37" t="n"/>
    </row>
  </sheetData>
  <mergeCells count="4">
    <mergeCell ref="J2:L2"/>
    <mergeCell ref="D2:I2"/>
    <mergeCell ref="A2:C2"/>
    <mergeCell ref="A4:L4"/>
  </mergeCells>
  <conditionalFormatting sqref="C6:C15">
    <cfRule type="cellIs" priority="1" operator="greaterThanOrEqual" dxfId="0">
      <formula>47.84</formula>
    </cfRule>
    <cfRule type="cellIs" priority="2" operator="between" dxfId="1">
      <formula>43.16</formula>
      <formula>47.83</formula>
    </cfRule>
    <cfRule type="cellIs" priority="3" operator="between" dxfId="2">
      <formula>0.01</formula>
      <formula>43.15</formula>
    </cfRule>
  </conditionalFormatting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2" customWidth="1" min="4" max="4"/>
    <col width="14" customWidth="1" min="5" max="5"/>
    <col width="40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HYPERLINK("#'Scorecard Dashboard'!A1", "← BACK")</f>
        <v/>
      </c>
      <c r="B2" s="12" t="n"/>
      <c r="C2" s="12" t="n"/>
      <c r="D2" s="43" t="inlineStr">
        <is>
          <t>CLEANER ROSTER</t>
        </is>
      </c>
      <c r="J2" s="44">
        <f>HYPERLINK("#'Supplies Par Levels'!A1", "NEXT →")</f>
        <v/>
      </c>
      <c r="K2" s="45" t="n"/>
      <c r="L2" s="4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46" t="inlineStr">
        <is>
          <t>Your team in one place — feeds the Turnover Log dropdown</t>
        </is>
      </c>
    </row>
    <row r="5" ht="20" customHeight="1">
      <c r="A5" s="47" t="inlineStr">
        <is>
          <t>Name</t>
        </is>
      </c>
      <c r="B5" s="47" t="inlineStr">
        <is>
          <t>Phone</t>
        </is>
      </c>
      <c r="C5" s="47" t="inlineStr">
        <is>
          <t>Email</t>
        </is>
      </c>
      <c r="D5" s="47" t="inlineStr">
        <is>
          <t>Pay Rate</t>
        </is>
      </c>
      <c r="E5" s="47" t="inlineStr">
        <is>
          <t>Start Date</t>
        </is>
      </c>
      <c r="F5" s="47" t="inlineStr">
        <is>
          <t>Notes</t>
        </is>
      </c>
    </row>
    <row r="6" ht="16" customHeight="1">
      <c r="A6" s="37" t="inlineStr">
        <is>
          <t>Sarah — Smokies Clean</t>
        </is>
      </c>
      <c r="B6" s="37" t="inlineStr">
        <is>
          <t>(865) 555-0145</t>
        </is>
      </c>
      <c r="C6" s="37" t="inlineStr">
        <is>
          <t>sarah@smokiesclean.com</t>
        </is>
      </c>
      <c r="D6" s="55" t="n">
        <v>45</v>
      </c>
      <c r="E6" s="48" t="n">
        <v>45809</v>
      </c>
      <c r="F6" s="37" t="inlineStr">
        <is>
          <t>Flat rate per turnover; reliable</t>
        </is>
      </c>
    </row>
    <row r="7" ht="16" customHeight="1">
      <c r="A7" s="37" t="inlineStr">
        <is>
          <t>Miguel — Ridge Housekeeping</t>
        </is>
      </c>
      <c r="B7" s="37" t="inlineStr">
        <is>
          <t>(865) 555-0177</t>
        </is>
      </c>
      <c r="C7" s="37" t="inlineStr">
        <is>
          <t>miguel@ridgehk.com</t>
        </is>
      </c>
      <c r="D7" s="55" t="n">
        <v>40</v>
      </c>
      <c r="E7" s="48" t="n">
        <v>45884</v>
      </c>
      <c r="F7" s="37" t="inlineStr">
        <is>
          <t>Team of 2; can handle back-to-back</t>
        </is>
      </c>
    </row>
    <row r="8" ht="16" customHeight="1">
      <c r="A8" s="37" t="inlineStr">
        <is>
          <t>Jamie — Solo</t>
        </is>
      </c>
      <c r="B8" s="37" t="inlineStr">
        <is>
          <t>(865) 555-0192</t>
        </is>
      </c>
      <c r="C8" s="37" t="inlineStr">
        <is>
          <t>jamie.cleans@gmail.com</t>
        </is>
      </c>
      <c r="D8" s="55" t="n">
        <v>35</v>
      </c>
      <c r="E8" s="48" t="n">
        <v>46032</v>
      </c>
      <c r="F8" s="37" t="inlineStr">
        <is>
          <t>New — still ramping</t>
        </is>
      </c>
    </row>
    <row r="9" ht="16" customHeight="1">
      <c r="A9" s="37" t="n"/>
      <c r="B9" s="37" t="n"/>
      <c r="C9" s="37" t="n"/>
      <c r="D9" s="55" t="n"/>
      <c r="E9" s="48" t="n"/>
      <c r="F9" s="37" t="n"/>
    </row>
    <row r="10" ht="16" customHeight="1">
      <c r="A10" s="37" t="n"/>
      <c r="B10" s="37" t="n"/>
      <c r="C10" s="37" t="n"/>
      <c r="D10" s="55" t="n"/>
      <c r="E10" s="48" t="n"/>
      <c r="F10" s="37" t="n"/>
    </row>
    <row r="11" ht="16" customHeight="1">
      <c r="A11" s="37" t="n"/>
      <c r="B11" s="37" t="n"/>
      <c r="C11" s="37" t="n"/>
      <c r="D11" s="55" t="n"/>
      <c r="E11" s="48" t="n"/>
      <c r="F11" s="37" t="n"/>
    </row>
    <row r="12" ht="16" customHeight="1">
      <c r="A12" s="37" t="n"/>
      <c r="B12" s="37" t="n"/>
      <c r="C12" s="37" t="n"/>
      <c r="D12" s="55" t="n"/>
      <c r="E12" s="48" t="n"/>
      <c r="F12" s="37" t="n"/>
    </row>
    <row r="13" ht="16" customHeight="1">
      <c r="A13" s="37" t="n"/>
      <c r="B13" s="37" t="n"/>
      <c r="C13" s="37" t="n"/>
      <c r="D13" s="55" t="n"/>
      <c r="E13" s="48" t="n"/>
      <c r="F13" s="37" t="n"/>
    </row>
    <row r="14" ht="16" customHeight="1">
      <c r="A14" s="37" t="n"/>
      <c r="B14" s="37" t="n"/>
      <c r="C14" s="37" t="n"/>
      <c r="D14" s="55" t="n"/>
      <c r="E14" s="48" t="n"/>
      <c r="F14" s="37" t="n"/>
    </row>
    <row r="15" ht="16" customHeight="1">
      <c r="A15" s="37" t="n"/>
      <c r="B15" s="37" t="n"/>
      <c r="C15" s="37" t="n"/>
      <c r="D15" s="55" t="n"/>
      <c r="E15" s="48" t="n"/>
      <c r="F15" s="37" t="n"/>
    </row>
    <row r="16" ht="16" customHeight="1">
      <c r="A16" s="37" t="n"/>
      <c r="B16" s="37" t="n"/>
      <c r="C16" s="37" t="n"/>
      <c r="D16" s="55" t="n"/>
      <c r="E16" s="48" t="n"/>
      <c r="F16" s="37" t="n"/>
    </row>
    <row r="17" ht="16" customHeight="1">
      <c r="A17" s="37" t="n"/>
      <c r="B17" s="37" t="n"/>
      <c r="C17" s="37" t="n"/>
      <c r="D17" s="55" t="n"/>
      <c r="E17" s="48" t="n"/>
      <c r="F17" s="37" t="n"/>
    </row>
    <row r="18" ht="16" customHeight="1">
      <c r="A18" s="37" t="n"/>
      <c r="B18" s="37" t="n"/>
      <c r="C18" s="37" t="n"/>
      <c r="D18" s="55" t="n"/>
      <c r="E18" s="48" t="n"/>
      <c r="F18" s="37" t="n"/>
    </row>
    <row r="19" ht="16" customHeight="1">
      <c r="A19" s="37" t="n"/>
      <c r="B19" s="37" t="n"/>
      <c r="C19" s="37" t="n"/>
      <c r="D19" s="55" t="n"/>
      <c r="E19" s="48" t="n"/>
      <c r="F19" s="37" t="n"/>
    </row>
    <row r="20" ht="16" customHeight="1">
      <c r="A20" s="37" t="n"/>
      <c r="B20" s="37" t="n"/>
      <c r="C20" s="37" t="n"/>
      <c r="D20" s="55" t="n"/>
      <c r="E20" s="48" t="n"/>
      <c r="F20" s="37" t="n"/>
    </row>
    <row r="21" ht="16" customHeight="1">
      <c r="A21" s="37" t="n"/>
      <c r="B21" s="37" t="n"/>
      <c r="C21" s="37" t="n"/>
      <c r="D21" s="55" t="n"/>
      <c r="E21" s="48" t="n"/>
      <c r="F21" s="37" t="n"/>
    </row>
    <row r="22" ht="16" customHeight="1">
      <c r="A22" s="37" t="n"/>
      <c r="B22" s="37" t="n"/>
      <c r="C22" s="37" t="n"/>
      <c r="D22" s="55" t="n"/>
      <c r="E22" s="48" t="n"/>
      <c r="F22" s="37" t="n"/>
    </row>
    <row r="23" ht="16" customHeight="1">
      <c r="A23" s="37" t="n"/>
      <c r="B23" s="37" t="n"/>
      <c r="C23" s="37" t="n"/>
      <c r="D23" s="55" t="n"/>
      <c r="E23" s="48" t="n"/>
      <c r="F23" s="37" t="n"/>
    </row>
    <row r="24" ht="16" customHeight="1">
      <c r="A24" s="37" t="n"/>
      <c r="B24" s="37" t="n"/>
      <c r="C24" s="37" t="n"/>
      <c r="D24" s="55" t="n"/>
      <c r="E24" s="48" t="n"/>
      <c r="F24" s="37" t="n"/>
    </row>
    <row r="25" ht="16" customHeight="1">
      <c r="A25" s="37" t="n"/>
      <c r="B25" s="37" t="n"/>
      <c r="C25" s="37" t="n"/>
      <c r="D25" s="55" t="n"/>
      <c r="E25" s="48" t="n"/>
      <c r="F25" s="37" t="n"/>
    </row>
  </sheetData>
  <mergeCells count="4">
    <mergeCell ref="J2:L2"/>
    <mergeCell ref="D2:I2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HYPERLINK("#'Cleaner Roster'!A1", "← BACK")</f>
        <v/>
      </c>
      <c r="B2" s="12" t="n"/>
      <c r="C2" s="12" t="n"/>
      <c r="D2" s="43" t="inlineStr">
        <is>
          <t>SUPPLIES PAR LEVELS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46" t="inlineStr">
        <is>
          <t>Per-property stock targets — makes par-checks objective</t>
        </is>
      </c>
    </row>
    <row r="5" ht="20" customHeight="1">
      <c r="A5" s="47" t="inlineStr">
        <is>
          <t>Property</t>
        </is>
      </c>
      <c r="B5" s="47" t="inlineStr">
        <is>
          <t>Coffee pods</t>
        </is>
      </c>
      <c r="C5" s="47" t="inlineStr">
        <is>
          <t>Paper towels</t>
        </is>
      </c>
      <c r="D5" s="47" t="inlineStr">
        <is>
          <t>TP rolls</t>
        </is>
      </c>
      <c r="E5" s="47" t="inlineStr">
        <is>
          <t>Dish pods</t>
        </is>
      </c>
      <c r="F5" s="47" t="inlineStr">
        <is>
          <t>Laundry pods</t>
        </is>
      </c>
      <c r="G5" s="47" t="inlineStr">
        <is>
          <t>Shampoo</t>
        </is>
      </c>
      <c r="H5" s="47" t="inlineStr">
        <is>
          <t>Body wash</t>
        </is>
      </c>
      <c r="I5" s="47" t="inlineStr">
        <is>
          <t>Trash bags</t>
        </is>
      </c>
      <c r="J5" s="47" t="inlineStr">
        <is>
          <t>Snacks</t>
        </is>
      </c>
    </row>
    <row r="6" ht="16" customHeight="1">
      <c r="A6" s="37" t="inlineStr">
        <is>
          <t>Smokies Ridge</t>
        </is>
      </c>
      <c r="B6" s="37" t="n">
        <v>12</v>
      </c>
      <c r="C6" s="37" t="n">
        <v>4</v>
      </c>
      <c r="D6" s="37" t="n">
        <v>8</v>
      </c>
      <c r="E6" s="37" t="n">
        <v>30</v>
      </c>
      <c r="F6" s="37" t="n">
        <v>12</v>
      </c>
      <c r="G6" s="37" t="n">
        <v>3</v>
      </c>
      <c r="H6" s="37" t="n">
        <v>3</v>
      </c>
      <c r="I6" s="37" t="n">
        <v>20</v>
      </c>
      <c r="J6" s="37" t="n">
        <v>0</v>
      </c>
    </row>
    <row r="7" ht="16" customHeight="1">
      <c r="A7" s="37" t="inlineStr">
        <is>
          <t>Creek Side</t>
        </is>
      </c>
      <c r="B7" s="37" t="n">
        <v>10</v>
      </c>
      <c r="C7" s="37" t="n">
        <v>3</v>
      </c>
      <c r="D7" s="37" t="n">
        <v>6</v>
      </c>
      <c r="E7" s="37" t="n">
        <v>20</v>
      </c>
      <c r="F7" s="37" t="n">
        <v>10</v>
      </c>
      <c r="G7" s="37" t="n">
        <v>2</v>
      </c>
      <c r="H7" s="37" t="n">
        <v>2</v>
      </c>
      <c r="I7" s="37" t="n">
        <v>15</v>
      </c>
      <c r="J7" s="37" t="n">
        <v>0</v>
      </c>
    </row>
    <row r="8" ht="16" customHeight="1">
      <c r="A8" s="37" t="inlineStr">
        <is>
          <t>Lakehouse A</t>
        </is>
      </c>
      <c r="B8" s="37" t="n">
        <v>15</v>
      </c>
      <c r="C8" s="37" t="n">
        <v>4</v>
      </c>
      <c r="D8" s="37" t="n">
        <v>10</v>
      </c>
      <c r="E8" s="37" t="n">
        <v>30</v>
      </c>
      <c r="F8" s="37" t="n">
        <v>15</v>
      </c>
      <c r="G8" s="37" t="n">
        <v>4</v>
      </c>
      <c r="H8" s="37" t="n">
        <v>4</v>
      </c>
      <c r="I8" s="37" t="n">
        <v>25</v>
      </c>
      <c r="J8" s="37" t="n">
        <v>6</v>
      </c>
    </row>
    <row r="9" ht="16" customHeight="1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</row>
    <row r="10" ht="16" customHeight="1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</row>
    <row r="11" ht="16" customHeight="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</row>
    <row r="12" ht="16" customHeight="1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</row>
    <row r="13" ht="16" customHeight="1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</row>
    <row r="14" ht="16" customHeight="1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</row>
    <row r="15" ht="16" customHeight="1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</row>
  </sheetData>
  <mergeCells count="3">
    <mergeCell ref="D2:L2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Cleaner Turnover Checklist + Scorecard (DEMO) — The STR Ledger</dc:title>
  <dc:description xmlns:dc="http://purl.org/dc/elements/1.1/">Printable cleaner checklist + rolling cleaner scorecard for STR hosts (v2.3).</dc:description>
  <dcterms:created xmlns:dcterms="http://purl.org/dc/terms/" xmlns:xsi="http://www.w3.org/2001/XMLSchema-instance" xsi:type="dcterms:W3CDTF">2026-05-03T19:06:31Z</dcterms:created>
  <dcterms:modified xmlns:dcterms="http://purl.org/dc/terms/" xmlns:xsi="http://www.w3.org/2001/XMLSchema-instance" xsi:type="dcterms:W3CDTF">2026-05-03T19:06:31Z</dcterms:modified>
</cp:coreProperties>
</file>