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§1 Eligibility" sheetId="2" state="visible" r:id="rId2"/>
    <sheet xmlns:r="http://schemas.openxmlformats.org/officeDocument/2006/relationships" name="§2 Income" sheetId="3" state="visible" r:id="rId3"/>
    <sheet xmlns:r="http://schemas.openxmlformats.org/officeDocument/2006/relationships" name="§3 Expenses" sheetId="4" state="visible" r:id="rId4"/>
    <sheet xmlns:r="http://schemas.openxmlformats.org/officeDocument/2006/relationships" name="§4 Vehicle" sheetId="5" state="visible" r:id="rId5"/>
    <sheet xmlns:r="http://schemas.openxmlformats.org/officeDocument/2006/relationships" name="§5 Home Office" sheetId="6" state="visible" r:id="rId6"/>
    <sheet xmlns:r="http://schemas.openxmlformats.org/officeDocument/2006/relationships" name="§6 Depreciation" sheetId="7" state="visible" r:id="rId7"/>
    <sheet xmlns:r="http://schemas.openxmlformats.org/officeDocument/2006/relationships" name="§7 SE Tax" sheetId="8" state="visible" r:id="rId8"/>
    <sheet xmlns:r="http://schemas.openxmlformats.org/officeDocument/2006/relationships" name="§8 Doc Checklist" sheetId="9" state="visible" r:id="rId9"/>
    <sheet xmlns:r="http://schemas.openxmlformats.org/officeDocument/2006/relationships" name="Launch" sheetId="10" state="visible" r:id="rId10"/>
  </sheets>
  <definedNames>
    <definedName name="_xlnm.Print_Area" localSheetId="0">'Start'!$A$1:$L$52</definedName>
    <definedName name="_xlnm.Print_Area" localSheetId="9">'Launch'!$A$1:$L$39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&quot;$&quot;0.000"/>
    <numFmt numFmtId="167" formatCode="&quot;$&quot;#,##0;[Red](&quot;$&quot;#,##0)"/>
  </numFmts>
  <fonts count="3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Calibri"/>
      <b val="1"/>
      <color rgb="00FFFFFF"/>
      <sz val="11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12304E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Georgia"/>
      <b val="1"/>
      <color rgb="0012304E"/>
      <sz val="36"/>
    </font>
    <font>
      <name val="Calibri"/>
      <i val="1"/>
      <color rgb="0012304E"/>
      <sz val="11"/>
    </font>
    <font>
      <name val="Consolas"/>
      <color rgb="006B7280"/>
      <sz val="10"/>
    </font>
    <font>
      <name val="Consolas"/>
      <b val="1"/>
      <color rgb="00C9A24B"/>
      <sz val="10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Georgia"/>
      <b val="1"/>
      <color rgb="00C9A24B"/>
      <sz val="28"/>
    </font>
    <font>
      <name val="Georgia"/>
      <b val="1"/>
      <color rgb="0012304E"/>
      <sz val="22"/>
    </font>
    <font>
      <name val="Consolas"/>
      <b val="1"/>
      <color rgb="0012304E"/>
      <sz val="11"/>
    </font>
    <font>
      <name val="Calibri"/>
      <i val="1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B91C1C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0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/>
      <right/>
      <top style="thin">
        <color rgb="0012304E"/>
      </top>
      <bottom/>
      <diagonal/>
    </border>
    <border>
      <left/>
      <right style="thin">
        <color rgb="0012304E"/>
      </right>
      <top style="thin">
        <color rgb="0012304E"/>
      </top>
      <bottom/>
      <diagonal/>
    </border>
    <border>
      <left/>
      <right/>
      <top style="thin">
        <color rgb="0012304E"/>
      </top>
      <bottom style="thin">
        <color rgb="0012304E"/>
      </bottom>
      <diagonal/>
    </border>
    <border>
      <left/>
      <right style="thin">
        <color rgb="0012304E"/>
      </right>
      <top style="thin">
        <color rgb="0012304E"/>
      </top>
      <bottom style="thin">
        <color rgb="0012304E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right" vertical="center" wrapText="1" indent="1"/>
    </xf>
    <xf numFmtId="0" fontId="8" fillId="8" borderId="0" applyAlignment="1" pivotButton="0" quotePrefix="0" xfId="0">
      <alignment horizontal="left" vertical="center"/>
    </xf>
    <xf numFmtId="0" fontId="22" fillId="7" borderId="0" applyAlignment="1" pivotButton="0" quotePrefix="0" xfId="0">
      <alignment horizontal="left" vertical="center" wrapText="1" indent="2"/>
    </xf>
    <xf numFmtId="0" fontId="10" fillId="0" borderId="0" applyAlignment="1" pivotButton="0" quotePrefix="0" xfId="0">
      <alignment horizontal="right" vertical="center" indent="1"/>
    </xf>
    <xf numFmtId="1" fontId="23" fillId="9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wrapText="1" indent="2"/>
    </xf>
    <xf numFmtId="0" fontId="16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164" fontId="8" fillId="8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right" vertical="center" indent="1"/>
    </xf>
    <xf numFmtId="164" fontId="24" fillId="7" borderId="0" applyAlignment="1" pivotButton="0" quotePrefix="0" xfId="0">
      <alignment horizontal="right" vertical="center" indent="1"/>
    </xf>
    <xf numFmtId="165" fontId="8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left" vertical="center"/>
    </xf>
    <xf numFmtId="166" fontId="8" fillId="8" borderId="0" applyAlignment="1" pivotButton="0" quotePrefix="0" xfId="0">
      <alignment horizontal="left" vertical="center"/>
    </xf>
    <xf numFmtId="1" fontId="23" fillId="9" borderId="0" applyAlignment="1" pivotButton="0" quotePrefix="0" xfId="0">
      <alignment horizontal="right" vertical="center" indent="1"/>
    </xf>
    <xf numFmtId="10" fontId="23" fillId="9" borderId="0" applyAlignment="1" pivotButton="0" quotePrefix="0" xfId="0">
      <alignment horizontal="right" vertical="center" indent="1"/>
    </xf>
    <xf numFmtId="164" fontId="23" fillId="9" borderId="0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right" vertical="center" indent="1"/>
    </xf>
    <xf numFmtId="10" fontId="8" fillId="8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center" vertical="center"/>
    </xf>
    <xf numFmtId="164" fontId="25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wrapText="1" indent="2"/>
    </xf>
    <xf numFmtId="0" fontId="27" fillId="0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1" fontId="23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indent="2"/>
    </xf>
    <xf numFmtId="0" fontId="28" fillId="2" borderId="0" applyAlignment="1" pivotButton="0" quotePrefix="0" xfId="0">
      <alignment horizontal="right" vertical="center" indent="2"/>
    </xf>
    <xf numFmtId="0" fontId="29" fillId="4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5" fillId="4" borderId="6" applyAlignment="1" pivotButton="0" quotePrefix="0" xfId="0">
      <alignment horizontal="center"/>
    </xf>
    <xf numFmtId="0" fontId="30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2" fillId="4" borderId="9" applyAlignment="1" pivotButton="0" quotePrefix="0" xfId="0">
      <alignment horizontal="center" vertical="center"/>
    </xf>
    <xf numFmtId="0" fontId="33" fillId="4" borderId="9" applyAlignment="1" pivotButton="0" quotePrefix="0" xfId="0">
      <alignment horizontal="center" vertical="center"/>
    </xf>
    <xf numFmtId="0" fontId="0" fillId="0" borderId="9" pivotButton="0" quotePrefix="0" xfId="0"/>
    <xf numFmtId="0" fontId="31" fillId="4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7" fillId="0" borderId="0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5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0" fontId="28" fillId="0" borderId="0" applyAlignment="1" pivotButton="0" quotePrefix="0" xfId="0">
      <alignment horizontal="center" vertical="center"/>
    </xf>
    <xf numFmtId="167" fontId="23" fillId="9" borderId="0" applyAlignment="1" pivotButton="0" quotePrefix="0" xfId="0">
      <alignment horizontal="right" vertical="center" indent="1"/>
    </xf>
    <xf numFmtId="0" fontId="34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167" fontId="7" fillId="7" borderId="0" applyAlignment="1" pivotButton="0" quotePrefix="0" xfId="0">
      <alignment horizontal="right" vertical="center" indent="1"/>
    </xf>
    <xf numFmtId="0" fontId="3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Schedule C Tax-Prep Workbook</t>
        </is>
      </c>
    </row>
    <row r="5" ht="22" customHeight="1">
      <c r="A5" s="4" t="inlineStr">
        <is>
          <t>Active host. Substantial services. SE tax in plain sight.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TAX-012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30" customHeight="1">
      <c r="A9" s="6" t="inlineStr">
        <is>
          <t>⚠  ARE YOU SURE Schedule C is right? Most STR hosts file Schedule E. If you don't provide substantial services AND don't materially participate, switch to TAX-004 — Schedule E.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8" customHeight="1">
      <c r="A12" s="8" t="inlineStr">
        <is>
          <t>What you'll hand to your CPA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22" customHeight="1">
      <c r="A14" s="9" t="inlineStr">
        <is>
          <t>📄 SCHEDULE C</t>
        </is>
      </c>
      <c r="E14" s="9" t="inlineStr">
        <is>
          <t>⚖ SE TAX PREVIEW</t>
        </is>
      </c>
      <c r="I14" s="9" t="inlineStr">
        <is>
          <t>📋 DOC CHECKLIST</t>
        </is>
      </c>
    </row>
    <row r="15" ht="22" customHeight="1">
      <c r="A15" s="10" t="inlineStr">
        <is>
          <t>Print-ready Lines 1-31, Schedule C Form 1040.</t>
        </is>
      </c>
      <c r="E15" s="10" t="inlineStr">
        <is>
          <t>Net × 92.35% × 15.3% — half deductible above-the-line.</t>
        </is>
      </c>
      <c r="I15" s="10" t="inlineStr">
        <is>
          <t>30 items your CPA will ask for. Tick as you collect.</t>
        </is>
      </c>
    </row>
    <row r="16" ht="22" customHeight="1"/>
    <row r="17" ht="22" customHeight="1"/>
    <row r="18" ht="22" customHeight="1"/>
    <row r="19" ht="22" customHeight="1"/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45 minutes</t>
        </is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3" t="inlineStr">
        <is>
          <t>① Confirm Schedule C eligibility (5 questions)</t>
        </is>
      </c>
      <c r="G25" s="11" t="n"/>
      <c r="H25" s="13" t="inlineStr">
        <is>
          <t>② Income — gross rent, cleaning, platform fees</t>
        </is>
      </c>
    </row>
    <row r="26">
      <c r="A26" s="11" t="n"/>
      <c r="B26" s="13" t="inlineStr">
        <is>
          <t>③ All 22 Schedule C expense lines</t>
        </is>
      </c>
      <c r="G26" s="11" t="n"/>
      <c r="H26" s="13" t="inlineStr">
        <is>
          <t>④ Vehicle + Home Office allocations</t>
        </is>
      </c>
    </row>
    <row r="27">
      <c r="A27" s="11" t="n"/>
      <c r="B27" s="13" t="inlineStr">
        <is>
          <t>⑤ Depreciation + Section 179 elections</t>
        </is>
      </c>
      <c r="G27" s="11" t="n"/>
      <c r="H27" s="13" t="inlineStr">
        <is>
          <t>⑥ Review SE tax preview (15.3% × 92.35%)</t>
        </is>
      </c>
    </row>
    <row r="28">
      <c r="A28" s="11" t="n"/>
      <c r="B28" s="13" t="inlineStr">
        <is>
          <t>⑦ Tick the 30-item document checklist</t>
        </is>
      </c>
      <c r="G28" s="11" t="n"/>
      <c r="H28" s="13" t="inlineStr">
        <is>
          <t>⑧ Print Launch tab and email to your CPA</t>
        </is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2" ht="22" customHeight="1">
      <c r="A32" s="14">
        <f>HYPERLINK("#'§1 Eligibility'!A5", "GET STARTED — CONFIRM ELIGIBILITY  →")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8">
      <c r="A38" s="16" t="inlineStr">
        <is>
          <t>Progress:</t>
        </is>
      </c>
      <c r="G38" s="17">
        <f>TEXT((COUNTA('§1 Eligibility'!B8:B12) + COUNTA('§2 Income'!B8:B12) + COUNTA('§3 Expenses'!B8:B30) + COUNTA('§4 Vehicle'!B8:B18) + COUNTA('§5 Home Office'!B8:B14) + COUNTA('§6 Depreciation'!B8:B14) + COUNTA('§7 SE Tax'!B8:B8) + COUNTA('§8 Doc Checklist'!B8:B37))/89,"0%") &amp; " complete"</f>
        <v/>
      </c>
    </row>
    <row r="40" ht="18" customHeight="1">
      <c r="A40" s="18" t="inlineStr">
        <is>
          <t>① Eligibility</t>
        </is>
      </c>
      <c r="G40" s="19">
        <f>IF(COUNTA('§1 Eligibility'!B8:B12)=5,"✅ Done",IF(COUNTA('§1 Eligibility'!B8:B12)=0,"⏳ Empty","⏳ "&amp;COUNTA('§1 Eligibility'!B8:B12)&amp;" of 5"))</f>
        <v/>
      </c>
      <c r="K40" s="20">
        <f>HYPERLINK("#'§1 Eligibility'!A5","→ go")</f>
        <v/>
      </c>
    </row>
    <row r="41" ht="18" customHeight="1">
      <c r="A41" s="18" t="inlineStr">
        <is>
          <t>② Income</t>
        </is>
      </c>
      <c r="G41" s="19">
        <f>IF(COUNTA('§2 Income'!B8:B12)=5,"✅ Done",IF(COUNTA('§2 Income'!B8:B12)=0,"⏳ Empty","⏳ "&amp;COUNTA('§2 Income'!B8:B12)&amp;" of 5"))</f>
        <v/>
      </c>
      <c r="K41" s="20">
        <f>HYPERLINK("#'§2 Income'!A5","→ go")</f>
        <v/>
      </c>
    </row>
    <row r="42" ht="18" customHeight="1">
      <c r="A42" s="18" t="inlineStr">
        <is>
          <t>③ Expenses</t>
        </is>
      </c>
      <c r="G42" s="19">
        <f>IF(COUNTA('§3 Expenses'!B8:B30)=23,"✅ Done",IF(COUNTA('§3 Expenses'!B8:B30)=0,"⏳ Empty","⏳ "&amp;COUNTA('§3 Expenses'!B8:B30)&amp;" of 23"))</f>
        <v/>
      </c>
      <c r="K42" s="20">
        <f>HYPERLINK("#'§3 Expenses'!A5","→ go")</f>
        <v/>
      </c>
    </row>
    <row r="43" ht="18" customHeight="1">
      <c r="A43" s="18" t="inlineStr">
        <is>
          <t>④ Vehicle</t>
        </is>
      </c>
      <c r="G43" s="19">
        <f>IF(COUNTA('§4 Vehicle'!B8:B18)=11,"✅ Done",IF(COUNTA('§4 Vehicle'!B8:B18)=0,"⏳ Empty","⏳ "&amp;COUNTA('§4 Vehicle'!B8:B18)&amp;" of 11"))</f>
        <v/>
      </c>
      <c r="K43" s="20">
        <f>HYPERLINK("#'§4 Vehicle'!A5","→ go")</f>
        <v/>
      </c>
    </row>
    <row r="44" ht="18" customHeight="1">
      <c r="A44" s="18" t="inlineStr">
        <is>
          <t>⑤ Home Office</t>
        </is>
      </c>
      <c r="G44" s="19">
        <f>IF(COUNTA('§5 Home Office'!B8:B14)=7,"✅ Done",IF(COUNTA('§5 Home Office'!B8:B14)=0,"⏳ Empty","⏳ "&amp;COUNTA('§5 Home Office'!B8:B14)&amp;" of 7"))</f>
        <v/>
      </c>
      <c r="K44" s="20">
        <f>HYPERLINK("#'§5 Home Office'!A5","→ go")</f>
        <v/>
      </c>
    </row>
    <row r="45" ht="18" customHeight="1">
      <c r="A45" s="18" t="inlineStr">
        <is>
          <t>⑥ Depreciation</t>
        </is>
      </c>
      <c r="G45" s="19">
        <f>IF(COUNTA('§6 Depreciation'!B8:B14)=7,"✅ Done",IF(COUNTA('§6 Depreciation'!B8:B14)=0,"⏳ Empty","⏳ "&amp;COUNTA('§6 Depreciation'!B8:B14)&amp;" of 7"))</f>
        <v/>
      </c>
      <c r="K45" s="20">
        <f>HYPERLINK("#'§6 Depreciation'!A5","→ go")</f>
        <v/>
      </c>
    </row>
    <row r="46" ht="18" customHeight="1">
      <c r="A46" s="18" t="inlineStr">
        <is>
          <t>⑦ SE Tax</t>
        </is>
      </c>
      <c r="G46" s="19">
        <f>IF(COUNTA('§7 SE Tax'!B8:B8)=1,"✅ Done",IF(COUNTA('§7 SE Tax'!B8:B8)=0,"⏳ Empty","⏳ "&amp;COUNTA('§7 SE Tax'!B8:B8)&amp;" of 1"))</f>
        <v/>
      </c>
      <c r="K46" s="20">
        <f>HYPERLINK("#'§7 SE Tax'!A5","→ go")</f>
        <v/>
      </c>
    </row>
    <row r="47" ht="18" customHeight="1">
      <c r="A47" s="18" t="inlineStr">
        <is>
          <t>⑧ Doc Checklist</t>
        </is>
      </c>
      <c r="G47" s="19">
        <f>IF(COUNTA('§8 Doc Checklist'!B8:B37)=30,"✅ Done",IF(COUNTA('§8 Doc Checklist'!B8:B37)=0,"⏳ Empty","⏳ "&amp;COUNTA('§8 Doc Checklist'!B8:B37)&amp;" of 30"))</f>
        <v/>
      </c>
      <c r="K47" s="20">
        <f>HYPERLINK("#'§8 Doc Checklist'!A5","→ go")</f>
        <v/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 ht="18" customHeight="1">
      <c r="A51" s="22" t="inlineStr">
        <is>
          <t>Questions? hello@thestrledger.com</t>
        </is>
      </c>
    </row>
    <row r="52" ht="18" customHeight="1">
      <c r="A52" s="23" t="inlineStr">
        <is>
          <t>TAX-012 · v1.0 · Free updates forever</t>
        </is>
      </c>
    </row>
  </sheetData>
  <mergeCells count="50">
    <mergeCell ref="A41:F41"/>
    <mergeCell ref="I14:L14"/>
    <mergeCell ref="H26:L26"/>
    <mergeCell ref="A7:L7"/>
    <mergeCell ref="A46:F46"/>
    <mergeCell ref="B25:F25"/>
    <mergeCell ref="G38:L38"/>
    <mergeCell ref="E15:H19"/>
    <mergeCell ref="G47:J47"/>
    <mergeCell ref="K45:L45"/>
    <mergeCell ref="G41:J41"/>
    <mergeCell ref="B27:F27"/>
    <mergeCell ref="A12:L12"/>
    <mergeCell ref="G44:J44"/>
    <mergeCell ref="A2:F2"/>
    <mergeCell ref="G46:J46"/>
    <mergeCell ref="G40:J40"/>
    <mergeCell ref="A47:F47"/>
    <mergeCell ref="A42:F42"/>
    <mergeCell ref="H25:L25"/>
    <mergeCell ref="K47:L47"/>
    <mergeCell ref="A5:L5"/>
    <mergeCell ref="A23:L23"/>
    <mergeCell ref="G43:J43"/>
    <mergeCell ref="K44:L44"/>
    <mergeCell ref="K41:L41"/>
    <mergeCell ref="K46:L46"/>
    <mergeCell ref="K40:L40"/>
    <mergeCell ref="A4:L4"/>
    <mergeCell ref="G42:J42"/>
    <mergeCell ref="E14:H14"/>
    <mergeCell ref="A38:F38"/>
    <mergeCell ref="A43:F43"/>
    <mergeCell ref="A52:L52"/>
    <mergeCell ref="K43:L43"/>
    <mergeCell ref="A44:F44"/>
    <mergeCell ref="B28:F28"/>
    <mergeCell ref="A15:D19"/>
    <mergeCell ref="K42:L42"/>
    <mergeCell ref="I15:L19"/>
    <mergeCell ref="H28:L28"/>
    <mergeCell ref="A40:F40"/>
    <mergeCell ref="A9:L9"/>
    <mergeCell ref="H27:L27"/>
    <mergeCell ref="A51:L51"/>
    <mergeCell ref="A45:F45"/>
    <mergeCell ref="A32:L35"/>
    <mergeCell ref="B26:F26"/>
    <mergeCell ref="A14:D14"/>
    <mergeCell ref="G45:J4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8</t>
        </is>
      </c>
      <c r="J2" s="25">
        <f>HYPERLINK("#'§2 Income'!A5",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§1 Eligibility Confirmation</t>
        </is>
      </c>
    </row>
    <row r="5" ht="18" customHeight="1">
      <c r="A5" s="28" t="inlineStr">
        <is>
          <t>Five Y/N questions verifying Schedule C is the right form.</t>
        </is>
      </c>
    </row>
    <row r="6" ht="22" customHeight="1">
      <c r="A6" s="29" t="inlineStr">
        <is>
          <t>Answer Y or N for each. If you answer N to 3 or more, your STR is likely a passive rental — switch to Schedule E (TAX-004).</t>
        </is>
      </c>
    </row>
    <row r="7" ht="20" customHeight="1">
      <c r="A7" s="30" t="inlineStr">
        <is>
          <t>§1 ELIGIBILITY CONFIRMATION</t>
        </is>
      </c>
    </row>
    <row r="8" ht="20" customHeight="1">
      <c r="A8" s="31" t="inlineStr">
        <is>
          <t>Q1. Substantial services during stays? (cleaning DURING stay, meals, concierge, transport)</t>
        </is>
      </c>
      <c r="B8" s="32" t="n"/>
    </row>
    <row r="9" ht="20" customHeight="1">
      <c r="A9" s="31" t="inlineStr">
        <is>
          <t>Q2. Do you meet a material-participation test (500 hrs / 100 hrs + most active / substantially all)?</t>
        </is>
      </c>
      <c r="B9" s="32" t="n"/>
    </row>
    <row r="10" ht="20" customHeight="1">
      <c r="A10" s="31" t="inlineStr">
        <is>
          <t>Q3. Have you been filing Schedule C in prior years?</t>
        </is>
      </c>
      <c r="B10" s="32" t="n"/>
    </row>
    <row r="11" ht="20" customHeight="1">
      <c r="A11" s="31" t="inlineStr">
        <is>
          <t>Q4. Has your CPA confirmed Schedule C is correct?</t>
        </is>
      </c>
      <c r="B11" s="32" t="n"/>
    </row>
    <row r="12" ht="20" customHeight="1">
      <c r="A12" s="31" t="inlineStr">
        <is>
          <t>Q5. Is this a hospitality business, not a passive rental?</t>
        </is>
      </c>
      <c r="B12" s="32" t="n"/>
    </row>
    <row r="14" ht="64" customHeight="1">
      <c r="A14" s="33" t="inlineStr">
        <is>
          <t>ⓘ Schedule C is required when you provide SUBSTANTIAL SERVICES (cleaning DURING stays, meals, concierge, transport) — IRS treats this as a hospitality business, triggering 15.3% SE tax. Material participation (500 hrs / 100 hrs + most-active / substantially-all-work) additionally non-passivates losses but does NOT alone trigger Schedule C. Most STR hosts who self-clean between guests stay on Schedule E.</t>
        </is>
      </c>
    </row>
    <row r="16" ht="22" customHeight="1">
      <c r="A16" s="34" t="inlineStr">
        <is>
          <t>No-count (potential red flag if ≥3):</t>
        </is>
      </c>
      <c r="B16" s="35">
        <f>COUNTIF(B8:B12,"N")</f>
        <v/>
      </c>
    </row>
    <row r="17" ht="28" customHeight="1">
      <c r="A17" s="34" t="inlineStr">
        <is>
          <t>Verdict:</t>
        </is>
      </c>
      <c r="B17" s="36">
        <f>IF(COUNTIF(B8:B12,"N")&gt;=3,"🚩 RED FLAG — confirm with your CPA. Schedule E may be more appropriate.",IF(COUNTIF(B8:B12,"Y")=5,"✅ Schedule C confirmed.","⏳ Finish answering all 5 questions."))</f>
        <v/>
      </c>
    </row>
    <row r="19" ht="22" customHeight="1">
      <c r="A19" s="37">
        <f>HYPERLINK("#'Start'!A1", "← Back: Start")</f>
        <v/>
      </c>
      <c r="B19" s="38" t="n"/>
      <c r="C19" s="38" t="n"/>
      <c r="D19" s="38" t="n"/>
      <c r="E19" s="38" t="n"/>
      <c r="F19" s="38" t="n"/>
      <c r="G19" s="37">
        <f>HYPERLINK("#'§2 Income'!A5", "Next: §2 Income →")</f>
        <v/>
      </c>
      <c r="H19" s="38" t="n"/>
      <c r="I19" s="38" t="n"/>
      <c r="J19" s="38" t="n"/>
      <c r="K19" s="38" t="n"/>
      <c r="L19" s="38" t="n"/>
    </row>
    <row r="20" ht="22" customHeight="1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</row>
  </sheetData>
  <mergeCells count="12">
    <mergeCell ref="J2:L2"/>
    <mergeCell ref="D2:I2"/>
    <mergeCell ref="A7:L7"/>
    <mergeCell ref="A19:F20"/>
    <mergeCell ref="G19:L20"/>
    <mergeCell ref="A5:L5"/>
    <mergeCell ref="B16:D16"/>
    <mergeCell ref="A14:L14"/>
    <mergeCell ref="A6:L6"/>
    <mergeCell ref="B17:L17"/>
    <mergeCell ref="A2:C2"/>
    <mergeCell ref="A4:L4"/>
  </mergeCells>
  <dataValidations count="5">
    <dataValidation sqref="B8" showDropDown="0" showInputMessage="0" showErrorMessage="0" allowBlank="1" type="list">
      <formula1>"Y,N"</formula1>
    </dataValidation>
    <dataValidation sqref="B9" showDropDown="0" showInputMessage="0" showErrorMessage="0" allowBlank="1" type="list">
      <formula1>"Y,N"</formula1>
    </dataValidation>
    <dataValidation sqref="B10" showDropDown="0" showInputMessage="0" showErrorMessage="0" allowBlank="1" type="list">
      <formula1>"Y,N"</formula1>
    </dataValidation>
    <dataValidation sqref="B11" showDropDown="0" showInputMessage="0" showErrorMessage="0" allowBlank="1" type="list">
      <formula1>"Y,N"</formula1>
    </dataValidation>
    <dataValidation sqref="B1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HYPERLINK("#'§1 Eligibility'!A5", "← BACK")</f>
        <v/>
      </c>
      <c r="B2" s="15" t="n"/>
      <c r="C2" s="15" t="n"/>
      <c r="D2" s="24" t="inlineStr">
        <is>
          <t>SECTION 2 OF 8</t>
        </is>
      </c>
      <c r="J2" s="25">
        <f>HYPERLINK("#'§3 Expenses'!A5",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§2 Income</t>
        </is>
      </c>
    </row>
    <row r="5" ht="18" customHeight="1">
      <c r="A5" s="28" t="inlineStr">
        <is>
          <t>Schedule C Lines 1-7. Gross receipts, returns, other income.</t>
        </is>
      </c>
    </row>
    <row r="6" ht="22" customHeight="1">
      <c r="A6" s="29" t="inlineStr">
        <is>
          <t>Enter all gross income received from rental + hospitality services. Refundable security deposits are NOT income — track separately.</t>
        </is>
      </c>
    </row>
    <row r="7" ht="20" customHeight="1">
      <c r="A7" s="30" t="inlineStr">
        <is>
          <t>§2 INCOME</t>
        </is>
      </c>
    </row>
    <row r="8" ht="20" customHeight="1">
      <c r="A8" s="31" t="inlineStr">
        <is>
          <t>Gross rents received ($)</t>
        </is>
      </c>
      <c r="B8" s="39" t="n"/>
    </row>
    <row r="9" ht="20" customHeight="1">
      <c r="A9" s="31" t="inlineStr">
        <is>
          <t>Cleaning fees collected from guests ($)</t>
        </is>
      </c>
      <c r="B9" s="39" t="n"/>
    </row>
    <row r="10" ht="20" customHeight="1">
      <c r="A10" s="31" t="inlineStr">
        <is>
          <t>Platform service fees withheld ($, memo)</t>
        </is>
      </c>
      <c r="B10" s="39" t="n"/>
    </row>
    <row r="11" ht="20" customHeight="1">
      <c r="A11" s="31" t="inlineStr">
        <is>
          <t>Other income — refunds, forfeited deposits ($)</t>
        </is>
      </c>
      <c r="B11" s="39" t="n"/>
    </row>
    <row r="12" ht="20" customHeight="1">
      <c r="A12" s="31" t="inlineStr">
        <is>
          <t>Returns and allowances ($)</t>
        </is>
      </c>
      <c r="B12" s="39" t="n"/>
    </row>
    <row r="14" ht="22" customHeight="1">
      <c r="A14" s="40" t="inlineStr">
        <is>
          <t>GROSS INCOME (Schedule C Line 7)</t>
        </is>
      </c>
      <c r="B14" s="41">
        <f>B8+B9+B11-B12</f>
        <v/>
      </c>
    </row>
    <row r="16">
      <c r="A16" s="37">
        <f>HYPERLINK("#'§1 Eligibility'!A5", "← Back: §1 Eligibility")</f>
        <v/>
      </c>
      <c r="B16" s="38" t="n"/>
      <c r="C16" s="38" t="n"/>
      <c r="D16" s="38" t="n"/>
      <c r="E16" s="38" t="n"/>
      <c r="F16" s="38" t="n"/>
      <c r="G16" s="37">
        <f>HYPERLINK("#'§3 Expenses'!A5", "Next: §3 Expenses →")</f>
        <v/>
      </c>
      <c r="H16" s="38" t="n"/>
      <c r="I16" s="38" t="n"/>
      <c r="J16" s="38" t="n"/>
      <c r="K16" s="38" t="n"/>
      <c r="L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</row>
  </sheetData>
  <mergeCells count="9">
    <mergeCell ref="G16:L17"/>
    <mergeCell ref="J2:L2"/>
    <mergeCell ref="D2:I2"/>
    <mergeCell ref="A7:L7"/>
    <mergeCell ref="A16:F17"/>
    <mergeCell ref="A5:L5"/>
    <mergeCell ref="A6:L6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HYPERLINK("#'§2 Income'!A5", "← BACK")</f>
        <v/>
      </c>
      <c r="B2" s="15" t="n"/>
      <c r="C2" s="15" t="n"/>
      <c r="D2" s="24" t="inlineStr">
        <is>
          <t>SECTION 3 OF 8</t>
        </is>
      </c>
      <c r="J2" s="25">
        <f>HYPERLINK("#'§4 Vehicle'!A5",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§3 Operating Expenses</t>
        </is>
      </c>
    </row>
    <row r="5" ht="18" customHeight="1">
      <c r="A5" s="28" t="inlineStr">
        <is>
          <t>All 22 Schedule C expense lines (8-27).</t>
        </is>
      </c>
    </row>
    <row r="6" ht="22" customHeight="1">
      <c r="A6" s="29" t="inlineStr">
        <is>
          <t>Each row maps to a Schedule C line. Repairs are deductible — improvements must be capitalized via §6 Depreciation.</t>
        </is>
      </c>
    </row>
    <row r="7" ht="20" customHeight="1">
      <c r="A7" s="30" t="inlineStr">
        <is>
          <t>§3 OPERATING EXPENSES</t>
        </is>
      </c>
    </row>
    <row r="8" ht="20" customHeight="1">
      <c r="A8" s="31" t="inlineStr">
        <is>
          <t>8   Advertising</t>
        </is>
      </c>
      <c r="B8" s="39" t="n"/>
    </row>
    <row r="9" ht="20" customHeight="1">
      <c r="A9" s="31" t="inlineStr">
        <is>
          <t>9   Car and truck expenses (from §4 Vehicle)</t>
        </is>
      </c>
      <c r="B9" s="39" t="n"/>
    </row>
    <row r="10" ht="20" customHeight="1">
      <c r="A10" s="31" t="inlineStr">
        <is>
          <t>10  Commissions and fees (Airbnb host fees)</t>
        </is>
      </c>
      <c r="B10" s="39" t="n"/>
    </row>
    <row r="11" ht="20" customHeight="1">
      <c r="A11" s="31" t="inlineStr">
        <is>
          <t>11  Contract labor (1099-NEC paid)</t>
        </is>
      </c>
      <c r="B11" s="39" t="n"/>
    </row>
    <row r="12" ht="20" customHeight="1">
      <c r="A12" s="31" t="inlineStr">
        <is>
          <t>12  Depletion</t>
        </is>
      </c>
      <c r="B12" s="39" t="n"/>
    </row>
    <row r="13" ht="20" customHeight="1">
      <c r="A13" s="31" t="inlineStr">
        <is>
          <t>13  Depreciation + Sec 179 (from §6)</t>
        </is>
      </c>
      <c r="B13" s="39" t="n"/>
    </row>
    <row r="14" ht="20" customHeight="1">
      <c r="A14" s="31" t="inlineStr">
        <is>
          <t>14  Employee benefit programs</t>
        </is>
      </c>
      <c r="B14" s="39" t="n"/>
    </row>
    <row r="15" ht="20" customHeight="1">
      <c r="A15" s="31" t="inlineStr">
        <is>
          <t>15  Insurance (other than health)</t>
        </is>
      </c>
      <c r="B15" s="39" t="n"/>
    </row>
    <row r="16" ht="20" customHeight="1">
      <c r="A16" s="31" t="inlineStr">
        <is>
          <t>16a Mortgage interest (banks)</t>
        </is>
      </c>
      <c r="B16" s="39" t="n"/>
    </row>
    <row r="17" ht="20" customHeight="1">
      <c r="A17" s="31" t="inlineStr">
        <is>
          <t>16b Other interest</t>
        </is>
      </c>
      <c r="B17" s="39" t="n"/>
    </row>
    <row r="18" ht="20" customHeight="1">
      <c r="A18" s="31" t="inlineStr">
        <is>
          <t>17  Legal and professional services</t>
        </is>
      </c>
      <c r="B18" s="39" t="n"/>
    </row>
    <row r="19" ht="20" customHeight="1">
      <c r="A19" s="31" t="inlineStr">
        <is>
          <t>18  Office expense</t>
        </is>
      </c>
      <c r="B19" s="39" t="n"/>
    </row>
    <row r="20" ht="20" customHeight="1">
      <c r="A20" s="31" t="inlineStr">
        <is>
          <t>19  Pension and profit-sharing plans</t>
        </is>
      </c>
      <c r="B20" s="39" t="n"/>
    </row>
    <row r="21" ht="20" customHeight="1">
      <c r="A21" s="31" t="inlineStr">
        <is>
          <t>20a Rent — vehicles, machinery, equipment</t>
        </is>
      </c>
      <c r="B21" s="39" t="n"/>
    </row>
    <row r="22" ht="20" customHeight="1">
      <c r="A22" s="31" t="inlineStr">
        <is>
          <t>20b Rent — other business property</t>
        </is>
      </c>
      <c r="B22" s="39" t="n"/>
    </row>
    <row r="23" ht="20" customHeight="1">
      <c r="A23" s="31" t="inlineStr">
        <is>
          <t>21  Repairs and maintenance</t>
        </is>
      </c>
      <c r="B23" s="39" t="n"/>
    </row>
    <row r="24" ht="20" customHeight="1">
      <c r="A24" s="31" t="inlineStr">
        <is>
          <t>22  Supplies</t>
        </is>
      </c>
      <c r="B24" s="39" t="n"/>
    </row>
    <row r="25" ht="20" customHeight="1">
      <c r="A25" s="31" t="inlineStr">
        <is>
          <t>23  Taxes and licenses</t>
        </is>
      </c>
      <c r="B25" s="39" t="n"/>
    </row>
    <row r="26" ht="20" customHeight="1">
      <c r="A26" s="31" t="inlineStr">
        <is>
          <t>24a Travel</t>
        </is>
      </c>
      <c r="B26" s="39" t="n"/>
    </row>
    <row r="27" ht="20" customHeight="1">
      <c r="A27" s="31" t="inlineStr">
        <is>
          <t>24b Deductible meals (50%)</t>
        </is>
      </c>
      <c r="B27" s="39" t="n"/>
    </row>
    <row r="28" ht="20" customHeight="1">
      <c r="A28" s="31" t="inlineStr">
        <is>
          <t>25  Utilities</t>
        </is>
      </c>
      <c r="B28" s="39" t="n"/>
    </row>
    <row r="29" ht="20" customHeight="1">
      <c r="A29" s="31" t="inlineStr">
        <is>
          <t>26  Wages (less employment credits)</t>
        </is>
      </c>
      <c r="B29" s="39" t="n"/>
    </row>
    <row r="30" ht="20" customHeight="1">
      <c r="A30" s="31" t="inlineStr">
        <is>
          <t>27a Other expenses (list on Part V)</t>
        </is>
      </c>
      <c r="B30" s="39" t="n"/>
    </row>
    <row r="32" ht="22" customHeight="1">
      <c r="A32" s="40" t="inlineStr">
        <is>
          <t>TOTAL EXPENSES (Schedule C Line 28)</t>
        </is>
      </c>
      <c r="B32" s="41">
        <f>SUM(B8:B30)</f>
        <v/>
      </c>
    </row>
    <row r="34">
      <c r="A34" s="37">
        <f>HYPERLINK("#'§2 Income'!A5", "← Back: §2 Income")</f>
        <v/>
      </c>
      <c r="B34" s="38" t="n"/>
      <c r="C34" s="38" t="n"/>
      <c r="D34" s="38" t="n"/>
      <c r="E34" s="38" t="n"/>
      <c r="F34" s="38" t="n"/>
      <c r="G34" s="37">
        <f>HYPERLINK("#'§4 Vehicle'!A5", "Next: §4 Vehicle →")</f>
        <v/>
      </c>
      <c r="H34" s="38" t="n"/>
      <c r="I34" s="38" t="n"/>
      <c r="J34" s="38" t="n"/>
      <c r="K34" s="38" t="n"/>
      <c r="L34" s="38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</row>
  </sheetData>
  <mergeCells count="9">
    <mergeCell ref="J2:L2"/>
    <mergeCell ref="D2:I2"/>
    <mergeCell ref="A7:L7"/>
    <mergeCell ref="G34:L35"/>
    <mergeCell ref="A5:L5"/>
    <mergeCell ref="A6:L6"/>
    <mergeCell ref="A34:F35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HYPERLINK("#'§3 Expenses'!A5", "← BACK")</f>
        <v/>
      </c>
      <c r="B2" s="15" t="n"/>
      <c r="C2" s="15" t="n"/>
      <c r="D2" s="24" t="inlineStr">
        <is>
          <t>SECTION 4 OF 8</t>
        </is>
      </c>
      <c r="J2" s="25">
        <f>HYPERLINK("#'§5 Home Office'!A5",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§4 Vehicle</t>
        </is>
      </c>
    </row>
    <row r="5" ht="18" customHeight="1">
      <c r="A5" s="28" t="inlineStr">
        <is>
          <t>Mileage method + Form 4562 Part V (listed property).</t>
        </is>
      </c>
    </row>
    <row r="6" ht="22" customHeight="1">
      <c r="A6" s="29" t="inlineStr">
        <is>
          <t>Vehicles are LISTED PROPERTY (IRC §280F). If you depreciate or claimed Section 179, Form 4562 Part V is required.</t>
        </is>
      </c>
    </row>
    <row r="7" ht="20" customHeight="1">
      <c r="A7" s="30" t="inlineStr">
        <is>
          <t>§4 VEHICLE</t>
        </is>
      </c>
    </row>
    <row r="8" ht="20" customHeight="1">
      <c r="A8" s="31" t="inlineStr">
        <is>
          <t>Method elected (Standard / Actual)</t>
        </is>
      </c>
      <c r="B8" s="32" t="n"/>
    </row>
    <row r="9" ht="20" customHeight="1">
      <c r="A9" s="31" t="inlineStr">
        <is>
          <t>Vehicle make/model</t>
        </is>
      </c>
      <c r="B9" s="32" t="n"/>
    </row>
    <row r="10" ht="20" customHeight="1">
      <c r="A10" s="31" t="inlineStr">
        <is>
          <t>Date placed in service</t>
        </is>
      </c>
      <c r="B10" s="42" t="n"/>
    </row>
    <row r="11" ht="20" customHeight="1">
      <c r="A11" s="31" t="inlineStr">
        <is>
          <t>Year-start odometer</t>
        </is>
      </c>
      <c r="B11" s="43" t="n"/>
    </row>
    <row r="12" ht="20" customHeight="1">
      <c r="A12" s="31" t="inlineStr">
        <is>
          <t>Year-end odometer</t>
        </is>
      </c>
      <c r="B12" s="43" t="n"/>
    </row>
    <row r="13" ht="20" customHeight="1">
      <c r="A13" s="31" t="inlineStr">
        <is>
          <t>Total business miles (from Mileage Log)</t>
        </is>
      </c>
      <c r="B13" s="43" t="n"/>
    </row>
    <row r="14" ht="20" customHeight="1">
      <c r="A14" s="31" t="inlineStr">
        <is>
          <t>Commuting miles</t>
        </is>
      </c>
      <c r="B14" s="43" t="n"/>
    </row>
    <row r="15" ht="20" customHeight="1">
      <c r="A15" s="31" t="inlineStr">
        <is>
          <t>Other personal miles</t>
        </is>
      </c>
      <c r="B15" s="43" t="n"/>
    </row>
    <row r="16" ht="20" customHeight="1">
      <c r="A16" s="31" t="inlineStr">
        <is>
          <t>IRS rate ($/mi for active year)</t>
        </is>
      </c>
      <c r="B16" s="44" t="n"/>
    </row>
    <row r="17" ht="20" customHeight="1">
      <c r="A17" s="31" t="inlineStr">
        <is>
          <t>Parking + tolls separately tracked ($)</t>
        </is>
      </c>
      <c r="B17" s="39" t="n"/>
    </row>
    <row r="18" ht="20" customHeight="1">
      <c r="A18" s="31" t="inlineStr">
        <is>
          <t>Used &gt;50% qualified business use? (Y/N)</t>
        </is>
      </c>
      <c r="B18" s="32" t="n"/>
    </row>
    <row r="20" ht="20" customHeight="1">
      <c r="A20" s="31" t="inlineStr">
        <is>
          <t>Total miles (year-end - year-start):</t>
        </is>
      </c>
      <c r="B20" s="45">
        <f>B12-B11</f>
        <v/>
      </c>
    </row>
    <row r="21" ht="20" customHeight="1">
      <c r="A21" s="31" t="inlineStr">
        <is>
          <t>Personal miles (total - business - commuting):</t>
        </is>
      </c>
      <c r="B21" s="45">
        <f>(B12-B11)-B13-B14</f>
        <v/>
      </c>
    </row>
    <row r="22" ht="20" customHeight="1">
      <c r="A22" s="31" t="inlineStr">
        <is>
          <t>Business-use % (excludes commuting + personal):</t>
        </is>
      </c>
      <c r="B22" s="46">
        <f>IFERROR(B13/(B12-B11),0)</f>
        <v/>
      </c>
    </row>
    <row r="23" ht="20" customHeight="1">
      <c r="A23" s="31" t="inlineStr">
        <is>
          <t>Standard mileage deduction (business mi × IRS rate):</t>
        </is>
      </c>
      <c r="B23" s="47">
        <f>B13*B16+B17</f>
        <v/>
      </c>
    </row>
    <row r="24" ht="20" customHeight="1">
      <c r="A24" s="31" t="inlineStr">
        <is>
          <t>4562 Part V — qualified-business-use ≥50%?</t>
        </is>
      </c>
      <c r="B24" s="48">
        <f>IF(IFERROR(B13/(B12-B11),0)&gt;=0.5,"Yes","No — Sec 179 disallowed")</f>
        <v/>
      </c>
    </row>
    <row r="27">
      <c r="A27" s="37">
        <f>HYPERLINK("#'§3 Expenses'!A5", "← Back: §3 Expenses")</f>
        <v/>
      </c>
      <c r="B27" s="38" t="n"/>
      <c r="C27" s="38" t="n"/>
      <c r="D27" s="38" t="n"/>
      <c r="E27" s="38" t="n"/>
      <c r="F27" s="38" t="n"/>
      <c r="G27" s="37">
        <f>HYPERLINK("#'§5 Home Office'!A5", "Next: §5 Home Office →")</f>
        <v/>
      </c>
      <c r="H27" s="38" t="n"/>
      <c r="I27" s="38" t="n"/>
      <c r="J27" s="38" t="n"/>
      <c r="K27" s="38" t="n"/>
      <c r="L27" s="38" t="n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</row>
  </sheetData>
  <mergeCells count="9">
    <mergeCell ref="J2:L2"/>
    <mergeCell ref="D2:I2"/>
    <mergeCell ref="A7:L7"/>
    <mergeCell ref="A5:L5"/>
    <mergeCell ref="A27:F28"/>
    <mergeCell ref="A6:L6"/>
    <mergeCell ref="G27:L28"/>
    <mergeCell ref="A2:C2"/>
    <mergeCell ref="A4:L4"/>
  </mergeCells>
  <dataValidations count="2">
    <dataValidation sqref="B8" showDropDown="0" showInputMessage="0" showErrorMessage="0" allowBlank="1" type="list">
      <formula1>"Standard,Actual"</formula1>
    </dataValidation>
    <dataValidation sqref="B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HYPERLINK("#'§4 Vehicle'!A5", "← BACK")</f>
        <v/>
      </c>
      <c r="B2" s="15" t="n"/>
      <c r="C2" s="15" t="n"/>
      <c r="D2" s="24" t="inlineStr">
        <is>
          <t>SECTION 5 OF 8</t>
        </is>
      </c>
      <c r="J2" s="25">
        <f>HYPERLINK("#'§6 Depreciation'!A5",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§5 Home Office</t>
        </is>
      </c>
    </row>
    <row r="5" ht="18" customHeight="1">
      <c r="A5" s="28" t="inlineStr">
        <is>
          <t>Form 8829 inputs — regular + exclusive use required.</t>
        </is>
      </c>
    </row>
    <row r="6" ht="22" customHeight="1">
      <c r="A6" s="29" t="inlineStr">
        <is>
          <t>Office must be used REGULARLY and EXCLUSIVELY for the STR business. Simplified method = $5/sq ft up to 300 sq ft ($1,500 max).</t>
        </is>
      </c>
    </row>
    <row r="7" ht="20" customHeight="1">
      <c r="A7" s="30" t="inlineStr">
        <is>
          <t>§5 HOME OFFICE</t>
        </is>
      </c>
    </row>
    <row r="8" ht="20" customHeight="1">
      <c r="A8" s="31" t="inlineStr">
        <is>
          <t>Allocation method (Simplified / Actual)</t>
        </is>
      </c>
      <c r="B8" s="32" t="n"/>
    </row>
    <row r="9" ht="20" customHeight="1">
      <c r="A9" s="31" t="inlineStr">
        <is>
          <t>Total home sq ft</t>
        </is>
      </c>
      <c r="B9" s="43" t="n"/>
    </row>
    <row r="10" ht="20" customHeight="1">
      <c r="A10" s="31" t="inlineStr">
        <is>
          <t>Office sq ft (regular + exclusive use)</t>
        </is>
      </c>
      <c r="B10" s="43" t="n"/>
    </row>
    <row r="11" ht="20" customHeight="1">
      <c r="A11" s="31" t="inlineStr">
        <is>
          <t>% business use</t>
        </is>
      </c>
      <c r="B11" s="49" t="n"/>
    </row>
    <row r="12" ht="20" customHeight="1">
      <c r="A12" s="31" t="inlineStr">
        <is>
          <t>Total annual home expenses ($, actual)</t>
        </is>
      </c>
      <c r="B12" s="39" t="n"/>
    </row>
    <row r="13" ht="20" customHeight="1">
      <c r="A13" s="31" t="inlineStr">
        <is>
          <t>Direct office expenses ($)</t>
        </is>
      </c>
      <c r="B13" s="39" t="n"/>
    </row>
    <row r="14" ht="20" customHeight="1">
      <c r="A14" s="31" t="inlineStr">
        <is>
          <t>Form 8829 will be filed? (Y/N)</t>
        </is>
      </c>
      <c r="B14" s="32" t="n"/>
    </row>
    <row r="16" ht="20" customHeight="1">
      <c r="A16" s="31" t="inlineStr">
        <is>
          <t>% business use (auto from sq ft):</t>
        </is>
      </c>
      <c r="B16" s="46">
        <f>IFERROR(B10/B9,0)</f>
        <v/>
      </c>
    </row>
    <row r="17" ht="20" customHeight="1">
      <c r="A17" s="31" t="inlineStr">
        <is>
          <t>Indirect home expenses × % business:</t>
        </is>
      </c>
      <c r="B17" s="47">
        <f>B11*B12</f>
        <v/>
      </c>
    </row>
    <row r="18" ht="20" customHeight="1">
      <c r="A18" s="31" t="inlineStr">
        <is>
          <t>Total Home Office Deduction (Form 8829 Line 36):</t>
        </is>
      </c>
      <c r="B18" s="47">
        <f>IF(B8="Simplified",MIN(B10,300)*5,B11*B12+B13)</f>
        <v/>
      </c>
    </row>
    <row r="21">
      <c r="A21" s="37">
        <f>HYPERLINK("#'§4 Vehicle'!A5", "← Back: §4 Vehicle")</f>
        <v/>
      </c>
      <c r="B21" s="38" t="n"/>
      <c r="C21" s="38" t="n"/>
      <c r="D21" s="38" t="n"/>
      <c r="E21" s="38" t="n"/>
      <c r="F21" s="38" t="n"/>
      <c r="G21" s="37">
        <f>HYPERLINK("#'§6 Depreciation'!A5", "Next: §6 Depreciation →")</f>
        <v/>
      </c>
      <c r="H21" s="38" t="n"/>
      <c r="I21" s="38" t="n"/>
      <c r="J21" s="38" t="n"/>
      <c r="K21" s="38" t="n"/>
      <c r="L21" s="38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</row>
  </sheetData>
  <mergeCells count="9">
    <mergeCell ref="G21:L22"/>
    <mergeCell ref="J2:L2"/>
    <mergeCell ref="D2:I2"/>
    <mergeCell ref="A7:L7"/>
    <mergeCell ref="A5:L5"/>
    <mergeCell ref="A21:F22"/>
    <mergeCell ref="A6:L6"/>
    <mergeCell ref="A2:C2"/>
    <mergeCell ref="A4:L4"/>
  </mergeCells>
  <dataValidations count="2">
    <dataValidation sqref="B8" showDropDown="0" showInputMessage="0" showErrorMessage="0" allowBlank="1" type="list">
      <formula1>"Simplified,Actual"</formula1>
    </dataValidation>
    <dataValidation sqref="B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HYPERLINK("#'§5 Home Office'!A5", "← BACK")</f>
        <v/>
      </c>
      <c r="B2" s="15" t="n"/>
      <c r="C2" s="15" t="n"/>
      <c r="D2" s="24" t="inlineStr">
        <is>
          <t>SECTION 6 OF 8</t>
        </is>
      </c>
      <c r="J2" s="25">
        <f>HYPERLINK("#'§7 SE Tax'!A5",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§6 Depreciation + Section 179</t>
        </is>
      </c>
    </row>
    <row r="5" ht="18" customHeight="1">
      <c r="A5" s="28" t="inlineStr">
        <is>
          <t>Asset list + annual depreciation summary — Schedule C Line 13.</t>
        </is>
      </c>
    </row>
    <row r="6" ht="22" customHeight="1">
      <c r="A6" s="29" t="inlineStr">
        <is>
          <t>Customers electing accelerated methods should use the Section 179 Planner (TAX-009) and feed the totals here. Land is NOT depreciable.</t>
        </is>
      </c>
    </row>
    <row r="7" ht="20" customHeight="1">
      <c r="A7" s="30" t="inlineStr">
        <is>
          <t>§6 DEPRECIATION + SECTION 179</t>
        </is>
      </c>
    </row>
    <row r="8" ht="20" customHeight="1">
      <c r="A8" s="31" t="inlineStr">
        <is>
          <t>Asset 1 — description</t>
        </is>
      </c>
      <c r="B8" s="32" t="n"/>
    </row>
    <row r="9" ht="20" customHeight="1">
      <c r="A9" s="31" t="inlineStr">
        <is>
          <t>Asset 1 — basis ($, building only)</t>
        </is>
      </c>
      <c r="B9" s="39" t="n"/>
    </row>
    <row r="10" ht="20" customHeight="1">
      <c r="A10" s="31" t="inlineStr">
        <is>
          <t>Asset 1 — date placed in service</t>
        </is>
      </c>
      <c r="B10" s="42" t="n"/>
    </row>
    <row r="11" ht="20" customHeight="1">
      <c r="A11" s="31" t="inlineStr">
        <is>
          <t>Asset 1 — recovery period (yr)</t>
        </is>
      </c>
      <c r="B11" s="43" t="n"/>
    </row>
    <row r="12" ht="20" customHeight="1">
      <c r="A12" s="31" t="inlineStr">
        <is>
          <t>Asset 1 — accumulated prior depr ($)</t>
        </is>
      </c>
      <c r="B12" s="39" t="n"/>
    </row>
    <row r="13" ht="20" customHeight="1">
      <c r="A13" s="31" t="inlineStr">
        <is>
          <t>Section 179 election this year ($)</t>
        </is>
      </c>
      <c r="B13" s="39" t="n"/>
    </row>
    <row r="14" ht="20" customHeight="1">
      <c r="A14" s="31" t="inlineStr">
        <is>
          <t>Bonus depreciation this year ($)</t>
        </is>
      </c>
      <c r="B14" s="39" t="n"/>
    </row>
    <row r="16" ht="20" customHeight="1">
      <c r="A16" s="31" t="inlineStr">
        <is>
          <t>Annual straight-line depreciation (basis ÷ recovery):</t>
        </is>
      </c>
      <c r="B16" s="47">
        <f>IFERROR(B9/B11,0)</f>
        <v/>
      </c>
    </row>
    <row r="17" ht="20" customHeight="1">
      <c r="A17" s="31" t="inlineStr">
        <is>
          <t>Total Schedule C Line 13 (depr + 179 + bonus):</t>
        </is>
      </c>
      <c r="B17" s="47">
        <f>IFERROR(B9/B11,0)+B13+B14</f>
        <v/>
      </c>
    </row>
    <row r="20">
      <c r="A20" s="37">
        <f>HYPERLINK("#'§5 Home Office'!A5", "← Back: §5 Home Office")</f>
        <v/>
      </c>
      <c r="B20" s="38" t="n"/>
      <c r="C20" s="38" t="n"/>
      <c r="D20" s="38" t="n"/>
      <c r="E20" s="38" t="n"/>
      <c r="F20" s="38" t="n"/>
      <c r="G20" s="37">
        <f>HYPERLINK("#'§7 SE Tax'!A5", "Next: §7 SE Tax →")</f>
        <v/>
      </c>
      <c r="H20" s="38" t="n"/>
      <c r="I20" s="38" t="n"/>
      <c r="J20" s="38" t="n"/>
      <c r="K20" s="38" t="n"/>
      <c r="L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</row>
  </sheetData>
  <mergeCells count="9">
    <mergeCell ref="J2:L2"/>
    <mergeCell ref="D2:I2"/>
    <mergeCell ref="A7:L7"/>
    <mergeCell ref="G20:L21"/>
    <mergeCell ref="A5:L5"/>
    <mergeCell ref="A6:L6"/>
    <mergeCell ref="A20:F21"/>
    <mergeCell ref="A2:C2"/>
    <mergeCell ref="A4:L4"/>
  </mergeCells>
  <dataValidations count="1">
    <dataValidation sqref="B11" showDropDown="0" showInputMessage="0" showErrorMessage="0" allowBlank="1" type="list">
      <formula1>"27.5,39"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HYPERLINK("#'§6 Depreciation'!A5", "← BACK")</f>
        <v/>
      </c>
      <c r="B2" s="15" t="n"/>
      <c r="C2" s="15" t="n"/>
      <c r="D2" s="24" t="inlineStr">
        <is>
          <t>SECTION 7 OF 8</t>
        </is>
      </c>
      <c r="J2" s="25">
        <f>HYPERLINK("#'§8 Doc Checklist'!A5",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§7 Self-Employment Tax</t>
        </is>
      </c>
    </row>
    <row r="5" ht="18" customHeight="1">
      <c r="A5" s="28" t="inlineStr">
        <is>
          <t>Net Schedule C × 92.35% × 15.3% — half deductible above-the-line.</t>
        </is>
      </c>
    </row>
    <row r="6" ht="22" customHeight="1">
      <c r="A6" s="29" t="inlineStr">
        <is>
          <t>SE tax = Social Security (12.4% up to wage base) + Medicare (2.9% unlimited). Half is deductible on Form 1040 Line 15.</t>
        </is>
      </c>
    </row>
    <row r="7" ht="20" customHeight="1">
      <c r="A7" s="30" t="inlineStr">
        <is>
          <t>§7 SELF-EMPLOYMENT TAX</t>
        </is>
      </c>
    </row>
    <row r="8" ht="22" customHeight="1">
      <c r="A8" s="31" t="inlineStr">
        <is>
          <t>Net Schedule C profit ($) — auto-pulled, override if needed</t>
        </is>
      </c>
      <c r="B8" s="39">
        <f>'§2 Income'!B14-'§3 Expenses'!B32</f>
        <v/>
      </c>
    </row>
    <row r="10" ht="22" customHeight="1">
      <c r="A10" s="31" t="inlineStr">
        <is>
          <t>× 92.35% (SE earnings subject to tax):</t>
        </is>
      </c>
      <c r="B10" s="47">
        <f>B8*0.9235</f>
        <v/>
      </c>
    </row>
    <row r="11" ht="22" customHeight="1">
      <c r="A11" s="31" t="inlineStr">
        <is>
          <t>× 15.3% (12.4% SS + 2.9% Medicare):</t>
        </is>
      </c>
      <c r="B11" s="47">
        <f>B10*0.153</f>
        <v/>
      </c>
    </row>
    <row r="13" ht="22" customHeight="1">
      <c r="A13" s="31" t="inlineStr">
        <is>
          <t>Half deductible on Form 1040 Line 15:</t>
        </is>
      </c>
      <c r="B13" s="47">
        <f>B11/2</f>
        <v/>
      </c>
    </row>
    <row r="14" ht="22" customHeight="1">
      <c r="A14" s="31" t="inlineStr">
        <is>
          <t>Effective SE tax rate on net Schedule C:</t>
        </is>
      </c>
      <c r="B14" s="46">
        <f>IFERROR(B11/B8,0)</f>
        <v/>
      </c>
    </row>
    <row r="17" ht="22" customHeight="1">
      <c r="A17" s="50" t="inlineStr">
        <is>
          <t>ESTIMATED SE TAX</t>
        </is>
      </c>
    </row>
    <row r="18" ht="48" customHeight="1">
      <c r="A18" s="51">
        <f>B11</f>
        <v/>
      </c>
    </row>
    <row r="19" ht="22" customHeight="1">
      <c r="A19" s="52">
        <f>"Half ($"&amp;TEXT(B13,"#,##0")&amp;") is deductible above-the-line on Form 1040 Line 15."</f>
        <v/>
      </c>
    </row>
    <row r="21" ht="36" customHeight="1">
      <c r="A21" s="53" t="inlineStr">
        <is>
          <t>ⓘ Combined federal liability includes regular income tax + SE tax. Use TAX-005 Quarterly Estimated Tax planner to space your 1040-ES vouchers (April / June / September / January).</t>
        </is>
      </c>
    </row>
    <row r="23" ht="22" customHeight="1">
      <c r="A23" s="37">
        <f>HYPERLINK("#'§6 Depreciation'!A5", "← Back: §6 Depreciation")</f>
        <v/>
      </c>
      <c r="B23" s="38" t="n"/>
      <c r="C23" s="38" t="n"/>
      <c r="D23" s="38" t="n"/>
      <c r="E23" s="38" t="n"/>
      <c r="F23" s="38" t="n"/>
      <c r="G23" s="37">
        <f>HYPERLINK("#'§8 Doc Checklist'!A5", "Next: §8 Doc Checklist →")</f>
        <v/>
      </c>
      <c r="H23" s="38" t="n"/>
      <c r="I23" s="38" t="n"/>
      <c r="J23" s="38" t="n"/>
      <c r="K23" s="38" t="n"/>
      <c r="L23" s="38" t="n"/>
    </row>
    <row r="24" ht="22" customHeight="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</row>
  </sheetData>
  <mergeCells count="13">
    <mergeCell ref="A23:F24"/>
    <mergeCell ref="J2:L2"/>
    <mergeCell ref="D2:I2"/>
    <mergeCell ref="A7:L7"/>
    <mergeCell ref="A19:L19"/>
    <mergeCell ref="A5:L5"/>
    <mergeCell ref="A6:L6"/>
    <mergeCell ref="A17:L17"/>
    <mergeCell ref="A18:L18"/>
    <mergeCell ref="G23:L24"/>
    <mergeCell ref="A21:L21"/>
    <mergeCell ref="A2:C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4" customWidth="1" min="1" max="1"/>
    <col width="6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HYPERLINK("#'§7 SE Tax'!A5", "← BACK")</f>
        <v/>
      </c>
      <c r="B2" s="15" t="n"/>
      <c r="C2" s="15" t="n"/>
      <c r="D2" s="24" t="inlineStr">
        <is>
          <t>SECTION 8 OF 8</t>
        </is>
      </c>
      <c r="J2" s="25">
        <f>HYPERLINK("#'Launch'!A1", "LAUNCH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§8 Document Checklist</t>
        </is>
      </c>
    </row>
    <row r="5" ht="18" customHeight="1">
      <c r="A5" s="28" t="inlineStr">
        <is>
          <t>30 items your CPA will request. Tick as you collect.</t>
        </is>
      </c>
    </row>
    <row r="6" ht="22" customHeight="1">
      <c r="A6" s="29" t="inlineStr">
        <is>
          <t>Tick column B (mark ✓ or Y) as each document is collected. Email the whole packet to your CPA at year-end.</t>
        </is>
      </c>
    </row>
    <row r="7" ht="20" customHeight="1">
      <c r="A7" s="30" t="inlineStr">
        <is>
          <t>§8 DOCUMENT CHECKLIST</t>
        </is>
      </c>
    </row>
    <row r="8" ht="18" customHeight="1">
      <c r="A8" s="54" t="n">
        <v>1</v>
      </c>
      <c r="B8" s="55" t="n"/>
      <c r="C8" s="56" t="inlineStr">
        <is>
          <t>1099-K from Airbnb (annual gross payouts)</t>
        </is>
      </c>
    </row>
    <row r="9" ht="18" customHeight="1">
      <c r="A9" s="54" t="n">
        <v>2</v>
      </c>
      <c r="B9" s="55" t="n"/>
      <c r="C9" s="56" t="inlineStr">
        <is>
          <t>1099-K from VRBO / Booking / other platforms</t>
        </is>
      </c>
    </row>
    <row r="10" ht="18" customHeight="1">
      <c r="A10" s="54" t="n">
        <v>3</v>
      </c>
      <c r="B10" s="55" t="n"/>
      <c r="C10" s="56" t="inlineStr">
        <is>
          <t>1099-NEC issued to each contractor paid $600+</t>
        </is>
      </c>
    </row>
    <row r="11" ht="18" customHeight="1">
      <c r="A11" s="54" t="n">
        <v>4</v>
      </c>
      <c r="B11" s="55" t="n"/>
      <c r="C11" s="56" t="inlineStr">
        <is>
          <t>1099-NEC RECEIVED from any platform that classifies you as a worker</t>
        </is>
      </c>
    </row>
    <row r="12" ht="18" customHeight="1">
      <c r="A12" s="54" t="n">
        <v>5</v>
      </c>
      <c r="B12" s="55" t="n"/>
      <c r="C12" s="56" t="inlineStr">
        <is>
          <t>Form 1098 — mortgage interest statement(s)</t>
        </is>
      </c>
    </row>
    <row r="13" ht="18" customHeight="1">
      <c r="A13" s="54" t="n">
        <v>6</v>
      </c>
      <c r="B13" s="55" t="n"/>
      <c r="C13" s="56" t="inlineStr">
        <is>
          <t>Form 1098-T / 1098-E — education / student loan (if applicable)</t>
        </is>
      </c>
    </row>
    <row r="14" ht="18" customHeight="1">
      <c r="A14" s="54" t="n">
        <v>7</v>
      </c>
      <c r="B14" s="55" t="n"/>
      <c r="C14" s="56" t="inlineStr">
        <is>
          <t>Property tax bills (county, paid in tax year)</t>
        </is>
      </c>
    </row>
    <row r="15" ht="18" customHeight="1">
      <c r="A15" s="54" t="n">
        <v>8</v>
      </c>
      <c r="B15" s="55" t="n"/>
      <c r="C15" s="56" t="inlineStr">
        <is>
          <t>Insurance declaration pages (property + liability + AirCover supplemental)</t>
        </is>
      </c>
    </row>
    <row r="16" ht="18" customHeight="1">
      <c r="A16" s="54" t="n">
        <v>9</v>
      </c>
      <c r="B16" s="55" t="n"/>
      <c r="C16" s="56" t="inlineStr">
        <is>
          <t>Utility year-end summaries (electric, gas, water, internet)</t>
        </is>
      </c>
    </row>
    <row r="17" ht="18" customHeight="1">
      <c r="A17" s="54" t="n">
        <v>10</v>
      </c>
      <c r="B17" s="55" t="n"/>
      <c r="C17" s="56" t="inlineStr">
        <is>
          <t>HOA / association dues year-end statement</t>
        </is>
      </c>
    </row>
    <row r="18" ht="18" customHeight="1">
      <c r="A18" s="54" t="n">
        <v>11</v>
      </c>
      <c r="B18" s="55" t="n"/>
      <c r="C18" s="56" t="inlineStr">
        <is>
          <t>Mortgage payoff / refinance closing statements (HUD-1 / Closing Disclosure)</t>
        </is>
      </c>
    </row>
    <row r="19" ht="18" customHeight="1">
      <c r="A19" s="54" t="n">
        <v>12</v>
      </c>
      <c r="B19" s="55" t="n"/>
      <c r="C19" s="56" t="inlineStr">
        <is>
          <t>Mileage log totals (business / commuting / personal — from TAX-001)</t>
        </is>
      </c>
    </row>
    <row r="20" ht="18" customHeight="1">
      <c r="A20" s="54" t="n">
        <v>13</v>
      </c>
      <c r="B20" s="55" t="n"/>
      <c r="C20" s="56" t="inlineStr">
        <is>
          <t>Vehicle registration + total miles (year-start + year-end odometer)</t>
        </is>
      </c>
    </row>
    <row r="21" ht="18" customHeight="1">
      <c r="A21" s="54" t="n">
        <v>14</v>
      </c>
      <c r="B21" s="55" t="n"/>
      <c r="C21" s="56" t="inlineStr">
        <is>
          <t>Home office sq ft proof (floor plan / appraisal page)</t>
        </is>
      </c>
    </row>
    <row r="22" ht="18" customHeight="1">
      <c r="A22" s="54" t="n">
        <v>15</v>
      </c>
      <c r="B22" s="55" t="n"/>
      <c r="C22" s="56" t="inlineStr">
        <is>
          <t>Cleaning fee receipts + cleaner contracts</t>
        </is>
      </c>
    </row>
    <row r="23" ht="18" customHeight="1">
      <c r="A23" s="54" t="n">
        <v>16</v>
      </c>
      <c r="B23" s="55" t="n"/>
      <c r="C23" s="56" t="inlineStr">
        <is>
          <t>Repair + maintenance invoices (separate from improvements!)</t>
        </is>
      </c>
    </row>
    <row r="24" ht="18" customHeight="1">
      <c r="A24" s="54" t="n">
        <v>17</v>
      </c>
      <c r="B24" s="55" t="n"/>
      <c r="C24" s="56" t="inlineStr">
        <is>
          <t>Improvement / capital-expenditure invoices (capitalize, do NOT expense)</t>
        </is>
      </c>
    </row>
    <row r="25" ht="18" customHeight="1">
      <c r="A25" s="54" t="n">
        <v>18</v>
      </c>
      <c r="B25" s="55" t="n"/>
      <c r="C25" s="56" t="inlineStr">
        <is>
          <t>Furniture + appliance invoices placed in service this year (Sec 179 candidates)</t>
        </is>
      </c>
    </row>
    <row r="26" ht="18" customHeight="1">
      <c r="A26" s="54" t="n">
        <v>19</v>
      </c>
      <c r="B26" s="55" t="n"/>
      <c r="C26" s="56" t="inlineStr">
        <is>
          <t>Bank statements (business checking + credit card)</t>
        </is>
      </c>
    </row>
    <row r="27" ht="18" customHeight="1">
      <c r="A27" s="54" t="n">
        <v>20</v>
      </c>
      <c r="B27" s="55" t="n"/>
      <c r="C27" s="56" t="inlineStr">
        <is>
          <t>Merchant processor statements (Stripe / Square / direct deposit settlements)</t>
        </is>
      </c>
    </row>
    <row r="28" ht="18" customHeight="1">
      <c r="A28" s="54" t="n">
        <v>21</v>
      </c>
      <c r="B28" s="55" t="n"/>
      <c r="C28" s="56" t="inlineStr">
        <is>
          <t>Prior-year Schedule C (Form 1040)</t>
        </is>
      </c>
    </row>
    <row r="29" ht="18" customHeight="1">
      <c r="A29" s="54" t="n">
        <v>22</v>
      </c>
      <c r="B29" s="55" t="n"/>
      <c r="C29" s="56" t="inlineStr">
        <is>
          <t>Prior-year Form 4562 (depreciation schedule)</t>
        </is>
      </c>
    </row>
    <row r="30" ht="18" customHeight="1">
      <c r="A30" s="54" t="n">
        <v>23</v>
      </c>
      <c r="B30" s="55" t="n"/>
      <c r="C30" s="56" t="inlineStr">
        <is>
          <t>Material-participation hours log (date, hours, description)</t>
        </is>
      </c>
    </row>
    <row r="31" ht="18" customHeight="1">
      <c r="A31" s="54" t="n">
        <v>24</v>
      </c>
      <c r="B31" s="55" t="n"/>
      <c r="C31" s="56" t="inlineStr">
        <is>
          <t>S-corp K-1 if you elected S-corp treatment of the LLC</t>
        </is>
      </c>
    </row>
    <row r="32" ht="18" customHeight="1">
      <c r="A32" s="54" t="n">
        <v>25</v>
      </c>
      <c r="B32" s="55" t="n"/>
      <c r="C32" s="56" t="inlineStr">
        <is>
          <t>Quarterly estimated tax vouchers paid (Form 1040-ES)</t>
        </is>
      </c>
    </row>
    <row r="33" ht="18" customHeight="1">
      <c r="A33" s="54" t="n">
        <v>26</v>
      </c>
      <c r="B33" s="55" t="n"/>
      <c r="C33" s="56" t="inlineStr">
        <is>
          <t>Health insurance premiums paid (self-employed health insurance deduction)</t>
        </is>
      </c>
    </row>
    <row r="34" ht="18" customHeight="1">
      <c r="A34" s="54" t="n">
        <v>27</v>
      </c>
      <c r="B34" s="55" t="n"/>
      <c r="C34" s="56" t="inlineStr">
        <is>
          <t>Retirement contributions (SEP-IRA / Solo 401k / SIMPLE)</t>
        </is>
      </c>
    </row>
    <row r="35" ht="18" customHeight="1">
      <c r="A35" s="54" t="n">
        <v>28</v>
      </c>
      <c r="B35" s="55" t="n"/>
      <c r="C35" s="56" t="inlineStr">
        <is>
          <t>State + local business license renewals + fees</t>
        </is>
      </c>
    </row>
    <row r="36" ht="18" customHeight="1">
      <c r="A36" s="54" t="n">
        <v>29</v>
      </c>
      <c r="B36" s="55" t="n"/>
      <c r="C36" s="56" t="inlineStr">
        <is>
          <t>Occupancy / lodging / hotel-tax filings (proof of remittance)</t>
        </is>
      </c>
    </row>
    <row r="37" ht="18" customHeight="1">
      <c r="A37" s="54" t="n">
        <v>30</v>
      </c>
      <c r="B37" s="55" t="n"/>
      <c r="C37" s="56" t="inlineStr">
        <is>
          <t>STR permit / registration certificate (for the active tax year)</t>
        </is>
      </c>
    </row>
    <row r="39" ht="24" customHeight="1">
      <c r="A39" t="inlineStr"/>
      <c r="B39" s="57">
        <f>COUNTA(B8:B37)</f>
        <v/>
      </c>
      <c r="C39" s="58">
        <f>B39&amp;" of 30 documents collected"</f>
        <v/>
      </c>
    </row>
    <row r="41" ht="22" customHeight="1">
      <c r="A41" s="37">
        <f>HYPERLINK("#'§7 SE Tax'!A5", "← Back: §7 SE Tax")</f>
        <v/>
      </c>
      <c r="B41" s="38" t="n"/>
      <c r="C41" s="38" t="n"/>
      <c r="D41" s="38" t="n"/>
      <c r="E41" s="38" t="n"/>
      <c r="F41" s="38" t="n"/>
      <c r="G41" s="25">
        <f>HYPERLINK("#'Launch'!A1", "Launch →")</f>
        <v/>
      </c>
      <c r="H41" s="26" t="n"/>
      <c r="I41" s="26" t="n"/>
      <c r="J41" s="26" t="n"/>
      <c r="K41" s="26" t="n"/>
      <c r="L41" s="26" t="n"/>
    </row>
    <row r="42" ht="22" customHeight="1">
      <c r="A42" s="38" t="n"/>
      <c r="B42" s="38" t="n"/>
      <c r="C42" s="38" t="n"/>
      <c r="D42" s="38" t="n"/>
      <c r="E42" s="38" t="n"/>
      <c r="F42" s="38" t="n"/>
      <c r="G42" s="26" t="n"/>
      <c r="H42" s="26" t="n"/>
      <c r="I42" s="26" t="n"/>
      <c r="J42" s="26" t="n"/>
      <c r="K42" s="26" t="n"/>
      <c r="L42" s="26" t="n"/>
    </row>
  </sheetData>
  <mergeCells count="40">
    <mergeCell ref="C27:L27"/>
    <mergeCell ref="D2:I2"/>
    <mergeCell ref="A7:L7"/>
    <mergeCell ref="C23:L23"/>
    <mergeCell ref="G41:L42"/>
    <mergeCell ref="C39:L39"/>
    <mergeCell ref="C8:L8"/>
    <mergeCell ref="C17:L17"/>
    <mergeCell ref="C32:L32"/>
    <mergeCell ref="A2:C2"/>
    <mergeCell ref="C28:L28"/>
    <mergeCell ref="C13:L13"/>
    <mergeCell ref="C19:L19"/>
    <mergeCell ref="C37:L37"/>
    <mergeCell ref="C18:L18"/>
    <mergeCell ref="A5:L5"/>
    <mergeCell ref="C30:L30"/>
    <mergeCell ref="C34:L34"/>
    <mergeCell ref="C15:L15"/>
    <mergeCell ref="C24:L24"/>
    <mergeCell ref="C33:L33"/>
    <mergeCell ref="C14:L14"/>
    <mergeCell ref="A4:L4"/>
    <mergeCell ref="A41:F42"/>
    <mergeCell ref="J2:L2"/>
    <mergeCell ref="C26:L26"/>
    <mergeCell ref="C29:L29"/>
    <mergeCell ref="C35:L35"/>
    <mergeCell ref="C20:L20"/>
    <mergeCell ref="C10:L10"/>
    <mergeCell ref="C16:L16"/>
    <mergeCell ref="C25:L25"/>
    <mergeCell ref="C31:L31"/>
    <mergeCell ref="C22:L22"/>
    <mergeCell ref="C9:L9"/>
    <mergeCell ref="C21:L21"/>
    <mergeCell ref="A6:L6"/>
    <mergeCell ref="C12:L12"/>
    <mergeCell ref="C36:L36"/>
    <mergeCell ref="C11:L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HYPERLINK("#'§8 Doc Checklist'!A5", "← BACK")</f>
        <v/>
      </c>
      <c r="B2" s="15" t="n"/>
      <c r="C2" s="15" t="n"/>
      <c r="D2" s="59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3" t="inlineStr">
        <is>
          <t>Your Schedule C is ready</t>
        </is>
      </c>
    </row>
    <row r="5" ht="20" customHeight="1">
      <c r="A5" s="28" t="inlineStr">
        <is>
          <t>Print this tab and send the packet to your CPA.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0" t="inlineStr">
        <is>
          <t>COMPLETION</t>
        </is>
      </c>
      <c r="B9" s="61" t="n"/>
      <c r="C9" s="61" t="n"/>
      <c r="D9" s="62" t="n"/>
      <c r="E9" s="63" t="inlineStr">
        <is>
          <t>SE TAX (PREVIEW)</t>
        </is>
      </c>
      <c r="F9" s="61" t="n"/>
      <c r="G9" s="61" t="n"/>
      <c r="H9" s="62" t="n"/>
      <c r="I9" s="60" t="inlineStr">
        <is>
          <t>STATUS</t>
        </is>
      </c>
      <c r="J9" s="61" t="n"/>
      <c r="K9" s="61" t="n"/>
      <c r="L9" s="62" t="n"/>
    </row>
    <row r="10">
      <c r="A10" s="64">
        <f>TEXT((COUNTA('§1 Eligibility'!B8:B12) + COUNTA('§2 Income'!B8:B12) + COUNTA('§3 Expenses'!B8:B30) + COUNTA('§4 Vehicle'!B8:B18) + COUNTA('§5 Home Office'!B8:B14) + COUNTA('§6 Depreciation'!B8:B14) + COUNTA('§7 SE Tax'!B8:B8) + COUNTA('§8 Doc Checklist'!B8:B37))/89,"0%")</f>
        <v/>
      </c>
      <c r="B10" s="65" t="n"/>
      <c r="C10" s="65" t="n"/>
      <c r="D10" s="66" t="n"/>
      <c r="E10" s="67">
        <f>'§7 SE Tax'!B11</f>
        <v/>
      </c>
      <c r="F10" s="65" t="n"/>
      <c r="G10" s="65" t="n"/>
      <c r="H10" s="66" t="n"/>
      <c r="I10" s="68">
        <f>IF((IF('§1 Eligibility'!B8="",1,0) + IF('§1 Eligibility'!B12="",1,0) + IF('§2 Income'!B8="",1,0) + IF('§3 Expenses'!B8="",1,0) + IF('§7 SE Tax'!B8="",1,0))=0,"READY",IF((IF('§1 Eligibility'!B8="",1,0) + IF('§1 Eligibility'!B12="",1,0) + IF('§2 Income'!B8="",1,0) + IF('§3 Expenses'!B8="",1,0) + IF('§7 SE Tax'!B8="",1,0))&lt;=2,"MINOR","NEEDS WORK"))</f>
        <v/>
      </c>
      <c r="J10" s="65" t="n"/>
      <c r="K10" s="65" t="n"/>
      <c r="L10" s="66" t="n"/>
    </row>
    <row r="11">
      <c r="A11" s="69" t="n"/>
      <c r="B11" s="65" t="n"/>
      <c r="C11" s="65" t="n"/>
      <c r="D11" s="66" t="n"/>
      <c r="E11" s="69" t="n"/>
      <c r="F11" s="65" t="n"/>
      <c r="G11" s="65" t="n"/>
      <c r="H11" s="66" t="n"/>
      <c r="I11" s="69" t="n"/>
      <c r="J11" s="65" t="n"/>
      <c r="K11" s="65" t="n"/>
      <c r="L11" s="66" t="n"/>
    </row>
    <row r="12">
      <c r="A12" s="70" t="inlineStr">
        <is>
          <t>of 89 fields filled</t>
        </is>
      </c>
      <c r="B12" s="71" t="n"/>
      <c r="C12" s="71" t="n"/>
      <c r="D12" s="72" t="n"/>
      <c r="E12" s="70" t="inlineStr">
        <is>
          <t>15.3% × 92.35% × net Schedule C</t>
        </is>
      </c>
      <c r="F12" s="71" t="n"/>
      <c r="G12" s="71" t="n"/>
      <c r="H12" s="72" t="n"/>
      <c r="I12" s="70" t="inlineStr">
        <is>
          <t>0 missing = green</t>
        </is>
      </c>
      <c r="J12" s="71" t="n"/>
      <c r="K12" s="71" t="n"/>
      <c r="L12" s="72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5" ht="26" customHeight="1">
      <c r="A15" s="73" t="inlineStr">
        <is>
          <t>Schedule C — Line-by-Line Summary (print this for your CPA)</t>
        </is>
      </c>
    </row>
    <row r="16" ht="20" customHeight="1">
      <c r="A16" s="74" t="inlineStr">
        <is>
          <t>Line</t>
        </is>
      </c>
      <c r="B16" s="75" t="inlineStr">
        <is>
          <t>Description</t>
        </is>
      </c>
      <c r="C16" s="76" t="n"/>
      <c r="D16" s="76" t="n"/>
      <c r="E16" s="76" t="n"/>
      <c r="F16" s="76" t="n"/>
      <c r="G16" s="76" t="n"/>
      <c r="H16" s="76" t="n"/>
      <c r="I16" s="76" t="n"/>
      <c r="J16" s="76" t="n"/>
      <c r="K16" s="77" t="n"/>
      <c r="L16" s="74" t="inlineStr">
        <is>
          <t>Amount</t>
        </is>
      </c>
    </row>
    <row r="17" ht="20" customHeight="1">
      <c r="A17" s="78" t="inlineStr">
        <is>
          <t>1</t>
        </is>
      </c>
      <c r="B17" s="56" t="inlineStr">
        <is>
          <t>Gross receipts (rents + cleaning + other)</t>
        </is>
      </c>
      <c r="L17" s="79">
        <f>'§2 Income'!B8+'§2 Income'!B9+'§2 Income'!B11</f>
        <v/>
      </c>
    </row>
    <row r="18" ht="20" customHeight="1">
      <c r="A18" s="78" t="inlineStr">
        <is>
          <t>2</t>
        </is>
      </c>
      <c r="B18" s="56" t="inlineStr">
        <is>
          <t>Returns and allowances</t>
        </is>
      </c>
      <c r="L18" s="79">
        <f>'§2 Income'!B12</f>
        <v/>
      </c>
    </row>
    <row r="19" ht="20" customHeight="1">
      <c r="A19" s="78" t="inlineStr">
        <is>
          <t>7</t>
        </is>
      </c>
      <c r="B19" s="56" t="inlineStr">
        <is>
          <t>Gross income</t>
        </is>
      </c>
      <c r="L19" s="79">
        <f>'§2 Income'!B14</f>
        <v/>
      </c>
    </row>
    <row r="20" ht="20" customHeight="1">
      <c r="A20" s="78" t="inlineStr">
        <is>
          <t>28</t>
        </is>
      </c>
      <c r="B20" s="56" t="inlineStr">
        <is>
          <t>Total expenses (Lines 8-27)</t>
        </is>
      </c>
      <c r="L20" s="79">
        <f>'§3 Expenses'!B32</f>
        <v/>
      </c>
    </row>
    <row r="21" ht="20" customHeight="1">
      <c r="A21" s="78" t="inlineStr">
        <is>
          <t>29</t>
        </is>
      </c>
      <c r="B21" s="56" t="inlineStr">
        <is>
          <t>Tentative profit (Line 7 − 28)</t>
        </is>
      </c>
      <c r="L21" s="79">
        <f>'§2 Income'!B14-'§3 Expenses'!B32</f>
        <v/>
      </c>
    </row>
    <row r="22" ht="20" customHeight="1">
      <c r="A22" s="78" t="inlineStr">
        <is>
          <t>30</t>
        </is>
      </c>
      <c r="B22" s="56" t="inlineStr">
        <is>
          <t>Home office (from §5)</t>
        </is>
      </c>
      <c r="L22" s="79">
        <f>'§5 Home Office'!B18</f>
        <v/>
      </c>
    </row>
    <row r="23" ht="20" customHeight="1">
      <c r="A23" s="80" t="inlineStr">
        <is>
          <t>31</t>
        </is>
      </c>
      <c r="B23" s="81" t="inlineStr">
        <is>
          <t>Net profit or (loss) — to Schedule SE + Form 1040 Schedule 1 Line 3</t>
        </is>
      </c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3">
        <f>'§2 Income'!B14-'§3 Expenses'!B32-'§5 Home Office'!B18</f>
        <v/>
      </c>
    </row>
    <row r="24" ht="20" customHeight="1">
      <c r="A24" s="78" t="inlineStr">
        <is>
          <t>SE</t>
        </is>
      </c>
      <c r="B24" s="56" t="inlineStr">
        <is>
          <t>Self-employment tax preview (×92.35% ×15.3%)</t>
        </is>
      </c>
      <c r="L24" s="79">
        <f>'§7 SE Tax'!B11</f>
        <v/>
      </c>
    </row>
    <row r="25" ht="20" customHeight="1">
      <c r="A25" s="78" t="inlineStr">
        <is>
          <t>SE½</t>
        </is>
      </c>
      <c r="B25" s="56" t="inlineStr">
        <is>
          <t>Half SE tax — deductible Form 1040 Line 15</t>
        </is>
      </c>
      <c r="L25" s="79">
        <f>'§7 SE Tax'!B13</f>
        <v/>
      </c>
    </row>
    <row r="28" ht="22" customHeight="1">
      <c r="A28" s="14">
        <f>HYPERLINK("#'Launch'!A15", "📄  PRINT SCHEDULE C SUMMARY  →")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3" ht="18" customHeight="1">
      <c r="A33" s="84" t="inlineStr">
        <is>
          <t>Tip: print the Schedule C summary above + the §8 Document Checklist tab and send both to your CPA — saves billable hours.</t>
        </is>
      </c>
    </row>
    <row r="35" ht="36" customHeight="1">
      <c r="A35" s="85" t="inlineStr">
        <is>
          <t>💡 Upgrade to the Tax Season Bundle ($147) at thestrledger.com/tax-bundle — Schedule C + Schedule E + Mileage + 1099 + Home Office + Section 179 + Quarterly Estimateds + Per-Diem.</t>
        </is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18" customHeight="1">
      <c r="A38" s="22" t="inlineStr">
        <is>
          <t>Questions? hello@thestrledger.com</t>
        </is>
      </c>
    </row>
    <row r="39" ht="18" customHeight="1">
      <c r="A39" s="23" t="inlineStr">
        <is>
          <t>TAX-012 · v1.0 · Free updates forever</t>
        </is>
      </c>
    </row>
  </sheetData>
  <mergeCells count="29">
    <mergeCell ref="D2:L2"/>
    <mergeCell ref="B24:K24"/>
    <mergeCell ref="B20:K20"/>
    <mergeCell ref="A2:C2"/>
    <mergeCell ref="E10:H11"/>
    <mergeCell ref="A9:D9"/>
    <mergeCell ref="A28:L31"/>
    <mergeCell ref="I9:L9"/>
    <mergeCell ref="A33:L33"/>
    <mergeCell ref="E12:H12"/>
    <mergeCell ref="A5:L5"/>
    <mergeCell ref="B25:K25"/>
    <mergeCell ref="B16:K16"/>
    <mergeCell ref="A35:L35"/>
    <mergeCell ref="A4:L4"/>
    <mergeCell ref="A38:L38"/>
    <mergeCell ref="B22:K22"/>
    <mergeCell ref="B18:K18"/>
    <mergeCell ref="B21:K21"/>
    <mergeCell ref="I10:L11"/>
    <mergeCell ref="A39:L39"/>
    <mergeCell ref="A10:D11"/>
    <mergeCell ref="B23:K23"/>
    <mergeCell ref="A15:L15"/>
    <mergeCell ref="E9:H9"/>
    <mergeCell ref="A12:D12"/>
    <mergeCell ref="B17:K17"/>
    <mergeCell ref="I12:L12"/>
    <mergeCell ref="B19:K19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Schedule C Tax-Prep Workbook — The STR Ledger</dc:title>
  <dc:description xmlns:dc="http://purl.org/dc/elements/1.1/">IRS-compliant Schedule C (Form 1040) tax-prep workbook for active STR hosts. SE tax preview, hospitality-services framing, vehicle + home-office allocations, 30-item document checklist.</dc:description>
  <dcterms:created xmlns:dcterms="http://purl.org/dc/terms/" xmlns:xsi="http://www.w3.org/2001/XMLSchema-instance" xsi:type="dcterms:W3CDTF">2026-05-03T19:06:18Z</dcterms:created>
  <dcterms:modified xmlns:dcterms="http://purl.org/dc/terms/" xmlns:xsi="http://www.w3.org/2001/XMLSchema-instance" xsi:type="dcterms:W3CDTF">2026-05-03T19:06:18Z</dcterms:modified>
</cp:coreProperties>
</file>