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ide-by-Side" sheetId="3" state="visible" r:id="rId3"/>
    <sheet xmlns:r="http://schemas.openxmlformats.org/officeDocument/2006/relationships" name="Decision Note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#,##0;[Red]-&quot;$&quot;#,##0"/>
    <numFmt numFmtId="166" formatCode="0.0&quot; hrs&quot;"/>
    <numFmt numFmtId="167" formatCode="0.0%"/>
    <numFmt numFmtId="168" formatCode="0.0"/>
    <numFmt numFmtId="169" formatCode="0.0%;[Red]-0.0%"/>
    <numFmt numFmtId="170" formatCode="0.0&quot; hrs&quot;;[Red]-0.0&quot; hrs&quot;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Georgia"/>
      <b val="1"/>
      <color rgb="00C9A24B"/>
      <sz val="20"/>
    </font>
    <font>
      <name val="Consolas"/>
      <b val="1"/>
      <color rgb="0012304E"/>
      <sz val="10"/>
    </font>
    <font>
      <name val="Georgia"/>
      <b val="1"/>
      <color rgb="0012304E"/>
      <sz val="14"/>
    </font>
    <font>
      <name val="Georgia"/>
      <i val="1"/>
      <color rgb="00B5725E"/>
      <sz val="13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6B7280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Georgia"/>
      <b val="1"/>
      <color rgb="00FFFFFF"/>
      <sz val="13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2B2B2B"/>
      <sz val="11"/>
    </font>
    <font>
      <name val="Calibri"/>
      <i val="1"/>
      <color rgb="006B7280"/>
      <sz val="9"/>
    </font>
    <font>
      <name val="Calibri"/>
      <i val="1"/>
      <color rgb="006B7280"/>
      <sz val="11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Georgia"/>
      <i val="1"/>
      <color rgb="00B5725E"/>
      <sz val="12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B5725E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2"/>
    </xf>
    <xf numFmtId="0" fontId="16" fillId="3" borderId="0" applyAlignment="1" pivotButton="0" quotePrefix="0" xfId="0">
      <alignment horizontal="left" vertical="center" indent="1"/>
    </xf>
    <xf numFmtId="0" fontId="18" fillId="2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center" vertical="center"/>
    </xf>
    <xf numFmtId="164" fontId="22" fillId="8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67" fontId="21" fillId="7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1" fontId="21" fillId="7" borderId="0" applyAlignment="1" pivotButton="0" quotePrefix="0" xfId="0">
      <alignment horizontal="center" vertical="center"/>
    </xf>
    <xf numFmtId="168" fontId="21" fillId="7" borderId="0" applyAlignment="1" pivotButton="0" quotePrefix="0" xfId="0">
      <alignment horizontal="center" vertical="center"/>
    </xf>
    <xf numFmtId="0" fontId="17" fillId="2" borderId="5" applyAlignment="1" pivotButton="0" quotePrefix="0" xfId="0">
      <alignment horizontal="left" vertical="center" indent="1"/>
    </xf>
    <xf numFmtId="0" fontId="17" fillId="2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5" fillId="4" borderId="5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indent="1"/>
    </xf>
    <xf numFmtId="165" fontId="22" fillId="8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center" indent="1"/>
    </xf>
    <xf numFmtId="164" fontId="26" fillId="8" borderId="0" applyAlignment="1" pivotButton="0" quotePrefix="0" xfId="0">
      <alignment horizontal="center" vertical="center"/>
    </xf>
    <xf numFmtId="165" fontId="27" fillId="9" borderId="0" applyAlignment="1" pivotButton="0" quotePrefix="0" xfId="0">
      <alignment horizontal="center" vertical="center"/>
    </xf>
    <xf numFmtId="167" fontId="22" fillId="8" borderId="0" applyAlignment="1" pivotButton="0" quotePrefix="0" xfId="0">
      <alignment horizontal="center" vertical="center"/>
    </xf>
    <xf numFmtId="169" fontId="22" fillId="8" borderId="0" applyAlignment="1" pivotButton="0" quotePrefix="0" xfId="0">
      <alignment horizontal="center" vertical="center"/>
    </xf>
    <xf numFmtId="10" fontId="22" fillId="8" borderId="0" applyAlignment="1" pivotButton="0" quotePrefix="0" xfId="0">
      <alignment horizontal="center" vertical="center"/>
    </xf>
    <xf numFmtId="166" fontId="22" fillId="8" borderId="0" applyAlignment="1" pivotButton="0" quotePrefix="0" xfId="0">
      <alignment horizontal="center" vertical="center"/>
    </xf>
    <xf numFmtId="170" fontId="22" fillId="8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indent="1"/>
    </xf>
    <xf numFmtId="1" fontId="22" fillId="8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indent="2"/>
    </xf>
    <xf numFmtId="0" fontId="12" fillId="5" borderId="0" applyAlignment="1" pivotButton="0" quotePrefix="0" xfId="0">
      <alignment horizontal="left" vertical="center" wrapText="1" indent="2"/>
    </xf>
    <xf numFmtId="0" fontId="21" fillId="7" borderId="0" applyAlignment="1" pivotButton="0" quotePrefix="0" xfId="0">
      <alignment horizontal="left" vertical="top" wrapText="1" indent="2"/>
    </xf>
    <xf numFmtId="0" fontId="21" fillId="7" borderId="0" applyAlignment="1" pivotButton="0" quotePrefix="0" xfId="0">
      <alignment horizontal="left" vertical="center" indent="1"/>
    </xf>
    <xf numFmtId="1" fontId="21" fillId="7" borderId="0" applyAlignment="1" pivotButton="0" quotePrefix="0" xfId="0">
      <alignment horizontal="left" vertical="center" indent="1"/>
    </xf>
    <xf numFmtId="164" fontId="21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name val="Georgia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vs LTR Yield Comparison</t>
        </is>
      </c>
    </row>
    <row r="5" ht="22" customHeight="1">
      <c r="A5" s="4" t="inlineStr">
        <is>
          <t>Airbnb or 12-month lease — which actually pays you more?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ACQ-012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IF(Settings!B5="","(enter property name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6" customHeight="1">
      <c r="A13" s="8">
        <f>'Side-by-Side'!C12</f>
        <v/>
      </c>
      <c r="D13" s="8">
        <f>'Side-by-Side'!E12</f>
        <v/>
      </c>
      <c r="G13" s="9">
        <f>'Side-by-Side'!G12</f>
        <v/>
      </c>
      <c r="J13" s="10">
        <f>'Side-by-Side'!G19</f>
        <v/>
      </c>
    </row>
    <row r="14" ht="16" customHeight="1"/>
    <row r="15" ht="16" customHeight="1"/>
    <row r="16" ht="16" customHeight="1"/>
    <row r="17" ht="16" customHeight="1"/>
    <row r="18" ht="18" customHeight="1">
      <c r="A18" s="11" t="inlineStr">
        <is>
          <t>STR NOI</t>
        </is>
      </c>
      <c r="D18" s="11" t="inlineStr">
        <is>
          <t>LTR NOI</t>
        </is>
      </c>
      <c r="G18" s="11" t="inlineStr">
        <is>
          <t>DIFFERENCE</t>
        </is>
      </c>
      <c r="J18" s="11" t="inlineStr">
        <is>
          <t>HRS/WK Δ</t>
        </is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8" customHeight="1">
      <c r="A20" s="12">
        <f>IF('Side-by-Side'!C12&gt;='Side-by-Side'!E12,"STR wins NOI by "&amp;TEXT('Side-by-Side'!G12,"$#,##0")&amp;" — but "&amp;TEXT('Side-by-Side'!G19,"0.0")&amp;" more hrs/wk + reg risk "&amp;'Side-by-Side'!C20&amp;"/10","LTR wins NOI by "&amp;TEXT(-'Side-by-Side'!G12,"$#,##0")&amp;" with "&amp;TEXT(-'Side-by-Side'!G19,"0.0")&amp;" fewer hrs/wk")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3">
        <f>"Effective $/hr — STR: "&amp;TEXT('Side-by-Side'!C18,"$#,##0")&amp;"   |   LTR: "&amp;TEXT('Side-by-Side'!E18,"$#,##0")</f>
        <v/>
      </c>
    </row>
    <row r="23" ht="22" customHeight="1"/>
    <row r="25" ht="22" customHeight="1">
      <c r="A25" s="14">
        <f>HYPERLINK("#'Side-by-Side'!A1", "→  Open Side-by-Side")</f>
        <v/>
      </c>
      <c r="B25" s="15" t="n"/>
      <c r="C25" s="15" t="n"/>
      <c r="D25" s="15" t="n"/>
      <c r="E25" s="15" t="n"/>
      <c r="F25" s="15" t="n"/>
      <c r="G25" s="16">
        <f>HYPERLINK("#'Inputs'!A1", "Edit Inputs")</f>
        <v/>
      </c>
      <c r="H25" s="17" t="n"/>
      <c r="I25" s="17" t="n"/>
      <c r="J25" s="17" t="n"/>
      <c r="K25" s="17" t="n"/>
      <c r="L25" s="17" t="n"/>
    </row>
    <row r="26" ht="22" customHeight="1">
      <c r="A26" s="15" t="n"/>
      <c r="B26" s="15" t="n"/>
      <c r="C26" s="15" t="n"/>
      <c r="D26" s="15" t="n"/>
      <c r="E26" s="15" t="n"/>
      <c r="F26" s="15" t="n"/>
      <c r="G26" s="17" t="n"/>
      <c r="H26" s="17" t="n"/>
      <c r="I26" s="17" t="n"/>
      <c r="J26" s="17" t="n"/>
      <c r="K26" s="17" t="n"/>
      <c r="L26" s="17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7" t="n"/>
      <c r="K27" s="17" t="n"/>
      <c r="L27" s="17" t="n"/>
    </row>
    <row r="29" ht="16" customHeight="1">
      <c r="A29" s="18">
        <f>HYPERLINK("#'Decision Notes'!A1", "Decision Notes")</f>
        <v/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</row>
    <row r="30" ht="1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1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</row>
    <row r="33" ht="22" customHeight="1">
      <c r="A33" s="20" t="inlineStr">
        <is>
          <t>Note: NOI excludes debt service. Cash flow / CoC factor it in. Regulatory risk is your subjective 1-10 — bump it if your city is actively debating an STR cap or registration regime.</t>
        </is>
      </c>
    </row>
    <row r="34" ht="22" customHeight="1"/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18" customHeight="1">
      <c r="A37" s="22" t="inlineStr">
        <is>
          <t>Questions? hello@thestrledger.com</t>
        </is>
      </c>
    </row>
    <row r="38" ht="18" customHeight="1">
      <c r="A38" s="23" t="inlineStr">
        <is>
          <t>ACQ-012 · v1.0 · DEMO · Free updates forever</t>
        </is>
      </c>
    </row>
  </sheetData>
  <mergeCells count="21">
    <mergeCell ref="A7:L7"/>
    <mergeCell ref="A37:L37"/>
    <mergeCell ref="A18:C18"/>
    <mergeCell ref="G18:I18"/>
    <mergeCell ref="G13:I17"/>
    <mergeCell ref="A25:F27"/>
    <mergeCell ref="A2:F2"/>
    <mergeCell ref="A5:L5"/>
    <mergeCell ref="D18:F18"/>
    <mergeCell ref="D13:F17"/>
    <mergeCell ref="A4:L4"/>
    <mergeCell ref="A20:L20"/>
    <mergeCell ref="A38:L38"/>
    <mergeCell ref="A29:L31"/>
    <mergeCell ref="J18:L18"/>
    <mergeCell ref="G25:L27"/>
    <mergeCell ref="A13:C17"/>
    <mergeCell ref="A11:L11"/>
    <mergeCell ref="J13:L17"/>
    <mergeCell ref="A22:L23"/>
    <mergeCell ref="A33:L3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4" t="inlineStr">
        <is>
          <t>INPUTS</t>
        </is>
      </c>
      <c r="J2" s="18">
        <f>HYPERLINK("#'Side-by-Side'!A1",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Yellow = edit. STR column on the left, LTR on the right.</t>
        </is>
      </c>
    </row>
    <row r="5" ht="24" customHeight="1">
      <c r="B5" t="inlineStr"/>
      <c r="C5" s="26" t="inlineStr">
        <is>
          <t>STR</t>
        </is>
      </c>
      <c r="E5" s="27" t="inlineStr">
        <is>
          <t>LTR</t>
        </is>
      </c>
    </row>
    <row r="7" ht="24" customHeight="1">
      <c r="A7" s="28" t="inlineStr">
        <is>
          <t>SHARED — APPLIES TO BOTH SCENARIOS</t>
        </is>
      </c>
    </row>
    <row r="8" ht="18" customHeight="1">
      <c r="B8" s="29" t="inlineStr">
        <is>
          <t>Cash invested (down + closing + setup) ($):</t>
        </is>
      </c>
      <c r="C8" s="30" t="n">
        <v>121000</v>
      </c>
      <c r="E8" s="31">
        <f>C8</f>
        <v/>
      </c>
      <c r="G8" s="32" t="inlineStr">
        <is>
          <t>STR may need higher furnishing — adjust if comparing apples to apples</t>
        </is>
      </c>
    </row>
    <row r="9" ht="18" customHeight="1">
      <c r="B9" s="29" t="inlineStr">
        <is>
          <t>Annual debt service ($):</t>
        </is>
      </c>
      <c r="C9" s="30" t="n">
        <v>28800</v>
      </c>
      <c r="E9" s="31">
        <f>C9</f>
        <v/>
      </c>
      <c r="G9" s="32" t="inlineStr">
        <is>
          <t>P+I — same loan, same payment, regardless of rental strategy</t>
        </is>
      </c>
    </row>
    <row r="11" ht="24" customHeight="1">
      <c r="A11" s="28" t="inlineStr">
        <is>
          <t>REVENUE ASSUMPTIONS</t>
        </is>
      </c>
    </row>
    <row r="12" ht="18" customHeight="1">
      <c r="B12" s="29" t="inlineStr">
        <is>
          <t>STR Occupancy (%):</t>
        </is>
      </c>
      <c r="C12" s="33" t="n">
        <v>0.62</v>
      </c>
      <c r="E12" s="34" t="inlineStr">
        <is>
          <t>—</t>
        </is>
      </c>
      <c r="G12" s="32" t="inlineStr">
        <is>
          <t>Year-2+ stabilized</t>
        </is>
      </c>
    </row>
    <row r="13" ht="18" customHeight="1">
      <c r="B13" s="29" t="inlineStr">
        <is>
          <t>STR ADR — Avg nightly rate ($):</t>
        </is>
      </c>
      <c r="C13" s="30" t="n">
        <v>245</v>
      </c>
      <c r="E13" s="34" t="inlineStr">
        <is>
          <t>—</t>
        </is>
      </c>
      <c r="G13" s="32" t="inlineStr">
        <is>
          <t>Gross — commission applied below</t>
        </is>
      </c>
    </row>
    <row r="14" ht="18" customHeight="1">
      <c r="B14" s="29" t="inlineStr">
        <is>
          <t>LTR Monthly rent ($):</t>
        </is>
      </c>
      <c r="C14" s="34" t="inlineStr">
        <is>
          <t>—</t>
        </is>
      </c>
      <c r="E14" s="30" t="n">
        <v>2800</v>
      </c>
      <c r="G14" s="32" t="inlineStr">
        <is>
          <t>Annual = monthly × 12</t>
        </is>
      </c>
    </row>
    <row r="15" ht="18" customHeight="1">
      <c r="B15" s="29" t="inlineStr">
        <is>
          <t>LTR Vacancy (%):</t>
        </is>
      </c>
      <c r="C15" s="34" t="inlineStr">
        <is>
          <t>—</t>
        </is>
      </c>
      <c r="E15" s="33" t="n">
        <v>0.05</v>
      </c>
      <c r="G15" s="32" t="inlineStr">
        <is>
          <t>5% typical for stable markets</t>
        </is>
      </c>
    </row>
    <row r="17" ht="24" customHeight="1">
      <c r="A17" s="28" t="inlineStr">
        <is>
          <t>OPERATING EXPENSE ASSUMPTIONS</t>
        </is>
      </c>
    </row>
    <row r="18" ht="18" customHeight="1">
      <c r="B18" s="29" t="inlineStr">
        <is>
          <t>STR Cleaning paid ($/turnover):</t>
        </is>
      </c>
      <c r="C18" s="30" t="n">
        <v>150</v>
      </c>
      <c r="E18" s="34" t="inlineStr">
        <is>
          <t>—</t>
        </is>
      </c>
    </row>
    <row r="19" ht="18" customHeight="1">
      <c r="B19" s="29" t="inlineStr">
        <is>
          <t>STR Turnovers per year:</t>
        </is>
      </c>
      <c r="C19" s="35" t="n">
        <v>68</v>
      </c>
      <c r="E19" s="34" t="inlineStr">
        <is>
          <t>—</t>
        </is>
      </c>
      <c r="G19" s="32">
        <f> (occupancy × 365) ÷ avg LOS</f>
        <v/>
      </c>
    </row>
    <row r="20" ht="18" customHeight="1">
      <c r="B20" s="29" t="inlineStr">
        <is>
          <t>STR Supplies / consumables (annual, $):</t>
        </is>
      </c>
      <c r="C20" s="30" t="n">
        <v>1800</v>
      </c>
      <c r="E20" s="34" t="inlineStr">
        <is>
          <t>—</t>
        </is>
      </c>
      <c r="G20" s="32" t="inlineStr">
        <is>
          <t>Toiletries, paper, coffee</t>
        </is>
      </c>
    </row>
    <row r="21" ht="18" customHeight="1">
      <c r="B21" s="29" t="inlineStr">
        <is>
          <t>STR Software / PMS (annual, $):</t>
        </is>
      </c>
      <c r="C21" s="30" t="n">
        <v>720</v>
      </c>
      <c r="E21" s="34" t="inlineStr">
        <is>
          <t>—</t>
        </is>
      </c>
      <c r="G21" s="32" t="inlineStr">
        <is>
          <t>Hospitable, OwnerRez, dynamic pricing</t>
        </is>
      </c>
    </row>
    <row r="22" ht="18" customHeight="1">
      <c r="B22" s="29" t="inlineStr">
        <is>
          <t>Channel/PM fee (%):</t>
        </is>
      </c>
      <c r="C22" s="33" t="n">
        <v>0.03</v>
      </c>
      <c r="E22" s="33" t="n">
        <v>0</v>
      </c>
      <c r="G22" s="32" t="inlineStr">
        <is>
          <t>STR: Airbnb 3% or PM 20%. LTR: 0% self / 8% managed</t>
        </is>
      </c>
    </row>
    <row r="23" ht="18" customHeight="1">
      <c r="B23" s="29" t="inlineStr">
        <is>
          <t>Insurance (annual, $):</t>
        </is>
      </c>
      <c r="C23" s="30" t="n">
        <v>2400</v>
      </c>
      <c r="E23" s="30" t="n">
        <v>1400</v>
      </c>
      <c r="G23" s="32" t="inlineStr">
        <is>
          <t>STR rider runs 30-100% higher than landlord policy</t>
        </is>
      </c>
    </row>
    <row r="24" ht="18" customHeight="1">
      <c r="B24" s="29" t="inlineStr">
        <is>
          <t>STR Utilities (annual, $):</t>
        </is>
      </c>
      <c r="C24" s="30" t="n">
        <v>2160</v>
      </c>
      <c r="E24" s="34" t="inlineStr">
        <is>
          <t>—</t>
        </is>
      </c>
      <c r="G24" s="32" t="inlineStr">
        <is>
          <t>Host pays in STR; tenant typically pays in LTR</t>
        </is>
      </c>
    </row>
    <row r="25" ht="18" customHeight="1">
      <c r="B25" s="29" t="inlineStr">
        <is>
          <t>Maintenance reserve (%):</t>
        </is>
      </c>
      <c r="C25" s="33" t="n">
        <v>0.05</v>
      </c>
      <c r="E25" s="33" t="n">
        <v>0.05</v>
      </c>
      <c r="G25" s="32" t="inlineStr">
        <is>
          <t>% of gross revenue set aside for repairs</t>
        </is>
      </c>
    </row>
    <row r="26" ht="18" customHeight="1">
      <c r="B26" s="29" t="inlineStr">
        <is>
          <t>LTR Tenant turnover cost (annualized, $):</t>
        </is>
      </c>
      <c r="C26" s="34" t="inlineStr">
        <is>
          <t>—</t>
        </is>
      </c>
      <c r="E26" s="30" t="n">
        <v>500</v>
      </c>
      <c r="G26" s="32" t="inlineStr">
        <is>
          <t>Lease-up costs ÷ avg tenancy length</t>
        </is>
      </c>
    </row>
    <row r="28" ht="24" customHeight="1">
      <c r="A28" s="28" t="inlineStr">
        <is>
          <t>TIME + REGULATORY RISK</t>
        </is>
      </c>
    </row>
    <row r="29" ht="18" customHeight="1">
      <c r="B29" s="29" t="inlineStr">
        <is>
          <t>Host hours per week:</t>
        </is>
      </c>
      <c r="C29" s="36" t="n">
        <v>8</v>
      </c>
      <c r="E29" s="36" t="n">
        <v>0.5</v>
      </c>
      <c r="G29" s="32" t="inlineStr">
        <is>
          <t>Self-managed STR: 5-15. Self-managed LTR: 0.25-1</t>
        </is>
      </c>
    </row>
    <row r="30" ht="18" customHeight="1">
      <c r="B30" s="29" t="inlineStr">
        <is>
          <t>Regulatory risk (1-10):</t>
        </is>
      </c>
      <c r="C30" s="35" t="n">
        <v>7</v>
      </c>
      <c r="E30" s="35" t="n">
        <v>1</v>
      </c>
      <c r="G30" s="32" t="inlineStr">
        <is>
          <t>Subjective — high if your city is debating an STR cap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ACQ-012 · v1.0 · Inputs · DEMO</t>
        </is>
      </c>
    </row>
  </sheetData>
  <mergeCells count="26">
    <mergeCell ref="D2:I2"/>
    <mergeCell ref="A7:L7"/>
    <mergeCell ref="G19:L19"/>
    <mergeCell ref="G13:L13"/>
    <mergeCell ref="A2:C2"/>
    <mergeCell ref="G30:L30"/>
    <mergeCell ref="G15:L15"/>
    <mergeCell ref="G24:L24"/>
    <mergeCell ref="G14:L14"/>
    <mergeCell ref="A17:L17"/>
    <mergeCell ref="G20:L20"/>
    <mergeCell ref="G26:L26"/>
    <mergeCell ref="G29:L29"/>
    <mergeCell ref="A4:L4"/>
    <mergeCell ref="A35:L35"/>
    <mergeCell ref="G25:L25"/>
    <mergeCell ref="J2:L2"/>
    <mergeCell ref="G22:L22"/>
    <mergeCell ref="A28:L28"/>
    <mergeCell ref="G9:L9"/>
    <mergeCell ref="G12:L12"/>
    <mergeCell ref="A34:L34"/>
    <mergeCell ref="G21:L21"/>
    <mergeCell ref="A11:L11"/>
    <mergeCell ref="G23:L23"/>
    <mergeCell ref="G8:L8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" customWidth="1" min="4" max="4"/>
    <col width="16" customWidth="1" min="5" max="5"/>
    <col width="4" customWidth="1" min="6" max="6"/>
    <col width="1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HYPERLINK("#'Inputs'!A1", "← BACK")</f>
        <v/>
      </c>
      <c r="B2" s="15" t="n"/>
      <c r="C2" s="15" t="n"/>
      <c r="D2" s="24" t="inlineStr">
        <is>
          <t>SIDE-BY-SIDE</t>
        </is>
      </c>
      <c r="J2" s="18">
        <f>HYPERLINK("#'Decision Notes'!A1",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Per-row winner highlighted gold. All formulas reference the Inputs tab.</t>
        </is>
      </c>
    </row>
    <row r="6" ht="24" customHeight="1">
      <c r="B6" s="37" t="inlineStr">
        <is>
          <t>Metric</t>
        </is>
      </c>
      <c r="C6" s="38" t="inlineStr">
        <is>
          <t>STR</t>
        </is>
      </c>
      <c r="E6" s="39" t="inlineStr">
        <is>
          <t>LTR</t>
        </is>
      </c>
      <c r="G6" s="40" t="inlineStr">
        <is>
          <t>Difference</t>
        </is>
      </c>
    </row>
    <row r="8" ht="18" customHeight="1">
      <c r="B8" s="41" t="inlineStr">
        <is>
          <t>Annual gross revenue</t>
        </is>
      </c>
      <c r="C8" s="31">
        <f>Inputs!C13*Inputs!C12*365</f>
        <v/>
      </c>
      <c r="E8" s="31">
        <f>Inputs!E14*12</f>
        <v/>
      </c>
      <c r="G8" s="42">
        <f>C8-E8</f>
        <v/>
      </c>
    </row>
    <row r="9" ht="18" customHeight="1">
      <c r="B9" s="41" t="inlineStr">
        <is>
          <t>Cleaning (annual)</t>
        </is>
      </c>
      <c r="C9" s="31">
        <f>Inputs!C18*Inputs!C19</f>
        <v/>
      </c>
      <c r="E9" s="31">
        <f>Inputs!E26</f>
        <v/>
      </c>
      <c r="G9" s="42">
        <f>C9-E9</f>
        <v/>
      </c>
    </row>
    <row r="10" ht="18" customHeight="1">
      <c r="B10" s="41" t="inlineStr">
        <is>
          <t>Supplies + Software + Utilities</t>
        </is>
      </c>
      <c r="C10" s="31">
        <f>Inputs!C20+Inputs!C21+Inputs!C24</f>
        <v/>
      </c>
      <c r="E10" s="31">
        <f>0</f>
        <v/>
      </c>
      <c r="G10" s="42">
        <f>C10-E10</f>
        <v/>
      </c>
    </row>
    <row r="11" ht="18" customHeight="1">
      <c r="B11" s="41" t="inlineStr">
        <is>
          <t>Channel/PM fee + Insurance + Maintenance</t>
        </is>
      </c>
      <c r="C11" s="31">
        <f>(C8*Inputs!C22)+Inputs!C23+(C8*Inputs!C25)</f>
        <v/>
      </c>
      <c r="E11" s="31">
        <f>(E8*(1-Inputs!E15)*Inputs!E22)+Inputs!E23+(E8*Inputs!E25)</f>
        <v/>
      </c>
      <c r="G11" s="42">
        <f>C11-E11</f>
        <v/>
      </c>
    </row>
    <row r="12" ht="22" customHeight="1">
      <c r="B12" s="43" t="inlineStr">
        <is>
          <t>NOI (Net Operating Income)</t>
        </is>
      </c>
      <c r="C12" s="44">
        <f>C8-C9-C10-C11</f>
        <v/>
      </c>
      <c r="E12" s="44">
        <f>E8*(1-Inputs!E15)-E9-E10-E11</f>
        <v/>
      </c>
      <c r="G12" s="45">
        <f>C12-E12</f>
        <v/>
      </c>
    </row>
    <row r="13" ht="18" customHeight="1">
      <c r="B13" s="41" t="inlineStr">
        <is>
          <t>Debt service</t>
        </is>
      </c>
      <c r="C13" s="31">
        <f>Inputs!C9</f>
        <v/>
      </c>
      <c r="E13" s="31">
        <f>Inputs!E9</f>
        <v/>
      </c>
      <c r="G13" s="42">
        <f>C13-E13</f>
        <v/>
      </c>
    </row>
    <row r="14" ht="22" customHeight="1">
      <c r="B14" s="43" t="inlineStr">
        <is>
          <t>Cash flow</t>
        </is>
      </c>
      <c r="C14" s="44">
        <f>C12-C13</f>
        <v/>
      </c>
      <c r="E14" s="44">
        <f>E12-E13</f>
        <v/>
      </c>
      <c r="G14" s="45">
        <f>C14-E14</f>
        <v/>
      </c>
    </row>
    <row r="15" ht="18" customHeight="1">
      <c r="B15" s="41" t="inlineStr">
        <is>
          <t>Cash-on-Cash return</t>
        </is>
      </c>
      <c r="C15" s="46">
        <f>IFERROR(C14/Inputs!C8,0)</f>
        <v/>
      </c>
      <c r="E15" s="46">
        <f>IFERROR(E14/Inputs!E8,0)</f>
        <v/>
      </c>
      <c r="G15" s="47">
        <f>C15-E15</f>
        <v/>
      </c>
    </row>
    <row r="16" ht="18" customHeight="1">
      <c r="B16" s="41" t="inlineStr">
        <is>
          <t>Cap rate</t>
        </is>
      </c>
      <c r="C16" s="48">
        <f>IFERROR(C12/Settings!B9,0)</f>
        <v/>
      </c>
      <c r="E16" s="48">
        <f>IFERROR(E12/Settings!B9,0)</f>
        <v/>
      </c>
      <c r="G16" s="47">
        <f>C16-E16</f>
        <v/>
      </c>
    </row>
    <row r="17" ht="18" customHeight="1">
      <c r="B17" s="41" t="inlineStr">
        <is>
          <t>Hours / week</t>
        </is>
      </c>
      <c r="C17" s="49">
        <f>Inputs!C29</f>
        <v/>
      </c>
      <c r="E17" s="49">
        <f>Inputs!E29</f>
        <v/>
      </c>
      <c r="G17" s="50">
        <f>C17-E17</f>
        <v/>
      </c>
    </row>
    <row r="18" ht="22" customHeight="1">
      <c r="B18" s="43" t="inlineStr">
        <is>
          <t>Effective $ per hour (cash flow ÷ hrs/yr)</t>
        </is>
      </c>
      <c r="C18" s="44">
        <f>IFERROR(C14/(Inputs!C29*52),0)</f>
        <v/>
      </c>
      <c r="E18" s="44">
        <f>IFERROR(E14/(Inputs!E29*52),0)</f>
        <v/>
      </c>
      <c r="G18" s="45">
        <f>C18-E18</f>
        <v/>
      </c>
    </row>
    <row r="19" ht="16" customHeight="1">
      <c r="B19" s="51" t="inlineStr">
        <is>
          <t>Hours/week difference (STR − LTR)</t>
        </is>
      </c>
      <c r="G19" s="50">
        <f>C17-E17</f>
        <v/>
      </c>
    </row>
    <row r="20" ht="18" customHeight="1">
      <c r="B20" s="41" t="inlineStr">
        <is>
          <t>Regulatory risk (1-10)</t>
        </is>
      </c>
      <c r="C20" s="52">
        <f>Inputs!C30</f>
        <v/>
      </c>
      <c r="E20" s="52">
        <f>Inputs!E30</f>
        <v/>
      </c>
      <c r="G20" s="52">
        <f>C20-E20</f>
        <v/>
      </c>
    </row>
    <row r="21" ht="18" customHeight="1">
      <c r="B21" s="41" t="inlineStr">
        <is>
          <t>5-year cumulative cash flow</t>
        </is>
      </c>
      <c r="C21" s="31">
        <f>C14*5</f>
        <v/>
      </c>
      <c r="E21" s="31">
        <f>E14*5</f>
        <v/>
      </c>
      <c r="G21" s="42">
        <f>C21-E21</f>
        <v/>
      </c>
    </row>
    <row r="23" ht="22" customHeight="1">
      <c r="A23" s="53">
        <f>IF(C18&lt;E18,"⚠ Counterintuitive: STR's effective $/hr ("&amp;TEXT(C18,"$#,##0")&amp;") is lower than LTR's ("&amp;TEXT(E18,"$#,##0")&amp;"). The extra revenue is real — but so is the labor.","")</f>
        <v/>
      </c>
    </row>
    <row r="24" ht="22" customHeight="1"/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18" customHeight="1">
      <c r="A27" s="22" t="inlineStr">
        <is>
          <t>Questions? hello@thestrledger.com</t>
        </is>
      </c>
    </row>
    <row r="28" ht="18" customHeight="1">
      <c r="A28" s="23" t="inlineStr">
        <is>
          <t>ACQ-012 · v1.0 · Side-by-Side · DEMO</t>
        </is>
      </c>
    </row>
  </sheetData>
  <mergeCells count="7">
    <mergeCell ref="J2:L2"/>
    <mergeCell ref="D2:I2"/>
    <mergeCell ref="A23:L24"/>
    <mergeCell ref="A28:L28"/>
    <mergeCell ref="A27:L27"/>
    <mergeCell ref="A2:C2"/>
    <mergeCell ref="A4:L4"/>
  </mergeCells>
  <conditionalFormatting sqref="C8">
    <cfRule type="expression" priority="1" dxfId="0">
      <formula>C8&gt;E8</formula>
    </cfRule>
  </conditionalFormatting>
  <conditionalFormatting sqref="E8">
    <cfRule type="expression" priority="2" dxfId="0">
      <formula>E8&gt;C8</formula>
    </cfRule>
  </conditionalFormatting>
  <conditionalFormatting sqref="C9">
    <cfRule type="expression" priority="3" dxfId="0">
      <formula>C9&lt;E9</formula>
    </cfRule>
  </conditionalFormatting>
  <conditionalFormatting sqref="E9">
    <cfRule type="expression" priority="4" dxfId="0">
      <formula>E9&lt;C9</formula>
    </cfRule>
  </conditionalFormatting>
  <conditionalFormatting sqref="C10">
    <cfRule type="expression" priority="5" dxfId="0">
      <formula>C10&lt;E10</formula>
    </cfRule>
  </conditionalFormatting>
  <conditionalFormatting sqref="E10">
    <cfRule type="expression" priority="6" dxfId="0">
      <formula>E10&lt;C10</formula>
    </cfRule>
  </conditionalFormatting>
  <conditionalFormatting sqref="C11">
    <cfRule type="expression" priority="7" dxfId="0">
      <formula>C11&lt;E11</formula>
    </cfRule>
  </conditionalFormatting>
  <conditionalFormatting sqref="E11">
    <cfRule type="expression" priority="8" dxfId="0">
      <formula>E11&lt;C11</formula>
    </cfRule>
  </conditionalFormatting>
  <conditionalFormatting sqref="C12">
    <cfRule type="expression" priority="9" dxfId="0">
      <formula>C12&gt;E12</formula>
    </cfRule>
  </conditionalFormatting>
  <conditionalFormatting sqref="E12">
    <cfRule type="expression" priority="10" dxfId="0">
      <formula>E12&gt;C12</formula>
    </cfRule>
  </conditionalFormatting>
  <conditionalFormatting sqref="C13">
    <cfRule type="expression" priority="11" dxfId="0">
      <formula>C13&lt;E13</formula>
    </cfRule>
  </conditionalFormatting>
  <conditionalFormatting sqref="E13">
    <cfRule type="expression" priority="12" dxfId="0">
      <formula>E13&lt;C13</formula>
    </cfRule>
  </conditionalFormatting>
  <conditionalFormatting sqref="C14">
    <cfRule type="expression" priority="13" dxfId="0">
      <formula>C14&gt;E14</formula>
    </cfRule>
  </conditionalFormatting>
  <conditionalFormatting sqref="E14">
    <cfRule type="expression" priority="14" dxfId="0">
      <formula>E14&gt;C14</formula>
    </cfRule>
  </conditionalFormatting>
  <conditionalFormatting sqref="C15">
    <cfRule type="expression" priority="15" dxfId="0">
      <formula>C15&gt;E15</formula>
    </cfRule>
  </conditionalFormatting>
  <conditionalFormatting sqref="E15">
    <cfRule type="expression" priority="16" dxfId="0">
      <formula>E15&gt;C15</formula>
    </cfRule>
  </conditionalFormatting>
  <conditionalFormatting sqref="C16">
    <cfRule type="expression" priority="17" dxfId="0">
      <formula>C16&gt;E16</formula>
    </cfRule>
  </conditionalFormatting>
  <conditionalFormatting sqref="E16">
    <cfRule type="expression" priority="18" dxfId="0">
      <formula>E16&gt;C16</formula>
    </cfRule>
  </conditionalFormatting>
  <conditionalFormatting sqref="C17">
    <cfRule type="expression" priority="19" dxfId="0">
      <formula>C17&lt;E17</formula>
    </cfRule>
  </conditionalFormatting>
  <conditionalFormatting sqref="E17">
    <cfRule type="expression" priority="20" dxfId="0">
      <formula>E17&lt;C17</formula>
    </cfRule>
  </conditionalFormatting>
  <conditionalFormatting sqref="C18">
    <cfRule type="expression" priority="21" dxfId="0">
      <formula>C18&gt;E18</formula>
    </cfRule>
  </conditionalFormatting>
  <conditionalFormatting sqref="E18">
    <cfRule type="expression" priority="22" dxfId="0">
      <formula>E18&gt;C18</formula>
    </cfRule>
  </conditionalFormatting>
  <conditionalFormatting sqref="C20">
    <cfRule type="expression" priority="23" dxfId="0">
      <formula>C20&lt;E20</formula>
    </cfRule>
  </conditionalFormatting>
  <conditionalFormatting sqref="E20">
    <cfRule type="expression" priority="24" dxfId="0">
      <formula>E20&lt;C20</formula>
    </cfRule>
  </conditionalFormatting>
  <conditionalFormatting sqref="C21">
    <cfRule type="expression" priority="25" dxfId="0">
      <formula>C21&gt;E21</formula>
    </cfRule>
  </conditionalFormatting>
  <conditionalFormatting sqref="E21">
    <cfRule type="expression" priority="26" dxfId="0">
      <formula>E21&gt;C21</formula>
    </cfRule>
  </conditionalFormatting>
  <pageMargins left="0.5" right="0.5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E2C884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HYPERLINK("#'Side-by-Side'!A1", "← BACK")</f>
        <v/>
      </c>
      <c r="B2" s="15" t="n"/>
      <c r="C2" s="15" t="n"/>
      <c r="D2" s="24" t="inlineStr">
        <is>
          <t>DECISION NOTES</t>
        </is>
      </c>
      <c r="J2" s="18">
        <f>HYPERLINK("#'Settings'!A1",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Free-form notes. The numbers are only half the story.</t>
        </is>
      </c>
    </row>
    <row r="6" ht="20" customHeight="1">
      <c r="A6" s="54" t="inlineStr">
        <is>
          <t>REGULATORY RISK</t>
        </is>
      </c>
    </row>
    <row r="7" ht="28" customHeight="1">
      <c r="A7" s="55" t="inlineStr">
        <is>
          <t>What's your city saying about STR? Permit cap? Owner-occupancy requirement? Pending council vote? Document it here so future you remembers why this number is what it is.</t>
        </is>
      </c>
    </row>
    <row r="8" ht="18" customHeight="1">
      <c r="A8" s="56" t="inlineStr"/>
    </row>
    <row r="9" ht="18" customHeight="1"/>
    <row r="10" ht="18" customHeight="1"/>
    <row r="12" ht="20" customHeight="1">
      <c r="A12" s="54" t="inlineStr">
        <is>
          <t>LIFE STAGE</t>
        </is>
      </c>
    </row>
    <row r="13" ht="28" customHeight="1">
      <c r="A13" s="55" t="inlineStr">
        <is>
          <t>Are you OK with 8 hrs/wk of guest comms for the next 5 years? Will that change if you have a kid, take a new job, move?</t>
        </is>
      </c>
    </row>
    <row r="14" ht="18" customHeight="1">
      <c r="A14" s="56" t="inlineStr"/>
    </row>
    <row r="15" ht="18" customHeight="1"/>
    <row r="16" ht="18" customHeight="1"/>
    <row r="18" ht="20" customHeight="1">
      <c r="A18" s="54" t="inlineStr">
        <is>
          <t>TIME AVAILABLE + OPPORTUNITY COST</t>
        </is>
      </c>
    </row>
    <row r="19" ht="28" customHeight="1">
      <c r="A19" s="55" t="inlineStr">
        <is>
          <t>If your $/hr on the day job is higher than your STR effective $/hr, the LTR option may free up earning power elsewhere.</t>
        </is>
      </c>
    </row>
    <row r="20" ht="18" customHeight="1">
      <c r="A20" s="56" t="inlineStr"/>
    </row>
    <row r="21" ht="18" customHeight="1"/>
    <row r="22" ht="18" customHeight="1"/>
    <row r="24" ht="20" customHeight="1">
      <c r="A24" s="54" t="inlineStr">
        <is>
          <t>CAPITAL EXIT</t>
        </is>
      </c>
    </row>
    <row r="25" ht="28" customHeight="1">
      <c r="A25" s="55" t="inlineStr">
        <is>
          <t>STR-furnished property may sell to fewer buyers in a downturn. LTR property is a standard rental — broader buyer pool.</t>
        </is>
      </c>
    </row>
    <row r="26" ht="18" customHeight="1">
      <c r="A26" s="56" t="inlineStr"/>
    </row>
    <row r="27" ht="18" customHeight="1"/>
    <row r="28" ht="18" customHeight="1"/>
    <row r="30" ht="20" customHeight="1">
      <c r="A30" s="54" t="inlineStr">
        <is>
          <t>TAX STRATEGY</t>
        </is>
      </c>
    </row>
    <row r="31" ht="28" customHeight="1">
      <c r="A31" s="55" t="inlineStr">
        <is>
          <t>STR with material participation can offset W-2 income via cost seg + bonus depreciation (REPS-lite). LTR cannot, unless you're a real estate professional.</t>
        </is>
      </c>
    </row>
    <row r="32" ht="18" customHeight="1">
      <c r="A32" s="56" t="inlineStr"/>
    </row>
    <row r="33" ht="18" customHeight="1"/>
    <row r="34" ht="18" customHeight="1"/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18" customHeight="1">
      <c r="A38" s="22" t="inlineStr">
        <is>
          <t>Questions? hello@thestrledger.com</t>
        </is>
      </c>
    </row>
    <row r="39" ht="18" customHeight="1">
      <c r="A39" s="23" t="inlineStr">
        <is>
          <t>ACQ-012 · v1.0 · Decision Notes · DEMO</t>
        </is>
      </c>
    </row>
  </sheetData>
  <mergeCells count="21">
    <mergeCell ref="D2:I2"/>
    <mergeCell ref="A7:L7"/>
    <mergeCell ref="A25:L25"/>
    <mergeCell ref="A18:L18"/>
    <mergeCell ref="A12:L12"/>
    <mergeCell ref="A2:C2"/>
    <mergeCell ref="A8:L10"/>
    <mergeCell ref="A26:L28"/>
    <mergeCell ref="A4:L4"/>
    <mergeCell ref="A38:L38"/>
    <mergeCell ref="J2:L2"/>
    <mergeCell ref="A20:L22"/>
    <mergeCell ref="A32:L34"/>
    <mergeCell ref="A14:L16"/>
    <mergeCell ref="A19:L19"/>
    <mergeCell ref="A13:L13"/>
    <mergeCell ref="A31:L31"/>
    <mergeCell ref="A39:L39"/>
    <mergeCell ref="A24:L24"/>
    <mergeCell ref="A30:L30"/>
    <mergeCell ref="A6:L6"/>
  </mergeCells>
  <pageMargins left="0.5" right="0.5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HYPERLINK("#'Decision Notes'!A1", "← BACK")</f>
        <v/>
      </c>
      <c r="B2" s="15" t="n"/>
      <c r="C2" s="15" t="n"/>
      <c r="D2" s="2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Workbook-wide settings. Set once, referenced everywhere.</t>
        </is>
      </c>
    </row>
    <row r="5" ht="20" customHeight="1">
      <c r="B5" s="29" t="inlineStr">
        <is>
          <t>Property name:</t>
        </is>
      </c>
      <c r="C5" s="57" t="inlineStr">
        <is>
          <t>Smokies Ridge Cabin</t>
        </is>
      </c>
    </row>
    <row r="7" ht="20" customHeight="1">
      <c r="B7" s="29" t="inlineStr">
        <is>
          <t>Active year:</t>
        </is>
      </c>
      <c r="C7" s="58" t="n">
        <v>2026</v>
      </c>
    </row>
    <row r="9" ht="20" customHeight="1">
      <c r="B9" s="29" t="inlineStr">
        <is>
          <t>Property value ($):</t>
        </is>
      </c>
      <c r="C9" s="59" t="n">
        <v>485000</v>
      </c>
    </row>
    <row r="12" ht="20" customHeight="1">
      <c r="A12" s="20" t="inlineStr">
        <is>
          <t>Property value drives the cap rate calculation on the Side-by-Side tab. If you don't have a recent appraisal, use your purchase price + a conservative appreciation estimate.</t>
        </is>
      </c>
    </row>
    <row r="13" ht="20" customHeight="1"/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8" customHeight="1">
      <c r="A17" s="22" t="inlineStr">
        <is>
          <t>Questions? hello@thestrledger.com</t>
        </is>
      </c>
    </row>
    <row r="18" ht="18" customHeight="1">
      <c r="A18" s="23" t="inlineStr">
        <is>
          <t>ACQ-012 · v1.0 · Settings · DEMO</t>
        </is>
      </c>
    </row>
  </sheetData>
  <mergeCells count="6">
    <mergeCell ref="A12:L13"/>
    <mergeCell ref="D2:L2"/>
    <mergeCell ref="A17:L17"/>
    <mergeCell ref="A18:L18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vs LTR Yield Comparison — The STR Ledger</dc:title>
  <dc:description xmlns:dc="http://purl.org/dc/elements/1.1/">Side-by-side STR vs LTR yield calculator: NOI, CoC, cap rate, $/hour, regulatory risk, 5-year cumulative cash flow.</dc:description>
  <dcterms:created xmlns:dcterms="http://purl.org/dc/terms/" xmlns:xsi="http://www.w3.org/2001/XMLSchema-instance" xsi:type="dcterms:W3CDTF">2026-05-03T12:26:17Z</dcterms:created>
  <dcterms:modified xmlns:dcterms="http://purl.org/dc/terms/" xmlns:xsi="http://www.w3.org/2001/XMLSchema-instance" xsi:type="dcterms:W3CDTF">2026-05-03T12:26:17Z</dcterms:modified>
</cp:coreProperties>
</file>