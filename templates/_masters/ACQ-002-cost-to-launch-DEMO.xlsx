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cquisition" sheetId="2" state="visible" r:id="rId2"/>
    <sheet xmlns:r="http://schemas.openxmlformats.org/officeDocument/2006/relationships" name="Furnish &amp; Setup" sheetId="3" state="visible" r:id="rId3"/>
    <sheet xmlns:r="http://schemas.openxmlformats.org/officeDocument/2006/relationships" name="Launch Costs" sheetId="4" state="visible" r:id="rId4"/>
    <sheet xmlns:r="http://schemas.openxmlformats.org/officeDocument/2006/relationships" name="90-Day Reserve" sheetId="5" state="visible" r:id="rId5"/>
    <sheet xmlns:r="http://schemas.openxmlformats.org/officeDocument/2006/relationships" name="Total + Y1 ROI" sheetId="6" state="visible" r:id="rId6"/>
  </sheets>
  <definedNames>
    <definedName name="_xlnm.Print_Area" localSheetId="0">'Start'!$A$1:$L$35</definedName>
    <definedName name="_xlnm.Print_Area" localSheetId="5">'Total + Y1 ROI'!$A$1:$L$36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0.0"/>
    <numFmt numFmtId="167" formatCode="0.000%"/>
    <numFmt numFmtId="168" formatCode="&quot;$&quot;#,##0.00"/>
  </numFmts>
  <fonts count="35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alibri"/>
      <i val="1"/>
      <color rgb="006B7280"/>
      <sz val="11"/>
    </font>
    <font>
      <name val="Consolas"/>
      <b val="1"/>
      <color rgb="0012304E"/>
      <sz val="10"/>
    </font>
    <font>
      <name val="Georgia"/>
      <b val="1"/>
      <color rgb="00C9A24B"/>
      <sz val="36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0"/>
    </font>
    <font>
      <name val="Georgia"/>
      <b val="1"/>
      <color rgb="00C9A24B"/>
      <sz val="2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i val="1"/>
      <color rgb="006B7280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12304E"/>
      <sz val="11"/>
    </font>
    <font>
      <name val="Georgia"/>
      <b val="1"/>
      <color rgb="00C9A24B"/>
      <sz val="13"/>
    </font>
    <font>
      <name val="Calibri"/>
      <color rgb="0012304E"/>
      <sz val="10"/>
    </font>
    <font>
      <name val="Calibri"/>
      <b val="1"/>
      <color rgb="0012304E"/>
      <sz val="10"/>
    </font>
    <font>
      <name val="Calibri"/>
      <color rgb="0012304E"/>
      <sz val="10"/>
      <u val="single"/>
    </font>
    <font>
      <name val="Calibri"/>
      <i val="1"/>
      <color rgb="006B7280"/>
      <sz val="8"/>
    </font>
    <font>
      <name val="Georgia"/>
      <b val="1"/>
      <color rgb="0012304E"/>
      <sz val="14"/>
    </font>
    <font>
      <name val="Georgia"/>
      <b val="1"/>
      <color rgb="00C9A24B"/>
      <sz val="1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4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center" vertical="center"/>
    </xf>
    <xf numFmtId="1" fontId="22" fillId="5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166" fontId="22" fillId="5" borderId="0" applyAlignment="1" pivotButton="0" quotePrefix="0" xfId="0">
      <alignment horizontal="center" vertical="center"/>
    </xf>
    <xf numFmtId="164" fontId="22" fillId="5" borderId="0" applyAlignment="1" pivotButton="0" quotePrefix="0" xfId="0">
      <alignment horizontal="center" vertical="center"/>
    </xf>
    <xf numFmtId="165" fontId="22" fillId="5" borderId="0" applyAlignment="1" pivotButton="0" quotePrefix="0" xfId="0">
      <alignment horizontal="center" vertical="center"/>
    </xf>
    <xf numFmtId="167" fontId="22" fillId="5" borderId="0" applyAlignment="1" pivotButton="0" quotePrefix="0" xfId="0">
      <alignment horizontal="center" vertical="center"/>
    </xf>
    <xf numFmtId="164" fontId="24" fillId="6" borderId="0" applyAlignment="1" pivotButton="0" quotePrefix="0" xfId="0">
      <alignment horizontal="center" vertical="center"/>
    </xf>
    <xf numFmtId="168" fontId="24" fillId="6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164" fontId="26" fillId="7" borderId="0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indent="2"/>
    </xf>
    <xf numFmtId="0" fontId="29" fillId="3" borderId="0" applyAlignment="1" pivotButton="0" quotePrefix="0" xfId="0">
      <alignment horizontal="left" vertical="center" indent="1"/>
    </xf>
    <xf numFmtId="0" fontId="30" fillId="3" borderId="0" applyAlignment="1" pivotButton="0" quotePrefix="0" xfId="0">
      <alignment horizontal="center" vertical="center"/>
    </xf>
    <xf numFmtId="0" fontId="15" fillId="0" borderId="0" pivotButton="0" quotePrefix="0" xfId="0"/>
    <xf numFmtId="0" fontId="22" fillId="0" borderId="0" pivotButton="0" quotePrefix="0" xfId="0"/>
    <xf numFmtId="0" fontId="31" fillId="3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right" vertical="center"/>
    </xf>
    <xf numFmtId="164" fontId="27" fillId="8" borderId="0" applyAlignment="1" pivotButton="0" quotePrefix="0" xfId="0">
      <alignment horizontal="center" vertical="center"/>
    </xf>
    <xf numFmtId="0" fontId="32" fillId="8" borderId="0" applyAlignment="1" pivotButton="0" quotePrefix="0" xfId="0">
      <alignment horizontal="left" vertical="top" wrapText="1" indent="1"/>
    </xf>
    <xf numFmtId="0" fontId="20" fillId="2" borderId="0" applyAlignment="1" pivotButton="0" quotePrefix="0" xfId="0">
      <alignment horizontal="right" vertical="center" indent="1"/>
    </xf>
    <xf numFmtId="164" fontId="28" fillId="2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 wrapText="1" indent="2"/>
    </xf>
    <xf numFmtId="0" fontId="33" fillId="0" borderId="0" applyAlignment="1" pivotButton="0" quotePrefix="0" xfId="0">
      <alignment horizontal="right" vertical="center" indent="1"/>
    </xf>
    <xf numFmtId="164" fontId="34" fillId="7" borderId="0" applyAlignment="1" pivotButton="0" quotePrefix="0" xfId="0">
      <alignment horizontal="center" vertical="center"/>
    </xf>
    <xf numFmtId="165" fontId="26" fillId="7" borderId="0" applyAlignment="1" pivotButton="0" quotePrefix="0" xfId="0">
      <alignment horizontal="center" vertical="center"/>
    </xf>
    <xf numFmtId="166" fontId="24" fillId="6" borderId="0" applyAlignment="1" pivotButton="0" quotePrefix="0" xfId="0">
      <alignment horizontal="center" vertical="center"/>
    </xf>
    <xf numFmtId="165" fontId="2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Cost-to-Launch Calculator</t>
        </is>
      </c>
    </row>
    <row r="5" ht="22" customHeight="1">
      <c r="A5" s="4" t="inlineStr">
        <is>
          <t>The all-in number — including what you'd forget.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ACQ-002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0" customHeight="1">
      <c r="A9" s="6" t="inlineStr">
        <is>
          <t>Typical 2BR cabin: $32K-$58K mid finish  ·  1BR condo: $18K-$28K  ·  4BR luxury: $90K-$160K</t>
        </is>
      </c>
    </row>
    <row r="11" ht="18" customHeight="1">
      <c r="A11" s="7" t="inlineStr">
        <is>
          <t>YOUR LAUNCH BUDGET</t>
        </is>
      </c>
    </row>
    <row r="12" ht="36" customHeight="1">
      <c r="A12" s="8">
        <f>'Total + Y1 ROI'!C14</f>
        <v/>
      </c>
    </row>
    <row r="13" ht="18" customHeight="1"/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16" customHeight="1">
      <c r="A15" s="10" t="inlineStr">
        <is>
          <t>90-DAY RESERVE</t>
        </is>
      </c>
      <c r="E15" s="10" t="inlineStr">
        <is>
          <t>CASH INVESTED</t>
        </is>
      </c>
      <c r="I15" s="11" t="inlineStr">
        <is>
          <t>Y1 CASH-ON-CASH</t>
        </is>
      </c>
    </row>
    <row r="16" ht="22" customHeight="1">
      <c r="A16" s="12">
        <f>'90-Day Reserve'!C16</f>
        <v/>
      </c>
      <c r="E16" s="12">
        <f>'Total + Y1 ROI'!C19</f>
        <v/>
      </c>
      <c r="I16" s="13">
        <f>'Total + Y1 ROI'!C28</f>
        <v/>
      </c>
    </row>
    <row r="17" ht="16" customHeight="1"/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20" ht="22" customHeight="1">
      <c r="A20" s="14">
        <f>HYPERLINK("#'Acquisition'!A1", "Acquisition")</f>
        <v/>
      </c>
      <c r="B20" s="15" t="n"/>
      <c r="C20" s="15" t="n"/>
      <c r="D20" s="14">
        <f>HYPERLINK("#'Furnish &amp; Setup'!A1", "Furnish &amp; Setup")</f>
        <v/>
      </c>
      <c r="E20" s="15" t="n"/>
      <c r="F20" s="15" t="n"/>
      <c r="G20" s="14">
        <f>HYPERLINK("#'Launch Costs'!A1", "Launch Costs")</f>
        <v/>
      </c>
      <c r="H20" s="15" t="n"/>
      <c r="I20" s="15" t="n"/>
      <c r="J20" s="14">
        <f>HYPERLINK("#'90-Day Reserve'!A1", "90-Day Reserve")</f>
        <v/>
      </c>
      <c r="K20" s="15" t="n"/>
      <c r="L20" s="15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4" ht="22" customHeight="1">
      <c r="A24" s="16">
        <f>HYPERLINK("#'Total + Y1 ROI'!A1", "→  Total + Y1 ROI")</f>
        <v/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 ht="22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 ht="22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9" ht="32" customHeight="1">
      <c r="A29" s="18" t="inlineStr">
        <is>
          <t>Validate the deal numbers before you sign?  Get the STR Deal Analyzer (ACQ-001) at thestrledger.com — $47, includes stress test.</t>
        </is>
      </c>
    </row>
    <row r="31" ht="18" customHeight="1">
      <c r="A31" s="19" t="inlineStr">
        <is>
          <t>Join the email list — first launch checklist + 47 deduction guide free.</t>
        </is>
      </c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</row>
    <row r="34" ht="18" customHeight="1">
      <c r="A34" s="21" t="inlineStr">
        <is>
          <t>Questions? hello@thestrledger.com</t>
        </is>
      </c>
    </row>
    <row r="35" ht="18" customHeight="1">
      <c r="A35" s="22" t="inlineStr">
        <is>
          <t>ACQ-002 · v1.0 · DEMO · Free updates forever</t>
        </is>
      </c>
    </row>
  </sheetData>
  <mergeCells count="22">
    <mergeCell ref="A7:L7"/>
    <mergeCell ref="A16:D17"/>
    <mergeCell ref="I16:L17"/>
    <mergeCell ref="J20:L22"/>
    <mergeCell ref="A2:F2"/>
    <mergeCell ref="A5:L5"/>
    <mergeCell ref="A15:D15"/>
    <mergeCell ref="I15:L15"/>
    <mergeCell ref="G20:I22"/>
    <mergeCell ref="A35:L35"/>
    <mergeCell ref="A4:L4"/>
    <mergeCell ref="A20:C22"/>
    <mergeCell ref="A29:L29"/>
    <mergeCell ref="A31:L31"/>
    <mergeCell ref="E16:H17"/>
    <mergeCell ref="A9:L9"/>
    <mergeCell ref="D20:F22"/>
    <mergeCell ref="A34:L34"/>
    <mergeCell ref="A12:L13"/>
    <mergeCell ref="A24:L26"/>
    <mergeCell ref="A11:L11"/>
    <mergeCell ref="E15:H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3" t="inlineStr">
        <is>
          <t>ACQUISITION</t>
        </is>
      </c>
      <c r="J2" s="16">
        <f>HYPERLINK("#'Furnish &amp; Setup'!A1",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Section 1 of 4 — what it costs to BUY the property</t>
        </is>
      </c>
    </row>
    <row r="6" ht="24" customHeight="1">
      <c r="A6" s="25" t="inlineStr">
        <is>
          <t>PROPERTY</t>
        </is>
      </c>
    </row>
    <row r="7" ht="18" customHeight="1">
      <c r="B7" s="26" t="inlineStr">
        <is>
          <t>Property name:</t>
        </is>
      </c>
      <c r="C7" s="27" t="inlineStr">
        <is>
          <t>Smokies Ridge Cabin</t>
        </is>
      </c>
    </row>
    <row r="8" ht="18" customHeight="1">
      <c r="B8" s="26" t="inlineStr">
        <is>
          <t>City, State:</t>
        </is>
      </c>
      <c r="C8" s="27" t="inlineStr">
        <is>
          <t>Gatlinburg, TN</t>
        </is>
      </c>
    </row>
    <row r="9" ht="18" customHeight="1">
      <c r="B9" s="26" t="inlineStr">
        <is>
          <t>Bedrooms:</t>
        </is>
      </c>
      <c r="C9" s="28" t="n">
        <v>2</v>
      </c>
      <c r="E9" s="29" t="inlineStr">
        <is>
          <t>Drives furnishing zone counts (manual — adjust on Furnish tab)</t>
        </is>
      </c>
    </row>
    <row r="10" ht="18" customHeight="1">
      <c r="B10" s="26" t="inlineStr">
        <is>
          <t>Bathrooms:</t>
        </is>
      </c>
      <c r="C10" s="30" t="n">
        <v>2</v>
      </c>
    </row>
    <row r="12" ht="24" customHeight="1">
      <c r="A12" s="25" t="inlineStr">
        <is>
          <t>PURCHASE &amp; FINANCING</t>
        </is>
      </c>
    </row>
    <row r="13" ht="18" customHeight="1">
      <c r="B13" s="26" t="inlineStr">
        <is>
          <t>Purchase price ($):</t>
        </is>
      </c>
      <c r="C13" s="31" t="n">
        <v>385000</v>
      </c>
    </row>
    <row r="14" ht="18" customHeight="1">
      <c r="B14" s="26" t="inlineStr">
        <is>
          <t>Down payment (%):</t>
        </is>
      </c>
      <c r="C14" s="32" t="n">
        <v>0.25</v>
      </c>
      <c r="E14" s="29" t="inlineStr">
        <is>
          <t>20-25% typical for STR</t>
        </is>
      </c>
    </row>
    <row r="15" ht="18" customHeight="1">
      <c r="B15" s="26" t="inlineStr">
        <is>
          <t>Interest rate (%):</t>
        </is>
      </c>
      <c r="C15" s="33" t="n">
        <v>0.07000000000000001</v>
      </c>
    </row>
    <row r="16" ht="18" customHeight="1">
      <c r="B16" s="26" t="inlineStr">
        <is>
          <t>Term (years):</t>
        </is>
      </c>
      <c r="C16" s="28" t="n">
        <v>30</v>
      </c>
      <c r="E16" s="29" t="inlineStr">
        <is>
          <t>30 typical</t>
        </is>
      </c>
    </row>
    <row r="18" ht="24" customHeight="1">
      <c r="A18" s="25" t="inlineStr">
        <is>
          <t>DUE DILIGENCE &amp; CLOSING</t>
        </is>
      </c>
    </row>
    <row r="19" ht="18" customHeight="1">
      <c r="B19" s="26" t="inlineStr">
        <is>
          <t>Closing costs ($):</t>
        </is>
      </c>
      <c r="C19" s="31" t="n">
        <v>9000</v>
      </c>
      <c r="E19" s="29" t="inlineStr">
        <is>
          <t>2-3% of purchase typical</t>
        </is>
      </c>
    </row>
    <row r="20" ht="18" customHeight="1">
      <c r="B20" s="26" t="inlineStr">
        <is>
          <t>Inspection ($):</t>
        </is>
      </c>
      <c r="C20" s="31" t="n">
        <v>400</v>
      </c>
      <c r="E20" s="29" t="inlineStr">
        <is>
          <t>$300-500 typical</t>
        </is>
      </c>
    </row>
    <row r="21" ht="18" customHeight="1">
      <c r="B21" s="26" t="inlineStr">
        <is>
          <t>Appraisal ($):</t>
        </is>
      </c>
      <c r="C21" s="31" t="n">
        <v>650</v>
      </c>
      <c r="E21" s="29" t="inlineStr">
        <is>
          <t>$500-800 typical</t>
        </is>
      </c>
    </row>
    <row r="22" ht="18" customHeight="1">
      <c r="B22" s="26" t="inlineStr">
        <is>
          <t>Title insurance ($):</t>
        </is>
      </c>
      <c r="C22" s="31" t="n">
        <v>1100</v>
      </c>
      <c r="E22" s="29" t="inlineStr">
        <is>
          <t>May be in closing — check</t>
        </is>
      </c>
    </row>
    <row r="23" ht="18" customHeight="1">
      <c r="B23" s="26" t="inlineStr">
        <is>
          <t>Legal / attorney ($):</t>
        </is>
      </c>
      <c r="C23" s="31" t="n">
        <v>1200</v>
      </c>
    </row>
    <row r="24" ht="18" customHeight="1">
      <c r="B24" s="26" t="inlineStr">
        <is>
          <t>Loan origination fee ($):</t>
        </is>
      </c>
      <c r="C24" s="31" t="n">
        <v>1500</v>
      </c>
      <c r="E24" s="29" t="inlineStr">
        <is>
          <t>0.5-1% of loan</t>
        </is>
      </c>
    </row>
    <row r="25" ht="18" customHeight="1">
      <c r="B25" s="26" t="inlineStr">
        <is>
          <t>Other due diligence ($):</t>
        </is>
      </c>
      <c r="C25" s="31" t="n">
        <v>300</v>
      </c>
      <c r="E25" s="29" t="inlineStr">
        <is>
          <t>Survey, environmental, etc.</t>
        </is>
      </c>
    </row>
    <row r="27" ht="24" customHeight="1">
      <c r="A27" s="25" t="inlineStr">
        <is>
          <t>DERIVED</t>
        </is>
      </c>
    </row>
    <row r="28" ht="18" customHeight="1">
      <c r="B28" s="26" t="inlineStr">
        <is>
          <t>Down payment ($):</t>
        </is>
      </c>
      <c r="C28" s="34">
        <f>C13*C14</f>
        <v/>
      </c>
    </row>
    <row r="29" ht="18" customHeight="1">
      <c r="B29" s="26" t="inlineStr">
        <is>
          <t>Loan amount ($):</t>
        </is>
      </c>
      <c r="C29" s="34">
        <f>C13*(1-C14)</f>
        <v/>
      </c>
    </row>
    <row r="30" ht="18" customHeight="1">
      <c r="B30" s="26" t="inlineStr">
        <is>
          <t>Monthly P&amp;I:</t>
        </is>
      </c>
      <c r="C30" s="35">
        <f>IFERROR(PMT(C15/12,C16*12,-C29),0)</f>
        <v/>
      </c>
    </row>
    <row r="31" ht="22" customHeight="1">
      <c r="B31" s="36" t="inlineStr">
        <is>
          <t>Acquisition cash needed:</t>
        </is>
      </c>
      <c r="C31" s="37">
        <f>C28+SUM(C19:C25)</f>
        <v/>
      </c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5" ht="18" customHeight="1">
      <c r="A35" s="21" t="inlineStr">
        <is>
          <t>Questions? hello@thestrledger.com</t>
        </is>
      </c>
    </row>
    <row r="36" ht="18" customHeight="1">
      <c r="A36" s="22" t="inlineStr">
        <is>
          <t>ACQ-002 · Acquisition</t>
        </is>
      </c>
    </row>
  </sheetData>
  <mergeCells count="19">
    <mergeCell ref="D2:I2"/>
    <mergeCell ref="E21:L21"/>
    <mergeCell ref="E24:L24"/>
    <mergeCell ref="E14:L14"/>
    <mergeCell ref="A27:L27"/>
    <mergeCell ref="A18:L18"/>
    <mergeCell ref="A12:L12"/>
    <mergeCell ref="A2:C2"/>
    <mergeCell ref="E20:L20"/>
    <mergeCell ref="E19:L19"/>
    <mergeCell ref="A35:L35"/>
    <mergeCell ref="A4:L4"/>
    <mergeCell ref="E9:L9"/>
    <mergeCell ref="J2:L2"/>
    <mergeCell ref="E25:L25"/>
    <mergeCell ref="E16:L16"/>
    <mergeCell ref="A36:L36"/>
    <mergeCell ref="A6:L6"/>
    <mergeCell ref="E22:L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16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6" customWidth="1" min="7" max="7"/>
    <col width="12" customWidth="1" min="8" max="8"/>
    <col width="2" customWidth="1" min="9" max="9"/>
    <col width="22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HYPERLINK("#'Acquisition'!A1", "← BACK")</f>
        <v/>
      </c>
      <c r="B2" s="15" t="n"/>
      <c r="C2" s="15" t="n"/>
      <c r="D2" s="23" t="inlineStr">
        <is>
          <t>FURNISH &amp; SETUP</t>
        </is>
      </c>
      <c r="J2" s="16">
        <f>HYPERLINK("#'Launch Costs'!A1",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4" t="inlineStr">
        <is>
          <t>Section 2 of 4 — pre-populated room-by-room checklist. Per-item: Low / Mid / High prices are real Amazon-tier benchmarks. Selected column = your choice (default Mid).</t>
        </is>
      </c>
    </row>
    <row r="5"/>
    <row r="6" ht="24" customHeight="1">
      <c r="A6" s="38" t="inlineStr">
        <is>
          <t>Zone</t>
        </is>
      </c>
      <c r="B6" s="38" t="inlineStr">
        <is>
          <t>Item</t>
        </is>
      </c>
      <c r="C6" s="38" t="inlineStr">
        <is>
          <t>Low $</t>
        </is>
      </c>
      <c r="D6" s="38" t="inlineStr">
        <is>
          <t>Mid $</t>
        </is>
      </c>
      <c r="E6" s="38" t="inlineStr">
        <is>
          <t>High $</t>
        </is>
      </c>
      <c r="F6" s="38" t="inlineStr">
        <is>
          <t>Selected $</t>
        </is>
      </c>
      <c r="G6" s="38" t="inlineStr">
        <is>
          <t>Qty</t>
        </is>
      </c>
      <c r="H6" s="38" t="inlineStr">
        <is>
          <t>Line Total</t>
        </is>
      </c>
      <c r="J6" s="38" t="inlineStr">
        <is>
          <t>DID YOU FORGET?</t>
        </is>
      </c>
    </row>
    <row r="7" ht="18" customHeight="1">
      <c r="A7" s="39" t="inlineStr">
        <is>
          <t>BEDROOM 1</t>
        </is>
      </c>
      <c r="J7" s="40" t="inlineStr">
        <is>
          <t>LLC formation?</t>
        </is>
      </c>
      <c r="K7" s="41">
        <f>IF('Launch Costs'!C12&gt;0,"OK","missing")</f>
        <v/>
      </c>
    </row>
    <row r="8" ht="16" customHeight="1">
      <c r="A8" s="42" t="inlineStr">
        <is>
          <t>Bedroom 1</t>
        </is>
      </c>
      <c r="B8" s="43" t="inlineStr">
        <is>
          <t>Queen mattress</t>
        </is>
      </c>
      <c r="C8" s="31" t="n">
        <v>250</v>
      </c>
      <c r="D8" s="31" t="n">
        <v>650</v>
      </c>
      <c r="E8" s="31" t="n">
        <v>1200</v>
      </c>
      <c r="F8" s="34">
        <f>D8</f>
        <v/>
      </c>
      <c r="G8" s="28" t="n">
        <v>1</v>
      </c>
      <c r="H8" s="34">
        <f>F8*G8</f>
        <v/>
      </c>
    </row>
    <row r="9" ht="18" customHeight="1">
      <c r="A9" s="42" t="inlineStr">
        <is>
          <t>Bedroom 1</t>
        </is>
      </c>
      <c r="B9" s="43" t="inlineStr">
        <is>
          <t>Bed frame + slats</t>
        </is>
      </c>
      <c r="C9" s="31" t="n">
        <v>120</v>
      </c>
      <c r="D9" s="31" t="n">
        <v>280</v>
      </c>
      <c r="E9" s="31" t="n">
        <v>650</v>
      </c>
      <c r="F9" s="34">
        <f>D9</f>
        <v/>
      </c>
      <c r="G9" s="28" t="n">
        <v>1</v>
      </c>
      <c r="H9" s="34">
        <f>F9*G9</f>
        <v/>
      </c>
      <c r="J9" s="40" t="inlineStr">
        <is>
          <t>Insurance binder?</t>
        </is>
      </c>
      <c r="K9" s="41">
        <f>IF('Launch Costs'!C14&gt;0,"OK","missing")</f>
        <v/>
      </c>
    </row>
    <row r="10" ht="16" customHeight="1">
      <c r="A10" s="42" t="inlineStr">
        <is>
          <t>Bedroom 1</t>
        </is>
      </c>
      <c r="B10" s="43" t="inlineStr">
        <is>
          <t>Headboard</t>
        </is>
      </c>
      <c r="C10" s="31" t="n">
        <v>80</v>
      </c>
      <c r="D10" s="31" t="n">
        <v>200</v>
      </c>
      <c r="E10" s="31" t="n">
        <v>500</v>
      </c>
      <c r="F10" s="34">
        <f>D10</f>
        <v/>
      </c>
      <c r="G10" s="28" t="n">
        <v>1</v>
      </c>
      <c r="H10" s="34">
        <f>F10*G10</f>
        <v/>
      </c>
    </row>
    <row r="11" ht="18" customHeight="1">
      <c r="A11" s="42" t="inlineStr">
        <is>
          <t>Bedroom 1</t>
        </is>
      </c>
      <c r="B11" s="43" t="inlineStr">
        <is>
          <t>Sheet sets (2 sets)</t>
        </is>
      </c>
      <c r="C11" s="31" t="n">
        <v>60</v>
      </c>
      <c r="D11" s="31" t="n">
        <v>140</v>
      </c>
      <c r="E11" s="31" t="n">
        <v>300</v>
      </c>
      <c r="F11" s="34">
        <f>D11</f>
        <v/>
      </c>
      <c r="G11" s="28" t="n">
        <v>1</v>
      </c>
      <c r="H11" s="34">
        <f>F11*G11</f>
        <v/>
      </c>
      <c r="J11" s="44">
        <f>HYPERLINK("#'Furnish &amp; Setup'!B141", "Smoke detectors?")</f>
        <v/>
      </c>
      <c r="K11" s="41">
        <f>IF(H141&gt;0,"OK","missing")</f>
        <v/>
      </c>
    </row>
    <row r="12" ht="16" customHeight="1">
      <c r="A12" s="42" t="inlineStr">
        <is>
          <t>Bedroom 1</t>
        </is>
      </c>
      <c r="B12" s="43" t="inlineStr">
        <is>
          <t>Comforter / duvet</t>
        </is>
      </c>
      <c r="C12" s="31" t="n">
        <v>60</v>
      </c>
      <c r="D12" s="31" t="n">
        <v>150</v>
      </c>
      <c r="E12" s="31" t="n">
        <v>400</v>
      </c>
      <c r="F12" s="34">
        <f>D12</f>
        <v/>
      </c>
      <c r="G12" s="28" t="n">
        <v>1</v>
      </c>
      <c r="H12" s="34">
        <f>F12*G12</f>
        <v/>
      </c>
    </row>
    <row r="13" ht="18" customHeight="1">
      <c r="A13" s="42" t="inlineStr">
        <is>
          <t>Bedroom 1</t>
        </is>
      </c>
      <c r="B13" s="43" t="inlineStr">
        <is>
          <t>Pillows (4)</t>
        </is>
      </c>
      <c r="C13" s="31" t="n">
        <v>40</v>
      </c>
      <c r="D13" s="31" t="n">
        <v>100</v>
      </c>
      <c r="E13" s="31" t="n">
        <v>240</v>
      </c>
      <c r="F13" s="34">
        <f>D13</f>
        <v/>
      </c>
      <c r="G13" s="28" t="n">
        <v>1</v>
      </c>
      <c r="H13" s="34">
        <f>F13*G13</f>
        <v/>
      </c>
      <c r="J13" s="44">
        <f>HYPERLINK("#'Furnish &amp; Setup'!B142", "CO detectors?")</f>
        <v/>
      </c>
      <c r="K13" s="41">
        <f>IF(H142&gt;0,"OK","missing")</f>
        <v/>
      </c>
    </row>
    <row r="14" ht="16" customHeight="1">
      <c r="A14" s="42" t="inlineStr">
        <is>
          <t>Bedroom 1</t>
        </is>
      </c>
      <c r="B14" s="43" t="inlineStr">
        <is>
          <t>Bedside lamps (pair)</t>
        </is>
      </c>
      <c r="C14" s="31" t="n">
        <v>40</v>
      </c>
      <c r="D14" s="31" t="n">
        <v>120</v>
      </c>
      <c r="E14" s="31" t="n">
        <v>280</v>
      </c>
      <c r="F14" s="34">
        <f>D14</f>
        <v/>
      </c>
      <c r="G14" s="28" t="n">
        <v>1</v>
      </c>
      <c r="H14" s="34">
        <f>F14*G14</f>
        <v/>
      </c>
    </row>
    <row r="15" ht="18" customHeight="1">
      <c r="A15" s="42" t="inlineStr">
        <is>
          <t>Bedroom 1</t>
        </is>
      </c>
      <c r="B15" s="43" t="inlineStr">
        <is>
          <t>Blackout curtains</t>
        </is>
      </c>
      <c r="C15" s="31" t="n">
        <v>40</v>
      </c>
      <c r="D15" s="31" t="n">
        <v>90</v>
      </c>
      <c r="E15" s="31" t="n">
        <v>220</v>
      </c>
      <c r="F15" s="34">
        <f>D15</f>
        <v/>
      </c>
      <c r="G15" s="28" t="n">
        <v>1</v>
      </c>
      <c r="H15" s="34">
        <f>F15*G15</f>
        <v/>
      </c>
      <c r="J15" s="44">
        <f>HYPERLINK("#'Furnish &amp; Setup'!B143", "Fire extinguisher?")</f>
        <v/>
      </c>
      <c r="K15" s="41">
        <f>IF(H143&gt;0,"OK","missing")</f>
        <v/>
      </c>
    </row>
    <row r="16" ht="16" customHeight="1">
      <c r="A16" s="42" t="inlineStr">
        <is>
          <t>Bedroom 1</t>
        </is>
      </c>
      <c r="B16" s="43" t="inlineStr">
        <is>
          <t>Dresser / chest</t>
        </is>
      </c>
      <c r="C16" s="31" t="n">
        <v>150</v>
      </c>
      <c r="D16" s="31" t="n">
        <v>380</v>
      </c>
      <c r="E16" s="31" t="n">
        <v>900</v>
      </c>
      <c r="F16" s="34">
        <f>D16</f>
        <v/>
      </c>
      <c r="G16" s="28" t="n">
        <v>1</v>
      </c>
      <c r="H16" s="34">
        <f>F16*G16</f>
        <v/>
      </c>
    </row>
    <row r="17" ht="18" customHeight="1">
      <c r="A17" s="42" t="inlineStr">
        <is>
          <t>Bedroom 1</t>
        </is>
      </c>
      <c r="B17" s="43" t="inlineStr">
        <is>
          <t>Closet system / hangers</t>
        </is>
      </c>
      <c r="C17" s="31" t="n">
        <v>25</v>
      </c>
      <c r="D17" s="31" t="n">
        <v>75</v>
      </c>
      <c r="E17" s="31" t="n">
        <v>180</v>
      </c>
      <c r="F17" s="34">
        <f>D17</f>
        <v/>
      </c>
      <c r="G17" s="28" t="n">
        <v>1</v>
      </c>
      <c r="H17" s="34">
        <f>F17*G17</f>
        <v/>
      </c>
      <c r="J17" s="44">
        <f>HYPERLINK("#'Furnish &amp; Setup'!B144", "First aid kit?")</f>
        <v/>
      </c>
      <c r="K17" s="41">
        <f>IF(H144&gt;0,"OK","missing")</f>
        <v/>
      </c>
    </row>
    <row r="18" ht="16" customHeight="1">
      <c r="A18" s="42" t="inlineStr">
        <is>
          <t>Bedroom 1</t>
        </is>
      </c>
      <c r="B18" s="43" t="inlineStr">
        <is>
          <t>Mirror (full-length)</t>
        </is>
      </c>
      <c r="C18" s="31" t="n">
        <v>40</v>
      </c>
      <c r="D18" s="31" t="n">
        <v>95</v>
      </c>
      <c r="E18" s="31" t="n">
        <v>240</v>
      </c>
      <c r="F18" s="34">
        <f>D18</f>
        <v/>
      </c>
      <c r="G18" s="28" t="n">
        <v>1</v>
      </c>
      <c r="H18" s="34">
        <f>F18*G18</f>
        <v/>
      </c>
    </row>
    <row r="19" ht="18" customHeight="1">
      <c r="A19" s="42" t="inlineStr">
        <is>
          <t>Bedroom 1</t>
        </is>
      </c>
      <c r="B19" s="43" t="inlineStr">
        <is>
          <t>Wall art (3-piece set)</t>
        </is>
      </c>
      <c r="C19" s="31" t="n">
        <v>50</v>
      </c>
      <c r="D19" s="31" t="n">
        <v>140</v>
      </c>
      <c r="E19" s="31" t="n">
        <v>400</v>
      </c>
      <c r="F19" s="34">
        <f>D19</f>
        <v/>
      </c>
      <c r="G19" s="28" t="n">
        <v>1</v>
      </c>
      <c r="H19" s="34">
        <f>F19*G19</f>
        <v/>
      </c>
      <c r="J19" s="40" t="inlineStr">
        <is>
          <t>Pro photos?</t>
        </is>
      </c>
      <c r="K19" s="41">
        <f>IF('Launch Costs'!C8&gt;0,"OK","missing")</f>
        <v/>
      </c>
    </row>
    <row r="20" ht="16" customHeight="1">
      <c r="A20" s="42" t="inlineStr">
        <is>
          <t>Bedroom 1</t>
        </is>
      </c>
      <c r="B20" s="43" t="inlineStr">
        <is>
          <t>Area rug</t>
        </is>
      </c>
      <c r="C20" s="31" t="n">
        <v>80</v>
      </c>
      <c r="D20" s="31" t="n">
        <v>220</v>
      </c>
      <c r="E20" s="31" t="n">
        <v>600</v>
      </c>
      <c r="F20" s="34">
        <f>D20</f>
        <v/>
      </c>
      <c r="G20" s="28" t="n">
        <v>1</v>
      </c>
      <c r="H20" s="34">
        <f>F20*G20</f>
        <v/>
      </c>
    </row>
    <row r="21" ht="18" customHeight="1">
      <c r="A21" s="42" t="inlineStr">
        <is>
          <t>Bedroom 1</t>
        </is>
      </c>
      <c r="B21" s="43" t="inlineStr">
        <is>
          <t>Nightstand (pair)</t>
        </is>
      </c>
      <c r="C21" s="31" t="n">
        <v>90</v>
      </c>
      <c r="D21" s="31" t="n">
        <v>240</v>
      </c>
      <c r="E21" s="31" t="n">
        <v>600</v>
      </c>
      <c r="F21" s="34">
        <f>D21</f>
        <v/>
      </c>
      <c r="G21" s="28" t="n">
        <v>1</v>
      </c>
      <c r="H21" s="34">
        <f>F21*G21</f>
        <v/>
      </c>
      <c r="J21" s="44">
        <f>HYPERLINK("#'Furnish &amp; Setup'!B148", "Exterior security cam?")</f>
        <v/>
      </c>
      <c r="K21" s="41">
        <f>IF(H148&gt;0,"OK","missing")</f>
        <v/>
      </c>
    </row>
    <row r="22" ht="16" customHeight="1">
      <c r="A22" s="42" t="inlineStr">
        <is>
          <t>Bedroom 1</t>
        </is>
      </c>
      <c r="B22" s="43" t="inlineStr">
        <is>
          <t>Throw blanket + accent pillows</t>
        </is>
      </c>
      <c r="C22" s="31" t="n">
        <v>35</v>
      </c>
      <c r="D22" s="31" t="n">
        <v>90</v>
      </c>
      <c r="E22" s="31" t="n">
        <v>220</v>
      </c>
      <c r="F22" s="34">
        <f>D22</f>
        <v/>
      </c>
      <c r="G22" s="28" t="n">
        <v>1</v>
      </c>
      <c r="H22" s="34">
        <f>F22*G22</f>
        <v/>
      </c>
    </row>
    <row r="23" ht="18" customHeight="1">
      <c r="B23" s="45" t="inlineStr">
        <is>
          <t xml:space="preserve">  Bedroom 1 subtotal</t>
        </is>
      </c>
      <c r="C23" s="46">
        <f>SUM(C8:C22)</f>
        <v/>
      </c>
      <c r="D23" s="46">
        <f>SUM(D8:D22)</f>
        <v/>
      </c>
      <c r="E23" s="46">
        <f>SUM(E8:E22)</f>
        <v/>
      </c>
      <c r="F23" s="46">
        <f>SUM(F8:F22)</f>
        <v/>
      </c>
      <c r="H23" s="46">
        <f>SUM(H8:H22)</f>
        <v/>
      </c>
      <c r="J23" s="40" t="inlineStr">
        <is>
          <t>Permit / business license?</t>
        </is>
      </c>
      <c r="K23" s="41">
        <f>IF('Launch Costs'!C10&gt;0,"OK","missing")</f>
        <v/>
      </c>
    </row>
    <row r="24"/>
    <row r="25" ht="20" customHeight="1">
      <c r="A25" s="39" t="inlineStr">
        <is>
          <t>BEDROOM 2</t>
        </is>
      </c>
      <c r="J25" s="47" t="inlineStr">
        <is>
          <t>Click any label to jump to the row. "OK" = you've accounted for it. "missing" = double-check before launch.</t>
        </is>
      </c>
    </row>
    <row r="26" ht="16" customHeight="1">
      <c r="A26" s="42" t="inlineStr">
        <is>
          <t>Bedroom 2</t>
        </is>
      </c>
      <c r="B26" s="43" t="inlineStr">
        <is>
          <t>Queen mattress</t>
        </is>
      </c>
      <c r="C26" s="31" t="n">
        <v>250</v>
      </c>
      <c r="D26" s="31" t="n">
        <v>650</v>
      </c>
      <c r="E26" s="31" t="n">
        <v>1200</v>
      </c>
      <c r="F26" s="34">
        <f>D26</f>
        <v/>
      </c>
      <c r="G26" s="28" t="n">
        <v>1</v>
      </c>
      <c r="H26" s="34">
        <f>F26*G26</f>
        <v/>
      </c>
    </row>
    <row r="27" ht="16" customHeight="1">
      <c r="A27" s="42" t="inlineStr">
        <is>
          <t>Bedroom 2</t>
        </is>
      </c>
      <c r="B27" s="43" t="inlineStr">
        <is>
          <t>Bed frame + slats</t>
        </is>
      </c>
      <c r="C27" s="31" t="n">
        <v>120</v>
      </c>
      <c r="D27" s="31" t="n">
        <v>280</v>
      </c>
      <c r="E27" s="31" t="n">
        <v>650</v>
      </c>
      <c r="F27" s="34">
        <f>D27</f>
        <v/>
      </c>
      <c r="G27" s="28" t="n">
        <v>1</v>
      </c>
      <c r="H27" s="34">
        <f>F27*G27</f>
        <v/>
      </c>
    </row>
    <row r="28" ht="16" customHeight="1">
      <c r="A28" s="42" t="inlineStr">
        <is>
          <t>Bedroom 2</t>
        </is>
      </c>
      <c r="B28" s="43" t="inlineStr">
        <is>
          <t>Headboard</t>
        </is>
      </c>
      <c r="C28" s="31" t="n">
        <v>80</v>
      </c>
      <c r="D28" s="31" t="n">
        <v>200</v>
      </c>
      <c r="E28" s="31" t="n">
        <v>500</v>
      </c>
      <c r="F28" s="34">
        <f>D28</f>
        <v/>
      </c>
      <c r="G28" s="28" t="n">
        <v>1</v>
      </c>
      <c r="H28" s="34">
        <f>F28*G28</f>
        <v/>
      </c>
    </row>
    <row r="29" ht="16" customHeight="1">
      <c r="A29" s="42" t="inlineStr">
        <is>
          <t>Bedroom 2</t>
        </is>
      </c>
      <c r="B29" s="43" t="inlineStr">
        <is>
          <t>Sheet sets (2 sets)</t>
        </is>
      </c>
      <c r="C29" s="31" t="n">
        <v>60</v>
      </c>
      <c r="D29" s="31" t="n">
        <v>140</v>
      </c>
      <c r="E29" s="31" t="n">
        <v>300</v>
      </c>
      <c r="F29" s="34">
        <f>D29</f>
        <v/>
      </c>
      <c r="G29" s="28" t="n">
        <v>1</v>
      </c>
      <c r="H29" s="34">
        <f>F29*G29</f>
        <v/>
      </c>
    </row>
    <row r="30" ht="16" customHeight="1">
      <c r="A30" s="42" t="inlineStr">
        <is>
          <t>Bedroom 2</t>
        </is>
      </c>
      <c r="B30" s="43" t="inlineStr">
        <is>
          <t>Comforter / duvet</t>
        </is>
      </c>
      <c r="C30" s="31" t="n">
        <v>60</v>
      </c>
      <c r="D30" s="31" t="n">
        <v>150</v>
      </c>
      <c r="E30" s="31" t="n">
        <v>400</v>
      </c>
      <c r="F30" s="34">
        <f>D30</f>
        <v/>
      </c>
      <c r="G30" s="28" t="n">
        <v>1</v>
      </c>
      <c r="H30" s="34">
        <f>F30*G30</f>
        <v/>
      </c>
    </row>
    <row r="31" ht="16" customHeight="1">
      <c r="A31" s="42" t="inlineStr">
        <is>
          <t>Bedroom 2</t>
        </is>
      </c>
      <c r="B31" s="43" t="inlineStr">
        <is>
          <t>Pillows (4)</t>
        </is>
      </c>
      <c r="C31" s="31" t="n">
        <v>40</v>
      </c>
      <c r="D31" s="31" t="n">
        <v>100</v>
      </c>
      <c r="E31" s="31" t="n">
        <v>240</v>
      </c>
      <c r="F31" s="34">
        <f>D31</f>
        <v/>
      </c>
      <c r="G31" s="28" t="n">
        <v>1</v>
      </c>
      <c r="H31" s="34">
        <f>F31*G31</f>
        <v/>
      </c>
    </row>
    <row r="32" ht="16" customHeight="1">
      <c r="A32" s="42" t="inlineStr">
        <is>
          <t>Bedroom 2</t>
        </is>
      </c>
      <c r="B32" s="43" t="inlineStr">
        <is>
          <t>Bedside lamps (pair)</t>
        </is>
      </c>
      <c r="C32" s="31" t="n">
        <v>40</v>
      </c>
      <c r="D32" s="31" t="n">
        <v>120</v>
      </c>
      <c r="E32" s="31" t="n">
        <v>280</v>
      </c>
      <c r="F32" s="34">
        <f>D32</f>
        <v/>
      </c>
      <c r="G32" s="28" t="n">
        <v>1</v>
      </c>
      <c r="H32" s="34">
        <f>F32*G32</f>
        <v/>
      </c>
    </row>
    <row r="33" ht="16" customHeight="1">
      <c r="A33" s="42" t="inlineStr">
        <is>
          <t>Bedroom 2</t>
        </is>
      </c>
      <c r="B33" s="43" t="inlineStr">
        <is>
          <t>Blackout curtains</t>
        </is>
      </c>
      <c r="C33" s="31" t="n">
        <v>40</v>
      </c>
      <c r="D33" s="31" t="n">
        <v>90</v>
      </c>
      <c r="E33" s="31" t="n">
        <v>220</v>
      </c>
      <c r="F33" s="34">
        <f>D33</f>
        <v/>
      </c>
      <c r="G33" s="28" t="n">
        <v>1</v>
      </c>
      <c r="H33" s="34">
        <f>F33*G33</f>
        <v/>
      </c>
    </row>
    <row r="34" ht="16" customHeight="1">
      <c r="A34" s="42" t="inlineStr">
        <is>
          <t>Bedroom 2</t>
        </is>
      </c>
      <c r="B34" s="43" t="inlineStr">
        <is>
          <t>Dresser / chest</t>
        </is>
      </c>
      <c r="C34" s="31" t="n">
        <v>150</v>
      </c>
      <c r="D34" s="31" t="n">
        <v>380</v>
      </c>
      <c r="E34" s="31" t="n">
        <v>900</v>
      </c>
      <c r="F34" s="34">
        <f>D34</f>
        <v/>
      </c>
      <c r="G34" s="28" t="n">
        <v>1</v>
      </c>
      <c r="H34" s="34">
        <f>F34*G34</f>
        <v/>
      </c>
    </row>
    <row r="35" ht="16" customHeight="1">
      <c r="A35" s="42" t="inlineStr">
        <is>
          <t>Bedroom 2</t>
        </is>
      </c>
      <c r="B35" s="43" t="inlineStr">
        <is>
          <t>Closet system / hangers</t>
        </is>
      </c>
      <c r="C35" s="31" t="n">
        <v>25</v>
      </c>
      <c r="D35" s="31" t="n">
        <v>75</v>
      </c>
      <c r="E35" s="31" t="n">
        <v>180</v>
      </c>
      <c r="F35" s="34">
        <f>D35</f>
        <v/>
      </c>
      <c r="G35" s="28" t="n">
        <v>1</v>
      </c>
      <c r="H35" s="34">
        <f>F35*G35</f>
        <v/>
      </c>
    </row>
    <row r="36" ht="16" customHeight="1">
      <c r="A36" s="42" t="inlineStr">
        <is>
          <t>Bedroom 2</t>
        </is>
      </c>
      <c r="B36" s="43" t="inlineStr">
        <is>
          <t>Mirror (full-length)</t>
        </is>
      </c>
      <c r="C36" s="31" t="n">
        <v>40</v>
      </c>
      <c r="D36" s="31" t="n">
        <v>95</v>
      </c>
      <c r="E36" s="31" t="n">
        <v>240</v>
      </c>
      <c r="F36" s="34">
        <f>D36</f>
        <v/>
      </c>
      <c r="G36" s="28" t="n">
        <v>1</v>
      </c>
      <c r="H36" s="34">
        <f>F36*G36</f>
        <v/>
      </c>
    </row>
    <row r="37" ht="16" customHeight="1">
      <c r="A37" s="42" t="inlineStr">
        <is>
          <t>Bedroom 2</t>
        </is>
      </c>
      <c r="B37" s="43" t="inlineStr">
        <is>
          <t>Wall art (3-piece set)</t>
        </is>
      </c>
      <c r="C37" s="31" t="n">
        <v>50</v>
      </c>
      <c r="D37" s="31" t="n">
        <v>140</v>
      </c>
      <c r="E37" s="31" t="n">
        <v>400</v>
      </c>
      <c r="F37" s="34">
        <f>D37</f>
        <v/>
      </c>
      <c r="G37" s="28" t="n">
        <v>1</v>
      </c>
      <c r="H37" s="34">
        <f>F37*G37</f>
        <v/>
      </c>
    </row>
    <row r="38" ht="16" customHeight="1">
      <c r="A38" s="42" t="inlineStr">
        <is>
          <t>Bedroom 2</t>
        </is>
      </c>
      <c r="B38" s="43" t="inlineStr">
        <is>
          <t>Area rug</t>
        </is>
      </c>
      <c r="C38" s="31" t="n">
        <v>80</v>
      </c>
      <c r="D38" s="31" t="n">
        <v>220</v>
      </c>
      <c r="E38" s="31" t="n">
        <v>600</v>
      </c>
      <c r="F38" s="34">
        <f>D38</f>
        <v/>
      </c>
      <c r="G38" s="28" t="n">
        <v>1</v>
      </c>
      <c r="H38" s="34">
        <f>F38*G38</f>
        <v/>
      </c>
    </row>
    <row r="39" ht="16" customHeight="1">
      <c r="A39" s="42" t="inlineStr">
        <is>
          <t>Bedroom 2</t>
        </is>
      </c>
      <c r="B39" s="43" t="inlineStr">
        <is>
          <t>Nightstand (pair)</t>
        </is>
      </c>
      <c r="C39" s="31" t="n">
        <v>90</v>
      </c>
      <c r="D39" s="31" t="n">
        <v>240</v>
      </c>
      <c r="E39" s="31" t="n">
        <v>600</v>
      </c>
      <c r="F39" s="34">
        <f>D39</f>
        <v/>
      </c>
      <c r="G39" s="28" t="n">
        <v>1</v>
      </c>
      <c r="H39" s="34">
        <f>F39*G39</f>
        <v/>
      </c>
    </row>
    <row r="40" ht="16" customHeight="1">
      <c r="A40" s="42" t="inlineStr">
        <is>
          <t>Bedroom 2</t>
        </is>
      </c>
      <c r="B40" s="43" t="inlineStr">
        <is>
          <t>Throw blanket + accent pillows</t>
        </is>
      </c>
      <c r="C40" s="31" t="n">
        <v>35</v>
      </c>
      <c r="D40" s="31" t="n">
        <v>90</v>
      </c>
      <c r="E40" s="31" t="n">
        <v>220</v>
      </c>
      <c r="F40" s="34">
        <f>D40</f>
        <v/>
      </c>
      <c r="G40" s="28" t="n">
        <v>1</v>
      </c>
      <c r="H40" s="34">
        <f>F40*G40</f>
        <v/>
      </c>
    </row>
    <row r="41" ht="18" customHeight="1">
      <c r="B41" s="45" t="inlineStr">
        <is>
          <t xml:space="preserve">  Bedroom 2 subtotal</t>
        </is>
      </c>
      <c r="C41" s="46">
        <f>SUM(C26:C40)</f>
        <v/>
      </c>
      <c r="D41" s="46">
        <f>SUM(D26:D40)</f>
        <v/>
      </c>
      <c r="E41" s="46">
        <f>SUM(E26:E40)</f>
        <v/>
      </c>
      <c r="F41" s="46">
        <f>SUM(F26:F40)</f>
        <v/>
      </c>
      <c r="H41" s="46">
        <f>SUM(H26:H40)</f>
        <v/>
      </c>
    </row>
    <row r="42"/>
    <row r="43" ht="20" customHeight="1">
      <c r="A43" s="39" t="inlineStr">
        <is>
          <t>BATHROOM 1</t>
        </is>
      </c>
    </row>
    <row r="44" ht="16" customHeight="1">
      <c r="A44" s="42" t="inlineStr">
        <is>
          <t>Bathroom 1</t>
        </is>
      </c>
      <c r="B44" s="43" t="inlineStr">
        <is>
          <t>Towel sets (4 hand + 4 bath)</t>
        </is>
      </c>
      <c r="C44" s="31" t="n">
        <v>60</v>
      </c>
      <c r="D44" s="31" t="n">
        <v>140</v>
      </c>
      <c r="E44" s="31" t="n">
        <v>320</v>
      </c>
      <c r="F44" s="34">
        <f>D44</f>
        <v/>
      </c>
      <c r="G44" s="28" t="n">
        <v>1</v>
      </c>
      <c r="H44" s="34">
        <f>F44*G44</f>
        <v/>
      </c>
    </row>
    <row r="45" ht="16" customHeight="1">
      <c r="A45" s="42" t="inlineStr">
        <is>
          <t>Bathroom 1</t>
        </is>
      </c>
      <c r="B45" s="43" t="inlineStr">
        <is>
          <t>Bath mats (2)</t>
        </is>
      </c>
      <c r="C45" s="31" t="n">
        <v>25</v>
      </c>
      <c r="D45" s="31" t="n">
        <v>55</v>
      </c>
      <c r="E45" s="31" t="n">
        <v>140</v>
      </c>
      <c r="F45" s="34">
        <f>D45</f>
        <v/>
      </c>
      <c r="G45" s="28" t="n">
        <v>1</v>
      </c>
      <c r="H45" s="34">
        <f>F45*G45</f>
        <v/>
      </c>
    </row>
    <row r="46" ht="16" customHeight="1">
      <c r="A46" s="42" t="inlineStr">
        <is>
          <t>Bathroom 1</t>
        </is>
      </c>
      <c r="B46" s="43" t="inlineStr">
        <is>
          <t>Shower curtain + liner</t>
        </is>
      </c>
      <c r="C46" s="31" t="n">
        <v>25</v>
      </c>
      <c r="D46" s="31" t="n">
        <v>60</v>
      </c>
      <c r="E46" s="31" t="n">
        <v>140</v>
      </c>
      <c r="F46" s="34">
        <f>D46</f>
        <v/>
      </c>
      <c r="G46" s="28" t="n">
        <v>1</v>
      </c>
      <c r="H46" s="34">
        <f>F46*G46</f>
        <v/>
      </c>
    </row>
    <row r="47" ht="16" customHeight="1">
      <c r="A47" s="42" t="inlineStr">
        <is>
          <t>Bathroom 1</t>
        </is>
      </c>
      <c r="B47" s="43" t="inlineStr">
        <is>
          <t>Soap + lotion dispensers</t>
        </is>
      </c>
      <c r="C47" s="31" t="n">
        <v>20</v>
      </c>
      <c r="D47" s="31" t="n">
        <v>50</v>
      </c>
      <c r="E47" s="31" t="n">
        <v>120</v>
      </c>
      <c r="F47" s="34">
        <f>D47</f>
        <v/>
      </c>
      <c r="G47" s="28" t="n">
        <v>1</v>
      </c>
      <c r="H47" s="34">
        <f>F47*G47</f>
        <v/>
      </c>
    </row>
    <row r="48" ht="16" customHeight="1">
      <c r="A48" s="42" t="inlineStr">
        <is>
          <t>Bathroom 1</t>
        </is>
      </c>
      <c r="B48" s="43" t="inlineStr">
        <is>
          <t>Trash bin (covered)</t>
        </is>
      </c>
      <c r="C48" s="31" t="n">
        <v>20</v>
      </c>
      <c r="D48" s="31" t="n">
        <v>45</v>
      </c>
      <c r="E48" s="31" t="n">
        <v>110</v>
      </c>
      <c r="F48" s="34">
        <f>D48</f>
        <v/>
      </c>
      <c r="G48" s="28" t="n">
        <v>1</v>
      </c>
      <c r="H48" s="34">
        <f>F48*G48</f>
        <v/>
      </c>
    </row>
    <row r="49" ht="16" customHeight="1">
      <c r="A49" s="42" t="inlineStr">
        <is>
          <t>Bathroom 1</t>
        </is>
      </c>
      <c r="B49" s="43" t="inlineStr">
        <is>
          <t>Toilet brush + holder</t>
        </is>
      </c>
      <c r="C49" s="31" t="n">
        <v>15</v>
      </c>
      <c r="D49" s="31" t="n">
        <v>35</v>
      </c>
      <c r="E49" s="31" t="n">
        <v>80</v>
      </c>
      <c r="F49" s="34">
        <f>D49</f>
        <v/>
      </c>
      <c r="G49" s="28" t="n">
        <v>1</v>
      </c>
      <c r="H49" s="34">
        <f>F49*G49</f>
        <v/>
      </c>
    </row>
    <row r="50" ht="16" customHeight="1">
      <c r="A50" s="42" t="inlineStr">
        <is>
          <t>Bathroom 1</t>
        </is>
      </c>
      <c r="B50" s="43" t="inlineStr">
        <is>
          <t>Plunger</t>
        </is>
      </c>
      <c r="C50" s="31" t="n">
        <v>12</v>
      </c>
      <c r="D50" s="31" t="n">
        <v>25</v>
      </c>
      <c r="E50" s="31" t="n">
        <v>50</v>
      </c>
      <c r="F50" s="34">
        <f>D50</f>
        <v/>
      </c>
      <c r="G50" s="28" t="n">
        <v>1</v>
      </c>
      <c r="H50" s="34">
        <f>F50*G50</f>
        <v/>
      </c>
    </row>
    <row r="51" ht="16" customHeight="1">
      <c r="A51" s="42" t="inlineStr">
        <is>
          <t>Bathroom 1</t>
        </is>
      </c>
      <c r="B51" s="43" t="inlineStr">
        <is>
          <t>Toilet paper holder</t>
        </is>
      </c>
      <c r="C51" s="31" t="n">
        <v>15</v>
      </c>
      <c r="D51" s="31" t="n">
        <v>35</v>
      </c>
      <c r="E51" s="31" t="n">
        <v>80</v>
      </c>
      <c r="F51" s="34">
        <f>D51</f>
        <v/>
      </c>
      <c r="G51" s="28" t="n">
        <v>1</v>
      </c>
      <c r="H51" s="34">
        <f>F51*G51</f>
        <v/>
      </c>
    </row>
    <row r="52" ht="16" customHeight="1">
      <c r="A52" s="42" t="inlineStr">
        <is>
          <t>Bathroom 1</t>
        </is>
      </c>
      <c r="B52" s="43" t="inlineStr">
        <is>
          <t>Wall hooks / robe hooks</t>
        </is>
      </c>
      <c r="C52" s="31" t="n">
        <v>15</v>
      </c>
      <c r="D52" s="31" t="n">
        <v>35</v>
      </c>
      <c r="E52" s="31" t="n">
        <v>90</v>
      </c>
      <c r="F52" s="34">
        <f>D52</f>
        <v/>
      </c>
      <c r="G52" s="28" t="n">
        <v>1</v>
      </c>
      <c r="H52" s="34">
        <f>F52*G52</f>
        <v/>
      </c>
    </row>
    <row r="53" ht="16" customHeight="1">
      <c r="A53" s="42" t="inlineStr">
        <is>
          <t>Bathroom 1</t>
        </is>
      </c>
      <c r="B53" s="43" t="inlineStr">
        <is>
          <t>Wall art</t>
        </is>
      </c>
      <c r="C53" s="31" t="n">
        <v>30</v>
      </c>
      <c r="D53" s="31" t="n">
        <v>75</v>
      </c>
      <c r="E53" s="31" t="n">
        <v>200</v>
      </c>
      <c r="F53" s="34">
        <f>D53</f>
        <v/>
      </c>
      <c r="G53" s="28" t="n">
        <v>1</v>
      </c>
      <c r="H53" s="34">
        <f>F53*G53</f>
        <v/>
      </c>
    </row>
    <row r="54" ht="16" customHeight="1">
      <c r="A54" s="42" t="inlineStr">
        <is>
          <t>Bathroom 1</t>
        </is>
      </c>
      <c r="B54" s="43" t="inlineStr">
        <is>
          <t>Bathroom scale</t>
        </is>
      </c>
      <c r="C54" s="31" t="n">
        <v>20</v>
      </c>
      <c r="D54" s="31" t="n">
        <v>45</v>
      </c>
      <c r="E54" s="31" t="n">
        <v>100</v>
      </c>
      <c r="F54" s="34">
        <f>D54</f>
        <v/>
      </c>
      <c r="G54" s="28" t="n">
        <v>1</v>
      </c>
      <c r="H54" s="34">
        <f>F54*G54</f>
        <v/>
      </c>
    </row>
    <row r="55" ht="16" customHeight="1">
      <c r="A55" s="42" t="inlineStr">
        <is>
          <t>Bathroom 1</t>
        </is>
      </c>
      <c r="B55" s="43" t="inlineStr">
        <is>
          <t>Hairdryer</t>
        </is>
      </c>
      <c r="C55" s="31" t="n">
        <v>20</v>
      </c>
      <c r="D55" s="31" t="n">
        <v>55</v>
      </c>
      <c r="E55" s="31" t="n">
        <v>130</v>
      </c>
      <c r="F55" s="34">
        <f>D55</f>
        <v/>
      </c>
      <c r="G55" s="28" t="n">
        <v>1</v>
      </c>
      <c r="H55" s="34">
        <f>F55*G55</f>
        <v/>
      </c>
    </row>
    <row r="56" ht="18" customHeight="1">
      <c r="B56" s="45" t="inlineStr">
        <is>
          <t xml:space="preserve">  Bathroom 1 subtotal</t>
        </is>
      </c>
      <c r="C56" s="46">
        <f>SUM(C44:C55)</f>
        <v/>
      </c>
      <c r="D56" s="46">
        <f>SUM(D44:D55)</f>
        <v/>
      </c>
      <c r="E56" s="46">
        <f>SUM(E44:E55)</f>
        <v/>
      </c>
      <c r="F56" s="46">
        <f>SUM(F44:F55)</f>
        <v/>
      </c>
      <c r="H56" s="46">
        <f>SUM(H44:H55)</f>
        <v/>
      </c>
    </row>
    <row r="57"/>
    <row r="58" ht="20" customHeight="1">
      <c r="A58" s="39" t="inlineStr">
        <is>
          <t>BATHROOM 2</t>
        </is>
      </c>
    </row>
    <row r="59" ht="16" customHeight="1">
      <c r="A59" s="42" t="inlineStr">
        <is>
          <t>Bathroom 2</t>
        </is>
      </c>
      <c r="B59" s="43" t="inlineStr">
        <is>
          <t>Towel sets (4 hand + 4 bath)</t>
        </is>
      </c>
      <c r="C59" s="31" t="n">
        <v>60</v>
      </c>
      <c r="D59" s="31" t="n">
        <v>140</v>
      </c>
      <c r="E59" s="31" t="n">
        <v>320</v>
      </c>
      <c r="F59" s="34">
        <f>D59</f>
        <v/>
      </c>
      <c r="G59" s="28" t="n">
        <v>1</v>
      </c>
      <c r="H59" s="34">
        <f>F59*G59</f>
        <v/>
      </c>
    </row>
    <row r="60" ht="16" customHeight="1">
      <c r="A60" s="42" t="inlineStr">
        <is>
          <t>Bathroom 2</t>
        </is>
      </c>
      <c r="B60" s="43" t="inlineStr">
        <is>
          <t>Bath mats (2)</t>
        </is>
      </c>
      <c r="C60" s="31" t="n">
        <v>25</v>
      </c>
      <c r="D60" s="31" t="n">
        <v>55</v>
      </c>
      <c r="E60" s="31" t="n">
        <v>140</v>
      </c>
      <c r="F60" s="34">
        <f>D60</f>
        <v/>
      </c>
      <c r="G60" s="28" t="n">
        <v>1</v>
      </c>
      <c r="H60" s="34">
        <f>F60*G60</f>
        <v/>
      </c>
    </row>
    <row r="61" ht="16" customHeight="1">
      <c r="A61" s="42" t="inlineStr">
        <is>
          <t>Bathroom 2</t>
        </is>
      </c>
      <c r="B61" s="43" t="inlineStr">
        <is>
          <t>Shower curtain + liner</t>
        </is>
      </c>
      <c r="C61" s="31" t="n">
        <v>25</v>
      </c>
      <c r="D61" s="31" t="n">
        <v>60</v>
      </c>
      <c r="E61" s="31" t="n">
        <v>140</v>
      </c>
      <c r="F61" s="34">
        <f>D61</f>
        <v/>
      </c>
      <c r="G61" s="28" t="n">
        <v>1</v>
      </c>
      <c r="H61" s="34">
        <f>F61*G61</f>
        <v/>
      </c>
    </row>
    <row r="62" ht="16" customHeight="1">
      <c r="A62" s="42" t="inlineStr">
        <is>
          <t>Bathroom 2</t>
        </is>
      </c>
      <c r="B62" s="43" t="inlineStr">
        <is>
          <t>Soap + lotion dispensers</t>
        </is>
      </c>
      <c r="C62" s="31" t="n">
        <v>20</v>
      </c>
      <c r="D62" s="31" t="n">
        <v>50</v>
      </c>
      <c r="E62" s="31" t="n">
        <v>120</v>
      </c>
      <c r="F62" s="34">
        <f>D62</f>
        <v/>
      </c>
      <c r="G62" s="28" t="n">
        <v>1</v>
      </c>
      <c r="H62" s="34">
        <f>F62*G62</f>
        <v/>
      </c>
    </row>
    <row r="63" ht="16" customHeight="1">
      <c r="A63" s="42" t="inlineStr">
        <is>
          <t>Bathroom 2</t>
        </is>
      </c>
      <c r="B63" s="43" t="inlineStr">
        <is>
          <t>Trash bin (covered)</t>
        </is>
      </c>
      <c r="C63" s="31" t="n">
        <v>20</v>
      </c>
      <c r="D63" s="31" t="n">
        <v>45</v>
      </c>
      <c r="E63" s="31" t="n">
        <v>110</v>
      </c>
      <c r="F63" s="34">
        <f>D63</f>
        <v/>
      </c>
      <c r="G63" s="28" t="n">
        <v>1</v>
      </c>
      <c r="H63" s="34">
        <f>F63*G63</f>
        <v/>
      </c>
    </row>
    <row r="64" ht="16" customHeight="1">
      <c r="A64" s="42" t="inlineStr">
        <is>
          <t>Bathroom 2</t>
        </is>
      </c>
      <c r="B64" s="43" t="inlineStr">
        <is>
          <t>Toilet brush + holder</t>
        </is>
      </c>
      <c r="C64" s="31" t="n">
        <v>15</v>
      </c>
      <c r="D64" s="31" t="n">
        <v>35</v>
      </c>
      <c r="E64" s="31" t="n">
        <v>80</v>
      </c>
      <c r="F64" s="34">
        <f>D64</f>
        <v/>
      </c>
      <c r="G64" s="28" t="n">
        <v>1</v>
      </c>
      <c r="H64" s="34">
        <f>F64*G64</f>
        <v/>
      </c>
    </row>
    <row r="65" ht="16" customHeight="1">
      <c r="A65" s="42" t="inlineStr">
        <is>
          <t>Bathroom 2</t>
        </is>
      </c>
      <c r="B65" s="43" t="inlineStr">
        <is>
          <t>Plunger</t>
        </is>
      </c>
      <c r="C65" s="31" t="n">
        <v>12</v>
      </c>
      <c r="D65" s="31" t="n">
        <v>25</v>
      </c>
      <c r="E65" s="31" t="n">
        <v>50</v>
      </c>
      <c r="F65" s="34">
        <f>D65</f>
        <v/>
      </c>
      <c r="G65" s="28" t="n">
        <v>1</v>
      </c>
      <c r="H65" s="34">
        <f>F65*G65</f>
        <v/>
      </c>
    </row>
    <row r="66" ht="16" customHeight="1">
      <c r="A66" s="42" t="inlineStr">
        <is>
          <t>Bathroom 2</t>
        </is>
      </c>
      <c r="B66" s="43" t="inlineStr">
        <is>
          <t>Toilet paper holder</t>
        </is>
      </c>
      <c r="C66" s="31" t="n">
        <v>15</v>
      </c>
      <c r="D66" s="31" t="n">
        <v>35</v>
      </c>
      <c r="E66" s="31" t="n">
        <v>80</v>
      </c>
      <c r="F66" s="34">
        <f>D66</f>
        <v/>
      </c>
      <c r="G66" s="28" t="n">
        <v>1</v>
      </c>
      <c r="H66" s="34">
        <f>F66*G66</f>
        <v/>
      </c>
    </row>
    <row r="67" ht="16" customHeight="1">
      <c r="A67" s="42" t="inlineStr">
        <is>
          <t>Bathroom 2</t>
        </is>
      </c>
      <c r="B67" s="43" t="inlineStr">
        <is>
          <t>Wall hooks / robe hooks</t>
        </is>
      </c>
      <c r="C67" s="31" t="n">
        <v>15</v>
      </c>
      <c r="D67" s="31" t="n">
        <v>35</v>
      </c>
      <c r="E67" s="31" t="n">
        <v>90</v>
      </c>
      <c r="F67" s="34">
        <f>D67</f>
        <v/>
      </c>
      <c r="G67" s="28" t="n">
        <v>1</v>
      </c>
      <c r="H67" s="34">
        <f>F67*G67</f>
        <v/>
      </c>
    </row>
    <row r="68" ht="16" customHeight="1">
      <c r="A68" s="42" t="inlineStr">
        <is>
          <t>Bathroom 2</t>
        </is>
      </c>
      <c r="B68" s="43" t="inlineStr">
        <is>
          <t>Wall art</t>
        </is>
      </c>
      <c r="C68" s="31" t="n">
        <v>30</v>
      </c>
      <c r="D68" s="31" t="n">
        <v>75</v>
      </c>
      <c r="E68" s="31" t="n">
        <v>200</v>
      </c>
      <c r="F68" s="34">
        <f>D68</f>
        <v/>
      </c>
      <c r="G68" s="28" t="n">
        <v>1</v>
      </c>
      <c r="H68" s="34">
        <f>F68*G68</f>
        <v/>
      </c>
    </row>
    <row r="69" ht="16" customHeight="1">
      <c r="A69" s="42" t="inlineStr">
        <is>
          <t>Bathroom 2</t>
        </is>
      </c>
      <c r="B69" s="43" t="inlineStr">
        <is>
          <t>Bathroom scale</t>
        </is>
      </c>
      <c r="C69" s="31" t="n">
        <v>20</v>
      </c>
      <c r="D69" s="31" t="n">
        <v>45</v>
      </c>
      <c r="E69" s="31" t="n">
        <v>100</v>
      </c>
      <c r="F69" s="34">
        <f>D69</f>
        <v/>
      </c>
      <c r="G69" s="28" t="n">
        <v>1</v>
      </c>
      <c r="H69" s="34">
        <f>F69*G69</f>
        <v/>
      </c>
    </row>
    <row r="70" ht="16" customHeight="1">
      <c r="A70" s="42" t="inlineStr">
        <is>
          <t>Bathroom 2</t>
        </is>
      </c>
      <c r="B70" s="43" t="inlineStr">
        <is>
          <t>Hairdryer</t>
        </is>
      </c>
      <c r="C70" s="31" t="n">
        <v>20</v>
      </c>
      <c r="D70" s="31" t="n">
        <v>55</v>
      </c>
      <c r="E70" s="31" t="n">
        <v>130</v>
      </c>
      <c r="F70" s="34">
        <f>D70</f>
        <v/>
      </c>
      <c r="G70" s="28" t="n">
        <v>1</v>
      </c>
      <c r="H70" s="34">
        <f>F70*G70</f>
        <v/>
      </c>
    </row>
    <row r="71" ht="18" customHeight="1">
      <c r="B71" s="45" t="inlineStr">
        <is>
          <t xml:space="preserve">  Bathroom 2 subtotal</t>
        </is>
      </c>
      <c r="C71" s="46">
        <f>SUM(C59:C70)</f>
        <v/>
      </c>
      <c r="D71" s="46">
        <f>SUM(D59:D70)</f>
        <v/>
      </c>
      <c r="E71" s="46">
        <f>SUM(E59:E70)</f>
        <v/>
      </c>
      <c r="F71" s="46">
        <f>SUM(F59:F70)</f>
        <v/>
      </c>
      <c r="H71" s="46">
        <f>SUM(H59:H70)</f>
        <v/>
      </c>
    </row>
    <row r="72"/>
    <row r="73" ht="20" customHeight="1">
      <c r="A73" s="39" t="inlineStr">
        <is>
          <t>KITCHEN</t>
        </is>
      </c>
    </row>
    <row r="74" ht="16" customHeight="1">
      <c r="A74" s="42" t="inlineStr">
        <is>
          <t>Kitchen</t>
        </is>
      </c>
      <c r="B74" s="43" t="inlineStr">
        <is>
          <t>Dish set (service for 8)</t>
        </is>
      </c>
      <c r="C74" s="31" t="n">
        <v>60</v>
      </c>
      <c r="D74" s="31" t="n">
        <v>150</v>
      </c>
      <c r="E74" s="31" t="n">
        <v>400</v>
      </c>
      <c r="F74" s="34">
        <f>D74</f>
        <v/>
      </c>
      <c r="G74" s="28" t="n">
        <v>1</v>
      </c>
      <c r="H74" s="34">
        <f>F74*G74</f>
        <v/>
      </c>
    </row>
    <row r="75" ht="16" customHeight="1">
      <c r="A75" s="42" t="inlineStr">
        <is>
          <t>Kitchen</t>
        </is>
      </c>
      <c r="B75" s="43" t="inlineStr">
        <is>
          <t>Drinking glasses (set of 8)</t>
        </is>
      </c>
      <c r="C75" s="31" t="n">
        <v>25</v>
      </c>
      <c r="D75" s="31" t="n">
        <v>60</v>
      </c>
      <c r="E75" s="31" t="n">
        <v>150</v>
      </c>
      <c r="F75" s="34">
        <f>D75</f>
        <v/>
      </c>
      <c r="G75" s="28" t="n">
        <v>1</v>
      </c>
      <c r="H75" s="34">
        <f>F75*G75</f>
        <v/>
      </c>
    </row>
    <row r="76" ht="16" customHeight="1">
      <c r="A76" s="42" t="inlineStr">
        <is>
          <t>Kitchen</t>
        </is>
      </c>
      <c r="B76" s="43" t="inlineStr">
        <is>
          <t>Wine glasses (set of 6)</t>
        </is>
      </c>
      <c r="C76" s="31" t="n">
        <v>20</v>
      </c>
      <c r="D76" s="31" t="n">
        <v>50</v>
      </c>
      <c r="E76" s="31" t="n">
        <v>140</v>
      </c>
      <c r="F76" s="34">
        <f>D76</f>
        <v/>
      </c>
      <c r="G76" s="28" t="n">
        <v>1</v>
      </c>
      <c r="H76" s="34">
        <f>F76*G76</f>
        <v/>
      </c>
    </row>
    <row r="77" ht="16" customHeight="1">
      <c r="A77" s="42" t="inlineStr">
        <is>
          <t>Kitchen</t>
        </is>
      </c>
      <c r="B77" s="43" t="inlineStr">
        <is>
          <t>Coffee mugs (set of 8)</t>
        </is>
      </c>
      <c r="C77" s="31" t="n">
        <v>20</v>
      </c>
      <c r="D77" s="31" t="n">
        <v>45</v>
      </c>
      <c r="E77" s="31" t="n">
        <v>110</v>
      </c>
      <c r="F77" s="34">
        <f>D77</f>
        <v/>
      </c>
      <c r="G77" s="28" t="n">
        <v>1</v>
      </c>
      <c r="H77" s="34">
        <f>F77*G77</f>
        <v/>
      </c>
    </row>
    <row r="78" ht="16" customHeight="1">
      <c r="A78" s="42" t="inlineStr">
        <is>
          <t>Kitchen</t>
        </is>
      </c>
      <c r="B78" s="43" t="inlineStr">
        <is>
          <t>Silverware (service for 8)</t>
        </is>
      </c>
      <c r="C78" s="31" t="n">
        <v>30</v>
      </c>
      <c r="D78" s="31" t="n">
        <v>75</v>
      </c>
      <c r="E78" s="31" t="n">
        <v>200</v>
      </c>
      <c r="F78" s="34">
        <f>D78</f>
        <v/>
      </c>
      <c r="G78" s="28" t="n">
        <v>1</v>
      </c>
      <c r="H78" s="34">
        <f>F78*G78</f>
        <v/>
      </c>
    </row>
    <row r="79" ht="16" customHeight="1">
      <c r="A79" s="42" t="inlineStr">
        <is>
          <t>Kitchen</t>
        </is>
      </c>
      <c r="B79" s="43" t="inlineStr">
        <is>
          <t>Cookware (5-pc set)</t>
        </is>
      </c>
      <c r="C79" s="31" t="n">
        <v>80</v>
      </c>
      <c r="D79" s="31" t="n">
        <v>220</v>
      </c>
      <c r="E79" s="31" t="n">
        <v>650</v>
      </c>
      <c r="F79" s="34">
        <f>D79</f>
        <v/>
      </c>
      <c r="G79" s="28" t="n">
        <v>1</v>
      </c>
      <c r="H79" s="34">
        <f>F79*G79</f>
        <v/>
      </c>
    </row>
    <row r="80" ht="16" customHeight="1">
      <c r="A80" s="42" t="inlineStr">
        <is>
          <t>Kitchen</t>
        </is>
      </c>
      <c r="B80" s="43" t="inlineStr">
        <is>
          <t>Bakeware (3-pc set)</t>
        </is>
      </c>
      <c r="C80" s="31" t="n">
        <v>30</v>
      </c>
      <c r="D80" s="31" t="n">
        <v>75</v>
      </c>
      <c r="E80" s="31" t="n">
        <v>180</v>
      </c>
      <c r="F80" s="34">
        <f>D80</f>
        <v/>
      </c>
      <c r="G80" s="28" t="n">
        <v>1</v>
      </c>
      <c r="H80" s="34">
        <f>F80*G80</f>
        <v/>
      </c>
    </row>
    <row r="81" ht="16" customHeight="1">
      <c r="A81" s="42" t="inlineStr">
        <is>
          <t>Kitchen</t>
        </is>
      </c>
      <c r="B81" s="43" t="inlineStr">
        <is>
          <t>Knife block + 6 knives</t>
        </is>
      </c>
      <c r="C81" s="31" t="n">
        <v>45</v>
      </c>
      <c r="D81" s="31" t="n">
        <v>120</v>
      </c>
      <c r="E81" s="31" t="n">
        <v>350</v>
      </c>
      <c r="F81" s="34">
        <f>D81</f>
        <v/>
      </c>
      <c r="G81" s="28" t="n">
        <v>1</v>
      </c>
      <c r="H81" s="34">
        <f>F81*G81</f>
        <v/>
      </c>
    </row>
    <row r="82" ht="16" customHeight="1">
      <c r="A82" s="42" t="inlineStr">
        <is>
          <t>Kitchen</t>
        </is>
      </c>
      <c r="B82" s="43" t="inlineStr">
        <is>
          <t>Cutting boards (2)</t>
        </is>
      </c>
      <c r="C82" s="31" t="n">
        <v>20</v>
      </c>
      <c r="D82" s="31" t="n">
        <v>45</v>
      </c>
      <c r="E82" s="31" t="n">
        <v>110</v>
      </c>
      <c r="F82" s="34">
        <f>D82</f>
        <v/>
      </c>
      <c r="G82" s="28" t="n">
        <v>1</v>
      </c>
      <c r="H82" s="34">
        <f>F82*G82</f>
        <v/>
      </c>
    </row>
    <row r="83" ht="16" customHeight="1">
      <c r="A83" s="42" t="inlineStr">
        <is>
          <t>Kitchen</t>
        </is>
      </c>
      <c r="B83" s="43" t="inlineStr">
        <is>
          <t>Mixing bowls (3-pc set)</t>
        </is>
      </c>
      <c r="C83" s="31" t="n">
        <v>20</v>
      </c>
      <c r="D83" s="31" t="n">
        <v>45</v>
      </c>
      <c r="E83" s="31" t="n">
        <v>110</v>
      </c>
      <c r="F83" s="34">
        <f>D83</f>
        <v/>
      </c>
      <c r="G83" s="28" t="n">
        <v>1</v>
      </c>
      <c r="H83" s="34">
        <f>F83*G83</f>
        <v/>
      </c>
    </row>
    <row r="84" ht="16" customHeight="1">
      <c r="A84" s="42" t="inlineStr">
        <is>
          <t>Kitchen</t>
        </is>
      </c>
      <c r="B84" s="43" t="inlineStr">
        <is>
          <t>Measuring cups + spoons</t>
        </is>
      </c>
      <c r="C84" s="31" t="n">
        <v>15</v>
      </c>
      <c r="D84" s="31" t="n">
        <v>30</v>
      </c>
      <c r="E84" s="31" t="n">
        <v>65</v>
      </c>
      <c r="F84" s="34">
        <f>D84</f>
        <v/>
      </c>
      <c r="G84" s="28" t="n">
        <v>1</v>
      </c>
      <c r="H84" s="34">
        <f>F84*G84</f>
        <v/>
      </c>
    </row>
    <row r="85" ht="16" customHeight="1">
      <c r="A85" s="42" t="inlineStr">
        <is>
          <t>Kitchen</t>
        </is>
      </c>
      <c r="B85" s="43" t="inlineStr">
        <is>
          <t>Can opener + corkscrew + tools</t>
        </is>
      </c>
      <c r="C85" s="31" t="n">
        <v>20</v>
      </c>
      <c r="D85" s="31" t="n">
        <v>45</v>
      </c>
      <c r="E85" s="31" t="n">
        <v>110</v>
      </c>
      <c r="F85" s="34">
        <f>D85</f>
        <v/>
      </c>
      <c r="G85" s="28" t="n">
        <v>1</v>
      </c>
      <c r="H85" s="34">
        <f>F85*G85</f>
        <v/>
      </c>
    </row>
    <row r="86" ht="16" customHeight="1">
      <c r="A86" s="42" t="inlineStr">
        <is>
          <t>Kitchen</t>
        </is>
      </c>
      <c r="B86" s="43" t="inlineStr">
        <is>
          <t>Coffee maker (drip + pour-over)</t>
        </is>
      </c>
      <c r="C86" s="31" t="n">
        <v>35</v>
      </c>
      <c r="D86" s="31" t="n">
        <v>95</v>
      </c>
      <c r="E86" s="31" t="n">
        <v>280</v>
      </c>
      <c r="F86" s="34">
        <f>D86</f>
        <v/>
      </c>
      <c r="G86" s="28" t="n">
        <v>1</v>
      </c>
      <c r="H86" s="34">
        <f>F86*G86</f>
        <v/>
      </c>
    </row>
    <row r="87" ht="16" customHeight="1">
      <c r="A87" s="42" t="inlineStr">
        <is>
          <t>Kitchen</t>
        </is>
      </c>
      <c r="B87" s="43" t="inlineStr">
        <is>
          <t>Toaster</t>
        </is>
      </c>
      <c r="C87" s="31" t="n">
        <v>20</v>
      </c>
      <c r="D87" s="31" t="n">
        <v>55</v>
      </c>
      <c r="E87" s="31" t="n">
        <v>140</v>
      </c>
      <c r="F87" s="34">
        <f>D87</f>
        <v/>
      </c>
      <c r="G87" s="28" t="n">
        <v>1</v>
      </c>
      <c r="H87" s="34">
        <f>F87*G87</f>
        <v/>
      </c>
    </row>
    <row r="88" ht="16" customHeight="1">
      <c r="A88" s="42" t="inlineStr">
        <is>
          <t>Kitchen</t>
        </is>
      </c>
      <c r="B88" s="43" t="inlineStr">
        <is>
          <t>Microwave (countertop)</t>
        </is>
      </c>
      <c r="C88" s="31" t="n">
        <v>65</v>
      </c>
      <c r="D88" s="31" t="n">
        <v>130</v>
      </c>
      <c r="E88" s="31" t="n">
        <v>320</v>
      </c>
      <c r="F88" s="34">
        <f>D88</f>
        <v/>
      </c>
      <c r="G88" s="28" t="n">
        <v>1</v>
      </c>
      <c r="H88" s="34">
        <f>F88*G88</f>
        <v/>
      </c>
    </row>
    <row r="89" ht="16" customHeight="1">
      <c r="A89" s="42" t="inlineStr">
        <is>
          <t>Kitchen</t>
        </is>
      </c>
      <c r="B89" s="43" t="inlineStr">
        <is>
          <t>Electric kettle</t>
        </is>
      </c>
      <c r="C89" s="31" t="n">
        <v>20</v>
      </c>
      <c r="D89" s="31" t="n">
        <v>50</v>
      </c>
      <c r="E89" s="31" t="n">
        <v>130</v>
      </c>
      <c r="F89" s="34">
        <f>D89</f>
        <v/>
      </c>
      <c r="G89" s="28" t="n">
        <v>1</v>
      </c>
      <c r="H89" s="34">
        <f>F89*G89</f>
        <v/>
      </c>
    </row>
    <row r="90" ht="16" customHeight="1">
      <c r="A90" s="42" t="inlineStr">
        <is>
          <t>Kitchen</t>
        </is>
      </c>
      <c r="B90" s="43" t="inlineStr">
        <is>
          <t>Blender</t>
        </is>
      </c>
      <c r="C90" s="31" t="n">
        <v>25</v>
      </c>
      <c r="D90" s="31" t="n">
        <v>75</v>
      </c>
      <c r="E90" s="31" t="n">
        <v>220</v>
      </c>
      <c r="F90" s="34">
        <f>D90</f>
        <v/>
      </c>
      <c r="G90" s="28" t="n">
        <v>1</v>
      </c>
      <c r="H90" s="34">
        <f>F90*G90</f>
        <v/>
      </c>
    </row>
    <row r="91" ht="16" customHeight="1">
      <c r="A91" s="42" t="inlineStr">
        <is>
          <t>Kitchen</t>
        </is>
      </c>
      <c r="B91" s="43" t="inlineStr">
        <is>
          <t>Food storage (containers + wrap)</t>
        </is>
      </c>
      <c r="C91" s="31" t="n">
        <v>20</v>
      </c>
      <c r="D91" s="31" t="n">
        <v>50</v>
      </c>
      <c r="E91" s="31" t="n">
        <v>120</v>
      </c>
      <c r="F91" s="34">
        <f>D91</f>
        <v/>
      </c>
      <c r="G91" s="28" t="n">
        <v>1</v>
      </c>
      <c r="H91" s="34">
        <f>F91*G91</f>
        <v/>
      </c>
    </row>
    <row r="92" ht="16" customHeight="1">
      <c r="A92" s="42" t="inlineStr">
        <is>
          <t>Kitchen</t>
        </is>
      </c>
      <c r="B92" s="43" t="inlineStr">
        <is>
          <t>Dish towels (8) + pot holders</t>
        </is>
      </c>
      <c r="C92" s="31" t="n">
        <v>20</v>
      </c>
      <c r="D92" s="31" t="n">
        <v>45</v>
      </c>
      <c r="E92" s="31" t="n">
        <v>100</v>
      </c>
      <c r="F92" s="34">
        <f>D92</f>
        <v/>
      </c>
      <c r="G92" s="28" t="n">
        <v>1</v>
      </c>
      <c r="H92" s="34">
        <f>F92*G92</f>
        <v/>
      </c>
    </row>
    <row r="93" ht="16" customHeight="1">
      <c r="A93" s="42" t="inlineStr">
        <is>
          <t>Kitchen</t>
        </is>
      </c>
      <c r="B93" s="43" t="inlineStr">
        <is>
          <t>Oven mitts (2 pair)</t>
        </is>
      </c>
      <c r="C93" s="31" t="n">
        <v>12</v>
      </c>
      <c r="D93" s="31" t="n">
        <v>25</v>
      </c>
      <c r="E93" s="31" t="n">
        <v>55</v>
      </c>
      <c r="F93" s="34">
        <f>D93</f>
        <v/>
      </c>
      <c r="G93" s="28" t="n">
        <v>1</v>
      </c>
      <c r="H93" s="34">
        <f>F93*G93</f>
        <v/>
      </c>
    </row>
    <row r="94" ht="16" customHeight="1">
      <c r="A94" s="42" t="inlineStr">
        <is>
          <t>Kitchen</t>
        </is>
      </c>
      <c r="B94" s="43" t="inlineStr">
        <is>
          <t>Paper towel holder</t>
        </is>
      </c>
      <c r="C94" s="31" t="n">
        <v>15</v>
      </c>
      <c r="D94" s="31" t="n">
        <v>30</v>
      </c>
      <c r="E94" s="31" t="n">
        <v>70</v>
      </c>
      <c r="F94" s="34">
        <f>D94</f>
        <v/>
      </c>
      <c r="G94" s="28" t="n">
        <v>1</v>
      </c>
      <c r="H94" s="34">
        <f>F94*G94</f>
        <v/>
      </c>
    </row>
    <row r="95" ht="16" customHeight="1">
      <c r="A95" s="42" t="inlineStr">
        <is>
          <t>Kitchen</t>
        </is>
      </c>
      <c r="B95" s="43" t="inlineStr">
        <is>
          <t>Trash + recycling bins</t>
        </is>
      </c>
      <c r="C95" s="31" t="n">
        <v>40</v>
      </c>
      <c r="D95" s="31" t="n">
        <v>95</v>
      </c>
      <c r="E95" s="31" t="n">
        <v>240</v>
      </c>
      <c r="F95" s="34">
        <f>D95</f>
        <v/>
      </c>
      <c r="G95" s="28" t="n">
        <v>1</v>
      </c>
      <c r="H95" s="34">
        <f>F95*G95</f>
        <v/>
      </c>
    </row>
    <row r="96" ht="16" customHeight="1">
      <c r="A96" s="42" t="inlineStr">
        <is>
          <t>Kitchen</t>
        </is>
      </c>
      <c r="B96" s="43" t="inlineStr">
        <is>
          <t>Spice starter set (12-pc)</t>
        </is>
      </c>
      <c r="C96" s="31" t="n">
        <v>20</v>
      </c>
      <c r="D96" s="31" t="n">
        <v>45</v>
      </c>
      <c r="E96" s="31" t="n">
        <v>110</v>
      </c>
      <c r="F96" s="34">
        <f>D96</f>
        <v/>
      </c>
      <c r="G96" s="28" t="n">
        <v>1</v>
      </c>
      <c r="H96" s="34">
        <f>F96*G96</f>
        <v/>
      </c>
    </row>
    <row r="97" ht="16" customHeight="1">
      <c r="A97" s="42" t="inlineStr">
        <is>
          <t>Kitchen</t>
        </is>
      </c>
      <c r="B97" s="43" t="inlineStr">
        <is>
          <t>Bar / drink ware (shaker, etc.)</t>
        </is>
      </c>
      <c r="C97" s="31" t="n">
        <v>25</v>
      </c>
      <c r="D97" s="31" t="n">
        <v>60</v>
      </c>
      <c r="E97" s="31" t="n">
        <v>150</v>
      </c>
      <c r="F97" s="34">
        <f>D97</f>
        <v/>
      </c>
      <c r="G97" s="28" t="n">
        <v>1</v>
      </c>
      <c r="H97" s="34">
        <f>F97*G97</f>
        <v/>
      </c>
    </row>
    <row r="98" ht="16" customHeight="1">
      <c r="A98" s="42" t="inlineStr">
        <is>
          <t>Kitchen</t>
        </is>
      </c>
      <c r="B98" s="43" t="inlineStr">
        <is>
          <t>Welcome basket (coffee/snacks)</t>
        </is>
      </c>
      <c r="C98" s="31" t="n">
        <v>25</v>
      </c>
      <c r="D98" s="31" t="n">
        <v>50</v>
      </c>
      <c r="E98" s="31" t="n">
        <v>120</v>
      </c>
      <c r="F98" s="34">
        <f>D98</f>
        <v/>
      </c>
      <c r="G98" s="28" t="n">
        <v>1</v>
      </c>
      <c r="H98" s="34">
        <f>F98*G98</f>
        <v/>
      </c>
    </row>
    <row r="99" ht="18" customHeight="1">
      <c r="B99" s="45" t="inlineStr">
        <is>
          <t xml:space="preserve">  Kitchen subtotal</t>
        </is>
      </c>
      <c r="C99" s="46">
        <f>SUM(C74:C98)</f>
        <v/>
      </c>
      <c r="D99" s="46">
        <f>SUM(D74:D98)</f>
        <v/>
      </c>
      <c r="E99" s="46">
        <f>SUM(E74:E98)</f>
        <v/>
      </c>
      <c r="F99" s="46">
        <f>SUM(F74:F98)</f>
        <v/>
      </c>
      <c r="H99" s="46">
        <f>SUM(H74:H98)</f>
        <v/>
      </c>
    </row>
    <row r="100"/>
    <row r="101" ht="20" customHeight="1">
      <c r="A101" s="39" t="inlineStr">
        <is>
          <t>LIVING</t>
        </is>
      </c>
    </row>
    <row r="102" ht="16" customHeight="1">
      <c r="A102" s="42" t="inlineStr">
        <is>
          <t>Living</t>
        </is>
      </c>
      <c r="B102" s="43" t="inlineStr">
        <is>
          <t>Sofa (3-seat)</t>
        </is>
      </c>
      <c r="C102" s="31" t="n">
        <v>400</v>
      </c>
      <c r="D102" s="31" t="n">
        <v>900</v>
      </c>
      <c r="E102" s="31" t="n">
        <v>2400</v>
      </c>
      <c r="F102" s="34">
        <f>D102</f>
        <v/>
      </c>
      <c r="G102" s="28" t="n">
        <v>1</v>
      </c>
      <c r="H102" s="34">
        <f>F102*G102</f>
        <v/>
      </c>
    </row>
    <row r="103" ht="16" customHeight="1">
      <c r="A103" s="42" t="inlineStr">
        <is>
          <t>Living</t>
        </is>
      </c>
      <c r="B103" s="43" t="inlineStr">
        <is>
          <t>Accent chairs (pair)</t>
        </is>
      </c>
      <c r="C103" s="31" t="n">
        <v>200</v>
      </c>
      <c r="D103" s="31" t="n">
        <v>500</v>
      </c>
      <c r="E103" s="31" t="n">
        <v>1400</v>
      </c>
      <c r="F103" s="34">
        <f>D103</f>
        <v/>
      </c>
      <c r="G103" s="28" t="n">
        <v>1</v>
      </c>
      <c r="H103" s="34">
        <f>F103*G103</f>
        <v/>
      </c>
    </row>
    <row r="104" ht="16" customHeight="1">
      <c r="A104" s="42" t="inlineStr">
        <is>
          <t>Living</t>
        </is>
      </c>
      <c r="B104" s="43" t="inlineStr">
        <is>
          <t>Coffee table</t>
        </is>
      </c>
      <c r="C104" s="31" t="n">
        <v>80</v>
      </c>
      <c r="D104" s="31" t="n">
        <v>220</v>
      </c>
      <c r="E104" s="31" t="n">
        <v>600</v>
      </c>
      <c r="F104" s="34">
        <f>D104</f>
        <v/>
      </c>
      <c r="G104" s="28" t="n">
        <v>1</v>
      </c>
      <c r="H104" s="34">
        <f>F104*G104</f>
        <v/>
      </c>
    </row>
    <row r="105" ht="16" customHeight="1">
      <c r="A105" s="42" t="inlineStr">
        <is>
          <t>Living</t>
        </is>
      </c>
      <c r="B105" s="43" t="inlineStr">
        <is>
          <t>End tables (pair)</t>
        </is>
      </c>
      <c r="C105" s="31" t="n">
        <v>80</v>
      </c>
      <c r="D105" s="31" t="n">
        <v>200</v>
      </c>
      <c r="E105" s="31" t="n">
        <v>500</v>
      </c>
      <c r="F105" s="34">
        <f>D105</f>
        <v/>
      </c>
      <c r="G105" s="28" t="n">
        <v>1</v>
      </c>
      <c r="H105" s="34">
        <f>F105*G105</f>
        <v/>
      </c>
    </row>
    <row r="106" ht="16" customHeight="1">
      <c r="A106" s="42" t="inlineStr">
        <is>
          <t>Living</t>
        </is>
      </c>
      <c r="B106" s="43" t="inlineStr">
        <is>
          <t>Floor + table lamps (3)</t>
        </is>
      </c>
      <c r="C106" s="31" t="n">
        <v>80</v>
      </c>
      <c r="D106" s="31" t="n">
        <v>220</v>
      </c>
      <c r="E106" s="31" t="n">
        <v>550</v>
      </c>
      <c r="F106" s="34">
        <f>D106</f>
        <v/>
      </c>
      <c r="G106" s="28" t="n">
        <v>1</v>
      </c>
      <c r="H106" s="34">
        <f>F106*G106</f>
        <v/>
      </c>
    </row>
    <row r="107" ht="16" customHeight="1">
      <c r="A107" s="42" t="inlineStr">
        <is>
          <t>Living</t>
        </is>
      </c>
      <c r="B107" s="43" t="inlineStr">
        <is>
          <t>TV (55" smart)</t>
        </is>
      </c>
      <c r="C107" s="31" t="n">
        <v>280</v>
      </c>
      <c r="D107" s="31" t="n">
        <v>500</v>
      </c>
      <c r="E107" s="31" t="n">
        <v>1100</v>
      </c>
      <c r="F107" s="34">
        <f>D107</f>
        <v/>
      </c>
      <c r="G107" s="28" t="n">
        <v>1</v>
      </c>
      <c r="H107" s="34">
        <f>F107*G107</f>
        <v/>
      </c>
    </row>
    <row r="108" ht="16" customHeight="1">
      <c r="A108" s="42" t="inlineStr">
        <is>
          <t>Living</t>
        </is>
      </c>
      <c r="B108" s="43" t="inlineStr">
        <is>
          <t>TV stand / media console</t>
        </is>
      </c>
      <c r="C108" s="31" t="n">
        <v>90</v>
      </c>
      <c r="D108" s="31" t="n">
        <v>240</v>
      </c>
      <c r="E108" s="31" t="n">
        <v>650</v>
      </c>
      <c r="F108" s="34">
        <f>D108</f>
        <v/>
      </c>
      <c r="G108" s="28" t="n">
        <v>1</v>
      </c>
      <c r="H108" s="34">
        <f>F108*G108</f>
        <v/>
      </c>
    </row>
    <row r="109" ht="16" customHeight="1">
      <c r="A109" s="42" t="inlineStr">
        <is>
          <t>Living</t>
        </is>
      </c>
      <c r="B109" s="43" t="inlineStr">
        <is>
          <t>Throw blankets (3)</t>
        </is>
      </c>
      <c r="C109" s="31" t="n">
        <v>40</v>
      </c>
      <c r="D109" s="31" t="n">
        <v>95</v>
      </c>
      <c r="E109" s="31" t="n">
        <v>220</v>
      </c>
      <c r="F109" s="34">
        <f>D109</f>
        <v/>
      </c>
      <c r="G109" s="28" t="n">
        <v>1</v>
      </c>
      <c r="H109" s="34">
        <f>F109*G109</f>
        <v/>
      </c>
    </row>
    <row r="110" ht="16" customHeight="1">
      <c r="A110" s="42" t="inlineStr">
        <is>
          <t>Living</t>
        </is>
      </c>
      <c r="B110" s="43" t="inlineStr">
        <is>
          <t>Throw pillows (6)</t>
        </is>
      </c>
      <c r="C110" s="31" t="n">
        <v>50</v>
      </c>
      <c r="D110" s="31" t="n">
        <v>130</v>
      </c>
      <c r="E110" s="31" t="n">
        <v>320</v>
      </c>
      <c r="F110" s="34">
        <f>D110</f>
        <v/>
      </c>
      <c r="G110" s="28" t="n">
        <v>1</v>
      </c>
      <c r="H110" s="34">
        <f>F110*G110</f>
        <v/>
      </c>
    </row>
    <row r="111" ht="16" customHeight="1">
      <c r="A111" s="42" t="inlineStr">
        <is>
          <t>Living</t>
        </is>
      </c>
      <c r="B111" s="43" t="inlineStr">
        <is>
          <t>Wall art / gallery wall</t>
        </is>
      </c>
      <c r="C111" s="31" t="n">
        <v>100</v>
      </c>
      <c r="D111" s="31" t="n">
        <v>280</v>
      </c>
      <c r="E111" s="31" t="n">
        <v>800</v>
      </c>
      <c r="F111" s="34">
        <f>D111</f>
        <v/>
      </c>
      <c r="G111" s="28" t="n">
        <v>1</v>
      </c>
      <c r="H111" s="34">
        <f>F111*G111</f>
        <v/>
      </c>
    </row>
    <row r="112" ht="16" customHeight="1">
      <c r="A112" s="42" t="inlineStr">
        <is>
          <t>Living</t>
        </is>
      </c>
      <c r="B112" s="43" t="inlineStr">
        <is>
          <t>Area rug (8x10)</t>
        </is>
      </c>
      <c r="C112" s="31" t="n">
        <v>120</v>
      </c>
      <c r="D112" s="31" t="n">
        <v>340</v>
      </c>
      <c r="E112" s="31" t="n">
        <v>900</v>
      </c>
      <c r="F112" s="34">
        <f>D112</f>
        <v/>
      </c>
      <c r="G112" s="28" t="n">
        <v>1</v>
      </c>
      <c r="H112" s="34">
        <f>F112*G112</f>
        <v/>
      </c>
    </row>
    <row r="113" ht="16" customHeight="1">
      <c r="A113" s="42" t="inlineStr">
        <is>
          <t>Living</t>
        </is>
      </c>
      <c r="B113" s="43" t="inlineStr">
        <is>
          <t>Bookshelf + decor / books</t>
        </is>
      </c>
      <c r="C113" s="31" t="n">
        <v>80</v>
      </c>
      <c r="D113" s="31" t="n">
        <v>220</v>
      </c>
      <c r="E113" s="31" t="n">
        <v>550</v>
      </c>
      <c r="F113" s="34">
        <f>D113</f>
        <v/>
      </c>
      <c r="G113" s="28" t="n">
        <v>1</v>
      </c>
      <c r="H113" s="34">
        <f>F113*G113</f>
        <v/>
      </c>
    </row>
    <row r="114" ht="16" customHeight="1">
      <c r="A114" s="42" t="inlineStr">
        <is>
          <t>Living</t>
        </is>
      </c>
      <c r="B114" s="43" t="inlineStr">
        <is>
          <t>Board games + puzzles (5+)</t>
        </is>
      </c>
      <c r="C114" s="31" t="n">
        <v>40</v>
      </c>
      <c r="D114" s="31" t="n">
        <v>90</v>
      </c>
      <c r="E114" s="31" t="n">
        <v>200</v>
      </c>
      <c r="F114" s="34">
        <f>D114</f>
        <v/>
      </c>
      <c r="G114" s="28" t="n">
        <v>1</v>
      </c>
      <c r="H114" s="34">
        <f>F114*G114</f>
        <v/>
      </c>
    </row>
    <row r="115" ht="16" customHeight="1">
      <c r="A115" s="42" t="inlineStr">
        <is>
          <t>Living</t>
        </is>
      </c>
      <c r="B115" s="43" t="inlineStr">
        <is>
          <t>Curtains + rods</t>
        </is>
      </c>
      <c r="C115" s="31" t="n">
        <v>60</v>
      </c>
      <c r="D115" s="31" t="n">
        <v>140</v>
      </c>
      <c r="E115" s="31" t="n">
        <v>340</v>
      </c>
      <c r="F115" s="34">
        <f>D115</f>
        <v/>
      </c>
      <c r="G115" s="28" t="n">
        <v>1</v>
      </c>
      <c r="H115" s="34">
        <f>F115*G115</f>
        <v/>
      </c>
    </row>
    <row r="116" ht="16" customHeight="1">
      <c r="A116" s="42" t="inlineStr">
        <is>
          <t>Living</t>
        </is>
      </c>
      <c r="B116" s="43" t="inlineStr">
        <is>
          <t>Coat rack / entry bench</t>
        </is>
      </c>
      <c r="C116" s="31" t="n">
        <v>50</v>
      </c>
      <c r="D116" s="31" t="n">
        <v>120</v>
      </c>
      <c r="E116" s="31" t="n">
        <v>300</v>
      </c>
      <c r="F116" s="34">
        <f>D116</f>
        <v/>
      </c>
      <c r="G116" s="28" t="n">
        <v>1</v>
      </c>
      <c r="H116" s="34">
        <f>F116*G116</f>
        <v/>
      </c>
    </row>
    <row r="117" ht="18" customHeight="1">
      <c r="B117" s="45" t="inlineStr">
        <is>
          <t xml:space="preserve">  Living subtotal</t>
        </is>
      </c>
      <c r="C117" s="46">
        <f>SUM(C102:C116)</f>
        <v/>
      </c>
      <c r="D117" s="46">
        <f>SUM(D102:D116)</f>
        <v/>
      </c>
      <c r="E117" s="46">
        <f>SUM(E102:E116)</f>
        <v/>
      </c>
      <c r="F117" s="46">
        <f>SUM(F102:F116)</f>
        <v/>
      </c>
      <c r="H117" s="46">
        <f>SUM(H102:H116)</f>
        <v/>
      </c>
    </row>
    <row r="118"/>
    <row r="119" ht="20" customHeight="1">
      <c r="A119" s="39" t="inlineStr">
        <is>
          <t>OUTDOOR</t>
        </is>
      </c>
    </row>
    <row r="120" ht="16" customHeight="1">
      <c r="A120" s="42" t="inlineStr">
        <is>
          <t>Outdoor</t>
        </is>
      </c>
      <c r="B120" s="43" t="inlineStr">
        <is>
          <t>Patio dining set (table + 4-6)</t>
        </is>
      </c>
      <c r="C120" s="31" t="n">
        <v>220</v>
      </c>
      <c r="D120" s="31" t="n">
        <v>600</v>
      </c>
      <c r="E120" s="31" t="n">
        <v>1800</v>
      </c>
      <c r="F120" s="34">
        <f>D120</f>
        <v/>
      </c>
      <c r="G120" s="28" t="n">
        <v>1</v>
      </c>
      <c r="H120" s="34">
        <f>F120*G120</f>
        <v/>
      </c>
    </row>
    <row r="121" ht="16" customHeight="1">
      <c r="A121" s="42" t="inlineStr">
        <is>
          <t>Outdoor</t>
        </is>
      </c>
      <c r="B121" s="43" t="inlineStr">
        <is>
          <t>Patio umbrella + base</t>
        </is>
      </c>
      <c r="C121" s="31" t="n">
        <v>70</v>
      </c>
      <c r="D121" s="31" t="n">
        <v>180</v>
      </c>
      <c r="E121" s="31" t="n">
        <v>480</v>
      </c>
      <c r="F121" s="34">
        <f>D121</f>
        <v/>
      </c>
      <c r="G121" s="28" t="n">
        <v>1</v>
      </c>
      <c r="H121" s="34">
        <f>F121*G121</f>
        <v/>
      </c>
    </row>
    <row r="122" ht="16" customHeight="1">
      <c r="A122" s="42" t="inlineStr">
        <is>
          <t>Outdoor</t>
        </is>
      </c>
      <c r="B122" s="43" t="inlineStr">
        <is>
          <t>Grill (gas or charcoal)</t>
        </is>
      </c>
      <c r="C122" s="31" t="n">
        <v>150</v>
      </c>
      <c r="D122" s="31" t="n">
        <v>400</v>
      </c>
      <c r="E122" s="31" t="n">
        <v>950</v>
      </c>
      <c r="F122" s="34">
        <f>D122</f>
        <v/>
      </c>
      <c r="G122" s="28" t="n">
        <v>1</v>
      </c>
      <c r="H122" s="34">
        <f>F122*G122</f>
        <v/>
      </c>
    </row>
    <row r="123" ht="16" customHeight="1">
      <c r="A123" s="42" t="inlineStr">
        <is>
          <t>Outdoor</t>
        </is>
      </c>
      <c r="B123" s="43" t="inlineStr">
        <is>
          <t>Fire pit (if allowed)</t>
        </is>
      </c>
      <c r="C123" s="31" t="n">
        <v>100</v>
      </c>
      <c r="D123" s="31" t="n">
        <v>280</v>
      </c>
      <c r="E123" s="31" t="n">
        <v>700</v>
      </c>
      <c r="F123" s="34">
        <f>D123</f>
        <v/>
      </c>
      <c r="G123" s="28" t="n">
        <v>1</v>
      </c>
      <c r="H123" s="34">
        <f>F123*G123</f>
        <v/>
      </c>
    </row>
    <row r="124" ht="16" customHeight="1">
      <c r="A124" s="42" t="inlineStr">
        <is>
          <t>Outdoor</t>
        </is>
      </c>
      <c r="B124" s="43" t="inlineStr">
        <is>
          <t>Outdoor string lights</t>
        </is>
      </c>
      <c r="C124" s="31" t="n">
        <v>30</v>
      </c>
      <c r="D124" s="31" t="n">
        <v>75</v>
      </c>
      <c r="E124" s="31" t="n">
        <v>180</v>
      </c>
      <c r="F124" s="34">
        <f>D124</f>
        <v/>
      </c>
      <c r="G124" s="28" t="n">
        <v>1</v>
      </c>
      <c r="H124" s="34">
        <f>F124*G124</f>
        <v/>
      </c>
    </row>
    <row r="125" ht="16" customHeight="1">
      <c r="A125" s="42" t="inlineStr">
        <is>
          <t>Outdoor</t>
        </is>
      </c>
      <c r="B125" s="43" t="inlineStr">
        <is>
          <t>Adirondack / lounge chairs (2)</t>
        </is>
      </c>
      <c r="C125" s="31" t="n">
        <v>120</v>
      </c>
      <c r="D125" s="31" t="n">
        <v>300</v>
      </c>
      <c r="E125" s="31" t="n">
        <v>750</v>
      </c>
      <c r="F125" s="34">
        <f>D125</f>
        <v/>
      </c>
      <c r="G125" s="28" t="n">
        <v>1</v>
      </c>
      <c r="H125" s="34">
        <f>F125*G125</f>
        <v/>
      </c>
    </row>
    <row r="126" ht="16" customHeight="1">
      <c r="A126" s="42" t="inlineStr">
        <is>
          <t>Outdoor</t>
        </is>
      </c>
      <c r="B126" s="43" t="inlineStr">
        <is>
          <t>Outdoor rug</t>
        </is>
      </c>
      <c r="C126" s="31" t="n">
        <v>50</v>
      </c>
      <c r="D126" s="31" t="n">
        <v>130</v>
      </c>
      <c r="E126" s="31" t="n">
        <v>320</v>
      </c>
      <c r="F126" s="34">
        <f>D126</f>
        <v/>
      </c>
      <c r="G126" s="28" t="n">
        <v>1</v>
      </c>
      <c r="H126" s="34">
        <f>F126*G126</f>
        <v/>
      </c>
    </row>
    <row r="127" ht="16" customHeight="1">
      <c r="A127" s="42" t="inlineStr">
        <is>
          <t>Outdoor</t>
        </is>
      </c>
      <c r="B127" s="43" t="inlineStr">
        <is>
          <t>Hot tub steps + accessories</t>
        </is>
      </c>
      <c r="C127" s="31" t="n">
        <v>40</v>
      </c>
      <c r="D127" s="31" t="n">
        <v>100</v>
      </c>
      <c r="E127" s="31" t="n">
        <v>240</v>
      </c>
      <c r="F127" s="34">
        <f>D127</f>
        <v/>
      </c>
      <c r="G127" s="28" t="n">
        <v>1</v>
      </c>
      <c r="H127" s="34">
        <f>F127*G127</f>
        <v/>
      </c>
    </row>
    <row r="128" ht="18" customHeight="1">
      <c r="B128" s="45" t="inlineStr">
        <is>
          <t xml:space="preserve">  Outdoor subtotal</t>
        </is>
      </c>
      <c r="C128" s="46">
        <f>SUM(C120:C127)</f>
        <v/>
      </c>
      <c r="D128" s="46">
        <f>SUM(D120:D127)</f>
        <v/>
      </c>
      <c r="E128" s="46">
        <f>SUM(E120:E127)</f>
        <v/>
      </c>
      <c r="F128" s="46">
        <f>SUM(F120:F127)</f>
        <v/>
      </c>
      <c r="H128" s="46">
        <f>SUM(H120:H127)</f>
        <v/>
      </c>
    </row>
    <row r="129"/>
    <row r="130" ht="20" customHeight="1">
      <c r="A130" s="39" t="inlineStr">
        <is>
          <t>TECH</t>
        </is>
      </c>
    </row>
    <row r="131" ht="16" customHeight="1">
      <c r="A131" s="42" t="inlineStr">
        <is>
          <t>Tech</t>
        </is>
      </c>
      <c r="B131" s="43" t="inlineStr">
        <is>
          <t>Smart lock (keyless entry)</t>
        </is>
      </c>
      <c r="C131" s="31" t="n">
        <v>120</v>
      </c>
      <c r="D131" s="31" t="n">
        <v>220</v>
      </c>
      <c r="E131" s="31" t="n">
        <v>400</v>
      </c>
      <c r="F131" s="34">
        <f>D131</f>
        <v/>
      </c>
      <c r="G131" s="28" t="n">
        <v>1</v>
      </c>
      <c r="H131" s="34">
        <f>F131*G131</f>
        <v/>
      </c>
    </row>
    <row r="132" ht="16" customHeight="1">
      <c r="A132" s="42" t="inlineStr">
        <is>
          <t>Tech</t>
        </is>
      </c>
      <c r="B132" s="43" t="inlineStr">
        <is>
          <t>Doorbell camera (Ring / Nest)</t>
        </is>
      </c>
      <c r="C132" s="31" t="n">
        <v>100</v>
      </c>
      <c r="D132" s="31" t="n">
        <v>180</v>
      </c>
      <c r="E132" s="31" t="n">
        <v>320</v>
      </c>
      <c r="F132" s="34">
        <f>D132</f>
        <v/>
      </c>
      <c r="G132" s="28" t="n">
        <v>1</v>
      </c>
      <c r="H132" s="34">
        <f>F132*G132</f>
        <v/>
      </c>
    </row>
    <row r="133" ht="16" customHeight="1">
      <c r="A133" s="42" t="inlineStr">
        <is>
          <t>Tech</t>
        </is>
      </c>
      <c r="B133" s="43" t="inlineStr">
        <is>
          <t>Smart thermostat</t>
        </is>
      </c>
      <c r="C133" s="31" t="n">
        <v>100</v>
      </c>
      <c r="D133" s="31" t="n">
        <v>180</v>
      </c>
      <c r="E133" s="31" t="n">
        <v>300</v>
      </c>
      <c r="F133" s="34">
        <f>D133</f>
        <v/>
      </c>
      <c r="G133" s="28" t="n">
        <v>1</v>
      </c>
      <c r="H133" s="34">
        <f>F133*G133</f>
        <v/>
      </c>
    </row>
    <row r="134" ht="16" customHeight="1">
      <c r="A134" s="42" t="inlineStr">
        <is>
          <t>Tech</t>
        </is>
      </c>
      <c r="B134" s="43" t="inlineStr">
        <is>
          <t>WiFi router + mesh extender</t>
        </is>
      </c>
      <c r="C134" s="31" t="n">
        <v>80</v>
      </c>
      <c r="D134" s="31" t="n">
        <v>180</v>
      </c>
      <c r="E134" s="31" t="n">
        <v>450</v>
      </c>
      <c r="F134" s="34">
        <f>D134</f>
        <v/>
      </c>
      <c r="G134" s="28" t="n">
        <v>1</v>
      </c>
      <c r="H134" s="34">
        <f>F134*G134</f>
        <v/>
      </c>
    </row>
    <row r="135" ht="16" customHeight="1">
      <c r="A135" s="42" t="inlineStr">
        <is>
          <t>Tech</t>
        </is>
      </c>
      <c r="B135" s="43" t="inlineStr">
        <is>
          <t>Streaming device (Roku/Fire TV)</t>
        </is>
      </c>
      <c r="C135" s="31" t="n">
        <v>35</v>
      </c>
      <c r="D135" s="31" t="n">
        <v>60</v>
      </c>
      <c r="E135" s="31" t="n">
        <v>150</v>
      </c>
      <c r="F135" s="34">
        <f>D135</f>
        <v/>
      </c>
      <c r="G135" s="28" t="n">
        <v>2</v>
      </c>
      <c r="H135" s="34">
        <f>F135*G135</f>
        <v/>
      </c>
    </row>
    <row r="136" ht="16" customHeight="1">
      <c r="A136" s="42" t="inlineStr">
        <is>
          <t>Tech</t>
        </is>
      </c>
      <c r="B136" s="43" t="inlineStr">
        <is>
          <t>Bluetooth speaker</t>
        </is>
      </c>
      <c r="C136" s="31" t="n">
        <v>40</v>
      </c>
      <c r="D136" s="31" t="n">
        <v>100</v>
      </c>
      <c r="E136" s="31" t="n">
        <v>280</v>
      </c>
      <c r="F136" s="34">
        <f>D136</f>
        <v/>
      </c>
      <c r="G136" s="28" t="n">
        <v>1</v>
      </c>
      <c r="H136" s="34">
        <f>F136*G136</f>
        <v/>
      </c>
    </row>
    <row r="137" ht="16" customHeight="1">
      <c r="A137" s="42" t="inlineStr">
        <is>
          <t>Tech</t>
        </is>
      </c>
      <c r="B137" s="43" t="inlineStr">
        <is>
          <t>Universal remote / charging hub</t>
        </is>
      </c>
      <c r="C137" s="31" t="n">
        <v>25</v>
      </c>
      <c r="D137" s="31" t="n">
        <v>55</v>
      </c>
      <c r="E137" s="31" t="n">
        <v>150</v>
      </c>
      <c r="F137" s="34">
        <f>D137</f>
        <v/>
      </c>
      <c r="G137" s="28" t="n">
        <v>1</v>
      </c>
      <c r="H137" s="34">
        <f>F137*G137</f>
        <v/>
      </c>
    </row>
    <row r="138" ht="18" customHeight="1">
      <c r="B138" s="45" t="inlineStr">
        <is>
          <t xml:space="preserve">  Tech subtotal</t>
        </is>
      </c>
      <c r="C138" s="46">
        <f>SUM(C131:C137)</f>
        <v/>
      </c>
      <c r="D138" s="46">
        <f>SUM(D131:D137)</f>
        <v/>
      </c>
      <c r="E138" s="46">
        <f>SUM(E131:E137)</f>
        <v/>
      </c>
      <c r="F138" s="46">
        <f>SUM(F131:F137)</f>
        <v/>
      </c>
      <c r="H138" s="46">
        <f>SUM(H131:H137)</f>
        <v/>
      </c>
    </row>
    <row r="139"/>
    <row r="140" ht="20" customHeight="1">
      <c r="A140" s="39" t="inlineStr">
        <is>
          <t>SAFETY</t>
        </is>
      </c>
    </row>
    <row r="141" ht="16" customHeight="1">
      <c r="A141" s="42" t="inlineStr">
        <is>
          <t>Safety</t>
        </is>
      </c>
      <c r="B141" s="43" t="inlineStr">
        <is>
          <t>Smoke detectors (per-room)</t>
        </is>
      </c>
      <c r="C141" s="31" t="n">
        <v>50</v>
      </c>
      <c r="D141" s="31" t="n">
        <v>100</v>
      </c>
      <c r="E141" s="31" t="n">
        <v>220</v>
      </c>
      <c r="F141" s="34">
        <f>D141</f>
        <v/>
      </c>
      <c r="G141" s="28" t="n">
        <v>1</v>
      </c>
      <c r="H141" s="34">
        <f>F141*G141</f>
        <v/>
      </c>
    </row>
    <row r="142" ht="16" customHeight="1">
      <c r="A142" s="42" t="inlineStr">
        <is>
          <t>Safety</t>
        </is>
      </c>
      <c r="B142" s="43" t="inlineStr">
        <is>
          <t>CO detectors (per code)</t>
        </is>
      </c>
      <c r="C142" s="31" t="n">
        <v>40</v>
      </c>
      <c r="D142" s="31" t="n">
        <v>80</v>
      </c>
      <c r="E142" s="31" t="n">
        <v>160</v>
      </c>
      <c r="F142" s="34">
        <f>D142</f>
        <v/>
      </c>
      <c r="G142" s="28" t="n">
        <v>1</v>
      </c>
      <c r="H142" s="34">
        <f>F142*G142</f>
        <v/>
      </c>
    </row>
    <row r="143" ht="16" customHeight="1">
      <c r="A143" s="42" t="inlineStr">
        <is>
          <t>Safety</t>
        </is>
      </c>
      <c r="B143" s="43" t="inlineStr">
        <is>
          <t>Fire extinguisher (kitchen + ea floor)</t>
        </is>
      </c>
      <c r="C143" s="31" t="n">
        <v>40</v>
      </c>
      <c r="D143" s="31" t="n">
        <v>80</v>
      </c>
      <c r="E143" s="31" t="n">
        <v>160</v>
      </c>
      <c r="F143" s="34">
        <f>D143</f>
        <v/>
      </c>
      <c r="G143" s="28" t="n">
        <v>1</v>
      </c>
      <c r="H143" s="34">
        <f>F143*G143</f>
        <v/>
      </c>
    </row>
    <row r="144" ht="16" customHeight="1">
      <c r="A144" s="42" t="inlineStr">
        <is>
          <t>Safety</t>
        </is>
      </c>
      <c r="B144" s="43" t="inlineStr">
        <is>
          <t>First aid kit (full)</t>
        </is>
      </c>
      <c r="C144" s="31" t="n">
        <v>30</v>
      </c>
      <c r="D144" s="31" t="n">
        <v>60</v>
      </c>
      <c r="E144" s="31" t="n">
        <v>140</v>
      </c>
      <c r="F144" s="34">
        <f>D144</f>
        <v/>
      </c>
      <c r="G144" s="28" t="n">
        <v>1</v>
      </c>
      <c r="H144" s="34">
        <f>F144*G144</f>
        <v/>
      </c>
    </row>
    <row r="145" ht="16" customHeight="1">
      <c r="A145" s="42" t="inlineStr">
        <is>
          <t>Safety</t>
        </is>
      </c>
      <c r="B145" s="43" t="inlineStr">
        <is>
          <t>Emergency flashlights + batteries</t>
        </is>
      </c>
      <c r="C145" s="31" t="n">
        <v>25</v>
      </c>
      <c r="D145" s="31" t="n">
        <v>50</v>
      </c>
      <c r="E145" s="31" t="n">
        <v>120</v>
      </c>
      <c r="F145" s="34">
        <f>D145</f>
        <v/>
      </c>
      <c r="G145" s="28" t="n">
        <v>1</v>
      </c>
      <c r="H145" s="34">
        <f>F145*G145</f>
        <v/>
      </c>
    </row>
    <row r="146" ht="16" customHeight="1">
      <c r="A146" s="42" t="inlineStr">
        <is>
          <t>Safety</t>
        </is>
      </c>
      <c r="B146" s="43" t="inlineStr">
        <is>
          <t>Evacuation map (printed + framed)</t>
        </is>
      </c>
      <c r="C146" s="31" t="n">
        <v>20</v>
      </c>
      <c r="D146" s="31" t="n">
        <v>40</v>
      </c>
      <c r="E146" s="31" t="n">
        <v>80</v>
      </c>
      <c r="F146" s="34">
        <f>D146</f>
        <v/>
      </c>
      <c r="G146" s="28" t="n">
        <v>1</v>
      </c>
      <c r="H146" s="34">
        <f>F146*G146</f>
        <v/>
      </c>
    </row>
    <row r="147" ht="16" customHeight="1">
      <c r="A147" s="42" t="inlineStr">
        <is>
          <t>Safety</t>
        </is>
      </c>
      <c r="B147" s="43" t="inlineStr">
        <is>
          <t>Guest WiFi card (laminated)</t>
        </is>
      </c>
      <c r="C147" s="31" t="n">
        <v>10</v>
      </c>
      <c r="D147" s="31" t="n">
        <v>20</v>
      </c>
      <c r="E147" s="31" t="n">
        <v>40</v>
      </c>
      <c r="F147" s="34">
        <f>D147</f>
        <v/>
      </c>
      <c r="G147" s="28" t="n">
        <v>1</v>
      </c>
      <c r="H147" s="34">
        <f>F147*G147</f>
        <v/>
      </c>
    </row>
    <row r="148" ht="16" customHeight="1">
      <c r="A148" s="42" t="inlineStr">
        <is>
          <t>Safety</t>
        </is>
      </c>
      <c r="B148" s="43" t="inlineStr">
        <is>
          <t>Exterior security camera</t>
        </is>
      </c>
      <c r="C148" s="31" t="n">
        <v>100</v>
      </c>
      <c r="D148" s="31" t="n">
        <v>180</v>
      </c>
      <c r="E148" s="31" t="n">
        <v>320</v>
      </c>
      <c r="F148" s="34">
        <f>D148</f>
        <v/>
      </c>
      <c r="G148" s="28" t="n">
        <v>1</v>
      </c>
      <c r="H148" s="34">
        <f>F148*G148</f>
        <v/>
      </c>
    </row>
    <row r="149" ht="18" customHeight="1">
      <c r="B149" s="45" t="inlineStr">
        <is>
          <t xml:space="preserve">  Safety subtotal</t>
        </is>
      </c>
      <c r="C149" s="46">
        <f>SUM(C141:C148)</f>
        <v/>
      </c>
      <c r="D149" s="46">
        <f>SUM(D141:D148)</f>
        <v/>
      </c>
      <c r="E149" s="46">
        <f>SUM(E141:E148)</f>
        <v/>
      </c>
      <c r="F149" s="46">
        <f>SUM(F141:F148)</f>
        <v/>
      </c>
      <c r="H149" s="46">
        <f>SUM(H141:H148)</f>
        <v/>
      </c>
    </row>
    <row r="150"/>
    <row r="151" ht="20" customHeight="1">
      <c r="A151" s="39" t="inlineStr">
        <is>
          <t>LINENS</t>
        </is>
      </c>
    </row>
    <row r="152" ht="16" customHeight="1">
      <c r="A152" s="42" t="inlineStr">
        <is>
          <t>Linens</t>
        </is>
      </c>
      <c r="B152" s="43" t="inlineStr">
        <is>
          <t>Extra sheet sets (2)</t>
        </is>
      </c>
      <c r="C152" s="31" t="n">
        <v>60</v>
      </c>
      <c r="D152" s="31" t="n">
        <v>140</v>
      </c>
      <c r="E152" s="31" t="n">
        <v>320</v>
      </c>
      <c r="F152" s="34">
        <f>D152</f>
        <v/>
      </c>
      <c r="G152" s="28" t="n">
        <v>1</v>
      </c>
      <c r="H152" s="34">
        <f>F152*G152</f>
        <v/>
      </c>
    </row>
    <row r="153" ht="16" customHeight="1">
      <c r="A153" s="42" t="inlineStr">
        <is>
          <t>Linens</t>
        </is>
      </c>
      <c r="B153" s="43" t="inlineStr">
        <is>
          <t>Extra bath towels (8)</t>
        </is>
      </c>
      <c r="C153" s="31" t="n">
        <v>50</v>
      </c>
      <c r="D153" s="31" t="n">
        <v>120</v>
      </c>
      <c r="E153" s="31" t="n">
        <v>280</v>
      </c>
      <c r="F153" s="34">
        <f>D153</f>
        <v/>
      </c>
      <c r="G153" s="28" t="n">
        <v>1</v>
      </c>
      <c r="H153" s="34">
        <f>F153*G153</f>
        <v/>
      </c>
    </row>
    <row r="154" ht="16" customHeight="1">
      <c r="A154" s="42" t="inlineStr">
        <is>
          <t>Linens</t>
        </is>
      </c>
      <c r="B154" s="43" t="inlineStr">
        <is>
          <t>Hand towels + washcloths bulk</t>
        </is>
      </c>
      <c r="C154" s="31" t="n">
        <v>35</v>
      </c>
      <c r="D154" s="31" t="n">
        <v>80</v>
      </c>
      <c r="E154" s="31" t="n">
        <v>200</v>
      </c>
      <c r="F154" s="34">
        <f>D154</f>
        <v/>
      </c>
      <c r="G154" s="28" t="n">
        <v>1</v>
      </c>
      <c r="H154" s="34">
        <f>F154*G154</f>
        <v/>
      </c>
    </row>
    <row r="155" ht="16" customHeight="1">
      <c r="A155" s="42" t="inlineStr">
        <is>
          <t>Linens</t>
        </is>
      </c>
      <c r="B155" s="43" t="inlineStr">
        <is>
          <t>Beach / pool towels (4)</t>
        </is>
      </c>
      <c r="C155" s="31" t="n">
        <v>40</v>
      </c>
      <c r="D155" s="31" t="n">
        <v>90</v>
      </c>
      <c r="E155" s="31" t="n">
        <v>220</v>
      </c>
      <c r="F155" s="34">
        <f>D155</f>
        <v/>
      </c>
      <c r="G155" s="28" t="n">
        <v>1</v>
      </c>
      <c r="H155" s="34">
        <f>F155*G155</f>
        <v/>
      </c>
    </row>
    <row r="156" ht="16" customHeight="1">
      <c r="A156" s="42" t="inlineStr">
        <is>
          <t>Linens</t>
        </is>
      </c>
      <c r="B156" s="43" t="inlineStr">
        <is>
          <t>Welcome basket — non-perishable</t>
        </is>
      </c>
      <c r="C156" s="31" t="n">
        <v>25</v>
      </c>
      <c r="D156" s="31" t="n">
        <v>60</v>
      </c>
      <c r="E156" s="31" t="n">
        <v>140</v>
      </c>
      <c r="F156" s="34">
        <f>D156</f>
        <v/>
      </c>
      <c r="G156" s="28" t="n">
        <v>1</v>
      </c>
      <c r="H156" s="34">
        <f>F156*G156</f>
        <v/>
      </c>
    </row>
    <row r="157" ht="16" customHeight="1">
      <c r="A157" s="42" t="inlineStr">
        <is>
          <t>Linens</t>
        </is>
      </c>
      <c r="B157" s="43" t="inlineStr">
        <is>
          <t>Toiletry starter (shampoo/cond/soap)</t>
        </is>
      </c>
      <c r="C157" s="31" t="n">
        <v>30</v>
      </c>
      <c r="D157" s="31" t="n">
        <v>70</v>
      </c>
      <c r="E157" s="31" t="n">
        <v>160</v>
      </c>
      <c r="F157" s="34">
        <f>D157</f>
        <v/>
      </c>
      <c r="G157" s="28" t="n">
        <v>1</v>
      </c>
      <c r="H157" s="34">
        <f>F157*G157</f>
        <v/>
      </c>
    </row>
    <row r="158" ht="16" customHeight="1">
      <c r="A158" s="42" t="inlineStr">
        <is>
          <t>Linens</t>
        </is>
      </c>
      <c r="B158" s="43" t="inlineStr">
        <is>
          <t>Coffee + tea + filters</t>
        </is>
      </c>
      <c r="C158" s="31" t="n">
        <v>20</v>
      </c>
      <c r="D158" s="31" t="n">
        <v>50</v>
      </c>
      <c r="E158" s="31" t="n">
        <v>120</v>
      </c>
      <c r="F158" s="34">
        <f>D158</f>
        <v/>
      </c>
      <c r="G158" s="28" t="n">
        <v>1</v>
      </c>
      <c r="H158" s="34">
        <f>F158*G158</f>
        <v/>
      </c>
    </row>
    <row r="159" ht="16" customHeight="1">
      <c r="A159" s="42" t="inlineStr">
        <is>
          <t>Linens</t>
        </is>
      </c>
      <c r="B159" s="43" t="inlineStr">
        <is>
          <t>Cleaning supplies starter kit</t>
        </is>
      </c>
      <c r="C159" s="31" t="n">
        <v>40</v>
      </c>
      <c r="D159" s="31" t="n">
        <v>90</v>
      </c>
      <c r="E159" s="31" t="n">
        <v>200</v>
      </c>
      <c r="F159" s="34">
        <f>D159</f>
        <v/>
      </c>
      <c r="G159" s="28" t="n">
        <v>1</v>
      </c>
      <c r="H159" s="34">
        <f>F159*G159</f>
        <v/>
      </c>
    </row>
    <row r="160" ht="16" customHeight="1">
      <c r="A160" s="42" t="inlineStr">
        <is>
          <t>Linens</t>
        </is>
      </c>
      <c r="B160" s="43" t="inlineStr">
        <is>
          <t>Laundry detergent + dryer sheets</t>
        </is>
      </c>
      <c r="C160" s="31" t="n">
        <v>20</v>
      </c>
      <c r="D160" s="31" t="n">
        <v>45</v>
      </c>
      <c r="E160" s="31" t="n">
        <v>95</v>
      </c>
      <c r="F160" s="34">
        <f>D160</f>
        <v/>
      </c>
      <c r="G160" s="28" t="n">
        <v>1</v>
      </c>
      <c r="H160" s="34">
        <f>F160*G160</f>
        <v/>
      </c>
    </row>
    <row r="161" ht="16" customHeight="1">
      <c r="A161" s="42" t="inlineStr">
        <is>
          <t>Linens</t>
        </is>
      </c>
      <c r="B161" s="43" t="inlineStr">
        <is>
          <t>Trash bags + paper goods</t>
        </is>
      </c>
      <c r="C161" s="31" t="n">
        <v>25</v>
      </c>
      <c r="D161" s="31" t="n">
        <v>55</v>
      </c>
      <c r="E161" s="31" t="n">
        <v>120</v>
      </c>
      <c r="F161" s="34">
        <f>D161</f>
        <v/>
      </c>
      <c r="G161" s="28" t="n">
        <v>1</v>
      </c>
      <c r="H161" s="34">
        <f>F161*G161</f>
        <v/>
      </c>
    </row>
    <row r="162" ht="18" customHeight="1">
      <c r="B162" s="45" t="inlineStr">
        <is>
          <t xml:space="preserve">  Linens subtotal</t>
        </is>
      </c>
      <c r="C162" s="46">
        <f>SUM(C152:C161)</f>
        <v/>
      </c>
      <c r="D162" s="46">
        <f>SUM(D152:D161)</f>
        <v/>
      </c>
      <c r="E162" s="46">
        <f>SUM(E152:E161)</f>
        <v/>
      </c>
      <c r="F162" s="46">
        <f>SUM(F152:F161)</f>
        <v/>
      </c>
      <c r="H162" s="46">
        <f>SUM(H152:H161)</f>
        <v/>
      </c>
    </row>
    <row r="163"/>
    <row r="164" ht="26" customHeight="1">
      <c r="A164" s="48" t="inlineStr">
        <is>
          <t>FURNISH &amp; SETUP TOTALS</t>
        </is>
      </c>
      <c r="C164" s="49">
        <f>SUM(C23,C41,C56,C71,C99,C117,C128,C138,C149,C162)</f>
        <v/>
      </c>
      <c r="D164" s="49">
        <f>SUM(D23,D41,D56,D71,D99,D117,D128,D138,D149,D162)</f>
        <v/>
      </c>
      <c r="E164" s="49">
        <f>SUM(E23,E41,E56,E71,E99,E117,E128,E138,E149,E162)</f>
        <v/>
      </c>
      <c r="F164" s="49">
        <f>SUM(F23,F41,F56,F71,F99,F117,F128,F138,F149,F162)</f>
        <v/>
      </c>
      <c r="G164" s="1" t="n"/>
      <c r="H164" s="49">
        <f>SUM(H23,H41,H56,H71,H99,H117,H128,H138,H149,H162)</f>
        <v/>
      </c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</row>
    <row r="168" ht="18" customHeight="1">
      <c r="A168" s="21" t="inlineStr">
        <is>
          <t>Questions? hello@thestrledger.com</t>
        </is>
      </c>
    </row>
    <row r="169" ht="18" customHeight="1">
      <c r="A169" s="22" t="inlineStr">
        <is>
          <t>ACQ-002 · Furnish &amp; Setup</t>
        </is>
      </c>
    </row>
  </sheetData>
  <mergeCells count="19">
    <mergeCell ref="A130:H130"/>
    <mergeCell ref="D2:I2"/>
    <mergeCell ref="A73:H73"/>
    <mergeCell ref="A119:H119"/>
    <mergeCell ref="A2:C2"/>
    <mergeCell ref="A7:H7"/>
    <mergeCell ref="J6:K6"/>
    <mergeCell ref="A25:H25"/>
    <mergeCell ref="A164:B164"/>
    <mergeCell ref="A4:L4"/>
    <mergeCell ref="A101:H101"/>
    <mergeCell ref="J2:L2"/>
    <mergeCell ref="A151:H151"/>
    <mergeCell ref="A140:H140"/>
    <mergeCell ref="J25:K27"/>
    <mergeCell ref="A169:L169"/>
    <mergeCell ref="A43:H43"/>
    <mergeCell ref="A168:L168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HYPERLINK("#'Furnish &amp; Setup'!A1", "← BACK")</f>
        <v/>
      </c>
      <c r="B2" s="15" t="n"/>
      <c r="C2" s="15" t="n"/>
      <c r="D2" s="23" t="inlineStr">
        <is>
          <t>LAUNCH COSTS</t>
        </is>
      </c>
      <c r="J2" s="16">
        <f>HYPERLINK("#'90-Day Reserve'!A1",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Section 3 of 4 — costs to GO LIVE: photos, listings, permits, LLC, insurance, software.</t>
        </is>
      </c>
    </row>
    <row r="6" ht="24" customHeight="1">
      <c r="A6" s="25" t="inlineStr">
        <is>
          <t>MARKETING &amp; LISTING</t>
        </is>
      </c>
    </row>
    <row r="8" ht="18" customHeight="1">
      <c r="B8" s="26" t="inlineStr">
        <is>
          <t>Professional photos ($):</t>
        </is>
      </c>
      <c r="C8" s="31" t="n">
        <v>1200</v>
      </c>
      <c r="E8" s="29" t="inlineStr">
        <is>
          <t>$800-1500 — non-negotiable for ranking</t>
        </is>
      </c>
    </row>
    <row r="9" ht="18" customHeight="1">
      <c r="B9" s="26" t="inlineStr">
        <is>
          <t>Airbnb listing fee ($):</t>
        </is>
      </c>
      <c r="C9" s="31" t="n">
        <v>0</v>
      </c>
      <c r="E9" s="29" t="inlineStr">
        <is>
          <t>Typically $0 — free to list</t>
        </is>
      </c>
    </row>
    <row r="10" ht="24" customHeight="1">
      <c r="A10" s="25" t="inlineStr">
        <is>
          <t>PERMITS &amp; LEGAL ENTITY</t>
        </is>
      </c>
    </row>
    <row r="11" ht="18" customHeight="1">
      <c r="B11" s="26" t="inlineStr">
        <is>
          <t>Permit / STR registration ($):</t>
        </is>
      </c>
      <c r="C11" s="31" t="n">
        <v>450</v>
      </c>
      <c r="E11" s="29" t="inlineStr">
        <is>
          <t>Varies by city — check local</t>
        </is>
      </c>
    </row>
    <row r="12" ht="18" customHeight="1">
      <c r="B12" s="26" t="inlineStr">
        <is>
          <t>Business license ($):</t>
        </is>
      </c>
      <c r="C12" s="31" t="n">
        <v>150</v>
      </c>
    </row>
    <row r="13" ht="18" customHeight="1">
      <c r="B13" s="26" t="inlineStr">
        <is>
          <t>LLC formation ($):</t>
        </is>
      </c>
      <c r="C13" s="31" t="n">
        <v>400</v>
      </c>
      <c r="E13" s="29" t="inlineStr">
        <is>
          <t>$300-500 most states</t>
        </is>
      </c>
    </row>
    <row r="14" ht="18" customHeight="1">
      <c r="B14" s="26" t="inlineStr">
        <is>
          <t>Insurance binder + Y1 ($):</t>
        </is>
      </c>
      <c r="C14" s="31" t="n">
        <v>1800</v>
      </c>
      <c r="E14" s="29" t="inlineStr">
        <is>
          <t>STR-specific; HO-3 won't cover</t>
        </is>
      </c>
    </row>
    <row r="16" ht="24" customHeight="1">
      <c r="A16" s="25" t="inlineStr">
        <is>
          <t>SOFTWARE &amp; TOOLS (Y1)</t>
        </is>
      </c>
    </row>
    <row r="17" ht="18" customHeight="1">
      <c r="B17" s="26" t="inlineStr">
        <is>
          <t>PMS setup ($):</t>
        </is>
      </c>
      <c r="C17" s="31" t="n">
        <v>250</v>
      </c>
      <c r="E17" s="29" t="inlineStr">
        <is>
          <t>Hospitable / Hostfully / etc.</t>
        </is>
      </c>
    </row>
    <row r="18" ht="18" customHeight="1">
      <c r="B18" s="26" t="inlineStr">
        <is>
          <t>Pricing tool setup ($):</t>
        </is>
      </c>
      <c r="C18" s="31" t="n">
        <v>150</v>
      </c>
      <c r="E18" s="29" t="inlineStr">
        <is>
          <t>PriceLabs / Wheelhouse setup</t>
        </is>
      </c>
    </row>
    <row r="19" ht="18" customHeight="1">
      <c r="B19" s="26" t="inlineStr">
        <is>
          <t>Accounting software ($):</t>
        </is>
      </c>
      <c r="C19" s="31" t="n">
        <v>240</v>
      </c>
      <c r="E19" s="29" t="inlineStr">
        <is>
          <t>QBO / Stessa annual</t>
        </is>
      </c>
    </row>
    <row r="21" ht="24" customHeight="1">
      <c r="A21" s="25" t="inlineStr">
        <is>
          <t>OTHER LAUNCH</t>
        </is>
      </c>
    </row>
    <row r="22" ht="18" customHeight="1">
      <c r="B22" s="26" t="inlineStr">
        <is>
          <t>VRBO listing fee ($):</t>
        </is>
      </c>
      <c r="C22" s="31" t="n">
        <v>499</v>
      </c>
      <c r="E22" s="29" t="inlineStr">
        <is>
          <t>Annual subscription option</t>
        </is>
      </c>
    </row>
    <row r="23" ht="18" customHeight="1">
      <c r="B23" s="26" t="inlineStr">
        <is>
          <t>Marketing / branding ($):</t>
        </is>
      </c>
      <c r="C23" s="31" t="n">
        <v>400</v>
      </c>
      <c r="E23" s="29" t="inlineStr">
        <is>
          <t>Logo, social, welcome book</t>
        </is>
      </c>
    </row>
    <row r="24" ht="18" customHeight="1">
      <c r="B24" s="26" t="inlineStr">
        <is>
          <t>Signage ($):</t>
        </is>
      </c>
      <c r="C24" s="31" t="n">
        <v>180</v>
      </c>
    </row>
    <row r="25" ht="18" customHeight="1">
      <c r="B25" s="26" t="inlineStr">
        <is>
          <t>Lockbox / key codes ($):</t>
        </is>
      </c>
      <c r="C25" s="31" t="n">
        <v>85</v>
      </c>
    </row>
    <row r="27" ht="24" customHeight="1">
      <c r="A27" s="25" t="inlineStr">
        <is>
          <t>DERIVED</t>
        </is>
      </c>
    </row>
    <row r="28" ht="22" customHeight="1">
      <c r="B28" s="36" t="inlineStr">
        <is>
          <t>Total launch costs:</t>
        </is>
      </c>
      <c r="C28" s="37">
        <f>SUM(C8:C9)+SUM(C11:C14)+SUM(C17:C19)+SUM(C22:C25)</f>
        <v/>
      </c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</row>
    <row r="32" ht="18" customHeight="1">
      <c r="A32" s="21" t="inlineStr">
        <is>
          <t>Questions? hello@thestrledger.com</t>
        </is>
      </c>
    </row>
    <row r="33" ht="18" customHeight="1">
      <c r="A33" s="22" t="inlineStr">
        <is>
          <t>ACQ-002 · Launch Costs</t>
        </is>
      </c>
    </row>
  </sheetData>
  <mergeCells count="21">
    <mergeCell ref="A16:L16"/>
    <mergeCell ref="E18:L18"/>
    <mergeCell ref="D2:I2"/>
    <mergeCell ref="E14:L14"/>
    <mergeCell ref="A27:L27"/>
    <mergeCell ref="E23:L23"/>
    <mergeCell ref="A21:L21"/>
    <mergeCell ref="E8:L8"/>
    <mergeCell ref="A2:C2"/>
    <mergeCell ref="E17:L17"/>
    <mergeCell ref="A33:L33"/>
    <mergeCell ref="A32:L32"/>
    <mergeCell ref="E13:L13"/>
    <mergeCell ref="E19:L19"/>
    <mergeCell ref="A4:L4"/>
    <mergeCell ref="E9:L9"/>
    <mergeCell ref="J2:L2"/>
    <mergeCell ref="A10:L10"/>
    <mergeCell ref="E11:L11"/>
    <mergeCell ref="A6:L6"/>
    <mergeCell ref="E22:L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HYPERLINK("#'Launch Costs'!A1", "← BACK")</f>
        <v/>
      </c>
      <c r="B2" s="15" t="n"/>
      <c r="C2" s="15" t="n"/>
      <c r="D2" s="23" t="inlineStr">
        <is>
          <t>90-DAY RESERVE</t>
        </is>
      </c>
      <c r="J2" s="16">
        <f>HYPERLINK("#'Total + Y1 ROI'!A1",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Section 4 of 4 — operating runway. The difference between "launched" and "sustained." Non-negotiable.</t>
        </is>
      </c>
    </row>
    <row r="6" ht="24" customHeight="1">
      <c r="A6" s="25" t="inlineStr">
        <is>
          <t>90-DAY OPERATING RESERVE</t>
        </is>
      </c>
    </row>
    <row r="7" ht="18" customHeight="1">
      <c r="B7" s="26" t="inlineStr">
        <is>
          <t>Mortgage P&amp;I × 3 mo:</t>
        </is>
      </c>
      <c r="C7" s="34">
        <f>Acquisition!C30*3</f>
        <v/>
      </c>
      <c r="E7" s="29" t="inlineStr">
        <is>
          <t>Auto-calculated from Acquisition tab P&amp;I × 3 months</t>
        </is>
      </c>
    </row>
    <row r="8" ht="18" customHeight="1">
      <c r="B8" s="26" t="inlineStr">
        <is>
          <t>Utilities × 3 mo ($):</t>
        </is>
      </c>
      <c r="C8" s="31" t="n">
        <v>900</v>
      </c>
      <c r="E8" s="29" t="inlineStr">
        <is>
          <t>$200-400/mo typical</t>
        </is>
      </c>
    </row>
    <row r="9" ht="18" customHeight="1">
      <c r="B9" s="26" t="inlineStr">
        <is>
          <t>Insurance reserve ($):</t>
        </is>
      </c>
      <c r="C9" s="31" t="n">
        <v>450</v>
      </c>
      <c r="E9" s="29" t="inlineStr">
        <is>
          <t>Annual / 4 (3 mo)</t>
        </is>
      </c>
    </row>
    <row r="10" ht="18" customHeight="1">
      <c r="B10" s="26" t="inlineStr">
        <is>
          <t>Cleaning reserve ($):</t>
        </is>
      </c>
      <c r="C10" s="31" t="n">
        <v>1500</v>
      </c>
      <c r="E10" s="29" t="inlineStr">
        <is>
          <t>Pre-bookings until cash flow normalizes</t>
        </is>
      </c>
    </row>
    <row r="11" ht="18" customHeight="1">
      <c r="B11" s="26" t="inlineStr">
        <is>
          <t>Maintenance reserve ($):</t>
        </is>
      </c>
      <c r="C11" s="31" t="n">
        <v>1200</v>
      </c>
      <c r="E11" s="29" t="inlineStr">
        <is>
          <t>Surprise repairs in Y1</t>
        </is>
      </c>
    </row>
    <row r="12" ht="18" customHeight="1">
      <c r="B12" s="26" t="inlineStr">
        <is>
          <t>Marketing reserve ($):</t>
        </is>
      </c>
      <c r="C12" s="31" t="n">
        <v>600</v>
      </c>
      <c r="E12" s="29" t="inlineStr">
        <is>
          <t>Boost listing first 90 days</t>
        </is>
      </c>
    </row>
    <row r="13" ht="18" customHeight="1">
      <c r="B13" s="26" t="inlineStr">
        <is>
          <t>Software subscriptions × 3 mo:</t>
        </is>
      </c>
      <c r="C13" s="31" t="n">
        <v>210</v>
      </c>
      <c r="E13" s="29" t="inlineStr">
        <is>
          <t>PMS + pricing + accounting</t>
        </is>
      </c>
    </row>
    <row r="14" ht="18" customHeight="1">
      <c r="B14" s="26" t="inlineStr">
        <is>
          <t>Other contingency ($):</t>
        </is>
      </c>
      <c r="C14" s="31" t="n">
        <v>500</v>
      </c>
      <c r="E14" s="29" t="inlineStr">
        <is>
          <t>HOA dues, surprises</t>
        </is>
      </c>
    </row>
    <row r="15" ht="24" customHeight="1">
      <c r="A15" s="25" t="inlineStr">
        <is>
          <t>TOTAL RESERVE</t>
        </is>
      </c>
    </row>
    <row r="16" ht="22" customHeight="1">
      <c r="B16" s="36" t="inlineStr">
        <is>
          <t>90-day reserve:</t>
        </is>
      </c>
      <c r="C16" s="37">
        <f>SUM(C7:C14)</f>
        <v/>
      </c>
    </row>
    <row r="18" ht="22" customHeight="1">
      <c r="A18" s="50" t="inlineStr">
        <is>
          <t>Why this matters: The #1 reason new STR investors fail isn't a bad deal — it's running out of cash before bookings stabilize. Three months of fixed costs in reserve = the difference between launched and sustained. Don't skip this.</t>
        </is>
      </c>
    </row>
    <row r="19" ht="22" customHeight="1"/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</row>
    <row r="23" ht="18" customHeight="1">
      <c r="A23" s="21" t="inlineStr">
        <is>
          <t>Questions? hello@thestrledger.com</t>
        </is>
      </c>
    </row>
    <row r="24" ht="18" customHeight="1">
      <c r="A24" s="22" t="inlineStr">
        <is>
          <t>ACQ-002 · 90-Day Reserve</t>
        </is>
      </c>
    </row>
  </sheetData>
  <mergeCells count="17">
    <mergeCell ref="A24:L24"/>
    <mergeCell ref="E9:L9"/>
    <mergeCell ref="E12:L12"/>
    <mergeCell ref="J2:L2"/>
    <mergeCell ref="D2:I2"/>
    <mergeCell ref="A15:L15"/>
    <mergeCell ref="E7:L7"/>
    <mergeCell ref="A18:L19"/>
    <mergeCell ref="A23:L23"/>
    <mergeCell ref="E11:L11"/>
    <mergeCell ref="E10:L10"/>
    <mergeCell ref="A6:L6"/>
    <mergeCell ref="E13:L13"/>
    <mergeCell ref="E8:L8"/>
    <mergeCell ref="E14:L14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HYPERLINK("#'90-Day Reserve'!A1", "← BACK")</f>
        <v/>
      </c>
      <c r="B2" s="15" t="n"/>
      <c r="C2" s="15" t="n"/>
      <c r="D2" s="23" t="inlineStr">
        <is>
          <t>TOTAL + Y1 ROI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Your all-in budget + Y1 cash-on-cash return projection.</t>
        </is>
      </c>
    </row>
    <row r="6" ht="24" customHeight="1">
      <c r="A6" s="25" t="inlineStr">
        <is>
          <t>ALL-IN BUDGET</t>
        </is>
      </c>
    </row>
    <row r="7" ht="18" customHeight="1">
      <c r="B7" s="26" t="inlineStr">
        <is>
          <t>Acquisition (full, incl. purchase price):</t>
        </is>
      </c>
      <c r="C7" s="34">
        <f>Acquisition!C13+SUM(Acquisition!C19:C25)</f>
        <v/>
      </c>
    </row>
    <row r="8" ht="18" customHeight="1">
      <c r="B8" s="26" t="inlineStr">
        <is>
          <t>Furnish &amp; Setup (selected total):</t>
        </is>
      </c>
      <c r="C8" s="34">
        <f>'Furnish &amp; Setup'!H164</f>
        <v/>
      </c>
    </row>
    <row r="9" ht="18" customHeight="1">
      <c r="B9" s="26" t="inlineStr">
        <is>
          <t>Launch Costs:</t>
        </is>
      </c>
      <c r="C9" s="34">
        <f>'Launch Costs'!C28</f>
        <v/>
      </c>
    </row>
    <row r="10" ht="18" customHeight="1">
      <c r="B10" s="26" t="inlineStr">
        <is>
          <t>90-Day Reserve:</t>
        </is>
      </c>
      <c r="C10" s="34">
        <f>'90-Day Reserve'!C16</f>
        <v/>
      </c>
    </row>
    <row r="14" ht="32" customHeight="1">
      <c r="B14" s="51" t="inlineStr">
        <is>
          <t>TOTAL ALL-IN:</t>
        </is>
      </c>
      <c r="C14" s="52">
        <f>SUM(C7:C10)</f>
        <v/>
      </c>
    </row>
    <row r="16" ht="24" customHeight="1">
      <c r="A16" s="25" t="inlineStr">
        <is>
          <t>CASH INVESTED  (excludes mortgage principal)</t>
        </is>
      </c>
    </row>
    <row r="17">
      <c r="B17" s="26" t="inlineStr">
        <is>
          <t>Down payment + DD/closing:</t>
        </is>
      </c>
      <c r="C17" s="34">
        <f>Acquisition!C31</f>
        <v/>
      </c>
    </row>
    <row r="18">
      <c r="B18" s="26" t="inlineStr">
        <is>
          <t>+ Furnish + Launch + Reserve:</t>
        </is>
      </c>
      <c r="C18" s="34">
        <f>C8+C9+C10</f>
        <v/>
      </c>
    </row>
    <row r="19" ht="22" customHeight="1">
      <c r="B19" s="36" t="inlineStr">
        <is>
          <t>Cash invested (out of pocket):</t>
        </is>
      </c>
      <c r="C19" s="37">
        <f>C17+C18</f>
        <v/>
      </c>
    </row>
    <row r="21" ht="24" customHeight="1">
      <c r="A21" s="25" t="inlineStr">
        <is>
          <t>Y1 REVENUE PROJECTION  (your inputs)</t>
        </is>
      </c>
    </row>
    <row r="22" ht="18" customHeight="1">
      <c r="B22" s="26" t="inlineStr">
        <is>
          <t>Y1 ADR — avg nightly rate ($):</t>
        </is>
      </c>
      <c r="C22" s="31" t="n">
        <v>245</v>
      </c>
      <c r="E22" s="29" t="inlineStr">
        <is>
          <t>Pull from AirDNA / comps; haircut for Y1</t>
        </is>
      </c>
    </row>
    <row r="23" ht="18" customHeight="1">
      <c r="B23" s="26" t="inlineStr">
        <is>
          <t>Y1 occupancy (%):</t>
        </is>
      </c>
      <c r="C23" s="32" t="n">
        <v>0.45</v>
      </c>
      <c r="E23" s="29" t="inlineStr">
        <is>
          <t>40-50% typical for Y1; 65% stabilized</t>
        </is>
      </c>
    </row>
    <row r="24" ht="18" customHeight="1">
      <c r="B24" s="26" t="inlineStr">
        <is>
          <t>Available nights/yr:</t>
        </is>
      </c>
      <c r="C24" s="28" t="n">
        <v>365</v>
      </c>
      <c r="E24" s="29" t="inlineStr">
        <is>
          <t>365 default; less if owner-blocked</t>
        </is>
      </c>
    </row>
    <row r="25" ht="18" customHeight="1">
      <c r="B25" s="26" t="inlineStr">
        <is>
          <t>Y1 operating costs ($):</t>
        </is>
      </c>
      <c r="C25" s="31" t="n">
        <v>22000</v>
      </c>
      <c r="E25" s="29" t="inlineStr">
        <is>
          <t>Excl. mortgage; rough projection</t>
        </is>
      </c>
    </row>
    <row r="26" ht="24" customHeight="1">
      <c r="A26" s="25" t="inlineStr">
        <is>
          <t>Y1 OUTPUTS</t>
        </is>
      </c>
    </row>
    <row r="27" ht="18" customHeight="1">
      <c r="B27" s="26" t="inlineStr">
        <is>
          <t>Y1 gross revenue:</t>
        </is>
      </c>
      <c r="C27" s="34">
        <f>C22*C23*C24</f>
        <v/>
      </c>
    </row>
    <row r="28" ht="22" customHeight="1">
      <c r="B28" s="36" t="inlineStr">
        <is>
          <t>Y1 cash-on-cash %:</t>
        </is>
      </c>
      <c r="C28" s="53">
        <f>IFERROR((C27-C25-Acquisition!C30*12)/C19,0)</f>
        <v/>
      </c>
    </row>
    <row r="29" ht="18" customHeight="1">
      <c r="B29" s="26" t="inlineStr">
        <is>
          <t>Y1 net cash flow:</t>
        </is>
      </c>
      <c r="C29" s="34">
        <f>C27-C25-Acquisition!C30*12</f>
        <v/>
      </c>
    </row>
    <row r="30" ht="18" customHeight="1">
      <c r="B30" s="26" t="inlineStr">
        <is>
          <t>Payback (months, if positive):</t>
        </is>
      </c>
      <c r="C30" s="54">
        <f>IFERROR(IF(C29&gt;0,C19/(C29/12),0),0)</f>
        <v/>
      </c>
    </row>
    <row r="31" ht="18" customHeight="1">
      <c r="B31" s="26" t="inlineStr">
        <is>
          <t>Break-even occupancy:</t>
        </is>
      </c>
      <c r="C31" s="55">
        <f>IFERROR((C25+Acquisition!C30*12)/(C22*C24),0)</f>
        <v/>
      </c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5" ht="18" customHeight="1">
      <c r="A35" s="21" t="inlineStr">
        <is>
          <t>Questions? hello@thestrledger.com</t>
        </is>
      </c>
    </row>
    <row r="36" ht="18" customHeight="1">
      <c r="A36" s="22" t="inlineStr">
        <is>
          <t>ACQ-002 · Total + Y1 ROI</t>
        </is>
      </c>
    </row>
  </sheetData>
  <mergeCells count="13">
    <mergeCell ref="A26:L26"/>
    <mergeCell ref="D2:L2"/>
    <mergeCell ref="A16:L16"/>
    <mergeCell ref="E23:L23"/>
    <mergeCell ref="E25:L25"/>
    <mergeCell ref="A35:L35"/>
    <mergeCell ref="A36:L36"/>
    <mergeCell ref="E24:L24"/>
    <mergeCell ref="A6:L6"/>
    <mergeCell ref="E22:L22"/>
    <mergeCell ref="A21:L2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Cost-to-Launch Calculator — The STR Ledger</dc:title>
  <dc:description xmlns:dc="http://purl.org/dc/elements/1.1/">Cost-to-launch wizard for first-time STR hosts. 6 tabs, ~120 pre-populated furnishing line items, 90-day operating reserve, Y1 cash-on-cash projection.</dc:description>
  <dcterms:created xmlns:dcterms="http://purl.org/dc/terms/" xmlns:xsi="http://www.w3.org/2001/XMLSchema-instance" xsi:type="dcterms:W3CDTF">2026-05-03T19:04:32Z</dcterms:created>
  <dcterms:modified xmlns:dcterms="http://purl.org/dc/terms/" xmlns:xsi="http://www.w3.org/2001/XMLSchema-instance" xsi:type="dcterms:W3CDTF">2026-05-03T19:04:32Z</dcterms:modified>
</cp:coreProperties>
</file>