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Safety &amp; Disclosures" sheetId="9" state="visible" r:id="rId9"/>
    <sheet xmlns:r="http://schemas.openxmlformats.org/officeDocument/2006/relationships" name="Emergency" sheetId="10" state="visible" r:id="rId10"/>
    <sheet xmlns:r="http://schemas.openxmlformats.org/officeDocument/2006/relationships" name="Launch" sheetId="11" state="visible" r:id="rId11"/>
    <sheet xmlns:r="http://schemas.openxmlformats.org/officeDocument/2006/relationships" name="Bonus" sheetId="12" state="visible" r:id="rId12"/>
    <sheet xmlns:r="http://schemas.openxmlformats.org/officeDocument/2006/relationships" name="× Host Notes" sheetId="13" state="visible" r:id="rId13"/>
  </sheets>
  <definedNames>
    <definedName name="_xlnm.Print_Area" localSheetId="0">'Start'!$A$1:$L$52</definedName>
    <definedName name="_xlnm.Print_Area" localSheetId="5">'Local Guide'!$A$1:$E$33</definedName>
    <definedName name="_xlnm.Print_Area" localSheetId="9">'Emergency'!$A$1:$L$21</definedName>
    <definedName name="_xlnm.Print_Area" localSheetId="10">'Launch'!$A$1:$L$22</definedName>
    <definedName name="_xlnm.Print_Area" localSheetId="11">'Bonus'!$A$1:$L$20</definedName>
    <definedName name="_xlnm.Print_Area" localSheetId="12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CCCC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 wrapText="1" indent="1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7" fillId="7" borderId="0" applyAlignment="1" pivotButton="0" quotePrefix="0" xfId="0">
      <alignment horizontal="left" vertical="center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 wrapText="1" indent="1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 wrapText="1" indent="1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COUNTA('Safety &amp; Disclosures'!B8:B13) + COUNTA('Emergency'!B8:B16))/138,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Safety &amp; Disclosures</t>
        </is>
      </c>
      <c r="G45" s="18">
        <f>IF(COUNTA('Safety &amp; Disclosures'!B8:B13)=6,"✅ Done",IF(COUNTA('Safety &amp; Disclosures'!B8:B13)=0,"⏳ Empty","⏳ "&amp;COUNTA('Safety &amp; Disclosures'!B8:B13)&amp;" of 6"))</f>
        <v/>
      </c>
      <c r="K45" s="19">
        <f>HYPERLINK("#'Safety &amp; Disclosures'!A5","→ go")</f>
        <v/>
      </c>
    </row>
    <row r="46" ht="18" customHeight="1">
      <c r="A46" s="17" t="inlineStr">
        <is>
          <t>⑨ Emergency</t>
        </is>
      </c>
      <c r="G46" s="18">
        <f>IF(COUNTA('Emergency'!B8:B16)=9,"✅ Done",IF(COUNTA('Emergency'!B8:B16)=0,"⏳ Empty","⏳ "&amp;COUNTA('Emergency'!B8:B16)&amp;" of 9"))</f>
        <v/>
      </c>
      <c r="K46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9">
    <mergeCell ref="A41:F41"/>
    <mergeCell ref="A7:L7"/>
    <mergeCell ref="A46:F46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G46:J46"/>
    <mergeCell ref="A42:F42"/>
    <mergeCell ref="H25:L25"/>
    <mergeCell ref="A5:L5"/>
    <mergeCell ref="A23:L23"/>
    <mergeCell ref="G43:J43"/>
    <mergeCell ref="K44:L44"/>
    <mergeCell ref="K41:L41"/>
    <mergeCell ref="K46:L46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9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inlineStr">
        <is>
          <t>Smokies Ridge Cabin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inlineStr">
        <is>
          <t>Daniel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STR permit / license #:</t>
        </is>
      </c>
      <c r="B10" s="35" t="inlineStr">
        <is>
          <t>STR-PERMIT-2026-0145 (Sevier County, TN)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Host phone (text preferred):</t>
        </is>
      </c>
      <c r="B11" s="38" t="inlineStr">
        <is>
          <t>+1 (555) 555-0199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Check-in date:</t>
        </is>
      </c>
      <c r="B12" s="35" t="inlineStr">
        <is>
          <t>2026-05-10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Check-out date:</t>
        </is>
      </c>
      <c r="B13" s="35" t="inlineStr">
        <is>
          <t>2026-05-15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Property type:</t>
        </is>
      </c>
      <c r="B14" s="35" t="inlineStr">
        <is>
          <t>Cabin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4" t="inlineStr">
        <is>
          <t>Max guests:</t>
        </is>
      </c>
      <c r="B15" s="35" t="n">
        <v>6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7" t="inlineStr">
        <is>
          <t>Full address:</t>
        </is>
      </c>
      <c r="B16" s="38" t="inlineStr">
        <is>
          <t>123 Mountain Lane, Gatlinburg, TN 37738</t>
        </is>
      </c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40" t="n"/>
    </row>
    <row r="17" ht="24" customHeight="1">
      <c r="A17" s="34" t="inlineStr">
        <is>
          <t>Accessibility notes (steps / ramp / widths):</t>
        </is>
      </c>
      <c r="B17" s="35" t="inlineStr">
        <is>
          <t>3 steps to front porch, no ramp. Doorways 32" min. Bedrooms on main floor.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First time? Go to Start → Quick Start for the 5-minute path.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HYPERLINK("#'Start'!A1", "← Back: Start")</f>
        <v/>
      </c>
      <c r="B20" s="46" t="n"/>
      <c r="C20" s="46" t="n"/>
      <c r="D20" s="46" t="n"/>
      <c r="E20" s="46" t="n"/>
      <c r="F20" s="46" t="n"/>
      <c r="G20" s="45">
        <f>HYPERLINK("#'Arrival'!A5", "Next: Arrival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D2:I2"/>
    <mergeCell ref="A7:L7"/>
    <mergeCell ref="B16:L16"/>
    <mergeCell ref="A18:L18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B10:L10"/>
    <mergeCell ref="B9:L9"/>
    <mergeCell ref="G20:L21"/>
    <mergeCell ref="B15:L15"/>
    <mergeCell ref="A6:L6"/>
    <mergeCell ref="A20:F21"/>
  </mergeCells>
  <dataValidations count="1">
    <dataValidation sqref="B14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9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inlineStr">
        <is>
          <t>123 Mountain Lane, Gatlinburg, TN 37738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inlineStr">
        <is>
          <t>Smart lock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inlineStr">
        <is>
          <t>4321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inlineStr">
        <is>
          <t>Gravel drive on the right — there's room for 2 cars. Do not block the mailbox.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inlineStr">
        <is>
          <t>If GPS sends you up the fire road, ignore it. Stay on Ridge Way past the red barn.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inlineStr">
        <is>
          <t>After 3 PM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inlineStr">
        <is>
          <t>Coffee shops in the Local Guide tab are the best bet; the lockbox won't open before 3 PM.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9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inlineStr">
        <is>
          <t>SmokiesRidge_Guest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inlineStr">
        <is>
          <t>welcome2024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48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inlineStr">
        <is>
          <t>Netflix: already signed in. Hulu: guest@smokiesridge.com / stay2024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inlineStr">
        <is>
          <t>The black Roku remote is the one to use. HDMI1 is Fire TV.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inlineStr">
        <is>
          <t>Same as entry — 4321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inlineStr">
        <is>
          <t>Nest on the hallway wall. Please keep between 65-78°F. Auto-schedule resumes after you leave.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9" t="inlineStr">
        <is>
          <t>Who to call if WiFi fails:</t>
        </is>
      </c>
      <c r="B15" s="50" t="inlineStr">
        <is>
          <t>Host first (see Emergency tab). If no answer — Spectrum: 1-833-267-6094</t>
        </is>
      </c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9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inlineStr">
        <is>
          <t>10 PM – 7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inlineStr">
        <is>
          <t>No smoking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inlineStr">
        <is>
          <t>No pets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inlineStr">
        <is>
          <t>No events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inlineStr">
        <is>
          <t>Remove at door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1" t="inlineStr">
        <is>
          <t>Your rules (one per line):</t>
        </is>
      </c>
      <c r="B14" s="52" t="inlineStr">
        <is>
          <t>• Hot tub closes at 10 PM
• Please don't move furniture
• If you break something, tell us — we'd rather fix it than discover it later</t>
        </is>
      </c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4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9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5" t="inlineStr">
        <is>
          <t>Category</t>
        </is>
      </c>
      <c r="B9" s="55" t="inlineStr">
        <is>
          <t>Name</t>
        </is>
      </c>
      <c r="C9" s="55" t="inlineStr">
        <is>
          <t>Distance</t>
        </is>
      </c>
      <c r="D9" s="55" t="inlineStr">
        <is>
          <t>Phone</t>
        </is>
      </c>
      <c r="E9" s="55" t="inlineStr">
        <is>
          <t>Why we love it</t>
        </is>
      </c>
    </row>
    <row r="10" ht="28" customHeight="1">
      <c r="A10" s="56" t="inlineStr">
        <is>
          <t>Coffee</t>
        </is>
      </c>
      <c r="B10" s="35" t="inlineStr">
        <is>
          <t>Mountain Grind</t>
        </is>
      </c>
      <c r="C10" s="35" t="inlineStr">
        <is>
          <t>0.8 mi</t>
        </is>
      </c>
      <c r="D10" s="35" t="inlineStr">
        <is>
          <t>(865) 555-0100</t>
        </is>
      </c>
      <c r="E10" s="35" t="inlineStr">
        <is>
          <t>Best espresso in town; small pastry case fills fast</t>
        </is>
      </c>
    </row>
    <row r="11" ht="28" customHeight="1">
      <c r="A11" s="56" t="inlineStr">
        <is>
          <t>Coffee</t>
        </is>
      </c>
      <c r="B11" s="35" t="inlineStr"/>
      <c r="C11" s="35" t="inlineStr"/>
      <c r="D11" s="35" t="inlineStr"/>
      <c r="E11" s="35" t="inlineStr"/>
    </row>
    <row r="12" ht="28" customHeight="1">
      <c r="A12" s="56" t="inlineStr">
        <is>
          <t>Restaurant</t>
        </is>
      </c>
      <c r="B12" s="35" t="inlineStr">
        <is>
          <t>The Cast Iron</t>
        </is>
      </c>
      <c r="C12" s="35" t="inlineStr">
        <is>
          <t>2.1 mi</t>
        </is>
      </c>
      <c r="D12" s="35" t="inlineStr">
        <is>
          <t>(865) 555-0118</t>
        </is>
      </c>
      <c r="E12" s="35" t="inlineStr">
        <is>
          <t>Sunday brunch is chef's-kiss — reserve ahead</t>
        </is>
      </c>
    </row>
    <row r="13" ht="28" customHeight="1">
      <c r="A13" s="56" t="inlineStr">
        <is>
          <t>Restaurant</t>
        </is>
      </c>
      <c r="B13" s="35" t="inlineStr">
        <is>
          <t>Ridge BBQ</t>
        </is>
      </c>
      <c r="C13" s="35" t="inlineStr">
        <is>
          <t>1.4 mi</t>
        </is>
      </c>
      <c r="D13" s="35" t="inlineStr">
        <is>
          <t>(865) 555-0122</t>
        </is>
      </c>
      <c r="E13" s="35" t="inlineStr">
        <is>
          <t>Brisket sells out by 7 PM Fri/Sat</t>
        </is>
      </c>
    </row>
    <row r="14" ht="28" customHeight="1">
      <c r="A14" s="56" t="inlineStr">
        <is>
          <t>Restaurant</t>
        </is>
      </c>
      <c r="B14" s="35" t="inlineStr"/>
      <c r="C14" s="35" t="inlineStr"/>
      <c r="D14" s="35" t="inlineStr"/>
      <c r="E14" s="35" t="inlineStr"/>
    </row>
    <row r="15" ht="28" customHeight="1">
      <c r="A15" s="56" t="inlineStr">
        <is>
          <t>Grocery</t>
        </is>
      </c>
      <c r="B15" s="35" t="inlineStr">
        <is>
          <t>Food City</t>
        </is>
      </c>
      <c r="C15" s="35" t="inlineStr">
        <is>
          <t>2.8 mi</t>
        </is>
      </c>
      <c r="D15" s="35" t="inlineStr">
        <is>
          <t>(865) 555-0133</t>
        </is>
      </c>
      <c r="E15" s="35" t="inlineStr">
        <is>
          <t>Open until 10 PM</t>
        </is>
      </c>
    </row>
    <row r="16" ht="28" customHeight="1">
      <c r="A16" s="56" t="inlineStr">
        <is>
          <t>Grocery</t>
        </is>
      </c>
      <c r="B16" s="35" t="inlineStr"/>
      <c r="C16" s="35" t="inlineStr"/>
      <c r="D16" s="35" t="inlineStr"/>
      <c r="E16" s="35" t="inlineStr"/>
    </row>
    <row r="17" ht="28" customHeight="1">
      <c r="A17" s="56" t="inlineStr">
        <is>
          <t>Takeout</t>
        </is>
      </c>
      <c r="B17" s="35" t="inlineStr">
        <is>
          <t>Smoky Pizza Co</t>
        </is>
      </c>
      <c r="C17" s="35" t="inlineStr">
        <is>
          <t>1.9 mi</t>
        </is>
      </c>
      <c r="D17" s="35" t="inlineStr">
        <is>
          <t>(865) 555-0144</t>
        </is>
      </c>
      <c r="E17" s="35" t="inlineStr">
        <is>
          <t>Delivers to the cabin</t>
        </is>
      </c>
    </row>
    <row r="18" ht="28" customHeight="1">
      <c r="A18" s="56" t="inlineStr">
        <is>
          <t>Takeout</t>
        </is>
      </c>
      <c r="B18" s="35" t="inlineStr"/>
      <c r="C18" s="35" t="inlineStr"/>
      <c r="D18" s="35" t="inlineStr"/>
      <c r="E18" s="35" t="inlineStr"/>
    </row>
    <row r="19" ht="28" customHeight="1">
      <c r="A19" s="56" t="inlineStr">
        <is>
          <t>Pharmacy</t>
        </is>
      </c>
      <c r="B19" s="35" t="inlineStr">
        <is>
          <t>Walgreens</t>
        </is>
      </c>
      <c r="C19" s="35" t="inlineStr">
        <is>
          <t>3.5 mi</t>
        </is>
      </c>
      <c r="D19" s="35" t="inlineStr">
        <is>
          <t>(865) 555-0155</t>
        </is>
      </c>
      <c r="E19" s="35" t="inlineStr">
        <is>
          <t>24-hr location</t>
        </is>
      </c>
    </row>
    <row r="20" ht="28" customHeight="1">
      <c r="A20" s="56" t="inlineStr">
        <is>
          <t>Gas station</t>
        </is>
      </c>
      <c r="B20" s="35" t="inlineStr">
        <is>
          <t>Shell on Hwy 321</t>
        </is>
      </c>
      <c r="C20" s="35" t="inlineStr">
        <is>
          <t>0.5 mi</t>
        </is>
      </c>
      <c r="D20" s="35" t="inlineStr"/>
      <c r="E20" s="35" t="inlineStr">
        <is>
          <t>Cheapest in the valley</t>
        </is>
      </c>
    </row>
    <row r="21" ht="28" customHeight="1">
      <c r="A21" s="56" t="inlineStr">
        <is>
          <t>Hospital/Urgent care</t>
        </is>
      </c>
      <c r="B21" s="35" t="inlineStr">
        <is>
          <t>LeConte Medical Center</t>
        </is>
      </c>
      <c r="C21" s="35" t="inlineStr">
        <is>
          <t>8.1 mi</t>
        </is>
      </c>
      <c r="D21" s="35" t="inlineStr">
        <is>
          <t>(865) 446-7000</t>
        </is>
      </c>
      <c r="E21" s="35" t="inlineStr">
        <is>
          <t>ER 24/7</t>
        </is>
      </c>
    </row>
    <row r="22" ht="28" customHeight="1">
      <c r="A22" s="56" t="inlineStr">
        <is>
          <t>Coffee alt</t>
        </is>
      </c>
      <c r="B22" s="35" t="inlineStr"/>
      <c r="C22" s="35" t="inlineStr"/>
      <c r="D22" s="35" t="inlineStr"/>
      <c r="E22" s="35" t="inlineStr"/>
    </row>
    <row r="23" ht="28" customHeight="1">
      <c r="A23" s="56" t="inlineStr">
        <is>
          <t>Outdoor/Hike</t>
        </is>
      </c>
      <c r="B23" s="35" t="inlineStr">
        <is>
          <t>Cades Cove Loop</t>
        </is>
      </c>
      <c r="C23" s="35" t="inlineStr">
        <is>
          <t>14 mi</t>
        </is>
      </c>
      <c r="D23" s="35" t="inlineStr"/>
      <c r="E23" s="35" t="inlineStr">
        <is>
          <t>11-mile scenic loop; allow 3 hrs</t>
        </is>
      </c>
    </row>
    <row r="24" ht="28" customHeight="1">
      <c r="A24" s="56" t="inlineStr">
        <is>
          <t>Outdoor/Hike</t>
        </is>
      </c>
      <c r="B24" s="35" t="inlineStr"/>
      <c r="C24" s="35" t="inlineStr"/>
      <c r="D24" s="35" t="inlineStr"/>
      <c r="E24" s="35" t="inlineStr"/>
    </row>
    <row r="25" ht="28" customHeight="1">
      <c r="A25" s="56" t="inlineStr">
        <is>
          <t>Kid-friendly</t>
        </is>
      </c>
      <c r="B25" s="35" t="inlineStr">
        <is>
          <t>Dollywood</t>
        </is>
      </c>
      <c r="C25" s="35" t="inlineStr">
        <is>
          <t>9 mi</t>
        </is>
      </c>
      <c r="D25" s="35" t="inlineStr">
        <is>
          <t>(865) 428-9488</t>
        </is>
      </c>
      <c r="E25" s="35" t="inlineStr">
        <is>
          <t>Worth a full day</t>
        </is>
      </c>
    </row>
    <row r="26" ht="28" customHeight="1">
      <c r="A26" s="56" t="inlineStr">
        <is>
          <t>Kid-friendly</t>
        </is>
      </c>
      <c r="B26" s="35" t="inlineStr"/>
      <c r="C26" s="35" t="inlineStr"/>
      <c r="D26" s="35" t="inlineStr"/>
      <c r="E26" s="35" t="inlineStr"/>
    </row>
    <row r="27" ht="28" customHeight="1">
      <c r="A27" s="56" t="inlineStr">
        <is>
          <t>Date night</t>
        </is>
      </c>
      <c r="B27" s="35" t="inlineStr">
        <is>
          <t>The Wine Cellar</t>
        </is>
      </c>
      <c r="C27" s="35" t="inlineStr">
        <is>
          <t>6.2 mi</t>
        </is>
      </c>
      <c r="D27" s="35" t="inlineStr">
        <is>
          <t>(865) 555-0166</t>
        </is>
      </c>
      <c r="E27" s="35" t="inlineStr">
        <is>
          <t>Prix fixe Thu/Fri/Sat</t>
        </is>
      </c>
    </row>
    <row r="28" ht="28" customHeight="1">
      <c r="A28" s="56" t="inlineStr">
        <is>
          <t>Bar/Nightlife</t>
        </is>
      </c>
      <c r="B28" s="35" t="inlineStr">
        <is>
          <t>Mill &amp; Main</t>
        </is>
      </c>
      <c r="C28" s="35" t="inlineStr">
        <is>
          <t>2.4 mi</t>
        </is>
      </c>
      <c r="D28" s="35" t="inlineStr">
        <is>
          <t>(865) 555-0177</t>
        </is>
      </c>
      <c r="E28" s="35" t="inlineStr">
        <is>
          <t>Live music Fri/Sat after 9</t>
        </is>
      </c>
    </row>
    <row r="29" ht="28" customHeight="1">
      <c r="A29" s="56" t="inlineStr">
        <is>
          <t>Emergency (non-911)</t>
        </is>
      </c>
      <c r="B29" s="35" t="inlineStr">
        <is>
          <t>Sevier County Sheriff</t>
        </is>
      </c>
      <c r="C29" s="35" t="inlineStr"/>
      <c r="D29" s="35" t="inlineStr">
        <is>
          <t>(865) 436-5181</t>
        </is>
      </c>
      <c r="E29" s="35" t="inlineStr">
        <is>
          <t>Non-emergency line</t>
        </is>
      </c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9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inlineStr">
        <is>
          <t>Thursday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inlineStr">
        <is>
          <t>Around the right side of the house, next to the shed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inlineStr">
        <is>
          <t>Cardboard, plastic #1-2, aluminum. No glass.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inlineStr">
        <is>
          <t>Green = recycling, black = trash. When in doubt — trash.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inlineStr">
        <is>
          <t>To the curb by 7 AM Thursday. Bring back Friday.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inlineStr">
        <is>
          <t>65-78°F — auto-schedule handles the rest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9" t="inlineStr">
        <is>
          <t>If the power goes out:</t>
        </is>
      </c>
      <c r="B14" s="50" t="inlineStr">
        <is>
          <t>Breaker panel is in the laundry room. Sevier Electric: (865) 453-2887. Text host if it's longer than an hour.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9</t>
        </is>
      </c>
      <c r="J2" s="24">
        <f>HYPERLINK("#'Safety &amp; Disclosures'!A5",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inlineStr">
        <is>
          <t>11:00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inlineStr">
        <is>
          <t>hallway laundry basket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inlineStr">
        <is>
          <t>curb (Thursday) or dumpster on-site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inlineStr">
        <is>
          <t>72°F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inlineStr">
        <is>
          <t>in lockbox, reset to 0000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1" t="inlineStr">
        <is>
          <t>Your tasks (one per line):</t>
        </is>
      </c>
      <c r="B16" s="52" t="inlineStr">
        <is>
          <t>• Throw any leftover food
• Text the host when on the road — we'll release your deposit faster</t>
        </is>
      </c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HYPERLINK("#'Safety &amp; Disclosures'!A5", "Next: Safety &amp; Disclosures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9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Safety &amp; Disclosures</t>
        </is>
      </c>
    </row>
    <row r="5" ht="18" customHeight="1">
      <c r="A5" s="27" t="inlineStr">
        <is>
          <t>Disclosure first, then safety locations.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SAFETY &amp; DISCLOSURES</t>
        </is>
      </c>
    </row>
    <row r="8" ht="48" customHeight="1">
      <c r="A8" s="30" t="inlineStr">
        <is>
          <t>• Recording devices on property:</t>
        </is>
      </c>
      <c r="B8" s="31" t="inlineStr">
        <is>
          <t>Doorbell camera at front entry (records 30s clips on motion). Driveway floodlight cam covers the gravel lot. No cameras inside the cabin.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7" t="inlineStr">
        <is>
          <t>Smoke + CO alarm locations:</t>
        </is>
      </c>
      <c r="B9" s="38" t="inlineStr">
        <is>
          <t>Smoke alarms in each bedroom + the upstairs hallway. Combo smoke/CO alarm in the living room.</t>
        </is>
      </c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 t="n"/>
    </row>
    <row r="10" ht="36" customHeight="1">
      <c r="A10" s="34" t="inlineStr">
        <is>
          <t>Fire extinguisher location:</t>
        </is>
      </c>
      <c r="B10" s="35" t="inlineStr">
        <is>
          <t>Kitchen — under the sink. ABC-class, 2.5lb.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48" customHeight="1">
      <c r="A11" s="37" t="inlineStr">
        <is>
          <t>If you need to evacuate:</t>
        </is>
      </c>
      <c r="B11" s="38" t="inlineStr">
        <is>
          <t>Two ways out of every bedroom: the door and the window. Front door is the primary route; back porch slider is secondary. Meet at the gravel turnaround at the end of the driveway.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48" customHeight="1">
      <c r="A12" s="34" t="inlineStr">
        <is>
          <t>Known hazards / things to know:</t>
        </is>
      </c>
      <c r="B12" s="35" t="inlineStr">
        <is>
          <t>Loft stairs are steep — keep small kids off without a parent. Wood-burning stove is OFF for guest stays; do not use. Hot tub: 104°F max, no diving, kids must be supervised.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Backup host (if primary unreachable):</t>
        </is>
      </c>
      <c r="B13" s="38" t="inlineStr">
        <is>
          <t>Co-host: Sam Patel · 555-555-0144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Booking platform (Airbnb / VRBO / Direct):</t>
        </is>
      </c>
      <c r="B14" s="35" t="inlineStr">
        <is>
          <t>Airbnb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AirCover claim path: open the Airbnb app → Trips → this stay → Get help → Report a safety issue.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1" t="inlineStr">
        <is>
          <t>VRBO claim path: app → My Trips → this stay → Help → Report an issue (covered by Book with Confidence Guarantee).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HYPERLINK("#'Departure'!A5", "← Back: Departure")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5:L15"/>
    <mergeCell ref="A18:F19"/>
    <mergeCell ref="G18:L19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HYPERLINK("#'Safety &amp; Disclosures'!A5", "← BACK")</f>
        <v/>
      </c>
      <c r="B2" s="14" t="n"/>
      <c r="C2" s="14" t="n"/>
      <c r="D2" s="23" t="inlineStr">
        <is>
          <t>SECTION 9 OF 9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inlineStr">
        <is>
          <t>LeConte Medical Center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inlineStr">
        <is>
          <t>(865) 446-7000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inlineStr">
        <is>
          <t>742 Middle Creek Rd, Sevierville, TN 37862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inlineStr">
        <is>
          <t>FastMed Urgent Care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inlineStr">
        <is>
          <t>(865) 428-1020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inlineStr">
        <is>
          <t>(865) 436-5181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inlineStr">
        <is>
          <t>Mountain Vet ER — (865) 329-1905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inlineStr">
        <is>
          <t>Sevier Electric: (865) 453-2887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9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HYPERLINK("#'Safety &amp; Disclosures'!A5", "← Back: Safety &amp; Disclosures")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1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COUNTA('Safety &amp; Disclosures'!B8:B13) + COUNTA('Emergency'!B8:B16))/138,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138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4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4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31" t="inlineStr">
        <is>
          <t>Sarah @ Smokies Clean</t>
        </is>
      </c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35" t="inlineStr">
        <is>
          <t>(865) 555-0145</t>
        </is>
      </c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35" t="inlineStr">
        <is>
          <t>Bob — (865) 555-0198</t>
        </is>
      </c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9" t="inlineStr">
        <is>
          <t>Plumber:</t>
        </is>
      </c>
      <c r="B11" s="42" t="n"/>
      <c r="C11" s="42" t="n"/>
      <c r="D11" s="50" t="inlineStr">
        <is>
          <t>Ridge Plumbing — (865) 555-0177</t>
        </is>
      </c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31" t="inlineStr">
        <is>
          <t>HotTub Haven — quarterly service</t>
        </is>
      </c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35" t="inlineStr">
        <is>
          <t>ABC-1234567 (Proper Insurance)</t>
        </is>
      </c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35" t="inlineStr">
        <is>
          <t>admin / router-pw-here</t>
        </is>
      </c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35" t="inlineStr">
        <is>
          <t>9999 — not for guest use</t>
        </is>
      </c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36" customHeight="1">
      <c r="A18" s="49" t="inlineStr">
        <is>
          <t>Passcodes for safes/boxes:</t>
        </is>
      </c>
      <c r="B18" s="42" t="n"/>
      <c r="C18" s="42" t="n"/>
      <c r="D18" s="50" t="inlineStr">
        <is>
          <t>Under-sink safe: 1234
Garage keypad: 5678</t>
        </is>
      </c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36" customHeight="1">
      <c r="A21" s="51" t="inlineStr">
        <is>
          <t>Things to NOT tell the guest:</t>
        </is>
      </c>
      <c r="B21" s="53" t="n"/>
      <c r="C21" s="53" t="n"/>
      <c r="D21" s="52" t="inlineStr">
        <is>
          <t>Hot tub chemistry is touchy — do not tell guests to refill. If hot tub is cloudy, call HotTub Haven.</t>
        </is>
      </c>
      <c r="E21" s="53" t="n"/>
      <c r="F21" s="53" t="n"/>
      <c r="G21" s="53" t="n"/>
      <c r="H21" s="53" t="n"/>
      <c r="I21" s="53" t="n"/>
      <c r="J21" s="53" t="n"/>
      <c r="K21" s="53" t="n"/>
      <c r="L21" s="54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5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2026-05-03T19:06:34Z</dcterms:created>
  <dcterms:modified xmlns:dcterms="http://purl.org/dc/terms/" xmlns:xsi="http://www.w3.org/2001/XMLSchema-instance" xsi:type="dcterms:W3CDTF">2026-05-03T19:06:35Z</dcterms:modified>
</cp:coreProperties>
</file>