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'Emergency'!$A$1:$L$21</definedName>
    <definedName name="_xlnm.Print_Area" localSheetId="9">'Review &amp; Print'!$A$24:$L$80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0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b val="1"/>
      <color rgb="0012304E"/>
      <sz val="10"/>
    </font>
    <font>
      <name val="Calibri"/>
      <color rgb="002B2B2B"/>
      <sz val="10"/>
    </font>
    <font>
      <name val="Calibri"/>
      <b val="1"/>
      <color rgb="0012304E"/>
      <sz val="12"/>
    </font>
    <font>
      <name val="Calibri"/>
      <color rgb="002B2B2B"/>
      <sz val="12"/>
    </font>
    <font>
      <name val="Calibri"/>
      <b val="1"/>
      <color rgb="0012304E"/>
      <sz val="16"/>
    </font>
    <font>
      <name val="Calibri"/>
      <b val="1"/>
      <color rgb="002B2B2B"/>
      <sz val="16"/>
    </font>
    <font>
      <name val="Georgia"/>
      <b val="1"/>
      <color rgb="0012304E"/>
      <sz val="20"/>
    </font>
    <font>
      <name val="Calibri"/>
      <i val="1"/>
      <color rgb="006B7280"/>
      <sz val="9"/>
    </font>
    <font>
      <name val="Georgia"/>
      <b val="1"/>
      <color rgb="0012304E"/>
      <sz val="18"/>
    </font>
    <font>
      <name val="Georgia"/>
      <b val="1"/>
      <color rgb="00B91C1C"/>
      <sz val="18"/>
    </font>
    <font>
      <name val="Calibri"/>
      <b val="1"/>
      <color rgb="0012304E"/>
      <sz val="14"/>
    </font>
    <font>
      <name val="Calibri"/>
      <b val="1"/>
      <color rgb="002B2B2B"/>
      <sz val="14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 wrapText="1" indent="1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 wrapText="1" indent="1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7" fillId="7" borderId="0" applyAlignment="1" pivotButton="0" quotePrefix="0" xfId="0">
      <alignment horizontal="left" vertical="center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 wrapText="1" indent="1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 wrapText="1" indent="1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indent="1"/>
    </xf>
    <xf numFmtId="0" fontId="7" fillId="0" borderId="0" applyAlignment="1" pivotButton="0" quotePrefix="0" xfId="0">
      <alignment horizontal="left" vertical="center" wrapText="1" indent="1"/>
    </xf>
    <xf numFmtId="0" fontId="34" fillId="0" borderId="0" applyAlignment="1" pivotButton="0" quotePrefix="0" xfId="0">
      <alignment horizontal="right" indent="1"/>
    </xf>
    <xf numFmtId="0" fontId="35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right" indent="1"/>
    </xf>
    <xf numFmtId="0" fontId="37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right" indent="1"/>
    </xf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/>
    </xf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/>
    </xf>
    <xf numFmtId="0" fontId="43" fillId="9" borderId="0" applyAlignment="1" pivotButton="0" quotePrefix="0" xfId="0">
      <alignment horizontal="center"/>
    </xf>
    <xf numFmtId="0" fontId="44" fillId="0" borderId="0" applyAlignment="1" pivotButton="0" quotePrefix="0" xfId="0">
      <alignment horizontal="right" indent="1"/>
    </xf>
    <xf numFmtId="0" fontId="45" fillId="0" borderId="0" applyAlignment="1" pivotButton="0" quotePrefix="0" xfId="0">
      <alignment horizontal="left" vertical="center" wrapText="1" indent="1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46" fillId="6" borderId="0" applyAlignment="1" pivotButton="0" quotePrefix="0" xfId="0">
      <alignment horizontal="center" vertical="center"/>
    </xf>
    <xf numFmtId="0" fontId="47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48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49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COUNTA('Emergency'!B8:B16))/132,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IF(COUNTA('Emergency'!B8:B16)=9,"✅ Done",IF(COUNTA('Emergency'!B8:B16)=0,"⏳ Empty","⏳ "&amp;COUNTA('Emergency'!B8:B16)&amp;"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inlineStr">
        <is>
          <t>Smokies Ridge Cabin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inlineStr">
        <is>
          <t>Daniel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Host phone (text preferred):</t>
        </is>
      </c>
      <c r="B10" s="38" t="inlineStr">
        <is>
          <t>+1 (555) 555-0199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Check-in date:</t>
        </is>
      </c>
      <c r="B11" s="35" t="inlineStr">
        <is>
          <t>2026-05-10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Check-out date:</t>
        </is>
      </c>
      <c r="B12" s="35" t="inlineStr">
        <is>
          <t>2026-05-15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Property type:</t>
        </is>
      </c>
      <c r="B13" s="35" t="inlineStr">
        <is>
          <t>Cabin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Max guests:</t>
        </is>
      </c>
      <c r="B14" s="35" t="n">
        <v>6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7" t="inlineStr">
        <is>
          <t>Full address:</t>
        </is>
      </c>
      <c r="B15" s="38" t="inlineStr">
        <is>
          <t>123 Mountain Lane, Gatlinburg, TN 37738</t>
        </is>
      </c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 t="n"/>
    </row>
    <row r="16" ht="24" customHeight="1">
      <c r="A16" s="41" t="inlineStr">
        <is>
          <t>First time? Go to Start → Quick Start for the 5-minute path.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HYPERLINK("#'Start'!A1", "← Back: Start")</f>
        <v/>
      </c>
      <c r="B18" s="46" t="n"/>
      <c r="C18" s="46" t="n"/>
      <c r="D18" s="46" t="n"/>
      <c r="E18" s="46" t="n"/>
      <c r="F18" s="46" t="n"/>
      <c r="G18" s="45">
        <f>HYPERLINK("#'Arrival'!A5", "Next: Arrival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8:F19"/>
    <mergeCell ref="G18:L19"/>
    <mergeCell ref="B15:L15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13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inlineStr">
        <is>
          <t>123 Mountain Lane, Gatlinburg, TN 37738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inlineStr">
        <is>
          <t>Smart lock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inlineStr">
        <is>
          <t>4321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inlineStr">
        <is>
          <t>Gravel drive on the right — there's room for 2 cars. Do not block the mailbox.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inlineStr">
        <is>
          <t>If GPS sends you up the fire road, ignore it. Stay on Ridge Way past the red barn.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inlineStr">
        <is>
          <t>After 3 PM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inlineStr">
        <is>
          <t>Coffee shops in the Local Guide tab are the best bet; the lockbox won't open before 3 PM.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inlineStr">
        <is>
          <t>SmokiesRidge_Guest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inlineStr">
        <is>
          <t>welcome2024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48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inlineStr">
        <is>
          <t>Netflix: already signed in. Hulu: guest@smokiesridge.com / stay2024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inlineStr">
        <is>
          <t>The black Roku remote is the one to use. HDMI1 is Fire TV.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inlineStr">
        <is>
          <t>Same as entry — 4321</t>
        </is>
      </c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inlineStr">
        <is>
          <t>Nest on the hallway wall. Please keep between 65-78°F. Auto-schedule resumes after you leave.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9" t="inlineStr">
        <is>
          <t>Who to call if WiFi fails:</t>
        </is>
      </c>
      <c r="B15" s="50" t="inlineStr">
        <is>
          <t>Host first (see Emergency tab). If no answer — Spectrum: 1-833-267-6094</t>
        </is>
      </c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inlineStr">
        <is>
          <t>10 PM – 7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inlineStr">
        <is>
          <t>No smoking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inlineStr">
        <is>
          <t>No pets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inlineStr">
        <is>
          <t>No events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inlineStr">
        <is>
          <t>Remove at door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1" t="inlineStr">
        <is>
          <t>Your rules (one per line):</t>
        </is>
      </c>
      <c r="B14" s="52" t="inlineStr">
        <is>
          <t>• Hot tub closes at 10 PM
• Please don't move furniture
• If you break something, tell us — we'd rather fix it than discover it later</t>
        </is>
      </c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4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5" t="inlineStr">
        <is>
          <t>Category</t>
        </is>
      </c>
      <c r="B9" s="55" t="inlineStr">
        <is>
          <t>Name</t>
        </is>
      </c>
      <c r="C9" s="55" t="inlineStr">
        <is>
          <t>Distance</t>
        </is>
      </c>
      <c r="D9" s="55" t="inlineStr">
        <is>
          <t>Phone</t>
        </is>
      </c>
      <c r="E9" s="55" t="inlineStr">
        <is>
          <t>Why we love it</t>
        </is>
      </c>
    </row>
    <row r="10" ht="28" customHeight="1">
      <c r="A10" s="56" t="inlineStr">
        <is>
          <t>Coffee</t>
        </is>
      </c>
      <c r="B10" s="35" t="inlineStr">
        <is>
          <t>Mountain Grind</t>
        </is>
      </c>
      <c r="C10" s="35" t="inlineStr">
        <is>
          <t>0.8 mi</t>
        </is>
      </c>
      <c r="D10" s="35" t="inlineStr">
        <is>
          <t>(865) 555-0100</t>
        </is>
      </c>
      <c r="E10" s="35" t="inlineStr">
        <is>
          <t>Best espresso in town; small pastry case fills fast</t>
        </is>
      </c>
    </row>
    <row r="11" ht="28" customHeight="1">
      <c r="A11" s="56" t="inlineStr">
        <is>
          <t>Coffee</t>
        </is>
      </c>
      <c r="B11" s="35" t="inlineStr"/>
      <c r="C11" s="35" t="inlineStr"/>
      <c r="D11" s="35" t="inlineStr"/>
      <c r="E11" s="35" t="inlineStr"/>
    </row>
    <row r="12" ht="28" customHeight="1">
      <c r="A12" s="56" t="inlineStr">
        <is>
          <t>Restaurant</t>
        </is>
      </c>
      <c r="B12" s="35" t="inlineStr">
        <is>
          <t>The Cast Iron</t>
        </is>
      </c>
      <c r="C12" s="35" t="inlineStr">
        <is>
          <t>2.1 mi</t>
        </is>
      </c>
      <c r="D12" s="35" t="inlineStr">
        <is>
          <t>(865) 555-0118</t>
        </is>
      </c>
      <c r="E12" s="35" t="inlineStr">
        <is>
          <t>Sunday brunch is chef's-kiss — reserve ahead</t>
        </is>
      </c>
    </row>
    <row r="13" ht="28" customHeight="1">
      <c r="A13" s="56" t="inlineStr">
        <is>
          <t>Restaurant</t>
        </is>
      </c>
      <c r="B13" s="35" t="inlineStr">
        <is>
          <t>Ridge BBQ</t>
        </is>
      </c>
      <c r="C13" s="35" t="inlineStr">
        <is>
          <t>1.4 mi</t>
        </is>
      </c>
      <c r="D13" s="35" t="inlineStr">
        <is>
          <t>(865) 555-0122</t>
        </is>
      </c>
      <c r="E13" s="35" t="inlineStr">
        <is>
          <t>Brisket sells out by 7 PM Fri/Sat</t>
        </is>
      </c>
    </row>
    <row r="14" ht="28" customHeight="1">
      <c r="A14" s="56" t="inlineStr">
        <is>
          <t>Restaurant</t>
        </is>
      </c>
      <c r="B14" s="35" t="inlineStr"/>
      <c r="C14" s="35" t="inlineStr"/>
      <c r="D14" s="35" t="inlineStr"/>
      <c r="E14" s="35" t="inlineStr"/>
    </row>
    <row r="15" ht="28" customHeight="1">
      <c r="A15" s="56" t="inlineStr">
        <is>
          <t>Grocery</t>
        </is>
      </c>
      <c r="B15" s="35" t="inlineStr">
        <is>
          <t>Food City</t>
        </is>
      </c>
      <c r="C15" s="35" t="inlineStr">
        <is>
          <t>2.8 mi</t>
        </is>
      </c>
      <c r="D15" s="35" t="inlineStr">
        <is>
          <t>(865) 555-0133</t>
        </is>
      </c>
      <c r="E15" s="35" t="inlineStr">
        <is>
          <t>Open until 10 PM</t>
        </is>
      </c>
    </row>
    <row r="16" ht="28" customHeight="1">
      <c r="A16" s="56" t="inlineStr">
        <is>
          <t>Grocery</t>
        </is>
      </c>
      <c r="B16" s="35" t="inlineStr"/>
      <c r="C16" s="35" t="inlineStr"/>
      <c r="D16" s="35" t="inlineStr"/>
      <c r="E16" s="35" t="inlineStr"/>
    </row>
    <row r="17" ht="28" customHeight="1">
      <c r="A17" s="56" t="inlineStr">
        <is>
          <t>Takeout</t>
        </is>
      </c>
      <c r="B17" s="35" t="inlineStr">
        <is>
          <t>Smoky Pizza Co</t>
        </is>
      </c>
      <c r="C17" s="35" t="inlineStr">
        <is>
          <t>1.9 mi</t>
        </is>
      </c>
      <c r="D17" s="35" t="inlineStr">
        <is>
          <t>(865) 555-0144</t>
        </is>
      </c>
      <c r="E17" s="35" t="inlineStr">
        <is>
          <t>Delivers to the cabin</t>
        </is>
      </c>
    </row>
    <row r="18" ht="28" customHeight="1">
      <c r="A18" s="56" t="inlineStr">
        <is>
          <t>Takeout</t>
        </is>
      </c>
      <c r="B18" s="35" t="inlineStr"/>
      <c r="C18" s="35" t="inlineStr"/>
      <c r="D18" s="35" t="inlineStr"/>
      <c r="E18" s="35" t="inlineStr"/>
    </row>
    <row r="19" ht="28" customHeight="1">
      <c r="A19" s="56" t="inlineStr">
        <is>
          <t>Pharmacy</t>
        </is>
      </c>
      <c r="B19" s="35" t="inlineStr">
        <is>
          <t>Walgreens</t>
        </is>
      </c>
      <c r="C19" s="35" t="inlineStr">
        <is>
          <t>3.5 mi</t>
        </is>
      </c>
      <c r="D19" s="35" t="inlineStr">
        <is>
          <t>(865) 555-0155</t>
        </is>
      </c>
      <c r="E19" s="35" t="inlineStr">
        <is>
          <t>24-hr location</t>
        </is>
      </c>
    </row>
    <row r="20" ht="28" customHeight="1">
      <c r="A20" s="56" t="inlineStr">
        <is>
          <t>Gas station</t>
        </is>
      </c>
      <c r="B20" s="35" t="inlineStr">
        <is>
          <t>Shell on Hwy 321</t>
        </is>
      </c>
      <c r="C20" s="35" t="inlineStr">
        <is>
          <t>0.5 mi</t>
        </is>
      </c>
      <c r="D20" s="35" t="inlineStr"/>
      <c r="E20" s="35" t="inlineStr">
        <is>
          <t>Cheapest in the valley</t>
        </is>
      </c>
    </row>
    <row r="21" ht="28" customHeight="1">
      <c r="A21" s="56" t="inlineStr">
        <is>
          <t>Hospital/Urgent care</t>
        </is>
      </c>
      <c r="B21" s="35" t="inlineStr">
        <is>
          <t>LeConte Medical Center</t>
        </is>
      </c>
      <c r="C21" s="35" t="inlineStr">
        <is>
          <t>8.1 mi</t>
        </is>
      </c>
      <c r="D21" s="35" t="inlineStr">
        <is>
          <t>(865) 446-7000</t>
        </is>
      </c>
      <c r="E21" s="35" t="inlineStr">
        <is>
          <t>ER 24/7</t>
        </is>
      </c>
    </row>
    <row r="22" ht="28" customHeight="1">
      <c r="A22" s="56" t="inlineStr">
        <is>
          <t>Coffee alt</t>
        </is>
      </c>
      <c r="B22" s="35" t="inlineStr"/>
      <c r="C22" s="35" t="inlineStr"/>
      <c r="D22" s="35" t="inlineStr"/>
      <c r="E22" s="35" t="inlineStr"/>
    </row>
    <row r="23" ht="28" customHeight="1">
      <c r="A23" s="56" t="inlineStr">
        <is>
          <t>Outdoor/Hike</t>
        </is>
      </c>
      <c r="B23" s="35" t="inlineStr">
        <is>
          <t>Cades Cove Loop</t>
        </is>
      </c>
      <c r="C23" s="35" t="inlineStr">
        <is>
          <t>14 mi</t>
        </is>
      </c>
      <c r="D23" s="35" t="inlineStr"/>
      <c r="E23" s="35" t="inlineStr">
        <is>
          <t>11-mile scenic loop; allow 3 hrs</t>
        </is>
      </c>
    </row>
    <row r="24" ht="28" customHeight="1">
      <c r="A24" s="56" t="inlineStr">
        <is>
          <t>Outdoor/Hike</t>
        </is>
      </c>
      <c r="B24" s="35" t="inlineStr"/>
      <c r="C24" s="35" t="inlineStr"/>
      <c r="D24" s="35" t="inlineStr"/>
      <c r="E24" s="35" t="inlineStr"/>
    </row>
    <row r="25" ht="28" customHeight="1">
      <c r="A25" s="56" t="inlineStr">
        <is>
          <t>Kid-friendly</t>
        </is>
      </c>
      <c r="B25" s="35" t="inlineStr">
        <is>
          <t>Dollywood</t>
        </is>
      </c>
      <c r="C25" s="35" t="inlineStr">
        <is>
          <t>9 mi</t>
        </is>
      </c>
      <c r="D25" s="35" t="inlineStr">
        <is>
          <t>(865) 428-9488</t>
        </is>
      </c>
      <c r="E25" s="35" t="inlineStr">
        <is>
          <t>Worth a full day</t>
        </is>
      </c>
    </row>
    <row r="26" ht="28" customHeight="1">
      <c r="A26" s="56" t="inlineStr">
        <is>
          <t>Kid-friendly</t>
        </is>
      </c>
      <c r="B26" s="35" t="inlineStr"/>
      <c r="C26" s="35" t="inlineStr"/>
      <c r="D26" s="35" t="inlineStr"/>
      <c r="E26" s="35" t="inlineStr"/>
    </row>
    <row r="27" ht="28" customHeight="1">
      <c r="A27" s="56" t="inlineStr">
        <is>
          <t>Date night</t>
        </is>
      </c>
      <c r="B27" s="35" t="inlineStr">
        <is>
          <t>The Wine Cellar</t>
        </is>
      </c>
      <c r="C27" s="35" t="inlineStr">
        <is>
          <t>6.2 mi</t>
        </is>
      </c>
      <c r="D27" s="35" t="inlineStr">
        <is>
          <t>(865) 555-0166</t>
        </is>
      </c>
      <c r="E27" s="35" t="inlineStr">
        <is>
          <t>Prix fixe Thu/Fri/Sat</t>
        </is>
      </c>
    </row>
    <row r="28" ht="28" customHeight="1">
      <c r="A28" s="56" t="inlineStr">
        <is>
          <t>Bar/Nightlife</t>
        </is>
      </c>
      <c r="B28" s="35" t="inlineStr">
        <is>
          <t>Mill &amp; Main</t>
        </is>
      </c>
      <c r="C28" s="35" t="inlineStr">
        <is>
          <t>2.4 mi</t>
        </is>
      </c>
      <c r="D28" s="35" t="inlineStr">
        <is>
          <t>(865) 555-0177</t>
        </is>
      </c>
      <c r="E28" s="35" t="inlineStr">
        <is>
          <t>Live music Fri/Sat after 9</t>
        </is>
      </c>
    </row>
    <row r="29" ht="28" customHeight="1">
      <c r="A29" s="56" t="inlineStr">
        <is>
          <t>Emergency (non-911)</t>
        </is>
      </c>
      <c r="B29" s="35" t="inlineStr">
        <is>
          <t>Sevier County Sheriff</t>
        </is>
      </c>
      <c r="C29" s="35" t="inlineStr"/>
      <c r="D29" s="35" t="inlineStr">
        <is>
          <t>(865) 436-5181</t>
        </is>
      </c>
      <c r="E29" s="35" t="inlineStr">
        <is>
          <t>Non-emergency line</t>
        </is>
      </c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inlineStr">
        <is>
          <t>Thursday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inlineStr">
        <is>
          <t>Around the right side of the house, next to the shed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inlineStr">
        <is>
          <t>Cardboard, plastic #1-2, aluminum. No glass.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inlineStr">
        <is>
          <t>Green = recycling, black = trash. When in doubt — trash.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inlineStr">
        <is>
          <t>To the curb by 7 AM Thursday. Bring back Friday.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inlineStr">
        <is>
          <t>65-78°F — auto-schedule handles the rest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9" t="inlineStr">
        <is>
          <t>If the power goes out:</t>
        </is>
      </c>
      <c r="B14" s="50" t="inlineStr">
        <is>
          <t>Breaker panel is in the laundry room. Sevier Electric: (865) 453-2887. Text host if it's longer than an hour.</t>
        </is>
      </c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inlineStr">
        <is>
          <t>11:00 AM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inlineStr">
        <is>
          <t>hallway laundry basket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inlineStr">
        <is>
          <t>curb (Thursday) or dumpster on-site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inlineStr">
        <is>
          <t>72°F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inlineStr">
        <is>
          <t>in lockbox, reset to 0000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1" t="inlineStr">
        <is>
          <t>Your tasks (one per line):</t>
        </is>
      </c>
      <c r="B16" s="52" t="inlineStr">
        <is>
          <t>• Throw any leftover food
• Text the host when on the road — we'll release your deposit faster</t>
        </is>
      </c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inlineStr">
        <is>
          <t>LeConte Medical Center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inlineStr">
        <is>
          <t>(865) 446-7000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inlineStr">
        <is>
          <t>742 Middle Creek Rd, Sevierville, TN 37862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inlineStr">
        <is>
          <t>FastMed Urgent Care</t>
        </is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inlineStr">
        <is>
          <t>(865) 428-1020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inlineStr">
        <is>
          <t>(865) 436-5181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inlineStr">
        <is>
          <t>Mountain Vet ER — (865) 329-1905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inlineStr">
        <is>
          <t>Sevier Electric: (865) 453-2887</t>
        </is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9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HYPERLINK("#'Departure'!A5", "← Back: Departure")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8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BACK")</f>
        <v/>
      </c>
      <c r="B2" s="14" t="n"/>
      <c r="C2" s="14" t="n"/>
      <c r="D2" s="61" t="inlineStr">
        <is>
          <t>REVIEW &amp; PRINT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Preview below. Hit Print when happy.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COUNTA('Emergency'!B8:B16))/132,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132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HYPERLINK("#'Review &amp; Print'!A24", "📄  GENERATE YOUR PDF
Press Ctrl+P → choose 'Save as PDF'")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76" t="inlineStr">
        <is>
          <t>Print area is pre-set to letter portrait. × Host Notes tab excluded.</t>
        </is>
      </c>
    </row>
    <row r="24" ht="30" customHeight="1">
      <c r="A24" s="26">
        <f>CONCATENATE("Welcome to ", Property!B8)</f>
        <v/>
      </c>
    </row>
    <row r="25" ht="30" customHeight="1"/>
    <row r="27">
      <c r="A27" s="77" t="inlineStr">
        <is>
          <t>Host:</t>
        </is>
      </c>
      <c r="E27" s="78">
        <f>IF(Property!B9="","(not set)",Property!B9)</f>
        <v/>
      </c>
    </row>
    <row r="28">
      <c r="A28" s="77" t="inlineStr">
        <is>
          <t>Host phone:</t>
        </is>
      </c>
      <c r="E28" s="78">
        <f>IF(Property!B10="","(not set)",Property!B10)</f>
        <v/>
      </c>
    </row>
    <row r="29">
      <c r="A29" s="77" t="inlineStr">
        <is>
          <t>Check-in:</t>
        </is>
      </c>
      <c r="E29" s="78">
        <f>IF(Property!B11="","(not set)",Property!B11)</f>
        <v/>
      </c>
    </row>
    <row r="30">
      <c r="A30" s="77" t="inlineStr">
        <is>
          <t>Check-out:</t>
        </is>
      </c>
      <c r="E30" s="78">
        <f>IF(Property!B12="","(not set)",Property!B12)</f>
        <v/>
      </c>
    </row>
    <row r="32">
      <c r="A32" s="77" t="inlineStr">
        <is>
          <t>Address:</t>
        </is>
      </c>
      <c r="E32" s="78">
        <f>IF(Arrival!B8="","(not set)",Arrival!B8)</f>
        <v/>
      </c>
    </row>
    <row r="33">
      <c r="A33" s="77" t="inlineStr">
        <is>
          <t>Entry method:</t>
        </is>
      </c>
      <c r="E33" s="78">
        <f>IF(Arrival!B9="","(not set)",Arrival!B9)</f>
        <v/>
      </c>
    </row>
    <row r="34">
      <c r="A34" s="77" t="inlineStr">
        <is>
          <t>Door/lock code:</t>
        </is>
      </c>
      <c r="E34" s="78">
        <f>IF(Arrival!B10="","(not set)",Arrival!B10)</f>
        <v/>
      </c>
    </row>
    <row r="35">
      <c r="A35" s="79" t="inlineStr">
        <is>
          <t>Parking:</t>
        </is>
      </c>
      <c r="E35" s="80">
        <f>IF(Arrival!B11="","(not set)",Arrival!B11)</f>
        <v/>
      </c>
    </row>
    <row r="37">
      <c r="A37" s="81" t="inlineStr"/>
      <c r="E37" s="82">
        <f>IF(""="","(not set)","")</f>
        <v/>
      </c>
    </row>
    <row r="38">
      <c r="A38" s="83" t="inlineStr">
        <is>
          <t>WiFi</t>
        </is>
      </c>
    </row>
    <row r="39">
      <c r="A39" s="84" t="inlineStr">
        <is>
          <t>Network:</t>
        </is>
      </c>
      <c r="E39" s="85">
        <f>IF('WiFi + Tech'!B8="","(not set)",'WiFi + Tech'!B8)</f>
        <v/>
      </c>
    </row>
    <row r="40">
      <c r="A40" s="84" t="inlineStr">
        <is>
          <t>Password:</t>
        </is>
      </c>
      <c r="E40" s="85">
        <f>IF('WiFi + Tech'!B9="","(not set)",'WiFi + Tech'!B9)</f>
        <v/>
      </c>
    </row>
    <row r="48" ht="28" customHeight="1">
      <c r="A48" s="86" t="inlineStr">
        <is>
          <t>House Rules</t>
        </is>
      </c>
    </row>
    <row r="49">
      <c r="A49" s="77" t="inlineStr">
        <is>
          <t>Quiet hours:</t>
        </is>
      </c>
      <c r="E49" s="78">
        <f>IF('House Rules'!B8="","(not set)",'House Rules'!B8)</f>
        <v/>
      </c>
    </row>
    <row r="50">
      <c r="A50" s="77" t="inlineStr">
        <is>
          <t>Max guests:</t>
        </is>
      </c>
      <c r="E50" s="78">
        <f>IF('House Rules'!B9="","(not set)",'House Rules'!B9)</f>
        <v/>
      </c>
    </row>
    <row r="51">
      <c r="A51" s="77" t="inlineStr">
        <is>
          <t>Smoking:</t>
        </is>
      </c>
      <c r="E51" s="78">
        <f>IF('House Rules'!B10="","(not set)",'House Rules'!B10)</f>
        <v/>
      </c>
    </row>
    <row r="52">
      <c r="A52" s="77" t="inlineStr">
        <is>
          <t>Pets:</t>
        </is>
      </c>
      <c r="E52" s="78">
        <f>IF('House Rules'!B11="","(not set)",'House Rules'!B11)</f>
        <v/>
      </c>
    </row>
    <row r="53">
      <c r="A53" s="77" t="inlineStr">
        <is>
          <t>Events:</t>
        </is>
      </c>
      <c r="E53" s="78">
        <f>IF('House Rules'!B12="","(not set)",'House Rules'!B12)</f>
        <v/>
      </c>
    </row>
    <row r="54">
      <c r="A54" s="77" t="inlineStr">
        <is>
          <t>Shoes:</t>
        </is>
      </c>
      <c r="E54" s="78">
        <f>IF('House Rules'!B13="","(not set)",'House Rules'!B13)</f>
        <v/>
      </c>
    </row>
    <row r="56" ht="28" customHeight="1">
      <c r="A56" s="86" t="inlineStr">
        <is>
          <t>Local Guide — Our Top 10</t>
        </is>
      </c>
    </row>
    <row r="57">
      <c r="A57" s="87">
        <f>'Local Guide'!A10</f>
        <v/>
      </c>
      <c r="C57" s="88">
        <f>IF('Local Guide'!B10="","",'Local Guide'!B10)</f>
        <v/>
      </c>
      <c r="G57" s="89">
        <f>IF('Local Guide'!C10="","",'Local Guide'!C10)</f>
        <v/>
      </c>
      <c r="I57" s="90">
        <f>IF('Local Guide'!E10="","",'Local Guide'!E10)</f>
        <v/>
      </c>
    </row>
    <row r="58">
      <c r="A58" s="87">
        <f>'Local Guide'!A11</f>
        <v/>
      </c>
      <c r="C58" s="88">
        <f>IF('Local Guide'!B11="","",'Local Guide'!B11)</f>
        <v/>
      </c>
      <c r="G58" s="89">
        <f>IF('Local Guide'!C11="","",'Local Guide'!C11)</f>
        <v/>
      </c>
      <c r="I58" s="90">
        <f>IF('Local Guide'!E11="","",'Local Guide'!E11)</f>
        <v/>
      </c>
    </row>
    <row r="59">
      <c r="A59" s="87">
        <f>'Local Guide'!A12</f>
        <v/>
      </c>
      <c r="C59" s="88">
        <f>IF('Local Guide'!B12="","",'Local Guide'!B12)</f>
        <v/>
      </c>
      <c r="G59" s="89">
        <f>IF('Local Guide'!C12="","",'Local Guide'!C12)</f>
        <v/>
      </c>
      <c r="I59" s="90">
        <f>IF('Local Guide'!E12="","",'Local Guide'!E12)</f>
        <v/>
      </c>
    </row>
    <row r="60">
      <c r="A60" s="87">
        <f>'Local Guide'!A13</f>
        <v/>
      </c>
      <c r="C60" s="88">
        <f>IF('Local Guide'!B13="","",'Local Guide'!B13)</f>
        <v/>
      </c>
      <c r="G60" s="89">
        <f>IF('Local Guide'!C13="","",'Local Guide'!C13)</f>
        <v/>
      </c>
      <c r="I60" s="90">
        <f>IF('Local Guide'!E13="","",'Local Guide'!E13)</f>
        <v/>
      </c>
    </row>
    <row r="61">
      <c r="A61" s="87">
        <f>'Local Guide'!A14</f>
        <v/>
      </c>
      <c r="C61" s="88">
        <f>IF('Local Guide'!B14="","",'Local Guide'!B14)</f>
        <v/>
      </c>
      <c r="G61" s="89">
        <f>IF('Local Guide'!C14="","",'Local Guide'!C14)</f>
        <v/>
      </c>
      <c r="I61" s="90">
        <f>IF('Local Guide'!E14="","",'Local Guide'!E14)</f>
        <v/>
      </c>
    </row>
    <row r="62">
      <c r="A62" s="87">
        <f>'Local Guide'!A15</f>
        <v/>
      </c>
      <c r="C62" s="88">
        <f>IF('Local Guide'!B15="","",'Local Guide'!B15)</f>
        <v/>
      </c>
      <c r="G62" s="89">
        <f>IF('Local Guide'!C15="","",'Local Guide'!C15)</f>
        <v/>
      </c>
      <c r="I62" s="90">
        <f>IF('Local Guide'!E15="","",'Local Guide'!E15)</f>
        <v/>
      </c>
    </row>
    <row r="63">
      <c r="A63" s="87">
        <f>'Local Guide'!A16</f>
        <v/>
      </c>
      <c r="C63" s="88">
        <f>IF('Local Guide'!B16="","",'Local Guide'!B16)</f>
        <v/>
      </c>
      <c r="G63" s="89">
        <f>IF('Local Guide'!C16="","",'Local Guide'!C16)</f>
        <v/>
      </c>
      <c r="I63" s="90">
        <f>IF('Local Guide'!E16="","",'Local Guide'!E16)</f>
        <v/>
      </c>
    </row>
    <row r="64">
      <c r="A64" s="87">
        <f>'Local Guide'!A17</f>
        <v/>
      </c>
      <c r="C64" s="88">
        <f>IF('Local Guide'!B17="","",'Local Guide'!B17)</f>
        <v/>
      </c>
      <c r="G64" s="89">
        <f>IF('Local Guide'!C17="","",'Local Guide'!C17)</f>
        <v/>
      </c>
      <c r="I64" s="90">
        <f>IF('Local Guide'!E17="","",'Local Guide'!E17)</f>
        <v/>
      </c>
    </row>
    <row r="65">
      <c r="A65" s="87">
        <f>'Local Guide'!A18</f>
        <v/>
      </c>
      <c r="C65" s="88">
        <f>IF('Local Guide'!B18="","",'Local Guide'!B18)</f>
        <v/>
      </c>
      <c r="G65" s="89">
        <f>IF('Local Guide'!C18="","",'Local Guide'!C18)</f>
        <v/>
      </c>
      <c r="I65" s="90">
        <f>IF('Local Guide'!E18="","",'Local Guide'!E18)</f>
        <v/>
      </c>
    </row>
    <row r="66">
      <c r="A66" s="87">
        <f>'Local Guide'!A19</f>
        <v/>
      </c>
      <c r="C66" s="88">
        <f>IF('Local Guide'!B19="","",'Local Guide'!B19)</f>
        <v/>
      </c>
      <c r="G66" s="89">
        <f>IF('Local Guide'!C19="","",'Local Guide'!C19)</f>
        <v/>
      </c>
      <c r="I66" s="90">
        <f>IF('Local Guide'!E19="","",'Local Guide'!E19)</f>
        <v/>
      </c>
    </row>
    <row r="68">
      <c r="A68" s="91" t="inlineStr">
        <is>
          <t>Trash &amp; Maintenance</t>
        </is>
      </c>
    </row>
    <row r="69">
      <c r="A69" s="77" t="inlineStr">
        <is>
          <t>Pickup day:</t>
        </is>
      </c>
      <c r="E69" s="78">
        <f>IF('Trash'!B8="","(not set)",'Trash'!B8)</f>
        <v/>
      </c>
    </row>
    <row r="70">
      <c r="A70" s="77" t="inlineStr">
        <is>
          <t>Bin location:</t>
        </is>
      </c>
      <c r="E70" s="78">
        <f>IF('Trash'!B9="","(not set)",'Trash'!B9)</f>
        <v/>
      </c>
    </row>
    <row r="72">
      <c r="A72" s="91" t="inlineStr">
        <is>
          <t>Checkout</t>
        </is>
      </c>
    </row>
    <row r="73">
      <c r="A73" s="77" t="inlineStr">
        <is>
          <t>Time:</t>
        </is>
      </c>
      <c r="E73" s="78">
        <f>IF(Departure!B8="","(not set)",Departure!B8)</f>
        <v/>
      </c>
    </row>
    <row r="74">
      <c r="A74" s="77" t="inlineStr">
        <is>
          <t>Linens:</t>
        </is>
      </c>
      <c r="E74" s="78">
        <f>IF(Departure!B10="","(not set)",Departure!B10)</f>
        <v/>
      </c>
    </row>
    <row r="75">
      <c r="A75" s="77" t="inlineStr">
        <is>
          <t>Key return:</t>
        </is>
      </c>
      <c r="E75" s="78">
        <f>IF(Departure!B13="","(not set)",Departure!B13)</f>
        <v/>
      </c>
    </row>
    <row r="77">
      <c r="A77" s="92" t="inlineStr">
        <is>
          <t>Emergency — Call 911 First</t>
        </is>
      </c>
    </row>
    <row r="78">
      <c r="A78" s="77" t="inlineStr">
        <is>
          <t>Hospital:</t>
        </is>
      </c>
      <c r="E78" s="78">
        <f>IF(Emergency!B8="","(not set)",Emergency!B8)</f>
        <v/>
      </c>
    </row>
    <row r="79">
      <c r="A79" s="77" t="inlineStr">
        <is>
          <t>Hospital phone:</t>
        </is>
      </c>
      <c r="E79" s="78">
        <f>IF(Emergency!B9="","(not set)",Emergency!B9)</f>
        <v/>
      </c>
    </row>
    <row r="80">
      <c r="A80" s="93" t="inlineStr">
        <is>
          <t>Host phone:</t>
        </is>
      </c>
      <c r="E80" s="94">
        <f>IF(Property!B10="","(not set)",Property!B10)</f>
        <v/>
      </c>
    </row>
  </sheetData>
  <mergeCells count="112">
    <mergeCell ref="C61:F61"/>
    <mergeCell ref="A64:B64"/>
    <mergeCell ref="E33:L33"/>
    <mergeCell ref="A29:D29"/>
    <mergeCell ref="E35:L35"/>
    <mergeCell ref="G57:H57"/>
    <mergeCell ref="C62:F62"/>
    <mergeCell ref="E28:L28"/>
    <mergeCell ref="G66:H66"/>
    <mergeCell ref="A73:D73"/>
    <mergeCell ref="A51:D51"/>
    <mergeCell ref="E69:L69"/>
    <mergeCell ref="E78:L78"/>
    <mergeCell ref="A70:D70"/>
    <mergeCell ref="C64:F64"/>
    <mergeCell ref="E30:L30"/>
    <mergeCell ref="A54:D54"/>
    <mergeCell ref="G58:H58"/>
    <mergeCell ref="C63:F63"/>
    <mergeCell ref="I10:L11"/>
    <mergeCell ref="A77:L77"/>
    <mergeCell ref="A10:D11"/>
    <mergeCell ref="A62:B62"/>
    <mergeCell ref="I66:L66"/>
    <mergeCell ref="A27:D27"/>
    <mergeCell ref="I58:L58"/>
    <mergeCell ref="E54:L54"/>
    <mergeCell ref="E32:L32"/>
    <mergeCell ref="A33:D33"/>
    <mergeCell ref="D2:L2"/>
    <mergeCell ref="G59:H59"/>
    <mergeCell ref="A59:B59"/>
    <mergeCell ref="A53:D53"/>
    <mergeCell ref="A35:D35"/>
    <mergeCell ref="G61:H61"/>
    <mergeCell ref="A28:D28"/>
    <mergeCell ref="A61:B61"/>
    <mergeCell ref="E79:L79"/>
    <mergeCell ref="E73:L73"/>
    <mergeCell ref="A9:D9"/>
    <mergeCell ref="E12:H12"/>
    <mergeCell ref="A5:L5"/>
    <mergeCell ref="A30:D30"/>
    <mergeCell ref="G62:H62"/>
    <mergeCell ref="A4:L4"/>
    <mergeCell ref="E34:L34"/>
    <mergeCell ref="A38:L38"/>
    <mergeCell ref="I61:L61"/>
    <mergeCell ref="E74:L74"/>
    <mergeCell ref="A79:D79"/>
    <mergeCell ref="I57:L57"/>
    <mergeCell ref="E49:L49"/>
    <mergeCell ref="G65:H65"/>
    <mergeCell ref="A74:D74"/>
    <mergeCell ref="A63:B63"/>
    <mergeCell ref="G60:H60"/>
    <mergeCell ref="E37:L37"/>
    <mergeCell ref="A52:D52"/>
    <mergeCell ref="C57:F57"/>
    <mergeCell ref="A2:C2"/>
    <mergeCell ref="I59:L59"/>
    <mergeCell ref="C66:F66"/>
    <mergeCell ref="I60:L60"/>
    <mergeCell ref="I9:L9"/>
    <mergeCell ref="A65:B65"/>
    <mergeCell ref="A34:D34"/>
    <mergeCell ref="E51:L51"/>
    <mergeCell ref="A39:D39"/>
    <mergeCell ref="A22:L22"/>
    <mergeCell ref="A49:D49"/>
    <mergeCell ref="C58:F58"/>
    <mergeCell ref="A72:L72"/>
    <mergeCell ref="A57:B57"/>
    <mergeCell ref="A69:D69"/>
    <mergeCell ref="A78:D78"/>
    <mergeCell ref="C65:F65"/>
    <mergeCell ref="E27:L27"/>
    <mergeCell ref="G64:H64"/>
    <mergeCell ref="A80:D80"/>
    <mergeCell ref="A37:D37"/>
    <mergeCell ref="A12:D12"/>
    <mergeCell ref="G63:H63"/>
    <mergeCell ref="I62:L62"/>
    <mergeCell ref="C60:F60"/>
    <mergeCell ref="E75:L75"/>
    <mergeCell ref="E53:L53"/>
    <mergeCell ref="A32:D32"/>
    <mergeCell ref="E50:L50"/>
    <mergeCell ref="A60:B60"/>
    <mergeCell ref="I64:L64"/>
    <mergeCell ref="E52:L52"/>
    <mergeCell ref="A56:L56"/>
    <mergeCell ref="I63:L63"/>
    <mergeCell ref="E39:L39"/>
    <mergeCell ref="E10:H11"/>
    <mergeCell ref="A40:D40"/>
    <mergeCell ref="E29:L29"/>
    <mergeCell ref="I65:L65"/>
    <mergeCell ref="A66:B66"/>
    <mergeCell ref="A24:L25"/>
    <mergeCell ref="E40:L40"/>
    <mergeCell ref="A68:L68"/>
    <mergeCell ref="E80:L80"/>
    <mergeCell ref="E70:L70"/>
    <mergeCell ref="A48:L48"/>
    <mergeCell ref="A16:L21"/>
    <mergeCell ref="A75:D75"/>
    <mergeCell ref="E9:H9"/>
    <mergeCell ref="A50:D50"/>
    <mergeCell ref="I12:L12"/>
    <mergeCell ref="C59:F59"/>
    <mergeCell ref="A58:B58"/>
  </mergeCells>
  <pageMargins left="0.5" right="0.5" top="0.5" bottom="0.5" header="0.5" footer="0.5"/>
  <pageSetup orientation="portrait" paperSize="1" fitToHeight="3" fitToWidth="1"/>
  <rowBreaks count="2" manualBreakCount="2">
    <brk id="46" min="0" max="16383" man="1"/>
    <brk id="66" min="0" max="16383" man="1"/>
  </rowBreaks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95" t="n"/>
      <c r="B1" s="95" t="n"/>
      <c r="C1" s="95" t="n"/>
      <c r="D1" s="95" t="n"/>
      <c r="E1" s="95" t="n"/>
      <c r="F1" s="95" t="n"/>
      <c r="G1" s="95" t="n"/>
      <c r="H1" s="95" t="n"/>
      <c r="I1" s="95" t="n"/>
      <c r="J1" s="95" t="n"/>
      <c r="K1" s="95" t="n"/>
      <c r="L1" s="95" t="n"/>
    </row>
    <row r="2" ht="28" customHeight="1">
      <c r="A2" s="45">
        <f>HYPERLINK("#'Review &amp; Print'!A1", "← BACK")</f>
        <v/>
      </c>
      <c r="B2" s="46" t="n"/>
      <c r="C2" s="46" t="n"/>
      <c r="D2" s="96" t="inlineStr">
        <is>
          <t>BONUS</t>
        </is>
      </c>
    </row>
    <row r="3">
      <c r="A3" s="95" t="n"/>
      <c r="B3" s="95" t="n"/>
      <c r="C3" s="95" t="n"/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</row>
    <row r="4" ht="36" customHeight="1">
      <c r="A4" s="97" t="inlineStr">
        <is>
          <t>Bonus — Airbnb Listing Copy</t>
        </is>
      </c>
    </row>
    <row r="5" ht="20" customHeight="1">
      <c r="A5" s="98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99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3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54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99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3" t="n"/>
      <c r="C13" s="53" t="n"/>
      <c r="D13" s="53" t="n"/>
      <c r="E13" s="53" t="n"/>
      <c r="F13" s="53" t="n"/>
      <c r="G13" s="53" t="n"/>
      <c r="H13" s="53" t="n"/>
      <c r="I13" s="53" t="n"/>
      <c r="J13" s="53" t="n"/>
      <c r="K13" s="53" t="n"/>
      <c r="L13" s="54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99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3" t="n"/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4" t="n"/>
    </row>
    <row r="18" ht="22" customHeight="1">
      <c r="A18" s="45">
        <f>HYPERLINK("#'Review &amp; Print'!A1", "← Back: Review &amp; Print")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100" t="inlineStr">
        <is>
          <t>Right-click this tab → 'Hide' before saving the workbook as a PDF or sharing with guests.</t>
        </is>
      </c>
    </row>
    <row r="4" ht="18" customHeight="1">
      <c r="A4" s="101" t="inlineStr">
        <is>
          <t>This tab's Print Area is deliberately set to A1:A1 so if you accidentally print it, you get a near-empty page, not your private notes.</t>
        </is>
      </c>
    </row>
    <row r="5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31" t="inlineStr">
        <is>
          <t>Sarah @ Smokies Clean</t>
        </is>
      </c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35" t="inlineStr">
        <is>
          <t>(865) 555-0145</t>
        </is>
      </c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35" t="inlineStr">
        <is>
          <t>Bob — (865) 555-0198</t>
        </is>
      </c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9" t="inlineStr">
        <is>
          <t>Plumber:</t>
        </is>
      </c>
      <c r="B11" s="42" t="n"/>
      <c r="C11" s="42" t="n"/>
      <c r="D11" s="50" t="inlineStr">
        <is>
          <t>Ridge Plumbing — (865) 555-0177</t>
        </is>
      </c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31" t="inlineStr">
        <is>
          <t>HotTub Haven — quarterly service</t>
        </is>
      </c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35" t="inlineStr">
        <is>
          <t>ABC-1234567 (Proper Insurance)</t>
        </is>
      </c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35" t="inlineStr">
        <is>
          <t>admin / router-pw-here</t>
        </is>
      </c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35" t="inlineStr">
        <is>
          <t>9999 — not for guest use</t>
        </is>
      </c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36" customHeight="1">
      <c r="A18" s="49" t="inlineStr">
        <is>
          <t>Passcodes for safes/boxes:</t>
        </is>
      </c>
      <c r="B18" s="42" t="n"/>
      <c r="C18" s="42" t="n"/>
      <c r="D18" s="50" t="inlineStr">
        <is>
          <t>Under-sink safe: 1234
Garage keypad: 5678</t>
        </is>
      </c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36" customHeight="1">
      <c r="A21" s="51" t="inlineStr">
        <is>
          <t>Things to NOT tell the guest:</t>
        </is>
      </c>
      <c r="B21" s="53" t="n"/>
      <c r="C21" s="53" t="n"/>
      <c r="D21" s="52" t="inlineStr">
        <is>
          <t>Hot tub chemistry is touchy — do not tell guests to refill. If hot tub is cloudy, call HotTub Haven.</t>
        </is>
      </c>
      <c r="E21" s="53" t="n"/>
      <c r="F21" s="53" t="n"/>
      <c r="G21" s="53" t="n"/>
      <c r="H21" s="53" t="n"/>
      <c r="I21" s="53" t="n"/>
      <c r="J21" s="53" t="n"/>
      <c r="K21" s="53" t="n"/>
      <c r="L21" s="54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103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2026-04-24T19:31:33Z</dcterms:created>
  <dcterms:modified xmlns:dcterms="http://purl.org/dc/terms/" xmlns:xsi="http://www.w3.org/2001/XMLSchema-instance" xsi:type="dcterms:W3CDTF">2026-04-24T19:31:33Z</dcterms:modified>
</cp:coreProperties>
</file>