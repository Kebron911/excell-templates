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Property" sheetId="2" state="visible" r:id="rId2"/>
    <sheet xmlns:r="http://schemas.openxmlformats.org/officeDocument/2006/relationships" name="Arrival" sheetId="3" state="visible" r:id="rId3"/>
    <sheet xmlns:r="http://schemas.openxmlformats.org/officeDocument/2006/relationships" name="WiFi + Tech" sheetId="4" state="visible" r:id="rId4"/>
    <sheet xmlns:r="http://schemas.openxmlformats.org/officeDocument/2006/relationships" name="House Rules" sheetId="5" state="visible" r:id="rId5"/>
    <sheet xmlns:r="http://schemas.openxmlformats.org/officeDocument/2006/relationships" name="Local Guide" sheetId="6" state="visible" r:id="rId6"/>
    <sheet xmlns:r="http://schemas.openxmlformats.org/officeDocument/2006/relationships" name="Trash" sheetId="7" state="visible" r:id="rId7"/>
    <sheet xmlns:r="http://schemas.openxmlformats.org/officeDocument/2006/relationships" name="Departure" sheetId="8" state="visible" r:id="rId8"/>
    <sheet xmlns:r="http://schemas.openxmlformats.org/officeDocument/2006/relationships" name="Safety &amp; Disclosures" sheetId="9" state="visible" r:id="rId9"/>
    <sheet xmlns:r="http://schemas.openxmlformats.org/officeDocument/2006/relationships" name="Emergency" sheetId="10" state="visible" r:id="rId10"/>
    <sheet xmlns:r="http://schemas.openxmlformats.org/officeDocument/2006/relationships" name="Launch" sheetId="11" state="visible" r:id="rId11"/>
    <sheet xmlns:r="http://schemas.openxmlformats.org/officeDocument/2006/relationships" name="Bonus" sheetId="12" state="visible" r:id="rId12"/>
    <sheet xmlns:r="http://schemas.openxmlformats.org/officeDocument/2006/relationships" name="× Host Notes" sheetId="13" state="visible" r:id="rId13"/>
  </sheets>
  <definedNames>
    <definedName name="_xlnm.Print_Area" localSheetId="0">'Start'!$A$1:$L$52</definedName>
    <definedName name="_xlnm.Print_Area" localSheetId="5">'Local Guide'!$A$1:$E$33</definedName>
    <definedName name="_xlnm.Print_Area" localSheetId="9">'Emergency'!$A$1:$L$21</definedName>
    <definedName name="_xlnm.Print_Area" localSheetId="10">'Launch'!$A$1:$L$22</definedName>
    <definedName name="_xlnm.Print_Area" localSheetId="11">'Bonus'!$A$1:$L$20</definedName>
    <definedName name="_xlnm.Print_Area" localSheetId="12">'× Host Notes'!$A$1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8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6"/>
    </font>
    <font>
      <name val="Georgia"/>
      <i val="1"/>
      <color rgb="00C9A24B"/>
      <sz val="14"/>
    </font>
    <font>
      <name val="Consolas"/>
      <color rgb="00C9A24B"/>
      <sz val="9"/>
    </font>
    <font>
      <name val="Georgia"/>
      <b val="1"/>
      <color rgb="0012304E"/>
      <sz val="16"/>
    </font>
    <font>
      <name val="Georgia"/>
      <b val="1"/>
      <color rgb="0012304E"/>
      <sz val="14"/>
    </font>
    <font>
      <name val="Calibri"/>
      <color rgb="002B2B2B"/>
      <sz val="11"/>
    </font>
    <font>
      <name val="Georgia"/>
      <b val="1"/>
      <color rgb="00F6EFE2"/>
      <sz val="13"/>
    </font>
    <font>
      <name val="Georgia"/>
      <b val="1"/>
      <color rgb="0012304E"/>
      <sz val="12"/>
    </font>
    <font>
      <name val="Georgia"/>
      <b val="1"/>
      <color rgb="00C9A24B"/>
      <sz val="14"/>
    </font>
    <font>
      <name val="Calibri"/>
      <b val="1"/>
      <color rgb="00C9A24B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9"/>
    </font>
    <font>
      <name val="Georgia"/>
      <b val="1"/>
      <color rgb="0012304E"/>
      <sz val="13"/>
    </font>
    <font>
      <name val="Georgia"/>
      <b val="1"/>
      <color rgb="00F6EFE2"/>
      <sz val="28"/>
    </font>
    <font>
      <name val="Georgia"/>
      <i val="1"/>
      <color rgb="00C9A24B"/>
      <sz val="12"/>
    </font>
    <font>
      <name val="Calibri"/>
      <i val="1"/>
      <color rgb="002B2B2B"/>
      <sz val="10"/>
    </font>
    <font>
      <name val="Consolas"/>
      <b val="1"/>
      <color rgb="0012304E"/>
      <sz val="10"/>
    </font>
    <font>
      <name val="Calibri"/>
      <b val="1"/>
      <color rgb="002B2B2B"/>
      <sz val="11"/>
    </font>
    <font>
      <name val="Calibri"/>
      <b val="1"/>
      <color rgb="00FFFFFF"/>
      <sz val="11"/>
    </font>
    <font>
      <name val="Calibri"/>
      <b val="1"/>
      <color rgb="0012304E"/>
      <sz val="11"/>
    </font>
    <font>
      <name val="Calibri"/>
      <i val="1"/>
      <color rgb="002B2B2B"/>
      <sz val="11"/>
    </font>
    <font>
      <name val="Georgia"/>
      <b val="1"/>
      <color rgb="00B91C1C"/>
      <sz val="22"/>
    </font>
    <font>
      <name val="Consolas"/>
      <b val="1"/>
      <color rgb="00C9A24B"/>
      <sz val="10"/>
    </font>
    <font>
      <name val="Georgia"/>
      <b val="1"/>
      <color rgb="00F6EFE2"/>
      <sz val="32"/>
    </font>
    <font>
      <name val="Consolas"/>
      <b val="1"/>
      <color rgb="0012304E"/>
      <sz val="9"/>
    </font>
    <font>
      <name val="Georgia"/>
      <b val="1"/>
      <color rgb="0012304E"/>
      <sz val="32"/>
    </font>
    <font>
      <name val="Calibri"/>
      <color rgb="006B7280"/>
      <sz val="9"/>
    </font>
    <font>
      <name val="Consolas"/>
      <b val="1"/>
      <color rgb="00B91C1C"/>
      <sz val="9"/>
    </font>
    <font>
      <name val="Georgia"/>
      <b val="1"/>
      <color rgb="00B91C1C"/>
      <sz val="32"/>
    </font>
    <font>
      <name val="Georgia"/>
      <b val="1"/>
      <color rgb="0012304E"/>
      <sz val="22"/>
    </font>
    <font>
      <name val="Calibri"/>
      <i val="1"/>
      <color rgb="006B7280"/>
      <sz val="10"/>
    </font>
    <font>
      <name val="Georgia"/>
      <b val="1"/>
      <color rgb="0012304E"/>
      <sz val="28"/>
    </font>
    <font>
      <name val="Georgia"/>
      <i val="1"/>
      <color rgb="0012304E"/>
      <sz val="11"/>
    </font>
    <font>
      <name val="Calibri"/>
      <i val="1"/>
      <color rgb="00B91C1C"/>
      <sz val="11"/>
    </font>
    <font>
      <name val="Georgia"/>
      <b val="1"/>
      <i val="1"/>
      <color rgb="00B91C1C"/>
      <sz val="12"/>
    </font>
  </fonts>
  <fills count="10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E2C884"/>
      </patternFill>
    </fill>
    <fill>
      <patternFill patternType="solid">
        <fgColor rgb="00FFF7D6"/>
      </patternFill>
    </fill>
    <fill>
      <patternFill patternType="solid">
        <fgColor rgb="00EDEDED"/>
      </patternFill>
    </fill>
    <fill>
      <patternFill patternType="solid">
        <fgColor rgb="00FFE8E8"/>
      </patternFill>
    </fill>
  </fills>
  <borders count="24">
    <border>
      <left/>
      <right/>
      <top/>
      <bottom/>
      <diagonal/>
    </border>
    <border>
      <top style="medium">
        <color rgb="00C9A24B"/>
      </top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top style="thin">
        <color rgb="00C9A24B"/>
      </top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left/>
      <right/>
      <top style="thin">
        <color rgb="00C9A24B"/>
      </top>
      <bottom/>
    </border>
    <border>
      <left/>
      <right/>
      <top style="thin">
        <color rgb="00C9A24B"/>
      </top>
      <bottom/>
      <diagonal/>
    </border>
    <border>
      <left style="thin">
        <color rgb="00C9A24B"/>
      </left>
      <right/>
      <top style="thin">
        <color rgb="00C9A24B"/>
      </top>
    </border>
    <border>
      <left/>
      <right/>
      <top style="thin">
        <color rgb="00C9A24B"/>
      </top>
    </border>
    <border>
      <left/>
      <right style="thin">
        <color rgb="00C9A24B"/>
      </right>
      <top style="thin">
        <color rgb="00C9A24B"/>
      </top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thin">
        <color rgb="00C9A24B"/>
      </left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thin">
        <color rgb="00C9A24B"/>
      </left>
      <right/>
      <top style="thin">
        <color rgb="00C9A24B"/>
      </top>
      <bottom style="thin">
        <color rgb="00C9A24B"/>
      </bottom>
    </border>
    <border>
      <left/>
      <right/>
      <top style="thin">
        <color rgb="00C9A24B"/>
      </top>
      <bottom style="thin">
        <color rgb="00C9A24B"/>
      </bottom>
    </border>
    <border>
      <left/>
      <right style="thin">
        <color rgb="00C9A24B"/>
      </right>
      <top style="thin">
        <color rgb="00C9A24B"/>
      </top>
      <bottom style="thin">
        <color rgb="00C9A24B"/>
      </bottom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  <border>
      <left style="medium">
        <color rgb="00B91C1C"/>
      </left>
      <right style="medium">
        <color rgb="00B91C1C"/>
      </right>
      <top style="medium">
        <color rgb="00B91C1C"/>
      </top>
      <bottom style="medium">
        <color rgb="00B91C1C"/>
      </bottom>
    </border>
    <border>
      <left/>
      <right/>
      <top/>
      <bottom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indent="1"/>
    </xf>
    <xf numFmtId="0" fontId="8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9" fillId="0" borderId="0" applyAlignment="1" pivotButton="0" quotePrefix="0" xfId="0">
      <alignment horizontal="left" vertical="center" indent="1"/>
    </xf>
    <xf numFmtId="0" fontId="10" fillId="0" borderId="0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left" vertical="center" indent="2"/>
    </xf>
    <xf numFmtId="0" fontId="7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right" vertical="center" indent="1"/>
    </xf>
    <xf numFmtId="0" fontId="0" fillId="0" borderId="3" pivotButton="0" quotePrefix="0" xfId="0"/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5" fillId="5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16" fillId="2" borderId="0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indent="1"/>
    </xf>
    <xf numFmtId="0" fontId="20" fillId="3" borderId="7" applyAlignment="1" pivotButton="0" quotePrefix="0" xfId="0">
      <alignment horizontal="right" vertical="center" indent="1"/>
    </xf>
    <xf numFmtId="0" fontId="7" fillId="7" borderId="8" applyAlignment="1" pivotButton="0" quotePrefix="0" xfId="0">
      <alignment horizontal="left" vertical="center" wrapText="1" indent="1"/>
    </xf>
    <xf numFmtId="0" fontId="0" fillId="3" borderId="8" pivotButton="0" quotePrefix="0" xfId="0"/>
    <xf numFmtId="0" fontId="0" fillId="3" borderId="9" pivotButton="0" quotePrefix="0" xfId="0"/>
    <xf numFmtId="0" fontId="20" fillId="3" borderId="13" applyAlignment="1" pivotButton="0" quotePrefix="0" xfId="0">
      <alignment horizontal="right" vertical="center" indent="1"/>
    </xf>
    <xf numFmtId="0" fontId="7" fillId="7" borderId="0" applyAlignment="1" pivotButton="0" quotePrefix="0" xfId="0">
      <alignment horizontal="left" vertical="center" wrapText="1" indent="1"/>
    </xf>
    <xf numFmtId="0" fontId="0" fillId="3" borderId="14" pivotButton="0" quotePrefix="0" xfId="0"/>
    <xf numFmtId="0" fontId="20" fillId="3" borderId="15" applyAlignment="1" pivotButton="0" quotePrefix="0" xfId="0">
      <alignment horizontal="right" vertical="center" indent="1"/>
    </xf>
    <xf numFmtId="0" fontId="7" fillId="7" borderId="5" applyAlignment="1" pivotButton="0" quotePrefix="0" xfId="0">
      <alignment horizontal="left" vertical="center" wrapText="1" indent="1"/>
    </xf>
    <xf numFmtId="0" fontId="0" fillId="3" borderId="6" pivotButton="0" quotePrefix="0" xfId="0"/>
    <xf numFmtId="0" fontId="0" fillId="3" borderId="16" pivotButton="0" quotePrefix="0" xfId="0"/>
    <xf numFmtId="0" fontId="18" fillId="3" borderId="10" applyAlignment="1" pivotButton="0" quotePrefix="0" xfId="0">
      <alignment horizontal="left" vertical="center" wrapText="1" indent="2"/>
    </xf>
    <xf numFmtId="0" fontId="0" fillId="3" borderId="11" pivotButton="0" quotePrefix="0" xfId="0"/>
    <xf numFmtId="0" fontId="0" fillId="3" borderId="12" pivotButton="0" quotePrefix="0" xfId="0"/>
    <xf numFmtId="0" fontId="0" fillId="3" borderId="3" pivotButton="0" quotePrefix="0" xfId="0"/>
    <xf numFmtId="0" fontId="15" fillId="3" borderId="17" applyAlignment="1" pivotButton="0" quotePrefix="0" xfId="0">
      <alignment horizontal="center" vertical="center" wrapText="1"/>
    </xf>
    <xf numFmtId="0" fontId="0" fillId="0" borderId="17" pivotButton="0" quotePrefix="0" xfId="0"/>
    <xf numFmtId="0" fontId="18" fillId="3" borderId="13" applyAlignment="1" pivotButton="0" quotePrefix="0" xfId="0">
      <alignment horizontal="left" vertical="center" wrapText="1" indent="2"/>
    </xf>
    <xf numFmtId="0" fontId="7" fillId="7" borderId="0" applyAlignment="1" pivotButton="0" quotePrefix="0" xfId="0">
      <alignment horizontal="left" vertical="center"/>
    </xf>
    <xf numFmtId="0" fontId="20" fillId="3" borderId="10" applyAlignment="1" pivotButton="0" quotePrefix="0" xfId="0">
      <alignment horizontal="right" vertical="center" indent="1"/>
    </xf>
    <xf numFmtId="0" fontId="7" fillId="7" borderId="11" applyAlignment="1" pivotButton="0" quotePrefix="0" xfId="0">
      <alignment horizontal="left" vertical="center" wrapText="1" indent="1"/>
    </xf>
    <xf numFmtId="0" fontId="20" fillId="3" borderId="18" applyAlignment="1" pivotButton="0" quotePrefix="0" xfId="0">
      <alignment horizontal="right" vertical="center" indent="1"/>
    </xf>
    <xf numFmtId="0" fontId="7" fillId="7" borderId="19" applyAlignment="1" pivotButton="0" quotePrefix="0" xfId="0">
      <alignment horizontal="left" vertical="center" wrapText="1" indent="1"/>
    </xf>
    <xf numFmtId="0" fontId="0" fillId="3" borderId="19" pivotButton="0" quotePrefix="0" xfId="0"/>
    <xf numFmtId="0" fontId="0" fillId="3" borderId="20" pivotButton="0" quotePrefix="0" xfId="0"/>
    <xf numFmtId="0" fontId="21" fillId="2" borderId="21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 indent="1"/>
    </xf>
    <xf numFmtId="0" fontId="23" fillId="8" borderId="0" applyAlignment="1" pivotButton="0" quotePrefix="0" xfId="0">
      <alignment horizontal="right" vertical="center"/>
    </xf>
    <xf numFmtId="0" fontId="24" fillId="9" borderId="22" applyAlignment="1" pivotButton="0" quotePrefix="0" xfId="0">
      <alignment horizontal="center" vertical="center"/>
    </xf>
    <xf numFmtId="0" fontId="7" fillId="3" borderId="5" applyAlignment="1" pivotButton="0" quotePrefix="0" xfId="0">
      <alignment horizontal="left" vertical="center" indent="1"/>
    </xf>
    <xf numFmtId="0" fontId="23" fillId="8" borderId="11" applyAlignment="1" pivotButton="0" quotePrefix="0" xfId="0">
      <alignment horizontal="right" vertical="center"/>
    </xf>
    <xf numFmtId="0" fontId="25" fillId="2" borderId="0" applyAlignment="1" pivotButton="0" quotePrefix="0" xfId="0">
      <alignment horizontal="right" vertical="center" indent="2"/>
    </xf>
    <xf numFmtId="0" fontId="26" fillId="2" borderId="0" applyAlignment="1" pivotButton="0" quotePrefix="0" xfId="0">
      <alignment horizontal="center" vertical="center"/>
    </xf>
    <xf numFmtId="0" fontId="27" fillId="3" borderId="15" applyAlignment="1" pivotButton="0" quotePrefix="0" xfId="0">
      <alignment horizontal="center"/>
    </xf>
    <xf numFmtId="0" fontId="0" fillId="0" borderId="5" pivotButton="0" quotePrefix="0" xfId="0"/>
    <xf numFmtId="0" fontId="0" fillId="0" borderId="16" pivotButton="0" quotePrefix="0" xfId="0"/>
    <xf numFmtId="0" fontId="30" fillId="3" borderId="15" applyAlignment="1" pivotButton="0" quotePrefix="0" xfId="0">
      <alignment horizontal="center"/>
    </xf>
    <xf numFmtId="0" fontId="28" fillId="3" borderId="13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14" pivotButton="0" quotePrefix="0" xfId="0"/>
    <xf numFmtId="0" fontId="31" fillId="3" borderId="13" applyAlignment="1" pivotButton="0" quotePrefix="0" xfId="0">
      <alignment horizontal="center" vertical="center"/>
    </xf>
    <xf numFmtId="0" fontId="32" fillId="3" borderId="13" applyAlignment="1" pivotButton="0" quotePrefix="0" xfId="0">
      <alignment horizontal="center" vertical="center"/>
    </xf>
    <xf numFmtId="0" fontId="0" fillId="0" borderId="13" pivotButton="0" quotePrefix="0" xfId="0"/>
    <xf numFmtId="0" fontId="29" fillId="3" borderId="10" applyAlignment="1" pivotButton="0" quotePrefix="0" xfId="0">
      <alignment horizontal="center"/>
    </xf>
    <xf numFmtId="0" fontId="0" fillId="0" borderId="11" pivotButton="0" quotePrefix="0" xfId="0"/>
    <xf numFmtId="0" fontId="0" fillId="0" borderId="12" pivotButton="0" quotePrefix="0" xfId="0"/>
    <xf numFmtId="0" fontId="33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27" fillId="6" borderId="0" applyAlignment="1" pivotButton="0" quotePrefix="0" xfId="0">
      <alignment horizontal="right" vertical="center" indent="2"/>
    </xf>
    <xf numFmtId="0" fontId="34" fillId="6" borderId="0" applyAlignment="1" pivotButton="0" quotePrefix="0" xfId="0">
      <alignment horizontal="center" vertical="center"/>
    </xf>
    <xf numFmtId="0" fontId="35" fillId="6" borderId="0" applyAlignment="1" pivotButton="0" quotePrefix="0" xfId="0">
      <alignment horizontal="center" vertical="center"/>
    </xf>
    <xf numFmtId="0" fontId="7" fillId="3" borderId="18" applyAlignment="1" pivotButton="0" quotePrefix="0" xfId="0">
      <alignment horizontal="left" vertical="top" wrapText="1" indent="2"/>
    </xf>
    <xf numFmtId="0" fontId="36" fillId="9" borderId="0" applyAlignment="1" pivotButton="0" quotePrefix="0" xfId="0">
      <alignment horizontal="center" vertical="center"/>
    </xf>
    <xf numFmtId="0" fontId="33" fillId="9" borderId="0" applyAlignment="1" pivotButton="0" quotePrefix="0" xfId="0">
      <alignment horizontal="center" vertical="center"/>
    </xf>
    <xf numFmtId="0" fontId="0" fillId="9" borderId="0" pivotButton="0" quotePrefix="0" xfId="0"/>
    <xf numFmtId="0" fontId="37" fillId="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5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8" customHeight="1">
      <c r="A4" s="3" t="inlineStr">
        <is>
          <t>Welcome Book</t>
        </is>
      </c>
    </row>
    <row r="5" ht="22" customHeight="1">
      <c r="A5" s="4" t="inlineStr">
        <is>
          <t>Welcome books that earn 5-stars.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GST-001 · v2.0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 ht="28" customHeight="1">
      <c r="A11" s="7" t="inlineStr">
        <is>
          <t>What you'll build in the next 15 minutes</t>
        </is>
      </c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 ht="22" customHeight="1">
      <c r="A13" s="8" t="inlineStr">
        <is>
          <t>📖 PRINT</t>
        </is>
      </c>
      <c r="E13" s="8" t="inlineStr">
        <is>
          <t>📱 QR CODE</t>
        </is>
      </c>
      <c r="I13" s="8" t="inlineStr">
        <is>
          <t>✉ EMAIL PDF</t>
        </is>
      </c>
    </row>
    <row r="14" ht="22" customHeight="1">
      <c r="A14" s="9" t="inlineStr">
        <is>
          <t>Spiral-bound binder for the kitchen counter.</t>
        </is>
      </c>
      <c r="E14" s="9" t="inlineStr">
        <is>
          <t>Scan on arrival — view on the guest's phone.</t>
        </is>
      </c>
      <c r="I14" s="9" t="inlineStr">
        <is>
          <t>Send ahead of check-in. One page, every tab.</t>
        </is>
      </c>
    </row>
    <row r="15" ht="22" customHeight="1"/>
    <row r="16" ht="22" customHeight="1"/>
    <row r="17" ht="22" customHeight="1"/>
    <row r="18" ht="22" customHeight="1"/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24" customHeight="1">
      <c r="A23" s="11" t="inlineStr">
        <is>
          <t>Quick Start — be done in 5 minutes</t>
        </is>
      </c>
    </row>
    <row r="24">
      <c r="A24" s="10" t="n"/>
      <c r="B24" s="12" t="inlineStr">
        <is>
          <t>① Property name + host phone</t>
        </is>
      </c>
      <c r="G24" s="10" t="n"/>
      <c r="H24" s="12" t="inlineStr">
        <is>
          <t>④ Checkout time</t>
        </is>
      </c>
    </row>
    <row r="25">
      <c r="A25" s="10" t="n"/>
      <c r="B25" s="12" t="inlineStr">
        <is>
          <t>② WiFi network + password</t>
        </is>
      </c>
      <c r="G25" s="10" t="n"/>
      <c r="H25" s="12" t="inlineStr">
        <is>
          <t>⑤ Hospital + 911 note</t>
        </is>
      </c>
    </row>
    <row r="26">
      <c r="A26" s="10" t="n"/>
      <c r="B26" s="12" t="inlineStr">
        <is>
          <t>③ Trash pickup day</t>
        </is>
      </c>
      <c r="G26" s="10" t="n"/>
      <c r="H26" s="10" t="n"/>
      <c r="I26" s="10" t="n"/>
      <c r="J26" s="10" t="n"/>
      <c r="K26" s="10" t="n"/>
      <c r="L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30" ht="22" customHeight="1">
      <c r="A30" s="13">
        <f>HYPERLINK("#'Property'!A5", "GET STARTED — FILL YOUR PROPERTY INFO  →")</f>
        <v/>
      </c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</row>
    <row r="31" ht="22" customHeight="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</row>
    <row r="32" ht="22" customHeight="1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</row>
    <row r="33" ht="22" customHeight="1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</row>
    <row r="36">
      <c r="A36" s="15" t="inlineStr">
        <is>
          <t>Progress:</t>
        </is>
      </c>
      <c r="G36" s="16">
        <f>TEXT((COUNTA('Property'!B8:B15) + COUNTA('Arrival'!B8:B14) + COUNTA('WiFi + Tech'!B8:B15) + COUNTA('House Rules'!B8:B14) + COUNTA('Local Guide'!B10:E29) + COUNTA('Trash'!B8:B14) + COUNTA('Departure'!B8,'Departure'!B10:B13,'Departure'!B16) + COUNTA('Safety &amp; Disclosures'!B8:B13) + COUNTA('Emergency'!B8:B16))/138, "0%") &amp; " complete"</f>
        <v/>
      </c>
    </row>
    <row r="38" ht="18" customHeight="1">
      <c r="A38" s="17" t="inlineStr">
        <is>
          <t>① Property Info</t>
        </is>
      </c>
      <c r="G38" s="18">
        <f>IF(COUNTA('Property'!B8:B15)=8,"✅ Done",IF(COUNTA('Property'!B8:B15)=0,"⏳ Empty","⏳ "&amp;COUNTA('Property'!B8:B15)&amp;" of 8"))</f>
        <v/>
      </c>
      <c r="K38" s="19">
        <f>HYPERLINK("#'Property'!A5","→ go")</f>
        <v/>
      </c>
    </row>
    <row r="39" ht="18" customHeight="1">
      <c r="A39" s="17" t="inlineStr">
        <is>
          <t>② Arrival</t>
        </is>
      </c>
      <c r="G39" s="18">
        <f>IF(COUNTA('Arrival'!B8:B14)=7,"✅ Done",IF(COUNTA('Arrival'!B8:B14)=0,"⏳ Empty","⏳ "&amp;COUNTA('Arrival'!B8:B14)&amp;" of 7"))</f>
        <v/>
      </c>
      <c r="K39" s="19">
        <f>HYPERLINK("#'Arrival'!A5","→ go")</f>
        <v/>
      </c>
    </row>
    <row r="40" ht="18" customHeight="1">
      <c r="A40" s="17" t="inlineStr">
        <is>
          <t>③ WiFi + Tech</t>
        </is>
      </c>
      <c r="G40" s="18">
        <f>IF(COUNTA('WiFi + Tech'!B8:B15)=8,"✅ Done",IF(COUNTA('WiFi + Tech'!B8:B15)=0,"⏳ Empty","⏳ "&amp;COUNTA('WiFi + Tech'!B8:B15)&amp;" of 8"))</f>
        <v/>
      </c>
      <c r="K40" s="19">
        <f>HYPERLINK("#'WiFi + Tech'!A5","→ go")</f>
        <v/>
      </c>
    </row>
    <row r="41" ht="18" customHeight="1">
      <c r="A41" s="17" t="inlineStr">
        <is>
          <t>④ House Rules</t>
        </is>
      </c>
      <c r="G41" s="18">
        <f>IF(COUNTA('House Rules'!B8:B14)=7,"✅ Done",IF(COUNTA('House Rules'!B8:B14)=0,"⏳ Empty","⏳ "&amp;COUNTA('House Rules'!B8:B14)&amp;" of 7"))</f>
        <v/>
      </c>
      <c r="K41" s="19">
        <f>HYPERLINK("#'House Rules'!A5","→ go")</f>
        <v/>
      </c>
    </row>
    <row r="42" ht="18" customHeight="1">
      <c r="A42" s="17" t="inlineStr">
        <is>
          <t>⑤ Local Guide</t>
        </is>
      </c>
      <c r="G42" s="18">
        <f>IF(COUNTA('Local Guide'!B10:E29)=80,"✅ Done",IF(COUNTA('Local Guide'!B10:E29)=0,"⏳ Empty","⏳ "&amp;COUNTA('Local Guide'!B10:E29)&amp;" of 80"))</f>
        <v/>
      </c>
      <c r="K42" s="19">
        <f>HYPERLINK("#'Local Guide'!A5","→ go")</f>
        <v/>
      </c>
    </row>
    <row r="43" ht="18" customHeight="1">
      <c r="A43" s="17" t="inlineStr">
        <is>
          <t>⑥ Trash</t>
        </is>
      </c>
      <c r="G43" s="18">
        <f>IF(COUNTA('Trash'!B8:B14)=7,"✅ Done",IF(COUNTA('Trash'!B8:B14)=0,"⏳ Empty","⏳ "&amp;COUNTA('Trash'!B8:B14)&amp;" of 7"))</f>
        <v/>
      </c>
      <c r="K43" s="19">
        <f>HYPERLINK("#'Trash'!A5","→ go")</f>
        <v/>
      </c>
    </row>
    <row r="44" ht="18" customHeight="1">
      <c r="A44" s="17" t="inlineStr">
        <is>
          <t>⑦ Departure</t>
        </is>
      </c>
      <c r="G44" s="18">
        <f>IF(COUNTA('Departure'!B8,'Departure'!B10:B13,'Departure'!B16)=6,"✅ Done",IF(COUNTA('Departure'!B8,'Departure'!B10:B13,'Departure'!B16)=0,"⏳ Empty","⏳ "&amp;COUNTA('Departure'!B8,'Departure'!B10:B13,'Departure'!B16)&amp;" of 6"))</f>
        <v/>
      </c>
      <c r="K44" s="19">
        <f>HYPERLINK("#'Departure'!A5","→ go")</f>
        <v/>
      </c>
    </row>
    <row r="45" ht="18" customHeight="1">
      <c r="A45" s="17" t="inlineStr">
        <is>
          <t>⑧ Safety &amp; Disclosures</t>
        </is>
      </c>
      <c r="G45" s="18">
        <f>IF(COUNTA('Safety &amp; Disclosures'!B8:B13)=6,"✅ Done",IF(COUNTA('Safety &amp; Disclosures'!B8:B13)=0,"⏳ Empty","⏳ "&amp;COUNTA('Safety &amp; Disclosures'!B8:B13)&amp;" of 6"))</f>
        <v/>
      </c>
      <c r="K45" s="19">
        <f>HYPERLINK("#'Safety &amp; Disclosures'!A5","→ go")</f>
        <v/>
      </c>
    </row>
    <row r="46" ht="18" customHeight="1">
      <c r="A46" s="17" t="inlineStr">
        <is>
          <t>⑨ Emergency</t>
        </is>
      </c>
      <c r="G46" s="18">
        <f>IF(COUNTA('Emergency'!B8:B16)=9,"✅ Done",IF(COUNTA('Emergency'!B8:B16)=0,"⏳ Empty","⏳ "&amp;COUNTA('Emergency'!B8:B16)&amp;" of 9"))</f>
        <v/>
      </c>
      <c r="K46" s="19">
        <f>HYPERLINK("#'Emergency'!A5","→ go")</f>
        <v/>
      </c>
    </row>
    <row r="49">
      <c r="A49" s="20" t="n"/>
      <c r="B49" s="20" t="n"/>
      <c r="C49" s="20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0" t="n"/>
    </row>
    <row r="50">
      <c r="A50" s="21" t="inlineStr">
        <is>
          <t>Questions? hello@thestrledger.com</t>
        </is>
      </c>
    </row>
    <row r="51">
      <c r="A51" s="22" t="inlineStr">
        <is>
          <t>Free updates forever · v2.0 · Released 2026-05</t>
        </is>
      </c>
    </row>
  </sheetData>
  <mergeCells count="49">
    <mergeCell ref="A41:F41"/>
    <mergeCell ref="A7:L7"/>
    <mergeCell ref="A46:F46"/>
    <mergeCell ref="B25:F25"/>
    <mergeCell ref="K45:L45"/>
    <mergeCell ref="A14:D18"/>
    <mergeCell ref="G41:J41"/>
    <mergeCell ref="A13:D13"/>
    <mergeCell ref="I14:L18"/>
    <mergeCell ref="A50:L50"/>
    <mergeCell ref="G44:J44"/>
    <mergeCell ref="A2:F2"/>
    <mergeCell ref="I13:L13"/>
    <mergeCell ref="G40:J40"/>
    <mergeCell ref="G46:J46"/>
    <mergeCell ref="A42:F42"/>
    <mergeCell ref="H25:L25"/>
    <mergeCell ref="A5:L5"/>
    <mergeCell ref="A23:L23"/>
    <mergeCell ref="G43:J43"/>
    <mergeCell ref="K44:L44"/>
    <mergeCell ref="K41:L41"/>
    <mergeCell ref="K46:L46"/>
    <mergeCell ref="K40:L40"/>
    <mergeCell ref="A4:L4"/>
    <mergeCell ref="G42:J42"/>
    <mergeCell ref="A38:F38"/>
    <mergeCell ref="A43:F43"/>
    <mergeCell ref="K43:L43"/>
    <mergeCell ref="G39:J39"/>
    <mergeCell ref="A44:F44"/>
    <mergeCell ref="A30:L33"/>
    <mergeCell ref="K42:L42"/>
    <mergeCell ref="G38:J38"/>
    <mergeCell ref="A40:F40"/>
    <mergeCell ref="K39:L39"/>
    <mergeCell ref="A39:F39"/>
    <mergeCell ref="E14:H18"/>
    <mergeCell ref="E13:H13"/>
    <mergeCell ref="B24:F24"/>
    <mergeCell ref="A36:F36"/>
    <mergeCell ref="G36:L36"/>
    <mergeCell ref="A11:L11"/>
    <mergeCell ref="K38:L38"/>
    <mergeCell ref="A45:F45"/>
    <mergeCell ref="A51:L51"/>
    <mergeCell ref="H24:L24"/>
    <mergeCell ref="B26:F26"/>
    <mergeCell ref="G45:J45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F6EFE2"/>
    <outlinePr summaryBelow="1" summaryRight="1"/>
    <pageSetUpPr/>
  </sheetPr>
  <dimension ref="A1:L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HYPERLINK("#'Start'!A1", "← START")</f>
        <v/>
      </c>
      <c r="B2" s="14" t="n"/>
      <c r="C2" s="14" t="n"/>
      <c r="D2" s="23" t="inlineStr">
        <is>
          <t>SECTION 1 OF 9</t>
        </is>
      </c>
      <c r="J2" s="24">
        <f>HYPERLINK("#'Arrival'!A5", "NEXT →")</f>
        <v/>
      </c>
      <c r="K2" s="25" t="n"/>
      <c r="L2" s="2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6" t="inlineStr">
        <is>
          <t>Property Info</t>
        </is>
      </c>
    </row>
    <row r="5" ht="18" customHeight="1">
      <c r="A5" s="27" t="inlineStr">
        <is>
          <t>Who you are and where they're staying.</t>
        </is>
      </c>
    </row>
    <row r="6" ht="22" customHeight="1">
      <c r="A6" s="28" t="inlineStr">
        <is>
          <t>Fill the highlighted fields below. The 'Launch' tab (last) shows what your guest will see.</t>
        </is>
      </c>
    </row>
    <row r="7" ht="20" customHeight="1">
      <c r="A7" s="29" t="inlineStr">
        <is>
          <t>PROPERTY INFO</t>
        </is>
      </c>
    </row>
    <row r="8" ht="24" customHeight="1">
      <c r="A8" s="30" t="inlineStr">
        <is>
          <t>Property name:</t>
        </is>
      </c>
      <c r="B8" s="31" t="inlineStr">
        <is>
          <t>Smokies Ridge Cabin</t>
        </is>
      </c>
      <c r="C8" s="32" t="n"/>
      <c r="D8" s="32" t="n"/>
      <c r="E8" s="32" t="n"/>
      <c r="F8" s="32" t="n"/>
      <c r="G8" s="32" t="n"/>
      <c r="H8" s="32" t="n"/>
      <c r="I8" s="32" t="n"/>
      <c r="J8" s="32" t="n"/>
      <c r="K8" s="32" t="n"/>
      <c r="L8" s="33" t="n"/>
    </row>
    <row r="9" ht="24" customHeight="1">
      <c r="A9" s="34" t="inlineStr">
        <is>
          <t>Host first name:</t>
        </is>
      </c>
      <c r="B9" s="35" t="inlineStr">
        <is>
          <t>Daniel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36" t="n"/>
    </row>
    <row r="10" ht="24" customHeight="1">
      <c r="A10" s="37" t="inlineStr">
        <is>
          <t>Host phone (text preferred):</t>
        </is>
      </c>
      <c r="B10" s="38" t="inlineStr">
        <is>
          <t>+1 (555) 555-0199</t>
        </is>
      </c>
      <c r="C10" s="39" t="n"/>
      <c r="D10" s="39" t="n"/>
      <c r="E10" s="39" t="n"/>
      <c r="F10" s="39" t="n"/>
      <c r="G10" s="39" t="n"/>
      <c r="H10" s="39" t="n"/>
      <c r="I10" s="39" t="n"/>
      <c r="J10" s="39" t="n"/>
      <c r="K10" s="39" t="n"/>
      <c r="L10" s="40" t="n"/>
    </row>
    <row r="11" ht="24" customHeight="1">
      <c r="A11" s="34" t="inlineStr">
        <is>
          <t>Check-in date:</t>
        </is>
      </c>
      <c r="B11" s="35" t="inlineStr">
        <is>
          <t>2026-05-10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36" t="n"/>
    </row>
    <row r="12" ht="24" customHeight="1">
      <c r="A12" s="34" t="inlineStr">
        <is>
          <t>Check-out date:</t>
        </is>
      </c>
      <c r="B12" s="35" t="inlineStr">
        <is>
          <t>2026-05-15</t>
        </is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36" t="n"/>
    </row>
    <row r="13" ht="24" customHeight="1">
      <c r="A13" s="34" t="inlineStr">
        <is>
          <t>Property type:</t>
        </is>
      </c>
      <c r="B13" s="35" t="inlineStr">
        <is>
          <t>Cabin</t>
        </is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36" t="n"/>
    </row>
    <row r="14" ht="24" customHeight="1">
      <c r="A14" s="34" t="inlineStr">
        <is>
          <t>Max guests:</t>
        </is>
      </c>
      <c r="B14" s="35" t="n">
        <v>6</v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36" t="n"/>
    </row>
    <row r="15" ht="24" customHeight="1">
      <c r="A15" s="37" t="inlineStr">
        <is>
          <t>Full address:</t>
        </is>
      </c>
      <c r="B15" s="38" t="inlineStr">
        <is>
          <t>123 Mountain Lane, Gatlinburg, TN 37738</t>
        </is>
      </c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40" t="n"/>
    </row>
    <row r="16" ht="24" customHeight="1">
      <c r="A16" s="41" t="inlineStr">
        <is>
          <t>First time? Go to Start → Quick Start for the 5-minute path.</t>
        </is>
      </c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3" t="n"/>
    </row>
    <row r="17">
      <c r="A17" s="44" t="n"/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</row>
    <row r="18" ht="22" customHeight="1">
      <c r="A18" s="45">
        <f>HYPERLINK("#'Start'!A1", "← Back: Start")</f>
        <v/>
      </c>
      <c r="B18" s="46" t="n"/>
      <c r="C18" s="46" t="n"/>
      <c r="D18" s="46" t="n"/>
      <c r="E18" s="46" t="n"/>
      <c r="F18" s="46" t="n"/>
      <c r="G18" s="45">
        <f>HYPERLINK("#'Arrival'!A5", "Next: Arrival →")</f>
        <v/>
      </c>
      <c r="H18" s="46" t="n"/>
      <c r="I18" s="46" t="n"/>
      <c r="J18" s="46" t="n"/>
      <c r="K18" s="46" t="n"/>
      <c r="L18" s="46" t="n"/>
    </row>
    <row r="19" ht="22" customHeight="1">
      <c r="A19" s="46" t="n"/>
      <c r="B19" s="46" t="n"/>
      <c r="C19" s="46" t="n"/>
      <c r="D19" s="46" t="n"/>
      <c r="E19" s="46" t="n"/>
      <c r="F19" s="46" t="n"/>
      <c r="G19" s="46" t="n"/>
      <c r="H19" s="46" t="n"/>
      <c r="I19" s="46" t="n"/>
      <c r="J19" s="46" t="n"/>
      <c r="K19" s="46" t="n"/>
      <c r="L19" s="46" t="n"/>
    </row>
  </sheetData>
  <mergeCells count="18">
    <mergeCell ref="A16:L16"/>
    <mergeCell ref="J2:L2"/>
    <mergeCell ref="D2:I2"/>
    <mergeCell ref="A7:L7"/>
    <mergeCell ref="B12:L12"/>
    <mergeCell ref="B13:L13"/>
    <mergeCell ref="A18:F19"/>
    <mergeCell ref="G18:L19"/>
    <mergeCell ref="B15:L15"/>
    <mergeCell ref="B9:L9"/>
    <mergeCell ref="A5:L5"/>
    <mergeCell ref="B11:L11"/>
    <mergeCell ref="A6:L6"/>
    <mergeCell ref="B10:L10"/>
    <mergeCell ref="B14:L14"/>
    <mergeCell ref="A2:C2"/>
    <mergeCell ref="A4:L4"/>
    <mergeCell ref="B8:L8"/>
  </mergeCells>
  <dataValidations count="1">
    <dataValidation sqref="B13" showDropDown="0" showInputMessage="0" showErrorMessage="0" allowBlank="1" type="list">
      <formula1>"Single-family,Cabin,Condo,Apartment,Multi-family,Glamping,Other"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6EFE2"/>
    <outlinePr summaryBelow="1" summaryRight="1"/>
    <pageSetUpPr/>
  </sheetPr>
  <dimension ref="A1:L2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HYPERLINK("#'Property'!A5", "← BACK")</f>
        <v/>
      </c>
      <c r="B2" s="14" t="n"/>
      <c r="C2" s="14" t="n"/>
      <c r="D2" s="23" t="inlineStr">
        <is>
          <t>SECTION 2 OF 9</t>
        </is>
      </c>
      <c r="J2" s="24">
        <f>HYPERLINK("#'WiFi + Tech'!A5", "NEXT →")</f>
        <v/>
      </c>
      <c r="K2" s="25" t="n"/>
      <c r="L2" s="2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6" t="inlineStr">
        <is>
          <t>Arrival &amp; Check-in</t>
        </is>
      </c>
    </row>
    <row r="5" ht="18" customHeight="1">
      <c r="A5" s="27" t="inlineStr">
        <is>
          <t>Everything your guest needs on day one.</t>
        </is>
      </c>
    </row>
    <row r="6" ht="22" customHeight="1">
      <c r="A6" s="28" t="inlineStr">
        <is>
          <t>Fill the highlighted fields below. The 'Launch' tab (last) shows what your guest will see.</t>
        </is>
      </c>
    </row>
    <row r="7" ht="20" customHeight="1">
      <c r="A7" s="29" t="inlineStr">
        <is>
          <t>ARRIVAL &amp; CHECK-IN</t>
        </is>
      </c>
    </row>
    <row r="8" ht="36" customHeight="1">
      <c r="A8" s="30" t="inlineStr">
        <is>
          <t>Full address:</t>
        </is>
      </c>
      <c r="B8" s="31" t="inlineStr">
        <is>
          <t>123 Mountain Lane, Gatlinburg, TN 37738</t>
        </is>
      </c>
      <c r="C8" s="32" t="n"/>
      <c r="D8" s="32" t="n"/>
      <c r="E8" s="32" t="n"/>
      <c r="F8" s="32" t="n"/>
      <c r="G8" s="32" t="n"/>
      <c r="H8" s="32" t="n"/>
      <c r="I8" s="32" t="n"/>
      <c r="J8" s="32" t="n"/>
      <c r="K8" s="32" t="n"/>
      <c r="L8" s="33" t="n"/>
    </row>
    <row r="9" ht="36" customHeight="1">
      <c r="A9" s="34" t="inlineStr">
        <is>
          <t>Entry method:</t>
        </is>
      </c>
      <c r="B9" s="35" t="inlineStr">
        <is>
          <t>Smart lock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36" t="n"/>
    </row>
    <row r="10" ht="36" customHeight="1">
      <c r="A10" s="34" t="inlineStr">
        <is>
          <t>Door/lock code:</t>
        </is>
      </c>
      <c r="B10" s="35" t="inlineStr">
        <is>
          <t>4321</t>
        </is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36" t="n"/>
    </row>
    <row r="11" ht="36" customHeight="1">
      <c r="A11" s="34" t="inlineStr">
        <is>
          <t>Parking instructions:</t>
        </is>
      </c>
      <c r="B11" s="35" t="inlineStr">
        <is>
          <t>Gravel drive on the right — there's room for 2 cars. Do not block the mailbox.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36" t="n"/>
    </row>
    <row r="12" ht="36" customHeight="1">
      <c r="A12" s="37" t="inlineStr">
        <is>
          <t>Best route (if tricky):</t>
        </is>
      </c>
      <c r="B12" s="38" t="inlineStr">
        <is>
          <t>If GPS sends you up the fire road, ignore it. Stay on Ridge Way past the red barn.</t>
        </is>
      </c>
      <c r="C12" s="39" t="n"/>
      <c r="D12" s="39" t="n"/>
      <c r="E12" s="39" t="n"/>
      <c r="F12" s="39" t="n"/>
      <c r="G12" s="39" t="n"/>
      <c r="H12" s="39" t="n"/>
      <c r="I12" s="39" t="n"/>
      <c r="J12" s="39" t="n"/>
      <c r="K12" s="39" t="n"/>
      <c r="L12" s="40" t="n"/>
    </row>
    <row r="13" ht="36" customHeight="1">
      <c r="A13" s="34" t="inlineStr">
        <is>
          <t>Arrival time window:</t>
        </is>
      </c>
      <c r="B13" s="35" t="inlineStr">
        <is>
          <t>After 3 PM</t>
        </is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36" t="n"/>
    </row>
    <row r="14" ht="36" customHeight="1">
      <c r="A14" s="34" t="inlineStr">
        <is>
          <t>If you arrive early:</t>
        </is>
      </c>
      <c r="B14" s="35" t="inlineStr">
        <is>
          <t>Coffee shops in the Local Guide tab are the best bet; the lockbox won't open before 3 PM.</t>
        </is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36" t="n"/>
    </row>
    <row r="15" ht="24" customHeight="1">
      <c r="A15" s="47" t="inlineStr">
        <is>
          <t>1. Crank the thermostat to your comfort — WiFi tab has controls.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36" t="n"/>
    </row>
    <row r="16" ht="24" customHeight="1">
      <c r="A16" s="47" t="inlineStr">
        <is>
          <t>2. Connect to WiFi — network + password on the WiFi tab.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36" t="n"/>
    </row>
    <row r="17" ht="24" customHeight="1">
      <c r="A17" s="47" t="inlineStr">
        <is>
          <t>3. Check the fridge for welcome items.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36" t="n"/>
    </row>
    <row r="18" ht="24" customHeight="1">
      <c r="A18" s="41" t="inlineStr">
        <is>
          <t>4. If anything's broken, text the host immediately.</t>
        </is>
      </c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3" t="n"/>
    </row>
    <row r="19">
      <c r="A19" s="44" t="n"/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</row>
    <row r="20" ht="22" customHeight="1">
      <c r="A20" s="45">
        <f>HYPERLINK("#'Property'!A5", "← Back: Property")</f>
        <v/>
      </c>
      <c r="B20" s="46" t="n"/>
      <c r="C20" s="46" t="n"/>
      <c r="D20" s="46" t="n"/>
      <c r="E20" s="46" t="n"/>
      <c r="F20" s="46" t="n"/>
      <c r="G20" s="45">
        <f>HYPERLINK("#'WiFi + Tech'!A5", "Next: WiFi + Tech →")</f>
        <v/>
      </c>
      <c r="H20" s="46" t="n"/>
      <c r="I20" s="46" t="n"/>
      <c r="J20" s="46" t="n"/>
      <c r="K20" s="46" t="n"/>
      <c r="L20" s="46" t="n"/>
    </row>
    <row r="21" ht="22" customHeight="1">
      <c r="A21" s="46" t="n"/>
      <c r="B21" s="46" t="n"/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</row>
  </sheetData>
  <mergeCells count="20">
    <mergeCell ref="A16:L16"/>
    <mergeCell ref="D2:I2"/>
    <mergeCell ref="A7:L7"/>
    <mergeCell ref="A18:L18"/>
    <mergeCell ref="A2:C2"/>
    <mergeCell ref="B12:L12"/>
    <mergeCell ref="A5:L5"/>
    <mergeCell ref="B11:L11"/>
    <mergeCell ref="A17:L17"/>
    <mergeCell ref="B14:L14"/>
    <mergeCell ref="A4:L4"/>
    <mergeCell ref="B8:L8"/>
    <mergeCell ref="J2:L2"/>
    <mergeCell ref="B13:L13"/>
    <mergeCell ref="B10:L10"/>
    <mergeCell ref="B9:L9"/>
    <mergeCell ref="A15:L15"/>
    <mergeCell ref="G20:L21"/>
    <mergeCell ref="A6:L6"/>
    <mergeCell ref="A20:F21"/>
  </mergeCells>
  <dataValidations count="1">
    <dataValidation sqref="B9" showDropDown="0" showInputMessage="0" showErrorMessage="0" allowBlank="1" type="list">
      <formula1>"Smart lock,Key lockbox,In-person,Other"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6EFE2"/>
    <outlinePr summaryBelow="1" summaryRight="1"/>
    <pageSetUpPr/>
  </sheetPr>
  <dimension ref="A1:L1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HYPERLINK("#'Arrival'!A5", "← BACK")</f>
        <v/>
      </c>
      <c r="B2" s="14" t="n"/>
      <c r="C2" s="14" t="n"/>
      <c r="D2" s="23" t="inlineStr">
        <is>
          <t>SECTION 3 OF 9</t>
        </is>
      </c>
      <c r="J2" s="24">
        <f>HYPERLINK("#'House Rules'!A5", "NEXT →")</f>
        <v/>
      </c>
      <c r="K2" s="25" t="n"/>
      <c r="L2" s="2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6" t="inlineStr">
        <is>
          <t>WiFi &amp; Technology</t>
        </is>
      </c>
    </row>
    <row r="5" ht="18" customHeight="1">
      <c r="A5" s="27" t="inlineStr">
        <is>
          <t>So nobody has to text you about the wifi password.</t>
        </is>
      </c>
    </row>
    <row r="6" ht="22" customHeight="1">
      <c r="A6" s="28" t="inlineStr">
        <is>
          <t>Fill the highlighted fields below. The 'Launch' tab (last) shows what your guest will see.</t>
        </is>
      </c>
    </row>
    <row r="7" ht="20" customHeight="1">
      <c r="A7" s="29" t="inlineStr">
        <is>
          <t>WIFI &amp; TECHNOLOGY</t>
        </is>
      </c>
    </row>
    <row r="8" ht="24" customHeight="1">
      <c r="A8" s="30" t="inlineStr">
        <is>
          <t>WiFi network name:</t>
        </is>
      </c>
      <c r="B8" s="31" t="inlineStr">
        <is>
          <t>SmokiesRidge_Guest</t>
        </is>
      </c>
      <c r="C8" s="32" t="n"/>
      <c r="D8" s="32" t="n"/>
      <c r="E8" s="32" t="n"/>
      <c r="F8" s="32" t="n"/>
      <c r="G8" s="32" t="n"/>
      <c r="H8" s="32" t="n"/>
      <c r="I8" s="32" t="n"/>
      <c r="J8" s="32" t="n"/>
      <c r="K8" s="32" t="n"/>
      <c r="L8" s="33" t="n"/>
    </row>
    <row r="9" ht="24" customHeight="1">
      <c r="A9" s="34" t="inlineStr">
        <is>
          <t>WiFi password:</t>
        </is>
      </c>
      <c r="B9" s="35" t="inlineStr">
        <is>
          <t>welcome2024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36" t="n"/>
    </row>
    <row r="10" ht="24" customHeight="1">
      <c r="A10" s="34" t="inlineStr">
        <is>
          <t>Backup network (if any):</t>
        </is>
      </c>
      <c r="B10" s="48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36" t="n"/>
    </row>
    <row r="11" ht="36" customHeight="1">
      <c r="A11" s="37" t="inlineStr">
        <is>
          <t>TV streaming — service + login:</t>
        </is>
      </c>
      <c r="B11" s="38" t="inlineStr">
        <is>
          <t>Netflix: already signed in. Hulu: guest@smokiesridge.com / stay2024</t>
        </is>
      </c>
      <c r="C11" s="39" t="n"/>
      <c r="D11" s="39" t="n"/>
      <c r="E11" s="39" t="n"/>
      <c r="F11" s="39" t="n"/>
      <c r="G11" s="39" t="n"/>
      <c r="H11" s="39" t="n"/>
      <c r="I11" s="39" t="n"/>
      <c r="J11" s="39" t="n"/>
      <c r="K11" s="39" t="n"/>
      <c r="L11" s="40" t="n"/>
    </row>
    <row r="12" ht="36" customHeight="1">
      <c r="A12" s="34" t="inlineStr">
        <is>
          <t>How to adjust TV volume/inputs:</t>
        </is>
      </c>
      <c r="B12" s="35" t="inlineStr">
        <is>
          <t>The black Roku remote is the one to use. HDMI1 is Fire TV.</t>
        </is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36" t="n"/>
    </row>
    <row r="13" ht="36" customHeight="1">
      <c r="A13" s="37" t="inlineStr">
        <is>
          <t>Smart lock code (if different):</t>
        </is>
      </c>
      <c r="B13" s="38" t="inlineStr">
        <is>
          <t>Same as entry — 4321</t>
        </is>
      </c>
      <c r="C13" s="39" t="n"/>
      <c r="D13" s="39" t="n"/>
      <c r="E13" s="39" t="n"/>
      <c r="F13" s="39" t="n"/>
      <c r="G13" s="39" t="n"/>
      <c r="H13" s="39" t="n"/>
      <c r="I13" s="39" t="n"/>
      <c r="J13" s="39" t="n"/>
      <c r="K13" s="39" t="n"/>
      <c r="L13" s="40" t="n"/>
    </row>
    <row r="14" ht="36" customHeight="1">
      <c r="A14" s="34" t="inlineStr">
        <is>
          <t>Smart thermostat notes:</t>
        </is>
      </c>
      <c r="B14" s="35" t="inlineStr">
        <is>
          <t>Nest on the hallway wall. Please keep between 65-78°F. Auto-schedule resumes after you leave.</t>
        </is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36" t="n"/>
    </row>
    <row r="15" ht="36" customHeight="1">
      <c r="A15" s="49" t="inlineStr">
        <is>
          <t>Who to call if WiFi fails:</t>
        </is>
      </c>
      <c r="B15" s="50" t="inlineStr">
        <is>
          <t>Host first (see Emergency tab). If no answer — Spectrum: 1-833-267-6094</t>
        </is>
      </c>
      <c r="C15" s="42" t="n"/>
      <c r="D15" s="42" t="n"/>
      <c r="E15" s="42" t="n"/>
      <c r="F15" s="42" t="n"/>
      <c r="G15" s="42" t="n"/>
      <c r="H15" s="42" t="n"/>
      <c r="I15" s="42" t="n"/>
      <c r="J15" s="42" t="n"/>
      <c r="K15" s="42" t="n"/>
      <c r="L15" s="43" t="n"/>
    </row>
    <row r="16">
      <c r="A16" s="44" t="n"/>
      <c r="B16" s="44" t="n"/>
      <c r="C16" s="44" t="n"/>
      <c r="D16" s="44" t="n"/>
      <c r="E16" s="44" t="n"/>
      <c r="F16" s="44" t="n"/>
      <c r="G16" s="44" t="n"/>
      <c r="H16" s="44" t="n"/>
      <c r="I16" s="44" t="n"/>
      <c r="J16" s="44" t="n"/>
      <c r="K16" s="44" t="n"/>
      <c r="L16" s="44" t="n"/>
    </row>
    <row r="17" ht="22" customHeight="1">
      <c r="A17" s="45">
        <f>HYPERLINK("#'Arrival'!A5", "← Back: Arrival")</f>
        <v/>
      </c>
      <c r="B17" s="46" t="n"/>
      <c r="C17" s="46" t="n"/>
      <c r="D17" s="46" t="n"/>
      <c r="E17" s="46" t="n"/>
      <c r="F17" s="46" t="n"/>
      <c r="G17" s="45">
        <f>HYPERLINK("#'House Rules'!A5", "Next: House Rules →")</f>
        <v/>
      </c>
      <c r="H17" s="46" t="n"/>
      <c r="I17" s="46" t="n"/>
      <c r="J17" s="46" t="n"/>
      <c r="K17" s="46" t="n"/>
      <c r="L17" s="46" t="n"/>
    </row>
    <row r="18" ht="22" customHeight="1">
      <c r="A18" s="46" t="n"/>
      <c r="B18" s="46" t="n"/>
      <c r="C18" s="46" t="n"/>
      <c r="D18" s="46" t="n"/>
      <c r="E18" s="46" t="n"/>
      <c r="F18" s="46" t="n"/>
      <c r="G18" s="46" t="n"/>
      <c r="H18" s="46" t="n"/>
      <c r="I18" s="46" t="n"/>
      <c r="J18" s="46" t="n"/>
      <c r="K18" s="46" t="n"/>
      <c r="L18" s="46" t="n"/>
    </row>
  </sheetData>
  <mergeCells count="17">
    <mergeCell ref="J2:L2"/>
    <mergeCell ref="D2:I2"/>
    <mergeCell ref="A7:L7"/>
    <mergeCell ref="B12:L12"/>
    <mergeCell ref="B13:L13"/>
    <mergeCell ref="B15:L15"/>
    <mergeCell ref="B9:L9"/>
    <mergeCell ref="A5:L5"/>
    <mergeCell ref="B11:L11"/>
    <mergeCell ref="A17:F18"/>
    <mergeCell ref="A6:L6"/>
    <mergeCell ref="B10:L10"/>
    <mergeCell ref="G17:L18"/>
    <mergeCell ref="B14:L14"/>
    <mergeCell ref="A2:C2"/>
    <mergeCell ref="A4:L4"/>
    <mergeCell ref="B8:L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6EFE2"/>
    <outlinePr summaryBelow="1" summaryRight="1"/>
    <pageSetUpPr/>
  </sheetPr>
  <dimension ref="A1:L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HYPERLINK("#'WiFi + Tech'!A5", "← BACK")</f>
        <v/>
      </c>
      <c r="B2" s="14" t="n"/>
      <c r="C2" s="14" t="n"/>
      <c r="D2" s="23" t="inlineStr">
        <is>
          <t>SECTION 4 OF 9</t>
        </is>
      </c>
      <c r="J2" s="24">
        <f>HYPERLINK("#'Local Guide'!A5", "NEXT →")</f>
        <v/>
      </c>
      <c r="K2" s="25" t="n"/>
      <c r="L2" s="2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6" t="inlineStr">
        <is>
          <t>House Rules</t>
        </is>
      </c>
    </row>
    <row r="5" ht="18" customHeight="1">
      <c r="A5" s="27" t="inlineStr">
        <is>
          <t>Short, clear, and why each one exists.</t>
        </is>
      </c>
    </row>
    <row r="6" ht="22" customHeight="1">
      <c r="A6" s="28" t="inlineStr">
        <is>
          <t>Fill the highlighted fields below. The 'Launch' tab (last) shows what your guest will see.</t>
        </is>
      </c>
    </row>
    <row r="7" ht="20" customHeight="1">
      <c r="A7" s="29" t="inlineStr">
        <is>
          <t>HOUSE RULES</t>
        </is>
      </c>
    </row>
    <row r="8" ht="24" customHeight="1">
      <c r="A8" s="30" t="inlineStr">
        <is>
          <t>Quiet hours:</t>
        </is>
      </c>
      <c r="B8" s="31" t="inlineStr">
        <is>
          <t>10 PM – 7 AM</t>
        </is>
      </c>
      <c r="C8" s="32" t="n"/>
      <c r="D8" s="32" t="n"/>
      <c r="E8" s="32" t="n"/>
      <c r="F8" s="32" t="n"/>
      <c r="G8" s="32" t="n"/>
      <c r="H8" s="32" t="n"/>
      <c r="I8" s="32" t="n"/>
      <c r="J8" s="32" t="n"/>
      <c r="K8" s="32" t="n"/>
      <c r="L8" s="33" t="n"/>
    </row>
    <row r="9" ht="24" customHeight="1">
      <c r="A9" s="34" t="inlineStr">
        <is>
          <t>Maximum guests:</t>
        </is>
      </c>
      <c r="B9" s="35" t="n">
        <v>6</v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36" t="n"/>
    </row>
    <row r="10" ht="24" customHeight="1">
      <c r="A10" s="37" t="inlineStr">
        <is>
          <t>Smoking:</t>
        </is>
      </c>
      <c r="B10" s="38" t="inlineStr">
        <is>
          <t>No smoking</t>
        </is>
      </c>
      <c r="C10" s="39" t="n"/>
      <c r="D10" s="39" t="n"/>
      <c r="E10" s="39" t="n"/>
      <c r="F10" s="39" t="n"/>
      <c r="G10" s="39" t="n"/>
      <c r="H10" s="39" t="n"/>
      <c r="I10" s="39" t="n"/>
      <c r="J10" s="39" t="n"/>
      <c r="K10" s="39" t="n"/>
      <c r="L10" s="40" t="n"/>
    </row>
    <row r="11" ht="24" customHeight="1">
      <c r="A11" s="34" t="inlineStr">
        <is>
          <t>Pets:</t>
        </is>
      </c>
      <c r="B11" s="35" t="inlineStr">
        <is>
          <t>No pets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36" t="n"/>
    </row>
    <row r="12" ht="24" customHeight="1">
      <c r="A12" s="34" t="inlineStr">
        <is>
          <t>Events/parties:</t>
        </is>
      </c>
      <c r="B12" s="35" t="inlineStr">
        <is>
          <t>No events</t>
        </is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36" t="n"/>
    </row>
    <row r="13" ht="24" customHeight="1">
      <c r="A13" s="34" t="inlineStr">
        <is>
          <t>Shoes inside:</t>
        </is>
      </c>
      <c r="B13" s="35" t="inlineStr">
        <is>
          <t>Remove at door</t>
        </is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36" t="n"/>
    </row>
    <row r="14" ht="90" customHeight="1">
      <c r="A14" s="51" t="inlineStr">
        <is>
          <t>Your rules (one per line):</t>
        </is>
      </c>
      <c r="B14" s="52" t="inlineStr">
        <is>
          <t>• Hot tub closes at 10 PM
• Please don't move furniture
• If you break something, tell us — we'd rather fix it than discover it later</t>
        </is>
      </c>
      <c r="C14" s="53" t="n"/>
      <c r="D14" s="53" t="n"/>
      <c r="E14" s="53" t="n"/>
      <c r="F14" s="53" t="n"/>
      <c r="G14" s="53" t="n"/>
      <c r="H14" s="53" t="n"/>
      <c r="I14" s="53" t="n"/>
      <c r="J14" s="53" t="n"/>
      <c r="K14" s="53" t="n"/>
      <c r="L14" s="54" t="n"/>
    </row>
    <row r="15">
      <c r="A15" s="44" t="n"/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</row>
    <row r="16" ht="22" customHeight="1">
      <c r="A16" s="45">
        <f>HYPERLINK("#'WiFi + Tech'!A5", "← Back: WiFi + Tech")</f>
        <v/>
      </c>
      <c r="B16" s="46" t="n"/>
      <c r="C16" s="46" t="n"/>
      <c r="D16" s="46" t="n"/>
      <c r="E16" s="46" t="n"/>
      <c r="F16" s="46" t="n"/>
      <c r="G16" s="45">
        <f>HYPERLINK("#'Local Guide'!A5", "Next: Local Guide →")</f>
        <v/>
      </c>
      <c r="H16" s="46" t="n"/>
      <c r="I16" s="46" t="n"/>
      <c r="J16" s="46" t="n"/>
      <c r="K16" s="46" t="n"/>
      <c r="L16" s="46" t="n"/>
    </row>
    <row r="17" ht="22" customHeight="1">
      <c r="A17" s="46" t="n"/>
      <c r="B17" s="46" t="n"/>
      <c r="C17" s="46" t="n"/>
      <c r="D17" s="46" t="n"/>
      <c r="E17" s="46" t="n"/>
      <c r="F17" s="46" t="n"/>
      <c r="G17" s="46" t="n"/>
      <c r="H17" s="46" t="n"/>
      <c r="I17" s="46" t="n"/>
      <c r="J17" s="46" t="n"/>
      <c r="K17" s="46" t="n"/>
      <c r="L17" s="46" t="n"/>
    </row>
  </sheetData>
  <mergeCells count="16">
    <mergeCell ref="G16:L17"/>
    <mergeCell ref="J2:L2"/>
    <mergeCell ref="D2:I2"/>
    <mergeCell ref="A7:L7"/>
    <mergeCell ref="B12:L12"/>
    <mergeCell ref="B13:L13"/>
    <mergeCell ref="A16:F17"/>
    <mergeCell ref="B9:L9"/>
    <mergeCell ref="A5:L5"/>
    <mergeCell ref="B11:L11"/>
    <mergeCell ref="A6:L6"/>
    <mergeCell ref="B10:L10"/>
    <mergeCell ref="B14:L14"/>
    <mergeCell ref="A2:C2"/>
    <mergeCell ref="A4:L4"/>
    <mergeCell ref="B8:L8"/>
  </mergeCells>
  <dataValidations count="4">
    <dataValidation sqref="B10" showDropDown="0" showInputMessage="0" showErrorMessage="0" allowBlank="1" type="list">
      <formula1>"No smoking,No smoking inside,Smoking OK in designated area"</formula1>
    </dataValidation>
    <dataValidation sqref="B11" showDropDown="0" showInputMessage="0" showErrorMessage="0" allowBlank="1" type="list">
      <formula1>"No pets,Pets OK with deposit,Pets OK no deposit"</formula1>
    </dataValidation>
    <dataValidation sqref="B12" showDropDown="0" showInputMessage="0" showErrorMessage="0" allowBlank="1" type="list">
      <formula1>"No events,Small gatherings OK with notice,OK"</formula1>
    </dataValidation>
    <dataValidation sqref="B13" showDropDown="0" showInputMessage="0" showErrorMessage="0" allowBlank="1" type="list">
      <formula1>"Remove at door,OK,Preferred removed"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6EFE2"/>
    <outlinePr summaryBelow="1" summaryRight="1"/>
    <pageSetUpPr/>
  </sheetPr>
  <dimension ref="A1:L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0" customWidth="1" min="3" max="3"/>
    <col width="16" customWidth="1" min="4" max="4"/>
    <col width="45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HYPERLINK("#'House Rules'!A5", "← BACK")</f>
        <v/>
      </c>
      <c r="B2" s="14" t="n"/>
      <c r="C2" s="14" t="n"/>
      <c r="D2" s="23" t="inlineStr">
        <is>
          <t>SECTION 5 OF 9</t>
        </is>
      </c>
      <c r="J2" s="24">
        <f>HYPERLINK("#'Trash'!A5", "NEXT →")</f>
        <v/>
      </c>
      <c r="K2" s="25" t="n"/>
      <c r="L2" s="2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6" t="inlineStr">
        <is>
          <t>Local Guide</t>
        </is>
      </c>
    </row>
    <row r="5" ht="18" customHeight="1">
      <c r="A5" s="27" t="inlineStr">
        <is>
          <t>What we'd tell a friend visiting.</t>
        </is>
      </c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 ht="22" customHeight="1">
      <c r="A7" s="28" t="inlineStr">
        <is>
          <t>Fill the rows you want to share. Skip any you don't.</t>
        </is>
      </c>
    </row>
    <row r="9">
      <c r="A9" s="55" t="inlineStr">
        <is>
          <t>Category</t>
        </is>
      </c>
      <c r="B9" s="55" t="inlineStr">
        <is>
          <t>Name</t>
        </is>
      </c>
      <c r="C9" s="55" t="inlineStr">
        <is>
          <t>Distance</t>
        </is>
      </c>
      <c r="D9" s="55" t="inlineStr">
        <is>
          <t>Phone</t>
        </is>
      </c>
      <c r="E9" s="55" t="inlineStr">
        <is>
          <t>Why we love it</t>
        </is>
      </c>
    </row>
    <row r="10" ht="28" customHeight="1">
      <c r="A10" s="56" t="inlineStr">
        <is>
          <t>Coffee</t>
        </is>
      </c>
      <c r="B10" s="35" t="inlineStr">
        <is>
          <t>Mountain Grind</t>
        </is>
      </c>
      <c r="C10" s="35" t="inlineStr">
        <is>
          <t>0.8 mi</t>
        </is>
      </c>
      <c r="D10" s="35" t="inlineStr">
        <is>
          <t>(865) 555-0100</t>
        </is>
      </c>
      <c r="E10" s="35" t="inlineStr">
        <is>
          <t>Best espresso in town; small pastry case fills fast</t>
        </is>
      </c>
    </row>
    <row r="11" ht="28" customHeight="1">
      <c r="A11" s="56" t="inlineStr">
        <is>
          <t>Coffee</t>
        </is>
      </c>
      <c r="B11" s="35" t="inlineStr"/>
      <c r="C11" s="35" t="inlineStr"/>
      <c r="D11" s="35" t="inlineStr"/>
      <c r="E11" s="35" t="inlineStr"/>
    </row>
    <row r="12" ht="28" customHeight="1">
      <c r="A12" s="56" t="inlineStr">
        <is>
          <t>Restaurant</t>
        </is>
      </c>
      <c r="B12" s="35" t="inlineStr">
        <is>
          <t>The Cast Iron</t>
        </is>
      </c>
      <c r="C12" s="35" t="inlineStr">
        <is>
          <t>2.1 mi</t>
        </is>
      </c>
      <c r="D12" s="35" t="inlineStr">
        <is>
          <t>(865) 555-0118</t>
        </is>
      </c>
      <c r="E12" s="35" t="inlineStr">
        <is>
          <t>Sunday brunch is chef's-kiss — reserve ahead</t>
        </is>
      </c>
    </row>
    <row r="13" ht="28" customHeight="1">
      <c r="A13" s="56" t="inlineStr">
        <is>
          <t>Restaurant</t>
        </is>
      </c>
      <c r="B13" s="35" t="inlineStr">
        <is>
          <t>Ridge BBQ</t>
        </is>
      </c>
      <c r="C13" s="35" t="inlineStr">
        <is>
          <t>1.4 mi</t>
        </is>
      </c>
      <c r="D13" s="35" t="inlineStr">
        <is>
          <t>(865) 555-0122</t>
        </is>
      </c>
      <c r="E13" s="35" t="inlineStr">
        <is>
          <t>Brisket sells out by 7 PM Fri/Sat</t>
        </is>
      </c>
    </row>
    <row r="14" ht="28" customHeight="1">
      <c r="A14" s="56" t="inlineStr">
        <is>
          <t>Restaurant</t>
        </is>
      </c>
      <c r="B14" s="35" t="inlineStr"/>
      <c r="C14" s="35" t="inlineStr"/>
      <c r="D14" s="35" t="inlineStr"/>
      <c r="E14" s="35" t="inlineStr"/>
    </row>
    <row r="15" ht="28" customHeight="1">
      <c r="A15" s="56" t="inlineStr">
        <is>
          <t>Grocery</t>
        </is>
      </c>
      <c r="B15" s="35" t="inlineStr">
        <is>
          <t>Food City</t>
        </is>
      </c>
      <c r="C15" s="35" t="inlineStr">
        <is>
          <t>2.8 mi</t>
        </is>
      </c>
      <c r="D15" s="35" t="inlineStr">
        <is>
          <t>(865) 555-0133</t>
        </is>
      </c>
      <c r="E15" s="35" t="inlineStr">
        <is>
          <t>Open until 10 PM</t>
        </is>
      </c>
    </row>
    <row r="16" ht="28" customHeight="1">
      <c r="A16" s="56" t="inlineStr">
        <is>
          <t>Grocery</t>
        </is>
      </c>
      <c r="B16" s="35" t="inlineStr"/>
      <c r="C16" s="35" t="inlineStr"/>
      <c r="D16" s="35" t="inlineStr"/>
      <c r="E16" s="35" t="inlineStr"/>
    </row>
    <row r="17" ht="28" customHeight="1">
      <c r="A17" s="56" t="inlineStr">
        <is>
          <t>Takeout</t>
        </is>
      </c>
      <c r="B17" s="35" t="inlineStr">
        <is>
          <t>Smoky Pizza Co</t>
        </is>
      </c>
      <c r="C17" s="35" t="inlineStr">
        <is>
          <t>1.9 mi</t>
        </is>
      </c>
      <c r="D17" s="35" t="inlineStr">
        <is>
          <t>(865) 555-0144</t>
        </is>
      </c>
      <c r="E17" s="35" t="inlineStr">
        <is>
          <t>Delivers to the cabin</t>
        </is>
      </c>
    </row>
    <row r="18" ht="28" customHeight="1">
      <c r="A18" s="56" t="inlineStr">
        <is>
          <t>Takeout</t>
        </is>
      </c>
      <c r="B18" s="35" t="inlineStr"/>
      <c r="C18" s="35" t="inlineStr"/>
      <c r="D18" s="35" t="inlineStr"/>
      <c r="E18" s="35" t="inlineStr"/>
    </row>
    <row r="19" ht="28" customHeight="1">
      <c r="A19" s="56" t="inlineStr">
        <is>
          <t>Pharmacy</t>
        </is>
      </c>
      <c r="B19" s="35" t="inlineStr">
        <is>
          <t>Walgreens</t>
        </is>
      </c>
      <c r="C19" s="35" t="inlineStr">
        <is>
          <t>3.5 mi</t>
        </is>
      </c>
      <c r="D19" s="35" t="inlineStr">
        <is>
          <t>(865) 555-0155</t>
        </is>
      </c>
      <c r="E19" s="35" t="inlineStr">
        <is>
          <t>24-hr location</t>
        </is>
      </c>
    </row>
    <row r="20" ht="28" customHeight="1">
      <c r="A20" s="56" t="inlineStr">
        <is>
          <t>Gas station</t>
        </is>
      </c>
      <c r="B20" s="35" t="inlineStr">
        <is>
          <t>Shell on Hwy 321</t>
        </is>
      </c>
      <c r="C20" s="35" t="inlineStr">
        <is>
          <t>0.5 mi</t>
        </is>
      </c>
      <c r="D20" s="35" t="inlineStr"/>
      <c r="E20" s="35" t="inlineStr">
        <is>
          <t>Cheapest in the valley</t>
        </is>
      </c>
    </row>
    <row r="21" ht="28" customHeight="1">
      <c r="A21" s="56" t="inlineStr">
        <is>
          <t>Hospital/Urgent care</t>
        </is>
      </c>
      <c r="B21" s="35" t="inlineStr">
        <is>
          <t>LeConte Medical Center</t>
        </is>
      </c>
      <c r="C21" s="35" t="inlineStr">
        <is>
          <t>8.1 mi</t>
        </is>
      </c>
      <c r="D21" s="35" t="inlineStr">
        <is>
          <t>(865) 446-7000</t>
        </is>
      </c>
      <c r="E21" s="35" t="inlineStr">
        <is>
          <t>ER 24/7</t>
        </is>
      </c>
    </row>
    <row r="22" ht="28" customHeight="1">
      <c r="A22" s="56" t="inlineStr">
        <is>
          <t>Coffee alt</t>
        </is>
      </c>
      <c r="B22" s="35" t="inlineStr"/>
      <c r="C22" s="35" t="inlineStr"/>
      <c r="D22" s="35" t="inlineStr"/>
      <c r="E22" s="35" t="inlineStr"/>
    </row>
    <row r="23" ht="28" customHeight="1">
      <c r="A23" s="56" t="inlineStr">
        <is>
          <t>Outdoor/Hike</t>
        </is>
      </c>
      <c r="B23" s="35" t="inlineStr">
        <is>
          <t>Cades Cove Loop</t>
        </is>
      </c>
      <c r="C23" s="35" t="inlineStr">
        <is>
          <t>14 mi</t>
        </is>
      </c>
      <c r="D23" s="35" t="inlineStr"/>
      <c r="E23" s="35" t="inlineStr">
        <is>
          <t>11-mile scenic loop; allow 3 hrs</t>
        </is>
      </c>
    </row>
    <row r="24" ht="28" customHeight="1">
      <c r="A24" s="56" t="inlineStr">
        <is>
          <t>Outdoor/Hike</t>
        </is>
      </c>
      <c r="B24" s="35" t="inlineStr"/>
      <c r="C24" s="35" t="inlineStr"/>
      <c r="D24" s="35" t="inlineStr"/>
      <c r="E24" s="35" t="inlineStr"/>
    </row>
    <row r="25" ht="28" customHeight="1">
      <c r="A25" s="56" t="inlineStr">
        <is>
          <t>Kid-friendly</t>
        </is>
      </c>
      <c r="B25" s="35" t="inlineStr">
        <is>
          <t>Dollywood</t>
        </is>
      </c>
      <c r="C25" s="35" t="inlineStr">
        <is>
          <t>9 mi</t>
        </is>
      </c>
      <c r="D25" s="35" t="inlineStr">
        <is>
          <t>(865) 428-9488</t>
        </is>
      </c>
      <c r="E25" s="35" t="inlineStr">
        <is>
          <t>Worth a full day</t>
        </is>
      </c>
    </row>
    <row r="26" ht="28" customHeight="1">
      <c r="A26" s="56" t="inlineStr">
        <is>
          <t>Kid-friendly</t>
        </is>
      </c>
      <c r="B26" s="35" t="inlineStr"/>
      <c r="C26" s="35" t="inlineStr"/>
      <c r="D26" s="35" t="inlineStr"/>
      <c r="E26" s="35" t="inlineStr"/>
    </row>
    <row r="27" ht="28" customHeight="1">
      <c r="A27" s="56" t="inlineStr">
        <is>
          <t>Date night</t>
        </is>
      </c>
      <c r="B27" s="35" t="inlineStr">
        <is>
          <t>The Wine Cellar</t>
        </is>
      </c>
      <c r="C27" s="35" t="inlineStr">
        <is>
          <t>6.2 mi</t>
        </is>
      </c>
      <c r="D27" s="35" t="inlineStr">
        <is>
          <t>(865) 555-0166</t>
        </is>
      </c>
      <c r="E27" s="35" t="inlineStr">
        <is>
          <t>Prix fixe Thu/Fri/Sat</t>
        </is>
      </c>
    </row>
    <row r="28" ht="28" customHeight="1">
      <c r="A28" s="56" t="inlineStr">
        <is>
          <t>Bar/Nightlife</t>
        </is>
      </c>
      <c r="B28" s="35" t="inlineStr">
        <is>
          <t>Mill &amp; Main</t>
        </is>
      </c>
      <c r="C28" s="35" t="inlineStr">
        <is>
          <t>2.4 mi</t>
        </is>
      </c>
      <c r="D28" s="35" t="inlineStr">
        <is>
          <t>(865) 555-0177</t>
        </is>
      </c>
      <c r="E28" s="35" t="inlineStr">
        <is>
          <t>Live music Fri/Sat after 9</t>
        </is>
      </c>
    </row>
    <row r="29" ht="28" customHeight="1">
      <c r="A29" s="56" t="inlineStr">
        <is>
          <t>Emergency (non-911)</t>
        </is>
      </c>
      <c r="B29" s="35" t="inlineStr">
        <is>
          <t>Sevier County Sheriff</t>
        </is>
      </c>
      <c r="C29" s="35" t="inlineStr"/>
      <c r="D29" s="35" t="inlineStr">
        <is>
          <t>(865) 436-5181</t>
        </is>
      </c>
      <c r="E29" s="35" t="inlineStr">
        <is>
          <t>Non-emergency line</t>
        </is>
      </c>
    </row>
    <row r="31" ht="22" customHeight="1">
      <c r="A31" s="45">
        <f>HYPERLINK("#'House Rules'!A5", "← Back: House Rules")</f>
        <v/>
      </c>
      <c r="B31" s="46" t="n"/>
      <c r="C31" s="46" t="n"/>
      <c r="D31" s="46" t="n"/>
      <c r="E31" s="46" t="n"/>
      <c r="F31" s="46" t="n"/>
      <c r="G31" s="45">
        <f>HYPERLINK("#'Trash'!A5", "Next: Trash →")</f>
        <v/>
      </c>
      <c r="H31" s="46" t="n"/>
      <c r="I31" s="46" t="n"/>
      <c r="J31" s="46" t="n"/>
      <c r="K31" s="46" t="n"/>
      <c r="L31" s="46" t="n"/>
    </row>
    <row r="32" ht="22" customHeight="1">
      <c r="A32" s="46" t="n"/>
      <c r="B32" s="46" t="n"/>
      <c r="C32" s="46" t="n"/>
      <c r="D32" s="46" t="n"/>
      <c r="E32" s="46" t="n"/>
      <c r="F32" s="46" t="n"/>
      <c r="G32" s="46" t="n"/>
      <c r="H32" s="46" t="n"/>
      <c r="I32" s="46" t="n"/>
      <c r="J32" s="46" t="n"/>
      <c r="K32" s="46" t="n"/>
      <c r="L32" s="46" t="n"/>
    </row>
  </sheetData>
  <mergeCells count="8">
    <mergeCell ref="J2:L2"/>
    <mergeCell ref="D2:I2"/>
    <mergeCell ref="A7:L7"/>
    <mergeCell ref="A31:F32"/>
    <mergeCell ref="G31:L32"/>
    <mergeCell ref="A5:L5"/>
    <mergeCell ref="A2:C2"/>
    <mergeCell ref="A4:L4"/>
  </mergeCells>
  <pageMargins left="0.5" right="0.5" top="0.5" bottom="0.5" header="0.5" footer="0.5"/>
  <pageSetup orientation="landscape" paperSize="1"/>
</worksheet>
</file>

<file path=xl/worksheets/sheet7.xml><?xml version="1.0" encoding="utf-8"?>
<worksheet xmlns="http://schemas.openxmlformats.org/spreadsheetml/2006/main">
  <sheetPr>
    <tabColor rgb="00F6EFE2"/>
    <outlinePr summaryBelow="1" summaryRight="1"/>
    <pageSetUpPr/>
  </sheetPr>
  <dimension ref="A1:L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HYPERLINK("#'Local Guide'!A5", "← BACK")</f>
        <v/>
      </c>
      <c r="B2" s="14" t="n"/>
      <c r="C2" s="14" t="n"/>
      <c r="D2" s="23" t="inlineStr">
        <is>
          <t>SECTION 6 OF 9</t>
        </is>
      </c>
      <c r="J2" s="24">
        <f>HYPERLINK("#'Departure'!A5", "NEXT →")</f>
        <v/>
      </c>
      <c r="K2" s="25" t="n"/>
      <c r="L2" s="2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6" t="inlineStr">
        <is>
          <t>Trash, Recycling &amp; Maintenance</t>
        </is>
      </c>
    </row>
    <row r="5" ht="18" customHeight="1">
      <c r="A5" s="27" t="inlineStr">
        <is>
          <t>The stuff nobody likes to ask about.</t>
        </is>
      </c>
    </row>
    <row r="6" ht="22" customHeight="1">
      <c r="A6" s="28" t="inlineStr">
        <is>
          <t>Fill the highlighted fields below. The 'Launch' tab (last) shows what your guest will see.</t>
        </is>
      </c>
    </row>
    <row r="7" ht="20" customHeight="1">
      <c r="A7" s="29" t="inlineStr">
        <is>
          <t>TRASH, RECYCLING &amp; MAINTENANCE</t>
        </is>
      </c>
    </row>
    <row r="8" ht="30" customHeight="1">
      <c r="A8" s="30" t="inlineStr">
        <is>
          <t>Trash pickup day:</t>
        </is>
      </c>
      <c r="B8" s="31" t="inlineStr">
        <is>
          <t>Thursday</t>
        </is>
      </c>
      <c r="C8" s="32" t="n"/>
      <c r="D8" s="32" t="n"/>
      <c r="E8" s="32" t="n"/>
      <c r="F8" s="32" t="n"/>
      <c r="G8" s="32" t="n"/>
      <c r="H8" s="32" t="n"/>
      <c r="I8" s="32" t="n"/>
      <c r="J8" s="32" t="n"/>
      <c r="K8" s="32" t="n"/>
      <c r="L8" s="33" t="n"/>
    </row>
    <row r="9" ht="30" customHeight="1">
      <c r="A9" s="34" t="inlineStr">
        <is>
          <t>Bin location:</t>
        </is>
      </c>
      <c r="B9" s="35" t="inlineStr">
        <is>
          <t>Around the right side of the house, next to the shed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36" t="n"/>
    </row>
    <row r="10" ht="30" customHeight="1">
      <c r="A10" s="34" t="inlineStr">
        <is>
          <t>Recycling accepted:</t>
        </is>
      </c>
      <c r="B10" s="35" t="inlineStr">
        <is>
          <t>Cardboard, plastic #1-2, aluminum. No glass.</t>
        </is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36" t="n"/>
    </row>
    <row r="11" ht="30" customHeight="1">
      <c r="A11" s="34" t="inlineStr">
        <is>
          <t>What goes in which bin:</t>
        </is>
      </c>
      <c r="B11" s="35" t="inlineStr">
        <is>
          <t>Green = recycling, black = trash. When in doubt — trash.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36" t="n"/>
    </row>
    <row r="12" ht="36" customHeight="1">
      <c r="A12" s="37" t="inlineStr">
        <is>
          <t>Where to put bins on pickup morning:</t>
        </is>
      </c>
      <c r="B12" s="38" t="inlineStr">
        <is>
          <t>To the curb by 7 AM Thursday. Bring back Friday.</t>
        </is>
      </c>
      <c r="C12" s="39" t="n"/>
      <c r="D12" s="39" t="n"/>
      <c r="E12" s="39" t="n"/>
      <c r="F12" s="39" t="n"/>
      <c r="G12" s="39" t="n"/>
      <c r="H12" s="39" t="n"/>
      <c r="I12" s="39" t="n"/>
      <c r="J12" s="39" t="n"/>
      <c r="K12" s="39" t="n"/>
      <c r="L12" s="40" t="n"/>
    </row>
    <row r="13" ht="36" customHeight="1">
      <c r="A13" s="34" t="inlineStr">
        <is>
          <t>HVAC/thermostat range to leave:</t>
        </is>
      </c>
      <c r="B13" s="35" t="inlineStr">
        <is>
          <t>65-78°F — auto-schedule handles the rest</t>
        </is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36" t="n"/>
    </row>
    <row r="14" ht="36" customHeight="1">
      <c r="A14" s="49" t="inlineStr">
        <is>
          <t>If the power goes out:</t>
        </is>
      </c>
      <c r="B14" s="50" t="inlineStr">
        <is>
          <t>Breaker panel is in the laundry room. Sevier Electric: (865) 453-2887. Text host if it's longer than an hour.</t>
        </is>
      </c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3" t="n"/>
    </row>
    <row r="15">
      <c r="A15" s="44" t="n"/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</row>
    <row r="16" ht="22" customHeight="1">
      <c r="A16" s="45">
        <f>HYPERLINK("#'Local Guide'!A5", "← Back: Local Guide")</f>
        <v/>
      </c>
      <c r="B16" s="46" t="n"/>
      <c r="C16" s="46" t="n"/>
      <c r="D16" s="46" t="n"/>
      <c r="E16" s="46" t="n"/>
      <c r="F16" s="46" t="n"/>
      <c r="G16" s="45">
        <f>HYPERLINK("#'Departure'!A5", "Next: Departure →")</f>
        <v/>
      </c>
      <c r="H16" s="46" t="n"/>
      <c r="I16" s="46" t="n"/>
      <c r="J16" s="46" t="n"/>
      <c r="K16" s="46" t="n"/>
      <c r="L16" s="46" t="n"/>
    </row>
    <row r="17" ht="22" customHeight="1">
      <c r="A17" s="46" t="n"/>
      <c r="B17" s="46" t="n"/>
      <c r="C17" s="46" t="n"/>
      <c r="D17" s="46" t="n"/>
      <c r="E17" s="46" t="n"/>
      <c r="F17" s="46" t="n"/>
      <c r="G17" s="46" t="n"/>
      <c r="H17" s="46" t="n"/>
      <c r="I17" s="46" t="n"/>
      <c r="J17" s="46" t="n"/>
      <c r="K17" s="46" t="n"/>
      <c r="L17" s="46" t="n"/>
    </row>
  </sheetData>
  <mergeCells count="16">
    <mergeCell ref="G16:L17"/>
    <mergeCell ref="J2:L2"/>
    <mergeCell ref="D2:I2"/>
    <mergeCell ref="A7:L7"/>
    <mergeCell ref="B12:L12"/>
    <mergeCell ref="B13:L13"/>
    <mergeCell ref="A16:F17"/>
    <mergeCell ref="B9:L9"/>
    <mergeCell ref="A5:L5"/>
    <mergeCell ref="B11:L11"/>
    <mergeCell ref="A6:L6"/>
    <mergeCell ref="B10:L10"/>
    <mergeCell ref="B14:L14"/>
    <mergeCell ref="A2:C2"/>
    <mergeCell ref="A4:L4"/>
    <mergeCell ref="B8:L8"/>
  </mergeCells>
  <dataValidations count="1">
    <dataValidation sqref="B8" showDropDown="0" showInputMessage="0" showErrorMessage="0" allowBlank="1" type="list">
      <formula1>"Monday,Tuesday,Wednesday,Thursday,Friday,Saturday,Sunday,No pickup — dumpster on-site"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6EFE2"/>
    <outlinePr summaryBelow="1" summaryRight="1"/>
    <pageSetUpPr/>
  </sheetPr>
  <dimension ref="A1:L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HYPERLINK("#'Trash'!A5", "← BACK")</f>
        <v/>
      </c>
      <c r="B2" s="14" t="n"/>
      <c r="C2" s="14" t="n"/>
      <c r="D2" s="23" t="inlineStr">
        <is>
          <t>SECTION 7 OF 9</t>
        </is>
      </c>
      <c r="J2" s="24">
        <f>HYPERLINK("#'Safety &amp; Disclosures'!A5", "NEXT →")</f>
        <v/>
      </c>
      <c r="K2" s="25" t="n"/>
      <c r="L2" s="2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6" t="inlineStr">
        <is>
          <t>Checkout</t>
        </is>
      </c>
    </row>
    <row r="5" ht="18" customHeight="1">
      <c r="A5" s="27" t="inlineStr">
        <is>
          <t>What to do before you drive away.</t>
        </is>
      </c>
    </row>
    <row r="6" ht="22" customHeight="1">
      <c r="A6" s="28" t="inlineStr">
        <is>
          <t>Fill the highlighted fields below. The 'Launch' tab (last) shows what your guest will see.</t>
        </is>
      </c>
    </row>
    <row r="7" ht="20" customHeight="1">
      <c r="A7" s="29" t="inlineStr">
        <is>
          <t>CHECKOUT</t>
        </is>
      </c>
    </row>
    <row r="8" ht="24" customHeight="1">
      <c r="A8" s="30" t="inlineStr">
        <is>
          <t>Checkout time:</t>
        </is>
      </c>
      <c r="B8" s="31" t="inlineStr">
        <is>
          <t>11:00 AM</t>
        </is>
      </c>
      <c r="C8" s="32" t="n"/>
      <c r="D8" s="32" t="n"/>
      <c r="E8" s="32" t="n"/>
      <c r="F8" s="32" t="n"/>
      <c r="G8" s="32" t="n"/>
      <c r="H8" s="32" t="n"/>
      <c r="I8" s="32" t="n"/>
      <c r="J8" s="32" t="n"/>
      <c r="K8" s="32" t="n"/>
      <c r="L8" s="33" t="n"/>
    </row>
    <row r="9" ht="24" customHeight="1">
      <c r="A9" s="34" t="inlineStr">
        <is>
          <t>Checkout day:</t>
        </is>
      </c>
      <c r="B9" s="57">
        <f>IF(Property!B11&lt;&gt;"", TEXT(Property!B11,"dddd, mmmm d"), "See Property tab")</f>
        <v/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36" t="n"/>
    </row>
    <row r="10" ht="24" customHeight="1">
      <c r="A10" s="37" t="inlineStr">
        <is>
          <t>☐ Strip bed linens and leave in:</t>
        </is>
      </c>
      <c r="B10" s="38" t="inlineStr">
        <is>
          <t>hallway laundry basket</t>
        </is>
      </c>
      <c r="C10" s="39" t="n"/>
      <c r="D10" s="39" t="n"/>
      <c r="E10" s="39" t="n"/>
      <c r="F10" s="39" t="n"/>
      <c r="G10" s="39" t="n"/>
      <c r="H10" s="39" t="n"/>
      <c r="I10" s="39" t="n"/>
      <c r="J10" s="39" t="n"/>
      <c r="K10" s="39" t="n"/>
      <c r="L10" s="40" t="n"/>
    </row>
    <row r="11" ht="24" customHeight="1">
      <c r="A11" s="34" t="inlineStr">
        <is>
          <t>☐ Take trash + recycling to:</t>
        </is>
      </c>
      <c r="B11" s="35" t="inlineStr">
        <is>
          <t>curb (Thursday) or dumpster on-site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36" t="n"/>
    </row>
    <row r="12" ht="24" customHeight="1">
      <c r="A12" s="34" t="inlineStr">
        <is>
          <t>☐ Turn thermostat to:</t>
        </is>
      </c>
      <c r="B12" s="35" t="inlineStr">
        <is>
          <t>72°F</t>
        </is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36" t="n"/>
    </row>
    <row r="13" ht="24" customHeight="1">
      <c r="A13" s="34" t="inlineStr">
        <is>
          <t>☐ Leave key:</t>
        </is>
      </c>
      <c r="B13" s="35" t="inlineStr">
        <is>
          <t>in lockbox, reset to 0000</t>
        </is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36" t="n"/>
    </row>
    <row r="14" ht="24" customHeight="1">
      <c r="A14" s="47" t="inlineStr">
        <is>
          <t>☐ Run the dishwasher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36" t="n"/>
    </row>
    <row r="15" ht="24" customHeight="1">
      <c r="A15" s="47" t="inlineStr">
        <is>
          <t>☐ Lock all doors + windows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36" t="n"/>
    </row>
    <row r="16" ht="60" customHeight="1">
      <c r="A16" s="51" t="inlineStr">
        <is>
          <t>Your tasks (one per line):</t>
        </is>
      </c>
      <c r="B16" s="52" t="inlineStr">
        <is>
          <t>• Throw any leftover food
• Text the host when on the road — we'll release your deposit faster</t>
        </is>
      </c>
      <c r="C16" s="53" t="n"/>
      <c r="D16" s="53" t="n"/>
      <c r="E16" s="53" t="n"/>
      <c r="F16" s="53" t="n"/>
      <c r="G16" s="53" t="n"/>
      <c r="H16" s="53" t="n"/>
      <c r="I16" s="53" t="n"/>
      <c r="J16" s="53" t="n"/>
      <c r="K16" s="53" t="n"/>
      <c r="L16" s="54" t="n"/>
    </row>
    <row r="17">
      <c r="A17" s="44" t="n"/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</row>
    <row r="18" ht="22" customHeight="1">
      <c r="A18" s="45">
        <f>HYPERLINK("#'Trash'!A5", "← Back: Trash")</f>
        <v/>
      </c>
      <c r="B18" s="46" t="n"/>
      <c r="C18" s="46" t="n"/>
      <c r="D18" s="46" t="n"/>
      <c r="E18" s="46" t="n"/>
      <c r="F18" s="46" t="n"/>
      <c r="G18" s="45">
        <f>HYPERLINK("#'Safety &amp; Disclosures'!A5", "Next: Safety &amp; Disclosures →")</f>
        <v/>
      </c>
      <c r="H18" s="46" t="n"/>
      <c r="I18" s="46" t="n"/>
      <c r="J18" s="46" t="n"/>
      <c r="K18" s="46" t="n"/>
      <c r="L18" s="46" t="n"/>
    </row>
    <row r="19" ht="22" customHeight="1">
      <c r="A19" s="46" t="n"/>
      <c r="B19" s="46" t="n"/>
      <c r="C19" s="46" t="n"/>
      <c r="D19" s="46" t="n"/>
      <c r="E19" s="46" t="n"/>
      <c r="F19" s="46" t="n"/>
      <c r="G19" s="46" t="n"/>
      <c r="H19" s="46" t="n"/>
      <c r="I19" s="46" t="n"/>
      <c r="J19" s="46" t="n"/>
      <c r="K19" s="46" t="n"/>
      <c r="L19" s="46" t="n"/>
    </row>
  </sheetData>
  <mergeCells count="18">
    <mergeCell ref="J2:L2"/>
    <mergeCell ref="D2:I2"/>
    <mergeCell ref="A7:L7"/>
    <mergeCell ref="B12:L12"/>
    <mergeCell ref="B13:L13"/>
    <mergeCell ref="A15:L15"/>
    <mergeCell ref="B16:L16"/>
    <mergeCell ref="A18:F19"/>
    <mergeCell ref="B9:L9"/>
    <mergeCell ref="A5:L5"/>
    <mergeCell ref="B11:L11"/>
    <mergeCell ref="G18:L19"/>
    <mergeCell ref="A14:L14"/>
    <mergeCell ref="A6:L6"/>
    <mergeCell ref="B10:L10"/>
    <mergeCell ref="A2:C2"/>
    <mergeCell ref="A4:L4"/>
    <mergeCell ref="B8:L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6EFE2"/>
    <outlinePr summaryBelow="1" summaryRight="1"/>
    <pageSetUpPr/>
  </sheetPr>
  <dimension ref="A1:L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HYPERLINK("#'Departure'!A5", "← BACK")</f>
        <v/>
      </c>
      <c r="B2" s="14" t="n"/>
      <c r="C2" s="14" t="n"/>
      <c r="D2" s="23" t="inlineStr">
        <is>
          <t>SECTION 8 OF 9</t>
        </is>
      </c>
      <c r="J2" s="24">
        <f>HYPERLINK("#'Emergency'!A5", "NEXT →")</f>
        <v/>
      </c>
      <c r="K2" s="25" t="n"/>
      <c r="L2" s="2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6" t="inlineStr">
        <is>
          <t>Safety &amp; Disclosures</t>
        </is>
      </c>
    </row>
    <row r="5" ht="18" customHeight="1">
      <c r="A5" s="27" t="inlineStr">
        <is>
          <t>Disclosure first, then safety locations.</t>
        </is>
      </c>
    </row>
    <row r="6" ht="22" customHeight="1">
      <c r="A6" s="28" t="inlineStr">
        <is>
          <t>Fill the highlighted fields below. The 'Launch' tab (last) shows what your guest will see.</t>
        </is>
      </c>
    </row>
    <row r="7" ht="20" customHeight="1">
      <c r="A7" s="29" t="inlineStr">
        <is>
          <t>SAFETY &amp; DISCLOSURES</t>
        </is>
      </c>
    </row>
    <row r="8" ht="48" customHeight="1">
      <c r="A8" s="30" t="inlineStr">
        <is>
          <t>• Recording devices on property:</t>
        </is>
      </c>
      <c r="B8" s="31" t="inlineStr">
        <is>
          <t>Doorbell camera at front entry (records 30s clips on motion). Driveway floodlight cam covers the gravel lot. No cameras inside the cabin.</t>
        </is>
      </c>
      <c r="C8" s="32" t="n"/>
      <c r="D8" s="32" t="n"/>
      <c r="E8" s="32" t="n"/>
      <c r="F8" s="32" t="n"/>
      <c r="G8" s="32" t="n"/>
      <c r="H8" s="32" t="n"/>
      <c r="I8" s="32" t="n"/>
      <c r="J8" s="32" t="n"/>
      <c r="K8" s="32" t="n"/>
      <c r="L8" s="33" t="n"/>
    </row>
    <row r="9" ht="36" customHeight="1">
      <c r="A9" s="37" t="inlineStr">
        <is>
          <t>Smoke + CO alarm locations:</t>
        </is>
      </c>
      <c r="B9" s="38" t="inlineStr">
        <is>
          <t>Smoke alarms in each bedroom + the upstairs hallway. Combo smoke/CO alarm in the living room.</t>
        </is>
      </c>
      <c r="C9" s="39" t="n"/>
      <c r="D9" s="39" t="n"/>
      <c r="E9" s="39" t="n"/>
      <c r="F9" s="39" t="n"/>
      <c r="G9" s="39" t="n"/>
      <c r="H9" s="39" t="n"/>
      <c r="I9" s="39" t="n"/>
      <c r="J9" s="39" t="n"/>
      <c r="K9" s="39" t="n"/>
      <c r="L9" s="40" t="n"/>
    </row>
    <row r="10" ht="36" customHeight="1">
      <c r="A10" s="34" t="inlineStr">
        <is>
          <t>Fire extinguisher location:</t>
        </is>
      </c>
      <c r="B10" s="35" t="inlineStr">
        <is>
          <t>Kitchen — under the sink. ABC-class, 2.5lb.</t>
        </is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36" t="n"/>
    </row>
    <row r="11" ht="48" customHeight="1">
      <c r="A11" s="37" t="inlineStr">
        <is>
          <t>If you need to evacuate:</t>
        </is>
      </c>
      <c r="B11" s="38" t="inlineStr">
        <is>
          <t>Two ways out of every bedroom: the door and the window. Front door is the primary route; back porch slider is secondary. Meet at the gravel turnaround at the end of the driveway.</t>
        </is>
      </c>
      <c r="C11" s="39" t="n"/>
      <c r="D11" s="39" t="n"/>
      <c r="E11" s="39" t="n"/>
      <c r="F11" s="39" t="n"/>
      <c r="G11" s="39" t="n"/>
      <c r="H11" s="39" t="n"/>
      <c r="I11" s="39" t="n"/>
      <c r="J11" s="39" t="n"/>
      <c r="K11" s="39" t="n"/>
      <c r="L11" s="40" t="n"/>
    </row>
    <row r="12" ht="48" customHeight="1">
      <c r="A12" s="34" t="inlineStr">
        <is>
          <t>Known hazards / things to know:</t>
        </is>
      </c>
      <c r="B12" s="35" t="inlineStr">
        <is>
          <t>Loft stairs are steep — keep small kids off without a parent. Wood-burning stove is OFF for guest stays; do not use. Hot tub: 104°F max, no diving, kids must be supervised.</t>
        </is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36" t="n"/>
    </row>
    <row r="13" ht="24" customHeight="1">
      <c r="A13" s="51" t="inlineStr">
        <is>
          <t>Backup host (if primary unreachable):</t>
        </is>
      </c>
      <c r="B13" s="52" t="inlineStr">
        <is>
          <t>Co-host: Sam Patel · 555-555-0144</t>
        </is>
      </c>
      <c r="C13" s="53" t="n"/>
      <c r="D13" s="53" t="n"/>
      <c r="E13" s="53" t="n"/>
      <c r="F13" s="53" t="n"/>
      <c r="G13" s="53" t="n"/>
      <c r="H13" s="53" t="n"/>
      <c r="I13" s="53" t="n"/>
      <c r="J13" s="53" t="n"/>
      <c r="K13" s="53" t="n"/>
      <c r="L13" s="54" t="n"/>
    </row>
    <row r="14">
      <c r="A14" s="44" t="n"/>
      <c r="B14" s="44" t="n"/>
      <c r="C14" s="44" t="n"/>
      <c r="D14" s="44" t="n"/>
      <c r="E14" s="44" t="n"/>
      <c r="F14" s="44" t="n"/>
      <c r="G14" s="44" t="n"/>
      <c r="H14" s="44" t="n"/>
      <c r="I14" s="44" t="n"/>
      <c r="J14" s="44" t="n"/>
      <c r="K14" s="44" t="n"/>
      <c r="L14" s="44" t="n"/>
    </row>
    <row r="15" ht="22" customHeight="1">
      <c r="A15" s="45">
        <f>HYPERLINK("#'Departure'!A5", "← Back: Departure")</f>
        <v/>
      </c>
      <c r="B15" s="46" t="n"/>
      <c r="C15" s="46" t="n"/>
      <c r="D15" s="46" t="n"/>
      <c r="E15" s="46" t="n"/>
      <c r="F15" s="46" t="n"/>
      <c r="G15" s="45">
        <f>HYPERLINK("#'Emergency'!A5", "Next: Emergency →")</f>
        <v/>
      </c>
      <c r="H15" s="46" t="n"/>
      <c r="I15" s="46" t="n"/>
      <c r="J15" s="46" t="n"/>
      <c r="K15" s="46" t="n"/>
      <c r="L15" s="46" t="n"/>
    </row>
    <row r="16" ht="22" customHeight="1">
      <c r="A16" s="46" t="n"/>
      <c r="B16" s="46" t="n"/>
      <c r="C16" s="46" t="n"/>
      <c r="D16" s="46" t="n"/>
      <c r="E16" s="46" t="n"/>
      <c r="F16" s="46" t="n"/>
      <c r="G16" s="46" t="n"/>
      <c r="H16" s="46" t="n"/>
      <c r="I16" s="46" t="n"/>
      <c r="J16" s="46" t="n"/>
      <c r="K16" s="46" t="n"/>
      <c r="L16" s="46" t="n"/>
    </row>
  </sheetData>
  <mergeCells count="15">
    <mergeCell ref="J2:L2"/>
    <mergeCell ref="D2:I2"/>
    <mergeCell ref="A7:L7"/>
    <mergeCell ref="B12:L12"/>
    <mergeCell ref="B13:L13"/>
    <mergeCell ref="G15:L16"/>
    <mergeCell ref="B9:L9"/>
    <mergeCell ref="A5:L5"/>
    <mergeCell ref="B11:L11"/>
    <mergeCell ref="A6:L6"/>
    <mergeCell ref="B10:L10"/>
    <mergeCell ref="A15:F16"/>
    <mergeCell ref="A2:C2"/>
    <mergeCell ref="A4:L4"/>
    <mergeCell ref="B8:L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6EFE2"/>
    <outlinePr summaryBelow="1" summaryRight="1"/>
    <pageSetUpPr/>
  </sheetPr>
  <dimension ref="A1:L2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HYPERLINK("#'Safety &amp; Disclosures'!A5", "← BACK")</f>
        <v/>
      </c>
      <c r="B2" s="14" t="n"/>
      <c r="C2" s="14" t="n"/>
      <c r="D2" s="23" t="inlineStr">
        <is>
          <t>SECTION 9 OF 9</t>
        </is>
      </c>
      <c r="J2" s="24">
        <f>HYPERLINK("#'Launch'!A1", "LAUNCH →")</f>
        <v/>
      </c>
      <c r="K2" s="25" t="n"/>
      <c r="L2" s="2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6" t="inlineStr">
        <is>
          <t>Emergency Contacts</t>
        </is>
      </c>
    </row>
    <row r="5" ht="18" customHeight="1">
      <c r="A5" s="27" t="inlineStr">
        <is>
          <t>Keep this one nearby.</t>
        </is>
      </c>
    </row>
    <row r="6" ht="22" customHeight="1">
      <c r="A6" s="28" t="inlineStr">
        <is>
          <t>911 first. Then the contacts below.</t>
        </is>
      </c>
    </row>
    <row r="7" ht="42" customHeight="1">
      <c r="A7" s="58" t="inlineStr">
        <is>
          <t>IN AN EMERGENCY — CALL 911</t>
        </is>
      </c>
    </row>
    <row r="8" ht="24" customHeight="1">
      <c r="A8" s="30" t="inlineStr">
        <is>
          <t>Nearest hospital:</t>
        </is>
      </c>
      <c r="B8" s="31" t="inlineStr">
        <is>
          <t>LeConte Medical Center</t>
        </is>
      </c>
      <c r="C8" s="32" t="n"/>
      <c r="D8" s="32" t="n"/>
      <c r="E8" s="32" t="n"/>
      <c r="F8" s="32" t="n"/>
      <c r="G8" s="32" t="n"/>
      <c r="H8" s="32" t="n"/>
      <c r="I8" s="32" t="n"/>
      <c r="J8" s="32" t="n"/>
      <c r="K8" s="32" t="n"/>
      <c r="L8" s="33" t="n"/>
    </row>
    <row r="9" ht="24" customHeight="1">
      <c r="A9" s="34" t="inlineStr">
        <is>
          <t>Hospital phone:</t>
        </is>
      </c>
      <c r="B9" s="35" t="inlineStr">
        <is>
          <t>(865) 446-7000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36" t="n"/>
    </row>
    <row r="10" ht="24" customHeight="1">
      <c r="A10" s="34" t="inlineStr">
        <is>
          <t>Hospital address:</t>
        </is>
      </c>
      <c r="B10" s="35" t="inlineStr">
        <is>
          <t>742 Middle Creek Rd, Sevierville, TN 37862</t>
        </is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36" t="n"/>
    </row>
    <row r="11" ht="24" customHeight="1">
      <c r="A11" s="37" t="inlineStr">
        <is>
          <t>Urgent care:</t>
        </is>
      </c>
      <c r="B11" s="38" t="inlineStr">
        <is>
          <t>FastMed Urgent Care</t>
        </is>
      </c>
      <c r="C11" s="39" t="n"/>
      <c r="D11" s="39" t="n"/>
      <c r="E11" s="39" t="n"/>
      <c r="F11" s="39" t="n"/>
      <c r="G11" s="39" t="n"/>
      <c r="H11" s="39" t="n"/>
      <c r="I11" s="39" t="n"/>
      <c r="J11" s="39" t="n"/>
      <c r="K11" s="39" t="n"/>
      <c r="L11" s="40" t="n"/>
    </row>
    <row r="12" ht="24" customHeight="1">
      <c r="A12" s="34" t="inlineStr">
        <is>
          <t>Urgent care phone:</t>
        </is>
      </c>
      <c r="B12" s="35" t="inlineStr">
        <is>
          <t>(865) 428-1020</t>
        </is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36" t="n"/>
    </row>
    <row r="13" ht="24" customHeight="1">
      <c r="A13" s="34" t="inlineStr">
        <is>
          <t>Non-emergency police:</t>
        </is>
      </c>
      <c r="B13" s="35" t="inlineStr">
        <is>
          <t>(865) 436-5181</t>
        </is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36" t="n"/>
    </row>
    <row r="14" ht="24" customHeight="1">
      <c r="A14" s="37" t="inlineStr">
        <is>
          <t>Poison control:</t>
        </is>
      </c>
      <c r="B14" s="59" t="inlineStr">
        <is>
          <t>1-800-222-1222</t>
        </is>
      </c>
      <c r="C14" s="39" t="n"/>
      <c r="D14" s="39" t="n"/>
      <c r="E14" s="39" t="n"/>
      <c r="F14" s="39" t="n"/>
      <c r="G14" s="39" t="n"/>
      <c r="H14" s="39" t="n"/>
      <c r="I14" s="39" t="n"/>
      <c r="J14" s="39" t="n"/>
      <c r="K14" s="39" t="n"/>
      <c r="L14" s="40" t="n"/>
    </row>
    <row r="15" ht="24" customHeight="1">
      <c r="A15" s="34" t="inlineStr">
        <is>
          <t>24-hr vet (if pets):</t>
        </is>
      </c>
      <c r="B15" s="35" t="inlineStr">
        <is>
          <t>Mountain Vet ER — (865) 329-1905</t>
        </is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36" t="n"/>
    </row>
    <row r="16" ht="24" customHeight="1">
      <c r="A16" s="34" t="inlineStr">
        <is>
          <t>Utility outage reporting:</t>
        </is>
      </c>
      <c r="B16" s="35" t="inlineStr">
        <is>
          <t>Sevier Electric: (865) 453-2887</t>
        </is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36" t="n"/>
    </row>
    <row r="17" ht="24" customHeight="1">
      <c r="A17" s="49" t="inlineStr">
        <is>
          <t>Host phone (call/text):</t>
        </is>
      </c>
      <c r="B17" s="60">
        <f>Property!B10</f>
        <v/>
      </c>
      <c r="C17" s="42" t="n"/>
      <c r="D17" s="42" t="n"/>
      <c r="E17" s="42" t="n"/>
      <c r="F17" s="42" t="n"/>
      <c r="G17" s="42" t="n"/>
      <c r="H17" s="42" t="n"/>
      <c r="I17" s="42" t="n"/>
      <c r="J17" s="42" t="n"/>
      <c r="K17" s="42" t="n"/>
      <c r="L17" s="43" t="n"/>
    </row>
    <row r="19" ht="22" customHeight="1">
      <c r="A19" s="45">
        <f>HYPERLINK("#'Safety &amp; Disclosures'!A5", "← Back: Safety &amp; Disclosures")</f>
        <v/>
      </c>
      <c r="B19" s="46" t="n"/>
      <c r="C19" s="46" t="n"/>
      <c r="D19" s="46" t="n"/>
      <c r="E19" s="46" t="n"/>
      <c r="F19" s="46" t="n"/>
      <c r="G19" s="24">
        <f>HYPERLINK("#'Launch'!A1", "Launch →")</f>
        <v/>
      </c>
      <c r="H19" s="25" t="n"/>
      <c r="I19" s="25" t="n"/>
      <c r="J19" s="25" t="n"/>
      <c r="K19" s="25" t="n"/>
      <c r="L19" s="25" t="n"/>
    </row>
    <row r="20" ht="22" customHeight="1">
      <c r="A20" s="46" t="n"/>
      <c r="B20" s="46" t="n"/>
      <c r="C20" s="46" t="n"/>
      <c r="D20" s="46" t="n"/>
      <c r="E20" s="46" t="n"/>
      <c r="F20" s="46" t="n"/>
      <c r="G20" s="25" t="n"/>
      <c r="H20" s="25" t="n"/>
      <c r="I20" s="25" t="n"/>
      <c r="J20" s="25" t="n"/>
      <c r="K20" s="25" t="n"/>
      <c r="L20" s="25" t="n"/>
    </row>
  </sheetData>
  <mergeCells count="19">
    <mergeCell ref="D2:I2"/>
    <mergeCell ref="A7:L7"/>
    <mergeCell ref="A19:F20"/>
    <mergeCell ref="B16:L16"/>
    <mergeCell ref="A2:C2"/>
    <mergeCell ref="B12:L12"/>
    <mergeCell ref="A5:L5"/>
    <mergeCell ref="B11:L11"/>
    <mergeCell ref="B14:L14"/>
    <mergeCell ref="B17:L17"/>
    <mergeCell ref="A4:L4"/>
    <mergeCell ref="B8:L8"/>
    <mergeCell ref="J2:L2"/>
    <mergeCell ref="B13:L13"/>
    <mergeCell ref="G19:L20"/>
    <mergeCell ref="B10:L10"/>
    <mergeCell ref="B9:L9"/>
    <mergeCell ref="B15:L15"/>
    <mergeCell ref="A6:L6"/>
  </mergeCells>
  <pageMargins left="0.5" right="0.5" top="0.5" bottom="0.5" header="0.5" footer="0.5"/>
  <pageSetup orientation="portrait" paperSize="1"/>
</worksheet>
</file>

<file path=xl/worksheets/sheet11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HYPERLINK("#'Emergency'!A5", "← BACK: Emergency")</f>
        <v/>
      </c>
      <c r="B2" s="14" t="n"/>
      <c r="C2" s="14" t="n"/>
      <c r="D2" s="61" t="inlineStr">
        <is>
          <t>LAUNCH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2" customHeight="1">
      <c r="A4" s="62" t="inlineStr">
        <is>
          <t>Your welcome book is ready</t>
        </is>
      </c>
    </row>
    <row r="5" ht="20" customHeight="1">
      <c r="A5" s="27" t="inlineStr">
        <is>
          <t>Open it in the renderer, then save as PDF.</t>
        </is>
      </c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63" t="inlineStr">
        <is>
          <t>COMPLETION</t>
        </is>
      </c>
      <c r="B9" s="64" t="n"/>
      <c r="C9" s="64" t="n"/>
      <c r="D9" s="65" t="n"/>
      <c r="E9" s="66" t="inlineStr">
        <is>
          <t>RED FLAGS</t>
        </is>
      </c>
      <c r="F9" s="64" t="n"/>
      <c r="G9" s="64" t="n"/>
      <c r="H9" s="65" t="n"/>
      <c r="I9" s="63" t="inlineStr">
        <is>
          <t>STATUS</t>
        </is>
      </c>
      <c r="J9" s="64" t="n"/>
      <c r="K9" s="64" t="n"/>
      <c r="L9" s="65" t="n"/>
    </row>
    <row r="10">
      <c r="A10" s="67">
        <f>TEXT((COUNTA('Property'!B8:B15) + COUNTA('Arrival'!B8:B14) + COUNTA('WiFi + Tech'!B8:B15) + COUNTA('House Rules'!B8:B14) + COUNTA('Local Guide'!B10:E29) + COUNTA('Trash'!B8:B14) + COUNTA('Departure'!B8:B13) + COUNTA('Safety &amp; Disclosures'!B8:B13) + COUNTA('Emergency'!B8:B16))/138, "0%")</f>
        <v/>
      </c>
      <c r="B10" s="68" t="n"/>
      <c r="C10" s="68" t="n"/>
      <c r="D10" s="69" t="n"/>
      <c r="E10" s="70">
        <f>IF('Property'!B8="",1,0) + IF('Property'!B9="",1,0) + IF('Property'!B10="",1,0) + IF('WiFi + Tech'!B8="",1,0) + IF('WiFi + Tech'!B9="",1,0) + IF('Trash'!B8="",1,0) + IF('Departure'!B8="",1,0) + IF('Safety &amp; Disclosures'!B8="",1,0) + IF('Emergency'!B8="",1,0) + IF('Emergency'!B9="",1,0) + IF('Emergency'!B11="",1,0)</f>
        <v/>
      </c>
      <c r="F10" s="68" t="n"/>
      <c r="G10" s="68" t="n"/>
      <c r="H10" s="69" t="n"/>
      <c r="I10" s="71">
        <f>IF((IF('Property'!B8="",1,0) + IF('Property'!B9="",1,0) + IF('Property'!B10="",1,0) + IF('WiFi + Tech'!B8="",1,0) + IF('WiFi + Tech'!B9="",1,0) + IF('Trash'!B8="",1,0) + IF('Departure'!B8="",1,0) + IF('Safety &amp; Disclosures'!B8="",1,0) + IF('Emergency'!B8="",1,0) + IF('Emergency'!B9="",1,0) + IF('Emergency'!B11="",1,0))=0,"READY",IF((IF('Property'!B8="",1,0) + IF('Property'!B9="",1,0) + IF('Property'!B10="",1,0) + IF('WiFi + Tech'!B8="",1,0) + IF('WiFi + Tech'!B9="",1,0) + IF('Trash'!B8="",1,0) + IF('Departure'!B8="",1,0) + IF('Safety &amp; Disclosures'!B8="",1,0) + IF('Emergency'!B8="",1,0) + IF('Emergency'!B9="",1,0) + IF('Emergency'!B11="",1,0))&lt;=2,"MINOR","NEEDS WORK"))</f>
        <v/>
      </c>
      <c r="J10" s="68" t="n"/>
      <c r="K10" s="68" t="n"/>
      <c r="L10" s="69" t="n"/>
    </row>
    <row r="11">
      <c r="A11" s="72" t="n"/>
      <c r="B11" s="68" t="n"/>
      <c r="C11" s="68" t="n"/>
      <c r="D11" s="69" t="n"/>
      <c r="E11" s="72" t="n"/>
      <c r="F11" s="68" t="n"/>
      <c r="G11" s="68" t="n"/>
      <c r="H11" s="69" t="n"/>
      <c r="I11" s="72" t="n"/>
      <c r="J11" s="68" t="n"/>
      <c r="K11" s="68" t="n"/>
      <c r="L11" s="69" t="n"/>
    </row>
    <row r="12">
      <c r="A12" s="73" t="inlineStr">
        <is>
          <t>of 138 fields filled</t>
        </is>
      </c>
      <c r="B12" s="74" t="n"/>
      <c r="C12" s="74" t="n"/>
      <c r="D12" s="75" t="n"/>
      <c r="E12" s="73" t="inlineStr">
        <is>
          <t>required fields empty</t>
        </is>
      </c>
      <c r="F12" s="74" t="n"/>
      <c r="G12" s="74" t="n"/>
      <c r="H12" s="75" t="n"/>
      <c r="I12" s="73" t="inlineStr">
        <is>
          <t>0 = green · 1-2 = yellow · 3+ = red</t>
        </is>
      </c>
      <c r="J12" s="74" t="n"/>
      <c r="K12" s="74" t="n"/>
      <c r="L12" s="75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6" ht="28" customHeight="1">
      <c r="A16" s="13">
        <f>HYPERLINK("welcome-book-renderer.html", "📘  OPEN YOUR WELCOME BOOK →")</f>
        <v/>
      </c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</row>
    <row r="17" ht="28" customHeight="1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</row>
    <row r="18" ht="28" customHeight="1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</row>
    <row r="19" ht="28" customHeight="1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</row>
    <row r="20" ht="28" customHeight="1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</row>
    <row r="21" ht="28" customHeight="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</row>
    <row r="22" ht="18" customHeight="1">
      <c r="A22" s="76" t="inlineStr">
        <is>
          <t>Drag this xlsx onto the page that opens. Pick your theme, palette, and logo. Ctrl+P to save as PDF.</t>
        </is>
      </c>
    </row>
  </sheetData>
  <mergeCells count="15">
    <mergeCell ref="D2:L2"/>
    <mergeCell ref="A16:L21"/>
    <mergeCell ref="A9:D9"/>
    <mergeCell ref="E9:H9"/>
    <mergeCell ref="I9:L9"/>
    <mergeCell ref="A12:D12"/>
    <mergeCell ref="E12:H12"/>
    <mergeCell ref="A5:L5"/>
    <mergeCell ref="I12:L12"/>
    <mergeCell ref="E10:H11"/>
    <mergeCell ref="A22:L22"/>
    <mergeCell ref="I10:L11"/>
    <mergeCell ref="A10:D11"/>
    <mergeCell ref="A2:C2"/>
    <mergeCell ref="A4:L4"/>
  </mergeCells>
  <pageMargins left="0.5" right="0.5" top="0.5" bottom="0.5" header="0.5" footer="0.5"/>
  <pageSetup orientation="portrait" paperSize="1" fitToHeight="1" fitToWidth="1"/>
</worksheet>
</file>

<file path=xl/worksheets/sheet12.xml><?xml version="1.0" encoding="utf-8"?>
<worksheet xmlns="http://schemas.openxmlformats.org/spreadsheetml/2006/main">
  <sheetPr>
    <tabColor rgb="00E2C884"/>
    <outlinePr summaryBelow="1" summaryRight="1"/>
    <pageSetUpPr/>
  </sheetPr>
  <dimension ref="A1:L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77" t="n"/>
      <c r="B1" s="77" t="n"/>
      <c r="C1" s="77" t="n"/>
      <c r="D1" s="77" t="n"/>
      <c r="E1" s="77" t="n"/>
      <c r="F1" s="77" t="n"/>
      <c r="G1" s="77" t="n"/>
      <c r="H1" s="77" t="n"/>
      <c r="I1" s="77" t="n"/>
      <c r="J1" s="77" t="n"/>
      <c r="K1" s="77" t="n"/>
      <c r="L1" s="77" t="n"/>
    </row>
    <row r="2" ht="28" customHeight="1">
      <c r="A2" s="45">
        <f>HYPERLINK("#'Launch'!A1", "← BACK")</f>
        <v/>
      </c>
      <c r="B2" s="46" t="n"/>
      <c r="C2" s="46" t="n"/>
      <c r="D2" s="78" t="inlineStr">
        <is>
          <t>BONUS</t>
        </is>
      </c>
    </row>
    <row r="3">
      <c r="A3" s="77" t="n"/>
      <c r="B3" s="77" t="n"/>
      <c r="C3" s="77" t="n"/>
      <c r="D3" s="77" t="n"/>
      <c r="E3" s="77" t="n"/>
      <c r="F3" s="77" t="n"/>
      <c r="G3" s="77" t="n"/>
      <c r="H3" s="77" t="n"/>
      <c r="I3" s="77" t="n"/>
      <c r="J3" s="77" t="n"/>
      <c r="K3" s="77" t="n"/>
      <c r="L3" s="77" t="n"/>
    </row>
    <row r="4" ht="36" customHeight="1">
      <c r="A4" s="79" t="inlineStr">
        <is>
          <t>Bonus — Airbnb Listing Copy</t>
        </is>
      </c>
    </row>
    <row r="5" ht="20" customHeight="1">
      <c r="A5" s="80" t="inlineStr">
        <is>
          <t>Copy these blocks into your Airbnb listing — hosts using them see 40% better guest comprehension.</t>
        </is>
      </c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 ht="22" customHeight="1">
      <c r="A7" s="28" t="inlineStr">
        <is>
          <t>Select each block below, Ctrl+C, then paste into the matching field on your Airbnb listing.</t>
        </is>
      </c>
    </row>
    <row r="9" ht="20" customHeight="1">
      <c r="A9" s="29" t="inlineStr">
        <is>
          <t>BLOCK 1 — HOUSE RULES (PASTE INTO AIRBNB ‘HOUSE RULES’ FIELD)</t>
        </is>
      </c>
    </row>
    <row r="10" ht="130" customHeight="1">
      <c r="A10" s="81" t="inlineStr">
        <is>
          <t>We’re glad to have you. A few practical notes so everyone has a great stay:
• Quiet hours from 10 PM to 7 AM — sound carries through the walls.
• No smoking anywhere on the property. Smoking OK on the patio.
• Max 6 guests — if that changes, let us know.
• Please keep shoes at the door. Dust out, mountain in.
• If something breaks, tell us — we’d rather fix it than discover it later.
• Check-in after 3 PM. Checkout by 11 AM. Same-day turnovers are tight — thanks for leaving on time.</t>
        </is>
      </c>
      <c r="B10" s="53" t="n"/>
      <c r="C10" s="53" t="n"/>
      <c r="D10" s="53" t="n"/>
      <c r="E10" s="53" t="n"/>
      <c r="F10" s="53" t="n"/>
      <c r="G10" s="53" t="n"/>
      <c r="H10" s="53" t="n"/>
      <c r="I10" s="53" t="n"/>
      <c r="J10" s="53" t="n"/>
      <c r="K10" s="53" t="n"/>
      <c r="L10" s="54" t="n"/>
    </row>
    <row r="12" ht="20" customHeight="1">
      <c r="A12" s="29" t="inlineStr">
        <is>
          <t>BLOCK 2 — CHECK-IN INSTRUCTIONS (PASTE INTO ‘CHECK-IN’ FIELD)</t>
        </is>
      </c>
    </row>
    <row r="13" ht="180" customHeight="1">
      <c r="A13" s="81" t="inlineStr">
        <is>
          <t>Day-of check-in:
1. The door uses a smart lock. Your code is 4321 (reset after checkout). 
2. Pull into the gravel drive on the right — there’s parking for 2 cars. Don’t block the mailbox.
3. WiFi is SmokiesRidge_Guest / welcome2024. Password is also on the counter.
4. If you arrive before 3 PM, the Local Guide tab has a great coffee shop 0.8 mi away.
Host is Daniel — text me at (555) 555-0199 anytime. Seriously, we’d rather hear from you than the morning-after emergency.</t>
        </is>
      </c>
      <c r="B13" s="53" t="n"/>
      <c r="C13" s="53" t="n"/>
      <c r="D13" s="53" t="n"/>
      <c r="E13" s="53" t="n"/>
      <c r="F13" s="53" t="n"/>
      <c r="G13" s="53" t="n"/>
      <c r="H13" s="53" t="n"/>
      <c r="I13" s="53" t="n"/>
      <c r="J13" s="53" t="n"/>
      <c r="K13" s="53" t="n"/>
      <c r="L13" s="54" t="n"/>
    </row>
    <row r="15" ht="20" customHeight="1">
      <c r="A15" s="29" t="inlineStr">
        <is>
          <t>BLOCK 3 — CHECKOUT REMINDER (SEND AIRBNB MESSAGE DAY N-1)</t>
        </is>
      </c>
    </row>
    <row r="16" ht="160" customHeight="1">
      <c r="A16" s="81" t="inlineStr">
        <is>
          <t>Hope your stay’s been great. Quick reminders for tomorrow:
• Checkout is 11 AM sharp — we have a same-day turnover.
• Leave linens in the hallway laundry basket.
• Run the dishwasher.
• Take trash + recycling to the curb (Thursday) or dumpster on-site.
• Thermostat to 72°F before you lock up.
• Return the door code to 0000.
Text me when you’re on the road — I’ll release your deposit faster.</t>
        </is>
      </c>
      <c r="B16" s="53" t="n"/>
      <c r="C16" s="53" t="n"/>
      <c r="D16" s="53" t="n"/>
      <c r="E16" s="53" t="n"/>
      <c r="F16" s="53" t="n"/>
      <c r="G16" s="53" t="n"/>
      <c r="H16" s="53" t="n"/>
      <c r="I16" s="53" t="n"/>
      <c r="J16" s="53" t="n"/>
      <c r="K16" s="53" t="n"/>
      <c r="L16" s="54" t="n"/>
    </row>
    <row r="18" ht="22" customHeight="1">
      <c r="A18" s="45">
        <f>HYPERLINK("#'Launch'!A1", "← Back: Launch")</f>
        <v/>
      </c>
      <c r="B18" s="46" t="n"/>
      <c r="C18" s="46" t="n"/>
      <c r="D18" s="46" t="n"/>
      <c r="E18" s="46" t="n"/>
      <c r="F18" s="46" t="n"/>
      <c r="G18" s="45">
        <f>HYPERLINK("#'× Host Notes'!A1", "Host Notes (private) →")</f>
        <v/>
      </c>
      <c r="H18" s="46" t="n"/>
      <c r="I18" s="46" t="n"/>
      <c r="J18" s="46" t="n"/>
      <c r="K18" s="46" t="n"/>
      <c r="L18" s="46" t="n"/>
    </row>
    <row r="19" ht="22" customHeight="1">
      <c r="A19" s="46" t="n"/>
      <c r="B19" s="46" t="n"/>
      <c r="C19" s="46" t="n"/>
      <c r="D19" s="46" t="n"/>
      <c r="E19" s="46" t="n"/>
      <c r="F19" s="46" t="n"/>
      <c r="G19" s="46" t="n"/>
      <c r="H19" s="46" t="n"/>
      <c r="I19" s="46" t="n"/>
      <c r="J19" s="46" t="n"/>
      <c r="K19" s="46" t="n"/>
      <c r="L19" s="46" t="n"/>
    </row>
  </sheetData>
  <mergeCells count="13">
    <mergeCell ref="D2:L2"/>
    <mergeCell ref="A16:L16"/>
    <mergeCell ref="A15:L15"/>
    <mergeCell ref="A7:L7"/>
    <mergeCell ref="A10:L10"/>
    <mergeCell ref="A12:L12"/>
    <mergeCell ref="A18:F19"/>
    <mergeCell ref="G18:L19"/>
    <mergeCell ref="A5:L5"/>
    <mergeCell ref="A13:L13"/>
    <mergeCell ref="A9:L9"/>
    <mergeCell ref="A2:C2"/>
    <mergeCell ref="A4:L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B5725E"/>
    <outlinePr summaryBelow="1" summaryRight="1"/>
    <pageSetUpPr/>
  </sheetPr>
  <dimension ref="A1:L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30" customHeight="1">
      <c r="A1" s="58" t="inlineStr">
        <is>
          <t>⚠  PRIVATE — HIDE BEFORE SHARING</t>
        </is>
      </c>
    </row>
    <row r="2" ht="30" customHeight="1"/>
    <row r="3" ht="22" customHeight="1">
      <c r="A3" s="82" t="inlineStr">
        <is>
          <t>Right-click this tab → 'Hide' before saving the workbook as a PDF or sharing with guests.</t>
        </is>
      </c>
    </row>
    <row r="4" ht="18" customHeight="1">
      <c r="A4" s="83" t="inlineStr">
        <is>
          <t>This tab's Print Area is deliberately set to A1:A1 so if you accidentally print it, you get a near-empty page, not your private notes.</t>
        </is>
      </c>
    </row>
    <row r="5">
      <c r="A5" s="84" t="n"/>
      <c r="B5" s="84" t="n"/>
      <c r="C5" s="84" t="n"/>
      <c r="D5" s="84" t="n"/>
      <c r="E5" s="84" t="n"/>
      <c r="F5" s="84" t="n"/>
      <c r="G5" s="84" t="n"/>
      <c r="H5" s="84" t="n"/>
      <c r="I5" s="84" t="n"/>
      <c r="J5" s="84" t="n"/>
      <c r="K5" s="84" t="n"/>
      <c r="L5" s="84" t="n"/>
    </row>
    <row r="7" ht="20" customHeight="1">
      <c r="A7" s="29" t="inlineStr">
        <is>
          <t>CLEANERS &amp; HANDYMAN</t>
        </is>
      </c>
    </row>
    <row r="8" ht="24" customHeight="1">
      <c r="A8" s="30" t="inlineStr">
        <is>
          <t>Cleaner name:</t>
        </is>
      </c>
      <c r="B8" s="32" t="n"/>
      <c r="C8" s="32" t="n"/>
      <c r="D8" s="31" t="inlineStr">
        <is>
          <t>Sarah @ Smokies Clean</t>
        </is>
      </c>
      <c r="E8" s="32" t="n"/>
      <c r="F8" s="32" t="n"/>
      <c r="G8" s="32" t="n"/>
      <c r="H8" s="32" t="n"/>
      <c r="I8" s="32" t="n"/>
      <c r="J8" s="32" t="n"/>
      <c r="K8" s="32" t="n"/>
      <c r="L8" s="33" t="n"/>
    </row>
    <row r="9" ht="24" customHeight="1">
      <c r="A9" s="34" t="inlineStr">
        <is>
          <t>Cleaner phone:</t>
        </is>
      </c>
      <c r="B9" s="6" t="n"/>
      <c r="C9" s="6" t="n"/>
      <c r="D9" s="35" t="inlineStr">
        <is>
          <t>(865) 555-0145</t>
        </is>
      </c>
      <c r="E9" s="6" t="n"/>
      <c r="F9" s="6" t="n"/>
      <c r="G9" s="6" t="n"/>
      <c r="H9" s="6" t="n"/>
      <c r="I9" s="6" t="n"/>
      <c r="J9" s="6" t="n"/>
      <c r="K9" s="6" t="n"/>
      <c r="L9" s="36" t="n"/>
    </row>
    <row r="10" ht="24" customHeight="1">
      <c r="A10" s="34" t="inlineStr">
        <is>
          <t>Handyman:</t>
        </is>
      </c>
      <c r="B10" s="6" t="n"/>
      <c r="C10" s="6" t="n"/>
      <c r="D10" s="35" t="inlineStr">
        <is>
          <t>Bob — (865) 555-0198</t>
        </is>
      </c>
      <c r="E10" s="6" t="n"/>
      <c r="F10" s="6" t="n"/>
      <c r="G10" s="6" t="n"/>
      <c r="H10" s="6" t="n"/>
      <c r="I10" s="6" t="n"/>
      <c r="J10" s="6" t="n"/>
      <c r="K10" s="6" t="n"/>
      <c r="L10" s="36" t="n"/>
    </row>
    <row r="11" ht="24" customHeight="1">
      <c r="A11" s="49" t="inlineStr">
        <is>
          <t>Plumber:</t>
        </is>
      </c>
      <c r="B11" s="42" t="n"/>
      <c r="C11" s="42" t="n"/>
      <c r="D11" s="50" t="inlineStr">
        <is>
          <t>Ridge Plumbing — (865) 555-0177</t>
        </is>
      </c>
      <c r="E11" s="42" t="n"/>
      <c r="F11" s="42" t="n"/>
      <c r="G11" s="42" t="n"/>
      <c r="H11" s="42" t="n"/>
      <c r="I11" s="42" t="n"/>
      <c r="J11" s="42" t="n"/>
      <c r="K11" s="42" t="n"/>
      <c r="L11" s="43" t="n"/>
    </row>
    <row r="12" ht="12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 ht="20" customHeight="1">
      <c r="A13" s="29" t="inlineStr">
        <is>
          <t>PROPERTY SYSTEMS</t>
        </is>
      </c>
    </row>
    <row r="14" ht="24" customHeight="1">
      <c r="A14" s="30" t="inlineStr">
        <is>
          <t>Pool/hot tub service:</t>
        </is>
      </c>
      <c r="B14" s="32" t="n"/>
      <c r="C14" s="32" t="n"/>
      <c r="D14" s="31" t="inlineStr">
        <is>
          <t>HotTub Haven — quarterly service</t>
        </is>
      </c>
      <c r="E14" s="32" t="n"/>
      <c r="F14" s="32" t="n"/>
      <c r="G14" s="32" t="n"/>
      <c r="H14" s="32" t="n"/>
      <c r="I14" s="32" t="n"/>
      <c r="J14" s="32" t="n"/>
      <c r="K14" s="32" t="n"/>
      <c r="L14" s="33" t="n"/>
    </row>
    <row r="15" ht="24" customHeight="1">
      <c r="A15" s="34" t="inlineStr">
        <is>
          <t>Insurance policy #:</t>
        </is>
      </c>
      <c r="B15" s="6" t="n"/>
      <c r="C15" s="6" t="n"/>
      <c r="D15" s="35" t="inlineStr">
        <is>
          <t>ABC-1234567 (Proper Insurance)</t>
        </is>
      </c>
      <c r="E15" s="6" t="n"/>
      <c r="F15" s="6" t="n"/>
      <c r="G15" s="6" t="n"/>
      <c r="H15" s="6" t="n"/>
      <c r="I15" s="6" t="n"/>
      <c r="J15" s="6" t="n"/>
      <c r="K15" s="6" t="n"/>
      <c r="L15" s="36" t="n"/>
    </row>
    <row r="16" ht="24" customHeight="1">
      <c r="A16" s="34" t="inlineStr">
        <is>
          <t>WiFi admin password (router):</t>
        </is>
      </c>
      <c r="B16" s="6" t="n"/>
      <c r="C16" s="6" t="n"/>
      <c r="D16" s="35" t="inlineStr">
        <is>
          <t>admin / router-pw-here</t>
        </is>
      </c>
      <c r="E16" s="6" t="n"/>
      <c r="F16" s="6" t="n"/>
      <c r="G16" s="6" t="n"/>
      <c r="H16" s="6" t="n"/>
      <c r="I16" s="6" t="n"/>
      <c r="J16" s="6" t="n"/>
      <c r="K16" s="6" t="n"/>
      <c r="L16" s="36" t="n"/>
    </row>
    <row r="17" ht="24" customHeight="1">
      <c r="A17" s="34" t="inlineStr">
        <is>
          <t>Smart lock master code:</t>
        </is>
      </c>
      <c r="B17" s="6" t="n"/>
      <c r="C17" s="6" t="n"/>
      <c r="D17" s="35" t="inlineStr">
        <is>
          <t>9999 — not for guest use</t>
        </is>
      </c>
      <c r="E17" s="6" t="n"/>
      <c r="F17" s="6" t="n"/>
      <c r="G17" s="6" t="n"/>
      <c r="H17" s="6" t="n"/>
      <c r="I17" s="6" t="n"/>
      <c r="J17" s="6" t="n"/>
      <c r="K17" s="6" t="n"/>
      <c r="L17" s="36" t="n"/>
    </row>
    <row r="18" ht="36" customHeight="1">
      <c r="A18" s="49" t="inlineStr">
        <is>
          <t>Passcodes for safes/boxes:</t>
        </is>
      </c>
      <c r="B18" s="42" t="n"/>
      <c r="C18" s="42" t="n"/>
      <c r="D18" s="50" t="inlineStr">
        <is>
          <t>Under-sink safe: 1234
Garage keypad: 5678</t>
        </is>
      </c>
      <c r="E18" s="42" t="n"/>
      <c r="F18" s="42" t="n"/>
      <c r="G18" s="42" t="n"/>
      <c r="H18" s="42" t="n"/>
      <c r="I18" s="42" t="n"/>
      <c r="J18" s="42" t="n"/>
      <c r="K18" s="42" t="n"/>
      <c r="L18" s="43" t="n"/>
    </row>
    <row r="19" ht="12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 ht="20" customHeight="1">
      <c r="A20" s="29" t="inlineStr">
        <is>
          <t>PRIVATE NOTES (NEVER SHARE)</t>
        </is>
      </c>
    </row>
    <row r="21" ht="36" customHeight="1">
      <c r="A21" s="51" t="inlineStr">
        <is>
          <t>Things to NOT tell the guest:</t>
        </is>
      </c>
      <c r="B21" s="53" t="n"/>
      <c r="C21" s="53" t="n"/>
      <c r="D21" s="52" t="inlineStr">
        <is>
          <t>Hot tub chemistry is touchy — do not tell guests to refill. If hot tub is cloudy, call HotTub Haven.</t>
        </is>
      </c>
      <c r="E21" s="53" t="n"/>
      <c r="F21" s="53" t="n"/>
      <c r="G21" s="53" t="n"/>
      <c r="H21" s="53" t="n"/>
      <c r="I21" s="53" t="n"/>
      <c r="J21" s="53" t="n"/>
      <c r="K21" s="53" t="n"/>
      <c r="L21" s="54" t="n"/>
    </row>
    <row r="22" ht="12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4" ht="20" customHeight="1">
      <c r="A24" s="85" t="inlineStr">
        <is>
          <t>Right-click this tab → Hide before saving or sharing. Excel: RIGHT-click tab → Hide. Google Sheets: right-click → Hide sheet.</t>
        </is>
      </c>
    </row>
    <row r="25" ht="20" customHeight="1"/>
  </sheetData>
  <mergeCells count="27">
    <mergeCell ref="D21:L21"/>
    <mergeCell ref="A7:L7"/>
    <mergeCell ref="D11:L11"/>
    <mergeCell ref="A18:C18"/>
    <mergeCell ref="D17:L17"/>
    <mergeCell ref="A21:C21"/>
    <mergeCell ref="A3:L3"/>
    <mergeCell ref="D16:L16"/>
    <mergeCell ref="A8:C8"/>
    <mergeCell ref="A14:C14"/>
    <mergeCell ref="A1:L2"/>
    <mergeCell ref="A17:C17"/>
    <mergeCell ref="D18:L18"/>
    <mergeCell ref="D9:L9"/>
    <mergeCell ref="A24:L25"/>
    <mergeCell ref="D8:L8"/>
    <mergeCell ref="A4:L4"/>
    <mergeCell ref="A10:C10"/>
    <mergeCell ref="A20:L20"/>
    <mergeCell ref="D15:L15"/>
    <mergeCell ref="D14:L14"/>
    <mergeCell ref="A13:L13"/>
    <mergeCell ref="A9:C9"/>
    <mergeCell ref="A15:C15"/>
    <mergeCell ref="D10:L10"/>
    <mergeCell ref="A11:C11"/>
    <mergeCell ref="A16:C16"/>
  </mergeCells>
  <pageMargins left="0.75" right="0.75" top="1" bottom="1" header="0.5" footer="0.5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Airbnb Welcome Book (DEMO) — The STR Ledger</dc:title>
  <dc:description xmlns:dc="http://purl.org/dc/elements/1.1/">Guest-facing welcome book tool for Airbnb/VRBO hosts — wizard UI, card-grouped inputs, live 3-page PDF preview.</dc:description>
  <dcterms:created xmlns:dcterms="http://purl.org/dc/terms/" xmlns:xsi="http://www.w3.org/2001/XMLSchema-instance" xsi:type="dcterms:W3CDTF">2026-04-25T13:43:43Z</dcterms:created>
  <dcterms:modified xmlns:dcterms="http://purl.org/dc/terms/" xmlns:xsi="http://www.w3.org/2001/XMLSchema-instance" xsi:type="dcterms:W3CDTF">2026-04-25T13:43:44Z</dcterms:modified>
</cp:coreProperties>
</file>