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  <definedName name="_xlnm.Print_Area" localSheetId="9">'Review &amp; Print'!$A$24:$L$80</definedName>
    <definedName name="_xlnm.Print_Area" localSheetId="10">'Bonus'!$A$1:$L$20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 wrapText="1" indent="1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 wrapText="1" indent="1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7" fillId="7" borderId="9" applyAlignment="1" pivotButton="0" quotePrefix="0" xfId="0">
      <alignment horizontal="left" vertical="center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3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2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30" fillId="3" borderId="20" applyAlignment="1" pivotButton="0" quotePrefix="0" xfId="0">
      <alignment horizontal="center"/>
    </xf>
    <xf numFmtId="0" fontId="28" fillId="3" borderId="1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4" applyAlignment="1" pivotButton="0" quotePrefix="0" xfId="0">
      <alignment horizontal="left" vertical="top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inlineStr">
        <is>
          <t>Smokies Ridge Cabin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inlineStr">
        <is>
          <t>Daniel</t>
        </is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inlineStr">
        <is>
          <t>+1 (555) 555-0199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inlineStr">
        <is>
          <t>2026-05-10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inlineStr">
        <is>
          <t>2026-05-15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inlineStr">
        <is>
          <t>Cabin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>
        <v>6</v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inlineStr">
        <is>
          <t>123 Mountain Lane, Gatlinburg, TN 37738</t>
        </is>
      </c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inlineStr">
        <is>
          <t>123 Mountain Lane, Gatlinburg, TN 37738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inlineStr">
        <is>
          <t>Smart lock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inlineStr">
        <is>
          <t>4321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inlineStr">
        <is>
          <t>Gravel drive on the right — there's room for 2 cars. Do not block the mailbox.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inlineStr">
        <is>
          <t>If GPS sends you up the fire road, ignore it. Stay on Ridge Way past the red barn.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inlineStr">
        <is>
          <t>After 3 PM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inlineStr">
        <is>
          <t>Coffee shops in the Local Guide tab are the best bet; the lockbox won't open before 3 PM.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inlineStr">
        <is>
          <t>SmokiesRidge_Guest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inlineStr">
        <is>
          <t>welcome2024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47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inlineStr">
        <is>
          <t>Netflix: already signed in. Hulu: guest@smokiesridge.com / stay2024</t>
        </is>
      </c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inlineStr">
        <is>
          <t>The black Roku remote is the one to use. HDMI1 is Fire TV.</t>
        </is>
      </c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inlineStr">
        <is>
          <t>Same as entry — 4321</t>
        </is>
      </c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inlineStr">
        <is>
          <t>Nest on the hallway wall. Please keep between 65-78°F. Auto-schedule resumes after you leave.</t>
        </is>
      </c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inlineStr">
        <is>
          <t>Host first (see Emergency tab). If no answer — Spectrum: 1-833-267-6094</t>
        </is>
      </c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inlineStr">
        <is>
          <t>10 PM – 7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>
        <v>6</v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inlineStr">
        <is>
          <t>No smoking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inlineStr">
        <is>
          <t>No pets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inlineStr">
        <is>
          <t>No events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inlineStr">
        <is>
          <t>Remove at door</t>
        </is>
      </c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8" t="inlineStr">
        <is>
          <t>Your rules (one per line):</t>
        </is>
      </c>
      <c r="B20" s="49" t="n"/>
      <c r="C20" s="49" t="n"/>
      <c r="D20" s="50" t="inlineStr">
        <is>
          <t>• Hot tub closes at 10 PM
• Please don't move furniture
• If you break something, tell us — we'd rather fix it than discover it later</t>
        </is>
      </c>
      <c r="E20" s="49" t="n"/>
      <c r="F20" s="49" t="n"/>
      <c r="G20" s="49" t="n"/>
      <c r="H20" s="49" t="n"/>
      <c r="I20" s="49" t="n"/>
      <c r="J20" s="49" t="n"/>
      <c r="K20" s="49" t="n"/>
      <c r="L20" s="51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2" t="inlineStr">
        <is>
          <t>Category</t>
        </is>
      </c>
      <c r="B9" s="52" t="inlineStr">
        <is>
          <t>Name</t>
        </is>
      </c>
      <c r="C9" s="52" t="inlineStr">
        <is>
          <t>Distance</t>
        </is>
      </c>
      <c r="D9" s="52" t="inlineStr">
        <is>
          <t>Phone</t>
        </is>
      </c>
      <c r="E9" s="52" t="inlineStr">
        <is>
          <t>Why we love it</t>
        </is>
      </c>
    </row>
    <row r="10" ht="28" customHeight="1">
      <c r="A10" s="53" t="inlineStr">
        <is>
          <t>Coffee</t>
        </is>
      </c>
      <c r="B10" s="39" t="inlineStr">
        <is>
          <t>Mountain Grind</t>
        </is>
      </c>
      <c r="C10" s="39" t="inlineStr">
        <is>
          <t>0.8 mi</t>
        </is>
      </c>
      <c r="D10" s="39" t="inlineStr">
        <is>
          <t>(865) 555-0100</t>
        </is>
      </c>
      <c r="E10" s="39" t="inlineStr">
        <is>
          <t>Best espresso in town; small pastry case fills fast</t>
        </is>
      </c>
    </row>
    <row r="11" ht="28" customHeight="1">
      <c r="A11" s="53" t="inlineStr">
        <is>
          <t>Coffee</t>
        </is>
      </c>
      <c r="B11" s="39" t="inlineStr"/>
      <c r="C11" s="39" t="inlineStr"/>
      <c r="D11" s="39" t="inlineStr"/>
      <c r="E11" s="39" t="inlineStr"/>
    </row>
    <row r="12" ht="28" customHeight="1">
      <c r="A12" s="53" t="inlineStr">
        <is>
          <t>Restaurant</t>
        </is>
      </c>
      <c r="B12" s="39" t="inlineStr">
        <is>
          <t>The Cast Iron</t>
        </is>
      </c>
      <c r="C12" s="39" t="inlineStr">
        <is>
          <t>2.1 mi</t>
        </is>
      </c>
      <c r="D12" s="39" t="inlineStr">
        <is>
          <t>(865) 555-0118</t>
        </is>
      </c>
      <c r="E12" s="39" t="inlineStr">
        <is>
          <t>Sunday brunch is chef's-kiss — reserve ahead</t>
        </is>
      </c>
    </row>
    <row r="13" ht="28" customHeight="1">
      <c r="A13" s="53" t="inlineStr">
        <is>
          <t>Restaurant</t>
        </is>
      </c>
      <c r="B13" s="39" t="inlineStr">
        <is>
          <t>Ridge BBQ</t>
        </is>
      </c>
      <c r="C13" s="39" t="inlineStr">
        <is>
          <t>1.4 mi</t>
        </is>
      </c>
      <c r="D13" s="39" t="inlineStr">
        <is>
          <t>(865) 555-0122</t>
        </is>
      </c>
      <c r="E13" s="39" t="inlineStr">
        <is>
          <t>Brisket sells out by 7 PM Fri/Sat</t>
        </is>
      </c>
    </row>
    <row r="14" ht="28" customHeight="1">
      <c r="A14" s="53" t="inlineStr">
        <is>
          <t>Restaurant</t>
        </is>
      </c>
      <c r="B14" s="39" t="inlineStr"/>
      <c r="C14" s="39" t="inlineStr"/>
      <c r="D14" s="39" t="inlineStr"/>
      <c r="E14" s="39" t="inlineStr"/>
    </row>
    <row r="15" ht="28" customHeight="1">
      <c r="A15" s="53" t="inlineStr">
        <is>
          <t>Grocery</t>
        </is>
      </c>
      <c r="B15" s="39" t="inlineStr">
        <is>
          <t>Food City</t>
        </is>
      </c>
      <c r="C15" s="39" t="inlineStr">
        <is>
          <t>2.8 mi</t>
        </is>
      </c>
      <c r="D15" s="39" t="inlineStr">
        <is>
          <t>(865) 555-0133</t>
        </is>
      </c>
      <c r="E15" s="39" t="inlineStr">
        <is>
          <t>Open until 10 PM</t>
        </is>
      </c>
    </row>
    <row r="16" ht="28" customHeight="1">
      <c r="A16" s="53" t="inlineStr">
        <is>
          <t>Grocery</t>
        </is>
      </c>
      <c r="B16" s="39" t="inlineStr"/>
      <c r="C16" s="39" t="inlineStr"/>
      <c r="D16" s="39" t="inlineStr"/>
      <c r="E16" s="39" t="inlineStr"/>
    </row>
    <row r="17" ht="28" customHeight="1">
      <c r="A17" s="53" t="inlineStr">
        <is>
          <t>Takeout</t>
        </is>
      </c>
      <c r="B17" s="39" t="inlineStr">
        <is>
          <t>Smoky Pizza Co</t>
        </is>
      </c>
      <c r="C17" s="39" t="inlineStr">
        <is>
          <t>1.9 mi</t>
        </is>
      </c>
      <c r="D17" s="39" t="inlineStr">
        <is>
          <t>(865) 555-0144</t>
        </is>
      </c>
      <c r="E17" s="39" t="inlineStr">
        <is>
          <t>Delivers to the cabin</t>
        </is>
      </c>
    </row>
    <row r="18" ht="28" customHeight="1">
      <c r="A18" s="53" t="inlineStr">
        <is>
          <t>Takeout</t>
        </is>
      </c>
      <c r="B18" s="39" t="inlineStr"/>
      <c r="C18" s="39" t="inlineStr"/>
      <c r="D18" s="39" t="inlineStr"/>
      <c r="E18" s="39" t="inlineStr"/>
    </row>
    <row r="19" ht="28" customHeight="1">
      <c r="A19" s="53" t="inlineStr">
        <is>
          <t>Pharmacy</t>
        </is>
      </c>
      <c r="B19" s="39" t="inlineStr">
        <is>
          <t>Walgreens</t>
        </is>
      </c>
      <c r="C19" s="39" t="inlineStr">
        <is>
          <t>3.5 mi</t>
        </is>
      </c>
      <c r="D19" s="39" t="inlineStr">
        <is>
          <t>(865) 555-0155</t>
        </is>
      </c>
      <c r="E19" s="39" t="inlineStr">
        <is>
          <t>24-hr location</t>
        </is>
      </c>
    </row>
    <row r="20" ht="28" customHeight="1">
      <c r="A20" s="53" t="inlineStr">
        <is>
          <t>Gas station</t>
        </is>
      </c>
      <c r="B20" s="39" t="inlineStr">
        <is>
          <t>Shell on Hwy 321</t>
        </is>
      </c>
      <c r="C20" s="39" t="inlineStr">
        <is>
          <t>0.5 mi</t>
        </is>
      </c>
      <c r="D20" s="39" t="inlineStr"/>
      <c r="E20" s="39" t="inlineStr">
        <is>
          <t>Cheapest in the valley</t>
        </is>
      </c>
    </row>
    <row r="21" ht="28" customHeight="1">
      <c r="A21" s="53" t="inlineStr">
        <is>
          <t>Hospital/Urgent care</t>
        </is>
      </c>
      <c r="B21" s="39" t="inlineStr">
        <is>
          <t>LeConte Medical Center</t>
        </is>
      </c>
      <c r="C21" s="39" t="inlineStr">
        <is>
          <t>8.1 mi</t>
        </is>
      </c>
      <c r="D21" s="39" t="inlineStr">
        <is>
          <t>(865) 446-7000</t>
        </is>
      </c>
      <c r="E21" s="39" t="inlineStr">
        <is>
          <t>ER 24/7</t>
        </is>
      </c>
    </row>
    <row r="22" ht="28" customHeight="1">
      <c r="A22" s="53" t="inlineStr">
        <is>
          <t>Coffee alt</t>
        </is>
      </c>
      <c r="B22" s="39" t="inlineStr"/>
      <c r="C22" s="39" t="inlineStr"/>
      <c r="D22" s="39" t="inlineStr"/>
      <c r="E22" s="39" t="inlineStr"/>
    </row>
    <row r="23" ht="28" customHeight="1">
      <c r="A23" s="53" t="inlineStr">
        <is>
          <t>Outdoor/Hike</t>
        </is>
      </c>
      <c r="B23" s="39" t="inlineStr">
        <is>
          <t>Cades Cove Loop</t>
        </is>
      </c>
      <c r="C23" s="39" t="inlineStr">
        <is>
          <t>14 mi</t>
        </is>
      </c>
      <c r="D23" s="39" t="inlineStr"/>
      <c r="E23" s="39" t="inlineStr">
        <is>
          <t>11-mile scenic loop; allow 3 hrs</t>
        </is>
      </c>
    </row>
    <row r="24" ht="28" customHeight="1">
      <c r="A24" s="53" t="inlineStr">
        <is>
          <t>Outdoor/Hike</t>
        </is>
      </c>
      <c r="B24" s="39" t="inlineStr"/>
      <c r="C24" s="39" t="inlineStr"/>
      <c r="D24" s="39" t="inlineStr"/>
      <c r="E24" s="39" t="inlineStr"/>
    </row>
    <row r="25" ht="28" customHeight="1">
      <c r="A25" s="53" t="inlineStr">
        <is>
          <t>Kid-friendly</t>
        </is>
      </c>
      <c r="B25" s="39" t="inlineStr">
        <is>
          <t>Dollywood</t>
        </is>
      </c>
      <c r="C25" s="39" t="inlineStr">
        <is>
          <t>9 mi</t>
        </is>
      </c>
      <c r="D25" s="39" t="inlineStr">
        <is>
          <t>(865) 428-9488</t>
        </is>
      </c>
      <c r="E25" s="39" t="inlineStr">
        <is>
          <t>Worth a full day</t>
        </is>
      </c>
    </row>
    <row r="26" ht="28" customHeight="1">
      <c r="A26" s="53" t="inlineStr">
        <is>
          <t>Kid-friendly</t>
        </is>
      </c>
      <c r="B26" s="39" t="inlineStr"/>
      <c r="C26" s="39" t="inlineStr"/>
      <c r="D26" s="39" t="inlineStr"/>
      <c r="E26" s="39" t="inlineStr"/>
    </row>
    <row r="27" ht="28" customHeight="1">
      <c r="A27" s="53" t="inlineStr">
        <is>
          <t>Date night</t>
        </is>
      </c>
      <c r="B27" s="39" t="inlineStr">
        <is>
          <t>The Wine Cellar</t>
        </is>
      </c>
      <c r="C27" s="39" t="inlineStr">
        <is>
          <t>6.2 mi</t>
        </is>
      </c>
      <c r="D27" s="39" t="inlineStr">
        <is>
          <t>(865) 555-0166</t>
        </is>
      </c>
      <c r="E27" s="39" t="inlineStr">
        <is>
          <t>Prix fixe Thu/Fri/Sat</t>
        </is>
      </c>
    </row>
    <row r="28" ht="28" customHeight="1">
      <c r="A28" s="53" t="inlineStr">
        <is>
          <t>Bar/Nightlife</t>
        </is>
      </c>
      <c r="B28" s="39" t="inlineStr">
        <is>
          <t>Mill &amp; Main</t>
        </is>
      </c>
      <c r="C28" s="39" t="inlineStr">
        <is>
          <t>2.4 mi</t>
        </is>
      </c>
      <c r="D28" s="39" t="inlineStr">
        <is>
          <t>(865) 555-0177</t>
        </is>
      </c>
      <c r="E28" s="39" t="inlineStr">
        <is>
          <t>Live music Fri/Sat after 9</t>
        </is>
      </c>
    </row>
    <row r="29" ht="28" customHeight="1">
      <c r="A29" s="53" t="inlineStr">
        <is>
          <t>Emergency (non-911)</t>
        </is>
      </c>
      <c r="B29" s="39" t="inlineStr">
        <is>
          <t>Sevier County Sheriff</t>
        </is>
      </c>
      <c r="C29" s="39" t="inlineStr"/>
      <c r="D29" s="39" t="inlineStr">
        <is>
          <t>(865) 436-5181</t>
        </is>
      </c>
      <c r="E29" s="39" t="inlineStr">
        <is>
          <t>Non-emergency line</t>
        </is>
      </c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inlineStr">
        <is>
          <t>Thursday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inlineStr">
        <is>
          <t>Around the right side of the house, next to the shed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inlineStr">
        <is>
          <t>Cardboard, plastic #1-2, aluminum. No glass.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inlineStr">
        <is>
          <t>Green = recycling, black = trash. When in doubt — trash.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inlineStr">
        <is>
          <t>To the curb by 7 AM Thursday. Bring back Friday.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inlineStr">
        <is>
          <t>65-78°F — auto-schedule handles the rest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inlineStr">
        <is>
          <t>Breaker panel is in the laundry room. Sevier Electric: (865) 453-2887. Text host if it's longer than an hour.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inlineStr">
        <is>
          <t>11:00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inlineStr">
        <is>
          <t>hallway laundry basket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inlineStr">
        <is>
          <t>curb (Thursday) or dumpster on-site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inlineStr">
        <is>
          <t>72°F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inlineStr">
        <is>
          <t>in lockbox, reset to 0000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8" t="inlineStr">
        <is>
          <t>Your tasks (one per line):</t>
        </is>
      </c>
      <c r="B22" s="49" t="n"/>
      <c r="C22" s="49" t="n"/>
      <c r="D22" s="50" t="inlineStr">
        <is>
          <t>• Throw any leftover food
• Text the host when on the road — we'll release your deposit faster</t>
        </is>
      </c>
      <c r="E22" s="49" t="n"/>
      <c r="F22" s="49" t="n"/>
      <c r="G22" s="49" t="n"/>
      <c r="H22" s="49" t="n"/>
      <c r="I22" s="49" t="n"/>
      <c r="J22" s="49" t="n"/>
      <c r="K22" s="49" t="n"/>
      <c r="L22" s="51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32" t="inlineStr">
        <is>
          <t>LeConte Medical Center</t>
        </is>
      </c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39" t="inlineStr">
        <is>
          <t>(865) 446-7000</t>
        </is>
      </c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36" t="inlineStr">
        <is>
          <t>742 Middle Creek Rd, Sevierville, TN 37862</t>
        </is>
      </c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32" t="inlineStr">
        <is>
          <t>FastMed Urgent Care</t>
        </is>
      </c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39" t="inlineStr">
        <is>
          <t>(865) 428-1020</t>
        </is>
      </c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36" t="inlineStr">
        <is>
          <t>(865) 436-5181</t>
        </is>
      </c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6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39" t="inlineStr">
        <is>
          <t>Mountain Vet ER — (865) 329-1905</t>
        </is>
      </c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39" t="inlineStr">
        <is>
          <t>Sevier Electric: (865) 453-2887</t>
        </is>
      </c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57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58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9" t="inlineStr">
        <is>
          <t>COMPLETION</t>
        </is>
      </c>
      <c r="B9" s="60" t="n"/>
      <c r="C9" s="60" t="n"/>
      <c r="D9" s="61" t="n"/>
      <c r="E9" s="62" t="inlineStr">
        <is>
          <t>RED FLAGS</t>
        </is>
      </c>
      <c r="F9" s="60" t="n"/>
      <c r="G9" s="60" t="n"/>
      <c r="H9" s="61" t="n"/>
      <c r="I9" s="59" t="inlineStr">
        <is>
          <t>STATUS</t>
        </is>
      </c>
      <c r="J9" s="60" t="n"/>
      <c r="K9" s="60" t="n"/>
      <c r="L9" s="61" t="n"/>
    </row>
    <row r="10">
      <c r="A10" s="63">
        <f>TEXT((COUNTA('Property'!B5:B12) + COUNTA('Arrival'!B5:B11) + COUNTA('WiFi + Tech'!B5:B12) + COUNTA('House Rules'!B5:B11) + COUNTA('Local Guide'!B10:E29) + COUNTA('Trash'!B5:B11) + COUNTA('Departure'!B5:B10) + COUNTA('Emergency'!B5:B13))/132, "0%")</f>
        <v/>
      </c>
      <c r="B10" s="64" t="n"/>
      <c r="C10" s="64" t="n"/>
      <c r="D10" s="65" t="n"/>
      <c r="E10" s="66">
        <f>IF('Property'!B5="",1,0) + IF('Property'!B6="",1,0) + IF('Property'!B7="",1,0) + IF('WiFi + Tech'!B5="",1,0) + IF('WiFi + Tech'!B6="",1,0) + IF('Trash'!B5="",1,0) + IF('Departure'!B5="",1,0) + IF('Emergency'!B7="",1,0) + IF('Emergency'!B8="",1,0) + IF('Emergency'!B10="",1,0)</f>
        <v/>
      </c>
      <c r="F10" s="64" t="n"/>
      <c r="G10" s="64" t="n"/>
      <c r="H10" s="65" t="n"/>
      <c r="I10" s="67">
        <f>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IF('Emergency'!B10="",1,0))=0,"READY",IF((IF('Property'!B5="",1,0)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IF('Emergency'!B10="",1,0))&lt;=2,"MINOR","NEEDS WORK"))</f>
        <v/>
      </c>
      <c r="J10" s="64" t="n"/>
      <c r="K10" s="64" t="n"/>
      <c r="L10" s="65" t="n"/>
    </row>
    <row r="11">
      <c r="A11" s="68" t="n"/>
      <c r="B11" s="64" t="n"/>
      <c r="C11" s="64" t="n"/>
      <c r="D11" s="65" t="n"/>
      <c r="E11" s="68" t="n"/>
      <c r="F11" s="64" t="n"/>
      <c r="G11" s="64" t="n"/>
      <c r="H11" s="65" t="n"/>
      <c r="I11" s="68" t="n"/>
      <c r="J11" s="64" t="n"/>
      <c r="K11" s="64" t="n"/>
      <c r="L11" s="65" t="n"/>
    </row>
    <row r="12">
      <c r="A12" s="69" t="inlineStr">
        <is>
          <t>of 132 fields filled</t>
        </is>
      </c>
      <c r="B12" s="70" t="n"/>
      <c r="C12" s="70" t="n"/>
      <c r="D12" s="71" t="n"/>
      <c r="E12" s="69" t="inlineStr">
        <is>
          <t>required fields empty</t>
        </is>
      </c>
      <c r="F12" s="70" t="n"/>
      <c r="G12" s="70" t="n"/>
      <c r="H12" s="71" t="n"/>
      <c r="I12" s="69" t="inlineStr">
        <is>
          <t>0 = green · 1-2 = yellow · 3+ = red</t>
        </is>
      </c>
      <c r="J12" s="70" t="n"/>
      <c r="K12" s="70" t="n"/>
      <c r="L12" s="71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2" t="inlineStr">
        <is>
          <t>Print area is pre-set to letter portrait. × Host Notes tab excluded.</t>
        </is>
      </c>
    </row>
    <row r="24" ht="30" customHeight="1">
      <c r="A24" s="26">
        <f>CONCATENATE("Welcome to ", Property!B5)</f>
        <v/>
      </c>
    </row>
    <row r="25" ht="30" customHeight="1"/>
    <row r="27">
      <c r="A27" s="73" t="inlineStr">
        <is>
          <t>Host:</t>
        </is>
      </c>
      <c r="E27" s="74">
        <f>IF(Property!B6="","(not set)",Property!B6)</f>
        <v/>
      </c>
    </row>
    <row r="28">
      <c r="A28" s="73" t="inlineStr">
        <is>
          <t>Host phone:</t>
        </is>
      </c>
      <c r="E28" s="74">
        <f>IF(Property!B7="","(not set)",Property!B7)</f>
        <v/>
      </c>
    </row>
    <row r="29">
      <c r="A29" s="73" t="inlineStr">
        <is>
          <t>Check-in:</t>
        </is>
      </c>
      <c r="E29" s="74">
        <f>IF(Property!B8="","(not set)",Property!B8)</f>
        <v/>
      </c>
    </row>
    <row r="30">
      <c r="A30" s="73" t="inlineStr">
        <is>
          <t>Check-out:</t>
        </is>
      </c>
      <c r="E30" s="74">
        <f>IF(Property!B9="","(not set)",Property!B9)</f>
        <v/>
      </c>
    </row>
    <row r="32">
      <c r="A32" s="73" t="inlineStr">
        <is>
          <t>Address:</t>
        </is>
      </c>
      <c r="E32" s="74">
        <f>IF(Arrival!B5="","(not set)",Arrival!B5)</f>
        <v/>
      </c>
    </row>
    <row r="33">
      <c r="A33" s="73" t="inlineStr">
        <is>
          <t>Entry method:</t>
        </is>
      </c>
      <c r="E33" s="74">
        <f>IF(Arrival!B6="","(not set)",Arrival!B6)</f>
        <v/>
      </c>
    </row>
    <row r="34">
      <c r="A34" s="73" t="inlineStr">
        <is>
          <t>Door/lock code:</t>
        </is>
      </c>
      <c r="E34" s="74">
        <f>IF(Arrival!B7="","(not set)",Arrival!B7)</f>
        <v/>
      </c>
    </row>
    <row r="35">
      <c r="A35" s="75" t="inlineStr">
        <is>
          <t>Parking:</t>
        </is>
      </c>
      <c r="E35" s="76">
        <f>IF(Arrival!B8="","(not set)",Arrival!B8)</f>
        <v/>
      </c>
    </row>
    <row r="37">
      <c r="A37" s="77" t="inlineStr"/>
      <c r="E37" s="78">
        <f>IF(""="","(not set)","")</f>
        <v/>
      </c>
    </row>
    <row r="38">
      <c r="A38" s="79" t="inlineStr">
        <is>
          <t>WiFi</t>
        </is>
      </c>
    </row>
    <row r="39">
      <c r="A39" s="80" t="inlineStr">
        <is>
          <t>Network:</t>
        </is>
      </c>
      <c r="E39" s="81">
        <f>IF('WiFi + Tech'!B5="","(not set)",'WiFi + Tech'!B5)</f>
        <v/>
      </c>
    </row>
    <row r="40">
      <c r="A40" s="80" t="inlineStr">
        <is>
          <t>Password:</t>
        </is>
      </c>
      <c r="E40" s="81">
        <f>IF('WiFi + Tech'!B6="","(not set)",'WiFi + Tech'!B6)</f>
        <v/>
      </c>
    </row>
    <row r="48" ht="28" customHeight="1">
      <c r="A48" s="82" t="inlineStr">
        <is>
          <t>House Rules</t>
        </is>
      </c>
    </row>
    <row r="49">
      <c r="A49" s="73" t="inlineStr">
        <is>
          <t>Quiet hours:</t>
        </is>
      </c>
      <c r="E49" s="74">
        <f>IF('House Rules'!B5="","(not set)",'House Rules'!B5)</f>
        <v/>
      </c>
    </row>
    <row r="50">
      <c r="A50" s="73" t="inlineStr">
        <is>
          <t>Max guests:</t>
        </is>
      </c>
      <c r="E50" s="74">
        <f>IF('House Rules'!B6="","(not set)",'House Rules'!B6)</f>
        <v/>
      </c>
    </row>
    <row r="51">
      <c r="A51" s="73" t="inlineStr">
        <is>
          <t>Smoking:</t>
        </is>
      </c>
      <c r="E51" s="74">
        <f>IF('House Rules'!B7="","(not set)",'House Rules'!B7)</f>
        <v/>
      </c>
    </row>
    <row r="52">
      <c r="A52" s="73" t="inlineStr">
        <is>
          <t>Pets:</t>
        </is>
      </c>
      <c r="E52" s="74">
        <f>IF('House Rules'!B8="","(not set)",'House Rules'!B8)</f>
        <v/>
      </c>
    </row>
    <row r="53">
      <c r="A53" s="73" t="inlineStr">
        <is>
          <t>Events:</t>
        </is>
      </c>
      <c r="E53" s="74">
        <f>IF('House Rules'!B9="","(not set)",'House Rules'!B9)</f>
        <v/>
      </c>
    </row>
    <row r="54">
      <c r="A54" s="73" t="inlineStr">
        <is>
          <t>Shoes:</t>
        </is>
      </c>
      <c r="E54" s="74">
        <f>IF('House Rules'!B10="","(not set)",'House Rules'!B10)</f>
        <v/>
      </c>
    </row>
    <row r="56" ht="28" customHeight="1">
      <c r="A56" s="82" t="inlineStr">
        <is>
          <t>Local Guide — Our Top 10</t>
        </is>
      </c>
    </row>
    <row r="57">
      <c r="A57" s="83">
        <f>'Local Guide'!A10</f>
        <v/>
      </c>
      <c r="C57" s="84">
        <f>IF('Local Guide'!B10="","",'Local Guide'!B10)</f>
        <v/>
      </c>
      <c r="G57" s="85">
        <f>IF('Local Guide'!C10="","",'Local Guide'!C10)</f>
        <v/>
      </c>
      <c r="I57" s="86">
        <f>IF('Local Guide'!E10="","",'Local Guide'!E10)</f>
        <v/>
      </c>
    </row>
    <row r="58">
      <c r="A58" s="83">
        <f>'Local Guide'!A11</f>
        <v/>
      </c>
      <c r="C58" s="84">
        <f>IF('Local Guide'!B11="","",'Local Guide'!B11)</f>
        <v/>
      </c>
      <c r="G58" s="85">
        <f>IF('Local Guide'!C11="","",'Local Guide'!C11)</f>
        <v/>
      </c>
      <c r="I58" s="86">
        <f>IF('Local Guide'!E11="","",'Local Guide'!E11)</f>
        <v/>
      </c>
    </row>
    <row r="59">
      <c r="A59" s="83">
        <f>'Local Guide'!A12</f>
        <v/>
      </c>
      <c r="C59" s="84">
        <f>IF('Local Guide'!B12="","",'Local Guide'!B12)</f>
        <v/>
      </c>
      <c r="G59" s="85">
        <f>IF('Local Guide'!C12="","",'Local Guide'!C12)</f>
        <v/>
      </c>
      <c r="I59" s="86">
        <f>IF('Local Guide'!E12="","",'Local Guide'!E12)</f>
        <v/>
      </c>
    </row>
    <row r="60">
      <c r="A60" s="83">
        <f>'Local Guide'!A13</f>
        <v/>
      </c>
      <c r="C60" s="84">
        <f>IF('Local Guide'!B13="","",'Local Guide'!B13)</f>
        <v/>
      </c>
      <c r="G60" s="85">
        <f>IF('Local Guide'!C13="","",'Local Guide'!C13)</f>
        <v/>
      </c>
      <c r="I60" s="86">
        <f>IF('Local Guide'!E13="","",'Local Guide'!E13)</f>
        <v/>
      </c>
    </row>
    <row r="61">
      <c r="A61" s="83">
        <f>'Local Guide'!A14</f>
        <v/>
      </c>
      <c r="C61" s="84">
        <f>IF('Local Guide'!B14="","",'Local Guide'!B14)</f>
        <v/>
      </c>
      <c r="G61" s="85">
        <f>IF('Local Guide'!C14="","",'Local Guide'!C14)</f>
        <v/>
      </c>
      <c r="I61" s="86">
        <f>IF('Local Guide'!E14="","",'Local Guide'!E14)</f>
        <v/>
      </c>
    </row>
    <row r="62">
      <c r="A62" s="83">
        <f>'Local Guide'!A15</f>
        <v/>
      </c>
      <c r="C62" s="84">
        <f>IF('Local Guide'!B15="","",'Local Guide'!B15)</f>
        <v/>
      </c>
      <c r="G62" s="85">
        <f>IF('Local Guide'!C15="","",'Local Guide'!C15)</f>
        <v/>
      </c>
      <c r="I62" s="86">
        <f>IF('Local Guide'!E15="","",'Local Guide'!E15)</f>
        <v/>
      </c>
    </row>
    <row r="63">
      <c r="A63" s="83">
        <f>'Local Guide'!A16</f>
        <v/>
      </c>
      <c r="C63" s="84">
        <f>IF('Local Guide'!B16="","",'Local Guide'!B16)</f>
        <v/>
      </c>
      <c r="G63" s="85">
        <f>IF('Local Guide'!C16="","",'Local Guide'!C16)</f>
        <v/>
      </c>
      <c r="I63" s="86">
        <f>IF('Local Guide'!E16="","",'Local Guide'!E16)</f>
        <v/>
      </c>
    </row>
    <row r="64">
      <c r="A64" s="83">
        <f>'Local Guide'!A17</f>
        <v/>
      </c>
      <c r="C64" s="84">
        <f>IF('Local Guide'!B17="","",'Local Guide'!B17)</f>
        <v/>
      </c>
      <c r="G64" s="85">
        <f>IF('Local Guide'!C17="","",'Local Guide'!C17)</f>
        <v/>
      </c>
      <c r="I64" s="86">
        <f>IF('Local Guide'!E17="","",'Local Guide'!E17)</f>
        <v/>
      </c>
    </row>
    <row r="65">
      <c r="A65" s="83">
        <f>'Local Guide'!A18</f>
        <v/>
      </c>
      <c r="C65" s="84">
        <f>IF('Local Guide'!B18="","",'Local Guide'!B18)</f>
        <v/>
      </c>
      <c r="G65" s="85">
        <f>IF('Local Guide'!C18="","",'Local Guide'!C18)</f>
        <v/>
      </c>
      <c r="I65" s="86">
        <f>IF('Local Guide'!E18="","",'Local Guide'!E18)</f>
        <v/>
      </c>
    </row>
    <row r="66">
      <c r="A66" s="83">
        <f>'Local Guide'!A19</f>
        <v/>
      </c>
      <c r="C66" s="84">
        <f>IF('Local Guide'!B19="","",'Local Guide'!B19)</f>
        <v/>
      </c>
      <c r="G66" s="85">
        <f>IF('Local Guide'!C19="","",'Local Guide'!C19)</f>
        <v/>
      </c>
      <c r="I66" s="86">
        <f>IF('Local Guide'!E19="","",'Local Guide'!E19)</f>
        <v/>
      </c>
    </row>
    <row r="68">
      <c r="A68" s="87" t="inlineStr">
        <is>
          <t>Trash &amp; Maintenance</t>
        </is>
      </c>
    </row>
    <row r="69">
      <c r="A69" s="73" t="inlineStr">
        <is>
          <t>Pickup day:</t>
        </is>
      </c>
      <c r="E69" s="74">
        <f>IF('Trash'!B5="","(not set)",'Trash'!B5)</f>
        <v/>
      </c>
    </row>
    <row r="70">
      <c r="A70" s="73" t="inlineStr">
        <is>
          <t>Bin location:</t>
        </is>
      </c>
      <c r="E70" s="74">
        <f>IF('Trash'!B6="","(not set)",'Trash'!B6)</f>
        <v/>
      </c>
    </row>
    <row r="72">
      <c r="A72" s="87" t="inlineStr">
        <is>
          <t>Checkout</t>
        </is>
      </c>
    </row>
    <row r="73">
      <c r="A73" s="73" t="inlineStr">
        <is>
          <t>Time:</t>
        </is>
      </c>
      <c r="E73" s="74">
        <f>IF(Departure!B5="","(not set)",Departure!B5)</f>
        <v/>
      </c>
    </row>
    <row r="74">
      <c r="A74" s="73" t="inlineStr">
        <is>
          <t>Linens:</t>
        </is>
      </c>
      <c r="E74" s="74">
        <f>IF(Departure!B7="","(not set)",Departure!B7)</f>
        <v/>
      </c>
    </row>
    <row r="75">
      <c r="A75" s="73" t="inlineStr">
        <is>
          <t>Key return:</t>
        </is>
      </c>
      <c r="E75" s="74">
        <f>IF(Departure!B10="","(not set)",Departure!B10)</f>
        <v/>
      </c>
    </row>
    <row r="77">
      <c r="A77" s="88" t="inlineStr">
        <is>
          <t>Emergency — Call 911 First</t>
        </is>
      </c>
    </row>
    <row r="78">
      <c r="A78" s="73" t="inlineStr">
        <is>
          <t>Hospital:</t>
        </is>
      </c>
      <c r="E78" s="74">
        <f>IF(Emergency!B7="","(not set)",Emergency!B7)</f>
        <v/>
      </c>
    </row>
    <row r="79">
      <c r="A79" s="73" t="inlineStr">
        <is>
          <t>Hospital phone:</t>
        </is>
      </c>
      <c r="E79" s="74">
        <f>IF(Emergency!B8="","(not set)",Emergency!B8)</f>
        <v/>
      </c>
    </row>
    <row r="80">
      <c r="A80" s="89" t="inlineStr">
        <is>
          <t>Host phone:</t>
        </is>
      </c>
      <c r="E80" s="90">
        <f>IF(Property!B7="","(not set)",Property!B7)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1" t="n"/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</row>
    <row r="2" ht="28" customHeight="1">
      <c r="A2" s="43">
        <f>HYPERLINK("#'Review &amp; Print'!A1", "← BACK")</f>
        <v/>
      </c>
      <c r="B2" s="44" t="n"/>
      <c r="C2" s="44" t="n"/>
      <c r="D2" s="92" t="inlineStr">
        <is>
          <t>BONUS</t>
        </is>
      </c>
    </row>
    <row r="3">
      <c r="A3" s="91" t="n"/>
      <c r="B3" s="91" t="n"/>
      <c r="C3" s="91" t="n"/>
      <c r="D3" s="91" t="n"/>
      <c r="E3" s="91" t="n"/>
      <c r="F3" s="91" t="n"/>
      <c r="G3" s="91" t="n"/>
      <c r="H3" s="91" t="n"/>
      <c r="I3" s="91" t="n"/>
      <c r="J3" s="91" t="n"/>
      <c r="K3" s="91" t="n"/>
      <c r="L3" s="91" t="n"/>
    </row>
    <row r="4" ht="36" customHeight="1">
      <c r="A4" s="93" t="inlineStr">
        <is>
          <t>Bonus — Airbnb Listing Copy</t>
        </is>
      </c>
    </row>
    <row r="5" ht="20" customHeight="1">
      <c r="A5" s="94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5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49" t="n"/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1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5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1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5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1" t="n"/>
    </row>
    <row r="18" ht="22" customHeight="1">
      <c r="A18" s="43">
        <f>HYPERLINK("#'Review &amp; Print'!A1", "← Back: Review &amp; Print")</f>
        <v/>
      </c>
      <c r="B18" s="44" t="n"/>
      <c r="C18" s="44" t="n"/>
      <c r="D18" s="44" t="n"/>
      <c r="E18" s="44" t="n"/>
      <c r="F18" s="44" t="n"/>
      <c r="G18" s="43">
        <f>HYPERLINK("#'× Host Notes'!A1", "Host Notes (private) →")</f>
        <v/>
      </c>
      <c r="H18" s="44" t="n"/>
      <c r="I18" s="44" t="n"/>
      <c r="J18" s="44" t="n"/>
      <c r="K18" s="44" t="n"/>
      <c r="L18" s="44" t="n"/>
    </row>
    <row r="19" ht="22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2026-04-24T12:52:40Z</dcterms:created>
  <dcterms:modified xmlns:dcterms="http://purl.org/dc/terms/" xmlns:xsi="http://www.w3.org/2001/XMLSchema-instance" xsi:type="dcterms:W3CDTF">2026-04-24T12:52:40Z</dcterms:modified>
</cp:coreProperties>
</file>