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Cleaners" sheetId="2" state="visible" r:id="rId2"/>
    <sheet xmlns:r="http://schemas.openxmlformats.org/officeDocument/2006/relationships" name="Turnover Assignment" sheetId="3" state="visible" r:id="rId3"/>
    <sheet xmlns:r="http://schemas.openxmlformats.org/officeDocument/2006/relationships" name="Payroll Run" sheetId="4" state="visible" r:id="rId4"/>
    <sheet xmlns:r="http://schemas.openxmlformats.org/officeDocument/2006/relationships" name="Performance" sheetId="5" state="visible" r:id="rId5"/>
    <sheet xmlns:r="http://schemas.openxmlformats.org/officeDocument/2006/relationships" name="1099-NEC Year-End" sheetId="6" state="visible" r:id="rId6"/>
    <sheet xmlns:r="http://schemas.openxmlformats.org/officeDocument/2006/relationships" name="Settings" sheetId="7" state="visible" r:id="rId7"/>
  </sheets>
  <definedNames>
    <definedName name="_xlnm.Print_Area" localSheetId="0">'Start'!$A$1:$L$48</definedName>
    <definedName name="_xlnm.Print_Titles" localSheetId="1">'Cleaners'!$1:$5</definedName>
    <definedName name="_xlnm.Print_Titles" localSheetId="2">'Turnover Assignment'!$1:$5</definedName>
    <definedName name="_xlnm.Print_Titles" localSheetId="3">'Payroll Run'!$1:$8</definedName>
    <definedName name="_xlnm.Print_Area" localSheetId="3">'Payroll Run'!$A$1:$G$42</definedName>
    <definedName name="_xlnm.Print_Titles" localSheetId="4">'Performance'!$1:$5</definedName>
    <definedName name="_xlnm.Print_Titles" localSheetId="5">'1099-NEC Year-End'!$1:$5</definedName>
    <definedName name="_xlnm.Print_Area" localSheetId="5">'1099-NEC Year-End'!$A$1:$F$44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yyyy-mm-dd"/>
    <numFmt numFmtId="167" formatCode="0.0"/>
  </numFmts>
  <fonts count="29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4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24"/>
    </font>
    <font>
      <name val="Consolas"/>
      <b val="1"/>
      <color rgb="00B5725E"/>
      <sz val="9"/>
    </font>
    <font>
      <name val="Georgia"/>
      <b val="1"/>
      <color rgb="00B5725E"/>
      <sz val="16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i val="1"/>
      <color rgb="00B91C1C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Calibri"/>
      <b val="1"/>
      <color rgb="002B2B2B"/>
      <sz val="11"/>
    </font>
    <font>
      <name val="Calibri"/>
      <b val="1"/>
      <color rgb="0012304E"/>
      <sz val="11"/>
    </font>
    <font>
      <name val="Georgia"/>
      <b val="1"/>
      <color rgb="0012304E"/>
      <sz val="12"/>
    </font>
    <font>
      <name val="Calibri"/>
      <b val="1"/>
      <color rgb="0012304E"/>
      <sz val="12"/>
    </font>
    <font>
      <name val="Georgia"/>
      <b val="1"/>
      <color rgb="0012304E"/>
      <sz val="14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EFE5D0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7" fillId="3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10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center"/>
    </xf>
    <xf numFmtId="0" fontId="8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11" fillId="3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9" fillId="3" borderId="7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14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5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5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6" fillId="6" borderId="0" applyAlignment="1" pivotButton="0" quotePrefix="0" xfId="0">
      <alignment horizontal="left" vertical="center" wrapText="1" indent="2"/>
    </xf>
    <xf numFmtId="0" fontId="0" fillId="6" borderId="0" pivotButton="0" quotePrefix="0" xfId="0"/>
    <xf numFmtId="0" fontId="16" fillId="0" borderId="0" applyAlignment="1" pivotButton="0" quotePrefix="0" xfId="0">
      <alignment horizontal="center" vertical="center" wrapText="1"/>
    </xf>
    <xf numFmtId="0" fontId="17" fillId="5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right" vertical="center" indent="2"/>
    </xf>
    <xf numFmtId="0" fontId="21" fillId="3" borderId="0" applyAlignment="1" pivotButton="0" quotePrefix="0" xfId="0">
      <alignment horizontal="left" vertical="center" indent="1"/>
    </xf>
    <xf numFmtId="0" fontId="17" fillId="2" borderId="14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165" fontId="6" fillId="7" borderId="0" applyAlignment="1" pivotButton="0" quotePrefix="0" xfId="0">
      <alignment horizontal="left" vertical="center"/>
    </xf>
    <xf numFmtId="2" fontId="22" fillId="8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left" vertical="center"/>
    </xf>
    <xf numFmtId="2" fontId="6" fillId="7" borderId="0" applyAlignment="1" pivotButton="0" quotePrefix="0" xfId="0">
      <alignment horizontal="left" vertical="center"/>
    </xf>
    <xf numFmtId="165" fontId="22" fillId="8" borderId="0" applyAlignment="1" pivotButton="0" quotePrefix="0" xfId="0">
      <alignment horizontal="right" vertical="center"/>
    </xf>
    <xf numFmtId="167" fontId="6" fillId="7" borderId="0" applyAlignment="1" pivotButton="0" quotePrefix="0" xfId="0">
      <alignment horizontal="center" vertical="center"/>
    </xf>
    <xf numFmtId="167" fontId="6" fillId="7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right" vertical="center"/>
    </xf>
    <xf numFmtId="0" fontId="22" fillId="8" borderId="0" applyAlignment="1" pivotButton="0" quotePrefix="0" xfId="0">
      <alignment horizontal="left" vertical="center"/>
    </xf>
    <xf numFmtId="1" fontId="22" fillId="8" borderId="0" applyAlignment="1" pivotButton="0" quotePrefix="0" xfId="0">
      <alignment horizontal="center" vertical="center"/>
    </xf>
    <xf numFmtId="2" fontId="22" fillId="8" borderId="0" applyAlignment="1" pivotButton="0" quotePrefix="0" xfId="0">
      <alignment horizontal="right" vertical="center"/>
    </xf>
    <xf numFmtId="165" fontId="24" fillId="8" borderId="0" applyAlignment="1" pivotButton="0" quotePrefix="0" xfId="0">
      <alignment horizontal="right" vertical="center"/>
    </xf>
    <xf numFmtId="0" fontId="25" fillId="4" borderId="0" applyAlignment="1" pivotButton="0" quotePrefix="0" xfId="0">
      <alignment horizontal="right" vertical="center"/>
    </xf>
    <xf numFmtId="1" fontId="26" fillId="4" borderId="0" applyAlignment="1" pivotButton="0" quotePrefix="0" xfId="0">
      <alignment horizontal="right" vertical="center"/>
    </xf>
    <xf numFmtId="2" fontId="26" fillId="4" borderId="0" applyAlignment="1" pivotButton="0" quotePrefix="0" xfId="0">
      <alignment horizontal="right" vertical="center"/>
    </xf>
    <xf numFmtId="165" fontId="26" fillId="4" borderId="0" applyAlignment="1" pivotButton="0" quotePrefix="0" xfId="0">
      <alignment horizontal="right" vertical="center"/>
    </xf>
    <xf numFmtId="1" fontId="6" fillId="7" borderId="0" applyAlignment="1" pivotButton="0" quotePrefix="0" xfId="0">
      <alignment horizontal="center" vertical="center"/>
    </xf>
    <xf numFmtId="0" fontId="22" fillId="8" borderId="0" applyAlignment="1" pivotButton="0" quotePrefix="0" xfId="0">
      <alignment horizontal="center" vertical="center"/>
    </xf>
    <xf numFmtId="0" fontId="27" fillId="0" borderId="0" pivotButton="0" quotePrefix="0" xfId="0"/>
    <xf numFmtId="0" fontId="23" fillId="0" borderId="0" applyAlignment="1" pivotButton="0" quotePrefix="0" xfId="0">
      <alignment horizontal="left" vertical="center"/>
    </xf>
    <xf numFmtId="1" fontId="24" fillId="0" borderId="0" applyAlignment="1" pivotButton="0" quotePrefix="0" xfId="0">
      <alignment horizontal="right" vertical="center"/>
    </xf>
    <xf numFmtId="165" fontId="24" fillId="0" borderId="0" applyAlignment="1" pivotButton="0" quotePrefix="0" xfId="0">
      <alignment horizontal="right" vertical="center"/>
    </xf>
    <xf numFmtId="1" fontId="6" fillId="7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 vertical="center" wrapText="1" indent="1"/>
    </xf>
    <xf numFmtId="164" fontId="6" fillId="7" borderId="0" applyAlignment="1" pivotButton="0" quotePrefix="0" xfId="0">
      <alignment horizontal="left" vertical="center"/>
    </xf>
    <xf numFmtId="0" fontId="15" fillId="0" borderId="0" pivotButton="0" quotePrefix="0" xfId="0"/>
    <xf numFmtId="0" fontId="28" fillId="0" borderId="0" applyAlignment="1" pivotButton="0" quotePrefix="0" xfId="0">
      <alignment horizontal="left" vertical="center" wrapText="1"/>
    </xf>
    <xf numFmtId="0" fontId="6" fillId="0" borderId="0" pivotButton="0" quotePrefix="0" xfId="0"/>
  </cellXfs>
  <cellStyles count="1">
    <cellStyle name="Normal" xfId="0" builtinId="0" hidden="0"/>
  </cellStyles>
  <dxfs count="6">
    <dxf>
      <font>
        <b val="1"/>
        <color rgb="00B91C1C"/>
      </font>
      <fill>
        <patternFill patternType="solid">
          <fgColor rgb="00FFCCCC"/>
        </patternFill>
      </fill>
    </dxf>
    <dxf>
      <font>
        <i val="1"/>
        <color rgb="006B7280"/>
      </font>
    </dxf>
    <dxf>
      <fill>
        <patternFill patternType="solid">
          <fgColor rgb="00C7EFCF"/>
        </patternFill>
      </fill>
    </dxf>
    <dxf>
      <fill>
        <patternFill patternType="solid">
          <fgColor rgb="00FFF3BF"/>
        </patternFill>
      </fill>
    </dxf>
    <dxf>
      <font>
        <b val="1"/>
        <color rgb="0012304E"/>
      </font>
      <fill>
        <patternFill patternType="solid">
          <fgColor rgb="00C7EFCF"/>
        </patternFill>
      </fill>
    </dxf>
    <dxf>
      <font>
        <b val="1"/>
      </font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Turnovers YTD by Cleaner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'Performance'!B5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'Performance'!$A$6:$A$20</f>
            </numRef>
          </cat>
          <val>
            <numRef>
              <f>'Performance'!$B$6:$B$20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Paid by Cleaner (YTD)</a:t>
            </a:r>
          </a:p>
        </rich>
      </tx>
    </title>
    <plotArea>
      <doughnutChart>
        <varyColors val="1"/>
        <ser>
          <idx val="0"/>
          <order val="0"/>
          <tx>
            <strRef>
              <f>'1099-NEC Year-End'!B5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2304E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9A24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5725E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4867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2C8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A1F35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FE5D0"/>
              </a:solidFill>
              <a:ln xmlns:a="http://schemas.openxmlformats.org/drawingml/2006/main">
                <a:prstDash val="solid"/>
              </a:ln>
            </spPr>
          </dPt>
          <cat>
            <numRef>
              <f>'1099-NEC Year-End'!$A$6:$A$20</f>
            </numRef>
          </cat>
          <val>
            <numRef>
              <f>'1099-NEC Year-End'!$B$6:$B$20</f>
            </numRef>
          </val>
        </ser>
        <dLbls>
          <showCatName val="0"/>
          <showPercent val="1"/>
        </dLbls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4</row>
      <rowOff>0</rowOff>
    </from>
    <ext cx="39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6" customHeight="1">
      <c r="A4" s="3" t="inlineStr">
        <is>
          <t>Cleaner CRM + Payroll</t>
        </is>
      </c>
    </row>
    <row r="5" ht="22" customHeight="1">
      <c r="A5" s="4" t="inlineStr">
        <is>
          <t>Your cleaning team — paid right, rated honestly, 1099-ready.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PAM-002 · v2.3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Once you cross 5+ properties, your cleaning team becomes a small business of its own. This workbook tracks every cleaner (CRM), logs every turnover (hours, flat fee, bonus, inspection rating), runs payroll in one click, and rolls totals into a 1099-NEC year-end summary that drops straight into TAX-003. Stop paying late, stop rehiring drama, and walk into January with clean books.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>
      <c r="A18" s="9" t="inlineStr">
        <is>
          <t>ACTIVE CLEANERS</t>
        </is>
      </c>
      <c r="B18" s="10" t="n"/>
      <c r="C18" s="11" t="n"/>
      <c r="D18" s="9" t="inlineStr">
        <is>
          <t>TURNOVERS YTD</t>
        </is>
      </c>
      <c r="E18" s="10" t="n"/>
      <c r="F18" s="11" t="n"/>
      <c r="G18" s="12" t="inlineStr">
        <is>
          <t>$ PAID YTD</t>
        </is>
      </c>
      <c r="H18" s="10" t="n"/>
      <c r="I18" s="11" t="n"/>
      <c r="J18" s="13" t="inlineStr">
        <is>
          <t>TOP PERFORMER</t>
        </is>
      </c>
      <c r="K18" s="10" t="n"/>
      <c r="L18" s="11" t="n"/>
    </row>
    <row r="19">
      <c r="A19" s="14">
        <f>COUNTIF(Cleaners!M6:M55,"Y")</f>
        <v/>
      </c>
      <c r="B19" s="15" t="n"/>
      <c r="C19" s="16" t="n"/>
      <c r="D19" s="14">
        <f>SUMPRODUCT((YEAR('Turnover Assignment'!A6:A1005)=Settings!$B$5)*('Turnover Assignment'!A6:A1005&lt;&gt;""))</f>
        <v/>
      </c>
      <c r="E19" s="15" t="n"/>
      <c r="F19" s="16" t="n"/>
      <c r="G19" s="17">
        <f>SUMPRODUCT((YEAR('Turnover Assignment'!A6:A1005)=Settings!$B$5)*'Turnover Assignment'!K6:K1005)</f>
        <v/>
      </c>
      <c r="H19" s="15" t="n"/>
      <c r="I19" s="16" t="n"/>
      <c r="J19" s="18">
        <f>IFERROR(INDEX(Performance!A6:A55,MATCH(MAX(Performance!C6:C55),Performance!C6:C55,0)),"—")</f>
        <v/>
      </c>
      <c r="K19" s="15" t="n"/>
      <c r="L19" s="16" t="n"/>
    </row>
    <row r="20">
      <c r="A20" s="19" t="n"/>
      <c r="B20" s="15" t="n"/>
      <c r="C20" s="16" t="n"/>
      <c r="D20" s="19" t="n"/>
      <c r="E20" s="15" t="n"/>
      <c r="F20" s="16" t="n"/>
      <c r="G20" s="19" t="n"/>
      <c r="H20" s="15" t="n"/>
      <c r="I20" s="16" t="n"/>
      <c r="J20" s="19" t="n"/>
      <c r="K20" s="15" t="n"/>
      <c r="L20" s="16" t="n"/>
    </row>
    <row r="21">
      <c r="A21" s="20" t="inlineStr">
        <is>
          <t>on roster</t>
        </is>
      </c>
      <c r="B21" s="21" t="n"/>
      <c r="C21" s="22" t="n"/>
      <c r="D21" s="20" t="inlineStr">
        <is>
          <t>in active year</t>
        </is>
      </c>
      <c r="E21" s="21" t="n"/>
      <c r="F21" s="22" t="n"/>
      <c r="G21" s="20" t="inlineStr">
        <is>
          <t>all cleaner pay</t>
        </is>
      </c>
      <c r="H21" s="21" t="n"/>
      <c r="I21" s="22" t="n"/>
      <c r="J21" s="20" t="inlineStr">
        <is>
          <t>by avg rating</t>
        </is>
      </c>
      <c r="K21" s="21" t="n"/>
      <c r="L21" s="22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5" ht="22" customHeight="1">
      <c r="A25" s="23">
        <f>HYPERLINK("#'Cleaners'!A6", "→  ADD A CLEANER  (OPEN CLEANERS CRM)")</f>
        <v/>
      </c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 ht="22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 ht="22" customHeight="1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 ht="22" customHeight="1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30" ht="22" customHeight="1">
      <c r="A30" s="25">
        <f>HYPERLINK("#'Turnover Assignment'!A1", "Turnover Assignment")</f>
        <v/>
      </c>
      <c r="B30" s="26" t="n"/>
      <c r="C30" s="26" t="n"/>
      <c r="D30" s="25">
        <f>HYPERLINK("#'Payroll Run'!A1", "Payroll Run")</f>
        <v/>
      </c>
      <c r="E30" s="26" t="n"/>
      <c r="F30" s="26" t="n"/>
      <c r="G30" s="25">
        <f>HYPERLINK("#'Performance'!A1", "Performance")</f>
        <v/>
      </c>
      <c r="H30" s="26" t="n"/>
      <c r="I30" s="26" t="n"/>
      <c r="J30" s="27">
        <f>HYPERLINK("#'1099-NEC Year-End'!A1", "1099-NEC Year-End")</f>
        <v/>
      </c>
      <c r="K30" s="28" t="n"/>
      <c r="L30" s="28" t="n"/>
    </row>
    <row r="31" ht="22" customHeight="1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8" t="n"/>
      <c r="K31" s="28" t="n"/>
      <c r="L31" s="28" t="n"/>
    </row>
    <row r="33" ht="20" customHeight="1">
      <c r="A33" s="6" t="inlineStr">
        <is>
          <t>HOW TO USE</t>
        </is>
      </c>
    </row>
    <row r="34" ht="20" customHeight="1">
      <c r="A34" s="29" t="inlineStr">
        <is>
          <t>① Cleaners tab: enter every team member — pay rate, W-9 status, certifications, service area.</t>
        </is>
      </c>
    </row>
    <row r="35" ht="20" customHeight="1">
      <c r="A35" s="29" t="inlineStr">
        <is>
          <t>② Turnover Assignment: log every cleaning AS IT HAPPENS — hours, flat fee, bonus, rating.</t>
        </is>
      </c>
    </row>
    <row r="36" ht="20" customHeight="1">
      <c r="A36" s="29" t="inlineStr">
        <is>
          <t>③ Payroll Run: set the period start/end → totals roll up per cleaner. Print and pay.</t>
        </is>
      </c>
    </row>
    <row r="37" ht="20" customHeight="1">
      <c r="A37" s="29" t="inlineStr">
        <is>
          <t>④ Performance: review monthly — flag top performers, decide who to coach or cut.</t>
        </is>
      </c>
    </row>
    <row r="38" ht="20" customHeight="1">
      <c r="A38" s="29" t="inlineStr">
        <is>
          <t>⑤ 1099-NEC Year-End: in January, copy totals into TAX-003 1099-NEC tracker.</t>
        </is>
      </c>
    </row>
    <row r="39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</row>
    <row r="41" ht="32" customHeight="1">
      <c r="A41" s="31" t="inlineStr">
        <is>
          <t>⚠ Pay any cleaner $600+ in a calendar year and you owe them a 1099-NEC by January 31 (IRS Pub 1220, $60–$660 penalty per missed form). Year-End tab tracks who crosses the line.</t>
        </is>
      </c>
    </row>
    <row r="43" ht="30" customHeight="1">
      <c r="A43" s="32" t="inlineStr">
        <is>
          <t>💡 Upgrade to the Full version at thestrledger.com/upgrade — multi-property, depreciation, multi-LLC support.</t>
        </is>
      </c>
    </row>
    <row r="45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</row>
    <row r="46" ht="18" customHeight="1">
      <c r="A46" s="34" t="inlineStr">
        <is>
          <t>Questions? hello@thestrledger.com</t>
        </is>
      </c>
    </row>
    <row r="47" ht="18" customHeight="1">
      <c r="A47" s="35" t="inlineStr">
        <is>
          <t>PAM-002 · v2.3 · Free updates forever</t>
        </is>
      </c>
    </row>
  </sheetData>
  <mergeCells count="32">
    <mergeCell ref="A7:L7"/>
    <mergeCell ref="A11:L15"/>
    <mergeCell ref="A19:C20"/>
    <mergeCell ref="A41:L41"/>
    <mergeCell ref="D30:F31"/>
    <mergeCell ref="D19:F20"/>
    <mergeCell ref="A37:L37"/>
    <mergeCell ref="A46:L46"/>
    <mergeCell ref="A18:C18"/>
    <mergeCell ref="G18:I18"/>
    <mergeCell ref="A21:C21"/>
    <mergeCell ref="A2:F2"/>
    <mergeCell ref="J19:L20"/>
    <mergeCell ref="A30:C31"/>
    <mergeCell ref="A33:L33"/>
    <mergeCell ref="A47:L47"/>
    <mergeCell ref="A5:L5"/>
    <mergeCell ref="D18:F18"/>
    <mergeCell ref="J21:L21"/>
    <mergeCell ref="A35:L35"/>
    <mergeCell ref="A4:L4"/>
    <mergeCell ref="A38:L38"/>
    <mergeCell ref="A10:L10"/>
    <mergeCell ref="J18:L18"/>
    <mergeCell ref="G19:I20"/>
    <mergeCell ref="A25:L28"/>
    <mergeCell ref="J30:L31"/>
    <mergeCell ref="G21:I21"/>
    <mergeCell ref="A34:L34"/>
    <mergeCell ref="G30:I31"/>
    <mergeCell ref="A36:L36"/>
    <mergeCell ref="D21:F21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O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26" customWidth="1" min="4" max="4"/>
    <col width="32" customWidth="1" min="5" max="5"/>
    <col width="9" customWidth="1" min="6" max="6"/>
    <col width="7" customWidth="1" min="7" max="7"/>
    <col width="14" customWidth="1" min="8" max="8"/>
    <col width="11" customWidth="1" min="9" max="9"/>
    <col width="12" customWidth="1" min="10" max="10"/>
    <col width="24" customWidth="1" min="11" max="11"/>
    <col width="28" customWidth="1" min="12" max="12"/>
    <col width="8" customWidth="1" min="13" max="13"/>
    <col width="11" customWidth="1" min="14" max="14"/>
    <col width="28" customWidth="1" min="15" max="1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HYPERLINK("#'Start'!A1", "← BACK")</f>
        <v/>
      </c>
      <c r="B2" s="24" t="n"/>
      <c r="C2" s="24" t="n"/>
      <c r="D2" s="36" t="inlineStr">
        <is>
          <t>CLEANERS CRM</t>
        </is>
      </c>
      <c r="J2" s="27">
        <f>HYPERLINK("#'Turnover Assignment'!A1", "NEXT →")</f>
        <v/>
      </c>
      <c r="K2" s="28" t="n"/>
      <c r="L2" s="2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Add every cleaner — pay rate, W-9 status, certifications, service area</t>
        </is>
      </c>
    </row>
    <row r="5" ht="20" customHeight="1">
      <c r="A5" s="38" t="inlineStr">
        <is>
          <t>Cleaner ID</t>
        </is>
      </c>
      <c r="B5" s="38" t="inlineStr">
        <is>
          <t>Name</t>
        </is>
      </c>
      <c r="C5" s="38" t="inlineStr">
        <is>
          <t>Phone</t>
        </is>
      </c>
      <c r="D5" s="38" t="inlineStr">
        <is>
          <t>Email</t>
        </is>
      </c>
      <c r="E5" s="38" t="inlineStr">
        <is>
          <t>Address</t>
        </is>
      </c>
      <c r="F5" s="38" t="inlineStr">
        <is>
          <t>EIN/SSN last4</t>
        </is>
      </c>
      <c r="G5" s="38" t="inlineStr">
        <is>
          <t>W-9?</t>
        </is>
      </c>
      <c r="H5" s="38" t="inlineStr">
        <is>
          <t>Pay rate type</t>
        </is>
      </c>
      <c r="I5" s="38" t="inlineStr">
        <is>
          <t>Hourly $</t>
        </is>
      </c>
      <c r="J5" s="38" t="inlineStr">
        <is>
          <t>Per-turnover $</t>
        </is>
      </c>
      <c r="K5" s="38" t="inlineStr">
        <is>
          <t>Service area</t>
        </is>
      </c>
      <c r="L5" s="38" t="inlineStr">
        <is>
          <t>Certifications</t>
        </is>
      </c>
      <c r="M5" s="38" t="inlineStr">
        <is>
          <t>Active?</t>
        </is>
      </c>
      <c r="N5" s="38" t="inlineStr">
        <is>
          <t>Avg rating</t>
        </is>
      </c>
      <c r="O5" s="38" t="inlineStr">
        <is>
          <t>Notes</t>
        </is>
      </c>
    </row>
    <row r="6" ht="18" customHeight="1">
      <c r="A6" s="39" t="inlineStr">
        <is>
          <t>C-001</t>
        </is>
      </c>
      <c r="B6" s="39" t="inlineStr">
        <is>
          <t>Sarah Mitchell</t>
        </is>
      </c>
      <c r="C6" s="39" t="inlineStr">
        <is>
          <t>(865) 555-0145</t>
        </is>
      </c>
      <c r="D6" s="39" t="inlineStr">
        <is>
          <t>sarah@smokiesclean.com</t>
        </is>
      </c>
      <c r="E6" s="39" t="inlineStr">
        <is>
          <t>147 Pine St, Gatlinburg, TN 37738</t>
        </is>
      </c>
      <c r="F6" s="39" t="inlineStr">
        <is>
          <t>4421</t>
        </is>
      </c>
      <c r="G6" s="39" t="inlineStr">
        <is>
          <t>Yes</t>
        </is>
      </c>
      <c r="H6" s="39" t="inlineStr">
        <is>
          <t>Per-turnover</t>
        </is>
      </c>
      <c r="I6" s="40" t="n">
        <v>0</v>
      </c>
      <c r="J6" s="40" t="n">
        <v>120</v>
      </c>
      <c r="K6" s="39" t="inlineStr">
        <is>
          <t>Gatlinburg, Pigeon Forge</t>
        </is>
      </c>
      <c r="L6" s="39" t="inlineStr">
        <is>
          <t>Insured, bonded, COVID-19</t>
        </is>
      </c>
      <c r="M6" s="39" t="inlineStr">
        <is>
          <t>Y</t>
        </is>
      </c>
      <c r="N6" s="41">
        <f>IFERROR(VLOOKUP(B6,Performance!$A$6:$D$55,4,FALSE),"")</f>
        <v/>
      </c>
      <c r="O6" s="39" t="inlineStr">
        <is>
          <t>Top performer — keep on rotation</t>
        </is>
      </c>
    </row>
    <row r="7" ht="18" customHeight="1">
      <c r="A7" s="39" t="inlineStr">
        <is>
          <t>C-002</t>
        </is>
      </c>
      <c r="B7" s="39" t="inlineStr">
        <is>
          <t>Maria Gonzalez</t>
        </is>
      </c>
      <c r="C7" s="39" t="inlineStr">
        <is>
          <t>(865) 555-0192</t>
        </is>
      </c>
      <c r="D7" s="39" t="inlineStr">
        <is>
          <t>maria@cleanmtn.com</t>
        </is>
      </c>
      <c r="E7" s="39" t="inlineStr">
        <is>
          <t>82 Ridge Ln, Pigeon Forge, TN 37863</t>
        </is>
      </c>
      <c r="F7" s="39" t="inlineStr">
        <is>
          <t>8810</t>
        </is>
      </c>
      <c r="G7" s="39" t="inlineStr">
        <is>
          <t>Yes</t>
        </is>
      </c>
      <c r="H7" s="39" t="inlineStr">
        <is>
          <t>Hourly</t>
        </is>
      </c>
      <c r="I7" s="40" t="n">
        <v>28</v>
      </c>
      <c r="J7" s="40" t="n">
        <v>0</v>
      </c>
      <c r="K7" s="39" t="inlineStr">
        <is>
          <t>Pigeon Forge, Sevierville</t>
        </is>
      </c>
      <c r="L7" s="39" t="inlineStr">
        <is>
          <t>Insured</t>
        </is>
      </c>
      <c r="M7" s="39" t="inlineStr">
        <is>
          <t>Y</t>
        </is>
      </c>
      <c r="N7" s="41">
        <f>IFERROR(VLOOKUP(B7,Performance!$A$6:$D$55,4,FALSE),"")</f>
        <v/>
      </c>
      <c r="O7" s="39" t="inlineStr">
        <is>
          <t>Reliable, slow on linens</t>
        </is>
      </c>
    </row>
    <row r="8" ht="18" customHeight="1">
      <c r="A8" s="39" t="inlineStr">
        <is>
          <t>C-003</t>
        </is>
      </c>
      <c r="B8" s="39" t="inlineStr">
        <is>
          <t>Jenny Park</t>
        </is>
      </c>
      <c r="C8" s="39" t="inlineStr">
        <is>
          <t>(865) 555-0211</t>
        </is>
      </c>
      <c r="D8" s="39" t="inlineStr">
        <is>
          <t>jenny@parkclean.com</t>
        </is>
      </c>
      <c r="E8" s="39" t="inlineStr">
        <is>
          <t>9 Oak Dr, Sevierville, TN 37862</t>
        </is>
      </c>
      <c r="F8" s="39" t="inlineStr">
        <is>
          <t>5573</t>
        </is>
      </c>
      <c r="G8" s="39" t="inlineStr">
        <is>
          <t>Yes</t>
        </is>
      </c>
      <c r="H8" s="39" t="inlineStr">
        <is>
          <t>Hybrid</t>
        </is>
      </c>
      <c r="I8" s="40" t="n">
        <v>22</v>
      </c>
      <c r="J8" s="40" t="n">
        <v>90</v>
      </c>
      <c r="K8" s="39" t="inlineStr">
        <is>
          <t>Sevierville, Knoxville</t>
        </is>
      </c>
      <c r="L8" s="39" t="inlineStr">
        <is>
          <t>Insured, bonded</t>
        </is>
      </c>
      <c r="M8" s="39" t="inlineStr">
        <is>
          <t>Y</t>
        </is>
      </c>
      <c r="N8" s="41">
        <f>IFERROR(VLOOKUP(B8,Performance!$A$6:$D$55,4,FALSE),"")</f>
        <v/>
      </c>
      <c r="O8" s="39" t="inlineStr">
        <is>
          <t>Backup for Sarah</t>
        </is>
      </c>
    </row>
    <row r="9" ht="18" customHeight="1">
      <c r="A9" s="39" t="inlineStr">
        <is>
          <t>C-004</t>
        </is>
      </c>
      <c r="B9" s="39" t="inlineStr">
        <is>
          <t>Tom Bradley</t>
        </is>
      </c>
      <c r="C9" s="39" t="inlineStr">
        <is>
          <t>(865) 555-0166</t>
        </is>
      </c>
      <c r="D9" s="39" t="inlineStr">
        <is>
          <t>tom@bradleyturn.com</t>
        </is>
      </c>
      <c r="E9" s="39" t="inlineStr">
        <is>
          <t>55 Lake Rd, Gatlinburg, TN 37738</t>
        </is>
      </c>
      <c r="F9" s="39" t="inlineStr">
        <is>
          <t>2298</t>
        </is>
      </c>
      <c r="G9" s="39" t="inlineStr">
        <is>
          <t>No</t>
        </is>
      </c>
      <c r="H9" s="39" t="inlineStr">
        <is>
          <t>Per-turnover</t>
        </is>
      </c>
      <c r="I9" s="40" t="n">
        <v>0</v>
      </c>
      <c r="J9" s="40" t="n">
        <v>110</v>
      </c>
      <c r="K9" s="39" t="inlineStr">
        <is>
          <t>Gatlinburg</t>
        </is>
      </c>
      <c r="L9" s="39" t="inlineStr">
        <is>
          <t>Bonded</t>
        </is>
      </c>
      <c r="M9" s="39" t="inlineStr">
        <is>
          <t>Y</t>
        </is>
      </c>
      <c r="N9" s="41">
        <f>IFERROR(VLOOKUP(B9,Performance!$A$6:$D$55,4,FALSE),"")</f>
        <v/>
      </c>
      <c r="O9" s="39" t="inlineStr">
        <is>
          <t>Need W-9 — request before next pay</t>
        </is>
      </c>
    </row>
    <row r="10" ht="18" customHeight="1">
      <c r="A10" s="39" t="inlineStr">
        <is>
          <t>C-005</t>
        </is>
      </c>
      <c r="B10" s="39" t="inlineStr">
        <is>
          <t>Lisa Chen</t>
        </is>
      </c>
      <c r="C10" s="39" t="inlineStr">
        <is>
          <t>(865) 555-0177</t>
        </is>
      </c>
      <c r="D10" s="39" t="inlineStr">
        <is>
          <t>lisa@chenclean.net</t>
        </is>
      </c>
      <c r="E10" s="39" t="inlineStr">
        <is>
          <t>21 Cherry St, Knoxville, TN 37902</t>
        </is>
      </c>
      <c r="F10" s="39" t="inlineStr">
        <is>
          <t>6634</t>
        </is>
      </c>
      <c r="G10" s="39" t="inlineStr">
        <is>
          <t>Yes</t>
        </is>
      </c>
      <c r="H10" s="39" t="inlineStr">
        <is>
          <t>Per-turnover</t>
        </is>
      </c>
      <c r="I10" s="40" t="n">
        <v>0</v>
      </c>
      <c r="J10" s="40" t="n">
        <v>115</v>
      </c>
      <c r="K10" s="39" t="inlineStr">
        <is>
          <t>Knoxville</t>
        </is>
      </c>
      <c r="L10" s="39" t="inlineStr">
        <is>
          <t>Insured, bonded, eco</t>
        </is>
      </c>
      <c r="M10" s="39" t="inlineStr">
        <is>
          <t>Y</t>
        </is>
      </c>
      <c r="N10" s="41">
        <f>IFERROR(VLOOKUP(B10,Performance!$A$6:$D$55,4,FALSE),"")</f>
        <v/>
      </c>
      <c r="O10" s="39" t="n"/>
    </row>
    <row r="11" ht="18" customHeight="1">
      <c r="A11" s="39" t="inlineStr">
        <is>
          <t>C-006</t>
        </is>
      </c>
      <c r="B11" s="39" t="inlineStr">
        <is>
          <t>Backup Helper</t>
        </is>
      </c>
      <c r="C11" s="39" t="inlineStr">
        <is>
          <t>(865) 555-0188</t>
        </is>
      </c>
      <c r="D11" s="39" t="inlineStr">
        <is>
          <t>—</t>
        </is>
      </c>
      <c r="E11" s="39" t="inlineStr">
        <is>
          <t>Various</t>
        </is>
      </c>
      <c r="F11" s="39" t="inlineStr">
        <is>
          <t>—</t>
        </is>
      </c>
      <c r="G11" s="39" t="inlineStr">
        <is>
          <t>No</t>
        </is>
      </c>
      <c r="H11" s="39" t="inlineStr">
        <is>
          <t>Hourly</t>
        </is>
      </c>
      <c r="I11" s="40" t="n">
        <v>20</v>
      </c>
      <c r="J11" s="40" t="n">
        <v>0</v>
      </c>
      <c r="K11" s="39" t="inlineStr">
        <is>
          <t>Local only</t>
        </is>
      </c>
      <c r="L11" s="39" t="inlineStr">
        <is>
          <t>—</t>
        </is>
      </c>
      <c r="M11" s="39" t="inlineStr">
        <is>
          <t>N</t>
        </is>
      </c>
      <c r="N11" s="41">
        <f>IFERROR(VLOOKUP(B11,Performance!$A$6:$D$55,4,FALSE),"")</f>
        <v/>
      </c>
      <c r="O11" s="39" t="inlineStr">
        <is>
          <t>Inactive — used Q1 only</t>
        </is>
      </c>
    </row>
    <row r="12" ht="18" customHeight="1">
      <c r="A12" s="39" t="n"/>
      <c r="B12" s="39" t="n"/>
      <c r="C12" s="39" t="n"/>
      <c r="D12" s="39" t="n"/>
      <c r="E12" s="39" t="n"/>
      <c r="F12" s="39" t="n"/>
      <c r="G12" s="39" t="n"/>
      <c r="H12" s="39" t="n"/>
      <c r="I12" s="40" t="n"/>
      <c r="J12" s="40" t="n"/>
      <c r="K12" s="39" t="n"/>
      <c r="L12" s="39" t="n"/>
      <c r="M12" s="39" t="n"/>
      <c r="N12" s="41">
        <f>IFERROR(VLOOKUP(B12,Performance!$A$6:$D$55,4,FALSE),"")</f>
        <v/>
      </c>
      <c r="O12" s="39" t="n"/>
    </row>
    <row r="13" ht="18" customHeight="1">
      <c r="A13" s="39" t="n"/>
      <c r="B13" s="39" t="n"/>
      <c r="C13" s="39" t="n"/>
      <c r="D13" s="39" t="n"/>
      <c r="E13" s="39" t="n"/>
      <c r="F13" s="39" t="n"/>
      <c r="G13" s="39" t="n"/>
      <c r="H13" s="39" t="n"/>
      <c r="I13" s="40" t="n"/>
      <c r="J13" s="40" t="n"/>
      <c r="K13" s="39" t="n"/>
      <c r="L13" s="39" t="n"/>
      <c r="M13" s="39" t="n"/>
      <c r="N13" s="41">
        <f>IFERROR(VLOOKUP(B13,Performance!$A$6:$D$55,4,FALSE),"")</f>
        <v/>
      </c>
      <c r="O13" s="39" t="n"/>
    </row>
    <row r="14" ht="18" customHeight="1">
      <c r="A14" s="39" t="n"/>
      <c r="B14" s="39" t="n"/>
      <c r="C14" s="39" t="n"/>
      <c r="D14" s="39" t="n"/>
      <c r="E14" s="39" t="n"/>
      <c r="F14" s="39" t="n"/>
      <c r="G14" s="39" t="n"/>
      <c r="H14" s="39" t="n"/>
      <c r="I14" s="40" t="n"/>
      <c r="J14" s="40" t="n"/>
      <c r="K14" s="39" t="n"/>
      <c r="L14" s="39" t="n"/>
      <c r="M14" s="39" t="n"/>
      <c r="N14" s="41">
        <f>IFERROR(VLOOKUP(B14,Performance!$A$6:$D$55,4,FALSE),"")</f>
        <v/>
      </c>
      <c r="O14" s="39" t="n"/>
    </row>
    <row r="15" ht="18" customHeight="1">
      <c r="A15" s="39" t="n"/>
      <c r="B15" s="39" t="n"/>
      <c r="C15" s="39" t="n"/>
      <c r="D15" s="39" t="n"/>
      <c r="E15" s="39" t="n"/>
      <c r="F15" s="39" t="n"/>
      <c r="G15" s="39" t="n"/>
      <c r="H15" s="39" t="n"/>
      <c r="I15" s="40" t="n"/>
      <c r="J15" s="40" t="n"/>
      <c r="K15" s="39" t="n"/>
      <c r="L15" s="39" t="n"/>
      <c r="M15" s="39" t="n"/>
      <c r="N15" s="41">
        <f>IFERROR(VLOOKUP(B15,Performance!$A$6:$D$55,4,FALSE),"")</f>
        <v/>
      </c>
      <c r="O15" s="39" t="n"/>
    </row>
    <row r="16" ht="18" customHeight="1">
      <c r="A16" s="39" t="n"/>
      <c r="B16" s="39" t="n"/>
      <c r="C16" s="39" t="n"/>
      <c r="D16" s="39" t="n"/>
      <c r="E16" s="39" t="n"/>
      <c r="F16" s="39" t="n"/>
      <c r="G16" s="39" t="n"/>
      <c r="H16" s="39" t="n"/>
      <c r="I16" s="40" t="n"/>
      <c r="J16" s="40" t="n"/>
      <c r="K16" s="39" t="n"/>
      <c r="L16" s="39" t="n"/>
      <c r="M16" s="39" t="n"/>
      <c r="N16" s="41">
        <f>IFERROR(VLOOKUP(B16,Performance!$A$6:$D$55,4,FALSE),"")</f>
        <v/>
      </c>
      <c r="O16" s="39" t="n"/>
    </row>
    <row r="17" ht="18" customHeight="1">
      <c r="A17" s="39" t="n"/>
      <c r="B17" s="39" t="n"/>
      <c r="C17" s="39" t="n"/>
      <c r="D17" s="39" t="n"/>
      <c r="E17" s="39" t="n"/>
      <c r="F17" s="39" t="n"/>
      <c r="G17" s="39" t="n"/>
      <c r="H17" s="39" t="n"/>
      <c r="I17" s="40" t="n"/>
      <c r="J17" s="40" t="n"/>
      <c r="K17" s="39" t="n"/>
      <c r="L17" s="39" t="n"/>
      <c r="M17" s="39" t="n"/>
      <c r="N17" s="41">
        <f>IFERROR(VLOOKUP(B17,Performance!$A$6:$D$55,4,FALSE),"")</f>
        <v/>
      </c>
      <c r="O17" s="39" t="n"/>
    </row>
    <row r="18" ht="18" customHeight="1">
      <c r="A18" s="39" t="n"/>
      <c r="B18" s="39" t="n"/>
      <c r="C18" s="39" t="n"/>
      <c r="D18" s="39" t="n"/>
      <c r="E18" s="39" t="n"/>
      <c r="F18" s="39" t="n"/>
      <c r="G18" s="39" t="n"/>
      <c r="H18" s="39" t="n"/>
      <c r="I18" s="40" t="n"/>
      <c r="J18" s="40" t="n"/>
      <c r="K18" s="39" t="n"/>
      <c r="L18" s="39" t="n"/>
      <c r="M18" s="39" t="n"/>
      <c r="N18" s="41">
        <f>IFERROR(VLOOKUP(B18,Performance!$A$6:$D$55,4,FALSE),"")</f>
        <v/>
      </c>
      <c r="O18" s="39" t="n"/>
    </row>
    <row r="19" ht="18" customHeight="1">
      <c r="A19" s="39" t="n"/>
      <c r="B19" s="39" t="n"/>
      <c r="C19" s="39" t="n"/>
      <c r="D19" s="39" t="n"/>
      <c r="E19" s="39" t="n"/>
      <c r="F19" s="39" t="n"/>
      <c r="G19" s="39" t="n"/>
      <c r="H19" s="39" t="n"/>
      <c r="I19" s="40" t="n"/>
      <c r="J19" s="40" t="n"/>
      <c r="K19" s="39" t="n"/>
      <c r="L19" s="39" t="n"/>
      <c r="M19" s="39" t="n"/>
      <c r="N19" s="41">
        <f>IFERROR(VLOOKUP(B19,Performance!$A$6:$D$55,4,FALSE),"")</f>
        <v/>
      </c>
      <c r="O19" s="39" t="n"/>
    </row>
    <row r="20" ht="18" customHeight="1">
      <c r="A20" s="39" t="n"/>
      <c r="B20" s="39" t="n"/>
      <c r="C20" s="39" t="n"/>
      <c r="D20" s="39" t="n"/>
      <c r="E20" s="39" t="n"/>
      <c r="F20" s="39" t="n"/>
      <c r="G20" s="39" t="n"/>
      <c r="H20" s="39" t="n"/>
      <c r="I20" s="40" t="n"/>
      <c r="J20" s="40" t="n"/>
      <c r="K20" s="39" t="n"/>
      <c r="L20" s="39" t="n"/>
      <c r="M20" s="39" t="n"/>
      <c r="N20" s="41">
        <f>IFERROR(VLOOKUP(B20,Performance!$A$6:$D$55,4,FALSE),"")</f>
        <v/>
      </c>
      <c r="O20" s="39" t="n"/>
    </row>
    <row r="21" ht="18" customHeight="1">
      <c r="A21" s="39" t="n"/>
      <c r="B21" s="39" t="n"/>
      <c r="C21" s="39" t="n"/>
      <c r="D21" s="39" t="n"/>
      <c r="E21" s="39" t="n"/>
      <c r="F21" s="39" t="n"/>
      <c r="G21" s="39" t="n"/>
      <c r="H21" s="39" t="n"/>
      <c r="I21" s="40" t="n"/>
      <c r="J21" s="40" t="n"/>
      <c r="K21" s="39" t="n"/>
      <c r="L21" s="39" t="n"/>
      <c r="M21" s="39" t="n"/>
      <c r="N21" s="41">
        <f>IFERROR(VLOOKUP(B21,Performance!$A$6:$D$55,4,FALSE),"")</f>
        <v/>
      </c>
      <c r="O21" s="39" t="n"/>
    </row>
    <row r="22" ht="18" customHeight="1">
      <c r="A22" s="39" t="n"/>
      <c r="B22" s="39" t="n"/>
      <c r="C22" s="39" t="n"/>
      <c r="D22" s="39" t="n"/>
      <c r="E22" s="39" t="n"/>
      <c r="F22" s="39" t="n"/>
      <c r="G22" s="39" t="n"/>
      <c r="H22" s="39" t="n"/>
      <c r="I22" s="40" t="n"/>
      <c r="J22" s="40" t="n"/>
      <c r="K22" s="39" t="n"/>
      <c r="L22" s="39" t="n"/>
      <c r="M22" s="39" t="n"/>
      <c r="N22" s="41">
        <f>IFERROR(VLOOKUP(B22,Performance!$A$6:$D$55,4,FALSE),"")</f>
        <v/>
      </c>
      <c r="O22" s="39" t="n"/>
    </row>
    <row r="23" ht="18" customHeight="1">
      <c r="A23" s="39" t="n"/>
      <c r="B23" s="39" t="n"/>
      <c r="C23" s="39" t="n"/>
      <c r="D23" s="39" t="n"/>
      <c r="E23" s="39" t="n"/>
      <c r="F23" s="39" t="n"/>
      <c r="G23" s="39" t="n"/>
      <c r="H23" s="39" t="n"/>
      <c r="I23" s="40" t="n"/>
      <c r="J23" s="40" t="n"/>
      <c r="K23" s="39" t="n"/>
      <c r="L23" s="39" t="n"/>
      <c r="M23" s="39" t="n"/>
      <c r="N23" s="41">
        <f>IFERROR(VLOOKUP(B23,Performance!$A$6:$D$55,4,FALSE),"")</f>
        <v/>
      </c>
      <c r="O23" s="39" t="n"/>
    </row>
    <row r="24" ht="18" customHeight="1">
      <c r="A24" s="39" t="n"/>
      <c r="B24" s="39" t="n"/>
      <c r="C24" s="39" t="n"/>
      <c r="D24" s="39" t="n"/>
      <c r="E24" s="39" t="n"/>
      <c r="F24" s="39" t="n"/>
      <c r="G24" s="39" t="n"/>
      <c r="H24" s="39" t="n"/>
      <c r="I24" s="40" t="n"/>
      <c r="J24" s="40" t="n"/>
      <c r="K24" s="39" t="n"/>
      <c r="L24" s="39" t="n"/>
      <c r="M24" s="39" t="n"/>
      <c r="N24" s="41">
        <f>IFERROR(VLOOKUP(B24,Performance!$A$6:$D$55,4,FALSE),"")</f>
        <v/>
      </c>
      <c r="O24" s="39" t="n"/>
    </row>
    <row r="25" ht="18" customHeight="1">
      <c r="A25" s="39" t="n"/>
      <c r="B25" s="39" t="n"/>
      <c r="C25" s="39" t="n"/>
      <c r="D25" s="39" t="n"/>
      <c r="E25" s="39" t="n"/>
      <c r="F25" s="39" t="n"/>
      <c r="G25" s="39" t="n"/>
      <c r="H25" s="39" t="n"/>
      <c r="I25" s="40" t="n"/>
      <c r="J25" s="40" t="n"/>
      <c r="K25" s="39" t="n"/>
      <c r="L25" s="39" t="n"/>
      <c r="M25" s="39" t="n"/>
      <c r="N25" s="41">
        <f>IFERROR(VLOOKUP(B25,Performance!$A$6:$D$55,4,FALSE),"")</f>
        <v/>
      </c>
      <c r="O25" s="39" t="n"/>
    </row>
    <row r="26" ht="18" customHeight="1">
      <c r="A26" s="39" t="n"/>
      <c r="B26" s="39" t="n"/>
      <c r="C26" s="39" t="n"/>
      <c r="D26" s="39" t="n"/>
      <c r="E26" s="39" t="n"/>
      <c r="F26" s="39" t="n"/>
      <c r="G26" s="39" t="n"/>
      <c r="H26" s="39" t="n"/>
      <c r="I26" s="40" t="n"/>
      <c r="J26" s="40" t="n"/>
      <c r="K26" s="39" t="n"/>
      <c r="L26" s="39" t="n"/>
      <c r="M26" s="39" t="n"/>
      <c r="N26" s="41">
        <f>IFERROR(VLOOKUP(B26,Performance!$A$6:$D$55,4,FALSE),"")</f>
        <v/>
      </c>
      <c r="O26" s="39" t="n"/>
    </row>
    <row r="27" ht="18" customHeight="1">
      <c r="A27" s="39" t="n"/>
      <c r="B27" s="39" t="n"/>
      <c r="C27" s="39" t="n"/>
      <c r="D27" s="39" t="n"/>
      <c r="E27" s="39" t="n"/>
      <c r="F27" s="39" t="n"/>
      <c r="G27" s="39" t="n"/>
      <c r="H27" s="39" t="n"/>
      <c r="I27" s="40" t="n"/>
      <c r="J27" s="40" t="n"/>
      <c r="K27" s="39" t="n"/>
      <c r="L27" s="39" t="n"/>
      <c r="M27" s="39" t="n"/>
      <c r="N27" s="41">
        <f>IFERROR(VLOOKUP(B27,Performance!$A$6:$D$55,4,FALSE),"")</f>
        <v/>
      </c>
      <c r="O27" s="39" t="n"/>
    </row>
    <row r="28" ht="18" customHeight="1">
      <c r="A28" s="39" t="n"/>
      <c r="B28" s="39" t="n"/>
      <c r="C28" s="39" t="n"/>
      <c r="D28" s="39" t="n"/>
      <c r="E28" s="39" t="n"/>
      <c r="F28" s="39" t="n"/>
      <c r="G28" s="39" t="n"/>
      <c r="H28" s="39" t="n"/>
      <c r="I28" s="40" t="n"/>
      <c r="J28" s="40" t="n"/>
      <c r="K28" s="39" t="n"/>
      <c r="L28" s="39" t="n"/>
      <c r="M28" s="39" t="n"/>
      <c r="N28" s="41">
        <f>IFERROR(VLOOKUP(B28,Performance!$A$6:$D$55,4,FALSE),"")</f>
        <v/>
      </c>
      <c r="O28" s="39" t="n"/>
    </row>
    <row r="29" ht="18" customHeight="1">
      <c r="A29" s="39" t="n"/>
      <c r="B29" s="39" t="n"/>
      <c r="C29" s="39" t="n"/>
      <c r="D29" s="39" t="n"/>
      <c r="E29" s="39" t="n"/>
      <c r="F29" s="39" t="n"/>
      <c r="G29" s="39" t="n"/>
      <c r="H29" s="39" t="n"/>
      <c r="I29" s="40" t="n"/>
      <c r="J29" s="40" t="n"/>
      <c r="K29" s="39" t="n"/>
      <c r="L29" s="39" t="n"/>
      <c r="M29" s="39" t="n"/>
      <c r="N29" s="41">
        <f>IFERROR(VLOOKUP(B29,Performance!$A$6:$D$55,4,FALSE),"")</f>
        <v/>
      </c>
      <c r="O29" s="39" t="n"/>
    </row>
    <row r="30" ht="18" customHeight="1">
      <c r="A30" s="39" t="n"/>
      <c r="B30" s="39" t="n"/>
      <c r="C30" s="39" t="n"/>
      <c r="D30" s="39" t="n"/>
      <c r="E30" s="39" t="n"/>
      <c r="F30" s="39" t="n"/>
      <c r="G30" s="39" t="n"/>
      <c r="H30" s="39" t="n"/>
      <c r="I30" s="40" t="n"/>
      <c r="J30" s="40" t="n"/>
      <c r="K30" s="39" t="n"/>
      <c r="L30" s="39" t="n"/>
      <c r="M30" s="39" t="n"/>
      <c r="N30" s="41">
        <f>IFERROR(VLOOKUP(B30,Performance!$A$6:$D$55,4,FALSE),"")</f>
        <v/>
      </c>
      <c r="O30" s="39" t="n"/>
    </row>
    <row r="31" ht="18" customHeight="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40" t="n"/>
      <c r="J31" s="40" t="n"/>
      <c r="K31" s="39" t="n"/>
      <c r="L31" s="39" t="n"/>
      <c r="M31" s="39" t="n"/>
      <c r="N31" s="41">
        <f>IFERROR(VLOOKUP(B31,Performance!$A$6:$D$55,4,FALSE),"")</f>
        <v/>
      </c>
      <c r="O31" s="39" t="n"/>
    </row>
    <row r="32" ht="18" customHeight="1">
      <c r="A32" s="39" t="n"/>
      <c r="B32" s="39" t="n"/>
      <c r="C32" s="39" t="n"/>
      <c r="D32" s="39" t="n"/>
      <c r="E32" s="39" t="n"/>
      <c r="F32" s="39" t="n"/>
      <c r="G32" s="39" t="n"/>
      <c r="H32" s="39" t="n"/>
      <c r="I32" s="40" t="n"/>
      <c r="J32" s="40" t="n"/>
      <c r="K32" s="39" t="n"/>
      <c r="L32" s="39" t="n"/>
      <c r="M32" s="39" t="n"/>
      <c r="N32" s="41">
        <f>IFERROR(VLOOKUP(B32,Performance!$A$6:$D$55,4,FALSE),"")</f>
        <v/>
      </c>
      <c r="O32" s="39" t="n"/>
    </row>
    <row r="33" ht="18" customHeight="1">
      <c r="A33" s="39" t="n"/>
      <c r="B33" s="39" t="n"/>
      <c r="C33" s="39" t="n"/>
      <c r="D33" s="39" t="n"/>
      <c r="E33" s="39" t="n"/>
      <c r="F33" s="39" t="n"/>
      <c r="G33" s="39" t="n"/>
      <c r="H33" s="39" t="n"/>
      <c r="I33" s="40" t="n"/>
      <c r="J33" s="40" t="n"/>
      <c r="K33" s="39" t="n"/>
      <c r="L33" s="39" t="n"/>
      <c r="M33" s="39" t="n"/>
      <c r="N33" s="41">
        <f>IFERROR(VLOOKUP(B33,Performance!$A$6:$D$55,4,FALSE),"")</f>
        <v/>
      </c>
      <c r="O33" s="39" t="n"/>
    </row>
    <row r="34" ht="18" customHeight="1">
      <c r="A34" s="39" t="n"/>
      <c r="B34" s="39" t="n"/>
      <c r="C34" s="39" t="n"/>
      <c r="D34" s="39" t="n"/>
      <c r="E34" s="39" t="n"/>
      <c r="F34" s="39" t="n"/>
      <c r="G34" s="39" t="n"/>
      <c r="H34" s="39" t="n"/>
      <c r="I34" s="40" t="n"/>
      <c r="J34" s="40" t="n"/>
      <c r="K34" s="39" t="n"/>
      <c r="L34" s="39" t="n"/>
      <c r="M34" s="39" t="n"/>
      <c r="N34" s="41">
        <f>IFERROR(VLOOKUP(B34,Performance!$A$6:$D$55,4,FALSE),"")</f>
        <v/>
      </c>
      <c r="O34" s="39" t="n"/>
    </row>
    <row r="35" ht="18" customHeight="1">
      <c r="A35" s="39" t="n"/>
      <c r="B35" s="39" t="n"/>
      <c r="C35" s="39" t="n"/>
      <c r="D35" s="39" t="n"/>
      <c r="E35" s="39" t="n"/>
      <c r="F35" s="39" t="n"/>
      <c r="G35" s="39" t="n"/>
      <c r="H35" s="39" t="n"/>
      <c r="I35" s="40" t="n"/>
      <c r="J35" s="40" t="n"/>
      <c r="K35" s="39" t="n"/>
      <c r="L35" s="39" t="n"/>
      <c r="M35" s="39" t="n"/>
      <c r="N35" s="41">
        <f>IFERROR(VLOOKUP(B35,Performance!$A$6:$D$55,4,FALSE),"")</f>
        <v/>
      </c>
      <c r="O35" s="39" t="n"/>
    </row>
  </sheetData>
  <mergeCells count="4">
    <mergeCell ref="J2:L2"/>
    <mergeCell ref="D2:I2"/>
    <mergeCell ref="A2:C2"/>
    <mergeCell ref="A4:L4"/>
  </mergeCells>
  <conditionalFormatting sqref="G6:G35">
    <cfRule type="expression" priority="1" dxfId="0">
      <formula>G6="No"</formula>
    </cfRule>
  </conditionalFormatting>
  <conditionalFormatting sqref="B6:B35">
    <cfRule type="expression" priority="2" dxfId="1">
      <formula>$M6="N"</formula>
    </cfRule>
  </conditionalFormatting>
  <dataValidations count="3">
    <dataValidation sqref="G6:G35" showDropDown="0" showInputMessage="0" showErrorMessage="0" allowBlank="1" type="list">
      <formula1>"Yes,No"</formula1>
    </dataValidation>
    <dataValidation sqref="H6:H35" showDropDown="0" showInputMessage="0" showErrorMessage="0" allowBlank="1" type="list">
      <formula1>"Hourly,Per-turnover,Hybrid"</formula1>
    </dataValidation>
    <dataValidation sqref="M6:M35" showDropDown="0" showInputMessage="0" showErrorMessage="0" allowBlank="1" type="list">
      <formula1>"Y,N"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9" customWidth="1" min="4" max="4"/>
    <col width="12" customWidth="1" min="5" max="5"/>
    <col width="10" customWidth="1" min="6" max="6"/>
    <col width="13" customWidth="1" min="7" max="7"/>
    <col width="13" customWidth="1" min="8" max="8"/>
    <col width="14" customWidth="1" min="9" max="9"/>
    <col width="9" customWidth="1" min="10" max="10"/>
    <col width="12" customWidth="1" min="11" max="1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HYPERLINK("#'Cleaners'!A1", "← BACK")</f>
        <v/>
      </c>
      <c r="B2" s="24" t="n"/>
      <c r="C2" s="24" t="n"/>
      <c r="D2" s="36" t="inlineStr">
        <is>
          <t>TURNOVER ASSIGNMENT</t>
        </is>
      </c>
      <c r="J2" s="27">
        <f>HYPERLINK("#'Payroll Run'!A1", "NEXT →")</f>
        <v/>
      </c>
      <c r="K2" s="28" t="n"/>
      <c r="L2" s="2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Log every turnover AS IT HAPPENS — hours, flat fee, bonus, inspection rating</t>
        </is>
      </c>
    </row>
    <row r="5" ht="20" customHeight="1">
      <c r="A5" s="38" t="inlineStr">
        <is>
          <t>Date</t>
        </is>
      </c>
      <c r="B5" s="38" t="inlineStr">
        <is>
          <t>Property</t>
        </is>
      </c>
      <c r="C5" s="38" t="inlineStr">
        <is>
          <t>Cleaner</t>
        </is>
      </c>
      <c r="D5" s="38" t="inlineStr">
        <is>
          <t>Hours</t>
        </is>
      </c>
      <c r="E5" s="38" t="inlineStr">
        <is>
          <t>Per-turn $</t>
        </is>
      </c>
      <c r="F5" s="38" t="inlineStr">
        <is>
          <t>Bonus $</t>
        </is>
      </c>
      <c r="G5" s="38" t="inlineStr">
        <is>
          <t>Hourly $ (lkup)</t>
        </is>
      </c>
      <c r="H5" s="38" t="inlineStr">
        <is>
          <t>Status</t>
        </is>
      </c>
      <c r="I5" s="38" t="inlineStr">
        <is>
          <t>Inspection rating</t>
        </is>
      </c>
      <c r="J5" s="38" t="inlineStr">
        <is>
          <t>Notes</t>
        </is>
      </c>
      <c r="K5" s="38" t="inlineStr">
        <is>
          <t>Total payment</t>
        </is>
      </c>
    </row>
    <row r="6" ht="16" customHeight="1">
      <c r="A6" s="42" t="n">
        <v>46023</v>
      </c>
      <c r="B6" s="39" t="inlineStr">
        <is>
          <t>Creek Side</t>
        </is>
      </c>
      <c r="C6" s="39" t="inlineStr">
        <is>
          <t>Sarah Mitchell</t>
        </is>
      </c>
      <c r="D6" s="43" t="n">
        <v>3</v>
      </c>
      <c r="E6" s="40" t="n">
        <v>120</v>
      </c>
      <c r="F6" s="40" t="n">
        <v>25</v>
      </c>
      <c r="G6" s="44">
        <f>IFERROR(VLOOKUP(C6,Cleaners!$B$6:$I$35,8,FALSE),0)</f>
        <v/>
      </c>
      <c r="H6" s="39" t="inlineStr">
        <is>
          <t>Inspected</t>
        </is>
      </c>
      <c r="I6" s="45" t="n">
        <v>4.6</v>
      </c>
      <c r="J6" s="39" t="n"/>
      <c r="K6" s="44">
        <f>IF(C6="","",IFERROR(D6,0)*G6+IFERROR(E6,0)+IFERROR(F6,0))</f>
        <v/>
      </c>
    </row>
    <row r="7" ht="16" customHeight="1">
      <c r="A7" s="42" t="n">
        <v>46024</v>
      </c>
      <c r="B7" s="39" t="inlineStr">
        <is>
          <t>Smokies Ridge</t>
        </is>
      </c>
      <c r="C7" s="39" t="inlineStr">
        <is>
          <t>Sarah Mitchell</t>
        </is>
      </c>
      <c r="D7" s="43" t="n">
        <v>3.25</v>
      </c>
      <c r="E7" s="40" t="n">
        <v>120</v>
      </c>
      <c r="F7" s="40" t="n"/>
      <c r="G7" s="44">
        <f>IFERROR(VLOOKUP(C7,Cleaners!$B$6:$I$35,8,FALSE),0)</f>
        <v/>
      </c>
      <c r="H7" s="39" t="inlineStr">
        <is>
          <t>Inspected</t>
        </is>
      </c>
      <c r="I7" s="45" t="n">
        <v>4.7</v>
      </c>
      <c r="J7" s="39" t="n"/>
      <c r="K7" s="44">
        <f>IF(C7="","",IFERROR(D7,0)*G7+IFERROR(E7,0)+IFERROR(F7,0))</f>
        <v/>
      </c>
    </row>
    <row r="8" ht="16" customHeight="1">
      <c r="A8" s="42" t="n">
        <v>46025</v>
      </c>
      <c r="B8" s="39" t="inlineStr">
        <is>
          <t>Lakehouse A</t>
        </is>
      </c>
      <c r="C8" s="39" t="inlineStr">
        <is>
          <t>Sarah Mitchell</t>
        </is>
      </c>
      <c r="D8" s="43" t="n">
        <v>3.5</v>
      </c>
      <c r="E8" s="40" t="n">
        <v>120</v>
      </c>
      <c r="F8" s="40" t="n"/>
      <c r="G8" s="44">
        <f>IFERROR(VLOOKUP(C8,Cleaners!$B$6:$I$35,8,FALSE),0)</f>
        <v/>
      </c>
      <c r="H8" s="39" t="inlineStr">
        <is>
          <t>Inspected</t>
        </is>
      </c>
      <c r="I8" s="45" t="n">
        <v>4.8</v>
      </c>
      <c r="J8" s="39" t="n"/>
      <c r="K8" s="44">
        <f>IF(C8="","",IFERROR(D8,0)*G8+IFERROR(E8,0)+IFERROR(F8,0))</f>
        <v/>
      </c>
    </row>
    <row r="9" ht="16" customHeight="1">
      <c r="A9" s="42" t="n">
        <v>46026</v>
      </c>
      <c r="B9" s="39" t="inlineStr">
        <is>
          <t>Creek Side</t>
        </is>
      </c>
      <c r="C9" s="39" t="inlineStr">
        <is>
          <t>Sarah Mitchell</t>
        </is>
      </c>
      <c r="D9" s="43" t="n">
        <v>3.75</v>
      </c>
      <c r="E9" s="40" t="n">
        <v>120</v>
      </c>
      <c r="F9" s="40" t="n"/>
      <c r="G9" s="44">
        <f>IFERROR(VLOOKUP(C9,Cleaners!$B$6:$I$35,8,FALSE),0)</f>
        <v/>
      </c>
      <c r="H9" s="39" t="inlineStr">
        <is>
          <t>Inspected</t>
        </is>
      </c>
      <c r="I9" s="45" t="n">
        <v>4.9</v>
      </c>
      <c r="J9" s="39" t="n"/>
      <c r="K9" s="44">
        <f>IF(C9="","",IFERROR(D9,0)*G9+IFERROR(E9,0)+IFERROR(F9,0))</f>
        <v/>
      </c>
    </row>
    <row r="10" ht="16" customHeight="1">
      <c r="A10" s="42" t="n">
        <v>46027</v>
      </c>
      <c r="B10" s="39" t="inlineStr">
        <is>
          <t>Smokies Ridge</t>
        </is>
      </c>
      <c r="C10" s="39" t="inlineStr">
        <is>
          <t>Sarah Mitchell</t>
        </is>
      </c>
      <c r="D10" s="43" t="n">
        <v>4</v>
      </c>
      <c r="E10" s="40" t="n">
        <v>120</v>
      </c>
      <c r="F10" s="40" t="n"/>
      <c r="G10" s="44">
        <f>IFERROR(VLOOKUP(C10,Cleaners!$B$6:$I$35,8,FALSE),0)</f>
        <v/>
      </c>
      <c r="H10" s="39" t="inlineStr">
        <is>
          <t>Inspected</t>
        </is>
      </c>
      <c r="I10" s="45" t="n">
        <v>5</v>
      </c>
      <c r="J10" s="39" t="n"/>
      <c r="K10" s="44">
        <f>IF(C10="","",IFERROR(D10,0)*G10+IFERROR(E10,0)+IFERROR(F10,0))</f>
        <v/>
      </c>
    </row>
    <row r="11" ht="16" customHeight="1">
      <c r="A11" s="42" t="n">
        <v>46028</v>
      </c>
      <c r="B11" s="39" t="inlineStr">
        <is>
          <t>Lakehouse A</t>
        </is>
      </c>
      <c r="C11" s="39" t="inlineStr">
        <is>
          <t>Sarah Mitchell</t>
        </is>
      </c>
      <c r="D11" s="43" t="n">
        <v>3</v>
      </c>
      <c r="E11" s="40" t="n">
        <v>120</v>
      </c>
      <c r="F11" s="40" t="n"/>
      <c r="G11" s="44">
        <f>IFERROR(VLOOKUP(C11,Cleaners!$B$6:$I$35,8,FALSE),0)</f>
        <v/>
      </c>
      <c r="H11" s="39" t="inlineStr">
        <is>
          <t>Inspected</t>
        </is>
      </c>
      <c r="I11" s="45" t="n">
        <v>5</v>
      </c>
      <c r="J11" s="39" t="n"/>
      <c r="K11" s="44">
        <f>IF(C11="","",IFERROR(D11,0)*G11+IFERROR(E11,0)+IFERROR(F11,0))</f>
        <v/>
      </c>
    </row>
    <row r="12" ht="16" customHeight="1">
      <c r="A12" s="42" t="n">
        <v>46029</v>
      </c>
      <c r="B12" s="39" t="inlineStr">
        <is>
          <t>Creek Side</t>
        </is>
      </c>
      <c r="C12" s="39" t="inlineStr">
        <is>
          <t>Sarah Mitchell</t>
        </is>
      </c>
      <c r="D12" s="43" t="n">
        <v>3.25</v>
      </c>
      <c r="E12" s="40" t="n">
        <v>120</v>
      </c>
      <c r="F12" s="40" t="n"/>
      <c r="G12" s="44">
        <f>IFERROR(VLOOKUP(C12,Cleaners!$B$6:$I$35,8,FALSE),0)</f>
        <v/>
      </c>
      <c r="H12" s="39" t="inlineStr">
        <is>
          <t>Inspected</t>
        </is>
      </c>
      <c r="I12" s="45" t="n">
        <v>5</v>
      </c>
      <c r="J12" s="39" t="n"/>
      <c r="K12" s="44">
        <f>IF(C12="","",IFERROR(D12,0)*G12+IFERROR(E12,0)+IFERROR(F12,0))</f>
        <v/>
      </c>
    </row>
    <row r="13" ht="16" customHeight="1">
      <c r="A13" s="42" t="n">
        <v>46030</v>
      </c>
      <c r="B13" s="39" t="inlineStr">
        <is>
          <t>Smokies Ridge</t>
        </is>
      </c>
      <c r="C13" s="39" t="inlineStr">
        <is>
          <t>Sarah Mitchell</t>
        </is>
      </c>
      <c r="D13" s="43" t="n">
        <v>3.5</v>
      </c>
      <c r="E13" s="40" t="n">
        <v>120</v>
      </c>
      <c r="F13" s="40" t="n"/>
      <c r="G13" s="44">
        <f>IFERROR(VLOOKUP(C13,Cleaners!$B$6:$I$35,8,FALSE),0)</f>
        <v/>
      </c>
      <c r="H13" s="39" t="inlineStr">
        <is>
          <t>Inspected</t>
        </is>
      </c>
      <c r="I13" s="45" t="n">
        <v>4.6</v>
      </c>
      <c r="J13" s="39" t="n"/>
      <c r="K13" s="44">
        <f>IF(C13="","",IFERROR(D13,0)*G13+IFERROR(E13,0)+IFERROR(F13,0))</f>
        <v/>
      </c>
    </row>
    <row r="14" ht="16" customHeight="1">
      <c r="A14" s="42" t="n">
        <v>46031</v>
      </c>
      <c r="B14" s="39" t="inlineStr">
        <is>
          <t>Lakehouse A</t>
        </is>
      </c>
      <c r="C14" s="39" t="inlineStr">
        <is>
          <t>Sarah Mitchell</t>
        </is>
      </c>
      <c r="D14" s="43" t="n">
        <v>3.75</v>
      </c>
      <c r="E14" s="40" t="n">
        <v>120</v>
      </c>
      <c r="F14" s="40" t="n"/>
      <c r="G14" s="44">
        <f>IFERROR(VLOOKUP(C14,Cleaners!$B$6:$I$35,8,FALSE),0)</f>
        <v/>
      </c>
      <c r="H14" s="39" t="inlineStr">
        <is>
          <t>Inspected</t>
        </is>
      </c>
      <c r="I14" s="45" t="n">
        <v>4.7</v>
      </c>
      <c r="J14" s="39" t="n"/>
      <c r="K14" s="44">
        <f>IF(C14="","",IFERROR(D14,0)*G14+IFERROR(E14,0)+IFERROR(F14,0))</f>
        <v/>
      </c>
    </row>
    <row r="15" ht="16" customHeight="1">
      <c r="A15" s="42" t="n">
        <v>46032</v>
      </c>
      <c r="B15" s="39" t="inlineStr">
        <is>
          <t>Creek Side</t>
        </is>
      </c>
      <c r="C15" s="39" t="inlineStr">
        <is>
          <t>Sarah Mitchell</t>
        </is>
      </c>
      <c r="D15" s="43" t="n">
        <v>4</v>
      </c>
      <c r="E15" s="40" t="n">
        <v>120</v>
      </c>
      <c r="F15" s="40" t="n"/>
      <c r="G15" s="44">
        <f>IFERROR(VLOOKUP(C15,Cleaners!$B$6:$I$35,8,FALSE),0)</f>
        <v/>
      </c>
      <c r="H15" s="39" t="inlineStr">
        <is>
          <t>Inspected</t>
        </is>
      </c>
      <c r="I15" s="45" t="n">
        <v>4.8</v>
      </c>
      <c r="J15" s="39" t="n"/>
      <c r="K15" s="44">
        <f>IF(C15="","",IFERROR(D15,0)*G15+IFERROR(E15,0)+IFERROR(F15,0))</f>
        <v/>
      </c>
    </row>
    <row r="16" ht="16" customHeight="1">
      <c r="A16" s="42" t="n">
        <v>46033</v>
      </c>
      <c r="B16" s="39" t="inlineStr">
        <is>
          <t>Smokies Ridge</t>
        </is>
      </c>
      <c r="C16" s="39" t="inlineStr">
        <is>
          <t>Sarah Mitchell</t>
        </is>
      </c>
      <c r="D16" s="43" t="n">
        <v>3</v>
      </c>
      <c r="E16" s="40" t="n">
        <v>120</v>
      </c>
      <c r="F16" s="40" t="n"/>
      <c r="G16" s="44">
        <f>IFERROR(VLOOKUP(C16,Cleaners!$B$6:$I$35,8,FALSE),0)</f>
        <v/>
      </c>
      <c r="H16" s="39" t="inlineStr">
        <is>
          <t>Inspected</t>
        </is>
      </c>
      <c r="I16" s="45" t="n">
        <v>4.9</v>
      </c>
      <c r="J16" s="39" t="n"/>
      <c r="K16" s="44">
        <f>IF(C16="","",IFERROR(D16,0)*G16+IFERROR(E16,0)+IFERROR(F16,0))</f>
        <v/>
      </c>
    </row>
    <row r="17" ht="16" customHeight="1">
      <c r="A17" s="42" t="n">
        <v>46034</v>
      </c>
      <c r="B17" s="39" t="inlineStr">
        <is>
          <t>Lakehouse A</t>
        </is>
      </c>
      <c r="C17" s="39" t="inlineStr">
        <is>
          <t>Sarah Mitchell</t>
        </is>
      </c>
      <c r="D17" s="43" t="n">
        <v>3.25</v>
      </c>
      <c r="E17" s="40" t="n">
        <v>120</v>
      </c>
      <c r="F17" s="40" t="n"/>
      <c r="G17" s="44">
        <f>IFERROR(VLOOKUP(C17,Cleaners!$B$6:$I$35,8,FALSE),0)</f>
        <v/>
      </c>
      <c r="H17" s="39" t="inlineStr">
        <is>
          <t>Inspected</t>
        </is>
      </c>
      <c r="I17" s="45" t="n">
        <v>5</v>
      </c>
      <c r="J17" s="39" t="n"/>
      <c r="K17" s="44">
        <f>IF(C17="","",IFERROR(D17,0)*G17+IFERROR(E17,0)+IFERROR(F17,0))</f>
        <v/>
      </c>
    </row>
    <row r="18" ht="16" customHeight="1">
      <c r="A18" s="42" t="n">
        <v>46035</v>
      </c>
      <c r="B18" s="39" t="inlineStr">
        <is>
          <t>Creek Side</t>
        </is>
      </c>
      <c r="C18" s="39" t="inlineStr">
        <is>
          <t>Sarah Mitchell</t>
        </is>
      </c>
      <c r="D18" s="43" t="n">
        <v>3.5</v>
      </c>
      <c r="E18" s="40" t="n">
        <v>120</v>
      </c>
      <c r="F18" s="40" t="n">
        <v>25</v>
      </c>
      <c r="G18" s="44">
        <f>IFERROR(VLOOKUP(C18,Cleaners!$B$6:$I$35,8,FALSE),0)</f>
        <v/>
      </c>
      <c r="H18" s="39" t="inlineStr">
        <is>
          <t>Inspected</t>
        </is>
      </c>
      <c r="I18" s="45" t="n">
        <v>5</v>
      </c>
      <c r="J18" s="39" t="n"/>
      <c r="K18" s="44">
        <f>IF(C18="","",IFERROR(D18,0)*G18+IFERROR(E18,0)+IFERROR(F18,0))</f>
        <v/>
      </c>
    </row>
    <row r="19" ht="16" customHeight="1">
      <c r="A19" s="42" t="n">
        <v>46036</v>
      </c>
      <c r="B19" s="39" t="inlineStr">
        <is>
          <t>Smokies Ridge</t>
        </is>
      </c>
      <c r="C19" s="39" t="inlineStr">
        <is>
          <t>Sarah Mitchell</t>
        </is>
      </c>
      <c r="D19" s="43" t="n">
        <v>3.75</v>
      </c>
      <c r="E19" s="40" t="n">
        <v>120</v>
      </c>
      <c r="F19" s="40" t="n"/>
      <c r="G19" s="44">
        <f>IFERROR(VLOOKUP(C19,Cleaners!$B$6:$I$35,8,FALSE),0)</f>
        <v/>
      </c>
      <c r="H19" s="39" t="inlineStr">
        <is>
          <t>Inspected</t>
        </is>
      </c>
      <c r="I19" s="45" t="n">
        <v>5</v>
      </c>
      <c r="J19" s="39" t="n"/>
      <c r="K19" s="44">
        <f>IF(C19="","",IFERROR(D19,0)*G19+IFERROR(E19,0)+IFERROR(F19,0))</f>
        <v/>
      </c>
    </row>
    <row r="20" ht="16" customHeight="1">
      <c r="A20" s="42" t="n">
        <v>46037</v>
      </c>
      <c r="B20" s="39" t="inlineStr">
        <is>
          <t>Lakehouse A</t>
        </is>
      </c>
      <c r="C20" s="39" t="inlineStr">
        <is>
          <t>Sarah Mitchell</t>
        </is>
      </c>
      <c r="D20" s="43" t="n">
        <v>4</v>
      </c>
      <c r="E20" s="40" t="n">
        <v>120</v>
      </c>
      <c r="F20" s="40" t="n"/>
      <c r="G20" s="44">
        <f>IFERROR(VLOOKUP(C20,Cleaners!$B$6:$I$35,8,FALSE),0)</f>
        <v/>
      </c>
      <c r="H20" s="39" t="inlineStr">
        <is>
          <t>Inspected</t>
        </is>
      </c>
      <c r="I20" s="45" t="n">
        <v>4.6</v>
      </c>
      <c r="J20" s="39" t="n"/>
      <c r="K20" s="44">
        <f>IF(C20="","",IFERROR(D20,0)*G20+IFERROR(E20,0)+IFERROR(F20,0))</f>
        <v/>
      </c>
    </row>
    <row r="21" ht="16" customHeight="1">
      <c r="A21" s="42" t="n">
        <v>46038</v>
      </c>
      <c r="B21" s="39" t="inlineStr">
        <is>
          <t>Creek Side</t>
        </is>
      </c>
      <c r="C21" s="39" t="inlineStr">
        <is>
          <t>Sarah Mitchell</t>
        </is>
      </c>
      <c r="D21" s="43" t="n">
        <v>3</v>
      </c>
      <c r="E21" s="40" t="n">
        <v>120</v>
      </c>
      <c r="F21" s="40" t="n"/>
      <c r="G21" s="44">
        <f>IFERROR(VLOOKUP(C21,Cleaners!$B$6:$I$35,8,FALSE),0)</f>
        <v/>
      </c>
      <c r="H21" s="39" t="inlineStr">
        <is>
          <t>Inspected</t>
        </is>
      </c>
      <c r="I21" s="45" t="n">
        <v>4.7</v>
      </c>
      <c r="J21" s="39" t="n"/>
      <c r="K21" s="44">
        <f>IF(C21="","",IFERROR(D21,0)*G21+IFERROR(E21,0)+IFERROR(F21,0))</f>
        <v/>
      </c>
    </row>
    <row r="22" ht="16" customHeight="1">
      <c r="A22" s="42" t="n">
        <v>46039</v>
      </c>
      <c r="B22" s="39" t="inlineStr">
        <is>
          <t>Smokies Ridge</t>
        </is>
      </c>
      <c r="C22" s="39" t="inlineStr">
        <is>
          <t>Sarah Mitchell</t>
        </is>
      </c>
      <c r="D22" s="43" t="n">
        <v>3.25</v>
      </c>
      <c r="E22" s="40" t="n">
        <v>120</v>
      </c>
      <c r="F22" s="40" t="n"/>
      <c r="G22" s="44">
        <f>IFERROR(VLOOKUP(C22,Cleaners!$B$6:$I$35,8,FALSE),0)</f>
        <v/>
      </c>
      <c r="H22" s="39" t="inlineStr">
        <is>
          <t>Inspected</t>
        </is>
      </c>
      <c r="I22" s="45" t="n">
        <v>4.8</v>
      </c>
      <c r="J22" s="39" t="n"/>
      <c r="K22" s="44">
        <f>IF(C22="","",IFERROR(D22,0)*G22+IFERROR(E22,0)+IFERROR(F22,0))</f>
        <v/>
      </c>
    </row>
    <row r="23" ht="16" customHeight="1">
      <c r="A23" s="42" t="n">
        <v>46040</v>
      </c>
      <c r="B23" s="39" t="inlineStr">
        <is>
          <t>Lakehouse A</t>
        </is>
      </c>
      <c r="C23" s="39" t="inlineStr">
        <is>
          <t>Sarah Mitchell</t>
        </is>
      </c>
      <c r="D23" s="43" t="n">
        <v>3.5</v>
      </c>
      <c r="E23" s="40" t="n">
        <v>120</v>
      </c>
      <c r="F23" s="40" t="n"/>
      <c r="G23" s="44">
        <f>IFERROR(VLOOKUP(C23,Cleaners!$B$6:$I$35,8,FALSE),0)</f>
        <v/>
      </c>
      <c r="H23" s="39" t="inlineStr">
        <is>
          <t>Inspected</t>
        </is>
      </c>
      <c r="I23" s="45" t="n">
        <v>4.9</v>
      </c>
      <c r="J23" s="39" t="n"/>
      <c r="K23" s="44">
        <f>IF(C23="","",IFERROR(D23,0)*G23+IFERROR(E23,0)+IFERROR(F23,0))</f>
        <v/>
      </c>
    </row>
    <row r="24" ht="16" customHeight="1">
      <c r="A24" s="42" t="n">
        <v>46041</v>
      </c>
      <c r="B24" s="39" t="inlineStr">
        <is>
          <t>Creek Side</t>
        </is>
      </c>
      <c r="C24" s="39" t="inlineStr">
        <is>
          <t>Sarah Mitchell</t>
        </is>
      </c>
      <c r="D24" s="43" t="n">
        <v>3.75</v>
      </c>
      <c r="E24" s="40" t="n">
        <v>120</v>
      </c>
      <c r="F24" s="40" t="n"/>
      <c r="G24" s="44">
        <f>IFERROR(VLOOKUP(C24,Cleaners!$B$6:$I$35,8,FALSE),0)</f>
        <v/>
      </c>
      <c r="H24" s="39" t="inlineStr">
        <is>
          <t>Inspected</t>
        </is>
      </c>
      <c r="I24" s="45" t="n">
        <v>5</v>
      </c>
      <c r="J24" s="39" t="n"/>
      <c r="K24" s="44">
        <f>IF(C24="","",IFERROR(D24,0)*G24+IFERROR(E24,0)+IFERROR(F24,0))</f>
        <v/>
      </c>
    </row>
    <row r="25" ht="16" customHeight="1">
      <c r="A25" s="42" t="n">
        <v>46042</v>
      </c>
      <c r="B25" s="39" t="inlineStr">
        <is>
          <t>Smokies Ridge</t>
        </is>
      </c>
      <c r="C25" s="39" t="inlineStr">
        <is>
          <t>Sarah Mitchell</t>
        </is>
      </c>
      <c r="D25" s="43" t="n">
        <v>4</v>
      </c>
      <c r="E25" s="40" t="n">
        <v>120</v>
      </c>
      <c r="F25" s="40" t="n"/>
      <c r="G25" s="44">
        <f>IFERROR(VLOOKUP(C25,Cleaners!$B$6:$I$35,8,FALSE),0)</f>
        <v/>
      </c>
      <c r="H25" s="39" t="inlineStr">
        <is>
          <t>Inspected</t>
        </is>
      </c>
      <c r="I25" s="45" t="n">
        <v>5</v>
      </c>
      <c r="J25" s="39" t="n"/>
      <c r="K25" s="44">
        <f>IF(C25="","",IFERROR(D25,0)*G25+IFERROR(E25,0)+IFERROR(F25,0))</f>
        <v/>
      </c>
    </row>
    <row r="26" ht="16" customHeight="1">
      <c r="A26" s="42" t="n">
        <v>46043</v>
      </c>
      <c r="B26" s="39" t="inlineStr">
        <is>
          <t>Lakehouse A</t>
        </is>
      </c>
      <c r="C26" s="39" t="inlineStr">
        <is>
          <t>Sarah Mitchell</t>
        </is>
      </c>
      <c r="D26" s="43" t="n">
        <v>3</v>
      </c>
      <c r="E26" s="40" t="n">
        <v>120</v>
      </c>
      <c r="F26" s="40" t="n"/>
      <c r="G26" s="44">
        <f>IFERROR(VLOOKUP(C26,Cleaners!$B$6:$I$35,8,FALSE),0)</f>
        <v/>
      </c>
      <c r="H26" s="39" t="inlineStr">
        <is>
          <t>Inspected</t>
        </is>
      </c>
      <c r="I26" s="45" t="n">
        <v>5</v>
      </c>
      <c r="J26" s="39" t="n"/>
      <c r="K26" s="44">
        <f>IF(C26="","",IFERROR(D26,0)*G26+IFERROR(E26,0)+IFERROR(F26,0))</f>
        <v/>
      </c>
    </row>
    <row r="27" ht="16" customHeight="1">
      <c r="A27" s="42" t="n">
        <v>46044</v>
      </c>
      <c r="B27" s="39" t="inlineStr">
        <is>
          <t>Creek Side</t>
        </is>
      </c>
      <c r="C27" s="39" t="inlineStr">
        <is>
          <t>Sarah Mitchell</t>
        </is>
      </c>
      <c r="D27" s="43" t="n">
        <v>3.25</v>
      </c>
      <c r="E27" s="40" t="n">
        <v>120</v>
      </c>
      <c r="F27" s="40" t="n"/>
      <c r="G27" s="44">
        <f>IFERROR(VLOOKUP(C27,Cleaners!$B$6:$I$35,8,FALSE),0)</f>
        <v/>
      </c>
      <c r="H27" s="39" t="inlineStr">
        <is>
          <t>Inspected</t>
        </is>
      </c>
      <c r="I27" s="45" t="n">
        <v>4.6</v>
      </c>
      <c r="J27" s="39" t="n"/>
      <c r="K27" s="44">
        <f>IF(C27="","",IFERROR(D27,0)*G27+IFERROR(E27,0)+IFERROR(F27,0))</f>
        <v/>
      </c>
    </row>
    <row r="28" ht="16" customHeight="1">
      <c r="A28" s="42" t="n">
        <v>46045</v>
      </c>
      <c r="B28" s="39" t="inlineStr">
        <is>
          <t>Smokies Ridge</t>
        </is>
      </c>
      <c r="C28" s="39" t="inlineStr">
        <is>
          <t>Sarah Mitchell</t>
        </is>
      </c>
      <c r="D28" s="43" t="n">
        <v>3.5</v>
      </c>
      <c r="E28" s="40" t="n">
        <v>120</v>
      </c>
      <c r="F28" s="40" t="n"/>
      <c r="G28" s="44">
        <f>IFERROR(VLOOKUP(C28,Cleaners!$B$6:$I$35,8,FALSE),0)</f>
        <v/>
      </c>
      <c r="H28" s="39" t="inlineStr">
        <is>
          <t>Inspected</t>
        </is>
      </c>
      <c r="I28" s="45" t="n">
        <v>4.7</v>
      </c>
      <c r="J28" s="39" t="n"/>
      <c r="K28" s="44">
        <f>IF(C28="","",IFERROR(D28,0)*G28+IFERROR(E28,0)+IFERROR(F28,0))</f>
        <v/>
      </c>
    </row>
    <row r="29" ht="16" customHeight="1">
      <c r="A29" s="42" t="n">
        <v>46046</v>
      </c>
      <c r="B29" s="39" t="inlineStr">
        <is>
          <t>Lakehouse A</t>
        </is>
      </c>
      <c r="C29" s="39" t="inlineStr">
        <is>
          <t>Sarah Mitchell</t>
        </is>
      </c>
      <c r="D29" s="43" t="n">
        <v>3.75</v>
      </c>
      <c r="E29" s="40" t="n">
        <v>120</v>
      </c>
      <c r="F29" s="40" t="n"/>
      <c r="G29" s="44">
        <f>IFERROR(VLOOKUP(C29,Cleaners!$B$6:$I$35,8,FALSE),0)</f>
        <v/>
      </c>
      <c r="H29" s="39" t="inlineStr">
        <is>
          <t>Inspected</t>
        </is>
      </c>
      <c r="I29" s="45" t="n">
        <v>4.8</v>
      </c>
      <c r="J29" s="39" t="n"/>
      <c r="K29" s="44">
        <f>IF(C29="","",IFERROR(D29,0)*G29+IFERROR(E29,0)+IFERROR(F29,0))</f>
        <v/>
      </c>
    </row>
    <row r="30" ht="16" customHeight="1">
      <c r="A30" s="42" t="n">
        <v>46047</v>
      </c>
      <c r="B30" s="39" t="inlineStr">
        <is>
          <t>Creek Side</t>
        </is>
      </c>
      <c r="C30" s="39" t="inlineStr">
        <is>
          <t>Sarah Mitchell</t>
        </is>
      </c>
      <c r="D30" s="43" t="n">
        <v>4</v>
      </c>
      <c r="E30" s="40" t="n">
        <v>120</v>
      </c>
      <c r="F30" s="40" t="n">
        <v>25</v>
      </c>
      <c r="G30" s="44">
        <f>IFERROR(VLOOKUP(C30,Cleaners!$B$6:$I$35,8,FALSE),0)</f>
        <v/>
      </c>
      <c r="H30" s="39" t="inlineStr">
        <is>
          <t>Inspected</t>
        </is>
      </c>
      <c r="I30" s="45" t="n">
        <v>4.9</v>
      </c>
      <c r="J30" s="39" t="n"/>
      <c r="K30" s="44">
        <f>IF(C30="","",IFERROR(D30,0)*G30+IFERROR(E30,0)+IFERROR(F30,0))</f>
        <v/>
      </c>
    </row>
    <row r="31" ht="16" customHeight="1">
      <c r="A31" s="42" t="n">
        <v>46048</v>
      </c>
      <c r="B31" s="39" t="inlineStr">
        <is>
          <t>Smokies Ridge</t>
        </is>
      </c>
      <c r="C31" s="39" t="inlineStr">
        <is>
          <t>Sarah Mitchell</t>
        </is>
      </c>
      <c r="D31" s="43" t="n">
        <v>3</v>
      </c>
      <c r="E31" s="40" t="n">
        <v>120</v>
      </c>
      <c r="F31" s="40" t="n"/>
      <c r="G31" s="44">
        <f>IFERROR(VLOOKUP(C31,Cleaners!$B$6:$I$35,8,FALSE),0)</f>
        <v/>
      </c>
      <c r="H31" s="39" t="inlineStr">
        <is>
          <t>Inspected</t>
        </is>
      </c>
      <c r="I31" s="45" t="n">
        <v>5</v>
      </c>
      <c r="J31" s="39" t="n"/>
      <c r="K31" s="44">
        <f>IF(C31="","",IFERROR(D31,0)*G31+IFERROR(E31,0)+IFERROR(F31,0))</f>
        <v/>
      </c>
    </row>
    <row r="32" ht="16" customHeight="1">
      <c r="A32" s="42" t="n">
        <v>46049</v>
      </c>
      <c r="B32" s="39" t="inlineStr">
        <is>
          <t>Lakehouse A</t>
        </is>
      </c>
      <c r="C32" s="39" t="inlineStr">
        <is>
          <t>Sarah Mitchell</t>
        </is>
      </c>
      <c r="D32" s="43" t="n">
        <v>3.25</v>
      </c>
      <c r="E32" s="40" t="n">
        <v>120</v>
      </c>
      <c r="F32" s="40" t="n"/>
      <c r="G32" s="44">
        <f>IFERROR(VLOOKUP(C32,Cleaners!$B$6:$I$35,8,FALSE),0)</f>
        <v/>
      </c>
      <c r="H32" s="39" t="inlineStr">
        <is>
          <t>Inspected</t>
        </is>
      </c>
      <c r="I32" s="45" t="n">
        <v>5</v>
      </c>
      <c r="J32" s="39" t="n"/>
      <c r="K32" s="44">
        <f>IF(C32="","",IFERROR(D32,0)*G32+IFERROR(E32,0)+IFERROR(F32,0))</f>
        <v/>
      </c>
    </row>
    <row r="33" ht="16" customHeight="1">
      <c r="A33" s="42" t="n">
        <v>46050</v>
      </c>
      <c r="B33" s="39" t="inlineStr">
        <is>
          <t>Creek Side</t>
        </is>
      </c>
      <c r="C33" s="39" t="inlineStr">
        <is>
          <t>Sarah Mitchell</t>
        </is>
      </c>
      <c r="D33" s="43" t="n">
        <v>3.5</v>
      </c>
      <c r="E33" s="40" t="n">
        <v>120</v>
      </c>
      <c r="F33" s="40" t="n"/>
      <c r="G33" s="44">
        <f>IFERROR(VLOOKUP(C33,Cleaners!$B$6:$I$35,8,FALSE),0)</f>
        <v/>
      </c>
      <c r="H33" s="39" t="inlineStr">
        <is>
          <t>Inspected</t>
        </is>
      </c>
      <c r="I33" s="45" t="n">
        <v>5</v>
      </c>
      <c r="J33" s="39" t="n"/>
      <c r="K33" s="44">
        <f>IF(C33="","",IFERROR(D33,0)*G33+IFERROR(E33,0)+IFERROR(F33,0))</f>
        <v/>
      </c>
    </row>
    <row r="34" ht="16" customHeight="1">
      <c r="A34" s="42" t="n">
        <v>46051</v>
      </c>
      <c r="B34" s="39" t="inlineStr">
        <is>
          <t>Smokies Ridge</t>
        </is>
      </c>
      <c r="C34" s="39" t="inlineStr">
        <is>
          <t>Sarah Mitchell</t>
        </is>
      </c>
      <c r="D34" s="43" t="n">
        <v>3.75</v>
      </c>
      <c r="E34" s="40" t="n">
        <v>120</v>
      </c>
      <c r="F34" s="40" t="n"/>
      <c r="G34" s="44">
        <f>IFERROR(VLOOKUP(C34,Cleaners!$B$6:$I$35,8,FALSE),0)</f>
        <v/>
      </c>
      <c r="H34" s="39" t="inlineStr">
        <is>
          <t>Inspected</t>
        </is>
      </c>
      <c r="I34" s="45" t="n">
        <v>4.6</v>
      </c>
      <c r="J34" s="39" t="n"/>
      <c r="K34" s="44">
        <f>IF(C34="","",IFERROR(D34,0)*G34+IFERROR(E34,0)+IFERROR(F34,0))</f>
        <v/>
      </c>
    </row>
    <row r="35" ht="16" customHeight="1">
      <c r="A35" s="42" t="n">
        <v>46052</v>
      </c>
      <c r="B35" s="39" t="inlineStr">
        <is>
          <t>Lakehouse A</t>
        </is>
      </c>
      <c r="C35" s="39" t="inlineStr">
        <is>
          <t>Sarah Mitchell</t>
        </is>
      </c>
      <c r="D35" s="43" t="n">
        <v>4</v>
      </c>
      <c r="E35" s="40" t="n">
        <v>120</v>
      </c>
      <c r="F35" s="40" t="n"/>
      <c r="G35" s="44">
        <f>IFERROR(VLOOKUP(C35,Cleaners!$B$6:$I$35,8,FALSE),0)</f>
        <v/>
      </c>
      <c r="H35" s="39" t="inlineStr">
        <is>
          <t>Inspected</t>
        </is>
      </c>
      <c r="I35" s="45" t="n">
        <v>4.7</v>
      </c>
      <c r="J35" s="39" t="n"/>
      <c r="K35" s="44">
        <f>IF(C35="","",IFERROR(D35,0)*G35+IFERROR(E35,0)+IFERROR(F35,0))</f>
        <v/>
      </c>
    </row>
    <row r="36" ht="16" customHeight="1">
      <c r="A36" s="42" t="n">
        <v>46053</v>
      </c>
      <c r="B36" s="39" t="inlineStr">
        <is>
          <t>Creek Side</t>
        </is>
      </c>
      <c r="C36" s="39" t="inlineStr">
        <is>
          <t>Sarah Mitchell</t>
        </is>
      </c>
      <c r="D36" s="43" t="n">
        <v>3</v>
      </c>
      <c r="E36" s="40" t="n">
        <v>120</v>
      </c>
      <c r="F36" s="40" t="n"/>
      <c r="G36" s="44">
        <f>IFERROR(VLOOKUP(C36,Cleaners!$B$6:$I$35,8,FALSE),0)</f>
        <v/>
      </c>
      <c r="H36" s="39" t="inlineStr">
        <is>
          <t>Inspected</t>
        </is>
      </c>
      <c r="I36" s="45" t="n">
        <v>4.8</v>
      </c>
      <c r="J36" s="39" t="n"/>
      <c r="K36" s="44">
        <f>IF(C36="","",IFERROR(D36,0)*G36+IFERROR(E36,0)+IFERROR(F36,0))</f>
        <v/>
      </c>
    </row>
    <row r="37" ht="16" customHeight="1">
      <c r="A37" s="42" t="n">
        <v>46054</v>
      </c>
      <c r="B37" s="39" t="inlineStr">
        <is>
          <t>Smokies Ridge</t>
        </is>
      </c>
      <c r="C37" s="39" t="inlineStr">
        <is>
          <t>Sarah Mitchell</t>
        </is>
      </c>
      <c r="D37" s="43" t="n">
        <v>3.25</v>
      </c>
      <c r="E37" s="40" t="n">
        <v>120</v>
      </c>
      <c r="F37" s="40" t="n"/>
      <c r="G37" s="44">
        <f>IFERROR(VLOOKUP(C37,Cleaners!$B$6:$I$35,8,FALSE),0)</f>
        <v/>
      </c>
      <c r="H37" s="39" t="inlineStr">
        <is>
          <t>Inspected</t>
        </is>
      </c>
      <c r="I37" s="45" t="n">
        <v>4.9</v>
      </c>
      <c r="J37" s="39" t="n"/>
      <c r="K37" s="44">
        <f>IF(C37="","",IFERROR(D37,0)*G37+IFERROR(E37,0)+IFERROR(F37,0))</f>
        <v/>
      </c>
    </row>
    <row r="38" ht="16" customHeight="1">
      <c r="A38" s="42" t="n">
        <v>46055</v>
      </c>
      <c r="B38" s="39" t="inlineStr">
        <is>
          <t>Lakehouse A</t>
        </is>
      </c>
      <c r="C38" s="39" t="inlineStr">
        <is>
          <t>Sarah Mitchell</t>
        </is>
      </c>
      <c r="D38" s="43" t="n">
        <v>3.5</v>
      </c>
      <c r="E38" s="40" t="n">
        <v>120</v>
      </c>
      <c r="F38" s="40" t="n"/>
      <c r="G38" s="44">
        <f>IFERROR(VLOOKUP(C38,Cleaners!$B$6:$I$35,8,FALSE),0)</f>
        <v/>
      </c>
      <c r="H38" s="39" t="inlineStr">
        <is>
          <t>Inspected</t>
        </is>
      </c>
      <c r="I38" s="45" t="n">
        <v>5</v>
      </c>
      <c r="J38" s="39" t="n"/>
      <c r="K38" s="44">
        <f>IF(C38="","",IFERROR(D38,0)*G38+IFERROR(E38,0)+IFERROR(F38,0))</f>
        <v/>
      </c>
    </row>
    <row r="39" ht="16" customHeight="1">
      <c r="A39" s="42" t="n">
        <v>46056</v>
      </c>
      <c r="B39" s="39" t="inlineStr">
        <is>
          <t>Creek Side</t>
        </is>
      </c>
      <c r="C39" s="39" t="inlineStr">
        <is>
          <t>Sarah Mitchell</t>
        </is>
      </c>
      <c r="D39" s="43" t="n">
        <v>3.75</v>
      </c>
      <c r="E39" s="40" t="n">
        <v>120</v>
      </c>
      <c r="F39" s="40" t="n"/>
      <c r="G39" s="44">
        <f>IFERROR(VLOOKUP(C39,Cleaners!$B$6:$I$35,8,FALSE),0)</f>
        <v/>
      </c>
      <c r="H39" s="39" t="inlineStr">
        <is>
          <t>Inspected</t>
        </is>
      </c>
      <c r="I39" s="45" t="n">
        <v>5</v>
      </c>
      <c r="J39" s="39" t="n"/>
      <c r="K39" s="44">
        <f>IF(C39="","",IFERROR(D39,0)*G39+IFERROR(E39,0)+IFERROR(F39,0))</f>
        <v/>
      </c>
    </row>
    <row r="40" ht="16" customHeight="1">
      <c r="A40" s="42" t="n">
        <v>46057</v>
      </c>
      <c r="B40" s="39" t="inlineStr">
        <is>
          <t>Smokies Ridge</t>
        </is>
      </c>
      <c r="C40" s="39" t="inlineStr">
        <is>
          <t>Sarah Mitchell</t>
        </is>
      </c>
      <c r="D40" s="43" t="n">
        <v>4</v>
      </c>
      <c r="E40" s="40" t="n">
        <v>120</v>
      </c>
      <c r="F40" s="40" t="n"/>
      <c r="G40" s="44">
        <f>IFERROR(VLOOKUP(C40,Cleaners!$B$6:$I$35,8,FALSE),0)</f>
        <v/>
      </c>
      <c r="H40" s="39" t="inlineStr">
        <is>
          <t>Inspected</t>
        </is>
      </c>
      <c r="I40" s="45" t="n">
        <v>5</v>
      </c>
      <c r="J40" s="39" t="n"/>
      <c r="K40" s="44">
        <f>IF(C40="","",IFERROR(D40,0)*G40+IFERROR(E40,0)+IFERROR(F40,0))</f>
        <v/>
      </c>
    </row>
    <row r="41" ht="16" customHeight="1">
      <c r="A41" s="42" t="n">
        <v>46058</v>
      </c>
      <c r="B41" s="39" t="inlineStr">
        <is>
          <t>Lakehouse A</t>
        </is>
      </c>
      <c r="C41" s="39" t="inlineStr">
        <is>
          <t>Sarah Mitchell</t>
        </is>
      </c>
      <c r="D41" s="43" t="n">
        <v>3</v>
      </c>
      <c r="E41" s="40" t="n">
        <v>120</v>
      </c>
      <c r="F41" s="40" t="n"/>
      <c r="G41" s="44">
        <f>IFERROR(VLOOKUP(C41,Cleaners!$B$6:$I$35,8,FALSE),0)</f>
        <v/>
      </c>
      <c r="H41" s="39" t="inlineStr">
        <is>
          <t>Inspected</t>
        </is>
      </c>
      <c r="I41" s="45" t="n">
        <v>4.6</v>
      </c>
      <c r="J41" s="39" t="n"/>
      <c r="K41" s="44">
        <f>IF(C41="","",IFERROR(D41,0)*G41+IFERROR(E41,0)+IFERROR(F41,0))</f>
        <v/>
      </c>
    </row>
    <row r="42" ht="16" customHeight="1">
      <c r="A42" s="42" t="n">
        <v>46059</v>
      </c>
      <c r="B42" s="39" t="inlineStr">
        <is>
          <t>Creek Side</t>
        </is>
      </c>
      <c r="C42" s="39" t="inlineStr">
        <is>
          <t>Sarah Mitchell</t>
        </is>
      </c>
      <c r="D42" s="43" t="n">
        <v>3.25</v>
      </c>
      <c r="E42" s="40" t="n">
        <v>120</v>
      </c>
      <c r="F42" s="40" t="n">
        <v>25</v>
      </c>
      <c r="G42" s="44">
        <f>IFERROR(VLOOKUP(C42,Cleaners!$B$6:$I$35,8,FALSE),0)</f>
        <v/>
      </c>
      <c r="H42" s="39" t="inlineStr">
        <is>
          <t>Inspected</t>
        </is>
      </c>
      <c r="I42" s="45" t="n">
        <v>4.7</v>
      </c>
      <c r="J42" s="39" t="n"/>
      <c r="K42" s="44">
        <f>IF(C42="","",IFERROR(D42,0)*G42+IFERROR(E42,0)+IFERROR(F42,0))</f>
        <v/>
      </c>
    </row>
    <row r="43" ht="16" customHeight="1">
      <c r="A43" s="42" t="n">
        <v>46060</v>
      </c>
      <c r="B43" s="39" t="inlineStr">
        <is>
          <t>Smokies Ridge</t>
        </is>
      </c>
      <c r="C43" s="39" t="inlineStr">
        <is>
          <t>Sarah Mitchell</t>
        </is>
      </c>
      <c r="D43" s="43" t="n">
        <v>3.5</v>
      </c>
      <c r="E43" s="40" t="n">
        <v>120</v>
      </c>
      <c r="F43" s="40" t="n"/>
      <c r="G43" s="44">
        <f>IFERROR(VLOOKUP(C43,Cleaners!$B$6:$I$35,8,FALSE),0)</f>
        <v/>
      </c>
      <c r="H43" s="39" t="inlineStr">
        <is>
          <t>Inspected</t>
        </is>
      </c>
      <c r="I43" s="45" t="n">
        <v>4.8</v>
      </c>
      <c r="J43" s="39" t="n"/>
      <c r="K43" s="44">
        <f>IF(C43="","",IFERROR(D43,0)*G43+IFERROR(E43,0)+IFERROR(F43,0))</f>
        <v/>
      </c>
    </row>
    <row r="44" ht="16" customHeight="1">
      <c r="A44" s="42" t="n">
        <v>46061</v>
      </c>
      <c r="B44" s="39" t="inlineStr">
        <is>
          <t>Lakehouse A</t>
        </is>
      </c>
      <c r="C44" s="39" t="inlineStr">
        <is>
          <t>Sarah Mitchell</t>
        </is>
      </c>
      <c r="D44" s="43" t="n">
        <v>3.75</v>
      </c>
      <c r="E44" s="40" t="n">
        <v>120</v>
      </c>
      <c r="F44" s="40" t="n"/>
      <c r="G44" s="44">
        <f>IFERROR(VLOOKUP(C44,Cleaners!$B$6:$I$35,8,FALSE),0)</f>
        <v/>
      </c>
      <c r="H44" s="39" t="inlineStr">
        <is>
          <t>Inspected</t>
        </is>
      </c>
      <c r="I44" s="45" t="n">
        <v>4.9</v>
      </c>
      <c r="J44" s="39" t="n"/>
      <c r="K44" s="44">
        <f>IF(C44="","",IFERROR(D44,0)*G44+IFERROR(E44,0)+IFERROR(F44,0))</f>
        <v/>
      </c>
    </row>
    <row r="45" ht="16" customHeight="1">
      <c r="A45" s="42" t="n">
        <v>46062</v>
      </c>
      <c r="B45" s="39" t="inlineStr">
        <is>
          <t>Creek Side</t>
        </is>
      </c>
      <c r="C45" s="39" t="inlineStr">
        <is>
          <t>Sarah Mitchell</t>
        </is>
      </c>
      <c r="D45" s="43" t="n">
        <v>4</v>
      </c>
      <c r="E45" s="40" t="n">
        <v>120</v>
      </c>
      <c r="F45" s="40" t="n"/>
      <c r="G45" s="44">
        <f>IFERROR(VLOOKUP(C45,Cleaners!$B$6:$I$35,8,FALSE),0)</f>
        <v/>
      </c>
      <c r="H45" s="39" t="inlineStr">
        <is>
          <t>Inspected</t>
        </is>
      </c>
      <c r="I45" s="45" t="n">
        <v>5</v>
      </c>
      <c r="J45" s="39" t="n"/>
      <c r="K45" s="44">
        <f>IF(C45="","",IFERROR(D45,0)*G45+IFERROR(E45,0)+IFERROR(F45,0))</f>
        <v/>
      </c>
    </row>
    <row r="46" ht="16" customHeight="1">
      <c r="A46" s="42" t="n">
        <v>46063</v>
      </c>
      <c r="B46" s="39" t="inlineStr">
        <is>
          <t>Smokies Ridge</t>
        </is>
      </c>
      <c r="C46" s="39" t="inlineStr">
        <is>
          <t>Sarah Mitchell</t>
        </is>
      </c>
      <c r="D46" s="43" t="n">
        <v>3</v>
      </c>
      <c r="E46" s="40" t="n">
        <v>120</v>
      </c>
      <c r="F46" s="40" t="n"/>
      <c r="G46" s="44">
        <f>IFERROR(VLOOKUP(C46,Cleaners!$B$6:$I$35,8,FALSE),0)</f>
        <v/>
      </c>
      <c r="H46" s="39" t="inlineStr">
        <is>
          <t>Inspected</t>
        </is>
      </c>
      <c r="I46" s="45" t="n">
        <v>5</v>
      </c>
      <c r="J46" s="39" t="n"/>
      <c r="K46" s="44">
        <f>IF(C46="","",IFERROR(D46,0)*G46+IFERROR(E46,0)+IFERROR(F46,0))</f>
        <v/>
      </c>
    </row>
    <row r="47" ht="16" customHeight="1">
      <c r="A47" s="42" t="n">
        <v>46064</v>
      </c>
      <c r="B47" s="39" t="inlineStr">
        <is>
          <t>Lakehouse A</t>
        </is>
      </c>
      <c r="C47" s="39" t="inlineStr">
        <is>
          <t>Sarah Mitchell</t>
        </is>
      </c>
      <c r="D47" s="43" t="n">
        <v>3.25</v>
      </c>
      <c r="E47" s="40" t="n">
        <v>120</v>
      </c>
      <c r="F47" s="40" t="n"/>
      <c r="G47" s="44">
        <f>IFERROR(VLOOKUP(C47,Cleaners!$B$6:$I$35,8,FALSE),0)</f>
        <v/>
      </c>
      <c r="H47" s="39" t="inlineStr">
        <is>
          <t>Inspected</t>
        </is>
      </c>
      <c r="I47" s="45" t="n">
        <v>5</v>
      </c>
      <c r="J47" s="39" t="n"/>
      <c r="K47" s="44">
        <f>IF(C47="","",IFERROR(D47,0)*G47+IFERROR(E47,0)+IFERROR(F47,0))</f>
        <v/>
      </c>
    </row>
    <row r="48" ht="16" customHeight="1">
      <c r="A48" s="42" t="n">
        <v>46065</v>
      </c>
      <c r="B48" s="39" t="inlineStr">
        <is>
          <t>Creek Side</t>
        </is>
      </c>
      <c r="C48" s="39" t="inlineStr">
        <is>
          <t>Sarah Mitchell</t>
        </is>
      </c>
      <c r="D48" s="43" t="n">
        <v>3.5</v>
      </c>
      <c r="E48" s="40" t="n">
        <v>120</v>
      </c>
      <c r="F48" s="40" t="n"/>
      <c r="G48" s="44">
        <f>IFERROR(VLOOKUP(C48,Cleaners!$B$6:$I$35,8,FALSE),0)</f>
        <v/>
      </c>
      <c r="H48" s="39" t="inlineStr">
        <is>
          <t>Inspected</t>
        </is>
      </c>
      <c r="I48" s="45" t="n">
        <v>4.6</v>
      </c>
      <c r="J48" s="39" t="n"/>
      <c r="K48" s="44">
        <f>IF(C48="","",IFERROR(D48,0)*G48+IFERROR(E48,0)+IFERROR(F48,0))</f>
        <v/>
      </c>
    </row>
    <row r="49" ht="16" customHeight="1">
      <c r="A49" s="42" t="n">
        <v>46066</v>
      </c>
      <c r="B49" s="39" t="inlineStr">
        <is>
          <t>Smokies Ridge</t>
        </is>
      </c>
      <c r="C49" s="39" t="inlineStr">
        <is>
          <t>Sarah Mitchell</t>
        </is>
      </c>
      <c r="D49" s="43" t="n">
        <v>3.75</v>
      </c>
      <c r="E49" s="40" t="n">
        <v>120</v>
      </c>
      <c r="F49" s="40" t="n"/>
      <c r="G49" s="44">
        <f>IFERROR(VLOOKUP(C49,Cleaners!$B$6:$I$35,8,FALSE),0)</f>
        <v/>
      </c>
      <c r="H49" s="39" t="inlineStr">
        <is>
          <t>Inspected</t>
        </is>
      </c>
      <c r="I49" s="45" t="n">
        <v>4.7</v>
      </c>
      <c r="J49" s="39" t="n"/>
      <c r="K49" s="44">
        <f>IF(C49="","",IFERROR(D49,0)*G49+IFERROR(E49,0)+IFERROR(F49,0))</f>
        <v/>
      </c>
    </row>
    <row r="50" ht="16" customHeight="1">
      <c r="A50" s="42" t="n">
        <v>46067</v>
      </c>
      <c r="B50" s="39" t="inlineStr">
        <is>
          <t>Lakehouse A</t>
        </is>
      </c>
      <c r="C50" s="39" t="inlineStr">
        <is>
          <t>Sarah Mitchell</t>
        </is>
      </c>
      <c r="D50" s="43" t="n">
        <v>4</v>
      </c>
      <c r="E50" s="40" t="n">
        <v>120</v>
      </c>
      <c r="F50" s="40" t="n"/>
      <c r="G50" s="44">
        <f>IFERROR(VLOOKUP(C50,Cleaners!$B$6:$I$35,8,FALSE),0)</f>
        <v/>
      </c>
      <c r="H50" s="39" t="inlineStr">
        <is>
          <t>Inspected</t>
        </is>
      </c>
      <c r="I50" s="45" t="n">
        <v>4.8</v>
      </c>
      <c r="J50" s="39" t="n"/>
      <c r="K50" s="44">
        <f>IF(C50="","",IFERROR(D50,0)*G50+IFERROR(E50,0)+IFERROR(F50,0))</f>
        <v/>
      </c>
    </row>
    <row r="51" ht="16" customHeight="1">
      <c r="A51" s="42" t="n">
        <v>46068</v>
      </c>
      <c r="B51" s="39" t="inlineStr">
        <is>
          <t>Creek Side</t>
        </is>
      </c>
      <c r="C51" s="39" t="inlineStr">
        <is>
          <t>Sarah Mitchell</t>
        </is>
      </c>
      <c r="D51" s="43" t="n">
        <v>3</v>
      </c>
      <c r="E51" s="40" t="n">
        <v>120</v>
      </c>
      <c r="F51" s="40" t="n"/>
      <c r="G51" s="44">
        <f>IFERROR(VLOOKUP(C51,Cleaners!$B$6:$I$35,8,FALSE),0)</f>
        <v/>
      </c>
      <c r="H51" s="39" t="inlineStr">
        <is>
          <t>Inspected</t>
        </is>
      </c>
      <c r="I51" s="45" t="n">
        <v>4.9</v>
      </c>
      <c r="J51" s="39" t="n"/>
      <c r="K51" s="44">
        <f>IF(C51="","",IFERROR(D51,0)*G51+IFERROR(E51,0)+IFERROR(F51,0))</f>
        <v/>
      </c>
    </row>
    <row r="52" ht="16" customHeight="1">
      <c r="A52" s="42" t="n">
        <v>46069</v>
      </c>
      <c r="B52" s="39" t="inlineStr">
        <is>
          <t>Smokies Ridge</t>
        </is>
      </c>
      <c r="C52" s="39" t="inlineStr">
        <is>
          <t>Sarah Mitchell</t>
        </is>
      </c>
      <c r="D52" s="43" t="n">
        <v>3.25</v>
      </c>
      <c r="E52" s="40" t="n">
        <v>120</v>
      </c>
      <c r="F52" s="40" t="n"/>
      <c r="G52" s="44">
        <f>IFERROR(VLOOKUP(C52,Cleaners!$B$6:$I$35,8,FALSE),0)</f>
        <v/>
      </c>
      <c r="H52" s="39" t="inlineStr">
        <is>
          <t>Inspected</t>
        </is>
      </c>
      <c r="I52" s="45" t="n">
        <v>5</v>
      </c>
      <c r="J52" s="39" t="n"/>
      <c r="K52" s="44">
        <f>IF(C52="","",IFERROR(D52,0)*G52+IFERROR(E52,0)+IFERROR(F52,0))</f>
        <v/>
      </c>
    </row>
    <row r="53" ht="16" customHeight="1">
      <c r="A53" s="42" t="n">
        <v>46070</v>
      </c>
      <c r="B53" s="39" t="inlineStr">
        <is>
          <t>Lakehouse A</t>
        </is>
      </c>
      <c r="C53" s="39" t="inlineStr">
        <is>
          <t>Sarah Mitchell</t>
        </is>
      </c>
      <c r="D53" s="43" t="n">
        <v>3.5</v>
      </c>
      <c r="E53" s="40" t="n">
        <v>120</v>
      </c>
      <c r="F53" s="40" t="n"/>
      <c r="G53" s="44">
        <f>IFERROR(VLOOKUP(C53,Cleaners!$B$6:$I$35,8,FALSE),0)</f>
        <v/>
      </c>
      <c r="H53" s="39" t="inlineStr">
        <is>
          <t>Inspected</t>
        </is>
      </c>
      <c r="I53" s="45" t="n">
        <v>5</v>
      </c>
      <c r="J53" s="39" t="n"/>
      <c r="K53" s="44">
        <f>IF(C53="","",IFERROR(D53,0)*G53+IFERROR(E53,0)+IFERROR(F53,0))</f>
        <v/>
      </c>
    </row>
    <row r="54" ht="16" customHeight="1">
      <c r="A54" s="42" t="n">
        <v>46071</v>
      </c>
      <c r="B54" s="39" t="inlineStr">
        <is>
          <t>Creek Side</t>
        </is>
      </c>
      <c r="C54" s="39" t="inlineStr">
        <is>
          <t>Sarah Mitchell</t>
        </is>
      </c>
      <c r="D54" s="43" t="n">
        <v>3.75</v>
      </c>
      <c r="E54" s="40" t="n">
        <v>120</v>
      </c>
      <c r="F54" s="40" t="n">
        <v>25</v>
      </c>
      <c r="G54" s="44">
        <f>IFERROR(VLOOKUP(C54,Cleaners!$B$6:$I$35,8,FALSE),0)</f>
        <v/>
      </c>
      <c r="H54" s="39" t="inlineStr">
        <is>
          <t>Inspected</t>
        </is>
      </c>
      <c r="I54" s="45" t="n">
        <v>5</v>
      </c>
      <c r="J54" s="39" t="n"/>
      <c r="K54" s="44">
        <f>IF(C54="","",IFERROR(D54,0)*G54+IFERROR(E54,0)+IFERROR(F54,0))</f>
        <v/>
      </c>
    </row>
    <row r="55" ht="16" customHeight="1">
      <c r="A55" s="42" t="n">
        <v>46072</v>
      </c>
      <c r="B55" s="39" t="inlineStr">
        <is>
          <t>Smokies Ridge</t>
        </is>
      </c>
      <c r="C55" s="39" t="inlineStr">
        <is>
          <t>Sarah Mitchell</t>
        </is>
      </c>
      <c r="D55" s="43" t="n">
        <v>4</v>
      </c>
      <c r="E55" s="40" t="n">
        <v>120</v>
      </c>
      <c r="F55" s="40" t="n"/>
      <c r="G55" s="44">
        <f>IFERROR(VLOOKUP(C55,Cleaners!$B$6:$I$35,8,FALSE),0)</f>
        <v/>
      </c>
      <c r="H55" s="39" t="inlineStr">
        <is>
          <t>Inspected</t>
        </is>
      </c>
      <c r="I55" s="45" t="n">
        <v>4.6</v>
      </c>
      <c r="J55" s="39" t="n"/>
      <c r="K55" s="44">
        <f>IF(C55="","",IFERROR(D55,0)*G55+IFERROR(E55,0)+IFERROR(F55,0))</f>
        <v/>
      </c>
    </row>
    <row r="56" ht="16" customHeight="1">
      <c r="A56" s="42" t="n">
        <v>46073</v>
      </c>
      <c r="B56" s="39" t="inlineStr">
        <is>
          <t>Lakehouse A</t>
        </is>
      </c>
      <c r="C56" s="39" t="inlineStr">
        <is>
          <t>Sarah Mitchell</t>
        </is>
      </c>
      <c r="D56" s="43" t="n">
        <v>3</v>
      </c>
      <c r="E56" s="40" t="n">
        <v>120</v>
      </c>
      <c r="F56" s="40" t="n"/>
      <c r="G56" s="44">
        <f>IFERROR(VLOOKUP(C56,Cleaners!$B$6:$I$35,8,FALSE),0)</f>
        <v/>
      </c>
      <c r="H56" s="39" t="inlineStr">
        <is>
          <t>Inspected</t>
        </is>
      </c>
      <c r="I56" s="45" t="n">
        <v>4.7</v>
      </c>
      <c r="J56" s="39" t="n"/>
      <c r="K56" s="44">
        <f>IF(C56="","",IFERROR(D56,0)*G56+IFERROR(E56,0)+IFERROR(F56,0))</f>
        <v/>
      </c>
    </row>
    <row r="57" ht="16" customHeight="1">
      <c r="A57" s="42" t="n">
        <v>46074</v>
      </c>
      <c r="B57" s="39" t="inlineStr">
        <is>
          <t>Creek Side</t>
        </is>
      </c>
      <c r="C57" s="39" t="inlineStr">
        <is>
          <t>Sarah Mitchell</t>
        </is>
      </c>
      <c r="D57" s="43" t="n">
        <v>3.25</v>
      </c>
      <c r="E57" s="40" t="n">
        <v>120</v>
      </c>
      <c r="F57" s="40" t="n"/>
      <c r="G57" s="44">
        <f>IFERROR(VLOOKUP(C57,Cleaners!$B$6:$I$35,8,FALSE),0)</f>
        <v/>
      </c>
      <c r="H57" s="39" t="inlineStr">
        <is>
          <t>Inspected</t>
        </is>
      </c>
      <c r="I57" s="45" t="n">
        <v>4.8</v>
      </c>
      <c r="J57" s="39" t="n"/>
      <c r="K57" s="44">
        <f>IF(C57="","",IFERROR(D57,0)*G57+IFERROR(E57,0)+IFERROR(F57,0))</f>
        <v/>
      </c>
    </row>
    <row r="58" ht="16" customHeight="1">
      <c r="A58" s="42" t="n">
        <v>46075</v>
      </c>
      <c r="B58" s="39" t="inlineStr">
        <is>
          <t>Smokies Ridge</t>
        </is>
      </c>
      <c r="C58" s="39" t="inlineStr">
        <is>
          <t>Sarah Mitchell</t>
        </is>
      </c>
      <c r="D58" s="43" t="n">
        <v>3.5</v>
      </c>
      <c r="E58" s="40" t="n">
        <v>120</v>
      </c>
      <c r="F58" s="40" t="n"/>
      <c r="G58" s="44">
        <f>IFERROR(VLOOKUP(C58,Cleaners!$B$6:$I$35,8,FALSE),0)</f>
        <v/>
      </c>
      <c r="H58" s="39" t="inlineStr">
        <is>
          <t>Inspected</t>
        </is>
      </c>
      <c r="I58" s="45" t="n">
        <v>4.9</v>
      </c>
      <c r="J58" s="39" t="n"/>
      <c r="K58" s="44">
        <f>IF(C58="","",IFERROR(D58,0)*G58+IFERROR(E58,0)+IFERROR(F58,0))</f>
        <v/>
      </c>
    </row>
    <row r="59" ht="16" customHeight="1">
      <c r="A59" s="42" t="n">
        <v>46076</v>
      </c>
      <c r="B59" s="39" t="inlineStr">
        <is>
          <t>Lakehouse A</t>
        </is>
      </c>
      <c r="C59" s="39" t="inlineStr">
        <is>
          <t>Sarah Mitchell</t>
        </is>
      </c>
      <c r="D59" s="43" t="n">
        <v>3.75</v>
      </c>
      <c r="E59" s="40" t="n">
        <v>120</v>
      </c>
      <c r="F59" s="40" t="n"/>
      <c r="G59" s="44">
        <f>IFERROR(VLOOKUP(C59,Cleaners!$B$6:$I$35,8,FALSE),0)</f>
        <v/>
      </c>
      <c r="H59" s="39" t="inlineStr">
        <is>
          <t>Inspected</t>
        </is>
      </c>
      <c r="I59" s="45" t="n">
        <v>5</v>
      </c>
      <c r="J59" s="39" t="n"/>
      <c r="K59" s="44">
        <f>IF(C59="","",IFERROR(D59,0)*G59+IFERROR(E59,0)+IFERROR(F59,0))</f>
        <v/>
      </c>
    </row>
    <row r="60" ht="16" customHeight="1">
      <c r="A60" s="42" t="n">
        <v>46077</v>
      </c>
      <c r="B60" s="39" t="inlineStr">
        <is>
          <t>Creek Side</t>
        </is>
      </c>
      <c r="C60" s="39" t="inlineStr">
        <is>
          <t>Sarah Mitchell</t>
        </is>
      </c>
      <c r="D60" s="43" t="n">
        <v>4</v>
      </c>
      <c r="E60" s="40" t="n">
        <v>120</v>
      </c>
      <c r="F60" s="40" t="n"/>
      <c r="G60" s="44">
        <f>IFERROR(VLOOKUP(C60,Cleaners!$B$6:$I$35,8,FALSE),0)</f>
        <v/>
      </c>
      <c r="H60" s="39" t="inlineStr">
        <is>
          <t>Inspected</t>
        </is>
      </c>
      <c r="I60" s="45" t="n">
        <v>5</v>
      </c>
      <c r="J60" s="39" t="n"/>
      <c r="K60" s="44">
        <f>IF(C60="","",IFERROR(D60,0)*G60+IFERROR(E60,0)+IFERROR(F60,0))</f>
        <v/>
      </c>
    </row>
    <row r="61" ht="16" customHeight="1">
      <c r="A61" s="42" t="n">
        <v>46078</v>
      </c>
      <c r="B61" s="39" t="inlineStr">
        <is>
          <t>Smokies Ridge</t>
        </is>
      </c>
      <c r="C61" s="39" t="inlineStr">
        <is>
          <t>Sarah Mitchell</t>
        </is>
      </c>
      <c r="D61" s="43" t="n">
        <v>3</v>
      </c>
      <c r="E61" s="40" t="n">
        <v>120</v>
      </c>
      <c r="F61" s="40" t="n"/>
      <c r="G61" s="44">
        <f>IFERROR(VLOOKUP(C61,Cleaners!$B$6:$I$35,8,FALSE),0)</f>
        <v/>
      </c>
      <c r="H61" s="39" t="inlineStr">
        <is>
          <t>Inspected</t>
        </is>
      </c>
      <c r="I61" s="45" t="n">
        <v>5</v>
      </c>
      <c r="J61" s="39" t="n"/>
      <c r="K61" s="44">
        <f>IF(C61="","",IFERROR(D61,0)*G61+IFERROR(E61,0)+IFERROR(F61,0))</f>
        <v/>
      </c>
    </row>
    <row r="62" ht="16" customHeight="1">
      <c r="A62" s="42" t="n">
        <v>46079</v>
      </c>
      <c r="B62" s="39" t="inlineStr">
        <is>
          <t>Lakehouse A</t>
        </is>
      </c>
      <c r="C62" s="39" t="inlineStr">
        <is>
          <t>Sarah Mitchell</t>
        </is>
      </c>
      <c r="D62" s="43" t="n">
        <v>3.25</v>
      </c>
      <c r="E62" s="40" t="n">
        <v>120</v>
      </c>
      <c r="F62" s="40" t="n"/>
      <c r="G62" s="44">
        <f>IFERROR(VLOOKUP(C62,Cleaners!$B$6:$I$35,8,FALSE),0)</f>
        <v/>
      </c>
      <c r="H62" s="39" t="inlineStr">
        <is>
          <t>Inspected</t>
        </is>
      </c>
      <c r="I62" s="45" t="n">
        <v>4.6</v>
      </c>
      <c r="J62" s="39" t="n"/>
      <c r="K62" s="44">
        <f>IF(C62="","",IFERROR(D62,0)*G62+IFERROR(E62,0)+IFERROR(F62,0))</f>
        <v/>
      </c>
    </row>
    <row r="63" ht="16" customHeight="1">
      <c r="A63" s="42" t="n">
        <v>46080</v>
      </c>
      <c r="B63" s="39" t="inlineStr">
        <is>
          <t>Creek Side</t>
        </is>
      </c>
      <c r="C63" s="39" t="inlineStr">
        <is>
          <t>Sarah Mitchell</t>
        </is>
      </c>
      <c r="D63" s="43" t="n">
        <v>3.5</v>
      </c>
      <c r="E63" s="40" t="n">
        <v>120</v>
      </c>
      <c r="F63" s="40" t="n"/>
      <c r="G63" s="44">
        <f>IFERROR(VLOOKUP(C63,Cleaners!$B$6:$I$35,8,FALSE),0)</f>
        <v/>
      </c>
      <c r="H63" s="39" t="inlineStr">
        <is>
          <t>Inspected</t>
        </is>
      </c>
      <c r="I63" s="45" t="n">
        <v>4.7</v>
      </c>
      <c r="J63" s="39" t="n"/>
      <c r="K63" s="44">
        <f>IF(C63="","",IFERROR(D63,0)*G63+IFERROR(E63,0)+IFERROR(F63,0))</f>
        <v/>
      </c>
    </row>
    <row r="64" ht="16" customHeight="1">
      <c r="A64" s="42" t="n">
        <v>46081</v>
      </c>
      <c r="B64" s="39" t="inlineStr">
        <is>
          <t>Smokies Ridge</t>
        </is>
      </c>
      <c r="C64" s="39" t="inlineStr">
        <is>
          <t>Sarah Mitchell</t>
        </is>
      </c>
      <c r="D64" s="43" t="n">
        <v>3.75</v>
      </c>
      <c r="E64" s="40" t="n">
        <v>120</v>
      </c>
      <c r="F64" s="40" t="n"/>
      <c r="G64" s="44">
        <f>IFERROR(VLOOKUP(C64,Cleaners!$B$6:$I$35,8,FALSE),0)</f>
        <v/>
      </c>
      <c r="H64" s="39" t="inlineStr">
        <is>
          <t>Inspected</t>
        </is>
      </c>
      <c r="I64" s="45" t="n">
        <v>4.8</v>
      </c>
      <c r="J64" s="39" t="n"/>
      <c r="K64" s="44">
        <f>IF(C64="","",IFERROR(D64,0)*G64+IFERROR(E64,0)+IFERROR(F64,0))</f>
        <v/>
      </c>
    </row>
    <row r="65" ht="16" customHeight="1">
      <c r="A65" s="42" t="n">
        <v>46082</v>
      </c>
      <c r="B65" s="39" t="inlineStr">
        <is>
          <t>Lakehouse A</t>
        </is>
      </c>
      <c r="C65" s="39" t="inlineStr">
        <is>
          <t>Sarah Mitchell</t>
        </is>
      </c>
      <c r="D65" s="43" t="n">
        <v>4</v>
      </c>
      <c r="E65" s="40" t="n">
        <v>120</v>
      </c>
      <c r="F65" s="40" t="n"/>
      <c r="G65" s="44">
        <f>IFERROR(VLOOKUP(C65,Cleaners!$B$6:$I$35,8,FALSE),0)</f>
        <v/>
      </c>
      <c r="H65" s="39" t="inlineStr">
        <is>
          <t>Inspected</t>
        </is>
      </c>
      <c r="I65" s="45" t="n">
        <v>4.9</v>
      </c>
      <c r="J65" s="39" t="n"/>
      <c r="K65" s="44">
        <f>IF(C65="","",IFERROR(D65,0)*G65+IFERROR(E65,0)+IFERROR(F65,0))</f>
        <v/>
      </c>
    </row>
    <row r="66" ht="16" customHeight="1">
      <c r="A66" s="42" t="n">
        <v>46083</v>
      </c>
      <c r="B66" s="39" t="inlineStr">
        <is>
          <t>Creek Side</t>
        </is>
      </c>
      <c r="C66" s="39" t="inlineStr">
        <is>
          <t>Sarah Mitchell</t>
        </is>
      </c>
      <c r="D66" s="43" t="n">
        <v>3</v>
      </c>
      <c r="E66" s="40" t="n">
        <v>120</v>
      </c>
      <c r="F66" s="40" t="n">
        <v>25</v>
      </c>
      <c r="G66" s="44">
        <f>IFERROR(VLOOKUP(C66,Cleaners!$B$6:$I$35,8,FALSE),0)</f>
        <v/>
      </c>
      <c r="H66" s="39" t="inlineStr">
        <is>
          <t>Inspected</t>
        </is>
      </c>
      <c r="I66" s="45" t="n">
        <v>5</v>
      </c>
      <c r="J66" s="39" t="n"/>
      <c r="K66" s="44">
        <f>IF(C66="","",IFERROR(D66,0)*G66+IFERROR(E66,0)+IFERROR(F66,0))</f>
        <v/>
      </c>
    </row>
    <row r="67" ht="16" customHeight="1">
      <c r="A67" s="42" t="n">
        <v>46084</v>
      </c>
      <c r="B67" s="39" t="inlineStr">
        <is>
          <t>Smokies Ridge</t>
        </is>
      </c>
      <c r="C67" s="39" t="inlineStr">
        <is>
          <t>Sarah Mitchell</t>
        </is>
      </c>
      <c r="D67" s="43" t="n">
        <v>3.25</v>
      </c>
      <c r="E67" s="40" t="n">
        <v>120</v>
      </c>
      <c r="F67" s="40" t="n"/>
      <c r="G67" s="44">
        <f>IFERROR(VLOOKUP(C67,Cleaners!$B$6:$I$35,8,FALSE),0)</f>
        <v/>
      </c>
      <c r="H67" s="39" t="inlineStr">
        <is>
          <t>Inspected</t>
        </is>
      </c>
      <c r="I67" s="45" t="n">
        <v>5</v>
      </c>
      <c r="J67" s="39" t="n"/>
      <c r="K67" s="44">
        <f>IF(C67="","",IFERROR(D67,0)*G67+IFERROR(E67,0)+IFERROR(F67,0))</f>
        <v/>
      </c>
    </row>
    <row r="68" ht="16" customHeight="1">
      <c r="A68" s="42" t="n">
        <v>46085</v>
      </c>
      <c r="B68" s="39" t="inlineStr">
        <is>
          <t>Lakehouse A</t>
        </is>
      </c>
      <c r="C68" s="39" t="inlineStr">
        <is>
          <t>Sarah Mitchell</t>
        </is>
      </c>
      <c r="D68" s="43" t="n">
        <v>3.5</v>
      </c>
      <c r="E68" s="40" t="n">
        <v>120</v>
      </c>
      <c r="F68" s="40" t="n"/>
      <c r="G68" s="44">
        <f>IFERROR(VLOOKUP(C68,Cleaners!$B$6:$I$35,8,FALSE),0)</f>
        <v/>
      </c>
      <c r="H68" s="39" t="inlineStr">
        <is>
          <t>Inspected</t>
        </is>
      </c>
      <c r="I68" s="45" t="n">
        <v>5</v>
      </c>
      <c r="J68" s="39" t="n"/>
      <c r="K68" s="44">
        <f>IF(C68="","",IFERROR(D68,0)*G68+IFERROR(E68,0)+IFERROR(F68,0))</f>
        <v/>
      </c>
    </row>
    <row r="69" ht="16" customHeight="1">
      <c r="A69" s="42" t="n">
        <v>46086</v>
      </c>
      <c r="B69" s="39" t="inlineStr">
        <is>
          <t>Creek Side</t>
        </is>
      </c>
      <c r="C69" s="39" t="inlineStr">
        <is>
          <t>Sarah Mitchell</t>
        </is>
      </c>
      <c r="D69" s="43" t="n">
        <v>3.75</v>
      </c>
      <c r="E69" s="40" t="n">
        <v>120</v>
      </c>
      <c r="F69" s="40" t="n"/>
      <c r="G69" s="44">
        <f>IFERROR(VLOOKUP(C69,Cleaners!$B$6:$I$35,8,FALSE),0)</f>
        <v/>
      </c>
      <c r="H69" s="39" t="inlineStr">
        <is>
          <t>Done</t>
        </is>
      </c>
      <c r="I69" s="45" t="n">
        <v>4.6</v>
      </c>
      <c r="J69" s="39" t="n"/>
      <c r="K69" s="44">
        <f>IF(C69="","",IFERROR(D69,0)*G69+IFERROR(E69,0)+IFERROR(F69,0))</f>
        <v/>
      </c>
    </row>
    <row r="70" ht="16" customHeight="1">
      <c r="A70" s="42" t="n">
        <v>46087</v>
      </c>
      <c r="B70" s="39" t="inlineStr">
        <is>
          <t>Smokies Ridge</t>
        </is>
      </c>
      <c r="C70" s="39" t="inlineStr">
        <is>
          <t>Sarah Mitchell</t>
        </is>
      </c>
      <c r="D70" s="43" t="n">
        <v>4</v>
      </c>
      <c r="E70" s="40" t="n">
        <v>120</v>
      </c>
      <c r="F70" s="40" t="n"/>
      <c r="G70" s="44">
        <f>IFERROR(VLOOKUP(C70,Cleaners!$B$6:$I$35,8,FALSE),0)</f>
        <v/>
      </c>
      <c r="H70" s="39" t="inlineStr">
        <is>
          <t>Done</t>
        </is>
      </c>
      <c r="I70" s="45" t="n">
        <v>4.7</v>
      </c>
      <c r="J70" s="39" t="n"/>
      <c r="K70" s="44">
        <f>IF(C70="","",IFERROR(D70,0)*G70+IFERROR(E70,0)+IFERROR(F70,0))</f>
        <v/>
      </c>
    </row>
    <row r="71" ht="16" customHeight="1">
      <c r="A71" s="42" t="n">
        <v>46088</v>
      </c>
      <c r="B71" s="39" t="inlineStr">
        <is>
          <t>Smokies Ridge</t>
        </is>
      </c>
      <c r="C71" s="39" t="inlineStr">
        <is>
          <t>Maria Gonzalez</t>
        </is>
      </c>
      <c r="D71" s="43" t="n">
        <v>4</v>
      </c>
      <c r="E71" s="40" t="n"/>
      <c r="F71" s="40" t="n"/>
      <c r="G71" s="44">
        <f>IFERROR(VLOOKUP(C71,Cleaners!$B$6:$I$35,8,FALSE),0)</f>
        <v/>
      </c>
      <c r="H71" s="39" t="inlineStr">
        <is>
          <t>Inspected</t>
        </is>
      </c>
      <c r="I71" s="45" t="n">
        <v>4.3</v>
      </c>
      <c r="J71" s="39" t="n"/>
      <c r="K71" s="44">
        <f>IF(C71="","",IFERROR(D71,0)*G71+IFERROR(E71,0)+IFERROR(F71,0))</f>
        <v/>
      </c>
    </row>
    <row r="72" ht="16" customHeight="1">
      <c r="A72" s="42" t="n">
        <v>46089</v>
      </c>
      <c r="B72" s="39" t="inlineStr">
        <is>
          <t>Lakehouse A</t>
        </is>
      </c>
      <c r="C72" s="39" t="inlineStr">
        <is>
          <t>Maria Gonzalez</t>
        </is>
      </c>
      <c r="D72" s="43" t="n">
        <v>4.25</v>
      </c>
      <c r="E72" s="40" t="n"/>
      <c r="F72" s="40" t="n"/>
      <c r="G72" s="44">
        <f>IFERROR(VLOOKUP(C72,Cleaners!$B$6:$I$35,8,FALSE),0)</f>
        <v/>
      </c>
      <c r="H72" s="39" t="inlineStr">
        <is>
          <t>Inspected</t>
        </is>
      </c>
      <c r="I72" s="45" t="n">
        <v>4.4</v>
      </c>
      <c r="J72" s="39" t="n"/>
      <c r="K72" s="44">
        <f>IF(C72="","",IFERROR(D72,0)*G72+IFERROR(E72,0)+IFERROR(F72,0))</f>
        <v/>
      </c>
    </row>
    <row r="73" ht="16" customHeight="1">
      <c r="A73" s="42" t="n">
        <v>46090</v>
      </c>
      <c r="B73" s="39" t="inlineStr">
        <is>
          <t>Creek Side</t>
        </is>
      </c>
      <c r="C73" s="39" t="inlineStr">
        <is>
          <t>Maria Gonzalez</t>
        </is>
      </c>
      <c r="D73" s="43" t="n">
        <v>4.5</v>
      </c>
      <c r="E73" s="40" t="n"/>
      <c r="F73" s="40" t="n"/>
      <c r="G73" s="44">
        <f>IFERROR(VLOOKUP(C73,Cleaners!$B$6:$I$35,8,FALSE),0)</f>
        <v/>
      </c>
      <c r="H73" s="39" t="inlineStr">
        <is>
          <t>Inspected</t>
        </is>
      </c>
      <c r="I73" s="45" t="n">
        <v>4.5</v>
      </c>
      <c r="J73" s="39" t="n"/>
      <c r="K73" s="44">
        <f>IF(C73="","",IFERROR(D73,0)*G73+IFERROR(E73,0)+IFERROR(F73,0))</f>
        <v/>
      </c>
    </row>
    <row r="74" ht="16" customHeight="1">
      <c r="A74" s="42" t="n">
        <v>46091</v>
      </c>
      <c r="B74" s="39" t="inlineStr">
        <is>
          <t>Smokies Ridge</t>
        </is>
      </c>
      <c r="C74" s="39" t="inlineStr">
        <is>
          <t>Maria Gonzalez</t>
        </is>
      </c>
      <c r="D74" s="43" t="n">
        <v>4.75</v>
      </c>
      <c r="E74" s="40" t="n"/>
      <c r="F74" s="40" t="n"/>
      <c r="G74" s="44">
        <f>IFERROR(VLOOKUP(C74,Cleaners!$B$6:$I$35,8,FALSE),0)</f>
        <v/>
      </c>
      <c r="H74" s="39" t="inlineStr">
        <is>
          <t>Inspected</t>
        </is>
      </c>
      <c r="I74" s="45" t="n">
        <v>4.6</v>
      </c>
      <c r="J74" s="39" t="n"/>
      <c r="K74" s="44">
        <f>IF(C74="","",IFERROR(D74,0)*G74+IFERROR(E74,0)+IFERROR(F74,0))</f>
        <v/>
      </c>
    </row>
    <row r="75" ht="16" customHeight="1">
      <c r="A75" s="42" t="n">
        <v>46092</v>
      </c>
      <c r="B75" s="39" t="inlineStr">
        <is>
          <t>Lakehouse A</t>
        </is>
      </c>
      <c r="C75" s="39" t="inlineStr">
        <is>
          <t>Maria Gonzalez</t>
        </is>
      </c>
      <c r="D75" s="43" t="n">
        <v>5</v>
      </c>
      <c r="E75" s="40" t="n"/>
      <c r="F75" s="40" t="n"/>
      <c r="G75" s="44">
        <f>IFERROR(VLOOKUP(C75,Cleaners!$B$6:$I$35,8,FALSE),0)</f>
        <v/>
      </c>
      <c r="H75" s="39" t="inlineStr">
        <is>
          <t>Inspected</t>
        </is>
      </c>
      <c r="I75" s="45" t="n">
        <v>4.7</v>
      </c>
      <c r="J75" s="39" t="n"/>
      <c r="K75" s="44">
        <f>IF(C75="","",IFERROR(D75,0)*G75+IFERROR(E75,0)+IFERROR(F75,0))</f>
        <v/>
      </c>
    </row>
    <row r="76" ht="16" customHeight="1">
      <c r="A76" s="42" t="n">
        <v>46093</v>
      </c>
      <c r="B76" s="39" t="inlineStr">
        <is>
          <t>Creek Side</t>
        </is>
      </c>
      <c r="C76" s="39" t="inlineStr">
        <is>
          <t>Maria Gonzalez</t>
        </is>
      </c>
      <c r="D76" s="43" t="n">
        <v>4</v>
      </c>
      <c r="E76" s="40" t="n"/>
      <c r="F76" s="40" t="n"/>
      <c r="G76" s="44">
        <f>IFERROR(VLOOKUP(C76,Cleaners!$B$6:$I$35,8,FALSE),0)</f>
        <v/>
      </c>
      <c r="H76" s="39" t="inlineStr">
        <is>
          <t>Inspected</t>
        </is>
      </c>
      <c r="I76" s="45" t="n">
        <v>4.8</v>
      </c>
      <c r="J76" s="39" t="n"/>
      <c r="K76" s="44">
        <f>IF(C76="","",IFERROR(D76,0)*G76+IFERROR(E76,0)+IFERROR(F76,0))</f>
        <v/>
      </c>
    </row>
    <row r="77" ht="16" customHeight="1">
      <c r="A77" s="42" t="n">
        <v>46094</v>
      </c>
      <c r="B77" s="39" t="inlineStr">
        <is>
          <t>Smokies Ridge</t>
        </is>
      </c>
      <c r="C77" s="39" t="inlineStr">
        <is>
          <t>Maria Gonzalez</t>
        </is>
      </c>
      <c r="D77" s="43" t="n">
        <v>4.25</v>
      </c>
      <c r="E77" s="40" t="n"/>
      <c r="F77" s="40" t="n"/>
      <c r="G77" s="44">
        <f>IFERROR(VLOOKUP(C77,Cleaners!$B$6:$I$35,8,FALSE),0)</f>
        <v/>
      </c>
      <c r="H77" s="39" t="inlineStr">
        <is>
          <t>Inspected</t>
        </is>
      </c>
      <c r="I77" s="45" t="n">
        <v>4.9</v>
      </c>
      <c r="J77" s="39" t="n"/>
      <c r="K77" s="44">
        <f>IF(C77="","",IFERROR(D77,0)*G77+IFERROR(E77,0)+IFERROR(F77,0))</f>
        <v/>
      </c>
    </row>
    <row r="78" ht="16" customHeight="1">
      <c r="A78" s="42" t="n">
        <v>46095</v>
      </c>
      <c r="B78" s="39" t="inlineStr">
        <is>
          <t>Lakehouse A</t>
        </is>
      </c>
      <c r="C78" s="39" t="inlineStr">
        <is>
          <t>Maria Gonzalez</t>
        </is>
      </c>
      <c r="D78" s="43" t="n">
        <v>4.5</v>
      </c>
      <c r="E78" s="40" t="n"/>
      <c r="F78" s="40" t="n"/>
      <c r="G78" s="44">
        <f>IFERROR(VLOOKUP(C78,Cleaners!$B$6:$I$35,8,FALSE),0)</f>
        <v/>
      </c>
      <c r="H78" s="39" t="inlineStr">
        <is>
          <t>Inspected</t>
        </is>
      </c>
      <c r="I78" s="45" t="n">
        <v>4.3</v>
      </c>
      <c r="J78" s="39" t="n"/>
      <c r="K78" s="44">
        <f>IF(C78="","",IFERROR(D78,0)*G78+IFERROR(E78,0)+IFERROR(F78,0))</f>
        <v/>
      </c>
    </row>
    <row r="79" ht="16" customHeight="1">
      <c r="A79" s="42" t="n">
        <v>46096</v>
      </c>
      <c r="B79" s="39" t="inlineStr">
        <is>
          <t>Creek Side</t>
        </is>
      </c>
      <c r="C79" s="39" t="inlineStr">
        <is>
          <t>Maria Gonzalez</t>
        </is>
      </c>
      <c r="D79" s="43" t="n">
        <v>4.75</v>
      </c>
      <c r="E79" s="40" t="n"/>
      <c r="F79" s="40" t="n"/>
      <c r="G79" s="44">
        <f>IFERROR(VLOOKUP(C79,Cleaners!$B$6:$I$35,8,FALSE),0)</f>
        <v/>
      </c>
      <c r="H79" s="39" t="inlineStr">
        <is>
          <t>Inspected</t>
        </is>
      </c>
      <c r="I79" s="45" t="n">
        <v>4.4</v>
      </c>
      <c r="J79" s="39" t="n"/>
      <c r="K79" s="44">
        <f>IF(C79="","",IFERROR(D79,0)*G79+IFERROR(E79,0)+IFERROR(F79,0))</f>
        <v/>
      </c>
    </row>
    <row r="80" ht="16" customHeight="1">
      <c r="A80" s="42" t="n">
        <v>46097</v>
      </c>
      <c r="B80" s="39" t="inlineStr">
        <is>
          <t>Smokies Ridge</t>
        </is>
      </c>
      <c r="C80" s="39" t="inlineStr">
        <is>
          <t>Maria Gonzalez</t>
        </is>
      </c>
      <c r="D80" s="43" t="n">
        <v>5</v>
      </c>
      <c r="E80" s="40" t="n"/>
      <c r="F80" s="40" t="n"/>
      <c r="G80" s="44">
        <f>IFERROR(VLOOKUP(C80,Cleaners!$B$6:$I$35,8,FALSE),0)</f>
        <v/>
      </c>
      <c r="H80" s="39" t="inlineStr">
        <is>
          <t>Inspected</t>
        </is>
      </c>
      <c r="I80" s="45" t="n">
        <v>4.5</v>
      </c>
      <c r="J80" s="39" t="n"/>
      <c r="K80" s="44">
        <f>IF(C80="","",IFERROR(D80,0)*G80+IFERROR(E80,0)+IFERROR(F80,0))</f>
        <v/>
      </c>
    </row>
    <row r="81" ht="16" customHeight="1">
      <c r="A81" s="42" t="n">
        <v>46098</v>
      </c>
      <c r="B81" s="39" t="inlineStr">
        <is>
          <t>Lakehouse A</t>
        </is>
      </c>
      <c r="C81" s="39" t="inlineStr">
        <is>
          <t>Maria Gonzalez</t>
        </is>
      </c>
      <c r="D81" s="43" t="n">
        <v>4</v>
      </c>
      <c r="E81" s="40" t="n"/>
      <c r="F81" s="40" t="n"/>
      <c r="G81" s="44">
        <f>IFERROR(VLOOKUP(C81,Cleaners!$B$6:$I$35,8,FALSE),0)</f>
        <v/>
      </c>
      <c r="H81" s="39" t="inlineStr">
        <is>
          <t>Inspected</t>
        </is>
      </c>
      <c r="I81" s="45" t="n">
        <v>4.6</v>
      </c>
      <c r="J81" s="39" t="n"/>
      <c r="K81" s="44">
        <f>IF(C81="","",IFERROR(D81,0)*G81+IFERROR(E81,0)+IFERROR(F81,0))</f>
        <v/>
      </c>
    </row>
    <row r="82" ht="16" customHeight="1">
      <c r="A82" s="42" t="n">
        <v>46099</v>
      </c>
      <c r="B82" s="39" t="inlineStr">
        <is>
          <t>Creek Side</t>
        </is>
      </c>
      <c r="C82" s="39" t="inlineStr">
        <is>
          <t>Maria Gonzalez</t>
        </is>
      </c>
      <c r="D82" s="43" t="n">
        <v>4.25</v>
      </c>
      <c r="E82" s="40" t="n"/>
      <c r="F82" s="40" t="n"/>
      <c r="G82" s="44">
        <f>IFERROR(VLOOKUP(C82,Cleaners!$B$6:$I$35,8,FALSE),0)</f>
        <v/>
      </c>
      <c r="H82" s="39" t="inlineStr">
        <is>
          <t>Inspected</t>
        </is>
      </c>
      <c r="I82" s="45" t="n">
        <v>4.7</v>
      </c>
      <c r="J82" s="39" t="n"/>
      <c r="K82" s="44">
        <f>IF(C82="","",IFERROR(D82,0)*G82+IFERROR(E82,0)+IFERROR(F82,0))</f>
        <v/>
      </c>
    </row>
    <row r="83" ht="16" customHeight="1">
      <c r="A83" s="42" t="n">
        <v>46100</v>
      </c>
      <c r="B83" s="39" t="inlineStr">
        <is>
          <t>Smokies Ridge</t>
        </is>
      </c>
      <c r="C83" s="39" t="inlineStr">
        <is>
          <t>Maria Gonzalez</t>
        </is>
      </c>
      <c r="D83" s="43" t="n">
        <v>4.5</v>
      </c>
      <c r="E83" s="40" t="n"/>
      <c r="F83" s="40" t="n"/>
      <c r="G83" s="44">
        <f>IFERROR(VLOOKUP(C83,Cleaners!$B$6:$I$35,8,FALSE),0)</f>
        <v/>
      </c>
      <c r="H83" s="39" t="inlineStr">
        <is>
          <t>Inspected</t>
        </is>
      </c>
      <c r="I83" s="45" t="n">
        <v>4.8</v>
      </c>
      <c r="J83" s="39" t="n"/>
      <c r="K83" s="44">
        <f>IF(C83="","",IFERROR(D83,0)*G83+IFERROR(E83,0)+IFERROR(F83,0))</f>
        <v/>
      </c>
    </row>
    <row r="84" ht="16" customHeight="1">
      <c r="A84" s="42" t="n">
        <v>46101</v>
      </c>
      <c r="B84" s="39" t="inlineStr">
        <is>
          <t>Lakehouse A</t>
        </is>
      </c>
      <c r="C84" s="39" t="inlineStr">
        <is>
          <t>Maria Gonzalez</t>
        </is>
      </c>
      <c r="D84" s="43" t="n">
        <v>4.75</v>
      </c>
      <c r="E84" s="40" t="n"/>
      <c r="F84" s="40" t="n"/>
      <c r="G84" s="44">
        <f>IFERROR(VLOOKUP(C84,Cleaners!$B$6:$I$35,8,FALSE),0)</f>
        <v/>
      </c>
      <c r="H84" s="39" t="inlineStr">
        <is>
          <t>Inspected</t>
        </is>
      </c>
      <c r="I84" s="45" t="n">
        <v>4.9</v>
      </c>
      <c r="J84" s="39" t="n"/>
      <c r="K84" s="44">
        <f>IF(C84="","",IFERROR(D84,0)*G84+IFERROR(E84,0)+IFERROR(F84,0))</f>
        <v/>
      </c>
    </row>
    <row r="85" ht="16" customHeight="1">
      <c r="A85" s="42" t="n">
        <v>46102</v>
      </c>
      <c r="B85" s="39" t="inlineStr">
        <is>
          <t>Creek Side</t>
        </is>
      </c>
      <c r="C85" s="39" t="inlineStr">
        <is>
          <t>Maria Gonzalez</t>
        </is>
      </c>
      <c r="D85" s="43" t="n">
        <v>5</v>
      </c>
      <c r="E85" s="40" t="n"/>
      <c r="F85" s="40" t="n"/>
      <c r="G85" s="44">
        <f>IFERROR(VLOOKUP(C85,Cleaners!$B$6:$I$35,8,FALSE),0)</f>
        <v/>
      </c>
      <c r="H85" s="39" t="inlineStr">
        <is>
          <t>Inspected</t>
        </is>
      </c>
      <c r="I85" s="45" t="n">
        <v>4.3</v>
      </c>
      <c r="J85" s="39" t="n"/>
      <c r="K85" s="44">
        <f>IF(C85="","",IFERROR(D85,0)*G85+IFERROR(E85,0)+IFERROR(F85,0))</f>
        <v/>
      </c>
    </row>
    <row r="86" ht="16" customHeight="1">
      <c r="A86" s="42" t="n">
        <v>46103</v>
      </c>
      <c r="B86" s="39" t="inlineStr">
        <is>
          <t>Smokies Ridge</t>
        </is>
      </c>
      <c r="C86" s="39" t="inlineStr">
        <is>
          <t>Maria Gonzalez</t>
        </is>
      </c>
      <c r="D86" s="43" t="n">
        <v>4</v>
      </c>
      <c r="E86" s="40" t="n"/>
      <c r="F86" s="40" t="n"/>
      <c r="G86" s="44">
        <f>IFERROR(VLOOKUP(C86,Cleaners!$B$6:$I$35,8,FALSE),0)</f>
        <v/>
      </c>
      <c r="H86" s="39" t="inlineStr">
        <is>
          <t>Inspected</t>
        </is>
      </c>
      <c r="I86" s="45" t="n">
        <v>4.4</v>
      </c>
      <c r="J86" s="39" t="n"/>
      <c r="K86" s="44">
        <f>IF(C86="","",IFERROR(D86,0)*G86+IFERROR(E86,0)+IFERROR(F86,0))</f>
        <v/>
      </c>
    </row>
    <row r="87" ht="16" customHeight="1">
      <c r="A87" s="42" t="n">
        <v>46104</v>
      </c>
      <c r="B87" s="39" t="inlineStr">
        <is>
          <t>Lakehouse A</t>
        </is>
      </c>
      <c r="C87" s="39" t="inlineStr">
        <is>
          <t>Maria Gonzalez</t>
        </is>
      </c>
      <c r="D87" s="43" t="n">
        <v>4.25</v>
      </c>
      <c r="E87" s="40" t="n"/>
      <c r="F87" s="40" t="n"/>
      <c r="G87" s="44">
        <f>IFERROR(VLOOKUP(C87,Cleaners!$B$6:$I$35,8,FALSE),0)</f>
        <v/>
      </c>
      <c r="H87" s="39" t="inlineStr">
        <is>
          <t>Inspected</t>
        </is>
      </c>
      <c r="I87" s="45" t="n">
        <v>4.5</v>
      </c>
      <c r="J87" s="39" t="n"/>
      <c r="K87" s="44">
        <f>IF(C87="","",IFERROR(D87,0)*G87+IFERROR(E87,0)+IFERROR(F87,0))</f>
        <v/>
      </c>
    </row>
    <row r="88" ht="16" customHeight="1">
      <c r="A88" s="42" t="n">
        <v>46105</v>
      </c>
      <c r="B88" s="39" t="inlineStr">
        <is>
          <t>Creek Side</t>
        </is>
      </c>
      <c r="C88" s="39" t="inlineStr">
        <is>
          <t>Maria Gonzalez</t>
        </is>
      </c>
      <c r="D88" s="43" t="n">
        <v>4.5</v>
      </c>
      <c r="E88" s="40" t="n"/>
      <c r="F88" s="40" t="n"/>
      <c r="G88" s="44">
        <f>IFERROR(VLOOKUP(C88,Cleaners!$B$6:$I$35,8,FALSE),0)</f>
        <v/>
      </c>
      <c r="H88" s="39" t="inlineStr">
        <is>
          <t>Inspected</t>
        </is>
      </c>
      <c r="I88" s="45" t="n">
        <v>4.6</v>
      </c>
      <c r="J88" s="39" t="n"/>
      <c r="K88" s="44">
        <f>IF(C88="","",IFERROR(D88,0)*G88+IFERROR(E88,0)+IFERROR(F88,0))</f>
        <v/>
      </c>
    </row>
    <row r="89" ht="16" customHeight="1">
      <c r="A89" s="42" t="n">
        <v>46106</v>
      </c>
      <c r="B89" s="39" t="inlineStr">
        <is>
          <t>Smokies Ridge</t>
        </is>
      </c>
      <c r="C89" s="39" t="inlineStr">
        <is>
          <t>Maria Gonzalez</t>
        </is>
      </c>
      <c r="D89" s="43" t="n">
        <v>4.75</v>
      </c>
      <c r="E89" s="40" t="n"/>
      <c r="F89" s="40" t="n"/>
      <c r="G89" s="44">
        <f>IFERROR(VLOOKUP(C89,Cleaners!$B$6:$I$35,8,FALSE),0)</f>
        <v/>
      </c>
      <c r="H89" s="39" t="inlineStr">
        <is>
          <t>Inspected</t>
        </is>
      </c>
      <c r="I89" s="45" t="n">
        <v>4.7</v>
      </c>
      <c r="J89" s="39" t="n"/>
      <c r="K89" s="44">
        <f>IF(C89="","",IFERROR(D89,0)*G89+IFERROR(E89,0)+IFERROR(F89,0))</f>
        <v/>
      </c>
    </row>
    <row r="90" ht="16" customHeight="1">
      <c r="A90" s="42" t="n">
        <v>46107</v>
      </c>
      <c r="B90" s="39" t="inlineStr">
        <is>
          <t>Lakehouse A</t>
        </is>
      </c>
      <c r="C90" s="39" t="inlineStr">
        <is>
          <t>Maria Gonzalez</t>
        </is>
      </c>
      <c r="D90" s="43" t="n">
        <v>5</v>
      </c>
      <c r="E90" s="40" t="n"/>
      <c r="F90" s="40" t="n"/>
      <c r="G90" s="44">
        <f>IFERROR(VLOOKUP(C90,Cleaners!$B$6:$I$35,8,FALSE),0)</f>
        <v/>
      </c>
      <c r="H90" s="39" t="inlineStr">
        <is>
          <t>Inspected</t>
        </is>
      </c>
      <c r="I90" s="45" t="n">
        <v>4.8</v>
      </c>
      <c r="J90" s="39" t="n"/>
      <c r="K90" s="44">
        <f>IF(C90="","",IFERROR(D90,0)*G90+IFERROR(E90,0)+IFERROR(F90,0))</f>
        <v/>
      </c>
    </row>
    <row r="91" ht="16" customHeight="1">
      <c r="A91" s="42" t="n">
        <v>46108</v>
      </c>
      <c r="B91" s="39" t="inlineStr">
        <is>
          <t>Creek Side</t>
        </is>
      </c>
      <c r="C91" s="39" t="inlineStr">
        <is>
          <t>Maria Gonzalez</t>
        </is>
      </c>
      <c r="D91" s="43" t="n">
        <v>4</v>
      </c>
      <c r="E91" s="40" t="n"/>
      <c r="F91" s="40" t="n"/>
      <c r="G91" s="44">
        <f>IFERROR(VLOOKUP(C91,Cleaners!$B$6:$I$35,8,FALSE),0)</f>
        <v/>
      </c>
      <c r="H91" s="39" t="inlineStr">
        <is>
          <t>Inspected</t>
        </is>
      </c>
      <c r="I91" s="45" t="n">
        <v>4.9</v>
      </c>
      <c r="J91" s="39" t="n"/>
      <c r="K91" s="44">
        <f>IF(C91="","",IFERROR(D91,0)*G91+IFERROR(E91,0)+IFERROR(F91,0))</f>
        <v/>
      </c>
    </row>
    <row r="92" ht="16" customHeight="1">
      <c r="A92" s="42" t="n">
        <v>46109</v>
      </c>
      <c r="B92" s="39" t="inlineStr">
        <is>
          <t>Smokies Ridge</t>
        </is>
      </c>
      <c r="C92" s="39" t="inlineStr">
        <is>
          <t>Maria Gonzalez</t>
        </is>
      </c>
      <c r="D92" s="43" t="n">
        <v>4.25</v>
      </c>
      <c r="E92" s="40" t="n"/>
      <c r="F92" s="40" t="n"/>
      <c r="G92" s="44">
        <f>IFERROR(VLOOKUP(C92,Cleaners!$B$6:$I$35,8,FALSE),0)</f>
        <v/>
      </c>
      <c r="H92" s="39" t="inlineStr">
        <is>
          <t>Inspected</t>
        </is>
      </c>
      <c r="I92" s="45" t="n">
        <v>4.3</v>
      </c>
      <c r="J92" s="39" t="n"/>
      <c r="K92" s="44">
        <f>IF(C92="","",IFERROR(D92,0)*G92+IFERROR(E92,0)+IFERROR(F92,0))</f>
        <v/>
      </c>
    </row>
    <row r="93" ht="16" customHeight="1">
      <c r="A93" s="42" t="n">
        <v>46110</v>
      </c>
      <c r="B93" s="39" t="inlineStr">
        <is>
          <t>Lakehouse A</t>
        </is>
      </c>
      <c r="C93" s="39" t="inlineStr">
        <is>
          <t>Maria Gonzalez</t>
        </is>
      </c>
      <c r="D93" s="43" t="n">
        <v>4.5</v>
      </c>
      <c r="E93" s="40" t="n"/>
      <c r="F93" s="40" t="n"/>
      <c r="G93" s="44">
        <f>IFERROR(VLOOKUP(C93,Cleaners!$B$6:$I$35,8,FALSE),0)</f>
        <v/>
      </c>
      <c r="H93" s="39" t="inlineStr">
        <is>
          <t>Inspected</t>
        </is>
      </c>
      <c r="I93" s="45" t="n">
        <v>4.4</v>
      </c>
      <c r="J93" s="39" t="n"/>
      <c r="K93" s="44">
        <f>IF(C93="","",IFERROR(D93,0)*G93+IFERROR(E93,0)+IFERROR(F93,0))</f>
        <v/>
      </c>
    </row>
    <row r="94" ht="16" customHeight="1">
      <c r="A94" s="42" t="n">
        <v>46111</v>
      </c>
      <c r="B94" s="39" t="inlineStr">
        <is>
          <t>Creek Side</t>
        </is>
      </c>
      <c r="C94" s="39" t="inlineStr">
        <is>
          <t>Maria Gonzalez</t>
        </is>
      </c>
      <c r="D94" s="43" t="n">
        <v>4.75</v>
      </c>
      <c r="E94" s="40" t="n"/>
      <c r="F94" s="40" t="n"/>
      <c r="G94" s="44">
        <f>IFERROR(VLOOKUP(C94,Cleaners!$B$6:$I$35,8,FALSE),0)</f>
        <v/>
      </c>
      <c r="H94" s="39" t="inlineStr">
        <is>
          <t>Inspected</t>
        </is>
      </c>
      <c r="I94" s="45" t="n">
        <v>4.5</v>
      </c>
      <c r="J94" s="39" t="n"/>
      <c r="K94" s="44">
        <f>IF(C94="","",IFERROR(D94,0)*G94+IFERROR(E94,0)+IFERROR(F94,0))</f>
        <v/>
      </c>
    </row>
    <row r="95" ht="16" customHeight="1">
      <c r="A95" s="42" t="n">
        <v>46023</v>
      </c>
      <c r="B95" s="39" t="inlineStr">
        <is>
          <t>Smokies Ridge</t>
        </is>
      </c>
      <c r="C95" s="39" t="inlineStr">
        <is>
          <t>Maria Gonzalez</t>
        </is>
      </c>
      <c r="D95" s="43" t="n">
        <v>5</v>
      </c>
      <c r="E95" s="40" t="n"/>
      <c r="F95" s="40" t="n"/>
      <c r="G95" s="44">
        <f>IFERROR(VLOOKUP(C95,Cleaners!$B$6:$I$35,8,FALSE),0)</f>
        <v/>
      </c>
      <c r="H95" s="39" t="inlineStr">
        <is>
          <t>Inspected</t>
        </is>
      </c>
      <c r="I95" s="45" t="n">
        <v>4.6</v>
      </c>
      <c r="J95" s="39" t="n"/>
      <c r="K95" s="44">
        <f>IF(C95="","",IFERROR(D95,0)*G95+IFERROR(E95,0)+IFERROR(F95,0))</f>
        <v/>
      </c>
    </row>
    <row r="96" ht="16" customHeight="1">
      <c r="A96" s="42" t="n">
        <v>46024</v>
      </c>
      <c r="B96" s="39" t="inlineStr">
        <is>
          <t>Lakehouse A</t>
        </is>
      </c>
      <c r="C96" s="39" t="inlineStr">
        <is>
          <t>Maria Gonzalez</t>
        </is>
      </c>
      <c r="D96" s="43" t="n">
        <v>4</v>
      </c>
      <c r="E96" s="40" t="n"/>
      <c r="F96" s="40" t="n"/>
      <c r="G96" s="44">
        <f>IFERROR(VLOOKUP(C96,Cleaners!$B$6:$I$35,8,FALSE),0)</f>
        <v/>
      </c>
      <c r="H96" s="39" t="inlineStr">
        <is>
          <t>Inspected</t>
        </is>
      </c>
      <c r="I96" s="45" t="n">
        <v>4.7</v>
      </c>
      <c r="J96" s="39" t="n"/>
      <c r="K96" s="44">
        <f>IF(C96="","",IFERROR(D96,0)*G96+IFERROR(E96,0)+IFERROR(F96,0))</f>
        <v/>
      </c>
    </row>
    <row r="97" ht="16" customHeight="1">
      <c r="A97" s="42" t="n">
        <v>46025</v>
      </c>
      <c r="B97" s="39" t="inlineStr">
        <is>
          <t>Creek Side</t>
        </is>
      </c>
      <c r="C97" s="39" t="inlineStr">
        <is>
          <t>Maria Gonzalez</t>
        </is>
      </c>
      <c r="D97" s="43" t="n">
        <v>4.25</v>
      </c>
      <c r="E97" s="40" t="n"/>
      <c r="F97" s="40" t="n"/>
      <c r="G97" s="44">
        <f>IFERROR(VLOOKUP(C97,Cleaners!$B$6:$I$35,8,FALSE),0)</f>
        <v/>
      </c>
      <c r="H97" s="39" t="inlineStr">
        <is>
          <t>Inspected</t>
        </is>
      </c>
      <c r="I97" s="45" t="n">
        <v>4.8</v>
      </c>
      <c r="J97" s="39" t="n"/>
      <c r="K97" s="44">
        <f>IF(C97="","",IFERROR(D97,0)*G97+IFERROR(E97,0)+IFERROR(F97,0))</f>
        <v/>
      </c>
    </row>
    <row r="98" ht="16" customHeight="1">
      <c r="A98" s="42" t="n">
        <v>46026</v>
      </c>
      <c r="B98" s="39" t="inlineStr">
        <is>
          <t>Smokies Ridge</t>
        </is>
      </c>
      <c r="C98" s="39" t="inlineStr">
        <is>
          <t>Maria Gonzalez</t>
        </is>
      </c>
      <c r="D98" s="43" t="n">
        <v>4.5</v>
      </c>
      <c r="E98" s="40" t="n"/>
      <c r="F98" s="40" t="n"/>
      <c r="G98" s="44">
        <f>IFERROR(VLOOKUP(C98,Cleaners!$B$6:$I$35,8,FALSE),0)</f>
        <v/>
      </c>
      <c r="H98" s="39" t="inlineStr">
        <is>
          <t>Inspected</t>
        </is>
      </c>
      <c r="I98" s="45" t="n">
        <v>4.9</v>
      </c>
      <c r="J98" s="39" t="n"/>
      <c r="K98" s="44">
        <f>IF(C98="","",IFERROR(D98,0)*G98+IFERROR(E98,0)+IFERROR(F98,0))</f>
        <v/>
      </c>
    </row>
    <row r="99" ht="16" customHeight="1">
      <c r="A99" s="42" t="n">
        <v>46027</v>
      </c>
      <c r="B99" s="39" t="inlineStr">
        <is>
          <t>Lakehouse A</t>
        </is>
      </c>
      <c r="C99" s="39" t="inlineStr">
        <is>
          <t>Maria Gonzalez</t>
        </is>
      </c>
      <c r="D99" s="43" t="n">
        <v>4.75</v>
      </c>
      <c r="E99" s="40" t="n"/>
      <c r="F99" s="40" t="n"/>
      <c r="G99" s="44">
        <f>IFERROR(VLOOKUP(C99,Cleaners!$B$6:$I$35,8,FALSE),0)</f>
        <v/>
      </c>
      <c r="H99" s="39" t="inlineStr">
        <is>
          <t>Inspected</t>
        </is>
      </c>
      <c r="I99" s="45" t="n">
        <v>4.3</v>
      </c>
      <c r="J99" s="39" t="n"/>
      <c r="K99" s="44">
        <f>IF(C99="","",IFERROR(D99,0)*G99+IFERROR(E99,0)+IFERROR(F99,0))</f>
        <v/>
      </c>
    </row>
    <row r="100" ht="16" customHeight="1">
      <c r="A100" s="42" t="n">
        <v>46028</v>
      </c>
      <c r="B100" s="39" t="inlineStr">
        <is>
          <t>Creek Side</t>
        </is>
      </c>
      <c r="C100" s="39" t="inlineStr">
        <is>
          <t>Maria Gonzalez</t>
        </is>
      </c>
      <c r="D100" s="43" t="n">
        <v>5</v>
      </c>
      <c r="E100" s="40" t="n"/>
      <c r="F100" s="40" t="n"/>
      <c r="G100" s="44">
        <f>IFERROR(VLOOKUP(C100,Cleaners!$B$6:$I$35,8,FALSE),0)</f>
        <v/>
      </c>
      <c r="H100" s="39" t="inlineStr">
        <is>
          <t>Inspected</t>
        </is>
      </c>
      <c r="I100" s="45" t="n">
        <v>4.4</v>
      </c>
      <c r="J100" s="39" t="n"/>
      <c r="K100" s="44">
        <f>IF(C100="","",IFERROR(D100,0)*G100+IFERROR(E100,0)+IFERROR(F100,0))</f>
        <v/>
      </c>
    </row>
    <row r="101" ht="16" customHeight="1">
      <c r="A101" s="42" t="n">
        <v>46029</v>
      </c>
      <c r="B101" s="39" t="inlineStr">
        <is>
          <t>Smokies Ridge</t>
        </is>
      </c>
      <c r="C101" s="39" t="inlineStr">
        <is>
          <t>Maria Gonzalez</t>
        </is>
      </c>
      <c r="D101" s="43" t="n">
        <v>4</v>
      </c>
      <c r="E101" s="40" t="n"/>
      <c r="F101" s="40" t="n"/>
      <c r="G101" s="44">
        <f>IFERROR(VLOOKUP(C101,Cleaners!$B$6:$I$35,8,FALSE),0)</f>
        <v/>
      </c>
      <c r="H101" s="39" t="inlineStr">
        <is>
          <t>Inspected</t>
        </is>
      </c>
      <c r="I101" s="45" t="n">
        <v>4.5</v>
      </c>
      <c r="J101" s="39" t="n"/>
      <c r="K101" s="44">
        <f>IF(C101="","",IFERROR(D101,0)*G101+IFERROR(E101,0)+IFERROR(F101,0))</f>
        <v/>
      </c>
    </row>
    <row r="102" ht="16" customHeight="1">
      <c r="A102" s="42" t="n">
        <v>46030</v>
      </c>
      <c r="B102" s="39" t="inlineStr">
        <is>
          <t>Lakehouse A</t>
        </is>
      </c>
      <c r="C102" s="39" t="inlineStr">
        <is>
          <t>Maria Gonzalez</t>
        </is>
      </c>
      <c r="D102" s="43" t="n">
        <v>4.25</v>
      </c>
      <c r="E102" s="40" t="n"/>
      <c r="F102" s="40" t="n"/>
      <c r="G102" s="44">
        <f>IFERROR(VLOOKUP(C102,Cleaners!$B$6:$I$35,8,FALSE),0)</f>
        <v/>
      </c>
      <c r="H102" s="39" t="inlineStr">
        <is>
          <t>Inspected</t>
        </is>
      </c>
      <c r="I102" s="45" t="n">
        <v>4.6</v>
      </c>
      <c r="J102" s="39" t="n"/>
      <c r="K102" s="44">
        <f>IF(C102="","",IFERROR(D102,0)*G102+IFERROR(E102,0)+IFERROR(F102,0))</f>
        <v/>
      </c>
    </row>
    <row r="103" ht="16" customHeight="1">
      <c r="A103" s="42" t="n">
        <v>46031</v>
      </c>
      <c r="B103" s="39" t="inlineStr">
        <is>
          <t>Creek Side</t>
        </is>
      </c>
      <c r="C103" s="39" t="inlineStr">
        <is>
          <t>Maria Gonzalez</t>
        </is>
      </c>
      <c r="D103" s="43" t="n">
        <v>4.5</v>
      </c>
      <c r="E103" s="40" t="n"/>
      <c r="F103" s="40" t="n"/>
      <c r="G103" s="44">
        <f>IFERROR(VLOOKUP(C103,Cleaners!$B$6:$I$35,8,FALSE),0)</f>
        <v/>
      </c>
      <c r="H103" s="39" t="inlineStr">
        <is>
          <t>Inspected</t>
        </is>
      </c>
      <c r="I103" s="45" t="n">
        <v>4.7</v>
      </c>
      <c r="J103" s="39" t="n"/>
      <c r="K103" s="44">
        <f>IF(C103="","",IFERROR(D103,0)*G103+IFERROR(E103,0)+IFERROR(F103,0))</f>
        <v/>
      </c>
    </row>
    <row r="104" ht="16" customHeight="1">
      <c r="A104" s="42" t="n">
        <v>46032</v>
      </c>
      <c r="B104" s="39" t="inlineStr">
        <is>
          <t>Smokies Ridge</t>
        </is>
      </c>
      <c r="C104" s="39" t="inlineStr">
        <is>
          <t>Maria Gonzalez</t>
        </is>
      </c>
      <c r="D104" s="43" t="n">
        <v>4.75</v>
      </c>
      <c r="E104" s="40" t="n"/>
      <c r="F104" s="40" t="n"/>
      <c r="G104" s="44">
        <f>IFERROR(VLOOKUP(C104,Cleaners!$B$6:$I$35,8,FALSE),0)</f>
        <v/>
      </c>
      <c r="H104" s="39" t="inlineStr">
        <is>
          <t>Inspected</t>
        </is>
      </c>
      <c r="I104" s="45" t="n">
        <v>4.8</v>
      </c>
      <c r="J104" s="39" t="n"/>
      <c r="K104" s="44">
        <f>IF(C104="","",IFERROR(D104,0)*G104+IFERROR(E104,0)+IFERROR(F104,0))</f>
        <v/>
      </c>
    </row>
    <row r="105" ht="16" customHeight="1">
      <c r="A105" s="42" t="n">
        <v>46033</v>
      </c>
      <c r="B105" s="39" t="inlineStr">
        <is>
          <t>Lakehouse A</t>
        </is>
      </c>
      <c r="C105" s="39" t="inlineStr">
        <is>
          <t>Maria Gonzalez</t>
        </is>
      </c>
      <c r="D105" s="43" t="n">
        <v>5</v>
      </c>
      <c r="E105" s="40" t="n"/>
      <c r="F105" s="40" t="n"/>
      <c r="G105" s="44">
        <f>IFERROR(VLOOKUP(C105,Cleaners!$B$6:$I$35,8,FALSE),0)</f>
        <v/>
      </c>
      <c r="H105" s="39" t="inlineStr">
        <is>
          <t>Inspected</t>
        </is>
      </c>
      <c r="I105" s="45" t="n">
        <v>4.9</v>
      </c>
      <c r="J105" s="39" t="n"/>
      <c r="K105" s="44">
        <f>IF(C105="","",IFERROR(D105,0)*G105+IFERROR(E105,0)+IFERROR(F105,0))</f>
        <v/>
      </c>
    </row>
    <row r="106" ht="16" customHeight="1">
      <c r="A106" s="42" t="n">
        <v>46034</v>
      </c>
      <c r="B106" s="39" t="inlineStr">
        <is>
          <t>Creek Side</t>
        </is>
      </c>
      <c r="C106" s="39" t="inlineStr">
        <is>
          <t>Maria Gonzalez</t>
        </is>
      </c>
      <c r="D106" s="43" t="n">
        <v>4</v>
      </c>
      <c r="E106" s="40" t="n"/>
      <c r="F106" s="40" t="n"/>
      <c r="G106" s="44">
        <f>IFERROR(VLOOKUP(C106,Cleaners!$B$6:$I$35,8,FALSE),0)</f>
        <v/>
      </c>
      <c r="H106" s="39" t="inlineStr">
        <is>
          <t>Inspected</t>
        </is>
      </c>
      <c r="I106" s="45" t="n">
        <v>4.3</v>
      </c>
      <c r="J106" s="39" t="n"/>
      <c r="K106" s="44">
        <f>IF(C106="","",IFERROR(D106,0)*G106+IFERROR(E106,0)+IFERROR(F106,0))</f>
        <v/>
      </c>
    </row>
    <row r="107" ht="16" customHeight="1">
      <c r="A107" s="42" t="n">
        <v>46035</v>
      </c>
      <c r="B107" s="39" t="inlineStr">
        <is>
          <t>Smokies Ridge</t>
        </is>
      </c>
      <c r="C107" s="39" t="inlineStr">
        <is>
          <t>Maria Gonzalez</t>
        </is>
      </c>
      <c r="D107" s="43" t="n">
        <v>4.25</v>
      </c>
      <c r="E107" s="40" t="n"/>
      <c r="F107" s="40" t="n"/>
      <c r="G107" s="44">
        <f>IFERROR(VLOOKUP(C107,Cleaners!$B$6:$I$35,8,FALSE),0)</f>
        <v/>
      </c>
      <c r="H107" s="39" t="inlineStr">
        <is>
          <t>Inspected</t>
        </is>
      </c>
      <c r="I107" s="45" t="n">
        <v>4.4</v>
      </c>
      <c r="J107" s="39" t="n"/>
      <c r="K107" s="44">
        <f>IF(C107="","",IFERROR(D107,0)*G107+IFERROR(E107,0)+IFERROR(F107,0))</f>
        <v/>
      </c>
    </row>
    <row r="108" ht="16" customHeight="1">
      <c r="A108" s="42" t="n">
        <v>46036</v>
      </c>
      <c r="B108" s="39" t="inlineStr">
        <is>
          <t>Lakehouse A</t>
        </is>
      </c>
      <c r="C108" s="39" t="inlineStr">
        <is>
          <t>Maria Gonzalez</t>
        </is>
      </c>
      <c r="D108" s="43" t="n">
        <v>4.5</v>
      </c>
      <c r="E108" s="40" t="n"/>
      <c r="F108" s="40" t="n"/>
      <c r="G108" s="44">
        <f>IFERROR(VLOOKUP(C108,Cleaners!$B$6:$I$35,8,FALSE),0)</f>
        <v/>
      </c>
      <c r="H108" s="39" t="inlineStr">
        <is>
          <t>Inspected</t>
        </is>
      </c>
      <c r="I108" s="45" t="n">
        <v>4.5</v>
      </c>
      <c r="J108" s="39" t="n"/>
      <c r="K108" s="44">
        <f>IF(C108="","",IFERROR(D108,0)*G108+IFERROR(E108,0)+IFERROR(F108,0))</f>
        <v/>
      </c>
    </row>
    <row r="109" ht="16" customHeight="1">
      <c r="A109" s="42" t="n">
        <v>46037</v>
      </c>
      <c r="B109" s="39" t="inlineStr">
        <is>
          <t>Creek Side</t>
        </is>
      </c>
      <c r="C109" s="39" t="inlineStr">
        <is>
          <t>Maria Gonzalez</t>
        </is>
      </c>
      <c r="D109" s="43" t="n">
        <v>4.75</v>
      </c>
      <c r="E109" s="40" t="n"/>
      <c r="F109" s="40" t="n"/>
      <c r="G109" s="44">
        <f>IFERROR(VLOOKUP(C109,Cleaners!$B$6:$I$35,8,FALSE),0)</f>
        <v/>
      </c>
      <c r="H109" s="39" t="inlineStr">
        <is>
          <t>Inspected</t>
        </is>
      </c>
      <c r="I109" s="45" t="n">
        <v>4.6</v>
      </c>
      <c r="J109" s="39" t="n"/>
      <c r="K109" s="44">
        <f>IF(C109="","",IFERROR(D109,0)*G109+IFERROR(E109,0)+IFERROR(F109,0))</f>
        <v/>
      </c>
    </row>
    <row r="110" ht="16" customHeight="1">
      <c r="A110" s="42" t="n">
        <v>46038</v>
      </c>
      <c r="B110" s="39" t="inlineStr">
        <is>
          <t>Smokies Ridge</t>
        </is>
      </c>
      <c r="C110" s="39" t="inlineStr">
        <is>
          <t>Maria Gonzalez</t>
        </is>
      </c>
      <c r="D110" s="43" t="n">
        <v>5</v>
      </c>
      <c r="E110" s="40" t="n"/>
      <c r="F110" s="40" t="n"/>
      <c r="G110" s="44">
        <f>IFERROR(VLOOKUP(C110,Cleaners!$B$6:$I$35,8,FALSE),0)</f>
        <v/>
      </c>
      <c r="H110" s="39" t="inlineStr">
        <is>
          <t>Inspected</t>
        </is>
      </c>
      <c r="I110" s="45" t="n">
        <v>4.7</v>
      </c>
      <c r="J110" s="39" t="n"/>
      <c r="K110" s="44">
        <f>IF(C110="","",IFERROR(D110,0)*G110+IFERROR(E110,0)+IFERROR(F110,0))</f>
        <v/>
      </c>
    </row>
    <row r="111" ht="16" customHeight="1">
      <c r="A111" s="42" t="n">
        <v>46039</v>
      </c>
      <c r="B111" s="39" t="inlineStr">
        <is>
          <t>Lakehouse A</t>
        </is>
      </c>
      <c r="C111" s="39" t="inlineStr">
        <is>
          <t>Maria Gonzalez</t>
        </is>
      </c>
      <c r="D111" s="43" t="n">
        <v>4</v>
      </c>
      <c r="E111" s="40" t="n"/>
      <c r="F111" s="40" t="n"/>
      <c r="G111" s="44">
        <f>IFERROR(VLOOKUP(C111,Cleaners!$B$6:$I$35,8,FALSE),0)</f>
        <v/>
      </c>
      <c r="H111" s="39" t="inlineStr">
        <is>
          <t>Inspected</t>
        </is>
      </c>
      <c r="I111" s="45" t="n">
        <v>4.8</v>
      </c>
      <c r="J111" s="39" t="n"/>
      <c r="K111" s="44">
        <f>IF(C111="","",IFERROR(D111,0)*G111+IFERROR(E111,0)+IFERROR(F111,0))</f>
        <v/>
      </c>
    </row>
    <row r="112" ht="16" customHeight="1">
      <c r="A112" s="42" t="n">
        <v>46040</v>
      </c>
      <c r="B112" s="39" t="inlineStr">
        <is>
          <t>Creek Side</t>
        </is>
      </c>
      <c r="C112" s="39" t="inlineStr">
        <is>
          <t>Maria Gonzalez</t>
        </is>
      </c>
      <c r="D112" s="43" t="n">
        <v>4.25</v>
      </c>
      <c r="E112" s="40" t="n"/>
      <c r="F112" s="40" t="n"/>
      <c r="G112" s="44">
        <f>IFERROR(VLOOKUP(C112,Cleaners!$B$6:$I$35,8,FALSE),0)</f>
        <v/>
      </c>
      <c r="H112" s="39" t="inlineStr">
        <is>
          <t>Inspected</t>
        </is>
      </c>
      <c r="I112" s="45" t="n">
        <v>4.9</v>
      </c>
      <c r="J112" s="39" t="n"/>
      <c r="K112" s="44">
        <f>IF(C112="","",IFERROR(D112,0)*G112+IFERROR(E112,0)+IFERROR(F112,0))</f>
        <v/>
      </c>
    </row>
    <row r="113" ht="16" customHeight="1">
      <c r="A113" s="42" t="n">
        <v>46041</v>
      </c>
      <c r="B113" s="39" t="inlineStr">
        <is>
          <t>Smokies Ridge</t>
        </is>
      </c>
      <c r="C113" s="39" t="inlineStr">
        <is>
          <t>Maria Gonzalez</t>
        </is>
      </c>
      <c r="D113" s="43" t="n">
        <v>4.5</v>
      </c>
      <c r="E113" s="40" t="n"/>
      <c r="F113" s="40" t="n"/>
      <c r="G113" s="44">
        <f>IFERROR(VLOOKUP(C113,Cleaners!$B$6:$I$35,8,FALSE),0)</f>
        <v/>
      </c>
      <c r="H113" s="39" t="inlineStr">
        <is>
          <t>Inspected</t>
        </is>
      </c>
      <c r="I113" s="45" t="n">
        <v>4.3</v>
      </c>
      <c r="J113" s="39" t="n"/>
      <c r="K113" s="44">
        <f>IF(C113="","",IFERROR(D113,0)*G113+IFERROR(E113,0)+IFERROR(F113,0))</f>
        <v/>
      </c>
    </row>
    <row r="114" ht="16" customHeight="1">
      <c r="A114" s="42" t="n">
        <v>46042</v>
      </c>
      <c r="B114" s="39" t="inlineStr">
        <is>
          <t>Lakehouse A</t>
        </is>
      </c>
      <c r="C114" s="39" t="inlineStr">
        <is>
          <t>Maria Gonzalez</t>
        </is>
      </c>
      <c r="D114" s="43" t="n">
        <v>4.75</v>
      </c>
      <c r="E114" s="40" t="n"/>
      <c r="F114" s="40" t="n"/>
      <c r="G114" s="44">
        <f>IFERROR(VLOOKUP(C114,Cleaners!$B$6:$I$35,8,FALSE),0)</f>
        <v/>
      </c>
      <c r="H114" s="39" t="inlineStr">
        <is>
          <t>Inspected</t>
        </is>
      </c>
      <c r="I114" s="45" t="n">
        <v>4.4</v>
      </c>
      <c r="J114" s="39" t="n"/>
      <c r="K114" s="44">
        <f>IF(C114="","",IFERROR(D114,0)*G114+IFERROR(E114,0)+IFERROR(F114,0))</f>
        <v/>
      </c>
    </row>
    <row r="115" ht="16" customHeight="1">
      <c r="A115" s="42" t="n">
        <v>46043</v>
      </c>
      <c r="B115" s="39" t="inlineStr">
        <is>
          <t>Creek Side</t>
        </is>
      </c>
      <c r="C115" s="39" t="inlineStr">
        <is>
          <t>Maria Gonzalez</t>
        </is>
      </c>
      <c r="D115" s="43" t="n">
        <v>5</v>
      </c>
      <c r="E115" s="40" t="n"/>
      <c r="F115" s="40" t="n"/>
      <c r="G115" s="44">
        <f>IFERROR(VLOOKUP(C115,Cleaners!$B$6:$I$35,8,FALSE),0)</f>
        <v/>
      </c>
      <c r="H115" s="39" t="inlineStr">
        <is>
          <t>Inspected</t>
        </is>
      </c>
      <c r="I115" s="45" t="n">
        <v>4.5</v>
      </c>
      <c r="J115" s="39" t="n"/>
      <c r="K115" s="44">
        <f>IF(C115="","",IFERROR(D115,0)*G115+IFERROR(E115,0)+IFERROR(F115,0))</f>
        <v/>
      </c>
    </row>
    <row r="116" ht="16" customHeight="1">
      <c r="A116" s="42" t="n">
        <v>46044</v>
      </c>
      <c r="B116" s="39" t="inlineStr">
        <is>
          <t>Smokies Ridge</t>
        </is>
      </c>
      <c r="C116" s="39" t="inlineStr">
        <is>
          <t>Maria Gonzalez</t>
        </is>
      </c>
      <c r="D116" s="43" t="n">
        <v>4</v>
      </c>
      <c r="E116" s="40" t="n"/>
      <c r="F116" s="40" t="n"/>
      <c r="G116" s="44">
        <f>IFERROR(VLOOKUP(C116,Cleaners!$B$6:$I$35,8,FALSE),0)</f>
        <v/>
      </c>
      <c r="H116" s="39" t="inlineStr">
        <is>
          <t>Inspected</t>
        </is>
      </c>
      <c r="I116" s="45" t="n">
        <v>4.6</v>
      </c>
      <c r="J116" s="39" t="n"/>
      <c r="K116" s="44">
        <f>IF(C116="","",IFERROR(D116,0)*G116+IFERROR(E116,0)+IFERROR(F116,0))</f>
        <v/>
      </c>
    </row>
    <row r="117" ht="16" customHeight="1">
      <c r="A117" s="42" t="n">
        <v>46045</v>
      </c>
      <c r="B117" s="39" t="inlineStr">
        <is>
          <t>Lakehouse A</t>
        </is>
      </c>
      <c r="C117" s="39" t="inlineStr">
        <is>
          <t>Maria Gonzalez</t>
        </is>
      </c>
      <c r="D117" s="43" t="n">
        <v>4.25</v>
      </c>
      <c r="E117" s="40" t="n"/>
      <c r="F117" s="40" t="n"/>
      <c r="G117" s="44">
        <f>IFERROR(VLOOKUP(C117,Cleaners!$B$6:$I$35,8,FALSE),0)</f>
        <v/>
      </c>
      <c r="H117" s="39" t="inlineStr">
        <is>
          <t>Inspected</t>
        </is>
      </c>
      <c r="I117" s="45" t="n">
        <v>4.7</v>
      </c>
      <c r="J117" s="39" t="n"/>
      <c r="K117" s="44">
        <f>IF(C117="","",IFERROR(D117,0)*G117+IFERROR(E117,0)+IFERROR(F117,0))</f>
        <v/>
      </c>
    </row>
    <row r="118" ht="16" customHeight="1">
      <c r="A118" s="42" t="n">
        <v>46046</v>
      </c>
      <c r="B118" s="39" t="inlineStr">
        <is>
          <t>Creek Side</t>
        </is>
      </c>
      <c r="C118" s="39" t="inlineStr">
        <is>
          <t>Maria Gonzalez</t>
        </is>
      </c>
      <c r="D118" s="43" t="n">
        <v>4.5</v>
      </c>
      <c r="E118" s="40" t="n"/>
      <c r="F118" s="40" t="n"/>
      <c r="G118" s="44">
        <f>IFERROR(VLOOKUP(C118,Cleaners!$B$6:$I$35,8,FALSE),0)</f>
        <v/>
      </c>
      <c r="H118" s="39" t="inlineStr">
        <is>
          <t>Inspected</t>
        </is>
      </c>
      <c r="I118" s="45" t="n">
        <v>4.8</v>
      </c>
      <c r="J118" s="39" t="n"/>
      <c r="K118" s="44">
        <f>IF(C118="","",IFERROR(D118,0)*G118+IFERROR(E118,0)+IFERROR(F118,0))</f>
        <v/>
      </c>
    </row>
    <row r="119" ht="16" customHeight="1">
      <c r="A119" s="42" t="n">
        <v>46047</v>
      </c>
      <c r="B119" s="39" t="inlineStr">
        <is>
          <t>Smokies Ridge</t>
        </is>
      </c>
      <c r="C119" s="39" t="inlineStr">
        <is>
          <t>Maria Gonzalez</t>
        </is>
      </c>
      <c r="D119" s="43" t="n">
        <v>4.75</v>
      </c>
      <c r="E119" s="40" t="n"/>
      <c r="F119" s="40" t="n"/>
      <c r="G119" s="44">
        <f>IFERROR(VLOOKUP(C119,Cleaners!$B$6:$I$35,8,FALSE),0)</f>
        <v/>
      </c>
      <c r="H119" s="39" t="inlineStr">
        <is>
          <t>Done</t>
        </is>
      </c>
      <c r="I119" s="45" t="n">
        <v>4.9</v>
      </c>
      <c r="J119" s="39" t="n"/>
      <c r="K119" s="44">
        <f>IF(C119="","",IFERROR(D119,0)*G119+IFERROR(E119,0)+IFERROR(F119,0))</f>
        <v/>
      </c>
    </row>
    <row r="120" ht="16" customHeight="1">
      <c r="A120" s="42" t="n">
        <v>46048</v>
      </c>
      <c r="B120" s="39" t="inlineStr">
        <is>
          <t>Lakehouse A</t>
        </is>
      </c>
      <c r="C120" s="39" t="inlineStr">
        <is>
          <t>Maria Gonzalez</t>
        </is>
      </c>
      <c r="D120" s="43" t="n">
        <v>5</v>
      </c>
      <c r="E120" s="40" t="n"/>
      <c r="F120" s="40" t="n"/>
      <c r="G120" s="44">
        <f>IFERROR(VLOOKUP(C120,Cleaners!$B$6:$I$35,8,FALSE),0)</f>
        <v/>
      </c>
      <c r="H120" s="39" t="inlineStr">
        <is>
          <t>Done</t>
        </is>
      </c>
      <c r="I120" s="45" t="n">
        <v>4.3</v>
      </c>
      <c r="J120" s="39" t="n"/>
      <c r="K120" s="44">
        <f>IF(C120="","",IFERROR(D120,0)*G120+IFERROR(E120,0)+IFERROR(F120,0))</f>
        <v/>
      </c>
    </row>
    <row r="121" ht="16" customHeight="1">
      <c r="A121" s="42" t="n">
        <v>46049</v>
      </c>
      <c r="B121" s="39" t="inlineStr">
        <is>
          <t>Lakehouse A</t>
        </is>
      </c>
      <c r="C121" s="39" t="inlineStr">
        <is>
          <t>Jenny Park</t>
        </is>
      </c>
      <c r="D121" s="43" t="n">
        <v>3.5</v>
      </c>
      <c r="E121" s="40" t="n">
        <v>90</v>
      </c>
      <c r="F121" s="40" t="n"/>
      <c r="G121" s="44">
        <f>IFERROR(VLOOKUP(C121,Cleaners!$B$6:$I$35,8,FALSE),0)</f>
        <v/>
      </c>
      <c r="H121" s="39" t="inlineStr">
        <is>
          <t>Inspected</t>
        </is>
      </c>
      <c r="I121" s="45" t="n">
        <v>4.4</v>
      </c>
      <c r="J121" s="39" t="n"/>
      <c r="K121" s="44">
        <f>IF(C121="","",IFERROR(D121,0)*G121+IFERROR(E121,0)+IFERROR(F121,0))</f>
        <v/>
      </c>
    </row>
    <row r="122" ht="16" customHeight="1">
      <c r="A122" s="42" t="n">
        <v>46050</v>
      </c>
      <c r="B122" s="39" t="inlineStr">
        <is>
          <t>Creek Side</t>
        </is>
      </c>
      <c r="C122" s="39" t="inlineStr">
        <is>
          <t>Jenny Park</t>
        </is>
      </c>
      <c r="D122" s="43" t="n">
        <v>3.75</v>
      </c>
      <c r="E122" s="40" t="n">
        <v>90</v>
      </c>
      <c r="F122" s="40" t="n"/>
      <c r="G122" s="44">
        <f>IFERROR(VLOOKUP(C122,Cleaners!$B$6:$I$35,8,FALSE),0)</f>
        <v/>
      </c>
      <c r="H122" s="39" t="inlineStr">
        <is>
          <t>Inspected</t>
        </is>
      </c>
      <c r="I122" s="45" t="n">
        <v>4.5</v>
      </c>
      <c r="J122" s="39" t="n"/>
      <c r="K122" s="44">
        <f>IF(C122="","",IFERROR(D122,0)*G122+IFERROR(E122,0)+IFERROR(F122,0))</f>
        <v/>
      </c>
    </row>
    <row r="123" ht="16" customHeight="1">
      <c r="A123" s="42" t="n">
        <v>46051</v>
      </c>
      <c r="B123" s="39" t="inlineStr">
        <is>
          <t>Smokies Ridge</t>
        </is>
      </c>
      <c r="C123" s="39" t="inlineStr">
        <is>
          <t>Jenny Park</t>
        </is>
      </c>
      <c r="D123" s="43" t="n">
        <v>4</v>
      </c>
      <c r="E123" s="40" t="n">
        <v>90</v>
      </c>
      <c r="F123" s="40" t="n"/>
      <c r="G123" s="44">
        <f>IFERROR(VLOOKUP(C123,Cleaners!$B$6:$I$35,8,FALSE),0)</f>
        <v/>
      </c>
      <c r="H123" s="39" t="inlineStr">
        <is>
          <t>Inspected</t>
        </is>
      </c>
      <c r="I123" s="45" t="n">
        <v>4.6</v>
      </c>
      <c r="J123" s="39" t="n"/>
      <c r="K123" s="44">
        <f>IF(C123="","",IFERROR(D123,0)*G123+IFERROR(E123,0)+IFERROR(F123,0))</f>
        <v/>
      </c>
    </row>
    <row r="124" ht="16" customHeight="1">
      <c r="A124" s="42" t="n">
        <v>46052</v>
      </c>
      <c r="B124" s="39" t="inlineStr">
        <is>
          <t>Lakehouse A</t>
        </is>
      </c>
      <c r="C124" s="39" t="inlineStr">
        <is>
          <t>Jenny Park</t>
        </is>
      </c>
      <c r="D124" s="43" t="n">
        <v>4.25</v>
      </c>
      <c r="E124" s="40" t="n">
        <v>90</v>
      </c>
      <c r="F124" s="40" t="n"/>
      <c r="G124" s="44">
        <f>IFERROR(VLOOKUP(C124,Cleaners!$B$6:$I$35,8,FALSE),0)</f>
        <v/>
      </c>
      <c r="H124" s="39" t="inlineStr">
        <is>
          <t>Inspected</t>
        </is>
      </c>
      <c r="I124" s="45" t="n">
        <v>4.7</v>
      </c>
      <c r="J124" s="39" t="n"/>
      <c r="K124" s="44">
        <f>IF(C124="","",IFERROR(D124,0)*G124+IFERROR(E124,0)+IFERROR(F124,0))</f>
        <v/>
      </c>
    </row>
    <row r="125" ht="16" customHeight="1">
      <c r="A125" s="42" t="n">
        <v>46053</v>
      </c>
      <c r="B125" s="39" t="inlineStr">
        <is>
          <t>Creek Side</t>
        </is>
      </c>
      <c r="C125" s="39" t="inlineStr">
        <is>
          <t>Jenny Park</t>
        </is>
      </c>
      <c r="D125" s="43" t="n">
        <v>4.5</v>
      </c>
      <c r="E125" s="40" t="n">
        <v>90</v>
      </c>
      <c r="F125" s="40" t="n"/>
      <c r="G125" s="44">
        <f>IFERROR(VLOOKUP(C125,Cleaners!$B$6:$I$35,8,FALSE),0)</f>
        <v/>
      </c>
      <c r="H125" s="39" t="inlineStr">
        <is>
          <t>Inspected</t>
        </is>
      </c>
      <c r="I125" s="45" t="n">
        <v>4.8</v>
      </c>
      <c r="J125" s="39" t="n"/>
      <c r="K125" s="44">
        <f>IF(C125="","",IFERROR(D125,0)*G125+IFERROR(E125,0)+IFERROR(F125,0))</f>
        <v/>
      </c>
    </row>
    <row r="126" ht="16" customHeight="1">
      <c r="A126" s="42" t="n">
        <v>46054</v>
      </c>
      <c r="B126" s="39" t="inlineStr">
        <is>
          <t>Smokies Ridge</t>
        </is>
      </c>
      <c r="C126" s="39" t="inlineStr">
        <is>
          <t>Jenny Park</t>
        </is>
      </c>
      <c r="D126" s="43" t="n">
        <v>3.5</v>
      </c>
      <c r="E126" s="40" t="n">
        <v>90</v>
      </c>
      <c r="F126" s="40" t="n"/>
      <c r="G126" s="44">
        <f>IFERROR(VLOOKUP(C126,Cleaners!$B$6:$I$35,8,FALSE),0)</f>
        <v/>
      </c>
      <c r="H126" s="39" t="inlineStr">
        <is>
          <t>Inspected</t>
        </is>
      </c>
      <c r="I126" s="45" t="n">
        <v>4.9</v>
      </c>
      <c r="J126" s="39" t="n"/>
      <c r="K126" s="44">
        <f>IF(C126="","",IFERROR(D126,0)*G126+IFERROR(E126,0)+IFERROR(F126,0))</f>
        <v/>
      </c>
    </row>
    <row r="127" ht="16" customHeight="1">
      <c r="A127" s="42" t="n">
        <v>46055</v>
      </c>
      <c r="B127" s="39" t="inlineStr">
        <is>
          <t>Lakehouse A</t>
        </is>
      </c>
      <c r="C127" s="39" t="inlineStr">
        <is>
          <t>Jenny Park</t>
        </is>
      </c>
      <c r="D127" s="43" t="n">
        <v>3.75</v>
      </c>
      <c r="E127" s="40" t="n">
        <v>90</v>
      </c>
      <c r="F127" s="40" t="n"/>
      <c r="G127" s="44">
        <f>IFERROR(VLOOKUP(C127,Cleaners!$B$6:$I$35,8,FALSE),0)</f>
        <v/>
      </c>
      <c r="H127" s="39" t="inlineStr">
        <is>
          <t>Inspected</t>
        </is>
      </c>
      <c r="I127" s="45" t="n">
        <v>5</v>
      </c>
      <c r="J127" s="39" t="n"/>
      <c r="K127" s="44">
        <f>IF(C127="","",IFERROR(D127,0)*G127+IFERROR(E127,0)+IFERROR(F127,0))</f>
        <v/>
      </c>
    </row>
    <row r="128" ht="16" customHeight="1">
      <c r="A128" s="42" t="n">
        <v>46056</v>
      </c>
      <c r="B128" s="39" t="inlineStr">
        <is>
          <t>Creek Side</t>
        </is>
      </c>
      <c r="C128" s="39" t="inlineStr">
        <is>
          <t>Jenny Park</t>
        </is>
      </c>
      <c r="D128" s="43" t="n">
        <v>4</v>
      </c>
      <c r="E128" s="40" t="n">
        <v>90</v>
      </c>
      <c r="F128" s="40" t="n"/>
      <c r="G128" s="44">
        <f>IFERROR(VLOOKUP(C128,Cleaners!$B$6:$I$35,8,FALSE),0)</f>
        <v/>
      </c>
      <c r="H128" s="39" t="inlineStr">
        <is>
          <t>Inspected</t>
        </is>
      </c>
      <c r="I128" s="45" t="n">
        <v>4.4</v>
      </c>
      <c r="J128" s="39" t="n"/>
      <c r="K128" s="44">
        <f>IF(C128="","",IFERROR(D128,0)*G128+IFERROR(E128,0)+IFERROR(F128,0))</f>
        <v/>
      </c>
    </row>
    <row r="129" ht="16" customHeight="1">
      <c r="A129" s="42" t="n">
        <v>46057</v>
      </c>
      <c r="B129" s="39" t="inlineStr">
        <is>
          <t>Smokies Ridge</t>
        </is>
      </c>
      <c r="C129" s="39" t="inlineStr">
        <is>
          <t>Jenny Park</t>
        </is>
      </c>
      <c r="D129" s="43" t="n">
        <v>4.25</v>
      </c>
      <c r="E129" s="40" t="n">
        <v>90</v>
      </c>
      <c r="F129" s="40" t="n"/>
      <c r="G129" s="44">
        <f>IFERROR(VLOOKUP(C129,Cleaners!$B$6:$I$35,8,FALSE),0)</f>
        <v/>
      </c>
      <c r="H129" s="39" t="inlineStr">
        <is>
          <t>Inspected</t>
        </is>
      </c>
      <c r="I129" s="45" t="n">
        <v>4.5</v>
      </c>
      <c r="J129" s="39" t="n"/>
      <c r="K129" s="44">
        <f>IF(C129="","",IFERROR(D129,0)*G129+IFERROR(E129,0)+IFERROR(F129,0))</f>
        <v/>
      </c>
    </row>
    <row r="130" ht="16" customHeight="1">
      <c r="A130" s="42" t="n">
        <v>46058</v>
      </c>
      <c r="B130" s="39" t="inlineStr">
        <is>
          <t>Lakehouse A</t>
        </is>
      </c>
      <c r="C130" s="39" t="inlineStr">
        <is>
          <t>Jenny Park</t>
        </is>
      </c>
      <c r="D130" s="43" t="n">
        <v>4.5</v>
      </c>
      <c r="E130" s="40" t="n">
        <v>90</v>
      </c>
      <c r="F130" s="40" t="n"/>
      <c r="G130" s="44">
        <f>IFERROR(VLOOKUP(C130,Cleaners!$B$6:$I$35,8,FALSE),0)</f>
        <v/>
      </c>
      <c r="H130" s="39" t="inlineStr">
        <is>
          <t>Inspected</t>
        </is>
      </c>
      <c r="I130" s="45" t="n">
        <v>4.6</v>
      </c>
      <c r="J130" s="39" t="n"/>
      <c r="K130" s="44">
        <f>IF(C130="","",IFERROR(D130,0)*G130+IFERROR(E130,0)+IFERROR(F130,0))</f>
        <v/>
      </c>
    </row>
    <row r="131" ht="16" customHeight="1">
      <c r="A131" s="42" t="n">
        <v>46059</v>
      </c>
      <c r="B131" s="39" t="inlineStr">
        <is>
          <t>Creek Side</t>
        </is>
      </c>
      <c r="C131" s="39" t="inlineStr">
        <is>
          <t>Jenny Park</t>
        </is>
      </c>
      <c r="D131" s="43" t="n">
        <v>3.5</v>
      </c>
      <c r="E131" s="40" t="n">
        <v>90</v>
      </c>
      <c r="F131" s="40" t="n"/>
      <c r="G131" s="44">
        <f>IFERROR(VLOOKUP(C131,Cleaners!$B$6:$I$35,8,FALSE),0)</f>
        <v/>
      </c>
      <c r="H131" s="39" t="inlineStr">
        <is>
          <t>Inspected</t>
        </is>
      </c>
      <c r="I131" s="45" t="n">
        <v>4.7</v>
      </c>
      <c r="J131" s="39" t="n"/>
      <c r="K131" s="44">
        <f>IF(C131="","",IFERROR(D131,0)*G131+IFERROR(E131,0)+IFERROR(F131,0))</f>
        <v/>
      </c>
    </row>
    <row r="132" ht="16" customHeight="1">
      <c r="A132" s="42" t="n">
        <v>46060</v>
      </c>
      <c r="B132" s="39" t="inlineStr">
        <is>
          <t>Smokies Ridge</t>
        </is>
      </c>
      <c r="C132" s="39" t="inlineStr">
        <is>
          <t>Jenny Park</t>
        </is>
      </c>
      <c r="D132" s="43" t="n">
        <v>3.75</v>
      </c>
      <c r="E132" s="40" t="n">
        <v>90</v>
      </c>
      <c r="F132" s="40" t="n"/>
      <c r="G132" s="44">
        <f>IFERROR(VLOOKUP(C132,Cleaners!$B$6:$I$35,8,FALSE),0)</f>
        <v/>
      </c>
      <c r="H132" s="39" t="inlineStr">
        <is>
          <t>Inspected</t>
        </is>
      </c>
      <c r="I132" s="45" t="n">
        <v>4.8</v>
      </c>
      <c r="J132" s="39" t="n"/>
      <c r="K132" s="44">
        <f>IF(C132="","",IFERROR(D132,0)*G132+IFERROR(E132,0)+IFERROR(F132,0))</f>
        <v/>
      </c>
    </row>
    <row r="133" ht="16" customHeight="1">
      <c r="A133" s="42" t="n">
        <v>46061</v>
      </c>
      <c r="B133" s="39" t="inlineStr">
        <is>
          <t>Lakehouse A</t>
        </is>
      </c>
      <c r="C133" s="39" t="inlineStr">
        <is>
          <t>Jenny Park</t>
        </is>
      </c>
      <c r="D133" s="43" t="n">
        <v>4</v>
      </c>
      <c r="E133" s="40" t="n">
        <v>90</v>
      </c>
      <c r="F133" s="40" t="n"/>
      <c r="G133" s="44">
        <f>IFERROR(VLOOKUP(C133,Cleaners!$B$6:$I$35,8,FALSE),0)</f>
        <v/>
      </c>
      <c r="H133" s="39" t="inlineStr">
        <is>
          <t>Inspected</t>
        </is>
      </c>
      <c r="I133" s="45" t="n">
        <v>4.9</v>
      </c>
      <c r="J133" s="39" t="n"/>
      <c r="K133" s="44">
        <f>IF(C133="","",IFERROR(D133,0)*G133+IFERROR(E133,0)+IFERROR(F133,0))</f>
        <v/>
      </c>
    </row>
    <row r="134" ht="16" customHeight="1">
      <c r="A134" s="42" t="n">
        <v>46062</v>
      </c>
      <c r="B134" s="39" t="inlineStr">
        <is>
          <t>Creek Side</t>
        </is>
      </c>
      <c r="C134" s="39" t="inlineStr">
        <is>
          <t>Jenny Park</t>
        </is>
      </c>
      <c r="D134" s="43" t="n">
        <v>4.25</v>
      </c>
      <c r="E134" s="40" t="n">
        <v>90</v>
      </c>
      <c r="F134" s="40" t="n"/>
      <c r="G134" s="44">
        <f>IFERROR(VLOOKUP(C134,Cleaners!$B$6:$I$35,8,FALSE),0)</f>
        <v/>
      </c>
      <c r="H134" s="39" t="inlineStr">
        <is>
          <t>Inspected</t>
        </is>
      </c>
      <c r="I134" s="45" t="n">
        <v>5</v>
      </c>
      <c r="J134" s="39" t="n"/>
      <c r="K134" s="44">
        <f>IF(C134="","",IFERROR(D134,0)*G134+IFERROR(E134,0)+IFERROR(F134,0))</f>
        <v/>
      </c>
    </row>
    <row r="135" ht="16" customHeight="1">
      <c r="A135" s="42" t="n">
        <v>46063</v>
      </c>
      <c r="B135" s="39" t="inlineStr">
        <is>
          <t>Smokies Ridge</t>
        </is>
      </c>
      <c r="C135" s="39" t="inlineStr">
        <is>
          <t>Jenny Park</t>
        </is>
      </c>
      <c r="D135" s="43" t="n">
        <v>4.5</v>
      </c>
      <c r="E135" s="40" t="n">
        <v>90</v>
      </c>
      <c r="F135" s="40" t="n"/>
      <c r="G135" s="44">
        <f>IFERROR(VLOOKUP(C135,Cleaners!$B$6:$I$35,8,FALSE),0)</f>
        <v/>
      </c>
      <c r="H135" s="39" t="inlineStr">
        <is>
          <t>Inspected</t>
        </is>
      </c>
      <c r="I135" s="45" t="n">
        <v>4.4</v>
      </c>
      <c r="J135" s="39" t="n"/>
      <c r="K135" s="44">
        <f>IF(C135="","",IFERROR(D135,0)*G135+IFERROR(E135,0)+IFERROR(F135,0))</f>
        <v/>
      </c>
    </row>
    <row r="136" ht="16" customHeight="1">
      <c r="A136" s="42" t="n">
        <v>46064</v>
      </c>
      <c r="B136" s="39" t="inlineStr">
        <is>
          <t>Lakehouse A</t>
        </is>
      </c>
      <c r="C136" s="39" t="inlineStr">
        <is>
          <t>Jenny Park</t>
        </is>
      </c>
      <c r="D136" s="43" t="n">
        <v>3.5</v>
      </c>
      <c r="E136" s="40" t="n">
        <v>90</v>
      </c>
      <c r="F136" s="40" t="n"/>
      <c r="G136" s="44">
        <f>IFERROR(VLOOKUP(C136,Cleaners!$B$6:$I$35,8,FALSE),0)</f>
        <v/>
      </c>
      <c r="H136" s="39" t="inlineStr">
        <is>
          <t>Inspected</t>
        </is>
      </c>
      <c r="I136" s="45" t="n">
        <v>4.5</v>
      </c>
      <c r="J136" s="39" t="n"/>
      <c r="K136" s="44">
        <f>IF(C136="","",IFERROR(D136,0)*G136+IFERROR(E136,0)+IFERROR(F136,0))</f>
        <v/>
      </c>
    </row>
    <row r="137" ht="16" customHeight="1">
      <c r="A137" s="42" t="n">
        <v>46065</v>
      </c>
      <c r="B137" s="39" t="inlineStr">
        <is>
          <t>Creek Side</t>
        </is>
      </c>
      <c r="C137" s="39" t="inlineStr">
        <is>
          <t>Jenny Park</t>
        </is>
      </c>
      <c r="D137" s="43" t="n">
        <v>3.75</v>
      </c>
      <c r="E137" s="40" t="n">
        <v>90</v>
      </c>
      <c r="F137" s="40" t="n"/>
      <c r="G137" s="44">
        <f>IFERROR(VLOOKUP(C137,Cleaners!$B$6:$I$35,8,FALSE),0)</f>
        <v/>
      </c>
      <c r="H137" s="39" t="inlineStr">
        <is>
          <t>Inspected</t>
        </is>
      </c>
      <c r="I137" s="45" t="n">
        <v>4.6</v>
      </c>
      <c r="J137" s="39" t="n"/>
      <c r="K137" s="44">
        <f>IF(C137="","",IFERROR(D137,0)*G137+IFERROR(E137,0)+IFERROR(F137,0))</f>
        <v/>
      </c>
    </row>
    <row r="138" ht="16" customHeight="1">
      <c r="A138" s="42" t="n">
        <v>46066</v>
      </c>
      <c r="B138" s="39" t="inlineStr">
        <is>
          <t>Smokies Ridge</t>
        </is>
      </c>
      <c r="C138" s="39" t="inlineStr">
        <is>
          <t>Jenny Park</t>
        </is>
      </c>
      <c r="D138" s="43" t="n">
        <v>4</v>
      </c>
      <c r="E138" s="40" t="n">
        <v>90</v>
      </c>
      <c r="F138" s="40" t="n"/>
      <c r="G138" s="44">
        <f>IFERROR(VLOOKUP(C138,Cleaners!$B$6:$I$35,8,FALSE),0)</f>
        <v/>
      </c>
      <c r="H138" s="39" t="inlineStr">
        <is>
          <t>Inspected</t>
        </is>
      </c>
      <c r="I138" s="45" t="n">
        <v>4.7</v>
      </c>
      <c r="J138" s="39" t="n"/>
      <c r="K138" s="44">
        <f>IF(C138="","",IFERROR(D138,0)*G138+IFERROR(E138,0)+IFERROR(F138,0))</f>
        <v/>
      </c>
    </row>
    <row r="139" ht="16" customHeight="1">
      <c r="A139" s="42" t="n">
        <v>46067</v>
      </c>
      <c r="B139" s="39" t="inlineStr">
        <is>
          <t>Lakehouse A</t>
        </is>
      </c>
      <c r="C139" s="39" t="inlineStr">
        <is>
          <t>Jenny Park</t>
        </is>
      </c>
      <c r="D139" s="43" t="n">
        <v>4.25</v>
      </c>
      <c r="E139" s="40" t="n">
        <v>90</v>
      </c>
      <c r="F139" s="40" t="n"/>
      <c r="G139" s="44">
        <f>IFERROR(VLOOKUP(C139,Cleaners!$B$6:$I$35,8,FALSE),0)</f>
        <v/>
      </c>
      <c r="H139" s="39" t="inlineStr">
        <is>
          <t>Inspected</t>
        </is>
      </c>
      <c r="I139" s="45" t="n">
        <v>4.8</v>
      </c>
      <c r="J139" s="39" t="n"/>
      <c r="K139" s="44">
        <f>IF(C139="","",IFERROR(D139,0)*G139+IFERROR(E139,0)+IFERROR(F139,0))</f>
        <v/>
      </c>
    </row>
    <row r="140" ht="16" customHeight="1">
      <c r="A140" s="42" t="n">
        <v>46068</v>
      </c>
      <c r="B140" s="39" t="inlineStr">
        <is>
          <t>Creek Side</t>
        </is>
      </c>
      <c r="C140" s="39" t="inlineStr">
        <is>
          <t>Jenny Park</t>
        </is>
      </c>
      <c r="D140" s="43" t="n">
        <v>4.5</v>
      </c>
      <c r="E140" s="40" t="n">
        <v>90</v>
      </c>
      <c r="F140" s="40" t="n"/>
      <c r="G140" s="44">
        <f>IFERROR(VLOOKUP(C140,Cleaners!$B$6:$I$35,8,FALSE),0)</f>
        <v/>
      </c>
      <c r="H140" s="39" t="inlineStr">
        <is>
          <t>Inspected</t>
        </is>
      </c>
      <c r="I140" s="45" t="n">
        <v>4.9</v>
      </c>
      <c r="J140" s="39" t="n"/>
      <c r="K140" s="44">
        <f>IF(C140="","",IFERROR(D140,0)*G140+IFERROR(E140,0)+IFERROR(F140,0))</f>
        <v/>
      </c>
    </row>
    <row r="141" ht="16" customHeight="1">
      <c r="A141" s="42" t="n">
        <v>46069</v>
      </c>
      <c r="B141" s="39" t="inlineStr">
        <is>
          <t>Smokies Ridge</t>
        </is>
      </c>
      <c r="C141" s="39" t="inlineStr">
        <is>
          <t>Jenny Park</t>
        </is>
      </c>
      <c r="D141" s="43" t="n">
        <v>3.5</v>
      </c>
      <c r="E141" s="40" t="n">
        <v>90</v>
      </c>
      <c r="F141" s="40" t="n"/>
      <c r="G141" s="44">
        <f>IFERROR(VLOOKUP(C141,Cleaners!$B$6:$I$35,8,FALSE),0)</f>
        <v/>
      </c>
      <c r="H141" s="39" t="inlineStr">
        <is>
          <t>Inspected</t>
        </is>
      </c>
      <c r="I141" s="45" t="n">
        <v>5</v>
      </c>
      <c r="J141" s="39" t="n"/>
      <c r="K141" s="44">
        <f>IF(C141="","",IFERROR(D141,0)*G141+IFERROR(E141,0)+IFERROR(F141,0))</f>
        <v/>
      </c>
    </row>
    <row r="142" ht="16" customHeight="1">
      <c r="A142" s="42" t="n">
        <v>46070</v>
      </c>
      <c r="B142" s="39" t="inlineStr">
        <is>
          <t>Lakehouse A</t>
        </is>
      </c>
      <c r="C142" s="39" t="inlineStr">
        <is>
          <t>Jenny Park</t>
        </is>
      </c>
      <c r="D142" s="43" t="n">
        <v>3.75</v>
      </c>
      <c r="E142" s="40" t="n">
        <v>90</v>
      </c>
      <c r="F142" s="40" t="n"/>
      <c r="G142" s="44">
        <f>IFERROR(VLOOKUP(C142,Cleaners!$B$6:$I$35,8,FALSE),0)</f>
        <v/>
      </c>
      <c r="H142" s="39" t="inlineStr">
        <is>
          <t>Inspected</t>
        </is>
      </c>
      <c r="I142" s="45" t="n">
        <v>4.4</v>
      </c>
      <c r="J142" s="39" t="n"/>
      <c r="K142" s="44">
        <f>IF(C142="","",IFERROR(D142,0)*G142+IFERROR(E142,0)+IFERROR(F142,0))</f>
        <v/>
      </c>
    </row>
    <row r="143" ht="16" customHeight="1">
      <c r="A143" s="42" t="n">
        <v>46071</v>
      </c>
      <c r="B143" s="39" t="inlineStr">
        <is>
          <t>Creek Side</t>
        </is>
      </c>
      <c r="C143" s="39" t="inlineStr">
        <is>
          <t>Jenny Park</t>
        </is>
      </c>
      <c r="D143" s="43" t="n">
        <v>4</v>
      </c>
      <c r="E143" s="40" t="n">
        <v>90</v>
      </c>
      <c r="F143" s="40" t="n"/>
      <c r="G143" s="44">
        <f>IFERROR(VLOOKUP(C143,Cleaners!$B$6:$I$35,8,FALSE),0)</f>
        <v/>
      </c>
      <c r="H143" s="39" t="inlineStr">
        <is>
          <t>Inspected</t>
        </is>
      </c>
      <c r="I143" s="45" t="n">
        <v>4.5</v>
      </c>
      <c r="J143" s="39" t="n"/>
      <c r="K143" s="44">
        <f>IF(C143="","",IFERROR(D143,0)*G143+IFERROR(E143,0)+IFERROR(F143,0))</f>
        <v/>
      </c>
    </row>
    <row r="144" ht="16" customHeight="1">
      <c r="A144" s="42" t="n">
        <v>46072</v>
      </c>
      <c r="B144" s="39" t="inlineStr">
        <is>
          <t>Smokies Ridge</t>
        </is>
      </c>
      <c r="C144" s="39" t="inlineStr">
        <is>
          <t>Jenny Park</t>
        </is>
      </c>
      <c r="D144" s="43" t="n">
        <v>4.25</v>
      </c>
      <c r="E144" s="40" t="n">
        <v>90</v>
      </c>
      <c r="F144" s="40" t="n"/>
      <c r="G144" s="44">
        <f>IFERROR(VLOOKUP(C144,Cleaners!$B$6:$I$35,8,FALSE),0)</f>
        <v/>
      </c>
      <c r="H144" s="39" t="inlineStr">
        <is>
          <t>Inspected</t>
        </is>
      </c>
      <c r="I144" s="45" t="n">
        <v>4.6</v>
      </c>
      <c r="J144" s="39" t="n"/>
      <c r="K144" s="44">
        <f>IF(C144="","",IFERROR(D144,0)*G144+IFERROR(E144,0)+IFERROR(F144,0))</f>
        <v/>
      </c>
    </row>
    <row r="145" ht="16" customHeight="1">
      <c r="A145" s="42" t="n">
        <v>46073</v>
      </c>
      <c r="B145" s="39" t="inlineStr">
        <is>
          <t>Lakehouse A</t>
        </is>
      </c>
      <c r="C145" s="39" t="inlineStr">
        <is>
          <t>Jenny Park</t>
        </is>
      </c>
      <c r="D145" s="43" t="n">
        <v>4.5</v>
      </c>
      <c r="E145" s="40" t="n">
        <v>90</v>
      </c>
      <c r="F145" s="40" t="n"/>
      <c r="G145" s="44">
        <f>IFERROR(VLOOKUP(C145,Cleaners!$B$6:$I$35,8,FALSE),0)</f>
        <v/>
      </c>
      <c r="H145" s="39" t="inlineStr">
        <is>
          <t>Inspected</t>
        </is>
      </c>
      <c r="I145" s="45" t="n">
        <v>4.7</v>
      </c>
      <c r="J145" s="39" t="n"/>
      <c r="K145" s="44">
        <f>IF(C145="","",IFERROR(D145,0)*G145+IFERROR(E145,0)+IFERROR(F145,0))</f>
        <v/>
      </c>
    </row>
    <row r="146" ht="16" customHeight="1">
      <c r="A146" s="42" t="n">
        <v>46074</v>
      </c>
      <c r="B146" s="39" t="inlineStr">
        <is>
          <t>Creek Side</t>
        </is>
      </c>
      <c r="C146" s="39" t="inlineStr">
        <is>
          <t>Jenny Park</t>
        </is>
      </c>
      <c r="D146" s="43" t="n">
        <v>3.5</v>
      </c>
      <c r="E146" s="40" t="n">
        <v>90</v>
      </c>
      <c r="F146" s="40" t="n"/>
      <c r="G146" s="44">
        <f>IFERROR(VLOOKUP(C146,Cleaners!$B$6:$I$35,8,FALSE),0)</f>
        <v/>
      </c>
      <c r="H146" s="39" t="inlineStr">
        <is>
          <t>Inspected</t>
        </is>
      </c>
      <c r="I146" s="45" t="n">
        <v>4.8</v>
      </c>
      <c r="J146" s="39" t="n"/>
      <c r="K146" s="44">
        <f>IF(C146="","",IFERROR(D146,0)*G146+IFERROR(E146,0)+IFERROR(F146,0))</f>
        <v/>
      </c>
    </row>
    <row r="147" ht="16" customHeight="1">
      <c r="A147" s="42" t="n">
        <v>46075</v>
      </c>
      <c r="B147" s="39" t="inlineStr">
        <is>
          <t>Smokies Ridge</t>
        </is>
      </c>
      <c r="C147" s="39" t="inlineStr">
        <is>
          <t>Jenny Park</t>
        </is>
      </c>
      <c r="D147" s="43" t="n">
        <v>3.75</v>
      </c>
      <c r="E147" s="40" t="n">
        <v>90</v>
      </c>
      <c r="F147" s="40" t="n"/>
      <c r="G147" s="44">
        <f>IFERROR(VLOOKUP(C147,Cleaners!$B$6:$I$35,8,FALSE),0)</f>
        <v/>
      </c>
      <c r="H147" s="39" t="inlineStr">
        <is>
          <t>Inspected</t>
        </is>
      </c>
      <c r="I147" s="45" t="n">
        <v>4.9</v>
      </c>
      <c r="J147" s="39" t="n"/>
      <c r="K147" s="44">
        <f>IF(C147="","",IFERROR(D147,0)*G147+IFERROR(E147,0)+IFERROR(F147,0))</f>
        <v/>
      </c>
    </row>
    <row r="148" ht="16" customHeight="1">
      <c r="A148" s="42" t="n">
        <v>46076</v>
      </c>
      <c r="B148" s="39" t="inlineStr">
        <is>
          <t>Lakehouse A</t>
        </is>
      </c>
      <c r="C148" s="39" t="inlineStr">
        <is>
          <t>Jenny Park</t>
        </is>
      </c>
      <c r="D148" s="43" t="n">
        <v>4</v>
      </c>
      <c r="E148" s="40" t="n">
        <v>90</v>
      </c>
      <c r="F148" s="40" t="n"/>
      <c r="G148" s="44">
        <f>IFERROR(VLOOKUP(C148,Cleaners!$B$6:$I$35,8,FALSE),0)</f>
        <v/>
      </c>
      <c r="H148" s="39" t="inlineStr">
        <is>
          <t>Inspected</t>
        </is>
      </c>
      <c r="I148" s="45" t="n">
        <v>5</v>
      </c>
      <c r="J148" s="39" t="n"/>
      <c r="K148" s="44">
        <f>IF(C148="","",IFERROR(D148,0)*G148+IFERROR(E148,0)+IFERROR(F148,0))</f>
        <v/>
      </c>
    </row>
    <row r="149" ht="16" customHeight="1">
      <c r="A149" s="42" t="n">
        <v>46077</v>
      </c>
      <c r="B149" s="39" t="inlineStr">
        <is>
          <t>Creek Side</t>
        </is>
      </c>
      <c r="C149" s="39" t="inlineStr">
        <is>
          <t>Jenny Park</t>
        </is>
      </c>
      <c r="D149" s="43" t="n">
        <v>4.25</v>
      </c>
      <c r="E149" s="40" t="n">
        <v>90</v>
      </c>
      <c r="F149" s="40" t="n"/>
      <c r="G149" s="44">
        <f>IFERROR(VLOOKUP(C149,Cleaners!$B$6:$I$35,8,FALSE),0)</f>
        <v/>
      </c>
      <c r="H149" s="39" t="inlineStr">
        <is>
          <t>Inspected</t>
        </is>
      </c>
      <c r="I149" s="45" t="n">
        <v>4.4</v>
      </c>
      <c r="J149" s="39" t="n"/>
      <c r="K149" s="44">
        <f>IF(C149="","",IFERROR(D149,0)*G149+IFERROR(E149,0)+IFERROR(F149,0))</f>
        <v/>
      </c>
    </row>
    <row r="150" ht="16" customHeight="1">
      <c r="A150" s="42" t="n">
        <v>46078</v>
      </c>
      <c r="B150" s="39" t="inlineStr">
        <is>
          <t>Smokies Ridge</t>
        </is>
      </c>
      <c r="C150" s="39" t="inlineStr">
        <is>
          <t>Jenny Park</t>
        </is>
      </c>
      <c r="D150" s="43" t="n">
        <v>4.5</v>
      </c>
      <c r="E150" s="40" t="n">
        <v>90</v>
      </c>
      <c r="F150" s="40" t="n"/>
      <c r="G150" s="44">
        <f>IFERROR(VLOOKUP(C150,Cleaners!$B$6:$I$35,8,FALSE),0)</f>
        <v/>
      </c>
      <c r="H150" s="39" t="inlineStr">
        <is>
          <t>Inspected</t>
        </is>
      </c>
      <c r="I150" s="45" t="n">
        <v>4.5</v>
      </c>
      <c r="J150" s="39" t="n"/>
      <c r="K150" s="44">
        <f>IF(C150="","",IFERROR(D150,0)*G150+IFERROR(E150,0)+IFERROR(F150,0))</f>
        <v/>
      </c>
    </row>
    <row r="151" ht="16" customHeight="1">
      <c r="A151" s="42" t="n">
        <v>46079</v>
      </c>
      <c r="B151" s="39" t="inlineStr">
        <is>
          <t>Lakehouse A</t>
        </is>
      </c>
      <c r="C151" s="39" t="inlineStr">
        <is>
          <t>Jenny Park</t>
        </is>
      </c>
      <c r="D151" s="43" t="n">
        <v>3.5</v>
      </c>
      <c r="E151" s="40" t="n">
        <v>90</v>
      </c>
      <c r="F151" s="40" t="n"/>
      <c r="G151" s="44">
        <f>IFERROR(VLOOKUP(C151,Cleaners!$B$6:$I$35,8,FALSE),0)</f>
        <v/>
      </c>
      <c r="H151" s="39" t="inlineStr">
        <is>
          <t>Inspected</t>
        </is>
      </c>
      <c r="I151" s="45" t="n">
        <v>4.6</v>
      </c>
      <c r="J151" s="39" t="n"/>
      <c r="K151" s="44">
        <f>IF(C151="","",IFERROR(D151,0)*G151+IFERROR(E151,0)+IFERROR(F151,0))</f>
        <v/>
      </c>
    </row>
    <row r="152" ht="16" customHeight="1">
      <c r="A152" s="42" t="n">
        <v>46080</v>
      </c>
      <c r="B152" s="39" t="inlineStr">
        <is>
          <t>Creek Side</t>
        </is>
      </c>
      <c r="C152" s="39" t="inlineStr">
        <is>
          <t>Jenny Park</t>
        </is>
      </c>
      <c r="D152" s="43" t="n">
        <v>3.75</v>
      </c>
      <c r="E152" s="40" t="n">
        <v>90</v>
      </c>
      <c r="F152" s="40" t="n"/>
      <c r="G152" s="44">
        <f>IFERROR(VLOOKUP(C152,Cleaners!$B$6:$I$35,8,FALSE),0)</f>
        <v/>
      </c>
      <c r="H152" s="39" t="inlineStr">
        <is>
          <t>Inspected</t>
        </is>
      </c>
      <c r="I152" s="45" t="n">
        <v>4.7</v>
      </c>
      <c r="J152" s="39" t="n"/>
      <c r="K152" s="44">
        <f>IF(C152="","",IFERROR(D152,0)*G152+IFERROR(E152,0)+IFERROR(F152,0))</f>
        <v/>
      </c>
    </row>
    <row r="153" ht="16" customHeight="1">
      <c r="A153" s="42" t="n">
        <v>46081</v>
      </c>
      <c r="B153" s="39" t="inlineStr">
        <is>
          <t>Smokies Ridge</t>
        </is>
      </c>
      <c r="C153" s="39" t="inlineStr">
        <is>
          <t>Jenny Park</t>
        </is>
      </c>
      <c r="D153" s="43" t="n">
        <v>4</v>
      </c>
      <c r="E153" s="40" t="n">
        <v>90</v>
      </c>
      <c r="F153" s="40" t="n"/>
      <c r="G153" s="44">
        <f>IFERROR(VLOOKUP(C153,Cleaners!$B$6:$I$35,8,FALSE),0)</f>
        <v/>
      </c>
      <c r="H153" s="39" t="inlineStr">
        <is>
          <t>Inspected</t>
        </is>
      </c>
      <c r="I153" s="45" t="n">
        <v>4.8</v>
      </c>
      <c r="J153" s="39" t="n"/>
      <c r="K153" s="44">
        <f>IF(C153="","",IFERROR(D153,0)*G153+IFERROR(E153,0)+IFERROR(F153,0))</f>
        <v/>
      </c>
    </row>
    <row r="154" ht="16" customHeight="1">
      <c r="A154" s="42" t="n">
        <v>46082</v>
      </c>
      <c r="B154" s="39" t="inlineStr">
        <is>
          <t>Lakehouse A</t>
        </is>
      </c>
      <c r="C154" s="39" t="inlineStr">
        <is>
          <t>Jenny Park</t>
        </is>
      </c>
      <c r="D154" s="43" t="n">
        <v>4.25</v>
      </c>
      <c r="E154" s="40" t="n">
        <v>90</v>
      </c>
      <c r="F154" s="40" t="n"/>
      <c r="G154" s="44">
        <f>IFERROR(VLOOKUP(C154,Cleaners!$B$6:$I$35,8,FALSE),0)</f>
        <v/>
      </c>
      <c r="H154" s="39" t="inlineStr">
        <is>
          <t>Inspected</t>
        </is>
      </c>
      <c r="I154" s="45" t="n">
        <v>4.9</v>
      </c>
      <c r="J154" s="39" t="n"/>
      <c r="K154" s="44">
        <f>IF(C154="","",IFERROR(D154,0)*G154+IFERROR(E154,0)+IFERROR(F154,0))</f>
        <v/>
      </c>
    </row>
    <row r="155" ht="16" customHeight="1">
      <c r="A155" s="42" t="n">
        <v>46083</v>
      </c>
      <c r="B155" s="39" t="inlineStr">
        <is>
          <t>Creek Side</t>
        </is>
      </c>
      <c r="C155" s="39" t="inlineStr">
        <is>
          <t>Jenny Park</t>
        </is>
      </c>
      <c r="D155" s="43" t="n">
        <v>4.5</v>
      </c>
      <c r="E155" s="40" t="n">
        <v>90</v>
      </c>
      <c r="F155" s="40" t="n"/>
      <c r="G155" s="44">
        <f>IFERROR(VLOOKUP(C155,Cleaners!$B$6:$I$35,8,FALSE),0)</f>
        <v/>
      </c>
      <c r="H155" s="39" t="inlineStr">
        <is>
          <t>Inspected</t>
        </is>
      </c>
      <c r="I155" s="45" t="n">
        <v>5</v>
      </c>
      <c r="J155" s="39" t="n"/>
      <c r="K155" s="44">
        <f>IF(C155="","",IFERROR(D155,0)*G155+IFERROR(E155,0)+IFERROR(F155,0))</f>
        <v/>
      </c>
    </row>
    <row r="156" ht="16" customHeight="1">
      <c r="A156" s="42" t="n">
        <v>46084</v>
      </c>
      <c r="B156" s="39" t="inlineStr">
        <is>
          <t>Smokies Ridge</t>
        </is>
      </c>
      <c r="C156" s="39" t="inlineStr">
        <is>
          <t>Jenny Park</t>
        </is>
      </c>
      <c r="D156" s="43" t="n">
        <v>3.5</v>
      </c>
      <c r="E156" s="40" t="n">
        <v>90</v>
      </c>
      <c r="F156" s="40" t="n"/>
      <c r="G156" s="44">
        <f>IFERROR(VLOOKUP(C156,Cleaners!$B$6:$I$35,8,FALSE),0)</f>
        <v/>
      </c>
      <c r="H156" s="39" t="inlineStr">
        <is>
          <t>Inspected</t>
        </is>
      </c>
      <c r="I156" s="45" t="n">
        <v>4.4</v>
      </c>
      <c r="J156" s="39" t="n"/>
      <c r="K156" s="44">
        <f>IF(C156="","",IFERROR(D156,0)*G156+IFERROR(E156,0)+IFERROR(F156,0))</f>
        <v/>
      </c>
    </row>
    <row r="157" ht="16" customHeight="1">
      <c r="A157" s="42" t="n">
        <v>46085</v>
      </c>
      <c r="B157" s="39" t="inlineStr">
        <is>
          <t>Lakehouse A</t>
        </is>
      </c>
      <c r="C157" s="39" t="inlineStr">
        <is>
          <t>Jenny Park</t>
        </is>
      </c>
      <c r="D157" s="43" t="n">
        <v>3.75</v>
      </c>
      <c r="E157" s="40" t="n">
        <v>90</v>
      </c>
      <c r="F157" s="40" t="n"/>
      <c r="G157" s="44">
        <f>IFERROR(VLOOKUP(C157,Cleaners!$B$6:$I$35,8,FALSE),0)</f>
        <v/>
      </c>
      <c r="H157" s="39" t="inlineStr">
        <is>
          <t>Inspected</t>
        </is>
      </c>
      <c r="I157" s="45" t="n">
        <v>4.5</v>
      </c>
      <c r="J157" s="39" t="n"/>
      <c r="K157" s="44">
        <f>IF(C157="","",IFERROR(D157,0)*G157+IFERROR(E157,0)+IFERROR(F157,0))</f>
        <v/>
      </c>
    </row>
    <row r="158" ht="16" customHeight="1">
      <c r="A158" s="42" t="n">
        <v>46086</v>
      </c>
      <c r="B158" s="39" t="inlineStr">
        <is>
          <t>Creek Side</t>
        </is>
      </c>
      <c r="C158" s="39" t="inlineStr">
        <is>
          <t>Jenny Park</t>
        </is>
      </c>
      <c r="D158" s="43" t="n">
        <v>4</v>
      </c>
      <c r="E158" s="40" t="n">
        <v>90</v>
      </c>
      <c r="F158" s="40" t="n"/>
      <c r="G158" s="44">
        <f>IFERROR(VLOOKUP(C158,Cleaners!$B$6:$I$35,8,FALSE),0)</f>
        <v/>
      </c>
      <c r="H158" s="39" t="inlineStr">
        <is>
          <t>Inspected</t>
        </is>
      </c>
      <c r="I158" s="45" t="n">
        <v>4.6</v>
      </c>
      <c r="J158" s="39" t="n"/>
      <c r="K158" s="44">
        <f>IF(C158="","",IFERROR(D158,0)*G158+IFERROR(E158,0)+IFERROR(F158,0))</f>
        <v/>
      </c>
    </row>
    <row r="159" ht="16" customHeight="1">
      <c r="A159" s="42" t="n">
        <v>46087</v>
      </c>
      <c r="B159" s="39" t="inlineStr">
        <is>
          <t>Smokies Ridge</t>
        </is>
      </c>
      <c r="C159" s="39" t="inlineStr">
        <is>
          <t>Jenny Park</t>
        </is>
      </c>
      <c r="D159" s="43" t="n">
        <v>4.25</v>
      </c>
      <c r="E159" s="40" t="n">
        <v>90</v>
      </c>
      <c r="F159" s="40" t="n"/>
      <c r="G159" s="44">
        <f>IFERROR(VLOOKUP(C159,Cleaners!$B$6:$I$35,8,FALSE),0)</f>
        <v/>
      </c>
      <c r="H159" s="39" t="inlineStr">
        <is>
          <t>Inspected</t>
        </is>
      </c>
      <c r="I159" s="45" t="n">
        <v>4.7</v>
      </c>
      <c r="J159" s="39" t="n"/>
      <c r="K159" s="44">
        <f>IF(C159="","",IFERROR(D159,0)*G159+IFERROR(E159,0)+IFERROR(F159,0))</f>
        <v/>
      </c>
    </row>
    <row r="160" ht="16" customHeight="1">
      <c r="A160" s="42" t="n">
        <v>46088</v>
      </c>
      <c r="B160" s="39" t="inlineStr">
        <is>
          <t>Lakehouse A</t>
        </is>
      </c>
      <c r="C160" s="39" t="inlineStr">
        <is>
          <t>Jenny Park</t>
        </is>
      </c>
      <c r="D160" s="43" t="n">
        <v>4.5</v>
      </c>
      <c r="E160" s="40" t="n">
        <v>90</v>
      </c>
      <c r="F160" s="40" t="n"/>
      <c r="G160" s="44">
        <f>IFERROR(VLOOKUP(C160,Cleaners!$B$6:$I$35,8,FALSE),0)</f>
        <v/>
      </c>
      <c r="H160" s="39" t="inlineStr">
        <is>
          <t>Inspected</t>
        </is>
      </c>
      <c r="I160" s="45" t="n">
        <v>4.8</v>
      </c>
      <c r="J160" s="39" t="n"/>
      <c r="K160" s="44">
        <f>IF(C160="","",IFERROR(D160,0)*G160+IFERROR(E160,0)+IFERROR(F160,0))</f>
        <v/>
      </c>
    </row>
    <row r="161" ht="16" customHeight="1">
      <c r="A161" s="42" t="n">
        <v>46089</v>
      </c>
      <c r="B161" s="39" t="inlineStr">
        <is>
          <t>Creek Side</t>
        </is>
      </c>
      <c r="C161" s="39" t="inlineStr">
        <is>
          <t>Jenny Park</t>
        </is>
      </c>
      <c r="D161" s="43" t="n">
        <v>3.5</v>
      </c>
      <c r="E161" s="40" t="n">
        <v>90</v>
      </c>
      <c r="F161" s="40" t="n"/>
      <c r="G161" s="44">
        <f>IFERROR(VLOOKUP(C161,Cleaners!$B$6:$I$35,8,FALSE),0)</f>
        <v/>
      </c>
      <c r="H161" s="39" t="inlineStr">
        <is>
          <t>Inspected</t>
        </is>
      </c>
      <c r="I161" s="45" t="n">
        <v>4.9</v>
      </c>
      <c r="J161" s="39" t="n"/>
      <c r="K161" s="44">
        <f>IF(C161="","",IFERROR(D161,0)*G161+IFERROR(E161,0)+IFERROR(F161,0))</f>
        <v/>
      </c>
    </row>
    <row r="162" ht="16" customHeight="1">
      <c r="A162" s="42" t="n">
        <v>46090</v>
      </c>
      <c r="B162" s="39" t="inlineStr">
        <is>
          <t>Smokies Ridge</t>
        </is>
      </c>
      <c r="C162" s="39" t="inlineStr">
        <is>
          <t>Jenny Park</t>
        </is>
      </c>
      <c r="D162" s="43" t="n">
        <v>3.75</v>
      </c>
      <c r="E162" s="40" t="n">
        <v>90</v>
      </c>
      <c r="F162" s="40" t="n"/>
      <c r="G162" s="44">
        <f>IFERROR(VLOOKUP(C162,Cleaners!$B$6:$I$35,8,FALSE),0)</f>
        <v/>
      </c>
      <c r="H162" s="39" t="inlineStr">
        <is>
          <t>Inspected</t>
        </is>
      </c>
      <c r="I162" s="45" t="n">
        <v>5</v>
      </c>
      <c r="J162" s="39" t="n"/>
      <c r="K162" s="44">
        <f>IF(C162="","",IFERROR(D162,0)*G162+IFERROR(E162,0)+IFERROR(F162,0))</f>
        <v/>
      </c>
    </row>
    <row r="163" ht="16" customHeight="1">
      <c r="A163" s="42" t="n">
        <v>46091</v>
      </c>
      <c r="B163" s="39" t="inlineStr">
        <is>
          <t>Lakehouse A</t>
        </is>
      </c>
      <c r="C163" s="39" t="inlineStr">
        <is>
          <t>Jenny Park</t>
        </is>
      </c>
      <c r="D163" s="43" t="n">
        <v>4</v>
      </c>
      <c r="E163" s="40" t="n">
        <v>90</v>
      </c>
      <c r="F163" s="40" t="n"/>
      <c r="G163" s="44">
        <f>IFERROR(VLOOKUP(C163,Cleaners!$B$6:$I$35,8,FALSE),0)</f>
        <v/>
      </c>
      <c r="H163" s="39" t="inlineStr">
        <is>
          <t>Inspected</t>
        </is>
      </c>
      <c r="I163" s="45" t="n">
        <v>4.4</v>
      </c>
      <c r="J163" s="39" t="n"/>
      <c r="K163" s="44">
        <f>IF(C163="","",IFERROR(D163,0)*G163+IFERROR(E163,0)+IFERROR(F163,0))</f>
        <v/>
      </c>
    </row>
    <row r="164" ht="16" customHeight="1">
      <c r="A164" s="42" t="n">
        <v>46092</v>
      </c>
      <c r="B164" s="39" t="inlineStr">
        <is>
          <t>Creek Side</t>
        </is>
      </c>
      <c r="C164" s="39" t="inlineStr">
        <is>
          <t>Jenny Park</t>
        </is>
      </c>
      <c r="D164" s="43" t="n">
        <v>4.25</v>
      </c>
      <c r="E164" s="40" t="n">
        <v>90</v>
      </c>
      <c r="F164" s="40" t="n"/>
      <c r="G164" s="44">
        <f>IFERROR(VLOOKUP(C164,Cleaners!$B$6:$I$35,8,FALSE),0)</f>
        <v/>
      </c>
      <c r="H164" s="39" t="inlineStr">
        <is>
          <t>Done</t>
        </is>
      </c>
      <c r="I164" s="45" t="n">
        <v>4.5</v>
      </c>
      <c r="J164" s="39" t="n"/>
      <c r="K164" s="44">
        <f>IF(C164="","",IFERROR(D164,0)*G164+IFERROR(E164,0)+IFERROR(F164,0))</f>
        <v/>
      </c>
    </row>
    <row r="165" ht="16" customHeight="1">
      <c r="A165" s="42" t="n">
        <v>46093</v>
      </c>
      <c r="B165" s="39" t="inlineStr">
        <is>
          <t>Smokies Ridge</t>
        </is>
      </c>
      <c r="C165" s="39" t="inlineStr">
        <is>
          <t>Jenny Park</t>
        </is>
      </c>
      <c r="D165" s="43" t="n">
        <v>4.5</v>
      </c>
      <c r="E165" s="40" t="n">
        <v>90</v>
      </c>
      <c r="F165" s="40" t="n"/>
      <c r="G165" s="44">
        <f>IFERROR(VLOOKUP(C165,Cleaners!$B$6:$I$35,8,FALSE),0)</f>
        <v/>
      </c>
      <c r="H165" s="39" t="inlineStr">
        <is>
          <t>Done</t>
        </is>
      </c>
      <c r="I165" s="45" t="n">
        <v>4.6</v>
      </c>
      <c r="J165" s="39" t="n"/>
      <c r="K165" s="44">
        <f>IF(C165="","",IFERROR(D165,0)*G165+IFERROR(E165,0)+IFERROR(F165,0))</f>
        <v/>
      </c>
    </row>
    <row r="166" ht="16" customHeight="1">
      <c r="A166" s="42" t="n">
        <v>46094</v>
      </c>
      <c r="B166" s="39" t="inlineStr">
        <is>
          <t>Lakehouse A</t>
        </is>
      </c>
      <c r="C166" s="39" t="inlineStr">
        <is>
          <t>Tom Bradley</t>
        </is>
      </c>
      <c r="D166" s="43" t="n">
        <v>3.3</v>
      </c>
      <c r="E166" s="40" t="n">
        <v>110</v>
      </c>
      <c r="F166" s="40" t="n"/>
      <c r="G166" s="44">
        <f>IFERROR(VLOOKUP(C166,Cleaners!$B$6:$I$35,8,FALSE),0)</f>
        <v/>
      </c>
      <c r="H166" s="39" t="inlineStr">
        <is>
          <t>Inspected</t>
        </is>
      </c>
      <c r="I166" s="45" t="n">
        <v>4</v>
      </c>
      <c r="J166" s="39" t="n"/>
      <c r="K166" s="44">
        <f>IF(C166="","",IFERROR(D166,0)*G166+IFERROR(E166,0)+IFERROR(F166,0))</f>
        <v/>
      </c>
    </row>
    <row r="167" ht="16" customHeight="1">
      <c r="A167" s="42" t="n">
        <v>46095</v>
      </c>
      <c r="B167" s="39" t="inlineStr">
        <is>
          <t>Creek Side</t>
        </is>
      </c>
      <c r="C167" s="39" t="inlineStr">
        <is>
          <t>Tom Bradley</t>
        </is>
      </c>
      <c r="D167" s="43" t="n">
        <v>3.55</v>
      </c>
      <c r="E167" s="40" t="n">
        <v>110</v>
      </c>
      <c r="F167" s="40" t="n"/>
      <c r="G167" s="44">
        <f>IFERROR(VLOOKUP(C167,Cleaners!$B$6:$I$35,8,FALSE),0)</f>
        <v/>
      </c>
      <c r="H167" s="39" t="inlineStr">
        <is>
          <t>Inspected</t>
        </is>
      </c>
      <c r="I167" s="45" t="n">
        <v>4.1</v>
      </c>
      <c r="J167" s="39" t="n"/>
      <c r="K167" s="44">
        <f>IF(C167="","",IFERROR(D167,0)*G167+IFERROR(E167,0)+IFERROR(F167,0))</f>
        <v/>
      </c>
    </row>
    <row r="168" ht="16" customHeight="1">
      <c r="A168" s="42" t="n">
        <v>46096</v>
      </c>
      <c r="B168" s="39" t="inlineStr">
        <is>
          <t>Smokies Ridge</t>
        </is>
      </c>
      <c r="C168" s="39" t="inlineStr">
        <is>
          <t>Tom Bradley</t>
        </is>
      </c>
      <c r="D168" s="43" t="n">
        <v>3.8</v>
      </c>
      <c r="E168" s="40" t="n">
        <v>110</v>
      </c>
      <c r="F168" s="40" t="n"/>
      <c r="G168" s="44">
        <f>IFERROR(VLOOKUP(C168,Cleaners!$B$6:$I$35,8,FALSE),0)</f>
        <v/>
      </c>
      <c r="H168" s="39" t="inlineStr">
        <is>
          <t>Inspected</t>
        </is>
      </c>
      <c r="I168" s="45" t="n">
        <v>4.2</v>
      </c>
      <c r="J168" s="39" t="n"/>
      <c r="K168" s="44">
        <f>IF(C168="","",IFERROR(D168,0)*G168+IFERROR(E168,0)+IFERROR(F168,0))</f>
        <v/>
      </c>
    </row>
    <row r="169" ht="16" customHeight="1">
      <c r="A169" s="42" t="n">
        <v>46097</v>
      </c>
      <c r="B169" s="39" t="inlineStr">
        <is>
          <t>Lakehouse A</t>
        </is>
      </c>
      <c r="C169" s="39" t="inlineStr">
        <is>
          <t>Tom Bradley</t>
        </is>
      </c>
      <c r="D169" s="43" t="n">
        <v>4.05</v>
      </c>
      <c r="E169" s="40" t="n">
        <v>110</v>
      </c>
      <c r="F169" s="40" t="n"/>
      <c r="G169" s="44">
        <f>IFERROR(VLOOKUP(C169,Cleaners!$B$6:$I$35,8,FALSE),0)</f>
        <v/>
      </c>
      <c r="H169" s="39" t="inlineStr">
        <is>
          <t>Inspected</t>
        </is>
      </c>
      <c r="I169" s="45" t="n">
        <v>4.3</v>
      </c>
      <c r="J169" s="39" t="n"/>
      <c r="K169" s="44">
        <f>IF(C169="","",IFERROR(D169,0)*G169+IFERROR(E169,0)+IFERROR(F169,0))</f>
        <v/>
      </c>
    </row>
    <row r="170" ht="16" customHeight="1">
      <c r="A170" s="42" t="n">
        <v>46098</v>
      </c>
      <c r="B170" s="39" t="inlineStr">
        <is>
          <t>Creek Side</t>
        </is>
      </c>
      <c r="C170" s="39" t="inlineStr">
        <is>
          <t>Tom Bradley</t>
        </is>
      </c>
      <c r="D170" s="43" t="n">
        <v>4.3</v>
      </c>
      <c r="E170" s="40" t="n">
        <v>110</v>
      </c>
      <c r="F170" s="40" t="n"/>
      <c r="G170" s="44">
        <f>IFERROR(VLOOKUP(C170,Cleaners!$B$6:$I$35,8,FALSE),0)</f>
        <v/>
      </c>
      <c r="H170" s="39" t="inlineStr">
        <is>
          <t>Inspected</t>
        </is>
      </c>
      <c r="I170" s="45" t="n">
        <v>4.4</v>
      </c>
      <c r="J170" s="39" t="n"/>
      <c r="K170" s="44">
        <f>IF(C170="","",IFERROR(D170,0)*G170+IFERROR(E170,0)+IFERROR(F170,0))</f>
        <v/>
      </c>
    </row>
    <row r="171" ht="16" customHeight="1">
      <c r="A171" s="42" t="n">
        <v>46099</v>
      </c>
      <c r="B171" s="39" t="inlineStr">
        <is>
          <t>Smokies Ridge</t>
        </is>
      </c>
      <c r="C171" s="39" t="inlineStr">
        <is>
          <t>Tom Bradley</t>
        </is>
      </c>
      <c r="D171" s="43" t="n">
        <v>3.3</v>
      </c>
      <c r="E171" s="40" t="n">
        <v>110</v>
      </c>
      <c r="F171" s="40" t="n"/>
      <c r="G171" s="44">
        <f>IFERROR(VLOOKUP(C171,Cleaners!$B$6:$I$35,8,FALSE),0)</f>
        <v/>
      </c>
      <c r="H171" s="39" t="inlineStr">
        <is>
          <t>Inspected</t>
        </is>
      </c>
      <c r="I171" s="45" t="n">
        <v>4.5</v>
      </c>
      <c r="J171" s="39" t="n"/>
      <c r="K171" s="44">
        <f>IF(C171="","",IFERROR(D171,0)*G171+IFERROR(E171,0)+IFERROR(F171,0))</f>
        <v/>
      </c>
    </row>
    <row r="172" ht="16" customHeight="1">
      <c r="A172" s="42" t="n">
        <v>46100</v>
      </c>
      <c r="B172" s="39" t="inlineStr">
        <is>
          <t>Lakehouse A</t>
        </is>
      </c>
      <c r="C172" s="39" t="inlineStr">
        <is>
          <t>Tom Bradley</t>
        </is>
      </c>
      <c r="D172" s="43" t="n">
        <v>3.55</v>
      </c>
      <c r="E172" s="40" t="n">
        <v>110</v>
      </c>
      <c r="F172" s="40" t="n"/>
      <c r="G172" s="44">
        <f>IFERROR(VLOOKUP(C172,Cleaners!$B$6:$I$35,8,FALSE),0)</f>
        <v/>
      </c>
      <c r="H172" s="39" t="inlineStr">
        <is>
          <t>Inspected</t>
        </is>
      </c>
      <c r="I172" s="45" t="n">
        <v>4.6</v>
      </c>
      <c r="J172" s="39" t="n"/>
      <c r="K172" s="44">
        <f>IF(C172="","",IFERROR(D172,0)*G172+IFERROR(E172,0)+IFERROR(F172,0))</f>
        <v/>
      </c>
    </row>
    <row r="173" ht="16" customHeight="1">
      <c r="A173" s="42" t="n">
        <v>46101</v>
      </c>
      <c r="B173" s="39" t="inlineStr">
        <is>
          <t>Creek Side</t>
        </is>
      </c>
      <c r="C173" s="39" t="inlineStr">
        <is>
          <t>Tom Bradley</t>
        </is>
      </c>
      <c r="D173" s="43" t="n">
        <v>3.8</v>
      </c>
      <c r="E173" s="40" t="n">
        <v>110</v>
      </c>
      <c r="F173" s="40" t="n"/>
      <c r="G173" s="44">
        <f>IFERROR(VLOOKUP(C173,Cleaners!$B$6:$I$35,8,FALSE),0)</f>
        <v/>
      </c>
      <c r="H173" s="39" t="inlineStr">
        <is>
          <t>Inspected</t>
        </is>
      </c>
      <c r="I173" s="45" t="n">
        <v>4</v>
      </c>
      <c r="J173" s="39" t="n"/>
      <c r="K173" s="44">
        <f>IF(C173="","",IFERROR(D173,0)*G173+IFERROR(E173,0)+IFERROR(F173,0))</f>
        <v/>
      </c>
    </row>
    <row r="174" ht="16" customHeight="1">
      <c r="A174" s="42" t="n">
        <v>46102</v>
      </c>
      <c r="B174" s="39" t="inlineStr">
        <is>
          <t>Smokies Ridge</t>
        </is>
      </c>
      <c r="C174" s="39" t="inlineStr">
        <is>
          <t>Tom Bradley</t>
        </is>
      </c>
      <c r="D174" s="43" t="n">
        <v>4.05</v>
      </c>
      <c r="E174" s="40" t="n">
        <v>110</v>
      </c>
      <c r="F174" s="40" t="n"/>
      <c r="G174" s="44">
        <f>IFERROR(VLOOKUP(C174,Cleaners!$B$6:$I$35,8,FALSE),0)</f>
        <v/>
      </c>
      <c r="H174" s="39" t="inlineStr">
        <is>
          <t>Inspected</t>
        </is>
      </c>
      <c r="I174" s="45" t="n">
        <v>4.1</v>
      </c>
      <c r="J174" s="39" t="n"/>
      <c r="K174" s="44">
        <f>IF(C174="","",IFERROR(D174,0)*G174+IFERROR(E174,0)+IFERROR(F174,0))</f>
        <v/>
      </c>
    </row>
    <row r="175" ht="16" customHeight="1">
      <c r="A175" s="42" t="n">
        <v>46103</v>
      </c>
      <c r="B175" s="39" t="inlineStr">
        <is>
          <t>Lakehouse A</t>
        </is>
      </c>
      <c r="C175" s="39" t="inlineStr">
        <is>
          <t>Tom Bradley</t>
        </is>
      </c>
      <c r="D175" s="43" t="n">
        <v>4.3</v>
      </c>
      <c r="E175" s="40" t="n">
        <v>110</v>
      </c>
      <c r="F175" s="40" t="n"/>
      <c r="G175" s="44">
        <f>IFERROR(VLOOKUP(C175,Cleaners!$B$6:$I$35,8,FALSE),0)</f>
        <v/>
      </c>
      <c r="H175" s="39" t="inlineStr">
        <is>
          <t>Inspected</t>
        </is>
      </c>
      <c r="I175" s="45" t="n">
        <v>4.2</v>
      </c>
      <c r="J175" s="39" t="n"/>
      <c r="K175" s="44">
        <f>IF(C175="","",IFERROR(D175,0)*G175+IFERROR(E175,0)+IFERROR(F175,0))</f>
        <v/>
      </c>
    </row>
    <row r="176" ht="16" customHeight="1">
      <c r="A176" s="42" t="n">
        <v>46104</v>
      </c>
      <c r="B176" s="39" t="inlineStr">
        <is>
          <t>Creek Side</t>
        </is>
      </c>
      <c r="C176" s="39" t="inlineStr">
        <is>
          <t>Tom Bradley</t>
        </is>
      </c>
      <c r="D176" s="43" t="n">
        <v>3.3</v>
      </c>
      <c r="E176" s="40" t="n">
        <v>110</v>
      </c>
      <c r="F176" s="40" t="n"/>
      <c r="G176" s="44">
        <f>IFERROR(VLOOKUP(C176,Cleaners!$B$6:$I$35,8,FALSE),0)</f>
        <v/>
      </c>
      <c r="H176" s="39" t="inlineStr">
        <is>
          <t>Inspected</t>
        </is>
      </c>
      <c r="I176" s="45" t="n">
        <v>4.3</v>
      </c>
      <c r="J176" s="39" t="n"/>
      <c r="K176" s="44">
        <f>IF(C176="","",IFERROR(D176,0)*G176+IFERROR(E176,0)+IFERROR(F176,0))</f>
        <v/>
      </c>
    </row>
    <row r="177" ht="16" customHeight="1">
      <c r="A177" s="42" t="n">
        <v>46105</v>
      </c>
      <c r="B177" s="39" t="inlineStr">
        <is>
          <t>Smokies Ridge</t>
        </is>
      </c>
      <c r="C177" s="39" t="inlineStr">
        <is>
          <t>Tom Bradley</t>
        </is>
      </c>
      <c r="D177" s="43" t="n">
        <v>3.55</v>
      </c>
      <c r="E177" s="40" t="n">
        <v>110</v>
      </c>
      <c r="F177" s="40" t="n"/>
      <c r="G177" s="44">
        <f>IFERROR(VLOOKUP(C177,Cleaners!$B$6:$I$35,8,FALSE),0)</f>
        <v/>
      </c>
      <c r="H177" s="39" t="inlineStr">
        <is>
          <t>Inspected</t>
        </is>
      </c>
      <c r="I177" s="45" t="n">
        <v>4.4</v>
      </c>
      <c r="J177" s="39" t="n"/>
      <c r="K177" s="44">
        <f>IF(C177="","",IFERROR(D177,0)*G177+IFERROR(E177,0)+IFERROR(F177,0))</f>
        <v/>
      </c>
    </row>
    <row r="178" ht="16" customHeight="1">
      <c r="A178" s="42" t="n">
        <v>46106</v>
      </c>
      <c r="B178" s="39" t="inlineStr">
        <is>
          <t>Lakehouse A</t>
        </is>
      </c>
      <c r="C178" s="39" t="inlineStr">
        <is>
          <t>Tom Bradley</t>
        </is>
      </c>
      <c r="D178" s="43" t="n">
        <v>3.8</v>
      </c>
      <c r="E178" s="40" t="n">
        <v>110</v>
      </c>
      <c r="F178" s="40" t="n"/>
      <c r="G178" s="44">
        <f>IFERROR(VLOOKUP(C178,Cleaners!$B$6:$I$35,8,FALSE),0)</f>
        <v/>
      </c>
      <c r="H178" s="39" t="inlineStr">
        <is>
          <t>Inspected</t>
        </is>
      </c>
      <c r="I178" s="45" t="n">
        <v>4.5</v>
      </c>
      <c r="J178" s="39" t="n"/>
      <c r="K178" s="44">
        <f>IF(C178="","",IFERROR(D178,0)*G178+IFERROR(E178,0)+IFERROR(F178,0))</f>
        <v/>
      </c>
    </row>
    <row r="179" ht="16" customHeight="1">
      <c r="A179" s="42" t="n">
        <v>46107</v>
      </c>
      <c r="B179" s="39" t="inlineStr">
        <is>
          <t>Creek Side</t>
        </is>
      </c>
      <c r="C179" s="39" t="inlineStr">
        <is>
          <t>Tom Bradley</t>
        </is>
      </c>
      <c r="D179" s="43" t="n">
        <v>4.05</v>
      </c>
      <c r="E179" s="40" t="n">
        <v>110</v>
      </c>
      <c r="F179" s="40" t="n"/>
      <c r="G179" s="44">
        <f>IFERROR(VLOOKUP(C179,Cleaners!$B$6:$I$35,8,FALSE),0)</f>
        <v/>
      </c>
      <c r="H179" s="39" t="inlineStr">
        <is>
          <t>Inspected</t>
        </is>
      </c>
      <c r="I179" s="45" t="n">
        <v>4.6</v>
      </c>
      <c r="J179" s="39" t="n"/>
      <c r="K179" s="44">
        <f>IF(C179="","",IFERROR(D179,0)*G179+IFERROR(E179,0)+IFERROR(F179,0))</f>
        <v/>
      </c>
    </row>
    <row r="180" ht="16" customHeight="1">
      <c r="A180" s="42" t="n">
        <v>46108</v>
      </c>
      <c r="B180" s="39" t="inlineStr">
        <is>
          <t>Smokies Ridge</t>
        </is>
      </c>
      <c r="C180" s="39" t="inlineStr">
        <is>
          <t>Tom Bradley</t>
        </is>
      </c>
      <c r="D180" s="43" t="n">
        <v>4.3</v>
      </c>
      <c r="E180" s="40" t="n">
        <v>110</v>
      </c>
      <c r="F180" s="40" t="n"/>
      <c r="G180" s="44">
        <f>IFERROR(VLOOKUP(C180,Cleaners!$B$6:$I$35,8,FALSE),0)</f>
        <v/>
      </c>
      <c r="H180" s="39" t="inlineStr">
        <is>
          <t>Inspected</t>
        </is>
      </c>
      <c r="I180" s="45" t="n">
        <v>4</v>
      </c>
      <c r="J180" s="39" t="n"/>
      <c r="K180" s="44">
        <f>IF(C180="","",IFERROR(D180,0)*G180+IFERROR(E180,0)+IFERROR(F180,0))</f>
        <v/>
      </c>
    </row>
    <row r="181" ht="16" customHeight="1">
      <c r="A181" s="42" t="n">
        <v>46109</v>
      </c>
      <c r="B181" s="39" t="inlineStr">
        <is>
          <t>Lakehouse A</t>
        </is>
      </c>
      <c r="C181" s="39" t="inlineStr">
        <is>
          <t>Tom Bradley</t>
        </is>
      </c>
      <c r="D181" s="43" t="n">
        <v>3.3</v>
      </c>
      <c r="E181" s="40" t="n">
        <v>110</v>
      </c>
      <c r="F181" s="40" t="n"/>
      <c r="G181" s="44">
        <f>IFERROR(VLOOKUP(C181,Cleaners!$B$6:$I$35,8,FALSE),0)</f>
        <v/>
      </c>
      <c r="H181" s="39" t="inlineStr">
        <is>
          <t>Inspected</t>
        </is>
      </c>
      <c r="I181" s="45" t="n">
        <v>4.1</v>
      </c>
      <c r="J181" s="39" t="n"/>
      <c r="K181" s="44">
        <f>IF(C181="","",IFERROR(D181,0)*G181+IFERROR(E181,0)+IFERROR(F181,0))</f>
        <v/>
      </c>
    </row>
    <row r="182" ht="16" customHeight="1">
      <c r="A182" s="42" t="n">
        <v>46110</v>
      </c>
      <c r="B182" s="39" t="inlineStr">
        <is>
          <t>Creek Side</t>
        </is>
      </c>
      <c r="C182" s="39" t="inlineStr">
        <is>
          <t>Tom Bradley</t>
        </is>
      </c>
      <c r="D182" s="43" t="n">
        <v>3.55</v>
      </c>
      <c r="E182" s="40" t="n">
        <v>110</v>
      </c>
      <c r="F182" s="40" t="n"/>
      <c r="G182" s="44">
        <f>IFERROR(VLOOKUP(C182,Cleaners!$B$6:$I$35,8,FALSE),0)</f>
        <v/>
      </c>
      <c r="H182" s="39" t="inlineStr">
        <is>
          <t>Inspected</t>
        </is>
      </c>
      <c r="I182" s="45" t="n">
        <v>4.2</v>
      </c>
      <c r="J182" s="39" t="n"/>
      <c r="K182" s="44">
        <f>IF(C182="","",IFERROR(D182,0)*G182+IFERROR(E182,0)+IFERROR(F182,0))</f>
        <v/>
      </c>
    </row>
    <row r="183" ht="16" customHeight="1">
      <c r="A183" s="42" t="n">
        <v>46111</v>
      </c>
      <c r="B183" s="39" t="inlineStr">
        <is>
          <t>Smokies Ridge</t>
        </is>
      </c>
      <c r="C183" s="39" t="inlineStr">
        <is>
          <t>Tom Bradley</t>
        </is>
      </c>
      <c r="D183" s="43" t="n">
        <v>3.8</v>
      </c>
      <c r="E183" s="40" t="n">
        <v>110</v>
      </c>
      <c r="F183" s="40" t="n"/>
      <c r="G183" s="44">
        <f>IFERROR(VLOOKUP(C183,Cleaners!$B$6:$I$35,8,FALSE),0)</f>
        <v/>
      </c>
      <c r="H183" s="39" t="inlineStr">
        <is>
          <t>Inspected</t>
        </is>
      </c>
      <c r="I183" s="45" t="n">
        <v>4.3</v>
      </c>
      <c r="J183" s="39" t="n"/>
      <c r="K183" s="44">
        <f>IF(C183="","",IFERROR(D183,0)*G183+IFERROR(E183,0)+IFERROR(F183,0))</f>
        <v/>
      </c>
    </row>
    <row r="184" ht="16" customHeight="1">
      <c r="A184" s="42" t="n">
        <v>46023</v>
      </c>
      <c r="B184" s="39" t="inlineStr">
        <is>
          <t>Lakehouse A</t>
        </is>
      </c>
      <c r="C184" s="39" t="inlineStr">
        <is>
          <t>Tom Bradley</t>
        </is>
      </c>
      <c r="D184" s="43" t="n">
        <v>4.05</v>
      </c>
      <c r="E184" s="40" t="n">
        <v>110</v>
      </c>
      <c r="F184" s="40" t="n"/>
      <c r="G184" s="44">
        <f>IFERROR(VLOOKUP(C184,Cleaners!$B$6:$I$35,8,FALSE),0)</f>
        <v/>
      </c>
      <c r="H184" s="39" t="inlineStr">
        <is>
          <t>Inspected</t>
        </is>
      </c>
      <c r="I184" s="45" t="n">
        <v>4.4</v>
      </c>
      <c r="J184" s="39" t="n"/>
      <c r="K184" s="44">
        <f>IF(C184="","",IFERROR(D184,0)*G184+IFERROR(E184,0)+IFERROR(F184,0))</f>
        <v/>
      </c>
    </row>
    <row r="185" ht="16" customHeight="1">
      <c r="A185" s="42" t="n">
        <v>46024</v>
      </c>
      <c r="B185" s="39" t="inlineStr">
        <is>
          <t>Creek Side</t>
        </is>
      </c>
      <c r="C185" s="39" t="inlineStr">
        <is>
          <t>Tom Bradley</t>
        </is>
      </c>
      <c r="D185" s="43" t="n">
        <v>4.3</v>
      </c>
      <c r="E185" s="40" t="n">
        <v>110</v>
      </c>
      <c r="F185" s="40" t="n"/>
      <c r="G185" s="44">
        <f>IFERROR(VLOOKUP(C185,Cleaners!$B$6:$I$35,8,FALSE),0)</f>
        <v/>
      </c>
      <c r="H185" s="39" t="inlineStr">
        <is>
          <t>Inspected</t>
        </is>
      </c>
      <c r="I185" s="45" t="n">
        <v>4.5</v>
      </c>
      <c r="J185" s="39" t="n"/>
      <c r="K185" s="44">
        <f>IF(C185="","",IFERROR(D185,0)*G185+IFERROR(E185,0)+IFERROR(F185,0))</f>
        <v/>
      </c>
    </row>
    <row r="186" ht="16" customHeight="1">
      <c r="A186" s="42" t="n">
        <v>46025</v>
      </c>
      <c r="B186" s="39" t="inlineStr">
        <is>
          <t>Smokies Ridge</t>
        </is>
      </c>
      <c r="C186" s="39" t="inlineStr">
        <is>
          <t>Tom Bradley</t>
        </is>
      </c>
      <c r="D186" s="43" t="n">
        <v>3.3</v>
      </c>
      <c r="E186" s="40" t="n">
        <v>110</v>
      </c>
      <c r="F186" s="40" t="n"/>
      <c r="G186" s="44">
        <f>IFERROR(VLOOKUP(C186,Cleaners!$B$6:$I$35,8,FALSE),0)</f>
        <v/>
      </c>
      <c r="H186" s="39" t="inlineStr">
        <is>
          <t>Inspected</t>
        </is>
      </c>
      <c r="I186" s="45" t="n">
        <v>4.6</v>
      </c>
      <c r="J186" s="39" t="n"/>
      <c r="K186" s="44">
        <f>IF(C186="","",IFERROR(D186,0)*G186+IFERROR(E186,0)+IFERROR(F186,0))</f>
        <v/>
      </c>
    </row>
    <row r="187" ht="16" customHeight="1">
      <c r="A187" s="42" t="n">
        <v>46026</v>
      </c>
      <c r="B187" s="39" t="inlineStr">
        <is>
          <t>Lakehouse A</t>
        </is>
      </c>
      <c r="C187" s="39" t="inlineStr">
        <is>
          <t>Tom Bradley</t>
        </is>
      </c>
      <c r="D187" s="43" t="n">
        <v>3.55</v>
      </c>
      <c r="E187" s="40" t="n">
        <v>110</v>
      </c>
      <c r="F187" s="40" t="n"/>
      <c r="G187" s="44">
        <f>IFERROR(VLOOKUP(C187,Cleaners!$B$6:$I$35,8,FALSE),0)</f>
        <v/>
      </c>
      <c r="H187" s="39" t="inlineStr">
        <is>
          <t>Inspected</t>
        </is>
      </c>
      <c r="I187" s="45" t="n">
        <v>4</v>
      </c>
      <c r="J187" s="39" t="n"/>
      <c r="K187" s="44">
        <f>IF(C187="","",IFERROR(D187,0)*G187+IFERROR(E187,0)+IFERROR(F187,0))</f>
        <v/>
      </c>
    </row>
    <row r="188" ht="16" customHeight="1">
      <c r="A188" s="42" t="n">
        <v>46027</v>
      </c>
      <c r="B188" s="39" t="inlineStr">
        <is>
          <t>Creek Side</t>
        </is>
      </c>
      <c r="C188" s="39" t="inlineStr">
        <is>
          <t>Tom Bradley</t>
        </is>
      </c>
      <c r="D188" s="43" t="n">
        <v>3.8</v>
      </c>
      <c r="E188" s="40" t="n">
        <v>110</v>
      </c>
      <c r="F188" s="40" t="n"/>
      <c r="G188" s="44">
        <f>IFERROR(VLOOKUP(C188,Cleaners!$B$6:$I$35,8,FALSE),0)</f>
        <v/>
      </c>
      <c r="H188" s="39" t="inlineStr">
        <is>
          <t>Inspected</t>
        </is>
      </c>
      <c r="I188" s="45" t="n">
        <v>4.1</v>
      </c>
      <c r="J188" s="39" t="n"/>
      <c r="K188" s="44">
        <f>IF(C188="","",IFERROR(D188,0)*G188+IFERROR(E188,0)+IFERROR(F188,0))</f>
        <v/>
      </c>
    </row>
    <row r="189" ht="16" customHeight="1">
      <c r="A189" s="42" t="n">
        <v>46028</v>
      </c>
      <c r="B189" s="39" t="inlineStr">
        <is>
          <t>Smokies Ridge</t>
        </is>
      </c>
      <c r="C189" s="39" t="inlineStr">
        <is>
          <t>Tom Bradley</t>
        </is>
      </c>
      <c r="D189" s="43" t="n">
        <v>4.05</v>
      </c>
      <c r="E189" s="40" t="n">
        <v>110</v>
      </c>
      <c r="F189" s="40" t="n"/>
      <c r="G189" s="44">
        <f>IFERROR(VLOOKUP(C189,Cleaners!$B$6:$I$35,8,FALSE),0)</f>
        <v/>
      </c>
      <c r="H189" s="39" t="inlineStr">
        <is>
          <t>Inspected</t>
        </is>
      </c>
      <c r="I189" s="45" t="n">
        <v>4.2</v>
      </c>
      <c r="J189" s="39" t="n"/>
      <c r="K189" s="44">
        <f>IF(C189="","",IFERROR(D189,0)*G189+IFERROR(E189,0)+IFERROR(F189,0))</f>
        <v/>
      </c>
    </row>
    <row r="190" ht="16" customHeight="1">
      <c r="A190" s="42" t="n">
        <v>46029</v>
      </c>
      <c r="B190" s="39" t="inlineStr">
        <is>
          <t>Lakehouse A</t>
        </is>
      </c>
      <c r="C190" s="39" t="inlineStr">
        <is>
          <t>Tom Bradley</t>
        </is>
      </c>
      <c r="D190" s="43" t="n">
        <v>4.3</v>
      </c>
      <c r="E190" s="40" t="n">
        <v>110</v>
      </c>
      <c r="F190" s="40" t="n"/>
      <c r="G190" s="44">
        <f>IFERROR(VLOOKUP(C190,Cleaners!$B$6:$I$35,8,FALSE),0)</f>
        <v/>
      </c>
      <c r="H190" s="39" t="inlineStr">
        <is>
          <t>Inspected</t>
        </is>
      </c>
      <c r="I190" s="45" t="n">
        <v>4.3</v>
      </c>
      <c r="J190" s="39" t="n"/>
      <c r="K190" s="44">
        <f>IF(C190="","",IFERROR(D190,0)*G190+IFERROR(E190,0)+IFERROR(F190,0))</f>
        <v/>
      </c>
    </row>
    <row r="191" ht="16" customHeight="1">
      <c r="A191" s="42" t="n">
        <v>46030</v>
      </c>
      <c r="B191" s="39" t="inlineStr">
        <is>
          <t>Creek Side</t>
        </is>
      </c>
      <c r="C191" s="39" t="inlineStr">
        <is>
          <t>Tom Bradley</t>
        </is>
      </c>
      <c r="D191" s="43" t="n">
        <v>3.3</v>
      </c>
      <c r="E191" s="40" t="n">
        <v>110</v>
      </c>
      <c r="F191" s="40" t="n"/>
      <c r="G191" s="44">
        <f>IFERROR(VLOOKUP(C191,Cleaners!$B$6:$I$35,8,FALSE),0)</f>
        <v/>
      </c>
      <c r="H191" s="39" t="inlineStr">
        <is>
          <t>Inspected</t>
        </is>
      </c>
      <c r="I191" s="45" t="n">
        <v>4.4</v>
      </c>
      <c r="J191" s="39" t="n"/>
      <c r="K191" s="44">
        <f>IF(C191="","",IFERROR(D191,0)*G191+IFERROR(E191,0)+IFERROR(F191,0))</f>
        <v/>
      </c>
    </row>
    <row r="192" ht="16" customHeight="1">
      <c r="A192" s="42" t="n">
        <v>46031</v>
      </c>
      <c r="B192" s="39" t="inlineStr">
        <is>
          <t>Smokies Ridge</t>
        </is>
      </c>
      <c r="C192" s="39" t="inlineStr">
        <is>
          <t>Tom Bradley</t>
        </is>
      </c>
      <c r="D192" s="43" t="n">
        <v>3.55</v>
      </c>
      <c r="E192" s="40" t="n">
        <v>110</v>
      </c>
      <c r="F192" s="40" t="n"/>
      <c r="G192" s="44">
        <f>IFERROR(VLOOKUP(C192,Cleaners!$B$6:$I$35,8,FALSE),0)</f>
        <v/>
      </c>
      <c r="H192" s="39" t="inlineStr">
        <is>
          <t>Inspected</t>
        </is>
      </c>
      <c r="I192" s="45" t="n">
        <v>4.5</v>
      </c>
      <c r="J192" s="39" t="n"/>
      <c r="K192" s="44">
        <f>IF(C192="","",IFERROR(D192,0)*G192+IFERROR(E192,0)+IFERROR(F192,0))</f>
        <v/>
      </c>
    </row>
    <row r="193" ht="16" customHeight="1">
      <c r="A193" s="42" t="n">
        <v>46032</v>
      </c>
      <c r="B193" s="39" t="inlineStr">
        <is>
          <t>Lakehouse A</t>
        </is>
      </c>
      <c r="C193" s="39" t="inlineStr">
        <is>
          <t>Tom Bradley</t>
        </is>
      </c>
      <c r="D193" s="43" t="n">
        <v>3.8</v>
      </c>
      <c r="E193" s="40" t="n">
        <v>110</v>
      </c>
      <c r="F193" s="40" t="n"/>
      <c r="G193" s="44">
        <f>IFERROR(VLOOKUP(C193,Cleaners!$B$6:$I$35,8,FALSE),0)</f>
        <v/>
      </c>
      <c r="H193" s="39" t="inlineStr">
        <is>
          <t>Inspected</t>
        </is>
      </c>
      <c r="I193" s="45" t="n">
        <v>4.6</v>
      </c>
      <c r="J193" s="39" t="n"/>
      <c r="K193" s="44">
        <f>IF(C193="","",IFERROR(D193,0)*G193+IFERROR(E193,0)+IFERROR(F193,0))</f>
        <v/>
      </c>
    </row>
    <row r="194" ht="16" customHeight="1">
      <c r="A194" s="42" t="n">
        <v>46033</v>
      </c>
      <c r="B194" s="39" t="inlineStr">
        <is>
          <t>Creek Side</t>
        </is>
      </c>
      <c r="C194" s="39" t="inlineStr">
        <is>
          <t>Tom Bradley</t>
        </is>
      </c>
      <c r="D194" s="43" t="n">
        <v>4.05</v>
      </c>
      <c r="E194" s="40" t="n">
        <v>110</v>
      </c>
      <c r="F194" s="40" t="n"/>
      <c r="G194" s="44">
        <f>IFERROR(VLOOKUP(C194,Cleaners!$B$6:$I$35,8,FALSE),0)</f>
        <v/>
      </c>
      <c r="H194" s="39" t="inlineStr">
        <is>
          <t>Inspected</t>
        </is>
      </c>
      <c r="I194" s="45" t="n">
        <v>4</v>
      </c>
      <c r="J194" s="39" t="n"/>
      <c r="K194" s="44">
        <f>IF(C194="","",IFERROR(D194,0)*G194+IFERROR(E194,0)+IFERROR(F194,0))</f>
        <v/>
      </c>
    </row>
    <row r="195" ht="16" customHeight="1">
      <c r="A195" s="42" t="n">
        <v>46034</v>
      </c>
      <c r="B195" s="39" t="inlineStr">
        <is>
          <t>Smokies Ridge</t>
        </is>
      </c>
      <c r="C195" s="39" t="inlineStr">
        <is>
          <t>Tom Bradley</t>
        </is>
      </c>
      <c r="D195" s="43" t="n">
        <v>4.3</v>
      </c>
      <c r="E195" s="40" t="n">
        <v>110</v>
      </c>
      <c r="F195" s="40" t="n"/>
      <c r="G195" s="44">
        <f>IFERROR(VLOOKUP(C195,Cleaners!$B$6:$I$35,8,FALSE),0)</f>
        <v/>
      </c>
      <c r="H195" s="39" t="inlineStr">
        <is>
          <t>Inspected</t>
        </is>
      </c>
      <c r="I195" s="45" t="n">
        <v>4.1</v>
      </c>
      <c r="J195" s="39" t="n"/>
      <c r="K195" s="44">
        <f>IF(C195="","",IFERROR(D195,0)*G195+IFERROR(E195,0)+IFERROR(F195,0))</f>
        <v/>
      </c>
    </row>
    <row r="196" ht="16" customHeight="1">
      <c r="A196" s="42" t="n">
        <v>46035</v>
      </c>
      <c r="B196" s="39" t="inlineStr">
        <is>
          <t>Lakehouse A</t>
        </is>
      </c>
      <c r="C196" s="39" t="inlineStr">
        <is>
          <t>Tom Bradley</t>
        </is>
      </c>
      <c r="D196" s="43" t="n">
        <v>3.3</v>
      </c>
      <c r="E196" s="40" t="n">
        <v>110</v>
      </c>
      <c r="F196" s="40" t="n"/>
      <c r="G196" s="44">
        <f>IFERROR(VLOOKUP(C196,Cleaners!$B$6:$I$35,8,FALSE),0)</f>
        <v/>
      </c>
      <c r="H196" s="39" t="inlineStr">
        <is>
          <t>Inspected</t>
        </is>
      </c>
      <c r="I196" s="45" t="n">
        <v>4.2</v>
      </c>
      <c r="J196" s="39" t="n"/>
      <c r="K196" s="44">
        <f>IF(C196="","",IFERROR(D196,0)*G196+IFERROR(E196,0)+IFERROR(F196,0))</f>
        <v/>
      </c>
    </row>
    <row r="197" ht="16" customHeight="1">
      <c r="A197" s="42" t="n">
        <v>46036</v>
      </c>
      <c r="B197" s="39" t="inlineStr">
        <is>
          <t>Creek Side</t>
        </is>
      </c>
      <c r="C197" s="39" t="inlineStr">
        <is>
          <t>Tom Bradley</t>
        </is>
      </c>
      <c r="D197" s="43" t="n">
        <v>3.55</v>
      </c>
      <c r="E197" s="40" t="n">
        <v>110</v>
      </c>
      <c r="F197" s="40" t="n"/>
      <c r="G197" s="44">
        <f>IFERROR(VLOOKUP(C197,Cleaners!$B$6:$I$35,8,FALSE),0)</f>
        <v/>
      </c>
      <c r="H197" s="39" t="inlineStr">
        <is>
          <t>Inspected</t>
        </is>
      </c>
      <c r="I197" s="45" t="n">
        <v>4.3</v>
      </c>
      <c r="J197" s="39" t="n"/>
      <c r="K197" s="44">
        <f>IF(C197="","",IFERROR(D197,0)*G197+IFERROR(E197,0)+IFERROR(F197,0))</f>
        <v/>
      </c>
    </row>
    <row r="198" ht="16" customHeight="1">
      <c r="A198" s="42" t="n">
        <v>46037</v>
      </c>
      <c r="B198" s="39" t="inlineStr">
        <is>
          <t>Smokies Ridge</t>
        </is>
      </c>
      <c r="C198" s="39" t="inlineStr">
        <is>
          <t>Tom Bradley</t>
        </is>
      </c>
      <c r="D198" s="43" t="n">
        <v>3.8</v>
      </c>
      <c r="E198" s="40" t="n">
        <v>110</v>
      </c>
      <c r="F198" s="40" t="n"/>
      <c r="G198" s="44">
        <f>IFERROR(VLOOKUP(C198,Cleaners!$B$6:$I$35,8,FALSE),0)</f>
        <v/>
      </c>
      <c r="H198" s="39" t="inlineStr">
        <is>
          <t>Inspected</t>
        </is>
      </c>
      <c r="I198" s="45" t="n">
        <v>4.4</v>
      </c>
      <c r="J198" s="39" t="n"/>
      <c r="K198" s="44">
        <f>IF(C198="","",IFERROR(D198,0)*G198+IFERROR(E198,0)+IFERROR(F198,0))</f>
        <v/>
      </c>
    </row>
    <row r="199" ht="16" customHeight="1">
      <c r="A199" s="42" t="n">
        <v>46038</v>
      </c>
      <c r="B199" s="39" t="inlineStr">
        <is>
          <t>Lakehouse A</t>
        </is>
      </c>
      <c r="C199" s="39" t="inlineStr">
        <is>
          <t>Tom Bradley</t>
        </is>
      </c>
      <c r="D199" s="43" t="n">
        <v>4.05</v>
      </c>
      <c r="E199" s="40" t="n">
        <v>110</v>
      </c>
      <c r="F199" s="40" t="n"/>
      <c r="G199" s="44">
        <f>IFERROR(VLOOKUP(C199,Cleaners!$B$6:$I$35,8,FALSE),0)</f>
        <v/>
      </c>
      <c r="H199" s="39" t="inlineStr">
        <is>
          <t>Inspected</t>
        </is>
      </c>
      <c r="I199" s="45" t="n">
        <v>4.5</v>
      </c>
      <c r="J199" s="39" t="n"/>
      <c r="K199" s="44">
        <f>IF(C199="","",IFERROR(D199,0)*G199+IFERROR(E199,0)+IFERROR(F199,0))</f>
        <v/>
      </c>
    </row>
    <row r="200" ht="16" customHeight="1">
      <c r="A200" s="42" t="n">
        <v>46039</v>
      </c>
      <c r="B200" s="39" t="inlineStr">
        <is>
          <t>Creek Side</t>
        </is>
      </c>
      <c r="C200" s="39" t="inlineStr">
        <is>
          <t>Tom Bradley</t>
        </is>
      </c>
      <c r="D200" s="43" t="n">
        <v>4.3</v>
      </c>
      <c r="E200" s="40" t="n">
        <v>110</v>
      </c>
      <c r="F200" s="40" t="n"/>
      <c r="G200" s="44">
        <f>IFERROR(VLOOKUP(C200,Cleaners!$B$6:$I$35,8,FALSE),0)</f>
        <v/>
      </c>
      <c r="H200" s="39" t="inlineStr">
        <is>
          <t>Inspected</t>
        </is>
      </c>
      <c r="I200" s="45" t="n">
        <v>4.6</v>
      </c>
      <c r="J200" s="39" t="n"/>
      <c r="K200" s="44">
        <f>IF(C200="","",IFERROR(D200,0)*G200+IFERROR(E200,0)+IFERROR(F200,0))</f>
        <v/>
      </c>
    </row>
    <row r="201" ht="16" customHeight="1">
      <c r="A201" s="42" t="n">
        <v>46040</v>
      </c>
      <c r="B201" s="39" t="inlineStr">
        <is>
          <t>Smokies Ridge</t>
        </is>
      </c>
      <c r="C201" s="39" t="inlineStr">
        <is>
          <t>Tom Bradley</t>
        </is>
      </c>
      <c r="D201" s="43" t="n">
        <v>3.3</v>
      </c>
      <c r="E201" s="40" t="n">
        <v>110</v>
      </c>
      <c r="F201" s="40" t="n"/>
      <c r="G201" s="44">
        <f>IFERROR(VLOOKUP(C201,Cleaners!$B$6:$I$35,8,FALSE),0)</f>
        <v/>
      </c>
      <c r="H201" s="39" t="inlineStr">
        <is>
          <t>Inspected</t>
        </is>
      </c>
      <c r="I201" s="45" t="n">
        <v>4</v>
      </c>
      <c r="J201" s="39" t="n"/>
      <c r="K201" s="44">
        <f>IF(C201="","",IFERROR(D201,0)*G201+IFERROR(E201,0)+IFERROR(F201,0))</f>
        <v/>
      </c>
    </row>
    <row r="202" ht="16" customHeight="1">
      <c r="A202" s="42" t="n">
        <v>46041</v>
      </c>
      <c r="B202" s="39" t="inlineStr">
        <is>
          <t>Lakehouse A</t>
        </is>
      </c>
      <c r="C202" s="39" t="inlineStr">
        <is>
          <t>Tom Bradley</t>
        </is>
      </c>
      <c r="D202" s="43" t="n">
        <v>3.55</v>
      </c>
      <c r="E202" s="40" t="n">
        <v>110</v>
      </c>
      <c r="F202" s="40" t="n"/>
      <c r="G202" s="44">
        <f>IFERROR(VLOOKUP(C202,Cleaners!$B$6:$I$35,8,FALSE),0)</f>
        <v/>
      </c>
      <c r="H202" s="39" t="inlineStr">
        <is>
          <t>Inspected</t>
        </is>
      </c>
      <c r="I202" s="45" t="n">
        <v>4.1</v>
      </c>
      <c r="J202" s="39" t="n"/>
      <c r="K202" s="44">
        <f>IF(C202="","",IFERROR(D202,0)*G202+IFERROR(E202,0)+IFERROR(F202,0))</f>
        <v/>
      </c>
    </row>
    <row r="203" ht="16" customHeight="1">
      <c r="A203" s="42" t="n">
        <v>46042</v>
      </c>
      <c r="B203" s="39" t="inlineStr">
        <is>
          <t>Creek Side</t>
        </is>
      </c>
      <c r="C203" s="39" t="inlineStr">
        <is>
          <t>Tom Bradley</t>
        </is>
      </c>
      <c r="D203" s="43" t="n">
        <v>3.8</v>
      </c>
      <c r="E203" s="40" t="n">
        <v>110</v>
      </c>
      <c r="F203" s="40" t="n"/>
      <c r="G203" s="44">
        <f>IFERROR(VLOOKUP(C203,Cleaners!$B$6:$I$35,8,FALSE),0)</f>
        <v/>
      </c>
      <c r="H203" s="39" t="inlineStr">
        <is>
          <t>Inspected</t>
        </is>
      </c>
      <c r="I203" s="45" t="n">
        <v>4.2</v>
      </c>
      <c r="J203" s="39" t="n"/>
      <c r="K203" s="44">
        <f>IF(C203="","",IFERROR(D203,0)*G203+IFERROR(E203,0)+IFERROR(F203,0))</f>
        <v/>
      </c>
    </row>
    <row r="204" ht="16" customHeight="1">
      <c r="A204" s="42" t="n">
        <v>46043</v>
      </c>
      <c r="B204" s="39" t="inlineStr">
        <is>
          <t>Smokies Ridge</t>
        </is>
      </c>
      <c r="C204" s="39" t="inlineStr">
        <is>
          <t>Tom Bradley</t>
        </is>
      </c>
      <c r="D204" s="43" t="n">
        <v>4.05</v>
      </c>
      <c r="E204" s="40" t="n">
        <v>110</v>
      </c>
      <c r="F204" s="40" t="n"/>
      <c r="G204" s="44">
        <f>IFERROR(VLOOKUP(C204,Cleaners!$B$6:$I$35,8,FALSE),0)</f>
        <v/>
      </c>
      <c r="H204" s="39" t="inlineStr">
        <is>
          <t>Done</t>
        </is>
      </c>
      <c r="I204" s="45" t="n">
        <v>4.3</v>
      </c>
      <c r="J204" s="39" t="n"/>
      <c r="K204" s="44">
        <f>IF(C204="","",IFERROR(D204,0)*G204+IFERROR(E204,0)+IFERROR(F204,0))</f>
        <v/>
      </c>
    </row>
    <row r="205" ht="16" customHeight="1">
      <c r="A205" s="42" t="n">
        <v>46044</v>
      </c>
      <c r="B205" s="39" t="inlineStr">
        <is>
          <t>Lakehouse A</t>
        </is>
      </c>
      <c r="C205" s="39" t="inlineStr">
        <is>
          <t>Tom Bradley</t>
        </is>
      </c>
      <c r="D205" s="43" t="n">
        <v>4.3</v>
      </c>
      <c r="E205" s="40" t="n">
        <v>110</v>
      </c>
      <c r="F205" s="40" t="n"/>
      <c r="G205" s="44">
        <f>IFERROR(VLOOKUP(C205,Cleaners!$B$6:$I$35,8,FALSE),0)</f>
        <v/>
      </c>
      <c r="H205" s="39" t="inlineStr">
        <is>
          <t>Done</t>
        </is>
      </c>
      <c r="I205" s="45" t="n">
        <v>4.4</v>
      </c>
      <c r="J205" s="39" t="n"/>
      <c r="K205" s="44">
        <f>IF(C205="","",IFERROR(D205,0)*G205+IFERROR(E205,0)+IFERROR(F205,0))</f>
        <v/>
      </c>
    </row>
    <row r="206" ht="16" customHeight="1">
      <c r="A206" s="42" t="n">
        <v>46045</v>
      </c>
      <c r="B206" s="39" t="inlineStr">
        <is>
          <t>Smokies Ridge</t>
        </is>
      </c>
      <c r="C206" s="39" t="inlineStr">
        <is>
          <t>Lisa Chen</t>
        </is>
      </c>
      <c r="D206" s="43" t="n">
        <v>3.5</v>
      </c>
      <c r="E206" s="40" t="n">
        <v>115</v>
      </c>
      <c r="F206" s="40" t="n"/>
      <c r="G206" s="44">
        <f>IFERROR(VLOOKUP(C206,Cleaners!$B$6:$I$35,8,FALSE),0)</f>
        <v/>
      </c>
      <c r="H206" s="39" t="inlineStr">
        <is>
          <t>Inspected</t>
        </is>
      </c>
      <c r="I206" s="45" t="n">
        <v>4.2</v>
      </c>
      <c r="J206" s="39" t="n"/>
      <c r="K206" s="44">
        <f>IF(C206="","",IFERROR(D206,0)*G206+IFERROR(E206,0)+IFERROR(F206,0))</f>
        <v/>
      </c>
    </row>
    <row r="207" ht="16" customHeight="1">
      <c r="A207" s="42" t="n">
        <v>46046</v>
      </c>
      <c r="B207" s="39" t="inlineStr">
        <is>
          <t>Lakehouse A</t>
        </is>
      </c>
      <c r="C207" s="39" t="inlineStr">
        <is>
          <t>Lisa Chen</t>
        </is>
      </c>
      <c r="D207" s="43" t="n">
        <v>3.75</v>
      </c>
      <c r="E207" s="40" t="n">
        <v>115</v>
      </c>
      <c r="F207" s="40" t="n"/>
      <c r="G207" s="44">
        <f>IFERROR(VLOOKUP(C207,Cleaners!$B$6:$I$35,8,FALSE),0)</f>
        <v/>
      </c>
      <c r="H207" s="39" t="inlineStr">
        <is>
          <t>Inspected</t>
        </is>
      </c>
      <c r="I207" s="45" t="n">
        <v>4.3</v>
      </c>
      <c r="J207" s="39" t="n"/>
      <c r="K207" s="44">
        <f>IF(C207="","",IFERROR(D207,0)*G207+IFERROR(E207,0)+IFERROR(F207,0))</f>
        <v/>
      </c>
    </row>
    <row r="208" ht="16" customHeight="1">
      <c r="A208" s="42" t="n">
        <v>46047</v>
      </c>
      <c r="B208" s="39" t="inlineStr">
        <is>
          <t>Creek Side</t>
        </is>
      </c>
      <c r="C208" s="39" t="inlineStr">
        <is>
          <t>Lisa Chen</t>
        </is>
      </c>
      <c r="D208" s="43" t="n">
        <v>4</v>
      </c>
      <c r="E208" s="40" t="n">
        <v>115</v>
      </c>
      <c r="F208" s="40" t="n"/>
      <c r="G208" s="44">
        <f>IFERROR(VLOOKUP(C208,Cleaners!$B$6:$I$35,8,FALSE),0)</f>
        <v/>
      </c>
      <c r="H208" s="39" t="inlineStr">
        <is>
          <t>Inspected</t>
        </is>
      </c>
      <c r="I208" s="45" t="n">
        <v>4.4</v>
      </c>
      <c r="J208" s="39" t="n"/>
      <c r="K208" s="44">
        <f>IF(C208="","",IFERROR(D208,0)*G208+IFERROR(E208,0)+IFERROR(F208,0))</f>
        <v/>
      </c>
    </row>
    <row r="209" ht="16" customHeight="1">
      <c r="A209" s="42" t="n">
        <v>46048</v>
      </c>
      <c r="B209" s="39" t="inlineStr">
        <is>
          <t>Smokies Ridge</t>
        </is>
      </c>
      <c r="C209" s="39" t="inlineStr">
        <is>
          <t>Lisa Chen</t>
        </is>
      </c>
      <c r="D209" s="43" t="n">
        <v>4.25</v>
      </c>
      <c r="E209" s="40" t="n">
        <v>115</v>
      </c>
      <c r="F209" s="40" t="n"/>
      <c r="G209" s="44">
        <f>IFERROR(VLOOKUP(C209,Cleaners!$B$6:$I$35,8,FALSE),0)</f>
        <v/>
      </c>
      <c r="H209" s="39" t="inlineStr">
        <is>
          <t>Inspected</t>
        </is>
      </c>
      <c r="I209" s="45" t="n">
        <v>4.5</v>
      </c>
      <c r="J209" s="39" t="n"/>
      <c r="K209" s="44">
        <f>IF(C209="","",IFERROR(D209,0)*G209+IFERROR(E209,0)+IFERROR(F209,0))</f>
        <v/>
      </c>
    </row>
    <row r="210" ht="16" customHeight="1">
      <c r="A210" s="42" t="n">
        <v>46049</v>
      </c>
      <c r="B210" s="39" t="inlineStr">
        <is>
          <t>Lakehouse A</t>
        </is>
      </c>
      <c r="C210" s="39" t="inlineStr">
        <is>
          <t>Lisa Chen</t>
        </is>
      </c>
      <c r="D210" s="43" t="n">
        <v>4.5</v>
      </c>
      <c r="E210" s="40" t="n">
        <v>115</v>
      </c>
      <c r="F210" s="40" t="n"/>
      <c r="G210" s="44">
        <f>IFERROR(VLOOKUP(C210,Cleaners!$B$6:$I$35,8,FALSE),0)</f>
        <v/>
      </c>
      <c r="H210" s="39" t="inlineStr">
        <is>
          <t>Inspected</t>
        </is>
      </c>
      <c r="I210" s="45" t="n">
        <v>4.6</v>
      </c>
      <c r="J210" s="39" t="n"/>
      <c r="K210" s="44">
        <f>IF(C210="","",IFERROR(D210,0)*G210+IFERROR(E210,0)+IFERROR(F210,0))</f>
        <v/>
      </c>
    </row>
    <row r="211" ht="16" customHeight="1">
      <c r="A211" s="42" t="n">
        <v>46050</v>
      </c>
      <c r="B211" s="39" t="inlineStr">
        <is>
          <t>Creek Side</t>
        </is>
      </c>
      <c r="C211" s="39" t="inlineStr">
        <is>
          <t>Lisa Chen</t>
        </is>
      </c>
      <c r="D211" s="43" t="n">
        <v>3.5</v>
      </c>
      <c r="E211" s="40" t="n">
        <v>115</v>
      </c>
      <c r="F211" s="40" t="n"/>
      <c r="G211" s="44">
        <f>IFERROR(VLOOKUP(C211,Cleaners!$B$6:$I$35,8,FALSE),0)</f>
        <v/>
      </c>
      <c r="H211" s="39" t="inlineStr">
        <is>
          <t>Inspected</t>
        </is>
      </c>
      <c r="I211" s="45" t="n">
        <v>4.7</v>
      </c>
      <c r="J211" s="39" t="n"/>
      <c r="K211" s="44">
        <f>IF(C211="","",IFERROR(D211,0)*G211+IFERROR(E211,0)+IFERROR(F211,0))</f>
        <v/>
      </c>
    </row>
    <row r="212" ht="16" customHeight="1">
      <c r="A212" s="42" t="n">
        <v>46051</v>
      </c>
      <c r="B212" s="39" t="inlineStr">
        <is>
          <t>Smokies Ridge</t>
        </is>
      </c>
      <c r="C212" s="39" t="inlineStr">
        <is>
          <t>Lisa Chen</t>
        </is>
      </c>
      <c r="D212" s="43" t="n">
        <v>3.75</v>
      </c>
      <c r="E212" s="40" t="n">
        <v>115</v>
      </c>
      <c r="F212" s="40" t="n"/>
      <c r="G212" s="44">
        <f>IFERROR(VLOOKUP(C212,Cleaners!$B$6:$I$35,8,FALSE),0)</f>
        <v/>
      </c>
      <c r="H212" s="39" t="inlineStr">
        <is>
          <t>Inspected</t>
        </is>
      </c>
      <c r="I212" s="45" t="n">
        <v>4.8</v>
      </c>
      <c r="J212" s="39" t="n"/>
      <c r="K212" s="44">
        <f>IF(C212="","",IFERROR(D212,0)*G212+IFERROR(E212,0)+IFERROR(F212,0))</f>
        <v/>
      </c>
    </row>
    <row r="213" ht="16" customHeight="1">
      <c r="A213" s="42" t="n">
        <v>46052</v>
      </c>
      <c r="B213" s="39" t="inlineStr">
        <is>
          <t>Lakehouse A</t>
        </is>
      </c>
      <c r="C213" s="39" t="inlineStr">
        <is>
          <t>Lisa Chen</t>
        </is>
      </c>
      <c r="D213" s="43" t="n">
        <v>4</v>
      </c>
      <c r="E213" s="40" t="n">
        <v>115</v>
      </c>
      <c r="F213" s="40" t="n"/>
      <c r="G213" s="44">
        <f>IFERROR(VLOOKUP(C213,Cleaners!$B$6:$I$35,8,FALSE),0)</f>
        <v/>
      </c>
      <c r="H213" s="39" t="inlineStr">
        <is>
          <t>Inspected</t>
        </is>
      </c>
      <c r="I213" s="45" t="n">
        <v>4.2</v>
      </c>
      <c r="J213" s="39" t="n"/>
      <c r="K213" s="44">
        <f>IF(C213="","",IFERROR(D213,0)*G213+IFERROR(E213,0)+IFERROR(F213,0))</f>
        <v/>
      </c>
    </row>
    <row r="214" ht="16" customHeight="1">
      <c r="A214" s="42" t="n">
        <v>46053</v>
      </c>
      <c r="B214" s="39" t="inlineStr">
        <is>
          <t>Creek Side</t>
        </is>
      </c>
      <c r="C214" s="39" t="inlineStr">
        <is>
          <t>Lisa Chen</t>
        </is>
      </c>
      <c r="D214" s="43" t="n">
        <v>4.25</v>
      </c>
      <c r="E214" s="40" t="n">
        <v>115</v>
      </c>
      <c r="F214" s="40" t="n"/>
      <c r="G214" s="44">
        <f>IFERROR(VLOOKUP(C214,Cleaners!$B$6:$I$35,8,FALSE),0)</f>
        <v/>
      </c>
      <c r="H214" s="39" t="inlineStr">
        <is>
          <t>Inspected</t>
        </is>
      </c>
      <c r="I214" s="45" t="n">
        <v>4.3</v>
      </c>
      <c r="J214" s="39" t="n"/>
      <c r="K214" s="44">
        <f>IF(C214="","",IFERROR(D214,0)*G214+IFERROR(E214,0)+IFERROR(F214,0))</f>
        <v/>
      </c>
    </row>
    <row r="215" ht="16" customHeight="1">
      <c r="A215" s="42" t="n">
        <v>46054</v>
      </c>
      <c r="B215" s="39" t="inlineStr">
        <is>
          <t>Smokies Ridge</t>
        </is>
      </c>
      <c r="C215" s="39" t="inlineStr">
        <is>
          <t>Lisa Chen</t>
        </is>
      </c>
      <c r="D215" s="43" t="n">
        <v>4.5</v>
      </c>
      <c r="E215" s="40" t="n">
        <v>115</v>
      </c>
      <c r="F215" s="40" t="n"/>
      <c r="G215" s="44">
        <f>IFERROR(VLOOKUP(C215,Cleaners!$B$6:$I$35,8,FALSE),0)</f>
        <v/>
      </c>
      <c r="H215" s="39" t="inlineStr">
        <is>
          <t>Inspected</t>
        </is>
      </c>
      <c r="I215" s="45" t="n">
        <v>4.4</v>
      </c>
      <c r="J215" s="39" t="n"/>
      <c r="K215" s="44">
        <f>IF(C215="","",IFERROR(D215,0)*G215+IFERROR(E215,0)+IFERROR(F215,0))</f>
        <v/>
      </c>
    </row>
    <row r="216" ht="16" customHeight="1">
      <c r="A216" s="42" t="n">
        <v>46055</v>
      </c>
      <c r="B216" s="39" t="inlineStr">
        <is>
          <t>Lakehouse A</t>
        </is>
      </c>
      <c r="C216" s="39" t="inlineStr">
        <is>
          <t>Lisa Chen</t>
        </is>
      </c>
      <c r="D216" s="43" t="n">
        <v>3.5</v>
      </c>
      <c r="E216" s="40" t="n">
        <v>115</v>
      </c>
      <c r="F216" s="40" t="n"/>
      <c r="G216" s="44">
        <f>IFERROR(VLOOKUP(C216,Cleaners!$B$6:$I$35,8,FALSE),0)</f>
        <v/>
      </c>
      <c r="H216" s="39" t="inlineStr">
        <is>
          <t>Inspected</t>
        </is>
      </c>
      <c r="I216" s="45" t="n">
        <v>4.5</v>
      </c>
      <c r="J216" s="39" t="n"/>
      <c r="K216" s="44">
        <f>IF(C216="","",IFERROR(D216,0)*G216+IFERROR(E216,0)+IFERROR(F216,0))</f>
        <v/>
      </c>
    </row>
    <row r="217" ht="16" customHeight="1">
      <c r="A217" s="42" t="n">
        <v>46056</v>
      </c>
      <c r="B217" s="39" t="inlineStr">
        <is>
          <t>Creek Side</t>
        </is>
      </c>
      <c r="C217" s="39" t="inlineStr">
        <is>
          <t>Lisa Chen</t>
        </is>
      </c>
      <c r="D217" s="43" t="n">
        <v>3.75</v>
      </c>
      <c r="E217" s="40" t="n">
        <v>115</v>
      </c>
      <c r="F217" s="40" t="n"/>
      <c r="G217" s="44">
        <f>IFERROR(VLOOKUP(C217,Cleaners!$B$6:$I$35,8,FALSE),0)</f>
        <v/>
      </c>
      <c r="H217" s="39" t="inlineStr">
        <is>
          <t>Inspected</t>
        </is>
      </c>
      <c r="I217" s="45" t="n">
        <v>4.6</v>
      </c>
      <c r="J217" s="39" t="n"/>
      <c r="K217" s="44">
        <f>IF(C217="","",IFERROR(D217,0)*G217+IFERROR(E217,0)+IFERROR(F217,0))</f>
        <v/>
      </c>
    </row>
    <row r="218" ht="16" customHeight="1">
      <c r="A218" s="42" t="n">
        <v>46057</v>
      </c>
      <c r="B218" s="39" t="inlineStr">
        <is>
          <t>Smokies Ridge</t>
        </is>
      </c>
      <c r="C218" s="39" t="inlineStr">
        <is>
          <t>Lisa Chen</t>
        </is>
      </c>
      <c r="D218" s="43" t="n">
        <v>4</v>
      </c>
      <c r="E218" s="40" t="n">
        <v>115</v>
      </c>
      <c r="F218" s="40" t="n"/>
      <c r="G218" s="44">
        <f>IFERROR(VLOOKUP(C218,Cleaners!$B$6:$I$35,8,FALSE),0)</f>
        <v/>
      </c>
      <c r="H218" s="39" t="inlineStr">
        <is>
          <t>Inspected</t>
        </is>
      </c>
      <c r="I218" s="45" t="n">
        <v>4.7</v>
      </c>
      <c r="J218" s="39" t="n"/>
      <c r="K218" s="44">
        <f>IF(C218="","",IFERROR(D218,0)*G218+IFERROR(E218,0)+IFERROR(F218,0))</f>
        <v/>
      </c>
    </row>
    <row r="219" ht="16" customHeight="1">
      <c r="A219" s="42" t="n">
        <v>46058</v>
      </c>
      <c r="B219" s="39" t="inlineStr">
        <is>
          <t>Lakehouse A</t>
        </is>
      </c>
      <c r="C219" s="39" t="inlineStr">
        <is>
          <t>Lisa Chen</t>
        </is>
      </c>
      <c r="D219" s="43" t="n">
        <v>4.25</v>
      </c>
      <c r="E219" s="40" t="n">
        <v>115</v>
      </c>
      <c r="F219" s="40" t="n"/>
      <c r="G219" s="44">
        <f>IFERROR(VLOOKUP(C219,Cleaners!$B$6:$I$35,8,FALSE),0)</f>
        <v/>
      </c>
      <c r="H219" s="39" t="inlineStr">
        <is>
          <t>Inspected</t>
        </is>
      </c>
      <c r="I219" s="45" t="n">
        <v>4.8</v>
      </c>
      <c r="J219" s="39" t="n"/>
      <c r="K219" s="44">
        <f>IF(C219="","",IFERROR(D219,0)*G219+IFERROR(E219,0)+IFERROR(F219,0))</f>
        <v/>
      </c>
    </row>
    <row r="220" ht="16" customHeight="1">
      <c r="A220" s="42" t="n">
        <v>46059</v>
      </c>
      <c r="B220" s="39" t="inlineStr">
        <is>
          <t>Creek Side</t>
        </is>
      </c>
      <c r="C220" s="39" t="inlineStr">
        <is>
          <t>Lisa Chen</t>
        </is>
      </c>
      <c r="D220" s="43" t="n">
        <v>4.5</v>
      </c>
      <c r="E220" s="40" t="n">
        <v>115</v>
      </c>
      <c r="F220" s="40" t="n"/>
      <c r="G220" s="44">
        <f>IFERROR(VLOOKUP(C220,Cleaners!$B$6:$I$35,8,FALSE),0)</f>
        <v/>
      </c>
      <c r="H220" s="39" t="inlineStr">
        <is>
          <t>Inspected</t>
        </is>
      </c>
      <c r="I220" s="45" t="n">
        <v>4.2</v>
      </c>
      <c r="J220" s="39" t="n"/>
      <c r="K220" s="44">
        <f>IF(C220="","",IFERROR(D220,0)*G220+IFERROR(E220,0)+IFERROR(F220,0))</f>
        <v/>
      </c>
    </row>
    <row r="221" ht="16" customHeight="1">
      <c r="A221" s="42" t="n">
        <v>46060</v>
      </c>
      <c r="B221" s="39" t="inlineStr">
        <is>
          <t>Smokies Ridge</t>
        </is>
      </c>
      <c r="C221" s="39" t="inlineStr">
        <is>
          <t>Lisa Chen</t>
        </is>
      </c>
      <c r="D221" s="43" t="n">
        <v>3.5</v>
      </c>
      <c r="E221" s="40" t="n">
        <v>115</v>
      </c>
      <c r="F221" s="40" t="n"/>
      <c r="G221" s="44">
        <f>IFERROR(VLOOKUP(C221,Cleaners!$B$6:$I$35,8,FALSE),0)</f>
        <v/>
      </c>
      <c r="H221" s="39" t="inlineStr">
        <is>
          <t>Inspected</t>
        </is>
      </c>
      <c r="I221" s="45" t="n">
        <v>4.3</v>
      </c>
      <c r="J221" s="39" t="n"/>
      <c r="K221" s="44">
        <f>IF(C221="","",IFERROR(D221,0)*G221+IFERROR(E221,0)+IFERROR(F221,0))</f>
        <v/>
      </c>
    </row>
    <row r="222" ht="16" customHeight="1">
      <c r="A222" s="42" t="n">
        <v>46061</v>
      </c>
      <c r="B222" s="39" t="inlineStr">
        <is>
          <t>Lakehouse A</t>
        </is>
      </c>
      <c r="C222" s="39" t="inlineStr">
        <is>
          <t>Lisa Chen</t>
        </is>
      </c>
      <c r="D222" s="43" t="n">
        <v>3.75</v>
      </c>
      <c r="E222" s="40" t="n">
        <v>115</v>
      </c>
      <c r="F222" s="40" t="n"/>
      <c r="G222" s="44">
        <f>IFERROR(VLOOKUP(C222,Cleaners!$B$6:$I$35,8,FALSE),0)</f>
        <v/>
      </c>
      <c r="H222" s="39" t="inlineStr">
        <is>
          <t>Inspected</t>
        </is>
      </c>
      <c r="I222" s="45" t="n">
        <v>4.4</v>
      </c>
      <c r="J222" s="39" t="n"/>
      <c r="K222" s="44">
        <f>IF(C222="","",IFERROR(D222,0)*G222+IFERROR(E222,0)+IFERROR(F222,0))</f>
        <v/>
      </c>
    </row>
    <row r="223" ht="16" customHeight="1">
      <c r="A223" s="42" t="n">
        <v>46062</v>
      </c>
      <c r="B223" s="39" t="inlineStr">
        <is>
          <t>Creek Side</t>
        </is>
      </c>
      <c r="C223" s="39" t="inlineStr">
        <is>
          <t>Lisa Chen</t>
        </is>
      </c>
      <c r="D223" s="43" t="n">
        <v>4</v>
      </c>
      <c r="E223" s="40" t="n">
        <v>115</v>
      </c>
      <c r="F223" s="40" t="n"/>
      <c r="G223" s="44">
        <f>IFERROR(VLOOKUP(C223,Cleaners!$B$6:$I$35,8,FALSE),0)</f>
        <v/>
      </c>
      <c r="H223" s="39" t="inlineStr">
        <is>
          <t>Inspected</t>
        </is>
      </c>
      <c r="I223" s="45" t="n">
        <v>4.5</v>
      </c>
      <c r="J223" s="39" t="n"/>
      <c r="K223" s="44">
        <f>IF(C223="","",IFERROR(D223,0)*G223+IFERROR(E223,0)+IFERROR(F223,0))</f>
        <v/>
      </c>
    </row>
    <row r="224" ht="16" customHeight="1">
      <c r="A224" s="42" t="n">
        <v>46063</v>
      </c>
      <c r="B224" s="39" t="inlineStr">
        <is>
          <t>Smokies Ridge</t>
        </is>
      </c>
      <c r="C224" s="39" t="inlineStr">
        <is>
          <t>Lisa Chen</t>
        </is>
      </c>
      <c r="D224" s="43" t="n">
        <v>4.25</v>
      </c>
      <c r="E224" s="40" t="n">
        <v>115</v>
      </c>
      <c r="F224" s="40" t="n"/>
      <c r="G224" s="44">
        <f>IFERROR(VLOOKUP(C224,Cleaners!$B$6:$I$35,8,FALSE),0)</f>
        <v/>
      </c>
      <c r="H224" s="39" t="inlineStr">
        <is>
          <t>Inspected</t>
        </is>
      </c>
      <c r="I224" s="45" t="n">
        <v>4.6</v>
      </c>
      <c r="J224" s="39" t="n"/>
      <c r="K224" s="44">
        <f>IF(C224="","",IFERROR(D224,0)*G224+IFERROR(E224,0)+IFERROR(F224,0))</f>
        <v/>
      </c>
    </row>
    <row r="225" ht="16" customHeight="1">
      <c r="A225" s="42" t="n">
        <v>46064</v>
      </c>
      <c r="B225" s="39" t="inlineStr">
        <is>
          <t>Lakehouse A</t>
        </is>
      </c>
      <c r="C225" s="39" t="inlineStr">
        <is>
          <t>Lisa Chen</t>
        </is>
      </c>
      <c r="D225" s="43" t="n">
        <v>4.5</v>
      </c>
      <c r="E225" s="40" t="n">
        <v>115</v>
      </c>
      <c r="F225" s="40" t="n"/>
      <c r="G225" s="44">
        <f>IFERROR(VLOOKUP(C225,Cleaners!$B$6:$I$35,8,FALSE),0)</f>
        <v/>
      </c>
      <c r="H225" s="39" t="inlineStr">
        <is>
          <t>Inspected</t>
        </is>
      </c>
      <c r="I225" s="45" t="n">
        <v>4.7</v>
      </c>
      <c r="J225" s="39" t="n"/>
      <c r="K225" s="44">
        <f>IF(C225="","",IFERROR(D225,0)*G225+IFERROR(E225,0)+IFERROR(F225,0))</f>
        <v/>
      </c>
    </row>
    <row r="226" ht="16" customHeight="1">
      <c r="A226" s="42" t="n">
        <v>46065</v>
      </c>
      <c r="B226" s="39" t="inlineStr">
        <is>
          <t>Creek Side</t>
        </is>
      </c>
      <c r="C226" s="39" t="inlineStr">
        <is>
          <t>Lisa Chen</t>
        </is>
      </c>
      <c r="D226" s="43" t="n">
        <v>3.5</v>
      </c>
      <c r="E226" s="40" t="n">
        <v>115</v>
      </c>
      <c r="F226" s="40" t="n"/>
      <c r="G226" s="44">
        <f>IFERROR(VLOOKUP(C226,Cleaners!$B$6:$I$35,8,FALSE),0)</f>
        <v/>
      </c>
      <c r="H226" s="39" t="inlineStr">
        <is>
          <t>Inspected</t>
        </is>
      </c>
      <c r="I226" s="45" t="n">
        <v>4.8</v>
      </c>
      <c r="J226" s="39" t="n"/>
      <c r="K226" s="44">
        <f>IF(C226="","",IFERROR(D226,0)*G226+IFERROR(E226,0)+IFERROR(F226,0))</f>
        <v/>
      </c>
    </row>
    <row r="227" ht="16" customHeight="1">
      <c r="A227" s="42" t="n">
        <v>46066</v>
      </c>
      <c r="B227" s="39" t="inlineStr">
        <is>
          <t>Smokies Ridge</t>
        </is>
      </c>
      <c r="C227" s="39" t="inlineStr">
        <is>
          <t>Lisa Chen</t>
        </is>
      </c>
      <c r="D227" s="43" t="n">
        <v>3.75</v>
      </c>
      <c r="E227" s="40" t="n">
        <v>115</v>
      </c>
      <c r="F227" s="40" t="n"/>
      <c r="G227" s="44">
        <f>IFERROR(VLOOKUP(C227,Cleaners!$B$6:$I$35,8,FALSE),0)</f>
        <v/>
      </c>
      <c r="H227" s="39" t="inlineStr">
        <is>
          <t>Inspected</t>
        </is>
      </c>
      <c r="I227" s="45" t="n">
        <v>4.2</v>
      </c>
      <c r="J227" s="39" t="n"/>
      <c r="K227" s="44">
        <f>IF(C227="","",IFERROR(D227,0)*G227+IFERROR(E227,0)+IFERROR(F227,0))</f>
        <v/>
      </c>
    </row>
    <row r="228" ht="16" customHeight="1">
      <c r="A228" s="42" t="n">
        <v>46067</v>
      </c>
      <c r="B228" s="39" t="inlineStr">
        <is>
          <t>Lakehouse A</t>
        </is>
      </c>
      <c r="C228" s="39" t="inlineStr">
        <is>
          <t>Lisa Chen</t>
        </is>
      </c>
      <c r="D228" s="43" t="n">
        <v>4</v>
      </c>
      <c r="E228" s="40" t="n">
        <v>115</v>
      </c>
      <c r="F228" s="40" t="n"/>
      <c r="G228" s="44">
        <f>IFERROR(VLOOKUP(C228,Cleaners!$B$6:$I$35,8,FALSE),0)</f>
        <v/>
      </c>
      <c r="H228" s="39" t="inlineStr">
        <is>
          <t>Inspected</t>
        </is>
      </c>
      <c r="I228" s="45" t="n">
        <v>4.3</v>
      </c>
      <c r="J228" s="39" t="n"/>
      <c r="K228" s="44">
        <f>IF(C228="","",IFERROR(D228,0)*G228+IFERROR(E228,0)+IFERROR(F228,0))</f>
        <v/>
      </c>
    </row>
    <row r="229" ht="16" customHeight="1">
      <c r="A229" s="42" t="n">
        <v>46068</v>
      </c>
      <c r="B229" s="39" t="inlineStr">
        <is>
          <t>Creek Side</t>
        </is>
      </c>
      <c r="C229" s="39" t="inlineStr">
        <is>
          <t>Lisa Chen</t>
        </is>
      </c>
      <c r="D229" s="43" t="n">
        <v>4.25</v>
      </c>
      <c r="E229" s="40" t="n">
        <v>115</v>
      </c>
      <c r="F229" s="40" t="n"/>
      <c r="G229" s="44">
        <f>IFERROR(VLOOKUP(C229,Cleaners!$B$6:$I$35,8,FALSE),0)</f>
        <v/>
      </c>
      <c r="H229" s="39" t="inlineStr">
        <is>
          <t>Inspected</t>
        </is>
      </c>
      <c r="I229" s="45" t="n">
        <v>4.4</v>
      </c>
      <c r="J229" s="39" t="n"/>
      <c r="K229" s="44">
        <f>IF(C229="","",IFERROR(D229,0)*G229+IFERROR(E229,0)+IFERROR(F229,0))</f>
        <v/>
      </c>
    </row>
    <row r="230" ht="16" customHeight="1">
      <c r="A230" s="42" t="n">
        <v>46069</v>
      </c>
      <c r="B230" s="39" t="inlineStr">
        <is>
          <t>Smokies Ridge</t>
        </is>
      </c>
      <c r="C230" s="39" t="inlineStr">
        <is>
          <t>Lisa Chen</t>
        </is>
      </c>
      <c r="D230" s="43" t="n">
        <v>4.5</v>
      </c>
      <c r="E230" s="40" t="n">
        <v>115</v>
      </c>
      <c r="F230" s="40" t="n"/>
      <c r="G230" s="44">
        <f>IFERROR(VLOOKUP(C230,Cleaners!$B$6:$I$35,8,FALSE),0)</f>
        <v/>
      </c>
      <c r="H230" s="39" t="inlineStr">
        <is>
          <t>Inspected</t>
        </is>
      </c>
      <c r="I230" s="45" t="n">
        <v>4.5</v>
      </c>
      <c r="J230" s="39" t="n"/>
      <c r="K230" s="44">
        <f>IF(C230="","",IFERROR(D230,0)*G230+IFERROR(E230,0)+IFERROR(F230,0))</f>
        <v/>
      </c>
    </row>
    <row r="231" ht="16" customHeight="1">
      <c r="A231" s="42" t="n">
        <v>46070</v>
      </c>
      <c r="B231" s="39" t="inlineStr">
        <is>
          <t>Lakehouse A</t>
        </is>
      </c>
      <c r="C231" s="39" t="inlineStr">
        <is>
          <t>Lisa Chen</t>
        </is>
      </c>
      <c r="D231" s="43" t="n">
        <v>3.5</v>
      </c>
      <c r="E231" s="40" t="n">
        <v>115</v>
      </c>
      <c r="F231" s="40" t="n"/>
      <c r="G231" s="44">
        <f>IFERROR(VLOOKUP(C231,Cleaners!$B$6:$I$35,8,FALSE),0)</f>
        <v/>
      </c>
      <c r="H231" s="39" t="inlineStr">
        <is>
          <t>Inspected</t>
        </is>
      </c>
      <c r="I231" s="45" t="n">
        <v>4.6</v>
      </c>
      <c r="J231" s="39" t="n"/>
      <c r="K231" s="44">
        <f>IF(C231="","",IFERROR(D231,0)*G231+IFERROR(E231,0)+IFERROR(F231,0))</f>
        <v/>
      </c>
    </row>
    <row r="232" ht="16" customHeight="1">
      <c r="A232" s="42" t="n">
        <v>46071</v>
      </c>
      <c r="B232" s="39" t="inlineStr">
        <is>
          <t>Creek Side</t>
        </is>
      </c>
      <c r="C232" s="39" t="inlineStr">
        <is>
          <t>Lisa Chen</t>
        </is>
      </c>
      <c r="D232" s="43" t="n">
        <v>3.75</v>
      </c>
      <c r="E232" s="40" t="n">
        <v>115</v>
      </c>
      <c r="F232" s="40" t="n"/>
      <c r="G232" s="44">
        <f>IFERROR(VLOOKUP(C232,Cleaners!$B$6:$I$35,8,FALSE),0)</f>
        <v/>
      </c>
      <c r="H232" s="39" t="inlineStr">
        <is>
          <t>Inspected</t>
        </is>
      </c>
      <c r="I232" s="45" t="n">
        <v>4.7</v>
      </c>
      <c r="J232" s="39" t="n"/>
      <c r="K232" s="44">
        <f>IF(C232="","",IFERROR(D232,0)*G232+IFERROR(E232,0)+IFERROR(F232,0))</f>
        <v/>
      </c>
    </row>
    <row r="233" ht="16" customHeight="1">
      <c r="A233" s="42" t="n">
        <v>46072</v>
      </c>
      <c r="B233" s="39" t="inlineStr">
        <is>
          <t>Smokies Ridge</t>
        </is>
      </c>
      <c r="C233" s="39" t="inlineStr">
        <is>
          <t>Lisa Chen</t>
        </is>
      </c>
      <c r="D233" s="43" t="n">
        <v>4</v>
      </c>
      <c r="E233" s="40" t="n">
        <v>115</v>
      </c>
      <c r="F233" s="40" t="n"/>
      <c r="G233" s="44">
        <f>IFERROR(VLOOKUP(C233,Cleaners!$B$6:$I$35,8,FALSE),0)</f>
        <v/>
      </c>
      <c r="H233" s="39" t="inlineStr">
        <is>
          <t>Inspected</t>
        </is>
      </c>
      <c r="I233" s="45" t="n">
        <v>4.8</v>
      </c>
      <c r="J233" s="39" t="n"/>
      <c r="K233" s="44">
        <f>IF(C233="","",IFERROR(D233,0)*G233+IFERROR(E233,0)+IFERROR(F233,0))</f>
        <v/>
      </c>
    </row>
    <row r="234" ht="16" customHeight="1">
      <c r="A234" s="42" t="n">
        <v>46073</v>
      </c>
      <c r="B234" s="39" t="inlineStr">
        <is>
          <t>Lakehouse A</t>
        </is>
      </c>
      <c r="C234" s="39" t="inlineStr">
        <is>
          <t>Lisa Chen</t>
        </is>
      </c>
      <c r="D234" s="43" t="n">
        <v>4.25</v>
      </c>
      <c r="E234" s="40" t="n">
        <v>115</v>
      </c>
      <c r="F234" s="40" t="n"/>
      <c r="G234" s="44">
        <f>IFERROR(VLOOKUP(C234,Cleaners!$B$6:$I$35,8,FALSE),0)</f>
        <v/>
      </c>
      <c r="H234" s="39" t="inlineStr">
        <is>
          <t>Inspected</t>
        </is>
      </c>
      <c r="I234" s="45" t="n">
        <v>4.2</v>
      </c>
      <c r="J234" s="39" t="n"/>
      <c r="K234" s="44">
        <f>IF(C234="","",IFERROR(D234,0)*G234+IFERROR(E234,0)+IFERROR(F234,0))</f>
        <v/>
      </c>
    </row>
    <row r="235" ht="16" customHeight="1">
      <c r="A235" s="42" t="n">
        <v>46074</v>
      </c>
      <c r="B235" s="39" t="inlineStr">
        <is>
          <t>Creek Side</t>
        </is>
      </c>
      <c r="C235" s="39" t="inlineStr">
        <is>
          <t>Lisa Chen</t>
        </is>
      </c>
      <c r="D235" s="43" t="n">
        <v>4.5</v>
      </c>
      <c r="E235" s="40" t="n">
        <v>115</v>
      </c>
      <c r="F235" s="40" t="n"/>
      <c r="G235" s="44">
        <f>IFERROR(VLOOKUP(C235,Cleaners!$B$6:$I$35,8,FALSE),0)</f>
        <v/>
      </c>
      <c r="H235" s="39" t="inlineStr">
        <is>
          <t>Inspected</t>
        </is>
      </c>
      <c r="I235" s="45" t="n">
        <v>4.3</v>
      </c>
      <c r="J235" s="39" t="n"/>
      <c r="K235" s="44">
        <f>IF(C235="","",IFERROR(D235,0)*G235+IFERROR(E235,0)+IFERROR(F235,0))</f>
        <v/>
      </c>
    </row>
    <row r="236" ht="16" customHeight="1">
      <c r="A236" s="42" t="n">
        <v>46075</v>
      </c>
      <c r="B236" s="39" t="inlineStr">
        <is>
          <t>Smokies Ridge</t>
        </is>
      </c>
      <c r="C236" s="39" t="inlineStr">
        <is>
          <t>Lisa Chen</t>
        </is>
      </c>
      <c r="D236" s="43" t="n">
        <v>3.5</v>
      </c>
      <c r="E236" s="40" t="n">
        <v>115</v>
      </c>
      <c r="F236" s="40" t="n"/>
      <c r="G236" s="44">
        <f>IFERROR(VLOOKUP(C236,Cleaners!$B$6:$I$35,8,FALSE),0)</f>
        <v/>
      </c>
      <c r="H236" s="39" t="inlineStr">
        <is>
          <t>Inspected</t>
        </is>
      </c>
      <c r="I236" s="45" t="n">
        <v>4.4</v>
      </c>
      <c r="J236" s="39" t="n"/>
      <c r="K236" s="44">
        <f>IF(C236="","",IFERROR(D236,0)*G236+IFERROR(E236,0)+IFERROR(F236,0))</f>
        <v/>
      </c>
    </row>
    <row r="237" ht="16" customHeight="1">
      <c r="A237" s="42" t="n">
        <v>46076</v>
      </c>
      <c r="B237" s="39" t="inlineStr">
        <is>
          <t>Lakehouse A</t>
        </is>
      </c>
      <c r="C237" s="39" t="inlineStr">
        <is>
          <t>Lisa Chen</t>
        </is>
      </c>
      <c r="D237" s="43" t="n">
        <v>3.75</v>
      </c>
      <c r="E237" s="40" t="n">
        <v>115</v>
      </c>
      <c r="F237" s="40" t="n"/>
      <c r="G237" s="44">
        <f>IFERROR(VLOOKUP(C237,Cleaners!$B$6:$I$35,8,FALSE),0)</f>
        <v/>
      </c>
      <c r="H237" s="39" t="inlineStr">
        <is>
          <t>Inspected</t>
        </is>
      </c>
      <c r="I237" s="45" t="n">
        <v>4.5</v>
      </c>
      <c r="J237" s="39" t="n"/>
      <c r="K237" s="44">
        <f>IF(C237="","",IFERROR(D237,0)*G237+IFERROR(E237,0)+IFERROR(F237,0))</f>
        <v/>
      </c>
    </row>
    <row r="238" ht="16" customHeight="1">
      <c r="A238" s="42" t="n">
        <v>46077</v>
      </c>
      <c r="B238" s="39" t="inlineStr">
        <is>
          <t>Creek Side</t>
        </is>
      </c>
      <c r="C238" s="39" t="inlineStr">
        <is>
          <t>Lisa Chen</t>
        </is>
      </c>
      <c r="D238" s="43" t="n">
        <v>4</v>
      </c>
      <c r="E238" s="40" t="n">
        <v>115</v>
      </c>
      <c r="F238" s="40" t="n"/>
      <c r="G238" s="44">
        <f>IFERROR(VLOOKUP(C238,Cleaners!$B$6:$I$35,8,FALSE),0)</f>
        <v/>
      </c>
      <c r="H238" s="39" t="inlineStr">
        <is>
          <t>Inspected</t>
        </is>
      </c>
      <c r="I238" s="45" t="n">
        <v>4.6</v>
      </c>
      <c r="J238" s="39" t="n"/>
      <c r="K238" s="44">
        <f>IF(C238="","",IFERROR(D238,0)*G238+IFERROR(E238,0)+IFERROR(F238,0))</f>
        <v/>
      </c>
    </row>
    <row r="239" ht="16" customHeight="1">
      <c r="A239" s="42" t="n">
        <v>46078</v>
      </c>
      <c r="B239" s="39" t="inlineStr">
        <is>
          <t>Smokies Ridge</t>
        </is>
      </c>
      <c r="C239" s="39" t="inlineStr">
        <is>
          <t>Lisa Chen</t>
        </is>
      </c>
      <c r="D239" s="43" t="n">
        <v>4.25</v>
      </c>
      <c r="E239" s="40" t="n">
        <v>115</v>
      </c>
      <c r="F239" s="40" t="n"/>
      <c r="G239" s="44">
        <f>IFERROR(VLOOKUP(C239,Cleaners!$B$6:$I$35,8,FALSE),0)</f>
        <v/>
      </c>
      <c r="H239" s="39" t="inlineStr">
        <is>
          <t>Done</t>
        </is>
      </c>
      <c r="I239" s="45" t="n">
        <v>4.7</v>
      </c>
      <c r="J239" s="39" t="n"/>
      <c r="K239" s="44">
        <f>IF(C239="","",IFERROR(D239,0)*G239+IFERROR(E239,0)+IFERROR(F239,0))</f>
        <v/>
      </c>
    </row>
    <row r="240" ht="16" customHeight="1">
      <c r="A240" s="42" t="n">
        <v>46079</v>
      </c>
      <c r="B240" s="39" t="inlineStr">
        <is>
          <t>Lakehouse A</t>
        </is>
      </c>
      <c r="C240" s="39" t="inlineStr">
        <is>
          <t>Lisa Chen</t>
        </is>
      </c>
      <c r="D240" s="43" t="n">
        <v>4.5</v>
      </c>
      <c r="E240" s="40" t="n">
        <v>115</v>
      </c>
      <c r="F240" s="40" t="n"/>
      <c r="G240" s="44">
        <f>IFERROR(VLOOKUP(C240,Cleaners!$B$6:$I$35,8,FALSE),0)</f>
        <v/>
      </c>
      <c r="H240" s="39" t="inlineStr">
        <is>
          <t>Done</t>
        </is>
      </c>
      <c r="I240" s="45" t="n">
        <v>4.8</v>
      </c>
      <c r="J240" s="39" t="n"/>
      <c r="K240" s="44">
        <f>IF(C240="","",IFERROR(D240,0)*G240+IFERROR(E240,0)+IFERROR(F240,0))</f>
        <v/>
      </c>
    </row>
    <row r="241" ht="16" customHeight="1">
      <c r="A241" s="42" t="n">
        <v>46080</v>
      </c>
      <c r="B241" s="39" t="inlineStr">
        <is>
          <t>Lakehouse A</t>
        </is>
      </c>
      <c r="C241" s="39" t="inlineStr">
        <is>
          <t>Backup Helper</t>
        </is>
      </c>
      <c r="D241" s="43" t="n">
        <v>4.5</v>
      </c>
      <c r="E241" s="40" t="n"/>
      <c r="F241" s="40" t="n"/>
      <c r="G241" s="44">
        <f>IFERROR(VLOOKUP(C241,Cleaners!$B$6:$I$35,8,FALSE),0)</f>
        <v/>
      </c>
      <c r="H241" s="39" t="inlineStr">
        <is>
          <t>Inspected</t>
        </is>
      </c>
      <c r="I241" s="45" t="n">
        <v>3.7</v>
      </c>
      <c r="J241" s="39" t="n"/>
      <c r="K241" s="44">
        <f>IF(C241="","",IFERROR(D241,0)*G241+IFERROR(E241,0)+IFERROR(F241,0))</f>
        <v/>
      </c>
    </row>
    <row r="242" ht="16" customHeight="1">
      <c r="A242" s="42" t="n">
        <v>46081</v>
      </c>
      <c r="B242" s="39" t="inlineStr">
        <is>
          <t>Creek Side</t>
        </is>
      </c>
      <c r="C242" s="39" t="inlineStr">
        <is>
          <t>Backup Helper</t>
        </is>
      </c>
      <c r="D242" s="43" t="n">
        <v>4.75</v>
      </c>
      <c r="E242" s="40" t="n"/>
      <c r="F242" s="40" t="n"/>
      <c r="G242" s="44">
        <f>IFERROR(VLOOKUP(C242,Cleaners!$B$6:$I$35,8,FALSE),0)</f>
        <v/>
      </c>
      <c r="H242" s="39" t="inlineStr">
        <is>
          <t>Inspected</t>
        </is>
      </c>
      <c r="I242" s="45" t="n">
        <v>3.8</v>
      </c>
      <c r="J242" s="39" t="n"/>
      <c r="K242" s="44">
        <f>IF(C242="","",IFERROR(D242,0)*G242+IFERROR(E242,0)+IFERROR(F242,0))</f>
        <v/>
      </c>
    </row>
    <row r="243" ht="16" customHeight="1">
      <c r="A243" s="42" t="n">
        <v>46082</v>
      </c>
      <c r="B243" s="39" t="inlineStr">
        <is>
          <t>Smokies Ridge</t>
        </is>
      </c>
      <c r="C243" s="39" t="inlineStr">
        <is>
          <t>Backup Helper</t>
        </is>
      </c>
      <c r="D243" s="43" t="n">
        <v>5</v>
      </c>
      <c r="E243" s="40" t="n"/>
      <c r="F243" s="40" t="n"/>
      <c r="G243" s="44">
        <f>IFERROR(VLOOKUP(C243,Cleaners!$B$6:$I$35,8,FALSE),0)</f>
        <v/>
      </c>
      <c r="H243" s="39" t="inlineStr">
        <is>
          <t>Inspected</t>
        </is>
      </c>
      <c r="I243" s="45" t="n">
        <v>3.9</v>
      </c>
      <c r="J243" s="39" t="n"/>
      <c r="K243" s="44">
        <f>IF(C243="","",IFERROR(D243,0)*G243+IFERROR(E243,0)+IFERROR(F243,0))</f>
        <v/>
      </c>
    </row>
    <row r="244" ht="16" customHeight="1">
      <c r="A244" s="42" t="n">
        <v>46083</v>
      </c>
      <c r="B244" s="39" t="inlineStr">
        <is>
          <t>Lakehouse A</t>
        </is>
      </c>
      <c r="C244" s="39" t="inlineStr">
        <is>
          <t>Backup Helper</t>
        </is>
      </c>
      <c r="D244" s="43" t="n">
        <v>5.25</v>
      </c>
      <c r="E244" s="40" t="n"/>
      <c r="F244" s="40" t="n"/>
      <c r="G244" s="44">
        <f>IFERROR(VLOOKUP(C244,Cleaners!$B$6:$I$35,8,FALSE),0)</f>
        <v/>
      </c>
      <c r="H244" s="39" t="inlineStr">
        <is>
          <t>Done</t>
        </is>
      </c>
      <c r="I244" s="45" t="n">
        <v>4</v>
      </c>
      <c r="J244" s="39" t="n"/>
      <c r="K244" s="44">
        <f>IF(C244="","",IFERROR(D244,0)*G244+IFERROR(E244,0)+IFERROR(F244,0))</f>
        <v/>
      </c>
    </row>
    <row r="245" ht="16" customHeight="1">
      <c r="A245" s="42" t="n">
        <v>46084</v>
      </c>
      <c r="B245" s="39" t="inlineStr">
        <is>
          <t>Creek Side</t>
        </is>
      </c>
      <c r="C245" s="39" t="inlineStr">
        <is>
          <t>Backup Helper</t>
        </is>
      </c>
      <c r="D245" s="43" t="n">
        <v>5.5</v>
      </c>
      <c r="E245" s="40" t="n"/>
      <c r="F245" s="40" t="n"/>
      <c r="G245" s="44">
        <f>IFERROR(VLOOKUP(C245,Cleaners!$B$6:$I$35,8,FALSE),0)</f>
        <v/>
      </c>
      <c r="H245" s="39" t="inlineStr">
        <is>
          <t>Done</t>
        </is>
      </c>
      <c r="I245" s="45" t="n">
        <v>4.1</v>
      </c>
      <c r="J245" s="39" t="n"/>
      <c r="K245" s="44">
        <f>IF(C245="","",IFERROR(D245,0)*G245+IFERROR(E245,0)+IFERROR(F245,0))</f>
        <v/>
      </c>
    </row>
    <row r="246">
      <c r="A246" s="42" t="n"/>
      <c r="B246" s="39" t="n"/>
      <c r="C246" s="39" t="n"/>
      <c r="D246" s="43" t="n"/>
      <c r="E246" s="40" t="n"/>
      <c r="F246" s="40" t="n"/>
      <c r="G246" s="44">
        <f>IFERROR(VLOOKUP(C246,Cleaners!$B$6:$I$35,8,FALSE),0)</f>
        <v/>
      </c>
      <c r="H246" s="39" t="n"/>
      <c r="I246" s="46" t="n"/>
      <c r="J246" s="39" t="n"/>
      <c r="K246" s="44">
        <f>IF(C246="","",IFERROR(D246,0)*G246+IFERROR(E246,0)+IFERROR(F246,0))</f>
        <v/>
      </c>
    </row>
    <row r="247">
      <c r="A247" s="42" t="n"/>
      <c r="B247" s="39" t="n"/>
      <c r="C247" s="39" t="n"/>
      <c r="D247" s="43" t="n"/>
      <c r="E247" s="40" t="n"/>
      <c r="F247" s="40" t="n"/>
      <c r="G247" s="44">
        <f>IFERROR(VLOOKUP(C247,Cleaners!$B$6:$I$35,8,FALSE),0)</f>
        <v/>
      </c>
      <c r="H247" s="39" t="n"/>
      <c r="I247" s="46" t="n"/>
      <c r="J247" s="39" t="n"/>
      <c r="K247" s="44">
        <f>IF(C247="","",IFERROR(D247,0)*G247+IFERROR(E247,0)+IFERROR(F247,0))</f>
        <v/>
      </c>
    </row>
    <row r="248">
      <c r="A248" s="42" t="n"/>
      <c r="B248" s="39" t="n"/>
      <c r="C248" s="39" t="n"/>
      <c r="D248" s="43" t="n"/>
      <c r="E248" s="40" t="n"/>
      <c r="F248" s="40" t="n"/>
      <c r="G248" s="44">
        <f>IFERROR(VLOOKUP(C248,Cleaners!$B$6:$I$35,8,FALSE),0)</f>
        <v/>
      </c>
      <c r="H248" s="39" t="n"/>
      <c r="I248" s="46" t="n"/>
      <c r="J248" s="39" t="n"/>
      <c r="K248" s="44">
        <f>IF(C248="","",IFERROR(D248,0)*G248+IFERROR(E248,0)+IFERROR(F248,0))</f>
        <v/>
      </c>
    </row>
    <row r="249">
      <c r="A249" s="42" t="n"/>
      <c r="B249" s="39" t="n"/>
      <c r="C249" s="39" t="n"/>
      <c r="D249" s="43" t="n"/>
      <c r="E249" s="40" t="n"/>
      <c r="F249" s="40" t="n"/>
      <c r="G249" s="44">
        <f>IFERROR(VLOOKUP(C249,Cleaners!$B$6:$I$35,8,FALSE),0)</f>
        <v/>
      </c>
      <c r="H249" s="39" t="n"/>
      <c r="I249" s="46" t="n"/>
      <c r="J249" s="39" t="n"/>
      <c r="K249" s="44">
        <f>IF(C249="","",IFERROR(D249,0)*G249+IFERROR(E249,0)+IFERROR(F249,0))</f>
        <v/>
      </c>
    </row>
    <row r="250">
      <c r="A250" s="42" t="n"/>
      <c r="B250" s="39" t="n"/>
      <c r="C250" s="39" t="n"/>
      <c r="D250" s="43" t="n"/>
      <c r="E250" s="40" t="n"/>
      <c r="F250" s="40" t="n"/>
      <c r="G250" s="44">
        <f>IFERROR(VLOOKUP(C250,Cleaners!$B$6:$I$35,8,FALSE),0)</f>
        <v/>
      </c>
      <c r="H250" s="39" t="n"/>
      <c r="I250" s="46" t="n"/>
      <c r="J250" s="39" t="n"/>
      <c r="K250" s="44">
        <f>IF(C250="","",IFERROR(D250,0)*G250+IFERROR(E250,0)+IFERROR(F250,0))</f>
        <v/>
      </c>
    </row>
    <row r="251">
      <c r="A251" s="42" t="n"/>
      <c r="B251" s="39" t="n"/>
      <c r="C251" s="39" t="n"/>
      <c r="D251" s="43" t="n"/>
      <c r="E251" s="40" t="n"/>
      <c r="F251" s="40" t="n"/>
      <c r="G251" s="44">
        <f>IFERROR(VLOOKUP(C251,Cleaners!$B$6:$I$35,8,FALSE),0)</f>
        <v/>
      </c>
      <c r="H251" s="39" t="n"/>
      <c r="I251" s="46" t="n"/>
      <c r="J251" s="39" t="n"/>
      <c r="K251" s="44">
        <f>IF(C251="","",IFERROR(D251,0)*G251+IFERROR(E251,0)+IFERROR(F251,0))</f>
        <v/>
      </c>
    </row>
    <row r="252">
      <c r="A252" s="42" t="n"/>
      <c r="B252" s="39" t="n"/>
      <c r="C252" s="39" t="n"/>
      <c r="D252" s="43" t="n"/>
      <c r="E252" s="40" t="n"/>
      <c r="F252" s="40" t="n"/>
      <c r="G252" s="44">
        <f>IFERROR(VLOOKUP(C252,Cleaners!$B$6:$I$35,8,FALSE),0)</f>
        <v/>
      </c>
      <c r="H252" s="39" t="n"/>
      <c r="I252" s="46" t="n"/>
      <c r="J252" s="39" t="n"/>
      <c r="K252" s="44">
        <f>IF(C252="","",IFERROR(D252,0)*G252+IFERROR(E252,0)+IFERROR(F252,0))</f>
        <v/>
      </c>
    </row>
    <row r="253">
      <c r="A253" s="42" t="n"/>
      <c r="B253" s="39" t="n"/>
      <c r="C253" s="39" t="n"/>
      <c r="D253" s="43" t="n"/>
      <c r="E253" s="40" t="n"/>
      <c r="F253" s="40" t="n"/>
      <c r="G253" s="44">
        <f>IFERROR(VLOOKUP(C253,Cleaners!$B$6:$I$35,8,FALSE),0)</f>
        <v/>
      </c>
      <c r="H253" s="39" t="n"/>
      <c r="I253" s="46" t="n"/>
      <c r="J253" s="39" t="n"/>
      <c r="K253" s="44">
        <f>IF(C253="","",IFERROR(D253,0)*G253+IFERROR(E253,0)+IFERROR(F253,0))</f>
        <v/>
      </c>
    </row>
    <row r="254">
      <c r="A254" s="42" t="n"/>
      <c r="B254" s="39" t="n"/>
      <c r="C254" s="39" t="n"/>
      <c r="D254" s="43" t="n"/>
      <c r="E254" s="40" t="n"/>
      <c r="F254" s="40" t="n"/>
      <c r="G254" s="44">
        <f>IFERROR(VLOOKUP(C254,Cleaners!$B$6:$I$35,8,FALSE),0)</f>
        <v/>
      </c>
      <c r="H254" s="39" t="n"/>
      <c r="I254" s="46" t="n"/>
      <c r="J254" s="39" t="n"/>
      <c r="K254" s="44">
        <f>IF(C254="","",IFERROR(D254,0)*G254+IFERROR(E254,0)+IFERROR(F254,0))</f>
        <v/>
      </c>
    </row>
    <row r="255">
      <c r="A255" s="42" t="n"/>
      <c r="B255" s="39" t="n"/>
      <c r="C255" s="39" t="n"/>
      <c r="D255" s="43" t="n"/>
      <c r="E255" s="40" t="n"/>
      <c r="F255" s="40" t="n"/>
      <c r="G255" s="44">
        <f>IFERROR(VLOOKUP(C255,Cleaners!$B$6:$I$35,8,FALSE),0)</f>
        <v/>
      </c>
      <c r="H255" s="39" t="n"/>
      <c r="I255" s="46" t="n"/>
      <c r="J255" s="39" t="n"/>
      <c r="K255" s="44">
        <f>IF(C255="","",IFERROR(D255,0)*G255+IFERROR(E255,0)+IFERROR(F255,0))</f>
        <v/>
      </c>
    </row>
    <row r="256">
      <c r="A256" s="42" t="n"/>
      <c r="B256" s="39" t="n"/>
      <c r="C256" s="39" t="n"/>
      <c r="D256" s="43" t="n"/>
      <c r="E256" s="40" t="n"/>
      <c r="F256" s="40" t="n"/>
      <c r="G256" s="44">
        <f>IFERROR(VLOOKUP(C256,Cleaners!$B$6:$I$35,8,FALSE),0)</f>
        <v/>
      </c>
      <c r="H256" s="39" t="n"/>
      <c r="I256" s="46" t="n"/>
      <c r="J256" s="39" t="n"/>
      <c r="K256" s="44">
        <f>IF(C256="","",IFERROR(D256,0)*G256+IFERROR(E256,0)+IFERROR(F256,0))</f>
        <v/>
      </c>
    </row>
    <row r="257">
      <c r="A257" s="42" t="n"/>
      <c r="B257" s="39" t="n"/>
      <c r="C257" s="39" t="n"/>
      <c r="D257" s="43" t="n"/>
      <c r="E257" s="40" t="n"/>
      <c r="F257" s="40" t="n"/>
      <c r="G257" s="44">
        <f>IFERROR(VLOOKUP(C257,Cleaners!$B$6:$I$35,8,FALSE),0)</f>
        <v/>
      </c>
      <c r="H257" s="39" t="n"/>
      <c r="I257" s="46" t="n"/>
      <c r="J257" s="39" t="n"/>
      <c r="K257" s="44">
        <f>IF(C257="","",IFERROR(D257,0)*G257+IFERROR(E257,0)+IFERROR(F257,0))</f>
        <v/>
      </c>
    </row>
    <row r="258">
      <c r="A258" s="42" t="n"/>
      <c r="B258" s="39" t="n"/>
      <c r="C258" s="39" t="n"/>
      <c r="D258" s="43" t="n"/>
      <c r="E258" s="40" t="n"/>
      <c r="F258" s="40" t="n"/>
      <c r="G258" s="44">
        <f>IFERROR(VLOOKUP(C258,Cleaners!$B$6:$I$35,8,FALSE),0)</f>
        <v/>
      </c>
      <c r="H258" s="39" t="n"/>
      <c r="I258" s="46" t="n"/>
      <c r="J258" s="39" t="n"/>
      <c r="K258" s="44">
        <f>IF(C258="","",IFERROR(D258,0)*G258+IFERROR(E258,0)+IFERROR(F258,0))</f>
        <v/>
      </c>
    </row>
    <row r="259">
      <c r="A259" s="42" t="n"/>
      <c r="B259" s="39" t="n"/>
      <c r="C259" s="39" t="n"/>
      <c r="D259" s="43" t="n"/>
      <c r="E259" s="40" t="n"/>
      <c r="F259" s="40" t="n"/>
      <c r="G259" s="44">
        <f>IFERROR(VLOOKUP(C259,Cleaners!$B$6:$I$35,8,FALSE),0)</f>
        <v/>
      </c>
      <c r="H259" s="39" t="n"/>
      <c r="I259" s="46" t="n"/>
      <c r="J259" s="39" t="n"/>
      <c r="K259" s="44">
        <f>IF(C259="","",IFERROR(D259,0)*G259+IFERROR(E259,0)+IFERROR(F259,0))</f>
        <v/>
      </c>
    </row>
    <row r="260">
      <c r="A260" s="42" t="n"/>
      <c r="B260" s="39" t="n"/>
      <c r="C260" s="39" t="n"/>
      <c r="D260" s="43" t="n"/>
      <c r="E260" s="40" t="n"/>
      <c r="F260" s="40" t="n"/>
      <c r="G260" s="44">
        <f>IFERROR(VLOOKUP(C260,Cleaners!$B$6:$I$35,8,FALSE),0)</f>
        <v/>
      </c>
      <c r="H260" s="39" t="n"/>
      <c r="I260" s="46" t="n"/>
      <c r="J260" s="39" t="n"/>
      <c r="K260" s="44">
        <f>IF(C260="","",IFERROR(D260,0)*G260+IFERROR(E260,0)+IFERROR(F260,0))</f>
        <v/>
      </c>
    </row>
    <row r="261">
      <c r="A261" s="42" t="n"/>
      <c r="B261" s="39" t="n"/>
      <c r="C261" s="39" t="n"/>
      <c r="D261" s="43" t="n"/>
      <c r="E261" s="40" t="n"/>
      <c r="F261" s="40" t="n"/>
      <c r="G261" s="44">
        <f>IFERROR(VLOOKUP(C261,Cleaners!$B$6:$I$35,8,FALSE),0)</f>
        <v/>
      </c>
      <c r="H261" s="39" t="n"/>
      <c r="I261" s="46" t="n"/>
      <c r="J261" s="39" t="n"/>
      <c r="K261" s="44">
        <f>IF(C261="","",IFERROR(D261,0)*G261+IFERROR(E261,0)+IFERROR(F261,0))</f>
        <v/>
      </c>
    </row>
    <row r="262">
      <c r="A262" s="42" t="n"/>
      <c r="B262" s="39" t="n"/>
      <c r="C262" s="39" t="n"/>
      <c r="D262" s="43" t="n"/>
      <c r="E262" s="40" t="n"/>
      <c r="F262" s="40" t="n"/>
      <c r="G262" s="44">
        <f>IFERROR(VLOOKUP(C262,Cleaners!$B$6:$I$35,8,FALSE),0)</f>
        <v/>
      </c>
      <c r="H262" s="39" t="n"/>
      <c r="I262" s="46" t="n"/>
      <c r="J262" s="39" t="n"/>
      <c r="K262" s="44">
        <f>IF(C262="","",IFERROR(D262,0)*G262+IFERROR(E262,0)+IFERROR(F262,0))</f>
        <v/>
      </c>
    </row>
    <row r="263">
      <c r="A263" s="42" t="n"/>
      <c r="B263" s="39" t="n"/>
      <c r="C263" s="39" t="n"/>
      <c r="D263" s="43" t="n"/>
      <c r="E263" s="40" t="n"/>
      <c r="F263" s="40" t="n"/>
      <c r="G263" s="44">
        <f>IFERROR(VLOOKUP(C263,Cleaners!$B$6:$I$35,8,FALSE),0)</f>
        <v/>
      </c>
      <c r="H263" s="39" t="n"/>
      <c r="I263" s="46" t="n"/>
      <c r="J263" s="39" t="n"/>
      <c r="K263" s="44">
        <f>IF(C263="","",IFERROR(D263,0)*G263+IFERROR(E263,0)+IFERROR(F263,0))</f>
        <v/>
      </c>
    </row>
    <row r="264">
      <c r="A264" s="42" t="n"/>
      <c r="B264" s="39" t="n"/>
      <c r="C264" s="39" t="n"/>
      <c r="D264" s="43" t="n"/>
      <c r="E264" s="40" t="n"/>
      <c r="F264" s="40" t="n"/>
      <c r="G264" s="44">
        <f>IFERROR(VLOOKUP(C264,Cleaners!$B$6:$I$35,8,FALSE),0)</f>
        <v/>
      </c>
      <c r="H264" s="39" t="n"/>
      <c r="I264" s="46" t="n"/>
      <c r="J264" s="39" t="n"/>
      <c r="K264" s="44">
        <f>IF(C264="","",IFERROR(D264,0)*G264+IFERROR(E264,0)+IFERROR(F264,0))</f>
        <v/>
      </c>
    </row>
    <row r="265">
      <c r="A265" s="42" t="n"/>
      <c r="B265" s="39" t="n"/>
      <c r="C265" s="39" t="n"/>
      <c r="D265" s="43" t="n"/>
      <c r="E265" s="40" t="n"/>
      <c r="F265" s="40" t="n"/>
      <c r="G265" s="44">
        <f>IFERROR(VLOOKUP(C265,Cleaners!$B$6:$I$35,8,FALSE),0)</f>
        <v/>
      </c>
      <c r="H265" s="39" t="n"/>
      <c r="I265" s="46" t="n"/>
      <c r="J265" s="39" t="n"/>
      <c r="K265" s="44">
        <f>IF(C265="","",IFERROR(D265,0)*G265+IFERROR(E265,0)+IFERROR(F265,0))</f>
        <v/>
      </c>
    </row>
    <row r="266">
      <c r="A266" s="42" t="n"/>
      <c r="B266" s="39" t="n"/>
      <c r="C266" s="39" t="n"/>
      <c r="D266" s="43" t="n"/>
      <c r="E266" s="40" t="n"/>
      <c r="F266" s="40" t="n"/>
      <c r="G266" s="44">
        <f>IFERROR(VLOOKUP(C266,Cleaners!$B$6:$I$35,8,FALSE),0)</f>
        <v/>
      </c>
      <c r="H266" s="39" t="n"/>
      <c r="I266" s="46" t="n"/>
      <c r="J266" s="39" t="n"/>
      <c r="K266" s="44">
        <f>IF(C266="","",IFERROR(D266,0)*G266+IFERROR(E266,0)+IFERROR(F266,0))</f>
        <v/>
      </c>
    </row>
    <row r="267">
      <c r="A267" s="42" t="n"/>
      <c r="B267" s="39" t="n"/>
      <c r="C267" s="39" t="n"/>
      <c r="D267" s="43" t="n"/>
      <c r="E267" s="40" t="n"/>
      <c r="F267" s="40" t="n"/>
      <c r="G267" s="44">
        <f>IFERROR(VLOOKUP(C267,Cleaners!$B$6:$I$35,8,FALSE),0)</f>
        <v/>
      </c>
      <c r="H267" s="39" t="n"/>
      <c r="I267" s="46" t="n"/>
      <c r="J267" s="39" t="n"/>
      <c r="K267" s="44">
        <f>IF(C267="","",IFERROR(D267,0)*G267+IFERROR(E267,0)+IFERROR(F267,0))</f>
        <v/>
      </c>
    </row>
    <row r="268">
      <c r="A268" s="42" t="n"/>
      <c r="B268" s="39" t="n"/>
      <c r="C268" s="39" t="n"/>
      <c r="D268" s="43" t="n"/>
      <c r="E268" s="40" t="n"/>
      <c r="F268" s="40" t="n"/>
      <c r="G268" s="44">
        <f>IFERROR(VLOOKUP(C268,Cleaners!$B$6:$I$35,8,FALSE),0)</f>
        <v/>
      </c>
      <c r="H268" s="39" t="n"/>
      <c r="I268" s="46" t="n"/>
      <c r="J268" s="39" t="n"/>
      <c r="K268" s="44">
        <f>IF(C268="","",IFERROR(D268,0)*G268+IFERROR(E268,0)+IFERROR(F268,0))</f>
        <v/>
      </c>
    </row>
    <row r="269">
      <c r="A269" s="42" t="n"/>
      <c r="B269" s="39" t="n"/>
      <c r="C269" s="39" t="n"/>
      <c r="D269" s="43" t="n"/>
      <c r="E269" s="40" t="n"/>
      <c r="F269" s="40" t="n"/>
      <c r="G269" s="44">
        <f>IFERROR(VLOOKUP(C269,Cleaners!$B$6:$I$35,8,FALSE),0)</f>
        <v/>
      </c>
      <c r="H269" s="39" t="n"/>
      <c r="I269" s="46" t="n"/>
      <c r="J269" s="39" t="n"/>
      <c r="K269" s="44">
        <f>IF(C269="","",IFERROR(D269,0)*G269+IFERROR(E269,0)+IFERROR(F269,0))</f>
        <v/>
      </c>
    </row>
    <row r="270">
      <c r="A270" s="42" t="n"/>
      <c r="B270" s="39" t="n"/>
      <c r="C270" s="39" t="n"/>
      <c r="D270" s="43" t="n"/>
      <c r="E270" s="40" t="n"/>
      <c r="F270" s="40" t="n"/>
      <c r="G270" s="44">
        <f>IFERROR(VLOOKUP(C270,Cleaners!$B$6:$I$35,8,FALSE),0)</f>
        <v/>
      </c>
      <c r="H270" s="39" t="n"/>
      <c r="I270" s="46" t="n"/>
      <c r="J270" s="39" t="n"/>
      <c r="K270" s="44">
        <f>IF(C270="","",IFERROR(D270,0)*G270+IFERROR(E270,0)+IFERROR(F270,0))</f>
        <v/>
      </c>
    </row>
    <row r="271">
      <c r="A271" s="42" t="n"/>
      <c r="B271" s="39" t="n"/>
      <c r="C271" s="39" t="n"/>
      <c r="D271" s="43" t="n"/>
      <c r="E271" s="40" t="n"/>
      <c r="F271" s="40" t="n"/>
      <c r="G271" s="44">
        <f>IFERROR(VLOOKUP(C271,Cleaners!$B$6:$I$35,8,FALSE),0)</f>
        <v/>
      </c>
      <c r="H271" s="39" t="n"/>
      <c r="I271" s="46" t="n"/>
      <c r="J271" s="39" t="n"/>
      <c r="K271" s="44">
        <f>IF(C271="","",IFERROR(D271,0)*G271+IFERROR(E271,0)+IFERROR(F271,0))</f>
        <v/>
      </c>
    </row>
    <row r="272">
      <c r="A272" s="42" t="n"/>
      <c r="B272" s="39" t="n"/>
      <c r="C272" s="39" t="n"/>
      <c r="D272" s="43" t="n"/>
      <c r="E272" s="40" t="n"/>
      <c r="F272" s="40" t="n"/>
      <c r="G272" s="44">
        <f>IFERROR(VLOOKUP(C272,Cleaners!$B$6:$I$35,8,FALSE),0)</f>
        <v/>
      </c>
      <c r="H272" s="39" t="n"/>
      <c r="I272" s="46" t="n"/>
      <c r="J272" s="39" t="n"/>
      <c r="K272" s="44">
        <f>IF(C272="","",IFERROR(D272,0)*G272+IFERROR(E272,0)+IFERROR(F272,0))</f>
        <v/>
      </c>
    </row>
    <row r="273">
      <c r="A273" s="42" t="n"/>
      <c r="B273" s="39" t="n"/>
      <c r="C273" s="39" t="n"/>
      <c r="D273" s="43" t="n"/>
      <c r="E273" s="40" t="n"/>
      <c r="F273" s="40" t="n"/>
      <c r="G273" s="44">
        <f>IFERROR(VLOOKUP(C273,Cleaners!$B$6:$I$35,8,FALSE),0)</f>
        <v/>
      </c>
      <c r="H273" s="39" t="n"/>
      <c r="I273" s="46" t="n"/>
      <c r="J273" s="39" t="n"/>
      <c r="K273" s="44">
        <f>IF(C273="","",IFERROR(D273,0)*G273+IFERROR(E273,0)+IFERROR(F273,0))</f>
        <v/>
      </c>
    </row>
    <row r="274">
      <c r="A274" s="42" t="n"/>
      <c r="B274" s="39" t="n"/>
      <c r="C274" s="39" t="n"/>
      <c r="D274" s="43" t="n"/>
      <c r="E274" s="40" t="n"/>
      <c r="F274" s="40" t="n"/>
      <c r="G274" s="44">
        <f>IFERROR(VLOOKUP(C274,Cleaners!$B$6:$I$35,8,FALSE),0)</f>
        <v/>
      </c>
      <c r="H274" s="39" t="n"/>
      <c r="I274" s="46" t="n"/>
      <c r="J274" s="39" t="n"/>
      <c r="K274" s="44">
        <f>IF(C274="","",IFERROR(D274,0)*G274+IFERROR(E274,0)+IFERROR(F274,0))</f>
        <v/>
      </c>
    </row>
    <row r="275">
      <c r="A275" s="42" t="n"/>
      <c r="B275" s="39" t="n"/>
      <c r="C275" s="39" t="n"/>
      <c r="D275" s="43" t="n"/>
      <c r="E275" s="40" t="n"/>
      <c r="F275" s="40" t="n"/>
      <c r="G275" s="44">
        <f>IFERROR(VLOOKUP(C275,Cleaners!$B$6:$I$35,8,FALSE),0)</f>
        <v/>
      </c>
      <c r="H275" s="39" t="n"/>
      <c r="I275" s="46" t="n"/>
      <c r="J275" s="39" t="n"/>
      <c r="K275" s="44">
        <f>IF(C275="","",IFERROR(D275,0)*G275+IFERROR(E275,0)+IFERROR(F275,0))</f>
        <v/>
      </c>
    </row>
    <row r="276">
      <c r="A276" s="42" t="n"/>
      <c r="B276" s="39" t="n"/>
      <c r="C276" s="39" t="n"/>
      <c r="D276" s="43" t="n"/>
      <c r="E276" s="40" t="n"/>
      <c r="F276" s="40" t="n"/>
      <c r="G276" s="44">
        <f>IFERROR(VLOOKUP(C276,Cleaners!$B$6:$I$35,8,FALSE),0)</f>
        <v/>
      </c>
      <c r="H276" s="39" t="n"/>
      <c r="I276" s="46" t="n"/>
      <c r="J276" s="39" t="n"/>
      <c r="K276" s="44">
        <f>IF(C276="","",IFERROR(D276,0)*G276+IFERROR(E276,0)+IFERROR(F276,0))</f>
        <v/>
      </c>
    </row>
    <row r="277">
      <c r="A277" s="42" t="n"/>
      <c r="B277" s="39" t="n"/>
      <c r="C277" s="39" t="n"/>
      <c r="D277" s="43" t="n"/>
      <c r="E277" s="40" t="n"/>
      <c r="F277" s="40" t="n"/>
      <c r="G277" s="44">
        <f>IFERROR(VLOOKUP(C277,Cleaners!$B$6:$I$35,8,FALSE),0)</f>
        <v/>
      </c>
      <c r="H277" s="39" t="n"/>
      <c r="I277" s="46" t="n"/>
      <c r="J277" s="39" t="n"/>
      <c r="K277" s="44">
        <f>IF(C277="","",IFERROR(D277,0)*G277+IFERROR(E277,0)+IFERROR(F277,0))</f>
        <v/>
      </c>
    </row>
    <row r="278">
      <c r="A278" s="42" t="n"/>
      <c r="B278" s="39" t="n"/>
      <c r="C278" s="39" t="n"/>
      <c r="D278" s="43" t="n"/>
      <c r="E278" s="40" t="n"/>
      <c r="F278" s="40" t="n"/>
      <c r="G278" s="44">
        <f>IFERROR(VLOOKUP(C278,Cleaners!$B$6:$I$35,8,FALSE),0)</f>
        <v/>
      </c>
      <c r="H278" s="39" t="n"/>
      <c r="I278" s="46" t="n"/>
      <c r="J278" s="39" t="n"/>
      <c r="K278" s="44">
        <f>IF(C278="","",IFERROR(D278,0)*G278+IFERROR(E278,0)+IFERROR(F278,0))</f>
        <v/>
      </c>
    </row>
    <row r="279">
      <c r="A279" s="42" t="n"/>
      <c r="B279" s="39" t="n"/>
      <c r="C279" s="39" t="n"/>
      <c r="D279" s="43" t="n"/>
      <c r="E279" s="40" t="n"/>
      <c r="F279" s="40" t="n"/>
      <c r="G279" s="44">
        <f>IFERROR(VLOOKUP(C279,Cleaners!$B$6:$I$35,8,FALSE),0)</f>
        <v/>
      </c>
      <c r="H279" s="39" t="n"/>
      <c r="I279" s="46" t="n"/>
      <c r="J279" s="39" t="n"/>
      <c r="K279" s="44">
        <f>IF(C279="","",IFERROR(D279,0)*G279+IFERROR(E279,0)+IFERROR(F279,0))</f>
        <v/>
      </c>
    </row>
    <row r="280">
      <c r="A280" s="42" t="n"/>
      <c r="B280" s="39" t="n"/>
      <c r="C280" s="39" t="n"/>
      <c r="D280" s="43" t="n"/>
      <c r="E280" s="40" t="n"/>
      <c r="F280" s="40" t="n"/>
      <c r="G280" s="44">
        <f>IFERROR(VLOOKUP(C280,Cleaners!$B$6:$I$35,8,FALSE),0)</f>
        <v/>
      </c>
      <c r="H280" s="39" t="n"/>
      <c r="I280" s="46" t="n"/>
      <c r="J280" s="39" t="n"/>
      <c r="K280" s="44">
        <f>IF(C280="","",IFERROR(D280,0)*G280+IFERROR(E280,0)+IFERROR(F280,0))</f>
        <v/>
      </c>
    </row>
    <row r="281">
      <c r="A281" s="42" t="n"/>
      <c r="B281" s="39" t="n"/>
      <c r="C281" s="39" t="n"/>
      <c r="D281" s="43" t="n"/>
      <c r="E281" s="40" t="n"/>
      <c r="F281" s="40" t="n"/>
      <c r="G281" s="44">
        <f>IFERROR(VLOOKUP(C281,Cleaners!$B$6:$I$35,8,FALSE),0)</f>
        <v/>
      </c>
      <c r="H281" s="39" t="n"/>
      <c r="I281" s="46" t="n"/>
      <c r="J281" s="39" t="n"/>
      <c r="K281" s="44">
        <f>IF(C281="","",IFERROR(D281,0)*G281+IFERROR(E281,0)+IFERROR(F281,0))</f>
        <v/>
      </c>
    </row>
    <row r="282">
      <c r="A282" s="42" t="n"/>
      <c r="B282" s="39" t="n"/>
      <c r="C282" s="39" t="n"/>
      <c r="D282" s="43" t="n"/>
      <c r="E282" s="40" t="n"/>
      <c r="F282" s="40" t="n"/>
      <c r="G282" s="44">
        <f>IFERROR(VLOOKUP(C282,Cleaners!$B$6:$I$35,8,FALSE),0)</f>
        <v/>
      </c>
      <c r="H282" s="39" t="n"/>
      <c r="I282" s="46" t="n"/>
      <c r="J282" s="39" t="n"/>
      <c r="K282" s="44">
        <f>IF(C282="","",IFERROR(D282,0)*G282+IFERROR(E282,0)+IFERROR(F282,0))</f>
        <v/>
      </c>
    </row>
    <row r="283">
      <c r="A283" s="42" t="n"/>
      <c r="B283" s="39" t="n"/>
      <c r="C283" s="39" t="n"/>
      <c r="D283" s="43" t="n"/>
      <c r="E283" s="40" t="n"/>
      <c r="F283" s="40" t="n"/>
      <c r="G283" s="44">
        <f>IFERROR(VLOOKUP(C283,Cleaners!$B$6:$I$35,8,FALSE),0)</f>
        <v/>
      </c>
      <c r="H283" s="39" t="n"/>
      <c r="I283" s="46" t="n"/>
      <c r="J283" s="39" t="n"/>
      <c r="K283" s="44">
        <f>IF(C283="","",IFERROR(D283,0)*G283+IFERROR(E283,0)+IFERROR(F283,0))</f>
        <v/>
      </c>
    </row>
    <row r="284">
      <c r="A284" s="42" t="n"/>
      <c r="B284" s="39" t="n"/>
      <c r="C284" s="39" t="n"/>
      <c r="D284" s="43" t="n"/>
      <c r="E284" s="40" t="n"/>
      <c r="F284" s="40" t="n"/>
      <c r="G284" s="44">
        <f>IFERROR(VLOOKUP(C284,Cleaners!$B$6:$I$35,8,FALSE),0)</f>
        <v/>
      </c>
      <c r="H284" s="39" t="n"/>
      <c r="I284" s="46" t="n"/>
      <c r="J284" s="39" t="n"/>
      <c r="K284" s="44">
        <f>IF(C284="","",IFERROR(D284,0)*G284+IFERROR(E284,0)+IFERROR(F284,0))</f>
        <v/>
      </c>
    </row>
    <row r="285">
      <c r="A285" s="42" t="n"/>
      <c r="B285" s="39" t="n"/>
      <c r="C285" s="39" t="n"/>
      <c r="D285" s="43" t="n"/>
      <c r="E285" s="40" t="n"/>
      <c r="F285" s="40" t="n"/>
      <c r="G285" s="44">
        <f>IFERROR(VLOOKUP(C285,Cleaners!$B$6:$I$35,8,FALSE),0)</f>
        <v/>
      </c>
      <c r="H285" s="39" t="n"/>
      <c r="I285" s="46" t="n"/>
      <c r="J285" s="39" t="n"/>
      <c r="K285" s="44">
        <f>IF(C285="","",IFERROR(D285,0)*G285+IFERROR(E285,0)+IFERROR(F285,0))</f>
        <v/>
      </c>
    </row>
    <row r="286">
      <c r="A286" s="42" t="n"/>
      <c r="B286" s="39" t="n"/>
      <c r="C286" s="39" t="n"/>
      <c r="D286" s="43" t="n"/>
      <c r="E286" s="40" t="n"/>
      <c r="F286" s="40" t="n"/>
      <c r="G286" s="44">
        <f>IFERROR(VLOOKUP(C286,Cleaners!$B$6:$I$35,8,FALSE),0)</f>
        <v/>
      </c>
      <c r="H286" s="39" t="n"/>
      <c r="I286" s="46" t="n"/>
      <c r="J286" s="39" t="n"/>
      <c r="K286" s="44">
        <f>IF(C286="","",IFERROR(D286,0)*G286+IFERROR(E286,0)+IFERROR(F286,0))</f>
        <v/>
      </c>
    </row>
    <row r="287">
      <c r="A287" s="42" t="n"/>
      <c r="B287" s="39" t="n"/>
      <c r="C287" s="39" t="n"/>
      <c r="D287" s="43" t="n"/>
      <c r="E287" s="40" t="n"/>
      <c r="F287" s="40" t="n"/>
      <c r="G287" s="44">
        <f>IFERROR(VLOOKUP(C287,Cleaners!$B$6:$I$35,8,FALSE),0)</f>
        <v/>
      </c>
      <c r="H287" s="39" t="n"/>
      <c r="I287" s="46" t="n"/>
      <c r="J287" s="39" t="n"/>
      <c r="K287" s="44">
        <f>IF(C287="","",IFERROR(D287,0)*G287+IFERROR(E287,0)+IFERROR(F287,0))</f>
        <v/>
      </c>
    </row>
    <row r="288">
      <c r="A288" s="42" t="n"/>
      <c r="B288" s="39" t="n"/>
      <c r="C288" s="39" t="n"/>
      <c r="D288" s="43" t="n"/>
      <c r="E288" s="40" t="n"/>
      <c r="F288" s="40" t="n"/>
      <c r="G288" s="44">
        <f>IFERROR(VLOOKUP(C288,Cleaners!$B$6:$I$35,8,FALSE),0)</f>
        <v/>
      </c>
      <c r="H288" s="39" t="n"/>
      <c r="I288" s="46" t="n"/>
      <c r="J288" s="39" t="n"/>
      <c r="K288" s="44">
        <f>IF(C288="","",IFERROR(D288,0)*G288+IFERROR(E288,0)+IFERROR(F288,0))</f>
        <v/>
      </c>
    </row>
    <row r="289">
      <c r="A289" s="42" t="n"/>
      <c r="B289" s="39" t="n"/>
      <c r="C289" s="39" t="n"/>
      <c r="D289" s="43" t="n"/>
      <c r="E289" s="40" t="n"/>
      <c r="F289" s="40" t="n"/>
      <c r="G289" s="44">
        <f>IFERROR(VLOOKUP(C289,Cleaners!$B$6:$I$35,8,FALSE),0)</f>
        <v/>
      </c>
      <c r="H289" s="39" t="n"/>
      <c r="I289" s="46" t="n"/>
      <c r="J289" s="39" t="n"/>
      <c r="K289" s="44">
        <f>IF(C289="","",IFERROR(D289,0)*G289+IFERROR(E289,0)+IFERROR(F289,0))</f>
        <v/>
      </c>
    </row>
    <row r="290">
      <c r="A290" s="42" t="n"/>
      <c r="B290" s="39" t="n"/>
      <c r="C290" s="39" t="n"/>
      <c r="D290" s="43" t="n"/>
      <c r="E290" s="40" t="n"/>
      <c r="F290" s="40" t="n"/>
      <c r="G290" s="44">
        <f>IFERROR(VLOOKUP(C290,Cleaners!$B$6:$I$35,8,FALSE),0)</f>
        <v/>
      </c>
      <c r="H290" s="39" t="n"/>
      <c r="I290" s="46" t="n"/>
      <c r="J290" s="39" t="n"/>
      <c r="K290" s="44">
        <f>IF(C290="","",IFERROR(D290,0)*G290+IFERROR(E290,0)+IFERROR(F290,0))</f>
        <v/>
      </c>
    </row>
    <row r="291">
      <c r="A291" s="42" t="n"/>
      <c r="B291" s="39" t="n"/>
      <c r="C291" s="39" t="n"/>
      <c r="D291" s="43" t="n"/>
      <c r="E291" s="40" t="n"/>
      <c r="F291" s="40" t="n"/>
      <c r="G291" s="44">
        <f>IFERROR(VLOOKUP(C291,Cleaners!$B$6:$I$35,8,FALSE),0)</f>
        <v/>
      </c>
      <c r="H291" s="39" t="n"/>
      <c r="I291" s="46" t="n"/>
      <c r="J291" s="39" t="n"/>
      <c r="K291" s="44">
        <f>IF(C291="","",IFERROR(D291,0)*G291+IFERROR(E291,0)+IFERROR(F291,0))</f>
        <v/>
      </c>
    </row>
    <row r="292">
      <c r="A292" s="42" t="n"/>
      <c r="B292" s="39" t="n"/>
      <c r="C292" s="39" t="n"/>
      <c r="D292" s="43" t="n"/>
      <c r="E292" s="40" t="n"/>
      <c r="F292" s="40" t="n"/>
      <c r="G292" s="44">
        <f>IFERROR(VLOOKUP(C292,Cleaners!$B$6:$I$35,8,FALSE),0)</f>
        <v/>
      </c>
      <c r="H292" s="39" t="n"/>
      <c r="I292" s="46" t="n"/>
      <c r="J292" s="39" t="n"/>
      <c r="K292" s="44">
        <f>IF(C292="","",IFERROR(D292,0)*G292+IFERROR(E292,0)+IFERROR(F292,0))</f>
        <v/>
      </c>
    </row>
    <row r="293">
      <c r="A293" s="42" t="n"/>
      <c r="B293" s="39" t="n"/>
      <c r="C293" s="39" t="n"/>
      <c r="D293" s="43" t="n"/>
      <c r="E293" s="40" t="n"/>
      <c r="F293" s="40" t="n"/>
      <c r="G293" s="44">
        <f>IFERROR(VLOOKUP(C293,Cleaners!$B$6:$I$35,8,FALSE),0)</f>
        <v/>
      </c>
      <c r="H293" s="39" t="n"/>
      <c r="I293" s="46" t="n"/>
      <c r="J293" s="39" t="n"/>
      <c r="K293" s="44">
        <f>IF(C293="","",IFERROR(D293,0)*G293+IFERROR(E293,0)+IFERROR(F293,0))</f>
        <v/>
      </c>
    </row>
    <row r="294">
      <c r="A294" s="42" t="n"/>
      <c r="B294" s="39" t="n"/>
      <c r="C294" s="39" t="n"/>
      <c r="D294" s="43" t="n"/>
      <c r="E294" s="40" t="n"/>
      <c r="F294" s="40" t="n"/>
      <c r="G294" s="44">
        <f>IFERROR(VLOOKUP(C294,Cleaners!$B$6:$I$35,8,FALSE),0)</f>
        <v/>
      </c>
      <c r="H294" s="39" t="n"/>
      <c r="I294" s="46" t="n"/>
      <c r="J294" s="39" t="n"/>
      <c r="K294" s="44">
        <f>IF(C294="","",IFERROR(D294,0)*G294+IFERROR(E294,0)+IFERROR(F294,0))</f>
        <v/>
      </c>
    </row>
    <row r="295">
      <c r="A295" s="42" t="n"/>
      <c r="B295" s="39" t="n"/>
      <c r="C295" s="39" t="n"/>
      <c r="D295" s="43" t="n"/>
      <c r="E295" s="40" t="n"/>
      <c r="F295" s="40" t="n"/>
      <c r="G295" s="44">
        <f>IFERROR(VLOOKUP(C295,Cleaners!$B$6:$I$35,8,FALSE),0)</f>
        <v/>
      </c>
      <c r="H295" s="39" t="n"/>
      <c r="I295" s="46" t="n"/>
      <c r="J295" s="39" t="n"/>
      <c r="K295" s="44">
        <f>IF(C295="","",IFERROR(D295,0)*G295+IFERROR(E295,0)+IFERROR(F295,0))</f>
        <v/>
      </c>
    </row>
    <row r="296">
      <c r="A296" s="42" t="n"/>
      <c r="B296" s="39" t="n"/>
      <c r="C296" s="39" t="n"/>
      <c r="D296" s="43" t="n"/>
      <c r="E296" s="40" t="n"/>
      <c r="F296" s="40" t="n"/>
      <c r="G296" s="44">
        <f>IFERROR(VLOOKUP(C296,Cleaners!$B$6:$I$35,8,FALSE),0)</f>
        <v/>
      </c>
      <c r="H296" s="39" t="n"/>
      <c r="I296" s="46" t="n"/>
      <c r="J296" s="39" t="n"/>
      <c r="K296" s="44">
        <f>IF(C296="","",IFERROR(D296,0)*G296+IFERROR(E296,0)+IFERROR(F296,0))</f>
        <v/>
      </c>
    </row>
    <row r="297">
      <c r="A297" s="42" t="n"/>
      <c r="B297" s="39" t="n"/>
      <c r="C297" s="39" t="n"/>
      <c r="D297" s="43" t="n"/>
      <c r="E297" s="40" t="n"/>
      <c r="F297" s="40" t="n"/>
      <c r="G297" s="44">
        <f>IFERROR(VLOOKUP(C297,Cleaners!$B$6:$I$35,8,FALSE),0)</f>
        <v/>
      </c>
      <c r="H297" s="39" t="n"/>
      <c r="I297" s="46" t="n"/>
      <c r="J297" s="39" t="n"/>
      <c r="K297" s="44">
        <f>IF(C297="","",IFERROR(D297,0)*G297+IFERROR(E297,0)+IFERROR(F297,0))</f>
        <v/>
      </c>
    </row>
    <row r="298">
      <c r="A298" s="42" t="n"/>
      <c r="B298" s="39" t="n"/>
      <c r="C298" s="39" t="n"/>
      <c r="D298" s="43" t="n"/>
      <c r="E298" s="40" t="n"/>
      <c r="F298" s="40" t="n"/>
      <c r="G298" s="44">
        <f>IFERROR(VLOOKUP(C298,Cleaners!$B$6:$I$35,8,FALSE),0)</f>
        <v/>
      </c>
      <c r="H298" s="39" t="n"/>
      <c r="I298" s="46" t="n"/>
      <c r="J298" s="39" t="n"/>
      <c r="K298" s="44">
        <f>IF(C298="","",IFERROR(D298,0)*G298+IFERROR(E298,0)+IFERROR(F298,0))</f>
        <v/>
      </c>
    </row>
    <row r="299">
      <c r="A299" s="42" t="n"/>
      <c r="B299" s="39" t="n"/>
      <c r="C299" s="39" t="n"/>
      <c r="D299" s="43" t="n"/>
      <c r="E299" s="40" t="n"/>
      <c r="F299" s="40" t="n"/>
      <c r="G299" s="44">
        <f>IFERROR(VLOOKUP(C299,Cleaners!$B$6:$I$35,8,FALSE),0)</f>
        <v/>
      </c>
      <c r="H299" s="39" t="n"/>
      <c r="I299" s="46" t="n"/>
      <c r="J299" s="39" t="n"/>
      <c r="K299" s="44">
        <f>IF(C299="","",IFERROR(D299,0)*G299+IFERROR(E299,0)+IFERROR(F299,0))</f>
        <v/>
      </c>
    </row>
    <row r="300">
      <c r="A300" s="42" t="n"/>
      <c r="B300" s="39" t="n"/>
      <c r="C300" s="39" t="n"/>
      <c r="D300" s="43" t="n"/>
      <c r="E300" s="40" t="n"/>
      <c r="F300" s="40" t="n"/>
      <c r="G300" s="44">
        <f>IFERROR(VLOOKUP(C300,Cleaners!$B$6:$I$35,8,FALSE),0)</f>
        <v/>
      </c>
      <c r="H300" s="39" t="n"/>
      <c r="I300" s="46" t="n"/>
      <c r="J300" s="39" t="n"/>
      <c r="K300" s="44">
        <f>IF(C300="","",IFERROR(D300,0)*G300+IFERROR(E300,0)+IFERROR(F300,0))</f>
        <v/>
      </c>
    </row>
    <row r="301">
      <c r="A301" s="42" t="n"/>
      <c r="B301" s="39" t="n"/>
      <c r="C301" s="39" t="n"/>
      <c r="D301" s="43" t="n"/>
      <c r="E301" s="40" t="n"/>
      <c r="F301" s="40" t="n"/>
      <c r="G301" s="44">
        <f>IFERROR(VLOOKUP(C301,Cleaners!$B$6:$I$35,8,FALSE),0)</f>
        <v/>
      </c>
      <c r="H301" s="39" t="n"/>
      <c r="I301" s="46" t="n"/>
      <c r="J301" s="39" t="n"/>
      <c r="K301" s="44">
        <f>IF(C301="","",IFERROR(D301,0)*G301+IFERROR(E301,0)+IFERROR(F301,0))</f>
        <v/>
      </c>
    </row>
    <row r="302">
      <c r="A302" s="42" t="n"/>
      <c r="B302" s="39" t="n"/>
      <c r="C302" s="39" t="n"/>
      <c r="D302" s="43" t="n"/>
      <c r="E302" s="40" t="n"/>
      <c r="F302" s="40" t="n"/>
      <c r="G302" s="44">
        <f>IFERROR(VLOOKUP(C302,Cleaners!$B$6:$I$35,8,FALSE),0)</f>
        <v/>
      </c>
      <c r="H302" s="39" t="n"/>
      <c r="I302" s="46" t="n"/>
      <c r="J302" s="39" t="n"/>
      <c r="K302" s="44">
        <f>IF(C302="","",IFERROR(D302,0)*G302+IFERROR(E302,0)+IFERROR(F302,0))</f>
        <v/>
      </c>
    </row>
    <row r="303">
      <c r="A303" s="42" t="n"/>
      <c r="B303" s="39" t="n"/>
      <c r="C303" s="39" t="n"/>
      <c r="D303" s="43" t="n"/>
      <c r="E303" s="40" t="n"/>
      <c r="F303" s="40" t="n"/>
      <c r="G303" s="44">
        <f>IFERROR(VLOOKUP(C303,Cleaners!$B$6:$I$35,8,FALSE),0)</f>
        <v/>
      </c>
      <c r="H303" s="39" t="n"/>
      <c r="I303" s="46" t="n"/>
      <c r="J303" s="39" t="n"/>
      <c r="K303" s="44">
        <f>IF(C303="","",IFERROR(D303,0)*G303+IFERROR(E303,0)+IFERROR(F303,0))</f>
        <v/>
      </c>
    </row>
    <row r="304">
      <c r="A304" s="42" t="n"/>
      <c r="B304" s="39" t="n"/>
      <c r="C304" s="39" t="n"/>
      <c r="D304" s="43" t="n"/>
      <c r="E304" s="40" t="n"/>
      <c r="F304" s="40" t="n"/>
      <c r="G304" s="44">
        <f>IFERROR(VLOOKUP(C304,Cleaners!$B$6:$I$35,8,FALSE),0)</f>
        <v/>
      </c>
      <c r="H304" s="39" t="n"/>
      <c r="I304" s="46" t="n"/>
      <c r="J304" s="39" t="n"/>
      <c r="K304" s="44">
        <f>IF(C304="","",IFERROR(D304,0)*G304+IFERROR(E304,0)+IFERROR(F304,0))</f>
        <v/>
      </c>
    </row>
    <row r="305">
      <c r="A305" s="42" t="n"/>
      <c r="B305" s="39" t="n"/>
      <c r="C305" s="39" t="n"/>
      <c r="D305" s="43" t="n"/>
      <c r="E305" s="40" t="n"/>
      <c r="F305" s="40" t="n"/>
      <c r="G305" s="44">
        <f>IFERROR(VLOOKUP(C305,Cleaners!$B$6:$I$35,8,FALSE),0)</f>
        <v/>
      </c>
      <c r="H305" s="39" t="n"/>
      <c r="I305" s="46" t="n"/>
      <c r="J305" s="39" t="n"/>
      <c r="K305" s="44">
        <f>IF(C305="","",IFERROR(D305,0)*G305+IFERROR(E305,0)+IFERROR(F305,0))</f>
        <v/>
      </c>
    </row>
    <row r="306">
      <c r="A306" s="42" t="n"/>
      <c r="B306" s="39" t="n"/>
      <c r="C306" s="39" t="n"/>
      <c r="D306" s="43" t="n"/>
      <c r="E306" s="40" t="n"/>
      <c r="F306" s="40" t="n"/>
      <c r="G306" s="44">
        <f>IFERROR(VLOOKUP(C306,Cleaners!$B$6:$I$35,8,FALSE),0)</f>
        <v/>
      </c>
      <c r="H306" s="39" t="n"/>
      <c r="I306" s="46" t="n"/>
      <c r="J306" s="39" t="n"/>
      <c r="K306" s="44">
        <f>IF(C306="","",IFERROR(D306,0)*G306+IFERROR(E306,0)+IFERROR(F306,0))</f>
        <v/>
      </c>
    </row>
    <row r="307">
      <c r="A307" s="42" t="n"/>
      <c r="B307" s="39" t="n"/>
      <c r="C307" s="39" t="n"/>
      <c r="D307" s="43" t="n"/>
      <c r="E307" s="40" t="n"/>
      <c r="F307" s="40" t="n"/>
      <c r="G307" s="44">
        <f>IFERROR(VLOOKUP(C307,Cleaners!$B$6:$I$35,8,FALSE),0)</f>
        <v/>
      </c>
      <c r="H307" s="39" t="n"/>
      <c r="I307" s="46" t="n"/>
      <c r="J307" s="39" t="n"/>
      <c r="K307" s="44">
        <f>IF(C307="","",IFERROR(D307,0)*G307+IFERROR(E307,0)+IFERROR(F307,0))</f>
        <v/>
      </c>
    </row>
    <row r="308">
      <c r="A308" s="42" t="n"/>
      <c r="B308" s="39" t="n"/>
      <c r="C308" s="39" t="n"/>
      <c r="D308" s="43" t="n"/>
      <c r="E308" s="40" t="n"/>
      <c r="F308" s="40" t="n"/>
      <c r="G308" s="44">
        <f>IFERROR(VLOOKUP(C308,Cleaners!$B$6:$I$35,8,FALSE),0)</f>
        <v/>
      </c>
      <c r="H308" s="39" t="n"/>
      <c r="I308" s="46" t="n"/>
      <c r="J308" s="39" t="n"/>
      <c r="K308" s="44">
        <f>IF(C308="","",IFERROR(D308,0)*G308+IFERROR(E308,0)+IFERROR(F308,0))</f>
        <v/>
      </c>
    </row>
    <row r="309">
      <c r="A309" s="42" t="n"/>
      <c r="B309" s="39" t="n"/>
      <c r="C309" s="39" t="n"/>
      <c r="D309" s="43" t="n"/>
      <c r="E309" s="40" t="n"/>
      <c r="F309" s="40" t="n"/>
      <c r="G309" s="44">
        <f>IFERROR(VLOOKUP(C309,Cleaners!$B$6:$I$35,8,FALSE),0)</f>
        <v/>
      </c>
      <c r="H309" s="39" t="n"/>
      <c r="I309" s="46" t="n"/>
      <c r="J309" s="39" t="n"/>
      <c r="K309" s="44">
        <f>IF(C309="","",IFERROR(D309,0)*G309+IFERROR(E309,0)+IFERROR(F309,0))</f>
        <v/>
      </c>
    </row>
    <row r="310">
      <c r="A310" s="42" t="n"/>
      <c r="B310" s="39" t="n"/>
      <c r="C310" s="39" t="n"/>
      <c r="D310" s="43" t="n"/>
      <c r="E310" s="40" t="n"/>
      <c r="F310" s="40" t="n"/>
      <c r="G310" s="44">
        <f>IFERROR(VLOOKUP(C310,Cleaners!$B$6:$I$35,8,FALSE),0)</f>
        <v/>
      </c>
      <c r="H310" s="39" t="n"/>
      <c r="I310" s="46" t="n"/>
      <c r="J310" s="39" t="n"/>
      <c r="K310" s="44">
        <f>IF(C310="","",IFERROR(D310,0)*G310+IFERROR(E310,0)+IFERROR(F310,0))</f>
        <v/>
      </c>
    </row>
    <row r="311">
      <c r="A311" s="42" t="n"/>
      <c r="B311" s="39" t="n"/>
      <c r="C311" s="39" t="n"/>
      <c r="D311" s="43" t="n"/>
      <c r="E311" s="40" t="n"/>
      <c r="F311" s="40" t="n"/>
      <c r="G311" s="44">
        <f>IFERROR(VLOOKUP(C311,Cleaners!$B$6:$I$35,8,FALSE),0)</f>
        <v/>
      </c>
      <c r="H311" s="39" t="n"/>
      <c r="I311" s="46" t="n"/>
      <c r="J311" s="39" t="n"/>
      <c r="K311" s="44">
        <f>IF(C311="","",IFERROR(D311,0)*G311+IFERROR(E311,0)+IFERROR(F311,0))</f>
        <v/>
      </c>
    </row>
    <row r="312">
      <c r="A312" s="42" t="n"/>
      <c r="B312" s="39" t="n"/>
      <c r="C312" s="39" t="n"/>
      <c r="D312" s="43" t="n"/>
      <c r="E312" s="40" t="n"/>
      <c r="F312" s="40" t="n"/>
      <c r="G312" s="44">
        <f>IFERROR(VLOOKUP(C312,Cleaners!$B$6:$I$35,8,FALSE),0)</f>
        <v/>
      </c>
      <c r="H312" s="39" t="n"/>
      <c r="I312" s="46" t="n"/>
      <c r="J312" s="39" t="n"/>
      <c r="K312" s="44">
        <f>IF(C312="","",IFERROR(D312,0)*G312+IFERROR(E312,0)+IFERROR(F312,0))</f>
        <v/>
      </c>
    </row>
    <row r="313">
      <c r="A313" s="42" t="n"/>
      <c r="B313" s="39" t="n"/>
      <c r="C313" s="39" t="n"/>
      <c r="D313" s="43" t="n"/>
      <c r="E313" s="40" t="n"/>
      <c r="F313" s="40" t="n"/>
      <c r="G313" s="44">
        <f>IFERROR(VLOOKUP(C313,Cleaners!$B$6:$I$35,8,FALSE),0)</f>
        <v/>
      </c>
      <c r="H313" s="39" t="n"/>
      <c r="I313" s="46" t="n"/>
      <c r="J313" s="39" t="n"/>
      <c r="K313" s="44">
        <f>IF(C313="","",IFERROR(D313,0)*G313+IFERROR(E313,0)+IFERROR(F313,0))</f>
        <v/>
      </c>
    </row>
    <row r="314">
      <c r="A314" s="42" t="n"/>
      <c r="B314" s="39" t="n"/>
      <c r="C314" s="39" t="n"/>
      <c r="D314" s="43" t="n"/>
      <c r="E314" s="40" t="n"/>
      <c r="F314" s="40" t="n"/>
      <c r="G314" s="44">
        <f>IFERROR(VLOOKUP(C314,Cleaners!$B$6:$I$35,8,FALSE),0)</f>
        <v/>
      </c>
      <c r="H314" s="39" t="n"/>
      <c r="I314" s="46" t="n"/>
      <c r="J314" s="39" t="n"/>
      <c r="K314" s="44">
        <f>IF(C314="","",IFERROR(D314,0)*G314+IFERROR(E314,0)+IFERROR(F314,0))</f>
        <v/>
      </c>
    </row>
    <row r="315">
      <c r="A315" s="42" t="n"/>
      <c r="B315" s="39" t="n"/>
      <c r="C315" s="39" t="n"/>
      <c r="D315" s="43" t="n"/>
      <c r="E315" s="40" t="n"/>
      <c r="F315" s="40" t="n"/>
      <c r="G315" s="44">
        <f>IFERROR(VLOOKUP(C315,Cleaners!$B$6:$I$35,8,FALSE),0)</f>
        <v/>
      </c>
      <c r="H315" s="39" t="n"/>
      <c r="I315" s="46" t="n"/>
      <c r="J315" s="39" t="n"/>
      <c r="K315" s="44">
        <f>IF(C315="","",IFERROR(D315,0)*G315+IFERROR(E315,0)+IFERROR(F315,0))</f>
        <v/>
      </c>
    </row>
    <row r="316">
      <c r="A316" s="42" t="n"/>
      <c r="B316" s="39" t="n"/>
      <c r="C316" s="39" t="n"/>
      <c r="D316" s="43" t="n"/>
      <c r="E316" s="40" t="n"/>
      <c r="F316" s="40" t="n"/>
      <c r="G316" s="44">
        <f>IFERROR(VLOOKUP(C316,Cleaners!$B$6:$I$35,8,FALSE),0)</f>
        <v/>
      </c>
      <c r="H316" s="39" t="n"/>
      <c r="I316" s="46" t="n"/>
      <c r="J316" s="39" t="n"/>
      <c r="K316" s="44">
        <f>IF(C316="","",IFERROR(D316,0)*G316+IFERROR(E316,0)+IFERROR(F316,0))</f>
        <v/>
      </c>
    </row>
    <row r="317">
      <c r="A317" s="42" t="n"/>
      <c r="B317" s="39" t="n"/>
      <c r="C317" s="39" t="n"/>
      <c r="D317" s="43" t="n"/>
      <c r="E317" s="40" t="n"/>
      <c r="F317" s="40" t="n"/>
      <c r="G317" s="44">
        <f>IFERROR(VLOOKUP(C317,Cleaners!$B$6:$I$35,8,FALSE),0)</f>
        <v/>
      </c>
      <c r="H317" s="39" t="n"/>
      <c r="I317" s="46" t="n"/>
      <c r="J317" s="39" t="n"/>
      <c r="K317" s="44">
        <f>IF(C317="","",IFERROR(D317,0)*G317+IFERROR(E317,0)+IFERROR(F317,0))</f>
        <v/>
      </c>
    </row>
    <row r="318">
      <c r="A318" s="42" t="n"/>
      <c r="B318" s="39" t="n"/>
      <c r="C318" s="39" t="n"/>
      <c r="D318" s="43" t="n"/>
      <c r="E318" s="40" t="n"/>
      <c r="F318" s="40" t="n"/>
      <c r="G318" s="44">
        <f>IFERROR(VLOOKUP(C318,Cleaners!$B$6:$I$35,8,FALSE),0)</f>
        <v/>
      </c>
      <c r="H318" s="39" t="n"/>
      <c r="I318" s="46" t="n"/>
      <c r="J318" s="39" t="n"/>
      <c r="K318" s="44">
        <f>IF(C318="","",IFERROR(D318,0)*G318+IFERROR(E318,0)+IFERROR(F318,0))</f>
        <v/>
      </c>
    </row>
    <row r="319">
      <c r="A319" s="42" t="n"/>
      <c r="B319" s="39" t="n"/>
      <c r="C319" s="39" t="n"/>
      <c r="D319" s="43" t="n"/>
      <c r="E319" s="40" t="n"/>
      <c r="F319" s="40" t="n"/>
      <c r="G319" s="44">
        <f>IFERROR(VLOOKUP(C319,Cleaners!$B$6:$I$35,8,FALSE),0)</f>
        <v/>
      </c>
      <c r="H319" s="39" t="n"/>
      <c r="I319" s="46" t="n"/>
      <c r="J319" s="39" t="n"/>
      <c r="K319" s="44">
        <f>IF(C319="","",IFERROR(D319,0)*G319+IFERROR(E319,0)+IFERROR(F319,0))</f>
        <v/>
      </c>
    </row>
    <row r="320">
      <c r="A320" s="42" t="n"/>
      <c r="B320" s="39" t="n"/>
      <c r="C320" s="39" t="n"/>
      <c r="D320" s="43" t="n"/>
      <c r="E320" s="40" t="n"/>
      <c r="F320" s="40" t="n"/>
      <c r="G320" s="44">
        <f>IFERROR(VLOOKUP(C320,Cleaners!$B$6:$I$35,8,FALSE),0)</f>
        <v/>
      </c>
      <c r="H320" s="39" t="n"/>
      <c r="I320" s="46" t="n"/>
      <c r="J320" s="39" t="n"/>
      <c r="K320" s="44">
        <f>IF(C320="","",IFERROR(D320,0)*G320+IFERROR(E320,0)+IFERROR(F320,0))</f>
        <v/>
      </c>
    </row>
    <row r="321">
      <c r="A321" s="42" t="n"/>
      <c r="B321" s="39" t="n"/>
      <c r="C321" s="39" t="n"/>
      <c r="D321" s="43" t="n"/>
      <c r="E321" s="40" t="n"/>
      <c r="F321" s="40" t="n"/>
      <c r="G321" s="44">
        <f>IFERROR(VLOOKUP(C321,Cleaners!$B$6:$I$35,8,FALSE),0)</f>
        <v/>
      </c>
      <c r="H321" s="39" t="n"/>
      <c r="I321" s="46" t="n"/>
      <c r="J321" s="39" t="n"/>
      <c r="K321" s="44">
        <f>IF(C321="","",IFERROR(D321,0)*G321+IFERROR(E321,0)+IFERROR(F321,0))</f>
        <v/>
      </c>
    </row>
    <row r="322">
      <c r="A322" s="42" t="n"/>
      <c r="B322" s="39" t="n"/>
      <c r="C322" s="39" t="n"/>
      <c r="D322" s="43" t="n"/>
      <c r="E322" s="40" t="n"/>
      <c r="F322" s="40" t="n"/>
      <c r="G322" s="44">
        <f>IFERROR(VLOOKUP(C322,Cleaners!$B$6:$I$35,8,FALSE),0)</f>
        <v/>
      </c>
      <c r="H322" s="39" t="n"/>
      <c r="I322" s="46" t="n"/>
      <c r="J322" s="39" t="n"/>
      <c r="K322" s="44">
        <f>IF(C322="","",IFERROR(D322,0)*G322+IFERROR(E322,0)+IFERROR(F322,0))</f>
        <v/>
      </c>
    </row>
    <row r="323">
      <c r="A323" s="42" t="n"/>
      <c r="B323" s="39" t="n"/>
      <c r="C323" s="39" t="n"/>
      <c r="D323" s="43" t="n"/>
      <c r="E323" s="40" t="n"/>
      <c r="F323" s="40" t="n"/>
      <c r="G323" s="44">
        <f>IFERROR(VLOOKUP(C323,Cleaners!$B$6:$I$35,8,FALSE),0)</f>
        <v/>
      </c>
      <c r="H323" s="39" t="n"/>
      <c r="I323" s="46" t="n"/>
      <c r="J323" s="39" t="n"/>
      <c r="K323" s="44">
        <f>IF(C323="","",IFERROR(D323,0)*G323+IFERROR(E323,0)+IFERROR(F323,0))</f>
        <v/>
      </c>
    </row>
    <row r="324">
      <c r="A324" s="42" t="n"/>
      <c r="B324" s="39" t="n"/>
      <c r="C324" s="39" t="n"/>
      <c r="D324" s="43" t="n"/>
      <c r="E324" s="40" t="n"/>
      <c r="F324" s="40" t="n"/>
      <c r="G324" s="44">
        <f>IFERROR(VLOOKUP(C324,Cleaners!$B$6:$I$35,8,FALSE),0)</f>
        <v/>
      </c>
      <c r="H324" s="39" t="n"/>
      <c r="I324" s="46" t="n"/>
      <c r="J324" s="39" t="n"/>
      <c r="K324" s="44">
        <f>IF(C324="","",IFERROR(D324,0)*G324+IFERROR(E324,0)+IFERROR(F324,0))</f>
        <v/>
      </c>
    </row>
    <row r="325">
      <c r="A325" s="42" t="n"/>
      <c r="B325" s="39" t="n"/>
      <c r="C325" s="39" t="n"/>
      <c r="D325" s="43" t="n"/>
      <c r="E325" s="40" t="n"/>
      <c r="F325" s="40" t="n"/>
      <c r="G325" s="44">
        <f>IFERROR(VLOOKUP(C325,Cleaners!$B$6:$I$35,8,FALSE),0)</f>
        <v/>
      </c>
      <c r="H325" s="39" t="n"/>
      <c r="I325" s="46" t="n"/>
      <c r="J325" s="39" t="n"/>
      <c r="K325" s="44">
        <f>IF(C325="","",IFERROR(D325,0)*G325+IFERROR(E325,0)+IFERROR(F325,0))</f>
        <v/>
      </c>
    </row>
    <row r="326">
      <c r="A326" s="42" t="n"/>
      <c r="B326" s="39" t="n"/>
      <c r="C326" s="39" t="n"/>
      <c r="D326" s="43" t="n"/>
      <c r="E326" s="40" t="n"/>
      <c r="F326" s="40" t="n"/>
      <c r="G326" s="44">
        <f>IFERROR(VLOOKUP(C326,Cleaners!$B$6:$I$35,8,FALSE),0)</f>
        <v/>
      </c>
      <c r="H326" s="39" t="n"/>
      <c r="I326" s="46" t="n"/>
      <c r="J326" s="39" t="n"/>
      <c r="K326" s="44">
        <f>IF(C326="","",IFERROR(D326,0)*G326+IFERROR(E326,0)+IFERROR(F326,0))</f>
        <v/>
      </c>
    </row>
    <row r="327">
      <c r="A327" s="42" t="n"/>
      <c r="B327" s="39" t="n"/>
      <c r="C327" s="39" t="n"/>
      <c r="D327" s="43" t="n"/>
      <c r="E327" s="40" t="n"/>
      <c r="F327" s="40" t="n"/>
      <c r="G327" s="44">
        <f>IFERROR(VLOOKUP(C327,Cleaners!$B$6:$I$35,8,FALSE),0)</f>
        <v/>
      </c>
      <c r="H327" s="39" t="n"/>
      <c r="I327" s="46" t="n"/>
      <c r="J327" s="39" t="n"/>
      <c r="K327" s="44">
        <f>IF(C327="","",IFERROR(D327,0)*G327+IFERROR(E327,0)+IFERROR(F327,0))</f>
        <v/>
      </c>
    </row>
    <row r="328">
      <c r="A328" s="42" t="n"/>
      <c r="B328" s="39" t="n"/>
      <c r="C328" s="39" t="n"/>
      <c r="D328" s="43" t="n"/>
      <c r="E328" s="40" t="n"/>
      <c r="F328" s="40" t="n"/>
      <c r="G328" s="44">
        <f>IFERROR(VLOOKUP(C328,Cleaners!$B$6:$I$35,8,FALSE),0)</f>
        <v/>
      </c>
      <c r="H328" s="39" t="n"/>
      <c r="I328" s="46" t="n"/>
      <c r="J328" s="39" t="n"/>
      <c r="K328" s="44">
        <f>IF(C328="","",IFERROR(D328,0)*G328+IFERROR(E328,0)+IFERROR(F328,0))</f>
        <v/>
      </c>
    </row>
    <row r="329">
      <c r="A329" s="42" t="n"/>
      <c r="B329" s="39" t="n"/>
      <c r="C329" s="39" t="n"/>
      <c r="D329" s="43" t="n"/>
      <c r="E329" s="40" t="n"/>
      <c r="F329" s="40" t="n"/>
      <c r="G329" s="44">
        <f>IFERROR(VLOOKUP(C329,Cleaners!$B$6:$I$35,8,FALSE),0)</f>
        <v/>
      </c>
      <c r="H329" s="39" t="n"/>
      <c r="I329" s="46" t="n"/>
      <c r="J329" s="39" t="n"/>
      <c r="K329" s="44">
        <f>IF(C329="","",IFERROR(D329,0)*G329+IFERROR(E329,0)+IFERROR(F329,0))</f>
        <v/>
      </c>
    </row>
    <row r="330">
      <c r="A330" s="42" t="n"/>
      <c r="B330" s="39" t="n"/>
      <c r="C330" s="39" t="n"/>
      <c r="D330" s="43" t="n"/>
      <c r="E330" s="40" t="n"/>
      <c r="F330" s="40" t="n"/>
      <c r="G330" s="44">
        <f>IFERROR(VLOOKUP(C330,Cleaners!$B$6:$I$35,8,FALSE),0)</f>
        <v/>
      </c>
      <c r="H330" s="39" t="n"/>
      <c r="I330" s="46" t="n"/>
      <c r="J330" s="39" t="n"/>
      <c r="K330" s="44">
        <f>IF(C330="","",IFERROR(D330,0)*G330+IFERROR(E330,0)+IFERROR(F330,0))</f>
        <v/>
      </c>
    </row>
    <row r="331">
      <c r="A331" s="42" t="n"/>
      <c r="B331" s="39" t="n"/>
      <c r="C331" s="39" t="n"/>
      <c r="D331" s="43" t="n"/>
      <c r="E331" s="40" t="n"/>
      <c r="F331" s="40" t="n"/>
      <c r="G331" s="44">
        <f>IFERROR(VLOOKUP(C331,Cleaners!$B$6:$I$35,8,FALSE),0)</f>
        <v/>
      </c>
      <c r="H331" s="39" t="n"/>
      <c r="I331" s="46" t="n"/>
      <c r="J331" s="39" t="n"/>
      <c r="K331" s="44">
        <f>IF(C331="","",IFERROR(D331,0)*G331+IFERROR(E331,0)+IFERROR(F331,0))</f>
        <v/>
      </c>
    </row>
    <row r="332">
      <c r="A332" s="42" t="n"/>
      <c r="B332" s="39" t="n"/>
      <c r="C332" s="39" t="n"/>
      <c r="D332" s="43" t="n"/>
      <c r="E332" s="40" t="n"/>
      <c r="F332" s="40" t="n"/>
      <c r="G332" s="44">
        <f>IFERROR(VLOOKUP(C332,Cleaners!$B$6:$I$35,8,FALSE),0)</f>
        <v/>
      </c>
      <c r="H332" s="39" t="n"/>
      <c r="I332" s="46" t="n"/>
      <c r="J332" s="39" t="n"/>
      <c r="K332" s="44">
        <f>IF(C332="","",IFERROR(D332,0)*G332+IFERROR(E332,0)+IFERROR(F332,0))</f>
        <v/>
      </c>
    </row>
    <row r="333">
      <c r="A333" s="42" t="n"/>
      <c r="B333" s="39" t="n"/>
      <c r="C333" s="39" t="n"/>
      <c r="D333" s="43" t="n"/>
      <c r="E333" s="40" t="n"/>
      <c r="F333" s="40" t="n"/>
      <c r="G333" s="44">
        <f>IFERROR(VLOOKUP(C333,Cleaners!$B$6:$I$35,8,FALSE),0)</f>
        <v/>
      </c>
      <c r="H333" s="39" t="n"/>
      <c r="I333" s="46" t="n"/>
      <c r="J333" s="39" t="n"/>
      <c r="K333" s="44">
        <f>IF(C333="","",IFERROR(D333,0)*G333+IFERROR(E333,0)+IFERROR(F333,0))</f>
        <v/>
      </c>
    </row>
    <row r="334">
      <c r="A334" s="42" t="n"/>
      <c r="B334" s="39" t="n"/>
      <c r="C334" s="39" t="n"/>
      <c r="D334" s="43" t="n"/>
      <c r="E334" s="40" t="n"/>
      <c r="F334" s="40" t="n"/>
      <c r="G334" s="44">
        <f>IFERROR(VLOOKUP(C334,Cleaners!$B$6:$I$35,8,FALSE),0)</f>
        <v/>
      </c>
      <c r="H334" s="39" t="n"/>
      <c r="I334" s="46" t="n"/>
      <c r="J334" s="39" t="n"/>
      <c r="K334" s="44">
        <f>IF(C334="","",IFERROR(D334,0)*G334+IFERROR(E334,0)+IFERROR(F334,0))</f>
        <v/>
      </c>
    </row>
    <row r="335">
      <c r="A335" s="42" t="n"/>
      <c r="B335" s="39" t="n"/>
      <c r="C335" s="39" t="n"/>
      <c r="D335" s="43" t="n"/>
      <c r="E335" s="40" t="n"/>
      <c r="F335" s="40" t="n"/>
      <c r="G335" s="44">
        <f>IFERROR(VLOOKUP(C335,Cleaners!$B$6:$I$35,8,FALSE),0)</f>
        <v/>
      </c>
      <c r="H335" s="39" t="n"/>
      <c r="I335" s="46" t="n"/>
      <c r="J335" s="39" t="n"/>
      <c r="K335" s="44">
        <f>IF(C335="","",IFERROR(D335,0)*G335+IFERROR(E335,0)+IFERROR(F335,0))</f>
        <v/>
      </c>
    </row>
    <row r="336">
      <c r="A336" s="42" t="n"/>
      <c r="B336" s="39" t="n"/>
      <c r="C336" s="39" t="n"/>
      <c r="D336" s="43" t="n"/>
      <c r="E336" s="40" t="n"/>
      <c r="F336" s="40" t="n"/>
      <c r="G336" s="44">
        <f>IFERROR(VLOOKUP(C336,Cleaners!$B$6:$I$35,8,FALSE),0)</f>
        <v/>
      </c>
      <c r="H336" s="39" t="n"/>
      <c r="I336" s="46" t="n"/>
      <c r="J336" s="39" t="n"/>
      <c r="K336" s="44">
        <f>IF(C336="","",IFERROR(D336,0)*G336+IFERROR(E336,0)+IFERROR(F336,0))</f>
        <v/>
      </c>
    </row>
    <row r="337">
      <c r="A337" s="42" t="n"/>
      <c r="B337" s="39" t="n"/>
      <c r="C337" s="39" t="n"/>
      <c r="D337" s="43" t="n"/>
      <c r="E337" s="40" t="n"/>
      <c r="F337" s="40" t="n"/>
      <c r="G337" s="44">
        <f>IFERROR(VLOOKUP(C337,Cleaners!$B$6:$I$35,8,FALSE),0)</f>
        <v/>
      </c>
      <c r="H337" s="39" t="n"/>
      <c r="I337" s="46" t="n"/>
      <c r="J337" s="39" t="n"/>
      <c r="K337" s="44">
        <f>IF(C337="","",IFERROR(D337,0)*G337+IFERROR(E337,0)+IFERROR(F337,0))</f>
        <v/>
      </c>
    </row>
    <row r="338">
      <c r="A338" s="42" t="n"/>
      <c r="B338" s="39" t="n"/>
      <c r="C338" s="39" t="n"/>
      <c r="D338" s="43" t="n"/>
      <c r="E338" s="40" t="n"/>
      <c r="F338" s="40" t="n"/>
      <c r="G338" s="44">
        <f>IFERROR(VLOOKUP(C338,Cleaners!$B$6:$I$35,8,FALSE),0)</f>
        <v/>
      </c>
      <c r="H338" s="39" t="n"/>
      <c r="I338" s="46" t="n"/>
      <c r="J338" s="39" t="n"/>
      <c r="K338" s="44">
        <f>IF(C338="","",IFERROR(D338,0)*G338+IFERROR(E338,0)+IFERROR(F338,0))</f>
        <v/>
      </c>
    </row>
    <row r="339">
      <c r="A339" s="42" t="n"/>
      <c r="B339" s="39" t="n"/>
      <c r="C339" s="39" t="n"/>
      <c r="D339" s="43" t="n"/>
      <c r="E339" s="40" t="n"/>
      <c r="F339" s="40" t="n"/>
      <c r="G339" s="44">
        <f>IFERROR(VLOOKUP(C339,Cleaners!$B$6:$I$35,8,FALSE),0)</f>
        <v/>
      </c>
      <c r="H339" s="39" t="n"/>
      <c r="I339" s="46" t="n"/>
      <c r="J339" s="39" t="n"/>
      <c r="K339" s="44">
        <f>IF(C339="","",IFERROR(D339,0)*G339+IFERROR(E339,0)+IFERROR(F339,0))</f>
        <v/>
      </c>
    </row>
    <row r="340">
      <c r="A340" s="42" t="n"/>
      <c r="B340" s="39" t="n"/>
      <c r="C340" s="39" t="n"/>
      <c r="D340" s="43" t="n"/>
      <c r="E340" s="40" t="n"/>
      <c r="F340" s="40" t="n"/>
      <c r="G340" s="44">
        <f>IFERROR(VLOOKUP(C340,Cleaners!$B$6:$I$35,8,FALSE),0)</f>
        <v/>
      </c>
      <c r="H340" s="39" t="n"/>
      <c r="I340" s="46" t="n"/>
      <c r="J340" s="39" t="n"/>
      <c r="K340" s="44">
        <f>IF(C340="","",IFERROR(D340,0)*G340+IFERROR(E340,0)+IFERROR(F340,0))</f>
        <v/>
      </c>
    </row>
    <row r="341">
      <c r="A341" s="42" t="n"/>
      <c r="B341" s="39" t="n"/>
      <c r="C341" s="39" t="n"/>
      <c r="D341" s="43" t="n"/>
      <c r="E341" s="40" t="n"/>
      <c r="F341" s="40" t="n"/>
      <c r="G341" s="44">
        <f>IFERROR(VLOOKUP(C341,Cleaners!$B$6:$I$35,8,FALSE),0)</f>
        <v/>
      </c>
      <c r="H341" s="39" t="n"/>
      <c r="I341" s="46" t="n"/>
      <c r="J341" s="39" t="n"/>
      <c r="K341" s="44">
        <f>IF(C341="","",IFERROR(D341,0)*G341+IFERROR(E341,0)+IFERROR(F341,0))</f>
        <v/>
      </c>
    </row>
    <row r="342">
      <c r="A342" s="42" t="n"/>
      <c r="B342" s="39" t="n"/>
      <c r="C342" s="39" t="n"/>
      <c r="D342" s="43" t="n"/>
      <c r="E342" s="40" t="n"/>
      <c r="F342" s="40" t="n"/>
      <c r="G342" s="44">
        <f>IFERROR(VLOOKUP(C342,Cleaners!$B$6:$I$35,8,FALSE),0)</f>
        <v/>
      </c>
      <c r="H342" s="39" t="n"/>
      <c r="I342" s="46" t="n"/>
      <c r="J342" s="39" t="n"/>
      <c r="K342" s="44">
        <f>IF(C342="","",IFERROR(D342,0)*G342+IFERROR(E342,0)+IFERROR(F342,0))</f>
        <v/>
      </c>
    </row>
    <row r="343">
      <c r="A343" s="42" t="n"/>
      <c r="B343" s="39" t="n"/>
      <c r="C343" s="39" t="n"/>
      <c r="D343" s="43" t="n"/>
      <c r="E343" s="40" t="n"/>
      <c r="F343" s="40" t="n"/>
      <c r="G343" s="44">
        <f>IFERROR(VLOOKUP(C343,Cleaners!$B$6:$I$35,8,FALSE),0)</f>
        <v/>
      </c>
      <c r="H343" s="39" t="n"/>
      <c r="I343" s="46" t="n"/>
      <c r="J343" s="39" t="n"/>
      <c r="K343" s="44">
        <f>IF(C343="","",IFERROR(D343,0)*G343+IFERROR(E343,0)+IFERROR(F343,0))</f>
        <v/>
      </c>
    </row>
    <row r="344">
      <c r="A344" s="42" t="n"/>
      <c r="B344" s="39" t="n"/>
      <c r="C344" s="39" t="n"/>
      <c r="D344" s="43" t="n"/>
      <c r="E344" s="40" t="n"/>
      <c r="F344" s="40" t="n"/>
      <c r="G344" s="44">
        <f>IFERROR(VLOOKUP(C344,Cleaners!$B$6:$I$35,8,FALSE),0)</f>
        <v/>
      </c>
      <c r="H344" s="39" t="n"/>
      <c r="I344" s="46" t="n"/>
      <c r="J344" s="39" t="n"/>
      <c r="K344" s="44">
        <f>IF(C344="","",IFERROR(D344,0)*G344+IFERROR(E344,0)+IFERROR(F344,0))</f>
        <v/>
      </c>
    </row>
    <row r="345">
      <c r="A345" s="42" t="n"/>
      <c r="B345" s="39" t="n"/>
      <c r="C345" s="39" t="n"/>
      <c r="D345" s="43" t="n"/>
      <c r="E345" s="40" t="n"/>
      <c r="F345" s="40" t="n"/>
      <c r="G345" s="44">
        <f>IFERROR(VLOOKUP(C345,Cleaners!$B$6:$I$35,8,FALSE),0)</f>
        <v/>
      </c>
      <c r="H345" s="39" t="n"/>
      <c r="I345" s="46" t="n"/>
      <c r="J345" s="39" t="n"/>
      <c r="K345" s="44">
        <f>IF(C345="","",IFERROR(D345,0)*G345+IFERROR(E345,0)+IFERROR(F345,0))</f>
        <v/>
      </c>
    </row>
    <row r="346">
      <c r="A346" s="42" t="n"/>
      <c r="B346" s="39" t="n"/>
      <c r="C346" s="39" t="n"/>
      <c r="D346" s="43" t="n"/>
      <c r="E346" s="40" t="n"/>
      <c r="F346" s="40" t="n"/>
      <c r="G346" s="44">
        <f>IFERROR(VLOOKUP(C346,Cleaners!$B$6:$I$35,8,FALSE),0)</f>
        <v/>
      </c>
      <c r="H346" s="39" t="n"/>
      <c r="I346" s="46" t="n"/>
      <c r="J346" s="39" t="n"/>
      <c r="K346" s="44">
        <f>IF(C346="","",IFERROR(D346,0)*G346+IFERROR(E346,0)+IFERROR(F346,0))</f>
        <v/>
      </c>
    </row>
    <row r="347">
      <c r="A347" s="42" t="n"/>
      <c r="B347" s="39" t="n"/>
      <c r="C347" s="39" t="n"/>
      <c r="D347" s="43" t="n"/>
      <c r="E347" s="40" t="n"/>
      <c r="F347" s="40" t="n"/>
      <c r="G347" s="44">
        <f>IFERROR(VLOOKUP(C347,Cleaners!$B$6:$I$35,8,FALSE),0)</f>
        <v/>
      </c>
      <c r="H347" s="39" t="n"/>
      <c r="I347" s="46" t="n"/>
      <c r="J347" s="39" t="n"/>
      <c r="K347" s="44">
        <f>IF(C347="","",IFERROR(D347,0)*G347+IFERROR(E347,0)+IFERROR(F347,0))</f>
        <v/>
      </c>
    </row>
    <row r="348">
      <c r="A348" s="42" t="n"/>
      <c r="B348" s="39" t="n"/>
      <c r="C348" s="39" t="n"/>
      <c r="D348" s="43" t="n"/>
      <c r="E348" s="40" t="n"/>
      <c r="F348" s="40" t="n"/>
      <c r="G348" s="44">
        <f>IFERROR(VLOOKUP(C348,Cleaners!$B$6:$I$35,8,FALSE),0)</f>
        <v/>
      </c>
      <c r="H348" s="39" t="n"/>
      <c r="I348" s="46" t="n"/>
      <c r="J348" s="39" t="n"/>
      <c r="K348" s="44">
        <f>IF(C348="","",IFERROR(D348,0)*G348+IFERROR(E348,0)+IFERROR(F348,0))</f>
        <v/>
      </c>
    </row>
    <row r="349">
      <c r="A349" s="42" t="n"/>
      <c r="B349" s="39" t="n"/>
      <c r="C349" s="39" t="n"/>
      <c r="D349" s="43" t="n"/>
      <c r="E349" s="40" t="n"/>
      <c r="F349" s="40" t="n"/>
      <c r="G349" s="44">
        <f>IFERROR(VLOOKUP(C349,Cleaners!$B$6:$I$35,8,FALSE),0)</f>
        <v/>
      </c>
      <c r="H349" s="39" t="n"/>
      <c r="I349" s="46" t="n"/>
      <c r="J349" s="39" t="n"/>
      <c r="K349" s="44">
        <f>IF(C349="","",IFERROR(D349,0)*G349+IFERROR(E349,0)+IFERROR(F349,0))</f>
        <v/>
      </c>
    </row>
    <row r="350">
      <c r="A350" s="42" t="n"/>
      <c r="B350" s="39" t="n"/>
      <c r="C350" s="39" t="n"/>
      <c r="D350" s="43" t="n"/>
      <c r="E350" s="40" t="n"/>
      <c r="F350" s="40" t="n"/>
      <c r="G350" s="44">
        <f>IFERROR(VLOOKUP(C350,Cleaners!$B$6:$I$35,8,FALSE),0)</f>
        <v/>
      </c>
      <c r="H350" s="39" t="n"/>
      <c r="I350" s="46" t="n"/>
      <c r="J350" s="39" t="n"/>
      <c r="K350" s="44">
        <f>IF(C350="","",IFERROR(D350,0)*G350+IFERROR(E350,0)+IFERROR(F350,0))</f>
        <v/>
      </c>
    </row>
    <row r="351">
      <c r="A351" s="42" t="n"/>
      <c r="B351" s="39" t="n"/>
      <c r="C351" s="39" t="n"/>
      <c r="D351" s="43" t="n"/>
      <c r="E351" s="40" t="n"/>
      <c r="F351" s="40" t="n"/>
      <c r="G351" s="44">
        <f>IFERROR(VLOOKUP(C351,Cleaners!$B$6:$I$35,8,FALSE),0)</f>
        <v/>
      </c>
      <c r="H351" s="39" t="n"/>
      <c r="I351" s="46" t="n"/>
      <c r="J351" s="39" t="n"/>
      <c r="K351" s="44">
        <f>IF(C351="","",IFERROR(D351,0)*G351+IFERROR(E351,0)+IFERROR(F351,0))</f>
        <v/>
      </c>
    </row>
    <row r="352">
      <c r="A352" s="42" t="n"/>
      <c r="B352" s="39" t="n"/>
      <c r="C352" s="39" t="n"/>
      <c r="D352" s="43" t="n"/>
      <c r="E352" s="40" t="n"/>
      <c r="F352" s="40" t="n"/>
      <c r="G352" s="44">
        <f>IFERROR(VLOOKUP(C352,Cleaners!$B$6:$I$35,8,FALSE),0)</f>
        <v/>
      </c>
      <c r="H352" s="39" t="n"/>
      <c r="I352" s="46" t="n"/>
      <c r="J352" s="39" t="n"/>
      <c r="K352" s="44">
        <f>IF(C352="","",IFERROR(D352,0)*G352+IFERROR(E352,0)+IFERROR(F352,0))</f>
        <v/>
      </c>
    </row>
    <row r="353">
      <c r="A353" s="42" t="n"/>
      <c r="B353" s="39" t="n"/>
      <c r="C353" s="39" t="n"/>
      <c r="D353" s="43" t="n"/>
      <c r="E353" s="40" t="n"/>
      <c r="F353" s="40" t="n"/>
      <c r="G353" s="44">
        <f>IFERROR(VLOOKUP(C353,Cleaners!$B$6:$I$35,8,FALSE),0)</f>
        <v/>
      </c>
      <c r="H353" s="39" t="n"/>
      <c r="I353" s="46" t="n"/>
      <c r="J353" s="39" t="n"/>
      <c r="K353" s="44">
        <f>IF(C353="","",IFERROR(D353,0)*G353+IFERROR(E353,0)+IFERROR(F353,0))</f>
        <v/>
      </c>
    </row>
    <row r="354">
      <c r="A354" s="42" t="n"/>
      <c r="B354" s="39" t="n"/>
      <c r="C354" s="39" t="n"/>
      <c r="D354" s="43" t="n"/>
      <c r="E354" s="40" t="n"/>
      <c r="F354" s="40" t="n"/>
      <c r="G354" s="44">
        <f>IFERROR(VLOOKUP(C354,Cleaners!$B$6:$I$35,8,FALSE),0)</f>
        <v/>
      </c>
      <c r="H354" s="39" t="n"/>
      <c r="I354" s="46" t="n"/>
      <c r="J354" s="39" t="n"/>
      <c r="K354" s="44">
        <f>IF(C354="","",IFERROR(D354,0)*G354+IFERROR(E354,0)+IFERROR(F354,0))</f>
        <v/>
      </c>
    </row>
    <row r="355">
      <c r="A355" s="42" t="n"/>
      <c r="B355" s="39" t="n"/>
      <c r="C355" s="39" t="n"/>
      <c r="D355" s="43" t="n"/>
      <c r="E355" s="40" t="n"/>
      <c r="F355" s="40" t="n"/>
      <c r="G355" s="44">
        <f>IFERROR(VLOOKUP(C355,Cleaners!$B$6:$I$35,8,FALSE),0)</f>
        <v/>
      </c>
      <c r="H355" s="39" t="n"/>
      <c r="I355" s="46" t="n"/>
      <c r="J355" s="39" t="n"/>
      <c r="K355" s="44">
        <f>IF(C355="","",IFERROR(D355,0)*G355+IFERROR(E355,0)+IFERROR(F355,0))</f>
        <v/>
      </c>
    </row>
    <row r="356">
      <c r="A356" s="42" t="n"/>
      <c r="B356" s="39" t="n"/>
      <c r="C356" s="39" t="n"/>
      <c r="D356" s="43" t="n"/>
      <c r="E356" s="40" t="n"/>
      <c r="F356" s="40" t="n"/>
      <c r="G356" s="44">
        <f>IFERROR(VLOOKUP(C356,Cleaners!$B$6:$I$35,8,FALSE),0)</f>
        <v/>
      </c>
      <c r="H356" s="39" t="n"/>
      <c r="I356" s="46" t="n"/>
      <c r="J356" s="39" t="n"/>
      <c r="K356" s="44">
        <f>IF(C356="","",IFERROR(D356,0)*G356+IFERROR(E356,0)+IFERROR(F356,0))</f>
        <v/>
      </c>
    </row>
    <row r="357">
      <c r="A357" s="42" t="n"/>
      <c r="B357" s="39" t="n"/>
      <c r="C357" s="39" t="n"/>
      <c r="D357" s="43" t="n"/>
      <c r="E357" s="40" t="n"/>
      <c r="F357" s="40" t="n"/>
      <c r="G357" s="44">
        <f>IFERROR(VLOOKUP(C357,Cleaners!$B$6:$I$35,8,FALSE),0)</f>
        <v/>
      </c>
      <c r="H357" s="39" t="n"/>
      <c r="I357" s="46" t="n"/>
      <c r="J357" s="39" t="n"/>
      <c r="K357" s="44">
        <f>IF(C357="","",IFERROR(D357,0)*G357+IFERROR(E357,0)+IFERROR(F357,0))</f>
        <v/>
      </c>
    </row>
    <row r="358">
      <c r="A358" s="42" t="n"/>
      <c r="B358" s="39" t="n"/>
      <c r="C358" s="39" t="n"/>
      <c r="D358" s="43" t="n"/>
      <c r="E358" s="40" t="n"/>
      <c r="F358" s="40" t="n"/>
      <c r="G358" s="44">
        <f>IFERROR(VLOOKUP(C358,Cleaners!$B$6:$I$35,8,FALSE),0)</f>
        <v/>
      </c>
      <c r="H358" s="39" t="n"/>
      <c r="I358" s="46" t="n"/>
      <c r="J358" s="39" t="n"/>
      <c r="K358" s="44">
        <f>IF(C358="","",IFERROR(D358,0)*G358+IFERROR(E358,0)+IFERROR(F358,0))</f>
        <v/>
      </c>
    </row>
    <row r="359">
      <c r="A359" s="42" t="n"/>
      <c r="B359" s="39" t="n"/>
      <c r="C359" s="39" t="n"/>
      <c r="D359" s="43" t="n"/>
      <c r="E359" s="40" t="n"/>
      <c r="F359" s="40" t="n"/>
      <c r="G359" s="44">
        <f>IFERROR(VLOOKUP(C359,Cleaners!$B$6:$I$35,8,FALSE),0)</f>
        <v/>
      </c>
      <c r="H359" s="39" t="n"/>
      <c r="I359" s="46" t="n"/>
      <c r="J359" s="39" t="n"/>
      <c r="K359" s="44">
        <f>IF(C359="","",IFERROR(D359,0)*G359+IFERROR(E359,0)+IFERROR(F359,0))</f>
        <v/>
      </c>
    </row>
    <row r="360">
      <c r="A360" s="42" t="n"/>
      <c r="B360" s="39" t="n"/>
      <c r="C360" s="39" t="n"/>
      <c r="D360" s="43" t="n"/>
      <c r="E360" s="40" t="n"/>
      <c r="F360" s="40" t="n"/>
      <c r="G360" s="44">
        <f>IFERROR(VLOOKUP(C360,Cleaners!$B$6:$I$35,8,FALSE),0)</f>
        <v/>
      </c>
      <c r="H360" s="39" t="n"/>
      <c r="I360" s="46" t="n"/>
      <c r="J360" s="39" t="n"/>
      <c r="K360" s="44">
        <f>IF(C360="","",IFERROR(D360,0)*G360+IFERROR(E360,0)+IFERROR(F360,0))</f>
        <v/>
      </c>
    </row>
    <row r="361">
      <c r="A361" s="42" t="n"/>
      <c r="B361" s="39" t="n"/>
      <c r="C361" s="39" t="n"/>
      <c r="D361" s="43" t="n"/>
      <c r="E361" s="40" t="n"/>
      <c r="F361" s="40" t="n"/>
      <c r="G361" s="44">
        <f>IFERROR(VLOOKUP(C361,Cleaners!$B$6:$I$35,8,FALSE),0)</f>
        <v/>
      </c>
      <c r="H361" s="39" t="n"/>
      <c r="I361" s="46" t="n"/>
      <c r="J361" s="39" t="n"/>
      <c r="K361" s="44">
        <f>IF(C361="","",IFERROR(D361,0)*G361+IFERROR(E361,0)+IFERROR(F361,0))</f>
        <v/>
      </c>
    </row>
    <row r="362">
      <c r="A362" s="42" t="n"/>
      <c r="B362" s="39" t="n"/>
      <c r="C362" s="39" t="n"/>
      <c r="D362" s="43" t="n"/>
      <c r="E362" s="40" t="n"/>
      <c r="F362" s="40" t="n"/>
      <c r="G362" s="44">
        <f>IFERROR(VLOOKUP(C362,Cleaners!$B$6:$I$35,8,FALSE),0)</f>
        <v/>
      </c>
      <c r="H362" s="39" t="n"/>
      <c r="I362" s="46" t="n"/>
      <c r="J362" s="39" t="n"/>
      <c r="K362" s="44">
        <f>IF(C362="","",IFERROR(D362,0)*G362+IFERROR(E362,0)+IFERROR(F362,0))</f>
        <v/>
      </c>
    </row>
    <row r="363">
      <c r="A363" s="42" t="n"/>
      <c r="B363" s="39" t="n"/>
      <c r="C363" s="39" t="n"/>
      <c r="D363" s="43" t="n"/>
      <c r="E363" s="40" t="n"/>
      <c r="F363" s="40" t="n"/>
      <c r="G363" s="44">
        <f>IFERROR(VLOOKUP(C363,Cleaners!$B$6:$I$35,8,FALSE),0)</f>
        <v/>
      </c>
      <c r="H363" s="39" t="n"/>
      <c r="I363" s="46" t="n"/>
      <c r="J363" s="39" t="n"/>
      <c r="K363" s="44">
        <f>IF(C363="","",IFERROR(D363,0)*G363+IFERROR(E363,0)+IFERROR(F363,0))</f>
        <v/>
      </c>
    </row>
    <row r="364">
      <c r="A364" s="42" t="n"/>
      <c r="B364" s="39" t="n"/>
      <c r="C364" s="39" t="n"/>
      <c r="D364" s="43" t="n"/>
      <c r="E364" s="40" t="n"/>
      <c r="F364" s="40" t="n"/>
      <c r="G364" s="44">
        <f>IFERROR(VLOOKUP(C364,Cleaners!$B$6:$I$35,8,FALSE),0)</f>
        <v/>
      </c>
      <c r="H364" s="39" t="n"/>
      <c r="I364" s="46" t="n"/>
      <c r="J364" s="39" t="n"/>
      <c r="K364" s="44">
        <f>IF(C364="","",IFERROR(D364,0)*G364+IFERROR(E364,0)+IFERROR(F364,0))</f>
        <v/>
      </c>
    </row>
    <row r="365">
      <c r="A365" s="42" t="n"/>
      <c r="B365" s="39" t="n"/>
      <c r="C365" s="39" t="n"/>
      <c r="D365" s="43" t="n"/>
      <c r="E365" s="40" t="n"/>
      <c r="F365" s="40" t="n"/>
      <c r="G365" s="44">
        <f>IFERROR(VLOOKUP(C365,Cleaners!$B$6:$I$35,8,FALSE),0)</f>
        <v/>
      </c>
      <c r="H365" s="39" t="n"/>
      <c r="I365" s="46" t="n"/>
      <c r="J365" s="39" t="n"/>
      <c r="K365" s="44">
        <f>IF(C365="","",IFERROR(D365,0)*G365+IFERROR(E365,0)+IFERROR(F365,0))</f>
        <v/>
      </c>
    </row>
    <row r="366">
      <c r="A366" s="42" t="n"/>
      <c r="B366" s="39" t="n"/>
      <c r="C366" s="39" t="n"/>
      <c r="D366" s="43" t="n"/>
      <c r="E366" s="40" t="n"/>
      <c r="F366" s="40" t="n"/>
      <c r="G366" s="44">
        <f>IFERROR(VLOOKUP(C366,Cleaners!$B$6:$I$35,8,FALSE),0)</f>
        <v/>
      </c>
      <c r="H366" s="39" t="n"/>
      <c r="I366" s="46" t="n"/>
      <c r="J366" s="39" t="n"/>
      <c r="K366" s="44">
        <f>IF(C366="","",IFERROR(D366,0)*G366+IFERROR(E366,0)+IFERROR(F366,0))</f>
        <v/>
      </c>
    </row>
    <row r="367">
      <c r="A367" s="42" t="n"/>
      <c r="B367" s="39" t="n"/>
      <c r="C367" s="39" t="n"/>
      <c r="D367" s="43" t="n"/>
      <c r="E367" s="40" t="n"/>
      <c r="F367" s="40" t="n"/>
      <c r="G367" s="44">
        <f>IFERROR(VLOOKUP(C367,Cleaners!$B$6:$I$35,8,FALSE),0)</f>
        <v/>
      </c>
      <c r="H367" s="39" t="n"/>
      <c r="I367" s="46" t="n"/>
      <c r="J367" s="39" t="n"/>
      <c r="K367" s="44">
        <f>IF(C367="","",IFERROR(D367,0)*G367+IFERROR(E367,0)+IFERROR(F367,0))</f>
        <v/>
      </c>
    </row>
    <row r="368">
      <c r="A368" s="42" t="n"/>
      <c r="B368" s="39" t="n"/>
      <c r="C368" s="39" t="n"/>
      <c r="D368" s="43" t="n"/>
      <c r="E368" s="40" t="n"/>
      <c r="F368" s="40" t="n"/>
      <c r="G368" s="44">
        <f>IFERROR(VLOOKUP(C368,Cleaners!$B$6:$I$35,8,FALSE),0)</f>
        <v/>
      </c>
      <c r="H368" s="39" t="n"/>
      <c r="I368" s="46" t="n"/>
      <c r="J368" s="39" t="n"/>
      <c r="K368" s="44">
        <f>IF(C368="","",IFERROR(D368,0)*G368+IFERROR(E368,0)+IFERROR(F368,0))</f>
        <v/>
      </c>
    </row>
    <row r="369">
      <c r="A369" s="42" t="n"/>
      <c r="B369" s="39" t="n"/>
      <c r="C369" s="39" t="n"/>
      <c r="D369" s="43" t="n"/>
      <c r="E369" s="40" t="n"/>
      <c r="F369" s="40" t="n"/>
      <c r="G369" s="44">
        <f>IFERROR(VLOOKUP(C369,Cleaners!$B$6:$I$35,8,FALSE),0)</f>
        <v/>
      </c>
      <c r="H369" s="39" t="n"/>
      <c r="I369" s="46" t="n"/>
      <c r="J369" s="39" t="n"/>
      <c r="K369" s="44">
        <f>IF(C369="","",IFERROR(D369,0)*G369+IFERROR(E369,0)+IFERROR(F369,0))</f>
        <v/>
      </c>
    </row>
    <row r="370">
      <c r="A370" s="42" t="n"/>
      <c r="B370" s="39" t="n"/>
      <c r="C370" s="39" t="n"/>
      <c r="D370" s="43" t="n"/>
      <c r="E370" s="40" t="n"/>
      <c r="F370" s="40" t="n"/>
      <c r="G370" s="44">
        <f>IFERROR(VLOOKUP(C370,Cleaners!$B$6:$I$35,8,FALSE),0)</f>
        <v/>
      </c>
      <c r="H370" s="39" t="n"/>
      <c r="I370" s="46" t="n"/>
      <c r="J370" s="39" t="n"/>
      <c r="K370" s="44">
        <f>IF(C370="","",IFERROR(D370,0)*G370+IFERROR(E370,0)+IFERROR(F370,0))</f>
        <v/>
      </c>
    </row>
    <row r="371">
      <c r="A371" s="42" t="n"/>
      <c r="B371" s="39" t="n"/>
      <c r="C371" s="39" t="n"/>
      <c r="D371" s="43" t="n"/>
      <c r="E371" s="40" t="n"/>
      <c r="F371" s="40" t="n"/>
      <c r="G371" s="44">
        <f>IFERROR(VLOOKUP(C371,Cleaners!$B$6:$I$35,8,FALSE),0)</f>
        <v/>
      </c>
      <c r="H371" s="39" t="n"/>
      <c r="I371" s="46" t="n"/>
      <c r="J371" s="39" t="n"/>
      <c r="K371" s="44">
        <f>IF(C371="","",IFERROR(D371,0)*G371+IFERROR(E371,0)+IFERROR(F371,0))</f>
        <v/>
      </c>
    </row>
    <row r="372">
      <c r="A372" s="42" t="n"/>
      <c r="B372" s="39" t="n"/>
      <c r="C372" s="39" t="n"/>
      <c r="D372" s="43" t="n"/>
      <c r="E372" s="40" t="n"/>
      <c r="F372" s="40" t="n"/>
      <c r="G372" s="44">
        <f>IFERROR(VLOOKUP(C372,Cleaners!$B$6:$I$35,8,FALSE),0)</f>
        <v/>
      </c>
      <c r="H372" s="39" t="n"/>
      <c r="I372" s="46" t="n"/>
      <c r="J372" s="39" t="n"/>
      <c r="K372" s="44">
        <f>IF(C372="","",IFERROR(D372,0)*G372+IFERROR(E372,0)+IFERROR(F372,0))</f>
        <v/>
      </c>
    </row>
    <row r="373">
      <c r="A373" s="42" t="n"/>
      <c r="B373" s="39" t="n"/>
      <c r="C373" s="39" t="n"/>
      <c r="D373" s="43" t="n"/>
      <c r="E373" s="40" t="n"/>
      <c r="F373" s="40" t="n"/>
      <c r="G373" s="44">
        <f>IFERROR(VLOOKUP(C373,Cleaners!$B$6:$I$35,8,FALSE),0)</f>
        <v/>
      </c>
      <c r="H373" s="39" t="n"/>
      <c r="I373" s="46" t="n"/>
      <c r="J373" s="39" t="n"/>
      <c r="K373" s="44">
        <f>IF(C373="","",IFERROR(D373,0)*G373+IFERROR(E373,0)+IFERROR(F373,0))</f>
        <v/>
      </c>
    </row>
    <row r="374">
      <c r="A374" s="42" t="n"/>
      <c r="B374" s="39" t="n"/>
      <c r="C374" s="39" t="n"/>
      <c r="D374" s="43" t="n"/>
      <c r="E374" s="40" t="n"/>
      <c r="F374" s="40" t="n"/>
      <c r="G374" s="44">
        <f>IFERROR(VLOOKUP(C374,Cleaners!$B$6:$I$35,8,FALSE),0)</f>
        <v/>
      </c>
      <c r="H374" s="39" t="n"/>
      <c r="I374" s="46" t="n"/>
      <c r="J374" s="39" t="n"/>
      <c r="K374" s="44">
        <f>IF(C374="","",IFERROR(D374,0)*G374+IFERROR(E374,0)+IFERROR(F374,0))</f>
        <v/>
      </c>
    </row>
    <row r="375">
      <c r="A375" s="42" t="n"/>
      <c r="B375" s="39" t="n"/>
      <c r="C375" s="39" t="n"/>
      <c r="D375" s="43" t="n"/>
      <c r="E375" s="40" t="n"/>
      <c r="F375" s="40" t="n"/>
      <c r="G375" s="44">
        <f>IFERROR(VLOOKUP(C375,Cleaners!$B$6:$I$35,8,FALSE),0)</f>
        <v/>
      </c>
      <c r="H375" s="39" t="n"/>
      <c r="I375" s="46" t="n"/>
      <c r="J375" s="39" t="n"/>
      <c r="K375" s="44">
        <f>IF(C375="","",IFERROR(D375,0)*G375+IFERROR(E375,0)+IFERROR(F375,0))</f>
        <v/>
      </c>
    </row>
    <row r="376">
      <c r="A376" s="42" t="n"/>
      <c r="B376" s="39" t="n"/>
      <c r="C376" s="39" t="n"/>
      <c r="D376" s="43" t="n"/>
      <c r="E376" s="40" t="n"/>
      <c r="F376" s="40" t="n"/>
      <c r="G376" s="44">
        <f>IFERROR(VLOOKUP(C376,Cleaners!$B$6:$I$35,8,FALSE),0)</f>
        <v/>
      </c>
      <c r="H376" s="39" t="n"/>
      <c r="I376" s="46" t="n"/>
      <c r="J376" s="39" t="n"/>
      <c r="K376" s="44">
        <f>IF(C376="","",IFERROR(D376,0)*G376+IFERROR(E376,0)+IFERROR(F376,0))</f>
        <v/>
      </c>
    </row>
    <row r="377">
      <c r="A377" s="42" t="n"/>
      <c r="B377" s="39" t="n"/>
      <c r="C377" s="39" t="n"/>
      <c r="D377" s="43" t="n"/>
      <c r="E377" s="40" t="n"/>
      <c r="F377" s="40" t="n"/>
      <c r="G377" s="44">
        <f>IFERROR(VLOOKUP(C377,Cleaners!$B$6:$I$35,8,FALSE),0)</f>
        <v/>
      </c>
      <c r="H377" s="39" t="n"/>
      <c r="I377" s="46" t="n"/>
      <c r="J377" s="39" t="n"/>
      <c r="K377" s="44">
        <f>IF(C377="","",IFERROR(D377,0)*G377+IFERROR(E377,0)+IFERROR(F377,0))</f>
        <v/>
      </c>
    </row>
    <row r="378">
      <c r="A378" s="42" t="n"/>
      <c r="B378" s="39" t="n"/>
      <c r="C378" s="39" t="n"/>
      <c r="D378" s="43" t="n"/>
      <c r="E378" s="40" t="n"/>
      <c r="F378" s="40" t="n"/>
      <c r="G378" s="44">
        <f>IFERROR(VLOOKUP(C378,Cleaners!$B$6:$I$35,8,FALSE),0)</f>
        <v/>
      </c>
      <c r="H378" s="39" t="n"/>
      <c r="I378" s="46" t="n"/>
      <c r="J378" s="39" t="n"/>
      <c r="K378" s="44">
        <f>IF(C378="","",IFERROR(D378,0)*G378+IFERROR(E378,0)+IFERROR(F378,0))</f>
        <v/>
      </c>
    </row>
    <row r="379">
      <c r="A379" s="42" t="n"/>
      <c r="B379" s="39" t="n"/>
      <c r="C379" s="39" t="n"/>
      <c r="D379" s="43" t="n"/>
      <c r="E379" s="40" t="n"/>
      <c r="F379" s="40" t="n"/>
      <c r="G379" s="44">
        <f>IFERROR(VLOOKUP(C379,Cleaners!$B$6:$I$35,8,FALSE),0)</f>
        <v/>
      </c>
      <c r="H379" s="39" t="n"/>
      <c r="I379" s="46" t="n"/>
      <c r="J379" s="39" t="n"/>
      <c r="K379" s="44">
        <f>IF(C379="","",IFERROR(D379,0)*G379+IFERROR(E379,0)+IFERROR(F379,0))</f>
        <v/>
      </c>
    </row>
    <row r="380">
      <c r="A380" s="42" t="n"/>
      <c r="B380" s="39" t="n"/>
      <c r="C380" s="39" t="n"/>
      <c r="D380" s="43" t="n"/>
      <c r="E380" s="40" t="n"/>
      <c r="F380" s="40" t="n"/>
      <c r="G380" s="44">
        <f>IFERROR(VLOOKUP(C380,Cleaners!$B$6:$I$35,8,FALSE),0)</f>
        <v/>
      </c>
      <c r="H380" s="39" t="n"/>
      <c r="I380" s="46" t="n"/>
      <c r="J380" s="39" t="n"/>
      <c r="K380" s="44">
        <f>IF(C380="","",IFERROR(D380,0)*G380+IFERROR(E380,0)+IFERROR(F380,0))</f>
        <v/>
      </c>
    </row>
    <row r="381">
      <c r="A381" s="42" t="n"/>
      <c r="B381" s="39" t="n"/>
      <c r="C381" s="39" t="n"/>
      <c r="D381" s="43" t="n"/>
      <c r="E381" s="40" t="n"/>
      <c r="F381" s="40" t="n"/>
      <c r="G381" s="44">
        <f>IFERROR(VLOOKUP(C381,Cleaners!$B$6:$I$35,8,FALSE),0)</f>
        <v/>
      </c>
      <c r="H381" s="39" t="n"/>
      <c r="I381" s="46" t="n"/>
      <c r="J381" s="39" t="n"/>
      <c r="K381" s="44">
        <f>IF(C381="","",IFERROR(D381,0)*G381+IFERROR(E381,0)+IFERROR(F381,0))</f>
        <v/>
      </c>
    </row>
    <row r="382">
      <c r="A382" s="42" t="n"/>
      <c r="B382" s="39" t="n"/>
      <c r="C382" s="39" t="n"/>
      <c r="D382" s="43" t="n"/>
      <c r="E382" s="40" t="n"/>
      <c r="F382" s="40" t="n"/>
      <c r="G382" s="44">
        <f>IFERROR(VLOOKUP(C382,Cleaners!$B$6:$I$35,8,FALSE),0)</f>
        <v/>
      </c>
      <c r="H382" s="39" t="n"/>
      <c r="I382" s="46" t="n"/>
      <c r="J382" s="39" t="n"/>
      <c r="K382" s="44">
        <f>IF(C382="","",IFERROR(D382,0)*G382+IFERROR(E382,0)+IFERROR(F382,0))</f>
        <v/>
      </c>
    </row>
    <row r="383">
      <c r="A383" s="42" t="n"/>
      <c r="B383" s="39" t="n"/>
      <c r="C383" s="39" t="n"/>
      <c r="D383" s="43" t="n"/>
      <c r="E383" s="40" t="n"/>
      <c r="F383" s="40" t="n"/>
      <c r="G383" s="44">
        <f>IFERROR(VLOOKUP(C383,Cleaners!$B$6:$I$35,8,FALSE),0)</f>
        <v/>
      </c>
      <c r="H383" s="39" t="n"/>
      <c r="I383" s="46" t="n"/>
      <c r="J383" s="39" t="n"/>
      <c r="K383" s="44">
        <f>IF(C383="","",IFERROR(D383,0)*G383+IFERROR(E383,0)+IFERROR(F383,0))</f>
        <v/>
      </c>
    </row>
    <row r="384">
      <c r="A384" s="42" t="n"/>
      <c r="B384" s="39" t="n"/>
      <c r="C384" s="39" t="n"/>
      <c r="D384" s="43" t="n"/>
      <c r="E384" s="40" t="n"/>
      <c r="F384" s="40" t="n"/>
      <c r="G384" s="44">
        <f>IFERROR(VLOOKUP(C384,Cleaners!$B$6:$I$35,8,FALSE),0)</f>
        <v/>
      </c>
      <c r="H384" s="39" t="n"/>
      <c r="I384" s="46" t="n"/>
      <c r="J384" s="39" t="n"/>
      <c r="K384" s="44">
        <f>IF(C384="","",IFERROR(D384,0)*G384+IFERROR(E384,0)+IFERROR(F384,0))</f>
        <v/>
      </c>
    </row>
    <row r="385">
      <c r="A385" s="42" t="n"/>
      <c r="B385" s="39" t="n"/>
      <c r="C385" s="39" t="n"/>
      <c r="D385" s="43" t="n"/>
      <c r="E385" s="40" t="n"/>
      <c r="F385" s="40" t="n"/>
      <c r="G385" s="44">
        <f>IFERROR(VLOOKUP(C385,Cleaners!$B$6:$I$35,8,FALSE),0)</f>
        <v/>
      </c>
      <c r="H385" s="39" t="n"/>
      <c r="I385" s="46" t="n"/>
      <c r="J385" s="39" t="n"/>
      <c r="K385" s="44">
        <f>IF(C385="","",IFERROR(D385,0)*G385+IFERROR(E385,0)+IFERROR(F385,0))</f>
        <v/>
      </c>
    </row>
    <row r="386">
      <c r="A386" s="42" t="n"/>
      <c r="B386" s="39" t="n"/>
      <c r="C386" s="39" t="n"/>
      <c r="D386" s="43" t="n"/>
      <c r="E386" s="40" t="n"/>
      <c r="F386" s="40" t="n"/>
      <c r="G386" s="44">
        <f>IFERROR(VLOOKUP(C386,Cleaners!$B$6:$I$35,8,FALSE),0)</f>
        <v/>
      </c>
      <c r="H386" s="39" t="n"/>
      <c r="I386" s="46" t="n"/>
      <c r="J386" s="39" t="n"/>
      <c r="K386" s="44">
        <f>IF(C386="","",IFERROR(D386,0)*G386+IFERROR(E386,0)+IFERROR(F386,0))</f>
        <v/>
      </c>
    </row>
    <row r="387">
      <c r="A387" s="42" t="n"/>
      <c r="B387" s="39" t="n"/>
      <c r="C387" s="39" t="n"/>
      <c r="D387" s="43" t="n"/>
      <c r="E387" s="40" t="n"/>
      <c r="F387" s="40" t="n"/>
      <c r="G387" s="44">
        <f>IFERROR(VLOOKUP(C387,Cleaners!$B$6:$I$35,8,FALSE),0)</f>
        <v/>
      </c>
      <c r="H387" s="39" t="n"/>
      <c r="I387" s="46" t="n"/>
      <c r="J387" s="39" t="n"/>
      <c r="K387" s="44">
        <f>IF(C387="","",IFERROR(D387,0)*G387+IFERROR(E387,0)+IFERROR(F387,0))</f>
        <v/>
      </c>
    </row>
    <row r="388">
      <c r="A388" s="42" t="n"/>
      <c r="B388" s="39" t="n"/>
      <c r="C388" s="39" t="n"/>
      <c r="D388" s="43" t="n"/>
      <c r="E388" s="40" t="n"/>
      <c r="F388" s="40" t="n"/>
      <c r="G388" s="44">
        <f>IFERROR(VLOOKUP(C388,Cleaners!$B$6:$I$35,8,FALSE),0)</f>
        <v/>
      </c>
      <c r="H388" s="39" t="n"/>
      <c r="I388" s="46" t="n"/>
      <c r="J388" s="39" t="n"/>
      <c r="K388" s="44">
        <f>IF(C388="","",IFERROR(D388,0)*G388+IFERROR(E388,0)+IFERROR(F388,0))</f>
        <v/>
      </c>
    </row>
    <row r="389">
      <c r="A389" s="42" t="n"/>
      <c r="B389" s="39" t="n"/>
      <c r="C389" s="39" t="n"/>
      <c r="D389" s="43" t="n"/>
      <c r="E389" s="40" t="n"/>
      <c r="F389" s="40" t="n"/>
      <c r="G389" s="44">
        <f>IFERROR(VLOOKUP(C389,Cleaners!$B$6:$I$35,8,FALSE),0)</f>
        <v/>
      </c>
      <c r="H389" s="39" t="n"/>
      <c r="I389" s="46" t="n"/>
      <c r="J389" s="39" t="n"/>
      <c r="K389" s="44">
        <f>IF(C389="","",IFERROR(D389,0)*G389+IFERROR(E389,0)+IFERROR(F389,0))</f>
        <v/>
      </c>
    </row>
    <row r="390">
      <c r="A390" s="42" t="n"/>
      <c r="B390" s="39" t="n"/>
      <c r="C390" s="39" t="n"/>
      <c r="D390" s="43" t="n"/>
      <c r="E390" s="40" t="n"/>
      <c r="F390" s="40" t="n"/>
      <c r="G390" s="44">
        <f>IFERROR(VLOOKUP(C390,Cleaners!$B$6:$I$35,8,FALSE),0)</f>
        <v/>
      </c>
      <c r="H390" s="39" t="n"/>
      <c r="I390" s="46" t="n"/>
      <c r="J390" s="39" t="n"/>
      <c r="K390" s="44">
        <f>IF(C390="","",IFERROR(D390,0)*G390+IFERROR(E390,0)+IFERROR(F390,0))</f>
        <v/>
      </c>
    </row>
    <row r="391">
      <c r="A391" s="42" t="n"/>
      <c r="B391" s="39" t="n"/>
      <c r="C391" s="39" t="n"/>
      <c r="D391" s="43" t="n"/>
      <c r="E391" s="40" t="n"/>
      <c r="F391" s="40" t="n"/>
      <c r="G391" s="44">
        <f>IFERROR(VLOOKUP(C391,Cleaners!$B$6:$I$35,8,FALSE),0)</f>
        <v/>
      </c>
      <c r="H391" s="39" t="n"/>
      <c r="I391" s="46" t="n"/>
      <c r="J391" s="39" t="n"/>
      <c r="K391" s="44">
        <f>IF(C391="","",IFERROR(D391,0)*G391+IFERROR(E391,0)+IFERROR(F391,0))</f>
        <v/>
      </c>
    </row>
    <row r="392">
      <c r="A392" s="42" t="n"/>
      <c r="B392" s="39" t="n"/>
      <c r="C392" s="39" t="n"/>
      <c r="D392" s="43" t="n"/>
      <c r="E392" s="40" t="n"/>
      <c r="F392" s="40" t="n"/>
      <c r="G392" s="44">
        <f>IFERROR(VLOOKUP(C392,Cleaners!$B$6:$I$35,8,FALSE),0)</f>
        <v/>
      </c>
      <c r="H392" s="39" t="n"/>
      <c r="I392" s="46" t="n"/>
      <c r="J392" s="39" t="n"/>
      <c r="K392" s="44">
        <f>IF(C392="","",IFERROR(D392,0)*G392+IFERROR(E392,0)+IFERROR(F392,0))</f>
        <v/>
      </c>
    </row>
    <row r="393">
      <c r="A393" s="42" t="n"/>
      <c r="B393" s="39" t="n"/>
      <c r="C393" s="39" t="n"/>
      <c r="D393" s="43" t="n"/>
      <c r="E393" s="40" t="n"/>
      <c r="F393" s="40" t="n"/>
      <c r="G393" s="44">
        <f>IFERROR(VLOOKUP(C393,Cleaners!$B$6:$I$35,8,FALSE),0)</f>
        <v/>
      </c>
      <c r="H393" s="39" t="n"/>
      <c r="I393" s="46" t="n"/>
      <c r="J393" s="39" t="n"/>
      <c r="K393" s="44">
        <f>IF(C393="","",IFERROR(D393,0)*G393+IFERROR(E393,0)+IFERROR(F393,0))</f>
        <v/>
      </c>
    </row>
    <row r="394">
      <c r="A394" s="42" t="n"/>
      <c r="B394" s="39" t="n"/>
      <c r="C394" s="39" t="n"/>
      <c r="D394" s="43" t="n"/>
      <c r="E394" s="40" t="n"/>
      <c r="F394" s="40" t="n"/>
      <c r="G394" s="44">
        <f>IFERROR(VLOOKUP(C394,Cleaners!$B$6:$I$35,8,FALSE),0)</f>
        <v/>
      </c>
      <c r="H394" s="39" t="n"/>
      <c r="I394" s="46" t="n"/>
      <c r="J394" s="39" t="n"/>
      <c r="K394" s="44">
        <f>IF(C394="","",IFERROR(D394,0)*G394+IFERROR(E394,0)+IFERROR(F394,0))</f>
        <v/>
      </c>
    </row>
    <row r="395">
      <c r="A395" s="42" t="n"/>
      <c r="B395" s="39" t="n"/>
      <c r="C395" s="39" t="n"/>
      <c r="D395" s="43" t="n"/>
      <c r="E395" s="40" t="n"/>
      <c r="F395" s="40" t="n"/>
      <c r="G395" s="44">
        <f>IFERROR(VLOOKUP(C395,Cleaners!$B$6:$I$35,8,FALSE),0)</f>
        <v/>
      </c>
      <c r="H395" s="39" t="n"/>
      <c r="I395" s="46" t="n"/>
      <c r="J395" s="39" t="n"/>
      <c r="K395" s="44">
        <f>IF(C395="","",IFERROR(D395,0)*G395+IFERROR(E395,0)+IFERROR(F395,0))</f>
        <v/>
      </c>
    </row>
    <row r="396">
      <c r="A396" s="42" t="n"/>
      <c r="B396" s="39" t="n"/>
      <c r="C396" s="39" t="n"/>
      <c r="D396" s="43" t="n"/>
      <c r="E396" s="40" t="n"/>
      <c r="F396" s="40" t="n"/>
      <c r="G396" s="44">
        <f>IFERROR(VLOOKUP(C396,Cleaners!$B$6:$I$35,8,FALSE),0)</f>
        <v/>
      </c>
      <c r="H396" s="39" t="n"/>
      <c r="I396" s="46" t="n"/>
      <c r="J396" s="39" t="n"/>
      <c r="K396" s="44">
        <f>IF(C396="","",IFERROR(D396,0)*G396+IFERROR(E396,0)+IFERROR(F396,0))</f>
        <v/>
      </c>
    </row>
    <row r="397">
      <c r="A397" s="42" t="n"/>
      <c r="B397" s="39" t="n"/>
      <c r="C397" s="39" t="n"/>
      <c r="D397" s="43" t="n"/>
      <c r="E397" s="40" t="n"/>
      <c r="F397" s="40" t="n"/>
      <c r="G397" s="44">
        <f>IFERROR(VLOOKUP(C397,Cleaners!$B$6:$I$35,8,FALSE),0)</f>
        <v/>
      </c>
      <c r="H397" s="39" t="n"/>
      <c r="I397" s="46" t="n"/>
      <c r="J397" s="39" t="n"/>
      <c r="K397" s="44">
        <f>IF(C397="","",IFERROR(D397,0)*G397+IFERROR(E397,0)+IFERROR(F397,0))</f>
        <v/>
      </c>
    </row>
    <row r="398">
      <c r="A398" s="42" t="n"/>
      <c r="B398" s="39" t="n"/>
      <c r="C398" s="39" t="n"/>
      <c r="D398" s="43" t="n"/>
      <c r="E398" s="40" t="n"/>
      <c r="F398" s="40" t="n"/>
      <c r="G398" s="44">
        <f>IFERROR(VLOOKUP(C398,Cleaners!$B$6:$I$35,8,FALSE),0)</f>
        <v/>
      </c>
      <c r="H398" s="39" t="n"/>
      <c r="I398" s="46" t="n"/>
      <c r="J398" s="39" t="n"/>
      <c r="K398" s="44">
        <f>IF(C398="","",IFERROR(D398,0)*G398+IFERROR(E398,0)+IFERROR(F398,0))</f>
        <v/>
      </c>
    </row>
    <row r="399">
      <c r="A399" s="42" t="n"/>
      <c r="B399" s="39" t="n"/>
      <c r="C399" s="39" t="n"/>
      <c r="D399" s="43" t="n"/>
      <c r="E399" s="40" t="n"/>
      <c r="F399" s="40" t="n"/>
      <c r="G399" s="44">
        <f>IFERROR(VLOOKUP(C399,Cleaners!$B$6:$I$35,8,FALSE),0)</f>
        <v/>
      </c>
      <c r="H399" s="39" t="n"/>
      <c r="I399" s="46" t="n"/>
      <c r="J399" s="39" t="n"/>
      <c r="K399" s="44">
        <f>IF(C399="","",IFERROR(D399,0)*G399+IFERROR(E399,0)+IFERROR(F399,0))</f>
        <v/>
      </c>
    </row>
    <row r="400">
      <c r="A400" s="42" t="n"/>
      <c r="B400" s="39" t="n"/>
      <c r="C400" s="39" t="n"/>
      <c r="D400" s="43" t="n"/>
      <c r="E400" s="40" t="n"/>
      <c r="F400" s="40" t="n"/>
      <c r="G400" s="44">
        <f>IFERROR(VLOOKUP(C400,Cleaners!$B$6:$I$35,8,FALSE),0)</f>
        <v/>
      </c>
      <c r="H400" s="39" t="n"/>
      <c r="I400" s="46" t="n"/>
      <c r="J400" s="39" t="n"/>
      <c r="K400" s="44">
        <f>IF(C400="","",IFERROR(D400,0)*G400+IFERROR(E400,0)+IFERROR(F400,0))</f>
        <v/>
      </c>
    </row>
    <row r="401">
      <c r="A401" s="42" t="n"/>
      <c r="B401" s="39" t="n"/>
      <c r="C401" s="39" t="n"/>
      <c r="D401" s="43" t="n"/>
      <c r="E401" s="40" t="n"/>
      <c r="F401" s="40" t="n"/>
      <c r="G401" s="44">
        <f>IFERROR(VLOOKUP(C401,Cleaners!$B$6:$I$35,8,FALSE),0)</f>
        <v/>
      </c>
      <c r="H401" s="39" t="n"/>
      <c r="I401" s="46" t="n"/>
      <c r="J401" s="39" t="n"/>
      <c r="K401" s="44">
        <f>IF(C401="","",IFERROR(D401,0)*G401+IFERROR(E401,0)+IFERROR(F401,0))</f>
        <v/>
      </c>
    </row>
    <row r="402">
      <c r="A402" s="42" t="n"/>
      <c r="B402" s="39" t="n"/>
      <c r="C402" s="39" t="n"/>
      <c r="D402" s="43" t="n"/>
      <c r="E402" s="40" t="n"/>
      <c r="F402" s="40" t="n"/>
      <c r="G402" s="44">
        <f>IFERROR(VLOOKUP(C402,Cleaners!$B$6:$I$35,8,FALSE),0)</f>
        <v/>
      </c>
      <c r="H402" s="39" t="n"/>
      <c r="I402" s="46" t="n"/>
      <c r="J402" s="39" t="n"/>
      <c r="K402" s="44">
        <f>IF(C402="","",IFERROR(D402,0)*G402+IFERROR(E402,0)+IFERROR(F402,0))</f>
        <v/>
      </c>
    </row>
    <row r="403">
      <c r="A403" s="42" t="n"/>
      <c r="B403" s="39" t="n"/>
      <c r="C403" s="39" t="n"/>
      <c r="D403" s="43" t="n"/>
      <c r="E403" s="40" t="n"/>
      <c r="F403" s="40" t="n"/>
      <c r="G403" s="44">
        <f>IFERROR(VLOOKUP(C403,Cleaners!$B$6:$I$35,8,FALSE),0)</f>
        <v/>
      </c>
      <c r="H403" s="39" t="n"/>
      <c r="I403" s="46" t="n"/>
      <c r="J403" s="39" t="n"/>
      <c r="K403" s="44">
        <f>IF(C403="","",IFERROR(D403,0)*G403+IFERROR(E403,0)+IFERROR(F403,0))</f>
        <v/>
      </c>
    </row>
    <row r="404">
      <c r="A404" s="42" t="n"/>
      <c r="B404" s="39" t="n"/>
      <c r="C404" s="39" t="n"/>
      <c r="D404" s="43" t="n"/>
      <c r="E404" s="40" t="n"/>
      <c r="F404" s="40" t="n"/>
      <c r="G404" s="44">
        <f>IFERROR(VLOOKUP(C404,Cleaners!$B$6:$I$35,8,FALSE),0)</f>
        <v/>
      </c>
      <c r="H404" s="39" t="n"/>
      <c r="I404" s="46" t="n"/>
      <c r="J404" s="39" t="n"/>
      <c r="K404" s="44">
        <f>IF(C404="","",IFERROR(D404,0)*G404+IFERROR(E404,0)+IFERROR(F404,0))</f>
        <v/>
      </c>
    </row>
    <row r="405">
      <c r="A405" s="42" t="n"/>
      <c r="B405" s="39" t="n"/>
      <c r="C405" s="39" t="n"/>
      <c r="D405" s="43" t="n"/>
      <c r="E405" s="40" t="n"/>
      <c r="F405" s="40" t="n"/>
      <c r="G405" s="44">
        <f>IFERROR(VLOOKUP(C405,Cleaners!$B$6:$I$35,8,FALSE),0)</f>
        <v/>
      </c>
      <c r="H405" s="39" t="n"/>
      <c r="I405" s="46" t="n"/>
      <c r="J405" s="39" t="n"/>
      <c r="K405" s="44">
        <f>IF(C405="","",IFERROR(D405,0)*G405+IFERROR(E405,0)+IFERROR(F405,0))</f>
        <v/>
      </c>
    </row>
    <row r="406">
      <c r="A406" s="42" t="n"/>
      <c r="B406" s="39" t="n"/>
      <c r="C406" s="39" t="n"/>
      <c r="D406" s="43" t="n"/>
      <c r="E406" s="40" t="n"/>
      <c r="F406" s="40" t="n"/>
      <c r="G406" s="44">
        <f>IFERROR(VLOOKUP(C406,Cleaners!$B$6:$I$35,8,FALSE),0)</f>
        <v/>
      </c>
      <c r="H406" s="39" t="n"/>
      <c r="I406" s="46" t="n"/>
      <c r="J406" s="39" t="n"/>
      <c r="K406" s="44">
        <f>IF(C406="","",IFERROR(D406,0)*G406+IFERROR(E406,0)+IFERROR(F406,0))</f>
        <v/>
      </c>
    </row>
    <row r="407">
      <c r="A407" s="42" t="n"/>
      <c r="B407" s="39" t="n"/>
      <c r="C407" s="39" t="n"/>
      <c r="D407" s="43" t="n"/>
      <c r="E407" s="40" t="n"/>
      <c r="F407" s="40" t="n"/>
      <c r="G407" s="44">
        <f>IFERROR(VLOOKUP(C407,Cleaners!$B$6:$I$35,8,FALSE),0)</f>
        <v/>
      </c>
      <c r="H407" s="39" t="n"/>
      <c r="I407" s="46" t="n"/>
      <c r="J407" s="39" t="n"/>
      <c r="K407" s="44">
        <f>IF(C407="","",IFERROR(D407,0)*G407+IFERROR(E407,0)+IFERROR(F407,0))</f>
        <v/>
      </c>
    </row>
    <row r="408">
      <c r="A408" s="42" t="n"/>
      <c r="B408" s="39" t="n"/>
      <c r="C408" s="39" t="n"/>
      <c r="D408" s="43" t="n"/>
      <c r="E408" s="40" t="n"/>
      <c r="F408" s="40" t="n"/>
      <c r="G408" s="44">
        <f>IFERROR(VLOOKUP(C408,Cleaners!$B$6:$I$35,8,FALSE),0)</f>
        <v/>
      </c>
      <c r="H408" s="39" t="n"/>
      <c r="I408" s="46" t="n"/>
      <c r="J408" s="39" t="n"/>
      <c r="K408" s="44">
        <f>IF(C408="","",IFERROR(D408,0)*G408+IFERROR(E408,0)+IFERROR(F408,0))</f>
        <v/>
      </c>
    </row>
    <row r="409">
      <c r="A409" s="42" t="n"/>
      <c r="B409" s="39" t="n"/>
      <c r="C409" s="39" t="n"/>
      <c r="D409" s="43" t="n"/>
      <c r="E409" s="40" t="n"/>
      <c r="F409" s="40" t="n"/>
      <c r="G409" s="44">
        <f>IFERROR(VLOOKUP(C409,Cleaners!$B$6:$I$35,8,FALSE),0)</f>
        <v/>
      </c>
      <c r="H409" s="39" t="n"/>
      <c r="I409" s="46" t="n"/>
      <c r="J409" s="39" t="n"/>
      <c r="K409" s="44">
        <f>IF(C409="","",IFERROR(D409,0)*G409+IFERROR(E409,0)+IFERROR(F409,0))</f>
        <v/>
      </c>
    </row>
    <row r="410">
      <c r="A410" s="42" t="n"/>
      <c r="B410" s="39" t="n"/>
      <c r="C410" s="39" t="n"/>
      <c r="D410" s="43" t="n"/>
      <c r="E410" s="40" t="n"/>
      <c r="F410" s="40" t="n"/>
      <c r="G410" s="44">
        <f>IFERROR(VLOOKUP(C410,Cleaners!$B$6:$I$35,8,FALSE),0)</f>
        <v/>
      </c>
      <c r="H410" s="39" t="n"/>
      <c r="I410" s="46" t="n"/>
      <c r="J410" s="39" t="n"/>
      <c r="K410" s="44">
        <f>IF(C410="","",IFERROR(D410,0)*G410+IFERROR(E410,0)+IFERROR(F410,0))</f>
        <v/>
      </c>
    </row>
    <row r="411">
      <c r="A411" s="42" t="n"/>
      <c r="B411" s="39" t="n"/>
      <c r="C411" s="39" t="n"/>
      <c r="D411" s="43" t="n"/>
      <c r="E411" s="40" t="n"/>
      <c r="F411" s="40" t="n"/>
      <c r="G411" s="44">
        <f>IFERROR(VLOOKUP(C411,Cleaners!$B$6:$I$35,8,FALSE),0)</f>
        <v/>
      </c>
      <c r="H411" s="39" t="n"/>
      <c r="I411" s="46" t="n"/>
      <c r="J411" s="39" t="n"/>
      <c r="K411" s="44">
        <f>IF(C411="","",IFERROR(D411,0)*G411+IFERROR(E411,0)+IFERROR(F411,0))</f>
        <v/>
      </c>
    </row>
    <row r="412">
      <c r="A412" s="42" t="n"/>
      <c r="B412" s="39" t="n"/>
      <c r="C412" s="39" t="n"/>
      <c r="D412" s="43" t="n"/>
      <c r="E412" s="40" t="n"/>
      <c r="F412" s="40" t="n"/>
      <c r="G412" s="44">
        <f>IFERROR(VLOOKUP(C412,Cleaners!$B$6:$I$35,8,FALSE),0)</f>
        <v/>
      </c>
      <c r="H412" s="39" t="n"/>
      <c r="I412" s="46" t="n"/>
      <c r="J412" s="39" t="n"/>
      <c r="K412" s="44">
        <f>IF(C412="","",IFERROR(D412,0)*G412+IFERROR(E412,0)+IFERROR(F412,0))</f>
        <v/>
      </c>
    </row>
    <row r="413">
      <c r="A413" s="42" t="n"/>
      <c r="B413" s="39" t="n"/>
      <c r="C413" s="39" t="n"/>
      <c r="D413" s="43" t="n"/>
      <c r="E413" s="40" t="n"/>
      <c r="F413" s="40" t="n"/>
      <c r="G413" s="44">
        <f>IFERROR(VLOOKUP(C413,Cleaners!$B$6:$I$35,8,FALSE),0)</f>
        <v/>
      </c>
      <c r="H413" s="39" t="n"/>
      <c r="I413" s="46" t="n"/>
      <c r="J413" s="39" t="n"/>
      <c r="K413" s="44">
        <f>IF(C413="","",IFERROR(D413,0)*G413+IFERROR(E413,0)+IFERROR(F413,0))</f>
        <v/>
      </c>
    </row>
    <row r="414">
      <c r="A414" s="42" t="n"/>
      <c r="B414" s="39" t="n"/>
      <c r="C414" s="39" t="n"/>
      <c r="D414" s="43" t="n"/>
      <c r="E414" s="40" t="n"/>
      <c r="F414" s="40" t="n"/>
      <c r="G414" s="44">
        <f>IFERROR(VLOOKUP(C414,Cleaners!$B$6:$I$35,8,FALSE),0)</f>
        <v/>
      </c>
      <c r="H414" s="39" t="n"/>
      <c r="I414" s="46" t="n"/>
      <c r="J414" s="39" t="n"/>
      <c r="K414" s="44">
        <f>IF(C414="","",IFERROR(D414,0)*G414+IFERROR(E414,0)+IFERROR(F414,0))</f>
        <v/>
      </c>
    </row>
    <row r="415">
      <c r="A415" s="42" t="n"/>
      <c r="B415" s="39" t="n"/>
      <c r="C415" s="39" t="n"/>
      <c r="D415" s="43" t="n"/>
      <c r="E415" s="40" t="n"/>
      <c r="F415" s="40" t="n"/>
      <c r="G415" s="44">
        <f>IFERROR(VLOOKUP(C415,Cleaners!$B$6:$I$35,8,FALSE),0)</f>
        <v/>
      </c>
      <c r="H415" s="39" t="n"/>
      <c r="I415" s="46" t="n"/>
      <c r="J415" s="39" t="n"/>
      <c r="K415" s="44">
        <f>IF(C415="","",IFERROR(D415,0)*G415+IFERROR(E415,0)+IFERROR(F415,0))</f>
        <v/>
      </c>
    </row>
    <row r="416">
      <c r="A416" s="42" t="n"/>
      <c r="B416" s="39" t="n"/>
      <c r="C416" s="39" t="n"/>
      <c r="D416" s="43" t="n"/>
      <c r="E416" s="40" t="n"/>
      <c r="F416" s="40" t="n"/>
      <c r="G416" s="44">
        <f>IFERROR(VLOOKUP(C416,Cleaners!$B$6:$I$35,8,FALSE),0)</f>
        <v/>
      </c>
      <c r="H416" s="39" t="n"/>
      <c r="I416" s="46" t="n"/>
      <c r="J416" s="39" t="n"/>
      <c r="K416" s="44">
        <f>IF(C416="","",IFERROR(D416,0)*G416+IFERROR(E416,0)+IFERROR(F416,0))</f>
        <v/>
      </c>
    </row>
    <row r="417">
      <c r="A417" s="42" t="n"/>
      <c r="B417" s="39" t="n"/>
      <c r="C417" s="39" t="n"/>
      <c r="D417" s="43" t="n"/>
      <c r="E417" s="40" t="n"/>
      <c r="F417" s="40" t="n"/>
      <c r="G417" s="44">
        <f>IFERROR(VLOOKUP(C417,Cleaners!$B$6:$I$35,8,FALSE),0)</f>
        <v/>
      </c>
      <c r="H417" s="39" t="n"/>
      <c r="I417" s="46" t="n"/>
      <c r="J417" s="39" t="n"/>
      <c r="K417" s="44">
        <f>IF(C417="","",IFERROR(D417,0)*G417+IFERROR(E417,0)+IFERROR(F417,0))</f>
        <v/>
      </c>
    </row>
    <row r="418">
      <c r="A418" s="42" t="n"/>
      <c r="B418" s="39" t="n"/>
      <c r="C418" s="39" t="n"/>
      <c r="D418" s="43" t="n"/>
      <c r="E418" s="40" t="n"/>
      <c r="F418" s="40" t="n"/>
      <c r="G418" s="44">
        <f>IFERROR(VLOOKUP(C418,Cleaners!$B$6:$I$35,8,FALSE),0)</f>
        <v/>
      </c>
      <c r="H418" s="39" t="n"/>
      <c r="I418" s="46" t="n"/>
      <c r="J418" s="39" t="n"/>
      <c r="K418" s="44">
        <f>IF(C418="","",IFERROR(D418,0)*G418+IFERROR(E418,0)+IFERROR(F418,0))</f>
        <v/>
      </c>
    </row>
    <row r="419">
      <c r="A419" s="42" t="n"/>
      <c r="B419" s="39" t="n"/>
      <c r="C419" s="39" t="n"/>
      <c r="D419" s="43" t="n"/>
      <c r="E419" s="40" t="n"/>
      <c r="F419" s="40" t="n"/>
      <c r="G419" s="44">
        <f>IFERROR(VLOOKUP(C419,Cleaners!$B$6:$I$35,8,FALSE),0)</f>
        <v/>
      </c>
      <c r="H419" s="39" t="n"/>
      <c r="I419" s="46" t="n"/>
      <c r="J419" s="39" t="n"/>
      <c r="K419" s="44">
        <f>IF(C419="","",IFERROR(D419,0)*G419+IFERROR(E419,0)+IFERROR(F419,0))</f>
        <v/>
      </c>
    </row>
    <row r="420">
      <c r="A420" s="42" t="n"/>
      <c r="B420" s="39" t="n"/>
      <c r="C420" s="39" t="n"/>
      <c r="D420" s="43" t="n"/>
      <c r="E420" s="40" t="n"/>
      <c r="F420" s="40" t="n"/>
      <c r="G420" s="44">
        <f>IFERROR(VLOOKUP(C420,Cleaners!$B$6:$I$35,8,FALSE),0)</f>
        <v/>
      </c>
      <c r="H420" s="39" t="n"/>
      <c r="I420" s="46" t="n"/>
      <c r="J420" s="39" t="n"/>
      <c r="K420" s="44">
        <f>IF(C420="","",IFERROR(D420,0)*G420+IFERROR(E420,0)+IFERROR(F420,0))</f>
        <v/>
      </c>
    </row>
    <row r="421">
      <c r="A421" s="42" t="n"/>
      <c r="B421" s="39" t="n"/>
      <c r="C421" s="39" t="n"/>
      <c r="D421" s="43" t="n"/>
      <c r="E421" s="40" t="n"/>
      <c r="F421" s="40" t="n"/>
      <c r="G421" s="44">
        <f>IFERROR(VLOOKUP(C421,Cleaners!$B$6:$I$35,8,FALSE),0)</f>
        <v/>
      </c>
      <c r="H421" s="39" t="n"/>
      <c r="I421" s="46" t="n"/>
      <c r="J421" s="39" t="n"/>
      <c r="K421" s="44">
        <f>IF(C421="","",IFERROR(D421,0)*G421+IFERROR(E421,0)+IFERROR(F421,0))</f>
        <v/>
      </c>
    </row>
    <row r="422">
      <c r="A422" s="42" t="n"/>
      <c r="B422" s="39" t="n"/>
      <c r="C422" s="39" t="n"/>
      <c r="D422" s="43" t="n"/>
      <c r="E422" s="40" t="n"/>
      <c r="F422" s="40" t="n"/>
      <c r="G422" s="44">
        <f>IFERROR(VLOOKUP(C422,Cleaners!$B$6:$I$35,8,FALSE),0)</f>
        <v/>
      </c>
      <c r="H422" s="39" t="n"/>
      <c r="I422" s="46" t="n"/>
      <c r="J422" s="39" t="n"/>
      <c r="K422" s="44">
        <f>IF(C422="","",IFERROR(D422,0)*G422+IFERROR(E422,0)+IFERROR(F422,0))</f>
        <v/>
      </c>
    </row>
    <row r="423">
      <c r="A423" s="42" t="n"/>
      <c r="B423" s="39" t="n"/>
      <c r="C423" s="39" t="n"/>
      <c r="D423" s="43" t="n"/>
      <c r="E423" s="40" t="n"/>
      <c r="F423" s="40" t="n"/>
      <c r="G423" s="44">
        <f>IFERROR(VLOOKUP(C423,Cleaners!$B$6:$I$35,8,FALSE),0)</f>
        <v/>
      </c>
      <c r="H423" s="39" t="n"/>
      <c r="I423" s="46" t="n"/>
      <c r="J423" s="39" t="n"/>
      <c r="K423" s="44">
        <f>IF(C423="","",IFERROR(D423,0)*G423+IFERROR(E423,0)+IFERROR(F423,0))</f>
        <v/>
      </c>
    </row>
    <row r="424">
      <c r="A424" s="42" t="n"/>
      <c r="B424" s="39" t="n"/>
      <c r="C424" s="39" t="n"/>
      <c r="D424" s="43" t="n"/>
      <c r="E424" s="40" t="n"/>
      <c r="F424" s="40" t="n"/>
      <c r="G424" s="44">
        <f>IFERROR(VLOOKUP(C424,Cleaners!$B$6:$I$35,8,FALSE),0)</f>
        <v/>
      </c>
      <c r="H424" s="39" t="n"/>
      <c r="I424" s="46" t="n"/>
      <c r="J424" s="39" t="n"/>
      <c r="K424" s="44">
        <f>IF(C424="","",IFERROR(D424,0)*G424+IFERROR(E424,0)+IFERROR(F424,0))</f>
        <v/>
      </c>
    </row>
    <row r="425">
      <c r="A425" s="42" t="n"/>
      <c r="B425" s="39" t="n"/>
      <c r="C425" s="39" t="n"/>
      <c r="D425" s="43" t="n"/>
      <c r="E425" s="40" t="n"/>
      <c r="F425" s="40" t="n"/>
      <c r="G425" s="44">
        <f>IFERROR(VLOOKUP(C425,Cleaners!$B$6:$I$35,8,FALSE),0)</f>
        <v/>
      </c>
      <c r="H425" s="39" t="n"/>
      <c r="I425" s="46" t="n"/>
      <c r="J425" s="39" t="n"/>
      <c r="K425" s="44">
        <f>IF(C425="","",IFERROR(D425,0)*G425+IFERROR(E425,0)+IFERROR(F425,0))</f>
        <v/>
      </c>
    </row>
    <row r="426">
      <c r="A426" s="42" t="n"/>
      <c r="B426" s="39" t="n"/>
      <c r="C426" s="39" t="n"/>
      <c r="D426" s="43" t="n"/>
      <c r="E426" s="40" t="n"/>
      <c r="F426" s="40" t="n"/>
      <c r="G426" s="44">
        <f>IFERROR(VLOOKUP(C426,Cleaners!$B$6:$I$35,8,FALSE),0)</f>
        <v/>
      </c>
      <c r="H426" s="39" t="n"/>
      <c r="I426" s="46" t="n"/>
      <c r="J426" s="39" t="n"/>
      <c r="K426" s="44">
        <f>IF(C426="","",IFERROR(D426,0)*G426+IFERROR(E426,0)+IFERROR(F426,0))</f>
        <v/>
      </c>
    </row>
    <row r="427">
      <c r="A427" s="42" t="n"/>
      <c r="B427" s="39" t="n"/>
      <c r="C427" s="39" t="n"/>
      <c r="D427" s="43" t="n"/>
      <c r="E427" s="40" t="n"/>
      <c r="F427" s="40" t="n"/>
      <c r="G427" s="44">
        <f>IFERROR(VLOOKUP(C427,Cleaners!$B$6:$I$35,8,FALSE),0)</f>
        <v/>
      </c>
      <c r="H427" s="39" t="n"/>
      <c r="I427" s="46" t="n"/>
      <c r="J427" s="39" t="n"/>
      <c r="K427" s="44">
        <f>IF(C427="","",IFERROR(D427,0)*G427+IFERROR(E427,0)+IFERROR(F427,0))</f>
        <v/>
      </c>
    </row>
    <row r="428">
      <c r="A428" s="42" t="n"/>
      <c r="B428" s="39" t="n"/>
      <c r="C428" s="39" t="n"/>
      <c r="D428" s="43" t="n"/>
      <c r="E428" s="40" t="n"/>
      <c r="F428" s="40" t="n"/>
      <c r="G428" s="44">
        <f>IFERROR(VLOOKUP(C428,Cleaners!$B$6:$I$35,8,FALSE),0)</f>
        <v/>
      </c>
      <c r="H428" s="39" t="n"/>
      <c r="I428" s="46" t="n"/>
      <c r="J428" s="39" t="n"/>
      <c r="K428" s="44">
        <f>IF(C428="","",IFERROR(D428,0)*G428+IFERROR(E428,0)+IFERROR(F428,0))</f>
        <v/>
      </c>
    </row>
    <row r="429">
      <c r="A429" s="42" t="n"/>
      <c r="B429" s="39" t="n"/>
      <c r="C429" s="39" t="n"/>
      <c r="D429" s="43" t="n"/>
      <c r="E429" s="40" t="n"/>
      <c r="F429" s="40" t="n"/>
      <c r="G429" s="44">
        <f>IFERROR(VLOOKUP(C429,Cleaners!$B$6:$I$35,8,FALSE),0)</f>
        <v/>
      </c>
      <c r="H429" s="39" t="n"/>
      <c r="I429" s="46" t="n"/>
      <c r="J429" s="39" t="n"/>
      <c r="K429" s="44">
        <f>IF(C429="","",IFERROR(D429,0)*G429+IFERROR(E429,0)+IFERROR(F429,0))</f>
        <v/>
      </c>
    </row>
    <row r="430">
      <c r="A430" s="42" t="n"/>
      <c r="B430" s="39" t="n"/>
      <c r="C430" s="39" t="n"/>
      <c r="D430" s="43" t="n"/>
      <c r="E430" s="40" t="n"/>
      <c r="F430" s="40" t="n"/>
      <c r="G430" s="44">
        <f>IFERROR(VLOOKUP(C430,Cleaners!$B$6:$I$35,8,FALSE),0)</f>
        <v/>
      </c>
      <c r="H430" s="39" t="n"/>
      <c r="I430" s="46" t="n"/>
      <c r="J430" s="39" t="n"/>
      <c r="K430" s="44">
        <f>IF(C430="","",IFERROR(D430,0)*G430+IFERROR(E430,0)+IFERROR(F430,0))</f>
        <v/>
      </c>
    </row>
    <row r="431">
      <c r="A431" s="42" t="n"/>
      <c r="B431" s="39" t="n"/>
      <c r="C431" s="39" t="n"/>
      <c r="D431" s="43" t="n"/>
      <c r="E431" s="40" t="n"/>
      <c r="F431" s="40" t="n"/>
      <c r="G431" s="44">
        <f>IFERROR(VLOOKUP(C431,Cleaners!$B$6:$I$35,8,FALSE),0)</f>
        <v/>
      </c>
      <c r="H431" s="39" t="n"/>
      <c r="I431" s="46" t="n"/>
      <c r="J431" s="39" t="n"/>
      <c r="K431" s="44">
        <f>IF(C431="","",IFERROR(D431,0)*G431+IFERROR(E431,0)+IFERROR(F431,0))</f>
        <v/>
      </c>
    </row>
    <row r="432">
      <c r="A432" s="42" t="n"/>
      <c r="B432" s="39" t="n"/>
      <c r="C432" s="39" t="n"/>
      <c r="D432" s="43" t="n"/>
      <c r="E432" s="40" t="n"/>
      <c r="F432" s="40" t="n"/>
      <c r="G432" s="44">
        <f>IFERROR(VLOOKUP(C432,Cleaners!$B$6:$I$35,8,FALSE),0)</f>
        <v/>
      </c>
      <c r="H432" s="39" t="n"/>
      <c r="I432" s="46" t="n"/>
      <c r="J432" s="39" t="n"/>
      <c r="K432" s="44">
        <f>IF(C432="","",IFERROR(D432,0)*G432+IFERROR(E432,0)+IFERROR(F432,0))</f>
        <v/>
      </c>
    </row>
    <row r="433">
      <c r="A433" s="42" t="n"/>
      <c r="B433" s="39" t="n"/>
      <c r="C433" s="39" t="n"/>
      <c r="D433" s="43" t="n"/>
      <c r="E433" s="40" t="n"/>
      <c r="F433" s="40" t="n"/>
      <c r="G433" s="44">
        <f>IFERROR(VLOOKUP(C433,Cleaners!$B$6:$I$35,8,FALSE),0)</f>
        <v/>
      </c>
      <c r="H433" s="39" t="n"/>
      <c r="I433" s="46" t="n"/>
      <c r="J433" s="39" t="n"/>
      <c r="K433" s="44">
        <f>IF(C433="","",IFERROR(D433,0)*G433+IFERROR(E433,0)+IFERROR(F433,0))</f>
        <v/>
      </c>
    </row>
    <row r="434">
      <c r="A434" s="42" t="n"/>
      <c r="B434" s="39" t="n"/>
      <c r="C434" s="39" t="n"/>
      <c r="D434" s="43" t="n"/>
      <c r="E434" s="40" t="n"/>
      <c r="F434" s="40" t="n"/>
      <c r="G434" s="44">
        <f>IFERROR(VLOOKUP(C434,Cleaners!$B$6:$I$35,8,FALSE),0)</f>
        <v/>
      </c>
      <c r="H434" s="39" t="n"/>
      <c r="I434" s="46" t="n"/>
      <c r="J434" s="39" t="n"/>
      <c r="K434" s="44">
        <f>IF(C434="","",IFERROR(D434,0)*G434+IFERROR(E434,0)+IFERROR(F434,0))</f>
        <v/>
      </c>
    </row>
    <row r="435">
      <c r="A435" s="42" t="n"/>
      <c r="B435" s="39" t="n"/>
      <c r="C435" s="39" t="n"/>
      <c r="D435" s="43" t="n"/>
      <c r="E435" s="40" t="n"/>
      <c r="F435" s="40" t="n"/>
      <c r="G435" s="44">
        <f>IFERROR(VLOOKUP(C435,Cleaners!$B$6:$I$35,8,FALSE),0)</f>
        <v/>
      </c>
      <c r="H435" s="39" t="n"/>
      <c r="I435" s="46" t="n"/>
      <c r="J435" s="39" t="n"/>
      <c r="K435" s="44">
        <f>IF(C435="","",IFERROR(D435,0)*G435+IFERROR(E435,0)+IFERROR(F435,0))</f>
        <v/>
      </c>
    </row>
    <row r="436">
      <c r="A436" s="42" t="n"/>
      <c r="B436" s="39" t="n"/>
      <c r="C436" s="39" t="n"/>
      <c r="D436" s="43" t="n"/>
      <c r="E436" s="40" t="n"/>
      <c r="F436" s="40" t="n"/>
      <c r="G436" s="44">
        <f>IFERROR(VLOOKUP(C436,Cleaners!$B$6:$I$35,8,FALSE),0)</f>
        <v/>
      </c>
      <c r="H436" s="39" t="n"/>
      <c r="I436" s="46" t="n"/>
      <c r="J436" s="39" t="n"/>
      <c r="K436" s="44">
        <f>IF(C436="","",IFERROR(D436,0)*G436+IFERROR(E436,0)+IFERROR(F436,0))</f>
        <v/>
      </c>
    </row>
    <row r="437">
      <c r="A437" s="42" t="n"/>
      <c r="B437" s="39" t="n"/>
      <c r="C437" s="39" t="n"/>
      <c r="D437" s="43" t="n"/>
      <c r="E437" s="40" t="n"/>
      <c r="F437" s="40" t="n"/>
      <c r="G437" s="44">
        <f>IFERROR(VLOOKUP(C437,Cleaners!$B$6:$I$35,8,FALSE),0)</f>
        <v/>
      </c>
      <c r="H437" s="39" t="n"/>
      <c r="I437" s="46" t="n"/>
      <c r="J437" s="39" t="n"/>
      <c r="K437" s="44">
        <f>IF(C437="","",IFERROR(D437,0)*G437+IFERROR(E437,0)+IFERROR(F437,0))</f>
        <v/>
      </c>
    </row>
    <row r="438">
      <c r="A438" s="42" t="n"/>
      <c r="B438" s="39" t="n"/>
      <c r="C438" s="39" t="n"/>
      <c r="D438" s="43" t="n"/>
      <c r="E438" s="40" t="n"/>
      <c r="F438" s="40" t="n"/>
      <c r="G438" s="44">
        <f>IFERROR(VLOOKUP(C438,Cleaners!$B$6:$I$35,8,FALSE),0)</f>
        <v/>
      </c>
      <c r="H438" s="39" t="n"/>
      <c r="I438" s="46" t="n"/>
      <c r="J438" s="39" t="n"/>
      <c r="K438" s="44">
        <f>IF(C438="","",IFERROR(D438,0)*G438+IFERROR(E438,0)+IFERROR(F438,0))</f>
        <v/>
      </c>
    </row>
    <row r="439">
      <c r="A439" s="42" t="n"/>
      <c r="B439" s="39" t="n"/>
      <c r="C439" s="39" t="n"/>
      <c r="D439" s="43" t="n"/>
      <c r="E439" s="40" t="n"/>
      <c r="F439" s="40" t="n"/>
      <c r="G439" s="44">
        <f>IFERROR(VLOOKUP(C439,Cleaners!$B$6:$I$35,8,FALSE),0)</f>
        <v/>
      </c>
      <c r="H439" s="39" t="n"/>
      <c r="I439" s="46" t="n"/>
      <c r="J439" s="39" t="n"/>
      <c r="K439" s="44">
        <f>IF(C439="","",IFERROR(D439,0)*G439+IFERROR(E439,0)+IFERROR(F439,0))</f>
        <v/>
      </c>
    </row>
    <row r="440">
      <c r="A440" s="42" t="n"/>
      <c r="B440" s="39" t="n"/>
      <c r="C440" s="39" t="n"/>
      <c r="D440" s="43" t="n"/>
      <c r="E440" s="40" t="n"/>
      <c r="F440" s="40" t="n"/>
      <c r="G440" s="44">
        <f>IFERROR(VLOOKUP(C440,Cleaners!$B$6:$I$35,8,FALSE),0)</f>
        <v/>
      </c>
      <c r="H440" s="39" t="n"/>
      <c r="I440" s="46" t="n"/>
      <c r="J440" s="39" t="n"/>
      <c r="K440" s="44">
        <f>IF(C440="","",IFERROR(D440,0)*G440+IFERROR(E440,0)+IFERROR(F440,0))</f>
        <v/>
      </c>
    </row>
    <row r="441">
      <c r="A441" s="42" t="n"/>
      <c r="B441" s="39" t="n"/>
      <c r="C441" s="39" t="n"/>
      <c r="D441" s="43" t="n"/>
      <c r="E441" s="40" t="n"/>
      <c r="F441" s="40" t="n"/>
      <c r="G441" s="44">
        <f>IFERROR(VLOOKUP(C441,Cleaners!$B$6:$I$35,8,FALSE),0)</f>
        <v/>
      </c>
      <c r="H441" s="39" t="n"/>
      <c r="I441" s="46" t="n"/>
      <c r="J441" s="39" t="n"/>
      <c r="K441" s="44">
        <f>IF(C441="","",IFERROR(D441,0)*G441+IFERROR(E441,0)+IFERROR(F441,0))</f>
        <v/>
      </c>
    </row>
    <row r="442">
      <c r="A442" s="42" t="n"/>
      <c r="B442" s="39" t="n"/>
      <c r="C442" s="39" t="n"/>
      <c r="D442" s="43" t="n"/>
      <c r="E442" s="40" t="n"/>
      <c r="F442" s="40" t="n"/>
      <c r="G442" s="44">
        <f>IFERROR(VLOOKUP(C442,Cleaners!$B$6:$I$35,8,FALSE),0)</f>
        <v/>
      </c>
      <c r="H442" s="39" t="n"/>
      <c r="I442" s="46" t="n"/>
      <c r="J442" s="39" t="n"/>
      <c r="K442" s="44">
        <f>IF(C442="","",IFERROR(D442,0)*G442+IFERROR(E442,0)+IFERROR(F442,0))</f>
        <v/>
      </c>
    </row>
    <row r="443">
      <c r="A443" s="42" t="n"/>
      <c r="B443" s="39" t="n"/>
      <c r="C443" s="39" t="n"/>
      <c r="D443" s="43" t="n"/>
      <c r="E443" s="40" t="n"/>
      <c r="F443" s="40" t="n"/>
      <c r="G443" s="44">
        <f>IFERROR(VLOOKUP(C443,Cleaners!$B$6:$I$35,8,FALSE),0)</f>
        <v/>
      </c>
      <c r="H443" s="39" t="n"/>
      <c r="I443" s="46" t="n"/>
      <c r="J443" s="39" t="n"/>
      <c r="K443" s="44">
        <f>IF(C443="","",IFERROR(D443,0)*G443+IFERROR(E443,0)+IFERROR(F443,0))</f>
        <v/>
      </c>
    </row>
    <row r="444">
      <c r="A444" s="42" t="n"/>
      <c r="B444" s="39" t="n"/>
      <c r="C444" s="39" t="n"/>
      <c r="D444" s="43" t="n"/>
      <c r="E444" s="40" t="n"/>
      <c r="F444" s="40" t="n"/>
      <c r="G444" s="44">
        <f>IFERROR(VLOOKUP(C444,Cleaners!$B$6:$I$35,8,FALSE),0)</f>
        <v/>
      </c>
      <c r="H444" s="39" t="n"/>
      <c r="I444" s="46" t="n"/>
      <c r="J444" s="39" t="n"/>
      <c r="K444" s="44">
        <f>IF(C444="","",IFERROR(D444,0)*G444+IFERROR(E444,0)+IFERROR(F444,0))</f>
        <v/>
      </c>
    </row>
    <row r="445">
      <c r="A445" s="42" t="n"/>
      <c r="B445" s="39" t="n"/>
      <c r="C445" s="39" t="n"/>
      <c r="D445" s="43" t="n"/>
      <c r="E445" s="40" t="n"/>
      <c r="F445" s="40" t="n"/>
      <c r="G445" s="44">
        <f>IFERROR(VLOOKUP(C445,Cleaners!$B$6:$I$35,8,FALSE),0)</f>
        <v/>
      </c>
      <c r="H445" s="39" t="n"/>
      <c r="I445" s="46" t="n"/>
      <c r="J445" s="39" t="n"/>
      <c r="K445" s="44">
        <f>IF(C445="","",IFERROR(D445,0)*G445+IFERROR(E445,0)+IFERROR(F445,0))</f>
        <v/>
      </c>
    </row>
    <row r="446">
      <c r="A446" s="42" t="n"/>
      <c r="B446" s="39" t="n"/>
      <c r="C446" s="39" t="n"/>
      <c r="D446" s="43" t="n"/>
      <c r="E446" s="40" t="n"/>
      <c r="F446" s="40" t="n"/>
      <c r="G446" s="44">
        <f>IFERROR(VLOOKUP(C446,Cleaners!$B$6:$I$35,8,FALSE),0)</f>
        <v/>
      </c>
      <c r="H446" s="39" t="n"/>
      <c r="I446" s="46" t="n"/>
      <c r="J446" s="39" t="n"/>
      <c r="K446" s="44">
        <f>IF(C446="","",IFERROR(D446,0)*G446+IFERROR(E446,0)+IFERROR(F446,0))</f>
        <v/>
      </c>
    </row>
    <row r="447">
      <c r="A447" s="42" t="n"/>
      <c r="B447" s="39" t="n"/>
      <c r="C447" s="39" t="n"/>
      <c r="D447" s="43" t="n"/>
      <c r="E447" s="40" t="n"/>
      <c r="F447" s="40" t="n"/>
      <c r="G447" s="44">
        <f>IFERROR(VLOOKUP(C447,Cleaners!$B$6:$I$35,8,FALSE),0)</f>
        <v/>
      </c>
      <c r="H447" s="39" t="n"/>
      <c r="I447" s="46" t="n"/>
      <c r="J447" s="39" t="n"/>
      <c r="K447" s="44">
        <f>IF(C447="","",IFERROR(D447,0)*G447+IFERROR(E447,0)+IFERROR(F447,0))</f>
        <v/>
      </c>
    </row>
    <row r="448">
      <c r="A448" s="42" t="n"/>
      <c r="B448" s="39" t="n"/>
      <c r="C448" s="39" t="n"/>
      <c r="D448" s="43" t="n"/>
      <c r="E448" s="40" t="n"/>
      <c r="F448" s="40" t="n"/>
      <c r="G448" s="44">
        <f>IFERROR(VLOOKUP(C448,Cleaners!$B$6:$I$35,8,FALSE),0)</f>
        <v/>
      </c>
      <c r="H448" s="39" t="n"/>
      <c r="I448" s="46" t="n"/>
      <c r="J448" s="39" t="n"/>
      <c r="K448" s="44">
        <f>IF(C448="","",IFERROR(D448,0)*G448+IFERROR(E448,0)+IFERROR(F448,0))</f>
        <v/>
      </c>
    </row>
    <row r="449">
      <c r="A449" s="42" t="n"/>
      <c r="B449" s="39" t="n"/>
      <c r="C449" s="39" t="n"/>
      <c r="D449" s="43" t="n"/>
      <c r="E449" s="40" t="n"/>
      <c r="F449" s="40" t="n"/>
      <c r="G449" s="44">
        <f>IFERROR(VLOOKUP(C449,Cleaners!$B$6:$I$35,8,FALSE),0)</f>
        <v/>
      </c>
      <c r="H449" s="39" t="n"/>
      <c r="I449" s="46" t="n"/>
      <c r="J449" s="39" t="n"/>
      <c r="K449" s="44">
        <f>IF(C449="","",IFERROR(D449,0)*G449+IFERROR(E449,0)+IFERROR(F449,0))</f>
        <v/>
      </c>
    </row>
    <row r="450">
      <c r="A450" s="42" t="n"/>
      <c r="B450" s="39" t="n"/>
      <c r="C450" s="39" t="n"/>
      <c r="D450" s="43" t="n"/>
      <c r="E450" s="40" t="n"/>
      <c r="F450" s="40" t="n"/>
      <c r="G450" s="44">
        <f>IFERROR(VLOOKUP(C450,Cleaners!$B$6:$I$35,8,FALSE),0)</f>
        <v/>
      </c>
      <c r="H450" s="39" t="n"/>
      <c r="I450" s="46" t="n"/>
      <c r="J450" s="39" t="n"/>
      <c r="K450" s="44">
        <f>IF(C450="","",IFERROR(D450,0)*G450+IFERROR(E450,0)+IFERROR(F450,0))</f>
        <v/>
      </c>
    </row>
    <row r="451">
      <c r="A451" s="42" t="n"/>
      <c r="B451" s="39" t="n"/>
      <c r="C451" s="39" t="n"/>
      <c r="D451" s="43" t="n"/>
      <c r="E451" s="40" t="n"/>
      <c r="F451" s="40" t="n"/>
      <c r="G451" s="44">
        <f>IFERROR(VLOOKUP(C451,Cleaners!$B$6:$I$35,8,FALSE),0)</f>
        <v/>
      </c>
      <c r="H451" s="39" t="n"/>
      <c r="I451" s="46" t="n"/>
      <c r="J451" s="39" t="n"/>
      <c r="K451" s="44">
        <f>IF(C451="","",IFERROR(D451,0)*G451+IFERROR(E451,0)+IFERROR(F451,0))</f>
        <v/>
      </c>
    </row>
    <row r="452">
      <c r="A452" s="42" t="n"/>
      <c r="B452" s="39" t="n"/>
      <c r="C452" s="39" t="n"/>
      <c r="D452" s="43" t="n"/>
      <c r="E452" s="40" t="n"/>
      <c r="F452" s="40" t="n"/>
      <c r="G452" s="44">
        <f>IFERROR(VLOOKUP(C452,Cleaners!$B$6:$I$35,8,FALSE),0)</f>
        <v/>
      </c>
      <c r="H452" s="39" t="n"/>
      <c r="I452" s="46" t="n"/>
      <c r="J452" s="39" t="n"/>
      <c r="K452" s="44">
        <f>IF(C452="","",IFERROR(D452,0)*G452+IFERROR(E452,0)+IFERROR(F452,0))</f>
        <v/>
      </c>
    </row>
    <row r="453">
      <c r="A453" s="42" t="n"/>
      <c r="B453" s="39" t="n"/>
      <c r="C453" s="39" t="n"/>
      <c r="D453" s="43" t="n"/>
      <c r="E453" s="40" t="n"/>
      <c r="F453" s="40" t="n"/>
      <c r="G453" s="44">
        <f>IFERROR(VLOOKUP(C453,Cleaners!$B$6:$I$35,8,FALSE),0)</f>
        <v/>
      </c>
      <c r="H453" s="39" t="n"/>
      <c r="I453" s="46" t="n"/>
      <c r="J453" s="39" t="n"/>
      <c r="K453" s="44">
        <f>IF(C453="","",IFERROR(D453,0)*G453+IFERROR(E453,0)+IFERROR(F453,0))</f>
        <v/>
      </c>
    </row>
    <row r="454">
      <c r="A454" s="42" t="n"/>
      <c r="B454" s="39" t="n"/>
      <c r="C454" s="39" t="n"/>
      <c r="D454" s="43" t="n"/>
      <c r="E454" s="40" t="n"/>
      <c r="F454" s="40" t="n"/>
      <c r="G454" s="44">
        <f>IFERROR(VLOOKUP(C454,Cleaners!$B$6:$I$35,8,FALSE),0)</f>
        <v/>
      </c>
      <c r="H454" s="39" t="n"/>
      <c r="I454" s="46" t="n"/>
      <c r="J454" s="39" t="n"/>
      <c r="K454" s="44">
        <f>IF(C454="","",IFERROR(D454,0)*G454+IFERROR(E454,0)+IFERROR(F454,0))</f>
        <v/>
      </c>
    </row>
    <row r="455">
      <c r="A455" s="42" t="n"/>
      <c r="B455" s="39" t="n"/>
      <c r="C455" s="39" t="n"/>
      <c r="D455" s="43" t="n"/>
      <c r="E455" s="40" t="n"/>
      <c r="F455" s="40" t="n"/>
      <c r="G455" s="44">
        <f>IFERROR(VLOOKUP(C455,Cleaners!$B$6:$I$35,8,FALSE),0)</f>
        <v/>
      </c>
      <c r="H455" s="39" t="n"/>
      <c r="I455" s="46" t="n"/>
      <c r="J455" s="39" t="n"/>
      <c r="K455" s="44">
        <f>IF(C455="","",IFERROR(D455,0)*G455+IFERROR(E455,0)+IFERROR(F455,0))</f>
        <v/>
      </c>
    </row>
    <row r="456">
      <c r="A456" s="42" t="n"/>
      <c r="B456" s="39" t="n"/>
      <c r="C456" s="39" t="n"/>
      <c r="D456" s="43" t="n"/>
      <c r="E456" s="40" t="n"/>
      <c r="F456" s="40" t="n"/>
      <c r="G456" s="44">
        <f>IFERROR(VLOOKUP(C456,Cleaners!$B$6:$I$35,8,FALSE),0)</f>
        <v/>
      </c>
      <c r="H456" s="39" t="n"/>
      <c r="I456" s="46" t="n"/>
      <c r="J456" s="39" t="n"/>
      <c r="K456" s="44">
        <f>IF(C456="","",IFERROR(D456,0)*G456+IFERROR(E456,0)+IFERROR(F456,0))</f>
        <v/>
      </c>
    </row>
    <row r="457">
      <c r="A457" s="42" t="n"/>
      <c r="B457" s="39" t="n"/>
      <c r="C457" s="39" t="n"/>
      <c r="D457" s="43" t="n"/>
      <c r="E457" s="40" t="n"/>
      <c r="F457" s="40" t="n"/>
      <c r="G457" s="44">
        <f>IFERROR(VLOOKUP(C457,Cleaners!$B$6:$I$35,8,FALSE),0)</f>
        <v/>
      </c>
      <c r="H457" s="39" t="n"/>
      <c r="I457" s="46" t="n"/>
      <c r="J457" s="39" t="n"/>
      <c r="K457" s="44">
        <f>IF(C457="","",IFERROR(D457,0)*G457+IFERROR(E457,0)+IFERROR(F457,0))</f>
        <v/>
      </c>
    </row>
    <row r="458">
      <c r="A458" s="42" t="n"/>
      <c r="B458" s="39" t="n"/>
      <c r="C458" s="39" t="n"/>
      <c r="D458" s="43" t="n"/>
      <c r="E458" s="40" t="n"/>
      <c r="F458" s="40" t="n"/>
      <c r="G458" s="44">
        <f>IFERROR(VLOOKUP(C458,Cleaners!$B$6:$I$35,8,FALSE),0)</f>
        <v/>
      </c>
      <c r="H458" s="39" t="n"/>
      <c r="I458" s="46" t="n"/>
      <c r="J458" s="39" t="n"/>
      <c r="K458" s="44">
        <f>IF(C458="","",IFERROR(D458,0)*G458+IFERROR(E458,0)+IFERROR(F458,0))</f>
        <v/>
      </c>
    </row>
    <row r="459">
      <c r="A459" s="42" t="n"/>
      <c r="B459" s="39" t="n"/>
      <c r="C459" s="39" t="n"/>
      <c r="D459" s="43" t="n"/>
      <c r="E459" s="40" t="n"/>
      <c r="F459" s="40" t="n"/>
      <c r="G459" s="44">
        <f>IFERROR(VLOOKUP(C459,Cleaners!$B$6:$I$35,8,FALSE),0)</f>
        <v/>
      </c>
      <c r="H459" s="39" t="n"/>
      <c r="I459" s="46" t="n"/>
      <c r="J459" s="39" t="n"/>
      <c r="K459" s="44">
        <f>IF(C459="","",IFERROR(D459,0)*G459+IFERROR(E459,0)+IFERROR(F459,0))</f>
        <v/>
      </c>
    </row>
    <row r="460">
      <c r="A460" s="42" t="n"/>
      <c r="B460" s="39" t="n"/>
      <c r="C460" s="39" t="n"/>
      <c r="D460" s="43" t="n"/>
      <c r="E460" s="40" t="n"/>
      <c r="F460" s="40" t="n"/>
      <c r="G460" s="44">
        <f>IFERROR(VLOOKUP(C460,Cleaners!$B$6:$I$35,8,FALSE),0)</f>
        <v/>
      </c>
      <c r="H460" s="39" t="n"/>
      <c r="I460" s="46" t="n"/>
      <c r="J460" s="39" t="n"/>
      <c r="K460" s="44">
        <f>IF(C460="","",IFERROR(D460,0)*G460+IFERROR(E460,0)+IFERROR(F460,0))</f>
        <v/>
      </c>
    </row>
    <row r="461">
      <c r="A461" s="42" t="n"/>
      <c r="B461" s="39" t="n"/>
      <c r="C461" s="39" t="n"/>
      <c r="D461" s="43" t="n"/>
      <c r="E461" s="40" t="n"/>
      <c r="F461" s="40" t="n"/>
      <c r="G461" s="44">
        <f>IFERROR(VLOOKUP(C461,Cleaners!$B$6:$I$35,8,FALSE),0)</f>
        <v/>
      </c>
      <c r="H461" s="39" t="n"/>
      <c r="I461" s="46" t="n"/>
      <c r="J461" s="39" t="n"/>
      <c r="K461" s="44">
        <f>IF(C461="","",IFERROR(D461,0)*G461+IFERROR(E461,0)+IFERROR(F461,0))</f>
        <v/>
      </c>
    </row>
    <row r="462">
      <c r="A462" s="42" t="n"/>
      <c r="B462" s="39" t="n"/>
      <c r="C462" s="39" t="n"/>
      <c r="D462" s="43" t="n"/>
      <c r="E462" s="40" t="n"/>
      <c r="F462" s="40" t="n"/>
      <c r="G462" s="44">
        <f>IFERROR(VLOOKUP(C462,Cleaners!$B$6:$I$35,8,FALSE),0)</f>
        <v/>
      </c>
      <c r="H462" s="39" t="n"/>
      <c r="I462" s="46" t="n"/>
      <c r="J462" s="39" t="n"/>
      <c r="K462" s="44">
        <f>IF(C462="","",IFERROR(D462,0)*G462+IFERROR(E462,0)+IFERROR(F462,0))</f>
        <v/>
      </c>
    </row>
    <row r="463">
      <c r="A463" s="42" t="n"/>
      <c r="B463" s="39" t="n"/>
      <c r="C463" s="39" t="n"/>
      <c r="D463" s="43" t="n"/>
      <c r="E463" s="40" t="n"/>
      <c r="F463" s="40" t="n"/>
      <c r="G463" s="44">
        <f>IFERROR(VLOOKUP(C463,Cleaners!$B$6:$I$35,8,FALSE),0)</f>
        <v/>
      </c>
      <c r="H463" s="39" t="n"/>
      <c r="I463" s="46" t="n"/>
      <c r="J463" s="39" t="n"/>
      <c r="K463" s="44">
        <f>IF(C463="","",IFERROR(D463,0)*G463+IFERROR(E463,0)+IFERROR(F463,0))</f>
        <v/>
      </c>
    </row>
    <row r="464">
      <c r="A464" s="42" t="n"/>
      <c r="B464" s="39" t="n"/>
      <c r="C464" s="39" t="n"/>
      <c r="D464" s="43" t="n"/>
      <c r="E464" s="40" t="n"/>
      <c r="F464" s="40" t="n"/>
      <c r="G464" s="44">
        <f>IFERROR(VLOOKUP(C464,Cleaners!$B$6:$I$35,8,FALSE),0)</f>
        <v/>
      </c>
      <c r="H464" s="39" t="n"/>
      <c r="I464" s="46" t="n"/>
      <c r="J464" s="39" t="n"/>
      <c r="K464" s="44">
        <f>IF(C464="","",IFERROR(D464,0)*G464+IFERROR(E464,0)+IFERROR(F464,0))</f>
        <v/>
      </c>
    </row>
    <row r="465">
      <c r="A465" s="42" t="n"/>
      <c r="B465" s="39" t="n"/>
      <c r="C465" s="39" t="n"/>
      <c r="D465" s="43" t="n"/>
      <c r="E465" s="40" t="n"/>
      <c r="F465" s="40" t="n"/>
      <c r="G465" s="44">
        <f>IFERROR(VLOOKUP(C465,Cleaners!$B$6:$I$35,8,FALSE),0)</f>
        <v/>
      </c>
      <c r="H465" s="39" t="n"/>
      <c r="I465" s="46" t="n"/>
      <c r="J465" s="39" t="n"/>
      <c r="K465" s="44">
        <f>IF(C465="","",IFERROR(D465,0)*G465+IFERROR(E465,0)+IFERROR(F465,0))</f>
        <v/>
      </c>
    </row>
    <row r="466">
      <c r="A466" s="42" t="n"/>
      <c r="B466" s="39" t="n"/>
      <c r="C466" s="39" t="n"/>
      <c r="D466" s="43" t="n"/>
      <c r="E466" s="40" t="n"/>
      <c r="F466" s="40" t="n"/>
      <c r="G466" s="44">
        <f>IFERROR(VLOOKUP(C466,Cleaners!$B$6:$I$35,8,FALSE),0)</f>
        <v/>
      </c>
      <c r="H466" s="39" t="n"/>
      <c r="I466" s="46" t="n"/>
      <c r="J466" s="39" t="n"/>
      <c r="K466" s="44">
        <f>IF(C466="","",IFERROR(D466,0)*G466+IFERROR(E466,0)+IFERROR(F466,0))</f>
        <v/>
      </c>
    </row>
    <row r="467">
      <c r="A467" s="42" t="n"/>
      <c r="B467" s="39" t="n"/>
      <c r="C467" s="39" t="n"/>
      <c r="D467" s="43" t="n"/>
      <c r="E467" s="40" t="n"/>
      <c r="F467" s="40" t="n"/>
      <c r="G467" s="44">
        <f>IFERROR(VLOOKUP(C467,Cleaners!$B$6:$I$35,8,FALSE),0)</f>
        <v/>
      </c>
      <c r="H467" s="39" t="n"/>
      <c r="I467" s="46" t="n"/>
      <c r="J467" s="39" t="n"/>
      <c r="K467" s="44">
        <f>IF(C467="","",IFERROR(D467,0)*G467+IFERROR(E467,0)+IFERROR(F467,0))</f>
        <v/>
      </c>
    </row>
    <row r="468">
      <c r="A468" s="42" t="n"/>
      <c r="B468" s="39" t="n"/>
      <c r="C468" s="39" t="n"/>
      <c r="D468" s="43" t="n"/>
      <c r="E468" s="40" t="n"/>
      <c r="F468" s="40" t="n"/>
      <c r="G468" s="44">
        <f>IFERROR(VLOOKUP(C468,Cleaners!$B$6:$I$35,8,FALSE),0)</f>
        <v/>
      </c>
      <c r="H468" s="39" t="n"/>
      <c r="I468" s="46" t="n"/>
      <c r="J468" s="39" t="n"/>
      <c r="K468" s="44">
        <f>IF(C468="","",IFERROR(D468,0)*G468+IFERROR(E468,0)+IFERROR(F468,0))</f>
        <v/>
      </c>
    </row>
    <row r="469">
      <c r="A469" s="42" t="n"/>
      <c r="B469" s="39" t="n"/>
      <c r="C469" s="39" t="n"/>
      <c r="D469" s="43" t="n"/>
      <c r="E469" s="40" t="n"/>
      <c r="F469" s="40" t="n"/>
      <c r="G469" s="44">
        <f>IFERROR(VLOOKUP(C469,Cleaners!$B$6:$I$35,8,FALSE),0)</f>
        <v/>
      </c>
      <c r="H469" s="39" t="n"/>
      <c r="I469" s="46" t="n"/>
      <c r="J469" s="39" t="n"/>
      <c r="K469" s="44">
        <f>IF(C469="","",IFERROR(D469,0)*G469+IFERROR(E469,0)+IFERROR(F469,0))</f>
        <v/>
      </c>
    </row>
    <row r="470">
      <c r="A470" s="42" t="n"/>
      <c r="B470" s="39" t="n"/>
      <c r="C470" s="39" t="n"/>
      <c r="D470" s="43" t="n"/>
      <c r="E470" s="40" t="n"/>
      <c r="F470" s="40" t="n"/>
      <c r="G470" s="44">
        <f>IFERROR(VLOOKUP(C470,Cleaners!$B$6:$I$35,8,FALSE),0)</f>
        <v/>
      </c>
      <c r="H470" s="39" t="n"/>
      <c r="I470" s="46" t="n"/>
      <c r="J470" s="39" t="n"/>
      <c r="K470" s="44">
        <f>IF(C470="","",IFERROR(D470,0)*G470+IFERROR(E470,0)+IFERROR(F470,0))</f>
        <v/>
      </c>
    </row>
    <row r="471">
      <c r="A471" s="42" t="n"/>
      <c r="B471" s="39" t="n"/>
      <c r="C471" s="39" t="n"/>
      <c r="D471" s="43" t="n"/>
      <c r="E471" s="40" t="n"/>
      <c r="F471" s="40" t="n"/>
      <c r="G471" s="44">
        <f>IFERROR(VLOOKUP(C471,Cleaners!$B$6:$I$35,8,FALSE),0)</f>
        <v/>
      </c>
      <c r="H471" s="39" t="n"/>
      <c r="I471" s="46" t="n"/>
      <c r="J471" s="39" t="n"/>
      <c r="K471" s="44">
        <f>IF(C471="","",IFERROR(D471,0)*G471+IFERROR(E471,0)+IFERROR(F471,0))</f>
        <v/>
      </c>
    </row>
    <row r="472">
      <c r="A472" s="42" t="n"/>
      <c r="B472" s="39" t="n"/>
      <c r="C472" s="39" t="n"/>
      <c r="D472" s="43" t="n"/>
      <c r="E472" s="40" t="n"/>
      <c r="F472" s="40" t="n"/>
      <c r="G472" s="44">
        <f>IFERROR(VLOOKUP(C472,Cleaners!$B$6:$I$35,8,FALSE),0)</f>
        <v/>
      </c>
      <c r="H472" s="39" t="n"/>
      <c r="I472" s="46" t="n"/>
      <c r="J472" s="39" t="n"/>
      <c r="K472" s="44">
        <f>IF(C472="","",IFERROR(D472,0)*G472+IFERROR(E472,0)+IFERROR(F472,0))</f>
        <v/>
      </c>
    </row>
    <row r="473">
      <c r="A473" s="42" t="n"/>
      <c r="B473" s="39" t="n"/>
      <c r="C473" s="39" t="n"/>
      <c r="D473" s="43" t="n"/>
      <c r="E473" s="40" t="n"/>
      <c r="F473" s="40" t="n"/>
      <c r="G473" s="44">
        <f>IFERROR(VLOOKUP(C473,Cleaners!$B$6:$I$35,8,FALSE),0)</f>
        <v/>
      </c>
      <c r="H473" s="39" t="n"/>
      <c r="I473" s="46" t="n"/>
      <c r="J473" s="39" t="n"/>
      <c r="K473" s="44">
        <f>IF(C473="","",IFERROR(D473,0)*G473+IFERROR(E473,0)+IFERROR(F473,0))</f>
        <v/>
      </c>
    </row>
    <row r="474">
      <c r="A474" s="42" t="n"/>
      <c r="B474" s="39" t="n"/>
      <c r="C474" s="39" t="n"/>
      <c r="D474" s="43" t="n"/>
      <c r="E474" s="40" t="n"/>
      <c r="F474" s="40" t="n"/>
      <c r="G474" s="44">
        <f>IFERROR(VLOOKUP(C474,Cleaners!$B$6:$I$35,8,FALSE),0)</f>
        <v/>
      </c>
      <c r="H474" s="39" t="n"/>
      <c r="I474" s="46" t="n"/>
      <c r="J474" s="39" t="n"/>
      <c r="K474" s="44">
        <f>IF(C474="","",IFERROR(D474,0)*G474+IFERROR(E474,0)+IFERROR(F474,0))</f>
        <v/>
      </c>
    </row>
    <row r="475">
      <c r="A475" s="42" t="n"/>
      <c r="B475" s="39" t="n"/>
      <c r="C475" s="39" t="n"/>
      <c r="D475" s="43" t="n"/>
      <c r="E475" s="40" t="n"/>
      <c r="F475" s="40" t="n"/>
      <c r="G475" s="44">
        <f>IFERROR(VLOOKUP(C475,Cleaners!$B$6:$I$35,8,FALSE),0)</f>
        <v/>
      </c>
      <c r="H475" s="39" t="n"/>
      <c r="I475" s="46" t="n"/>
      <c r="J475" s="39" t="n"/>
      <c r="K475" s="44">
        <f>IF(C475="","",IFERROR(D475,0)*G475+IFERROR(E475,0)+IFERROR(F475,0))</f>
        <v/>
      </c>
    </row>
    <row r="476">
      <c r="A476" s="42" t="n"/>
      <c r="B476" s="39" t="n"/>
      <c r="C476" s="39" t="n"/>
      <c r="D476" s="43" t="n"/>
      <c r="E476" s="40" t="n"/>
      <c r="F476" s="40" t="n"/>
      <c r="G476" s="44">
        <f>IFERROR(VLOOKUP(C476,Cleaners!$B$6:$I$35,8,FALSE),0)</f>
        <v/>
      </c>
      <c r="H476" s="39" t="n"/>
      <c r="I476" s="46" t="n"/>
      <c r="J476" s="39" t="n"/>
      <c r="K476" s="44">
        <f>IF(C476="","",IFERROR(D476,0)*G476+IFERROR(E476,0)+IFERROR(F476,0))</f>
        <v/>
      </c>
    </row>
    <row r="477">
      <c r="A477" s="42" t="n"/>
      <c r="B477" s="39" t="n"/>
      <c r="C477" s="39" t="n"/>
      <c r="D477" s="43" t="n"/>
      <c r="E477" s="40" t="n"/>
      <c r="F477" s="40" t="n"/>
      <c r="G477" s="44">
        <f>IFERROR(VLOOKUP(C477,Cleaners!$B$6:$I$35,8,FALSE),0)</f>
        <v/>
      </c>
      <c r="H477" s="39" t="n"/>
      <c r="I477" s="46" t="n"/>
      <c r="J477" s="39" t="n"/>
      <c r="K477" s="44">
        <f>IF(C477="","",IFERROR(D477,0)*G477+IFERROR(E477,0)+IFERROR(F477,0))</f>
        <v/>
      </c>
    </row>
    <row r="478">
      <c r="A478" s="42" t="n"/>
      <c r="B478" s="39" t="n"/>
      <c r="C478" s="39" t="n"/>
      <c r="D478" s="43" t="n"/>
      <c r="E478" s="40" t="n"/>
      <c r="F478" s="40" t="n"/>
      <c r="G478" s="44">
        <f>IFERROR(VLOOKUP(C478,Cleaners!$B$6:$I$35,8,FALSE),0)</f>
        <v/>
      </c>
      <c r="H478" s="39" t="n"/>
      <c r="I478" s="46" t="n"/>
      <c r="J478" s="39" t="n"/>
      <c r="K478" s="44">
        <f>IF(C478="","",IFERROR(D478,0)*G478+IFERROR(E478,0)+IFERROR(F478,0))</f>
        <v/>
      </c>
    </row>
    <row r="479">
      <c r="A479" s="42" t="n"/>
      <c r="B479" s="39" t="n"/>
      <c r="C479" s="39" t="n"/>
      <c r="D479" s="43" t="n"/>
      <c r="E479" s="40" t="n"/>
      <c r="F479" s="40" t="n"/>
      <c r="G479" s="44">
        <f>IFERROR(VLOOKUP(C479,Cleaners!$B$6:$I$35,8,FALSE),0)</f>
        <v/>
      </c>
      <c r="H479" s="39" t="n"/>
      <c r="I479" s="46" t="n"/>
      <c r="J479" s="39" t="n"/>
      <c r="K479" s="44">
        <f>IF(C479="","",IFERROR(D479,0)*G479+IFERROR(E479,0)+IFERROR(F479,0))</f>
        <v/>
      </c>
    </row>
    <row r="480">
      <c r="A480" s="42" t="n"/>
      <c r="B480" s="39" t="n"/>
      <c r="C480" s="39" t="n"/>
      <c r="D480" s="43" t="n"/>
      <c r="E480" s="40" t="n"/>
      <c r="F480" s="40" t="n"/>
      <c r="G480" s="44">
        <f>IFERROR(VLOOKUP(C480,Cleaners!$B$6:$I$35,8,FALSE),0)</f>
        <v/>
      </c>
      <c r="H480" s="39" t="n"/>
      <c r="I480" s="46" t="n"/>
      <c r="J480" s="39" t="n"/>
      <c r="K480" s="44">
        <f>IF(C480="","",IFERROR(D480,0)*G480+IFERROR(E480,0)+IFERROR(F480,0))</f>
        <v/>
      </c>
    </row>
    <row r="481">
      <c r="A481" s="42" t="n"/>
      <c r="B481" s="39" t="n"/>
      <c r="C481" s="39" t="n"/>
      <c r="D481" s="43" t="n"/>
      <c r="E481" s="40" t="n"/>
      <c r="F481" s="40" t="n"/>
      <c r="G481" s="44">
        <f>IFERROR(VLOOKUP(C481,Cleaners!$B$6:$I$35,8,FALSE),0)</f>
        <v/>
      </c>
      <c r="H481" s="39" t="n"/>
      <c r="I481" s="46" t="n"/>
      <c r="J481" s="39" t="n"/>
      <c r="K481" s="44">
        <f>IF(C481="","",IFERROR(D481,0)*G481+IFERROR(E481,0)+IFERROR(F481,0))</f>
        <v/>
      </c>
    </row>
    <row r="482">
      <c r="A482" s="42" t="n"/>
      <c r="B482" s="39" t="n"/>
      <c r="C482" s="39" t="n"/>
      <c r="D482" s="43" t="n"/>
      <c r="E482" s="40" t="n"/>
      <c r="F482" s="40" t="n"/>
      <c r="G482" s="44">
        <f>IFERROR(VLOOKUP(C482,Cleaners!$B$6:$I$35,8,FALSE),0)</f>
        <v/>
      </c>
      <c r="H482" s="39" t="n"/>
      <c r="I482" s="46" t="n"/>
      <c r="J482" s="39" t="n"/>
      <c r="K482" s="44">
        <f>IF(C482="","",IFERROR(D482,0)*G482+IFERROR(E482,0)+IFERROR(F482,0))</f>
        <v/>
      </c>
    </row>
    <row r="483">
      <c r="A483" s="42" t="n"/>
      <c r="B483" s="39" t="n"/>
      <c r="C483" s="39" t="n"/>
      <c r="D483" s="43" t="n"/>
      <c r="E483" s="40" t="n"/>
      <c r="F483" s="40" t="n"/>
      <c r="G483" s="44">
        <f>IFERROR(VLOOKUP(C483,Cleaners!$B$6:$I$35,8,FALSE),0)</f>
        <v/>
      </c>
      <c r="H483" s="39" t="n"/>
      <c r="I483" s="46" t="n"/>
      <c r="J483" s="39" t="n"/>
      <c r="K483" s="44">
        <f>IF(C483="","",IFERROR(D483,0)*G483+IFERROR(E483,0)+IFERROR(F483,0))</f>
        <v/>
      </c>
    </row>
    <row r="484">
      <c r="A484" s="42" t="n"/>
      <c r="B484" s="39" t="n"/>
      <c r="C484" s="39" t="n"/>
      <c r="D484" s="43" t="n"/>
      <c r="E484" s="40" t="n"/>
      <c r="F484" s="40" t="n"/>
      <c r="G484" s="44">
        <f>IFERROR(VLOOKUP(C484,Cleaners!$B$6:$I$35,8,FALSE),0)</f>
        <v/>
      </c>
      <c r="H484" s="39" t="n"/>
      <c r="I484" s="46" t="n"/>
      <c r="J484" s="39" t="n"/>
      <c r="K484" s="44">
        <f>IF(C484="","",IFERROR(D484,0)*G484+IFERROR(E484,0)+IFERROR(F484,0))</f>
        <v/>
      </c>
    </row>
    <row r="485">
      <c r="A485" s="42" t="n"/>
      <c r="B485" s="39" t="n"/>
      <c r="C485" s="39" t="n"/>
      <c r="D485" s="43" t="n"/>
      <c r="E485" s="40" t="n"/>
      <c r="F485" s="40" t="n"/>
      <c r="G485" s="44">
        <f>IFERROR(VLOOKUP(C485,Cleaners!$B$6:$I$35,8,FALSE),0)</f>
        <v/>
      </c>
      <c r="H485" s="39" t="n"/>
      <c r="I485" s="46" t="n"/>
      <c r="J485" s="39" t="n"/>
      <c r="K485" s="44">
        <f>IF(C485="","",IFERROR(D485,0)*G485+IFERROR(E485,0)+IFERROR(F485,0))</f>
        <v/>
      </c>
    </row>
    <row r="486">
      <c r="A486" s="42" t="n"/>
      <c r="B486" s="39" t="n"/>
      <c r="C486" s="39" t="n"/>
      <c r="D486" s="43" t="n"/>
      <c r="E486" s="40" t="n"/>
      <c r="F486" s="40" t="n"/>
      <c r="G486" s="44">
        <f>IFERROR(VLOOKUP(C486,Cleaners!$B$6:$I$35,8,FALSE),0)</f>
        <v/>
      </c>
      <c r="H486" s="39" t="n"/>
      <c r="I486" s="46" t="n"/>
      <c r="J486" s="39" t="n"/>
      <c r="K486" s="44">
        <f>IF(C486="","",IFERROR(D486,0)*G486+IFERROR(E486,0)+IFERROR(F486,0))</f>
        <v/>
      </c>
    </row>
    <row r="487">
      <c r="A487" s="42" t="n"/>
      <c r="B487" s="39" t="n"/>
      <c r="C487" s="39" t="n"/>
      <c r="D487" s="43" t="n"/>
      <c r="E487" s="40" t="n"/>
      <c r="F487" s="40" t="n"/>
      <c r="G487" s="44">
        <f>IFERROR(VLOOKUP(C487,Cleaners!$B$6:$I$35,8,FALSE),0)</f>
        <v/>
      </c>
      <c r="H487" s="39" t="n"/>
      <c r="I487" s="46" t="n"/>
      <c r="J487" s="39" t="n"/>
      <c r="K487" s="44">
        <f>IF(C487="","",IFERROR(D487,0)*G487+IFERROR(E487,0)+IFERROR(F487,0))</f>
        <v/>
      </c>
    </row>
    <row r="488">
      <c r="A488" s="42" t="n"/>
      <c r="B488" s="39" t="n"/>
      <c r="C488" s="39" t="n"/>
      <c r="D488" s="43" t="n"/>
      <c r="E488" s="40" t="n"/>
      <c r="F488" s="40" t="n"/>
      <c r="G488" s="44">
        <f>IFERROR(VLOOKUP(C488,Cleaners!$B$6:$I$35,8,FALSE),0)</f>
        <v/>
      </c>
      <c r="H488" s="39" t="n"/>
      <c r="I488" s="46" t="n"/>
      <c r="J488" s="39" t="n"/>
      <c r="K488" s="44">
        <f>IF(C488="","",IFERROR(D488,0)*G488+IFERROR(E488,0)+IFERROR(F488,0))</f>
        <v/>
      </c>
    </row>
    <row r="489">
      <c r="A489" s="42" t="n"/>
      <c r="B489" s="39" t="n"/>
      <c r="C489" s="39" t="n"/>
      <c r="D489" s="43" t="n"/>
      <c r="E489" s="40" t="n"/>
      <c r="F489" s="40" t="n"/>
      <c r="G489" s="44">
        <f>IFERROR(VLOOKUP(C489,Cleaners!$B$6:$I$35,8,FALSE),0)</f>
        <v/>
      </c>
      <c r="H489" s="39" t="n"/>
      <c r="I489" s="46" t="n"/>
      <c r="J489" s="39" t="n"/>
      <c r="K489" s="44">
        <f>IF(C489="","",IFERROR(D489,0)*G489+IFERROR(E489,0)+IFERROR(F489,0))</f>
        <v/>
      </c>
    </row>
    <row r="490">
      <c r="A490" s="42" t="n"/>
      <c r="B490" s="39" t="n"/>
      <c r="C490" s="39" t="n"/>
      <c r="D490" s="43" t="n"/>
      <c r="E490" s="40" t="n"/>
      <c r="F490" s="40" t="n"/>
      <c r="G490" s="44">
        <f>IFERROR(VLOOKUP(C490,Cleaners!$B$6:$I$35,8,FALSE),0)</f>
        <v/>
      </c>
      <c r="H490" s="39" t="n"/>
      <c r="I490" s="46" t="n"/>
      <c r="J490" s="39" t="n"/>
      <c r="K490" s="44">
        <f>IF(C490="","",IFERROR(D490,0)*G490+IFERROR(E490,0)+IFERROR(F490,0))</f>
        <v/>
      </c>
    </row>
    <row r="491">
      <c r="A491" s="42" t="n"/>
      <c r="B491" s="39" t="n"/>
      <c r="C491" s="39" t="n"/>
      <c r="D491" s="43" t="n"/>
      <c r="E491" s="40" t="n"/>
      <c r="F491" s="40" t="n"/>
      <c r="G491" s="44">
        <f>IFERROR(VLOOKUP(C491,Cleaners!$B$6:$I$35,8,FALSE),0)</f>
        <v/>
      </c>
      <c r="H491" s="39" t="n"/>
      <c r="I491" s="46" t="n"/>
      <c r="J491" s="39" t="n"/>
      <c r="K491" s="44">
        <f>IF(C491="","",IFERROR(D491,0)*G491+IFERROR(E491,0)+IFERROR(F491,0))</f>
        <v/>
      </c>
    </row>
    <row r="492">
      <c r="A492" s="42" t="n"/>
      <c r="B492" s="39" t="n"/>
      <c r="C492" s="39" t="n"/>
      <c r="D492" s="43" t="n"/>
      <c r="E492" s="40" t="n"/>
      <c r="F492" s="40" t="n"/>
      <c r="G492" s="44">
        <f>IFERROR(VLOOKUP(C492,Cleaners!$B$6:$I$35,8,FALSE),0)</f>
        <v/>
      </c>
      <c r="H492" s="39" t="n"/>
      <c r="I492" s="46" t="n"/>
      <c r="J492" s="39" t="n"/>
      <c r="K492" s="44">
        <f>IF(C492="","",IFERROR(D492,0)*G492+IFERROR(E492,0)+IFERROR(F492,0))</f>
        <v/>
      </c>
    </row>
    <row r="493">
      <c r="A493" s="42" t="n"/>
      <c r="B493" s="39" t="n"/>
      <c r="C493" s="39" t="n"/>
      <c r="D493" s="43" t="n"/>
      <c r="E493" s="40" t="n"/>
      <c r="F493" s="40" t="n"/>
      <c r="G493" s="44">
        <f>IFERROR(VLOOKUP(C493,Cleaners!$B$6:$I$35,8,FALSE),0)</f>
        <v/>
      </c>
      <c r="H493" s="39" t="n"/>
      <c r="I493" s="46" t="n"/>
      <c r="J493" s="39" t="n"/>
      <c r="K493" s="44">
        <f>IF(C493="","",IFERROR(D493,0)*G493+IFERROR(E493,0)+IFERROR(F493,0))</f>
        <v/>
      </c>
    </row>
    <row r="494">
      <c r="A494" s="42" t="n"/>
      <c r="B494" s="39" t="n"/>
      <c r="C494" s="39" t="n"/>
      <c r="D494" s="43" t="n"/>
      <c r="E494" s="40" t="n"/>
      <c r="F494" s="40" t="n"/>
      <c r="G494" s="44">
        <f>IFERROR(VLOOKUP(C494,Cleaners!$B$6:$I$35,8,FALSE),0)</f>
        <v/>
      </c>
      <c r="H494" s="39" t="n"/>
      <c r="I494" s="46" t="n"/>
      <c r="J494" s="39" t="n"/>
      <c r="K494" s="44">
        <f>IF(C494="","",IFERROR(D494,0)*G494+IFERROR(E494,0)+IFERROR(F494,0))</f>
        <v/>
      </c>
    </row>
    <row r="495">
      <c r="A495" s="42" t="n"/>
      <c r="B495" s="39" t="n"/>
      <c r="C495" s="39" t="n"/>
      <c r="D495" s="43" t="n"/>
      <c r="E495" s="40" t="n"/>
      <c r="F495" s="40" t="n"/>
      <c r="G495" s="44">
        <f>IFERROR(VLOOKUP(C495,Cleaners!$B$6:$I$35,8,FALSE),0)</f>
        <v/>
      </c>
      <c r="H495" s="39" t="n"/>
      <c r="I495" s="46" t="n"/>
      <c r="J495" s="39" t="n"/>
      <c r="K495" s="44">
        <f>IF(C495="","",IFERROR(D495,0)*G495+IFERROR(E495,0)+IFERROR(F495,0))</f>
        <v/>
      </c>
    </row>
    <row r="496">
      <c r="A496" s="42" t="n"/>
      <c r="B496" s="39" t="n"/>
      <c r="C496" s="39" t="n"/>
      <c r="D496" s="43" t="n"/>
      <c r="E496" s="40" t="n"/>
      <c r="F496" s="40" t="n"/>
      <c r="G496" s="44">
        <f>IFERROR(VLOOKUP(C496,Cleaners!$B$6:$I$35,8,FALSE),0)</f>
        <v/>
      </c>
      <c r="H496" s="39" t="n"/>
      <c r="I496" s="46" t="n"/>
      <c r="J496" s="39" t="n"/>
      <c r="K496" s="44">
        <f>IF(C496="","",IFERROR(D496,0)*G496+IFERROR(E496,0)+IFERROR(F496,0))</f>
        <v/>
      </c>
    </row>
    <row r="497">
      <c r="A497" s="42" t="n"/>
      <c r="B497" s="39" t="n"/>
      <c r="C497" s="39" t="n"/>
      <c r="D497" s="43" t="n"/>
      <c r="E497" s="40" t="n"/>
      <c r="F497" s="40" t="n"/>
      <c r="G497" s="44">
        <f>IFERROR(VLOOKUP(C497,Cleaners!$B$6:$I$35,8,FALSE),0)</f>
        <v/>
      </c>
      <c r="H497" s="39" t="n"/>
      <c r="I497" s="46" t="n"/>
      <c r="J497" s="39" t="n"/>
      <c r="K497" s="44">
        <f>IF(C497="","",IFERROR(D497,0)*G497+IFERROR(E497,0)+IFERROR(F497,0))</f>
        <v/>
      </c>
    </row>
    <row r="498">
      <c r="A498" s="42" t="n"/>
      <c r="B498" s="39" t="n"/>
      <c r="C498" s="39" t="n"/>
      <c r="D498" s="43" t="n"/>
      <c r="E498" s="40" t="n"/>
      <c r="F498" s="40" t="n"/>
      <c r="G498" s="44">
        <f>IFERROR(VLOOKUP(C498,Cleaners!$B$6:$I$35,8,FALSE),0)</f>
        <v/>
      </c>
      <c r="H498" s="39" t="n"/>
      <c r="I498" s="46" t="n"/>
      <c r="J498" s="39" t="n"/>
      <c r="K498" s="44">
        <f>IF(C498="","",IFERROR(D498,0)*G498+IFERROR(E498,0)+IFERROR(F498,0))</f>
        <v/>
      </c>
    </row>
    <row r="499">
      <c r="A499" s="42" t="n"/>
      <c r="B499" s="39" t="n"/>
      <c r="C499" s="39" t="n"/>
      <c r="D499" s="43" t="n"/>
      <c r="E499" s="40" t="n"/>
      <c r="F499" s="40" t="n"/>
      <c r="G499" s="44">
        <f>IFERROR(VLOOKUP(C499,Cleaners!$B$6:$I$35,8,FALSE),0)</f>
        <v/>
      </c>
      <c r="H499" s="39" t="n"/>
      <c r="I499" s="46" t="n"/>
      <c r="J499" s="39" t="n"/>
      <c r="K499" s="44">
        <f>IF(C499="","",IFERROR(D499,0)*G499+IFERROR(E499,0)+IFERROR(F499,0))</f>
        <v/>
      </c>
    </row>
    <row r="500">
      <c r="A500" s="42" t="n"/>
      <c r="B500" s="39" t="n"/>
      <c r="C500" s="39" t="n"/>
      <c r="D500" s="43" t="n"/>
      <c r="E500" s="40" t="n"/>
      <c r="F500" s="40" t="n"/>
      <c r="G500" s="44">
        <f>IFERROR(VLOOKUP(C500,Cleaners!$B$6:$I$35,8,FALSE),0)</f>
        <v/>
      </c>
      <c r="H500" s="39" t="n"/>
      <c r="I500" s="46" t="n"/>
      <c r="J500" s="39" t="n"/>
      <c r="K500" s="44">
        <f>IF(C500="","",IFERROR(D500,0)*G500+IFERROR(E500,0)+IFERROR(F500,0))</f>
        <v/>
      </c>
    </row>
    <row r="501">
      <c r="A501" s="42" t="n"/>
      <c r="B501" s="39" t="n"/>
      <c r="C501" s="39" t="n"/>
      <c r="D501" s="43" t="n"/>
      <c r="E501" s="40" t="n"/>
      <c r="F501" s="40" t="n"/>
      <c r="G501" s="44">
        <f>IFERROR(VLOOKUP(C501,Cleaners!$B$6:$I$35,8,FALSE),0)</f>
        <v/>
      </c>
      <c r="H501" s="39" t="n"/>
      <c r="I501" s="46" t="n"/>
      <c r="J501" s="39" t="n"/>
      <c r="K501" s="44">
        <f>IF(C501="","",IFERROR(D501,0)*G501+IFERROR(E501,0)+IFERROR(F501,0))</f>
        <v/>
      </c>
    </row>
    <row r="502">
      <c r="A502" s="42" t="n"/>
      <c r="B502" s="39" t="n"/>
      <c r="C502" s="39" t="n"/>
      <c r="D502" s="43" t="n"/>
      <c r="E502" s="40" t="n"/>
      <c r="F502" s="40" t="n"/>
      <c r="G502" s="44">
        <f>IFERROR(VLOOKUP(C502,Cleaners!$B$6:$I$35,8,FALSE),0)</f>
        <v/>
      </c>
      <c r="H502" s="39" t="n"/>
      <c r="I502" s="46" t="n"/>
      <c r="J502" s="39" t="n"/>
      <c r="K502" s="44">
        <f>IF(C502="","",IFERROR(D502,0)*G502+IFERROR(E502,0)+IFERROR(F502,0))</f>
        <v/>
      </c>
    </row>
    <row r="503">
      <c r="A503" s="42" t="n"/>
      <c r="B503" s="39" t="n"/>
      <c r="C503" s="39" t="n"/>
      <c r="D503" s="43" t="n"/>
      <c r="E503" s="40" t="n"/>
      <c r="F503" s="40" t="n"/>
      <c r="G503" s="44">
        <f>IFERROR(VLOOKUP(C503,Cleaners!$B$6:$I$35,8,FALSE),0)</f>
        <v/>
      </c>
      <c r="H503" s="39" t="n"/>
      <c r="I503" s="46" t="n"/>
      <c r="J503" s="39" t="n"/>
      <c r="K503" s="44">
        <f>IF(C503="","",IFERROR(D503,0)*G503+IFERROR(E503,0)+IFERROR(F503,0))</f>
        <v/>
      </c>
    </row>
    <row r="504">
      <c r="A504" s="42" t="n"/>
      <c r="B504" s="39" t="n"/>
      <c r="C504" s="39" t="n"/>
      <c r="D504" s="43" t="n"/>
      <c r="E504" s="40" t="n"/>
      <c r="F504" s="40" t="n"/>
      <c r="G504" s="44">
        <f>IFERROR(VLOOKUP(C504,Cleaners!$B$6:$I$35,8,FALSE),0)</f>
        <v/>
      </c>
      <c r="H504" s="39" t="n"/>
      <c r="I504" s="46" t="n"/>
      <c r="J504" s="39" t="n"/>
      <c r="K504" s="44">
        <f>IF(C504="","",IFERROR(D504,0)*G504+IFERROR(E504,0)+IFERROR(F504,0))</f>
        <v/>
      </c>
    </row>
    <row r="505">
      <c r="A505" s="42" t="n"/>
      <c r="B505" s="39" t="n"/>
      <c r="C505" s="39" t="n"/>
      <c r="D505" s="43" t="n"/>
      <c r="E505" s="40" t="n"/>
      <c r="F505" s="40" t="n"/>
      <c r="G505" s="44">
        <f>IFERROR(VLOOKUP(C505,Cleaners!$B$6:$I$35,8,FALSE),0)</f>
        <v/>
      </c>
      <c r="H505" s="39" t="n"/>
      <c r="I505" s="46" t="n"/>
      <c r="J505" s="39" t="n"/>
      <c r="K505" s="44">
        <f>IF(C505="","",IFERROR(D505,0)*G505+IFERROR(E505,0)+IFERROR(F505,0))</f>
        <v/>
      </c>
    </row>
    <row r="506">
      <c r="A506" s="42" t="n"/>
      <c r="B506" s="39" t="n"/>
      <c r="C506" s="39" t="n"/>
      <c r="D506" s="43" t="n"/>
      <c r="E506" s="40" t="n"/>
      <c r="F506" s="40" t="n"/>
      <c r="G506" s="44">
        <f>IFERROR(VLOOKUP(C506,Cleaners!$B$6:$I$35,8,FALSE),0)</f>
        <v/>
      </c>
      <c r="H506" s="39" t="n"/>
      <c r="I506" s="46" t="n"/>
      <c r="J506" s="39" t="n"/>
      <c r="K506" s="44">
        <f>IF(C506="","",IFERROR(D506,0)*G506+IFERROR(E506,0)+IFERROR(F506,0))</f>
        <v/>
      </c>
    </row>
    <row r="507">
      <c r="A507" s="42" t="n"/>
      <c r="B507" s="39" t="n"/>
      <c r="C507" s="39" t="n"/>
      <c r="D507" s="43" t="n"/>
      <c r="E507" s="40" t="n"/>
      <c r="F507" s="40" t="n"/>
      <c r="G507" s="44">
        <f>IFERROR(VLOOKUP(C507,Cleaners!$B$6:$I$35,8,FALSE),0)</f>
        <v/>
      </c>
      <c r="H507" s="39" t="n"/>
      <c r="I507" s="46" t="n"/>
      <c r="J507" s="39" t="n"/>
      <c r="K507" s="44">
        <f>IF(C507="","",IFERROR(D507,0)*G507+IFERROR(E507,0)+IFERROR(F507,0))</f>
        <v/>
      </c>
    </row>
    <row r="508">
      <c r="A508" s="42" t="n"/>
      <c r="B508" s="39" t="n"/>
      <c r="C508" s="39" t="n"/>
      <c r="D508" s="43" t="n"/>
      <c r="E508" s="40" t="n"/>
      <c r="F508" s="40" t="n"/>
      <c r="G508" s="44">
        <f>IFERROR(VLOOKUP(C508,Cleaners!$B$6:$I$35,8,FALSE),0)</f>
        <v/>
      </c>
      <c r="H508" s="39" t="n"/>
      <c r="I508" s="46" t="n"/>
      <c r="J508" s="39" t="n"/>
      <c r="K508" s="44">
        <f>IF(C508="","",IFERROR(D508,0)*G508+IFERROR(E508,0)+IFERROR(F508,0))</f>
        <v/>
      </c>
    </row>
    <row r="509">
      <c r="A509" s="42" t="n"/>
      <c r="B509" s="39" t="n"/>
      <c r="C509" s="39" t="n"/>
      <c r="D509" s="43" t="n"/>
      <c r="E509" s="40" t="n"/>
      <c r="F509" s="40" t="n"/>
      <c r="G509" s="44">
        <f>IFERROR(VLOOKUP(C509,Cleaners!$B$6:$I$35,8,FALSE),0)</f>
        <v/>
      </c>
      <c r="H509" s="39" t="n"/>
      <c r="I509" s="46" t="n"/>
      <c r="J509" s="39" t="n"/>
      <c r="K509" s="44">
        <f>IF(C509="","",IFERROR(D509,0)*G509+IFERROR(E509,0)+IFERROR(F509,0))</f>
        <v/>
      </c>
    </row>
    <row r="510">
      <c r="A510" s="42" t="n"/>
      <c r="B510" s="39" t="n"/>
      <c r="C510" s="39" t="n"/>
      <c r="D510" s="43" t="n"/>
      <c r="E510" s="40" t="n"/>
      <c r="F510" s="40" t="n"/>
      <c r="G510" s="44">
        <f>IFERROR(VLOOKUP(C510,Cleaners!$B$6:$I$35,8,FALSE),0)</f>
        <v/>
      </c>
      <c r="H510" s="39" t="n"/>
      <c r="I510" s="46" t="n"/>
      <c r="J510" s="39" t="n"/>
      <c r="K510" s="44">
        <f>IF(C510="","",IFERROR(D510,0)*G510+IFERROR(E510,0)+IFERROR(F510,0))</f>
        <v/>
      </c>
    </row>
    <row r="511">
      <c r="A511" s="42" t="n"/>
      <c r="B511" s="39" t="n"/>
      <c r="C511" s="39" t="n"/>
      <c r="D511" s="43" t="n"/>
      <c r="E511" s="40" t="n"/>
      <c r="F511" s="40" t="n"/>
      <c r="G511" s="44">
        <f>IFERROR(VLOOKUP(C511,Cleaners!$B$6:$I$35,8,FALSE),0)</f>
        <v/>
      </c>
      <c r="H511" s="39" t="n"/>
      <c r="I511" s="46" t="n"/>
      <c r="J511" s="39" t="n"/>
      <c r="K511" s="44">
        <f>IF(C511="","",IFERROR(D511,0)*G511+IFERROR(E511,0)+IFERROR(F511,0))</f>
        <v/>
      </c>
    </row>
    <row r="512">
      <c r="A512" s="42" t="n"/>
      <c r="B512" s="39" t="n"/>
      <c r="C512" s="39" t="n"/>
      <c r="D512" s="43" t="n"/>
      <c r="E512" s="40" t="n"/>
      <c r="F512" s="40" t="n"/>
      <c r="G512" s="44">
        <f>IFERROR(VLOOKUP(C512,Cleaners!$B$6:$I$35,8,FALSE),0)</f>
        <v/>
      </c>
      <c r="H512" s="39" t="n"/>
      <c r="I512" s="46" t="n"/>
      <c r="J512" s="39" t="n"/>
      <c r="K512" s="44">
        <f>IF(C512="","",IFERROR(D512,0)*G512+IFERROR(E512,0)+IFERROR(F512,0))</f>
        <v/>
      </c>
    </row>
    <row r="513">
      <c r="A513" s="42" t="n"/>
      <c r="B513" s="39" t="n"/>
      <c r="C513" s="39" t="n"/>
      <c r="D513" s="43" t="n"/>
      <c r="E513" s="40" t="n"/>
      <c r="F513" s="40" t="n"/>
      <c r="G513" s="44">
        <f>IFERROR(VLOOKUP(C513,Cleaners!$B$6:$I$35,8,FALSE),0)</f>
        <v/>
      </c>
      <c r="H513" s="39" t="n"/>
      <c r="I513" s="46" t="n"/>
      <c r="J513" s="39" t="n"/>
      <c r="K513" s="44">
        <f>IF(C513="","",IFERROR(D513,0)*G513+IFERROR(E513,0)+IFERROR(F513,0))</f>
        <v/>
      </c>
    </row>
    <row r="514">
      <c r="A514" s="42" t="n"/>
      <c r="B514" s="39" t="n"/>
      <c r="C514" s="39" t="n"/>
      <c r="D514" s="43" t="n"/>
      <c r="E514" s="40" t="n"/>
      <c r="F514" s="40" t="n"/>
      <c r="G514" s="44">
        <f>IFERROR(VLOOKUP(C514,Cleaners!$B$6:$I$35,8,FALSE),0)</f>
        <v/>
      </c>
      <c r="H514" s="39" t="n"/>
      <c r="I514" s="46" t="n"/>
      <c r="J514" s="39" t="n"/>
      <c r="K514" s="44">
        <f>IF(C514="","",IFERROR(D514,0)*G514+IFERROR(E514,0)+IFERROR(F514,0))</f>
        <v/>
      </c>
    </row>
    <row r="515">
      <c r="A515" s="42" t="n"/>
      <c r="B515" s="39" t="n"/>
      <c r="C515" s="39" t="n"/>
      <c r="D515" s="43" t="n"/>
      <c r="E515" s="40" t="n"/>
      <c r="F515" s="40" t="n"/>
      <c r="G515" s="44">
        <f>IFERROR(VLOOKUP(C515,Cleaners!$B$6:$I$35,8,FALSE),0)</f>
        <v/>
      </c>
      <c r="H515" s="39" t="n"/>
      <c r="I515" s="46" t="n"/>
      <c r="J515" s="39" t="n"/>
      <c r="K515" s="44">
        <f>IF(C515="","",IFERROR(D515,0)*G515+IFERROR(E515,0)+IFERROR(F515,0))</f>
        <v/>
      </c>
    </row>
    <row r="516">
      <c r="A516" s="42" t="n"/>
      <c r="B516" s="39" t="n"/>
      <c r="C516" s="39" t="n"/>
      <c r="D516" s="43" t="n"/>
      <c r="E516" s="40" t="n"/>
      <c r="F516" s="40" t="n"/>
      <c r="G516" s="44">
        <f>IFERROR(VLOOKUP(C516,Cleaners!$B$6:$I$35,8,FALSE),0)</f>
        <v/>
      </c>
      <c r="H516" s="39" t="n"/>
      <c r="I516" s="46" t="n"/>
      <c r="J516" s="39" t="n"/>
      <c r="K516" s="44">
        <f>IF(C516="","",IFERROR(D516,0)*G516+IFERROR(E516,0)+IFERROR(F516,0))</f>
        <v/>
      </c>
    </row>
    <row r="517">
      <c r="A517" s="42" t="n"/>
      <c r="B517" s="39" t="n"/>
      <c r="C517" s="39" t="n"/>
      <c r="D517" s="43" t="n"/>
      <c r="E517" s="40" t="n"/>
      <c r="F517" s="40" t="n"/>
      <c r="G517" s="44">
        <f>IFERROR(VLOOKUP(C517,Cleaners!$B$6:$I$35,8,FALSE),0)</f>
        <v/>
      </c>
      <c r="H517" s="39" t="n"/>
      <c r="I517" s="46" t="n"/>
      <c r="J517" s="39" t="n"/>
      <c r="K517" s="44">
        <f>IF(C517="","",IFERROR(D517,0)*G517+IFERROR(E517,0)+IFERROR(F517,0))</f>
        <v/>
      </c>
    </row>
    <row r="518">
      <c r="A518" s="42" t="n"/>
      <c r="B518" s="39" t="n"/>
      <c r="C518" s="39" t="n"/>
      <c r="D518" s="43" t="n"/>
      <c r="E518" s="40" t="n"/>
      <c r="F518" s="40" t="n"/>
      <c r="G518" s="44">
        <f>IFERROR(VLOOKUP(C518,Cleaners!$B$6:$I$35,8,FALSE),0)</f>
        <v/>
      </c>
      <c r="H518" s="39" t="n"/>
      <c r="I518" s="46" t="n"/>
      <c r="J518" s="39" t="n"/>
      <c r="K518" s="44">
        <f>IF(C518="","",IFERROR(D518,0)*G518+IFERROR(E518,0)+IFERROR(F518,0))</f>
        <v/>
      </c>
    </row>
    <row r="519">
      <c r="A519" s="42" t="n"/>
      <c r="B519" s="39" t="n"/>
      <c r="C519" s="39" t="n"/>
      <c r="D519" s="43" t="n"/>
      <c r="E519" s="40" t="n"/>
      <c r="F519" s="40" t="n"/>
      <c r="G519" s="44">
        <f>IFERROR(VLOOKUP(C519,Cleaners!$B$6:$I$35,8,FALSE),0)</f>
        <v/>
      </c>
      <c r="H519" s="39" t="n"/>
      <c r="I519" s="46" t="n"/>
      <c r="J519" s="39" t="n"/>
      <c r="K519" s="44">
        <f>IF(C519="","",IFERROR(D519,0)*G519+IFERROR(E519,0)+IFERROR(F519,0))</f>
        <v/>
      </c>
    </row>
    <row r="520">
      <c r="A520" s="42" t="n"/>
      <c r="B520" s="39" t="n"/>
      <c r="C520" s="39" t="n"/>
      <c r="D520" s="43" t="n"/>
      <c r="E520" s="40" t="n"/>
      <c r="F520" s="40" t="n"/>
      <c r="G520" s="44">
        <f>IFERROR(VLOOKUP(C520,Cleaners!$B$6:$I$35,8,FALSE),0)</f>
        <v/>
      </c>
      <c r="H520" s="39" t="n"/>
      <c r="I520" s="46" t="n"/>
      <c r="J520" s="39" t="n"/>
      <c r="K520" s="44">
        <f>IF(C520="","",IFERROR(D520,0)*G520+IFERROR(E520,0)+IFERROR(F520,0))</f>
        <v/>
      </c>
    </row>
    <row r="521">
      <c r="A521" s="42" t="n"/>
      <c r="B521" s="39" t="n"/>
      <c r="C521" s="39" t="n"/>
      <c r="D521" s="43" t="n"/>
      <c r="E521" s="40" t="n"/>
      <c r="F521" s="40" t="n"/>
      <c r="G521" s="44">
        <f>IFERROR(VLOOKUP(C521,Cleaners!$B$6:$I$35,8,FALSE),0)</f>
        <v/>
      </c>
      <c r="H521" s="39" t="n"/>
      <c r="I521" s="46" t="n"/>
      <c r="J521" s="39" t="n"/>
      <c r="K521" s="44">
        <f>IF(C521="","",IFERROR(D521,0)*G521+IFERROR(E521,0)+IFERROR(F521,0))</f>
        <v/>
      </c>
    </row>
    <row r="522">
      <c r="A522" s="42" t="n"/>
      <c r="B522" s="39" t="n"/>
      <c r="C522" s="39" t="n"/>
      <c r="D522" s="43" t="n"/>
      <c r="E522" s="40" t="n"/>
      <c r="F522" s="40" t="n"/>
      <c r="G522" s="44">
        <f>IFERROR(VLOOKUP(C522,Cleaners!$B$6:$I$35,8,FALSE),0)</f>
        <v/>
      </c>
      <c r="H522" s="39" t="n"/>
      <c r="I522" s="46" t="n"/>
      <c r="J522" s="39" t="n"/>
      <c r="K522" s="44">
        <f>IF(C522="","",IFERROR(D522,0)*G522+IFERROR(E522,0)+IFERROR(F522,0))</f>
        <v/>
      </c>
    </row>
    <row r="523">
      <c r="A523" s="42" t="n"/>
      <c r="B523" s="39" t="n"/>
      <c r="C523" s="39" t="n"/>
      <c r="D523" s="43" t="n"/>
      <c r="E523" s="40" t="n"/>
      <c r="F523" s="40" t="n"/>
      <c r="G523" s="44">
        <f>IFERROR(VLOOKUP(C523,Cleaners!$B$6:$I$35,8,FALSE),0)</f>
        <v/>
      </c>
      <c r="H523" s="39" t="n"/>
      <c r="I523" s="46" t="n"/>
      <c r="J523" s="39" t="n"/>
      <c r="K523" s="44">
        <f>IF(C523="","",IFERROR(D523,0)*G523+IFERROR(E523,0)+IFERROR(F523,0))</f>
        <v/>
      </c>
    </row>
    <row r="524">
      <c r="A524" s="42" t="n"/>
      <c r="B524" s="39" t="n"/>
      <c r="C524" s="39" t="n"/>
      <c r="D524" s="43" t="n"/>
      <c r="E524" s="40" t="n"/>
      <c r="F524" s="40" t="n"/>
      <c r="G524" s="44">
        <f>IFERROR(VLOOKUP(C524,Cleaners!$B$6:$I$35,8,FALSE),0)</f>
        <v/>
      </c>
      <c r="H524" s="39" t="n"/>
      <c r="I524" s="46" t="n"/>
      <c r="J524" s="39" t="n"/>
      <c r="K524" s="44">
        <f>IF(C524="","",IFERROR(D524,0)*G524+IFERROR(E524,0)+IFERROR(F524,0))</f>
        <v/>
      </c>
    </row>
    <row r="525">
      <c r="A525" s="42" t="n"/>
      <c r="B525" s="39" t="n"/>
      <c r="C525" s="39" t="n"/>
      <c r="D525" s="43" t="n"/>
      <c r="E525" s="40" t="n"/>
      <c r="F525" s="40" t="n"/>
      <c r="G525" s="44">
        <f>IFERROR(VLOOKUP(C525,Cleaners!$B$6:$I$35,8,FALSE),0)</f>
        <v/>
      </c>
      <c r="H525" s="39" t="n"/>
      <c r="I525" s="46" t="n"/>
      <c r="J525" s="39" t="n"/>
      <c r="K525" s="44">
        <f>IF(C525="","",IFERROR(D525,0)*G525+IFERROR(E525,0)+IFERROR(F525,0))</f>
        <v/>
      </c>
    </row>
    <row r="526">
      <c r="A526" s="42" t="n"/>
      <c r="B526" s="39" t="n"/>
      <c r="C526" s="39" t="n"/>
      <c r="D526" s="43" t="n"/>
      <c r="E526" s="40" t="n"/>
      <c r="F526" s="40" t="n"/>
      <c r="G526" s="44">
        <f>IFERROR(VLOOKUP(C526,Cleaners!$B$6:$I$35,8,FALSE),0)</f>
        <v/>
      </c>
      <c r="H526" s="39" t="n"/>
      <c r="I526" s="46" t="n"/>
      <c r="J526" s="39" t="n"/>
      <c r="K526" s="44">
        <f>IF(C526="","",IFERROR(D526,0)*G526+IFERROR(E526,0)+IFERROR(F526,0))</f>
        <v/>
      </c>
    </row>
    <row r="527">
      <c r="A527" s="42" t="n"/>
      <c r="B527" s="39" t="n"/>
      <c r="C527" s="39" t="n"/>
      <c r="D527" s="43" t="n"/>
      <c r="E527" s="40" t="n"/>
      <c r="F527" s="40" t="n"/>
      <c r="G527" s="44">
        <f>IFERROR(VLOOKUP(C527,Cleaners!$B$6:$I$35,8,FALSE),0)</f>
        <v/>
      </c>
      <c r="H527" s="39" t="n"/>
      <c r="I527" s="46" t="n"/>
      <c r="J527" s="39" t="n"/>
      <c r="K527" s="44">
        <f>IF(C527="","",IFERROR(D527,0)*G527+IFERROR(E527,0)+IFERROR(F527,0))</f>
        <v/>
      </c>
    </row>
    <row r="528">
      <c r="A528" s="42" t="n"/>
      <c r="B528" s="39" t="n"/>
      <c r="C528" s="39" t="n"/>
      <c r="D528" s="43" t="n"/>
      <c r="E528" s="40" t="n"/>
      <c r="F528" s="40" t="n"/>
      <c r="G528" s="44">
        <f>IFERROR(VLOOKUP(C528,Cleaners!$B$6:$I$35,8,FALSE),0)</f>
        <v/>
      </c>
      <c r="H528" s="39" t="n"/>
      <c r="I528" s="46" t="n"/>
      <c r="J528" s="39" t="n"/>
      <c r="K528" s="44">
        <f>IF(C528="","",IFERROR(D528,0)*G528+IFERROR(E528,0)+IFERROR(F528,0))</f>
        <v/>
      </c>
    </row>
    <row r="529">
      <c r="A529" s="42" t="n"/>
      <c r="B529" s="39" t="n"/>
      <c r="C529" s="39" t="n"/>
      <c r="D529" s="43" t="n"/>
      <c r="E529" s="40" t="n"/>
      <c r="F529" s="40" t="n"/>
      <c r="G529" s="44">
        <f>IFERROR(VLOOKUP(C529,Cleaners!$B$6:$I$35,8,FALSE),0)</f>
        <v/>
      </c>
      <c r="H529" s="39" t="n"/>
      <c r="I529" s="46" t="n"/>
      <c r="J529" s="39" t="n"/>
      <c r="K529" s="44">
        <f>IF(C529="","",IFERROR(D529,0)*G529+IFERROR(E529,0)+IFERROR(F529,0))</f>
        <v/>
      </c>
    </row>
    <row r="530">
      <c r="A530" s="42" t="n"/>
      <c r="B530" s="39" t="n"/>
      <c r="C530" s="39" t="n"/>
      <c r="D530" s="43" t="n"/>
      <c r="E530" s="40" t="n"/>
      <c r="F530" s="40" t="n"/>
      <c r="G530" s="44">
        <f>IFERROR(VLOOKUP(C530,Cleaners!$B$6:$I$35,8,FALSE),0)</f>
        <v/>
      </c>
      <c r="H530" s="39" t="n"/>
      <c r="I530" s="46" t="n"/>
      <c r="J530" s="39" t="n"/>
      <c r="K530" s="44">
        <f>IF(C530="","",IFERROR(D530,0)*G530+IFERROR(E530,0)+IFERROR(F530,0))</f>
        <v/>
      </c>
    </row>
    <row r="531">
      <c r="A531" s="42" t="n"/>
      <c r="B531" s="39" t="n"/>
      <c r="C531" s="39" t="n"/>
      <c r="D531" s="43" t="n"/>
      <c r="E531" s="40" t="n"/>
      <c r="F531" s="40" t="n"/>
      <c r="G531" s="44">
        <f>IFERROR(VLOOKUP(C531,Cleaners!$B$6:$I$35,8,FALSE),0)</f>
        <v/>
      </c>
      <c r="H531" s="39" t="n"/>
      <c r="I531" s="46" t="n"/>
      <c r="J531" s="39" t="n"/>
      <c r="K531" s="44">
        <f>IF(C531="","",IFERROR(D531,0)*G531+IFERROR(E531,0)+IFERROR(F531,0))</f>
        <v/>
      </c>
    </row>
    <row r="532">
      <c r="A532" s="42" t="n"/>
      <c r="B532" s="39" t="n"/>
      <c r="C532" s="39" t="n"/>
      <c r="D532" s="43" t="n"/>
      <c r="E532" s="40" t="n"/>
      <c r="F532" s="40" t="n"/>
      <c r="G532" s="44">
        <f>IFERROR(VLOOKUP(C532,Cleaners!$B$6:$I$35,8,FALSE),0)</f>
        <v/>
      </c>
      <c r="H532" s="39" t="n"/>
      <c r="I532" s="46" t="n"/>
      <c r="J532" s="39" t="n"/>
      <c r="K532" s="44">
        <f>IF(C532="","",IFERROR(D532,0)*G532+IFERROR(E532,0)+IFERROR(F532,0))</f>
        <v/>
      </c>
    </row>
    <row r="533">
      <c r="A533" s="42" t="n"/>
      <c r="B533" s="39" t="n"/>
      <c r="C533" s="39" t="n"/>
      <c r="D533" s="43" t="n"/>
      <c r="E533" s="40" t="n"/>
      <c r="F533" s="40" t="n"/>
      <c r="G533" s="44">
        <f>IFERROR(VLOOKUP(C533,Cleaners!$B$6:$I$35,8,FALSE),0)</f>
        <v/>
      </c>
      <c r="H533" s="39" t="n"/>
      <c r="I533" s="46" t="n"/>
      <c r="J533" s="39" t="n"/>
      <c r="K533" s="44">
        <f>IF(C533="","",IFERROR(D533,0)*G533+IFERROR(E533,0)+IFERROR(F533,0))</f>
        <v/>
      </c>
    </row>
    <row r="534">
      <c r="A534" s="42" t="n"/>
      <c r="B534" s="39" t="n"/>
      <c r="C534" s="39" t="n"/>
      <c r="D534" s="43" t="n"/>
      <c r="E534" s="40" t="n"/>
      <c r="F534" s="40" t="n"/>
      <c r="G534" s="44">
        <f>IFERROR(VLOOKUP(C534,Cleaners!$B$6:$I$35,8,FALSE),0)</f>
        <v/>
      </c>
      <c r="H534" s="39" t="n"/>
      <c r="I534" s="46" t="n"/>
      <c r="J534" s="39" t="n"/>
      <c r="K534" s="44">
        <f>IF(C534="","",IFERROR(D534,0)*G534+IFERROR(E534,0)+IFERROR(F534,0))</f>
        <v/>
      </c>
    </row>
    <row r="535">
      <c r="A535" s="42" t="n"/>
      <c r="B535" s="39" t="n"/>
      <c r="C535" s="39" t="n"/>
      <c r="D535" s="43" t="n"/>
      <c r="E535" s="40" t="n"/>
      <c r="F535" s="40" t="n"/>
      <c r="G535" s="44">
        <f>IFERROR(VLOOKUP(C535,Cleaners!$B$6:$I$35,8,FALSE),0)</f>
        <v/>
      </c>
      <c r="H535" s="39" t="n"/>
      <c r="I535" s="46" t="n"/>
      <c r="J535" s="39" t="n"/>
      <c r="K535" s="44">
        <f>IF(C535="","",IFERROR(D535,0)*G535+IFERROR(E535,0)+IFERROR(F535,0))</f>
        <v/>
      </c>
    </row>
    <row r="536">
      <c r="A536" s="42" t="n"/>
      <c r="B536" s="39" t="n"/>
      <c r="C536" s="39" t="n"/>
      <c r="D536" s="43" t="n"/>
      <c r="E536" s="40" t="n"/>
      <c r="F536" s="40" t="n"/>
      <c r="G536" s="44">
        <f>IFERROR(VLOOKUP(C536,Cleaners!$B$6:$I$35,8,FALSE),0)</f>
        <v/>
      </c>
      <c r="H536" s="39" t="n"/>
      <c r="I536" s="46" t="n"/>
      <c r="J536" s="39" t="n"/>
      <c r="K536" s="44">
        <f>IF(C536="","",IFERROR(D536,0)*G536+IFERROR(E536,0)+IFERROR(F536,0))</f>
        <v/>
      </c>
    </row>
    <row r="537">
      <c r="A537" s="42" t="n"/>
      <c r="B537" s="39" t="n"/>
      <c r="C537" s="39" t="n"/>
      <c r="D537" s="43" t="n"/>
      <c r="E537" s="40" t="n"/>
      <c r="F537" s="40" t="n"/>
      <c r="G537" s="44">
        <f>IFERROR(VLOOKUP(C537,Cleaners!$B$6:$I$35,8,FALSE),0)</f>
        <v/>
      </c>
      <c r="H537" s="39" t="n"/>
      <c r="I537" s="46" t="n"/>
      <c r="J537" s="39" t="n"/>
      <c r="K537" s="44">
        <f>IF(C537="","",IFERROR(D537,0)*G537+IFERROR(E537,0)+IFERROR(F537,0))</f>
        <v/>
      </c>
    </row>
    <row r="538">
      <c r="A538" s="42" t="n"/>
      <c r="B538" s="39" t="n"/>
      <c r="C538" s="39" t="n"/>
      <c r="D538" s="43" t="n"/>
      <c r="E538" s="40" t="n"/>
      <c r="F538" s="40" t="n"/>
      <c r="G538" s="44">
        <f>IFERROR(VLOOKUP(C538,Cleaners!$B$6:$I$35,8,FALSE),0)</f>
        <v/>
      </c>
      <c r="H538" s="39" t="n"/>
      <c r="I538" s="46" t="n"/>
      <c r="J538" s="39" t="n"/>
      <c r="K538" s="44">
        <f>IF(C538="","",IFERROR(D538,0)*G538+IFERROR(E538,0)+IFERROR(F538,0))</f>
        <v/>
      </c>
    </row>
    <row r="539">
      <c r="A539" s="42" t="n"/>
      <c r="B539" s="39" t="n"/>
      <c r="C539" s="39" t="n"/>
      <c r="D539" s="43" t="n"/>
      <c r="E539" s="40" t="n"/>
      <c r="F539" s="40" t="n"/>
      <c r="G539" s="44">
        <f>IFERROR(VLOOKUP(C539,Cleaners!$B$6:$I$35,8,FALSE),0)</f>
        <v/>
      </c>
      <c r="H539" s="39" t="n"/>
      <c r="I539" s="46" t="n"/>
      <c r="J539" s="39" t="n"/>
      <c r="K539" s="44">
        <f>IF(C539="","",IFERROR(D539,0)*G539+IFERROR(E539,0)+IFERROR(F539,0))</f>
        <v/>
      </c>
    </row>
    <row r="540">
      <c r="A540" s="42" t="n"/>
      <c r="B540" s="39" t="n"/>
      <c r="C540" s="39" t="n"/>
      <c r="D540" s="43" t="n"/>
      <c r="E540" s="40" t="n"/>
      <c r="F540" s="40" t="n"/>
      <c r="G540" s="44">
        <f>IFERROR(VLOOKUP(C540,Cleaners!$B$6:$I$35,8,FALSE),0)</f>
        <v/>
      </c>
      <c r="H540" s="39" t="n"/>
      <c r="I540" s="46" t="n"/>
      <c r="J540" s="39" t="n"/>
      <c r="K540" s="44">
        <f>IF(C540="","",IFERROR(D540,0)*G540+IFERROR(E540,0)+IFERROR(F540,0))</f>
        <v/>
      </c>
    </row>
    <row r="541">
      <c r="A541" s="42" t="n"/>
      <c r="B541" s="39" t="n"/>
      <c r="C541" s="39" t="n"/>
      <c r="D541" s="43" t="n"/>
      <c r="E541" s="40" t="n"/>
      <c r="F541" s="40" t="n"/>
      <c r="G541" s="44">
        <f>IFERROR(VLOOKUP(C541,Cleaners!$B$6:$I$35,8,FALSE),0)</f>
        <v/>
      </c>
      <c r="H541" s="39" t="n"/>
      <c r="I541" s="46" t="n"/>
      <c r="J541" s="39" t="n"/>
      <c r="K541" s="44">
        <f>IF(C541="","",IFERROR(D541,0)*G541+IFERROR(E541,0)+IFERROR(F541,0))</f>
        <v/>
      </c>
    </row>
    <row r="542">
      <c r="A542" s="42" t="n"/>
      <c r="B542" s="39" t="n"/>
      <c r="C542" s="39" t="n"/>
      <c r="D542" s="43" t="n"/>
      <c r="E542" s="40" t="n"/>
      <c r="F542" s="40" t="n"/>
      <c r="G542" s="44">
        <f>IFERROR(VLOOKUP(C542,Cleaners!$B$6:$I$35,8,FALSE),0)</f>
        <v/>
      </c>
      <c r="H542" s="39" t="n"/>
      <c r="I542" s="46" t="n"/>
      <c r="J542" s="39" t="n"/>
      <c r="K542" s="44">
        <f>IF(C542="","",IFERROR(D542,0)*G542+IFERROR(E542,0)+IFERROR(F542,0))</f>
        <v/>
      </c>
    </row>
    <row r="543">
      <c r="A543" s="42" t="n"/>
      <c r="B543" s="39" t="n"/>
      <c r="C543" s="39" t="n"/>
      <c r="D543" s="43" t="n"/>
      <c r="E543" s="40" t="n"/>
      <c r="F543" s="40" t="n"/>
      <c r="G543" s="44">
        <f>IFERROR(VLOOKUP(C543,Cleaners!$B$6:$I$35,8,FALSE),0)</f>
        <v/>
      </c>
      <c r="H543" s="39" t="n"/>
      <c r="I543" s="46" t="n"/>
      <c r="J543" s="39" t="n"/>
      <c r="K543" s="44">
        <f>IF(C543="","",IFERROR(D543,0)*G543+IFERROR(E543,0)+IFERROR(F543,0))</f>
        <v/>
      </c>
    </row>
    <row r="544">
      <c r="A544" s="42" t="n"/>
      <c r="B544" s="39" t="n"/>
      <c r="C544" s="39" t="n"/>
      <c r="D544" s="43" t="n"/>
      <c r="E544" s="40" t="n"/>
      <c r="F544" s="40" t="n"/>
      <c r="G544" s="44">
        <f>IFERROR(VLOOKUP(C544,Cleaners!$B$6:$I$35,8,FALSE),0)</f>
        <v/>
      </c>
      <c r="H544" s="39" t="n"/>
      <c r="I544" s="46" t="n"/>
      <c r="J544" s="39" t="n"/>
      <c r="K544" s="44">
        <f>IF(C544="","",IFERROR(D544,0)*G544+IFERROR(E544,0)+IFERROR(F544,0))</f>
        <v/>
      </c>
    </row>
    <row r="545">
      <c r="A545" s="42" t="n"/>
      <c r="B545" s="39" t="n"/>
      <c r="C545" s="39" t="n"/>
      <c r="D545" s="43" t="n"/>
      <c r="E545" s="40" t="n"/>
      <c r="F545" s="40" t="n"/>
      <c r="G545" s="44">
        <f>IFERROR(VLOOKUP(C545,Cleaners!$B$6:$I$35,8,FALSE),0)</f>
        <v/>
      </c>
      <c r="H545" s="39" t="n"/>
      <c r="I545" s="46" t="n"/>
      <c r="J545" s="39" t="n"/>
      <c r="K545" s="44">
        <f>IF(C545="","",IFERROR(D545,0)*G545+IFERROR(E545,0)+IFERROR(F545,0))</f>
        <v/>
      </c>
    </row>
    <row r="546">
      <c r="A546" s="42" t="n"/>
      <c r="B546" s="39" t="n"/>
      <c r="C546" s="39" t="n"/>
      <c r="D546" s="43" t="n"/>
      <c r="E546" s="40" t="n"/>
      <c r="F546" s="40" t="n"/>
      <c r="G546" s="44">
        <f>IFERROR(VLOOKUP(C546,Cleaners!$B$6:$I$35,8,FALSE),0)</f>
        <v/>
      </c>
      <c r="H546" s="39" t="n"/>
      <c r="I546" s="46" t="n"/>
      <c r="J546" s="39" t="n"/>
      <c r="K546" s="44">
        <f>IF(C546="","",IFERROR(D546,0)*G546+IFERROR(E546,0)+IFERROR(F546,0))</f>
        <v/>
      </c>
    </row>
    <row r="547">
      <c r="A547" s="42" t="n"/>
      <c r="B547" s="39" t="n"/>
      <c r="C547" s="39" t="n"/>
      <c r="D547" s="43" t="n"/>
      <c r="E547" s="40" t="n"/>
      <c r="F547" s="40" t="n"/>
      <c r="G547" s="44">
        <f>IFERROR(VLOOKUP(C547,Cleaners!$B$6:$I$35,8,FALSE),0)</f>
        <v/>
      </c>
      <c r="H547" s="39" t="n"/>
      <c r="I547" s="46" t="n"/>
      <c r="J547" s="39" t="n"/>
      <c r="K547" s="44">
        <f>IF(C547="","",IFERROR(D547,0)*G547+IFERROR(E547,0)+IFERROR(F547,0))</f>
        <v/>
      </c>
    </row>
    <row r="548">
      <c r="A548" s="42" t="n"/>
      <c r="B548" s="39" t="n"/>
      <c r="C548" s="39" t="n"/>
      <c r="D548" s="43" t="n"/>
      <c r="E548" s="40" t="n"/>
      <c r="F548" s="40" t="n"/>
      <c r="G548" s="44">
        <f>IFERROR(VLOOKUP(C548,Cleaners!$B$6:$I$35,8,FALSE),0)</f>
        <v/>
      </c>
      <c r="H548" s="39" t="n"/>
      <c r="I548" s="46" t="n"/>
      <c r="J548" s="39" t="n"/>
      <c r="K548" s="44">
        <f>IF(C548="","",IFERROR(D548,0)*G548+IFERROR(E548,0)+IFERROR(F548,0))</f>
        <v/>
      </c>
    </row>
    <row r="549">
      <c r="A549" s="42" t="n"/>
      <c r="B549" s="39" t="n"/>
      <c r="C549" s="39" t="n"/>
      <c r="D549" s="43" t="n"/>
      <c r="E549" s="40" t="n"/>
      <c r="F549" s="40" t="n"/>
      <c r="G549" s="44">
        <f>IFERROR(VLOOKUP(C549,Cleaners!$B$6:$I$35,8,FALSE),0)</f>
        <v/>
      </c>
      <c r="H549" s="39" t="n"/>
      <c r="I549" s="46" t="n"/>
      <c r="J549" s="39" t="n"/>
      <c r="K549" s="44">
        <f>IF(C549="","",IFERROR(D549,0)*G549+IFERROR(E549,0)+IFERROR(F549,0))</f>
        <v/>
      </c>
    </row>
    <row r="550">
      <c r="A550" s="42" t="n"/>
      <c r="B550" s="39" t="n"/>
      <c r="C550" s="39" t="n"/>
      <c r="D550" s="43" t="n"/>
      <c r="E550" s="40" t="n"/>
      <c r="F550" s="40" t="n"/>
      <c r="G550" s="44">
        <f>IFERROR(VLOOKUP(C550,Cleaners!$B$6:$I$35,8,FALSE),0)</f>
        <v/>
      </c>
      <c r="H550" s="39" t="n"/>
      <c r="I550" s="46" t="n"/>
      <c r="J550" s="39" t="n"/>
      <c r="K550" s="44">
        <f>IF(C550="","",IFERROR(D550,0)*G550+IFERROR(E550,0)+IFERROR(F550,0))</f>
        <v/>
      </c>
    </row>
    <row r="551">
      <c r="A551" s="42" t="n"/>
      <c r="B551" s="39" t="n"/>
      <c r="C551" s="39" t="n"/>
      <c r="D551" s="43" t="n"/>
      <c r="E551" s="40" t="n"/>
      <c r="F551" s="40" t="n"/>
      <c r="G551" s="44">
        <f>IFERROR(VLOOKUP(C551,Cleaners!$B$6:$I$35,8,FALSE),0)</f>
        <v/>
      </c>
      <c r="H551" s="39" t="n"/>
      <c r="I551" s="46" t="n"/>
      <c r="J551" s="39" t="n"/>
      <c r="K551" s="44">
        <f>IF(C551="","",IFERROR(D551,0)*G551+IFERROR(E551,0)+IFERROR(F551,0))</f>
        <v/>
      </c>
    </row>
    <row r="552">
      <c r="A552" s="42" t="n"/>
      <c r="B552" s="39" t="n"/>
      <c r="C552" s="39" t="n"/>
      <c r="D552" s="43" t="n"/>
      <c r="E552" s="40" t="n"/>
      <c r="F552" s="40" t="n"/>
      <c r="G552" s="44">
        <f>IFERROR(VLOOKUP(C552,Cleaners!$B$6:$I$35,8,FALSE),0)</f>
        <v/>
      </c>
      <c r="H552" s="39" t="n"/>
      <c r="I552" s="46" t="n"/>
      <c r="J552" s="39" t="n"/>
      <c r="K552" s="44">
        <f>IF(C552="","",IFERROR(D552,0)*G552+IFERROR(E552,0)+IFERROR(F552,0))</f>
        <v/>
      </c>
    </row>
    <row r="553">
      <c r="A553" s="42" t="n"/>
      <c r="B553" s="39" t="n"/>
      <c r="C553" s="39" t="n"/>
      <c r="D553" s="43" t="n"/>
      <c r="E553" s="40" t="n"/>
      <c r="F553" s="40" t="n"/>
      <c r="G553" s="44">
        <f>IFERROR(VLOOKUP(C553,Cleaners!$B$6:$I$35,8,FALSE),0)</f>
        <v/>
      </c>
      <c r="H553" s="39" t="n"/>
      <c r="I553" s="46" t="n"/>
      <c r="J553" s="39" t="n"/>
      <c r="K553" s="44">
        <f>IF(C553="","",IFERROR(D553,0)*G553+IFERROR(E553,0)+IFERROR(F553,0))</f>
        <v/>
      </c>
    </row>
    <row r="554">
      <c r="A554" s="42" t="n"/>
      <c r="B554" s="39" t="n"/>
      <c r="C554" s="39" t="n"/>
      <c r="D554" s="43" t="n"/>
      <c r="E554" s="40" t="n"/>
      <c r="F554" s="40" t="n"/>
      <c r="G554" s="44">
        <f>IFERROR(VLOOKUP(C554,Cleaners!$B$6:$I$35,8,FALSE),0)</f>
        <v/>
      </c>
      <c r="H554" s="39" t="n"/>
      <c r="I554" s="46" t="n"/>
      <c r="J554" s="39" t="n"/>
      <c r="K554" s="44">
        <f>IF(C554="","",IFERROR(D554,0)*G554+IFERROR(E554,0)+IFERROR(F554,0))</f>
        <v/>
      </c>
    </row>
    <row r="555">
      <c r="A555" s="42" t="n"/>
      <c r="B555" s="39" t="n"/>
      <c r="C555" s="39" t="n"/>
      <c r="D555" s="43" t="n"/>
      <c r="E555" s="40" t="n"/>
      <c r="F555" s="40" t="n"/>
      <c r="G555" s="44">
        <f>IFERROR(VLOOKUP(C555,Cleaners!$B$6:$I$35,8,FALSE),0)</f>
        <v/>
      </c>
      <c r="H555" s="39" t="n"/>
      <c r="I555" s="46" t="n"/>
      <c r="J555" s="39" t="n"/>
      <c r="K555" s="44">
        <f>IF(C555="","",IFERROR(D555,0)*G555+IFERROR(E555,0)+IFERROR(F555,0))</f>
        <v/>
      </c>
    </row>
    <row r="556">
      <c r="A556" s="42" t="n"/>
      <c r="B556" s="39" t="n"/>
      <c r="C556" s="39" t="n"/>
      <c r="D556" s="43" t="n"/>
      <c r="E556" s="40" t="n"/>
      <c r="F556" s="40" t="n"/>
      <c r="G556" s="44">
        <f>IFERROR(VLOOKUP(C556,Cleaners!$B$6:$I$35,8,FALSE),0)</f>
        <v/>
      </c>
      <c r="H556" s="39" t="n"/>
      <c r="I556" s="46" t="n"/>
      <c r="J556" s="39" t="n"/>
      <c r="K556" s="44">
        <f>IF(C556="","",IFERROR(D556,0)*G556+IFERROR(E556,0)+IFERROR(F556,0))</f>
        <v/>
      </c>
    </row>
    <row r="557">
      <c r="A557" s="42" t="n"/>
      <c r="B557" s="39" t="n"/>
      <c r="C557" s="39" t="n"/>
      <c r="D557" s="43" t="n"/>
      <c r="E557" s="40" t="n"/>
      <c r="F557" s="40" t="n"/>
      <c r="G557" s="44">
        <f>IFERROR(VLOOKUP(C557,Cleaners!$B$6:$I$35,8,FALSE),0)</f>
        <v/>
      </c>
      <c r="H557" s="39" t="n"/>
      <c r="I557" s="46" t="n"/>
      <c r="J557" s="39" t="n"/>
      <c r="K557" s="44">
        <f>IF(C557="","",IFERROR(D557,0)*G557+IFERROR(E557,0)+IFERROR(F557,0))</f>
        <v/>
      </c>
    </row>
    <row r="558">
      <c r="A558" s="42" t="n"/>
      <c r="B558" s="39" t="n"/>
      <c r="C558" s="39" t="n"/>
      <c r="D558" s="43" t="n"/>
      <c r="E558" s="40" t="n"/>
      <c r="F558" s="40" t="n"/>
      <c r="G558" s="44">
        <f>IFERROR(VLOOKUP(C558,Cleaners!$B$6:$I$35,8,FALSE),0)</f>
        <v/>
      </c>
      <c r="H558" s="39" t="n"/>
      <c r="I558" s="46" t="n"/>
      <c r="J558" s="39" t="n"/>
      <c r="K558" s="44">
        <f>IF(C558="","",IFERROR(D558,0)*G558+IFERROR(E558,0)+IFERROR(F558,0))</f>
        <v/>
      </c>
    </row>
    <row r="559">
      <c r="A559" s="42" t="n"/>
      <c r="B559" s="39" t="n"/>
      <c r="C559" s="39" t="n"/>
      <c r="D559" s="43" t="n"/>
      <c r="E559" s="40" t="n"/>
      <c r="F559" s="40" t="n"/>
      <c r="G559" s="44">
        <f>IFERROR(VLOOKUP(C559,Cleaners!$B$6:$I$35,8,FALSE),0)</f>
        <v/>
      </c>
      <c r="H559" s="39" t="n"/>
      <c r="I559" s="46" t="n"/>
      <c r="J559" s="39" t="n"/>
      <c r="K559" s="44">
        <f>IF(C559="","",IFERROR(D559,0)*G559+IFERROR(E559,0)+IFERROR(F559,0))</f>
        <v/>
      </c>
    </row>
    <row r="560">
      <c r="A560" s="42" t="n"/>
      <c r="B560" s="39" t="n"/>
      <c r="C560" s="39" t="n"/>
      <c r="D560" s="43" t="n"/>
      <c r="E560" s="40" t="n"/>
      <c r="F560" s="40" t="n"/>
      <c r="G560" s="44">
        <f>IFERROR(VLOOKUP(C560,Cleaners!$B$6:$I$35,8,FALSE),0)</f>
        <v/>
      </c>
      <c r="H560" s="39" t="n"/>
      <c r="I560" s="46" t="n"/>
      <c r="J560" s="39" t="n"/>
      <c r="K560" s="44">
        <f>IF(C560="","",IFERROR(D560,0)*G560+IFERROR(E560,0)+IFERROR(F560,0))</f>
        <v/>
      </c>
    </row>
    <row r="561">
      <c r="A561" s="42" t="n"/>
      <c r="B561" s="39" t="n"/>
      <c r="C561" s="39" t="n"/>
      <c r="D561" s="43" t="n"/>
      <c r="E561" s="40" t="n"/>
      <c r="F561" s="40" t="n"/>
      <c r="G561" s="44">
        <f>IFERROR(VLOOKUP(C561,Cleaners!$B$6:$I$35,8,FALSE),0)</f>
        <v/>
      </c>
      <c r="H561" s="39" t="n"/>
      <c r="I561" s="46" t="n"/>
      <c r="J561" s="39" t="n"/>
      <c r="K561" s="44">
        <f>IF(C561="","",IFERROR(D561,0)*G561+IFERROR(E561,0)+IFERROR(F561,0))</f>
        <v/>
      </c>
    </row>
    <row r="562">
      <c r="A562" s="42" t="n"/>
      <c r="B562" s="39" t="n"/>
      <c r="C562" s="39" t="n"/>
      <c r="D562" s="43" t="n"/>
      <c r="E562" s="40" t="n"/>
      <c r="F562" s="40" t="n"/>
      <c r="G562" s="44">
        <f>IFERROR(VLOOKUP(C562,Cleaners!$B$6:$I$35,8,FALSE),0)</f>
        <v/>
      </c>
      <c r="H562" s="39" t="n"/>
      <c r="I562" s="46" t="n"/>
      <c r="J562" s="39" t="n"/>
      <c r="K562" s="44">
        <f>IF(C562="","",IFERROR(D562,0)*G562+IFERROR(E562,0)+IFERROR(F562,0))</f>
        <v/>
      </c>
    </row>
    <row r="563">
      <c r="A563" s="42" t="n"/>
      <c r="B563" s="39" t="n"/>
      <c r="C563" s="39" t="n"/>
      <c r="D563" s="43" t="n"/>
      <c r="E563" s="40" t="n"/>
      <c r="F563" s="40" t="n"/>
      <c r="G563" s="44">
        <f>IFERROR(VLOOKUP(C563,Cleaners!$B$6:$I$35,8,FALSE),0)</f>
        <v/>
      </c>
      <c r="H563" s="39" t="n"/>
      <c r="I563" s="46" t="n"/>
      <c r="J563" s="39" t="n"/>
      <c r="K563" s="44">
        <f>IF(C563="","",IFERROR(D563,0)*G563+IFERROR(E563,0)+IFERROR(F563,0))</f>
        <v/>
      </c>
    </row>
    <row r="564">
      <c r="A564" s="42" t="n"/>
      <c r="B564" s="39" t="n"/>
      <c r="C564" s="39" t="n"/>
      <c r="D564" s="43" t="n"/>
      <c r="E564" s="40" t="n"/>
      <c r="F564" s="40" t="n"/>
      <c r="G564" s="44">
        <f>IFERROR(VLOOKUP(C564,Cleaners!$B$6:$I$35,8,FALSE),0)</f>
        <v/>
      </c>
      <c r="H564" s="39" t="n"/>
      <c r="I564" s="46" t="n"/>
      <c r="J564" s="39" t="n"/>
      <c r="K564" s="44">
        <f>IF(C564="","",IFERROR(D564,0)*G564+IFERROR(E564,0)+IFERROR(F564,0))</f>
        <v/>
      </c>
    </row>
    <row r="565">
      <c r="A565" s="42" t="n"/>
      <c r="B565" s="39" t="n"/>
      <c r="C565" s="39" t="n"/>
      <c r="D565" s="43" t="n"/>
      <c r="E565" s="40" t="n"/>
      <c r="F565" s="40" t="n"/>
      <c r="G565" s="44">
        <f>IFERROR(VLOOKUP(C565,Cleaners!$B$6:$I$35,8,FALSE),0)</f>
        <v/>
      </c>
      <c r="H565" s="39" t="n"/>
      <c r="I565" s="46" t="n"/>
      <c r="J565" s="39" t="n"/>
      <c r="K565" s="44">
        <f>IF(C565="","",IFERROR(D565,0)*G565+IFERROR(E565,0)+IFERROR(F565,0))</f>
        <v/>
      </c>
    </row>
    <row r="566">
      <c r="A566" s="42" t="n"/>
      <c r="B566" s="39" t="n"/>
      <c r="C566" s="39" t="n"/>
      <c r="D566" s="43" t="n"/>
      <c r="E566" s="40" t="n"/>
      <c r="F566" s="40" t="n"/>
      <c r="G566" s="44">
        <f>IFERROR(VLOOKUP(C566,Cleaners!$B$6:$I$35,8,FALSE),0)</f>
        <v/>
      </c>
      <c r="H566" s="39" t="n"/>
      <c r="I566" s="46" t="n"/>
      <c r="J566" s="39" t="n"/>
      <c r="K566" s="44">
        <f>IF(C566="","",IFERROR(D566,0)*G566+IFERROR(E566,0)+IFERROR(F566,0))</f>
        <v/>
      </c>
    </row>
    <row r="567">
      <c r="A567" s="42" t="n"/>
      <c r="B567" s="39" t="n"/>
      <c r="C567" s="39" t="n"/>
      <c r="D567" s="43" t="n"/>
      <c r="E567" s="40" t="n"/>
      <c r="F567" s="40" t="n"/>
      <c r="G567" s="44">
        <f>IFERROR(VLOOKUP(C567,Cleaners!$B$6:$I$35,8,FALSE),0)</f>
        <v/>
      </c>
      <c r="H567" s="39" t="n"/>
      <c r="I567" s="46" t="n"/>
      <c r="J567" s="39" t="n"/>
      <c r="K567" s="44">
        <f>IF(C567="","",IFERROR(D567,0)*G567+IFERROR(E567,0)+IFERROR(F567,0))</f>
        <v/>
      </c>
    </row>
    <row r="568">
      <c r="A568" s="42" t="n"/>
      <c r="B568" s="39" t="n"/>
      <c r="C568" s="39" t="n"/>
      <c r="D568" s="43" t="n"/>
      <c r="E568" s="40" t="n"/>
      <c r="F568" s="40" t="n"/>
      <c r="G568" s="44">
        <f>IFERROR(VLOOKUP(C568,Cleaners!$B$6:$I$35,8,FALSE),0)</f>
        <v/>
      </c>
      <c r="H568" s="39" t="n"/>
      <c r="I568" s="46" t="n"/>
      <c r="J568" s="39" t="n"/>
      <c r="K568" s="44">
        <f>IF(C568="","",IFERROR(D568,0)*G568+IFERROR(E568,0)+IFERROR(F568,0))</f>
        <v/>
      </c>
    </row>
    <row r="569">
      <c r="A569" s="42" t="n"/>
      <c r="B569" s="39" t="n"/>
      <c r="C569" s="39" t="n"/>
      <c r="D569" s="43" t="n"/>
      <c r="E569" s="40" t="n"/>
      <c r="F569" s="40" t="n"/>
      <c r="G569" s="44">
        <f>IFERROR(VLOOKUP(C569,Cleaners!$B$6:$I$35,8,FALSE),0)</f>
        <v/>
      </c>
      <c r="H569" s="39" t="n"/>
      <c r="I569" s="46" t="n"/>
      <c r="J569" s="39" t="n"/>
      <c r="K569" s="44">
        <f>IF(C569="","",IFERROR(D569,0)*G569+IFERROR(E569,0)+IFERROR(F569,0))</f>
        <v/>
      </c>
    </row>
    <row r="570">
      <c r="A570" s="42" t="n"/>
      <c r="B570" s="39" t="n"/>
      <c r="C570" s="39" t="n"/>
      <c r="D570" s="43" t="n"/>
      <c r="E570" s="40" t="n"/>
      <c r="F570" s="40" t="n"/>
      <c r="G570" s="44">
        <f>IFERROR(VLOOKUP(C570,Cleaners!$B$6:$I$35,8,FALSE),0)</f>
        <v/>
      </c>
      <c r="H570" s="39" t="n"/>
      <c r="I570" s="46" t="n"/>
      <c r="J570" s="39" t="n"/>
      <c r="K570" s="44">
        <f>IF(C570="","",IFERROR(D570,0)*G570+IFERROR(E570,0)+IFERROR(F570,0))</f>
        <v/>
      </c>
    </row>
    <row r="571">
      <c r="A571" s="42" t="n"/>
      <c r="B571" s="39" t="n"/>
      <c r="C571" s="39" t="n"/>
      <c r="D571" s="43" t="n"/>
      <c r="E571" s="40" t="n"/>
      <c r="F571" s="40" t="n"/>
      <c r="G571" s="44">
        <f>IFERROR(VLOOKUP(C571,Cleaners!$B$6:$I$35,8,FALSE),0)</f>
        <v/>
      </c>
      <c r="H571" s="39" t="n"/>
      <c r="I571" s="46" t="n"/>
      <c r="J571" s="39" t="n"/>
      <c r="K571" s="44">
        <f>IF(C571="","",IFERROR(D571,0)*G571+IFERROR(E571,0)+IFERROR(F571,0))</f>
        <v/>
      </c>
    </row>
    <row r="572">
      <c r="A572" s="42" t="n"/>
      <c r="B572" s="39" t="n"/>
      <c r="C572" s="39" t="n"/>
      <c r="D572" s="43" t="n"/>
      <c r="E572" s="40" t="n"/>
      <c r="F572" s="40" t="n"/>
      <c r="G572" s="44">
        <f>IFERROR(VLOOKUP(C572,Cleaners!$B$6:$I$35,8,FALSE),0)</f>
        <v/>
      </c>
      <c r="H572" s="39" t="n"/>
      <c r="I572" s="46" t="n"/>
      <c r="J572" s="39" t="n"/>
      <c r="K572" s="44">
        <f>IF(C572="","",IFERROR(D572,0)*G572+IFERROR(E572,0)+IFERROR(F572,0))</f>
        <v/>
      </c>
    </row>
    <row r="573">
      <c r="A573" s="42" t="n"/>
      <c r="B573" s="39" t="n"/>
      <c r="C573" s="39" t="n"/>
      <c r="D573" s="43" t="n"/>
      <c r="E573" s="40" t="n"/>
      <c r="F573" s="40" t="n"/>
      <c r="G573" s="44">
        <f>IFERROR(VLOOKUP(C573,Cleaners!$B$6:$I$35,8,FALSE),0)</f>
        <v/>
      </c>
      <c r="H573" s="39" t="n"/>
      <c r="I573" s="46" t="n"/>
      <c r="J573" s="39" t="n"/>
      <c r="K573" s="44">
        <f>IF(C573="","",IFERROR(D573,0)*G573+IFERROR(E573,0)+IFERROR(F573,0))</f>
        <v/>
      </c>
    </row>
    <row r="574">
      <c r="A574" s="42" t="n"/>
      <c r="B574" s="39" t="n"/>
      <c r="C574" s="39" t="n"/>
      <c r="D574" s="43" t="n"/>
      <c r="E574" s="40" t="n"/>
      <c r="F574" s="40" t="n"/>
      <c r="G574" s="44">
        <f>IFERROR(VLOOKUP(C574,Cleaners!$B$6:$I$35,8,FALSE),0)</f>
        <v/>
      </c>
      <c r="H574" s="39" t="n"/>
      <c r="I574" s="46" t="n"/>
      <c r="J574" s="39" t="n"/>
      <c r="K574" s="44">
        <f>IF(C574="","",IFERROR(D574,0)*G574+IFERROR(E574,0)+IFERROR(F574,0))</f>
        <v/>
      </c>
    </row>
    <row r="575">
      <c r="A575" s="42" t="n"/>
      <c r="B575" s="39" t="n"/>
      <c r="C575" s="39" t="n"/>
      <c r="D575" s="43" t="n"/>
      <c r="E575" s="40" t="n"/>
      <c r="F575" s="40" t="n"/>
      <c r="G575" s="44">
        <f>IFERROR(VLOOKUP(C575,Cleaners!$B$6:$I$35,8,FALSE),0)</f>
        <v/>
      </c>
      <c r="H575" s="39" t="n"/>
      <c r="I575" s="46" t="n"/>
      <c r="J575" s="39" t="n"/>
      <c r="K575" s="44">
        <f>IF(C575="","",IFERROR(D575,0)*G575+IFERROR(E575,0)+IFERROR(F575,0))</f>
        <v/>
      </c>
    </row>
    <row r="576">
      <c r="A576" s="42" t="n"/>
      <c r="B576" s="39" t="n"/>
      <c r="C576" s="39" t="n"/>
      <c r="D576" s="43" t="n"/>
      <c r="E576" s="40" t="n"/>
      <c r="F576" s="40" t="n"/>
      <c r="G576" s="44">
        <f>IFERROR(VLOOKUP(C576,Cleaners!$B$6:$I$35,8,FALSE),0)</f>
        <v/>
      </c>
      <c r="H576" s="39" t="n"/>
      <c r="I576" s="46" t="n"/>
      <c r="J576" s="39" t="n"/>
      <c r="K576" s="44">
        <f>IF(C576="","",IFERROR(D576,0)*G576+IFERROR(E576,0)+IFERROR(F576,0))</f>
        <v/>
      </c>
    </row>
    <row r="577">
      <c r="A577" s="42" t="n"/>
      <c r="B577" s="39" t="n"/>
      <c r="C577" s="39" t="n"/>
      <c r="D577" s="43" t="n"/>
      <c r="E577" s="40" t="n"/>
      <c r="F577" s="40" t="n"/>
      <c r="G577" s="44">
        <f>IFERROR(VLOOKUP(C577,Cleaners!$B$6:$I$35,8,FALSE),0)</f>
        <v/>
      </c>
      <c r="H577" s="39" t="n"/>
      <c r="I577" s="46" t="n"/>
      <c r="J577" s="39" t="n"/>
      <c r="K577" s="44">
        <f>IF(C577="","",IFERROR(D577,0)*G577+IFERROR(E577,0)+IFERROR(F577,0))</f>
        <v/>
      </c>
    </row>
    <row r="578">
      <c r="A578" s="42" t="n"/>
      <c r="B578" s="39" t="n"/>
      <c r="C578" s="39" t="n"/>
      <c r="D578" s="43" t="n"/>
      <c r="E578" s="40" t="n"/>
      <c r="F578" s="40" t="n"/>
      <c r="G578" s="44">
        <f>IFERROR(VLOOKUP(C578,Cleaners!$B$6:$I$35,8,FALSE),0)</f>
        <v/>
      </c>
      <c r="H578" s="39" t="n"/>
      <c r="I578" s="46" t="n"/>
      <c r="J578" s="39" t="n"/>
      <c r="K578" s="44">
        <f>IF(C578="","",IFERROR(D578,0)*G578+IFERROR(E578,0)+IFERROR(F578,0))</f>
        <v/>
      </c>
    </row>
    <row r="579">
      <c r="A579" s="42" t="n"/>
      <c r="B579" s="39" t="n"/>
      <c r="C579" s="39" t="n"/>
      <c r="D579" s="43" t="n"/>
      <c r="E579" s="40" t="n"/>
      <c r="F579" s="40" t="n"/>
      <c r="G579" s="44">
        <f>IFERROR(VLOOKUP(C579,Cleaners!$B$6:$I$35,8,FALSE),0)</f>
        <v/>
      </c>
      <c r="H579" s="39" t="n"/>
      <c r="I579" s="46" t="n"/>
      <c r="J579" s="39" t="n"/>
      <c r="K579" s="44">
        <f>IF(C579="","",IFERROR(D579,0)*G579+IFERROR(E579,0)+IFERROR(F579,0))</f>
        <v/>
      </c>
    </row>
    <row r="580">
      <c r="A580" s="42" t="n"/>
      <c r="B580" s="39" t="n"/>
      <c r="C580" s="39" t="n"/>
      <c r="D580" s="43" t="n"/>
      <c r="E580" s="40" t="n"/>
      <c r="F580" s="40" t="n"/>
      <c r="G580" s="44">
        <f>IFERROR(VLOOKUP(C580,Cleaners!$B$6:$I$35,8,FALSE),0)</f>
        <v/>
      </c>
      <c r="H580" s="39" t="n"/>
      <c r="I580" s="46" t="n"/>
      <c r="J580" s="39" t="n"/>
      <c r="K580" s="44">
        <f>IF(C580="","",IFERROR(D580,0)*G580+IFERROR(E580,0)+IFERROR(F580,0))</f>
        <v/>
      </c>
    </row>
    <row r="581">
      <c r="A581" s="42" t="n"/>
      <c r="B581" s="39" t="n"/>
      <c r="C581" s="39" t="n"/>
      <c r="D581" s="43" t="n"/>
      <c r="E581" s="40" t="n"/>
      <c r="F581" s="40" t="n"/>
      <c r="G581" s="44">
        <f>IFERROR(VLOOKUP(C581,Cleaners!$B$6:$I$35,8,FALSE),0)</f>
        <v/>
      </c>
      <c r="H581" s="39" t="n"/>
      <c r="I581" s="46" t="n"/>
      <c r="J581" s="39" t="n"/>
      <c r="K581" s="44">
        <f>IF(C581="","",IFERROR(D581,0)*G581+IFERROR(E581,0)+IFERROR(F581,0))</f>
        <v/>
      </c>
    </row>
    <row r="582">
      <c r="A582" s="42" t="n"/>
      <c r="B582" s="39" t="n"/>
      <c r="C582" s="39" t="n"/>
      <c r="D582" s="43" t="n"/>
      <c r="E582" s="40" t="n"/>
      <c r="F582" s="40" t="n"/>
      <c r="G582" s="44">
        <f>IFERROR(VLOOKUP(C582,Cleaners!$B$6:$I$35,8,FALSE),0)</f>
        <v/>
      </c>
      <c r="H582" s="39" t="n"/>
      <c r="I582" s="46" t="n"/>
      <c r="J582" s="39" t="n"/>
      <c r="K582" s="44">
        <f>IF(C582="","",IFERROR(D582,0)*G582+IFERROR(E582,0)+IFERROR(F582,0))</f>
        <v/>
      </c>
    </row>
    <row r="583">
      <c r="A583" s="42" t="n"/>
      <c r="B583" s="39" t="n"/>
      <c r="C583" s="39" t="n"/>
      <c r="D583" s="43" t="n"/>
      <c r="E583" s="40" t="n"/>
      <c r="F583" s="40" t="n"/>
      <c r="G583" s="44">
        <f>IFERROR(VLOOKUP(C583,Cleaners!$B$6:$I$35,8,FALSE),0)</f>
        <v/>
      </c>
      <c r="H583" s="39" t="n"/>
      <c r="I583" s="46" t="n"/>
      <c r="J583" s="39" t="n"/>
      <c r="K583" s="44">
        <f>IF(C583="","",IFERROR(D583,0)*G583+IFERROR(E583,0)+IFERROR(F583,0))</f>
        <v/>
      </c>
    </row>
    <row r="584">
      <c r="A584" s="42" t="n"/>
      <c r="B584" s="39" t="n"/>
      <c r="C584" s="39" t="n"/>
      <c r="D584" s="43" t="n"/>
      <c r="E584" s="40" t="n"/>
      <c r="F584" s="40" t="n"/>
      <c r="G584" s="44">
        <f>IFERROR(VLOOKUP(C584,Cleaners!$B$6:$I$35,8,FALSE),0)</f>
        <v/>
      </c>
      <c r="H584" s="39" t="n"/>
      <c r="I584" s="46" t="n"/>
      <c r="J584" s="39" t="n"/>
      <c r="K584" s="44">
        <f>IF(C584="","",IFERROR(D584,0)*G584+IFERROR(E584,0)+IFERROR(F584,0))</f>
        <v/>
      </c>
    </row>
    <row r="585">
      <c r="A585" s="42" t="n"/>
      <c r="B585" s="39" t="n"/>
      <c r="C585" s="39" t="n"/>
      <c r="D585" s="43" t="n"/>
      <c r="E585" s="40" t="n"/>
      <c r="F585" s="40" t="n"/>
      <c r="G585" s="44">
        <f>IFERROR(VLOOKUP(C585,Cleaners!$B$6:$I$35,8,FALSE),0)</f>
        <v/>
      </c>
      <c r="H585" s="39" t="n"/>
      <c r="I585" s="46" t="n"/>
      <c r="J585" s="39" t="n"/>
      <c r="K585" s="44">
        <f>IF(C585="","",IFERROR(D585,0)*G585+IFERROR(E585,0)+IFERROR(F585,0))</f>
        <v/>
      </c>
    </row>
    <row r="586">
      <c r="A586" s="42" t="n"/>
      <c r="B586" s="39" t="n"/>
      <c r="C586" s="39" t="n"/>
      <c r="D586" s="43" t="n"/>
      <c r="E586" s="40" t="n"/>
      <c r="F586" s="40" t="n"/>
      <c r="G586" s="44">
        <f>IFERROR(VLOOKUP(C586,Cleaners!$B$6:$I$35,8,FALSE),0)</f>
        <v/>
      </c>
      <c r="H586" s="39" t="n"/>
      <c r="I586" s="46" t="n"/>
      <c r="J586" s="39" t="n"/>
      <c r="K586" s="44">
        <f>IF(C586="","",IFERROR(D586,0)*G586+IFERROR(E586,0)+IFERROR(F586,0))</f>
        <v/>
      </c>
    </row>
    <row r="587">
      <c r="A587" s="42" t="n"/>
      <c r="B587" s="39" t="n"/>
      <c r="C587" s="39" t="n"/>
      <c r="D587" s="43" t="n"/>
      <c r="E587" s="40" t="n"/>
      <c r="F587" s="40" t="n"/>
      <c r="G587" s="44">
        <f>IFERROR(VLOOKUP(C587,Cleaners!$B$6:$I$35,8,FALSE),0)</f>
        <v/>
      </c>
      <c r="H587" s="39" t="n"/>
      <c r="I587" s="46" t="n"/>
      <c r="J587" s="39" t="n"/>
      <c r="K587" s="44">
        <f>IF(C587="","",IFERROR(D587,0)*G587+IFERROR(E587,0)+IFERROR(F587,0))</f>
        <v/>
      </c>
    </row>
    <row r="588">
      <c r="A588" s="42" t="n"/>
      <c r="B588" s="39" t="n"/>
      <c r="C588" s="39" t="n"/>
      <c r="D588" s="43" t="n"/>
      <c r="E588" s="40" t="n"/>
      <c r="F588" s="40" t="n"/>
      <c r="G588" s="44">
        <f>IFERROR(VLOOKUP(C588,Cleaners!$B$6:$I$35,8,FALSE),0)</f>
        <v/>
      </c>
      <c r="H588" s="39" t="n"/>
      <c r="I588" s="46" t="n"/>
      <c r="J588" s="39" t="n"/>
      <c r="K588" s="44">
        <f>IF(C588="","",IFERROR(D588,0)*G588+IFERROR(E588,0)+IFERROR(F588,0))</f>
        <v/>
      </c>
    </row>
    <row r="589">
      <c r="A589" s="42" t="n"/>
      <c r="B589" s="39" t="n"/>
      <c r="C589" s="39" t="n"/>
      <c r="D589" s="43" t="n"/>
      <c r="E589" s="40" t="n"/>
      <c r="F589" s="40" t="n"/>
      <c r="G589" s="44">
        <f>IFERROR(VLOOKUP(C589,Cleaners!$B$6:$I$35,8,FALSE),0)</f>
        <v/>
      </c>
      <c r="H589" s="39" t="n"/>
      <c r="I589" s="46" t="n"/>
      <c r="J589" s="39" t="n"/>
      <c r="K589" s="44">
        <f>IF(C589="","",IFERROR(D589,0)*G589+IFERROR(E589,0)+IFERROR(F589,0))</f>
        <v/>
      </c>
    </row>
    <row r="590">
      <c r="A590" s="42" t="n"/>
      <c r="B590" s="39" t="n"/>
      <c r="C590" s="39" t="n"/>
      <c r="D590" s="43" t="n"/>
      <c r="E590" s="40" t="n"/>
      <c r="F590" s="40" t="n"/>
      <c r="G590" s="44">
        <f>IFERROR(VLOOKUP(C590,Cleaners!$B$6:$I$35,8,FALSE),0)</f>
        <v/>
      </c>
      <c r="H590" s="39" t="n"/>
      <c r="I590" s="46" t="n"/>
      <c r="J590" s="39" t="n"/>
      <c r="K590" s="44">
        <f>IF(C590="","",IFERROR(D590,0)*G590+IFERROR(E590,0)+IFERROR(F590,0))</f>
        <v/>
      </c>
    </row>
    <row r="591">
      <c r="A591" s="42" t="n"/>
      <c r="B591" s="39" t="n"/>
      <c r="C591" s="39" t="n"/>
      <c r="D591" s="43" t="n"/>
      <c r="E591" s="40" t="n"/>
      <c r="F591" s="40" t="n"/>
      <c r="G591" s="44">
        <f>IFERROR(VLOOKUP(C591,Cleaners!$B$6:$I$35,8,FALSE),0)</f>
        <v/>
      </c>
      <c r="H591" s="39" t="n"/>
      <c r="I591" s="46" t="n"/>
      <c r="J591" s="39" t="n"/>
      <c r="K591" s="44">
        <f>IF(C591="","",IFERROR(D591,0)*G591+IFERROR(E591,0)+IFERROR(F591,0))</f>
        <v/>
      </c>
    </row>
    <row r="592">
      <c r="A592" s="42" t="n"/>
      <c r="B592" s="39" t="n"/>
      <c r="C592" s="39" t="n"/>
      <c r="D592" s="43" t="n"/>
      <c r="E592" s="40" t="n"/>
      <c r="F592" s="40" t="n"/>
      <c r="G592" s="44">
        <f>IFERROR(VLOOKUP(C592,Cleaners!$B$6:$I$35,8,FALSE),0)</f>
        <v/>
      </c>
      <c r="H592" s="39" t="n"/>
      <c r="I592" s="46" t="n"/>
      <c r="J592" s="39" t="n"/>
      <c r="K592" s="44">
        <f>IF(C592="","",IFERROR(D592,0)*G592+IFERROR(E592,0)+IFERROR(F592,0))</f>
        <v/>
      </c>
    </row>
    <row r="593">
      <c r="A593" s="42" t="n"/>
      <c r="B593" s="39" t="n"/>
      <c r="C593" s="39" t="n"/>
      <c r="D593" s="43" t="n"/>
      <c r="E593" s="40" t="n"/>
      <c r="F593" s="40" t="n"/>
      <c r="G593" s="44">
        <f>IFERROR(VLOOKUP(C593,Cleaners!$B$6:$I$35,8,FALSE),0)</f>
        <v/>
      </c>
      <c r="H593" s="39" t="n"/>
      <c r="I593" s="46" t="n"/>
      <c r="J593" s="39" t="n"/>
      <c r="K593" s="44">
        <f>IF(C593="","",IFERROR(D593,0)*G593+IFERROR(E593,0)+IFERROR(F593,0))</f>
        <v/>
      </c>
    </row>
    <row r="594">
      <c r="A594" s="42" t="n"/>
      <c r="B594" s="39" t="n"/>
      <c r="C594" s="39" t="n"/>
      <c r="D594" s="43" t="n"/>
      <c r="E594" s="40" t="n"/>
      <c r="F594" s="40" t="n"/>
      <c r="G594" s="44">
        <f>IFERROR(VLOOKUP(C594,Cleaners!$B$6:$I$35,8,FALSE),0)</f>
        <v/>
      </c>
      <c r="H594" s="39" t="n"/>
      <c r="I594" s="46" t="n"/>
      <c r="J594" s="39" t="n"/>
      <c r="K594" s="44">
        <f>IF(C594="","",IFERROR(D594,0)*G594+IFERROR(E594,0)+IFERROR(F594,0))</f>
        <v/>
      </c>
    </row>
    <row r="595">
      <c r="A595" s="42" t="n"/>
      <c r="B595" s="39" t="n"/>
      <c r="C595" s="39" t="n"/>
      <c r="D595" s="43" t="n"/>
      <c r="E595" s="40" t="n"/>
      <c r="F595" s="40" t="n"/>
      <c r="G595" s="44">
        <f>IFERROR(VLOOKUP(C595,Cleaners!$B$6:$I$35,8,FALSE),0)</f>
        <v/>
      </c>
      <c r="H595" s="39" t="n"/>
      <c r="I595" s="46" t="n"/>
      <c r="J595" s="39" t="n"/>
      <c r="K595" s="44">
        <f>IF(C595="","",IFERROR(D595,0)*G595+IFERROR(E595,0)+IFERROR(F595,0))</f>
        <v/>
      </c>
    </row>
    <row r="596">
      <c r="A596" s="42" t="n"/>
      <c r="B596" s="39" t="n"/>
      <c r="C596" s="39" t="n"/>
      <c r="D596" s="43" t="n"/>
      <c r="E596" s="40" t="n"/>
      <c r="F596" s="40" t="n"/>
      <c r="G596" s="44">
        <f>IFERROR(VLOOKUP(C596,Cleaners!$B$6:$I$35,8,FALSE),0)</f>
        <v/>
      </c>
      <c r="H596" s="39" t="n"/>
      <c r="I596" s="46" t="n"/>
      <c r="J596" s="39" t="n"/>
      <c r="K596" s="44">
        <f>IF(C596="","",IFERROR(D596,0)*G596+IFERROR(E596,0)+IFERROR(F596,0))</f>
        <v/>
      </c>
    </row>
    <row r="597">
      <c r="A597" s="42" t="n"/>
      <c r="B597" s="39" t="n"/>
      <c r="C597" s="39" t="n"/>
      <c r="D597" s="43" t="n"/>
      <c r="E597" s="40" t="n"/>
      <c r="F597" s="40" t="n"/>
      <c r="G597" s="44">
        <f>IFERROR(VLOOKUP(C597,Cleaners!$B$6:$I$35,8,FALSE),0)</f>
        <v/>
      </c>
      <c r="H597" s="39" t="n"/>
      <c r="I597" s="46" t="n"/>
      <c r="J597" s="39" t="n"/>
      <c r="K597" s="44">
        <f>IF(C597="","",IFERROR(D597,0)*G597+IFERROR(E597,0)+IFERROR(F597,0))</f>
        <v/>
      </c>
    </row>
    <row r="598">
      <c r="A598" s="42" t="n"/>
      <c r="B598" s="39" t="n"/>
      <c r="C598" s="39" t="n"/>
      <c r="D598" s="43" t="n"/>
      <c r="E598" s="40" t="n"/>
      <c r="F598" s="40" t="n"/>
      <c r="G598" s="44">
        <f>IFERROR(VLOOKUP(C598,Cleaners!$B$6:$I$35,8,FALSE),0)</f>
        <v/>
      </c>
      <c r="H598" s="39" t="n"/>
      <c r="I598" s="46" t="n"/>
      <c r="J598" s="39" t="n"/>
      <c r="K598" s="44">
        <f>IF(C598="","",IFERROR(D598,0)*G598+IFERROR(E598,0)+IFERROR(F598,0))</f>
        <v/>
      </c>
    </row>
    <row r="599">
      <c r="A599" s="42" t="n"/>
      <c r="B599" s="39" t="n"/>
      <c r="C599" s="39" t="n"/>
      <c r="D599" s="43" t="n"/>
      <c r="E599" s="40" t="n"/>
      <c r="F599" s="40" t="n"/>
      <c r="G599" s="44">
        <f>IFERROR(VLOOKUP(C599,Cleaners!$B$6:$I$35,8,FALSE),0)</f>
        <v/>
      </c>
      <c r="H599" s="39" t="n"/>
      <c r="I599" s="46" t="n"/>
      <c r="J599" s="39" t="n"/>
      <c r="K599" s="44">
        <f>IF(C599="","",IFERROR(D599,0)*G599+IFERROR(E599,0)+IFERROR(F599,0))</f>
        <v/>
      </c>
    </row>
    <row r="600">
      <c r="A600" s="42" t="n"/>
      <c r="B600" s="39" t="n"/>
      <c r="C600" s="39" t="n"/>
      <c r="D600" s="43" t="n"/>
      <c r="E600" s="40" t="n"/>
      <c r="F600" s="40" t="n"/>
      <c r="G600" s="44">
        <f>IFERROR(VLOOKUP(C600,Cleaners!$B$6:$I$35,8,FALSE),0)</f>
        <v/>
      </c>
      <c r="H600" s="39" t="n"/>
      <c r="I600" s="46" t="n"/>
      <c r="J600" s="39" t="n"/>
      <c r="K600" s="44">
        <f>IF(C600="","",IFERROR(D600,0)*G600+IFERROR(E600,0)+IFERROR(F600,0))</f>
        <v/>
      </c>
    </row>
    <row r="601">
      <c r="A601" s="42" t="n"/>
      <c r="B601" s="39" t="n"/>
      <c r="C601" s="39" t="n"/>
      <c r="D601" s="43" t="n"/>
      <c r="E601" s="40" t="n"/>
      <c r="F601" s="40" t="n"/>
      <c r="G601" s="44">
        <f>IFERROR(VLOOKUP(C601,Cleaners!$B$6:$I$35,8,FALSE),0)</f>
        <v/>
      </c>
      <c r="H601" s="39" t="n"/>
      <c r="I601" s="46" t="n"/>
      <c r="J601" s="39" t="n"/>
      <c r="K601" s="44">
        <f>IF(C601="","",IFERROR(D601,0)*G601+IFERROR(E601,0)+IFERROR(F601,0))</f>
        <v/>
      </c>
    </row>
    <row r="602">
      <c r="A602" s="42" t="n"/>
      <c r="B602" s="39" t="n"/>
      <c r="C602" s="39" t="n"/>
      <c r="D602" s="43" t="n"/>
      <c r="E602" s="40" t="n"/>
      <c r="F602" s="40" t="n"/>
      <c r="G602" s="44">
        <f>IFERROR(VLOOKUP(C602,Cleaners!$B$6:$I$35,8,FALSE),0)</f>
        <v/>
      </c>
      <c r="H602" s="39" t="n"/>
      <c r="I602" s="46" t="n"/>
      <c r="J602" s="39" t="n"/>
      <c r="K602" s="44">
        <f>IF(C602="","",IFERROR(D602,0)*G602+IFERROR(E602,0)+IFERROR(F602,0))</f>
        <v/>
      </c>
    </row>
    <row r="603">
      <c r="A603" s="42" t="n"/>
      <c r="B603" s="39" t="n"/>
      <c r="C603" s="39" t="n"/>
      <c r="D603" s="43" t="n"/>
      <c r="E603" s="40" t="n"/>
      <c r="F603" s="40" t="n"/>
      <c r="G603" s="44">
        <f>IFERROR(VLOOKUP(C603,Cleaners!$B$6:$I$35,8,FALSE),0)</f>
        <v/>
      </c>
      <c r="H603" s="39" t="n"/>
      <c r="I603" s="46" t="n"/>
      <c r="J603" s="39" t="n"/>
      <c r="K603" s="44">
        <f>IF(C603="","",IFERROR(D603,0)*G603+IFERROR(E603,0)+IFERROR(F603,0))</f>
        <v/>
      </c>
    </row>
    <row r="604">
      <c r="A604" s="42" t="n"/>
      <c r="B604" s="39" t="n"/>
      <c r="C604" s="39" t="n"/>
      <c r="D604" s="43" t="n"/>
      <c r="E604" s="40" t="n"/>
      <c r="F604" s="40" t="n"/>
      <c r="G604" s="44">
        <f>IFERROR(VLOOKUP(C604,Cleaners!$B$6:$I$35,8,FALSE),0)</f>
        <v/>
      </c>
      <c r="H604" s="39" t="n"/>
      <c r="I604" s="46" t="n"/>
      <c r="J604" s="39" t="n"/>
      <c r="K604" s="44">
        <f>IF(C604="","",IFERROR(D604,0)*G604+IFERROR(E604,0)+IFERROR(F604,0))</f>
        <v/>
      </c>
    </row>
    <row r="605">
      <c r="A605" s="42" t="n"/>
      <c r="B605" s="39" t="n"/>
      <c r="C605" s="39" t="n"/>
      <c r="D605" s="43" t="n"/>
      <c r="E605" s="40" t="n"/>
      <c r="F605" s="40" t="n"/>
      <c r="G605" s="44">
        <f>IFERROR(VLOOKUP(C605,Cleaners!$B$6:$I$35,8,FALSE),0)</f>
        <v/>
      </c>
      <c r="H605" s="39" t="n"/>
      <c r="I605" s="46" t="n"/>
      <c r="J605" s="39" t="n"/>
      <c r="K605" s="44">
        <f>IF(C605="","",IFERROR(D605,0)*G605+IFERROR(E605,0)+IFERROR(F605,0))</f>
        <v/>
      </c>
    </row>
    <row r="606">
      <c r="A606" s="42" t="n"/>
      <c r="B606" s="39" t="n"/>
      <c r="C606" s="39" t="n"/>
      <c r="D606" s="43" t="n"/>
      <c r="E606" s="40" t="n"/>
      <c r="F606" s="40" t="n"/>
      <c r="G606" s="44">
        <f>IFERROR(VLOOKUP(C606,Cleaners!$B$6:$I$35,8,FALSE),0)</f>
        <v/>
      </c>
      <c r="H606" s="39" t="n"/>
      <c r="I606" s="46" t="n"/>
      <c r="J606" s="39" t="n"/>
      <c r="K606" s="44">
        <f>IF(C606="","",IFERROR(D606,0)*G606+IFERROR(E606,0)+IFERROR(F606,0))</f>
        <v/>
      </c>
    </row>
    <row r="607">
      <c r="A607" s="42" t="n"/>
      <c r="B607" s="39" t="n"/>
      <c r="C607" s="39" t="n"/>
      <c r="D607" s="43" t="n"/>
      <c r="E607" s="40" t="n"/>
      <c r="F607" s="40" t="n"/>
      <c r="G607" s="44">
        <f>IFERROR(VLOOKUP(C607,Cleaners!$B$6:$I$35,8,FALSE),0)</f>
        <v/>
      </c>
      <c r="H607" s="39" t="n"/>
      <c r="I607" s="46" t="n"/>
      <c r="J607" s="39" t="n"/>
      <c r="K607" s="44">
        <f>IF(C607="","",IFERROR(D607,0)*G607+IFERROR(E607,0)+IFERROR(F607,0))</f>
        <v/>
      </c>
    </row>
    <row r="608">
      <c r="A608" s="42" t="n"/>
      <c r="B608" s="39" t="n"/>
      <c r="C608" s="39" t="n"/>
      <c r="D608" s="43" t="n"/>
      <c r="E608" s="40" t="n"/>
      <c r="F608" s="40" t="n"/>
      <c r="G608" s="44">
        <f>IFERROR(VLOOKUP(C608,Cleaners!$B$6:$I$35,8,FALSE),0)</f>
        <v/>
      </c>
      <c r="H608" s="39" t="n"/>
      <c r="I608" s="46" t="n"/>
      <c r="J608" s="39" t="n"/>
      <c r="K608" s="44">
        <f>IF(C608="","",IFERROR(D608,0)*G608+IFERROR(E608,0)+IFERROR(F608,0))</f>
        <v/>
      </c>
    </row>
    <row r="609">
      <c r="A609" s="42" t="n"/>
      <c r="B609" s="39" t="n"/>
      <c r="C609" s="39" t="n"/>
      <c r="D609" s="43" t="n"/>
      <c r="E609" s="40" t="n"/>
      <c r="F609" s="40" t="n"/>
      <c r="G609" s="44">
        <f>IFERROR(VLOOKUP(C609,Cleaners!$B$6:$I$35,8,FALSE),0)</f>
        <v/>
      </c>
      <c r="H609" s="39" t="n"/>
      <c r="I609" s="46" t="n"/>
      <c r="J609" s="39" t="n"/>
      <c r="K609" s="44">
        <f>IF(C609="","",IFERROR(D609,0)*G609+IFERROR(E609,0)+IFERROR(F609,0))</f>
        <v/>
      </c>
    </row>
    <row r="610">
      <c r="A610" s="42" t="n"/>
      <c r="B610" s="39" t="n"/>
      <c r="C610" s="39" t="n"/>
      <c r="D610" s="43" t="n"/>
      <c r="E610" s="40" t="n"/>
      <c r="F610" s="40" t="n"/>
      <c r="G610" s="44">
        <f>IFERROR(VLOOKUP(C610,Cleaners!$B$6:$I$35,8,FALSE),0)</f>
        <v/>
      </c>
      <c r="H610" s="39" t="n"/>
      <c r="I610" s="46" t="n"/>
      <c r="J610" s="39" t="n"/>
      <c r="K610" s="44">
        <f>IF(C610="","",IFERROR(D610,0)*G610+IFERROR(E610,0)+IFERROR(F610,0))</f>
        <v/>
      </c>
    </row>
    <row r="611">
      <c r="A611" s="42" t="n"/>
      <c r="B611" s="39" t="n"/>
      <c r="C611" s="39" t="n"/>
      <c r="D611" s="43" t="n"/>
      <c r="E611" s="40" t="n"/>
      <c r="F611" s="40" t="n"/>
      <c r="G611" s="44">
        <f>IFERROR(VLOOKUP(C611,Cleaners!$B$6:$I$35,8,FALSE),0)</f>
        <v/>
      </c>
      <c r="H611" s="39" t="n"/>
      <c r="I611" s="46" t="n"/>
      <c r="J611" s="39" t="n"/>
      <c r="K611" s="44">
        <f>IF(C611="","",IFERROR(D611,0)*G611+IFERROR(E611,0)+IFERROR(F611,0))</f>
        <v/>
      </c>
    </row>
    <row r="612">
      <c r="A612" s="42" t="n"/>
      <c r="B612" s="39" t="n"/>
      <c r="C612" s="39" t="n"/>
      <c r="D612" s="43" t="n"/>
      <c r="E612" s="40" t="n"/>
      <c r="F612" s="40" t="n"/>
      <c r="G612" s="44">
        <f>IFERROR(VLOOKUP(C612,Cleaners!$B$6:$I$35,8,FALSE),0)</f>
        <v/>
      </c>
      <c r="H612" s="39" t="n"/>
      <c r="I612" s="46" t="n"/>
      <c r="J612" s="39" t="n"/>
      <c r="K612" s="44">
        <f>IF(C612="","",IFERROR(D612,0)*G612+IFERROR(E612,0)+IFERROR(F612,0))</f>
        <v/>
      </c>
    </row>
    <row r="613">
      <c r="A613" s="42" t="n"/>
      <c r="B613" s="39" t="n"/>
      <c r="C613" s="39" t="n"/>
      <c r="D613" s="43" t="n"/>
      <c r="E613" s="40" t="n"/>
      <c r="F613" s="40" t="n"/>
      <c r="G613" s="44">
        <f>IFERROR(VLOOKUP(C613,Cleaners!$B$6:$I$35,8,FALSE),0)</f>
        <v/>
      </c>
      <c r="H613" s="39" t="n"/>
      <c r="I613" s="46" t="n"/>
      <c r="J613" s="39" t="n"/>
      <c r="K613" s="44">
        <f>IF(C613="","",IFERROR(D613,0)*G613+IFERROR(E613,0)+IFERROR(F613,0))</f>
        <v/>
      </c>
    </row>
    <row r="614">
      <c r="A614" s="42" t="n"/>
      <c r="B614" s="39" t="n"/>
      <c r="C614" s="39" t="n"/>
      <c r="D614" s="43" t="n"/>
      <c r="E614" s="40" t="n"/>
      <c r="F614" s="40" t="n"/>
      <c r="G614" s="44">
        <f>IFERROR(VLOOKUP(C614,Cleaners!$B$6:$I$35,8,FALSE),0)</f>
        <v/>
      </c>
      <c r="H614" s="39" t="n"/>
      <c r="I614" s="46" t="n"/>
      <c r="J614" s="39" t="n"/>
      <c r="K614" s="44">
        <f>IF(C614="","",IFERROR(D614,0)*G614+IFERROR(E614,0)+IFERROR(F614,0))</f>
        <v/>
      </c>
    </row>
    <row r="615">
      <c r="A615" s="42" t="n"/>
      <c r="B615" s="39" t="n"/>
      <c r="C615" s="39" t="n"/>
      <c r="D615" s="43" t="n"/>
      <c r="E615" s="40" t="n"/>
      <c r="F615" s="40" t="n"/>
      <c r="G615" s="44">
        <f>IFERROR(VLOOKUP(C615,Cleaners!$B$6:$I$35,8,FALSE),0)</f>
        <v/>
      </c>
      <c r="H615" s="39" t="n"/>
      <c r="I615" s="46" t="n"/>
      <c r="J615" s="39" t="n"/>
      <c r="K615" s="44">
        <f>IF(C615="","",IFERROR(D615,0)*G615+IFERROR(E615,0)+IFERROR(F615,0))</f>
        <v/>
      </c>
    </row>
    <row r="616">
      <c r="A616" s="42" t="n"/>
      <c r="B616" s="39" t="n"/>
      <c r="C616" s="39" t="n"/>
      <c r="D616" s="43" t="n"/>
      <c r="E616" s="40" t="n"/>
      <c r="F616" s="40" t="n"/>
      <c r="G616" s="44">
        <f>IFERROR(VLOOKUP(C616,Cleaners!$B$6:$I$35,8,FALSE),0)</f>
        <v/>
      </c>
      <c r="H616" s="39" t="n"/>
      <c r="I616" s="46" t="n"/>
      <c r="J616" s="39" t="n"/>
      <c r="K616" s="44">
        <f>IF(C616="","",IFERROR(D616,0)*G616+IFERROR(E616,0)+IFERROR(F616,0))</f>
        <v/>
      </c>
    </row>
    <row r="617">
      <c r="A617" s="42" t="n"/>
      <c r="B617" s="39" t="n"/>
      <c r="C617" s="39" t="n"/>
      <c r="D617" s="43" t="n"/>
      <c r="E617" s="40" t="n"/>
      <c r="F617" s="40" t="n"/>
      <c r="G617" s="44">
        <f>IFERROR(VLOOKUP(C617,Cleaners!$B$6:$I$35,8,FALSE),0)</f>
        <v/>
      </c>
      <c r="H617" s="39" t="n"/>
      <c r="I617" s="46" t="n"/>
      <c r="J617" s="39" t="n"/>
      <c r="K617" s="44">
        <f>IF(C617="","",IFERROR(D617,0)*G617+IFERROR(E617,0)+IFERROR(F617,0))</f>
        <v/>
      </c>
    </row>
    <row r="618">
      <c r="A618" s="42" t="n"/>
      <c r="B618" s="39" t="n"/>
      <c r="C618" s="39" t="n"/>
      <c r="D618" s="43" t="n"/>
      <c r="E618" s="40" t="n"/>
      <c r="F618" s="40" t="n"/>
      <c r="G618" s="44">
        <f>IFERROR(VLOOKUP(C618,Cleaners!$B$6:$I$35,8,FALSE),0)</f>
        <v/>
      </c>
      <c r="H618" s="39" t="n"/>
      <c r="I618" s="46" t="n"/>
      <c r="J618" s="39" t="n"/>
      <c r="K618" s="44">
        <f>IF(C618="","",IFERROR(D618,0)*G618+IFERROR(E618,0)+IFERROR(F618,0))</f>
        <v/>
      </c>
    </row>
    <row r="619">
      <c r="A619" s="42" t="n"/>
      <c r="B619" s="39" t="n"/>
      <c r="C619" s="39" t="n"/>
      <c r="D619" s="43" t="n"/>
      <c r="E619" s="40" t="n"/>
      <c r="F619" s="40" t="n"/>
      <c r="G619" s="44">
        <f>IFERROR(VLOOKUP(C619,Cleaners!$B$6:$I$35,8,FALSE),0)</f>
        <v/>
      </c>
      <c r="H619" s="39" t="n"/>
      <c r="I619" s="46" t="n"/>
      <c r="J619" s="39" t="n"/>
      <c r="K619" s="44">
        <f>IF(C619="","",IFERROR(D619,0)*G619+IFERROR(E619,0)+IFERROR(F619,0))</f>
        <v/>
      </c>
    </row>
    <row r="620">
      <c r="A620" s="42" t="n"/>
      <c r="B620" s="39" t="n"/>
      <c r="C620" s="39" t="n"/>
      <c r="D620" s="43" t="n"/>
      <c r="E620" s="40" t="n"/>
      <c r="F620" s="40" t="n"/>
      <c r="G620" s="44">
        <f>IFERROR(VLOOKUP(C620,Cleaners!$B$6:$I$35,8,FALSE),0)</f>
        <v/>
      </c>
      <c r="H620" s="39" t="n"/>
      <c r="I620" s="46" t="n"/>
      <c r="J620" s="39" t="n"/>
      <c r="K620" s="44">
        <f>IF(C620="","",IFERROR(D620,0)*G620+IFERROR(E620,0)+IFERROR(F620,0))</f>
        <v/>
      </c>
    </row>
    <row r="621">
      <c r="A621" s="42" t="n"/>
      <c r="B621" s="39" t="n"/>
      <c r="C621" s="39" t="n"/>
      <c r="D621" s="43" t="n"/>
      <c r="E621" s="40" t="n"/>
      <c r="F621" s="40" t="n"/>
      <c r="G621" s="44">
        <f>IFERROR(VLOOKUP(C621,Cleaners!$B$6:$I$35,8,FALSE),0)</f>
        <v/>
      </c>
      <c r="H621" s="39" t="n"/>
      <c r="I621" s="46" t="n"/>
      <c r="J621" s="39" t="n"/>
      <c r="K621" s="44">
        <f>IF(C621="","",IFERROR(D621,0)*G621+IFERROR(E621,0)+IFERROR(F621,0))</f>
        <v/>
      </c>
    </row>
    <row r="622">
      <c r="A622" s="42" t="n"/>
      <c r="B622" s="39" t="n"/>
      <c r="C622" s="39" t="n"/>
      <c r="D622" s="43" t="n"/>
      <c r="E622" s="40" t="n"/>
      <c r="F622" s="40" t="n"/>
      <c r="G622" s="44">
        <f>IFERROR(VLOOKUP(C622,Cleaners!$B$6:$I$35,8,FALSE),0)</f>
        <v/>
      </c>
      <c r="H622" s="39" t="n"/>
      <c r="I622" s="46" t="n"/>
      <c r="J622" s="39" t="n"/>
      <c r="K622" s="44">
        <f>IF(C622="","",IFERROR(D622,0)*G622+IFERROR(E622,0)+IFERROR(F622,0))</f>
        <v/>
      </c>
    </row>
    <row r="623">
      <c r="A623" s="42" t="n"/>
      <c r="B623" s="39" t="n"/>
      <c r="C623" s="39" t="n"/>
      <c r="D623" s="43" t="n"/>
      <c r="E623" s="40" t="n"/>
      <c r="F623" s="40" t="n"/>
      <c r="G623" s="44">
        <f>IFERROR(VLOOKUP(C623,Cleaners!$B$6:$I$35,8,FALSE),0)</f>
        <v/>
      </c>
      <c r="H623" s="39" t="n"/>
      <c r="I623" s="46" t="n"/>
      <c r="J623" s="39" t="n"/>
      <c r="K623" s="44">
        <f>IF(C623="","",IFERROR(D623,0)*G623+IFERROR(E623,0)+IFERROR(F623,0))</f>
        <v/>
      </c>
    </row>
    <row r="624">
      <c r="A624" s="42" t="n"/>
      <c r="B624" s="39" t="n"/>
      <c r="C624" s="39" t="n"/>
      <c r="D624" s="43" t="n"/>
      <c r="E624" s="40" t="n"/>
      <c r="F624" s="40" t="n"/>
      <c r="G624" s="44">
        <f>IFERROR(VLOOKUP(C624,Cleaners!$B$6:$I$35,8,FALSE),0)</f>
        <v/>
      </c>
      <c r="H624" s="39" t="n"/>
      <c r="I624" s="46" t="n"/>
      <c r="J624" s="39" t="n"/>
      <c r="K624" s="44">
        <f>IF(C624="","",IFERROR(D624,0)*G624+IFERROR(E624,0)+IFERROR(F624,0))</f>
        <v/>
      </c>
    </row>
    <row r="625">
      <c r="A625" s="42" t="n"/>
      <c r="B625" s="39" t="n"/>
      <c r="C625" s="39" t="n"/>
      <c r="D625" s="43" t="n"/>
      <c r="E625" s="40" t="n"/>
      <c r="F625" s="40" t="n"/>
      <c r="G625" s="44">
        <f>IFERROR(VLOOKUP(C625,Cleaners!$B$6:$I$35,8,FALSE),0)</f>
        <v/>
      </c>
      <c r="H625" s="39" t="n"/>
      <c r="I625" s="46" t="n"/>
      <c r="J625" s="39" t="n"/>
      <c r="K625" s="44">
        <f>IF(C625="","",IFERROR(D625,0)*G625+IFERROR(E625,0)+IFERROR(F625,0))</f>
        <v/>
      </c>
    </row>
    <row r="626">
      <c r="A626" s="42" t="n"/>
      <c r="B626" s="39" t="n"/>
      <c r="C626" s="39" t="n"/>
      <c r="D626" s="43" t="n"/>
      <c r="E626" s="40" t="n"/>
      <c r="F626" s="40" t="n"/>
      <c r="G626" s="44">
        <f>IFERROR(VLOOKUP(C626,Cleaners!$B$6:$I$35,8,FALSE),0)</f>
        <v/>
      </c>
      <c r="H626" s="39" t="n"/>
      <c r="I626" s="46" t="n"/>
      <c r="J626" s="39" t="n"/>
      <c r="K626" s="44">
        <f>IF(C626="","",IFERROR(D626,0)*G626+IFERROR(E626,0)+IFERROR(F626,0))</f>
        <v/>
      </c>
    </row>
    <row r="627">
      <c r="A627" s="42" t="n"/>
      <c r="B627" s="39" t="n"/>
      <c r="C627" s="39" t="n"/>
      <c r="D627" s="43" t="n"/>
      <c r="E627" s="40" t="n"/>
      <c r="F627" s="40" t="n"/>
      <c r="G627" s="44">
        <f>IFERROR(VLOOKUP(C627,Cleaners!$B$6:$I$35,8,FALSE),0)</f>
        <v/>
      </c>
      <c r="H627" s="39" t="n"/>
      <c r="I627" s="46" t="n"/>
      <c r="J627" s="39" t="n"/>
      <c r="K627" s="44">
        <f>IF(C627="","",IFERROR(D627,0)*G627+IFERROR(E627,0)+IFERROR(F627,0))</f>
        <v/>
      </c>
    </row>
    <row r="628">
      <c r="A628" s="42" t="n"/>
      <c r="B628" s="39" t="n"/>
      <c r="C628" s="39" t="n"/>
      <c r="D628" s="43" t="n"/>
      <c r="E628" s="40" t="n"/>
      <c r="F628" s="40" t="n"/>
      <c r="G628" s="44">
        <f>IFERROR(VLOOKUP(C628,Cleaners!$B$6:$I$35,8,FALSE),0)</f>
        <v/>
      </c>
      <c r="H628" s="39" t="n"/>
      <c r="I628" s="46" t="n"/>
      <c r="J628" s="39" t="n"/>
      <c r="K628" s="44">
        <f>IF(C628="","",IFERROR(D628,0)*G628+IFERROR(E628,0)+IFERROR(F628,0))</f>
        <v/>
      </c>
    </row>
    <row r="629">
      <c r="A629" s="42" t="n"/>
      <c r="B629" s="39" t="n"/>
      <c r="C629" s="39" t="n"/>
      <c r="D629" s="43" t="n"/>
      <c r="E629" s="40" t="n"/>
      <c r="F629" s="40" t="n"/>
      <c r="G629" s="44">
        <f>IFERROR(VLOOKUP(C629,Cleaners!$B$6:$I$35,8,FALSE),0)</f>
        <v/>
      </c>
      <c r="H629" s="39" t="n"/>
      <c r="I629" s="46" t="n"/>
      <c r="J629" s="39" t="n"/>
      <c r="K629" s="44">
        <f>IF(C629="","",IFERROR(D629,0)*G629+IFERROR(E629,0)+IFERROR(F629,0))</f>
        <v/>
      </c>
    </row>
    <row r="630">
      <c r="A630" s="42" t="n"/>
      <c r="B630" s="39" t="n"/>
      <c r="C630" s="39" t="n"/>
      <c r="D630" s="43" t="n"/>
      <c r="E630" s="40" t="n"/>
      <c r="F630" s="40" t="n"/>
      <c r="G630" s="44">
        <f>IFERROR(VLOOKUP(C630,Cleaners!$B$6:$I$35,8,FALSE),0)</f>
        <v/>
      </c>
      <c r="H630" s="39" t="n"/>
      <c r="I630" s="46" t="n"/>
      <c r="J630" s="39" t="n"/>
      <c r="K630" s="44">
        <f>IF(C630="","",IFERROR(D630,0)*G630+IFERROR(E630,0)+IFERROR(F630,0))</f>
        <v/>
      </c>
    </row>
    <row r="631">
      <c r="A631" s="42" t="n"/>
      <c r="B631" s="39" t="n"/>
      <c r="C631" s="39" t="n"/>
      <c r="D631" s="43" t="n"/>
      <c r="E631" s="40" t="n"/>
      <c r="F631" s="40" t="n"/>
      <c r="G631" s="44">
        <f>IFERROR(VLOOKUP(C631,Cleaners!$B$6:$I$35,8,FALSE),0)</f>
        <v/>
      </c>
      <c r="H631" s="39" t="n"/>
      <c r="I631" s="46" t="n"/>
      <c r="J631" s="39" t="n"/>
      <c r="K631" s="44">
        <f>IF(C631="","",IFERROR(D631,0)*G631+IFERROR(E631,0)+IFERROR(F631,0))</f>
        <v/>
      </c>
    </row>
    <row r="632">
      <c r="A632" s="42" t="n"/>
      <c r="B632" s="39" t="n"/>
      <c r="C632" s="39" t="n"/>
      <c r="D632" s="43" t="n"/>
      <c r="E632" s="40" t="n"/>
      <c r="F632" s="40" t="n"/>
      <c r="G632" s="44">
        <f>IFERROR(VLOOKUP(C632,Cleaners!$B$6:$I$35,8,FALSE),0)</f>
        <v/>
      </c>
      <c r="H632" s="39" t="n"/>
      <c r="I632" s="46" t="n"/>
      <c r="J632" s="39" t="n"/>
      <c r="K632" s="44">
        <f>IF(C632="","",IFERROR(D632,0)*G632+IFERROR(E632,0)+IFERROR(F632,0))</f>
        <v/>
      </c>
    </row>
    <row r="633">
      <c r="A633" s="42" t="n"/>
      <c r="B633" s="39" t="n"/>
      <c r="C633" s="39" t="n"/>
      <c r="D633" s="43" t="n"/>
      <c r="E633" s="40" t="n"/>
      <c r="F633" s="40" t="n"/>
      <c r="G633" s="44">
        <f>IFERROR(VLOOKUP(C633,Cleaners!$B$6:$I$35,8,FALSE),0)</f>
        <v/>
      </c>
      <c r="H633" s="39" t="n"/>
      <c r="I633" s="46" t="n"/>
      <c r="J633" s="39" t="n"/>
      <c r="K633" s="44">
        <f>IF(C633="","",IFERROR(D633,0)*G633+IFERROR(E633,0)+IFERROR(F633,0))</f>
        <v/>
      </c>
    </row>
    <row r="634">
      <c r="A634" s="42" t="n"/>
      <c r="B634" s="39" t="n"/>
      <c r="C634" s="39" t="n"/>
      <c r="D634" s="43" t="n"/>
      <c r="E634" s="40" t="n"/>
      <c r="F634" s="40" t="n"/>
      <c r="G634" s="44">
        <f>IFERROR(VLOOKUP(C634,Cleaners!$B$6:$I$35,8,FALSE),0)</f>
        <v/>
      </c>
      <c r="H634" s="39" t="n"/>
      <c r="I634" s="46" t="n"/>
      <c r="J634" s="39" t="n"/>
      <c r="K634" s="44">
        <f>IF(C634="","",IFERROR(D634,0)*G634+IFERROR(E634,0)+IFERROR(F634,0))</f>
        <v/>
      </c>
    </row>
    <row r="635">
      <c r="A635" s="42" t="n"/>
      <c r="B635" s="39" t="n"/>
      <c r="C635" s="39" t="n"/>
      <c r="D635" s="43" t="n"/>
      <c r="E635" s="40" t="n"/>
      <c r="F635" s="40" t="n"/>
      <c r="G635" s="44">
        <f>IFERROR(VLOOKUP(C635,Cleaners!$B$6:$I$35,8,FALSE),0)</f>
        <v/>
      </c>
      <c r="H635" s="39" t="n"/>
      <c r="I635" s="46" t="n"/>
      <c r="J635" s="39" t="n"/>
      <c r="K635" s="44">
        <f>IF(C635="","",IFERROR(D635,0)*G635+IFERROR(E635,0)+IFERROR(F635,0))</f>
        <v/>
      </c>
    </row>
    <row r="636">
      <c r="A636" s="42" t="n"/>
      <c r="B636" s="39" t="n"/>
      <c r="C636" s="39" t="n"/>
      <c r="D636" s="43" t="n"/>
      <c r="E636" s="40" t="n"/>
      <c r="F636" s="40" t="n"/>
      <c r="G636" s="44">
        <f>IFERROR(VLOOKUP(C636,Cleaners!$B$6:$I$35,8,FALSE),0)</f>
        <v/>
      </c>
      <c r="H636" s="39" t="n"/>
      <c r="I636" s="46" t="n"/>
      <c r="J636" s="39" t="n"/>
      <c r="K636" s="44">
        <f>IF(C636="","",IFERROR(D636,0)*G636+IFERROR(E636,0)+IFERROR(F636,0))</f>
        <v/>
      </c>
    </row>
    <row r="637">
      <c r="A637" s="42" t="n"/>
      <c r="B637" s="39" t="n"/>
      <c r="C637" s="39" t="n"/>
      <c r="D637" s="43" t="n"/>
      <c r="E637" s="40" t="n"/>
      <c r="F637" s="40" t="n"/>
      <c r="G637" s="44">
        <f>IFERROR(VLOOKUP(C637,Cleaners!$B$6:$I$35,8,FALSE),0)</f>
        <v/>
      </c>
      <c r="H637" s="39" t="n"/>
      <c r="I637" s="46" t="n"/>
      <c r="J637" s="39" t="n"/>
      <c r="K637" s="44">
        <f>IF(C637="","",IFERROR(D637,0)*G637+IFERROR(E637,0)+IFERROR(F637,0))</f>
        <v/>
      </c>
    </row>
    <row r="638">
      <c r="A638" s="42" t="n"/>
      <c r="B638" s="39" t="n"/>
      <c r="C638" s="39" t="n"/>
      <c r="D638" s="43" t="n"/>
      <c r="E638" s="40" t="n"/>
      <c r="F638" s="40" t="n"/>
      <c r="G638" s="44">
        <f>IFERROR(VLOOKUP(C638,Cleaners!$B$6:$I$35,8,FALSE),0)</f>
        <v/>
      </c>
      <c r="H638" s="39" t="n"/>
      <c r="I638" s="46" t="n"/>
      <c r="J638" s="39" t="n"/>
      <c r="K638" s="44">
        <f>IF(C638="","",IFERROR(D638,0)*G638+IFERROR(E638,0)+IFERROR(F638,0))</f>
        <v/>
      </c>
    </row>
    <row r="639">
      <c r="A639" s="42" t="n"/>
      <c r="B639" s="39" t="n"/>
      <c r="C639" s="39" t="n"/>
      <c r="D639" s="43" t="n"/>
      <c r="E639" s="40" t="n"/>
      <c r="F639" s="40" t="n"/>
      <c r="G639" s="44">
        <f>IFERROR(VLOOKUP(C639,Cleaners!$B$6:$I$35,8,FALSE),0)</f>
        <v/>
      </c>
      <c r="H639" s="39" t="n"/>
      <c r="I639" s="46" t="n"/>
      <c r="J639" s="39" t="n"/>
      <c r="K639" s="44">
        <f>IF(C639="","",IFERROR(D639,0)*G639+IFERROR(E639,0)+IFERROR(F639,0))</f>
        <v/>
      </c>
    </row>
    <row r="640">
      <c r="A640" s="42" t="n"/>
      <c r="B640" s="39" t="n"/>
      <c r="C640" s="39" t="n"/>
      <c r="D640" s="43" t="n"/>
      <c r="E640" s="40" t="n"/>
      <c r="F640" s="40" t="n"/>
      <c r="G640" s="44">
        <f>IFERROR(VLOOKUP(C640,Cleaners!$B$6:$I$35,8,FALSE),0)</f>
        <v/>
      </c>
      <c r="H640" s="39" t="n"/>
      <c r="I640" s="46" t="n"/>
      <c r="J640" s="39" t="n"/>
      <c r="K640" s="44">
        <f>IF(C640="","",IFERROR(D640,0)*G640+IFERROR(E640,0)+IFERROR(F640,0))</f>
        <v/>
      </c>
    </row>
    <row r="641">
      <c r="A641" s="42" t="n"/>
      <c r="B641" s="39" t="n"/>
      <c r="C641" s="39" t="n"/>
      <c r="D641" s="43" t="n"/>
      <c r="E641" s="40" t="n"/>
      <c r="F641" s="40" t="n"/>
      <c r="G641" s="44">
        <f>IFERROR(VLOOKUP(C641,Cleaners!$B$6:$I$35,8,FALSE),0)</f>
        <v/>
      </c>
      <c r="H641" s="39" t="n"/>
      <c r="I641" s="46" t="n"/>
      <c r="J641" s="39" t="n"/>
      <c r="K641" s="44">
        <f>IF(C641="","",IFERROR(D641,0)*G641+IFERROR(E641,0)+IFERROR(F641,0))</f>
        <v/>
      </c>
    </row>
    <row r="642">
      <c r="A642" s="42" t="n"/>
      <c r="B642" s="39" t="n"/>
      <c r="C642" s="39" t="n"/>
      <c r="D642" s="43" t="n"/>
      <c r="E642" s="40" t="n"/>
      <c r="F642" s="40" t="n"/>
      <c r="G642" s="44">
        <f>IFERROR(VLOOKUP(C642,Cleaners!$B$6:$I$35,8,FALSE),0)</f>
        <v/>
      </c>
      <c r="H642" s="39" t="n"/>
      <c r="I642" s="46" t="n"/>
      <c r="J642" s="39" t="n"/>
      <c r="K642" s="44">
        <f>IF(C642="","",IFERROR(D642,0)*G642+IFERROR(E642,0)+IFERROR(F642,0))</f>
        <v/>
      </c>
    </row>
    <row r="643">
      <c r="A643" s="42" t="n"/>
      <c r="B643" s="39" t="n"/>
      <c r="C643" s="39" t="n"/>
      <c r="D643" s="43" t="n"/>
      <c r="E643" s="40" t="n"/>
      <c r="F643" s="40" t="n"/>
      <c r="G643" s="44">
        <f>IFERROR(VLOOKUP(C643,Cleaners!$B$6:$I$35,8,FALSE),0)</f>
        <v/>
      </c>
      <c r="H643" s="39" t="n"/>
      <c r="I643" s="46" t="n"/>
      <c r="J643" s="39" t="n"/>
      <c r="K643" s="44">
        <f>IF(C643="","",IFERROR(D643,0)*G643+IFERROR(E643,0)+IFERROR(F643,0))</f>
        <v/>
      </c>
    </row>
    <row r="644">
      <c r="A644" s="42" t="n"/>
      <c r="B644" s="39" t="n"/>
      <c r="C644" s="39" t="n"/>
      <c r="D644" s="43" t="n"/>
      <c r="E644" s="40" t="n"/>
      <c r="F644" s="40" t="n"/>
      <c r="G644" s="44">
        <f>IFERROR(VLOOKUP(C644,Cleaners!$B$6:$I$35,8,FALSE),0)</f>
        <v/>
      </c>
      <c r="H644" s="39" t="n"/>
      <c r="I644" s="46" t="n"/>
      <c r="J644" s="39" t="n"/>
      <c r="K644" s="44">
        <f>IF(C644="","",IFERROR(D644,0)*G644+IFERROR(E644,0)+IFERROR(F644,0))</f>
        <v/>
      </c>
    </row>
    <row r="645">
      <c r="A645" s="42" t="n"/>
      <c r="B645" s="39" t="n"/>
      <c r="C645" s="39" t="n"/>
      <c r="D645" s="43" t="n"/>
      <c r="E645" s="40" t="n"/>
      <c r="F645" s="40" t="n"/>
      <c r="G645" s="44">
        <f>IFERROR(VLOOKUP(C645,Cleaners!$B$6:$I$35,8,FALSE),0)</f>
        <v/>
      </c>
      <c r="H645" s="39" t="n"/>
      <c r="I645" s="46" t="n"/>
      <c r="J645" s="39" t="n"/>
      <c r="K645" s="44">
        <f>IF(C645="","",IFERROR(D645,0)*G645+IFERROR(E645,0)+IFERROR(F645,0))</f>
        <v/>
      </c>
    </row>
    <row r="646">
      <c r="A646" s="42" t="n"/>
      <c r="B646" s="39" t="n"/>
      <c r="C646" s="39" t="n"/>
      <c r="D646" s="43" t="n"/>
      <c r="E646" s="40" t="n"/>
      <c r="F646" s="40" t="n"/>
      <c r="G646" s="44">
        <f>IFERROR(VLOOKUP(C646,Cleaners!$B$6:$I$35,8,FALSE),0)</f>
        <v/>
      </c>
      <c r="H646" s="39" t="n"/>
      <c r="I646" s="46" t="n"/>
      <c r="J646" s="39" t="n"/>
      <c r="K646" s="44">
        <f>IF(C646="","",IFERROR(D646,0)*G646+IFERROR(E646,0)+IFERROR(F646,0))</f>
        <v/>
      </c>
    </row>
    <row r="647">
      <c r="A647" s="42" t="n"/>
      <c r="B647" s="39" t="n"/>
      <c r="C647" s="39" t="n"/>
      <c r="D647" s="43" t="n"/>
      <c r="E647" s="40" t="n"/>
      <c r="F647" s="40" t="n"/>
      <c r="G647" s="44">
        <f>IFERROR(VLOOKUP(C647,Cleaners!$B$6:$I$35,8,FALSE),0)</f>
        <v/>
      </c>
      <c r="H647" s="39" t="n"/>
      <c r="I647" s="46" t="n"/>
      <c r="J647" s="39" t="n"/>
      <c r="K647" s="44">
        <f>IF(C647="","",IFERROR(D647,0)*G647+IFERROR(E647,0)+IFERROR(F647,0))</f>
        <v/>
      </c>
    </row>
    <row r="648">
      <c r="A648" s="42" t="n"/>
      <c r="B648" s="39" t="n"/>
      <c r="C648" s="39" t="n"/>
      <c r="D648" s="43" t="n"/>
      <c r="E648" s="40" t="n"/>
      <c r="F648" s="40" t="n"/>
      <c r="G648" s="44">
        <f>IFERROR(VLOOKUP(C648,Cleaners!$B$6:$I$35,8,FALSE),0)</f>
        <v/>
      </c>
      <c r="H648" s="39" t="n"/>
      <c r="I648" s="46" t="n"/>
      <c r="J648" s="39" t="n"/>
      <c r="K648" s="44">
        <f>IF(C648="","",IFERROR(D648,0)*G648+IFERROR(E648,0)+IFERROR(F648,0))</f>
        <v/>
      </c>
    </row>
    <row r="649">
      <c r="A649" s="42" t="n"/>
      <c r="B649" s="39" t="n"/>
      <c r="C649" s="39" t="n"/>
      <c r="D649" s="43" t="n"/>
      <c r="E649" s="40" t="n"/>
      <c r="F649" s="40" t="n"/>
      <c r="G649" s="44">
        <f>IFERROR(VLOOKUP(C649,Cleaners!$B$6:$I$35,8,FALSE),0)</f>
        <v/>
      </c>
      <c r="H649" s="39" t="n"/>
      <c r="I649" s="46" t="n"/>
      <c r="J649" s="39" t="n"/>
      <c r="K649" s="44">
        <f>IF(C649="","",IFERROR(D649,0)*G649+IFERROR(E649,0)+IFERROR(F649,0))</f>
        <v/>
      </c>
    </row>
    <row r="650">
      <c r="A650" s="42" t="n"/>
      <c r="B650" s="39" t="n"/>
      <c r="C650" s="39" t="n"/>
      <c r="D650" s="43" t="n"/>
      <c r="E650" s="40" t="n"/>
      <c r="F650" s="40" t="n"/>
      <c r="G650" s="44">
        <f>IFERROR(VLOOKUP(C650,Cleaners!$B$6:$I$35,8,FALSE),0)</f>
        <v/>
      </c>
      <c r="H650" s="39" t="n"/>
      <c r="I650" s="46" t="n"/>
      <c r="J650" s="39" t="n"/>
      <c r="K650" s="44">
        <f>IF(C650="","",IFERROR(D650,0)*G650+IFERROR(E650,0)+IFERROR(F650,0))</f>
        <v/>
      </c>
    </row>
    <row r="651">
      <c r="A651" s="42" t="n"/>
      <c r="B651" s="39" t="n"/>
      <c r="C651" s="39" t="n"/>
      <c r="D651" s="43" t="n"/>
      <c r="E651" s="40" t="n"/>
      <c r="F651" s="40" t="n"/>
      <c r="G651" s="44">
        <f>IFERROR(VLOOKUP(C651,Cleaners!$B$6:$I$35,8,FALSE),0)</f>
        <v/>
      </c>
      <c r="H651" s="39" t="n"/>
      <c r="I651" s="46" t="n"/>
      <c r="J651" s="39" t="n"/>
      <c r="K651" s="44">
        <f>IF(C651="","",IFERROR(D651,0)*G651+IFERROR(E651,0)+IFERROR(F651,0))</f>
        <v/>
      </c>
    </row>
    <row r="652">
      <c r="A652" s="42" t="n"/>
      <c r="B652" s="39" t="n"/>
      <c r="C652" s="39" t="n"/>
      <c r="D652" s="43" t="n"/>
      <c r="E652" s="40" t="n"/>
      <c r="F652" s="40" t="n"/>
      <c r="G652" s="44">
        <f>IFERROR(VLOOKUP(C652,Cleaners!$B$6:$I$35,8,FALSE),0)</f>
        <v/>
      </c>
      <c r="H652" s="39" t="n"/>
      <c r="I652" s="46" t="n"/>
      <c r="J652" s="39" t="n"/>
      <c r="K652" s="44">
        <f>IF(C652="","",IFERROR(D652,0)*G652+IFERROR(E652,0)+IFERROR(F652,0))</f>
        <v/>
      </c>
    </row>
    <row r="653">
      <c r="A653" s="42" t="n"/>
      <c r="B653" s="39" t="n"/>
      <c r="C653" s="39" t="n"/>
      <c r="D653" s="43" t="n"/>
      <c r="E653" s="40" t="n"/>
      <c r="F653" s="40" t="n"/>
      <c r="G653" s="44">
        <f>IFERROR(VLOOKUP(C653,Cleaners!$B$6:$I$35,8,FALSE),0)</f>
        <v/>
      </c>
      <c r="H653" s="39" t="n"/>
      <c r="I653" s="46" t="n"/>
      <c r="J653" s="39" t="n"/>
      <c r="K653" s="44">
        <f>IF(C653="","",IFERROR(D653,0)*G653+IFERROR(E653,0)+IFERROR(F653,0))</f>
        <v/>
      </c>
    </row>
    <row r="654">
      <c r="A654" s="42" t="n"/>
      <c r="B654" s="39" t="n"/>
      <c r="C654" s="39" t="n"/>
      <c r="D654" s="43" t="n"/>
      <c r="E654" s="40" t="n"/>
      <c r="F654" s="40" t="n"/>
      <c r="G654" s="44">
        <f>IFERROR(VLOOKUP(C654,Cleaners!$B$6:$I$35,8,FALSE),0)</f>
        <v/>
      </c>
      <c r="H654" s="39" t="n"/>
      <c r="I654" s="46" t="n"/>
      <c r="J654" s="39" t="n"/>
      <c r="K654" s="44">
        <f>IF(C654="","",IFERROR(D654,0)*G654+IFERROR(E654,0)+IFERROR(F654,0))</f>
        <v/>
      </c>
    </row>
    <row r="655">
      <c r="A655" s="42" t="n"/>
      <c r="B655" s="39" t="n"/>
      <c r="C655" s="39" t="n"/>
      <c r="D655" s="43" t="n"/>
      <c r="E655" s="40" t="n"/>
      <c r="F655" s="40" t="n"/>
      <c r="G655" s="44">
        <f>IFERROR(VLOOKUP(C655,Cleaners!$B$6:$I$35,8,FALSE),0)</f>
        <v/>
      </c>
      <c r="H655" s="39" t="n"/>
      <c r="I655" s="46" t="n"/>
      <c r="J655" s="39" t="n"/>
      <c r="K655" s="44">
        <f>IF(C655="","",IFERROR(D655,0)*G655+IFERROR(E655,0)+IFERROR(F655,0))</f>
        <v/>
      </c>
    </row>
    <row r="656">
      <c r="A656" s="42" t="n"/>
      <c r="B656" s="39" t="n"/>
      <c r="C656" s="39" t="n"/>
      <c r="D656" s="43" t="n"/>
      <c r="E656" s="40" t="n"/>
      <c r="F656" s="40" t="n"/>
      <c r="G656" s="44">
        <f>IFERROR(VLOOKUP(C656,Cleaners!$B$6:$I$35,8,FALSE),0)</f>
        <v/>
      </c>
      <c r="H656" s="39" t="n"/>
      <c r="I656" s="46" t="n"/>
      <c r="J656" s="39" t="n"/>
      <c r="K656" s="44">
        <f>IF(C656="","",IFERROR(D656,0)*G656+IFERROR(E656,0)+IFERROR(F656,0))</f>
        <v/>
      </c>
    </row>
    <row r="657">
      <c r="A657" s="42" t="n"/>
      <c r="B657" s="39" t="n"/>
      <c r="C657" s="39" t="n"/>
      <c r="D657" s="43" t="n"/>
      <c r="E657" s="40" t="n"/>
      <c r="F657" s="40" t="n"/>
      <c r="G657" s="44">
        <f>IFERROR(VLOOKUP(C657,Cleaners!$B$6:$I$35,8,FALSE),0)</f>
        <v/>
      </c>
      <c r="H657" s="39" t="n"/>
      <c r="I657" s="46" t="n"/>
      <c r="J657" s="39" t="n"/>
      <c r="K657" s="44">
        <f>IF(C657="","",IFERROR(D657,0)*G657+IFERROR(E657,0)+IFERROR(F657,0))</f>
        <v/>
      </c>
    </row>
    <row r="658">
      <c r="A658" s="42" t="n"/>
      <c r="B658" s="39" t="n"/>
      <c r="C658" s="39" t="n"/>
      <c r="D658" s="43" t="n"/>
      <c r="E658" s="40" t="n"/>
      <c r="F658" s="40" t="n"/>
      <c r="G658" s="44">
        <f>IFERROR(VLOOKUP(C658,Cleaners!$B$6:$I$35,8,FALSE),0)</f>
        <v/>
      </c>
      <c r="H658" s="39" t="n"/>
      <c r="I658" s="46" t="n"/>
      <c r="J658" s="39" t="n"/>
      <c r="K658" s="44">
        <f>IF(C658="","",IFERROR(D658,0)*G658+IFERROR(E658,0)+IFERROR(F658,0))</f>
        <v/>
      </c>
    </row>
    <row r="659">
      <c r="A659" s="42" t="n"/>
      <c r="B659" s="39" t="n"/>
      <c r="C659" s="39" t="n"/>
      <c r="D659" s="43" t="n"/>
      <c r="E659" s="40" t="n"/>
      <c r="F659" s="40" t="n"/>
      <c r="G659" s="44">
        <f>IFERROR(VLOOKUP(C659,Cleaners!$B$6:$I$35,8,FALSE),0)</f>
        <v/>
      </c>
      <c r="H659" s="39" t="n"/>
      <c r="I659" s="46" t="n"/>
      <c r="J659" s="39" t="n"/>
      <c r="K659" s="44">
        <f>IF(C659="","",IFERROR(D659,0)*G659+IFERROR(E659,0)+IFERROR(F659,0))</f>
        <v/>
      </c>
    </row>
    <row r="660">
      <c r="A660" s="42" t="n"/>
      <c r="B660" s="39" t="n"/>
      <c r="C660" s="39" t="n"/>
      <c r="D660" s="43" t="n"/>
      <c r="E660" s="40" t="n"/>
      <c r="F660" s="40" t="n"/>
      <c r="G660" s="44">
        <f>IFERROR(VLOOKUP(C660,Cleaners!$B$6:$I$35,8,FALSE),0)</f>
        <v/>
      </c>
      <c r="H660" s="39" t="n"/>
      <c r="I660" s="46" t="n"/>
      <c r="J660" s="39" t="n"/>
      <c r="K660" s="44">
        <f>IF(C660="","",IFERROR(D660,0)*G660+IFERROR(E660,0)+IFERROR(F660,0))</f>
        <v/>
      </c>
    </row>
    <row r="661">
      <c r="A661" s="42" t="n"/>
      <c r="B661" s="39" t="n"/>
      <c r="C661" s="39" t="n"/>
      <c r="D661" s="43" t="n"/>
      <c r="E661" s="40" t="n"/>
      <c r="F661" s="40" t="n"/>
      <c r="G661" s="44">
        <f>IFERROR(VLOOKUP(C661,Cleaners!$B$6:$I$35,8,FALSE),0)</f>
        <v/>
      </c>
      <c r="H661" s="39" t="n"/>
      <c r="I661" s="46" t="n"/>
      <c r="J661" s="39" t="n"/>
      <c r="K661" s="44">
        <f>IF(C661="","",IFERROR(D661,0)*G661+IFERROR(E661,0)+IFERROR(F661,0))</f>
        <v/>
      </c>
    </row>
    <row r="662">
      <c r="A662" s="42" t="n"/>
      <c r="B662" s="39" t="n"/>
      <c r="C662" s="39" t="n"/>
      <c r="D662" s="43" t="n"/>
      <c r="E662" s="40" t="n"/>
      <c r="F662" s="40" t="n"/>
      <c r="G662" s="44">
        <f>IFERROR(VLOOKUP(C662,Cleaners!$B$6:$I$35,8,FALSE),0)</f>
        <v/>
      </c>
      <c r="H662" s="39" t="n"/>
      <c r="I662" s="46" t="n"/>
      <c r="J662" s="39" t="n"/>
      <c r="K662" s="44">
        <f>IF(C662="","",IFERROR(D662,0)*G662+IFERROR(E662,0)+IFERROR(F662,0))</f>
        <v/>
      </c>
    </row>
    <row r="663">
      <c r="A663" s="42" t="n"/>
      <c r="B663" s="39" t="n"/>
      <c r="C663" s="39" t="n"/>
      <c r="D663" s="43" t="n"/>
      <c r="E663" s="40" t="n"/>
      <c r="F663" s="40" t="n"/>
      <c r="G663" s="44">
        <f>IFERROR(VLOOKUP(C663,Cleaners!$B$6:$I$35,8,FALSE),0)</f>
        <v/>
      </c>
      <c r="H663" s="39" t="n"/>
      <c r="I663" s="46" t="n"/>
      <c r="J663" s="39" t="n"/>
      <c r="K663" s="44">
        <f>IF(C663="","",IFERROR(D663,0)*G663+IFERROR(E663,0)+IFERROR(F663,0))</f>
        <v/>
      </c>
    </row>
    <row r="664">
      <c r="A664" s="42" t="n"/>
      <c r="B664" s="39" t="n"/>
      <c r="C664" s="39" t="n"/>
      <c r="D664" s="43" t="n"/>
      <c r="E664" s="40" t="n"/>
      <c r="F664" s="40" t="n"/>
      <c r="G664" s="44">
        <f>IFERROR(VLOOKUP(C664,Cleaners!$B$6:$I$35,8,FALSE),0)</f>
        <v/>
      </c>
      <c r="H664" s="39" t="n"/>
      <c r="I664" s="46" t="n"/>
      <c r="J664" s="39" t="n"/>
      <c r="K664" s="44">
        <f>IF(C664="","",IFERROR(D664,0)*G664+IFERROR(E664,0)+IFERROR(F664,0))</f>
        <v/>
      </c>
    </row>
    <row r="665">
      <c r="A665" s="42" t="n"/>
      <c r="B665" s="39" t="n"/>
      <c r="C665" s="39" t="n"/>
      <c r="D665" s="43" t="n"/>
      <c r="E665" s="40" t="n"/>
      <c r="F665" s="40" t="n"/>
      <c r="G665" s="44">
        <f>IFERROR(VLOOKUP(C665,Cleaners!$B$6:$I$35,8,FALSE),0)</f>
        <v/>
      </c>
      <c r="H665" s="39" t="n"/>
      <c r="I665" s="46" t="n"/>
      <c r="J665" s="39" t="n"/>
      <c r="K665" s="44">
        <f>IF(C665="","",IFERROR(D665,0)*G665+IFERROR(E665,0)+IFERROR(F665,0))</f>
        <v/>
      </c>
    </row>
    <row r="666">
      <c r="A666" s="42" t="n"/>
      <c r="B666" s="39" t="n"/>
      <c r="C666" s="39" t="n"/>
      <c r="D666" s="43" t="n"/>
      <c r="E666" s="40" t="n"/>
      <c r="F666" s="40" t="n"/>
      <c r="G666" s="44">
        <f>IFERROR(VLOOKUP(C666,Cleaners!$B$6:$I$35,8,FALSE),0)</f>
        <v/>
      </c>
      <c r="H666" s="39" t="n"/>
      <c r="I666" s="46" t="n"/>
      <c r="J666" s="39" t="n"/>
      <c r="K666" s="44">
        <f>IF(C666="","",IFERROR(D666,0)*G666+IFERROR(E666,0)+IFERROR(F666,0))</f>
        <v/>
      </c>
    </row>
    <row r="667">
      <c r="A667" s="42" t="n"/>
      <c r="B667" s="39" t="n"/>
      <c r="C667" s="39" t="n"/>
      <c r="D667" s="43" t="n"/>
      <c r="E667" s="40" t="n"/>
      <c r="F667" s="40" t="n"/>
      <c r="G667" s="44">
        <f>IFERROR(VLOOKUP(C667,Cleaners!$B$6:$I$35,8,FALSE),0)</f>
        <v/>
      </c>
      <c r="H667" s="39" t="n"/>
      <c r="I667" s="46" t="n"/>
      <c r="J667" s="39" t="n"/>
      <c r="K667" s="44">
        <f>IF(C667="","",IFERROR(D667,0)*G667+IFERROR(E667,0)+IFERROR(F667,0))</f>
        <v/>
      </c>
    </row>
    <row r="668">
      <c r="A668" s="42" t="n"/>
      <c r="B668" s="39" t="n"/>
      <c r="C668" s="39" t="n"/>
      <c r="D668" s="43" t="n"/>
      <c r="E668" s="40" t="n"/>
      <c r="F668" s="40" t="n"/>
      <c r="G668" s="44">
        <f>IFERROR(VLOOKUP(C668,Cleaners!$B$6:$I$35,8,FALSE),0)</f>
        <v/>
      </c>
      <c r="H668" s="39" t="n"/>
      <c r="I668" s="46" t="n"/>
      <c r="J668" s="39" t="n"/>
      <c r="K668" s="44">
        <f>IF(C668="","",IFERROR(D668,0)*G668+IFERROR(E668,0)+IFERROR(F668,0))</f>
        <v/>
      </c>
    </row>
    <row r="669">
      <c r="A669" s="42" t="n"/>
      <c r="B669" s="39" t="n"/>
      <c r="C669" s="39" t="n"/>
      <c r="D669" s="43" t="n"/>
      <c r="E669" s="40" t="n"/>
      <c r="F669" s="40" t="n"/>
      <c r="G669" s="44">
        <f>IFERROR(VLOOKUP(C669,Cleaners!$B$6:$I$35,8,FALSE),0)</f>
        <v/>
      </c>
      <c r="H669" s="39" t="n"/>
      <c r="I669" s="46" t="n"/>
      <c r="J669" s="39" t="n"/>
      <c r="K669" s="44">
        <f>IF(C669="","",IFERROR(D669,0)*G669+IFERROR(E669,0)+IFERROR(F669,0))</f>
        <v/>
      </c>
    </row>
    <row r="670">
      <c r="A670" s="42" t="n"/>
      <c r="B670" s="39" t="n"/>
      <c r="C670" s="39" t="n"/>
      <c r="D670" s="43" t="n"/>
      <c r="E670" s="40" t="n"/>
      <c r="F670" s="40" t="n"/>
      <c r="G670" s="44">
        <f>IFERROR(VLOOKUP(C670,Cleaners!$B$6:$I$35,8,FALSE),0)</f>
        <v/>
      </c>
      <c r="H670" s="39" t="n"/>
      <c r="I670" s="46" t="n"/>
      <c r="J670" s="39" t="n"/>
      <c r="K670" s="44">
        <f>IF(C670="","",IFERROR(D670,0)*G670+IFERROR(E670,0)+IFERROR(F670,0))</f>
        <v/>
      </c>
    </row>
    <row r="671">
      <c r="A671" s="42" t="n"/>
      <c r="B671" s="39" t="n"/>
      <c r="C671" s="39" t="n"/>
      <c r="D671" s="43" t="n"/>
      <c r="E671" s="40" t="n"/>
      <c r="F671" s="40" t="n"/>
      <c r="G671" s="44">
        <f>IFERROR(VLOOKUP(C671,Cleaners!$B$6:$I$35,8,FALSE),0)</f>
        <v/>
      </c>
      <c r="H671" s="39" t="n"/>
      <c r="I671" s="46" t="n"/>
      <c r="J671" s="39" t="n"/>
      <c r="K671" s="44">
        <f>IF(C671="","",IFERROR(D671,0)*G671+IFERROR(E671,0)+IFERROR(F671,0))</f>
        <v/>
      </c>
    </row>
    <row r="672">
      <c r="A672" s="42" t="n"/>
      <c r="B672" s="39" t="n"/>
      <c r="C672" s="39" t="n"/>
      <c r="D672" s="43" t="n"/>
      <c r="E672" s="40" t="n"/>
      <c r="F672" s="40" t="n"/>
      <c r="G672" s="44">
        <f>IFERROR(VLOOKUP(C672,Cleaners!$B$6:$I$35,8,FALSE),0)</f>
        <v/>
      </c>
      <c r="H672" s="39" t="n"/>
      <c r="I672" s="46" t="n"/>
      <c r="J672" s="39" t="n"/>
      <c r="K672" s="44">
        <f>IF(C672="","",IFERROR(D672,0)*G672+IFERROR(E672,0)+IFERROR(F672,0))</f>
        <v/>
      </c>
    </row>
    <row r="673">
      <c r="A673" s="42" t="n"/>
      <c r="B673" s="39" t="n"/>
      <c r="C673" s="39" t="n"/>
      <c r="D673" s="43" t="n"/>
      <c r="E673" s="40" t="n"/>
      <c r="F673" s="40" t="n"/>
      <c r="G673" s="44">
        <f>IFERROR(VLOOKUP(C673,Cleaners!$B$6:$I$35,8,FALSE),0)</f>
        <v/>
      </c>
      <c r="H673" s="39" t="n"/>
      <c r="I673" s="46" t="n"/>
      <c r="J673" s="39" t="n"/>
      <c r="K673" s="44">
        <f>IF(C673="","",IFERROR(D673,0)*G673+IFERROR(E673,0)+IFERROR(F673,0))</f>
        <v/>
      </c>
    </row>
    <row r="674">
      <c r="A674" s="42" t="n"/>
      <c r="B674" s="39" t="n"/>
      <c r="C674" s="39" t="n"/>
      <c r="D674" s="43" t="n"/>
      <c r="E674" s="40" t="n"/>
      <c r="F674" s="40" t="n"/>
      <c r="G674" s="44">
        <f>IFERROR(VLOOKUP(C674,Cleaners!$B$6:$I$35,8,FALSE),0)</f>
        <v/>
      </c>
      <c r="H674" s="39" t="n"/>
      <c r="I674" s="46" t="n"/>
      <c r="J674" s="39" t="n"/>
      <c r="K674" s="44">
        <f>IF(C674="","",IFERROR(D674,0)*G674+IFERROR(E674,0)+IFERROR(F674,0))</f>
        <v/>
      </c>
    </row>
    <row r="675">
      <c r="A675" s="42" t="n"/>
      <c r="B675" s="39" t="n"/>
      <c r="C675" s="39" t="n"/>
      <c r="D675" s="43" t="n"/>
      <c r="E675" s="40" t="n"/>
      <c r="F675" s="40" t="n"/>
      <c r="G675" s="44">
        <f>IFERROR(VLOOKUP(C675,Cleaners!$B$6:$I$35,8,FALSE),0)</f>
        <v/>
      </c>
      <c r="H675" s="39" t="n"/>
      <c r="I675" s="46" t="n"/>
      <c r="J675" s="39" t="n"/>
      <c r="K675" s="44">
        <f>IF(C675="","",IFERROR(D675,0)*G675+IFERROR(E675,0)+IFERROR(F675,0))</f>
        <v/>
      </c>
    </row>
    <row r="676">
      <c r="A676" s="42" t="n"/>
      <c r="B676" s="39" t="n"/>
      <c r="C676" s="39" t="n"/>
      <c r="D676" s="43" t="n"/>
      <c r="E676" s="40" t="n"/>
      <c r="F676" s="40" t="n"/>
      <c r="G676" s="44">
        <f>IFERROR(VLOOKUP(C676,Cleaners!$B$6:$I$35,8,FALSE),0)</f>
        <v/>
      </c>
      <c r="H676" s="39" t="n"/>
      <c r="I676" s="46" t="n"/>
      <c r="J676" s="39" t="n"/>
      <c r="K676" s="44">
        <f>IF(C676="","",IFERROR(D676,0)*G676+IFERROR(E676,0)+IFERROR(F676,0))</f>
        <v/>
      </c>
    </row>
    <row r="677">
      <c r="A677" s="42" t="n"/>
      <c r="B677" s="39" t="n"/>
      <c r="C677" s="39" t="n"/>
      <c r="D677" s="43" t="n"/>
      <c r="E677" s="40" t="n"/>
      <c r="F677" s="40" t="n"/>
      <c r="G677" s="44">
        <f>IFERROR(VLOOKUP(C677,Cleaners!$B$6:$I$35,8,FALSE),0)</f>
        <v/>
      </c>
      <c r="H677" s="39" t="n"/>
      <c r="I677" s="46" t="n"/>
      <c r="J677" s="39" t="n"/>
      <c r="K677" s="44">
        <f>IF(C677="","",IFERROR(D677,0)*G677+IFERROR(E677,0)+IFERROR(F677,0))</f>
        <v/>
      </c>
    </row>
    <row r="678">
      <c r="A678" s="42" t="n"/>
      <c r="B678" s="39" t="n"/>
      <c r="C678" s="39" t="n"/>
      <c r="D678" s="43" t="n"/>
      <c r="E678" s="40" t="n"/>
      <c r="F678" s="40" t="n"/>
      <c r="G678" s="44">
        <f>IFERROR(VLOOKUP(C678,Cleaners!$B$6:$I$35,8,FALSE),0)</f>
        <v/>
      </c>
      <c r="H678" s="39" t="n"/>
      <c r="I678" s="46" t="n"/>
      <c r="J678" s="39" t="n"/>
      <c r="K678" s="44">
        <f>IF(C678="","",IFERROR(D678,0)*G678+IFERROR(E678,0)+IFERROR(F678,0))</f>
        <v/>
      </c>
    </row>
    <row r="679">
      <c r="A679" s="42" t="n"/>
      <c r="B679" s="39" t="n"/>
      <c r="C679" s="39" t="n"/>
      <c r="D679" s="43" t="n"/>
      <c r="E679" s="40" t="n"/>
      <c r="F679" s="40" t="n"/>
      <c r="G679" s="44">
        <f>IFERROR(VLOOKUP(C679,Cleaners!$B$6:$I$35,8,FALSE),0)</f>
        <v/>
      </c>
      <c r="H679" s="39" t="n"/>
      <c r="I679" s="46" t="n"/>
      <c r="J679" s="39" t="n"/>
      <c r="K679" s="44">
        <f>IF(C679="","",IFERROR(D679,0)*G679+IFERROR(E679,0)+IFERROR(F679,0))</f>
        <v/>
      </c>
    </row>
    <row r="680">
      <c r="A680" s="42" t="n"/>
      <c r="B680" s="39" t="n"/>
      <c r="C680" s="39" t="n"/>
      <c r="D680" s="43" t="n"/>
      <c r="E680" s="40" t="n"/>
      <c r="F680" s="40" t="n"/>
      <c r="G680" s="44">
        <f>IFERROR(VLOOKUP(C680,Cleaners!$B$6:$I$35,8,FALSE),0)</f>
        <v/>
      </c>
      <c r="H680" s="39" t="n"/>
      <c r="I680" s="46" t="n"/>
      <c r="J680" s="39" t="n"/>
      <c r="K680" s="44">
        <f>IF(C680="","",IFERROR(D680,0)*G680+IFERROR(E680,0)+IFERROR(F680,0))</f>
        <v/>
      </c>
    </row>
    <row r="681">
      <c r="A681" s="42" t="n"/>
      <c r="B681" s="39" t="n"/>
      <c r="C681" s="39" t="n"/>
      <c r="D681" s="43" t="n"/>
      <c r="E681" s="40" t="n"/>
      <c r="F681" s="40" t="n"/>
      <c r="G681" s="44">
        <f>IFERROR(VLOOKUP(C681,Cleaners!$B$6:$I$35,8,FALSE),0)</f>
        <v/>
      </c>
      <c r="H681" s="39" t="n"/>
      <c r="I681" s="46" t="n"/>
      <c r="J681" s="39" t="n"/>
      <c r="K681" s="44">
        <f>IF(C681="","",IFERROR(D681,0)*G681+IFERROR(E681,0)+IFERROR(F681,0))</f>
        <v/>
      </c>
    </row>
    <row r="682">
      <c r="A682" s="42" t="n"/>
      <c r="B682" s="39" t="n"/>
      <c r="C682" s="39" t="n"/>
      <c r="D682" s="43" t="n"/>
      <c r="E682" s="40" t="n"/>
      <c r="F682" s="40" t="n"/>
      <c r="G682" s="44">
        <f>IFERROR(VLOOKUP(C682,Cleaners!$B$6:$I$35,8,FALSE),0)</f>
        <v/>
      </c>
      <c r="H682" s="39" t="n"/>
      <c r="I682" s="46" t="n"/>
      <c r="J682" s="39" t="n"/>
      <c r="K682" s="44">
        <f>IF(C682="","",IFERROR(D682,0)*G682+IFERROR(E682,0)+IFERROR(F682,0))</f>
        <v/>
      </c>
    </row>
    <row r="683">
      <c r="A683" s="42" t="n"/>
      <c r="B683" s="39" t="n"/>
      <c r="C683" s="39" t="n"/>
      <c r="D683" s="43" t="n"/>
      <c r="E683" s="40" t="n"/>
      <c r="F683" s="40" t="n"/>
      <c r="G683" s="44">
        <f>IFERROR(VLOOKUP(C683,Cleaners!$B$6:$I$35,8,FALSE),0)</f>
        <v/>
      </c>
      <c r="H683" s="39" t="n"/>
      <c r="I683" s="46" t="n"/>
      <c r="J683" s="39" t="n"/>
      <c r="K683" s="44">
        <f>IF(C683="","",IFERROR(D683,0)*G683+IFERROR(E683,0)+IFERROR(F683,0))</f>
        <v/>
      </c>
    </row>
    <row r="684">
      <c r="A684" s="42" t="n"/>
      <c r="B684" s="39" t="n"/>
      <c r="C684" s="39" t="n"/>
      <c r="D684" s="43" t="n"/>
      <c r="E684" s="40" t="n"/>
      <c r="F684" s="40" t="n"/>
      <c r="G684" s="44">
        <f>IFERROR(VLOOKUP(C684,Cleaners!$B$6:$I$35,8,FALSE),0)</f>
        <v/>
      </c>
      <c r="H684" s="39" t="n"/>
      <c r="I684" s="46" t="n"/>
      <c r="J684" s="39" t="n"/>
      <c r="K684" s="44">
        <f>IF(C684="","",IFERROR(D684,0)*G684+IFERROR(E684,0)+IFERROR(F684,0))</f>
        <v/>
      </c>
    </row>
    <row r="685">
      <c r="A685" s="42" t="n"/>
      <c r="B685" s="39" t="n"/>
      <c r="C685" s="39" t="n"/>
      <c r="D685" s="43" t="n"/>
      <c r="E685" s="40" t="n"/>
      <c r="F685" s="40" t="n"/>
      <c r="G685" s="44">
        <f>IFERROR(VLOOKUP(C685,Cleaners!$B$6:$I$35,8,FALSE),0)</f>
        <v/>
      </c>
      <c r="H685" s="39" t="n"/>
      <c r="I685" s="46" t="n"/>
      <c r="J685" s="39" t="n"/>
      <c r="K685" s="44">
        <f>IF(C685="","",IFERROR(D685,0)*G685+IFERROR(E685,0)+IFERROR(F685,0))</f>
        <v/>
      </c>
    </row>
    <row r="686">
      <c r="A686" s="42" t="n"/>
      <c r="B686" s="39" t="n"/>
      <c r="C686" s="39" t="n"/>
      <c r="D686" s="43" t="n"/>
      <c r="E686" s="40" t="n"/>
      <c r="F686" s="40" t="n"/>
      <c r="G686" s="44">
        <f>IFERROR(VLOOKUP(C686,Cleaners!$B$6:$I$35,8,FALSE),0)</f>
        <v/>
      </c>
      <c r="H686" s="39" t="n"/>
      <c r="I686" s="46" t="n"/>
      <c r="J686" s="39" t="n"/>
      <c r="K686" s="44">
        <f>IF(C686="","",IFERROR(D686,0)*G686+IFERROR(E686,0)+IFERROR(F686,0))</f>
        <v/>
      </c>
    </row>
    <row r="687">
      <c r="A687" s="42" t="n"/>
      <c r="B687" s="39" t="n"/>
      <c r="C687" s="39" t="n"/>
      <c r="D687" s="43" t="n"/>
      <c r="E687" s="40" t="n"/>
      <c r="F687" s="40" t="n"/>
      <c r="G687" s="44">
        <f>IFERROR(VLOOKUP(C687,Cleaners!$B$6:$I$35,8,FALSE),0)</f>
        <v/>
      </c>
      <c r="H687" s="39" t="n"/>
      <c r="I687" s="46" t="n"/>
      <c r="J687" s="39" t="n"/>
      <c r="K687" s="44">
        <f>IF(C687="","",IFERROR(D687,0)*G687+IFERROR(E687,0)+IFERROR(F687,0))</f>
        <v/>
      </c>
    </row>
    <row r="688">
      <c r="A688" s="42" t="n"/>
      <c r="B688" s="39" t="n"/>
      <c r="C688" s="39" t="n"/>
      <c r="D688" s="43" t="n"/>
      <c r="E688" s="40" t="n"/>
      <c r="F688" s="40" t="n"/>
      <c r="G688" s="44">
        <f>IFERROR(VLOOKUP(C688,Cleaners!$B$6:$I$35,8,FALSE),0)</f>
        <v/>
      </c>
      <c r="H688" s="39" t="n"/>
      <c r="I688" s="46" t="n"/>
      <c r="J688" s="39" t="n"/>
      <c r="K688" s="44">
        <f>IF(C688="","",IFERROR(D688,0)*G688+IFERROR(E688,0)+IFERROR(F688,0))</f>
        <v/>
      </c>
    </row>
    <row r="689">
      <c r="A689" s="42" t="n"/>
      <c r="B689" s="39" t="n"/>
      <c r="C689" s="39" t="n"/>
      <c r="D689" s="43" t="n"/>
      <c r="E689" s="40" t="n"/>
      <c r="F689" s="40" t="n"/>
      <c r="G689" s="44">
        <f>IFERROR(VLOOKUP(C689,Cleaners!$B$6:$I$35,8,FALSE),0)</f>
        <v/>
      </c>
      <c r="H689" s="39" t="n"/>
      <c r="I689" s="46" t="n"/>
      <c r="J689" s="39" t="n"/>
      <c r="K689" s="44">
        <f>IF(C689="","",IFERROR(D689,0)*G689+IFERROR(E689,0)+IFERROR(F689,0))</f>
        <v/>
      </c>
    </row>
    <row r="690">
      <c r="A690" s="42" t="n"/>
      <c r="B690" s="39" t="n"/>
      <c r="C690" s="39" t="n"/>
      <c r="D690" s="43" t="n"/>
      <c r="E690" s="40" t="n"/>
      <c r="F690" s="40" t="n"/>
      <c r="G690" s="44">
        <f>IFERROR(VLOOKUP(C690,Cleaners!$B$6:$I$35,8,FALSE),0)</f>
        <v/>
      </c>
      <c r="H690" s="39" t="n"/>
      <c r="I690" s="46" t="n"/>
      <c r="J690" s="39" t="n"/>
      <c r="K690" s="44">
        <f>IF(C690="","",IFERROR(D690,0)*G690+IFERROR(E690,0)+IFERROR(F690,0))</f>
        <v/>
      </c>
    </row>
    <row r="691">
      <c r="A691" s="42" t="n"/>
      <c r="B691" s="39" t="n"/>
      <c r="C691" s="39" t="n"/>
      <c r="D691" s="43" t="n"/>
      <c r="E691" s="40" t="n"/>
      <c r="F691" s="40" t="n"/>
      <c r="G691" s="44">
        <f>IFERROR(VLOOKUP(C691,Cleaners!$B$6:$I$35,8,FALSE),0)</f>
        <v/>
      </c>
      <c r="H691" s="39" t="n"/>
      <c r="I691" s="46" t="n"/>
      <c r="J691" s="39" t="n"/>
      <c r="K691" s="44">
        <f>IF(C691="","",IFERROR(D691,0)*G691+IFERROR(E691,0)+IFERROR(F691,0))</f>
        <v/>
      </c>
    </row>
    <row r="692">
      <c r="A692" s="42" t="n"/>
      <c r="B692" s="39" t="n"/>
      <c r="C692" s="39" t="n"/>
      <c r="D692" s="43" t="n"/>
      <c r="E692" s="40" t="n"/>
      <c r="F692" s="40" t="n"/>
      <c r="G692" s="44">
        <f>IFERROR(VLOOKUP(C692,Cleaners!$B$6:$I$35,8,FALSE),0)</f>
        <v/>
      </c>
      <c r="H692" s="39" t="n"/>
      <c r="I692" s="46" t="n"/>
      <c r="J692" s="39" t="n"/>
      <c r="K692" s="44">
        <f>IF(C692="","",IFERROR(D692,0)*G692+IFERROR(E692,0)+IFERROR(F692,0))</f>
        <v/>
      </c>
    </row>
    <row r="693">
      <c r="A693" s="42" t="n"/>
      <c r="B693" s="39" t="n"/>
      <c r="C693" s="39" t="n"/>
      <c r="D693" s="43" t="n"/>
      <c r="E693" s="40" t="n"/>
      <c r="F693" s="40" t="n"/>
      <c r="G693" s="44">
        <f>IFERROR(VLOOKUP(C693,Cleaners!$B$6:$I$35,8,FALSE),0)</f>
        <v/>
      </c>
      <c r="H693" s="39" t="n"/>
      <c r="I693" s="46" t="n"/>
      <c r="J693" s="39" t="n"/>
      <c r="K693" s="44">
        <f>IF(C693="","",IFERROR(D693,0)*G693+IFERROR(E693,0)+IFERROR(F693,0))</f>
        <v/>
      </c>
    </row>
    <row r="694">
      <c r="A694" s="42" t="n"/>
      <c r="B694" s="39" t="n"/>
      <c r="C694" s="39" t="n"/>
      <c r="D694" s="43" t="n"/>
      <c r="E694" s="40" t="n"/>
      <c r="F694" s="40" t="n"/>
      <c r="G694" s="44">
        <f>IFERROR(VLOOKUP(C694,Cleaners!$B$6:$I$35,8,FALSE),0)</f>
        <v/>
      </c>
      <c r="H694" s="39" t="n"/>
      <c r="I694" s="46" t="n"/>
      <c r="J694" s="39" t="n"/>
      <c r="K694" s="44">
        <f>IF(C694="","",IFERROR(D694,0)*G694+IFERROR(E694,0)+IFERROR(F694,0))</f>
        <v/>
      </c>
    </row>
    <row r="695">
      <c r="A695" s="42" t="n"/>
      <c r="B695" s="39" t="n"/>
      <c r="C695" s="39" t="n"/>
      <c r="D695" s="43" t="n"/>
      <c r="E695" s="40" t="n"/>
      <c r="F695" s="40" t="n"/>
      <c r="G695" s="44">
        <f>IFERROR(VLOOKUP(C695,Cleaners!$B$6:$I$35,8,FALSE),0)</f>
        <v/>
      </c>
      <c r="H695" s="39" t="n"/>
      <c r="I695" s="46" t="n"/>
      <c r="J695" s="39" t="n"/>
      <c r="K695" s="44">
        <f>IF(C695="","",IFERROR(D695,0)*G695+IFERROR(E695,0)+IFERROR(F695,0))</f>
        <v/>
      </c>
    </row>
    <row r="696">
      <c r="A696" s="42" t="n"/>
      <c r="B696" s="39" t="n"/>
      <c r="C696" s="39" t="n"/>
      <c r="D696" s="43" t="n"/>
      <c r="E696" s="40" t="n"/>
      <c r="F696" s="40" t="n"/>
      <c r="G696" s="44">
        <f>IFERROR(VLOOKUP(C696,Cleaners!$B$6:$I$35,8,FALSE),0)</f>
        <v/>
      </c>
      <c r="H696" s="39" t="n"/>
      <c r="I696" s="46" t="n"/>
      <c r="J696" s="39" t="n"/>
      <c r="K696" s="44">
        <f>IF(C696="","",IFERROR(D696,0)*G696+IFERROR(E696,0)+IFERROR(F696,0))</f>
        <v/>
      </c>
    </row>
    <row r="697">
      <c r="A697" s="42" t="n"/>
      <c r="B697" s="39" t="n"/>
      <c r="C697" s="39" t="n"/>
      <c r="D697" s="43" t="n"/>
      <c r="E697" s="40" t="n"/>
      <c r="F697" s="40" t="n"/>
      <c r="G697" s="44">
        <f>IFERROR(VLOOKUP(C697,Cleaners!$B$6:$I$35,8,FALSE),0)</f>
        <v/>
      </c>
      <c r="H697" s="39" t="n"/>
      <c r="I697" s="46" t="n"/>
      <c r="J697" s="39" t="n"/>
      <c r="K697" s="44">
        <f>IF(C697="","",IFERROR(D697,0)*G697+IFERROR(E697,0)+IFERROR(F697,0))</f>
        <v/>
      </c>
    </row>
    <row r="698">
      <c r="A698" s="42" t="n"/>
      <c r="B698" s="39" t="n"/>
      <c r="C698" s="39" t="n"/>
      <c r="D698" s="43" t="n"/>
      <c r="E698" s="40" t="n"/>
      <c r="F698" s="40" t="n"/>
      <c r="G698" s="44">
        <f>IFERROR(VLOOKUP(C698,Cleaners!$B$6:$I$35,8,FALSE),0)</f>
        <v/>
      </c>
      <c r="H698" s="39" t="n"/>
      <c r="I698" s="46" t="n"/>
      <c r="J698" s="39" t="n"/>
      <c r="K698" s="44">
        <f>IF(C698="","",IFERROR(D698,0)*G698+IFERROR(E698,0)+IFERROR(F698,0))</f>
        <v/>
      </c>
    </row>
    <row r="699">
      <c r="A699" s="42" t="n"/>
      <c r="B699" s="39" t="n"/>
      <c r="C699" s="39" t="n"/>
      <c r="D699" s="43" t="n"/>
      <c r="E699" s="40" t="n"/>
      <c r="F699" s="40" t="n"/>
      <c r="G699" s="44">
        <f>IFERROR(VLOOKUP(C699,Cleaners!$B$6:$I$35,8,FALSE),0)</f>
        <v/>
      </c>
      <c r="H699" s="39" t="n"/>
      <c r="I699" s="46" t="n"/>
      <c r="J699" s="39" t="n"/>
      <c r="K699" s="44">
        <f>IF(C699="","",IFERROR(D699,0)*G699+IFERROR(E699,0)+IFERROR(F699,0))</f>
        <v/>
      </c>
    </row>
    <row r="700">
      <c r="A700" s="42" t="n"/>
      <c r="B700" s="39" t="n"/>
      <c r="C700" s="39" t="n"/>
      <c r="D700" s="43" t="n"/>
      <c r="E700" s="40" t="n"/>
      <c r="F700" s="40" t="n"/>
      <c r="G700" s="44">
        <f>IFERROR(VLOOKUP(C700,Cleaners!$B$6:$I$35,8,FALSE),0)</f>
        <v/>
      </c>
      <c r="H700" s="39" t="n"/>
      <c r="I700" s="46" t="n"/>
      <c r="J700" s="39" t="n"/>
      <c r="K700" s="44">
        <f>IF(C700="","",IFERROR(D700,0)*G700+IFERROR(E700,0)+IFERROR(F700,0))</f>
        <v/>
      </c>
    </row>
    <row r="701">
      <c r="A701" s="42" t="n"/>
      <c r="B701" s="39" t="n"/>
      <c r="C701" s="39" t="n"/>
      <c r="D701" s="43" t="n"/>
      <c r="E701" s="40" t="n"/>
      <c r="F701" s="40" t="n"/>
      <c r="G701" s="44">
        <f>IFERROR(VLOOKUP(C701,Cleaners!$B$6:$I$35,8,FALSE),0)</f>
        <v/>
      </c>
      <c r="H701" s="39" t="n"/>
      <c r="I701" s="46" t="n"/>
      <c r="J701" s="39" t="n"/>
      <c r="K701" s="44">
        <f>IF(C701="","",IFERROR(D701,0)*G701+IFERROR(E701,0)+IFERROR(F701,0))</f>
        <v/>
      </c>
    </row>
    <row r="702">
      <c r="A702" s="42" t="n"/>
      <c r="B702" s="39" t="n"/>
      <c r="C702" s="39" t="n"/>
      <c r="D702" s="43" t="n"/>
      <c r="E702" s="40" t="n"/>
      <c r="F702" s="40" t="n"/>
      <c r="G702" s="44">
        <f>IFERROR(VLOOKUP(C702,Cleaners!$B$6:$I$35,8,FALSE),0)</f>
        <v/>
      </c>
      <c r="H702" s="39" t="n"/>
      <c r="I702" s="46" t="n"/>
      <c r="J702" s="39" t="n"/>
      <c r="K702" s="44">
        <f>IF(C702="","",IFERROR(D702,0)*G702+IFERROR(E702,0)+IFERROR(F702,0))</f>
        <v/>
      </c>
    </row>
    <row r="703">
      <c r="A703" s="42" t="n"/>
      <c r="B703" s="39" t="n"/>
      <c r="C703" s="39" t="n"/>
      <c r="D703" s="43" t="n"/>
      <c r="E703" s="40" t="n"/>
      <c r="F703" s="40" t="n"/>
      <c r="G703" s="44">
        <f>IFERROR(VLOOKUP(C703,Cleaners!$B$6:$I$35,8,FALSE),0)</f>
        <v/>
      </c>
      <c r="H703" s="39" t="n"/>
      <c r="I703" s="46" t="n"/>
      <c r="J703" s="39" t="n"/>
      <c r="K703" s="44">
        <f>IF(C703="","",IFERROR(D703,0)*G703+IFERROR(E703,0)+IFERROR(F703,0))</f>
        <v/>
      </c>
    </row>
    <row r="704">
      <c r="A704" s="42" t="n"/>
      <c r="B704" s="39" t="n"/>
      <c r="C704" s="39" t="n"/>
      <c r="D704" s="43" t="n"/>
      <c r="E704" s="40" t="n"/>
      <c r="F704" s="40" t="n"/>
      <c r="G704" s="44">
        <f>IFERROR(VLOOKUP(C704,Cleaners!$B$6:$I$35,8,FALSE),0)</f>
        <v/>
      </c>
      <c r="H704" s="39" t="n"/>
      <c r="I704" s="46" t="n"/>
      <c r="J704" s="39" t="n"/>
      <c r="K704" s="44">
        <f>IF(C704="","",IFERROR(D704,0)*G704+IFERROR(E704,0)+IFERROR(F704,0))</f>
        <v/>
      </c>
    </row>
    <row r="705">
      <c r="A705" s="42" t="n"/>
      <c r="B705" s="39" t="n"/>
      <c r="C705" s="39" t="n"/>
      <c r="D705" s="43" t="n"/>
      <c r="E705" s="40" t="n"/>
      <c r="F705" s="40" t="n"/>
      <c r="G705" s="44">
        <f>IFERROR(VLOOKUP(C705,Cleaners!$B$6:$I$35,8,FALSE),0)</f>
        <v/>
      </c>
      <c r="H705" s="39" t="n"/>
      <c r="I705" s="46" t="n"/>
      <c r="J705" s="39" t="n"/>
      <c r="K705" s="44">
        <f>IF(C705="","",IFERROR(D705,0)*G705+IFERROR(E705,0)+IFERROR(F705,0))</f>
        <v/>
      </c>
    </row>
    <row r="706">
      <c r="A706" s="42" t="n"/>
      <c r="B706" s="39" t="n"/>
      <c r="C706" s="39" t="n"/>
      <c r="D706" s="43" t="n"/>
      <c r="E706" s="40" t="n"/>
      <c r="F706" s="40" t="n"/>
      <c r="G706" s="44">
        <f>IFERROR(VLOOKUP(C706,Cleaners!$B$6:$I$35,8,FALSE),0)</f>
        <v/>
      </c>
      <c r="H706" s="39" t="n"/>
      <c r="I706" s="46" t="n"/>
      <c r="J706" s="39" t="n"/>
      <c r="K706" s="44">
        <f>IF(C706="","",IFERROR(D706,0)*G706+IFERROR(E706,0)+IFERROR(F706,0))</f>
        <v/>
      </c>
    </row>
    <row r="707">
      <c r="A707" s="42" t="n"/>
      <c r="B707" s="39" t="n"/>
      <c r="C707" s="39" t="n"/>
      <c r="D707" s="43" t="n"/>
      <c r="E707" s="40" t="n"/>
      <c r="F707" s="40" t="n"/>
      <c r="G707" s="44">
        <f>IFERROR(VLOOKUP(C707,Cleaners!$B$6:$I$35,8,FALSE),0)</f>
        <v/>
      </c>
      <c r="H707" s="39" t="n"/>
      <c r="I707" s="46" t="n"/>
      <c r="J707" s="39" t="n"/>
      <c r="K707" s="44">
        <f>IF(C707="","",IFERROR(D707,0)*G707+IFERROR(E707,0)+IFERROR(F707,0))</f>
        <v/>
      </c>
    </row>
    <row r="708">
      <c r="A708" s="42" t="n"/>
      <c r="B708" s="39" t="n"/>
      <c r="C708" s="39" t="n"/>
      <c r="D708" s="43" t="n"/>
      <c r="E708" s="40" t="n"/>
      <c r="F708" s="40" t="n"/>
      <c r="G708" s="44">
        <f>IFERROR(VLOOKUP(C708,Cleaners!$B$6:$I$35,8,FALSE),0)</f>
        <v/>
      </c>
      <c r="H708" s="39" t="n"/>
      <c r="I708" s="46" t="n"/>
      <c r="J708" s="39" t="n"/>
      <c r="K708" s="44">
        <f>IF(C708="","",IFERROR(D708,0)*G708+IFERROR(E708,0)+IFERROR(F708,0))</f>
        <v/>
      </c>
    </row>
    <row r="709">
      <c r="A709" s="42" t="n"/>
      <c r="B709" s="39" t="n"/>
      <c r="C709" s="39" t="n"/>
      <c r="D709" s="43" t="n"/>
      <c r="E709" s="40" t="n"/>
      <c r="F709" s="40" t="n"/>
      <c r="G709" s="44">
        <f>IFERROR(VLOOKUP(C709,Cleaners!$B$6:$I$35,8,FALSE),0)</f>
        <v/>
      </c>
      <c r="H709" s="39" t="n"/>
      <c r="I709" s="46" t="n"/>
      <c r="J709" s="39" t="n"/>
      <c r="K709" s="44">
        <f>IF(C709="","",IFERROR(D709,0)*G709+IFERROR(E709,0)+IFERROR(F709,0))</f>
        <v/>
      </c>
    </row>
    <row r="710">
      <c r="A710" s="42" t="n"/>
      <c r="B710" s="39" t="n"/>
      <c r="C710" s="39" t="n"/>
      <c r="D710" s="43" t="n"/>
      <c r="E710" s="40" t="n"/>
      <c r="F710" s="40" t="n"/>
      <c r="G710" s="44">
        <f>IFERROR(VLOOKUP(C710,Cleaners!$B$6:$I$35,8,FALSE),0)</f>
        <v/>
      </c>
      <c r="H710" s="39" t="n"/>
      <c r="I710" s="46" t="n"/>
      <c r="J710" s="39" t="n"/>
      <c r="K710" s="44">
        <f>IF(C710="","",IFERROR(D710,0)*G710+IFERROR(E710,0)+IFERROR(F710,0))</f>
        <v/>
      </c>
    </row>
    <row r="711">
      <c r="A711" s="42" t="n"/>
      <c r="B711" s="39" t="n"/>
      <c r="C711" s="39" t="n"/>
      <c r="D711" s="43" t="n"/>
      <c r="E711" s="40" t="n"/>
      <c r="F711" s="40" t="n"/>
      <c r="G711" s="44">
        <f>IFERROR(VLOOKUP(C711,Cleaners!$B$6:$I$35,8,FALSE),0)</f>
        <v/>
      </c>
      <c r="H711" s="39" t="n"/>
      <c r="I711" s="46" t="n"/>
      <c r="J711" s="39" t="n"/>
      <c r="K711" s="44">
        <f>IF(C711="","",IFERROR(D711,0)*G711+IFERROR(E711,0)+IFERROR(F711,0))</f>
        <v/>
      </c>
    </row>
    <row r="712">
      <c r="A712" s="42" t="n"/>
      <c r="B712" s="39" t="n"/>
      <c r="C712" s="39" t="n"/>
      <c r="D712" s="43" t="n"/>
      <c r="E712" s="40" t="n"/>
      <c r="F712" s="40" t="n"/>
      <c r="G712" s="44">
        <f>IFERROR(VLOOKUP(C712,Cleaners!$B$6:$I$35,8,FALSE),0)</f>
        <v/>
      </c>
      <c r="H712" s="39" t="n"/>
      <c r="I712" s="46" t="n"/>
      <c r="J712" s="39" t="n"/>
      <c r="K712" s="44">
        <f>IF(C712="","",IFERROR(D712,0)*G712+IFERROR(E712,0)+IFERROR(F712,0))</f>
        <v/>
      </c>
    </row>
    <row r="713">
      <c r="A713" s="42" t="n"/>
      <c r="B713" s="39" t="n"/>
      <c r="C713" s="39" t="n"/>
      <c r="D713" s="43" t="n"/>
      <c r="E713" s="40" t="n"/>
      <c r="F713" s="40" t="n"/>
      <c r="G713" s="44">
        <f>IFERROR(VLOOKUP(C713,Cleaners!$B$6:$I$35,8,FALSE),0)</f>
        <v/>
      </c>
      <c r="H713" s="39" t="n"/>
      <c r="I713" s="46" t="n"/>
      <c r="J713" s="39" t="n"/>
      <c r="K713" s="44">
        <f>IF(C713="","",IFERROR(D713,0)*G713+IFERROR(E713,0)+IFERROR(F713,0))</f>
        <v/>
      </c>
    </row>
    <row r="714">
      <c r="A714" s="42" t="n"/>
      <c r="B714" s="39" t="n"/>
      <c r="C714" s="39" t="n"/>
      <c r="D714" s="43" t="n"/>
      <c r="E714" s="40" t="n"/>
      <c r="F714" s="40" t="n"/>
      <c r="G714" s="44">
        <f>IFERROR(VLOOKUP(C714,Cleaners!$B$6:$I$35,8,FALSE),0)</f>
        <v/>
      </c>
      <c r="H714" s="39" t="n"/>
      <c r="I714" s="46" t="n"/>
      <c r="J714" s="39" t="n"/>
      <c r="K714" s="44">
        <f>IF(C714="","",IFERROR(D714,0)*G714+IFERROR(E714,0)+IFERROR(F714,0))</f>
        <v/>
      </c>
    </row>
    <row r="715">
      <c r="A715" s="42" t="n"/>
      <c r="B715" s="39" t="n"/>
      <c r="C715" s="39" t="n"/>
      <c r="D715" s="43" t="n"/>
      <c r="E715" s="40" t="n"/>
      <c r="F715" s="40" t="n"/>
      <c r="G715" s="44">
        <f>IFERROR(VLOOKUP(C715,Cleaners!$B$6:$I$35,8,FALSE),0)</f>
        <v/>
      </c>
      <c r="H715" s="39" t="n"/>
      <c r="I715" s="46" t="n"/>
      <c r="J715" s="39" t="n"/>
      <c r="K715" s="44">
        <f>IF(C715="","",IFERROR(D715,0)*G715+IFERROR(E715,0)+IFERROR(F715,0))</f>
        <v/>
      </c>
    </row>
    <row r="716">
      <c r="A716" s="42" t="n"/>
      <c r="B716" s="39" t="n"/>
      <c r="C716" s="39" t="n"/>
      <c r="D716" s="43" t="n"/>
      <c r="E716" s="40" t="n"/>
      <c r="F716" s="40" t="n"/>
      <c r="G716" s="44">
        <f>IFERROR(VLOOKUP(C716,Cleaners!$B$6:$I$35,8,FALSE),0)</f>
        <v/>
      </c>
      <c r="H716" s="39" t="n"/>
      <c r="I716" s="46" t="n"/>
      <c r="J716" s="39" t="n"/>
      <c r="K716" s="44">
        <f>IF(C716="","",IFERROR(D716,0)*G716+IFERROR(E716,0)+IFERROR(F716,0))</f>
        <v/>
      </c>
    </row>
    <row r="717">
      <c r="A717" s="42" t="n"/>
      <c r="B717" s="39" t="n"/>
      <c r="C717" s="39" t="n"/>
      <c r="D717" s="43" t="n"/>
      <c r="E717" s="40" t="n"/>
      <c r="F717" s="40" t="n"/>
      <c r="G717" s="44">
        <f>IFERROR(VLOOKUP(C717,Cleaners!$B$6:$I$35,8,FALSE),0)</f>
        <v/>
      </c>
      <c r="H717" s="39" t="n"/>
      <c r="I717" s="46" t="n"/>
      <c r="J717" s="39" t="n"/>
      <c r="K717" s="44">
        <f>IF(C717="","",IFERROR(D717,0)*G717+IFERROR(E717,0)+IFERROR(F717,0))</f>
        <v/>
      </c>
    </row>
    <row r="718">
      <c r="A718" s="42" t="n"/>
      <c r="B718" s="39" t="n"/>
      <c r="C718" s="39" t="n"/>
      <c r="D718" s="43" t="n"/>
      <c r="E718" s="40" t="n"/>
      <c r="F718" s="40" t="n"/>
      <c r="G718" s="44">
        <f>IFERROR(VLOOKUP(C718,Cleaners!$B$6:$I$35,8,FALSE),0)</f>
        <v/>
      </c>
      <c r="H718" s="39" t="n"/>
      <c r="I718" s="46" t="n"/>
      <c r="J718" s="39" t="n"/>
      <c r="K718" s="44">
        <f>IF(C718="","",IFERROR(D718,0)*G718+IFERROR(E718,0)+IFERROR(F718,0))</f>
        <v/>
      </c>
    </row>
    <row r="719">
      <c r="A719" s="42" t="n"/>
      <c r="B719" s="39" t="n"/>
      <c r="C719" s="39" t="n"/>
      <c r="D719" s="43" t="n"/>
      <c r="E719" s="40" t="n"/>
      <c r="F719" s="40" t="n"/>
      <c r="G719" s="44">
        <f>IFERROR(VLOOKUP(C719,Cleaners!$B$6:$I$35,8,FALSE),0)</f>
        <v/>
      </c>
      <c r="H719" s="39" t="n"/>
      <c r="I719" s="46" t="n"/>
      <c r="J719" s="39" t="n"/>
      <c r="K719" s="44">
        <f>IF(C719="","",IFERROR(D719,0)*G719+IFERROR(E719,0)+IFERROR(F719,0))</f>
        <v/>
      </c>
    </row>
    <row r="720">
      <c r="A720" s="42" t="n"/>
      <c r="B720" s="39" t="n"/>
      <c r="C720" s="39" t="n"/>
      <c r="D720" s="43" t="n"/>
      <c r="E720" s="40" t="n"/>
      <c r="F720" s="40" t="n"/>
      <c r="G720" s="44">
        <f>IFERROR(VLOOKUP(C720,Cleaners!$B$6:$I$35,8,FALSE),0)</f>
        <v/>
      </c>
      <c r="H720" s="39" t="n"/>
      <c r="I720" s="46" t="n"/>
      <c r="J720" s="39" t="n"/>
      <c r="K720" s="44">
        <f>IF(C720="","",IFERROR(D720,0)*G720+IFERROR(E720,0)+IFERROR(F720,0))</f>
        <v/>
      </c>
    </row>
    <row r="721">
      <c r="A721" s="42" t="n"/>
      <c r="B721" s="39" t="n"/>
      <c r="C721" s="39" t="n"/>
      <c r="D721" s="43" t="n"/>
      <c r="E721" s="40" t="n"/>
      <c r="F721" s="40" t="n"/>
      <c r="G721" s="44">
        <f>IFERROR(VLOOKUP(C721,Cleaners!$B$6:$I$35,8,FALSE),0)</f>
        <v/>
      </c>
      <c r="H721" s="39" t="n"/>
      <c r="I721" s="46" t="n"/>
      <c r="J721" s="39" t="n"/>
      <c r="K721" s="44">
        <f>IF(C721="","",IFERROR(D721,0)*G721+IFERROR(E721,0)+IFERROR(F721,0))</f>
        <v/>
      </c>
    </row>
    <row r="722">
      <c r="A722" s="42" t="n"/>
      <c r="B722" s="39" t="n"/>
      <c r="C722" s="39" t="n"/>
      <c r="D722" s="43" t="n"/>
      <c r="E722" s="40" t="n"/>
      <c r="F722" s="40" t="n"/>
      <c r="G722" s="44">
        <f>IFERROR(VLOOKUP(C722,Cleaners!$B$6:$I$35,8,FALSE),0)</f>
        <v/>
      </c>
      <c r="H722" s="39" t="n"/>
      <c r="I722" s="46" t="n"/>
      <c r="J722" s="39" t="n"/>
      <c r="K722" s="44">
        <f>IF(C722="","",IFERROR(D722,0)*G722+IFERROR(E722,0)+IFERROR(F722,0))</f>
        <v/>
      </c>
    </row>
    <row r="723">
      <c r="A723" s="42" t="n"/>
      <c r="B723" s="39" t="n"/>
      <c r="C723" s="39" t="n"/>
      <c r="D723" s="43" t="n"/>
      <c r="E723" s="40" t="n"/>
      <c r="F723" s="40" t="n"/>
      <c r="G723" s="44">
        <f>IFERROR(VLOOKUP(C723,Cleaners!$B$6:$I$35,8,FALSE),0)</f>
        <v/>
      </c>
      <c r="H723" s="39" t="n"/>
      <c r="I723" s="46" t="n"/>
      <c r="J723" s="39" t="n"/>
      <c r="K723" s="44">
        <f>IF(C723="","",IFERROR(D723,0)*G723+IFERROR(E723,0)+IFERROR(F723,0))</f>
        <v/>
      </c>
    </row>
    <row r="724">
      <c r="A724" s="42" t="n"/>
      <c r="B724" s="39" t="n"/>
      <c r="C724" s="39" t="n"/>
      <c r="D724" s="43" t="n"/>
      <c r="E724" s="40" t="n"/>
      <c r="F724" s="40" t="n"/>
      <c r="G724" s="44">
        <f>IFERROR(VLOOKUP(C724,Cleaners!$B$6:$I$35,8,FALSE),0)</f>
        <v/>
      </c>
      <c r="H724" s="39" t="n"/>
      <c r="I724" s="46" t="n"/>
      <c r="J724" s="39" t="n"/>
      <c r="K724" s="44">
        <f>IF(C724="","",IFERROR(D724,0)*G724+IFERROR(E724,0)+IFERROR(F724,0))</f>
        <v/>
      </c>
    </row>
    <row r="725">
      <c r="A725" s="42" t="n"/>
      <c r="B725" s="39" t="n"/>
      <c r="C725" s="39" t="n"/>
      <c r="D725" s="43" t="n"/>
      <c r="E725" s="40" t="n"/>
      <c r="F725" s="40" t="n"/>
      <c r="G725" s="44">
        <f>IFERROR(VLOOKUP(C725,Cleaners!$B$6:$I$35,8,FALSE),0)</f>
        <v/>
      </c>
      <c r="H725" s="39" t="n"/>
      <c r="I725" s="46" t="n"/>
      <c r="J725" s="39" t="n"/>
      <c r="K725" s="44">
        <f>IF(C725="","",IFERROR(D725,0)*G725+IFERROR(E725,0)+IFERROR(F725,0))</f>
        <v/>
      </c>
    </row>
    <row r="726">
      <c r="A726" s="42" t="n"/>
      <c r="B726" s="39" t="n"/>
      <c r="C726" s="39" t="n"/>
      <c r="D726" s="43" t="n"/>
      <c r="E726" s="40" t="n"/>
      <c r="F726" s="40" t="n"/>
      <c r="G726" s="44">
        <f>IFERROR(VLOOKUP(C726,Cleaners!$B$6:$I$35,8,FALSE),0)</f>
        <v/>
      </c>
      <c r="H726" s="39" t="n"/>
      <c r="I726" s="46" t="n"/>
      <c r="J726" s="39" t="n"/>
      <c r="K726" s="44">
        <f>IF(C726="","",IFERROR(D726,0)*G726+IFERROR(E726,0)+IFERROR(F726,0))</f>
        <v/>
      </c>
    </row>
    <row r="727">
      <c r="A727" s="42" t="n"/>
      <c r="B727" s="39" t="n"/>
      <c r="C727" s="39" t="n"/>
      <c r="D727" s="43" t="n"/>
      <c r="E727" s="40" t="n"/>
      <c r="F727" s="40" t="n"/>
      <c r="G727" s="44">
        <f>IFERROR(VLOOKUP(C727,Cleaners!$B$6:$I$35,8,FALSE),0)</f>
        <v/>
      </c>
      <c r="H727" s="39" t="n"/>
      <c r="I727" s="46" t="n"/>
      <c r="J727" s="39" t="n"/>
      <c r="K727" s="44">
        <f>IF(C727="","",IFERROR(D727,0)*G727+IFERROR(E727,0)+IFERROR(F727,0))</f>
        <v/>
      </c>
    </row>
    <row r="728">
      <c r="A728" s="42" t="n"/>
      <c r="B728" s="39" t="n"/>
      <c r="C728" s="39" t="n"/>
      <c r="D728" s="43" t="n"/>
      <c r="E728" s="40" t="n"/>
      <c r="F728" s="40" t="n"/>
      <c r="G728" s="44">
        <f>IFERROR(VLOOKUP(C728,Cleaners!$B$6:$I$35,8,FALSE),0)</f>
        <v/>
      </c>
      <c r="H728" s="39" t="n"/>
      <c r="I728" s="46" t="n"/>
      <c r="J728" s="39" t="n"/>
      <c r="K728" s="44">
        <f>IF(C728="","",IFERROR(D728,0)*G728+IFERROR(E728,0)+IFERROR(F728,0))</f>
        <v/>
      </c>
    </row>
    <row r="729">
      <c r="A729" s="42" t="n"/>
      <c r="B729" s="39" t="n"/>
      <c r="C729" s="39" t="n"/>
      <c r="D729" s="43" t="n"/>
      <c r="E729" s="40" t="n"/>
      <c r="F729" s="40" t="n"/>
      <c r="G729" s="44">
        <f>IFERROR(VLOOKUP(C729,Cleaners!$B$6:$I$35,8,FALSE),0)</f>
        <v/>
      </c>
      <c r="H729" s="39" t="n"/>
      <c r="I729" s="46" t="n"/>
      <c r="J729" s="39" t="n"/>
      <c r="K729" s="44">
        <f>IF(C729="","",IFERROR(D729,0)*G729+IFERROR(E729,0)+IFERROR(F729,0))</f>
        <v/>
      </c>
    </row>
    <row r="730">
      <c r="A730" s="42" t="n"/>
      <c r="B730" s="39" t="n"/>
      <c r="C730" s="39" t="n"/>
      <c r="D730" s="43" t="n"/>
      <c r="E730" s="40" t="n"/>
      <c r="F730" s="40" t="n"/>
      <c r="G730" s="44">
        <f>IFERROR(VLOOKUP(C730,Cleaners!$B$6:$I$35,8,FALSE),0)</f>
        <v/>
      </c>
      <c r="H730" s="39" t="n"/>
      <c r="I730" s="46" t="n"/>
      <c r="J730" s="39" t="n"/>
      <c r="K730" s="44">
        <f>IF(C730="","",IFERROR(D730,0)*G730+IFERROR(E730,0)+IFERROR(F730,0))</f>
        <v/>
      </c>
    </row>
    <row r="731">
      <c r="A731" s="42" t="n"/>
      <c r="B731" s="39" t="n"/>
      <c r="C731" s="39" t="n"/>
      <c r="D731" s="43" t="n"/>
      <c r="E731" s="40" t="n"/>
      <c r="F731" s="40" t="n"/>
      <c r="G731" s="44">
        <f>IFERROR(VLOOKUP(C731,Cleaners!$B$6:$I$35,8,FALSE),0)</f>
        <v/>
      </c>
      <c r="H731" s="39" t="n"/>
      <c r="I731" s="46" t="n"/>
      <c r="J731" s="39" t="n"/>
      <c r="K731" s="44">
        <f>IF(C731="","",IFERROR(D731,0)*G731+IFERROR(E731,0)+IFERROR(F731,0))</f>
        <v/>
      </c>
    </row>
    <row r="732">
      <c r="A732" s="42" t="n"/>
      <c r="B732" s="39" t="n"/>
      <c r="C732" s="39" t="n"/>
      <c r="D732" s="43" t="n"/>
      <c r="E732" s="40" t="n"/>
      <c r="F732" s="40" t="n"/>
      <c r="G732" s="44">
        <f>IFERROR(VLOOKUP(C732,Cleaners!$B$6:$I$35,8,FALSE),0)</f>
        <v/>
      </c>
      <c r="H732" s="39" t="n"/>
      <c r="I732" s="46" t="n"/>
      <c r="J732" s="39" t="n"/>
      <c r="K732" s="44">
        <f>IF(C732="","",IFERROR(D732,0)*G732+IFERROR(E732,0)+IFERROR(F732,0))</f>
        <v/>
      </c>
    </row>
    <row r="733">
      <c r="A733" s="42" t="n"/>
      <c r="B733" s="39" t="n"/>
      <c r="C733" s="39" t="n"/>
      <c r="D733" s="43" t="n"/>
      <c r="E733" s="40" t="n"/>
      <c r="F733" s="40" t="n"/>
      <c r="G733" s="44">
        <f>IFERROR(VLOOKUP(C733,Cleaners!$B$6:$I$35,8,FALSE),0)</f>
        <v/>
      </c>
      <c r="H733" s="39" t="n"/>
      <c r="I733" s="46" t="n"/>
      <c r="J733" s="39" t="n"/>
      <c r="K733" s="44">
        <f>IF(C733="","",IFERROR(D733,0)*G733+IFERROR(E733,0)+IFERROR(F733,0))</f>
        <v/>
      </c>
    </row>
    <row r="734">
      <c r="A734" s="42" t="n"/>
      <c r="B734" s="39" t="n"/>
      <c r="C734" s="39" t="n"/>
      <c r="D734" s="43" t="n"/>
      <c r="E734" s="40" t="n"/>
      <c r="F734" s="40" t="n"/>
      <c r="G734" s="44">
        <f>IFERROR(VLOOKUP(C734,Cleaners!$B$6:$I$35,8,FALSE),0)</f>
        <v/>
      </c>
      <c r="H734" s="39" t="n"/>
      <c r="I734" s="46" t="n"/>
      <c r="J734" s="39" t="n"/>
      <c r="K734" s="44">
        <f>IF(C734="","",IFERROR(D734,0)*G734+IFERROR(E734,0)+IFERROR(F734,0))</f>
        <v/>
      </c>
    </row>
    <row r="735">
      <c r="A735" s="42" t="n"/>
      <c r="B735" s="39" t="n"/>
      <c r="C735" s="39" t="n"/>
      <c r="D735" s="43" t="n"/>
      <c r="E735" s="40" t="n"/>
      <c r="F735" s="40" t="n"/>
      <c r="G735" s="44">
        <f>IFERROR(VLOOKUP(C735,Cleaners!$B$6:$I$35,8,FALSE),0)</f>
        <v/>
      </c>
      <c r="H735" s="39" t="n"/>
      <c r="I735" s="46" t="n"/>
      <c r="J735" s="39" t="n"/>
      <c r="K735" s="44">
        <f>IF(C735="","",IFERROR(D735,0)*G735+IFERROR(E735,0)+IFERROR(F735,0))</f>
        <v/>
      </c>
    </row>
    <row r="736">
      <c r="A736" s="42" t="n"/>
      <c r="B736" s="39" t="n"/>
      <c r="C736" s="39" t="n"/>
      <c r="D736" s="43" t="n"/>
      <c r="E736" s="40" t="n"/>
      <c r="F736" s="40" t="n"/>
      <c r="G736" s="44">
        <f>IFERROR(VLOOKUP(C736,Cleaners!$B$6:$I$35,8,FALSE),0)</f>
        <v/>
      </c>
      <c r="H736" s="39" t="n"/>
      <c r="I736" s="46" t="n"/>
      <c r="J736" s="39" t="n"/>
      <c r="K736" s="44">
        <f>IF(C736="","",IFERROR(D736,0)*G736+IFERROR(E736,0)+IFERROR(F736,0))</f>
        <v/>
      </c>
    </row>
    <row r="737">
      <c r="A737" s="42" t="n"/>
      <c r="B737" s="39" t="n"/>
      <c r="C737" s="39" t="n"/>
      <c r="D737" s="43" t="n"/>
      <c r="E737" s="40" t="n"/>
      <c r="F737" s="40" t="n"/>
      <c r="G737" s="44">
        <f>IFERROR(VLOOKUP(C737,Cleaners!$B$6:$I$35,8,FALSE),0)</f>
        <v/>
      </c>
      <c r="H737" s="39" t="n"/>
      <c r="I737" s="46" t="n"/>
      <c r="J737" s="39" t="n"/>
      <c r="K737" s="44">
        <f>IF(C737="","",IFERROR(D737,0)*G737+IFERROR(E737,0)+IFERROR(F737,0))</f>
        <v/>
      </c>
    </row>
    <row r="738">
      <c r="A738" s="42" t="n"/>
      <c r="B738" s="39" t="n"/>
      <c r="C738" s="39" t="n"/>
      <c r="D738" s="43" t="n"/>
      <c r="E738" s="40" t="n"/>
      <c r="F738" s="40" t="n"/>
      <c r="G738" s="44">
        <f>IFERROR(VLOOKUP(C738,Cleaners!$B$6:$I$35,8,FALSE),0)</f>
        <v/>
      </c>
      <c r="H738" s="39" t="n"/>
      <c r="I738" s="46" t="n"/>
      <c r="J738" s="39" t="n"/>
      <c r="K738" s="44">
        <f>IF(C738="","",IFERROR(D738,0)*G738+IFERROR(E738,0)+IFERROR(F738,0))</f>
        <v/>
      </c>
    </row>
    <row r="739">
      <c r="A739" s="42" t="n"/>
      <c r="B739" s="39" t="n"/>
      <c r="C739" s="39" t="n"/>
      <c r="D739" s="43" t="n"/>
      <c r="E739" s="40" t="n"/>
      <c r="F739" s="40" t="n"/>
      <c r="G739" s="44">
        <f>IFERROR(VLOOKUP(C739,Cleaners!$B$6:$I$35,8,FALSE),0)</f>
        <v/>
      </c>
      <c r="H739" s="39" t="n"/>
      <c r="I739" s="46" t="n"/>
      <c r="J739" s="39" t="n"/>
      <c r="K739" s="44">
        <f>IF(C739="","",IFERROR(D739,0)*G739+IFERROR(E739,0)+IFERROR(F739,0))</f>
        <v/>
      </c>
    </row>
    <row r="740">
      <c r="A740" s="42" t="n"/>
      <c r="B740" s="39" t="n"/>
      <c r="C740" s="39" t="n"/>
      <c r="D740" s="43" t="n"/>
      <c r="E740" s="40" t="n"/>
      <c r="F740" s="40" t="n"/>
      <c r="G740" s="44">
        <f>IFERROR(VLOOKUP(C740,Cleaners!$B$6:$I$35,8,FALSE),0)</f>
        <v/>
      </c>
      <c r="H740" s="39" t="n"/>
      <c r="I740" s="46" t="n"/>
      <c r="J740" s="39" t="n"/>
      <c r="K740" s="44">
        <f>IF(C740="","",IFERROR(D740,0)*G740+IFERROR(E740,0)+IFERROR(F740,0))</f>
        <v/>
      </c>
    </row>
    <row r="741">
      <c r="A741" s="42" t="n"/>
      <c r="B741" s="39" t="n"/>
      <c r="C741" s="39" t="n"/>
      <c r="D741" s="43" t="n"/>
      <c r="E741" s="40" t="n"/>
      <c r="F741" s="40" t="n"/>
      <c r="G741" s="44">
        <f>IFERROR(VLOOKUP(C741,Cleaners!$B$6:$I$35,8,FALSE),0)</f>
        <v/>
      </c>
      <c r="H741" s="39" t="n"/>
      <c r="I741" s="46" t="n"/>
      <c r="J741" s="39" t="n"/>
      <c r="K741" s="44">
        <f>IF(C741="","",IFERROR(D741,0)*G741+IFERROR(E741,0)+IFERROR(F741,0))</f>
        <v/>
      </c>
    </row>
    <row r="742">
      <c r="A742" s="42" t="n"/>
      <c r="B742" s="39" t="n"/>
      <c r="C742" s="39" t="n"/>
      <c r="D742" s="43" t="n"/>
      <c r="E742" s="40" t="n"/>
      <c r="F742" s="40" t="n"/>
      <c r="G742" s="44">
        <f>IFERROR(VLOOKUP(C742,Cleaners!$B$6:$I$35,8,FALSE),0)</f>
        <v/>
      </c>
      <c r="H742" s="39" t="n"/>
      <c r="I742" s="46" t="n"/>
      <c r="J742" s="39" t="n"/>
      <c r="K742" s="44">
        <f>IF(C742="","",IFERROR(D742,0)*G742+IFERROR(E742,0)+IFERROR(F742,0))</f>
        <v/>
      </c>
    </row>
    <row r="743">
      <c r="A743" s="42" t="n"/>
      <c r="B743" s="39" t="n"/>
      <c r="C743" s="39" t="n"/>
      <c r="D743" s="43" t="n"/>
      <c r="E743" s="40" t="n"/>
      <c r="F743" s="40" t="n"/>
      <c r="G743" s="44">
        <f>IFERROR(VLOOKUP(C743,Cleaners!$B$6:$I$35,8,FALSE),0)</f>
        <v/>
      </c>
      <c r="H743" s="39" t="n"/>
      <c r="I743" s="46" t="n"/>
      <c r="J743" s="39" t="n"/>
      <c r="K743" s="44">
        <f>IF(C743="","",IFERROR(D743,0)*G743+IFERROR(E743,0)+IFERROR(F743,0))</f>
        <v/>
      </c>
    </row>
    <row r="744">
      <c r="A744" s="42" t="n"/>
      <c r="B744" s="39" t="n"/>
      <c r="C744" s="39" t="n"/>
      <c r="D744" s="43" t="n"/>
      <c r="E744" s="40" t="n"/>
      <c r="F744" s="40" t="n"/>
      <c r="G744" s="44">
        <f>IFERROR(VLOOKUP(C744,Cleaners!$B$6:$I$35,8,FALSE),0)</f>
        <v/>
      </c>
      <c r="H744" s="39" t="n"/>
      <c r="I744" s="46" t="n"/>
      <c r="J744" s="39" t="n"/>
      <c r="K744" s="44">
        <f>IF(C744="","",IFERROR(D744,0)*G744+IFERROR(E744,0)+IFERROR(F744,0))</f>
        <v/>
      </c>
    </row>
    <row r="745">
      <c r="A745" s="42" t="n"/>
      <c r="B745" s="39" t="n"/>
      <c r="C745" s="39" t="n"/>
      <c r="D745" s="43" t="n"/>
      <c r="E745" s="40" t="n"/>
      <c r="F745" s="40" t="n"/>
      <c r="G745" s="44">
        <f>IFERROR(VLOOKUP(C745,Cleaners!$B$6:$I$35,8,FALSE),0)</f>
        <v/>
      </c>
      <c r="H745" s="39" t="n"/>
      <c r="I745" s="46" t="n"/>
      <c r="J745" s="39" t="n"/>
      <c r="K745" s="44">
        <f>IF(C745="","",IFERROR(D745,0)*G745+IFERROR(E745,0)+IFERROR(F745,0))</f>
        <v/>
      </c>
    </row>
    <row r="746">
      <c r="A746" s="42" t="n"/>
      <c r="B746" s="39" t="n"/>
      <c r="C746" s="39" t="n"/>
      <c r="D746" s="43" t="n"/>
      <c r="E746" s="40" t="n"/>
      <c r="F746" s="40" t="n"/>
      <c r="G746" s="44">
        <f>IFERROR(VLOOKUP(C746,Cleaners!$B$6:$I$35,8,FALSE),0)</f>
        <v/>
      </c>
      <c r="H746" s="39" t="n"/>
      <c r="I746" s="46" t="n"/>
      <c r="J746" s="39" t="n"/>
      <c r="K746" s="44">
        <f>IF(C746="","",IFERROR(D746,0)*G746+IFERROR(E746,0)+IFERROR(F746,0))</f>
        <v/>
      </c>
    </row>
    <row r="747">
      <c r="A747" s="42" t="n"/>
      <c r="B747" s="39" t="n"/>
      <c r="C747" s="39" t="n"/>
      <c r="D747" s="43" t="n"/>
      <c r="E747" s="40" t="n"/>
      <c r="F747" s="40" t="n"/>
      <c r="G747" s="44">
        <f>IFERROR(VLOOKUP(C747,Cleaners!$B$6:$I$35,8,FALSE),0)</f>
        <v/>
      </c>
      <c r="H747" s="39" t="n"/>
      <c r="I747" s="46" t="n"/>
      <c r="J747" s="39" t="n"/>
      <c r="K747" s="44">
        <f>IF(C747="","",IFERROR(D747,0)*G747+IFERROR(E747,0)+IFERROR(F747,0))</f>
        <v/>
      </c>
    </row>
    <row r="748">
      <c r="A748" s="42" t="n"/>
      <c r="B748" s="39" t="n"/>
      <c r="C748" s="39" t="n"/>
      <c r="D748" s="43" t="n"/>
      <c r="E748" s="40" t="n"/>
      <c r="F748" s="40" t="n"/>
      <c r="G748" s="44">
        <f>IFERROR(VLOOKUP(C748,Cleaners!$B$6:$I$35,8,FALSE),0)</f>
        <v/>
      </c>
      <c r="H748" s="39" t="n"/>
      <c r="I748" s="46" t="n"/>
      <c r="J748" s="39" t="n"/>
      <c r="K748" s="44">
        <f>IF(C748="","",IFERROR(D748,0)*G748+IFERROR(E748,0)+IFERROR(F748,0))</f>
        <v/>
      </c>
    </row>
    <row r="749">
      <c r="A749" s="42" t="n"/>
      <c r="B749" s="39" t="n"/>
      <c r="C749" s="39" t="n"/>
      <c r="D749" s="43" t="n"/>
      <c r="E749" s="40" t="n"/>
      <c r="F749" s="40" t="n"/>
      <c r="G749" s="44">
        <f>IFERROR(VLOOKUP(C749,Cleaners!$B$6:$I$35,8,FALSE),0)</f>
        <v/>
      </c>
      <c r="H749" s="39" t="n"/>
      <c r="I749" s="46" t="n"/>
      <c r="J749" s="39" t="n"/>
      <c r="K749" s="44">
        <f>IF(C749="","",IFERROR(D749,0)*G749+IFERROR(E749,0)+IFERROR(F749,0))</f>
        <v/>
      </c>
    </row>
    <row r="750">
      <c r="A750" s="42" t="n"/>
      <c r="B750" s="39" t="n"/>
      <c r="C750" s="39" t="n"/>
      <c r="D750" s="43" t="n"/>
      <c r="E750" s="40" t="n"/>
      <c r="F750" s="40" t="n"/>
      <c r="G750" s="44">
        <f>IFERROR(VLOOKUP(C750,Cleaners!$B$6:$I$35,8,FALSE),0)</f>
        <v/>
      </c>
      <c r="H750" s="39" t="n"/>
      <c r="I750" s="46" t="n"/>
      <c r="J750" s="39" t="n"/>
      <c r="K750" s="44">
        <f>IF(C750="","",IFERROR(D750,0)*G750+IFERROR(E750,0)+IFERROR(F750,0))</f>
        <v/>
      </c>
    </row>
    <row r="751">
      <c r="A751" s="42" t="n"/>
      <c r="B751" s="39" t="n"/>
      <c r="C751" s="39" t="n"/>
      <c r="D751" s="43" t="n"/>
      <c r="E751" s="40" t="n"/>
      <c r="F751" s="40" t="n"/>
      <c r="G751" s="44">
        <f>IFERROR(VLOOKUP(C751,Cleaners!$B$6:$I$35,8,FALSE),0)</f>
        <v/>
      </c>
      <c r="H751" s="39" t="n"/>
      <c r="I751" s="46" t="n"/>
      <c r="J751" s="39" t="n"/>
      <c r="K751" s="44">
        <f>IF(C751="","",IFERROR(D751,0)*G751+IFERROR(E751,0)+IFERROR(F751,0))</f>
        <v/>
      </c>
    </row>
    <row r="752">
      <c r="A752" s="42" t="n"/>
      <c r="B752" s="39" t="n"/>
      <c r="C752" s="39" t="n"/>
      <c r="D752" s="43" t="n"/>
      <c r="E752" s="40" t="n"/>
      <c r="F752" s="40" t="n"/>
      <c r="G752" s="44">
        <f>IFERROR(VLOOKUP(C752,Cleaners!$B$6:$I$35,8,FALSE),0)</f>
        <v/>
      </c>
      <c r="H752" s="39" t="n"/>
      <c r="I752" s="46" t="n"/>
      <c r="J752" s="39" t="n"/>
      <c r="K752" s="44">
        <f>IF(C752="","",IFERROR(D752,0)*G752+IFERROR(E752,0)+IFERROR(F752,0))</f>
        <v/>
      </c>
    </row>
    <row r="753">
      <c r="A753" s="42" t="n"/>
      <c r="B753" s="39" t="n"/>
      <c r="C753" s="39" t="n"/>
      <c r="D753" s="43" t="n"/>
      <c r="E753" s="40" t="n"/>
      <c r="F753" s="40" t="n"/>
      <c r="G753" s="44">
        <f>IFERROR(VLOOKUP(C753,Cleaners!$B$6:$I$35,8,FALSE),0)</f>
        <v/>
      </c>
      <c r="H753" s="39" t="n"/>
      <c r="I753" s="46" t="n"/>
      <c r="J753" s="39" t="n"/>
      <c r="K753" s="44">
        <f>IF(C753="","",IFERROR(D753,0)*G753+IFERROR(E753,0)+IFERROR(F753,0))</f>
        <v/>
      </c>
    </row>
    <row r="754">
      <c r="A754" s="42" t="n"/>
      <c r="B754" s="39" t="n"/>
      <c r="C754" s="39" t="n"/>
      <c r="D754" s="43" t="n"/>
      <c r="E754" s="40" t="n"/>
      <c r="F754" s="40" t="n"/>
      <c r="G754" s="44">
        <f>IFERROR(VLOOKUP(C754,Cleaners!$B$6:$I$35,8,FALSE),0)</f>
        <v/>
      </c>
      <c r="H754" s="39" t="n"/>
      <c r="I754" s="46" t="n"/>
      <c r="J754" s="39" t="n"/>
      <c r="K754" s="44">
        <f>IF(C754="","",IFERROR(D754,0)*G754+IFERROR(E754,0)+IFERROR(F754,0))</f>
        <v/>
      </c>
    </row>
    <row r="755">
      <c r="A755" s="42" t="n"/>
      <c r="B755" s="39" t="n"/>
      <c r="C755" s="39" t="n"/>
      <c r="D755" s="43" t="n"/>
      <c r="E755" s="40" t="n"/>
      <c r="F755" s="40" t="n"/>
      <c r="G755" s="44">
        <f>IFERROR(VLOOKUP(C755,Cleaners!$B$6:$I$35,8,FALSE),0)</f>
        <v/>
      </c>
      <c r="H755" s="39" t="n"/>
      <c r="I755" s="46" t="n"/>
      <c r="J755" s="39" t="n"/>
      <c r="K755" s="44">
        <f>IF(C755="","",IFERROR(D755,0)*G755+IFERROR(E755,0)+IFERROR(F755,0))</f>
        <v/>
      </c>
    </row>
    <row r="756">
      <c r="A756" s="42" t="n"/>
      <c r="B756" s="39" t="n"/>
      <c r="C756" s="39" t="n"/>
      <c r="D756" s="43" t="n"/>
      <c r="E756" s="40" t="n"/>
      <c r="F756" s="40" t="n"/>
      <c r="G756" s="44">
        <f>IFERROR(VLOOKUP(C756,Cleaners!$B$6:$I$35,8,FALSE),0)</f>
        <v/>
      </c>
      <c r="H756" s="39" t="n"/>
      <c r="I756" s="46" t="n"/>
      <c r="J756" s="39" t="n"/>
      <c r="K756" s="44">
        <f>IF(C756="","",IFERROR(D756,0)*G756+IFERROR(E756,0)+IFERROR(F756,0))</f>
        <v/>
      </c>
    </row>
    <row r="757">
      <c r="A757" s="42" t="n"/>
      <c r="B757" s="39" t="n"/>
      <c r="C757" s="39" t="n"/>
      <c r="D757" s="43" t="n"/>
      <c r="E757" s="40" t="n"/>
      <c r="F757" s="40" t="n"/>
      <c r="G757" s="44">
        <f>IFERROR(VLOOKUP(C757,Cleaners!$B$6:$I$35,8,FALSE),0)</f>
        <v/>
      </c>
      <c r="H757" s="39" t="n"/>
      <c r="I757" s="46" t="n"/>
      <c r="J757" s="39" t="n"/>
      <c r="K757" s="44">
        <f>IF(C757="","",IFERROR(D757,0)*G757+IFERROR(E757,0)+IFERROR(F757,0))</f>
        <v/>
      </c>
    </row>
    <row r="758">
      <c r="A758" s="42" t="n"/>
      <c r="B758" s="39" t="n"/>
      <c r="C758" s="39" t="n"/>
      <c r="D758" s="43" t="n"/>
      <c r="E758" s="40" t="n"/>
      <c r="F758" s="40" t="n"/>
      <c r="G758" s="44">
        <f>IFERROR(VLOOKUP(C758,Cleaners!$B$6:$I$35,8,FALSE),0)</f>
        <v/>
      </c>
      <c r="H758" s="39" t="n"/>
      <c r="I758" s="46" t="n"/>
      <c r="J758" s="39" t="n"/>
      <c r="K758" s="44">
        <f>IF(C758="","",IFERROR(D758,0)*G758+IFERROR(E758,0)+IFERROR(F758,0))</f>
        <v/>
      </c>
    </row>
    <row r="759">
      <c r="A759" s="42" t="n"/>
      <c r="B759" s="39" t="n"/>
      <c r="C759" s="39" t="n"/>
      <c r="D759" s="43" t="n"/>
      <c r="E759" s="40" t="n"/>
      <c r="F759" s="40" t="n"/>
      <c r="G759" s="44">
        <f>IFERROR(VLOOKUP(C759,Cleaners!$B$6:$I$35,8,FALSE),0)</f>
        <v/>
      </c>
      <c r="H759" s="39" t="n"/>
      <c r="I759" s="46" t="n"/>
      <c r="J759" s="39" t="n"/>
      <c r="K759" s="44">
        <f>IF(C759="","",IFERROR(D759,0)*G759+IFERROR(E759,0)+IFERROR(F759,0))</f>
        <v/>
      </c>
    </row>
    <row r="760">
      <c r="A760" s="42" t="n"/>
      <c r="B760" s="39" t="n"/>
      <c r="C760" s="39" t="n"/>
      <c r="D760" s="43" t="n"/>
      <c r="E760" s="40" t="n"/>
      <c r="F760" s="40" t="n"/>
      <c r="G760" s="44">
        <f>IFERROR(VLOOKUP(C760,Cleaners!$B$6:$I$35,8,FALSE),0)</f>
        <v/>
      </c>
      <c r="H760" s="39" t="n"/>
      <c r="I760" s="46" t="n"/>
      <c r="J760" s="39" t="n"/>
      <c r="K760" s="44">
        <f>IF(C760="","",IFERROR(D760,0)*G760+IFERROR(E760,0)+IFERROR(F760,0))</f>
        <v/>
      </c>
    </row>
    <row r="761">
      <c r="A761" s="42" t="n"/>
      <c r="B761" s="39" t="n"/>
      <c r="C761" s="39" t="n"/>
      <c r="D761" s="43" t="n"/>
      <c r="E761" s="40" t="n"/>
      <c r="F761" s="40" t="n"/>
      <c r="G761" s="44">
        <f>IFERROR(VLOOKUP(C761,Cleaners!$B$6:$I$35,8,FALSE),0)</f>
        <v/>
      </c>
      <c r="H761" s="39" t="n"/>
      <c r="I761" s="46" t="n"/>
      <c r="J761" s="39" t="n"/>
      <c r="K761" s="44">
        <f>IF(C761="","",IFERROR(D761,0)*G761+IFERROR(E761,0)+IFERROR(F761,0))</f>
        <v/>
      </c>
    </row>
    <row r="762">
      <c r="A762" s="42" t="n"/>
      <c r="B762" s="39" t="n"/>
      <c r="C762" s="39" t="n"/>
      <c r="D762" s="43" t="n"/>
      <c r="E762" s="40" t="n"/>
      <c r="F762" s="40" t="n"/>
      <c r="G762" s="44">
        <f>IFERROR(VLOOKUP(C762,Cleaners!$B$6:$I$35,8,FALSE),0)</f>
        <v/>
      </c>
      <c r="H762" s="39" t="n"/>
      <c r="I762" s="46" t="n"/>
      <c r="J762" s="39" t="n"/>
      <c r="K762" s="44">
        <f>IF(C762="","",IFERROR(D762,0)*G762+IFERROR(E762,0)+IFERROR(F762,0))</f>
        <v/>
      </c>
    </row>
    <row r="763">
      <c r="A763" s="42" t="n"/>
      <c r="B763" s="39" t="n"/>
      <c r="C763" s="39" t="n"/>
      <c r="D763" s="43" t="n"/>
      <c r="E763" s="40" t="n"/>
      <c r="F763" s="40" t="n"/>
      <c r="G763" s="44">
        <f>IFERROR(VLOOKUP(C763,Cleaners!$B$6:$I$35,8,FALSE),0)</f>
        <v/>
      </c>
      <c r="H763" s="39" t="n"/>
      <c r="I763" s="46" t="n"/>
      <c r="J763" s="39" t="n"/>
      <c r="K763" s="44">
        <f>IF(C763="","",IFERROR(D763,0)*G763+IFERROR(E763,0)+IFERROR(F763,0))</f>
        <v/>
      </c>
    </row>
    <row r="764">
      <c r="A764" s="42" t="n"/>
      <c r="B764" s="39" t="n"/>
      <c r="C764" s="39" t="n"/>
      <c r="D764" s="43" t="n"/>
      <c r="E764" s="40" t="n"/>
      <c r="F764" s="40" t="n"/>
      <c r="G764" s="44">
        <f>IFERROR(VLOOKUP(C764,Cleaners!$B$6:$I$35,8,FALSE),0)</f>
        <v/>
      </c>
      <c r="H764" s="39" t="n"/>
      <c r="I764" s="46" t="n"/>
      <c r="J764" s="39" t="n"/>
      <c r="K764" s="44">
        <f>IF(C764="","",IFERROR(D764,0)*G764+IFERROR(E764,0)+IFERROR(F764,0))</f>
        <v/>
      </c>
    </row>
    <row r="765">
      <c r="A765" s="42" t="n"/>
      <c r="B765" s="39" t="n"/>
      <c r="C765" s="39" t="n"/>
      <c r="D765" s="43" t="n"/>
      <c r="E765" s="40" t="n"/>
      <c r="F765" s="40" t="n"/>
      <c r="G765" s="44">
        <f>IFERROR(VLOOKUP(C765,Cleaners!$B$6:$I$35,8,FALSE),0)</f>
        <v/>
      </c>
      <c r="H765" s="39" t="n"/>
      <c r="I765" s="46" t="n"/>
      <c r="J765" s="39" t="n"/>
      <c r="K765" s="44">
        <f>IF(C765="","",IFERROR(D765,0)*G765+IFERROR(E765,0)+IFERROR(F765,0))</f>
        <v/>
      </c>
    </row>
    <row r="766">
      <c r="A766" s="42" t="n"/>
      <c r="B766" s="39" t="n"/>
      <c r="C766" s="39" t="n"/>
      <c r="D766" s="43" t="n"/>
      <c r="E766" s="40" t="n"/>
      <c r="F766" s="40" t="n"/>
      <c r="G766" s="44">
        <f>IFERROR(VLOOKUP(C766,Cleaners!$B$6:$I$35,8,FALSE),0)</f>
        <v/>
      </c>
      <c r="H766" s="39" t="n"/>
      <c r="I766" s="46" t="n"/>
      <c r="J766" s="39" t="n"/>
      <c r="K766" s="44">
        <f>IF(C766="","",IFERROR(D766,0)*G766+IFERROR(E766,0)+IFERROR(F766,0))</f>
        <v/>
      </c>
    </row>
    <row r="767">
      <c r="A767" s="42" t="n"/>
      <c r="B767" s="39" t="n"/>
      <c r="C767" s="39" t="n"/>
      <c r="D767" s="43" t="n"/>
      <c r="E767" s="40" t="n"/>
      <c r="F767" s="40" t="n"/>
      <c r="G767" s="44">
        <f>IFERROR(VLOOKUP(C767,Cleaners!$B$6:$I$35,8,FALSE),0)</f>
        <v/>
      </c>
      <c r="H767" s="39" t="n"/>
      <c r="I767" s="46" t="n"/>
      <c r="J767" s="39" t="n"/>
      <c r="K767" s="44">
        <f>IF(C767="","",IFERROR(D767,0)*G767+IFERROR(E767,0)+IFERROR(F767,0))</f>
        <v/>
      </c>
    </row>
    <row r="768">
      <c r="A768" s="42" t="n"/>
      <c r="B768" s="39" t="n"/>
      <c r="C768" s="39" t="n"/>
      <c r="D768" s="43" t="n"/>
      <c r="E768" s="40" t="n"/>
      <c r="F768" s="40" t="n"/>
      <c r="G768" s="44">
        <f>IFERROR(VLOOKUP(C768,Cleaners!$B$6:$I$35,8,FALSE),0)</f>
        <v/>
      </c>
      <c r="H768" s="39" t="n"/>
      <c r="I768" s="46" t="n"/>
      <c r="J768" s="39" t="n"/>
      <c r="K768" s="44">
        <f>IF(C768="","",IFERROR(D768,0)*G768+IFERROR(E768,0)+IFERROR(F768,0))</f>
        <v/>
      </c>
    </row>
    <row r="769">
      <c r="A769" s="42" t="n"/>
      <c r="B769" s="39" t="n"/>
      <c r="C769" s="39" t="n"/>
      <c r="D769" s="43" t="n"/>
      <c r="E769" s="40" t="n"/>
      <c r="F769" s="40" t="n"/>
      <c r="G769" s="44">
        <f>IFERROR(VLOOKUP(C769,Cleaners!$B$6:$I$35,8,FALSE),0)</f>
        <v/>
      </c>
      <c r="H769" s="39" t="n"/>
      <c r="I769" s="46" t="n"/>
      <c r="J769" s="39" t="n"/>
      <c r="K769" s="44">
        <f>IF(C769="","",IFERROR(D769,0)*G769+IFERROR(E769,0)+IFERROR(F769,0))</f>
        <v/>
      </c>
    </row>
    <row r="770">
      <c r="A770" s="42" t="n"/>
      <c r="B770" s="39" t="n"/>
      <c r="C770" s="39" t="n"/>
      <c r="D770" s="43" t="n"/>
      <c r="E770" s="40" t="n"/>
      <c r="F770" s="40" t="n"/>
      <c r="G770" s="44">
        <f>IFERROR(VLOOKUP(C770,Cleaners!$B$6:$I$35,8,FALSE),0)</f>
        <v/>
      </c>
      <c r="H770" s="39" t="n"/>
      <c r="I770" s="46" t="n"/>
      <c r="J770" s="39" t="n"/>
      <c r="K770" s="44">
        <f>IF(C770="","",IFERROR(D770,0)*G770+IFERROR(E770,0)+IFERROR(F770,0))</f>
        <v/>
      </c>
    </row>
    <row r="771">
      <c r="A771" s="42" t="n"/>
      <c r="B771" s="39" t="n"/>
      <c r="C771" s="39" t="n"/>
      <c r="D771" s="43" t="n"/>
      <c r="E771" s="40" t="n"/>
      <c r="F771" s="40" t="n"/>
      <c r="G771" s="44">
        <f>IFERROR(VLOOKUP(C771,Cleaners!$B$6:$I$35,8,FALSE),0)</f>
        <v/>
      </c>
      <c r="H771" s="39" t="n"/>
      <c r="I771" s="46" t="n"/>
      <c r="J771" s="39" t="n"/>
      <c r="K771" s="44">
        <f>IF(C771="","",IFERROR(D771,0)*G771+IFERROR(E771,0)+IFERROR(F771,0))</f>
        <v/>
      </c>
    </row>
    <row r="772">
      <c r="A772" s="42" t="n"/>
      <c r="B772" s="39" t="n"/>
      <c r="C772" s="39" t="n"/>
      <c r="D772" s="43" t="n"/>
      <c r="E772" s="40" t="n"/>
      <c r="F772" s="40" t="n"/>
      <c r="G772" s="44">
        <f>IFERROR(VLOOKUP(C772,Cleaners!$B$6:$I$35,8,FALSE),0)</f>
        <v/>
      </c>
      <c r="H772" s="39" t="n"/>
      <c r="I772" s="46" t="n"/>
      <c r="J772" s="39" t="n"/>
      <c r="K772" s="44">
        <f>IF(C772="","",IFERROR(D772,0)*G772+IFERROR(E772,0)+IFERROR(F772,0))</f>
        <v/>
      </c>
    </row>
    <row r="773">
      <c r="A773" s="42" t="n"/>
      <c r="B773" s="39" t="n"/>
      <c r="C773" s="39" t="n"/>
      <c r="D773" s="43" t="n"/>
      <c r="E773" s="40" t="n"/>
      <c r="F773" s="40" t="n"/>
      <c r="G773" s="44">
        <f>IFERROR(VLOOKUP(C773,Cleaners!$B$6:$I$35,8,FALSE),0)</f>
        <v/>
      </c>
      <c r="H773" s="39" t="n"/>
      <c r="I773" s="46" t="n"/>
      <c r="J773" s="39" t="n"/>
      <c r="K773" s="44">
        <f>IF(C773="","",IFERROR(D773,0)*G773+IFERROR(E773,0)+IFERROR(F773,0))</f>
        <v/>
      </c>
    </row>
    <row r="774">
      <c r="A774" s="42" t="n"/>
      <c r="B774" s="39" t="n"/>
      <c r="C774" s="39" t="n"/>
      <c r="D774" s="43" t="n"/>
      <c r="E774" s="40" t="n"/>
      <c r="F774" s="40" t="n"/>
      <c r="G774" s="44">
        <f>IFERROR(VLOOKUP(C774,Cleaners!$B$6:$I$35,8,FALSE),0)</f>
        <v/>
      </c>
      <c r="H774" s="39" t="n"/>
      <c r="I774" s="46" t="n"/>
      <c r="J774" s="39" t="n"/>
      <c r="K774" s="44">
        <f>IF(C774="","",IFERROR(D774,0)*G774+IFERROR(E774,0)+IFERROR(F774,0))</f>
        <v/>
      </c>
    </row>
    <row r="775">
      <c r="A775" s="42" t="n"/>
      <c r="B775" s="39" t="n"/>
      <c r="C775" s="39" t="n"/>
      <c r="D775" s="43" t="n"/>
      <c r="E775" s="40" t="n"/>
      <c r="F775" s="40" t="n"/>
      <c r="G775" s="44">
        <f>IFERROR(VLOOKUP(C775,Cleaners!$B$6:$I$35,8,FALSE),0)</f>
        <v/>
      </c>
      <c r="H775" s="39" t="n"/>
      <c r="I775" s="46" t="n"/>
      <c r="J775" s="39" t="n"/>
      <c r="K775" s="44">
        <f>IF(C775="","",IFERROR(D775,0)*G775+IFERROR(E775,0)+IFERROR(F775,0))</f>
        <v/>
      </c>
    </row>
    <row r="776">
      <c r="A776" s="42" t="n"/>
      <c r="B776" s="39" t="n"/>
      <c r="C776" s="39" t="n"/>
      <c r="D776" s="43" t="n"/>
      <c r="E776" s="40" t="n"/>
      <c r="F776" s="40" t="n"/>
      <c r="G776" s="44">
        <f>IFERROR(VLOOKUP(C776,Cleaners!$B$6:$I$35,8,FALSE),0)</f>
        <v/>
      </c>
      <c r="H776" s="39" t="n"/>
      <c r="I776" s="46" t="n"/>
      <c r="J776" s="39" t="n"/>
      <c r="K776" s="44">
        <f>IF(C776="","",IFERROR(D776,0)*G776+IFERROR(E776,0)+IFERROR(F776,0))</f>
        <v/>
      </c>
    </row>
    <row r="777">
      <c r="A777" s="42" t="n"/>
      <c r="B777" s="39" t="n"/>
      <c r="C777" s="39" t="n"/>
      <c r="D777" s="43" t="n"/>
      <c r="E777" s="40" t="n"/>
      <c r="F777" s="40" t="n"/>
      <c r="G777" s="44">
        <f>IFERROR(VLOOKUP(C777,Cleaners!$B$6:$I$35,8,FALSE),0)</f>
        <v/>
      </c>
      <c r="H777" s="39" t="n"/>
      <c r="I777" s="46" t="n"/>
      <c r="J777" s="39" t="n"/>
      <c r="K777" s="44">
        <f>IF(C777="","",IFERROR(D777,0)*G777+IFERROR(E777,0)+IFERROR(F777,0))</f>
        <v/>
      </c>
    </row>
    <row r="778">
      <c r="A778" s="42" t="n"/>
      <c r="B778" s="39" t="n"/>
      <c r="C778" s="39" t="n"/>
      <c r="D778" s="43" t="n"/>
      <c r="E778" s="40" t="n"/>
      <c r="F778" s="40" t="n"/>
      <c r="G778" s="44">
        <f>IFERROR(VLOOKUP(C778,Cleaners!$B$6:$I$35,8,FALSE),0)</f>
        <v/>
      </c>
      <c r="H778" s="39" t="n"/>
      <c r="I778" s="46" t="n"/>
      <c r="J778" s="39" t="n"/>
      <c r="K778" s="44">
        <f>IF(C778="","",IFERROR(D778,0)*G778+IFERROR(E778,0)+IFERROR(F778,0))</f>
        <v/>
      </c>
    </row>
    <row r="779">
      <c r="A779" s="42" t="n"/>
      <c r="B779" s="39" t="n"/>
      <c r="C779" s="39" t="n"/>
      <c r="D779" s="43" t="n"/>
      <c r="E779" s="40" t="n"/>
      <c r="F779" s="40" t="n"/>
      <c r="G779" s="44">
        <f>IFERROR(VLOOKUP(C779,Cleaners!$B$6:$I$35,8,FALSE),0)</f>
        <v/>
      </c>
      <c r="H779" s="39" t="n"/>
      <c r="I779" s="46" t="n"/>
      <c r="J779" s="39" t="n"/>
      <c r="K779" s="44">
        <f>IF(C779="","",IFERROR(D779,0)*G779+IFERROR(E779,0)+IFERROR(F779,0))</f>
        <v/>
      </c>
    </row>
    <row r="780">
      <c r="A780" s="42" t="n"/>
      <c r="B780" s="39" t="n"/>
      <c r="C780" s="39" t="n"/>
      <c r="D780" s="43" t="n"/>
      <c r="E780" s="40" t="n"/>
      <c r="F780" s="40" t="n"/>
      <c r="G780" s="44">
        <f>IFERROR(VLOOKUP(C780,Cleaners!$B$6:$I$35,8,FALSE),0)</f>
        <v/>
      </c>
      <c r="H780" s="39" t="n"/>
      <c r="I780" s="46" t="n"/>
      <c r="J780" s="39" t="n"/>
      <c r="K780" s="44">
        <f>IF(C780="","",IFERROR(D780,0)*G780+IFERROR(E780,0)+IFERROR(F780,0))</f>
        <v/>
      </c>
    </row>
    <row r="781">
      <c r="A781" s="42" t="n"/>
      <c r="B781" s="39" t="n"/>
      <c r="C781" s="39" t="n"/>
      <c r="D781" s="43" t="n"/>
      <c r="E781" s="40" t="n"/>
      <c r="F781" s="40" t="n"/>
      <c r="G781" s="44">
        <f>IFERROR(VLOOKUP(C781,Cleaners!$B$6:$I$35,8,FALSE),0)</f>
        <v/>
      </c>
      <c r="H781" s="39" t="n"/>
      <c r="I781" s="46" t="n"/>
      <c r="J781" s="39" t="n"/>
      <c r="K781" s="44">
        <f>IF(C781="","",IFERROR(D781,0)*G781+IFERROR(E781,0)+IFERROR(F781,0))</f>
        <v/>
      </c>
    </row>
    <row r="782">
      <c r="A782" s="42" t="n"/>
      <c r="B782" s="39" t="n"/>
      <c r="C782" s="39" t="n"/>
      <c r="D782" s="43" t="n"/>
      <c r="E782" s="40" t="n"/>
      <c r="F782" s="40" t="n"/>
      <c r="G782" s="44">
        <f>IFERROR(VLOOKUP(C782,Cleaners!$B$6:$I$35,8,FALSE),0)</f>
        <v/>
      </c>
      <c r="H782" s="39" t="n"/>
      <c r="I782" s="46" t="n"/>
      <c r="J782" s="39" t="n"/>
      <c r="K782" s="44">
        <f>IF(C782="","",IFERROR(D782,0)*G782+IFERROR(E782,0)+IFERROR(F782,0))</f>
        <v/>
      </c>
    </row>
    <row r="783">
      <c r="A783" s="42" t="n"/>
      <c r="B783" s="39" t="n"/>
      <c r="C783" s="39" t="n"/>
      <c r="D783" s="43" t="n"/>
      <c r="E783" s="40" t="n"/>
      <c r="F783" s="40" t="n"/>
      <c r="G783" s="44">
        <f>IFERROR(VLOOKUP(C783,Cleaners!$B$6:$I$35,8,FALSE),0)</f>
        <v/>
      </c>
      <c r="H783" s="39" t="n"/>
      <c r="I783" s="46" t="n"/>
      <c r="J783" s="39" t="n"/>
      <c r="K783" s="44">
        <f>IF(C783="","",IFERROR(D783,0)*G783+IFERROR(E783,0)+IFERROR(F783,0))</f>
        <v/>
      </c>
    </row>
    <row r="784">
      <c r="A784" s="42" t="n"/>
      <c r="B784" s="39" t="n"/>
      <c r="C784" s="39" t="n"/>
      <c r="D784" s="43" t="n"/>
      <c r="E784" s="40" t="n"/>
      <c r="F784" s="40" t="n"/>
      <c r="G784" s="44">
        <f>IFERROR(VLOOKUP(C784,Cleaners!$B$6:$I$35,8,FALSE),0)</f>
        <v/>
      </c>
      <c r="H784" s="39" t="n"/>
      <c r="I784" s="46" t="n"/>
      <c r="J784" s="39" t="n"/>
      <c r="K784" s="44">
        <f>IF(C784="","",IFERROR(D784,0)*G784+IFERROR(E784,0)+IFERROR(F784,0))</f>
        <v/>
      </c>
    </row>
    <row r="785">
      <c r="A785" s="42" t="n"/>
      <c r="B785" s="39" t="n"/>
      <c r="C785" s="39" t="n"/>
      <c r="D785" s="43" t="n"/>
      <c r="E785" s="40" t="n"/>
      <c r="F785" s="40" t="n"/>
      <c r="G785" s="44">
        <f>IFERROR(VLOOKUP(C785,Cleaners!$B$6:$I$35,8,FALSE),0)</f>
        <v/>
      </c>
      <c r="H785" s="39" t="n"/>
      <c r="I785" s="46" t="n"/>
      <c r="J785" s="39" t="n"/>
      <c r="K785" s="44">
        <f>IF(C785="","",IFERROR(D785,0)*G785+IFERROR(E785,0)+IFERROR(F785,0))</f>
        <v/>
      </c>
    </row>
    <row r="786">
      <c r="A786" s="42" t="n"/>
      <c r="B786" s="39" t="n"/>
      <c r="C786" s="39" t="n"/>
      <c r="D786" s="43" t="n"/>
      <c r="E786" s="40" t="n"/>
      <c r="F786" s="40" t="n"/>
      <c r="G786" s="44">
        <f>IFERROR(VLOOKUP(C786,Cleaners!$B$6:$I$35,8,FALSE),0)</f>
        <v/>
      </c>
      <c r="H786" s="39" t="n"/>
      <c r="I786" s="46" t="n"/>
      <c r="J786" s="39" t="n"/>
      <c r="K786" s="44">
        <f>IF(C786="","",IFERROR(D786,0)*G786+IFERROR(E786,0)+IFERROR(F786,0))</f>
        <v/>
      </c>
    </row>
    <row r="787">
      <c r="A787" s="42" t="n"/>
      <c r="B787" s="39" t="n"/>
      <c r="C787" s="39" t="n"/>
      <c r="D787" s="43" t="n"/>
      <c r="E787" s="40" t="n"/>
      <c r="F787" s="40" t="n"/>
      <c r="G787" s="44">
        <f>IFERROR(VLOOKUP(C787,Cleaners!$B$6:$I$35,8,FALSE),0)</f>
        <v/>
      </c>
      <c r="H787" s="39" t="n"/>
      <c r="I787" s="46" t="n"/>
      <c r="J787" s="39" t="n"/>
      <c r="K787" s="44">
        <f>IF(C787="","",IFERROR(D787,0)*G787+IFERROR(E787,0)+IFERROR(F787,0))</f>
        <v/>
      </c>
    </row>
    <row r="788">
      <c r="A788" s="42" t="n"/>
      <c r="B788" s="39" t="n"/>
      <c r="C788" s="39" t="n"/>
      <c r="D788" s="43" t="n"/>
      <c r="E788" s="40" t="n"/>
      <c r="F788" s="40" t="n"/>
      <c r="G788" s="44">
        <f>IFERROR(VLOOKUP(C788,Cleaners!$B$6:$I$35,8,FALSE),0)</f>
        <v/>
      </c>
      <c r="H788" s="39" t="n"/>
      <c r="I788" s="46" t="n"/>
      <c r="J788" s="39" t="n"/>
      <c r="K788" s="44">
        <f>IF(C788="","",IFERROR(D788,0)*G788+IFERROR(E788,0)+IFERROR(F788,0))</f>
        <v/>
      </c>
    </row>
    <row r="789">
      <c r="A789" s="42" t="n"/>
      <c r="B789" s="39" t="n"/>
      <c r="C789" s="39" t="n"/>
      <c r="D789" s="43" t="n"/>
      <c r="E789" s="40" t="n"/>
      <c r="F789" s="40" t="n"/>
      <c r="G789" s="44">
        <f>IFERROR(VLOOKUP(C789,Cleaners!$B$6:$I$35,8,FALSE),0)</f>
        <v/>
      </c>
      <c r="H789" s="39" t="n"/>
      <c r="I789" s="46" t="n"/>
      <c r="J789" s="39" t="n"/>
      <c r="K789" s="44">
        <f>IF(C789="","",IFERROR(D789,0)*G789+IFERROR(E789,0)+IFERROR(F789,0))</f>
        <v/>
      </c>
    </row>
    <row r="790">
      <c r="A790" s="42" t="n"/>
      <c r="B790" s="39" t="n"/>
      <c r="C790" s="39" t="n"/>
      <c r="D790" s="43" t="n"/>
      <c r="E790" s="40" t="n"/>
      <c r="F790" s="40" t="n"/>
      <c r="G790" s="44">
        <f>IFERROR(VLOOKUP(C790,Cleaners!$B$6:$I$35,8,FALSE),0)</f>
        <v/>
      </c>
      <c r="H790" s="39" t="n"/>
      <c r="I790" s="46" t="n"/>
      <c r="J790" s="39" t="n"/>
      <c r="K790" s="44">
        <f>IF(C790="","",IFERROR(D790,0)*G790+IFERROR(E790,0)+IFERROR(F790,0))</f>
        <v/>
      </c>
    </row>
    <row r="791">
      <c r="A791" s="42" t="n"/>
      <c r="B791" s="39" t="n"/>
      <c r="C791" s="39" t="n"/>
      <c r="D791" s="43" t="n"/>
      <c r="E791" s="40" t="n"/>
      <c r="F791" s="40" t="n"/>
      <c r="G791" s="44">
        <f>IFERROR(VLOOKUP(C791,Cleaners!$B$6:$I$35,8,FALSE),0)</f>
        <v/>
      </c>
      <c r="H791" s="39" t="n"/>
      <c r="I791" s="46" t="n"/>
      <c r="J791" s="39" t="n"/>
      <c r="K791" s="44">
        <f>IF(C791="","",IFERROR(D791,0)*G791+IFERROR(E791,0)+IFERROR(F791,0))</f>
        <v/>
      </c>
    </row>
    <row r="792">
      <c r="A792" s="42" t="n"/>
      <c r="B792" s="39" t="n"/>
      <c r="C792" s="39" t="n"/>
      <c r="D792" s="43" t="n"/>
      <c r="E792" s="40" t="n"/>
      <c r="F792" s="40" t="n"/>
      <c r="G792" s="44">
        <f>IFERROR(VLOOKUP(C792,Cleaners!$B$6:$I$35,8,FALSE),0)</f>
        <v/>
      </c>
      <c r="H792" s="39" t="n"/>
      <c r="I792" s="46" t="n"/>
      <c r="J792" s="39" t="n"/>
      <c r="K792" s="44">
        <f>IF(C792="","",IFERROR(D792,0)*G792+IFERROR(E792,0)+IFERROR(F792,0))</f>
        <v/>
      </c>
    </row>
    <row r="793">
      <c r="A793" s="42" t="n"/>
      <c r="B793" s="39" t="n"/>
      <c r="C793" s="39" t="n"/>
      <c r="D793" s="43" t="n"/>
      <c r="E793" s="40" t="n"/>
      <c r="F793" s="40" t="n"/>
      <c r="G793" s="44">
        <f>IFERROR(VLOOKUP(C793,Cleaners!$B$6:$I$35,8,FALSE),0)</f>
        <v/>
      </c>
      <c r="H793" s="39" t="n"/>
      <c r="I793" s="46" t="n"/>
      <c r="J793" s="39" t="n"/>
      <c r="K793" s="44">
        <f>IF(C793="","",IFERROR(D793,0)*G793+IFERROR(E793,0)+IFERROR(F793,0))</f>
        <v/>
      </c>
    </row>
    <row r="794">
      <c r="A794" s="42" t="n"/>
      <c r="B794" s="39" t="n"/>
      <c r="C794" s="39" t="n"/>
      <c r="D794" s="43" t="n"/>
      <c r="E794" s="40" t="n"/>
      <c r="F794" s="40" t="n"/>
      <c r="G794" s="44">
        <f>IFERROR(VLOOKUP(C794,Cleaners!$B$6:$I$35,8,FALSE),0)</f>
        <v/>
      </c>
      <c r="H794" s="39" t="n"/>
      <c r="I794" s="46" t="n"/>
      <c r="J794" s="39" t="n"/>
      <c r="K794" s="44">
        <f>IF(C794="","",IFERROR(D794,0)*G794+IFERROR(E794,0)+IFERROR(F794,0))</f>
        <v/>
      </c>
    </row>
    <row r="795">
      <c r="A795" s="42" t="n"/>
      <c r="B795" s="39" t="n"/>
      <c r="C795" s="39" t="n"/>
      <c r="D795" s="43" t="n"/>
      <c r="E795" s="40" t="n"/>
      <c r="F795" s="40" t="n"/>
      <c r="G795" s="44">
        <f>IFERROR(VLOOKUP(C795,Cleaners!$B$6:$I$35,8,FALSE),0)</f>
        <v/>
      </c>
      <c r="H795" s="39" t="n"/>
      <c r="I795" s="46" t="n"/>
      <c r="J795" s="39" t="n"/>
      <c r="K795" s="44">
        <f>IF(C795="","",IFERROR(D795,0)*G795+IFERROR(E795,0)+IFERROR(F795,0))</f>
        <v/>
      </c>
    </row>
    <row r="796">
      <c r="A796" s="42" t="n"/>
      <c r="B796" s="39" t="n"/>
      <c r="C796" s="39" t="n"/>
      <c r="D796" s="43" t="n"/>
      <c r="E796" s="40" t="n"/>
      <c r="F796" s="40" t="n"/>
      <c r="G796" s="44">
        <f>IFERROR(VLOOKUP(C796,Cleaners!$B$6:$I$35,8,FALSE),0)</f>
        <v/>
      </c>
      <c r="H796" s="39" t="n"/>
      <c r="I796" s="46" t="n"/>
      <c r="J796" s="39" t="n"/>
      <c r="K796" s="44">
        <f>IF(C796="","",IFERROR(D796,0)*G796+IFERROR(E796,0)+IFERROR(F796,0))</f>
        <v/>
      </c>
    </row>
    <row r="797">
      <c r="A797" s="42" t="n"/>
      <c r="B797" s="39" t="n"/>
      <c r="C797" s="39" t="n"/>
      <c r="D797" s="43" t="n"/>
      <c r="E797" s="40" t="n"/>
      <c r="F797" s="40" t="n"/>
      <c r="G797" s="44">
        <f>IFERROR(VLOOKUP(C797,Cleaners!$B$6:$I$35,8,FALSE),0)</f>
        <v/>
      </c>
      <c r="H797" s="39" t="n"/>
      <c r="I797" s="46" t="n"/>
      <c r="J797" s="39" t="n"/>
      <c r="K797" s="44">
        <f>IF(C797="","",IFERROR(D797,0)*G797+IFERROR(E797,0)+IFERROR(F797,0))</f>
        <v/>
      </c>
    </row>
    <row r="798">
      <c r="A798" s="42" t="n"/>
      <c r="B798" s="39" t="n"/>
      <c r="C798" s="39" t="n"/>
      <c r="D798" s="43" t="n"/>
      <c r="E798" s="40" t="n"/>
      <c r="F798" s="40" t="n"/>
      <c r="G798" s="44">
        <f>IFERROR(VLOOKUP(C798,Cleaners!$B$6:$I$35,8,FALSE),0)</f>
        <v/>
      </c>
      <c r="H798" s="39" t="n"/>
      <c r="I798" s="46" t="n"/>
      <c r="J798" s="39" t="n"/>
      <c r="K798" s="44">
        <f>IF(C798="","",IFERROR(D798,0)*G798+IFERROR(E798,0)+IFERROR(F798,0))</f>
        <v/>
      </c>
    </row>
    <row r="799">
      <c r="A799" s="42" t="n"/>
      <c r="B799" s="39" t="n"/>
      <c r="C799" s="39" t="n"/>
      <c r="D799" s="43" t="n"/>
      <c r="E799" s="40" t="n"/>
      <c r="F799" s="40" t="n"/>
      <c r="G799" s="44">
        <f>IFERROR(VLOOKUP(C799,Cleaners!$B$6:$I$35,8,FALSE),0)</f>
        <v/>
      </c>
      <c r="H799" s="39" t="n"/>
      <c r="I799" s="46" t="n"/>
      <c r="J799" s="39" t="n"/>
      <c r="K799" s="44">
        <f>IF(C799="","",IFERROR(D799,0)*G799+IFERROR(E799,0)+IFERROR(F799,0))</f>
        <v/>
      </c>
    </row>
    <row r="800">
      <c r="A800" s="42" t="n"/>
      <c r="B800" s="39" t="n"/>
      <c r="C800" s="39" t="n"/>
      <c r="D800" s="43" t="n"/>
      <c r="E800" s="40" t="n"/>
      <c r="F800" s="40" t="n"/>
      <c r="G800" s="44">
        <f>IFERROR(VLOOKUP(C800,Cleaners!$B$6:$I$35,8,FALSE),0)</f>
        <v/>
      </c>
      <c r="H800" s="39" t="n"/>
      <c r="I800" s="46" t="n"/>
      <c r="J800" s="39" t="n"/>
      <c r="K800" s="44">
        <f>IF(C800="","",IFERROR(D800,0)*G800+IFERROR(E800,0)+IFERROR(F800,0))</f>
        <v/>
      </c>
    </row>
    <row r="801">
      <c r="A801" s="42" t="n"/>
      <c r="B801" s="39" t="n"/>
      <c r="C801" s="39" t="n"/>
      <c r="D801" s="43" t="n"/>
      <c r="E801" s="40" t="n"/>
      <c r="F801" s="40" t="n"/>
      <c r="G801" s="44">
        <f>IFERROR(VLOOKUP(C801,Cleaners!$B$6:$I$35,8,FALSE),0)</f>
        <v/>
      </c>
      <c r="H801" s="39" t="n"/>
      <c r="I801" s="46" t="n"/>
      <c r="J801" s="39" t="n"/>
      <c r="K801" s="44">
        <f>IF(C801="","",IFERROR(D801,0)*G801+IFERROR(E801,0)+IFERROR(F801,0))</f>
        <v/>
      </c>
    </row>
    <row r="802">
      <c r="A802" s="42" t="n"/>
      <c r="B802" s="39" t="n"/>
      <c r="C802" s="39" t="n"/>
      <c r="D802" s="43" t="n"/>
      <c r="E802" s="40" t="n"/>
      <c r="F802" s="40" t="n"/>
      <c r="G802" s="44">
        <f>IFERROR(VLOOKUP(C802,Cleaners!$B$6:$I$35,8,FALSE),0)</f>
        <v/>
      </c>
      <c r="H802" s="39" t="n"/>
      <c r="I802" s="46" t="n"/>
      <c r="J802" s="39" t="n"/>
      <c r="K802" s="44">
        <f>IF(C802="","",IFERROR(D802,0)*G802+IFERROR(E802,0)+IFERROR(F802,0))</f>
        <v/>
      </c>
    </row>
    <row r="803">
      <c r="A803" s="42" t="n"/>
      <c r="B803" s="39" t="n"/>
      <c r="C803" s="39" t="n"/>
      <c r="D803" s="43" t="n"/>
      <c r="E803" s="40" t="n"/>
      <c r="F803" s="40" t="n"/>
      <c r="G803" s="44">
        <f>IFERROR(VLOOKUP(C803,Cleaners!$B$6:$I$35,8,FALSE),0)</f>
        <v/>
      </c>
      <c r="H803" s="39" t="n"/>
      <c r="I803" s="46" t="n"/>
      <c r="J803" s="39" t="n"/>
      <c r="K803" s="44">
        <f>IF(C803="","",IFERROR(D803,0)*G803+IFERROR(E803,0)+IFERROR(F803,0))</f>
        <v/>
      </c>
    </row>
    <row r="804">
      <c r="A804" s="42" t="n"/>
      <c r="B804" s="39" t="n"/>
      <c r="C804" s="39" t="n"/>
      <c r="D804" s="43" t="n"/>
      <c r="E804" s="40" t="n"/>
      <c r="F804" s="40" t="n"/>
      <c r="G804" s="44">
        <f>IFERROR(VLOOKUP(C804,Cleaners!$B$6:$I$35,8,FALSE),0)</f>
        <v/>
      </c>
      <c r="H804" s="39" t="n"/>
      <c r="I804" s="46" t="n"/>
      <c r="J804" s="39" t="n"/>
      <c r="K804" s="44">
        <f>IF(C804="","",IFERROR(D804,0)*G804+IFERROR(E804,0)+IFERROR(F804,0))</f>
        <v/>
      </c>
    </row>
    <row r="805">
      <c r="A805" s="42" t="n"/>
      <c r="B805" s="39" t="n"/>
      <c r="C805" s="39" t="n"/>
      <c r="D805" s="43" t="n"/>
      <c r="E805" s="40" t="n"/>
      <c r="F805" s="40" t="n"/>
      <c r="G805" s="44">
        <f>IFERROR(VLOOKUP(C805,Cleaners!$B$6:$I$35,8,FALSE),0)</f>
        <v/>
      </c>
      <c r="H805" s="39" t="n"/>
      <c r="I805" s="46" t="n"/>
      <c r="J805" s="39" t="n"/>
      <c r="K805" s="44">
        <f>IF(C805="","",IFERROR(D805,0)*G805+IFERROR(E805,0)+IFERROR(F805,0))</f>
        <v/>
      </c>
    </row>
    <row r="806">
      <c r="A806" s="42" t="n"/>
      <c r="B806" s="39" t="n"/>
      <c r="C806" s="39" t="n"/>
      <c r="D806" s="43" t="n"/>
      <c r="E806" s="40" t="n"/>
      <c r="F806" s="40" t="n"/>
      <c r="G806" s="44">
        <f>IFERROR(VLOOKUP(C806,Cleaners!$B$6:$I$35,8,FALSE),0)</f>
        <v/>
      </c>
      <c r="H806" s="39" t="n"/>
      <c r="I806" s="46" t="n"/>
      <c r="J806" s="39" t="n"/>
      <c r="K806" s="44">
        <f>IF(C806="","",IFERROR(D806,0)*G806+IFERROR(E806,0)+IFERROR(F806,0))</f>
        <v/>
      </c>
    </row>
    <row r="807">
      <c r="A807" s="42" t="n"/>
      <c r="B807" s="39" t="n"/>
      <c r="C807" s="39" t="n"/>
      <c r="D807" s="43" t="n"/>
      <c r="E807" s="40" t="n"/>
      <c r="F807" s="40" t="n"/>
      <c r="G807" s="44">
        <f>IFERROR(VLOOKUP(C807,Cleaners!$B$6:$I$35,8,FALSE),0)</f>
        <v/>
      </c>
      <c r="H807" s="39" t="n"/>
      <c r="I807" s="46" t="n"/>
      <c r="J807" s="39" t="n"/>
      <c r="K807" s="44">
        <f>IF(C807="","",IFERROR(D807,0)*G807+IFERROR(E807,0)+IFERROR(F807,0))</f>
        <v/>
      </c>
    </row>
    <row r="808">
      <c r="A808" s="42" t="n"/>
      <c r="B808" s="39" t="n"/>
      <c r="C808" s="39" t="n"/>
      <c r="D808" s="43" t="n"/>
      <c r="E808" s="40" t="n"/>
      <c r="F808" s="40" t="n"/>
      <c r="G808" s="44">
        <f>IFERROR(VLOOKUP(C808,Cleaners!$B$6:$I$35,8,FALSE),0)</f>
        <v/>
      </c>
      <c r="H808" s="39" t="n"/>
      <c r="I808" s="46" t="n"/>
      <c r="J808" s="39" t="n"/>
      <c r="K808" s="44">
        <f>IF(C808="","",IFERROR(D808,0)*G808+IFERROR(E808,0)+IFERROR(F808,0))</f>
        <v/>
      </c>
    </row>
    <row r="809">
      <c r="A809" s="42" t="n"/>
      <c r="B809" s="39" t="n"/>
      <c r="C809" s="39" t="n"/>
      <c r="D809" s="43" t="n"/>
      <c r="E809" s="40" t="n"/>
      <c r="F809" s="40" t="n"/>
      <c r="G809" s="44">
        <f>IFERROR(VLOOKUP(C809,Cleaners!$B$6:$I$35,8,FALSE),0)</f>
        <v/>
      </c>
      <c r="H809" s="39" t="n"/>
      <c r="I809" s="46" t="n"/>
      <c r="J809" s="39" t="n"/>
      <c r="K809" s="44">
        <f>IF(C809="","",IFERROR(D809,0)*G809+IFERROR(E809,0)+IFERROR(F809,0))</f>
        <v/>
      </c>
    </row>
    <row r="810">
      <c r="A810" s="42" t="n"/>
      <c r="B810" s="39" t="n"/>
      <c r="C810" s="39" t="n"/>
      <c r="D810" s="43" t="n"/>
      <c r="E810" s="40" t="n"/>
      <c r="F810" s="40" t="n"/>
      <c r="G810" s="44">
        <f>IFERROR(VLOOKUP(C810,Cleaners!$B$6:$I$35,8,FALSE),0)</f>
        <v/>
      </c>
      <c r="H810" s="39" t="n"/>
      <c r="I810" s="46" t="n"/>
      <c r="J810" s="39" t="n"/>
      <c r="K810" s="44">
        <f>IF(C810="","",IFERROR(D810,0)*G810+IFERROR(E810,0)+IFERROR(F810,0))</f>
        <v/>
      </c>
    </row>
    <row r="811">
      <c r="A811" s="42" t="n"/>
      <c r="B811" s="39" t="n"/>
      <c r="C811" s="39" t="n"/>
      <c r="D811" s="43" t="n"/>
      <c r="E811" s="40" t="n"/>
      <c r="F811" s="40" t="n"/>
      <c r="G811" s="44">
        <f>IFERROR(VLOOKUP(C811,Cleaners!$B$6:$I$35,8,FALSE),0)</f>
        <v/>
      </c>
      <c r="H811" s="39" t="n"/>
      <c r="I811" s="46" t="n"/>
      <c r="J811" s="39" t="n"/>
      <c r="K811" s="44">
        <f>IF(C811="","",IFERROR(D811,0)*G811+IFERROR(E811,0)+IFERROR(F811,0))</f>
        <v/>
      </c>
    </row>
    <row r="812">
      <c r="A812" s="42" t="n"/>
      <c r="B812" s="39" t="n"/>
      <c r="C812" s="39" t="n"/>
      <c r="D812" s="43" t="n"/>
      <c r="E812" s="40" t="n"/>
      <c r="F812" s="40" t="n"/>
      <c r="G812" s="44">
        <f>IFERROR(VLOOKUP(C812,Cleaners!$B$6:$I$35,8,FALSE),0)</f>
        <v/>
      </c>
      <c r="H812" s="39" t="n"/>
      <c r="I812" s="46" t="n"/>
      <c r="J812" s="39" t="n"/>
      <c r="K812" s="44">
        <f>IF(C812="","",IFERROR(D812,0)*G812+IFERROR(E812,0)+IFERROR(F812,0))</f>
        <v/>
      </c>
    </row>
    <row r="813">
      <c r="A813" s="42" t="n"/>
      <c r="B813" s="39" t="n"/>
      <c r="C813" s="39" t="n"/>
      <c r="D813" s="43" t="n"/>
      <c r="E813" s="40" t="n"/>
      <c r="F813" s="40" t="n"/>
      <c r="G813" s="44">
        <f>IFERROR(VLOOKUP(C813,Cleaners!$B$6:$I$35,8,FALSE),0)</f>
        <v/>
      </c>
      <c r="H813" s="39" t="n"/>
      <c r="I813" s="46" t="n"/>
      <c r="J813" s="39" t="n"/>
      <c r="K813" s="44">
        <f>IF(C813="","",IFERROR(D813,0)*G813+IFERROR(E813,0)+IFERROR(F813,0))</f>
        <v/>
      </c>
    </row>
    <row r="814">
      <c r="A814" s="42" t="n"/>
      <c r="B814" s="39" t="n"/>
      <c r="C814" s="39" t="n"/>
      <c r="D814" s="43" t="n"/>
      <c r="E814" s="40" t="n"/>
      <c r="F814" s="40" t="n"/>
      <c r="G814" s="44">
        <f>IFERROR(VLOOKUP(C814,Cleaners!$B$6:$I$35,8,FALSE),0)</f>
        <v/>
      </c>
      <c r="H814" s="39" t="n"/>
      <c r="I814" s="46" t="n"/>
      <c r="J814" s="39" t="n"/>
      <c r="K814" s="44">
        <f>IF(C814="","",IFERROR(D814,0)*G814+IFERROR(E814,0)+IFERROR(F814,0))</f>
        <v/>
      </c>
    </row>
    <row r="815">
      <c r="A815" s="42" t="n"/>
      <c r="B815" s="39" t="n"/>
      <c r="C815" s="39" t="n"/>
      <c r="D815" s="43" t="n"/>
      <c r="E815" s="40" t="n"/>
      <c r="F815" s="40" t="n"/>
      <c r="G815" s="44">
        <f>IFERROR(VLOOKUP(C815,Cleaners!$B$6:$I$35,8,FALSE),0)</f>
        <v/>
      </c>
      <c r="H815" s="39" t="n"/>
      <c r="I815" s="46" t="n"/>
      <c r="J815" s="39" t="n"/>
      <c r="K815" s="44">
        <f>IF(C815="","",IFERROR(D815,0)*G815+IFERROR(E815,0)+IFERROR(F815,0))</f>
        <v/>
      </c>
    </row>
    <row r="816">
      <c r="A816" s="42" t="n"/>
      <c r="B816" s="39" t="n"/>
      <c r="C816" s="39" t="n"/>
      <c r="D816" s="43" t="n"/>
      <c r="E816" s="40" t="n"/>
      <c r="F816" s="40" t="n"/>
      <c r="G816" s="44">
        <f>IFERROR(VLOOKUP(C816,Cleaners!$B$6:$I$35,8,FALSE),0)</f>
        <v/>
      </c>
      <c r="H816" s="39" t="n"/>
      <c r="I816" s="46" t="n"/>
      <c r="J816" s="39" t="n"/>
      <c r="K816" s="44">
        <f>IF(C816="","",IFERROR(D816,0)*G816+IFERROR(E816,0)+IFERROR(F816,0))</f>
        <v/>
      </c>
    </row>
    <row r="817">
      <c r="A817" s="42" t="n"/>
      <c r="B817" s="39" t="n"/>
      <c r="C817" s="39" t="n"/>
      <c r="D817" s="43" t="n"/>
      <c r="E817" s="40" t="n"/>
      <c r="F817" s="40" t="n"/>
      <c r="G817" s="44">
        <f>IFERROR(VLOOKUP(C817,Cleaners!$B$6:$I$35,8,FALSE),0)</f>
        <v/>
      </c>
      <c r="H817" s="39" t="n"/>
      <c r="I817" s="46" t="n"/>
      <c r="J817" s="39" t="n"/>
      <c r="K817" s="44">
        <f>IF(C817="","",IFERROR(D817,0)*G817+IFERROR(E817,0)+IFERROR(F817,0))</f>
        <v/>
      </c>
    </row>
    <row r="818">
      <c r="A818" s="42" t="n"/>
      <c r="B818" s="39" t="n"/>
      <c r="C818" s="39" t="n"/>
      <c r="D818" s="43" t="n"/>
      <c r="E818" s="40" t="n"/>
      <c r="F818" s="40" t="n"/>
      <c r="G818" s="44">
        <f>IFERROR(VLOOKUP(C818,Cleaners!$B$6:$I$35,8,FALSE),0)</f>
        <v/>
      </c>
      <c r="H818" s="39" t="n"/>
      <c r="I818" s="46" t="n"/>
      <c r="J818" s="39" t="n"/>
      <c r="K818" s="44">
        <f>IF(C818="","",IFERROR(D818,0)*G818+IFERROR(E818,0)+IFERROR(F818,0))</f>
        <v/>
      </c>
    </row>
    <row r="819">
      <c r="A819" s="42" t="n"/>
      <c r="B819" s="39" t="n"/>
      <c r="C819" s="39" t="n"/>
      <c r="D819" s="43" t="n"/>
      <c r="E819" s="40" t="n"/>
      <c r="F819" s="40" t="n"/>
      <c r="G819" s="44">
        <f>IFERROR(VLOOKUP(C819,Cleaners!$B$6:$I$35,8,FALSE),0)</f>
        <v/>
      </c>
      <c r="H819" s="39" t="n"/>
      <c r="I819" s="46" t="n"/>
      <c r="J819" s="39" t="n"/>
      <c r="K819" s="44">
        <f>IF(C819="","",IFERROR(D819,0)*G819+IFERROR(E819,0)+IFERROR(F819,0))</f>
        <v/>
      </c>
    </row>
    <row r="820">
      <c r="A820" s="42" t="n"/>
      <c r="B820" s="39" t="n"/>
      <c r="C820" s="39" t="n"/>
      <c r="D820" s="43" t="n"/>
      <c r="E820" s="40" t="n"/>
      <c r="F820" s="40" t="n"/>
      <c r="G820" s="44">
        <f>IFERROR(VLOOKUP(C820,Cleaners!$B$6:$I$35,8,FALSE),0)</f>
        <v/>
      </c>
      <c r="H820" s="39" t="n"/>
      <c r="I820" s="46" t="n"/>
      <c r="J820" s="39" t="n"/>
      <c r="K820" s="44">
        <f>IF(C820="","",IFERROR(D820,0)*G820+IFERROR(E820,0)+IFERROR(F820,0))</f>
        <v/>
      </c>
    </row>
    <row r="821">
      <c r="A821" s="42" t="n"/>
      <c r="B821" s="39" t="n"/>
      <c r="C821" s="39" t="n"/>
      <c r="D821" s="43" t="n"/>
      <c r="E821" s="40" t="n"/>
      <c r="F821" s="40" t="n"/>
      <c r="G821" s="44">
        <f>IFERROR(VLOOKUP(C821,Cleaners!$B$6:$I$35,8,FALSE),0)</f>
        <v/>
      </c>
      <c r="H821" s="39" t="n"/>
      <c r="I821" s="46" t="n"/>
      <c r="J821" s="39" t="n"/>
      <c r="K821" s="44">
        <f>IF(C821="","",IFERROR(D821,0)*G821+IFERROR(E821,0)+IFERROR(F821,0))</f>
        <v/>
      </c>
    </row>
    <row r="822">
      <c r="A822" s="42" t="n"/>
      <c r="B822" s="39" t="n"/>
      <c r="C822" s="39" t="n"/>
      <c r="D822" s="43" t="n"/>
      <c r="E822" s="40" t="n"/>
      <c r="F822" s="40" t="n"/>
      <c r="G822" s="44">
        <f>IFERROR(VLOOKUP(C822,Cleaners!$B$6:$I$35,8,FALSE),0)</f>
        <v/>
      </c>
      <c r="H822" s="39" t="n"/>
      <c r="I822" s="46" t="n"/>
      <c r="J822" s="39" t="n"/>
      <c r="K822" s="44">
        <f>IF(C822="","",IFERROR(D822,0)*G822+IFERROR(E822,0)+IFERROR(F822,0))</f>
        <v/>
      </c>
    </row>
    <row r="823">
      <c r="A823" s="42" t="n"/>
      <c r="B823" s="39" t="n"/>
      <c r="C823" s="39" t="n"/>
      <c r="D823" s="43" t="n"/>
      <c r="E823" s="40" t="n"/>
      <c r="F823" s="40" t="n"/>
      <c r="G823" s="44">
        <f>IFERROR(VLOOKUP(C823,Cleaners!$B$6:$I$35,8,FALSE),0)</f>
        <v/>
      </c>
      <c r="H823" s="39" t="n"/>
      <c r="I823" s="46" t="n"/>
      <c r="J823" s="39" t="n"/>
      <c r="K823" s="44">
        <f>IF(C823="","",IFERROR(D823,0)*G823+IFERROR(E823,0)+IFERROR(F823,0))</f>
        <v/>
      </c>
    </row>
    <row r="824">
      <c r="A824" s="42" t="n"/>
      <c r="B824" s="39" t="n"/>
      <c r="C824" s="39" t="n"/>
      <c r="D824" s="43" t="n"/>
      <c r="E824" s="40" t="n"/>
      <c r="F824" s="40" t="n"/>
      <c r="G824" s="44">
        <f>IFERROR(VLOOKUP(C824,Cleaners!$B$6:$I$35,8,FALSE),0)</f>
        <v/>
      </c>
      <c r="H824" s="39" t="n"/>
      <c r="I824" s="46" t="n"/>
      <c r="J824" s="39" t="n"/>
      <c r="K824" s="44">
        <f>IF(C824="","",IFERROR(D824,0)*G824+IFERROR(E824,0)+IFERROR(F824,0))</f>
        <v/>
      </c>
    </row>
    <row r="825">
      <c r="A825" s="42" t="n"/>
      <c r="B825" s="39" t="n"/>
      <c r="C825" s="39" t="n"/>
      <c r="D825" s="43" t="n"/>
      <c r="E825" s="40" t="n"/>
      <c r="F825" s="40" t="n"/>
      <c r="G825" s="44">
        <f>IFERROR(VLOOKUP(C825,Cleaners!$B$6:$I$35,8,FALSE),0)</f>
        <v/>
      </c>
      <c r="H825" s="39" t="n"/>
      <c r="I825" s="46" t="n"/>
      <c r="J825" s="39" t="n"/>
      <c r="K825" s="44">
        <f>IF(C825="","",IFERROR(D825,0)*G825+IFERROR(E825,0)+IFERROR(F825,0))</f>
        <v/>
      </c>
    </row>
    <row r="826">
      <c r="A826" s="42" t="n"/>
      <c r="B826" s="39" t="n"/>
      <c r="C826" s="39" t="n"/>
      <c r="D826" s="43" t="n"/>
      <c r="E826" s="40" t="n"/>
      <c r="F826" s="40" t="n"/>
      <c r="G826" s="44">
        <f>IFERROR(VLOOKUP(C826,Cleaners!$B$6:$I$35,8,FALSE),0)</f>
        <v/>
      </c>
      <c r="H826" s="39" t="n"/>
      <c r="I826" s="46" t="n"/>
      <c r="J826" s="39" t="n"/>
      <c r="K826" s="44">
        <f>IF(C826="","",IFERROR(D826,0)*G826+IFERROR(E826,0)+IFERROR(F826,0))</f>
        <v/>
      </c>
    </row>
    <row r="827">
      <c r="A827" s="42" t="n"/>
      <c r="B827" s="39" t="n"/>
      <c r="C827" s="39" t="n"/>
      <c r="D827" s="43" t="n"/>
      <c r="E827" s="40" t="n"/>
      <c r="F827" s="40" t="n"/>
      <c r="G827" s="44">
        <f>IFERROR(VLOOKUP(C827,Cleaners!$B$6:$I$35,8,FALSE),0)</f>
        <v/>
      </c>
      <c r="H827" s="39" t="n"/>
      <c r="I827" s="46" t="n"/>
      <c r="J827" s="39" t="n"/>
      <c r="K827" s="44">
        <f>IF(C827="","",IFERROR(D827,0)*G827+IFERROR(E827,0)+IFERROR(F827,0))</f>
        <v/>
      </c>
    </row>
    <row r="828">
      <c r="A828" s="42" t="n"/>
      <c r="B828" s="39" t="n"/>
      <c r="C828" s="39" t="n"/>
      <c r="D828" s="43" t="n"/>
      <c r="E828" s="40" t="n"/>
      <c r="F828" s="40" t="n"/>
      <c r="G828" s="44">
        <f>IFERROR(VLOOKUP(C828,Cleaners!$B$6:$I$35,8,FALSE),0)</f>
        <v/>
      </c>
      <c r="H828" s="39" t="n"/>
      <c r="I828" s="46" t="n"/>
      <c r="J828" s="39" t="n"/>
      <c r="K828" s="44">
        <f>IF(C828="","",IFERROR(D828,0)*G828+IFERROR(E828,0)+IFERROR(F828,0))</f>
        <v/>
      </c>
    </row>
    <row r="829">
      <c r="A829" s="42" t="n"/>
      <c r="B829" s="39" t="n"/>
      <c r="C829" s="39" t="n"/>
      <c r="D829" s="43" t="n"/>
      <c r="E829" s="40" t="n"/>
      <c r="F829" s="40" t="n"/>
      <c r="G829" s="44">
        <f>IFERROR(VLOOKUP(C829,Cleaners!$B$6:$I$35,8,FALSE),0)</f>
        <v/>
      </c>
      <c r="H829" s="39" t="n"/>
      <c r="I829" s="46" t="n"/>
      <c r="J829" s="39" t="n"/>
      <c r="K829" s="44">
        <f>IF(C829="","",IFERROR(D829,0)*G829+IFERROR(E829,0)+IFERROR(F829,0))</f>
        <v/>
      </c>
    </row>
    <row r="830">
      <c r="A830" s="42" t="n"/>
      <c r="B830" s="39" t="n"/>
      <c r="C830" s="39" t="n"/>
      <c r="D830" s="43" t="n"/>
      <c r="E830" s="40" t="n"/>
      <c r="F830" s="40" t="n"/>
      <c r="G830" s="44">
        <f>IFERROR(VLOOKUP(C830,Cleaners!$B$6:$I$35,8,FALSE),0)</f>
        <v/>
      </c>
      <c r="H830" s="39" t="n"/>
      <c r="I830" s="46" t="n"/>
      <c r="J830" s="39" t="n"/>
      <c r="K830" s="44">
        <f>IF(C830="","",IFERROR(D830,0)*G830+IFERROR(E830,0)+IFERROR(F830,0))</f>
        <v/>
      </c>
    </row>
    <row r="831">
      <c r="A831" s="42" t="n"/>
      <c r="B831" s="39" t="n"/>
      <c r="C831" s="39" t="n"/>
      <c r="D831" s="43" t="n"/>
      <c r="E831" s="40" t="n"/>
      <c r="F831" s="40" t="n"/>
      <c r="G831" s="44">
        <f>IFERROR(VLOOKUP(C831,Cleaners!$B$6:$I$35,8,FALSE),0)</f>
        <v/>
      </c>
      <c r="H831" s="39" t="n"/>
      <c r="I831" s="46" t="n"/>
      <c r="J831" s="39" t="n"/>
      <c r="K831" s="44">
        <f>IF(C831="","",IFERROR(D831,0)*G831+IFERROR(E831,0)+IFERROR(F831,0))</f>
        <v/>
      </c>
    </row>
    <row r="832">
      <c r="A832" s="42" t="n"/>
      <c r="B832" s="39" t="n"/>
      <c r="C832" s="39" t="n"/>
      <c r="D832" s="43" t="n"/>
      <c r="E832" s="40" t="n"/>
      <c r="F832" s="40" t="n"/>
      <c r="G832" s="44">
        <f>IFERROR(VLOOKUP(C832,Cleaners!$B$6:$I$35,8,FALSE),0)</f>
        <v/>
      </c>
      <c r="H832" s="39" t="n"/>
      <c r="I832" s="46" t="n"/>
      <c r="J832" s="39" t="n"/>
      <c r="K832" s="44">
        <f>IF(C832="","",IFERROR(D832,0)*G832+IFERROR(E832,0)+IFERROR(F832,0))</f>
        <v/>
      </c>
    </row>
    <row r="833">
      <c r="A833" s="42" t="n"/>
      <c r="B833" s="39" t="n"/>
      <c r="C833" s="39" t="n"/>
      <c r="D833" s="43" t="n"/>
      <c r="E833" s="40" t="n"/>
      <c r="F833" s="40" t="n"/>
      <c r="G833" s="44">
        <f>IFERROR(VLOOKUP(C833,Cleaners!$B$6:$I$35,8,FALSE),0)</f>
        <v/>
      </c>
      <c r="H833" s="39" t="n"/>
      <c r="I833" s="46" t="n"/>
      <c r="J833" s="39" t="n"/>
      <c r="K833" s="44">
        <f>IF(C833="","",IFERROR(D833,0)*G833+IFERROR(E833,0)+IFERROR(F833,0))</f>
        <v/>
      </c>
    </row>
    <row r="834">
      <c r="A834" s="42" t="n"/>
      <c r="B834" s="39" t="n"/>
      <c r="C834" s="39" t="n"/>
      <c r="D834" s="43" t="n"/>
      <c r="E834" s="40" t="n"/>
      <c r="F834" s="40" t="n"/>
      <c r="G834" s="44">
        <f>IFERROR(VLOOKUP(C834,Cleaners!$B$6:$I$35,8,FALSE),0)</f>
        <v/>
      </c>
      <c r="H834" s="39" t="n"/>
      <c r="I834" s="46" t="n"/>
      <c r="J834" s="39" t="n"/>
      <c r="K834" s="44">
        <f>IF(C834="","",IFERROR(D834,0)*G834+IFERROR(E834,0)+IFERROR(F834,0))</f>
        <v/>
      </c>
    </row>
    <row r="835">
      <c r="A835" s="42" t="n"/>
      <c r="B835" s="39" t="n"/>
      <c r="C835" s="39" t="n"/>
      <c r="D835" s="43" t="n"/>
      <c r="E835" s="40" t="n"/>
      <c r="F835" s="40" t="n"/>
      <c r="G835" s="44">
        <f>IFERROR(VLOOKUP(C835,Cleaners!$B$6:$I$35,8,FALSE),0)</f>
        <v/>
      </c>
      <c r="H835" s="39" t="n"/>
      <c r="I835" s="46" t="n"/>
      <c r="J835" s="39" t="n"/>
      <c r="K835" s="44">
        <f>IF(C835="","",IFERROR(D835,0)*G835+IFERROR(E835,0)+IFERROR(F835,0))</f>
        <v/>
      </c>
    </row>
    <row r="836">
      <c r="A836" s="42" t="n"/>
      <c r="B836" s="39" t="n"/>
      <c r="C836" s="39" t="n"/>
      <c r="D836" s="43" t="n"/>
      <c r="E836" s="40" t="n"/>
      <c r="F836" s="40" t="n"/>
      <c r="G836" s="44">
        <f>IFERROR(VLOOKUP(C836,Cleaners!$B$6:$I$35,8,FALSE),0)</f>
        <v/>
      </c>
      <c r="H836" s="39" t="n"/>
      <c r="I836" s="46" t="n"/>
      <c r="J836" s="39" t="n"/>
      <c r="K836" s="44">
        <f>IF(C836="","",IFERROR(D836,0)*G836+IFERROR(E836,0)+IFERROR(F836,0))</f>
        <v/>
      </c>
    </row>
    <row r="837">
      <c r="A837" s="42" t="n"/>
      <c r="B837" s="39" t="n"/>
      <c r="C837" s="39" t="n"/>
      <c r="D837" s="43" t="n"/>
      <c r="E837" s="40" t="n"/>
      <c r="F837" s="40" t="n"/>
      <c r="G837" s="44">
        <f>IFERROR(VLOOKUP(C837,Cleaners!$B$6:$I$35,8,FALSE),0)</f>
        <v/>
      </c>
      <c r="H837" s="39" t="n"/>
      <c r="I837" s="46" t="n"/>
      <c r="J837" s="39" t="n"/>
      <c r="K837" s="44">
        <f>IF(C837="","",IFERROR(D837,0)*G837+IFERROR(E837,0)+IFERROR(F837,0))</f>
        <v/>
      </c>
    </row>
    <row r="838">
      <c r="A838" s="42" t="n"/>
      <c r="B838" s="39" t="n"/>
      <c r="C838" s="39" t="n"/>
      <c r="D838" s="43" t="n"/>
      <c r="E838" s="40" t="n"/>
      <c r="F838" s="40" t="n"/>
      <c r="G838" s="44">
        <f>IFERROR(VLOOKUP(C838,Cleaners!$B$6:$I$35,8,FALSE),0)</f>
        <v/>
      </c>
      <c r="H838" s="39" t="n"/>
      <c r="I838" s="46" t="n"/>
      <c r="J838" s="39" t="n"/>
      <c r="K838" s="44">
        <f>IF(C838="","",IFERROR(D838,0)*G838+IFERROR(E838,0)+IFERROR(F838,0))</f>
        <v/>
      </c>
    </row>
    <row r="839">
      <c r="A839" s="42" t="n"/>
      <c r="B839" s="39" t="n"/>
      <c r="C839" s="39" t="n"/>
      <c r="D839" s="43" t="n"/>
      <c r="E839" s="40" t="n"/>
      <c r="F839" s="40" t="n"/>
      <c r="G839" s="44">
        <f>IFERROR(VLOOKUP(C839,Cleaners!$B$6:$I$35,8,FALSE),0)</f>
        <v/>
      </c>
      <c r="H839" s="39" t="n"/>
      <c r="I839" s="46" t="n"/>
      <c r="J839" s="39" t="n"/>
      <c r="K839" s="44">
        <f>IF(C839="","",IFERROR(D839,0)*G839+IFERROR(E839,0)+IFERROR(F839,0))</f>
        <v/>
      </c>
    </row>
    <row r="840">
      <c r="A840" s="42" t="n"/>
      <c r="B840" s="39" t="n"/>
      <c r="C840" s="39" t="n"/>
      <c r="D840" s="43" t="n"/>
      <c r="E840" s="40" t="n"/>
      <c r="F840" s="40" t="n"/>
      <c r="G840" s="44">
        <f>IFERROR(VLOOKUP(C840,Cleaners!$B$6:$I$35,8,FALSE),0)</f>
        <v/>
      </c>
      <c r="H840" s="39" t="n"/>
      <c r="I840" s="46" t="n"/>
      <c r="J840" s="39" t="n"/>
      <c r="K840" s="44">
        <f>IF(C840="","",IFERROR(D840,0)*G840+IFERROR(E840,0)+IFERROR(F840,0))</f>
        <v/>
      </c>
    </row>
    <row r="841">
      <c r="A841" s="42" t="n"/>
      <c r="B841" s="39" t="n"/>
      <c r="C841" s="39" t="n"/>
      <c r="D841" s="43" t="n"/>
      <c r="E841" s="40" t="n"/>
      <c r="F841" s="40" t="n"/>
      <c r="G841" s="44">
        <f>IFERROR(VLOOKUP(C841,Cleaners!$B$6:$I$35,8,FALSE),0)</f>
        <v/>
      </c>
      <c r="H841" s="39" t="n"/>
      <c r="I841" s="46" t="n"/>
      <c r="J841" s="39" t="n"/>
      <c r="K841" s="44">
        <f>IF(C841="","",IFERROR(D841,0)*G841+IFERROR(E841,0)+IFERROR(F841,0))</f>
        <v/>
      </c>
    </row>
    <row r="842">
      <c r="A842" s="42" t="n"/>
      <c r="B842" s="39" t="n"/>
      <c r="C842" s="39" t="n"/>
      <c r="D842" s="43" t="n"/>
      <c r="E842" s="40" t="n"/>
      <c r="F842" s="40" t="n"/>
      <c r="G842" s="44">
        <f>IFERROR(VLOOKUP(C842,Cleaners!$B$6:$I$35,8,FALSE),0)</f>
        <v/>
      </c>
      <c r="H842" s="39" t="n"/>
      <c r="I842" s="46" t="n"/>
      <c r="J842" s="39" t="n"/>
      <c r="K842" s="44">
        <f>IF(C842="","",IFERROR(D842,0)*G842+IFERROR(E842,0)+IFERROR(F842,0))</f>
        <v/>
      </c>
    </row>
    <row r="843">
      <c r="A843" s="42" t="n"/>
      <c r="B843" s="39" t="n"/>
      <c r="C843" s="39" t="n"/>
      <c r="D843" s="43" t="n"/>
      <c r="E843" s="40" t="n"/>
      <c r="F843" s="40" t="n"/>
      <c r="G843" s="44">
        <f>IFERROR(VLOOKUP(C843,Cleaners!$B$6:$I$35,8,FALSE),0)</f>
        <v/>
      </c>
      <c r="H843" s="39" t="n"/>
      <c r="I843" s="46" t="n"/>
      <c r="J843" s="39" t="n"/>
      <c r="K843" s="44">
        <f>IF(C843="","",IFERROR(D843,0)*G843+IFERROR(E843,0)+IFERROR(F843,0))</f>
        <v/>
      </c>
    </row>
    <row r="844">
      <c r="A844" s="42" t="n"/>
      <c r="B844" s="39" t="n"/>
      <c r="C844" s="39" t="n"/>
      <c r="D844" s="43" t="n"/>
      <c r="E844" s="40" t="n"/>
      <c r="F844" s="40" t="n"/>
      <c r="G844" s="44">
        <f>IFERROR(VLOOKUP(C844,Cleaners!$B$6:$I$35,8,FALSE),0)</f>
        <v/>
      </c>
      <c r="H844" s="39" t="n"/>
      <c r="I844" s="46" t="n"/>
      <c r="J844" s="39" t="n"/>
      <c r="K844" s="44">
        <f>IF(C844="","",IFERROR(D844,0)*G844+IFERROR(E844,0)+IFERROR(F844,0))</f>
        <v/>
      </c>
    </row>
    <row r="845">
      <c r="A845" s="42" t="n"/>
      <c r="B845" s="39" t="n"/>
      <c r="C845" s="39" t="n"/>
      <c r="D845" s="43" t="n"/>
      <c r="E845" s="40" t="n"/>
      <c r="F845" s="40" t="n"/>
      <c r="G845" s="44">
        <f>IFERROR(VLOOKUP(C845,Cleaners!$B$6:$I$35,8,FALSE),0)</f>
        <v/>
      </c>
      <c r="H845" s="39" t="n"/>
      <c r="I845" s="46" t="n"/>
      <c r="J845" s="39" t="n"/>
      <c r="K845" s="44">
        <f>IF(C845="","",IFERROR(D845,0)*G845+IFERROR(E845,0)+IFERROR(F845,0))</f>
        <v/>
      </c>
    </row>
    <row r="846">
      <c r="A846" s="42" t="n"/>
      <c r="B846" s="39" t="n"/>
      <c r="C846" s="39" t="n"/>
      <c r="D846" s="43" t="n"/>
      <c r="E846" s="40" t="n"/>
      <c r="F846" s="40" t="n"/>
      <c r="G846" s="44">
        <f>IFERROR(VLOOKUP(C846,Cleaners!$B$6:$I$35,8,FALSE),0)</f>
        <v/>
      </c>
      <c r="H846" s="39" t="n"/>
      <c r="I846" s="46" t="n"/>
      <c r="J846" s="39" t="n"/>
      <c r="K846" s="44">
        <f>IF(C846="","",IFERROR(D846,0)*G846+IFERROR(E846,0)+IFERROR(F846,0))</f>
        <v/>
      </c>
    </row>
    <row r="847">
      <c r="A847" s="42" t="n"/>
      <c r="B847" s="39" t="n"/>
      <c r="C847" s="39" t="n"/>
      <c r="D847" s="43" t="n"/>
      <c r="E847" s="40" t="n"/>
      <c r="F847" s="40" t="n"/>
      <c r="G847" s="44">
        <f>IFERROR(VLOOKUP(C847,Cleaners!$B$6:$I$35,8,FALSE),0)</f>
        <v/>
      </c>
      <c r="H847" s="39" t="n"/>
      <c r="I847" s="46" t="n"/>
      <c r="J847" s="39" t="n"/>
      <c r="K847" s="44">
        <f>IF(C847="","",IFERROR(D847,0)*G847+IFERROR(E847,0)+IFERROR(F847,0))</f>
        <v/>
      </c>
    </row>
    <row r="848">
      <c r="A848" s="42" t="n"/>
      <c r="B848" s="39" t="n"/>
      <c r="C848" s="39" t="n"/>
      <c r="D848" s="43" t="n"/>
      <c r="E848" s="40" t="n"/>
      <c r="F848" s="40" t="n"/>
      <c r="G848" s="44">
        <f>IFERROR(VLOOKUP(C848,Cleaners!$B$6:$I$35,8,FALSE),0)</f>
        <v/>
      </c>
      <c r="H848" s="39" t="n"/>
      <c r="I848" s="46" t="n"/>
      <c r="J848" s="39" t="n"/>
      <c r="K848" s="44">
        <f>IF(C848="","",IFERROR(D848,0)*G848+IFERROR(E848,0)+IFERROR(F848,0))</f>
        <v/>
      </c>
    </row>
    <row r="849">
      <c r="A849" s="42" t="n"/>
      <c r="B849" s="39" t="n"/>
      <c r="C849" s="39" t="n"/>
      <c r="D849" s="43" t="n"/>
      <c r="E849" s="40" t="n"/>
      <c r="F849" s="40" t="n"/>
      <c r="G849" s="44">
        <f>IFERROR(VLOOKUP(C849,Cleaners!$B$6:$I$35,8,FALSE),0)</f>
        <v/>
      </c>
      <c r="H849" s="39" t="n"/>
      <c r="I849" s="46" t="n"/>
      <c r="J849" s="39" t="n"/>
      <c r="K849" s="44">
        <f>IF(C849="","",IFERROR(D849,0)*G849+IFERROR(E849,0)+IFERROR(F849,0))</f>
        <v/>
      </c>
    </row>
    <row r="850">
      <c r="A850" s="42" t="n"/>
      <c r="B850" s="39" t="n"/>
      <c r="C850" s="39" t="n"/>
      <c r="D850" s="43" t="n"/>
      <c r="E850" s="40" t="n"/>
      <c r="F850" s="40" t="n"/>
      <c r="G850" s="44">
        <f>IFERROR(VLOOKUP(C850,Cleaners!$B$6:$I$35,8,FALSE),0)</f>
        <v/>
      </c>
      <c r="H850" s="39" t="n"/>
      <c r="I850" s="46" t="n"/>
      <c r="J850" s="39" t="n"/>
      <c r="K850" s="44">
        <f>IF(C850="","",IFERROR(D850,0)*G850+IFERROR(E850,0)+IFERROR(F850,0))</f>
        <v/>
      </c>
    </row>
    <row r="851">
      <c r="A851" s="42" t="n"/>
      <c r="B851" s="39" t="n"/>
      <c r="C851" s="39" t="n"/>
      <c r="D851" s="43" t="n"/>
      <c r="E851" s="40" t="n"/>
      <c r="F851" s="40" t="n"/>
      <c r="G851" s="44">
        <f>IFERROR(VLOOKUP(C851,Cleaners!$B$6:$I$35,8,FALSE),0)</f>
        <v/>
      </c>
      <c r="H851" s="39" t="n"/>
      <c r="I851" s="46" t="n"/>
      <c r="J851" s="39" t="n"/>
      <c r="K851" s="44">
        <f>IF(C851="","",IFERROR(D851,0)*G851+IFERROR(E851,0)+IFERROR(F851,0))</f>
        <v/>
      </c>
    </row>
    <row r="852">
      <c r="A852" s="42" t="n"/>
      <c r="B852" s="39" t="n"/>
      <c r="C852" s="39" t="n"/>
      <c r="D852" s="43" t="n"/>
      <c r="E852" s="40" t="n"/>
      <c r="F852" s="40" t="n"/>
      <c r="G852" s="44">
        <f>IFERROR(VLOOKUP(C852,Cleaners!$B$6:$I$35,8,FALSE),0)</f>
        <v/>
      </c>
      <c r="H852" s="39" t="n"/>
      <c r="I852" s="46" t="n"/>
      <c r="J852" s="39" t="n"/>
      <c r="K852" s="44">
        <f>IF(C852="","",IFERROR(D852,0)*G852+IFERROR(E852,0)+IFERROR(F852,0))</f>
        <v/>
      </c>
    </row>
    <row r="853">
      <c r="A853" s="42" t="n"/>
      <c r="B853" s="39" t="n"/>
      <c r="C853" s="39" t="n"/>
      <c r="D853" s="43" t="n"/>
      <c r="E853" s="40" t="n"/>
      <c r="F853" s="40" t="n"/>
      <c r="G853" s="44">
        <f>IFERROR(VLOOKUP(C853,Cleaners!$B$6:$I$35,8,FALSE),0)</f>
        <v/>
      </c>
      <c r="H853" s="39" t="n"/>
      <c r="I853" s="46" t="n"/>
      <c r="J853" s="39" t="n"/>
      <c r="K853" s="44">
        <f>IF(C853="","",IFERROR(D853,0)*G853+IFERROR(E853,0)+IFERROR(F853,0))</f>
        <v/>
      </c>
    </row>
    <row r="854">
      <c r="A854" s="42" t="n"/>
      <c r="B854" s="39" t="n"/>
      <c r="C854" s="39" t="n"/>
      <c r="D854" s="43" t="n"/>
      <c r="E854" s="40" t="n"/>
      <c r="F854" s="40" t="n"/>
      <c r="G854" s="44">
        <f>IFERROR(VLOOKUP(C854,Cleaners!$B$6:$I$35,8,FALSE),0)</f>
        <v/>
      </c>
      <c r="H854" s="39" t="n"/>
      <c r="I854" s="46" t="n"/>
      <c r="J854" s="39" t="n"/>
      <c r="K854" s="44">
        <f>IF(C854="","",IFERROR(D854,0)*G854+IFERROR(E854,0)+IFERROR(F854,0))</f>
        <v/>
      </c>
    </row>
    <row r="855">
      <c r="A855" s="42" t="n"/>
      <c r="B855" s="39" t="n"/>
      <c r="C855" s="39" t="n"/>
      <c r="D855" s="43" t="n"/>
      <c r="E855" s="40" t="n"/>
      <c r="F855" s="40" t="n"/>
      <c r="G855" s="44">
        <f>IFERROR(VLOOKUP(C855,Cleaners!$B$6:$I$35,8,FALSE),0)</f>
        <v/>
      </c>
      <c r="H855" s="39" t="n"/>
      <c r="I855" s="46" t="n"/>
      <c r="J855" s="39" t="n"/>
      <c r="K855" s="44">
        <f>IF(C855="","",IFERROR(D855,0)*G855+IFERROR(E855,0)+IFERROR(F855,0))</f>
        <v/>
      </c>
    </row>
    <row r="856">
      <c r="A856" s="42" t="n"/>
      <c r="B856" s="39" t="n"/>
      <c r="C856" s="39" t="n"/>
      <c r="D856" s="43" t="n"/>
      <c r="E856" s="40" t="n"/>
      <c r="F856" s="40" t="n"/>
      <c r="G856" s="44">
        <f>IFERROR(VLOOKUP(C856,Cleaners!$B$6:$I$35,8,FALSE),0)</f>
        <v/>
      </c>
      <c r="H856" s="39" t="n"/>
      <c r="I856" s="46" t="n"/>
      <c r="J856" s="39" t="n"/>
      <c r="K856" s="44">
        <f>IF(C856="","",IFERROR(D856,0)*G856+IFERROR(E856,0)+IFERROR(F856,0))</f>
        <v/>
      </c>
    </row>
    <row r="857">
      <c r="A857" s="42" t="n"/>
      <c r="B857" s="39" t="n"/>
      <c r="C857" s="39" t="n"/>
      <c r="D857" s="43" t="n"/>
      <c r="E857" s="40" t="n"/>
      <c r="F857" s="40" t="n"/>
      <c r="G857" s="44">
        <f>IFERROR(VLOOKUP(C857,Cleaners!$B$6:$I$35,8,FALSE),0)</f>
        <v/>
      </c>
      <c r="H857" s="39" t="n"/>
      <c r="I857" s="46" t="n"/>
      <c r="J857" s="39" t="n"/>
      <c r="K857" s="44">
        <f>IF(C857="","",IFERROR(D857,0)*G857+IFERROR(E857,0)+IFERROR(F857,0))</f>
        <v/>
      </c>
    </row>
    <row r="858">
      <c r="A858" s="42" t="n"/>
      <c r="B858" s="39" t="n"/>
      <c r="C858" s="39" t="n"/>
      <c r="D858" s="43" t="n"/>
      <c r="E858" s="40" t="n"/>
      <c r="F858" s="40" t="n"/>
      <c r="G858" s="44">
        <f>IFERROR(VLOOKUP(C858,Cleaners!$B$6:$I$35,8,FALSE),0)</f>
        <v/>
      </c>
      <c r="H858" s="39" t="n"/>
      <c r="I858" s="46" t="n"/>
      <c r="J858" s="39" t="n"/>
      <c r="K858" s="44">
        <f>IF(C858="","",IFERROR(D858,0)*G858+IFERROR(E858,0)+IFERROR(F858,0))</f>
        <v/>
      </c>
    </row>
    <row r="859">
      <c r="A859" s="42" t="n"/>
      <c r="B859" s="39" t="n"/>
      <c r="C859" s="39" t="n"/>
      <c r="D859" s="43" t="n"/>
      <c r="E859" s="40" t="n"/>
      <c r="F859" s="40" t="n"/>
      <c r="G859" s="44">
        <f>IFERROR(VLOOKUP(C859,Cleaners!$B$6:$I$35,8,FALSE),0)</f>
        <v/>
      </c>
      <c r="H859" s="39" t="n"/>
      <c r="I859" s="46" t="n"/>
      <c r="J859" s="39" t="n"/>
      <c r="K859" s="44">
        <f>IF(C859="","",IFERROR(D859,0)*G859+IFERROR(E859,0)+IFERROR(F859,0))</f>
        <v/>
      </c>
    </row>
    <row r="860">
      <c r="A860" s="42" t="n"/>
      <c r="B860" s="39" t="n"/>
      <c r="C860" s="39" t="n"/>
      <c r="D860" s="43" t="n"/>
      <c r="E860" s="40" t="n"/>
      <c r="F860" s="40" t="n"/>
      <c r="G860" s="44">
        <f>IFERROR(VLOOKUP(C860,Cleaners!$B$6:$I$35,8,FALSE),0)</f>
        <v/>
      </c>
      <c r="H860" s="39" t="n"/>
      <c r="I860" s="46" t="n"/>
      <c r="J860" s="39" t="n"/>
      <c r="K860" s="44">
        <f>IF(C860="","",IFERROR(D860,0)*G860+IFERROR(E860,0)+IFERROR(F860,0))</f>
        <v/>
      </c>
    </row>
    <row r="861">
      <c r="A861" s="42" t="n"/>
      <c r="B861" s="39" t="n"/>
      <c r="C861" s="39" t="n"/>
      <c r="D861" s="43" t="n"/>
      <c r="E861" s="40" t="n"/>
      <c r="F861" s="40" t="n"/>
      <c r="G861" s="44">
        <f>IFERROR(VLOOKUP(C861,Cleaners!$B$6:$I$35,8,FALSE),0)</f>
        <v/>
      </c>
      <c r="H861" s="39" t="n"/>
      <c r="I861" s="46" t="n"/>
      <c r="J861" s="39" t="n"/>
      <c r="K861" s="44">
        <f>IF(C861="","",IFERROR(D861,0)*G861+IFERROR(E861,0)+IFERROR(F861,0))</f>
        <v/>
      </c>
    </row>
    <row r="862">
      <c r="A862" s="42" t="n"/>
      <c r="B862" s="39" t="n"/>
      <c r="C862" s="39" t="n"/>
      <c r="D862" s="43" t="n"/>
      <c r="E862" s="40" t="n"/>
      <c r="F862" s="40" t="n"/>
      <c r="G862" s="44">
        <f>IFERROR(VLOOKUP(C862,Cleaners!$B$6:$I$35,8,FALSE),0)</f>
        <v/>
      </c>
      <c r="H862" s="39" t="n"/>
      <c r="I862" s="46" t="n"/>
      <c r="J862" s="39" t="n"/>
      <c r="K862" s="44">
        <f>IF(C862="","",IFERROR(D862,0)*G862+IFERROR(E862,0)+IFERROR(F862,0))</f>
        <v/>
      </c>
    </row>
    <row r="863">
      <c r="A863" s="42" t="n"/>
      <c r="B863" s="39" t="n"/>
      <c r="C863" s="39" t="n"/>
      <c r="D863" s="43" t="n"/>
      <c r="E863" s="40" t="n"/>
      <c r="F863" s="40" t="n"/>
      <c r="G863" s="44">
        <f>IFERROR(VLOOKUP(C863,Cleaners!$B$6:$I$35,8,FALSE),0)</f>
        <v/>
      </c>
      <c r="H863" s="39" t="n"/>
      <c r="I863" s="46" t="n"/>
      <c r="J863" s="39" t="n"/>
      <c r="K863" s="44">
        <f>IF(C863="","",IFERROR(D863,0)*G863+IFERROR(E863,0)+IFERROR(F863,0))</f>
        <v/>
      </c>
    </row>
    <row r="864">
      <c r="A864" s="42" t="n"/>
      <c r="B864" s="39" t="n"/>
      <c r="C864" s="39" t="n"/>
      <c r="D864" s="43" t="n"/>
      <c r="E864" s="40" t="n"/>
      <c r="F864" s="40" t="n"/>
      <c r="G864" s="44">
        <f>IFERROR(VLOOKUP(C864,Cleaners!$B$6:$I$35,8,FALSE),0)</f>
        <v/>
      </c>
      <c r="H864" s="39" t="n"/>
      <c r="I864" s="46" t="n"/>
      <c r="J864" s="39" t="n"/>
      <c r="K864" s="44">
        <f>IF(C864="","",IFERROR(D864,0)*G864+IFERROR(E864,0)+IFERROR(F864,0))</f>
        <v/>
      </c>
    </row>
    <row r="865">
      <c r="A865" s="42" t="n"/>
      <c r="B865" s="39" t="n"/>
      <c r="C865" s="39" t="n"/>
      <c r="D865" s="43" t="n"/>
      <c r="E865" s="40" t="n"/>
      <c r="F865" s="40" t="n"/>
      <c r="G865" s="44">
        <f>IFERROR(VLOOKUP(C865,Cleaners!$B$6:$I$35,8,FALSE),0)</f>
        <v/>
      </c>
      <c r="H865" s="39" t="n"/>
      <c r="I865" s="46" t="n"/>
      <c r="J865" s="39" t="n"/>
      <c r="K865" s="44">
        <f>IF(C865="","",IFERROR(D865,0)*G865+IFERROR(E865,0)+IFERROR(F865,0))</f>
        <v/>
      </c>
    </row>
    <row r="866">
      <c r="A866" s="42" t="n"/>
      <c r="B866" s="39" t="n"/>
      <c r="C866" s="39" t="n"/>
      <c r="D866" s="43" t="n"/>
      <c r="E866" s="40" t="n"/>
      <c r="F866" s="40" t="n"/>
      <c r="G866" s="44">
        <f>IFERROR(VLOOKUP(C866,Cleaners!$B$6:$I$35,8,FALSE),0)</f>
        <v/>
      </c>
      <c r="H866" s="39" t="n"/>
      <c r="I866" s="46" t="n"/>
      <c r="J866" s="39" t="n"/>
      <c r="K866" s="44">
        <f>IF(C866="","",IFERROR(D866,0)*G866+IFERROR(E866,0)+IFERROR(F866,0))</f>
        <v/>
      </c>
    </row>
    <row r="867">
      <c r="A867" s="42" t="n"/>
      <c r="B867" s="39" t="n"/>
      <c r="C867" s="39" t="n"/>
      <c r="D867" s="43" t="n"/>
      <c r="E867" s="40" t="n"/>
      <c r="F867" s="40" t="n"/>
      <c r="G867" s="44">
        <f>IFERROR(VLOOKUP(C867,Cleaners!$B$6:$I$35,8,FALSE),0)</f>
        <v/>
      </c>
      <c r="H867" s="39" t="n"/>
      <c r="I867" s="46" t="n"/>
      <c r="J867" s="39" t="n"/>
      <c r="K867" s="44">
        <f>IF(C867="","",IFERROR(D867,0)*G867+IFERROR(E867,0)+IFERROR(F867,0))</f>
        <v/>
      </c>
    </row>
    <row r="868">
      <c r="A868" s="42" t="n"/>
      <c r="B868" s="39" t="n"/>
      <c r="C868" s="39" t="n"/>
      <c r="D868" s="43" t="n"/>
      <c r="E868" s="40" t="n"/>
      <c r="F868" s="40" t="n"/>
      <c r="G868" s="44">
        <f>IFERROR(VLOOKUP(C868,Cleaners!$B$6:$I$35,8,FALSE),0)</f>
        <v/>
      </c>
      <c r="H868" s="39" t="n"/>
      <c r="I868" s="46" t="n"/>
      <c r="J868" s="39" t="n"/>
      <c r="K868" s="44">
        <f>IF(C868="","",IFERROR(D868,0)*G868+IFERROR(E868,0)+IFERROR(F868,0))</f>
        <v/>
      </c>
    </row>
    <row r="869">
      <c r="A869" s="42" t="n"/>
      <c r="B869" s="39" t="n"/>
      <c r="C869" s="39" t="n"/>
      <c r="D869" s="43" t="n"/>
      <c r="E869" s="40" t="n"/>
      <c r="F869" s="40" t="n"/>
      <c r="G869" s="44">
        <f>IFERROR(VLOOKUP(C869,Cleaners!$B$6:$I$35,8,FALSE),0)</f>
        <v/>
      </c>
      <c r="H869" s="39" t="n"/>
      <c r="I869" s="46" t="n"/>
      <c r="J869" s="39" t="n"/>
      <c r="K869" s="44">
        <f>IF(C869="","",IFERROR(D869,0)*G869+IFERROR(E869,0)+IFERROR(F869,0))</f>
        <v/>
      </c>
    </row>
    <row r="870">
      <c r="A870" s="42" t="n"/>
      <c r="B870" s="39" t="n"/>
      <c r="C870" s="39" t="n"/>
      <c r="D870" s="43" t="n"/>
      <c r="E870" s="40" t="n"/>
      <c r="F870" s="40" t="n"/>
      <c r="G870" s="44">
        <f>IFERROR(VLOOKUP(C870,Cleaners!$B$6:$I$35,8,FALSE),0)</f>
        <v/>
      </c>
      <c r="H870" s="39" t="n"/>
      <c r="I870" s="46" t="n"/>
      <c r="J870" s="39" t="n"/>
      <c r="K870" s="44">
        <f>IF(C870="","",IFERROR(D870,0)*G870+IFERROR(E870,0)+IFERROR(F870,0))</f>
        <v/>
      </c>
    </row>
    <row r="871">
      <c r="A871" s="42" t="n"/>
      <c r="B871" s="39" t="n"/>
      <c r="C871" s="39" t="n"/>
      <c r="D871" s="43" t="n"/>
      <c r="E871" s="40" t="n"/>
      <c r="F871" s="40" t="n"/>
      <c r="G871" s="44">
        <f>IFERROR(VLOOKUP(C871,Cleaners!$B$6:$I$35,8,FALSE),0)</f>
        <v/>
      </c>
      <c r="H871" s="39" t="n"/>
      <c r="I871" s="46" t="n"/>
      <c r="J871" s="39" t="n"/>
      <c r="K871" s="44">
        <f>IF(C871="","",IFERROR(D871,0)*G871+IFERROR(E871,0)+IFERROR(F871,0))</f>
        <v/>
      </c>
    </row>
    <row r="872">
      <c r="A872" s="42" t="n"/>
      <c r="B872" s="39" t="n"/>
      <c r="C872" s="39" t="n"/>
      <c r="D872" s="43" t="n"/>
      <c r="E872" s="40" t="n"/>
      <c r="F872" s="40" t="n"/>
      <c r="G872" s="44">
        <f>IFERROR(VLOOKUP(C872,Cleaners!$B$6:$I$35,8,FALSE),0)</f>
        <v/>
      </c>
      <c r="H872" s="39" t="n"/>
      <c r="I872" s="46" t="n"/>
      <c r="J872" s="39" t="n"/>
      <c r="K872" s="44">
        <f>IF(C872="","",IFERROR(D872,0)*G872+IFERROR(E872,0)+IFERROR(F872,0))</f>
        <v/>
      </c>
    </row>
    <row r="873">
      <c r="A873" s="42" t="n"/>
      <c r="B873" s="39" t="n"/>
      <c r="C873" s="39" t="n"/>
      <c r="D873" s="43" t="n"/>
      <c r="E873" s="40" t="n"/>
      <c r="F873" s="40" t="n"/>
      <c r="G873" s="44">
        <f>IFERROR(VLOOKUP(C873,Cleaners!$B$6:$I$35,8,FALSE),0)</f>
        <v/>
      </c>
      <c r="H873" s="39" t="n"/>
      <c r="I873" s="46" t="n"/>
      <c r="J873" s="39" t="n"/>
      <c r="K873" s="44">
        <f>IF(C873="","",IFERROR(D873,0)*G873+IFERROR(E873,0)+IFERROR(F873,0))</f>
        <v/>
      </c>
    </row>
    <row r="874">
      <c r="A874" s="42" t="n"/>
      <c r="B874" s="39" t="n"/>
      <c r="C874" s="39" t="n"/>
      <c r="D874" s="43" t="n"/>
      <c r="E874" s="40" t="n"/>
      <c r="F874" s="40" t="n"/>
      <c r="G874" s="44">
        <f>IFERROR(VLOOKUP(C874,Cleaners!$B$6:$I$35,8,FALSE),0)</f>
        <v/>
      </c>
      <c r="H874" s="39" t="n"/>
      <c r="I874" s="46" t="n"/>
      <c r="J874" s="39" t="n"/>
      <c r="K874" s="44">
        <f>IF(C874="","",IFERROR(D874,0)*G874+IFERROR(E874,0)+IFERROR(F874,0))</f>
        <v/>
      </c>
    </row>
    <row r="875">
      <c r="A875" s="42" t="n"/>
      <c r="B875" s="39" t="n"/>
      <c r="C875" s="39" t="n"/>
      <c r="D875" s="43" t="n"/>
      <c r="E875" s="40" t="n"/>
      <c r="F875" s="40" t="n"/>
      <c r="G875" s="44">
        <f>IFERROR(VLOOKUP(C875,Cleaners!$B$6:$I$35,8,FALSE),0)</f>
        <v/>
      </c>
      <c r="H875" s="39" t="n"/>
      <c r="I875" s="46" t="n"/>
      <c r="J875" s="39" t="n"/>
      <c r="K875" s="44">
        <f>IF(C875="","",IFERROR(D875,0)*G875+IFERROR(E875,0)+IFERROR(F875,0))</f>
        <v/>
      </c>
    </row>
    <row r="876">
      <c r="A876" s="42" t="n"/>
      <c r="B876" s="39" t="n"/>
      <c r="C876" s="39" t="n"/>
      <c r="D876" s="43" t="n"/>
      <c r="E876" s="40" t="n"/>
      <c r="F876" s="40" t="n"/>
      <c r="G876" s="44">
        <f>IFERROR(VLOOKUP(C876,Cleaners!$B$6:$I$35,8,FALSE),0)</f>
        <v/>
      </c>
      <c r="H876" s="39" t="n"/>
      <c r="I876" s="46" t="n"/>
      <c r="J876" s="39" t="n"/>
      <c r="K876" s="44">
        <f>IF(C876="","",IFERROR(D876,0)*G876+IFERROR(E876,0)+IFERROR(F876,0))</f>
        <v/>
      </c>
    </row>
    <row r="877">
      <c r="A877" s="42" t="n"/>
      <c r="B877" s="39" t="n"/>
      <c r="C877" s="39" t="n"/>
      <c r="D877" s="43" t="n"/>
      <c r="E877" s="40" t="n"/>
      <c r="F877" s="40" t="n"/>
      <c r="G877" s="44">
        <f>IFERROR(VLOOKUP(C877,Cleaners!$B$6:$I$35,8,FALSE),0)</f>
        <v/>
      </c>
      <c r="H877" s="39" t="n"/>
      <c r="I877" s="46" t="n"/>
      <c r="J877" s="39" t="n"/>
      <c r="K877" s="44">
        <f>IF(C877="","",IFERROR(D877,0)*G877+IFERROR(E877,0)+IFERROR(F877,0))</f>
        <v/>
      </c>
    </row>
    <row r="878">
      <c r="A878" s="42" t="n"/>
      <c r="B878" s="39" t="n"/>
      <c r="C878" s="39" t="n"/>
      <c r="D878" s="43" t="n"/>
      <c r="E878" s="40" t="n"/>
      <c r="F878" s="40" t="n"/>
      <c r="G878" s="44">
        <f>IFERROR(VLOOKUP(C878,Cleaners!$B$6:$I$35,8,FALSE),0)</f>
        <v/>
      </c>
      <c r="H878" s="39" t="n"/>
      <c r="I878" s="46" t="n"/>
      <c r="J878" s="39" t="n"/>
      <c r="K878" s="44">
        <f>IF(C878="","",IFERROR(D878,0)*G878+IFERROR(E878,0)+IFERROR(F878,0))</f>
        <v/>
      </c>
    </row>
    <row r="879">
      <c r="A879" s="42" t="n"/>
      <c r="B879" s="39" t="n"/>
      <c r="C879" s="39" t="n"/>
      <c r="D879" s="43" t="n"/>
      <c r="E879" s="40" t="n"/>
      <c r="F879" s="40" t="n"/>
      <c r="G879" s="44">
        <f>IFERROR(VLOOKUP(C879,Cleaners!$B$6:$I$35,8,FALSE),0)</f>
        <v/>
      </c>
      <c r="H879" s="39" t="n"/>
      <c r="I879" s="46" t="n"/>
      <c r="J879" s="39" t="n"/>
      <c r="K879" s="44">
        <f>IF(C879="","",IFERROR(D879,0)*G879+IFERROR(E879,0)+IFERROR(F879,0))</f>
        <v/>
      </c>
    </row>
    <row r="880">
      <c r="A880" s="42" t="n"/>
      <c r="B880" s="39" t="n"/>
      <c r="C880" s="39" t="n"/>
      <c r="D880" s="43" t="n"/>
      <c r="E880" s="40" t="n"/>
      <c r="F880" s="40" t="n"/>
      <c r="G880" s="44">
        <f>IFERROR(VLOOKUP(C880,Cleaners!$B$6:$I$35,8,FALSE),0)</f>
        <v/>
      </c>
      <c r="H880" s="39" t="n"/>
      <c r="I880" s="46" t="n"/>
      <c r="J880" s="39" t="n"/>
      <c r="K880" s="44">
        <f>IF(C880="","",IFERROR(D880,0)*G880+IFERROR(E880,0)+IFERROR(F880,0))</f>
        <v/>
      </c>
    </row>
    <row r="881">
      <c r="A881" s="42" t="n"/>
      <c r="B881" s="39" t="n"/>
      <c r="C881" s="39" t="n"/>
      <c r="D881" s="43" t="n"/>
      <c r="E881" s="40" t="n"/>
      <c r="F881" s="40" t="n"/>
      <c r="G881" s="44">
        <f>IFERROR(VLOOKUP(C881,Cleaners!$B$6:$I$35,8,FALSE),0)</f>
        <v/>
      </c>
      <c r="H881" s="39" t="n"/>
      <c r="I881" s="46" t="n"/>
      <c r="J881" s="39" t="n"/>
      <c r="K881" s="44">
        <f>IF(C881="","",IFERROR(D881,0)*G881+IFERROR(E881,0)+IFERROR(F881,0))</f>
        <v/>
      </c>
    </row>
    <row r="882">
      <c r="A882" s="42" t="n"/>
      <c r="B882" s="39" t="n"/>
      <c r="C882" s="39" t="n"/>
      <c r="D882" s="43" t="n"/>
      <c r="E882" s="40" t="n"/>
      <c r="F882" s="40" t="n"/>
      <c r="G882" s="44">
        <f>IFERROR(VLOOKUP(C882,Cleaners!$B$6:$I$35,8,FALSE),0)</f>
        <v/>
      </c>
      <c r="H882" s="39" t="n"/>
      <c r="I882" s="46" t="n"/>
      <c r="J882" s="39" t="n"/>
      <c r="K882" s="44">
        <f>IF(C882="","",IFERROR(D882,0)*G882+IFERROR(E882,0)+IFERROR(F882,0))</f>
        <v/>
      </c>
    </row>
    <row r="883">
      <c r="A883" s="42" t="n"/>
      <c r="B883" s="39" t="n"/>
      <c r="C883" s="39" t="n"/>
      <c r="D883" s="43" t="n"/>
      <c r="E883" s="40" t="n"/>
      <c r="F883" s="40" t="n"/>
      <c r="G883" s="44">
        <f>IFERROR(VLOOKUP(C883,Cleaners!$B$6:$I$35,8,FALSE),0)</f>
        <v/>
      </c>
      <c r="H883" s="39" t="n"/>
      <c r="I883" s="46" t="n"/>
      <c r="J883" s="39" t="n"/>
      <c r="K883" s="44">
        <f>IF(C883="","",IFERROR(D883,0)*G883+IFERROR(E883,0)+IFERROR(F883,0))</f>
        <v/>
      </c>
    </row>
    <row r="884">
      <c r="A884" s="42" t="n"/>
      <c r="B884" s="39" t="n"/>
      <c r="C884" s="39" t="n"/>
      <c r="D884" s="43" t="n"/>
      <c r="E884" s="40" t="n"/>
      <c r="F884" s="40" t="n"/>
      <c r="G884" s="44">
        <f>IFERROR(VLOOKUP(C884,Cleaners!$B$6:$I$35,8,FALSE),0)</f>
        <v/>
      </c>
      <c r="H884" s="39" t="n"/>
      <c r="I884" s="46" t="n"/>
      <c r="J884" s="39" t="n"/>
      <c r="K884" s="44">
        <f>IF(C884="","",IFERROR(D884,0)*G884+IFERROR(E884,0)+IFERROR(F884,0))</f>
        <v/>
      </c>
    </row>
    <row r="885">
      <c r="A885" s="42" t="n"/>
      <c r="B885" s="39" t="n"/>
      <c r="C885" s="39" t="n"/>
      <c r="D885" s="43" t="n"/>
      <c r="E885" s="40" t="n"/>
      <c r="F885" s="40" t="n"/>
      <c r="G885" s="44">
        <f>IFERROR(VLOOKUP(C885,Cleaners!$B$6:$I$35,8,FALSE),0)</f>
        <v/>
      </c>
      <c r="H885" s="39" t="n"/>
      <c r="I885" s="46" t="n"/>
      <c r="J885" s="39" t="n"/>
      <c r="K885" s="44">
        <f>IF(C885="","",IFERROR(D885,0)*G885+IFERROR(E885,0)+IFERROR(F885,0))</f>
        <v/>
      </c>
    </row>
    <row r="886">
      <c r="A886" s="42" t="n"/>
      <c r="B886" s="39" t="n"/>
      <c r="C886" s="39" t="n"/>
      <c r="D886" s="43" t="n"/>
      <c r="E886" s="40" t="n"/>
      <c r="F886" s="40" t="n"/>
      <c r="G886" s="44">
        <f>IFERROR(VLOOKUP(C886,Cleaners!$B$6:$I$35,8,FALSE),0)</f>
        <v/>
      </c>
      <c r="H886" s="39" t="n"/>
      <c r="I886" s="46" t="n"/>
      <c r="J886" s="39" t="n"/>
      <c r="K886" s="44">
        <f>IF(C886="","",IFERROR(D886,0)*G886+IFERROR(E886,0)+IFERROR(F886,0))</f>
        <v/>
      </c>
    </row>
    <row r="887">
      <c r="A887" s="42" t="n"/>
      <c r="B887" s="39" t="n"/>
      <c r="C887" s="39" t="n"/>
      <c r="D887" s="43" t="n"/>
      <c r="E887" s="40" t="n"/>
      <c r="F887" s="40" t="n"/>
      <c r="G887" s="44">
        <f>IFERROR(VLOOKUP(C887,Cleaners!$B$6:$I$35,8,FALSE),0)</f>
        <v/>
      </c>
      <c r="H887" s="39" t="n"/>
      <c r="I887" s="46" t="n"/>
      <c r="J887" s="39" t="n"/>
      <c r="K887" s="44">
        <f>IF(C887="","",IFERROR(D887,0)*G887+IFERROR(E887,0)+IFERROR(F887,0))</f>
        <v/>
      </c>
    </row>
    <row r="888">
      <c r="A888" s="42" t="n"/>
      <c r="B888" s="39" t="n"/>
      <c r="C888" s="39" t="n"/>
      <c r="D888" s="43" t="n"/>
      <c r="E888" s="40" t="n"/>
      <c r="F888" s="40" t="n"/>
      <c r="G888" s="44">
        <f>IFERROR(VLOOKUP(C888,Cleaners!$B$6:$I$35,8,FALSE),0)</f>
        <v/>
      </c>
      <c r="H888" s="39" t="n"/>
      <c r="I888" s="46" t="n"/>
      <c r="J888" s="39" t="n"/>
      <c r="K888" s="44">
        <f>IF(C888="","",IFERROR(D888,0)*G888+IFERROR(E888,0)+IFERROR(F888,0))</f>
        <v/>
      </c>
    </row>
    <row r="889">
      <c r="A889" s="42" t="n"/>
      <c r="B889" s="39" t="n"/>
      <c r="C889" s="39" t="n"/>
      <c r="D889" s="43" t="n"/>
      <c r="E889" s="40" t="n"/>
      <c r="F889" s="40" t="n"/>
      <c r="G889" s="44">
        <f>IFERROR(VLOOKUP(C889,Cleaners!$B$6:$I$35,8,FALSE),0)</f>
        <v/>
      </c>
      <c r="H889" s="39" t="n"/>
      <c r="I889" s="46" t="n"/>
      <c r="J889" s="39" t="n"/>
      <c r="K889" s="44">
        <f>IF(C889="","",IFERROR(D889,0)*G889+IFERROR(E889,0)+IFERROR(F889,0))</f>
        <v/>
      </c>
    </row>
    <row r="890">
      <c r="A890" s="42" t="n"/>
      <c r="B890" s="39" t="n"/>
      <c r="C890" s="39" t="n"/>
      <c r="D890" s="43" t="n"/>
      <c r="E890" s="40" t="n"/>
      <c r="F890" s="40" t="n"/>
      <c r="G890" s="44">
        <f>IFERROR(VLOOKUP(C890,Cleaners!$B$6:$I$35,8,FALSE),0)</f>
        <v/>
      </c>
      <c r="H890" s="39" t="n"/>
      <c r="I890" s="46" t="n"/>
      <c r="J890" s="39" t="n"/>
      <c r="K890" s="44">
        <f>IF(C890="","",IFERROR(D890,0)*G890+IFERROR(E890,0)+IFERROR(F890,0))</f>
        <v/>
      </c>
    </row>
    <row r="891">
      <c r="A891" s="42" t="n"/>
      <c r="B891" s="39" t="n"/>
      <c r="C891" s="39" t="n"/>
      <c r="D891" s="43" t="n"/>
      <c r="E891" s="40" t="n"/>
      <c r="F891" s="40" t="n"/>
      <c r="G891" s="44">
        <f>IFERROR(VLOOKUP(C891,Cleaners!$B$6:$I$35,8,FALSE),0)</f>
        <v/>
      </c>
      <c r="H891" s="39" t="n"/>
      <c r="I891" s="46" t="n"/>
      <c r="J891" s="39" t="n"/>
      <c r="K891" s="44">
        <f>IF(C891="","",IFERROR(D891,0)*G891+IFERROR(E891,0)+IFERROR(F891,0))</f>
        <v/>
      </c>
    </row>
    <row r="892">
      <c r="A892" s="42" t="n"/>
      <c r="B892" s="39" t="n"/>
      <c r="C892" s="39" t="n"/>
      <c r="D892" s="43" t="n"/>
      <c r="E892" s="40" t="n"/>
      <c r="F892" s="40" t="n"/>
      <c r="G892" s="44">
        <f>IFERROR(VLOOKUP(C892,Cleaners!$B$6:$I$35,8,FALSE),0)</f>
        <v/>
      </c>
      <c r="H892" s="39" t="n"/>
      <c r="I892" s="46" t="n"/>
      <c r="J892" s="39" t="n"/>
      <c r="K892" s="44">
        <f>IF(C892="","",IFERROR(D892,0)*G892+IFERROR(E892,0)+IFERROR(F892,0))</f>
        <v/>
      </c>
    </row>
    <row r="893">
      <c r="A893" s="42" t="n"/>
      <c r="B893" s="39" t="n"/>
      <c r="C893" s="39" t="n"/>
      <c r="D893" s="43" t="n"/>
      <c r="E893" s="40" t="n"/>
      <c r="F893" s="40" t="n"/>
      <c r="G893" s="44">
        <f>IFERROR(VLOOKUP(C893,Cleaners!$B$6:$I$35,8,FALSE),0)</f>
        <v/>
      </c>
      <c r="H893" s="39" t="n"/>
      <c r="I893" s="46" t="n"/>
      <c r="J893" s="39" t="n"/>
      <c r="K893" s="44">
        <f>IF(C893="","",IFERROR(D893,0)*G893+IFERROR(E893,0)+IFERROR(F893,0))</f>
        <v/>
      </c>
    </row>
    <row r="894">
      <c r="A894" s="42" t="n"/>
      <c r="B894" s="39" t="n"/>
      <c r="C894" s="39" t="n"/>
      <c r="D894" s="43" t="n"/>
      <c r="E894" s="40" t="n"/>
      <c r="F894" s="40" t="n"/>
      <c r="G894" s="44">
        <f>IFERROR(VLOOKUP(C894,Cleaners!$B$6:$I$35,8,FALSE),0)</f>
        <v/>
      </c>
      <c r="H894" s="39" t="n"/>
      <c r="I894" s="46" t="n"/>
      <c r="J894" s="39" t="n"/>
      <c r="K894" s="44">
        <f>IF(C894="","",IFERROR(D894,0)*G894+IFERROR(E894,0)+IFERROR(F894,0))</f>
        <v/>
      </c>
    </row>
    <row r="895">
      <c r="A895" s="42" t="n"/>
      <c r="B895" s="39" t="n"/>
      <c r="C895" s="39" t="n"/>
      <c r="D895" s="43" t="n"/>
      <c r="E895" s="40" t="n"/>
      <c r="F895" s="40" t="n"/>
      <c r="G895" s="44">
        <f>IFERROR(VLOOKUP(C895,Cleaners!$B$6:$I$35,8,FALSE),0)</f>
        <v/>
      </c>
      <c r="H895" s="39" t="n"/>
      <c r="I895" s="46" t="n"/>
      <c r="J895" s="39" t="n"/>
      <c r="K895" s="44">
        <f>IF(C895="","",IFERROR(D895,0)*G895+IFERROR(E895,0)+IFERROR(F895,0))</f>
        <v/>
      </c>
    </row>
    <row r="896">
      <c r="A896" s="42" t="n"/>
      <c r="B896" s="39" t="n"/>
      <c r="C896" s="39" t="n"/>
      <c r="D896" s="43" t="n"/>
      <c r="E896" s="40" t="n"/>
      <c r="F896" s="40" t="n"/>
      <c r="G896" s="44">
        <f>IFERROR(VLOOKUP(C896,Cleaners!$B$6:$I$35,8,FALSE),0)</f>
        <v/>
      </c>
      <c r="H896" s="39" t="n"/>
      <c r="I896" s="46" t="n"/>
      <c r="J896" s="39" t="n"/>
      <c r="K896" s="44">
        <f>IF(C896="","",IFERROR(D896,0)*G896+IFERROR(E896,0)+IFERROR(F896,0))</f>
        <v/>
      </c>
    </row>
    <row r="897">
      <c r="A897" s="42" t="n"/>
      <c r="B897" s="39" t="n"/>
      <c r="C897" s="39" t="n"/>
      <c r="D897" s="43" t="n"/>
      <c r="E897" s="40" t="n"/>
      <c r="F897" s="40" t="n"/>
      <c r="G897" s="44">
        <f>IFERROR(VLOOKUP(C897,Cleaners!$B$6:$I$35,8,FALSE),0)</f>
        <v/>
      </c>
      <c r="H897" s="39" t="n"/>
      <c r="I897" s="46" t="n"/>
      <c r="J897" s="39" t="n"/>
      <c r="K897" s="44">
        <f>IF(C897="","",IFERROR(D897,0)*G897+IFERROR(E897,0)+IFERROR(F897,0))</f>
        <v/>
      </c>
    </row>
    <row r="898">
      <c r="A898" s="42" t="n"/>
      <c r="B898" s="39" t="n"/>
      <c r="C898" s="39" t="n"/>
      <c r="D898" s="43" t="n"/>
      <c r="E898" s="40" t="n"/>
      <c r="F898" s="40" t="n"/>
      <c r="G898" s="44">
        <f>IFERROR(VLOOKUP(C898,Cleaners!$B$6:$I$35,8,FALSE),0)</f>
        <v/>
      </c>
      <c r="H898" s="39" t="n"/>
      <c r="I898" s="46" t="n"/>
      <c r="J898" s="39" t="n"/>
      <c r="K898" s="44">
        <f>IF(C898="","",IFERROR(D898,0)*G898+IFERROR(E898,0)+IFERROR(F898,0))</f>
        <v/>
      </c>
    </row>
    <row r="899">
      <c r="A899" s="42" t="n"/>
      <c r="B899" s="39" t="n"/>
      <c r="C899" s="39" t="n"/>
      <c r="D899" s="43" t="n"/>
      <c r="E899" s="40" t="n"/>
      <c r="F899" s="40" t="n"/>
      <c r="G899" s="44">
        <f>IFERROR(VLOOKUP(C899,Cleaners!$B$6:$I$35,8,FALSE),0)</f>
        <v/>
      </c>
      <c r="H899" s="39" t="n"/>
      <c r="I899" s="46" t="n"/>
      <c r="J899" s="39" t="n"/>
      <c r="K899" s="44">
        <f>IF(C899="","",IFERROR(D899,0)*G899+IFERROR(E899,0)+IFERROR(F899,0))</f>
        <v/>
      </c>
    </row>
    <row r="900">
      <c r="A900" s="42" t="n"/>
      <c r="B900" s="39" t="n"/>
      <c r="C900" s="39" t="n"/>
      <c r="D900" s="43" t="n"/>
      <c r="E900" s="40" t="n"/>
      <c r="F900" s="40" t="n"/>
      <c r="G900" s="44">
        <f>IFERROR(VLOOKUP(C900,Cleaners!$B$6:$I$35,8,FALSE),0)</f>
        <v/>
      </c>
      <c r="H900" s="39" t="n"/>
      <c r="I900" s="46" t="n"/>
      <c r="J900" s="39" t="n"/>
      <c r="K900" s="44">
        <f>IF(C900="","",IFERROR(D900,0)*G900+IFERROR(E900,0)+IFERROR(F900,0))</f>
        <v/>
      </c>
    </row>
    <row r="901">
      <c r="A901" s="42" t="n"/>
      <c r="B901" s="39" t="n"/>
      <c r="C901" s="39" t="n"/>
      <c r="D901" s="43" t="n"/>
      <c r="E901" s="40" t="n"/>
      <c r="F901" s="40" t="n"/>
      <c r="G901" s="44">
        <f>IFERROR(VLOOKUP(C901,Cleaners!$B$6:$I$35,8,FALSE),0)</f>
        <v/>
      </c>
      <c r="H901" s="39" t="n"/>
      <c r="I901" s="46" t="n"/>
      <c r="J901" s="39" t="n"/>
      <c r="K901" s="44">
        <f>IF(C901="","",IFERROR(D901,0)*G901+IFERROR(E901,0)+IFERROR(F901,0))</f>
        <v/>
      </c>
    </row>
    <row r="902">
      <c r="A902" s="42" t="n"/>
      <c r="B902" s="39" t="n"/>
      <c r="C902" s="39" t="n"/>
      <c r="D902" s="43" t="n"/>
      <c r="E902" s="40" t="n"/>
      <c r="F902" s="40" t="n"/>
      <c r="G902" s="44">
        <f>IFERROR(VLOOKUP(C902,Cleaners!$B$6:$I$35,8,FALSE),0)</f>
        <v/>
      </c>
      <c r="H902" s="39" t="n"/>
      <c r="I902" s="46" t="n"/>
      <c r="J902" s="39" t="n"/>
      <c r="K902" s="44">
        <f>IF(C902="","",IFERROR(D902,0)*G902+IFERROR(E902,0)+IFERROR(F902,0))</f>
        <v/>
      </c>
    </row>
    <row r="903">
      <c r="A903" s="42" t="n"/>
      <c r="B903" s="39" t="n"/>
      <c r="C903" s="39" t="n"/>
      <c r="D903" s="43" t="n"/>
      <c r="E903" s="40" t="n"/>
      <c r="F903" s="40" t="n"/>
      <c r="G903" s="44">
        <f>IFERROR(VLOOKUP(C903,Cleaners!$B$6:$I$35,8,FALSE),0)</f>
        <v/>
      </c>
      <c r="H903" s="39" t="n"/>
      <c r="I903" s="46" t="n"/>
      <c r="J903" s="39" t="n"/>
      <c r="K903" s="44">
        <f>IF(C903="","",IFERROR(D903,0)*G903+IFERROR(E903,0)+IFERROR(F903,0))</f>
        <v/>
      </c>
    </row>
    <row r="904">
      <c r="A904" s="42" t="n"/>
      <c r="B904" s="39" t="n"/>
      <c r="C904" s="39" t="n"/>
      <c r="D904" s="43" t="n"/>
      <c r="E904" s="40" t="n"/>
      <c r="F904" s="40" t="n"/>
      <c r="G904" s="44">
        <f>IFERROR(VLOOKUP(C904,Cleaners!$B$6:$I$35,8,FALSE),0)</f>
        <v/>
      </c>
      <c r="H904" s="39" t="n"/>
      <c r="I904" s="46" t="n"/>
      <c r="J904" s="39" t="n"/>
      <c r="K904" s="44">
        <f>IF(C904="","",IFERROR(D904,0)*G904+IFERROR(E904,0)+IFERROR(F904,0))</f>
        <v/>
      </c>
    </row>
    <row r="905">
      <c r="A905" s="42" t="n"/>
      <c r="B905" s="39" t="n"/>
      <c r="C905" s="39" t="n"/>
      <c r="D905" s="43" t="n"/>
      <c r="E905" s="40" t="n"/>
      <c r="F905" s="40" t="n"/>
      <c r="G905" s="44">
        <f>IFERROR(VLOOKUP(C905,Cleaners!$B$6:$I$35,8,FALSE),0)</f>
        <v/>
      </c>
      <c r="H905" s="39" t="n"/>
      <c r="I905" s="46" t="n"/>
      <c r="J905" s="39" t="n"/>
      <c r="K905" s="44">
        <f>IF(C905="","",IFERROR(D905,0)*G905+IFERROR(E905,0)+IFERROR(F905,0))</f>
        <v/>
      </c>
    </row>
    <row r="906">
      <c r="A906" s="42" t="n"/>
      <c r="B906" s="39" t="n"/>
      <c r="C906" s="39" t="n"/>
      <c r="D906" s="43" t="n"/>
      <c r="E906" s="40" t="n"/>
      <c r="F906" s="40" t="n"/>
      <c r="G906" s="44">
        <f>IFERROR(VLOOKUP(C906,Cleaners!$B$6:$I$35,8,FALSE),0)</f>
        <v/>
      </c>
      <c r="H906" s="39" t="n"/>
      <c r="I906" s="46" t="n"/>
      <c r="J906" s="39" t="n"/>
      <c r="K906" s="44">
        <f>IF(C906="","",IFERROR(D906,0)*G906+IFERROR(E906,0)+IFERROR(F906,0))</f>
        <v/>
      </c>
    </row>
    <row r="907">
      <c r="A907" s="42" t="n"/>
      <c r="B907" s="39" t="n"/>
      <c r="C907" s="39" t="n"/>
      <c r="D907" s="43" t="n"/>
      <c r="E907" s="40" t="n"/>
      <c r="F907" s="40" t="n"/>
      <c r="G907" s="44">
        <f>IFERROR(VLOOKUP(C907,Cleaners!$B$6:$I$35,8,FALSE),0)</f>
        <v/>
      </c>
      <c r="H907" s="39" t="n"/>
      <c r="I907" s="46" t="n"/>
      <c r="J907" s="39" t="n"/>
      <c r="K907" s="44">
        <f>IF(C907="","",IFERROR(D907,0)*G907+IFERROR(E907,0)+IFERROR(F907,0))</f>
        <v/>
      </c>
    </row>
    <row r="908">
      <c r="A908" s="42" t="n"/>
      <c r="B908" s="39" t="n"/>
      <c r="C908" s="39" t="n"/>
      <c r="D908" s="43" t="n"/>
      <c r="E908" s="40" t="n"/>
      <c r="F908" s="40" t="n"/>
      <c r="G908" s="44">
        <f>IFERROR(VLOOKUP(C908,Cleaners!$B$6:$I$35,8,FALSE),0)</f>
        <v/>
      </c>
      <c r="H908" s="39" t="n"/>
      <c r="I908" s="46" t="n"/>
      <c r="J908" s="39" t="n"/>
      <c r="K908" s="44">
        <f>IF(C908="","",IFERROR(D908,0)*G908+IFERROR(E908,0)+IFERROR(F908,0))</f>
        <v/>
      </c>
    </row>
    <row r="909">
      <c r="A909" s="42" t="n"/>
      <c r="B909" s="39" t="n"/>
      <c r="C909" s="39" t="n"/>
      <c r="D909" s="43" t="n"/>
      <c r="E909" s="40" t="n"/>
      <c r="F909" s="40" t="n"/>
      <c r="G909" s="44">
        <f>IFERROR(VLOOKUP(C909,Cleaners!$B$6:$I$35,8,FALSE),0)</f>
        <v/>
      </c>
      <c r="H909" s="39" t="n"/>
      <c r="I909" s="46" t="n"/>
      <c r="J909" s="39" t="n"/>
      <c r="K909" s="44">
        <f>IF(C909="","",IFERROR(D909,0)*G909+IFERROR(E909,0)+IFERROR(F909,0))</f>
        <v/>
      </c>
    </row>
    <row r="910">
      <c r="A910" s="42" t="n"/>
      <c r="B910" s="39" t="n"/>
      <c r="C910" s="39" t="n"/>
      <c r="D910" s="43" t="n"/>
      <c r="E910" s="40" t="n"/>
      <c r="F910" s="40" t="n"/>
      <c r="G910" s="44">
        <f>IFERROR(VLOOKUP(C910,Cleaners!$B$6:$I$35,8,FALSE),0)</f>
        <v/>
      </c>
      <c r="H910" s="39" t="n"/>
      <c r="I910" s="46" t="n"/>
      <c r="J910" s="39" t="n"/>
      <c r="K910" s="44">
        <f>IF(C910="","",IFERROR(D910,0)*G910+IFERROR(E910,0)+IFERROR(F910,0))</f>
        <v/>
      </c>
    </row>
    <row r="911">
      <c r="A911" s="42" t="n"/>
      <c r="B911" s="39" t="n"/>
      <c r="C911" s="39" t="n"/>
      <c r="D911" s="43" t="n"/>
      <c r="E911" s="40" t="n"/>
      <c r="F911" s="40" t="n"/>
      <c r="G911" s="44">
        <f>IFERROR(VLOOKUP(C911,Cleaners!$B$6:$I$35,8,FALSE),0)</f>
        <v/>
      </c>
      <c r="H911" s="39" t="n"/>
      <c r="I911" s="46" t="n"/>
      <c r="J911" s="39" t="n"/>
      <c r="K911" s="44">
        <f>IF(C911="","",IFERROR(D911,0)*G911+IFERROR(E911,0)+IFERROR(F911,0))</f>
        <v/>
      </c>
    </row>
    <row r="912">
      <c r="A912" s="42" t="n"/>
      <c r="B912" s="39" t="n"/>
      <c r="C912" s="39" t="n"/>
      <c r="D912" s="43" t="n"/>
      <c r="E912" s="40" t="n"/>
      <c r="F912" s="40" t="n"/>
      <c r="G912" s="44">
        <f>IFERROR(VLOOKUP(C912,Cleaners!$B$6:$I$35,8,FALSE),0)</f>
        <v/>
      </c>
      <c r="H912" s="39" t="n"/>
      <c r="I912" s="46" t="n"/>
      <c r="J912" s="39" t="n"/>
      <c r="K912" s="44">
        <f>IF(C912="","",IFERROR(D912,0)*G912+IFERROR(E912,0)+IFERROR(F912,0))</f>
        <v/>
      </c>
    </row>
    <row r="913">
      <c r="A913" s="42" t="n"/>
      <c r="B913" s="39" t="n"/>
      <c r="C913" s="39" t="n"/>
      <c r="D913" s="43" t="n"/>
      <c r="E913" s="40" t="n"/>
      <c r="F913" s="40" t="n"/>
      <c r="G913" s="44">
        <f>IFERROR(VLOOKUP(C913,Cleaners!$B$6:$I$35,8,FALSE),0)</f>
        <v/>
      </c>
      <c r="H913" s="39" t="n"/>
      <c r="I913" s="46" t="n"/>
      <c r="J913" s="39" t="n"/>
      <c r="K913" s="44">
        <f>IF(C913="","",IFERROR(D913,0)*G913+IFERROR(E913,0)+IFERROR(F913,0))</f>
        <v/>
      </c>
    </row>
    <row r="914">
      <c r="A914" s="42" t="n"/>
      <c r="B914" s="39" t="n"/>
      <c r="C914" s="39" t="n"/>
      <c r="D914" s="43" t="n"/>
      <c r="E914" s="40" t="n"/>
      <c r="F914" s="40" t="n"/>
      <c r="G914" s="44">
        <f>IFERROR(VLOOKUP(C914,Cleaners!$B$6:$I$35,8,FALSE),0)</f>
        <v/>
      </c>
      <c r="H914" s="39" t="n"/>
      <c r="I914" s="46" t="n"/>
      <c r="J914" s="39" t="n"/>
      <c r="K914" s="44">
        <f>IF(C914="","",IFERROR(D914,0)*G914+IFERROR(E914,0)+IFERROR(F914,0))</f>
        <v/>
      </c>
    </row>
    <row r="915">
      <c r="A915" s="42" t="n"/>
      <c r="B915" s="39" t="n"/>
      <c r="C915" s="39" t="n"/>
      <c r="D915" s="43" t="n"/>
      <c r="E915" s="40" t="n"/>
      <c r="F915" s="40" t="n"/>
      <c r="G915" s="44">
        <f>IFERROR(VLOOKUP(C915,Cleaners!$B$6:$I$35,8,FALSE),0)</f>
        <v/>
      </c>
      <c r="H915" s="39" t="n"/>
      <c r="I915" s="46" t="n"/>
      <c r="J915" s="39" t="n"/>
      <c r="K915" s="44">
        <f>IF(C915="","",IFERROR(D915,0)*G915+IFERROR(E915,0)+IFERROR(F915,0))</f>
        <v/>
      </c>
    </row>
    <row r="916">
      <c r="A916" s="42" t="n"/>
      <c r="B916" s="39" t="n"/>
      <c r="C916" s="39" t="n"/>
      <c r="D916" s="43" t="n"/>
      <c r="E916" s="40" t="n"/>
      <c r="F916" s="40" t="n"/>
      <c r="G916" s="44">
        <f>IFERROR(VLOOKUP(C916,Cleaners!$B$6:$I$35,8,FALSE),0)</f>
        <v/>
      </c>
      <c r="H916" s="39" t="n"/>
      <c r="I916" s="46" t="n"/>
      <c r="J916" s="39" t="n"/>
      <c r="K916" s="44">
        <f>IF(C916="","",IFERROR(D916,0)*G916+IFERROR(E916,0)+IFERROR(F916,0))</f>
        <v/>
      </c>
    </row>
    <row r="917">
      <c r="A917" s="42" t="n"/>
      <c r="B917" s="39" t="n"/>
      <c r="C917" s="39" t="n"/>
      <c r="D917" s="43" t="n"/>
      <c r="E917" s="40" t="n"/>
      <c r="F917" s="40" t="n"/>
      <c r="G917" s="44">
        <f>IFERROR(VLOOKUP(C917,Cleaners!$B$6:$I$35,8,FALSE),0)</f>
        <v/>
      </c>
      <c r="H917" s="39" t="n"/>
      <c r="I917" s="46" t="n"/>
      <c r="J917" s="39" t="n"/>
      <c r="K917" s="44">
        <f>IF(C917="","",IFERROR(D917,0)*G917+IFERROR(E917,0)+IFERROR(F917,0))</f>
        <v/>
      </c>
    </row>
    <row r="918">
      <c r="A918" s="42" t="n"/>
      <c r="B918" s="39" t="n"/>
      <c r="C918" s="39" t="n"/>
      <c r="D918" s="43" t="n"/>
      <c r="E918" s="40" t="n"/>
      <c r="F918" s="40" t="n"/>
      <c r="G918" s="44">
        <f>IFERROR(VLOOKUP(C918,Cleaners!$B$6:$I$35,8,FALSE),0)</f>
        <v/>
      </c>
      <c r="H918" s="39" t="n"/>
      <c r="I918" s="46" t="n"/>
      <c r="J918" s="39" t="n"/>
      <c r="K918" s="44">
        <f>IF(C918="","",IFERROR(D918,0)*G918+IFERROR(E918,0)+IFERROR(F918,0))</f>
        <v/>
      </c>
    </row>
    <row r="919">
      <c r="A919" s="42" t="n"/>
      <c r="B919" s="39" t="n"/>
      <c r="C919" s="39" t="n"/>
      <c r="D919" s="43" t="n"/>
      <c r="E919" s="40" t="n"/>
      <c r="F919" s="40" t="n"/>
      <c r="G919" s="44">
        <f>IFERROR(VLOOKUP(C919,Cleaners!$B$6:$I$35,8,FALSE),0)</f>
        <v/>
      </c>
      <c r="H919" s="39" t="n"/>
      <c r="I919" s="46" t="n"/>
      <c r="J919" s="39" t="n"/>
      <c r="K919" s="44">
        <f>IF(C919="","",IFERROR(D919,0)*G919+IFERROR(E919,0)+IFERROR(F919,0))</f>
        <v/>
      </c>
    </row>
    <row r="920">
      <c r="A920" s="42" t="n"/>
      <c r="B920" s="39" t="n"/>
      <c r="C920" s="39" t="n"/>
      <c r="D920" s="43" t="n"/>
      <c r="E920" s="40" t="n"/>
      <c r="F920" s="40" t="n"/>
      <c r="G920" s="44">
        <f>IFERROR(VLOOKUP(C920,Cleaners!$B$6:$I$35,8,FALSE),0)</f>
        <v/>
      </c>
      <c r="H920" s="39" t="n"/>
      <c r="I920" s="46" t="n"/>
      <c r="J920" s="39" t="n"/>
      <c r="K920" s="44">
        <f>IF(C920="","",IFERROR(D920,0)*G920+IFERROR(E920,0)+IFERROR(F920,0))</f>
        <v/>
      </c>
    </row>
    <row r="921">
      <c r="A921" s="42" t="n"/>
      <c r="B921" s="39" t="n"/>
      <c r="C921" s="39" t="n"/>
      <c r="D921" s="43" t="n"/>
      <c r="E921" s="40" t="n"/>
      <c r="F921" s="40" t="n"/>
      <c r="G921" s="44">
        <f>IFERROR(VLOOKUP(C921,Cleaners!$B$6:$I$35,8,FALSE),0)</f>
        <v/>
      </c>
      <c r="H921" s="39" t="n"/>
      <c r="I921" s="46" t="n"/>
      <c r="J921" s="39" t="n"/>
      <c r="K921" s="44">
        <f>IF(C921="","",IFERROR(D921,0)*G921+IFERROR(E921,0)+IFERROR(F921,0))</f>
        <v/>
      </c>
    </row>
    <row r="922">
      <c r="A922" s="42" t="n"/>
      <c r="B922" s="39" t="n"/>
      <c r="C922" s="39" t="n"/>
      <c r="D922" s="43" t="n"/>
      <c r="E922" s="40" t="n"/>
      <c r="F922" s="40" t="n"/>
      <c r="G922" s="44">
        <f>IFERROR(VLOOKUP(C922,Cleaners!$B$6:$I$35,8,FALSE),0)</f>
        <v/>
      </c>
      <c r="H922" s="39" t="n"/>
      <c r="I922" s="46" t="n"/>
      <c r="J922" s="39" t="n"/>
      <c r="K922" s="44">
        <f>IF(C922="","",IFERROR(D922,0)*G922+IFERROR(E922,0)+IFERROR(F922,0))</f>
        <v/>
      </c>
    </row>
    <row r="923">
      <c r="A923" s="42" t="n"/>
      <c r="B923" s="39" t="n"/>
      <c r="C923" s="39" t="n"/>
      <c r="D923" s="43" t="n"/>
      <c r="E923" s="40" t="n"/>
      <c r="F923" s="40" t="n"/>
      <c r="G923" s="44">
        <f>IFERROR(VLOOKUP(C923,Cleaners!$B$6:$I$35,8,FALSE),0)</f>
        <v/>
      </c>
      <c r="H923" s="39" t="n"/>
      <c r="I923" s="46" t="n"/>
      <c r="J923" s="39" t="n"/>
      <c r="K923" s="44">
        <f>IF(C923="","",IFERROR(D923,0)*G923+IFERROR(E923,0)+IFERROR(F923,0))</f>
        <v/>
      </c>
    </row>
    <row r="924">
      <c r="A924" s="42" t="n"/>
      <c r="B924" s="39" t="n"/>
      <c r="C924" s="39" t="n"/>
      <c r="D924" s="43" t="n"/>
      <c r="E924" s="40" t="n"/>
      <c r="F924" s="40" t="n"/>
      <c r="G924" s="44">
        <f>IFERROR(VLOOKUP(C924,Cleaners!$B$6:$I$35,8,FALSE),0)</f>
        <v/>
      </c>
      <c r="H924" s="39" t="n"/>
      <c r="I924" s="46" t="n"/>
      <c r="J924" s="39" t="n"/>
      <c r="K924" s="44">
        <f>IF(C924="","",IFERROR(D924,0)*G924+IFERROR(E924,0)+IFERROR(F924,0))</f>
        <v/>
      </c>
    </row>
    <row r="925">
      <c r="A925" s="42" t="n"/>
      <c r="B925" s="39" t="n"/>
      <c r="C925" s="39" t="n"/>
      <c r="D925" s="43" t="n"/>
      <c r="E925" s="40" t="n"/>
      <c r="F925" s="40" t="n"/>
      <c r="G925" s="44">
        <f>IFERROR(VLOOKUP(C925,Cleaners!$B$6:$I$35,8,FALSE),0)</f>
        <v/>
      </c>
      <c r="H925" s="39" t="n"/>
      <c r="I925" s="46" t="n"/>
      <c r="J925" s="39" t="n"/>
      <c r="K925" s="44">
        <f>IF(C925="","",IFERROR(D925,0)*G925+IFERROR(E925,0)+IFERROR(F925,0))</f>
        <v/>
      </c>
    </row>
    <row r="926">
      <c r="A926" s="42" t="n"/>
      <c r="B926" s="39" t="n"/>
      <c r="C926" s="39" t="n"/>
      <c r="D926" s="43" t="n"/>
      <c r="E926" s="40" t="n"/>
      <c r="F926" s="40" t="n"/>
      <c r="G926" s="44">
        <f>IFERROR(VLOOKUP(C926,Cleaners!$B$6:$I$35,8,FALSE),0)</f>
        <v/>
      </c>
      <c r="H926" s="39" t="n"/>
      <c r="I926" s="46" t="n"/>
      <c r="J926" s="39" t="n"/>
      <c r="K926" s="44">
        <f>IF(C926="","",IFERROR(D926,0)*G926+IFERROR(E926,0)+IFERROR(F926,0))</f>
        <v/>
      </c>
    </row>
    <row r="927">
      <c r="A927" s="42" t="n"/>
      <c r="B927" s="39" t="n"/>
      <c r="C927" s="39" t="n"/>
      <c r="D927" s="43" t="n"/>
      <c r="E927" s="40" t="n"/>
      <c r="F927" s="40" t="n"/>
      <c r="G927" s="44">
        <f>IFERROR(VLOOKUP(C927,Cleaners!$B$6:$I$35,8,FALSE),0)</f>
        <v/>
      </c>
      <c r="H927" s="39" t="n"/>
      <c r="I927" s="46" t="n"/>
      <c r="J927" s="39" t="n"/>
      <c r="K927" s="44">
        <f>IF(C927="","",IFERROR(D927,0)*G927+IFERROR(E927,0)+IFERROR(F927,0))</f>
        <v/>
      </c>
    </row>
    <row r="928">
      <c r="A928" s="42" t="n"/>
      <c r="B928" s="39" t="n"/>
      <c r="C928" s="39" t="n"/>
      <c r="D928" s="43" t="n"/>
      <c r="E928" s="40" t="n"/>
      <c r="F928" s="40" t="n"/>
      <c r="G928" s="44">
        <f>IFERROR(VLOOKUP(C928,Cleaners!$B$6:$I$35,8,FALSE),0)</f>
        <v/>
      </c>
      <c r="H928" s="39" t="n"/>
      <c r="I928" s="46" t="n"/>
      <c r="J928" s="39" t="n"/>
      <c r="K928" s="44">
        <f>IF(C928="","",IFERROR(D928,0)*G928+IFERROR(E928,0)+IFERROR(F928,0))</f>
        <v/>
      </c>
    </row>
    <row r="929">
      <c r="A929" s="42" t="n"/>
      <c r="B929" s="39" t="n"/>
      <c r="C929" s="39" t="n"/>
      <c r="D929" s="43" t="n"/>
      <c r="E929" s="40" t="n"/>
      <c r="F929" s="40" t="n"/>
      <c r="G929" s="44">
        <f>IFERROR(VLOOKUP(C929,Cleaners!$B$6:$I$35,8,FALSE),0)</f>
        <v/>
      </c>
      <c r="H929" s="39" t="n"/>
      <c r="I929" s="46" t="n"/>
      <c r="J929" s="39" t="n"/>
      <c r="K929" s="44">
        <f>IF(C929="","",IFERROR(D929,0)*G929+IFERROR(E929,0)+IFERROR(F929,0))</f>
        <v/>
      </c>
    </row>
    <row r="930">
      <c r="A930" s="42" t="n"/>
      <c r="B930" s="39" t="n"/>
      <c r="C930" s="39" t="n"/>
      <c r="D930" s="43" t="n"/>
      <c r="E930" s="40" t="n"/>
      <c r="F930" s="40" t="n"/>
      <c r="G930" s="44">
        <f>IFERROR(VLOOKUP(C930,Cleaners!$B$6:$I$35,8,FALSE),0)</f>
        <v/>
      </c>
      <c r="H930" s="39" t="n"/>
      <c r="I930" s="46" t="n"/>
      <c r="J930" s="39" t="n"/>
      <c r="K930" s="44">
        <f>IF(C930="","",IFERROR(D930,0)*G930+IFERROR(E930,0)+IFERROR(F930,0))</f>
        <v/>
      </c>
    </row>
    <row r="931">
      <c r="A931" s="42" t="n"/>
      <c r="B931" s="39" t="n"/>
      <c r="C931" s="39" t="n"/>
      <c r="D931" s="43" t="n"/>
      <c r="E931" s="40" t="n"/>
      <c r="F931" s="40" t="n"/>
      <c r="G931" s="44">
        <f>IFERROR(VLOOKUP(C931,Cleaners!$B$6:$I$35,8,FALSE),0)</f>
        <v/>
      </c>
      <c r="H931" s="39" t="n"/>
      <c r="I931" s="46" t="n"/>
      <c r="J931" s="39" t="n"/>
      <c r="K931" s="44">
        <f>IF(C931="","",IFERROR(D931,0)*G931+IFERROR(E931,0)+IFERROR(F931,0))</f>
        <v/>
      </c>
    </row>
    <row r="932">
      <c r="A932" s="42" t="n"/>
      <c r="B932" s="39" t="n"/>
      <c r="C932" s="39" t="n"/>
      <c r="D932" s="43" t="n"/>
      <c r="E932" s="40" t="n"/>
      <c r="F932" s="40" t="n"/>
      <c r="G932" s="44">
        <f>IFERROR(VLOOKUP(C932,Cleaners!$B$6:$I$35,8,FALSE),0)</f>
        <v/>
      </c>
      <c r="H932" s="39" t="n"/>
      <c r="I932" s="46" t="n"/>
      <c r="J932" s="39" t="n"/>
      <c r="K932" s="44">
        <f>IF(C932="","",IFERROR(D932,0)*G932+IFERROR(E932,0)+IFERROR(F932,0))</f>
        <v/>
      </c>
    </row>
    <row r="933">
      <c r="A933" s="42" t="n"/>
      <c r="B933" s="39" t="n"/>
      <c r="C933" s="39" t="n"/>
      <c r="D933" s="43" t="n"/>
      <c r="E933" s="40" t="n"/>
      <c r="F933" s="40" t="n"/>
      <c r="G933" s="44">
        <f>IFERROR(VLOOKUP(C933,Cleaners!$B$6:$I$35,8,FALSE),0)</f>
        <v/>
      </c>
      <c r="H933" s="39" t="n"/>
      <c r="I933" s="46" t="n"/>
      <c r="J933" s="39" t="n"/>
      <c r="K933" s="44">
        <f>IF(C933="","",IFERROR(D933,0)*G933+IFERROR(E933,0)+IFERROR(F933,0))</f>
        <v/>
      </c>
    </row>
    <row r="934">
      <c r="A934" s="42" t="n"/>
      <c r="B934" s="39" t="n"/>
      <c r="C934" s="39" t="n"/>
      <c r="D934" s="43" t="n"/>
      <c r="E934" s="40" t="n"/>
      <c r="F934" s="40" t="n"/>
      <c r="G934" s="44">
        <f>IFERROR(VLOOKUP(C934,Cleaners!$B$6:$I$35,8,FALSE),0)</f>
        <v/>
      </c>
      <c r="H934" s="39" t="n"/>
      <c r="I934" s="46" t="n"/>
      <c r="J934" s="39" t="n"/>
      <c r="K934" s="44">
        <f>IF(C934="","",IFERROR(D934,0)*G934+IFERROR(E934,0)+IFERROR(F934,0))</f>
        <v/>
      </c>
    </row>
    <row r="935">
      <c r="A935" s="42" t="n"/>
      <c r="B935" s="39" t="n"/>
      <c r="C935" s="39" t="n"/>
      <c r="D935" s="43" t="n"/>
      <c r="E935" s="40" t="n"/>
      <c r="F935" s="40" t="n"/>
      <c r="G935" s="44">
        <f>IFERROR(VLOOKUP(C935,Cleaners!$B$6:$I$35,8,FALSE),0)</f>
        <v/>
      </c>
      <c r="H935" s="39" t="n"/>
      <c r="I935" s="46" t="n"/>
      <c r="J935" s="39" t="n"/>
      <c r="K935" s="44">
        <f>IF(C935="","",IFERROR(D935,0)*G935+IFERROR(E935,0)+IFERROR(F935,0))</f>
        <v/>
      </c>
    </row>
    <row r="936">
      <c r="A936" s="42" t="n"/>
      <c r="B936" s="39" t="n"/>
      <c r="C936" s="39" t="n"/>
      <c r="D936" s="43" t="n"/>
      <c r="E936" s="40" t="n"/>
      <c r="F936" s="40" t="n"/>
      <c r="G936" s="44">
        <f>IFERROR(VLOOKUP(C936,Cleaners!$B$6:$I$35,8,FALSE),0)</f>
        <v/>
      </c>
      <c r="H936" s="39" t="n"/>
      <c r="I936" s="46" t="n"/>
      <c r="J936" s="39" t="n"/>
      <c r="K936" s="44">
        <f>IF(C936="","",IFERROR(D936,0)*G936+IFERROR(E936,0)+IFERROR(F936,0))</f>
        <v/>
      </c>
    </row>
    <row r="937">
      <c r="A937" s="42" t="n"/>
      <c r="B937" s="39" t="n"/>
      <c r="C937" s="39" t="n"/>
      <c r="D937" s="43" t="n"/>
      <c r="E937" s="40" t="n"/>
      <c r="F937" s="40" t="n"/>
      <c r="G937" s="44">
        <f>IFERROR(VLOOKUP(C937,Cleaners!$B$6:$I$35,8,FALSE),0)</f>
        <v/>
      </c>
      <c r="H937" s="39" t="n"/>
      <c r="I937" s="46" t="n"/>
      <c r="J937" s="39" t="n"/>
      <c r="K937" s="44">
        <f>IF(C937="","",IFERROR(D937,0)*G937+IFERROR(E937,0)+IFERROR(F937,0))</f>
        <v/>
      </c>
    </row>
    <row r="938">
      <c r="A938" s="42" t="n"/>
      <c r="B938" s="39" t="n"/>
      <c r="C938" s="39" t="n"/>
      <c r="D938" s="43" t="n"/>
      <c r="E938" s="40" t="n"/>
      <c r="F938" s="40" t="n"/>
      <c r="G938" s="44">
        <f>IFERROR(VLOOKUP(C938,Cleaners!$B$6:$I$35,8,FALSE),0)</f>
        <v/>
      </c>
      <c r="H938" s="39" t="n"/>
      <c r="I938" s="46" t="n"/>
      <c r="J938" s="39" t="n"/>
      <c r="K938" s="44">
        <f>IF(C938="","",IFERROR(D938,0)*G938+IFERROR(E938,0)+IFERROR(F938,0))</f>
        <v/>
      </c>
    </row>
    <row r="939">
      <c r="A939" s="42" t="n"/>
      <c r="B939" s="39" t="n"/>
      <c r="C939" s="39" t="n"/>
      <c r="D939" s="43" t="n"/>
      <c r="E939" s="40" t="n"/>
      <c r="F939" s="40" t="n"/>
      <c r="G939" s="44">
        <f>IFERROR(VLOOKUP(C939,Cleaners!$B$6:$I$35,8,FALSE),0)</f>
        <v/>
      </c>
      <c r="H939" s="39" t="n"/>
      <c r="I939" s="46" t="n"/>
      <c r="J939" s="39" t="n"/>
      <c r="K939" s="44">
        <f>IF(C939="","",IFERROR(D939,0)*G939+IFERROR(E939,0)+IFERROR(F939,0))</f>
        <v/>
      </c>
    </row>
    <row r="940">
      <c r="A940" s="42" t="n"/>
      <c r="B940" s="39" t="n"/>
      <c r="C940" s="39" t="n"/>
      <c r="D940" s="43" t="n"/>
      <c r="E940" s="40" t="n"/>
      <c r="F940" s="40" t="n"/>
      <c r="G940" s="44">
        <f>IFERROR(VLOOKUP(C940,Cleaners!$B$6:$I$35,8,FALSE),0)</f>
        <v/>
      </c>
      <c r="H940" s="39" t="n"/>
      <c r="I940" s="46" t="n"/>
      <c r="J940" s="39" t="n"/>
      <c r="K940" s="44">
        <f>IF(C940="","",IFERROR(D940,0)*G940+IFERROR(E940,0)+IFERROR(F940,0))</f>
        <v/>
      </c>
    </row>
    <row r="941">
      <c r="A941" s="42" t="n"/>
      <c r="B941" s="39" t="n"/>
      <c r="C941" s="39" t="n"/>
      <c r="D941" s="43" t="n"/>
      <c r="E941" s="40" t="n"/>
      <c r="F941" s="40" t="n"/>
      <c r="G941" s="44">
        <f>IFERROR(VLOOKUP(C941,Cleaners!$B$6:$I$35,8,FALSE),0)</f>
        <v/>
      </c>
      <c r="H941" s="39" t="n"/>
      <c r="I941" s="46" t="n"/>
      <c r="J941" s="39" t="n"/>
      <c r="K941" s="44">
        <f>IF(C941="","",IFERROR(D941,0)*G941+IFERROR(E941,0)+IFERROR(F941,0))</f>
        <v/>
      </c>
    </row>
    <row r="942">
      <c r="A942" s="42" t="n"/>
      <c r="B942" s="39" t="n"/>
      <c r="C942" s="39" t="n"/>
      <c r="D942" s="43" t="n"/>
      <c r="E942" s="40" t="n"/>
      <c r="F942" s="40" t="n"/>
      <c r="G942" s="44">
        <f>IFERROR(VLOOKUP(C942,Cleaners!$B$6:$I$35,8,FALSE),0)</f>
        <v/>
      </c>
      <c r="H942" s="39" t="n"/>
      <c r="I942" s="46" t="n"/>
      <c r="J942" s="39" t="n"/>
      <c r="K942" s="44">
        <f>IF(C942="","",IFERROR(D942,0)*G942+IFERROR(E942,0)+IFERROR(F942,0))</f>
        <v/>
      </c>
    </row>
    <row r="943">
      <c r="A943" s="42" t="n"/>
      <c r="B943" s="39" t="n"/>
      <c r="C943" s="39" t="n"/>
      <c r="D943" s="43" t="n"/>
      <c r="E943" s="40" t="n"/>
      <c r="F943" s="40" t="n"/>
      <c r="G943" s="44">
        <f>IFERROR(VLOOKUP(C943,Cleaners!$B$6:$I$35,8,FALSE),0)</f>
        <v/>
      </c>
      <c r="H943" s="39" t="n"/>
      <c r="I943" s="46" t="n"/>
      <c r="J943" s="39" t="n"/>
      <c r="K943" s="44">
        <f>IF(C943="","",IFERROR(D943,0)*G943+IFERROR(E943,0)+IFERROR(F943,0))</f>
        <v/>
      </c>
    </row>
    <row r="944">
      <c r="A944" s="42" t="n"/>
      <c r="B944" s="39" t="n"/>
      <c r="C944" s="39" t="n"/>
      <c r="D944" s="43" t="n"/>
      <c r="E944" s="40" t="n"/>
      <c r="F944" s="40" t="n"/>
      <c r="G944" s="44">
        <f>IFERROR(VLOOKUP(C944,Cleaners!$B$6:$I$35,8,FALSE),0)</f>
        <v/>
      </c>
      <c r="H944" s="39" t="n"/>
      <c r="I944" s="46" t="n"/>
      <c r="J944" s="39" t="n"/>
      <c r="K944" s="44">
        <f>IF(C944="","",IFERROR(D944,0)*G944+IFERROR(E944,0)+IFERROR(F944,0))</f>
        <v/>
      </c>
    </row>
    <row r="945">
      <c r="A945" s="42" t="n"/>
      <c r="B945" s="39" t="n"/>
      <c r="C945" s="39" t="n"/>
      <c r="D945" s="43" t="n"/>
      <c r="E945" s="40" t="n"/>
      <c r="F945" s="40" t="n"/>
      <c r="G945" s="44">
        <f>IFERROR(VLOOKUP(C945,Cleaners!$B$6:$I$35,8,FALSE),0)</f>
        <v/>
      </c>
      <c r="H945" s="39" t="n"/>
      <c r="I945" s="46" t="n"/>
      <c r="J945" s="39" t="n"/>
      <c r="K945" s="44">
        <f>IF(C945="","",IFERROR(D945,0)*G945+IFERROR(E945,0)+IFERROR(F945,0))</f>
        <v/>
      </c>
    </row>
    <row r="946">
      <c r="A946" s="42" t="n"/>
      <c r="B946" s="39" t="n"/>
      <c r="C946" s="39" t="n"/>
      <c r="D946" s="43" t="n"/>
      <c r="E946" s="40" t="n"/>
      <c r="F946" s="40" t="n"/>
      <c r="G946" s="44">
        <f>IFERROR(VLOOKUP(C946,Cleaners!$B$6:$I$35,8,FALSE),0)</f>
        <v/>
      </c>
      <c r="H946" s="39" t="n"/>
      <c r="I946" s="46" t="n"/>
      <c r="J946" s="39" t="n"/>
      <c r="K946" s="44">
        <f>IF(C946="","",IFERROR(D946,0)*G946+IFERROR(E946,0)+IFERROR(F946,0))</f>
        <v/>
      </c>
    </row>
    <row r="947">
      <c r="A947" s="42" t="n"/>
      <c r="B947" s="39" t="n"/>
      <c r="C947" s="39" t="n"/>
      <c r="D947" s="43" t="n"/>
      <c r="E947" s="40" t="n"/>
      <c r="F947" s="40" t="n"/>
      <c r="G947" s="44">
        <f>IFERROR(VLOOKUP(C947,Cleaners!$B$6:$I$35,8,FALSE),0)</f>
        <v/>
      </c>
      <c r="H947" s="39" t="n"/>
      <c r="I947" s="46" t="n"/>
      <c r="J947" s="39" t="n"/>
      <c r="K947" s="44">
        <f>IF(C947="","",IFERROR(D947,0)*G947+IFERROR(E947,0)+IFERROR(F947,0))</f>
        <v/>
      </c>
    </row>
    <row r="948">
      <c r="A948" s="42" t="n"/>
      <c r="B948" s="39" t="n"/>
      <c r="C948" s="39" t="n"/>
      <c r="D948" s="43" t="n"/>
      <c r="E948" s="40" t="n"/>
      <c r="F948" s="40" t="n"/>
      <c r="G948" s="44">
        <f>IFERROR(VLOOKUP(C948,Cleaners!$B$6:$I$35,8,FALSE),0)</f>
        <v/>
      </c>
      <c r="H948" s="39" t="n"/>
      <c r="I948" s="46" t="n"/>
      <c r="J948" s="39" t="n"/>
      <c r="K948" s="44">
        <f>IF(C948="","",IFERROR(D948,0)*G948+IFERROR(E948,0)+IFERROR(F948,0))</f>
        <v/>
      </c>
    </row>
    <row r="949">
      <c r="A949" s="42" t="n"/>
      <c r="B949" s="39" t="n"/>
      <c r="C949" s="39" t="n"/>
      <c r="D949" s="43" t="n"/>
      <c r="E949" s="40" t="n"/>
      <c r="F949" s="40" t="n"/>
      <c r="G949" s="44">
        <f>IFERROR(VLOOKUP(C949,Cleaners!$B$6:$I$35,8,FALSE),0)</f>
        <v/>
      </c>
      <c r="H949" s="39" t="n"/>
      <c r="I949" s="46" t="n"/>
      <c r="J949" s="39" t="n"/>
      <c r="K949" s="44">
        <f>IF(C949="","",IFERROR(D949,0)*G949+IFERROR(E949,0)+IFERROR(F949,0))</f>
        <v/>
      </c>
    </row>
    <row r="950">
      <c r="A950" s="42" t="n"/>
      <c r="B950" s="39" t="n"/>
      <c r="C950" s="39" t="n"/>
      <c r="D950" s="43" t="n"/>
      <c r="E950" s="40" t="n"/>
      <c r="F950" s="40" t="n"/>
      <c r="G950" s="44">
        <f>IFERROR(VLOOKUP(C950,Cleaners!$B$6:$I$35,8,FALSE),0)</f>
        <v/>
      </c>
      <c r="H950" s="39" t="n"/>
      <c r="I950" s="46" t="n"/>
      <c r="J950" s="39" t="n"/>
      <c r="K950" s="44">
        <f>IF(C950="","",IFERROR(D950,0)*G950+IFERROR(E950,0)+IFERROR(F950,0))</f>
        <v/>
      </c>
    </row>
    <row r="951">
      <c r="A951" s="42" t="n"/>
      <c r="B951" s="39" t="n"/>
      <c r="C951" s="39" t="n"/>
      <c r="D951" s="43" t="n"/>
      <c r="E951" s="40" t="n"/>
      <c r="F951" s="40" t="n"/>
      <c r="G951" s="44">
        <f>IFERROR(VLOOKUP(C951,Cleaners!$B$6:$I$35,8,FALSE),0)</f>
        <v/>
      </c>
      <c r="H951" s="39" t="n"/>
      <c r="I951" s="46" t="n"/>
      <c r="J951" s="39" t="n"/>
      <c r="K951" s="44">
        <f>IF(C951="","",IFERROR(D951,0)*G951+IFERROR(E951,0)+IFERROR(F951,0))</f>
        <v/>
      </c>
    </row>
    <row r="952">
      <c r="A952" s="42" t="n"/>
      <c r="B952" s="39" t="n"/>
      <c r="C952" s="39" t="n"/>
      <c r="D952" s="43" t="n"/>
      <c r="E952" s="40" t="n"/>
      <c r="F952" s="40" t="n"/>
      <c r="G952" s="44">
        <f>IFERROR(VLOOKUP(C952,Cleaners!$B$6:$I$35,8,FALSE),0)</f>
        <v/>
      </c>
      <c r="H952" s="39" t="n"/>
      <c r="I952" s="46" t="n"/>
      <c r="J952" s="39" t="n"/>
      <c r="K952" s="44">
        <f>IF(C952="","",IFERROR(D952,0)*G952+IFERROR(E952,0)+IFERROR(F952,0))</f>
        <v/>
      </c>
    </row>
    <row r="953">
      <c r="A953" s="42" t="n"/>
      <c r="B953" s="39" t="n"/>
      <c r="C953" s="39" t="n"/>
      <c r="D953" s="43" t="n"/>
      <c r="E953" s="40" t="n"/>
      <c r="F953" s="40" t="n"/>
      <c r="G953" s="44">
        <f>IFERROR(VLOOKUP(C953,Cleaners!$B$6:$I$35,8,FALSE),0)</f>
        <v/>
      </c>
      <c r="H953" s="39" t="n"/>
      <c r="I953" s="46" t="n"/>
      <c r="J953" s="39" t="n"/>
      <c r="K953" s="44">
        <f>IF(C953="","",IFERROR(D953,0)*G953+IFERROR(E953,0)+IFERROR(F953,0))</f>
        <v/>
      </c>
    </row>
    <row r="954">
      <c r="A954" s="42" t="n"/>
      <c r="B954" s="39" t="n"/>
      <c r="C954" s="39" t="n"/>
      <c r="D954" s="43" t="n"/>
      <c r="E954" s="40" t="n"/>
      <c r="F954" s="40" t="n"/>
      <c r="G954" s="44">
        <f>IFERROR(VLOOKUP(C954,Cleaners!$B$6:$I$35,8,FALSE),0)</f>
        <v/>
      </c>
      <c r="H954" s="39" t="n"/>
      <c r="I954" s="46" t="n"/>
      <c r="J954" s="39" t="n"/>
      <c r="K954" s="44">
        <f>IF(C954="","",IFERROR(D954,0)*G954+IFERROR(E954,0)+IFERROR(F954,0))</f>
        <v/>
      </c>
    </row>
    <row r="955">
      <c r="A955" s="42" t="n"/>
      <c r="B955" s="39" t="n"/>
      <c r="C955" s="39" t="n"/>
      <c r="D955" s="43" t="n"/>
      <c r="E955" s="40" t="n"/>
      <c r="F955" s="40" t="n"/>
      <c r="G955" s="44">
        <f>IFERROR(VLOOKUP(C955,Cleaners!$B$6:$I$35,8,FALSE),0)</f>
        <v/>
      </c>
      <c r="H955" s="39" t="n"/>
      <c r="I955" s="46" t="n"/>
      <c r="J955" s="39" t="n"/>
      <c r="K955" s="44">
        <f>IF(C955="","",IFERROR(D955,0)*G955+IFERROR(E955,0)+IFERROR(F955,0))</f>
        <v/>
      </c>
    </row>
    <row r="956">
      <c r="A956" s="42" t="n"/>
      <c r="B956" s="39" t="n"/>
      <c r="C956" s="39" t="n"/>
      <c r="D956" s="43" t="n"/>
      <c r="E956" s="40" t="n"/>
      <c r="F956" s="40" t="n"/>
      <c r="G956" s="44">
        <f>IFERROR(VLOOKUP(C956,Cleaners!$B$6:$I$35,8,FALSE),0)</f>
        <v/>
      </c>
      <c r="H956" s="39" t="n"/>
      <c r="I956" s="46" t="n"/>
      <c r="J956" s="39" t="n"/>
      <c r="K956" s="44">
        <f>IF(C956="","",IFERROR(D956,0)*G956+IFERROR(E956,0)+IFERROR(F956,0))</f>
        <v/>
      </c>
    </row>
    <row r="957">
      <c r="A957" s="42" t="n"/>
      <c r="B957" s="39" t="n"/>
      <c r="C957" s="39" t="n"/>
      <c r="D957" s="43" t="n"/>
      <c r="E957" s="40" t="n"/>
      <c r="F957" s="40" t="n"/>
      <c r="G957" s="44">
        <f>IFERROR(VLOOKUP(C957,Cleaners!$B$6:$I$35,8,FALSE),0)</f>
        <v/>
      </c>
      <c r="H957" s="39" t="n"/>
      <c r="I957" s="46" t="n"/>
      <c r="J957" s="39" t="n"/>
      <c r="K957" s="44">
        <f>IF(C957="","",IFERROR(D957,0)*G957+IFERROR(E957,0)+IFERROR(F957,0))</f>
        <v/>
      </c>
    </row>
    <row r="958">
      <c r="A958" s="42" t="n"/>
      <c r="B958" s="39" t="n"/>
      <c r="C958" s="39" t="n"/>
      <c r="D958" s="43" t="n"/>
      <c r="E958" s="40" t="n"/>
      <c r="F958" s="40" t="n"/>
      <c r="G958" s="44">
        <f>IFERROR(VLOOKUP(C958,Cleaners!$B$6:$I$35,8,FALSE),0)</f>
        <v/>
      </c>
      <c r="H958" s="39" t="n"/>
      <c r="I958" s="46" t="n"/>
      <c r="J958" s="39" t="n"/>
      <c r="K958" s="44">
        <f>IF(C958="","",IFERROR(D958,0)*G958+IFERROR(E958,0)+IFERROR(F958,0))</f>
        <v/>
      </c>
    </row>
    <row r="959">
      <c r="A959" s="42" t="n"/>
      <c r="B959" s="39" t="n"/>
      <c r="C959" s="39" t="n"/>
      <c r="D959" s="43" t="n"/>
      <c r="E959" s="40" t="n"/>
      <c r="F959" s="40" t="n"/>
      <c r="G959" s="44">
        <f>IFERROR(VLOOKUP(C959,Cleaners!$B$6:$I$35,8,FALSE),0)</f>
        <v/>
      </c>
      <c r="H959" s="39" t="n"/>
      <c r="I959" s="46" t="n"/>
      <c r="J959" s="39" t="n"/>
      <c r="K959" s="44">
        <f>IF(C959="","",IFERROR(D959,0)*G959+IFERROR(E959,0)+IFERROR(F959,0))</f>
        <v/>
      </c>
    </row>
    <row r="960">
      <c r="A960" s="42" t="n"/>
      <c r="B960" s="39" t="n"/>
      <c r="C960" s="39" t="n"/>
      <c r="D960" s="43" t="n"/>
      <c r="E960" s="40" t="n"/>
      <c r="F960" s="40" t="n"/>
      <c r="G960" s="44">
        <f>IFERROR(VLOOKUP(C960,Cleaners!$B$6:$I$35,8,FALSE),0)</f>
        <v/>
      </c>
      <c r="H960" s="39" t="n"/>
      <c r="I960" s="46" t="n"/>
      <c r="J960" s="39" t="n"/>
      <c r="K960" s="44">
        <f>IF(C960="","",IFERROR(D960,0)*G960+IFERROR(E960,0)+IFERROR(F960,0))</f>
        <v/>
      </c>
    </row>
    <row r="961">
      <c r="A961" s="42" t="n"/>
      <c r="B961" s="39" t="n"/>
      <c r="C961" s="39" t="n"/>
      <c r="D961" s="43" t="n"/>
      <c r="E961" s="40" t="n"/>
      <c r="F961" s="40" t="n"/>
      <c r="G961" s="44">
        <f>IFERROR(VLOOKUP(C961,Cleaners!$B$6:$I$35,8,FALSE),0)</f>
        <v/>
      </c>
      <c r="H961" s="39" t="n"/>
      <c r="I961" s="46" t="n"/>
      <c r="J961" s="39" t="n"/>
      <c r="K961" s="44">
        <f>IF(C961="","",IFERROR(D961,0)*G961+IFERROR(E961,0)+IFERROR(F961,0))</f>
        <v/>
      </c>
    </row>
    <row r="962">
      <c r="A962" s="42" t="n"/>
      <c r="B962" s="39" t="n"/>
      <c r="C962" s="39" t="n"/>
      <c r="D962" s="43" t="n"/>
      <c r="E962" s="40" t="n"/>
      <c r="F962" s="40" t="n"/>
      <c r="G962" s="44">
        <f>IFERROR(VLOOKUP(C962,Cleaners!$B$6:$I$35,8,FALSE),0)</f>
        <v/>
      </c>
      <c r="H962" s="39" t="n"/>
      <c r="I962" s="46" t="n"/>
      <c r="J962" s="39" t="n"/>
      <c r="K962" s="44">
        <f>IF(C962="","",IFERROR(D962,0)*G962+IFERROR(E962,0)+IFERROR(F962,0))</f>
        <v/>
      </c>
    </row>
    <row r="963">
      <c r="A963" s="42" t="n"/>
      <c r="B963" s="39" t="n"/>
      <c r="C963" s="39" t="n"/>
      <c r="D963" s="43" t="n"/>
      <c r="E963" s="40" t="n"/>
      <c r="F963" s="40" t="n"/>
      <c r="G963" s="44">
        <f>IFERROR(VLOOKUP(C963,Cleaners!$B$6:$I$35,8,FALSE),0)</f>
        <v/>
      </c>
      <c r="H963" s="39" t="n"/>
      <c r="I963" s="46" t="n"/>
      <c r="J963" s="39" t="n"/>
      <c r="K963" s="44">
        <f>IF(C963="","",IFERROR(D963,0)*G963+IFERROR(E963,0)+IFERROR(F963,0))</f>
        <v/>
      </c>
    </row>
    <row r="964">
      <c r="A964" s="42" t="n"/>
      <c r="B964" s="39" t="n"/>
      <c r="C964" s="39" t="n"/>
      <c r="D964" s="43" t="n"/>
      <c r="E964" s="40" t="n"/>
      <c r="F964" s="40" t="n"/>
      <c r="G964" s="44">
        <f>IFERROR(VLOOKUP(C964,Cleaners!$B$6:$I$35,8,FALSE),0)</f>
        <v/>
      </c>
      <c r="H964" s="39" t="n"/>
      <c r="I964" s="46" t="n"/>
      <c r="J964" s="39" t="n"/>
      <c r="K964" s="44">
        <f>IF(C964="","",IFERROR(D964,0)*G964+IFERROR(E964,0)+IFERROR(F964,0))</f>
        <v/>
      </c>
    </row>
    <row r="965">
      <c r="A965" s="42" t="n"/>
      <c r="B965" s="39" t="n"/>
      <c r="C965" s="39" t="n"/>
      <c r="D965" s="43" t="n"/>
      <c r="E965" s="40" t="n"/>
      <c r="F965" s="40" t="n"/>
      <c r="G965" s="44">
        <f>IFERROR(VLOOKUP(C965,Cleaners!$B$6:$I$35,8,FALSE),0)</f>
        <v/>
      </c>
      <c r="H965" s="39" t="n"/>
      <c r="I965" s="46" t="n"/>
      <c r="J965" s="39" t="n"/>
      <c r="K965" s="44">
        <f>IF(C965="","",IFERROR(D965,0)*G965+IFERROR(E965,0)+IFERROR(F965,0))</f>
        <v/>
      </c>
    </row>
    <row r="966">
      <c r="A966" s="42" t="n"/>
      <c r="B966" s="39" t="n"/>
      <c r="C966" s="39" t="n"/>
      <c r="D966" s="43" t="n"/>
      <c r="E966" s="40" t="n"/>
      <c r="F966" s="40" t="n"/>
      <c r="G966" s="44">
        <f>IFERROR(VLOOKUP(C966,Cleaners!$B$6:$I$35,8,FALSE),0)</f>
        <v/>
      </c>
      <c r="H966" s="39" t="n"/>
      <c r="I966" s="46" t="n"/>
      <c r="J966" s="39" t="n"/>
      <c r="K966" s="44">
        <f>IF(C966="","",IFERROR(D966,0)*G966+IFERROR(E966,0)+IFERROR(F966,0))</f>
        <v/>
      </c>
    </row>
    <row r="967">
      <c r="A967" s="42" t="n"/>
      <c r="B967" s="39" t="n"/>
      <c r="C967" s="39" t="n"/>
      <c r="D967" s="43" t="n"/>
      <c r="E967" s="40" t="n"/>
      <c r="F967" s="40" t="n"/>
      <c r="G967" s="44">
        <f>IFERROR(VLOOKUP(C967,Cleaners!$B$6:$I$35,8,FALSE),0)</f>
        <v/>
      </c>
      <c r="H967" s="39" t="n"/>
      <c r="I967" s="46" t="n"/>
      <c r="J967" s="39" t="n"/>
      <c r="K967" s="44">
        <f>IF(C967="","",IFERROR(D967,0)*G967+IFERROR(E967,0)+IFERROR(F967,0))</f>
        <v/>
      </c>
    </row>
    <row r="968">
      <c r="A968" s="42" t="n"/>
      <c r="B968" s="39" t="n"/>
      <c r="C968" s="39" t="n"/>
      <c r="D968" s="43" t="n"/>
      <c r="E968" s="40" t="n"/>
      <c r="F968" s="40" t="n"/>
      <c r="G968" s="44">
        <f>IFERROR(VLOOKUP(C968,Cleaners!$B$6:$I$35,8,FALSE),0)</f>
        <v/>
      </c>
      <c r="H968" s="39" t="n"/>
      <c r="I968" s="46" t="n"/>
      <c r="J968" s="39" t="n"/>
      <c r="K968" s="44">
        <f>IF(C968="","",IFERROR(D968,0)*G968+IFERROR(E968,0)+IFERROR(F968,0))</f>
        <v/>
      </c>
    </row>
    <row r="969">
      <c r="A969" s="42" t="n"/>
      <c r="B969" s="39" t="n"/>
      <c r="C969" s="39" t="n"/>
      <c r="D969" s="43" t="n"/>
      <c r="E969" s="40" t="n"/>
      <c r="F969" s="40" t="n"/>
      <c r="G969" s="44">
        <f>IFERROR(VLOOKUP(C969,Cleaners!$B$6:$I$35,8,FALSE),0)</f>
        <v/>
      </c>
      <c r="H969" s="39" t="n"/>
      <c r="I969" s="46" t="n"/>
      <c r="J969" s="39" t="n"/>
      <c r="K969" s="44">
        <f>IF(C969="","",IFERROR(D969,0)*G969+IFERROR(E969,0)+IFERROR(F969,0))</f>
        <v/>
      </c>
    </row>
    <row r="970">
      <c r="A970" s="42" t="n"/>
      <c r="B970" s="39" t="n"/>
      <c r="C970" s="39" t="n"/>
      <c r="D970" s="43" t="n"/>
      <c r="E970" s="40" t="n"/>
      <c r="F970" s="40" t="n"/>
      <c r="G970" s="44">
        <f>IFERROR(VLOOKUP(C970,Cleaners!$B$6:$I$35,8,FALSE),0)</f>
        <v/>
      </c>
      <c r="H970" s="39" t="n"/>
      <c r="I970" s="46" t="n"/>
      <c r="J970" s="39" t="n"/>
      <c r="K970" s="44">
        <f>IF(C970="","",IFERROR(D970,0)*G970+IFERROR(E970,0)+IFERROR(F970,0))</f>
        <v/>
      </c>
    </row>
    <row r="971">
      <c r="A971" s="42" t="n"/>
      <c r="B971" s="39" t="n"/>
      <c r="C971" s="39" t="n"/>
      <c r="D971" s="43" t="n"/>
      <c r="E971" s="40" t="n"/>
      <c r="F971" s="40" t="n"/>
      <c r="G971" s="44">
        <f>IFERROR(VLOOKUP(C971,Cleaners!$B$6:$I$35,8,FALSE),0)</f>
        <v/>
      </c>
      <c r="H971" s="39" t="n"/>
      <c r="I971" s="46" t="n"/>
      <c r="J971" s="39" t="n"/>
      <c r="K971" s="44">
        <f>IF(C971="","",IFERROR(D971,0)*G971+IFERROR(E971,0)+IFERROR(F971,0))</f>
        <v/>
      </c>
    </row>
    <row r="972">
      <c r="A972" s="42" t="n"/>
      <c r="B972" s="39" t="n"/>
      <c r="C972" s="39" t="n"/>
      <c r="D972" s="43" t="n"/>
      <c r="E972" s="40" t="n"/>
      <c r="F972" s="40" t="n"/>
      <c r="G972" s="44">
        <f>IFERROR(VLOOKUP(C972,Cleaners!$B$6:$I$35,8,FALSE),0)</f>
        <v/>
      </c>
      <c r="H972" s="39" t="n"/>
      <c r="I972" s="46" t="n"/>
      <c r="J972" s="39" t="n"/>
      <c r="K972" s="44">
        <f>IF(C972="","",IFERROR(D972,0)*G972+IFERROR(E972,0)+IFERROR(F972,0))</f>
        <v/>
      </c>
    </row>
    <row r="973">
      <c r="A973" s="42" t="n"/>
      <c r="B973" s="39" t="n"/>
      <c r="C973" s="39" t="n"/>
      <c r="D973" s="43" t="n"/>
      <c r="E973" s="40" t="n"/>
      <c r="F973" s="40" t="n"/>
      <c r="G973" s="44">
        <f>IFERROR(VLOOKUP(C973,Cleaners!$B$6:$I$35,8,FALSE),0)</f>
        <v/>
      </c>
      <c r="H973" s="39" t="n"/>
      <c r="I973" s="46" t="n"/>
      <c r="J973" s="39" t="n"/>
      <c r="K973" s="44">
        <f>IF(C973="","",IFERROR(D973,0)*G973+IFERROR(E973,0)+IFERROR(F973,0))</f>
        <v/>
      </c>
    </row>
    <row r="974">
      <c r="A974" s="42" t="n"/>
      <c r="B974" s="39" t="n"/>
      <c r="C974" s="39" t="n"/>
      <c r="D974" s="43" t="n"/>
      <c r="E974" s="40" t="n"/>
      <c r="F974" s="40" t="n"/>
      <c r="G974" s="44">
        <f>IFERROR(VLOOKUP(C974,Cleaners!$B$6:$I$35,8,FALSE),0)</f>
        <v/>
      </c>
      <c r="H974" s="39" t="n"/>
      <c r="I974" s="46" t="n"/>
      <c r="J974" s="39" t="n"/>
      <c r="K974" s="44">
        <f>IF(C974="","",IFERROR(D974,0)*G974+IFERROR(E974,0)+IFERROR(F974,0))</f>
        <v/>
      </c>
    </row>
    <row r="975">
      <c r="A975" s="42" t="n"/>
      <c r="B975" s="39" t="n"/>
      <c r="C975" s="39" t="n"/>
      <c r="D975" s="43" t="n"/>
      <c r="E975" s="40" t="n"/>
      <c r="F975" s="40" t="n"/>
      <c r="G975" s="44">
        <f>IFERROR(VLOOKUP(C975,Cleaners!$B$6:$I$35,8,FALSE),0)</f>
        <v/>
      </c>
      <c r="H975" s="39" t="n"/>
      <c r="I975" s="46" t="n"/>
      <c r="J975" s="39" t="n"/>
      <c r="K975" s="44">
        <f>IF(C975="","",IFERROR(D975,0)*G975+IFERROR(E975,0)+IFERROR(F975,0))</f>
        <v/>
      </c>
    </row>
    <row r="976">
      <c r="A976" s="42" t="n"/>
      <c r="B976" s="39" t="n"/>
      <c r="C976" s="39" t="n"/>
      <c r="D976" s="43" t="n"/>
      <c r="E976" s="40" t="n"/>
      <c r="F976" s="40" t="n"/>
      <c r="G976" s="44">
        <f>IFERROR(VLOOKUP(C976,Cleaners!$B$6:$I$35,8,FALSE),0)</f>
        <v/>
      </c>
      <c r="H976" s="39" t="n"/>
      <c r="I976" s="46" t="n"/>
      <c r="J976" s="39" t="n"/>
      <c r="K976" s="44">
        <f>IF(C976="","",IFERROR(D976,0)*G976+IFERROR(E976,0)+IFERROR(F976,0))</f>
        <v/>
      </c>
    </row>
    <row r="977">
      <c r="A977" s="42" t="n"/>
      <c r="B977" s="39" t="n"/>
      <c r="C977" s="39" t="n"/>
      <c r="D977" s="43" t="n"/>
      <c r="E977" s="40" t="n"/>
      <c r="F977" s="40" t="n"/>
      <c r="G977" s="44">
        <f>IFERROR(VLOOKUP(C977,Cleaners!$B$6:$I$35,8,FALSE),0)</f>
        <v/>
      </c>
      <c r="H977" s="39" t="n"/>
      <c r="I977" s="46" t="n"/>
      <c r="J977" s="39" t="n"/>
      <c r="K977" s="44">
        <f>IF(C977="","",IFERROR(D977,0)*G977+IFERROR(E977,0)+IFERROR(F977,0))</f>
        <v/>
      </c>
    </row>
    <row r="978">
      <c r="A978" s="42" t="n"/>
      <c r="B978" s="39" t="n"/>
      <c r="C978" s="39" t="n"/>
      <c r="D978" s="43" t="n"/>
      <c r="E978" s="40" t="n"/>
      <c r="F978" s="40" t="n"/>
      <c r="G978" s="44">
        <f>IFERROR(VLOOKUP(C978,Cleaners!$B$6:$I$35,8,FALSE),0)</f>
        <v/>
      </c>
      <c r="H978" s="39" t="n"/>
      <c r="I978" s="46" t="n"/>
      <c r="J978" s="39" t="n"/>
      <c r="K978" s="44">
        <f>IF(C978="","",IFERROR(D978,0)*G978+IFERROR(E978,0)+IFERROR(F978,0))</f>
        <v/>
      </c>
    </row>
    <row r="979">
      <c r="A979" s="42" t="n"/>
      <c r="B979" s="39" t="n"/>
      <c r="C979" s="39" t="n"/>
      <c r="D979" s="43" t="n"/>
      <c r="E979" s="40" t="n"/>
      <c r="F979" s="40" t="n"/>
      <c r="G979" s="44">
        <f>IFERROR(VLOOKUP(C979,Cleaners!$B$6:$I$35,8,FALSE),0)</f>
        <v/>
      </c>
      <c r="H979" s="39" t="n"/>
      <c r="I979" s="46" t="n"/>
      <c r="J979" s="39" t="n"/>
      <c r="K979" s="44">
        <f>IF(C979="","",IFERROR(D979,0)*G979+IFERROR(E979,0)+IFERROR(F979,0))</f>
        <v/>
      </c>
    </row>
    <row r="980">
      <c r="A980" s="42" t="n"/>
      <c r="B980" s="39" t="n"/>
      <c r="C980" s="39" t="n"/>
      <c r="D980" s="43" t="n"/>
      <c r="E980" s="40" t="n"/>
      <c r="F980" s="40" t="n"/>
      <c r="G980" s="44">
        <f>IFERROR(VLOOKUP(C980,Cleaners!$B$6:$I$35,8,FALSE),0)</f>
        <v/>
      </c>
      <c r="H980" s="39" t="n"/>
      <c r="I980" s="46" t="n"/>
      <c r="J980" s="39" t="n"/>
      <c r="K980" s="44">
        <f>IF(C980="","",IFERROR(D980,0)*G980+IFERROR(E980,0)+IFERROR(F980,0))</f>
        <v/>
      </c>
    </row>
    <row r="981">
      <c r="A981" s="42" t="n"/>
      <c r="B981" s="39" t="n"/>
      <c r="C981" s="39" t="n"/>
      <c r="D981" s="43" t="n"/>
      <c r="E981" s="40" t="n"/>
      <c r="F981" s="40" t="n"/>
      <c r="G981" s="44">
        <f>IFERROR(VLOOKUP(C981,Cleaners!$B$6:$I$35,8,FALSE),0)</f>
        <v/>
      </c>
      <c r="H981" s="39" t="n"/>
      <c r="I981" s="46" t="n"/>
      <c r="J981" s="39" t="n"/>
      <c r="K981" s="44">
        <f>IF(C981="","",IFERROR(D981,0)*G981+IFERROR(E981,0)+IFERROR(F981,0))</f>
        <v/>
      </c>
    </row>
    <row r="982">
      <c r="A982" s="42" t="n"/>
      <c r="B982" s="39" t="n"/>
      <c r="C982" s="39" t="n"/>
      <c r="D982" s="43" t="n"/>
      <c r="E982" s="40" t="n"/>
      <c r="F982" s="40" t="n"/>
      <c r="G982" s="44">
        <f>IFERROR(VLOOKUP(C982,Cleaners!$B$6:$I$35,8,FALSE),0)</f>
        <v/>
      </c>
      <c r="H982" s="39" t="n"/>
      <c r="I982" s="46" t="n"/>
      <c r="J982" s="39" t="n"/>
      <c r="K982" s="44">
        <f>IF(C982="","",IFERROR(D982,0)*G982+IFERROR(E982,0)+IFERROR(F982,0))</f>
        <v/>
      </c>
    </row>
    <row r="983">
      <c r="A983" s="42" t="n"/>
      <c r="B983" s="39" t="n"/>
      <c r="C983" s="39" t="n"/>
      <c r="D983" s="43" t="n"/>
      <c r="E983" s="40" t="n"/>
      <c r="F983" s="40" t="n"/>
      <c r="G983" s="44">
        <f>IFERROR(VLOOKUP(C983,Cleaners!$B$6:$I$35,8,FALSE),0)</f>
        <v/>
      </c>
      <c r="H983" s="39" t="n"/>
      <c r="I983" s="46" t="n"/>
      <c r="J983" s="39" t="n"/>
      <c r="K983" s="44">
        <f>IF(C983="","",IFERROR(D983,0)*G983+IFERROR(E983,0)+IFERROR(F983,0))</f>
        <v/>
      </c>
    </row>
    <row r="984">
      <c r="A984" s="42" t="n"/>
      <c r="B984" s="39" t="n"/>
      <c r="C984" s="39" t="n"/>
      <c r="D984" s="43" t="n"/>
      <c r="E984" s="40" t="n"/>
      <c r="F984" s="40" t="n"/>
      <c r="G984" s="44">
        <f>IFERROR(VLOOKUP(C984,Cleaners!$B$6:$I$35,8,FALSE),0)</f>
        <v/>
      </c>
      <c r="H984" s="39" t="n"/>
      <c r="I984" s="46" t="n"/>
      <c r="J984" s="39" t="n"/>
      <c r="K984" s="44">
        <f>IF(C984="","",IFERROR(D984,0)*G984+IFERROR(E984,0)+IFERROR(F984,0))</f>
        <v/>
      </c>
    </row>
    <row r="985">
      <c r="A985" s="42" t="n"/>
      <c r="B985" s="39" t="n"/>
      <c r="C985" s="39" t="n"/>
      <c r="D985" s="43" t="n"/>
      <c r="E985" s="40" t="n"/>
      <c r="F985" s="40" t="n"/>
      <c r="G985" s="44">
        <f>IFERROR(VLOOKUP(C985,Cleaners!$B$6:$I$35,8,FALSE),0)</f>
        <v/>
      </c>
      <c r="H985" s="39" t="n"/>
      <c r="I985" s="46" t="n"/>
      <c r="J985" s="39" t="n"/>
      <c r="K985" s="44">
        <f>IF(C985="","",IFERROR(D985,0)*G985+IFERROR(E985,0)+IFERROR(F985,0))</f>
        <v/>
      </c>
    </row>
    <row r="986">
      <c r="A986" s="42" t="n"/>
      <c r="B986" s="39" t="n"/>
      <c r="C986" s="39" t="n"/>
      <c r="D986" s="43" t="n"/>
      <c r="E986" s="40" t="n"/>
      <c r="F986" s="40" t="n"/>
      <c r="G986" s="44">
        <f>IFERROR(VLOOKUP(C986,Cleaners!$B$6:$I$35,8,FALSE),0)</f>
        <v/>
      </c>
      <c r="H986" s="39" t="n"/>
      <c r="I986" s="46" t="n"/>
      <c r="J986" s="39" t="n"/>
      <c r="K986" s="44">
        <f>IF(C986="","",IFERROR(D986,0)*G986+IFERROR(E986,0)+IFERROR(F986,0))</f>
        <v/>
      </c>
    </row>
    <row r="987">
      <c r="A987" s="42" t="n"/>
      <c r="B987" s="39" t="n"/>
      <c r="C987" s="39" t="n"/>
      <c r="D987" s="43" t="n"/>
      <c r="E987" s="40" t="n"/>
      <c r="F987" s="40" t="n"/>
      <c r="G987" s="44">
        <f>IFERROR(VLOOKUP(C987,Cleaners!$B$6:$I$35,8,FALSE),0)</f>
        <v/>
      </c>
      <c r="H987" s="39" t="n"/>
      <c r="I987" s="46" t="n"/>
      <c r="J987" s="39" t="n"/>
      <c r="K987" s="44">
        <f>IF(C987="","",IFERROR(D987,0)*G987+IFERROR(E987,0)+IFERROR(F987,0))</f>
        <v/>
      </c>
    </row>
    <row r="988">
      <c r="A988" s="42" t="n"/>
      <c r="B988" s="39" t="n"/>
      <c r="C988" s="39" t="n"/>
      <c r="D988" s="43" t="n"/>
      <c r="E988" s="40" t="n"/>
      <c r="F988" s="40" t="n"/>
      <c r="G988" s="44">
        <f>IFERROR(VLOOKUP(C988,Cleaners!$B$6:$I$35,8,FALSE),0)</f>
        <v/>
      </c>
      <c r="H988" s="39" t="n"/>
      <c r="I988" s="46" t="n"/>
      <c r="J988" s="39" t="n"/>
      <c r="K988" s="44">
        <f>IF(C988="","",IFERROR(D988,0)*G988+IFERROR(E988,0)+IFERROR(F988,0))</f>
        <v/>
      </c>
    </row>
    <row r="989">
      <c r="A989" s="42" t="n"/>
      <c r="B989" s="39" t="n"/>
      <c r="C989" s="39" t="n"/>
      <c r="D989" s="43" t="n"/>
      <c r="E989" s="40" t="n"/>
      <c r="F989" s="40" t="n"/>
      <c r="G989" s="44">
        <f>IFERROR(VLOOKUP(C989,Cleaners!$B$6:$I$35,8,FALSE),0)</f>
        <v/>
      </c>
      <c r="H989" s="39" t="n"/>
      <c r="I989" s="46" t="n"/>
      <c r="J989" s="39" t="n"/>
      <c r="K989" s="44">
        <f>IF(C989="","",IFERROR(D989,0)*G989+IFERROR(E989,0)+IFERROR(F989,0))</f>
        <v/>
      </c>
    </row>
    <row r="990">
      <c r="A990" s="42" t="n"/>
      <c r="B990" s="39" t="n"/>
      <c r="C990" s="39" t="n"/>
      <c r="D990" s="43" t="n"/>
      <c r="E990" s="40" t="n"/>
      <c r="F990" s="40" t="n"/>
      <c r="G990" s="44">
        <f>IFERROR(VLOOKUP(C990,Cleaners!$B$6:$I$35,8,FALSE),0)</f>
        <v/>
      </c>
      <c r="H990" s="39" t="n"/>
      <c r="I990" s="46" t="n"/>
      <c r="J990" s="39" t="n"/>
      <c r="K990" s="44">
        <f>IF(C990="","",IFERROR(D990,0)*G990+IFERROR(E990,0)+IFERROR(F990,0))</f>
        <v/>
      </c>
    </row>
    <row r="991">
      <c r="A991" s="42" t="n"/>
      <c r="B991" s="39" t="n"/>
      <c r="C991" s="39" t="n"/>
      <c r="D991" s="43" t="n"/>
      <c r="E991" s="40" t="n"/>
      <c r="F991" s="40" t="n"/>
      <c r="G991" s="44">
        <f>IFERROR(VLOOKUP(C991,Cleaners!$B$6:$I$35,8,FALSE),0)</f>
        <v/>
      </c>
      <c r="H991" s="39" t="n"/>
      <c r="I991" s="46" t="n"/>
      <c r="J991" s="39" t="n"/>
      <c r="K991" s="44">
        <f>IF(C991="","",IFERROR(D991,0)*G991+IFERROR(E991,0)+IFERROR(F991,0))</f>
        <v/>
      </c>
    </row>
    <row r="992">
      <c r="A992" s="42" t="n"/>
      <c r="B992" s="39" t="n"/>
      <c r="C992" s="39" t="n"/>
      <c r="D992" s="43" t="n"/>
      <c r="E992" s="40" t="n"/>
      <c r="F992" s="40" t="n"/>
      <c r="G992" s="44">
        <f>IFERROR(VLOOKUP(C992,Cleaners!$B$6:$I$35,8,FALSE),0)</f>
        <v/>
      </c>
      <c r="H992" s="39" t="n"/>
      <c r="I992" s="46" t="n"/>
      <c r="J992" s="39" t="n"/>
      <c r="K992" s="44">
        <f>IF(C992="","",IFERROR(D992,0)*G992+IFERROR(E992,0)+IFERROR(F992,0))</f>
        <v/>
      </c>
    </row>
    <row r="993">
      <c r="A993" s="42" t="n"/>
      <c r="B993" s="39" t="n"/>
      <c r="C993" s="39" t="n"/>
      <c r="D993" s="43" t="n"/>
      <c r="E993" s="40" t="n"/>
      <c r="F993" s="40" t="n"/>
      <c r="G993" s="44">
        <f>IFERROR(VLOOKUP(C993,Cleaners!$B$6:$I$35,8,FALSE),0)</f>
        <v/>
      </c>
      <c r="H993" s="39" t="n"/>
      <c r="I993" s="46" t="n"/>
      <c r="J993" s="39" t="n"/>
      <c r="K993" s="44">
        <f>IF(C993="","",IFERROR(D993,0)*G993+IFERROR(E993,0)+IFERROR(F993,0))</f>
        <v/>
      </c>
    </row>
    <row r="994">
      <c r="A994" s="42" t="n"/>
      <c r="B994" s="39" t="n"/>
      <c r="C994" s="39" t="n"/>
      <c r="D994" s="43" t="n"/>
      <c r="E994" s="40" t="n"/>
      <c r="F994" s="40" t="n"/>
      <c r="G994" s="44">
        <f>IFERROR(VLOOKUP(C994,Cleaners!$B$6:$I$35,8,FALSE),0)</f>
        <v/>
      </c>
      <c r="H994" s="39" t="n"/>
      <c r="I994" s="46" t="n"/>
      <c r="J994" s="39" t="n"/>
      <c r="K994" s="44">
        <f>IF(C994="","",IFERROR(D994,0)*G994+IFERROR(E994,0)+IFERROR(F994,0))</f>
        <v/>
      </c>
    </row>
    <row r="995">
      <c r="A995" s="42" t="n"/>
      <c r="B995" s="39" t="n"/>
      <c r="C995" s="39" t="n"/>
      <c r="D995" s="43" t="n"/>
      <c r="E995" s="40" t="n"/>
      <c r="F995" s="40" t="n"/>
      <c r="G995" s="44">
        <f>IFERROR(VLOOKUP(C995,Cleaners!$B$6:$I$35,8,FALSE),0)</f>
        <v/>
      </c>
      <c r="H995" s="39" t="n"/>
      <c r="I995" s="46" t="n"/>
      <c r="J995" s="39" t="n"/>
      <c r="K995" s="44">
        <f>IF(C995="","",IFERROR(D995,0)*G995+IFERROR(E995,0)+IFERROR(F995,0))</f>
        <v/>
      </c>
    </row>
    <row r="996">
      <c r="A996" s="42" t="n"/>
      <c r="B996" s="39" t="n"/>
      <c r="C996" s="39" t="n"/>
      <c r="D996" s="43" t="n"/>
      <c r="E996" s="40" t="n"/>
      <c r="F996" s="40" t="n"/>
      <c r="G996" s="44">
        <f>IFERROR(VLOOKUP(C996,Cleaners!$B$6:$I$35,8,FALSE),0)</f>
        <v/>
      </c>
      <c r="H996" s="39" t="n"/>
      <c r="I996" s="46" t="n"/>
      <c r="J996" s="39" t="n"/>
      <c r="K996" s="44">
        <f>IF(C996="","",IFERROR(D996,0)*G996+IFERROR(E996,0)+IFERROR(F996,0))</f>
        <v/>
      </c>
    </row>
    <row r="997">
      <c r="A997" s="42" t="n"/>
      <c r="B997" s="39" t="n"/>
      <c r="C997" s="39" t="n"/>
      <c r="D997" s="43" t="n"/>
      <c r="E997" s="40" t="n"/>
      <c r="F997" s="40" t="n"/>
      <c r="G997" s="44">
        <f>IFERROR(VLOOKUP(C997,Cleaners!$B$6:$I$35,8,FALSE),0)</f>
        <v/>
      </c>
      <c r="H997" s="39" t="n"/>
      <c r="I997" s="46" t="n"/>
      <c r="J997" s="39" t="n"/>
      <c r="K997" s="44">
        <f>IF(C997="","",IFERROR(D997,0)*G997+IFERROR(E997,0)+IFERROR(F997,0))</f>
        <v/>
      </c>
    </row>
    <row r="998">
      <c r="A998" s="42" t="n"/>
      <c r="B998" s="39" t="n"/>
      <c r="C998" s="39" t="n"/>
      <c r="D998" s="43" t="n"/>
      <c r="E998" s="40" t="n"/>
      <c r="F998" s="40" t="n"/>
      <c r="G998" s="44">
        <f>IFERROR(VLOOKUP(C998,Cleaners!$B$6:$I$35,8,FALSE),0)</f>
        <v/>
      </c>
      <c r="H998" s="39" t="n"/>
      <c r="I998" s="46" t="n"/>
      <c r="J998" s="39" t="n"/>
      <c r="K998" s="44">
        <f>IF(C998="","",IFERROR(D998,0)*G998+IFERROR(E998,0)+IFERROR(F998,0))</f>
        <v/>
      </c>
    </row>
    <row r="999">
      <c r="A999" s="42" t="n"/>
      <c r="B999" s="39" t="n"/>
      <c r="C999" s="39" t="n"/>
      <c r="D999" s="43" t="n"/>
      <c r="E999" s="40" t="n"/>
      <c r="F999" s="40" t="n"/>
      <c r="G999" s="44">
        <f>IFERROR(VLOOKUP(C999,Cleaners!$B$6:$I$35,8,FALSE),0)</f>
        <v/>
      </c>
      <c r="H999" s="39" t="n"/>
      <c r="I999" s="46" t="n"/>
      <c r="J999" s="39" t="n"/>
      <c r="K999" s="44">
        <f>IF(C999="","",IFERROR(D999,0)*G999+IFERROR(E999,0)+IFERROR(F999,0))</f>
        <v/>
      </c>
    </row>
    <row r="1000">
      <c r="A1000" s="42" t="n"/>
      <c r="B1000" s="39" t="n"/>
      <c r="C1000" s="39" t="n"/>
      <c r="D1000" s="43" t="n"/>
      <c r="E1000" s="40" t="n"/>
      <c r="F1000" s="40" t="n"/>
      <c r="G1000" s="44">
        <f>IFERROR(VLOOKUP(C1000,Cleaners!$B$6:$I$35,8,FALSE),0)</f>
        <v/>
      </c>
      <c r="H1000" s="39" t="n"/>
      <c r="I1000" s="46" t="n"/>
      <c r="J1000" s="39" t="n"/>
      <c r="K1000" s="44">
        <f>IF(C1000="","",IFERROR(D1000,0)*G1000+IFERROR(E1000,0)+IFERROR(F1000,0))</f>
        <v/>
      </c>
    </row>
    <row r="1001">
      <c r="A1001" s="42" t="n"/>
      <c r="B1001" s="39" t="n"/>
      <c r="C1001" s="39" t="n"/>
      <c r="D1001" s="43" t="n"/>
      <c r="E1001" s="40" t="n"/>
      <c r="F1001" s="40" t="n"/>
      <c r="G1001" s="44">
        <f>IFERROR(VLOOKUP(C1001,Cleaners!$B$6:$I$35,8,FALSE),0)</f>
        <v/>
      </c>
      <c r="H1001" s="39" t="n"/>
      <c r="I1001" s="46" t="n"/>
      <c r="J1001" s="39" t="n"/>
      <c r="K1001" s="44">
        <f>IF(C1001="","",IFERROR(D1001,0)*G1001+IFERROR(E1001,0)+IFERROR(F1001,0))</f>
        <v/>
      </c>
    </row>
    <row r="1002">
      <c r="A1002" s="42" t="n"/>
      <c r="B1002" s="39" t="n"/>
      <c r="C1002" s="39" t="n"/>
      <c r="D1002" s="43" t="n"/>
      <c r="E1002" s="40" t="n"/>
      <c r="F1002" s="40" t="n"/>
      <c r="G1002" s="44">
        <f>IFERROR(VLOOKUP(C1002,Cleaners!$B$6:$I$35,8,FALSE),0)</f>
        <v/>
      </c>
      <c r="H1002" s="39" t="n"/>
      <c r="I1002" s="46" t="n"/>
      <c r="J1002" s="39" t="n"/>
      <c r="K1002" s="44">
        <f>IF(C1002="","",IFERROR(D1002,0)*G1002+IFERROR(E1002,0)+IFERROR(F1002,0))</f>
        <v/>
      </c>
    </row>
    <row r="1003">
      <c r="A1003" s="42" t="n"/>
      <c r="B1003" s="39" t="n"/>
      <c r="C1003" s="39" t="n"/>
      <c r="D1003" s="43" t="n"/>
      <c r="E1003" s="40" t="n"/>
      <c r="F1003" s="40" t="n"/>
      <c r="G1003" s="44">
        <f>IFERROR(VLOOKUP(C1003,Cleaners!$B$6:$I$35,8,FALSE),0)</f>
        <v/>
      </c>
      <c r="H1003" s="39" t="n"/>
      <c r="I1003" s="46" t="n"/>
      <c r="J1003" s="39" t="n"/>
      <c r="K1003" s="44">
        <f>IF(C1003="","",IFERROR(D1003,0)*G1003+IFERROR(E1003,0)+IFERROR(F1003,0))</f>
        <v/>
      </c>
    </row>
    <row r="1004">
      <c r="A1004" s="42" t="n"/>
      <c r="B1004" s="39" t="n"/>
      <c r="C1004" s="39" t="n"/>
      <c r="D1004" s="43" t="n"/>
      <c r="E1004" s="40" t="n"/>
      <c r="F1004" s="40" t="n"/>
      <c r="G1004" s="44">
        <f>IFERROR(VLOOKUP(C1004,Cleaners!$B$6:$I$35,8,FALSE),0)</f>
        <v/>
      </c>
      <c r="H1004" s="39" t="n"/>
      <c r="I1004" s="46" t="n"/>
      <c r="J1004" s="39" t="n"/>
      <c r="K1004" s="44">
        <f>IF(C1004="","",IFERROR(D1004,0)*G1004+IFERROR(E1004,0)+IFERROR(F1004,0))</f>
        <v/>
      </c>
    </row>
    <row r="1005">
      <c r="A1005" s="42" t="n"/>
      <c r="B1005" s="39" t="n"/>
      <c r="C1005" s="39" t="n"/>
      <c r="D1005" s="43" t="n"/>
      <c r="E1005" s="40" t="n"/>
      <c r="F1005" s="40" t="n"/>
      <c r="G1005" s="44">
        <f>IFERROR(VLOOKUP(C1005,Cleaners!$B$6:$I$35,8,FALSE),0)</f>
        <v/>
      </c>
      <c r="H1005" s="39" t="n"/>
      <c r="I1005" s="46" t="n"/>
      <c r="J1005" s="39" t="n"/>
      <c r="K1005" s="44">
        <f>IF(C1005="","",IFERROR(D1005,0)*G1005+IFERROR(E1005,0)+IFERROR(F1005,0))</f>
        <v/>
      </c>
    </row>
  </sheetData>
  <mergeCells count="4">
    <mergeCell ref="J2:L2"/>
    <mergeCell ref="D2:I2"/>
    <mergeCell ref="A2:C2"/>
    <mergeCell ref="A4:L4"/>
  </mergeCells>
  <conditionalFormatting sqref="H6:H1005">
    <cfRule type="expression" priority="1" dxfId="2">
      <formula>H6="Inspected"</formula>
    </cfRule>
    <cfRule type="expression" priority="2" dxfId="3">
      <formula>H6="In progress"</formula>
    </cfRule>
  </conditionalFormatting>
  <dataValidations count="3">
    <dataValidation sqref="B6:B1005" showDropDown="0" showInputMessage="0" showErrorMessage="0" allowBlank="1" type="list">
      <formula1>=Settings!$B$8:$B$17</formula1>
    </dataValidation>
    <dataValidation sqref="C6:C1005" showDropDown="0" showInputMessage="0" showErrorMessage="0" allowBlank="1" type="list">
      <formula1>=Cleaners!$B$6:$B$35</formula1>
    </dataValidation>
    <dataValidation sqref="H6:H1005" showDropDown="0" showInputMessage="0" showErrorMessage="0" allowBlank="1" type="list">
      <formula1>"Scheduled,In progress,Done,Inspected"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HYPERLINK("#'Turnover Assignment'!A1", "← BACK")</f>
        <v/>
      </c>
      <c r="B2" s="24" t="n"/>
      <c r="C2" s="24" t="n"/>
      <c r="D2" s="36" t="inlineStr">
        <is>
          <t>PAYROLL RUN</t>
        </is>
      </c>
      <c r="J2" s="27">
        <f>HYPERLINK("#'Performance'!A1", "NEXT →")</f>
        <v/>
      </c>
      <c r="K2" s="28" t="n"/>
      <c r="L2" s="2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Set period dates → totals roll up per cleaner. Print this tab to pay.</t>
        </is>
      </c>
    </row>
    <row r="5">
      <c r="A5" s="47" t="inlineStr">
        <is>
          <t>Period start:</t>
        </is>
      </c>
      <c r="B5" s="42" t="n">
        <v>46023</v>
      </c>
    </row>
    <row r="6">
      <c r="A6" s="47" t="inlineStr">
        <is>
          <t>Period end:</t>
        </is>
      </c>
      <c r="B6" s="42" t="n">
        <v>46036</v>
      </c>
    </row>
    <row r="7" ht="8" customHeight="1"/>
    <row r="8" ht="20" customHeight="1">
      <c r="A8" s="38" t="inlineStr">
        <is>
          <t>Cleaner</t>
        </is>
      </c>
      <c r="B8" s="38" t="inlineStr">
        <is>
          <t>Turnovers</t>
        </is>
      </c>
      <c r="C8" s="38" t="inlineStr">
        <is>
          <t>Hours</t>
        </is>
      </c>
      <c r="D8" s="38" t="inlineStr">
        <is>
          <t>Hourly $</t>
        </is>
      </c>
      <c r="E8" s="38" t="inlineStr">
        <is>
          <t>Per-turn $</t>
        </is>
      </c>
      <c r="F8" s="38" t="inlineStr">
        <is>
          <t>Bonuses</t>
        </is>
      </c>
      <c r="G8" s="38" t="inlineStr">
        <is>
          <t>Gross pay</t>
        </is>
      </c>
    </row>
    <row r="9" ht="16" customHeight="1">
      <c r="A9" s="48">
        <f>IF(Cleaners!B6="","",Cleaners!B6)</f>
        <v/>
      </c>
      <c r="B9" s="49">
        <f>IF(A9="","",COUNTIFS('Turnover Assignment'!$C$6:$C$1005,A9,'Turnover Assignment'!$A$6:$A$1005,"&gt;="&amp;$B$5,'Turnover Assignment'!$A$6:$A$1005,"&lt;="&amp;$B$6))</f>
        <v/>
      </c>
      <c r="C9" s="50">
        <f>IF(A9="","",SUMIFS('Turnover Assignment'!$D$6:$D$1005,'Turnover Assignment'!$C$6:$C$1005,A9,'Turnover Assignment'!$A$6:$A$1005,"&gt;="&amp;$B$5,'Turnover Assignment'!$A$6:$A$1005,"&lt;="&amp;$B$6))</f>
        <v/>
      </c>
      <c r="D9" s="44">
        <f>IF(A9="","",C9*IFERROR(VLOOKUP(A9,Cleaners!$B$6:$I$35,8,FALSE),0))</f>
        <v/>
      </c>
      <c r="E9" s="44">
        <f>IF(A9="","",SUMIFS('Turnover Assignment'!$E$6:$E$1005,'Turnover Assignment'!$C$6:$C$1005,A9,'Turnover Assignment'!$A$6:$A$1005,"&gt;="&amp;$B$5,'Turnover Assignment'!$A$6:$A$1005,"&lt;="&amp;$B$6))</f>
        <v/>
      </c>
      <c r="F9" s="44">
        <f>IF(A9="","",SUMIFS('Turnover Assignment'!$F$6:$F$1005,'Turnover Assignment'!$C$6:$C$1005,A9,'Turnover Assignment'!$A$6:$A$1005,"&gt;="&amp;$B$5,'Turnover Assignment'!$A$6:$A$1005,"&lt;="&amp;$B$6))</f>
        <v/>
      </c>
      <c r="G9" s="51">
        <f>IF(A9="","",D9+E9+F9)</f>
        <v/>
      </c>
    </row>
    <row r="10" ht="16" customHeight="1">
      <c r="A10" s="48">
        <f>IF(Cleaners!B7="","",Cleaners!B7)</f>
        <v/>
      </c>
      <c r="B10" s="49">
        <f>IF(A10="","",COUNTIFS('Turnover Assignment'!$C$6:$C$1005,A10,'Turnover Assignment'!$A$6:$A$1005,"&gt;="&amp;$B$5,'Turnover Assignment'!$A$6:$A$1005,"&lt;="&amp;$B$6))</f>
        <v/>
      </c>
      <c r="C10" s="50">
        <f>IF(A10="","",SUMIFS('Turnover Assignment'!$D$6:$D$1005,'Turnover Assignment'!$C$6:$C$1005,A10,'Turnover Assignment'!$A$6:$A$1005,"&gt;="&amp;$B$5,'Turnover Assignment'!$A$6:$A$1005,"&lt;="&amp;$B$6))</f>
        <v/>
      </c>
      <c r="D10" s="44">
        <f>IF(A10="","",C10*IFERROR(VLOOKUP(A10,Cleaners!$B$6:$I$35,8,FALSE),0))</f>
        <v/>
      </c>
      <c r="E10" s="44">
        <f>IF(A10="","",SUMIFS('Turnover Assignment'!$E$6:$E$1005,'Turnover Assignment'!$C$6:$C$1005,A10,'Turnover Assignment'!$A$6:$A$1005,"&gt;="&amp;$B$5,'Turnover Assignment'!$A$6:$A$1005,"&lt;="&amp;$B$6))</f>
        <v/>
      </c>
      <c r="F10" s="44">
        <f>IF(A10="","",SUMIFS('Turnover Assignment'!$F$6:$F$1005,'Turnover Assignment'!$C$6:$C$1005,A10,'Turnover Assignment'!$A$6:$A$1005,"&gt;="&amp;$B$5,'Turnover Assignment'!$A$6:$A$1005,"&lt;="&amp;$B$6))</f>
        <v/>
      </c>
      <c r="G10" s="51">
        <f>IF(A10="","",D10+E10+F10)</f>
        <v/>
      </c>
    </row>
    <row r="11" ht="16" customHeight="1">
      <c r="A11" s="48">
        <f>IF(Cleaners!B8="","",Cleaners!B8)</f>
        <v/>
      </c>
      <c r="B11" s="49">
        <f>IF(A11="","",COUNTIFS('Turnover Assignment'!$C$6:$C$1005,A11,'Turnover Assignment'!$A$6:$A$1005,"&gt;="&amp;$B$5,'Turnover Assignment'!$A$6:$A$1005,"&lt;="&amp;$B$6))</f>
        <v/>
      </c>
      <c r="C11" s="50">
        <f>IF(A11="","",SUMIFS('Turnover Assignment'!$D$6:$D$1005,'Turnover Assignment'!$C$6:$C$1005,A11,'Turnover Assignment'!$A$6:$A$1005,"&gt;="&amp;$B$5,'Turnover Assignment'!$A$6:$A$1005,"&lt;="&amp;$B$6))</f>
        <v/>
      </c>
      <c r="D11" s="44">
        <f>IF(A11="","",C11*IFERROR(VLOOKUP(A11,Cleaners!$B$6:$I$35,8,FALSE),0))</f>
        <v/>
      </c>
      <c r="E11" s="44">
        <f>IF(A11="","",SUMIFS('Turnover Assignment'!$E$6:$E$1005,'Turnover Assignment'!$C$6:$C$1005,A11,'Turnover Assignment'!$A$6:$A$1005,"&gt;="&amp;$B$5,'Turnover Assignment'!$A$6:$A$1005,"&lt;="&amp;$B$6))</f>
        <v/>
      </c>
      <c r="F11" s="44">
        <f>IF(A11="","",SUMIFS('Turnover Assignment'!$F$6:$F$1005,'Turnover Assignment'!$C$6:$C$1005,A11,'Turnover Assignment'!$A$6:$A$1005,"&gt;="&amp;$B$5,'Turnover Assignment'!$A$6:$A$1005,"&lt;="&amp;$B$6))</f>
        <v/>
      </c>
      <c r="G11" s="51">
        <f>IF(A11="","",D11+E11+F11)</f>
        <v/>
      </c>
    </row>
    <row r="12" ht="16" customHeight="1">
      <c r="A12" s="48">
        <f>IF(Cleaners!B9="","",Cleaners!B9)</f>
        <v/>
      </c>
      <c r="B12" s="49">
        <f>IF(A12="","",COUNTIFS('Turnover Assignment'!$C$6:$C$1005,A12,'Turnover Assignment'!$A$6:$A$1005,"&gt;="&amp;$B$5,'Turnover Assignment'!$A$6:$A$1005,"&lt;="&amp;$B$6))</f>
        <v/>
      </c>
      <c r="C12" s="50">
        <f>IF(A12="","",SUMIFS('Turnover Assignment'!$D$6:$D$1005,'Turnover Assignment'!$C$6:$C$1005,A12,'Turnover Assignment'!$A$6:$A$1005,"&gt;="&amp;$B$5,'Turnover Assignment'!$A$6:$A$1005,"&lt;="&amp;$B$6))</f>
        <v/>
      </c>
      <c r="D12" s="44">
        <f>IF(A12="","",C12*IFERROR(VLOOKUP(A12,Cleaners!$B$6:$I$35,8,FALSE),0))</f>
        <v/>
      </c>
      <c r="E12" s="44">
        <f>IF(A12="","",SUMIFS('Turnover Assignment'!$E$6:$E$1005,'Turnover Assignment'!$C$6:$C$1005,A12,'Turnover Assignment'!$A$6:$A$1005,"&gt;="&amp;$B$5,'Turnover Assignment'!$A$6:$A$1005,"&lt;="&amp;$B$6))</f>
        <v/>
      </c>
      <c r="F12" s="44">
        <f>IF(A12="","",SUMIFS('Turnover Assignment'!$F$6:$F$1005,'Turnover Assignment'!$C$6:$C$1005,A12,'Turnover Assignment'!$A$6:$A$1005,"&gt;="&amp;$B$5,'Turnover Assignment'!$A$6:$A$1005,"&lt;="&amp;$B$6))</f>
        <v/>
      </c>
      <c r="G12" s="51">
        <f>IF(A12="","",D12+E12+F12)</f>
        <v/>
      </c>
    </row>
    <row r="13" ht="16" customHeight="1">
      <c r="A13" s="48">
        <f>IF(Cleaners!B10="","",Cleaners!B10)</f>
        <v/>
      </c>
      <c r="B13" s="49">
        <f>IF(A13="","",COUNTIFS('Turnover Assignment'!$C$6:$C$1005,A13,'Turnover Assignment'!$A$6:$A$1005,"&gt;="&amp;$B$5,'Turnover Assignment'!$A$6:$A$1005,"&lt;="&amp;$B$6))</f>
        <v/>
      </c>
      <c r="C13" s="50">
        <f>IF(A13="","",SUMIFS('Turnover Assignment'!$D$6:$D$1005,'Turnover Assignment'!$C$6:$C$1005,A13,'Turnover Assignment'!$A$6:$A$1005,"&gt;="&amp;$B$5,'Turnover Assignment'!$A$6:$A$1005,"&lt;="&amp;$B$6))</f>
        <v/>
      </c>
      <c r="D13" s="44">
        <f>IF(A13="","",C13*IFERROR(VLOOKUP(A13,Cleaners!$B$6:$I$35,8,FALSE),0))</f>
        <v/>
      </c>
      <c r="E13" s="44">
        <f>IF(A13="","",SUMIFS('Turnover Assignment'!$E$6:$E$1005,'Turnover Assignment'!$C$6:$C$1005,A13,'Turnover Assignment'!$A$6:$A$1005,"&gt;="&amp;$B$5,'Turnover Assignment'!$A$6:$A$1005,"&lt;="&amp;$B$6))</f>
        <v/>
      </c>
      <c r="F13" s="44">
        <f>IF(A13="","",SUMIFS('Turnover Assignment'!$F$6:$F$1005,'Turnover Assignment'!$C$6:$C$1005,A13,'Turnover Assignment'!$A$6:$A$1005,"&gt;="&amp;$B$5,'Turnover Assignment'!$A$6:$A$1005,"&lt;="&amp;$B$6))</f>
        <v/>
      </c>
      <c r="G13" s="51">
        <f>IF(A13="","",D13+E13+F13)</f>
        <v/>
      </c>
    </row>
    <row r="14" ht="16" customHeight="1">
      <c r="A14" s="48">
        <f>IF(Cleaners!B11="","",Cleaners!B11)</f>
        <v/>
      </c>
      <c r="B14" s="49">
        <f>IF(A14="","",COUNTIFS('Turnover Assignment'!$C$6:$C$1005,A14,'Turnover Assignment'!$A$6:$A$1005,"&gt;="&amp;$B$5,'Turnover Assignment'!$A$6:$A$1005,"&lt;="&amp;$B$6))</f>
        <v/>
      </c>
      <c r="C14" s="50">
        <f>IF(A14="","",SUMIFS('Turnover Assignment'!$D$6:$D$1005,'Turnover Assignment'!$C$6:$C$1005,A14,'Turnover Assignment'!$A$6:$A$1005,"&gt;="&amp;$B$5,'Turnover Assignment'!$A$6:$A$1005,"&lt;="&amp;$B$6))</f>
        <v/>
      </c>
      <c r="D14" s="44">
        <f>IF(A14="","",C14*IFERROR(VLOOKUP(A14,Cleaners!$B$6:$I$35,8,FALSE),0))</f>
        <v/>
      </c>
      <c r="E14" s="44">
        <f>IF(A14="","",SUMIFS('Turnover Assignment'!$E$6:$E$1005,'Turnover Assignment'!$C$6:$C$1005,A14,'Turnover Assignment'!$A$6:$A$1005,"&gt;="&amp;$B$5,'Turnover Assignment'!$A$6:$A$1005,"&lt;="&amp;$B$6))</f>
        <v/>
      </c>
      <c r="F14" s="44">
        <f>IF(A14="","",SUMIFS('Turnover Assignment'!$F$6:$F$1005,'Turnover Assignment'!$C$6:$C$1005,A14,'Turnover Assignment'!$A$6:$A$1005,"&gt;="&amp;$B$5,'Turnover Assignment'!$A$6:$A$1005,"&lt;="&amp;$B$6))</f>
        <v/>
      </c>
      <c r="G14" s="51">
        <f>IF(A14="","",D14+E14+F14)</f>
        <v/>
      </c>
    </row>
    <row r="15" ht="16" customHeight="1">
      <c r="A15" s="48">
        <f>IF(Cleaners!B12="","",Cleaners!B12)</f>
        <v/>
      </c>
      <c r="B15" s="49">
        <f>IF(A15="","",COUNTIFS('Turnover Assignment'!$C$6:$C$1005,A15,'Turnover Assignment'!$A$6:$A$1005,"&gt;="&amp;$B$5,'Turnover Assignment'!$A$6:$A$1005,"&lt;="&amp;$B$6))</f>
        <v/>
      </c>
      <c r="C15" s="50">
        <f>IF(A15="","",SUMIFS('Turnover Assignment'!$D$6:$D$1005,'Turnover Assignment'!$C$6:$C$1005,A15,'Turnover Assignment'!$A$6:$A$1005,"&gt;="&amp;$B$5,'Turnover Assignment'!$A$6:$A$1005,"&lt;="&amp;$B$6))</f>
        <v/>
      </c>
      <c r="D15" s="44">
        <f>IF(A15="","",C15*IFERROR(VLOOKUP(A15,Cleaners!$B$6:$I$35,8,FALSE),0))</f>
        <v/>
      </c>
      <c r="E15" s="44">
        <f>IF(A15="","",SUMIFS('Turnover Assignment'!$E$6:$E$1005,'Turnover Assignment'!$C$6:$C$1005,A15,'Turnover Assignment'!$A$6:$A$1005,"&gt;="&amp;$B$5,'Turnover Assignment'!$A$6:$A$1005,"&lt;="&amp;$B$6))</f>
        <v/>
      </c>
      <c r="F15" s="44">
        <f>IF(A15="","",SUMIFS('Turnover Assignment'!$F$6:$F$1005,'Turnover Assignment'!$C$6:$C$1005,A15,'Turnover Assignment'!$A$6:$A$1005,"&gt;="&amp;$B$5,'Turnover Assignment'!$A$6:$A$1005,"&lt;="&amp;$B$6))</f>
        <v/>
      </c>
      <c r="G15" s="51">
        <f>IF(A15="","",D15+E15+F15)</f>
        <v/>
      </c>
    </row>
    <row r="16" ht="16" customHeight="1">
      <c r="A16" s="48">
        <f>IF(Cleaners!B13="","",Cleaners!B13)</f>
        <v/>
      </c>
      <c r="B16" s="49">
        <f>IF(A16="","",COUNTIFS('Turnover Assignment'!$C$6:$C$1005,A16,'Turnover Assignment'!$A$6:$A$1005,"&gt;="&amp;$B$5,'Turnover Assignment'!$A$6:$A$1005,"&lt;="&amp;$B$6))</f>
        <v/>
      </c>
      <c r="C16" s="50">
        <f>IF(A16="","",SUMIFS('Turnover Assignment'!$D$6:$D$1005,'Turnover Assignment'!$C$6:$C$1005,A16,'Turnover Assignment'!$A$6:$A$1005,"&gt;="&amp;$B$5,'Turnover Assignment'!$A$6:$A$1005,"&lt;="&amp;$B$6))</f>
        <v/>
      </c>
      <c r="D16" s="44">
        <f>IF(A16="","",C16*IFERROR(VLOOKUP(A16,Cleaners!$B$6:$I$35,8,FALSE),0))</f>
        <v/>
      </c>
      <c r="E16" s="44">
        <f>IF(A16="","",SUMIFS('Turnover Assignment'!$E$6:$E$1005,'Turnover Assignment'!$C$6:$C$1005,A16,'Turnover Assignment'!$A$6:$A$1005,"&gt;="&amp;$B$5,'Turnover Assignment'!$A$6:$A$1005,"&lt;="&amp;$B$6))</f>
        <v/>
      </c>
      <c r="F16" s="44">
        <f>IF(A16="","",SUMIFS('Turnover Assignment'!$F$6:$F$1005,'Turnover Assignment'!$C$6:$C$1005,A16,'Turnover Assignment'!$A$6:$A$1005,"&gt;="&amp;$B$5,'Turnover Assignment'!$A$6:$A$1005,"&lt;="&amp;$B$6))</f>
        <v/>
      </c>
      <c r="G16" s="51">
        <f>IF(A16="","",D16+E16+F16)</f>
        <v/>
      </c>
    </row>
    <row r="17" ht="16" customHeight="1">
      <c r="A17" s="48">
        <f>IF(Cleaners!B14="","",Cleaners!B14)</f>
        <v/>
      </c>
      <c r="B17" s="49">
        <f>IF(A17="","",COUNTIFS('Turnover Assignment'!$C$6:$C$1005,A17,'Turnover Assignment'!$A$6:$A$1005,"&gt;="&amp;$B$5,'Turnover Assignment'!$A$6:$A$1005,"&lt;="&amp;$B$6))</f>
        <v/>
      </c>
      <c r="C17" s="50">
        <f>IF(A17="","",SUMIFS('Turnover Assignment'!$D$6:$D$1005,'Turnover Assignment'!$C$6:$C$1005,A17,'Turnover Assignment'!$A$6:$A$1005,"&gt;="&amp;$B$5,'Turnover Assignment'!$A$6:$A$1005,"&lt;="&amp;$B$6))</f>
        <v/>
      </c>
      <c r="D17" s="44">
        <f>IF(A17="","",C17*IFERROR(VLOOKUP(A17,Cleaners!$B$6:$I$35,8,FALSE),0))</f>
        <v/>
      </c>
      <c r="E17" s="44">
        <f>IF(A17="","",SUMIFS('Turnover Assignment'!$E$6:$E$1005,'Turnover Assignment'!$C$6:$C$1005,A17,'Turnover Assignment'!$A$6:$A$1005,"&gt;="&amp;$B$5,'Turnover Assignment'!$A$6:$A$1005,"&lt;="&amp;$B$6))</f>
        <v/>
      </c>
      <c r="F17" s="44">
        <f>IF(A17="","",SUMIFS('Turnover Assignment'!$F$6:$F$1005,'Turnover Assignment'!$C$6:$C$1005,A17,'Turnover Assignment'!$A$6:$A$1005,"&gt;="&amp;$B$5,'Turnover Assignment'!$A$6:$A$1005,"&lt;="&amp;$B$6))</f>
        <v/>
      </c>
      <c r="G17" s="51">
        <f>IF(A17="","",D17+E17+F17)</f>
        <v/>
      </c>
    </row>
    <row r="18" ht="16" customHeight="1">
      <c r="A18" s="48">
        <f>IF(Cleaners!B15="","",Cleaners!B15)</f>
        <v/>
      </c>
      <c r="B18" s="49">
        <f>IF(A18="","",COUNTIFS('Turnover Assignment'!$C$6:$C$1005,A18,'Turnover Assignment'!$A$6:$A$1005,"&gt;="&amp;$B$5,'Turnover Assignment'!$A$6:$A$1005,"&lt;="&amp;$B$6))</f>
        <v/>
      </c>
      <c r="C18" s="50">
        <f>IF(A18="","",SUMIFS('Turnover Assignment'!$D$6:$D$1005,'Turnover Assignment'!$C$6:$C$1005,A18,'Turnover Assignment'!$A$6:$A$1005,"&gt;="&amp;$B$5,'Turnover Assignment'!$A$6:$A$1005,"&lt;="&amp;$B$6))</f>
        <v/>
      </c>
      <c r="D18" s="44">
        <f>IF(A18="","",C18*IFERROR(VLOOKUP(A18,Cleaners!$B$6:$I$35,8,FALSE),0))</f>
        <v/>
      </c>
      <c r="E18" s="44">
        <f>IF(A18="","",SUMIFS('Turnover Assignment'!$E$6:$E$1005,'Turnover Assignment'!$C$6:$C$1005,A18,'Turnover Assignment'!$A$6:$A$1005,"&gt;="&amp;$B$5,'Turnover Assignment'!$A$6:$A$1005,"&lt;="&amp;$B$6))</f>
        <v/>
      </c>
      <c r="F18" s="44">
        <f>IF(A18="","",SUMIFS('Turnover Assignment'!$F$6:$F$1005,'Turnover Assignment'!$C$6:$C$1005,A18,'Turnover Assignment'!$A$6:$A$1005,"&gt;="&amp;$B$5,'Turnover Assignment'!$A$6:$A$1005,"&lt;="&amp;$B$6))</f>
        <v/>
      </c>
      <c r="G18" s="51">
        <f>IF(A18="","",D18+E18+F18)</f>
        <v/>
      </c>
    </row>
    <row r="19" ht="16" customHeight="1">
      <c r="A19" s="48">
        <f>IF(Cleaners!B16="","",Cleaners!B16)</f>
        <v/>
      </c>
      <c r="B19" s="49">
        <f>IF(A19="","",COUNTIFS('Turnover Assignment'!$C$6:$C$1005,A19,'Turnover Assignment'!$A$6:$A$1005,"&gt;="&amp;$B$5,'Turnover Assignment'!$A$6:$A$1005,"&lt;="&amp;$B$6))</f>
        <v/>
      </c>
      <c r="C19" s="50">
        <f>IF(A19="","",SUMIFS('Turnover Assignment'!$D$6:$D$1005,'Turnover Assignment'!$C$6:$C$1005,A19,'Turnover Assignment'!$A$6:$A$1005,"&gt;="&amp;$B$5,'Turnover Assignment'!$A$6:$A$1005,"&lt;="&amp;$B$6))</f>
        <v/>
      </c>
      <c r="D19" s="44">
        <f>IF(A19="","",C19*IFERROR(VLOOKUP(A19,Cleaners!$B$6:$I$35,8,FALSE),0))</f>
        <v/>
      </c>
      <c r="E19" s="44">
        <f>IF(A19="","",SUMIFS('Turnover Assignment'!$E$6:$E$1005,'Turnover Assignment'!$C$6:$C$1005,A19,'Turnover Assignment'!$A$6:$A$1005,"&gt;="&amp;$B$5,'Turnover Assignment'!$A$6:$A$1005,"&lt;="&amp;$B$6))</f>
        <v/>
      </c>
      <c r="F19" s="44">
        <f>IF(A19="","",SUMIFS('Turnover Assignment'!$F$6:$F$1005,'Turnover Assignment'!$C$6:$C$1005,A19,'Turnover Assignment'!$A$6:$A$1005,"&gt;="&amp;$B$5,'Turnover Assignment'!$A$6:$A$1005,"&lt;="&amp;$B$6))</f>
        <v/>
      </c>
      <c r="G19" s="51">
        <f>IF(A19="","",D19+E19+F19)</f>
        <v/>
      </c>
    </row>
    <row r="20" ht="16" customHeight="1">
      <c r="A20" s="48">
        <f>IF(Cleaners!B17="","",Cleaners!B17)</f>
        <v/>
      </c>
      <c r="B20" s="49">
        <f>IF(A20="","",COUNTIFS('Turnover Assignment'!$C$6:$C$1005,A20,'Turnover Assignment'!$A$6:$A$1005,"&gt;="&amp;$B$5,'Turnover Assignment'!$A$6:$A$1005,"&lt;="&amp;$B$6))</f>
        <v/>
      </c>
      <c r="C20" s="50">
        <f>IF(A20="","",SUMIFS('Turnover Assignment'!$D$6:$D$1005,'Turnover Assignment'!$C$6:$C$1005,A20,'Turnover Assignment'!$A$6:$A$1005,"&gt;="&amp;$B$5,'Turnover Assignment'!$A$6:$A$1005,"&lt;="&amp;$B$6))</f>
        <v/>
      </c>
      <c r="D20" s="44">
        <f>IF(A20="","",C20*IFERROR(VLOOKUP(A20,Cleaners!$B$6:$I$35,8,FALSE),0))</f>
        <v/>
      </c>
      <c r="E20" s="44">
        <f>IF(A20="","",SUMIFS('Turnover Assignment'!$E$6:$E$1005,'Turnover Assignment'!$C$6:$C$1005,A20,'Turnover Assignment'!$A$6:$A$1005,"&gt;="&amp;$B$5,'Turnover Assignment'!$A$6:$A$1005,"&lt;="&amp;$B$6))</f>
        <v/>
      </c>
      <c r="F20" s="44">
        <f>IF(A20="","",SUMIFS('Turnover Assignment'!$F$6:$F$1005,'Turnover Assignment'!$C$6:$C$1005,A20,'Turnover Assignment'!$A$6:$A$1005,"&gt;="&amp;$B$5,'Turnover Assignment'!$A$6:$A$1005,"&lt;="&amp;$B$6))</f>
        <v/>
      </c>
      <c r="G20" s="51">
        <f>IF(A20="","",D20+E20+F20)</f>
        <v/>
      </c>
    </row>
    <row r="21" ht="16" customHeight="1">
      <c r="A21" s="48">
        <f>IF(Cleaners!B18="","",Cleaners!B18)</f>
        <v/>
      </c>
      <c r="B21" s="49">
        <f>IF(A21="","",COUNTIFS('Turnover Assignment'!$C$6:$C$1005,A21,'Turnover Assignment'!$A$6:$A$1005,"&gt;="&amp;$B$5,'Turnover Assignment'!$A$6:$A$1005,"&lt;="&amp;$B$6))</f>
        <v/>
      </c>
      <c r="C21" s="50">
        <f>IF(A21="","",SUMIFS('Turnover Assignment'!$D$6:$D$1005,'Turnover Assignment'!$C$6:$C$1005,A21,'Turnover Assignment'!$A$6:$A$1005,"&gt;="&amp;$B$5,'Turnover Assignment'!$A$6:$A$1005,"&lt;="&amp;$B$6))</f>
        <v/>
      </c>
      <c r="D21" s="44">
        <f>IF(A21="","",C21*IFERROR(VLOOKUP(A21,Cleaners!$B$6:$I$35,8,FALSE),0))</f>
        <v/>
      </c>
      <c r="E21" s="44">
        <f>IF(A21="","",SUMIFS('Turnover Assignment'!$E$6:$E$1005,'Turnover Assignment'!$C$6:$C$1005,A21,'Turnover Assignment'!$A$6:$A$1005,"&gt;="&amp;$B$5,'Turnover Assignment'!$A$6:$A$1005,"&lt;="&amp;$B$6))</f>
        <v/>
      </c>
      <c r="F21" s="44">
        <f>IF(A21="","",SUMIFS('Turnover Assignment'!$F$6:$F$1005,'Turnover Assignment'!$C$6:$C$1005,A21,'Turnover Assignment'!$A$6:$A$1005,"&gt;="&amp;$B$5,'Turnover Assignment'!$A$6:$A$1005,"&lt;="&amp;$B$6))</f>
        <v/>
      </c>
      <c r="G21" s="51">
        <f>IF(A21="","",D21+E21+F21)</f>
        <v/>
      </c>
    </row>
    <row r="22" ht="16" customHeight="1">
      <c r="A22" s="48">
        <f>IF(Cleaners!B19="","",Cleaners!B19)</f>
        <v/>
      </c>
      <c r="B22" s="49">
        <f>IF(A22="","",COUNTIFS('Turnover Assignment'!$C$6:$C$1005,A22,'Turnover Assignment'!$A$6:$A$1005,"&gt;="&amp;$B$5,'Turnover Assignment'!$A$6:$A$1005,"&lt;="&amp;$B$6))</f>
        <v/>
      </c>
      <c r="C22" s="50">
        <f>IF(A22="","",SUMIFS('Turnover Assignment'!$D$6:$D$1005,'Turnover Assignment'!$C$6:$C$1005,A22,'Turnover Assignment'!$A$6:$A$1005,"&gt;="&amp;$B$5,'Turnover Assignment'!$A$6:$A$1005,"&lt;="&amp;$B$6))</f>
        <v/>
      </c>
      <c r="D22" s="44">
        <f>IF(A22="","",C22*IFERROR(VLOOKUP(A22,Cleaners!$B$6:$I$35,8,FALSE),0))</f>
        <v/>
      </c>
      <c r="E22" s="44">
        <f>IF(A22="","",SUMIFS('Turnover Assignment'!$E$6:$E$1005,'Turnover Assignment'!$C$6:$C$1005,A22,'Turnover Assignment'!$A$6:$A$1005,"&gt;="&amp;$B$5,'Turnover Assignment'!$A$6:$A$1005,"&lt;="&amp;$B$6))</f>
        <v/>
      </c>
      <c r="F22" s="44">
        <f>IF(A22="","",SUMIFS('Turnover Assignment'!$F$6:$F$1005,'Turnover Assignment'!$C$6:$C$1005,A22,'Turnover Assignment'!$A$6:$A$1005,"&gt;="&amp;$B$5,'Turnover Assignment'!$A$6:$A$1005,"&lt;="&amp;$B$6))</f>
        <v/>
      </c>
      <c r="G22" s="51">
        <f>IF(A22="","",D22+E22+F22)</f>
        <v/>
      </c>
    </row>
    <row r="23" ht="16" customHeight="1">
      <c r="A23" s="48">
        <f>IF(Cleaners!B20="","",Cleaners!B20)</f>
        <v/>
      </c>
      <c r="B23" s="49">
        <f>IF(A23="","",COUNTIFS('Turnover Assignment'!$C$6:$C$1005,A23,'Turnover Assignment'!$A$6:$A$1005,"&gt;="&amp;$B$5,'Turnover Assignment'!$A$6:$A$1005,"&lt;="&amp;$B$6))</f>
        <v/>
      </c>
      <c r="C23" s="50">
        <f>IF(A23="","",SUMIFS('Turnover Assignment'!$D$6:$D$1005,'Turnover Assignment'!$C$6:$C$1005,A23,'Turnover Assignment'!$A$6:$A$1005,"&gt;="&amp;$B$5,'Turnover Assignment'!$A$6:$A$1005,"&lt;="&amp;$B$6))</f>
        <v/>
      </c>
      <c r="D23" s="44">
        <f>IF(A23="","",C23*IFERROR(VLOOKUP(A23,Cleaners!$B$6:$I$35,8,FALSE),0))</f>
        <v/>
      </c>
      <c r="E23" s="44">
        <f>IF(A23="","",SUMIFS('Turnover Assignment'!$E$6:$E$1005,'Turnover Assignment'!$C$6:$C$1005,A23,'Turnover Assignment'!$A$6:$A$1005,"&gt;="&amp;$B$5,'Turnover Assignment'!$A$6:$A$1005,"&lt;="&amp;$B$6))</f>
        <v/>
      </c>
      <c r="F23" s="44">
        <f>IF(A23="","",SUMIFS('Turnover Assignment'!$F$6:$F$1005,'Turnover Assignment'!$C$6:$C$1005,A23,'Turnover Assignment'!$A$6:$A$1005,"&gt;="&amp;$B$5,'Turnover Assignment'!$A$6:$A$1005,"&lt;="&amp;$B$6))</f>
        <v/>
      </c>
      <c r="G23" s="51">
        <f>IF(A23="","",D23+E23+F23)</f>
        <v/>
      </c>
    </row>
    <row r="24" ht="16" customHeight="1">
      <c r="A24" s="48">
        <f>IF(Cleaners!B21="","",Cleaners!B21)</f>
        <v/>
      </c>
      <c r="B24" s="49">
        <f>IF(A24="","",COUNTIFS('Turnover Assignment'!$C$6:$C$1005,A24,'Turnover Assignment'!$A$6:$A$1005,"&gt;="&amp;$B$5,'Turnover Assignment'!$A$6:$A$1005,"&lt;="&amp;$B$6))</f>
        <v/>
      </c>
      <c r="C24" s="50">
        <f>IF(A24="","",SUMIFS('Turnover Assignment'!$D$6:$D$1005,'Turnover Assignment'!$C$6:$C$1005,A24,'Turnover Assignment'!$A$6:$A$1005,"&gt;="&amp;$B$5,'Turnover Assignment'!$A$6:$A$1005,"&lt;="&amp;$B$6))</f>
        <v/>
      </c>
      <c r="D24" s="44">
        <f>IF(A24="","",C24*IFERROR(VLOOKUP(A24,Cleaners!$B$6:$I$35,8,FALSE),0))</f>
        <v/>
      </c>
      <c r="E24" s="44">
        <f>IF(A24="","",SUMIFS('Turnover Assignment'!$E$6:$E$1005,'Turnover Assignment'!$C$6:$C$1005,A24,'Turnover Assignment'!$A$6:$A$1005,"&gt;="&amp;$B$5,'Turnover Assignment'!$A$6:$A$1005,"&lt;="&amp;$B$6))</f>
        <v/>
      </c>
      <c r="F24" s="44">
        <f>IF(A24="","",SUMIFS('Turnover Assignment'!$F$6:$F$1005,'Turnover Assignment'!$C$6:$C$1005,A24,'Turnover Assignment'!$A$6:$A$1005,"&gt;="&amp;$B$5,'Turnover Assignment'!$A$6:$A$1005,"&lt;="&amp;$B$6))</f>
        <v/>
      </c>
      <c r="G24" s="51">
        <f>IF(A24="","",D24+E24+F24)</f>
        <v/>
      </c>
    </row>
    <row r="25" ht="16" customHeight="1">
      <c r="A25" s="48">
        <f>IF(Cleaners!B22="","",Cleaners!B22)</f>
        <v/>
      </c>
      <c r="B25" s="49">
        <f>IF(A25="","",COUNTIFS('Turnover Assignment'!$C$6:$C$1005,A25,'Turnover Assignment'!$A$6:$A$1005,"&gt;="&amp;$B$5,'Turnover Assignment'!$A$6:$A$1005,"&lt;="&amp;$B$6))</f>
        <v/>
      </c>
      <c r="C25" s="50">
        <f>IF(A25="","",SUMIFS('Turnover Assignment'!$D$6:$D$1005,'Turnover Assignment'!$C$6:$C$1005,A25,'Turnover Assignment'!$A$6:$A$1005,"&gt;="&amp;$B$5,'Turnover Assignment'!$A$6:$A$1005,"&lt;="&amp;$B$6))</f>
        <v/>
      </c>
      <c r="D25" s="44">
        <f>IF(A25="","",C25*IFERROR(VLOOKUP(A25,Cleaners!$B$6:$I$35,8,FALSE),0))</f>
        <v/>
      </c>
      <c r="E25" s="44">
        <f>IF(A25="","",SUMIFS('Turnover Assignment'!$E$6:$E$1005,'Turnover Assignment'!$C$6:$C$1005,A25,'Turnover Assignment'!$A$6:$A$1005,"&gt;="&amp;$B$5,'Turnover Assignment'!$A$6:$A$1005,"&lt;="&amp;$B$6))</f>
        <v/>
      </c>
      <c r="F25" s="44">
        <f>IF(A25="","",SUMIFS('Turnover Assignment'!$F$6:$F$1005,'Turnover Assignment'!$C$6:$C$1005,A25,'Turnover Assignment'!$A$6:$A$1005,"&gt;="&amp;$B$5,'Turnover Assignment'!$A$6:$A$1005,"&lt;="&amp;$B$6))</f>
        <v/>
      </c>
      <c r="G25" s="51">
        <f>IF(A25="","",D25+E25+F25)</f>
        <v/>
      </c>
    </row>
    <row r="26" ht="16" customHeight="1">
      <c r="A26" s="48">
        <f>IF(Cleaners!B23="","",Cleaners!B23)</f>
        <v/>
      </c>
      <c r="B26" s="49">
        <f>IF(A26="","",COUNTIFS('Turnover Assignment'!$C$6:$C$1005,A26,'Turnover Assignment'!$A$6:$A$1005,"&gt;="&amp;$B$5,'Turnover Assignment'!$A$6:$A$1005,"&lt;="&amp;$B$6))</f>
        <v/>
      </c>
      <c r="C26" s="50">
        <f>IF(A26="","",SUMIFS('Turnover Assignment'!$D$6:$D$1005,'Turnover Assignment'!$C$6:$C$1005,A26,'Turnover Assignment'!$A$6:$A$1005,"&gt;="&amp;$B$5,'Turnover Assignment'!$A$6:$A$1005,"&lt;="&amp;$B$6))</f>
        <v/>
      </c>
      <c r="D26" s="44">
        <f>IF(A26="","",C26*IFERROR(VLOOKUP(A26,Cleaners!$B$6:$I$35,8,FALSE),0))</f>
        <v/>
      </c>
      <c r="E26" s="44">
        <f>IF(A26="","",SUMIFS('Turnover Assignment'!$E$6:$E$1005,'Turnover Assignment'!$C$6:$C$1005,A26,'Turnover Assignment'!$A$6:$A$1005,"&gt;="&amp;$B$5,'Turnover Assignment'!$A$6:$A$1005,"&lt;="&amp;$B$6))</f>
        <v/>
      </c>
      <c r="F26" s="44">
        <f>IF(A26="","",SUMIFS('Turnover Assignment'!$F$6:$F$1005,'Turnover Assignment'!$C$6:$C$1005,A26,'Turnover Assignment'!$A$6:$A$1005,"&gt;="&amp;$B$5,'Turnover Assignment'!$A$6:$A$1005,"&lt;="&amp;$B$6))</f>
        <v/>
      </c>
      <c r="G26" s="51">
        <f>IF(A26="","",D26+E26+F26)</f>
        <v/>
      </c>
    </row>
    <row r="27" ht="16" customHeight="1">
      <c r="A27" s="48">
        <f>IF(Cleaners!B24="","",Cleaners!B24)</f>
        <v/>
      </c>
      <c r="B27" s="49">
        <f>IF(A27="","",COUNTIFS('Turnover Assignment'!$C$6:$C$1005,A27,'Turnover Assignment'!$A$6:$A$1005,"&gt;="&amp;$B$5,'Turnover Assignment'!$A$6:$A$1005,"&lt;="&amp;$B$6))</f>
        <v/>
      </c>
      <c r="C27" s="50">
        <f>IF(A27="","",SUMIFS('Turnover Assignment'!$D$6:$D$1005,'Turnover Assignment'!$C$6:$C$1005,A27,'Turnover Assignment'!$A$6:$A$1005,"&gt;="&amp;$B$5,'Turnover Assignment'!$A$6:$A$1005,"&lt;="&amp;$B$6))</f>
        <v/>
      </c>
      <c r="D27" s="44">
        <f>IF(A27="","",C27*IFERROR(VLOOKUP(A27,Cleaners!$B$6:$I$35,8,FALSE),0))</f>
        <v/>
      </c>
      <c r="E27" s="44">
        <f>IF(A27="","",SUMIFS('Turnover Assignment'!$E$6:$E$1005,'Turnover Assignment'!$C$6:$C$1005,A27,'Turnover Assignment'!$A$6:$A$1005,"&gt;="&amp;$B$5,'Turnover Assignment'!$A$6:$A$1005,"&lt;="&amp;$B$6))</f>
        <v/>
      </c>
      <c r="F27" s="44">
        <f>IF(A27="","",SUMIFS('Turnover Assignment'!$F$6:$F$1005,'Turnover Assignment'!$C$6:$C$1005,A27,'Turnover Assignment'!$A$6:$A$1005,"&gt;="&amp;$B$5,'Turnover Assignment'!$A$6:$A$1005,"&lt;="&amp;$B$6))</f>
        <v/>
      </c>
      <c r="G27" s="51">
        <f>IF(A27="","",D27+E27+F27)</f>
        <v/>
      </c>
    </row>
    <row r="28" ht="16" customHeight="1">
      <c r="A28" s="48">
        <f>IF(Cleaners!B25="","",Cleaners!B25)</f>
        <v/>
      </c>
      <c r="B28" s="49">
        <f>IF(A28="","",COUNTIFS('Turnover Assignment'!$C$6:$C$1005,A28,'Turnover Assignment'!$A$6:$A$1005,"&gt;="&amp;$B$5,'Turnover Assignment'!$A$6:$A$1005,"&lt;="&amp;$B$6))</f>
        <v/>
      </c>
      <c r="C28" s="50">
        <f>IF(A28="","",SUMIFS('Turnover Assignment'!$D$6:$D$1005,'Turnover Assignment'!$C$6:$C$1005,A28,'Turnover Assignment'!$A$6:$A$1005,"&gt;="&amp;$B$5,'Turnover Assignment'!$A$6:$A$1005,"&lt;="&amp;$B$6))</f>
        <v/>
      </c>
      <c r="D28" s="44">
        <f>IF(A28="","",C28*IFERROR(VLOOKUP(A28,Cleaners!$B$6:$I$35,8,FALSE),0))</f>
        <v/>
      </c>
      <c r="E28" s="44">
        <f>IF(A28="","",SUMIFS('Turnover Assignment'!$E$6:$E$1005,'Turnover Assignment'!$C$6:$C$1005,A28,'Turnover Assignment'!$A$6:$A$1005,"&gt;="&amp;$B$5,'Turnover Assignment'!$A$6:$A$1005,"&lt;="&amp;$B$6))</f>
        <v/>
      </c>
      <c r="F28" s="44">
        <f>IF(A28="","",SUMIFS('Turnover Assignment'!$F$6:$F$1005,'Turnover Assignment'!$C$6:$C$1005,A28,'Turnover Assignment'!$A$6:$A$1005,"&gt;="&amp;$B$5,'Turnover Assignment'!$A$6:$A$1005,"&lt;="&amp;$B$6))</f>
        <v/>
      </c>
      <c r="G28" s="51">
        <f>IF(A28="","",D28+E28+F28)</f>
        <v/>
      </c>
    </row>
    <row r="29" ht="16" customHeight="1">
      <c r="A29" s="48">
        <f>IF(Cleaners!B26="","",Cleaners!B26)</f>
        <v/>
      </c>
      <c r="B29" s="49">
        <f>IF(A29="","",COUNTIFS('Turnover Assignment'!$C$6:$C$1005,A29,'Turnover Assignment'!$A$6:$A$1005,"&gt;="&amp;$B$5,'Turnover Assignment'!$A$6:$A$1005,"&lt;="&amp;$B$6))</f>
        <v/>
      </c>
      <c r="C29" s="50">
        <f>IF(A29="","",SUMIFS('Turnover Assignment'!$D$6:$D$1005,'Turnover Assignment'!$C$6:$C$1005,A29,'Turnover Assignment'!$A$6:$A$1005,"&gt;="&amp;$B$5,'Turnover Assignment'!$A$6:$A$1005,"&lt;="&amp;$B$6))</f>
        <v/>
      </c>
      <c r="D29" s="44">
        <f>IF(A29="","",C29*IFERROR(VLOOKUP(A29,Cleaners!$B$6:$I$35,8,FALSE),0))</f>
        <v/>
      </c>
      <c r="E29" s="44">
        <f>IF(A29="","",SUMIFS('Turnover Assignment'!$E$6:$E$1005,'Turnover Assignment'!$C$6:$C$1005,A29,'Turnover Assignment'!$A$6:$A$1005,"&gt;="&amp;$B$5,'Turnover Assignment'!$A$6:$A$1005,"&lt;="&amp;$B$6))</f>
        <v/>
      </c>
      <c r="F29" s="44">
        <f>IF(A29="","",SUMIFS('Turnover Assignment'!$F$6:$F$1005,'Turnover Assignment'!$C$6:$C$1005,A29,'Turnover Assignment'!$A$6:$A$1005,"&gt;="&amp;$B$5,'Turnover Assignment'!$A$6:$A$1005,"&lt;="&amp;$B$6))</f>
        <v/>
      </c>
      <c r="G29" s="51">
        <f>IF(A29="","",D29+E29+F29)</f>
        <v/>
      </c>
    </row>
    <row r="30" ht="16" customHeight="1">
      <c r="A30" s="48">
        <f>IF(Cleaners!B27="","",Cleaners!B27)</f>
        <v/>
      </c>
      <c r="B30" s="49">
        <f>IF(A30="","",COUNTIFS('Turnover Assignment'!$C$6:$C$1005,A30,'Turnover Assignment'!$A$6:$A$1005,"&gt;="&amp;$B$5,'Turnover Assignment'!$A$6:$A$1005,"&lt;="&amp;$B$6))</f>
        <v/>
      </c>
      <c r="C30" s="50">
        <f>IF(A30="","",SUMIFS('Turnover Assignment'!$D$6:$D$1005,'Turnover Assignment'!$C$6:$C$1005,A30,'Turnover Assignment'!$A$6:$A$1005,"&gt;="&amp;$B$5,'Turnover Assignment'!$A$6:$A$1005,"&lt;="&amp;$B$6))</f>
        <v/>
      </c>
      <c r="D30" s="44">
        <f>IF(A30="","",C30*IFERROR(VLOOKUP(A30,Cleaners!$B$6:$I$35,8,FALSE),0))</f>
        <v/>
      </c>
      <c r="E30" s="44">
        <f>IF(A30="","",SUMIFS('Turnover Assignment'!$E$6:$E$1005,'Turnover Assignment'!$C$6:$C$1005,A30,'Turnover Assignment'!$A$6:$A$1005,"&gt;="&amp;$B$5,'Turnover Assignment'!$A$6:$A$1005,"&lt;="&amp;$B$6))</f>
        <v/>
      </c>
      <c r="F30" s="44">
        <f>IF(A30="","",SUMIFS('Turnover Assignment'!$F$6:$F$1005,'Turnover Assignment'!$C$6:$C$1005,A30,'Turnover Assignment'!$A$6:$A$1005,"&gt;="&amp;$B$5,'Turnover Assignment'!$A$6:$A$1005,"&lt;="&amp;$B$6))</f>
        <v/>
      </c>
      <c r="G30" s="51">
        <f>IF(A30="","",D30+E30+F30)</f>
        <v/>
      </c>
    </row>
    <row r="31" ht="16" customHeight="1">
      <c r="A31" s="48">
        <f>IF(Cleaners!B28="","",Cleaners!B28)</f>
        <v/>
      </c>
      <c r="B31" s="49">
        <f>IF(A31="","",COUNTIFS('Turnover Assignment'!$C$6:$C$1005,A31,'Turnover Assignment'!$A$6:$A$1005,"&gt;="&amp;$B$5,'Turnover Assignment'!$A$6:$A$1005,"&lt;="&amp;$B$6))</f>
        <v/>
      </c>
      <c r="C31" s="50">
        <f>IF(A31="","",SUMIFS('Turnover Assignment'!$D$6:$D$1005,'Turnover Assignment'!$C$6:$C$1005,A31,'Turnover Assignment'!$A$6:$A$1005,"&gt;="&amp;$B$5,'Turnover Assignment'!$A$6:$A$1005,"&lt;="&amp;$B$6))</f>
        <v/>
      </c>
      <c r="D31" s="44">
        <f>IF(A31="","",C31*IFERROR(VLOOKUP(A31,Cleaners!$B$6:$I$35,8,FALSE),0))</f>
        <v/>
      </c>
      <c r="E31" s="44">
        <f>IF(A31="","",SUMIFS('Turnover Assignment'!$E$6:$E$1005,'Turnover Assignment'!$C$6:$C$1005,A31,'Turnover Assignment'!$A$6:$A$1005,"&gt;="&amp;$B$5,'Turnover Assignment'!$A$6:$A$1005,"&lt;="&amp;$B$6))</f>
        <v/>
      </c>
      <c r="F31" s="44">
        <f>IF(A31="","",SUMIFS('Turnover Assignment'!$F$6:$F$1005,'Turnover Assignment'!$C$6:$C$1005,A31,'Turnover Assignment'!$A$6:$A$1005,"&gt;="&amp;$B$5,'Turnover Assignment'!$A$6:$A$1005,"&lt;="&amp;$B$6))</f>
        <v/>
      </c>
      <c r="G31" s="51">
        <f>IF(A31="","",D31+E31+F31)</f>
        <v/>
      </c>
    </row>
    <row r="32" ht="16" customHeight="1">
      <c r="A32" s="48">
        <f>IF(Cleaners!B29="","",Cleaners!B29)</f>
        <v/>
      </c>
      <c r="B32" s="49">
        <f>IF(A32="","",COUNTIFS('Turnover Assignment'!$C$6:$C$1005,A32,'Turnover Assignment'!$A$6:$A$1005,"&gt;="&amp;$B$5,'Turnover Assignment'!$A$6:$A$1005,"&lt;="&amp;$B$6))</f>
        <v/>
      </c>
      <c r="C32" s="50">
        <f>IF(A32="","",SUMIFS('Turnover Assignment'!$D$6:$D$1005,'Turnover Assignment'!$C$6:$C$1005,A32,'Turnover Assignment'!$A$6:$A$1005,"&gt;="&amp;$B$5,'Turnover Assignment'!$A$6:$A$1005,"&lt;="&amp;$B$6))</f>
        <v/>
      </c>
      <c r="D32" s="44">
        <f>IF(A32="","",C32*IFERROR(VLOOKUP(A32,Cleaners!$B$6:$I$35,8,FALSE),0))</f>
        <v/>
      </c>
      <c r="E32" s="44">
        <f>IF(A32="","",SUMIFS('Turnover Assignment'!$E$6:$E$1005,'Turnover Assignment'!$C$6:$C$1005,A32,'Turnover Assignment'!$A$6:$A$1005,"&gt;="&amp;$B$5,'Turnover Assignment'!$A$6:$A$1005,"&lt;="&amp;$B$6))</f>
        <v/>
      </c>
      <c r="F32" s="44">
        <f>IF(A32="","",SUMIFS('Turnover Assignment'!$F$6:$F$1005,'Turnover Assignment'!$C$6:$C$1005,A32,'Turnover Assignment'!$A$6:$A$1005,"&gt;="&amp;$B$5,'Turnover Assignment'!$A$6:$A$1005,"&lt;="&amp;$B$6))</f>
        <v/>
      </c>
      <c r="G32" s="51">
        <f>IF(A32="","",D32+E32+F32)</f>
        <v/>
      </c>
    </row>
    <row r="33" ht="16" customHeight="1">
      <c r="A33" s="48">
        <f>IF(Cleaners!B30="","",Cleaners!B30)</f>
        <v/>
      </c>
      <c r="B33" s="49">
        <f>IF(A33="","",COUNTIFS('Turnover Assignment'!$C$6:$C$1005,A33,'Turnover Assignment'!$A$6:$A$1005,"&gt;="&amp;$B$5,'Turnover Assignment'!$A$6:$A$1005,"&lt;="&amp;$B$6))</f>
        <v/>
      </c>
      <c r="C33" s="50">
        <f>IF(A33="","",SUMIFS('Turnover Assignment'!$D$6:$D$1005,'Turnover Assignment'!$C$6:$C$1005,A33,'Turnover Assignment'!$A$6:$A$1005,"&gt;="&amp;$B$5,'Turnover Assignment'!$A$6:$A$1005,"&lt;="&amp;$B$6))</f>
        <v/>
      </c>
      <c r="D33" s="44">
        <f>IF(A33="","",C33*IFERROR(VLOOKUP(A33,Cleaners!$B$6:$I$35,8,FALSE),0))</f>
        <v/>
      </c>
      <c r="E33" s="44">
        <f>IF(A33="","",SUMIFS('Turnover Assignment'!$E$6:$E$1005,'Turnover Assignment'!$C$6:$C$1005,A33,'Turnover Assignment'!$A$6:$A$1005,"&gt;="&amp;$B$5,'Turnover Assignment'!$A$6:$A$1005,"&lt;="&amp;$B$6))</f>
        <v/>
      </c>
      <c r="F33" s="44">
        <f>IF(A33="","",SUMIFS('Turnover Assignment'!$F$6:$F$1005,'Turnover Assignment'!$C$6:$C$1005,A33,'Turnover Assignment'!$A$6:$A$1005,"&gt;="&amp;$B$5,'Turnover Assignment'!$A$6:$A$1005,"&lt;="&amp;$B$6))</f>
        <v/>
      </c>
      <c r="G33" s="51">
        <f>IF(A33="","",D33+E33+F33)</f>
        <v/>
      </c>
    </row>
    <row r="34" ht="16" customHeight="1">
      <c r="A34" s="48">
        <f>IF(Cleaners!B31="","",Cleaners!B31)</f>
        <v/>
      </c>
      <c r="B34" s="49">
        <f>IF(A34="","",COUNTIFS('Turnover Assignment'!$C$6:$C$1005,A34,'Turnover Assignment'!$A$6:$A$1005,"&gt;="&amp;$B$5,'Turnover Assignment'!$A$6:$A$1005,"&lt;="&amp;$B$6))</f>
        <v/>
      </c>
      <c r="C34" s="50">
        <f>IF(A34="","",SUMIFS('Turnover Assignment'!$D$6:$D$1005,'Turnover Assignment'!$C$6:$C$1005,A34,'Turnover Assignment'!$A$6:$A$1005,"&gt;="&amp;$B$5,'Turnover Assignment'!$A$6:$A$1005,"&lt;="&amp;$B$6))</f>
        <v/>
      </c>
      <c r="D34" s="44">
        <f>IF(A34="","",C34*IFERROR(VLOOKUP(A34,Cleaners!$B$6:$I$35,8,FALSE),0))</f>
        <v/>
      </c>
      <c r="E34" s="44">
        <f>IF(A34="","",SUMIFS('Turnover Assignment'!$E$6:$E$1005,'Turnover Assignment'!$C$6:$C$1005,A34,'Turnover Assignment'!$A$6:$A$1005,"&gt;="&amp;$B$5,'Turnover Assignment'!$A$6:$A$1005,"&lt;="&amp;$B$6))</f>
        <v/>
      </c>
      <c r="F34" s="44">
        <f>IF(A34="","",SUMIFS('Turnover Assignment'!$F$6:$F$1005,'Turnover Assignment'!$C$6:$C$1005,A34,'Turnover Assignment'!$A$6:$A$1005,"&gt;="&amp;$B$5,'Turnover Assignment'!$A$6:$A$1005,"&lt;="&amp;$B$6))</f>
        <v/>
      </c>
      <c r="G34" s="51">
        <f>IF(A34="","",D34+E34+F34)</f>
        <v/>
      </c>
    </row>
    <row r="35" ht="16" customHeight="1">
      <c r="A35" s="48">
        <f>IF(Cleaners!B32="","",Cleaners!B32)</f>
        <v/>
      </c>
      <c r="B35" s="49">
        <f>IF(A35="","",COUNTIFS('Turnover Assignment'!$C$6:$C$1005,A35,'Turnover Assignment'!$A$6:$A$1005,"&gt;="&amp;$B$5,'Turnover Assignment'!$A$6:$A$1005,"&lt;="&amp;$B$6))</f>
        <v/>
      </c>
      <c r="C35" s="50">
        <f>IF(A35="","",SUMIFS('Turnover Assignment'!$D$6:$D$1005,'Turnover Assignment'!$C$6:$C$1005,A35,'Turnover Assignment'!$A$6:$A$1005,"&gt;="&amp;$B$5,'Turnover Assignment'!$A$6:$A$1005,"&lt;="&amp;$B$6))</f>
        <v/>
      </c>
      <c r="D35" s="44">
        <f>IF(A35="","",C35*IFERROR(VLOOKUP(A35,Cleaners!$B$6:$I$35,8,FALSE),0))</f>
        <v/>
      </c>
      <c r="E35" s="44">
        <f>IF(A35="","",SUMIFS('Turnover Assignment'!$E$6:$E$1005,'Turnover Assignment'!$C$6:$C$1005,A35,'Turnover Assignment'!$A$6:$A$1005,"&gt;="&amp;$B$5,'Turnover Assignment'!$A$6:$A$1005,"&lt;="&amp;$B$6))</f>
        <v/>
      </c>
      <c r="F35" s="44">
        <f>IF(A35="","",SUMIFS('Turnover Assignment'!$F$6:$F$1005,'Turnover Assignment'!$C$6:$C$1005,A35,'Turnover Assignment'!$A$6:$A$1005,"&gt;="&amp;$B$5,'Turnover Assignment'!$A$6:$A$1005,"&lt;="&amp;$B$6))</f>
        <v/>
      </c>
      <c r="G35" s="51">
        <f>IF(A35="","",D35+E35+F35)</f>
        <v/>
      </c>
    </row>
    <row r="36" ht="16" customHeight="1">
      <c r="A36" s="48">
        <f>IF(Cleaners!B33="","",Cleaners!B33)</f>
        <v/>
      </c>
      <c r="B36" s="49">
        <f>IF(A36="","",COUNTIFS('Turnover Assignment'!$C$6:$C$1005,A36,'Turnover Assignment'!$A$6:$A$1005,"&gt;="&amp;$B$5,'Turnover Assignment'!$A$6:$A$1005,"&lt;="&amp;$B$6))</f>
        <v/>
      </c>
      <c r="C36" s="50">
        <f>IF(A36="","",SUMIFS('Turnover Assignment'!$D$6:$D$1005,'Turnover Assignment'!$C$6:$C$1005,A36,'Turnover Assignment'!$A$6:$A$1005,"&gt;="&amp;$B$5,'Turnover Assignment'!$A$6:$A$1005,"&lt;="&amp;$B$6))</f>
        <v/>
      </c>
      <c r="D36" s="44">
        <f>IF(A36="","",C36*IFERROR(VLOOKUP(A36,Cleaners!$B$6:$I$35,8,FALSE),0))</f>
        <v/>
      </c>
      <c r="E36" s="44">
        <f>IF(A36="","",SUMIFS('Turnover Assignment'!$E$6:$E$1005,'Turnover Assignment'!$C$6:$C$1005,A36,'Turnover Assignment'!$A$6:$A$1005,"&gt;="&amp;$B$5,'Turnover Assignment'!$A$6:$A$1005,"&lt;="&amp;$B$6))</f>
        <v/>
      </c>
      <c r="F36" s="44">
        <f>IF(A36="","",SUMIFS('Turnover Assignment'!$F$6:$F$1005,'Turnover Assignment'!$C$6:$C$1005,A36,'Turnover Assignment'!$A$6:$A$1005,"&gt;="&amp;$B$5,'Turnover Assignment'!$A$6:$A$1005,"&lt;="&amp;$B$6))</f>
        <v/>
      </c>
      <c r="G36" s="51">
        <f>IF(A36="","",D36+E36+F36)</f>
        <v/>
      </c>
    </row>
    <row r="37" ht="16" customHeight="1">
      <c r="A37" s="48">
        <f>IF(Cleaners!B34="","",Cleaners!B34)</f>
        <v/>
      </c>
      <c r="B37" s="49">
        <f>IF(A37="","",COUNTIFS('Turnover Assignment'!$C$6:$C$1005,A37,'Turnover Assignment'!$A$6:$A$1005,"&gt;="&amp;$B$5,'Turnover Assignment'!$A$6:$A$1005,"&lt;="&amp;$B$6))</f>
        <v/>
      </c>
      <c r="C37" s="50">
        <f>IF(A37="","",SUMIFS('Turnover Assignment'!$D$6:$D$1005,'Turnover Assignment'!$C$6:$C$1005,A37,'Turnover Assignment'!$A$6:$A$1005,"&gt;="&amp;$B$5,'Turnover Assignment'!$A$6:$A$1005,"&lt;="&amp;$B$6))</f>
        <v/>
      </c>
      <c r="D37" s="44">
        <f>IF(A37="","",C37*IFERROR(VLOOKUP(A37,Cleaners!$B$6:$I$35,8,FALSE),0))</f>
        <v/>
      </c>
      <c r="E37" s="44">
        <f>IF(A37="","",SUMIFS('Turnover Assignment'!$E$6:$E$1005,'Turnover Assignment'!$C$6:$C$1005,A37,'Turnover Assignment'!$A$6:$A$1005,"&gt;="&amp;$B$5,'Turnover Assignment'!$A$6:$A$1005,"&lt;="&amp;$B$6))</f>
        <v/>
      </c>
      <c r="F37" s="44">
        <f>IF(A37="","",SUMIFS('Turnover Assignment'!$F$6:$F$1005,'Turnover Assignment'!$C$6:$C$1005,A37,'Turnover Assignment'!$A$6:$A$1005,"&gt;="&amp;$B$5,'Turnover Assignment'!$A$6:$A$1005,"&lt;="&amp;$B$6))</f>
        <v/>
      </c>
      <c r="G37" s="51">
        <f>IF(A37="","",D37+E37+F37)</f>
        <v/>
      </c>
    </row>
    <row r="38" ht="16" customHeight="1">
      <c r="A38" s="48">
        <f>IF(Cleaners!B35="","",Cleaners!B35)</f>
        <v/>
      </c>
      <c r="B38" s="49">
        <f>IF(A38="","",COUNTIFS('Turnover Assignment'!$C$6:$C$1005,A38,'Turnover Assignment'!$A$6:$A$1005,"&gt;="&amp;$B$5,'Turnover Assignment'!$A$6:$A$1005,"&lt;="&amp;$B$6))</f>
        <v/>
      </c>
      <c r="C38" s="50">
        <f>IF(A38="","",SUMIFS('Turnover Assignment'!$D$6:$D$1005,'Turnover Assignment'!$C$6:$C$1005,A38,'Turnover Assignment'!$A$6:$A$1005,"&gt;="&amp;$B$5,'Turnover Assignment'!$A$6:$A$1005,"&lt;="&amp;$B$6))</f>
        <v/>
      </c>
      <c r="D38" s="44">
        <f>IF(A38="","",C38*IFERROR(VLOOKUP(A38,Cleaners!$B$6:$I$35,8,FALSE),0))</f>
        <v/>
      </c>
      <c r="E38" s="44">
        <f>IF(A38="","",SUMIFS('Turnover Assignment'!$E$6:$E$1005,'Turnover Assignment'!$C$6:$C$1005,A38,'Turnover Assignment'!$A$6:$A$1005,"&gt;="&amp;$B$5,'Turnover Assignment'!$A$6:$A$1005,"&lt;="&amp;$B$6))</f>
        <v/>
      </c>
      <c r="F38" s="44">
        <f>IF(A38="","",SUMIFS('Turnover Assignment'!$F$6:$F$1005,'Turnover Assignment'!$C$6:$C$1005,A38,'Turnover Assignment'!$A$6:$A$1005,"&gt;="&amp;$B$5,'Turnover Assignment'!$A$6:$A$1005,"&lt;="&amp;$B$6))</f>
        <v/>
      </c>
      <c r="G38" s="51">
        <f>IF(A38="","",D38+E38+F38)</f>
        <v/>
      </c>
    </row>
    <row r="39" ht="6" customHeight="1"/>
    <row r="40" ht="22" customHeight="1">
      <c r="A40" s="52" t="inlineStr">
        <is>
          <t>TOTALS</t>
        </is>
      </c>
      <c r="B40" s="53">
        <f>SUM(B9:B38)</f>
        <v/>
      </c>
      <c r="C40" s="54">
        <f>SUM(C9:C38)</f>
        <v/>
      </c>
      <c r="D40" s="55">
        <f>SUM(D9:D38)</f>
        <v/>
      </c>
      <c r="E40" s="55">
        <f>SUM(E9:E38)</f>
        <v/>
      </c>
      <c r="F40" s="55">
        <f>SUM(F9:F38)</f>
        <v/>
      </c>
      <c r="G40" s="55">
        <f>SUM(G9:G38)</f>
        <v/>
      </c>
    </row>
  </sheetData>
  <mergeCells count="4">
    <mergeCell ref="J2:L2"/>
    <mergeCell ref="D2:I2"/>
    <mergeCell ref="A2:C2"/>
    <mergeCell ref="A4:L4"/>
  </mergeCells>
  <pageMargins left="0.4" right="0.4" top="0.5" bottom="0.5" header="0.5" footer="0.5"/>
  <pageSetup orientation="portrait" paperSize="1" fitToHeight="1" fitToWidth="1"/>
</worksheet>
</file>

<file path=xl/worksheets/sheet5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13" customWidth="1" min="5" max="5"/>
    <col width="22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HYPERLINK("#'Payroll Run'!A1", "← BACK")</f>
        <v/>
      </c>
      <c r="B2" s="24" t="n"/>
      <c r="C2" s="24" t="n"/>
      <c r="D2" s="36" t="inlineStr">
        <is>
          <t>PERFORMANCE</t>
        </is>
      </c>
      <c r="J2" s="27">
        <f>HYPERLINK("#'1099-NEC Year-End'!A1", "NEXT →")</f>
        <v/>
      </c>
      <c r="K2" s="28" t="n"/>
      <c r="L2" s="2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Per-cleaner scorecard — review monthly to coach, flag, or cut</t>
        </is>
      </c>
    </row>
    <row r="5" ht="20" customHeight="1">
      <c r="A5" s="38" t="inlineStr">
        <is>
          <t>Cleaner</t>
        </is>
      </c>
      <c r="B5" s="38" t="inlineStr">
        <is>
          <t>Turnovers YTD</t>
        </is>
      </c>
      <c r="C5" s="38" t="inlineStr">
        <is>
          <t>Avg rating</t>
        </is>
      </c>
      <c r="D5" s="38" t="inlineStr">
        <is>
          <t>Avg hrs/turn</t>
        </is>
      </c>
      <c r="E5" s="38" t="inlineStr">
        <is>
          <t>Complaints</t>
        </is>
      </c>
      <c r="F5" s="38" t="inlineStr">
        <is>
          <t>Performance flag</t>
        </is>
      </c>
    </row>
    <row r="6" ht="16" customHeight="1">
      <c r="A6" s="48">
        <f>IF(Cleaners!B6="","",Cleaners!B6)</f>
        <v/>
      </c>
      <c r="B6" s="49">
        <f>IF(A6="","",SUMPRODUCT(('Turnover Assignment'!$C$6:$C$1005=A6)*(YEAR('Turnover Assignment'!$A$6:$A$1005)=Settings!$B$5)))</f>
        <v/>
      </c>
      <c r="C6" s="41">
        <f>IF(A6="","",IFERROR(AVERAGEIFS('Turnover Assignment'!$I$6:$I$1005,'Turnover Assignment'!$C$6:$C$1005,A6,'Turnover Assignment'!$I$6:$I$1005,"&gt;0"),""))</f>
        <v/>
      </c>
      <c r="D6" s="50">
        <f>IF(A6="","",IFERROR(AVERAGEIFS('Turnover Assignment'!$D$6:$D$1005,'Turnover Assignment'!$C$6:$C$1005,A6,'Turnover Assignment'!$D$6:$D$1005,"&gt;0"),""))</f>
        <v/>
      </c>
      <c r="E6" s="56" t="n"/>
      <c r="F6" s="57">
        <f>IF(A6="","",IF(C6="","Insufficient data",IF(AND(C6&gt;=4.7,IFERROR(E6,0)&lt;=1),"Top performer",IF(OR(C6&lt;4.0,IFERROR(E6,0)&gt;=3),"Needs review","Standard"))))</f>
        <v/>
      </c>
    </row>
    <row r="7" ht="16" customHeight="1">
      <c r="A7" s="48">
        <f>IF(Cleaners!B7="","",Cleaners!B7)</f>
        <v/>
      </c>
      <c r="B7" s="49">
        <f>IF(A7="","",SUMPRODUCT(('Turnover Assignment'!$C$6:$C$1005=A7)*(YEAR('Turnover Assignment'!$A$6:$A$1005)=Settings!$B$5)))</f>
        <v/>
      </c>
      <c r="C7" s="41">
        <f>IF(A7="","",IFERROR(AVERAGEIFS('Turnover Assignment'!$I$6:$I$1005,'Turnover Assignment'!$C$6:$C$1005,A7,'Turnover Assignment'!$I$6:$I$1005,"&gt;0"),""))</f>
        <v/>
      </c>
      <c r="D7" s="50">
        <f>IF(A7="","",IFERROR(AVERAGEIFS('Turnover Assignment'!$D$6:$D$1005,'Turnover Assignment'!$C$6:$C$1005,A7,'Turnover Assignment'!$D$6:$D$1005,"&gt;0"),""))</f>
        <v/>
      </c>
      <c r="E7" s="56" t="n"/>
      <c r="F7" s="57">
        <f>IF(A7="","",IF(C7="","Insufficient data",IF(AND(C7&gt;=4.7,IFERROR(E7,0)&lt;=1),"Top performer",IF(OR(C7&lt;4.0,IFERROR(E7,0)&gt;=3),"Needs review","Standard"))))</f>
        <v/>
      </c>
    </row>
    <row r="8" ht="16" customHeight="1">
      <c r="A8" s="48">
        <f>IF(Cleaners!B8="","",Cleaners!B8)</f>
        <v/>
      </c>
      <c r="B8" s="49">
        <f>IF(A8="","",SUMPRODUCT(('Turnover Assignment'!$C$6:$C$1005=A8)*(YEAR('Turnover Assignment'!$A$6:$A$1005)=Settings!$B$5)))</f>
        <v/>
      </c>
      <c r="C8" s="41">
        <f>IF(A8="","",IFERROR(AVERAGEIFS('Turnover Assignment'!$I$6:$I$1005,'Turnover Assignment'!$C$6:$C$1005,A8,'Turnover Assignment'!$I$6:$I$1005,"&gt;0"),""))</f>
        <v/>
      </c>
      <c r="D8" s="50">
        <f>IF(A8="","",IFERROR(AVERAGEIFS('Turnover Assignment'!$D$6:$D$1005,'Turnover Assignment'!$C$6:$C$1005,A8,'Turnover Assignment'!$D$6:$D$1005,"&gt;0"),""))</f>
        <v/>
      </c>
      <c r="E8" s="56" t="n"/>
      <c r="F8" s="57">
        <f>IF(A8="","",IF(C8="","Insufficient data",IF(AND(C8&gt;=4.7,IFERROR(E8,0)&lt;=1),"Top performer",IF(OR(C8&lt;4.0,IFERROR(E8,0)&gt;=3),"Needs review","Standard"))))</f>
        <v/>
      </c>
    </row>
    <row r="9" ht="16" customHeight="1">
      <c r="A9" s="48">
        <f>IF(Cleaners!B9="","",Cleaners!B9)</f>
        <v/>
      </c>
      <c r="B9" s="49">
        <f>IF(A9="","",SUMPRODUCT(('Turnover Assignment'!$C$6:$C$1005=A9)*(YEAR('Turnover Assignment'!$A$6:$A$1005)=Settings!$B$5)))</f>
        <v/>
      </c>
      <c r="C9" s="41">
        <f>IF(A9="","",IFERROR(AVERAGEIFS('Turnover Assignment'!$I$6:$I$1005,'Turnover Assignment'!$C$6:$C$1005,A9,'Turnover Assignment'!$I$6:$I$1005,"&gt;0"),""))</f>
        <v/>
      </c>
      <c r="D9" s="50">
        <f>IF(A9="","",IFERROR(AVERAGEIFS('Turnover Assignment'!$D$6:$D$1005,'Turnover Assignment'!$C$6:$C$1005,A9,'Turnover Assignment'!$D$6:$D$1005,"&gt;0"),""))</f>
        <v/>
      </c>
      <c r="E9" s="56" t="n"/>
      <c r="F9" s="57">
        <f>IF(A9="","",IF(C9="","Insufficient data",IF(AND(C9&gt;=4.7,IFERROR(E9,0)&lt;=1),"Top performer",IF(OR(C9&lt;4.0,IFERROR(E9,0)&gt;=3),"Needs review","Standard"))))</f>
        <v/>
      </c>
    </row>
    <row r="10" ht="16" customHeight="1">
      <c r="A10" s="48">
        <f>IF(Cleaners!B10="","",Cleaners!B10)</f>
        <v/>
      </c>
      <c r="B10" s="49">
        <f>IF(A10="","",SUMPRODUCT(('Turnover Assignment'!$C$6:$C$1005=A10)*(YEAR('Turnover Assignment'!$A$6:$A$1005)=Settings!$B$5)))</f>
        <v/>
      </c>
      <c r="C10" s="41">
        <f>IF(A10="","",IFERROR(AVERAGEIFS('Turnover Assignment'!$I$6:$I$1005,'Turnover Assignment'!$C$6:$C$1005,A10,'Turnover Assignment'!$I$6:$I$1005,"&gt;0"),""))</f>
        <v/>
      </c>
      <c r="D10" s="50">
        <f>IF(A10="","",IFERROR(AVERAGEIFS('Turnover Assignment'!$D$6:$D$1005,'Turnover Assignment'!$C$6:$C$1005,A10,'Turnover Assignment'!$D$6:$D$1005,"&gt;0"),""))</f>
        <v/>
      </c>
      <c r="E10" s="56" t="n"/>
      <c r="F10" s="57">
        <f>IF(A10="","",IF(C10="","Insufficient data",IF(AND(C10&gt;=4.7,IFERROR(E10,0)&lt;=1),"Top performer",IF(OR(C10&lt;4.0,IFERROR(E10,0)&gt;=3),"Needs review","Standard"))))</f>
        <v/>
      </c>
    </row>
    <row r="11" ht="16" customHeight="1">
      <c r="A11" s="48">
        <f>IF(Cleaners!B11="","",Cleaners!B11)</f>
        <v/>
      </c>
      <c r="B11" s="49">
        <f>IF(A11="","",SUMPRODUCT(('Turnover Assignment'!$C$6:$C$1005=A11)*(YEAR('Turnover Assignment'!$A$6:$A$1005)=Settings!$B$5)))</f>
        <v/>
      </c>
      <c r="C11" s="41">
        <f>IF(A11="","",IFERROR(AVERAGEIFS('Turnover Assignment'!$I$6:$I$1005,'Turnover Assignment'!$C$6:$C$1005,A11,'Turnover Assignment'!$I$6:$I$1005,"&gt;0"),""))</f>
        <v/>
      </c>
      <c r="D11" s="50">
        <f>IF(A11="","",IFERROR(AVERAGEIFS('Turnover Assignment'!$D$6:$D$1005,'Turnover Assignment'!$C$6:$C$1005,A11,'Turnover Assignment'!$D$6:$D$1005,"&gt;0"),""))</f>
        <v/>
      </c>
      <c r="E11" s="56" t="n"/>
      <c r="F11" s="57">
        <f>IF(A11="","",IF(C11="","Insufficient data",IF(AND(C11&gt;=4.7,IFERROR(E11,0)&lt;=1),"Top performer",IF(OR(C11&lt;4.0,IFERROR(E11,0)&gt;=3),"Needs review","Standard"))))</f>
        <v/>
      </c>
    </row>
    <row r="12" ht="16" customHeight="1">
      <c r="A12" s="48">
        <f>IF(Cleaners!B12="","",Cleaners!B12)</f>
        <v/>
      </c>
      <c r="B12" s="49">
        <f>IF(A12="","",SUMPRODUCT(('Turnover Assignment'!$C$6:$C$1005=A12)*(YEAR('Turnover Assignment'!$A$6:$A$1005)=Settings!$B$5)))</f>
        <v/>
      </c>
      <c r="C12" s="41">
        <f>IF(A12="","",IFERROR(AVERAGEIFS('Turnover Assignment'!$I$6:$I$1005,'Turnover Assignment'!$C$6:$C$1005,A12,'Turnover Assignment'!$I$6:$I$1005,"&gt;0"),""))</f>
        <v/>
      </c>
      <c r="D12" s="50">
        <f>IF(A12="","",IFERROR(AVERAGEIFS('Turnover Assignment'!$D$6:$D$1005,'Turnover Assignment'!$C$6:$C$1005,A12,'Turnover Assignment'!$D$6:$D$1005,"&gt;0"),""))</f>
        <v/>
      </c>
      <c r="E12" s="56" t="n"/>
      <c r="F12" s="57">
        <f>IF(A12="","",IF(C12="","Insufficient data",IF(AND(C12&gt;=4.7,IFERROR(E12,0)&lt;=1),"Top performer",IF(OR(C12&lt;4.0,IFERROR(E12,0)&gt;=3),"Needs review","Standard"))))</f>
        <v/>
      </c>
    </row>
    <row r="13" ht="16" customHeight="1">
      <c r="A13" s="48">
        <f>IF(Cleaners!B13="","",Cleaners!B13)</f>
        <v/>
      </c>
      <c r="B13" s="49">
        <f>IF(A13="","",SUMPRODUCT(('Turnover Assignment'!$C$6:$C$1005=A13)*(YEAR('Turnover Assignment'!$A$6:$A$1005)=Settings!$B$5)))</f>
        <v/>
      </c>
      <c r="C13" s="41">
        <f>IF(A13="","",IFERROR(AVERAGEIFS('Turnover Assignment'!$I$6:$I$1005,'Turnover Assignment'!$C$6:$C$1005,A13,'Turnover Assignment'!$I$6:$I$1005,"&gt;0"),""))</f>
        <v/>
      </c>
      <c r="D13" s="50">
        <f>IF(A13="","",IFERROR(AVERAGEIFS('Turnover Assignment'!$D$6:$D$1005,'Turnover Assignment'!$C$6:$C$1005,A13,'Turnover Assignment'!$D$6:$D$1005,"&gt;0"),""))</f>
        <v/>
      </c>
      <c r="E13" s="56" t="n"/>
      <c r="F13" s="57">
        <f>IF(A13="","",IF(C13="","Insufficient data",IF(AND(C13&gt;=4.7,IFERROR(E13,0)&lt;=1),"Top performer",IF(OR(C13&lt;4.0,IFERROR(E13,0)&gt;=3),"Needs review","Standard"))))</f>
        <v/>
      </c>
    </row>
    <row r="14" ht="16" customHeight="1">
      <c r="A14" s="48">
        <f>IF(Cleaners!B14="","",Cleaners!B14)</f>
        <v/>
      </c>
      <c r="B14" s="49">
        <f>IF(A14="","",SUMPRODUCT(('Turnover Assignment'!$C$6:$C$1005=A14)*(YEAR('Turnover Assignment'!$A$6:$A$1005)=Settings!$B$5)))</f>
        <v/>
      </c>
      <c r="C14" s="41">
        <f>IF(A14="","",IFERROR(AVERAGEIFS('Turnover Assignment'!$I$6:$I$1005,'Turnover Assignment'!$C$6:$C$1005,A14,'Turnover Assignment'!$I$6:$I$1005,"&gt;0"),""))</f>
        <v/>
      </c>
      <c r="D14" s="50">
        <f>IF(A14="","",IFERROR(AVERAGEIFS('Turnover Assignment'!$D$6:$D$1005,'Turnover Assignment'!$C$6:$C$1005,A14,'Turnover Assignment'!$D$6:$D$1005,"&gt;0"),""))</f>
        <v/>
      </c>
      <c r="E14" s="56" t="n"/>
      <c r="F14" s="57">
        <f>IF(A14="","",IF(C14="","Insufficient data",IF(AND(C14&gt;=4.7,IFERROR(E14,0)&lt;=1),"Top performer",IF(OR(C14&lt;4.0,IFERROR(E14,0)&gt;=3),"Needs review","Standard"))))</f>
        <v/>
      </c>
    </row>
    <row r="15" ht="16" customHeight="1">
      <c r="A15" s="48">
        <f>IF(Cleaners!B15="","",Cleaners!B15)</f>
        <v/>
      </c>
      <c r="B15" s="49">
        <f>IF(A15="","",SUMPRODUCT(('Turnover Assignment'!$C$6:$C$1005=A15)*(YEAR('Turnover Assignment'!$A$6:$A$1005)=Settings!$B$5)))</f>
        <v/>
      </c>
      <c r="C15" s="41">
        <f>IF(A15="","",IFERROR(AVERAGEIFS('Turnover Assignment'!$I$6:$I$1005,'Turnover Assignment'!$C$6:$C$1005,A15,'Turnover Assignment'!$I$6:$I$1005,"&gt;0"),""))</f>
        <v/>
      </c>
      <c r="D15" s="50">
        <f>IF(A15="","",IFERROR(AVERAGEIFS('Turnover Assignment'!$D$6:$D$1005,'Turnover Assignment'!$C$6:$C$1005,A15,'Turnover Assignment'!$D$6:$D$1005,"&gt;0"),""))</f>
        <v/>
      </c>
      <c r="E15" s="56" t="n"/>
      <c r="F15" s="57">
        <f>IF(A15="","",IF(C15="","Insufficient data",IF(AND(C15&gt;=4.7,IFERROR(E15,0)&lt;=1),"Top performer",IF(OR(C15&lt;4.0,IFERROR(E15,0)&gt;=3),"Needs review","Standard"))))</f>
        <v/>
      </c>
    </row>
    <row r="16" ht="16" customHeight="1">
      <c r="A16" s="48">
        <f>IF(Cleaners!B16="","",Cleaners!B16)</f>
        <v/>
      </c>
      <c r="B16" s="49">
        <f>IF(A16="","",SUMPRODUCT(('Turnover Assignment'!$C$6:$C$1005=A16)*(YEAR('Turnover Assignment'!$A$6:$A$1005)=Settings!$B$5)))</f>
        <v/>
      </c>
      <c r="C16" s="41">
        <f>IF(A16="","",IFERROR(AVERAGEIFS('Turnover Assignment'!$I$6:$I$1005,'Turnover Assignment'!$C$6:$C$1005,A16,'Turnover Assignment'!$I$6:$I$1005,"&gt;0"),""))</f>
        <v/>
      </c>
      <c r="D16" s="50">
        <f>IF(A16="","",IFERROR(AVERAGEIFS('Turnover Assignment'!$D$6:$D$1005,'Turnover Assignment'!$C$6:$C$1005,A16,'Turnover Assignment'!$D$6:$D$1005,"&gt;0"),""))</f>
        <v/>
      </c>
      <c r="E16" s="56" t="n"/>
      <c r="F16" s="57">
        <f>IF(A16="","",IF(C16="","Insufficient data",IF(AND(C16&gt;=4.7,IFERROR(E16,0)&lt;=1),"Top performer",IF(OR(C16&lt;4.0,IFERROR(E16,0)&gt;=3),"Needs review","Standard"))))</f>
        <v/>
      </c>
    </row>
    <row r="17" ht="16" customHeight="1">
      <c r="A17" s="48">
        <f>IF(Cleaners!B17="","",Cleaners!B17)</f>
        <v/>
      </c>
      <c r="B17" s="49">
        <f>IF(A17="","",SUMPRODUCT(('Turnover Assignment'!$C$6:$C$1005=A17)*(YEAR('Turnover Assignment'!$A$6:$A$1005)=Settings!$B$5)))</f>
        <v/>
      </c>
      <c r="C17" s="41">
        <f>IF(A17="","",IFERROR(AVERAGEIFS('Turnover Assignment'!$I$6:$I$1005,'Turnover Assignment'!$C$6:$C$1005,A17,'Turnover Assignment'!$I$6:$I$1005,"&gt;0"),""))</f>
        <v/>
      </c>
      <c r="D17" s="50">
        <f>IF(A17="","",IFERROR(AVERAGEIFS('Turnover Assignment'!$D$6:$D$1005,'Turnover Assignment'!$C$6:$C$1005,A17,'Turnover Assignment'!$D$6:$D$1005,"&gt;0"),""))</f>
        <v/>
      </c>
      <c r="E17" s="56" t="n"/>
      <c r="F17" s="57">
        <f>IF(A17="","",IF(C17="","Insufficient data",IF(AND(C17&gt;=4.7,IFERROR(E17,0)&lt;=1),"Top performer",IF(OR(C17&lt;4.0,IFERROR(E17,0)&gt;=3),"Needs review","Standard"))))</f>
        <v/>
      </c>
    </row>
    <row r="18" ht="16" customHeight="1">
      <c r="A18" s="48">
        <f>IF(Cleaners!B18="","",Cleaners!B18)</f>
        <v/>
      </c>
      <c r="B18" s="49">
        <f>IF(A18="","",SUMPRODUCT(('Turnover Assignment'!$C$6:$C$1005=A18)*(YEAR('Turnover Assignment'!$A$6:$A$1005)=Settings!$B$5)))</f>
        <v/>
      </c>
      <c r="C18" s="41">
        <f>IF(A18="","",IFERROR(AVERAGEIFS('Turnover Assignment'!$I$6:$I$1005,'Turnover Assignment'!$C$6:$C$1005,A18,'Turnover Assignment'!$I$6:$I$1005,"&gt;0"),""))</f>
        <v/>
      </c>
      <c r="D18" s="50">
        <f>IF(A18="","",IFERROR(AVERAGEIFS('Turnover Assignment'!$D$6:$D$1005,'Turnover Assignment'!$C$6:$C$1005,A18,'Turnover Assignment'!$D$6:$D$1005,"&gt;0"),""))</f>
        <v/>
      </c>
      <c r="E18" s="56" t="n"/>
      <c r="F18" s="57">
        <f>IF(A18="","",IF(C18="","Insufficient data",IF(AND(C18&gt;=4.7,IFERROR(E18,0)&lt;=1),"Top performer",IF(OR(C18&lt;4.0,IFERROR(E18,0)&gt;=3),"Needs review","Standard"))))</f>
        <v/>
      </c>
    </row>
    <row r="19" ht="16" customHeight="1">
      <c r="A19" s="48">
        <f>IF(Cleaners!B19="","",Cleaners!B19)</f>
        <v/>
      </c>
      <c r="B19" s="49">
        <f>IF(A19="","",SUMPRODUCT(('Turnover Assignment'!$C$6:$C$1005=A19)*(YEAR('Turnover Assignment'!$A$6:$A$1005)=Settings!$B$5)))</f>
        <v/>
      </c>
      <c r="C19" s="41">
        <f>IF(A19="","",IFERROR(AVERAGEIFS('Turnover Assignment'!$I$6:$I$1005,'Turnover Assignment'!$C$6:$C$1005,A19,'Turnover Assignment'!$I$6:$I$1005,"&gt;0"),""))</f>
        <v/>
      </c>
      <c r="D19" s="50">
        <f>IF(A19="","",IFERROR(AVERAGEIFS('Turnover Assignment'!$D$6:$D$1005,'Turnover Assignment'!$C$6:$C$1005,A19,'Turnover Assignment'!$D$6:$D$1005,"&gt;0"),""))</f>
        <v/>
      </c>
      <c r="E19" s="56" t="n"/>
      <c r="F19" s="57">
        <f>IF(A19="","",IF(C19="","Insufficient data",IF(AND(C19&gt;=4.7,IFERROR(E19,0)&lt;=1),"Top performer",IF(OR(C19&lt;4.0,IFERROR(E19,0)&gt;=3),"Needs review","Standard"))))</f>
        <v/>
      </c>
    </row>
    <row r="20" ht="16" customHeight="1">
      <c r="A20" s="48">
        <f>IF(Cleaners!B20="","",Cleaners!B20)</f>
        <v/>
      </c>
      <c r="B20" s="49">
        <f>IF(A20="","",SUMPRODUCT(('Turnover Assignment'!$C$6:$C$1005=A20)*(YEAR('Turnover Assignment'!$A$6:$A$1005)=Settings!$B$5)))</f>
        <v/>
      </c>
      <c r="C20" s="41">
        <f>IF(A20="","",IFERROR(AVERAGEIFS('Turnover Assignment'!$I$6:$I$1005,'Turnover Assignment'!$C$6:$C$1005,A20,'Turnover Assignment'!$I$6:$I$1005,"&gt;0"),""))</f>
        <v/>
      </c>
      <c r="D20" s="50">
        <f>IF(A20="","",IFERROR(AVERAGEIFS('Turnover Assignment'!$D$6:$D$1005,'Turnover Assignment'!$C$6:$C$1005,A20,'Turnover Assignment'!$D$6:$D$1005,"&gt;0"),""))</f>
        <v/>
      </c>
      <c r="E20" s="56" t="n"/>
      <c r="F20" s="57">
        <f>IF(A20="","",IF(C20="","Insufficient data",IF(AND(C20&gt;=4.7,IFERROR(E20,0)&lt;=1),"Top performer",IF(OR(C20&lt;4.0,IFERROR(E20,0)&gt;=3),"Needs review","Standard"))))</f>
        <v/>
      </c>
    </row>
    <row r="21" ht="16" customHeight="1">
      <c r="A21" s="48">
        <f>IF(Cleaners!B21="","",Cleaners!B21)</f>
        <v/>
      </c>
      <c r="B21" s="49">
        <f>IF(A21="","",SUMPRODUCT(('Turnover Assignment'!$C$6:$C$1005=A21)*(YEAR('Turnover Assignment'!$A$6:$A$1005)=Settings!$B$5)))</f>
        <v/>
      </c>
      <c r="C21" s="41">
        <f>IF(A21="","",IFERROR(AVERAGEIFS('Turnover Assignment'!$I$6:$I$1005,'Turnover Assignment'!$C$6:$C$1005,A21,'Turnover Assignment'!$I$6:$I$1005,"&gt;0"),""))</f>
        <v/>
      </c>
      <c r="D21" s="50">
        <f>IF(A21="","",IFERROR(AVERAGEIFS('Turnover Assignment'!$D$6:$D$1005,'Turnover Assignment'!$C$6:$C$1005,A21,'Turnover Assignment'!$D$6:$D$1005,"&gt;0"),""))</f>
        <v/>
      </c>
      <c r="E21" s="56" t="n"/>
      <c r="F21" s="57">
        <f>IF(A21="","",IF(C21="","Insufficient data",IF(AND(C21&gt;=4.7,IFERROR(E21,0)&lt;=1),"Top performer",IF(OR(C21&lt;4.0,IFERROR(E21,0)&gt;=3),"Needs review","Standard"))))</f>
        <v/>
      </c>
    </row>
    <row r="22" ht="16" customHeight="1">
      <c r="A22" s="48">
        <f>IF(Cleaners!B22="","",Cleaners!B22)</f>
        <v/>
      </c>
      <c r="B22" s="49">
        <f>IF(A22="","",SUMPRODUCT(('Turnover Assignment'!$C$6:$C$1005=A22)*(YEAR('Turnover Assignment'!$A$6:$A$1005)=Settings!$B$5)))</f>
        <v/>
      </c>
      <c r="C22" s="41">
        <f>IF(A22="","",IFERROR(AVERAGEIFS('Turnover Assignment'!$I$6:$I$1005,'Turnover Assignment'!$C$6:$C$1005,A22,'Turnover Assignment'!$I$6:$I$1005,"&gt;0"),""))</f>
        <v/>
      </c>
      <c r="D22" s="50">
        <f>IF(A22="","",IFERROR(AVERAGEIFS('Turnover Assignment'!$D$6:$D$1005,'Turnover Assignment'!$C$6:$C$1005,A22,'Turnover Assignment'!$D$6:$D$1005,"&gt;0"),""))</f>
        <v/>
      </c>
      <c r="E22" s="56" t="n"/>
      <c r="F22" s="57">
        <f>IF(A22="","",IF(C22="","Insufficient data",IF(AND(C22&gt;=4.7,IFERROR(E22,0)&lt;=1),"Top performer",IF(OR(C22&lt;4.0,IFERROR(E22,0)&gt;=3),"Needs review","Standard"))))</f>
        <v/>
      </c>
    </row>
    <row r="23" ht="16" customHeight="1">
      <c r="A23" s="48">
        <f>IF(Cleaners!B23="","",Cleaners!B23)</f>
        <v/>
      </c>
      <c r="B23" s="49">
        <f>IF(A23="","",SUMPRODUCT(('Turnover Assignment'!$C$6:$C$1005=A23)*(YEAR('Turnover Assignment'!$A$6:$A$1005)=Settings!$B$5)))</f>
        <v/>
      </c>
      <c r="C23" s="41">
        <f>IF(A23="","",IFERROR(AVERAGEIFS('Turnover Assignment'!$I$6:$I$1005,'Turnover Assignment'!$C$6:$C$1005,A23,'Turnover Assignment'!$I$6:$I$1005,"&gt;0"),""))</f>
        <v/>
      </c>
      <c r="D23" s="50">
        <f>IF(A23="","",IFERROR(AVERAGEIFS('Turnover Assignment'!$D$6:$D$1005,'Turnover Assignment'!$C$6:$C$1005,A23,'Turnover Assignment'!$D$6:$D$1005,"&gt;0"),""))</f>
        <v/>
      </c>
      <c r="E23" s="56" t="n"/>
      <c r="F23" s="57">
        <f>IF(A23="","",IF(C23="","Insufficient data",IF(AND(C23&gt;=4.7,IFERROR(E23,0)&lt;=1),"Top performer",IF(OR(C23&lt;4.0,IFERROR(E23,0)&gt;=3),"Needs review","Standard"))))</f>
        <v/>
      </c>
    </row>
    <row r="24" ht="16" customHeight="1">
      <c r="A24" s="48">
        <f>IF(Cleaners!B24="","",Cleaners!B24)</f>
        <v/>
      </c>
      <c r="B24" s="49">
        <f>IF(A24="","",SUMPRODUCT(('Turnover Assignment'!$C$6:$C$1005=A24)*(YEAR('Turnover Assignment'!$A$6:$A$1005)=Settings!$B$5)))</f>
        <v/>
      </c>
      <c r="C24" s="41">
        <f>IF(A24="","",IFERROR(AVERAGEIFS('Turnover Assignment'!$I$6:$I$1005,'Turnover Assignment'!$C$6:$C$1005,A24,'Turnover Assignment'!$I$6:$I$1005,"&gt;0"),""))</f>
        <v/>
      </c>
      <c r="D24" s="50">
        <f>IF(A24="","",IFERROR(AVERAGEIFS('Turnover Assignment'!$D$6:$D$1005,'Turnover Assignment'!$C$6:$C$1005,A24,'Turnover Assignment'!$D$6:$D$1005,"&gt;0"),""))</f>
        <v/>
      </c>
      <c r="E24" s="56" t="n"/>
      <c r="F24" s="57">
        <f>IF(A24="","",IF(C24="","Insufficient data",IF(AND(C24&gt;=4.7,IFERROR(E24,0)&lt;=1),"Top performer",IF(OR(C24&lt;4.0,IFERROR(E24,0)&gt;=3),"Needs review","Standard"))))</f>
        <v/>
      </c>
    </row>
    <row r="25" ht="16" customHeight="1">
      <c r="A25" s="48">
        <f>IF(Cleaners!B25="","",Cleaners!B25)</f>
        <v/>
      </c>
      <c r="B25" s="49">
        <f>IF(A25="","",SUMPRODUCT(('Turnover Assignment'!$C$6:$C$1005=A25)*(YEAR('Turnover Assignment'!$A$6:$A$1005)=Settings!$B$5)))</f>
        <v/>
      </c>
      <c r="C25" s="41">
        <f>IF(A25="","",IFERROR(AVERAGEIFS('Turnover Assignment'!$I$6:$I$1005,'Turnover Assignment'!$C$6:$C$1005,A25,'Turnover Assignment'!$I$6:$I$1005,"&gt;0"),""))</f>
        <v/>
      </c>
      <c r="D25" s="50">
        <f>IF(A25="","",IFERROR(AVERAGEIFS('Turnover Assignment'!$D$6:$D$1005,'Turnover Assignment'!$C$6:$C$1005,A25,'Turnover Assignment'!$D$6:$D$1005,"&gt;0"),""))</f>
        <v/>
      </c>
      <c r="E25" s="56" t="n"/>
      <c r="F25" s="57">
        <f>IF(A25="","",IF(C25="","Insufficient data",IF(AND(C25&gt;=4.7,IFERROR(E25,0)&lt;=1),"Top performer",IF(OR(C25&lt;4.0,IFERROR(E25,0)&gt;=3),"Needs review","Standard"))))</f>
        <v/>
      </c>
    </row>
    <row r="26" ht="16" customHeight="1">
      <c r="A26" s="48">
        <f>IF(Cleaners!B26="","",Cleaners!B26)</f>
        <v/>
      </c>
      <c r="B26" s="49">
        <f>IF(A26="","",SUMPRODUCT(('Turnover Assignment'!$C$6:$C$1005=A26)*(YEAR('Turnover Assignment'!$A$6:$A$1005)=Settings!$B$5)))</f>
        <v/>
      </c>
      <c r="C26" s="41">
        <f>IF(A26="","",IFERROR(AVERAGEIFS('Turnover Assignment'!$I$6:$I$1005,'Turnover Assignment'!$C$6:$C$1005,A26,'Turnover Assignment'!$I$6:$I$1005,"&gt;0"),""))</f>
        <v/>
      </c>
      <c r="D26" s="50">
        <f>IF(A26="","",IFERROR(AVERAGEIFS('Turnover Assignment'!$D$6:$D$1005,'Turnover Assignment'!$C$6:$C$1005,A26,'Turnover Assignment'!$D$6:$D$1005,"&gt;0"),""))</f>
        <v/>
      </c>
      <c r="E26" s="56" t="n"/>
      <c r="F26" s="57">
        <f>IF(A26="","",IF(C26="","Insufficient data",IF(AND(C26&gt;=4.7,IFERROR(E26,0)&lt;=1),"Top performer",IF(OR(C26&lt;4.0,IFERROR(E26,0)&gt;=3),"Needs review","Standard"))))</f>
        <v/>
      </c>
    </row>
    <row r="27" ht="16" customHeight="1">
      <c r="A27" s="48">
        <f>IF(Cleaners!B27="","",Cleaners!B27)</f>
        <v/>
      </c>
      <c r="B27" s="49">
        <f>IF(A27="","",SUMPRODUCT(('Turnover Assignment'!$C$6:$C$1005=A27)*(YEAR('Turnover Assignment'!$A$6:$A$1005)=Settings!$B$5)))</f>
        <v/>
      </c>
      <c r="C27" s="41">
        <f>IF(A27="","",IFERROR(AVERAGEIFS('Turnover Assignment'!$I$6:$I$1005,'Turnover Assignment'!$C$6:$C$1005,A27,'Turnover Assignment'!$I$6:$I$1005,"&gt;0"),""))</f>
        <v/>
      </c>
      <c r="D27" s="50">
        <f>IF(A27="","",IFERROR(AVERAGEIFS('Turnover Assignment'!$D$6:$D$1005,'Turnover Assignment'!$C$6:$C$1005,A27,'Turnover Assignment'!$D$6:$D$1005,"&gt;0"),""))</f>
        <v/>
      </c>
      <c r="E27" s="56" t="n"/>
      <c r="F27" s="57">
        <f>IF(A27="","",IF(C27="","Insufficient data",IF(AND(C27&gt;=4.7,IFERROR(E27,0)&lt;=1),"Top performer",IF(OR(C27&lt;4.0,IFERROR(E27,0)&gt;=3),"Needs review","Standard"))))</f>
        <v/>
      </c>
    </row>
    <row r="28" ht="16" customHeight="1">
      <c r="A28" s="48">
        <f>IF(Cleaners!B28="","",Cleaners!B28)</f>
        <v/>
      </c>
      <c r="B28" s="49">
        <f>IF(A28="","",SUMPRODUCT(('Turnover Assignment'!$C$6:$C$1005=A28)*(YEAR('Turnover Assignment'!$A$6:$A$1005)=Settings!$B$5)))</f>
        <v/>
      </c>
      <c r="C28" s="41">
        <f>IF(A28="","",IFERROR(AVERAGEIFS('Turnover Assignment'!$I$6:$I$1005,'Turnover Assignment'!$C$6:$C$1005,A28,'Turnover Assignment'!$I$6:$I$1005,"&gt;0"),""))</f>
        <v/>
      </c>
      <c r="D28" s="50">
        <f>IF(A28="","",IFERROR(AVERAGEIFS('Turnover Assignment'!$D$6:$D$1005,'Turnover Assignment'!$C$6:$C$1005,A28,'Turnover Assignment'!$D$6:$D$1005,"&gt;0"),""))</f>
        <v/>
      </c>
      <c r="E28" s="56" t="n"/>
      <c r="F28" s="57">
        <f>IF(A28="","",IF(C28="","Insufficient data",IF(AND(C28&gt;=4.7,IFERROR(E28,0)&lt;=1),"Top performer",IF(OR(C28&lt;4.0,IFERROR(E28,0)&gt;=3),"Needs review","Standard"))))</f>
        <v/>
      </c>
    </row>
    <row r="29" ht="16" customHeight="1">
      <c r="A29" s="48">
        <f>IF(Cleaners!B29="","",Cleaners!B29)</f>
        <v/>
      </c>
      <c r="B29" s="49">
        <f>IF(A29="","",SUMPRODUCT(('Turnover Assignment'!$C$6:$C$1005=A29)*(YEAR('Turnover Assignment'!$A$6:$A$1005)=Settings!$B$5)))</f>
        <v/>
      </c>
      <c r="C29" s="41">
        <f>IF(A29="","",IFERROR(AVERAGEIFS('Turnover Assignment'!$I$6:$I$1005,'Turnover Assignment'!$C$6:$C$1005,A29,'Turnover Assignment'!$I$6:$I$1005,"&gt;0"),""))</f>
        <v/>
      </c>
      <c r="D29" s="50">
        <f>IF(A29="","",IFERROR(AVERAGEIFS('Turnover Assignment'!$D$6:$D$1005,'Turnover Assignment'!$C$6:$C$1005,A29,'Turnover Assignment'!$D$6:$D$1005,"&gt;0"),""))</f>
        <v/>
      </c>
      <c r="E29" s="56" t="n"/>
      <c r="F29" s="57">
        <f>IF(A29="","",IF(C29="","Insufficient data",IF(AND(C29&gt;=4.7,IFERROR(E29,0)&lt;=1),"Top performer",IF(OR(C29&lt;4.0,IFERROR(E29,0)&gt;=3),"Needs review","Standard"))))</f>
        <v/>
      </c>
    </row>
    <row r="30" ht="16" customHeight="1">
      <c r="A30" s="48">
        <f>IF(Cleaners!B30="","",Cleaners!B30)</f>
        <v/>
      </c>
      <c r="B30" s="49">
        <f>IF(A30="","",SUMPRODUCT(('Turnover Assignment'!$C$6:$C$1005=A30)*(YEAR('Turnover Assignment'!$A$6:$A$1005)=Settings!$B$5)))</f>
        <v/>
      </c>
      <c r="C30" s="41">
        <f>IF(A30="","",IFERROR(AVERAGEIFS('Turnover Assignment'!$I$6:$I$1005,'Turnover Assignment'!$C$6:$C$1005,A30,'Turnover Assignment'!$I$6:$I$1005,"&gt;0"),""))</f>
        <v/>
      </c>
      <c r="D30" s="50">
        <f>IF(A30="","",IFERROR(AVERAGEIFS('Turnover Assignment'!$D$6:$D$1005,'Turnover Assignment'!$C$6:$C$1005,A30,'Turnover Assignment'!$D$6:$D$1005,"&gt;0"),""))</f>
        <v/>
      </c>
      <c r="E30" s="56" t="n"/>
      <c r="F30" s="57">
        <f>IF(A30="","",IF(C30="","Insufficient data",IF(AND(C30&gt;=4.7,IFERROR(E30,0)&lt;=1),"Top performer",IF(OR(C30&lt;4.0,IFERROR(E30,0)&gt;=3),"Needs review","Standard"))))</f>
        <v/>
      </c>
    </row>
    <row r="31" ht="16" customHeight="1">
      <c r="A31" s="48">
        <f>IF(Cleaners!B31="","",Cleaners!B31)</f>
        <v/>
      </c>
      <c r="B31" s="49">
        <f>IF(A31="","",SUMPRODUCT(('Turnover Assignment'!$C$6:$C$1005=A31)*(YEAR('Turnover Assignment'!$A$6:$A$1005)=Settings!$B$5)))</f>
        <v/>
      </c>
      <c r="C31" s="41">
        <f>IF(A31="","",IFERROR(AVERAGEIFS('Turnover Assignment'!$I$6:$I$1005,'Turnover Assignment'!$C$6:$C$1005,A31,'Turnover Assignment'!$I$6:$I$1005,"&gt;0"),""))</f>
        <v/>
      </c>
      <c r="D31" s="50">
        <f>IF(A31="","",IFERROR(AVERAGEIFS('Turnover Assignment'!$D$6:$D$1005,'Turnover Assignment'!$C$6:$C$1005,A31,'Turnover Assignment'!$D$6:$D$1005,"&gt;0"),""))</f>
        <v/>
      </c>
      <c r="E31" s="56" t="n"/>
      <c r="F31" s="57">
        <f>IF(A31="","",IF(C31="","Insufficient data",IF(AND(C31&gt;=4.7,IFERROR(E31,0)&lt;=1),"Top performer",IF(OR(C31&lt;4.0,IFERROR(E31,0)&gt;=3),"Needs review","Standard"))))</f>
        <v/>
      </c>
    </row>
    <row r="32" ht="16" customHeight="1">
      <c r="A32" s="48">
        <f>IF(Cleaners!B32="","",Cleaners!B32)</f>
        <v/>
      </c>
      <c r="B32" s="49">
        <f>IF(A32="","",SUMPRODUCT(('Turnover Assignment'!$C$6:$C$1005=A32)*(YEAR('Turnover Assignment'!$A$6:$A$1005)=Settings!$B$5)))</f>
        <v/>
      </c>
      <c r="C32" s="41">
        <f>IF(A32="","",IFERROR(AVERAGEIFS('Turnover Assignment'!$I$6:$I$1005,'Turnover Assignment'!$C$6:$C$1005,A32,'Turnover Assignment'!$I$6:$I$1005,"&gt;0"),""))</f>
        <v/>
      </c>
      <c r="D32" s="50">
        <f>IF(A32="","",IFERROR(AVERAGEIFS('Turnover Assignment'!$D$6:$D$1005,'Turnover Assignment'!$C$6:$C$1005,A32,'Turnover Assignment'!$D$6:$D$1005,"&gt;0"),""))</f>
        <v/>
      </c>
      <c r="E32" s="56" t="n"/>
      <c r="F32" s="57">
        <f>IF(A32="","",IF(C32="","Insufficient data",IF(AND(C32&gt;=4.7,IFERROR(E32,0)&lt;=1),"Top performer",IF(OR(C32&lt;4.0,IFERROR(E32,0)&gt;=3),"Needs review","Standard"))))</f>
        <v/>
      </c>
    </row>
    <row r="33" ht="16" customHeight="1">
      <c r="A33" s="48">
        <f>IF(Cleaners!B33="","",Cleaners!B33)</f>
        <v/>
      </c>
      <c r="B33" s="49">
        <f>IF(A33="","",SUMPRODUCT(('Turnover Assignment'!$C$6:$C$1005=A33)*(YEAR('Turnover Assignment'!$A$6:$A$1005)=Settings!$B$5)))</f>
        <v/>
      </c>
      <c r="C33" s="41">
        <f>IF(A33="","",IFERROR(AVERAGEIFS('Turnover Assignment'!$I$6:$I$1005,'Turnover Assignment'!$C$6:$C$1005,A33,'Turnover Assignment'!$I$6:$I$1005,"&gt;0"),""))</f>
        <v/>
      </c>
      <c r="D33" s="50">
        <f>IF(A33="","",IFERROR(AVERAGEIFS('Turnover Assignment'!$D$6:$D$1005,'Turnover Assignment'!$C$6:$C$1005,A33,'Turnover Assignment'!$D$6:$D$1005,"&gt;0"),""))</f>
        <v/>
      </c>
      <c r="E33" s="56" t="n"/>
      <c r="F33" s="57">
        <f>IF(A33="","",IF(C33="","Insufficient data",IF(AND(C33&gt;=4.7,IFERROR(E33,0)&lt;=1),"Top performer",IF(OR(C33&lt;4.0,IFERROR(E33,0)&gt;=3),"Needs review","Standard"))))</f>
        <v/>
      </c>
    </row>
    <row r="34" ht="16" customHeight="1">
      <c r="A34" s="48">
        <f>IF(Cleaners!B34="","",Cleaners!B34)</f>
        <v/>
      </c>
      <c r="B34" s="49">
        <f>IF(A34="","",SUMPRODUCT(('Turnover Assignment'!$C$6:$C$1005=A34)*(YEAR('Turnover Assignment'!$A$6:$A$1005)=Settings!$B$5)))</f>
        <v/>
      </c>
      <c r="C34" s="41">
        <f>IF(A34="","",IFERROR(AVERAGEIFS('Turnover Assignment'!$I$6:$I$1005,'Turnover Assignment'!$C$6:$C$1005,A34,'Turnover Assignment'!$I$6:$I$1005,"&gt;0"),""))</f>
        <v/>
      </c>
      <c r="D34" s="50">
        <f>IF(A34="","",IFERROR(AVERAGEIFS('Turnover Assignment'!$D$6:$D$1005,'Turnover Assignment'!$C$6:$C$1005,A34,'Turnover Assignment'!$D$6:$D$1005,"&gt;0"),""))</f>
        <v/>
      </c>
      <c r="E34" s="56" t="n"/>
      <c r="F34" s="57">
        <f>IF(A34="","",IF(C34="","Insufficient data",IF(AND(C34&gt;=4.7,IFERROR(E34,0)&lt;=1),"Top performer",IF(OR(C34&lt;4.0,IFERROR(E34,0)&gt;=3),"Needs review","Standard"))))</f>
        <v/>
      </c>
    </row>
    <row r="35" ht="16" customHeight="1">
      <c r="A35" s="48">
        <f>IF(Cleaners!B35="","",Cleaners!B35)</f>
        <v/>
      </c>
      <c r="B35" s="49">
        <f>IF(A35="","",SUMPRODUCT(('Turnover Assignment'!$C$6:$C$1005=A35)*(YEAR('Turnover Assignment'!$A$6:$A$1005)=Settings!$B$5)))</f>
        <v/>
      </c>
      <c r="C35" s="41">
        <f>IF(A35="","",IFERROR(AVERAGEIFS('Turnover Assignment'!$I$6:$I$1005,'Turnover Assignment'!$C$6:$C$1005,A35,'Turnover Assignment'!$I$6:$I$1005,"&gt;0"),""))</f>
        <v/>
      </c>
      <c r="D35" s="50">
        <f>IF(A35="","",IFERROR(AVERAGEIFS('Turnover Assignment'!$D$6:$D$1005,'Turnover Assignment'!$C$6:$C$1005,A35,'Turnover Assignment'!$D$6:$D$1005,"&gt;0"),""))</f>
        <v/>
      </c>
      <c r="E35" s="56" t="n"/>
      <c r="F35" s="57">
        <f>IF(A35="","",IF(C35="","Insufficient data",IF(AND(C35&gt;=4.7,IFERROR(E35,0)&lt;=1),"Top performer",IF(OR(C35&lt;4.0,IFERROR(E35,0)&gt;=3),"Needs review","Standard"))))</f>
        <v/>
      </c>
    </row>
    <row r="36" ht="16" customHeight="1">
      <c r="A36" s="48">
        <f>IF(Cleaners!B36="","",Cleaners!B36)</f>
        <v/>
      </c>
      <c r="B36" s="49">
        <f>IF(A36="","",SUMPRODUCT(('Turnover Assignment'!$C$6:$C$1005=A36)*(YEAR('Turnover Assignment'!$A$6:$A$1005)=Settings!$B$5)))</f>
        <v/>
      </c>
      <c r="C36" s="41">
        <f>IF(A36="","",IFERROR(AVERAGEIFS('Turnover Assignment'!$I$6:$I$1005,'Turnover Assignment'!$C$6:$C$1005,A36,'Turnover Assignment'!$I$6:$I$1005,"&gt;0"),""))</f>
        <v/>
      </c>
      <c r="D36" s="50">
        <f>IF(A36="","",IFERROR(AVERAGEIFS('Turnover Assignment'!$D$6:$D$1005,'Turnover Assignment'!$C$6:$C$1005,A36,'Turnover Assignment'!$D$6:$D$1005,"&gt;0"),""))</f>
        <v/>
      </c>
      <c r="E36" s="56" t="n"/>
      <c r="F36" s="57">
        <f>IF(A36="","",IF(C36="","Insufficient data",IF(AND(C36&gt;=4.7,IFERROR(E36,0)&lt;=1),"Top performer",IF(OR(C36&lt;4.0,IFERROR(E36,0)&gt;=3),"Needs review","Standard"))))</f>
        <v/>
      </c>
    </row>
    <row r="37" ht="16" customHeight="1">
      <c r="A37" s="48">
        <f>IF(Cleaners!B37="","",Cleaners!B37)</f>
        <v/>
      </c>
      <c r="B37" s="49">
        <f>IF(A37="","",SUMPRODUCT(('Turnover Assignment'!$C$6:$C$1005=A37)*(YEAR('Turnover Assignment'!$A$6:$A$1005)=Settings!$B$5)))</f>
        <v/>
      </c>
      <c r="C37" s="41">
        <f>IF(A37="","",IFERROR(AVERAGEIFS('Turnover Assignment'!$I$6:$I$1005,'Turnover Assignment'!$C$6:$C$1005,A37,'Turnover Assignment'!$I$6:$I$1005,"&gt;0"),""))</f>
        <v/>
      </c>
      <c r="D37" s="50">
        <f>IF(A37="","",IFERROR(AVERAGEIFS('Turnover Assignment'!$D$6:$D$1005,'Turnover Assignment'!$C$6:$C$1005,A37,'Turnover Assignment'!$D$6:$D$1005,"&gt;0"),""))</f>
        <v/>
      </c>
      <c r="E37" s="56" t="n"/>
      <c r="F37" s="57">
        <f>IF(A37="","",IF(C37="","Insufficient data",IF(AND(C37&gt;=4.7,IFERROR(E37,0)&lt;=1),"Top performer",IF(OR(C37&lt;4.0,IFERROR(E37,0)&gt;=3),"Needs review","Standard"))))</f>
        <v/>
      </c>
    </row>
    <row r="38" ht="16" customHeight="1">
      <c r="A38" s="48">
        <f>IF(Cleaners!B38="","",Cleaners!B38)</f>
        <v/>
      </c>
      <c r="B38" s="49">
        <f>IF(A38="","",SUMPRODUCT(('Turnover Assignment'!$C$6:$C$1005=A38)*(YEAR('Turnover Assignment'!$A$6:$A$1005)=Settings!$B$5)))</f>
        <v/>
      </c>
      <c r="C38" s="41">
        <f>IF(A38="","",IFERROR(AVERAGEIFS('Turnover Assignment'!$I$6:$I$1005,'Turnover Assignment'!$C$6:$C$1005,A38,'Turnover Assignment'!$I$6:$I$1005,"&gt;0"),""))</f>
        <v/>
      </c>
      <c r="D38" s="50">
        <f>IF(A38="","",IFERROR(AVERAGEIFS('Turnover Assignment'!$D$6:$D$1005,'Turnover Assignment'!$C$6:$C$1005,A38,'Turnover Assignment'!$D$6:$D$1005,"&gt;0"),""))</f>
        <v/>
      </c>
      <c r="E38" s="56" t="n"/>
      <c r="F38" s="57">
        <f>IF(A38="","",IF(C38="","Insufficient data",IF(AND(C38&gt;=4.7,IFERROR(E38,0)&lt;=1),"Top performer",IF(OR(C38&lt;4.0,IFERROR(E38,0)&gt;=3),"Needs review","Standard"))))</f>
        <v/>
      </c>
    </row>
    <row r="39" ht="16" customHeight="1">
      <c r="A39" s="48">
        <f>IF(Cleaners!B39="","",Cleaners!B39)</f>
        <v/>
      </c>
      <c r="B39" s="49">
        <f>IF(A39="","",SUMPRODUCT(('Turnover Assignment'!$C$6:$C$1005=A39)*(YEAR('Turnover Assignment'!$A$6:$A$1005)=Settings!$B$5)))</f>
        <v/>
      </c>
      <c r="C39" s="41">
        <f>IF(A39="","",IFERROR(AVERAGEIFS('Turnover Assignment'!$I$6:$I$1005,'Turnover Assignment'!$C$6:$C$1005,A39,'Turnover Assignment'!$I$6:$I$1005,"&gt;0"),""))</f>
        <v/>
      </c>
      <c r="D39" s="50">
        <f>IF(A39="","",IFERROR(AVERAGEIFS('Turnover Assignment'!$D$6:$D$1005,'Turnover Assignment'!$C$6:$C$1005,A39,'Turnover Assignment'!$D$6:$D$1005,"&gt;0"),""))</f>
        <v/>
      </c>
      <c r="E39" s="56" t="n"/>
      <c r="F39" s="57">
        <f>IF(A39="","",IF(C39="","Insufficient data",IF(AND(C39&gt;=4.7,IFERROR(E39,0)&lt;=1),"Top performer",IF(OR(C39&lt;4.0,IFERROR(E39,0)&gt;=3),"Needs review","Standard"))))</f>
        <v/>
      </c>
    </row>
    <row r="40" ht="16" customHeight="1">
      <c r="A40" s="48">
        <f>IF(Cleaners!B40="","",Cleaners!B40)</f>
        <v/>
      </c>
      <c r="B40" s="49">
        <f>IF(A40="","",SUMPRODUCT(('Turnover Assignment'!$C$6:$C$1005=A40)*(YEAR('Turnover Assignment'!$A$6:$A$1005)=Settings!$B$5)))</f>
        <v/>
      </c>
      <c r="C40" s="41">
        <f>IF(A40="","",IFERROR(AVERAGEIFS('Turnover Assignment'!$I$6:$I$1005,'Turnover Assignment'!$C$6:$C$1005,A40,'Turnover Assignment'!$I$6:$I$1005,"&gt;0"),""))</f>
        <v/>
      </c>
      <c r="D40" s="50">
        <f>IF(A40="","",IFERROR(AVERAGEIFS('Turnover Assignment'!$D$6:$D$1005,'Turnover Assignment'!$C$6:$C$1005,A40,'Turnover Assignment'!$D$6:$D$1005,"&gt;0"),""))</f>
        <v/>
      </c>
      <c r="E40" s="56" t="n"/>
      <c r="F40" s="57">
        <f>IF(A40="","",IF(C40="","Insufficient data",IF(AND(C40&gt;=4.7,IFERROR(E40,0)&lt;=1),"Top performer",IF(OR(C40&lt;4.0,IFERROR(E40,0)&gt;=3),"Needs review","Standard"))))</f>
        <v/>
      </c>
    </row>
    <row r="41" ht="16" customHeight="1">
      <c r="A41" s="48">
        <f>IF(Cleaners!B41="","",Cleaners!B41)</f>
        <v/>
      </c>
      <c r="B41" s="49">
        <f>IF(A41="","",SUMPRODUCT(('Turnover Assignment'!$C$6:$C$1005=A41)*(YEAR('Turnover Assignment'!$A$6:$A$1005)=Settings!$B$5)))</f>
        <v/>
      </c>
      <c r="C41" s="41">
        <f>IF(A41="","",IFERROR(AVERAGEIFS('Turnover Assignment'!$I$6:$I$1005,'Turnover Assignment'!$C$6:$C$1005,A41,'Turnover Assignment'!$I$6:$I$1005,"&gt;0"),""))</f>
        <v/>
      </c>
      <c r="D41" s="50">
        <f>IF(A41="","",IFERROR(AVERAGEIFS('Turnover Assignment'!$D$6:$D$1005,'Turnover Assignment'!$C$6:$C$1005,A41,'Turnover Assignment'!$D$6:$D$1005,"&gt;0"),""))</f>
        <v/>
      </c>
      <c r="E41" s="56" t="n"/>
      <c r="F41" s="57">
        <f>IF(A41="","",IF(C41="","Insufficient data",IF(AND(C41&gt;=4.7,IFERROR(E41,0)&lt;=1),"Top performer",IF(OR(C41&lt;4.0,IFERROR(E41,0)&gt;=3),"Needs review","Standard"))))</f>
        <v/>
      </c>
    </row>
    <row r="42" ht="16" customHeight="1">
      <c r="A42" s="48">
        <f>IF(Cleaners!B42="","",Cleaners!B42)</f>
        <v/>
      </c>
      <c r="B42" s="49">
        <f>IF(A42="","",SUMPRODUCT(('Turnover Assignment'!$C$6:$C$1005=A42)*(YEAR('Turnover Assignment'!$A$6:$A$1005)=Settings!$B$5)))</f>
        <v/>
      </c>
      <c r="C42" s="41">
        <f>IF(A42="","",IFERROR(AVERAGEIFS('Turnover Assignment'!$I$6:$I$1005,'Turnover Assignment'!$C$6:$C$1005,A42,'Turnover Assignment'!$I$6:$I$1005,"&gt;0"),""))</f>
        <v/>
      </c>
      <c r="D42" s="50">
        <f>IF(A42="","",IFERROR(AVERAGEIFS('Turnover Assignment'!$D$6:$D$1005,'Turnover Assignment'!$C$6:$C$1005,A42,'Turnover Assignment'!$D$6:$D$1005,"&gt;0"),""))</f>
        <v/>
      </c>
      <c r="E42" s="56" t="n"/>
      <c r="F42" s="57">
        <f>IF(A42="","",IF(C42="","Insufficient data",IF(AND(C42&gt;=4.7,IFERROR(E42,0)&lt;=1),"Top performer",IF(OR(C42&lt;4.0,IFERROR(E42,0)&gt;=3),"Needs review","Standard"))))</f>
        <v/>
      </c>
    </row>
    <row r="43" ht="16" customHeight="1">
      <c r="A43" s="48">
        <f>IF(Cleaners!B43="","",Cleaners!B43)</f>
        <v/>
      </c>
      <c r="B43" s="49">
        <f>IF(A43="","",SUMPRODUCT(('Turnover Assignment'!$C$6:$C$1005=A43)*(YEAR('Turnover Assignment'!$A$6:$A$1005)=Settings!$B$5)))</f>
        <v/>
      </c>
      <c r="C43" s="41">
        <f>IF(A43="","",IFERROR(AVERAGEIFS('Turnover Assignment'!$I$6:$I$1005,'Turnover Assignment'!$C$6:$C$1005,A43,'Turnover Assignment'!$I$6:$I$1005,"&gt;0"),""))</f>
        <v/>
      </c>
      <c r="D43" s="50">
        <f>IF(A43="","",IFERROR(AVERAGEIFS('Turnover Assignment'!$D$6:$D$1005,'Turnover Assignment'!$C$6:$C$1005,A43,'Turnover Assignment'!$D$6:$D$1005,"&gt;0"),""))</f>
        <v/>
      </c>
      <c r="E43" s="56" t="n"/>
      <c r="F43" s="57">
        <f>IF(A43="","",IF(C43="","Insufficient data",IF(AND(C43&gt;=4.7,IFERROR(E43,0)&lt;=1),"Top performer",IF(OR(C43&lt;4.0,IFERROR(E43,0)&gt;=3),"Needs review","Standard"))))</f>
        <v/>
      </c>
    </row>
    <row r="44" ht="16" customHeight="1">
      <c r="A44" s="48">
        <f>IF(Cleaners!B44="","",Cleaners!B44)</f>
        <v/>
      </c>
      <c r="B44" s="49">
        <f>IF(A44="","",SUMPRODUCT(('Turnover Assignment'!$C$6:$C$1005=A44)*(YEAR('Turnover Assignment'!$A$6:$A$1005)=Settings!$B$5)))</f>
        <v/>
      </c>
      <c r="C44" s="41">
        <f>IF(A44="","",IFERROR(AVERAGEIFS('Turnover Assignment'!$I$6:$I$1005,'Turnover Assignment'!$C$6:$C$1005,A44,'Turnover Assignment'!$I$6:$I$1005,"&gt;0"),""))</f>
        <v/>
      </c>
      <c r="D44" s="50">
        <f>IF(A44="","",IFERROR(AVERAGEIFS('Turnover Assignment'!$D$6:$D$1005,'Turnover Assignment'!$C$6:$C$1005,A44,'Turnover Assignment'!$D$6:$D$1005,"&gt;0"),""))</f>
        <v/>
      </c>
      <c r="E44" s="56" t="n"/>
      <c r="F44" s="57">
        <f>IF(A44="","",IF(C44="","Insufficient data",IF(AND(C44&gt;=4.7,IFERROR(E44,0)&lt;=1),"Top performer",IF(OR(C44&lt;4.0,IFERROR(E44,0)&gt;=3),"Needs review","Standard"))))</f>
        <v/>
      </c>
    </row>
    <row r="45" ht="16" customHeight="1">
      <c r="A45" s="48">
        <f>IF(Cleaners!B45="","",Cleaners!B45)</f>
        <v/>
      </c>
      <c r="B45" s="49">
        <f>IF(A45="","",SUMPRODUCT(('Turnover Assignment'!$C$6:$C$1005=A45)*(YEAR('Turnover Assignment'!$A$6:$A$1005)=Settings!$B$5)))</f>
        <v/>
      </c>
      <c r="C45" s="41">
        <f>IF(A45="","",IFERROR(AVERAGEIFS('Turnover Assignment'!$I$6:$I$1005,'Turnover Assignment'!$C$6:$C$1005,A45,'Turnover Assignment'!$I$6:$I$1005,"&gt;0"),""))</f>
        <v/>
      </c>
      <c r="D45" s="50">
        <f>IF(A45="","",IFERROR(AVERAGEIFS('Turnover Assignment'!$D$6:$D$1005,'Turnover Assignment'!$C$6:$C$1005,A45,'Turnover Assignment'!$D$6:$D$1005,"&gt;0"),""))</f>
        <v/>
      </c>
      <c r="E45" s="56" t="n"/>
      <c r="F45" s="57">
        <f>IF(A45="","",IF(C45="","Insufficient data",IF(AND(C45&gt;=4.7,IFERROR(E45,0)&lt;=1),"Top performer",IF(OR(C45&lt;4.0,IFERROR(E45,0)&gt;=3),"Needs review","Standard"))))</f>
        <v/>
      </c>
    </row>
    <row r="46" ht="16" customHeight="1">
      <c r="A46" s="48">
        <f>IF(Cleaners!B46="","",Cleaners!B46)</f>
        <v/>
      </c>
      <c r="B46" s="49">
        <f>IF(A46="","",SUMPRODUCT(('Turnover Assignment'!$C$6:$C$1005=A46)*(YEAR('Turnover Assignment'!$A$6:$A$1005)=Settings!$B$5)))</f>
        <v/>
      </c>
      <c r="C46" s="41">
        <f>IF(A46="","",IFERROR(AVERAGEIFS('Turnover Assignment'!$I$6:$I$1005,'Turnover Assignment'!$C$6:$C$1005,A46,'Turnover Assignment'!$I$6:$I$1005,"&gt;0"),""))</f>
        <v/>
      </c>
      <c r="D46" s="50">
        <f>IF(A46="","",IFERROR(AVERAGEIFS('Turnover Assignment'!$D$6:$D$1005,'Turnover Assignment'!$C$6:$C$1005,A46,'Turnover Assignment'!$D$6:$D$1005,"&gt;0"),""))</f>
        <v/>
      </c>
      <c r="E46" s="56" t="n"/>
      <c r="F46" s="57">
        <f>IF(A46="","",IF(C46="","Insufficient data",IF(AND(C46&gt;=4.7,IFERROR(E46,0)&lt;=1),"Top performer",IF(OR(C46&lt;4.0,IFERROR(E46,0)&gt;=3),"Needs review","Standard"))))</f>
        <v/>
      </c>
    </row>
    <row r="47" ht="16" customHeight="1">
      <c r="A47" s="48">
        <f>IF(Cleaners!B47="","",Cleaners!B47)</f>
        <v/>
      </c>
      <c r="B47" s="49">
        <f>IF(A47="","",SUMPRODUCT(('Turnover Assignment'!$C$6:$C$1005=A47)*(YEAR('Turnover Assignment'!$A$6:$A$1005)=Settings!$B$5)))</f>
        <v/>
      </c>
      <c r="C47" s="41">
        <f>IF(A47="","",IFERROR(AVERAGEIFS('Turnover Assignment'!$I$6:$I$1005,'Turnover Assignment'!$C$6:$C$1005,A47,'Turnover Assignment'!$I$6:$I$1005,"&gt;0"),""))</f>
        <v/>
      </c>
      <c r="D47" s="50">
        <f>IF(A47="","",IFERROR(AVERAGEIFS('Turnover Assignment'!$D$6:$D$1005,'Turnover Assignment'!$C$6:$C$1005,A47,'Turnover Assignment'!$D$6:$D$1005,"&gt;0"),""))</f>
        <v/>
      </c>
      <c r="E47" s="56" t="n"/>
      <c r="F47" s="57">
        <f>IF(A47="","",IF(C47="","Insufficient data",IF(AND(C47&gt;=4.7,IFERROR(E47,0)&lt;=1),"Top performer",IF(OR(C47&lt;4.0,IFERROR(E47,0)&gt;=3),"Needs review","Standard"))))</f>
        <v/>
      </c>
    </row>
    <row r="48" ht="16" customHeight="1">
      <c r="A48" s="48">
        <f>IF(Cleaners!B48="","",Cleaners!B48)</f>
        <v/>
      </c>
      <c r="B48" s="49">
        <f>IF(A48="","",SUMPRODUCT(('Turnover Assignment'!$C$6:$C$1005=A48)*(YEAR('Turnover Assignment'!$A$6:$A$1005)=Settings!$B$5)))</f>
        <v/>
      </c>
      <c r="C48" s="41">
        <f>IF(A48="","",IFERROR(AVERAGEIFS('Turnover Assignment'!$I$6:$I$1005,'Turnover Assignment'!$C$6:$C$1005,A48,'Turnover Assignment'!$I$6:$I$1005,"&gt;0"),""))</f>
        <v/>
      </c>
      <c r="D48" s="50">
        <f>IF(A48="","",IFERROR(AVERAGEIFS('Turnover Assignment'!$D$6:$D$1005,'Turnover Assignment'!$C$6:$C$1005,A48,'Turnover Assignment'!$D$6:$D$1005,"&gt;0"),""))</f>
        <v/>
      </c>
      <c r="E48" s="56" t="n"/>
      <c r="F48" s="57">
        <f>IF(A48="","",IF(C48="","Insufficient data",IF(AND(C48&gt;=4.7,IFERROR(E48,0)&lt;=1),"Top performer",IF(OR(C48&lt;4.0,IFERROR(E48,0)&gt;=3),"Needs review","Standard"))))</f>
        <v/>
      </c>
    </row>
    <row r="49" ht="16" customHeight="1">
      <c r="A49" s="48">
        <f>IF(Cleaners!B49="","",Cleaners!B49)</f>
        <v/>
      </c>
      <c r="B49" s="49">
        <f>IF(A49="","",SUMPRODUCT(('Turnover Assignment'!$C$6:$C$1005=A49)*(YEAR('Turnover Assignment'!$A$6:$A$1005)=Settings!$B$5)))</f>
        <v/>
      </c>
      <c r="C49" s="41">
        <f>IF(A49="","",IFERROR(AVERAGEIFS('Turnover Assignment'!$I$6:$I$1005,'Turnover Assignment'!$C$6:$C$1005,A49,'Turnover Assignment'!$I$6:$I$1005,"&gt;0"),""))</f>
        <v/>
      </c>
      <c r="D49" s="50">
        <f>IF(A49="","",IFERROR(AVERAGEIFS('Turnover Assignment'!$D$6:$D$1005,'Turnover Assignment'!$C$6:$C$1005,A49,'Turnover Assignment'!$D$6:$D$1005,"&gt;0"),""))</f>
        <v/>
      </c>
      <c r="E49" s="56" t="n"/>
      <c r="F49" s="57">
        <f>IF(A49="","",IF(C49="","Insufficient data",IF(AND(C49&gt;=4.7,IFERROR(E49,0)&lt;=1),"Top performer",IF(OR(C49&lt;4.0,IFERROR(E49,0)&gt;=3),"Needs review","Standard"))))</f>
        <v/>
      </c>
    </row>
    <row r="50" ht="16" customHeight="1">
      <c r="A50" s="48">
        <f>IF(Cleaners!B50="","",Cleaners!B50)</f>
        <v/>
      </c>
      <c r="B50" s="49">
        <f>IF(A50="","",SUMPRODUCT(('Turnover Assignment'!$C$6:$C$1005=A50)*(YEAR('Turnover Assignment'!$A$6:$A$1005)=Settings!$B$5)))</f>
        <v/>
      </c>
      <c r="C50" s="41">
        <f>IF(A50="","",IFERROR(AVERAGEIFS('Turnover Assignment'!$I$6:$I$1005,'Turnover Assignment'!$C$6:$C$1005,A50,'Turnover Assignment'!$I$6:$I$1005,"&gt;0"),""))</f>
        <v/>
      </c>
      <c r="D50" s="50">
        <f>IF(A50="","",IFERROR(AVERAGEIFS('Turnover Assignment'!$D$6:$D$1005,'Turnover Assignment'!$C$6:$C$1005,A50,'Turnover Assignment'!$D$6:$D$1005,"&gt;0"),""))</f>
        <v/>
      </c>
      <c r="E50" s="56" t="n"/>
      <c r="F50" s="57">
        <f>IF(A50="","",IF(C50="","Insufficient data",IF(AND(C50&gt;=4.7,IFERROR(E50,0)&lt;=1),"Top performer",IF(OR(C50&lt;4.0,IFERROR(E50,0)&gt;=3),"Needs review","Standard"))))</f>
        <v/>
      </c>
    </row>
    <row r="51" ht="16" customHeight="1">
      <c r="A51" s="48">
        <f>IF(Cleaners!B51="","",Cleaners!B51)</f>
        <v/>
      </c>
      <c r="B51" s="49">
        <f>IF(A51="","",SUMPRODUCT(('Turnover Assignment'!$C$6:$C$1005=A51)*(YEAR('Turnover Assignment'!$A$6:$A$1005)=Settings!$B$5)))</f>
        <v/>
      </c>
      <c r="C51" s="41">
        <f>IF(A51="","",IFERROR(AVERAGEIFS('Turnover Assignment'!$I$6:$I$1005,'Turnover Assignment'!$C$6:$C$1005,A51,'Turnover Assignment'!$I$6:$I$1005,"&gt;0"),""))</f>
        <v/>
      </c>
      <c r="D51" s="50">
        <f>IF(A51="","",IFERROR(AVERAGEIFS('Turnover Assignment'!$D$6:$D$1005,'Turnover Assignment'!$C$6:$C$1005,A51,'Turnover Assignment'!$D$6:$D$1005,"&gt;0"),""))</f>
        <v/>
      </c>
      <c r="E51" s="56" t="n"/>
      <c r="F51" s="57">
        <f>IF(A51="","",IF(C51="","Insufficient data",IF(AND(C51&gt;=4.7,IFERROR(E51,0)&lt;=1),"Top performer",IF(OR(C51&lt;4.0,IFERROR(E51,0)&gt;=3),"Needs review","Standard"))))</f>
        <v/>
      </c>
    </row>
    <row r="52" ht="16" customHeight="1">
      <c r="A52" s="48">
        <f>IF(Cleaners!B52="","",Cleaners!B52)</f>
        <v/>
      </c>
      <c r="B52" s="49">
        <f>IF(A52="","",SUMPRODUCT(('Turnover Assignment'!$C$6:$C$1005=A52)*(YEAR('Turnover Assignment'!$A$6:$A$1005)=Settings!$B$5)))</f>
        <v/>
      </c>
      <c r="C52" s="41">
        <f>IF(A52="","",IFERROR(AVERAGEIFS('Turnover Assignment'!$I$6:$I$1005,'Turnover Assignment'!$C$6:$C$1005,A52,'Turnover Assignment'!$I$6:$I$1005,"&gt;0"),""))</f>
        <v/>
      </c>
      <c r="D52" s="50">
        <f>IF(A52="","",IFERROR(AVERAGEIFS('Turnover Assignment'!$D$6:$D$1005,'Turnover Assignment'!$C$6:$C$1005,A52,'Turnover Assignment'!$D$6:$D$1005,"&gt;0"),""))</f>
        <v/>
      </c>
      <c r="E52" s="56" t="n"/>
      <c r="F52" s="57">
        <f>IF(A52="","",IF(C52="","Insufficient data",IF(AND(C52&gt;=4.7,IFERROR(E52,0)&lt;=1),"Top performer",IF(OR(C52&lt;4.0,IFERROR(E52,0)&gt;=3),"Needs review","Standard"))))</f>
        <v/>
      </c>
    </row>
    <row r="53" ht="16" customHeight="1">
      <c r="A53" s="48">
        <f>IF(Cleaners!B53="","",Cleaners!B53)</f>
        <v/>
      </c>
      <c r="B53" s="49">
        <f>IF(A53="","",SUMPRODUCT(('Turnover Assignment'!$C$6:$C$1005=A53)*(YEAR('Turnover Assignment'!$A$6:$A$1005)=Settings!$B$5)))</f>
        <v/>
      </c>
      <c r="C53" s="41">
        <f>IF(A53="","",IFERROR(AVERAGEIFS('Turnover Assignment'!$I$6:$I$1005,'Turnover Assignment'!$C$6:$C$1005,A53,'Turnover Assignment'!$I$6:$I$1005,"&gt;0"),""))</f>
        <v/>
      </c>
      <c r="D53" s="50">
        <f>IF(A53="","",IFERROR(AVERAGEIFS('Turnover Assignment'!$D$6:$D$1005,'Turnover Assignment'!$C$6:$C$1005,A53,'Turnover Assignment'!$D$6:$D$1005,"&gt;0"),""))</f>
        <v/>
      </c>
      <c r="E53" s="56" t="n"/>
      <c r="F53" s="57">
        <f>IF(A53="","",IF(C53="","Insufficient data",IF(AND(C53&gt;=4.7,IFERROR(E53,0)&lt;=1),"Top performer",IF(OR(C53&lt;4.0,IFERROR(E53,0)&gt;=3),"Needs review","Standard"))))</f>
        <v/>
      </c>
    </row>
    <row r="54" ht="16" customHeight="1">
      <c r="A54" s="48">
        <f>IF(Cleaners!B54="","",Cleaners!B54)</f>
        <v/>
      </c>
      <c r="B54" s="49">
        <f>IF(A54="","",SUMPRODUCT(('Turnover Assignment'!$C$6:$C$1005=A54)*(YEAR('Turnover Assignment'!$A$6:$A$1005)=Settings!$B$5)))</f>
        <v/>
      </c>
      <c r="C54" s="41">
        <f>IF(A54="","",IFERROR(AVERAGEIFS('Turnover Assignment'!$I$6:$I$1005,'Turnover Assignment'!$C$6:$C$1005,A54,'Turnover Assignment'!$I$6:$I$1005,"&gt;0"),""))</f>
        <v/>
      </c>
      <c r="D54" s="50">
        <f>IF(A54="","",IFERROR(AVERAGEIFS('Turnover Assignment'!$D$6:$D$1005,'Turnover Assignment'!$C$6:$C$1005,A54,'Turnover Assignment'!$D$6:$D$1005,"&gt;0"),""))</f>
        <v/>
      </c>
      <c r="E54" s="56" t="n"/>
      <c r="F54" s="57">
        <f>IF(A54="","",IF(C54="","Insufficient data",IF(AND(C54&gt;=4.7,IFERROR(E54,0)&lt;=1),"Top performer",IF(OR(C54&lt;4.0,IFERROR(E54,0)&gt;=3),"Needs review","Standard"))))</f>
        <v/>
      </c>
    </row>
    <row r="55" ht="16" customHeight="1">
      <c r="A55" s="48">
        <f>IF(Cleaners!B55="","",Cleaners!B55)</f>
        <v/>
      </c>
      <c r="B55" s="49">
        <f>IF(A55="","",SUMPRODUCT(('Turnover Assignment'!$C$6:$C$1005=A55)*(YEAR('Turnover Assignment'!$A$6:$A$1005)=Settings!$B$5)))</f>
        <v/>
      </c>
      <c r="C55" s="41">
        <f>IF(A55="","",IFERROR(AVERAGEIFS('Turnover Assignment'!$I$6:$I$1005,'Turnover Assignment'!$C$6:$C$1005,A55,'Turnover Assignment'!$I$6:$I$1005,"&gt;0"),""))</f>
        <v/>
      </c>
      <c r="D55" s="50">
        <f>IF(A55="","",IFERROR(AVERAGEIFS('Turnover Assignment'!$D$6:$D$1005,'Turnover Assignment'!$C$6:$C$1005,A55,'Turnover Assignment'!$D$6:$D$1005,"&gt;0"),""))</f>
        <v/>
      </c>
      <c r="E55" s="56" t="n"/>
      <c r="F55" s="57">
        <f>IF(A55="","",IF(C55="","Insufficient data",IF(AND(C55&gt;=4.7,IFERROR(E55,0)&lt;=1),"Top performer",IF(OR(C55&lt;4.0,IFERROR(E55,0)&gt;=3),"Needs review","Standard"))))</f>
        <v/>
      </c>
    </row>
  </sheetData>
  <mergeCells count="4">
    <mergeCell ref="J2:L2"/>
    <mergeCell ref="D2:I2"/>
    <mergeCell ref="A2:C2"/>
    <mergeCell ref="A4:L4"/>
  </mergeCells>
  <conditionalFormatting sqref="F6:F55">
    <cfRule type="expression" priority="1" dxfId="4">
      <formula>F6="Top performer"</formula>
    </cfRule>
    <cfRule type="expression" priority="2" dxfId="0">
      <formula>F6="Needs review"</formula>
    </cfRule>
  </conditionalFormatting>
  <pageMargins left="0.4" right="0.4" top="0.5" bottom="0.5" header="0.5" footer="0.5"/>
  <pageSetup orientation="landscape" paperSize="1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4" customWidth="1" min="4" max="4"/>
    <col width="18" customWidth="1" min="5" max="5"/>
    <col width="22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HYPERLINK("#'Performance'!A1", "← BACK")</f>
        <v/>
      </c>
      <c r="B2" s="24" t="n"/>
      <c r="C2" s="24" t="n"/>
      <c r="D2" s="36" t="inlineStr">
        <is>
          <t>1099-NEC YEAR-END · FOR YOUR CPA</t>
        </is>
      </c>
      <c r="J2" s="27">
        <f>HYPERLINK("#'Settings'!A1", "NEXT →")</f>
        <v/>
      </c>
      <c r="K2" s="28" t="n"/>
      <c r="L2" s="28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📄 Year-end totals per cleaner — drops directly into TAX-003 1099-NEC tracker</t>
        </is>
      </c>
    </row>
    <row r="5" ht="20" customHeight="1">
      <c r="A5" s="38" t="inlineStr">
        <is>
          <t>Cleaner</t>
        </is>
      </c>
      <c r="B5" s="38" t="inlineStr">
        <is>
          <t>Total paid YTD</t>
        </is>
      </c>
      <c r="C5" s="38" t="inlineStr">
        <is>
          <t>1099 required?</t>
        </is>
      </c>
      <c r="D5" s="38" t="inlineStr">
        <is>
          <t>W-9 on file?</t>
        </is>
      </c>
      <c r="E5" s="38" t="inlineStr">
        <is>
          <t>Mailing address ready?</t>
        </is>
      </c>
      <c r="F5" s="38" t="inlineStr">
        <is>
          <t>Status</t>
        </is>
      </c>
    </row>
    <row r="6" ht="16" customHeight="1">
      <c r="A6" s="48">
        <f>IF(Cleaners!B6="","",Cleaners!B6)</f>
        <v/>
      </c>
      <c r="B6" s="44">
        <f>IF(A6="","",SUMPRODUCT(('Turnover Assignment'!$C$6:$C$1005=A6)*(YEAR('Turnover Assignment'!$A$6:$A$1005)=Settings!$B$5)*'Turnover Assignment'!$K$6:$K$1005))</f>
        <v/>
      </c>
      <c r="C6" s="57">
        <f>IF(A6="","",IF(B6&gt;=Settings!$B$20,"✓ Required","Below threshold"))</f>
        <v/>
      </c>
      <c r="D6" s="57">
        <f>IF(A6="","",IFERROR(VLOOKUP(A6,Cleaners!$B$6:$G$35,6,FALSE),"?"))</f>
        <v/>
      </c>
      <c r="E6" s="57">
        <f>IF(A6="","",IF(IFERROR(VLOOKUP(A6,Cleaners!$B$6:$E$35,4,FALSE),"")="","⚠ Missing","✓ On file"))</f>
        <v/>
      </c>
      <c r="F6" s="57">
        <f>IF(A6="","",IF(C6="✓ Required",IF(AND(D6="Yes",LEFT(E6,1)="✓"),"✓ Ready to file","⚠ Missing W-9 or address"),"n/a"))</f>
        <v/>
      </c>
    </row>
    <row r="7" ht="16" customHeight="1">
      <c r="A7" s="48">
        <f>IF(Cleaners!B7="","",Cleaners!B7)</f>
        <v/>
      </c>
      <c r="B7" s="44">
        <f>IF(A7="","",SUMPRODUCT(('Turnover Assignment'!$C$6:$C$1005=A7)*(YEAR('Turnover Assignment'!$A$6:$A$1005)=Settings!$B$5)*'Turnover Assignment'!$K$6:$K$1005))</f>
        <v/>
      </c>
      <c r="C7" s="57">
        <f>IF(A7="","",IF(B7&gt;=Settings!$B$20,"✓ Required","Below threshold"))</f>
        <v/>
      </c>
      <c r="D7" s="57">
        <f>IF(A7="","",IFERROR(VLOOKUP(A7,Cleaners!$B$6:$G$35,6,FALSE),"?"))</f>
        <v/>
      </c>
      <c r="E7" s="57">
        <f>IF(A7="","",IF(IFERROR(VLOOKUP(A7,Cleaners!$B$6:$E$35,4,FALSE),"")="","⚠ Missing","✓ On file"))</f>
        <v/>
      </c>
      <c r="F7" s="57">
        <f>IF(A7="","",IF(C7="✓ Required",IF(AND(D7="Yes",LEFT(E7,1)="✓"),"✓ Ready to file","⚠ Missing W-9 or address"),"n/a"))</f>
        <v/>
      </c>
    </row>
    <row r="8" ht="16" customHeight="1">
      <c r="A8" s="48">
        <f>IF(Cleaners!B8="","",Cleaners!B8)</f>
        <v/>
      </c>
      <c r="B8" s="44">
        <f>IF(A8="","",SUMPRODUCT(('Turnover Assignment'!$C$6:$C$1005=A8)*(YEAR('Turnover Assignment'!$A$6:$A$1005)=Settings!$B$5)*'Turnover Assignment'!$K$6:$K$1005))</f>
        <v/>
      </c>
      <c r="C8" s="57">
        <f>IF(A8="","",IF(B8&gt;=Settings!$B$20,"✓ Required","Below threshold"))</f>
        <v/>
      </c>
      <c r="D8" s="57">
        <f>IF(A8="","",IFERROR(VLOOKUP(A8,Cleaners!$B$6:$G$35,6,FALSE),"?"))</f>
        <v/>
      </c>
      <c r="E8" s="57">
        <f>IF(A8="","",IF(IFERROR(VLOOKUP(A8,Cleaners!$B$6:$E$35,4,FALSE),"")="","⚠ Missing","✓ On file"))</f>
        <v/>
      </c>
      <c r="F8" s="57">
        <f>IF(A8="","",IF(C8="✓ Required",IF(AND(D8="Yes",LEFT(E8,1)="✓"),"✓ Ready to file","⚠ Missing W-9 or address"),"n/a"))</f>
        <v/>
      </c>
    </row>
    <row r="9" ht="16" customHeight="1">
      <c r="A9" s="48">
        <f>IF(Cleaners!B9="","",Cleaners!B9)</f>
        <v/>
      </c>
      <c r="B9" s="44">
        <f>IF(A9="","",SUMPRODUCT(('Turnover Assignment'!$C$6:$C$1005=A9)*(YEAR('Turnover Assignment'!$A$6:$A$1005)=Settings!$B$5)*'Turnover Assignment'!$K$6:$K$1005))</f>
        <v/>
      </c>
      <c r="C9" s="57">
        <f>IF(A9="","",IF(B9&gt;=Settings!$B$20,"✓ Required","Below threshold"))</f>
        <v/>
      </c>
      <c r="D9" s="57">
        <f>IF(A9="","",IFERROR(VLOOKUP(A9,Cleaners!$B$6:$G$35,6,FALSE),"?"))</f>
        <v/>
      </c>
      <c r="E9" s="57">
        <f>IF(A9="","",IF(IFERROR(VLOOKUP(A9,Cleaners!$B$6:$E$35,4,FALSE),"")="","⚠ Missing","✓ On file"))</f>
        <v/>
      </c>
      <c r="F9" s="57">
        <f>IF(A9="","",IF(C9="✓ Required",IF(AND(D9="Yes",LEFT(E9,1)="✓"),"✓ Ready to file","⚠ Missing W-9 or address"),"n/a"))</f>
        <v/>
      </c>
    </row>
    <row r="10" ht="16" customHeight="1">
      <c r="A10" s="48">
        <f>IF(Cleaners!B10="","",Cleaners!B10)</f>
        <v/>
      </c>
      <c r="B10" s="44">
        <f>IF(A10="","",SUMPRODUCT(('Turnover Assignment'!$C$6:$C$1005=A10)*(YEAR('Turnover Assignment'!$A$6:$A$1005)=Settings!$B$5)*'Turnover Assignment'!$K$6:$K$1005))</f>
        <v/>
      </c>
      <c r="C10" s="57">
        <f>IF(A10="","",IF(B10&gt;=Settings!$B$20,"✓ Required","Below threshold"))</f>
        <v/>
      </c>
      <c r="D10" s="57">
        <f>IF(A10="","",IFERROR(VLOOKUP(A10,Cleaners!$B$6:$G$35,6,FALSE),"?"))</f>
        <v/>
      </c>
      <c r="E10" s="57">
        <f>IF(A10="","",IF(IFERROR(VLOOKUP(A10,Cleaners!$B$6:$E$35,4,FALSE),"")="","⚠ Missing","✓ On file"))</f>
        <v/>
      </c>
      <c r="F10" s="57">
        <f>IF(A10="","",IF(C10="✓ Required",IF(AND(D10="Yes",LEFT(E10,1)="✓"),"✓ Ready to file","⚠ Missing W-9 or address"),"n/a"))</f>
        <v/>
      </c>
    </row>
    <row r="11" ht="16" customHeight="1">
      <c r="A11" s="48">
        <f>IF(Cleaners!B11="","",Cleaners!B11)</f>
        <v/>
      </c>
      <c r="B11" s="44">
        <f>IF(A11="","",SUMPRODUCT(('Turnover Assignment'!$C$6:$C$1005=A11)*(YEAR('Turnover Assignment'!$A$6:$A$1005)=Settings!$B$5)*'Turnover Assignment'!$K$6:$K$1005))</f>
        <v/>
      </c>
      <c r="C11" s="57">
        <f>IF(A11="","",IF(B11&gt;=Settings!$B$20,"✓ Required","Below threshold"))</f>
        <v/>
      </c>
      <c r="D11" s="57">
        <f>IF(A11="","",IFERROR(VLOOKUP(A11,Cleaners!$B$6:$G$35,6,FALSE),"?"))</f>
        <v/>
      </c>
      <c r="E11" s="57">
        <f>IF(A11="","",IF(IFERROR(VLOOKUP(A11,Cleaners!$B$6:$E$35,4,FALSE),"")="","⚠ Missing","✓ On file"))</f>
        <v/>
      </c>
      <c r="F11" s="57">
        <f>IF(A11="","",IF(C11="✓ Required",IF(AND(D11="Yes",LEFT(E11,1)="✓"),"✓ Ready to file","⚠ Missing W-9 or address"),"n/a"))</f>
        <v/>
      </c>
    </row>
    <row r="12" ht="16" customHeight="1">
      <c r="A12" s="48">
        <f>IF(Cleaners!B12="","",Cleaners!B12)</f>
        <v/>
      </c>
      <c r="B12" s="44">
        <f>IF(A12="","",SUMPRODUCT(('Turnover Assignment'!$C$6:$C$1005=A12)*(YEAR('Turnover Assignment'!$A$6:$A$1005)=Settings!$B$5)*'Turnover Assignment'!$K$6:$K$1005))</f>
        <v/>
      </c>
      <c r="C12" s="57">
        <f>IF(A12="","",IF(B12&gt;=Settings!$B$20,"✓ Required","Below threshold"))</f>
        <v/>
      </c>
      <c r="D12" s="57">
        <f>IF(A12="","",IFERROR(VLOOKUP(A12,Cleaners!$B$6:$G$35,6,FALSE),"?"))</f>
        <v/>
      </c>
      <c r="E12" s="57">
        <f>IF(A12="","",IF(IFERROR(VLOOKUP(A12,Cleaners!$B$6:$E$35,4,FALSE),"")="","⚠ Missing","✓ On file"))</f>
        <v/>
      </c>
      <c r="F12" s="57">
        <f>IF(A12="","",IF(C12="✓ Required",IF(AND(D12="Yes",LEFT(E12,1)="✓"),"✓ Ready to file","⚠ Missing W-9 or address"),"n/a"))</f>
        <v/>
      </c>
    </row>
    <row r="13" ht="16" customHeight="1">
      <c r="A13" s="48">
        <f>IF(Cleaners!B13="","",Cleaners!B13)</f>
        <v/>
      </c>
      <c r="B13" s="44">
        <f>IF(A13="","",SUMPRODUCT(('Turnover Assignment'!$C$6:$C$1005=A13)*(YEAR('Turnover Assignment'!$A$6:$A$1005)=Settings!$B$5)*'Turnover Assignment'!$K$6:$K$1005))</f>
        <v/>
      </c>
      <c r="C13" s="57">
        <f>IF(A13="","",IF(B13&gt;=Settings!$B$20,"✓ Required","Below threshold"))</f>
        <v/>
      </c>
      <c r="D13" s="57">
        <f>IF(A13="","",IFERROR(VLOOKUP(A13,Cleaners!$B$6:$G$35,6,FALSE),"?"))</f>
        <v/>
      </c>
      <c r="E13" s="57">
        <f>IF(A13="","",IF(IFERROR(VLOOKUP(A13,Cleaners!$B$6:$E$35,4,FALSE),"")="","⚠ Missing","✓ On file"))</f>
        <v/>
      </c>
      <c r="F13" s="57">
        <f>IF(A13="","",IF(C13="✓ Required",IF(AND(D13="Yes",LEFT(E13,1)="✓"),"✓ Ready to file","⚠ Missing W-9 or address"),"n/a"))</f>
        <v/>
      </c>
    </row>
    <row r="14" ht="16" customHeight="1">
      <c r="A14" s="48">
        <f>IF(Cleaners!B14="","",Cleaners!B14)</f>
        <v/>
      </c>
      <c r="B14" s="44">
        <f>IF(A14="","",SUMPRODUCT(('Turnover Assignment'!$C$6:$C$1005=A14)*(YEAR('Turnover Assignment'!$A$6:$A$1005)=Settings!$B$5)*'Turnover Assignment'!$K$6:$K$1005))</f>
        <v/>
      </c>
      <c r="C14" s="57">
        <f>IF(A14="","",IF(B14&gt;=Settings!$B$20,"✓ Required","Below threshold"))</f>
        <v/>
      </c>
      <c r="D14" s="57">
        <f>IF(A14="","",IFERROR(VLOOKUP(A14,Cleaners!$B$6:$G$35,6,FALSE),"?"))</f>
        <v/>
      </c>
      <c r="E14" s="57">
        <f>IF(A14="","",IF(IFERROR(VLOOKUP(A14,Cleaners!$B$6:$E$35,4,FALSE),"")="","⚠ Missing","✓ On file"))</f>
        <v/>
      </c>
      <c r="F14" s="57">
        <f>IF(A14="","",IF(C14="✓ Required",IF(AND(D14="Yes",LEFT(E14,1)="✓"),"✓ Ready to file","⚠ Missing W-9 or address"),"n/a"))</f>
        <v/>
      </c>
    </row>
    <row r="15" ht="16" customHeight="1">
      <c r="A15" s="48">
        <f>IF(Cleaners!B15="","",Cleaners!B15)</f>
        <v/>
      </c>
      <c r="B15" s="44">
        <f>IF(A15="","",SUMPRODUCT(('Turnover Assignment'!$C$6:$C$1005=A15)*(YEAR('Turnover Assignment'!$A$6:$A$1005)=Settings!$B$5)*'Turnover Assignment'!$K$6:$K$1005))</f>
        <v/>
      </c>
      <c r="C15" s="57">
        <f>IF(A15="","",IF(B15&gt;=Settings!$B$20,"✓ Required","Below threshold"))</f>
        <v/>
      </c>
      <c r="D15" s="57">
        <f>IF(A15="","",IFERROR(VLOOKUP(A15,Cleaners!$B$6:$G$35,6,FALSE),"?"))</f>
        <v/>
      </c>
      <c r="E15" s="57">
        <f>IF(A15="","",IF(IFERROR(VLOOKUP(A15,Cleaners!$B$6:$E$35,4,FALSE),"")="","⚠ Missing","✓ On file"))</f>
        <v/>
      </c>
      <c r="F15" s="57">
        <f>IF(A15="","",IF(C15="✓ Required",IF(AND(D15="Yes",LEFT(E15,1)="✓"),"✓ Ready to file","⚠ Missing W-9 or address"),"n/a"))</f>
        <v/>
      </c>
    </row>
    <row r="16" ht="16" customHeight="1">
      <c r="A16" s="48">
        <f>IF(Cleaners!B16="","",Cleaners!B16)</f>
        <v/>
      </c>
      <c r="B16" s="44">
        <f>IF(A16="","",SUMPRODUCT(('Turnover Assignment'!$C$6:$C$1005=A16)*(YEAR('Turnover Assignment'!$A$6:$A$1005)=Settings!$B$5)*'Turnover Assignment'!$K$6:$K$1005))</f>
        <v/>
      </c>
      <c r="C16" s="57">
        <f>IF(A16="","",IF(B16&gt;=Settings!$B$20,"✓ Required","Below threshold"))</f>
        <v/>
      </c>
      <c r="D16" s="57">
        <f>IF(A16="","",IFERROR(VLOOKUP(A16,Cleaners!$B$6:$G$35,6,FALSE),"?"))</f>
        <v/>
      </c>
      <c r="E16" s="57">
        <f>IF(A16="","",IF(IFERROR(VLOOKUP(A16,Cleaners!$B$6:$E$35,4,FALSE),"")="","⚠ Missing","✓ On file"))</f>
        <v/>
      </c>
      <c r="F16" s="57">
        <f>IF(A16="","",IF(C16="✓ Required",IF(AND(D16="Yes",LEFT(E16,1)="✓"),"✓ Ready to file","⚠ Missing W-9 or address"),"n/a"))</f>
        <v/>
      </c>
    </row>
    <row r="17" ht="16" customHeight="1">
      <c r="A17" s="48">
        <f>IF(Cleaners!B17="","",Cleaners!B17)</f>
        <v/>
      </c>
      <c r="B17" s="44">
        <f>IF(A17="","",SUMPRODUCT(('Turnover Assignment'!$C$6:$C$1005=A17)*(YEAR('Turnover Assignment'!$A$6:$A$1005)=Settings!$B$5)*'Turnover Assignment'!$K$6:$K$1005))</f>
        <v/>
      </c>
      <c r="C17" s="57">
        <f>IF(A17="","",IF(B17&gt;=Settings!$B$20,"✓ Required","Below threshold"))</f>
        <v/>
      </c>
      <c r="D17" s="57">
        <f>IF(A17="","",IFERROR(VLOOKUP(A17,Cleaners!$B$6:$G$35,6,FALSE),"?"))</f>
        <v/>
      </c>
      <c r="E17" s="57">
        <f>IF(A17="","",IF(IFERROR(VLOOKUP(A17,Cleaners!$B$6:$E$35,4,FALSE),"")="","⚠ Missing","✓ On file"))</f>
        <v/>
      </c>
      <c r="F17" s="57">
        <f>IF(A17="","",IF(C17="✓ Required",IF(AND(D17="Yes",LEFT(E17,1)="✓"),"✓ Ready to file","⚠ Missing W-9 or address"),"n/a"))</f>
        <v/>
      </c>
    </row>
    <row r="18" ht="16" customHeight="1">
      <c r="A18" s="48">
        <f>IF(Cleaners!B18="","",Cleaners!B18)</f>
        <v/>
      </c>
      <c r="B18" s="44">
        <f>IF(A18="","",SUMPRODUCT(('Turnover Assignment'!$C$6:$C$1005=A18)*(YEAR('Turnover Assignment'!$A$6:$A$1005)=Settings!$B$5)*'Turnover Assignment'!$K$6:$K$1005))</f>
        <v/>
      </c>
      <c r="C18" s="57">
        <f>IF(A18="","",IF(B18&gt;=Settings!$B$20,"✓ Required","Below threshold"))</f>
        <v/>
      </c>
      <c r="D18" s="57">
        <f>IF(A18="","",IFERROR(VLOOKUP(A18,Cleaners!$B$6:$G$35,6,FALSE),"?"))</f>
        <v/>
      </c>
      <c r="E18" s="57">
        <f>IF(A18="","",IF(IFERROR(VLOOKUP(A18,Cleaners!$B$6:$E$35,4,FALSE),"")="","⚠ Missing","✓ On file"))</f>
        <v/>
      </c>
      <c r="F18" s="57">
        <f>IF(A18="","",IF(C18="✓ Required",IF(AND(D18="Yes",LEFT(E18,1)="✓"),"✓ Ready to file","⚠ Missing W-9 or address"),"n/a"))</f>
        <v/>
      </c>
    </row>
    <row r="19" ht="16" customHeight="1">
      <c r="A19" s="48">
        <f>IF(Cleaners!B19="","",Cleaners!B19)</f>
        <v/>
      </c>
      <c r="B19" s="44">
        <f>IF(A19="","",SUMPRODUCT(('Turnover Assignment'!$C$6:$C$1005=A19)*(YEAR('Turnover Assignment'!$A$6:$A$1005)=Settings!$B$5)*'Turnover Assignment'!$K$6:$K$1005))</f>
        <v/>
      </c>
      <c r="C19" s="57">
        <f>IF(A19="","",IF(B19&gt;=Settings!$B$20,"✓ Required","Below threshold"))</f>
        <v/>
      </c>
      <c r="D19" s="57">
        <f>IF(A19="","",IFERROR(VLOOKUP(A19,Cleaners!$B$6:$G$35,6,FALSE),"?"))</f>
        <v/>
      </c>
      <c r="E19" s="57">
        <f>IF(A19="","",IF(IFERROR(VLOOKUP(A19,Cleaners!$B$6:$E$35,4,FALSE),"")="","⚠ Missing","✓ On file"))</f>
        <v/>
      </c>
      <c r="F19" s="57">
        <f>IF(A19="","",IF(C19="✓ Required",IF(AND(D19="Yes",LEFT(E19,1)="✓"),"✓ Ready to file","⚠ Missing W-9 or address"),"n/a"))</f>
        <v/>
      </c>
    </row>
    <row r="20" ht="16" customHeight="1">
      <c r="A20" s="48">
        <f>IF(Cleaners!B20="","",Cleaners!B20)</f>
        <v/>
      </c>
      <c r="B20" s="44">
        <f>IF(A20="","",SUMPRODUCT(('Turnover Assignment'!$C$6:$C$1005=A20)*(YEAR('Turnover Assignment'!$A$6:$A$1005)=Settings!$B$5)*'Turnover Assignment'!$K$6:$K$1005))</f>
        <v/>
      </c>
      <c r="C20" s="57">
        <f>IF(A20="","",IF(B20&gt;=Settings!$B$20,"✓ Required","Below threshold"))</f>
        <v/>
      </c>
      <c r="D20" s="57">
        <f>IF(A20="","",IFERROR(VLOOKUP(A20,Cleaners!$B$6:$G$35,6,FALSE),"?"))</f>
        <v/>
      </c>
      <c r="E20" s="57">
        <f>IF(A20="","",IF(IFERROR(VLOOKUP(A20,Cleaners!$B$6:$E$35,4,FALSE),"")="","⚠ Missing","✓ On file"))</f>
        <v/>
      </c>
      <c r="F20" s="57">
        <f>IF(A20="","",IF(C20="✓ Required",IF(AND(D20="Yes",LEFT(E20,1)="✓"),"✓ Ready to file","⚠ Missing W-9 or address"),"n/a"))</f>
        <v/>
      </c>
    </row>
    <row r="21" ht="16" customHeight="1">
      <c r="A21" s="48">
        <f>IF(Cleaners!B21="","",Cleaners!B21)</f>
        <v/>
      </c>
      <c r="B21" s="44">
        <f>IF(A21="","",SUMPRODUCT(('Turnover Assignment'!$C$6:$C$1005=A21)*(YEAR('Turnover Assignment'!$A$6:$A$1005)=Settings!$B$5)*'Turnover Assignment'!$K$6:$K$1005))</f>
        <v/>
      </c>
      <c r="C21" s="57">
        <f>IF(A21="","",IF(B21&gt;=Settings!$B$20,"✓ Required","Below threshold"))</f>
        <v/>
      </c>
      <c r="D21" s="57">
        <f>IF(A21="","",IFERROR(VLOOKUP(A21,Cleaners!$B$6:$G$35,6,FALSE),"?"))</f>
        <v/>
      </c>
      <c r="E21" s="57">
        <f>IF(A21="","",IF(IFERROR(VLOOKUP(A21,Cleaners!$B$6:$E$35,4,FALSE),"")="","⚠ Missing","✓ On file"))</f>
        <v/>
      </c>
      <c r="F21" s="57">
        <f>IF(A21="","",IF(C21="✓ Required",IF(AND(D21="Yes",LEFT(E21,1)="✓"),"✓ Ready to file","⚠ Missing W-9 or address"),"n/a"))</f>
        <v/>
      </c>
    </row>
    <row r="22" ht="16" customHeight="1">
      <c r="A22" s="48">
        <f>IF(Cleaners!B22="","",Cleaners!B22)</f>
        <v/>
      </c>
      <c r="B22" s="44">
        <f>IF(A22="","",SUMPRODUCT(('Turnover Assignment'!$C$6:$C$1005=A22)*(YEAR('Turnover Assignment'!$A$6:$A$1005)=Settings!$B$5)*'Turnover Assignment'!$K$6:$K$1005))</f>
        <v/>
      </c>
      <c r="C22" s="57">
        <f>IF(A22="","",IF(B22&gt;=Settings!$B$20,"✓ Required","Below threshold"))</f>
        <v/>
      </c>
      <c r="D22" s="57">
        <f>IF(A22="","",IFERROR(VLOOKUP(A22,Cleaners!$B$6:$G$35,6,FALSE),"?"))</f>
        <v/>
      </c>
      <c r="E22" s="57">
        <f>IF(A22="","",IF(IFERROR(VLOOKUP(A22,Cleaners!$B$6:$E$35,4,FALSE),"")="","⚠ Missing","✓ On file"))</f>
        <v/>
      </c>
      <c r="F22" s="57">
        <f>IF(A22="","",IF(C22="✓ Required",IF(AND(D22="Yes",LEFT(E22,1)="✓"),"✓ Ready to file","⚠ Missing W-9 or address"),"n/a"))</f>
        <v/>
      </c>
    </row>
    <row r="23" ht="16" customHeight="1">
      <c r="A23" s="48">
        <f>IF(Cleaners!B23="","",Cleaners!B23)</f>
        <v/>
      </c>
      <c r="B23" s="44">
        <f>IF(A23="","",SUMPRODUCT(('Turnover Assignment'!$C$6:$C$1005=A23)*(YEAR('Turnover Assignment'!$A$6:$A$1005)=Settings!$B$5)*'Turnover Assignment'!$K$6:$K$1005))</f>
        <v/>
      </c>
      <c r="C23" s="57">
        <f>IF(A23="","",IF(B23&gt;=Settings!$B$20,"✓ Required","Below threshold"))</f>
        <v/>
      </c>
      <c r="D23" s="57">
        <f>IF(A23="","",IFERROR(VLOOKUP(A23,Cleaners!$B$6:$G$35,6,FALSE),"?"))</f>
        <v/>
      </c>
      <c r="E23" s="57">
        <f>IF(A23="","",IF(IFERROR(VLOOKUP(A23,Cleaners!$B$6:$E$35,4,FALSE),"")="","⚠ Missing","✓ On file"))</f>
        <v/>
      </c>
      <c r="F23" s="57">
        <f>IF(A23="","",IF(C23="✓ Required",IF(AND(D23="Yes",LEFT(E23,1)="✓"),"✓ Ready to file","⚠ Missing W-9 or address"),"n/a"))</f>
        <v/>
      </c>
    </row>
    <row r="24" ht="16" customHeight="1">
      <c r="A24" s="48">
        <f>IF(Cleaners!B24="","",Cleaners!B24)</f>
        <v/>
      </c>
      <c r="B24" s="44">
        <f>IF(A24="","",SUMPRODUCT(('Turnover Assignment'!$C$6:$C$1005=A24)*(YEAR('Turnover Assignment'!$A$6:$A$1005)=Settings!$B$5)*'Turnover Assignment'!$K$6:$K$1005))</f>
        <v/>
      </c>
      <c r="C24" s="57">
        <f>IF(A24="","",IF(B24&gt;=Settings!$B$20,"✓ Required","Below threshold"))</f>
        <v/>
      </c>
      <c r="D24" s="57">
        <f>IF(A24="","",IFERROR(VLOOKUP(A24,Cleaners!$B$6:$G$35,6,FALSE),"?"))</f>
        <v/>
      </c>
      <c r="E24" s="57">
        <f>IF(A24="","",IF(IFERROR(VLOOKUP(A24,Cleaners!$B$6:$E$35,4,FALSE),"")="","⚠ Missing","✓ On file"))</f>
        <v/>
      </c>
      <c r="F24" s="57">
        <f>IF(A24="","",IF(C24="✓ Required",IF(AND(D24="Yes",LEFT(E24,1)="✓"),"✓ Ready to file","⚠ Missing W-9 or address"),"n/a"))</f>
        <v/>
      </c>
    </row>
    <row r="25" ht="16" customHeight="1">
      <c r="A25" s="48">
        <f>IF(Cleaners!B25="","",Cleaners!B25)</f>
        <v/>
      </c>
      <c r="B25" s="44">
        <f>IF(A25="","",SUMPRODUCT(('Turnover Assignment'!$C$6:$C$1005=A25)*(YEAR('Turnover Assignment'!$A$6:$A$1005)=Settings!$B$5)*'Turnover Assignment'!$K$6:$K$1005))</f>
        <v/>
      </c>
      <c r="C25" s="57">
        <f>IF(A25="","",IF(B25&gt;=Settings!$B$20,"✓ Required","Below threshold"))</f>
        <v/>
      </c>
      <c r="D25" s="57">
        <f>IF(A25="","",IFERROR(VLOOKUP(A25,Cleaners!$B$6:$G$35,6,FALSE),"?"))</f>
        <v/>
      </c>
      <c r="E25" s="57">
        <f>IF(A25="","",IF(IFERROR(VLOOKUP(A25,Cleaners!$B$6:$E$35,4,FALSE),"")="","⚠ Missing","✓ On file"))</f>
        <v/>
      </c>
      <c r="F25" s="57">
        <f>IF(A25="","",IF(C25="✓ Required",IF(AND(D25="Yes",LEFT(E25,1)="✓"),"✓ Ready to file","⚠ Missing W-9 or address"),"n/a"))</f>
        <v/>
      </c>
    </row>
    <row r="26" ht="16" customHeight="1">
      <c r="A26" s="48">
        <f>IF(Cleaners!B26="","",Cleaners!B26)</f>
        <v/>
      </c>
      <c r="B26" s="44">
        <f>IF(A26="","",SUMPRODUCT(('Turnover Assignment'!$C$6:$C$1005=A26)*(YEAR('Turnover Assignment'!$A$6:$A$1005)=Settings!$B$5)*'Turnover Assignment'!$K$6:$K$1005))</f>
        <v/>
      </c>
      <c r="C26" s="57">
        <f>IF(A26="","",IF(B26&gt;=Settings!$B$20,"✓ Required","Below threshold"))</f>
        <v/>
      </c>
      <c r="D26" s="57">
        <f>IF(A26="","",IFERROR(VLOOKUP(A26,Cleaners!$B$6:$G$35,6,FALSE),"?"))</f>
        <v/>
      </c>
      <c r="E26" s="57">
        <f>IF(A26="","",IF(IFERROR(VLOOKUP(A26,Cleaners!$B$6:$E$35,4,FALSE),"")="","⚠ Missing","✓ On file"))</f>
        <v/>
      </c>
      <c r="F26" s="57">
        <f>IF(A26="","",IF(C26="✓ Required",IF(AND(D26="Yes",LEFT(E26,1)="✓"),"✓ Ready to file","⚠ Missing W-9 or address"),"n/a"))</f>
        <v/>
      </c>
    </row>
    <row r="27" ht="16" customHeight="1">
      <c r="A27" s="48">
        <f>IF(Cleaners!B27="","",Cleaners!B27)</f>
        <v/>
      </c>
      <c r="B27" s="44">
        <f>IF(A27="","",SUMPRODUCT(('Turnover Assignment'!$C$6:$C$1005=A27)*(YEAR('Turnover Assignment'!$A$6:$A$1005)=Settings!$B$5)*'Turnover Assignment'!$K$6:$K$1005))</f>
        <v/>
      </c>
      <c r="C27" s="57">
        <f>IF(A27="","",IF(B27&gt;=Settings!$B$20,"✓ Required","Below threshold"))</f>
        <v/>
      </c>
      <c r="D27" s="57">
        <f>IF(A27="","",IFERROR(VLOOKUP(A27,Cleaners!$B$6:$G$35,6,FALSE),"?"))</f>
        <v/>
      </c>
      <c r="E27" s="57">
        <f>IF(A27="","",IF(IFERROR(VLOOKUP(A27,Cleaners!$B$6:$E$35,4,FALSE),"")="","⚠ Missing","✓ On file"))</f>
        <v/>
      </c>
      <c r="F27" s="57">
        <f>IF(A27="","",IF(C27="✓ Required",IF(AND(D27="Yes",LEFT(E27,1)="✓"),"✓ Ready to file","⚠ Missing W-9 or address"),"n/a"))</f>
        <v/>
      </c>
    </row>
    <row r="28" ht="16" customHeight="1">
      <c r="A28" s="48">
        <f>IF(Cleaners!B28="","",Cleaners!B28)</f>
        <v/>
      </c>
      <c r="B28" s="44">
        <f>IF(A28="","",SUMPRODUCT(('Turnover Assignment'!$C$6:$C$1005=A28)*(YEAR('Turnover Assignment'!$A$6:$A$1005)=Settings!$B$5)*'Turnover Assignment'!$K$6:$K$1005))</f>
        <v/>
      </c>
      <c r="C28" s="57">
        <f>IF(A28="","",IF(B28&gt;=Settings!$B$20,"✓ Required","Below threshold"))</f>
        <v/>
      </c>
      <c r="D28" s="57">
        <f>IF(A28="","",IFERROR(VLOOKUP(A28,Cleaners!$B$6:$G$35,6,FALSE),"?"))</f>
        <v/>
      </c>
      <c r="E28" s="57">
        <f>IF(A28="","",IF(IFERROR(VLOOKUP(A28,Cleaners!$B$6:$E$35,4,FALSE),"")="","⚠ Missing","✓ On file"))</f>
        <v/>
      </c>
      <c r="F28" s="57">
        <f>IF(A28="","",IF(C28="✓ Required",IF(AND(D28="Yes",LEFT(E28,1)="✓"),"✓ Ready to file","⚠ Missing W-9 or address"),"n/a"))</f>
        <v/>
      </c>
    </row>
    <row r="29" ht="16" customHeight="1">
      <c r="A29" s="48">
        <f>IF(Cleaners!B29="","",Cleaners!B29)</f>
        <v/>
      </c>
      <c r="B29" s="44">
        <f>IF(A29="","",SUMPRODUCT(('Turnover Assignment'!$C$6:$C$1005=A29)*(YEAR('Turnover Assignment'!$A$6:$A$1005)=Settings!$B$5)*'Turnover Assignment'!$K$6:$K$1005))</f>
        <v/>
      </c>
      <c r="C29" s="57">
        <f>IF(A29="","",IF(B29&gt;=Settings!$B$20,"✓ Required","Below threshold"))</f>
        <v/>
      </c>
      <c r="D29" s="57">
        <f>IF(A29="","",IFERROR(VLOOKUP(A29,Cleaners!$B$6:$G$35,6,FALSE),"?"))</f>
        <v/>
      </c>
      <c r="E29" s="57">
        <f>IF(A29="","",IF(IFERROR(VLOOKUP(A29,Cleaners!$B$6:$E$35,4,FALSE),"")="","⚠ Missing","✓ On file"))</f>
        <v/>
      </c>
      <c r="F29" s="57">
        <f>IF(A29="","",IF(C29="✓ Required",IF(AND(D29="Yes",LEFT(E29,1)="✓"),"✓ Ready to file","⚠ Missing W-9 or address"),"n/a"))</f>
        <v/>
      </c>
    </row>
    <row r="30" ht="16" customHeight="1">
      <c r="A30" s="48">
        <f>IF(Cleaners!B30="","",Cleaners!B30)</f>
        <v/>
      </c>
      <c r="B30" s="44">
        <f>IF(A30="","",SUMPRODUCT(('Turnover Assignment'!$C$6:$C$1005=A30)*(YEAR('Turnover Assignment'!$A$6:$A$1005)=Settings!$B$5)*'Turnover Assignment'!$K$6:$K$1005))</f>
        <v/>
      </c>
      <c r="C30" s="57">
        <f>IF(A30="","",IF(B30&gt;=Settings!$B$20,"✓ Required","Below threshold"))</f>
        <v/>
      </c>
      <c r="D30" s="57">
        <f>IF(A30="","",IFERROR(VLOOKUP(A30,Cleaners!$B$6:$G$35,6,FALSE),"?"))</f>
        <v/>
      </c>
      <c r="E30" s="57">
        <f>IF(A30="","",IF(IFERROR(VLOOKUP(A30,Cleaners!$B$6:$E$35,4,FALSE),"")="","⚠ Missing","✓ On file"))</f>
        <v/>
      </c>
      <c r="F30" s="57">
        <f>IF(A30="","",IF(C30="✓ Required",IF(AND(D30="Yes",LEFT(E30,1)="✓"),"✓ Ready to file","⚠ Missing W-9 or address"),"n/a"))</f>
        <v/>
      </c>
    </row>
    <row r="31" ht="16" customHeight="1">
      <c r="A31" s="48">
        <f>IF(Cleaners!B31="","",Cleaners!B31)</f>
        <v/>
      </c>
      <c r="B31" s="44">
        <f>IF(A31="","",SUMPRODUCT(('Turnover Assignment'!$C$6:$C$1005=A31)*(YEAR('Turnover Assignment'!$A$6:$A$1005)=Settings!$B$5)*'Turnover Assignment'!$K$6:$K$1005))</f>
        <v/>
      </c>
      <c r="C31" s="57">
        <f>IF(A31="","",IF(B31&gt;=Settings!$B$20,"✓ Required","Below threshold"))</f>
        <v/>
      </c>
      <c r="D31" s="57">
        <f>IF(A31="","",IFERROR(VLOOKUP(A31,Cleaners!$B$6:$G$35,6,FALSE),"?"))</f>
        <v/>
      </c>
      <c r="E31" s="57">
        <f>IF(A31="","",IF(IFERROR(VLOOKUP(A31,Cleaners!$B$6:$E$35,4,FALSE),"")="","⚠ Missing","✓ On file"))</f>
        <v/>
      </c>
      <c r="F31" s="57">
        <f>IF(A31="","",IF(C31="✓ Required",IF(AND(D31="Yes",LEFT(E31,1)="✓"),"✓ Ready to file","⚠ Missing W-9 or address"),"n/a"))</f>
        <v/>
      </c>
    </row>
    <row r="32" ht="16" customHeight="1">
      <c r="A32" s="48">
        <f>IF(Cleaners!B32="","",Cleaners!B32)</f>
        <v/>
      </c>
      <c r="B32" s="44">
        <f>IF(A32="","",SUMPRODUCT(('Turnover Assignment'!$C$6:$C$1005=A32)*(YEAR('Turnover Assignment'!$A$6:$A$1005)=Settings!$B$5)*'Turnover Assignment'!$K$6:$K$1005))</f>
        <v/>
      </c>
      <c r="C32" s="57">
        <f>IF(A32="","",IF(B32&gt;=Settings!$B$20,"✓ Required","Below threshold"))</f>
        <v/>
      </c>
      <c r="D32" s="57">
        <f>IF(A32="","",IFERROR(VLOOKUP(A32,Cleaners!$B$6:$G$35,6,FALSE),"?"))</f>
        <v/>
      </c>
      <c r="E32" s="57">
        <f>IF(A32="","",IF(IFERROR(VLOOKUP(A32,Cleaners!$B$6:$E$35,4,FALSE),"")="","⚠ Missing","✓ On file"))</f>
        <v/>
      </c>
      <c r="F32" s="57">
        <f>IF(A32="","",IF(C32="✓ Required",IF(AND(D32="Yes",LEFT(E32,1)="✓"),"✓ Ready to file","⚠ Missing W-9 or address"),"n/a"))</f>
        <v/>
      </c>
    </row>
    <row r="33" ht="16" customHeight="1">
      <c r="A33" s="48">
        <f>IF(Cleaners!B33="","",Cleaners!B33)</f>
        <v/>
      </c>
      <c r="B33" s="44">
        <f>IF(A33="","",SUMPRODUCT(('Turnover Assignment'!$C$6:$C$1005=A33)*(YEAR('Turnover Assignment'!$A$6:$A$1005)=Settings!$B$5)*'Turnover Assignment'!$K$6:$K$1005))</f>
        <v/>
      </c>
      <c r="C33" s="57">
        <f>IF(A33="","",IF(B33&gt;=Settings!$B$20,"✓ Required","Below threshold"))</f>
        <v/>
      </c>
      <c r="D33" s="57">
        <f>IF(A33="","",IFERROR(VLOOKUP(A33,Cleaners!$B$6:$G$35,6,FALSE),"?"))</f>
        <v/>
      </c>
      <c r="E33" s="57">
        <f>IF(A33="","",IF(IFERROR(VLOOKUP(A33,Cleaners!$B$6:$E$35,4,FALSE),"")="","⚠ Missing","✓ On file"))</f>
        <v/>
      </c>
      <c r="F33" s="57">
        <f>IF(A33="","",IF(C33="✓ Required",IF(AND(D33="Yes",LEFT(E33,1)="✓"),"✓ Ready to file","⚠ Missing W-9 or address"),"n/a"))</f>
        <v/>
      </c>
    </row>
    <row r="34" ht="16" customHeight="1">
      <c r="A34" s="48">
        <f>IF(Cleaners!B34="","",Cleaners!B34)</f>
        <v/>
      </c>
      <c r="B34" s="44">
        <f>IF(A34="","",SUMPRODUCT(('Turnover Assignment'!$C$6:$C$1005=A34)*(YEAR('Turnover Assignment'!$A$6:$A$1005)=Settings!$B$5)*'Turnover Assignment'!$K$6:$K$1005))</f>
        <v/>
      </c>
      <c r="C34" s="57">
        <f>IF(A34="","",IF(B34&gt;=Settings!$B$20,"✓ Required","Below threshold"))</f>
        <v/>
      </c>
      <c r="D34" s="57">
        <f>IF(A34="","",IFERROR(VLOOKUP(A34,Cleaners!$B$6:$G$35,6,FALSE),"?"))</f>
        <v/>
      </c>
      <c r="E34" s="57">
        <f>IF(A34="","",IF(IFERROR(VLOOKUP(A34,Cleaners!$B$6:$E$35,4,FALSE),"")="","⚠ Missing","✓ On file"))</f>
        <v/>
      </c>
      <c r="F34" s="57">
        <f>IF(A34="","",IF(C34="✓ Required",IF(AND(D34="Yes",LEFT(E34,1)="✓"),"✓ Ready to file","⚠ Missing W-9 or address"),"n/a"))</f>
        <v/>
      </c>
    </row>
    <row r="35" ht="16" customHeight="1">
      <c r="A35" s="48">
        <f>IF(Cleaners!B35="","",Cleaners!B35)</f>
        <v/>
      </c>
      <c r="B35" s="44">
        <f>IF(A35="","",SUMPRODUCT(('Turnover Assignment'!$C$6:$C$1005=A35)*(YEAR('Turnover Assignment'!$A$6:$A$1005)=Settings!$B$5)*'Turnover Assignment'!$K$6:$K$1005))</f>
        <v/>
      </c>
      <c r="C35" s="57">
        <f>IF(A35="","",IF(B35&gt;=Settings!$B$20,"✓ Required","Below threshold"))</f>
        <v/>
      </c>
      <c r="D35" s="57">
        <f>IF(A35="","",IFERROR(VLOOKUP(A35,Cleaners!$B$6:$G$35,6,FALSE),"?"))</f>
        <v/>
      </c>
      <c r="E35" s="57">
        <f>IF(A35="","",IF(IFERROR(VLOOKUP(A35,Cleaners!$B$6:$E$35,4,FALSE),"")="","⚠ Missing","✓ On file"))</f>
        <v/>
      </c>
      <c r="F35" s="57">
        <f>IF(A35="","",IF(C35="✓ Required",IF(AND(D35="Yes",LEFT(E35,1)="✓"),"✓ Ready to file","⚠ Missing W-9 or address"),"n/a"))</f>
        <v/>
      </c>
    </row>
    <row r="37" ht="8" customHeight="1"/>
    <row r="38" ht="22" customHeight="1">
      <c r="A38" s="58" t="inlineStr">
        <is>
          <t>Summary</t>
        </is>
      </c>
    </row>
    <row r="39" ht="18" customHeight="1">
      <c r="A39" s="59" t="inlineStr">
        <is>
          <t>Cleaners requiring 1099:</t>
        </is>
      </c>
      <c r="B39" s="60">
        <f>COUNTIF(C6:C35,"✓ Required")</f>
        <v/>
      </c>
    </row>
    <row r="40" ht="18" customHeight="1">
      <c r="A40" s="59" t="inlineStr">
        <is>
          <t>Of those, ready to file:</t>
        </is>
      </c>
      <c r="B40" s="60">
        <f>COUNTIF(F6:F35,"✓ Ready to file")</f>
        <v/>
      </c>
    </row>
    <row r="41" ht="18" customHeight="1">
      <c r="A41" s="59" t="inlineStr">
        <is>
          <t>Of those, missing W-9 or address:</t>
        </is>
      </c>
      <c r="B41" s="60">
        <f>COUNTIF(C6:C35,"✓ Required")-COUNTIF(F6:F35,"✓ Ready to file")</f>
        <v/>
      </c>
    </row>
    <row r="42" ht="18" customHeight="1">
      <c r="A42" s="59" t="inlineStr">
        <is>
          <t>Total 1099-NEC $ volume:</t>
        </is>
      </c>
      <c r="B42" s="61">
        <f>SUMIFS(B6:B35,C6:C35,"✓ Required")</f>
        <v/>
      </c>
    </row>
  </sheetData>
  <mergeCells count="4">
    <mergeCell ref="J2:L2"/>
    <mergeCell ref="D2:I2"/>
    <mergeCell ref="A2:C2"/>
    <mergeCell ref="A4:L4"/>
  </mergeCells>
  <conditionalFormatting sqref="C6:C35">
    <cfRule type="expression" priority="1" dxfId="5">
      <formula>C6="✓ Required"</formula>
    </cfRule>
  </conditionalFormatting>
  <conditionalFormatting sqref="F6:F35">
    <cfRule type="expression" priority="2" dxfId="2">
      <formula>F6="✓ Ready to file"</formula>
    </cfRule>
    <cfRule type="expression" priority="3" dxfId="3">
      <formula>LEFT(F6,1)="⚠"</formula>
    </cfRule>
  </conditionalFormatting>
  <pageMargins left="0.4" right="0.4" top="0.5" bottom="0.5" header="0.5" footer="0.5"/>
  <pageSetup orientation="portrait" paperSize="1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F6EFE2"/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6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HYPERLINK("#'1099-NEC Year-End'!A1", "← BACK")</f>
        <v/>
      </c>
      <c r="B2" s="24" t="n"/>
      <c r="C2" s="24" t="n"/>
      <c r="D2" s="36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Active year · property list · pay cadence · 1099 threshold</t>
        </is>
      </c>
    </row>
    <row r="5" ht="18" customHeight="1">
      <c r="A5" s="47" t="inlineStr">
        <is>
          <t>Active tax year:</t>
        </is>
      </c>
      <c r="B5" s="62" t="n">
        <v>2026</v>
      </c>
    </row>
    <row r="6" ht="24" customHeight="1">
      <c r="A6" s="63" t="inlineStr">
        <is>
          <t>All YTD formulas filter on this year. Update once each January after you archive the prior year's data.</t>
        </is>
      </c>
    </row>
    <row r="7" ht="18" customHeight="1">
      <c r="A7" s="47" t="inlineStr">
        <is>
          <t>Properties (used in Turnover dropdown):</t>
        </is>
      </c>
    </row>
    <row r="8" ht="16" customHeight="1">
      <c r="B8" s="39" t="inlineStr">
        <is>
          <t>Smokies Ridge</t>
        </is>
      </c>
    </row>
    <row r="9" ht="16" customHeight="1">
      <c r="B9" s="39" t="inlineStr">
        <is>
          <t>Creek Side</t>
        </is>
      </c>
    </row>
    <row r="10" ht="16" customHeight="1">
      <c r="B10" s="39" t="inlineStr">
        <is>
          <t>Lakehouse A</t>
        </is>
      </c>
    </row>
    <row r="11" ht="16" customHeight="1">
      <c r="B11" s="39" t="inlineStr">
        <is>
          <t>Mountain View</t>
        </is>
      </c>
    </row>
    <row r="12" ht="16" customHeight="1">
      <c r="B12" s="39" t="inlineStr">
        <is>
          <t>Downtown Loft</t>
        </is>
      </c>
    </row>
    <row r="13" ht="16" customHeight="1">
      <c r="B13" s="39" t="n"/>
    </row>
    <row r="14" ht="16" customHeight="1">
      <c r="B14" s="39" t="n"/>
    </row>
    <row r="15" ht="16" customHeight="1">
      <c r="B15" s="39" t="n"/>
    </row>
    <row r="16" ht="16" customHeight="1">
      <c r="B16" s="39" t="n"/>
    </row>
    <row r="17" ht="16" customHeight="1">
      <c r="B17" s="39" t="n"/>
    </row>
    <row r="18" ht="18" customHeight="1">
      <c r="A18" s="47" t="inlineStr">
        <is>
          <t>Payment cadence:</t>
        </is>
      </c>
      <c r="B18" s="39" t="inlineStr">
        <is>
          <t>Bi-weekly</t>
        </is>
      </c>
    </row>
    <row r="19" ht="8" customHeight="1"/>
    <row r="20" ht="18" customHeight="1">
      <c r="A20" s="47" t="inlineStr">
        <is>
          <t>1099-NEC threshold ($):</t>
        </is>
      </c>
      <c r="B20" s="64" t="n">
        <v>600</v>
      </c>
    </row>
    <row r="21" ht="28" customHeight="1">
      <c r="A21" s="63" t="inlineStr">
        <is>
          <t>$600 is locked by IRS rule. Don't change unless the IRS publishes a new threshold (rare) — Year-End formulas filter on this cell.</t>
        </is>
      </c>
    </row>
    <row r="22" ht="10" customHeight="1"/>
    <row r="23" ht="22" customHeight="1">
      <c r="A23" s="65" t="inlineStr">
        <is>
          <t>Year-end Archive</t>
        </is>
      </c>
    </row>
    <row r="24" ht="28" customHeight="1">
      <c r="A24" s="66" t="inlineStr">
        <is>
          <t>Each January, copy YTD totals into the row for the closing year, then clear the Turnover Assignment log for the new year (keep Cleaners).</t>
        </is>
      </c>
    </row>
    <row r="25" ht="18" customHeight="1">
      <c r="A25" s="38" t="inlineStr">
        <is>
          <t>Year</t>
        </is>
      </c>
      <c r="B25" s="38" t="inlineStr">
        <is>
          <t>Active cleaners</t>
        </is>
      </c>
      <c r="C25" s="38" t="inlineStr">
        <is>
          <t>Turnovers</t>
        </is>
      </c>
      <c r="D25" s="38" t="inlineStr">
        <is>
          <t>Total $ paid</t>
        </is>
      </c>
    </row>
    <row r="26" ht="16" customHeight="1">
      <c r="A26" s="67" t="n">
        <v>2024</v>
      </c>
      <c r="B26" s="62" t="n"/>
      <c r="C26" s="62" t="n"/>
      <c r="D26" s="64" t="n"/>
    </row>
    <row r="27" ht="16" customHeight="1">
      <c r="A27" s="67" t="n">
        <v>2025</v>
      </c>
      <c r="B27" s="62" t="n"/>
      <c r="C27" s="62" t="n"/>
      <c r="D27" s="64" t="n"/>
    </row>
    <row r="28" ht="16" customHeight="1">
      <c r="A28" s="67" t="n">
        <v>2026</v>
      </c>
      <c r="B28" s="62" t="n"/>
      <c r="C28" s="62" t="n"/>
      <c r="D28" s="64" t="n"/>
    </row>
    <row r="29" ht="16" customHeight="1">
      <c r="A29" s="67" t="n">
        <v>2027</v>
      </c>
      <c r="B29" s="62" t="n"/>
      <c r="C29" s="62" t="n"/>
      <c r="D29" s="64" t="n"/>
    </row>
    <row r="30" ht="16" customHeight="1">
      <c r="A30" s="67" t="n">
        <v>2028</v>
      </c>
      <c r="B30" s="62" t="n"/>
      <c r="C30" s="62" t="n"/>
      <c r="D30" s="64" t="n"/>
    </row>
    <row r="31" ht="16" customHeight="1">
      <c r="A31" s="67" t="n">
        <v>2029</v>
      </c>
      <c r="B31" s="62" t="n"/>
      <c r="C31" s="62" t="n"/>
      <c r="D31" s="64" t="n"/>
    </row>
    <row r="32" ht="16" customHeight="1">
      <c r="A32" s="67" t="n">
        <v>2030</v>
      </c>
      <c r="B32" s="62" t="n"/>
      <c r="C32" s="62" t="n"/>
      <c r="D32" s="64" t="n"/>
    </row>
  </sheetData>
  <mergeCells count="6">
    <mergeCell ref="D2:L2"/>
    <mergeCell ref="A6:D6"/>
    <mergeCell ref="A21:D21"/>
    <mergeCell ref="A24:D24"/>
    <mergeCell ref="A2:C2"/>
    <mergeCell ref="A4:L4"/>
  </mergeCells>
  <dataValidations count="1">
    <dataValidation sqref="B18" showDropDown="0" showInputMessage="0" showErrorMessage="0" allowBlank="1" type="list">
      <formula1>"Weekly,Bi-weekly,Monthly"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Cleaner CRM + Payroll (DEMO) — The STR Ledger</dc:title>
  <dc:description xmlns:dc="http://purl.org/dc/elements/1.1/">Cleaner CRM + per-turnover log + payroll calc + performance + 1099-NEC year-end summary for STR hosts with cleaning teams (v2.3).</dc:description>
  <dcterms:created xmlns:dcterms="http://purl.org/dc/terms/" xmlns:xsi="http://www.w3.org/2001/XMLSchema-instance" xsi:type="dcterms:W3CDTF">2026-05-03T12:37:34Z</dcterms:created>
  <dcterms:modified xmlns:dcterms="http://purl.org/dc/terms/" xmlns:xsi="http://www.w3.org/2001/XMLSchema-instance" xsi:type="dcterms:W3CDTF">2026-05-03T12:37:35Z</dcterms:modified>
</cp:coreProperties>
</file>