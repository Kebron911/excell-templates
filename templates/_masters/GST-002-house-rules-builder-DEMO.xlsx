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§1 Property + Capacity" sheetId="2" state="visible" r:id="rId2"/>
    <sheet xmlns:r="http://schemas.openxmlformats.org/officeDocument/2006/relationships" name="§2 Quiet Hours + Parties" sheetId="3" state="visible" r:id="rId3"/>
    <sheet xmlns:r="http://schemas.openxmlformats.org/officeDocument/2006/relationships" name="§3 Smoking + Substances" sheetId="4" state="visible" r:id="rId4"/>
    <sheet xmlns:r="http://schemas.openxmlformats.org/officeDocument/2006/relationships" name="§4 Pets" sheetId="5" state="visible" r:id="rId5"/>
    <sheet xmlns:r="http://schemas.openxmlformats.org/officeDocument/2006/relationships" name="§5 Damage + Liability" sheetId="6" state="visible" r:id="rId6"/>
    <sheet xmlns:r="http://schemas.openxmlformats.org/officeDocument/2006/relationships" name="§6 Check-out + Penalties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Rules Output" sheetId="9" state="visible" r:id="rId9"/>
  </sheets>
  <definedNames>
    <definedName name="_xlnm.Print_Area" localSheetId="0">'Start'!$A$1:$L$48</definedName>
    <definedName name="_xlnm.Print_Area" localSheetId="7">'Launch'!$A$1:$L$22</definedName>
    <definedName name="_xlnm.Print_Area" localSheetId="8">'Rules Output'!$A$1:$B$52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b val="1"/>
      <color rgb="0012304E"/>
      <sz val="16"/>
    </font>
    <font>
      <name val="Georgia"/>
      <b val="1"/>
      <color rgb="0012304E"/>
      <sz val="14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C9A24B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9"/>
    </font>
    <font>
      <name val="Georgia"/>
      <b val="1"/>
      <color rgb="0012304E"/>
      <sz val="13"/>
    </font>
    <font>
      <name val="Georgia"/>
      <b val="1"/>
      <color rgb="00F6EFE2"/>
      <sz val="28"/>
    </font>
    <font>
      <name val="Georgia"/>
      <i val="1"/>
      <color rgb="00C9A24B"/>
      <sz val="12"/>
    </font>
    <font>
      <name val="Calibri"/>
      <i val="1"/>
      <color rgb="002B2B2B"/>
      <sz val="10"/>
    </font>
    <font>
      <name val="Consolas"/>
      <b val="1"/>
      <color rgb="0012304E"/>
      <sz val="10"/>
    </font>
    <font>
      <name val="Calibri"/>
      <b val="1"/>
      <color rgb="002B2B2B"/>
      <sz val="11"/>
    </font>
    <font>
      <name val="Consolas"/>
      <b val="1"/>
      <color rgb="00C9A24B"/>
      <sz val="10"/>
    </font>
    <font>
      <name val="Georgia"/>
      <b val="1"/>
      <color rgb="00F6EFE2"/>
      <sz val="32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22"/>
    </font>
    <font>
      <name val="Calibri"/>
      <i val="1"/>
      <color rgb="006B7280"/>
      <sz val="10"/>
    </font>
    <font>
      <name val="Georgia"/>
      <b val="1"/>
      <color rgb="0012304E"/>
      <sz val="24"/>
    </font>
    <font>
      <name val="Georgia"/>
      <i val="1"/>
      <color rgb="006B7280"/>
      <sz val="11"/>
    </font>
    <font>
      <name val="Calibri"/>
      <color rgb="00C9A24B"/>
      <sz val="11"/>
    </font>
    <font>
      <name val="Calibri"/>
      <i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2C884"/>
      </patternFill>
    </fill>
    <fill>
      <patternFill patternType="solid">
        <fgColor rgb="00FFF7D6"/>
      </patternFill>
    </fill>
  </fills>
  <borders count="23">
    <border>
      <left/>
      <right/>
      <top/>
      <bottom/>
      <diagonal/>
    </border>
    <border>
      <top style="medium">
        <color rgb="00C9A24B"/>
      </top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/>
      <right/>
      <top style="thin">
        <color rgb="00C9A24B"/>
      </top>
      <bottom/>
    </border>
    <border>
      <left/>
      <right/>
      <top style="thin">
        <color rgb="00C9A24B"/>
      </top>
      <bottom/>
      <diagonal/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  <border>
      <left style="thin">
        <color rgb="00C9A24B"/>
      </left>
      <right/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 style="thin">
        <color rgb="00C9A24B"/>
      </bottom>
    </border>
    <border>
      <left/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/>
      <right/>
      <top/>
      <bottom/>
    </border>
    <border>
      <bottom style="thin">
        <color rgb="00C9A24B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indent="1"/>
    </xf>
    <xf numFmtId="0" fontId="8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 indent="1"/>
    </xf>
    <xf numFmtId="0" fontId="0" fillId="0" borderId="3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indent="1"/>
    </xf>
    <xf numFmtId="0" fontId="20" fillId="3" borderId="7" applyAlignment="1" pivotButton="0" quotePrefix="0" xfId="0">
      <alignment horizontal="right" vertical="center" indent="1"/>
    </xf>
    <xf numFmtId="0" fontId="7" fillId="7" borderId="8" applyAlignment="1" pivotButton="0" quotePrefix="0" xfId="0">
      <alignment horizontal="left" vertical="center" wrapText="1" indent="1"/>
    </xf>
    <xf numFmtId="0" fontId="0" fillId="3" borderId="8" pivotButton="0" quotePrefix="0" xfId="0"/>
    <xf numFmtId="0" fontId="0" fillId="3" borderId="9" pivotButton="0" quotePrefix="0" xfId="0"/>
    <xf numFmtId="0" fontId="20" fillId="3" borderId="13" applyAlignment="1" pivotButton="0" quotePrefix="0" xfId="0">
      <alignment horizontal="right" vertical="center" indent="1"/>
    </xf>
    <xf numFmtId="0" fontId="7" fillId="7" borderId="0" applyAlignment="1" pivotButton="0" quotePrefix="0" xfId="0">
      <alignment horizontal="left" vertical="center" wrapText="1" indent="1"/>
    </xf>
    <xf numFmtId="0" fontId="0" fillId="3" borderId="14" pivotButton="0" quotePrefix="0" xfId="0"/>
    <xf numFmtId="0" fontId="20" fillId="3" borderId="15" applyAlignment="1" pivotButton="0" quotePrefix="0" xfId="0">
      <alignment horizontal="right" vertical="center" indent="1"/>
    </xf>
    <xf numFmtId="0" fontId="7" fillId="7" borderId="5" applyAlignment="1" pivotButton="0" quotePrefix="0" xfId="0">
      <alignment horizontal="left" vertical="center" wrapText="1" indent="1"/>
    </xf>
    <xf numFmtId="0" fontId="0" fillId="3" borderId="6" pivotButton="0" quotePrefix="0" xfId="0"/>
    <xf numFmtId="0" fontId="0" fillId="3" borderId="16" pivotButton="0" quotePrefix="0" xfId="0"/>
    <xf numFmtId="0" fontId="20" fillId="3" borderId="10" applyAlignment="1" pivotButton="0" quotePrefix="0" xfId="0">
      <alignment horizontal="right" vertical="center" indent="1"/>
    </xf>
    <xf numFmtId="0" fontId="7" fillId="7" borderId="11" applyAlignment="1" pivotButton="0" quotePrefix="0" xfId="0">
      <alignment horizontal="left" vertical="center" wrapText="1" indent="1"/>
    </xf>
    <xf numFmtId="0" fontId="0" fillId="3" borderId="11" pivotButton="0" quotePrefix="0" xfId="0"/>
    <xf numFmtId="0" fontId="0" fillId="3" borderId="12" pivotButton="0" quotePrefix="0" xfId="0"/>
    <xf numFmtId="0" fontId="0" fillId="3" borderId="3" pivotButton="0" quotePrefix="0" xfId="0"/>
    <xf numFmtId="0" fontId="15" fillId="3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20" fillId="3" borderId="18" applyAlignment="1" pivotButton="0" quotePrefix="0" xfId="0">
      <alignment horizontal="right" vertical="center" indent="1"/>
    </xf>
    <xf numFmtId="0" fontId="7" fillId="7" borderId="19" applyAlignment="1" pivotButton="0" quotePrefix="0" xfId="0">
      <alignment horizontal="left" vertical="center" wrapText="1" indent="1"/>
    </xf>
    <xf numFmtId="0" fontId="0" fillId="3" borderId="19" pivotButton="0" quotePrefix="0" xfId="0"/>
    <xf numFmtId="0" fontId="0" fillId="3" borderId="20" pivotButton="0" quotePrefix="0" xfId="0"/>
    <xf numFmtId="0" fontId="18" fillId="3" borderId="18" applyAlignment="1" pivotButton="0" quotePrefix="0" xfId="0">
      <alignment horizontal="left" vertical="center" wrapText="1" indent="2"/>
    </xf>
    <xf numFmtId="0" fontId="21" fillId="2" borderId="0" applyAlignment="1" pivotButton="0" quotePrefix="0" xfId="0">
      <alignment horizontal="right" vertical="center" indent="2"/>
    </xf>
    <xf numFmtId="0" fontId="22" fillId="2" borderId="0" applyAlignment="1" pivotButton="0" quotePrefix="0" xfId="0">
      <alignment horizontal="center" vertical="center"/>
    </xf>
    <xf numFmtId="0" fontId="23" fillId="3" borderId="15" applyAlignment="1" pivotButton="0" quotePrefix="0" xfId="0">
      <alignment horizontal="center"/>
    </xf>
    <xf numFmtId="0" fontId="0" fillId="0" borderId="5" pivotButton="0" quotePrefix="0" xfId="0"/>
    <xf numFmtId="0" fontId="0" fillId="0" borderId="16" pivotButton="0" quotePrefix="0" xfId="0"/>
    <xf numFmtId="0" fontId="26" fillId="3" borderId="15" applyAlignment="1" pivotButton="0" quotePrefix="0" xfId="0">
      <alignment horizontal="center"/>
    </xf>
    <xf numFmtId="0" fontId="24" fillId="3" borderId="13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4" pivotButton="0" quotePrefix="0" xfId="0"/>
    <xf numFmtId="0" fontId="27" fillId="3" borderId="13" applyAlignment="1" pivotButton="0" quotePrefix="0" xfId="0">
      <alignment horizontal="center" vertical="center"/>
    </xf>
    <xf numFmtId="0" fontId="28" fillId="3" borderId="13" applyAlignment="1" pivotButton="0" quotePrefix="0" xfId="0">
      <alignment horizontal="center" vertical="center"/>
    </xf>
    <xf numFmtId="0" fontId="0" fillId="0" borderId="13" pivotButton="0" quotePrefix="0" xfId="0"/>
    <xf numFmtId="0" fontId="25" fillId="3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29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23" fillId="6" borderId="0" applyAlignment="1" pivotButton="0" quotePrefix="0" xfId="0">
      <alignment horizontal="right" vertical="center" indent="2"/>
    </xf>
    <xf numFmtId="0" fontId="30" fillId="6" borderId="0" applyAlignment="1" pivotButton="0" quotePrefix="0" xfId="0">
      <alignment horizontal="left" vertical="center" indent="1"/>
    </xf>
    <xf numFmtId="0" fontId="31" fillId="6" borderId="0" applyAlignment="1" pivotButton="0" quotePrefix="0" xfId="0">
      <alignment horizontal="left" vertical="center" indent="1"/>
    </xf>
    <xf numFmtId="0" fontId="6" fillId="3" borderId="22" applyAlignment="1" pivotButton="0" quotePrefix="0" xfId="0">
      <alignment horizontal="left" vertical="center"/>
    </xf>
    <xf numFmtId="0" fontId="32" fillId="3" borderId="0" applyAlignment="1" pivotButton="0" quotePrefix="0" xfId="0">
      <alignment horizontal="center" vertical="top"/>
    </xf>
    <xf numFmtId="0" fontId="7" fillId="3" borderId="0" applyAlignment="1" pivotButton="0" quotePrefix="0" xfId="0">
      <alignment horizontal="left" vertical="top" wrapText="1" indent="1"/>
    </xf>
    <xf numFmtId="0" fontId="29" fillId="3" borderId="0" applyAlignment="1" pivotButton="0" quotePrefix="0" xfId="0">
      <alignment horizontal="left" vertical="center" wrapText="1" indent="1"/>
    </xf>
    <xf numFmtId="0" fontId="3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House Rules Builder</t>
        </is>
      </c>
    </row>
    <row r="5" ht="22" customHeight="1">
      <c r="A5" s="4" t="inlineStr">
        <is>
          <t>Specific, defensible rules — not 4 generic bullets.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GST-002 · v2.0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 t="inlineStr">
        <is>
          <t>What you'll build in the next 12 minutes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8" t="inlineStr">
        <is>
          <t>LISTING-READY</t>
        </is>
      </c>
      <c r="E13" s="8" t="inlineStr">
        <is>
          <t>PRINTABLE PDF</t>
        </is>
      </c>
      <c r="I13" s="8" t="inlineStr">
        <is>
          <t>DEFENSIBLE</t>
        </is>
      </c>
    </row>
    <row r="14" ht="22" customHeight="1">
      <c r="A14" s="9" t="inlineStr">
        <is>
          <t>Paste straight into Airbnb / VRBO 'House rules' field.</t>
        </is>
      </c>
      <c r="E14" s="9" t="inlineStr">
        <is>
          <t>One-page rules sheet for the property binder.</t>
        </is>
      </c>
      <c r="I14" s="9" t="inlineStr">
        <is>
          <t>25-40 specific rules — not 4 generic bullets.</t>
        </is>
      </c>
    </row>
    <row r="15" ht="22" customHeight="1"/>
    <row r="16" ht="22" customHeight="1"/>
    <row r="17" ht="22" customHeight="1"/>
    <row r="18" ht="22" customHeight="1"/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24" customHeight="1">
      <c r="A23" s="11" t="inlineStr">
        <is>
          <t>Quick Start — be done in 10 minutes</t>
        </is>
      </c>
    </row>
    <row r="24">
      <c r="A24" s="10" t="n"/>
      <c r="B24" s="12" t="inlineStr">
        <is>
          <t>① Property name + capacity</t>
        </is>
      </c>
      <c r="G24" s="10" t="n"/>
      <c r="H24" s="12" t="inlineStr">
        <is>
          <t>④ Pet policy</t>
        </is>
      </c>
    </row>
    <row r="25">
      <c r="A25" s="10" t="n"/>
      <c r="B25" s="12" t="inlineStr">
        <is>
          <t>② Quiet hours window</t>
        </is>
      </c>
      <c r="G25" s="10" t="n"/>
      <c r="H25" s="12" t="inlineStr">
        <is>
          <t>⑤ Check-out time + fees</t>
        </is>
      </c>
    </row>
    <row r="26">
      <c r="A26" s="10" t="n"/>
      <c r="B26" s="12" t="inlineStr">
        <is>
          <t>③ Smoking policy</t>
        </is>
      </c>
      <c r="G26" s="10" t="n"/>
      <c r="H26" s="10" t="n"/>
      <c r="I26" s="10" t="n"/>
      <c r="J26" s="10" t="n"/>
      <c r="K26" s="10" t="n"/>
      <c r="L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13">
        <f>HYPERLINK("#'§1 Property + Capacity'!A5", "GET STARTED — FILL §1 PROPERTY + CAPACITY  →")</f>
        <v/>
      </c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 ht="22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 ht="22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 ht="22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6">
      <c r="A36" s="15" t="inlineStr">
        <is>
          <t>Progress:</t>
        </is>
      </c>
      <c r="G36" s="16">
        <f>TEXT((COUNTA('§1 Property + Capacity'!B8:B13) + COUNTA('§2 Quiet Hours + Parties'!B8:B13) + COUNTA('§3 Smoking + Substances'!B8:B12) + COUNTA('§4 Pets'!B8:B12) + COUNTA('§5 Damage + Liability'!B8:B13) + COUNTA('§6 Check-out + Penalties'!B8:B13))/34, "0%") &amp; " complete"</f>
        <v/>
      </c>
    </row>
    <row r="38" ht="18" customHeight="1">
      <c r="A38" s="17" t="inlineStr">
        <is>
          <t>① Property + Capacity</t>
        </is>
      </c>
      <c r="G38" s="18">
        <f>IF(COUNTA('§1 Property + Capacity'!B8:B13)=6,"✅ Done",IF(COUNTA('§1 Property + Capacity'!B8:B13)=0,"⏳ Empty","⏳ "&amp;COUNTA('§1 Property + Capacity'!B8:B13)&amp;" of 6"))</f>
        <v/>
      </c>
      <c r="K38" s="19">
        <f>HYPERLINK("#'§1 Property + Capacity'!A5","→ go")</f>
        <v/>
      </c>
    </row>
    <row r="39" ht="18" customHeight="1">
      <c r="A39" s="17" t="inlineStr">
        <is>
          <t>② Quiet Hours + Parties</t>
        </is>
      </c>
      <c r="G39" s="18">
        <f>IF(COUNTA('§2 Quiet Hours + Parties'!B8:B13)=6,"✅ Done",IF(COUNTA('§2 Quiet Hours + Parties'!B8:B13)=0,"⏳ Empty","⏳ "&amp;COUNTA('§2 Quiet Hours + Parties'!B8:B13)&amp;" of 6"))</f>
        <v/>
      </c>
      <c r="K39" s="19">
        <f>HYPERLINK("#'§2 Quiet Hours + Parties'!A5","→ go")</f>
        <v/>
      </c>
    </row>
    <row r="40" ht="18" customHeight="1">
      <c r="A40" s="17" t="inlineStr">
        <is>
          <t>③ Smoking + Substances</t>
        </is>
      </c>
      <c r="G40" s="18">
        <f>IF(COUNTA('§3 Smoking + Substances'!B8:B12)=5,"✅ Done",IF(COUNTA('§3 Smoking + Substances'!B8:B12)=0,"⏳ Empty","⏳ "&amp;COUNTA('§3 Smoking + Substances'!B8:B12)&amp;" of 5"))</f>
        <v/>
      </c>
      <c r="K40" s="19">
        <f>HYPERLINK("#'§3 Smoking + Substances'!A5","→ go")</f>
        <v/>
      </c>
    </row>
    <row r="41" ht="18" customHeight="1">
      <c r="A41" s="17" t="inlineStr">
        <is>
          <t>④ Pets</t>
        </is>
      </c>
      <c r="G41" s="18">
        <f>IF(COUNTA('§4 Pets'!B8:B12)=5,"✅ Done",IF(COUNTA('§4 Pets'!B8:B12)=0,"⏳ Empty","⏳ "&amp;COUNTA('§4 Pets'!B8:B12)&amp;" of 5"))</f>
        <v/>
      </c>
      <c r="K41" s="19">
        <f>HYPERLINK("#'§4 Pets'!A5","→ go")</f>
        <v/>
      </c>
    </row>
    <row r="42" ht="18" customHeight="1">
      <c r="A42" s="17" t="inlineStr">
        <is>
          <t>⑤ Damage + Liability</t>
        </is>
      </c>
      <c r="G42" s="18">
        <f>IF(COUNTA('§5 Damage + Liability'!B8:B13)=6,"✅ Done",IF(COUNTA('§5 Damage + Liability'!B8:B13)=0,"⏳ Empty","⏳ "&amp;COUNTA('§5 Damage + Liability'!B8:B13)&amp;" of 6"))</f>
        <v/>
      </c>
      <c r="K42" s="19">
        <f>HYPERLINK("#'§5 Damage + Liability'!A5","→ go")</f>
        <v/>
      </c>
    </row>
    <row r="43" ht="18" customHeight="1">
      <c r="A43" s="17" t="inlineStr">
        <is>
          <t>⑥ Check-out + Penalties</t>
        </is>
      </c>
      <c r="G43" s="18">
        <f>IF(COUNTA('§6 Check-out + Penalties'!B8:B13)=6,"✅ Done",IF(COUNTA('§6 Check-out + Penalties'!B8:B13)=0,"⏳ Empty","⏳ "&amp;COUNTA('§6 Check-out + Penalties'!B8:B13)&amp;" of 6"))</f>
        <v/>
      </c>
      <c r="K43" s="19">
        <f>HYPERLINK("#'§6 Check-out + Penalties'!A5","→ go")</f>
        <v/>
      </c>
    </row>
    <row r="46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</row>
    <row r="47">
      <c r="A47" s="21" t="inlineStr">
        <is>
          <t>Questions? hello@thestrledger.com</t>
        </is>
      </c>
    </row>
    <row r="48">
      <c r="A48" s="22" t="inlineStr">
        <is>
          <t>Free updates forever · v2.0 · Released 2026-05</t>
        </is>
      </c>
    </row>
  </sheetData>
  <mergeCells count="40">
    <mergeCell ref="A41:F41"/>
    <mergeCell ref="A7:L7"/>
    <mergeCell ref="B25:F25"/>
    <mergeCell ref="A14:D18"/>
    <mergeCell ref="G41:J41"/>
    <mergeCell ref="A13:D13"/>
    <mergeCell ref="I14:L18"/>
    <mergeCell ref="A2:F2"/>
    <mergeCell ref="I13:L13"/>
    <mergeCell ref="G40:J40"/>
    <mergeCell ref="A42:F42"/>
    <mergeCell ref="H25:L25"/>
    <mergeCell ref="A47:L47"/>
    <mergeCell ref="A5:L5"/>
    <mergeCell ref="A23:L23"/>
    <mergeCell ref="G43:J43"/>
    <mergeCell ref="K41:L41"/>
    <mergeCell ref="K40:L40"/>
    <mergeCell ref="A4:L4"/>
    <mergeCell ref="G42:J42"/>
    <mergeCell ref="A38:F38"/>
    <mergeCell ref="A43:F43"/>
    <mergeCell ref="K43:L43"/>
    <mergeCell ref="G39:J39"/>
    <mergeCell ref="A30:L33"/>
    <mergeCell ref="K42:L42"/>
    <mergeCell ref="G38:J38"/>
    <mergeCell ref="A40:F40"/>
    <mergeCell ref="K39:L39"/>
    <mergeCell ref="A39:F39"/>
    <mergeCell ref="E14:H18"/>
    <mergeCell ref="E13:H13"/>
    <mergeCell ref="A48:L48"/>
    <mergeCell ref="B24:F24"/>
    <mergeCell ref="A36:F36"/>
    <mergeCell ref="G36:L36"/>
    <mergeCell ref="A11:L11"/>
    <mergeCell ref="K38:L38"/>
    <mergeCell ref="H24:L24"/>
    <mergeCell ref="B26:F2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HYPERLINK("#'Start'!A1", "← START")</f>
        <v/>
      </c>
      <c r="B2" s="14" t="n"/>
      <c r="C2" s="14" t="n"/>
      <c r="D2" s="23" t="inlineStr">
        <is>
          <t>SECTION 1 OF 6</t>
        </is>
      </c>
      <c r="J2" s="24">
        <f>HYPERLINK("#'§2 Quiet Hours + Parties'!A5",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§1 Property + Capacity</t>
        </is>
      </c>
    </row>
    <row r="5" ht="18" customHeight="1">
      <c r="A5" s="27" t="inlineStr">
        <is>
          <t>The basics that frame every other rule.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§1 PROPERTY + CAPACITY</t>
        </is>
      </c>
    </row>
    <row r="8" ht="28" customHeight="1">
      <c r="A8" s="30" t="inlineStr">
        <is>
          <t>Property name:</t>
        </is>
      </c>
      <c r="B8" s="31" t="inlineStr">
        <is>
          <t>Smokies Ridge Cabin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8" customHeight="1">
      <c r="A9" s="34" t="inlineStr">
        <is>
          <t>Full address:</t>
        </is>
      </c>
      <c r="B9" s="35" t="inlineStr">
        <is>
          <t>123 Mountain Lane, Gatlinburg, TN 37738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7" t="inlineStr">
        <is>
          <t>Max overnight guests:</t>
        </is>
      </c>
      <c r="B10" s="38" t="n">
        <v>10</v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6" customHeight="1">
      <c r="A11" s="34" t="inlineStr">
        <is>
          <t>Bedrooms / bathrooms:</t>
        </is>
      </c>
      <c r="B11" s="35" t="inlineStr">
        <is>
          <t>4 BR / 3 BA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4" t="inlineStr">
        <is>
          <t>Sleeping arrangements:</t>
        </is>
      </c>
      <c r="B12" s="35" t="inlineStr">
        <is>
          <t>1 King, 2 Queens, 2 Twin bunk-beds, 1 Queen sleeper-sofa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41" t="inlineStr">
        <is>
          <t>Parking instructions:</t>
        </is>
      </c>
      <c r="B13" s="42" t="inlineStr">
        <is>
          <t>Gravel drive — fits 3 cars. No street parking after 8 PM.</t>
        </is>
      </c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4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HYPERLINK("#'Start'!A1", "← Back: Start")</f>
        <v/>
      </c>
      <c r="B15" s="47" t="n"/>
      <c r="C15" s="47" t="n"/>
      <c r="D15" s="47" t="n"/>
      <c r="E15" s="47" t="n"/>
      <c r="F15" s="47" t="n"/>
      <c r="G15" s="46">
        <f>HYPERLINK("#'§2 Quiet Hours + Parties'!A5", "Next: §2 Quiet Hours + Parties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HYPERLINK("#'§1 Property + Capacity'!A5", "← BACK")</f>
        <v/>
      </c>
      <c r="B2" s="14" t="n"/>
      <c r="C2" s="14" t="n"/>
      <c r="D2" s="23" t="inlineStr">
        <is>
          <t>SECTION 2 OF 6</t>
        </is>
      </c>
      <c r="J2" s="24">
        <f>HYPERLINK("#'§3 Smoking + Substances'!A5",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§2 Quiet Hours + Parties</t>
        </is>
      </c>
    </row>
    <row r="5" ht="18" customHeight="1">
      <c r="A5" s="27" t="inlineStr">
        <is>
          <t>Set the noise floor — neighbors are listening.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§2 QUIET HOURS + PARTIES</t>
        </is>
      </c>
    </row>
    <row r="8" ht="24" customHeight="1">
      <c r="A8" s="30" t="inlineStr">
        <is>
          <t>Quiet hours start (e.g., 10:00 PM):</t>
        </is>
      </c>
      <c r="B8" s="31" t="inlineStr">
        <is>
          <t>10:00 PM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Quiet hours end (e.g., 8:00 AM):</t>
        </is>
      </c>
      <c r="B9" s="35" t="inlineStr">
        <is>
          <t>8:00 AM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7" t="inlineStr">
        <is>
          <t>Parties / events policy:</t>
        </is>
      </c>
      <c r="B10" s="38" t="inlineStr">
        <is>
          <t>No parties or events of any kind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6" customHeight="1">
      <c r="A11" s="34" t="inlineStr">
        <is>
          <t>Day visitors / gatherings:</t>
        </is>
      </c>
      <c r="B11" s="35" t="inlineStr">
        <is>
          <t>Day visitors OK until 9 PM (max 4 above booked guest count)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4" t="inlineStr">
        <is>
          <t>Guests of guests rule:</t>
        </is>
      </c>
      <c r="B12" s="35" t="inlineStr">
        <is>
          <t>Must be approved in advance via message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41" t="inlineStr">
        <is>
          <t>Outdoor music after dark:</t>
        </is>
      </c>
      <c r="B13" s="42" t="inlineStr">
        <is>
          <t>No outdoor amplified music after sunset</t>
        </is>
      </c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4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HYPERLINK("#'§1 Property + Capacity'!A5", "← Back: §1 Property + Capacity")</f>
        <v/>
      </c>
      <c r="B15" s="47" t="n"/>
      <c r="C15" s="47" t="n"/>
      <c r="D15" s="47" t="n"/>
      <c r="E15" s="47" t="n"/>
      <c r="F15" s="47" t="n"/>
      <c r="G15" s="46">
        <f>HYPERLINK("#'§3 Smoking + Substances'!A5", "Next: §3 Smoking + Substances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dataValidations count="1">
    <dataValidation sqref="B10" showDropDown="0" showInputMessage="0" showErrorMessage="0" allowBlank="1" type="list">
      <formula1>"No parties or events of any kind,Small gatherings OK with prior approval,Events allowed (with cleaning fee),Custom — see notes"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/>
  </sheetPr>
  <dimension ref="A1:L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HYPERLINK("#'§2 Quiet Hours + Parties'!A5", "← BACK")</f>
        <v/>
      </c>
      <c r="B2" s="14" t="n"/>
      <c r="C2" s="14" t="n"/>
      <c r="D2" s="23" t="inlineStr">
        <is>
          <t>SECTION 3 OF 6</t>
        </is>
      </c>
      <c r="J2" s="24">
        <f>HYPERLINK("#'§4 Pets'!A5",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§3 Smoking + Substances</t>
        </is>
      </c>
    </row>
    <row r="5" ht="18" customHeight="1">
      <c r="A5" s="27" t="inlineStr">
        <is>
          <t>Smoke smell is the #1 cause of $250+ cleaning claims.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§3 SMOKING + SUBSTANCES</t>
        </is>
      </c>
    </row>
    <row r="8" ht="36" customHeight="1">
      <c r="A8" s="30" t="inlineStr">
        <is>
          <t>Smoking — inside the home:</t>
        </is>
      </c>
      <c r="B8" s="31" t="inlineStr">
        <is>
          <t>No smoking, vaping, or cannabis use anywhere inside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6" customHeight="1">
      <c r="A9" s="34" t="inlineStr">
        <is>
          <t>Smoking — outside / designated area:</t>
        </is>
      </c>
      <c r="B9" s="35" t="inlineStr">
        <is>
          <t>Smoking permitted only on the gravel turnaround — butts in metal can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4" t="inlineStr">
        <is>
          <t>Vaping policy:</t>
        </is>
      </c>
      <c r="B10" s="35" t="inlineStr">
        <is>
          <t>Outdoor only — same rules as smoking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Cannabis / weed policy:</t>
        </is>
      </c>
      <c r="B11" s="38" t="inlineStr">
        <is>
          <t>Outdoor only where state-legal; never inside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48" t="inlineStr">
        <is>
          <t>Alcohol notes:</t>
        </is>
      </c>
      <c r="B12" s="49" t="inlineStr">
        <is>
          <t>Adults only; please drink responsibly. No kegs.</t>
        </is>
      </c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1" t="n"/>
    </row>
    <row r="13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</row>
    <row r="14" ht="22" customHeight="1">
      <c r="A14" s="46">
        <f>HYPERLINK("#'§2 Quiet Hours + Parties'!A5", "← Back: §2 Quiet Hours + Parties")</f>
        <v/>
      </c>
      <c r="B14" s="47" t="n"/>
      <c r="C14" s="47" t="n"/>
      <c r="D14" s="47" t="n"/>
      <c r="E14" s="47" t="n"/>
      <c r="F14" s="47" t="n"/>
      <c r="G14" s="46">
        <f>HYPERLINK("#'§4 Pets'!A5", "Next: §4 Pets →")</f>
        <v/>
      </c>
      <c r="H14" s="47" t="n"/>
      <c r="I14" s="47" t="n"/>
      <c r="J14" s="47" t="n"/>
      <c r="K14" s="47" t="n"/>
      <c r="L14" s="47" t="n"/>
    </row>
    <row r="15" ht="22" customHeigh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</sheetData>
  <mergeCells count="14">
    <mergeCell ref="J2:L2"/>
    <mergeCell ref="D2:I2"/>
    <mergeCell ref="A7:L7"/>
    <mergeCell ref="B12:L12"/>
    <mergeCell ref="B9:L9"/>
    <mergeCell ref="A5:L5"/>
    <mergeCell ref="B11:L11"/>
    <mergeCell ref="A14:F15"/>
    <mergeCell ref="G14:L15"/>
    <mergeCell ref="A6:L6"/>
    <mergeCell ref="B10:L10"/>
    <mergeCell ref="A2:C2"/>
    <mergeCell ref="A4:L4"/>
    <mergeCell ref="B8:L8"/>
  </mergeCells>
  <dataValidations count="1">
    <dataValidation sqref="B8" showDropDown="0" showInputMessage="0" showErrorMessage="0" allowBlank="1" type="list">
      <formula1>"No smoking, vaping, or cannabis use anywhere inside,Smoking allowed in designated room only,Custom — see notes"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HYPERLINK("#'§3 Smoking + Substances'!A5", "← BACK")</f>
        <v/>
      </c>
      <c r="B2" s="14" t="n"/>
      <c r="C2" s="14" t="n"/>
      <c r="D2" s="23" t="inlineStr">
        <is>
          <t>SECTION 4 OF 6</t>
        </is>
      </c>
      <c r="J2" s="24">
        <f>HYPERLINK("#'§5 Damage + Liability'!A5",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§4 Pets</t>
        </is>
      </c>
    </row>
    <row r="5" ht="18" customHeight="1">
      <c r="A5" s="27" t="inlineStr">
        <is>
          <t>Specific pet rules avoid surprise damage and disputes.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§4 PETS</t>
        </is>
      </c>
    </row>
    <row r="8" ht="24" customHeight="1">
      <c r="A8" s="30" t="inlineStr">
        <is>
          <t>Pets allowed?</t>
        </is>
      </c>
      <c r="B8" s="31" t="inlineStr">
        <is>
          <t>Yes — dogs only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Number of pets allowed:</t>
        </is>
      </c>
      <c r="B9" s="35" t="inlineStr">
        <is>
          <t>Max 2 dogs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24" customHeight="1">
      <c r="A10" s="34" t="inlineStr">
        <is>
          <t>Weight limit per pet:</t>
        </is>
      </c>
      <c r="B10" s="35" t="inlineStr">
        <is>
          <t>Each dog under 50 lb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Pet fee:</t>
        </is>
      </c>
      <c r="B11" s="38" t="inlineStr">
        <is>
          <t>$50 per pet per stay (non-refundable)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34" t="inlineStr">
        <is>
          <t>Pet ground rules:</t>
        </is>
      </c>
      <c r="B12" s="35" t="inlineStr">
        <is>
          <t>Crate when unattended; no pets on furniture; clean up yard waste daily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24" customHeight="1">
      <c r="A13" s="52" t="inlineStr">
        <is>
          <t>Service animals are exempt from pet fees and pet bans by law (ADA/FHA).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1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HYPERLINK("#'§3 Smoking + Substances'!A5", "← Back: §3 Smoking + Substances")</f>
        <v/>
      </c>
      <c r="B15" s="47" t="n"/>
      <c r="C15" s="47" t="n"/>
      <c r="D15" s="47" t="n"/>
      <c r="E15" s="47" t="n"/>
      <c r="F15" s="47" t="n"/>
      <c r="G15" s="46">
        <f>HYPERLINK("#'§5 Damage + Liability'!A5", "Next: §5 Damage + Liability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G15:L16"/>
    <mergeCell ref="B9:L9"/>
    <mergeCell ref="A5:L5"/>
    <mergeCell ref="B11:L11"/>
    <mergeCell ref="A13:L13"/>
    <mergeCell ref="A6:L6"/>
    <mergeCell ref="B10:L10"/>
    <mergeCell ref="A15:F16"/>
    <mergeCell ref="A2:C2"/>
    <mergeCell ref="A4:L4"/>
    <mergeCell ref="B8:L8"/>
  </mergeCells>
  <dataValidations count="1">
    <dataValidation sqref="B8" showDropDown="0" showInputMessage="0" showErrorMessage="0" allowBlank="1" type="list">
      <formula1>"No pets — service animals only,Yes — dogs only,Yes — dogs and cats,Yes — case-by-case approval"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HYPERLINK("#'§4 Pets'!A5", "← BACK")</f>
        <v/>
      </c>
      <c r="B2" s="14" t="n"/>
      <c r="C2" s="14" t="n"/>
      <c r="D2" s="23" t="inlineStr">
        <is>
          <t>SECTION 5 OF 6</t>
        </is>
      </c>
      <c r="J2" s="24">
        <f>HYPERLINK("#'§6 Check-out + Penalties'!A5", "NEXT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§5 Damage + Liability</t>
        </is>
      </c>
    </row>
    <row r="5" ht="18" customHeight="1">
      <c r="A5" s="27" t="inlineStr">
        <is>
          <t>The rules that hold up in an AirCover or VRBO claim.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§5 DAMAGE + LIABILITY</t>
        </is>
      </c>
    </row>
    <row r="8" ht="36" customHeight="1">
      <c r="A8" s="30" t="inlineStr">
        <is>
          <t>Moving furniture:</t>
        </is>
      </c>
      <c r="B8" s="31" t="inlineStr">
        <is>
          <t>Please do not move beds or living-room furniture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36" customHeight="1">
      <c r="A9" s="34" t="inlineStr">
        <is>
          <t>Pool / hot tub rules:</t>
        </is>
      </c>
      <c r="B9" s="35" t="inlineStr">
        <is>
          <t>Hot tub closes at 10 PM; no glass; shower before entering; max 6 adults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4" t="inlineStr">
        <is>
          <t>Fireplace rules:</t>
        </is>
      </c>
      <c r="B10" s="35" t="inlineStr">
        <is>
          <t>Wood-burning fireplace is OFF for guest stays — do not light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36" t="n"/>
    </row>
    <row r="11" ht="36" customHeight="1">
      <c r="A11" s="37" t="inlineStr">
        <is>
          <t>Kids / minors policy:</t>
        </is>
      </c>
      <c r="B11" s="38" t="inlineStr">
        <is>
          <t>Children must be supervised in loft and on the deck at all times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40" t="n"/>
    </row>
    <row r="12" ht="36" customHeight="1">
      <c r="A12" s="34" t="inlineStr">
        <is>
          <t>Maximum occupancy (overnight):</t>
        </is>
      </c>
      <c r="B12" s="35" t="inlineStr">
        <is>
          <t>Maximum 10 guests overnight (matches Airbnb listing)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36" t="n"/>
    </row>
    <row r="13" ht="36" customHeight="1">
      <c r="A13" s="48" t="inlineStr">
        <is>
          <t>Damage / claim policy:</t>
        </is>
      </c>
      <c r="B13" s="49" t="inlineStr">
        <is>
          <t>Damage above $250 will be reported to Airbnb resolution / VRBO claim</t>
        </is>
      </c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1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HYPERLINK("#'§4 Pets'!A5", "← Back: §4 Pets")</f>
        <v/>
      </c>
      <c r="B15" s="47" t="n"/>
      <c r="C15" s="47" t="n"/>
      <c r="D15" s="47" t="n"/>
      <c r="E15" s="47" t="n"/>
      <c r="F15" s="47" t="n"/>
      <c r="G15" s="46">
        <f>HYPERLINK("#'§6 Check-out + Penalties'!A5", "Next: §6 Check-out + Penalties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HYPERLINK("#'§5 Damage + Liability'!A5", "← BACK")</f>
        <v/>
      </c>
      <c r="B2" s="14" t="n"/>
      <c r="C2" s="14" t="n"/>
      <c r="D2" s="23" t="inlineStr">
        <is>
          <t>SECTION 6 OF 6</t>
        </is>
      </c>
      <c r="J2" s="24">
        <f>HYPERLINK("#'Launch'!A1", "LAUNCH →")</f>
        <v/>
      </c>
      <c r="K2" s="25" t="n"/>
      <c r="L2" s="25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36" customHeight="1">
      <c r="A4" s="26" t="inlineStr">
        <is>
          <t>§6 Check-out + Penalties</t>
        </is>
      </c>
    </row>
    <row r="5" ht="18" customHeight="1">
      <c r="A5" s="27" t="inlineStr">
        <is>
          <t>What happens if guests don't follow the rules.</t>
        </is>
      </c>
    </row>
    <row r="6" ht="22" customHeight="1">
      <c r="A6" s="28" t="inlineStr">
        <is>
          <t>Fill the highlighted fields below. The 'Launch' tab (last) builds your print-ready rules document.</t>
        </is>
      </c>
    </row>
    <row r="7" ht="20" customHeight="1">
      <c r="A7" s="29" t="inlineStr">
        <is>
          <t>§6 CHECK-OUT + PENALTIES</t>
        </is>
      </c>
    </row>
    <row r="8" ht="24" customHeight="1">
      <c r="A8" s="30" t="inlineStr">
        <is>
          <t>Check-out time:</t>
        </is>
      </c>
      <c r="B8" s="31" t="inlineStr">
        <is>
          <t>10:00 AM</t>
        </is>
      </c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3" t="n"/>
    </row>
    <row r="9" ht="24" customHeight="1">
      <c r="A9" s="34" t="inlineStr">
        <is>
          <t>Late check-out fee:</t>
        </is>
      </c>
      <c r="B9" s="35" t="inlineStr">
        <is>
          <t>$50 per hour past 10 AM (must request in advance)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36" t="n"/>
    </row>
    <row r="10" ht="36" customHeight="1">
      <c r="A10" s="37" t="inlineStr">
        <is>
          <t>Missing-item fee:</t>
        </is>
      </c>
      <c r="B10" s="38" t="inlineStr">
        <is>
          <t>$25 + replacement cost per missing item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40" t="n"/>
    </row>
    <row r="11" ht="36" customHeight="1">
      <c r="A11" s="34" t="inlineStr">
        <is>
          <t>Smoking violation fine:</t>
        </is>
      </c>
      <c r="B11" s="35" t="inlineStr">
        <is>
          <t>$250 deep-clean fee if smoking detected indoors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36" t="n"/>
    </row>
    <row r="12" ht="36" customHeight="1">
      <c r="A12" s="37" t="inlineStr">
        <is>
          <t>Key / lock return:</t>
        </is>
      </c>
      <c r="B12" s="38" t="inlineStr">
        <is>
          <t>Smart-lock — no key return needed; do not change the code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40" t="n"/>
    </row>
    <row r="13" ht="36" customHeight="1">
      <c r="A13" s="48" t="inlineStr">
        <is>
          <t>Damage deposit policy:</t>
        </is>
      </c>
      <c r="B13" s="49" t="inlineStr">
        <is>
          <t>Damage deposit refunded within 7 days of check-out, post-inspection</t>
        </is>
      </c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1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</row>
    <row r="15" ht="22" customHeight="1">
      <c r="A15" s="46">
        <f>HYPERLINK("#'§5 Damage + Liability'!A5", "← Back: §5 Damage + Liability")</f>
        <v/>
      </c>
      <c r="B15" s="47" t="n"/>
      <c r="C15" s="47" t="n"/>
      <c r="D15" s="47" t="n"/>
      <c r="E15" s="47" t="n"/>
      <c r="F15" s="47" t="n"/>
      <c r="G15" s="46">
        <f>HYPERLINK("#'Launch'!A1", "Next: Launch →")</f>
        <v/>
      </c>
      <c r="H15" s="47" t="n"/>
      <c r="I15" s="47" t="n"/>
      <c r="J15" s="47" t="n"/>
      <c r="K15" s="47" t="n"/>
      <c r="L15" s="47" t="n"/>
    </row>
    <row r="16" ht="22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</row>
  </sheetData>
  <mergeCells count="15">
    <mergeCell ref="J2:L2"/>
    <mergeCell ref="D2:I2"/>
    <mergeCell ref="A7:L7"/>
    <mergeCell ref="B12:L12"/>
    <mergeCell ref="B13:L13"/>
    <mergeCell ref="G15:L16"/>
    <mergeCell ref="B9:L9"/>
    <mergeCell ref="A5:L5"/>
    <mergeCell ref="B11:L11"/>
    <mergeCell ref="A6:L6"/>
    <mergeCell ref="B10:L10"/>
    <mergeCell ref="A15:F16"/>
    <mergeCell ref="A2:C2"/>
    <mergeCell ref="A4:L4"/>
    <mergeCell ref="B8:L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3">
        <f>HYPERLINK("#'§6 Check-out + Penalties'!A5", "← BACK: §6 Check-out + Penalties")</f>
        <v/>
      </c>
      <c r="B2" s="14" t="n"/>
      <c r="C2" s="14" t="n"/>
      <c r="D2" s="53" t="inlineStr">
        <is>
          <t>LAUNCH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2" customHeight="1">
      <c r="A4" s="54" t="inlineStr">
        <is>
          <t>Your house rules are ready</t>
        </is>
      </c>
    </row>
    <row r="5" ht="20" customHeight="1">
      <c r="A5" s="27" t="inlineStr">
        <is>
          <t>Build the print-ready doc, then paste into your listing.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55" t="inlineStr">
        <is>
          <t>COMPLETION</t>
        </is>
      </c>
      <c r="B9" s="56" t="n"/>
      <c r="C9" s="56" t="n"/>
      <c r="D9" s="57" t="n"/>
      <c r="E9" s="58" t="inlineStr">
        <is>
          <t>RED FLAGS</t>
        </is>
      </c>
      <c r="F9" s="56" t="n"/>
      <c r="G9" s="56" t="n"/>
      <c r="H9" s="57" t="n"/>
      <c r="I9" s="55" t="inlineStr">
        <is>
          <t>STATUS</t>
        </is>
      </c>
      <c r="J9" s="56" t="n"/>
      <c r="K9" s="56" t="n"/>
      <c r="L9" s="57" t="n"/>
    </row>
    <row r="10">
      <c r="A10" s="59">
        <f>TEXT((COUNTA('§1 Property + Capacity'!B8:B13) + COUNTA('§2 Quiet Hours + Parties'!B8:B13) + COUNTA('§3 Smoking + Substances'!B8:B12) + COUNTA('§4 Pets'!B8:B12) + COUNTA('§5 Damage + Liability'!B8:B13) + COUNTA('§6 Check-out + Penalties'!B8:B13))/34, "0%")</f>
        <v/>
      </c>
      <c r="B10" s="60" t="n"/>
      <c r="C10" s="60" t="n"/>
      <c r="D10" s="61" t="n"/>
      <c r="E10" s="62">
        <f>IF('§1 Property + Capacity'!B8="",1,0) + IF('§1 Property + Capacity'!B10="",1,0) + IF('§2 Quiet Hours + Parties'!B8="",1,0) + IF('§2 Quiet Hours + Parties'!B9="",1,0) + IF('§2 Quiet Hours + Parties'!B10="",1,0) + IF('§3 Smoking + Substances'!B8="",1,0) + IF('§4 Pets'!B8="",1,0) + IF('§6 Check-out + Penalties'!B8="",1,0)</f>
        <v/>
      </c>
      <c r="F10" s="60" t="n"/>
      <c r="G10" s="60" t="n"/>
      <c r="H10" s="61" t="n"/>
      <c r="I10" s="63">
        <f>IF((IF('§1 Property + Capacity'!B8="",1,0) + IF('§1 Property + Capacity'!B10="",1,0) + IF('§2 Quiet Hours + Parties'!B8="",1,0) + IF('§2 Quiet Hours + Parties'!B9="",1,0) + IF('§2 Quiet Hours + Parties'!B10="",1,0) + IF('§3 Smoking + Substances'!B8="",1,0) + IF('§4 Pets'!B8="",1,0) + IF('§6 Check-out + Penalties'!B8="",1,0))=0,"READY",IF((IF('§1 Property + Capacity'!B8="",1,0) + IF('§1 Property + Capacity'!B10="",1,0) + IF('§2 Quiet Hours + Parties'!B8="",1,0) + IF('§2 Quiet Hours + Parties'!B9="",1,0) + IF('§2 Quiet Hours + Parties'!B10="",1,0) + IF('§3 Smoking + Substances'!B8="",1,0) + IF('§4 Pets'!B8="",1,0) + IF('§6 Check-out + Penalties'!B8="",1,0))&lt;=2,"MINOR","NEEDS WORK"))</f>
        <v/>
      </c>
      <c r="J10" s="60" t="n"/>
      <c r="K10" s="60" t="n"/>
      <c r="L10" s="61" t="n"/>
    </row>
    <row r="11">
      <c r="A11" s="64" t="n"/>
      <c r="B11" s="60" t="n"/>
      <c r="C11" s="60" t="n"/>
      <c r="D11" s="61" t="n"/>
      <c r="E11" s="64" t="n"/>
      <c r="F11" s="60" t="n"/>
      <c r="G11" s="60" t="n"/>
      <c r="H11" s="61" t="n"/>
      <c r="I11" s="64" t="n"/>
      <c r="J11" s="60" t="n"/>
      <c r="K11" s="60" t="n"/>
      <c r="L11" s="61" t="n"/>
    </row>
    <row r="12">
      <c r="A12" s="65" t="inlineStr">
        <is>
          <t>of 34 fields filled</t>
        </is>
      </c>
      <c r="B12" s="66" t="n"/>
      <c r="C12" s="66" t="n"/>
      <c r="D12" s="67" t="n"/>
      <c r="E12" s="65" t="inlineStr">
        <is>
          <t>required fields empty</t>
        </is>
      </c>
      <c r="F12" s="66" t="n"/>
      <c r="G12" s="66" t="n"/>
      <c r="H12" s="67" t="n"/>
      <c r="I12" s="65" t="inlineStr">
        <is>
          <t>0 = green · 1-2 = yellow · 3+ = red</t>
        </is>
      </c>
      <c r="J12" s="66" t="n"/>
      <c r="K12" s="66" t="n"/>
      <c r="L12" s="6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6" ht="28" customHeight="1">
      <c r="A16" s="13">
        <f>HYPERLINK("#'Rules Output'!A1", "📄  BUILD RULES DOC →")</f>
        <v/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 ht="2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 ht="28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 ht="2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 ht="28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 ht="2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 ht="18" customHeight="1">
      <c r="A22" s="68" t="inlineStr">
        <is>
          <t>Opens the Rules Output tab — select all, copy, paste into Airbnb / VRBO 'House rules' field. Or Ctrl+P for the printable PDF.</t>
        </is>
      </c>
    </row>
  </sheetData>
  <mergeCells count="15">
    <mergeCell ref="D2:L2"/>
    <mergeCell ref="A16:L21"/>
    <mergeCell ref="A9:D9"/>
    <mergeCell ref="E9:H9"/>
    <mergeCell ref="I9:L9"/>
    <mergeCell ref="A12:D12"/>
    <mergeCell ref="E12:H12"/>
    <mergeCell ref="A5:L5"/>
    <mergeCell ref="I12:L12"/>
    <mergeCell ref="E10:H11"/>
    <mergeCell ref="A22:L22"/>
    <mergeCell ref="I10:L11"/>
    <mergeCell ref="A10:D11"/>
    <mergeCell ref="A2:C2"/>
    <mergeCell ref="A4:L4"/>
  </mergeCells>
  <pageMargins left="0.5" right="0.5" top="0.5" bottom="0.5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E2C884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69" t="n"/>
      <c r="B1" s="69" t="n"/>
    </row>
    <row r="2" ht="28" customHeight="1">
      <c r="A2" s="46">
        <f>HYPERLINK("#'Launch'!A1", "←")</f>
        <v/>
      </c>
      <c r="B2" s="70" t="inlineStr">
        <is>
          <t>RULES OUTPUT — copy, print, or paste into your listing</t>
        </is>
      </c>
    </row>
    <row r="3">
      <c r="A3" s="69" t="n"/>
      <c r="B3" s="69" t="n"/>
    </row>
    <row r="4" ht="36" customHeight="1">
      <c r="A4" s="71">
        <f>IF('§1 Property + Capacity'!B8="","House Rules",'§1 Property + Capacity'!B8 &amp; " — House Rules")</f>
        <v/>
      </c>
    </row>
    <row r="5" ht="18" customHeight="1">
      <c r="A5" s="72">
        <f>IF('§1 Property + Capacity'!B9="","","Address: " &amp; '§1 Property + Capacity'!B9)</f>
        <v/>
      </c>
    </row>
    <row r="7" ht="24" customHeight="1">
      <c r="A7" s="6" t="n"/>
      <c r="B7" s="73" t="inlineStr">
        <is>
          <t>Property + Capacity</t>
        </is>
      </c>
    </row>
    <row r="8" ht="30" customHeight="1">
      <c r="A8" s="74">
        <f>IF(IF('§1 Property + Capacity'!B10="","","Maximum overnight guests: " &amp; '§1 Property + Capacity'!B10)="","","•")</f>
        <v/>
      </c>
      <c r="B8" s="75">
        <f>IF('§1 Property + Capacity'!B10="","","Maximum overnight guests: " &amp; '§1 Property + Capacity'!B10)</f>
        <v/>
      </c>
    </row>
    <row r="9" ht="30" customHeight="1">
      <c r="A9" s="74">
        <f>IF(IF('§1 Property + Capacity'!B11="","","Bedrooms / bathrooms: " &amp; '§1 Property + Capacity'!B11)="","","•")</f>
        <v/>
      </c>
      <c r="B9" s="75">
        <f>IF('§1 Property + Capacity'!B11="","","Bedrooms / bathrooms: " &amp; '§1 Property + Capacity'!B11)</f>
        <v/>
      </c>
    </row>
    <row r="10" ht="30" customHeight="1">
      <c r="A10" s="74">
        <f>IF(IF('§1 Property + Capacity'!B12="","","Sleeping arrangements: " &amp; '§1 Property + Capacity'!B12)="","","•")</f>
        <v/>
      </c>
      <c r="B10" s="75">
        <f>IF('§1 Property + Capacity'!B12="","","Sleeping arrangements: " &amp; '§1 Property + Capacity'!B12)</f>
        <v/>
      </c>
    </row>
    <row r="11" ht="30" customHeight="1">
      <c r="A11" s="74">
        <f>IF(IF('§1 Property + Capacity'!B13="","","Parking: " &amp; '§1 Property + Capacity'!B13)="","","•")</f>
        <v/>
      </c>
      <c r="B11" s="75">
        <f>IF('§1 Property + Capacity'!B13="","","Parking: " &amp; '§1 Property + Capacity'!B13)</f>
        <v/>
      </c>
    </row>
    <row r="13" ht="24" customHeight="1">
      <c r="A13" s="6" t="n"/>
      <c r="B13" s="73" t="inlineStr">
        <is>
          <t>Quiet Hours + Parties</t>
        </is>
      </c>
    </row>
    <row r="14" ht="30" customHeight="1">
      <c r="A14" s="74">
        <f>IF(IF(OR('§2 Quiet Hours + Parties'!B8="",'§2 Quiet Hours + Parties'!B9=""),"","Quiet hours: " &amp; '§2 Quiet Hours + Parties'!B8 &amp; " to " &amp; '§2 Quiet Hours + Parties'!B9 &amp; " — sound carries through walls.")="","","•")</f>
        <v/>
      </c>
      <c r="B14" s="75">
        <f>IF(OR('§2 Quiet Hours + Parties'!B8="",'§2 Quiet Hours + Parties'!B9=""),"","Quiet hours: " &amp; '§2 Quiet Hours + Parties'!B8 &amp; " to " &amp; '§2 Quiet Hours + Parties'!B9 &amp; " — sound carries through walls.")</f>
        <v/>
      </c>
    </row>
    <row r="15" ht="30" customHeight="1">
      <c r="A15" s="74">
        <f>IF(IF('§2 Quiet Hours + Parties'!B10="","","Parties / events: " &amp; '§2 Quiet Hours + Parties'!B10)="","","•")</f>
        <v/>
      </c>
      <c r="B15" s="75">
        <f>IF('§2 Quiet Hours + Parties'!B10="","","Parties / events: " &amp; '§2 Quiet Hours + Parties'!B10)</f>
        <v/>
      </c>
    </row>
    <row r="16" ht="30" customHeight="1">
      <c r="A16" s="74">
        <f>IF(IF('§2 Quiet Hours + Parties'!B11="","","Day visitors / gatherings: " &amp; '§2 Quiet Hours + Parties'!B11)="","","•")</f>
        <v/>
      </c>
      <c r="B16" s="75">
        <f>IF('§2 Quiet Hours + Parties'!B11="","","Day visitors / gatherings: " &amp; '§2 Quiet Hours + Parties'!B11)</f>
        <v/>
      </c>
    </row>
    <row r="17" ht="30" customHeight="1">
      <c r="A17" s="74">
        <f>IF(IF('§2 Quiet Hours + Parties'!B12="","","Guests of guests: " &amp; '§2 Quiet Hours + Parties'!B12)="","","•")</f>
        <v/>
      </c>
      <c r="B17" s="75">
        <f>IF('§2 Quiet Hours + Parties'!B12="","","Guests of guests: " &amp; '§2 Quiet Hours + Parties'!B12)</f>
        <v/>
      </c>
    </row>
    <row r="18" ht="30" customHeight="1">
      <c r="A18" s="74">
        <f>IF(IF('§2 Quiet Hours + Parties'!B13="","","Outdoor music: " &amp; '§2 Quiet Hours + Parties'!B13)="","","•")</f>
        <v/>
      </c>
      <c r="B18" s="75">
        <f>IF('§2 Quiet Hours + Parties'!B13="","","Outdoor music: " &amp; '§2 Quiet Hours + Parties'!B13)</f>
        <v/>
      </c>
    </row>
    <row r="20" ht="24" customHeight="1">
      <c r="A20" s="6" t="n"/>
      <c r="B20" s="73" t="inlineStr">
        <is>
          <t>Smoking + Substances</t>
        </is>
      </c>
    </row>
    <row r="21" ht="30" customHeight="1">
      <c r="A21" s="74">
        <f>IF(IF('§3 Smoking + Substances'!B8="","","Smoking — inside: " &amp; '§3 Smoking + Substances'!B8)="","","•")</f>
        <v/>
      </c>
      <c r="B21" s="75">
        <f>IF('§3 Smoking + Substances'!B8="","","Smoking — inside: " &amp; '§3 Smoking + Substances'!B8)</f>
        <v/>
      </c>
    </row>
    <row r="22" ht="30" customHeight="1">
      <c r="A22" s="74">
        <f>IF(IF('§3 Smoking + Substances'!B9="","","Smoking — outside: " &amp; '§3 Smoking + Substances'!B9)="","","•")</f>
        <v/>
      </c>
      <c r="B22" s="75">
        <f>IF('§3 Smoking + Substances'!B9="","","Smoking — outside: " &amp; '§3 Smoking + Substances'!B9)</f>
        <v/>
      </c>
    </row>
    <row r="23" ht="30" customHeight="1">
      <c r="A23" s="74">
        <f>IF(IF('§3 Smoking + Substances'!B10="","","Vaping: " &amp; '§3 Smoking + Substances'!B10)="","","•")</f>
        <v/>
      </c>
      <c r="B23" s="75">
        <f>IF('§3 Smoking + Substances'!B10="","","Vaping: " &amp; '§3 Smoking + Substances'!B10)</f>
        <v/>
      </c>
    </row>
    <row r="24" ht="30" customHeight="1">
      <c r="A24" s="74">
        <f>IF(IF('§3 Smoking + Substances'!B11="","","Cannabis: " &amp; '§3 Smoking + Substances'!B11)="","","•")</f>
        <v/>
      </c>
      <c r="B24" s="75">
        <f>IF('§3 Smoking + Substances'!B11="","","Cannabis: " &amp; '§3 Smoking + Substances'!B11)</f>
        <v/>
      </c>
    </row>
    <row r="25" ht="30" customHeight="1">
      <c r="A25" s="74">
        <f>IF(IF('§3 Smoking + Substances'!B12="","","Alcohol: " &amp; '§3 Smoking + Substances'!B12)="","","•")</f>
        <v/>
      </c>
      <c r="B25" s="75">
        <f>IF('§3 Smoking + Substances'!B12="","","Alcohol: " &amp; '§3 Smoking + Substances'!B12)</f>
        <v/>
      </c>
    </row>
    <row r="27" ht="24" customHeight="1">
      <c r="A27" s="6" t="n"/>
      <c r="B27" s="73" t="inlineStr">
        <is>
          <t>Pets</t>
        </is>
      </c>
    </row>
    <row r="28" ht="30" customHeight="1">
      <c r="A28" s="74">
        <f>IF(IF('§4 Pets'!B8="","","Pet policy: " &amp; '§4 Pets'!B8)="","","•")</f>
        <v/>
      </c>
      <c r="B28" s="75">
        <f>IF('§4 Pets'!B8="","","Pet policy: " &amp; '§4 Pets'!B8)</f>
        <v/>
      </c>
    </row>
    <row r="29" ht="30" customHeight="1">
      <c r="A29" s="74">
        <f>IF(IF('§4 Pets'!B9="","","Number allowed: " &amp; '§4 Pets'!B9)="","","•")</f>
        <v/>
      </c>
      <c r="B29" s="75">
        <f>IF('§4 Pets'!B9="","","Number allowed: " &amp; '§4 Pets'!B9)</f>
        <v/>
      </c>
    </row>
    <row r="30" ht="30" customHeight="1">
      <c r="A30" s="74">
        <f>IF(IF('§4 Pets'!B10="","","Weight limit: " &amp; '§4 Pets'!B10)="","","•")</f>
        <v/>
      </c>
      <c r="B30" s="75">
        <f>IF('§4 Pets'!B10="","","Weight limit: " &amp; '§4 Pets'!B10)</f>
        <v/>
      </c>
    </row>
    <row r="31" ht="30" customHeight="1">
      <c r="A31" s="74">
        <f>IF(IF('§4 Pets'!B11="","","Pet fee: " &amp; '§4 Pets'!B11)="","","•")</f>
        <v/>
      </c>
      <c r="B31" s="75">
        <f>IF('§4 Pets'!B11="","","Pet fee: " &amp; '§4 Pets'!B11)</f>
        <v/>
      </c>
    </row>
    <row r="32" ht="30" customHeight="1">
      <c r="A32" s="74">
        <f>IF(IF('§4 Pets'!B12="","","Ground rules: " &amp; '§4 Pets'!B12)="","","•")</f>
        <v/>
      </c>
      <c r="B32" s="75">
        <f>IF('§4 Pets'!B12="","","Ground rules: " &amp; '§4 Pets'!B12)</f>
        <v/>
      </c>
    </row>
    <row r="33" ht="22" customHeight="1">
      <c r="A33" s="6" t="n"/>
      <c r="B33" s="76" t="inlineStr">
        <is>
          <t>Service animals are exempt from pet fees and pet bans by law (ADA/FHA).</t>
        </is>
      </c>
    </row>
    <row r="35" ht="24" customHeight="1">
      <c r="A35" s="6" t="n"/>
      <c r="B35" s="73" t="inlineStr">
        <is>
          <t>Damage + Liability</t>
        </is>
      </c>
    </row>
    <row r="36" ht="30" customHeight="1">
      <c r="A36" s="74">
        <f>IF(IF('§5 Damage + Liability'!B8="","","Furniture: " &amp; '§5 Damage + Liability'!B8)="","","•")</f>
        <v/>
      </c>
      <c r="B36" s="75">
        <f>IF('§5 Damage + Liability'!B8="","","Furniture: " &amp; '§5 Damage + Liability'!B8)</f>
        <v/>
      </c>
    </row>
    <row r="37" ht="30" customHeight="1">
      <c r="A37" s="74">
        <f>IF(IF('§5 Damage + Liability'!B9="","","Pool / hot tub: " &amp; '§5 Damage + Liability'!B9)="","","•")</f>
        <v/>
      </c>
      <c r="B37" s="75">
        <f>IF('§5 Damage + Liability'!B9="","","Pool / hot tub: " &amp; '§5 Damage + Liability'!B9)</f>
        <v/>
      </c>
    </row>
    <row r="38" ht="30" customHeight="1">
      <c r="A38" s="74">
        <f>IF(IF('§5 Damage + Liability'!B10="","","Fireplace: " &amp; '§5 Damage + Liability'!B10)="","","•")</f>
        <v/>
      </c>
      <c r="B38" s="75">
        <f>IF('§5 Damage + Liability'!B10="","","Fireplace: " &amp; '§5 Damage + Liability'!B10)</f>
        <v/>
      </c>
    </row>
    <row r="39" ht="30" customHeight="1">
      <c r="A39" s="74">
        <f>IF(IF('§5 Damage + Liability'!B11="","","Children: " &amp; '§5 Damage + Liability'!B11)="","","•")</f>
        <v/>
      </c>
      <c r="B39" s="75">
        <f>IF('§5 Damage + Liability'!B11="","","Children: " &amp; '§5 Damage + Liability'!B11)</f>
        <v/>
      </c>
    </row>
    <row r="40" ht="30" customHeight="1">
      <c r="A40" s="74">
        <f>IF(IF('§5 Damage + Liability'!B12="","","Maximum occupancy: " &amp; '§5 Damage + Liability'!B12)="","","•")</f>
        <v/>
      </c>
      <c r="B40" s="75">
        <f>IF('§5 Damage + Liability'!B12="","","Maximum occupancy: " &amp; '§5 Damage + Liability'!B12)</f>
        <v/>
      </c>
    </row>
    <row r="41" ht="30" customHeight="1">
      <c r="A41" s="74">
        <f>IF(IF('§5 Damage + Liability'!B13="","","Damage policy: " &amp; '§5 Damage + Liability'!B13)="","","•")</f>
        <v/>
      </c>
      <c r="B41" s="75">
        <f>IF('§5 Damage + Liability'!B13="","","Damage policy: " &amp; '§5 Damage + Liability'!B13)</f>
        <v/>
      </c>
    </row>
    <row r="43" ht="24" customHeight="1">
      <c r="A43" s="6" t="n"/>
      <c r="B43" s="73" t="inlineStr">
        <is>
          <t>Check-out + Penalties</t>
        </is>
      </c>
    </row>
    <row r="44" ht="30" customHeight="1">
      <c r="A44" s="74">
        <f>IF(IF('§6 Check-out + Penalties'!B8="","","Check-out time: " &amp; '§6 Check-out + Penalties'!B8)="","","•")</f>
        <v/>
      </c>
      <c r="B44" s="75">
        <f>IF('§6 Check-out + Penalties'!B8="","","Check-out time: " &amp; '§6 Check-out + Penalties'!B8)</f>
        <v/>
      </c>
    </row>
    <row r="45" ht="30" customHeight="1">
      <c r="A45" s="74">
        <f>IF(IF('§6 Check-out + Penalties'!B9="","","Late check-out fee: " &amp; '§6 Check-out + Penalties'!B9)="","","•")</f>
        <v/>
      </c>
      <c r="B45" s="75">
        <f>IF('§6 Check-out + Penalties'!B9="","","Late check-out fee: " &amp; '§6 Check-out + Penalties'!B9)</f>
        <v/>
      </c>
    </row>
    <row r="46" ht="30" customHeight="1">
      <c r="A46" s="74">
        <f>IF(IF('§6 Check-out + Penalties'!B10="","","Missing items: " &amp; '§6 Check-out + Penalties'!B10)="","","•")</f>
        <v/>
      </c>
      <c r="B46" s="75">
        <f>IF('§6 Check-out + Penalties'!B10="","","Missing items: " &amp; '§6 Check-out + Penalties'!B10)</f>
        <v/>
      </c>
    </row>
    <row r="47" ht="30" customHeight="1">
      <c r="A47" s="74">
        <f>IF(IF('§6 Check-out + Penalties'!B11="","","Smoking violation: " &amp; '§6 Check-out + Penalties'!B11)="","","•")</f>
        <v/>
      </c>
      <c r="B47" s="75">
        <f>IF('§6 Check-out + Penalties'!B11="","","Smoking violation: " &amp; '§6 Check-out + Penalties'!B11)</f>
        <v/>
      </c>
    </row>
    <row r="48" ht="30" customHeight="1">
      <c r="A48" s="74">
        <f>IF(IF('§6 Check-out + Penalties'!B12="","","Keys / lock: " &amp; '§6 Check-out + Penalties'!B12)="","","•")</f>
        <v/>
      </c>
      <c r="B48" s="75">
        <f>IF('§6 Check-out + Penalties'!B12="","","Keys / lock: " &amp; '§6 Check-out + Penalties'!B12)</f>
        <v/>
      </c>
    </row>
    <row r="49" ht="30" customHeight="1">
      <c r="A49" s="74">
        <f>IF(IF('§6 Check-out + Penalties'!B13="","","Damage deposit: " &amp; '§6 Check-out + Penalties'!B13)="","","•")</f>
        <v/>
      </c>
      <c r="B49" s="75">
        <f>IF('§6 Check-out + Penalties'!B13="","","Damage deposit: " &amp; '§6 Check-out + Penalties'!B13)</f>
        <v/>
      </c>
    </row>
    <row r="51">
      <c r="A51" s="45" t="n"/>
      <c r="B51" s="45" t="n"/>
    </row>
    <row r="52" ht="18" customHeight="1">
      <c r="A52" s="77" t="inlineStr">
        <is>
          <t>Generated by The STR Ledger House Rules Builder · thestrledger.com</t>
        </is>
      </c>
    </row>
  </sheetData>
  <mergeCells count="4">
    <mergeCell ref="A4:B4"/>
    <mergeCell ref="A2"/>
    <mergeCell ref="A52:B52"/>
    <mergeCell ref="A5:B5"/>
  </mergeCells>
  <pageMargins left="0.6" right="0.6" top="0.6" bottom="0.6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House Rules Builder (DEMO) — The STR Ledger</dc:title>
  <dc:description xmlns:dc="http://purl.org/dc/elements/1.1/">Wizard tool for STR hosts — produces a print-ready, listing-ready house-rules document from 6 sections of structured inputs.</dc:description>
  <dcterms:created xmlns:dcterms="http://purl.org/dc/terms/" xmlns:xsi="http://www.w3.org/2001/XMLSchema-instance" xsi:type="dcterms:W3CDTF">2026-05-03T12:25:51Z</dcterms:created>
  <dcterms:modified xmlns:dcterms="http://purl.org/dc/terms/" xmlns:xsi="http://www.w3.org/2001/XMLSchema-instance" xsi:type="dcterms:W3CDTF">2026-05-03T12:25:51Z</dcterms:modified>
</cp:coreProperties>
</file>