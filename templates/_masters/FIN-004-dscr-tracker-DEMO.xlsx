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Per-Property" sheetId="2" state="visible" r:id="rId2"/>
    <sheet xmlns:r="http://schemas.openxmlformats.org/officeDocument/2006/relationships" name="Stress Test" sheetId="3" state="visible" r:id="rId3"/>
    <sheet xmlns:r="http://schemas.openxmlformats.org/officeDocument/2006/relationships" name="Refi Eligibility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'Start'!$A$1:$L$37</definedName>
    <definedName name="_xlnm.Print_Area" localSheetId="1">'Per-Property'!$A$1:$L$25</definedName>
    <definedName name="_xlnm.Print_Area" localSheetId="2">'Stress Test'!$A$1:$L$26</definedName>
    <definedName name="_xlnm.Print_Area" localSheetId="3">'Refi Eligibility'!$A$1:$L$26</definedName>
    <definedName name="_xlnm.Print_Area" localSheetId="4">'Settings'!$A$1:$L$29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0.0%"/>
  </numFmts>
  <fonts count="28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Georgia"/>
      <b val="1"/>
      <color rgb="00C9A24B"/>
      <sz val="48"/>
    </font>
    <font>
      <name val="Georgia"/>
      <i val="1"/>
      <color rgb="002B2B2B"/>
      <sz val="14"/>
    </font>
    <font>
      <name val="Georgia"/>
      <b val="1"/>
      <color rgb="0012304E"/>
      <sz val="32"/>
    </font>
    <font>
      <name val="Georgia"/>
      <b val="1"/>
      <color rgb="00B91C1C"/>
      <sz val="18"/>
    </font>
    <font>
      <name val="Calibri"/>
      <i val="1"/>
      <color rgb="006B7280"/>
      <sz val="11"/>
    </font>
    <font>
      <name val="Calibri"/>
      <i val="1"/>
      <color rgb="006B7280"/>
      <sz val="10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color rgb="002B2B2B"/>
      <sz val="11"/>
    </font>
    <font>
      <name val="Calibri"/>
      <i val="1"/>
      <color rgb="002B2B2B"/>
      <sz val="11"/>
    </font>
    <font>
      <name val="Georgia"/>
      <b val="1"/>
      <color rgb="0012304E"/>
      <sz val="12"/>
    </font>
    <font>
      <name val="Georgia"/>
      <b val="1"/>
      <color rgb="00F6EFE2"/>
      <sz val="12"/>
    </font>
    <font>
      <name val="Georgia"/>
      <b val="1"/>
      <color rgb="0012304E"/>
      <sz val="14"/>
    </font>
    <font>
      <name val="Calibri"/>
      <b val="1"/>
      <color rgb="0012304E"/>
      <sz val="11"/>
    </font>
    <font>
      <name val="Georgia"/>
      <b val="1"/>
      <color rgb="00F6EFE2"/>
      <sz val="11"/>
    </font>
    <font>
      <name val="Calibri"/>
      <b val="1"/>
      <color rgb="002B2B2B"/>
      <sz val="11"/>
    </font>
    <font>
      <name val="Calibri"/>
      <i val="1"/>
      <color rgb="006B7280"/>
      <sz val="9"/>
    </font>
  </fonts>
  <fills count="10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2A4867"/>
      </patternFill>
    </fill>
    <fill>
      <patternFill patternType="solid">
        <fgColor rgb="00E2C884"/>
      </patternFill>
    </fill>
  </fills>
  <borders count="7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2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3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4" fillId="5" borderId="0" applyAlignment="1" pivotButton="0" quotePrefix="0" xfId="0">
      <alignment horizontal="center" vertical="center" wrapText="1"/>
    </xf>
    <xf numFmtId="0" fontId="0" fillId="0" borderId="3" pivotButton="0" quotePrefix="0" xfId="0"/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right" vertical="center" indent="2"/>
    </xf>
    <xf numFmtId="0" fontId="13" fillId="5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18" fillId="3" borderId="0" applyAlignment="1" pivotButton="0" quotePrefix="0" xfId="0">
      <alignment horizontal="left" vertical="center" indent="1"/>
    </xf>
    <xf numFmtId="0" fontId="14" fillId="2" borderId="5" applyAlignment="1" pivotButton="0" quotePrefix="0" xfId="0">
      <alignment horizontal="center" vertical="center" wrapText="1"/>
    </xf>
    <xf numFmtId="0" fontId="19" fillId="6" borderId="6" applyAlignment="1" pivotButton="0" quotePrefix="0" xfId="0">
      <alignment horizontal="left" vertical="center" indent="1"/>
    </xf>
    <xf numFmtId="164" fontId="19" fillId="6" borderId="6" applyAlignment="1" pivotButton="0" quotePrefix="0" xfId="0">
      <alignment horizontal="right" vertical="center" indent="1"/>
    </xf>
    <xf numFmtId="164" fontId="20" fillId="7" borderId="6" applyAlignment="1" pivotButton="0" quotePrefix="0" xfId="0">
      <alignment horizontal="right" vertical="center" indent="1"/>
    </xf>
    <xf numFmtId="165" fontId="19" fillId="6" borderId="6" applyAlignment="1" pivotButton="0" quotePrefix="0" xfId="0">
      <alignment horizontal="right" vertical="center" indent="1"/>
    </xf>
    <xf numFmtId="2" fontId="21" fillId="7" borderId="6" applyAlignment="1" pivotButton="0" quotePrefix="0" xfId="0">
      <alignment horizontal="center" vertical="center"/>
    </xf>
    <xf numFmtId="0" fontId="20" fillId="7" borderId="6" applyAlignment="1" pivotButton="0" quotePrefix="0" xfId="0">
      <alignment horizontal="center" vertical="center"/>
    </xf>
    <xf numFmtId="0" fontId="22" fillId="2" borderId="0" applyAlignment="1" pivotButton="0" quotePrefix="0" xfId="0">
      <alignment horizontal="left" vertical="center" indent="1"/>
    </xf>
    <xf numFmtId="164" fontId="22" fillId="2" borderId="0" applyAlignment="1" pivotButton="0" quotePrefix="0" xfId="0">
      <alignment horizontal="right" vertical="center" indent="1"/>
    </xf>
    <xf numFmtId="0" fontId="22" fillId="2" borderId="0" applyAlignment="1" pivotButton="0" quotePrefix="0" xfId="0">
      <alignment horizontal="right" vertical="center" indent="1"/>
    </xf>
    <xf numFmtId="2" fontId="23" fillId="5" borderId="0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0" fillId="8" borderId="0" pivotButton="0" quotePrefix="0" xfId="0"/>
    <xf numFmtId="0" fontId="22" fillId="8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 indent="1"/>
    </xf>
    <xf numFmtId="0" fontId="25" fillId="2" borderId="0" applyAlignment="1" pivotButton="0" quotePrefix="0" xfId="0">
      <alignment horizontal="left" vertical="center" indent="1"/>
    </xf>
    <xf numFmtId="0" fontId="22" fillId="2" borderId="0" applyAlignment="1" pivotButton="0" quotePrefix="0" xfId="0">
      <alignment horizontal="center" vertical="center"/>
    </xf>
    <xf numFmtId="2" fontId="20" fillId="7" borderId="6" applyAlignment="1" pivotButton="0" quotePrefix="0" xfId="0">
      <alignment horizontal="center" vertical="center"/>
    </xf>
    <xf numFmtId="166" fontId="20" fillId="7" borderId="6" applyAlignment="1" pivotButton="0" quotePrefix="0" xfId="0">
      <alignment horizontal="center" vertical="center"/>
    </xf>
    <xf numFmtId="9" fontId="20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1" fillId="7" borderId="6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vertical="center" indent="1"/>
    </xf>
    <xf numFmtId="1" fontId="21" fillId="6" borderId="0" applyAlignment="1" pivotButton="0" quotePrefix="0" xfId="0">
      <alignment horizontal="center" vertical="center"/>
    </xf>
    <xf numFmtId="2" fontId="21" fillId="6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indent="2"/>
    </xf>
    <xf numFmtId="9" fontId="21" fillId="6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left" vertical="center" indent="1"/>
    </xf>
    <xf numFmtId="0" fontId="27" fillId="0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right" vertical="center" indent="1"/>
    </xf>
    <xf numFmtId="0" fontId="20" fillId="7" borderId="0" applyAlignment="1" pivotButton="0" quotePrefix="0" xfId="0">
      <alignment horizontal="left" vertical="center" indent="1"/>
    </xf>
  </cellXfs>
  <cellStyles count="1">
    <cellStyle name="Normal" xfId="0" builtinId="0" hidden="0"/>
  </cellStyles>
  <dxfs count="6">
    <dxf>
      <font>
        <name val="Georgia"/>
        <b val="1"/>
        <color rgb="00B91C1C"/>
        <sz val="12"/>
      </font>
      <fill>
        <patternFill patternType="solid">
          <fgColor rgb="00FFCCCC"/>
        </patternFill>
      </fill>
    </dxf>
    <dxf>
      <font>
        <name val="Georgia"/>
        <b val="1"/>
        <color rgb="0012304E"/>
        <sz val="12"/>
      </font>
      <fill>
        <patternFill patternType="solid">
          <fgColor rgb="00E2C884"/>
        </patternFill>
      </fill>
    </dxf>
    <dxf>
      <font>
        <name val="Georgia"/>
        <b val="1"/>
        <color rgb="00C9A24B"/>
        <sz val="12"/>
      </font>
      <fill>
        <patternFill patternType="solid">
          <fgColor rgb="00EFE5D0"/>
        </patternFill>
      </fill>
    </dxf>
    <dxf>
      <font>
        <name val="Calibri"/>
        <b val="1"/>
        <color rgb="00B91C1C"/>
        <sz val="11"/>
      </font>
      <fill>
        <patternFill patternType="solid">
          <fgColor rgb="00FFCCCC"/>
        </patternFill>
      </fill>
    </dxf>
    <dxf>
      <font>
        <name val="Calibri"/>
        <b val="1"/>
        <color rgb="0012304E"/>
        <sz val="11"/>
      </font>
      <fill>
        <patternFill patternType="solid">
          <fgColor rgb="00E2C884"/>
        </patternFill>
      </fill>
    </dxf>
    <dxf>
      <font>
        <name val="Calibri"/>
        <b val="1"/>
        <color rgb="00C9A24B"/>
        <sz val="11"/>
      </font>
      <fill>
        <patternFill patternType="solid">
          <fgColor rgb="00EFE5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DSCR Tracker</t>
        </is>
      </c>
    </row>
    <row r="5" ht="22" customHeight="1">
      <c r="A5" s="4" t="inlineStr">
        <is>
          <t>Which properties qualify for a DSCR loan refinance?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FIN-004 - v1.0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18" customHeight="1">
      <c r="A11" s="7" t="inlineStr">
        <is>
          <t>PORTFOLIO DSCR</t>
        </is>
      </c>
    </row>
    <row r="12" ht="36" customHeight="1">
      <c r="A12" s="8">
        <f>IFERROR(SUMIF('Per-Property'!A8:A17,"&lt;&gt;",'Per-Property'!D8:D17)/SUMIF('Per-Property'!A8:A17,"&lt;&gt;",'Per-Property'!H8:H17),0)</f>
        <v/>
      </c>
    </row>
    <row r="13" ht="24" customHeight="1"/>
    <row r="14" ht="22" customHeight="1">
      <c r="A14" s="9">
        <f>IF(A12&gt;=Settings!B7,"Portfolio qualifies for DSCR loan refinance",IF(A12&gt;=Settings!B9,"Portfolio is marginal - shop rates carefully","Portfolio is below break-even - debt restructuring needed"))</f>
        <v/>
      </c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7" t="inlineStr">
        <is>
          <t>PROPERTIES QUALIFYING (DSCR &gt;= 1.20)</t>
        </is>
      </c>
      <c r="G16" s="7" t="inlineStr">
        <is>
          <t>WEAKEST PROPERTY</t>
        </is>
      </c>
    </row>
    <row r="17" ht="28" customHeight="1">
      <c r="A17" s="10">
        <f>COUNTIFS('Per-Property'!A8:A17,"&lt;&gt;",'Per-Property'!I8:I17,"&gt;="&amp;Settings!B7)&amp;" of "&amp;COUNTIF('Per-Property'!A8:A17,"&lt;&gt;")</f>
        <v/>
      </c>
      <c r="G17" s="11">
        <f>IFERROR(INDEX('Per-Property'!A8:A17,MATCH(MINIFS('Per-Property'!I8:I17,'Per-Property'!A8:A17,"&lt;&gt;"),'Per-Property'!I8:I17,0)),"-")</f>
        <v/>
      </c>
    </row>
    <row r="18" ht="22" customHeight="1"/>
    <row r="19" ht="18" customHeight="1">
      <c r="G19" s="12">
        <f>IFERROR("DSCR = "&amp;TEXT(MINIFS('Per-Property'!I8:I17,'Per-Property'!A8:A17,"&lt;&gt;"),"0.00"),"")</f>
        <v/>
      </c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22" customHeight="1">
      <c r="A21" s="13" t="inlineStr">
        <is>
          <t>DSCR = Net Operating Income / Annual Debt Service. Most DSCR lenders require &gt;= 1.20 with LTV &lt;= 75%. Below 1.0 means the property doesn't cover its own debt - refinance, restructure, or sell.</t>
        </is>
      </c>
    </row>
    <row r="22" ht="22" customHeight="1"/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5" ht="22" customHeight="1">
      <c r="A25" s="14">
        <f>HYPERLINK("#'Per-Property'!A1", "-&gt;  Update Inputs")</f>
        <v/>
      </c>
      <c r="B25" s="15" t="n"/>
      <c r="C25" s="15" t="n"/>
      <c r="D25" s="15" t="n"/>
      <c r="E25" s="15" t="n"/>
      <c r="F25" s="15" t="n"/>
      <c r="G25" s="16">
        <f>HYPERLINK("#'Stress Test'!A1", "Stress Test")</f>
        <v/>
      </c>
      <c r="H25" s="17" t="n"/>
      <c r="I25" s="17" t="n"/>
      <c r="J25" s="17" t="n"/>
      <c r="K25" s="17" t="n"/>
      <c r="L25" s="17" t="n"/>
    </row>
    <row r="26" ht="22" customHeight="1">
      <c r="A26" s="15" t="n"/>
      <c r="B26" s="15" t="n"/>
      <c r="C26" s="15" t="n"/>
      <c r="D26" s="15" t="n"/>
      <c r="E26" s="15" t="n"/>
      <c r="F26" s="15" t="n"/>
      <c r="G26" s="17" t="n"/>
      <c r="H26" s="17" t="n"/>
      <c r="I26" s="17" t="n"/>
      <c r="J26" s="17" t="n"/>
      <c r="K26" s="17" t="n"/>
      <c r="L26" s="17" t="n"/>
    </row>
    <row r="27" ht="22" customHeight="1">
      <c r="A27" s="15" t="n"/>
      <c r="B27" s="15" t="n"/>
      <c r="C27" s="15" t="n"/>
      <c r="D27" s="15" t="n"/>
      <c r="E27" s="15" t="n"/>
      <c r="F27" s="15" t="n"/>
      <c r="G27" s="17" t="n"/>
      <c r="H27" s="17" t="n"/>
      <c r="I27" s="17" t="n"/>
      <c r="J27" s="17" t="n"/>
      <c r="K27" s="17" t="n"/>
      <c r="L27" s="17" t="n"/>
    </row>
    <row r="29" ht="22" customHeight="1">
      <c r="A29" s="16">
        <f>HYPERLINK("#'Refi Eligibility'!A1", "Refi Eligibility")</f>
        <v/>
      </c>
      <c r="B29" s="17" t="n"/>
      <c r="C29" s="17" t="n"/>
      <c r="D29" s="17" t="n"/>
      <c r="E29" s="17" t="n"/>
      <c r="F29" s="17" t="n"/>
      <c r="G29" s="16">
        <f>HYPERLINK("#'Settings'!A1", "Settings")</f>
        <v/>
      </c>
      <c r="H29" s="17" t="n"/>
      <c r="I29" s="17" t="n"/>
      <c r="J29" s="17" t="n"/>
      <c r="K29" s="17" t="n"/>
      <c r="L29" s="17" t="n"/>
    </row>
    <row r="30" ht="22" customHeight="1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</row>
    <row r="31" ht="22" customHeight="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</row>
    <row r="33" ht="30" customHeight="1">
      <c r="A33" s="18" t="inlineStr">
        <is>
          <t>Want full P&amp;L per property? Get TAX-002 Single-Property P&amp;L Tracker at thestrledger.com - Schedule E-ready, $47.</t>
        </is>
      </c>
    </row>
    <row r="35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</row>
    <row r="36" ht="18" customHeight="1">
      <c r="A36" s="20" t="inlineStr">
        <is>
          <t>Questions? hello@thestrledger.com</t>
        </is>
      </c>
    </row>
    <row r="37" ht="18" customHeight="1">
      <c r="A37" s="21" t="inlineStr">
        <is>
          <t>FIN-004 - v1.0 - Free updates forever</t>
        </is>
      </c>
    </row>
  </sheetData>
  <mergeCells count="20">
    <mergeCell ref="A16:F16"/>
    <mergeCell ref="A7:L7"/>
    <mergeCell ref="G19:L19"/>
    <mergeCell ref="A37:L37"/>
    <mergeCell ref="A25:F27"/>
    <mergeCell ref="A2:F2"/>
    <mergeCell ref="A33:L33"/>
    <mergeCell ref="A5:L5"/>
    <mergeCell ref="A14:L14"/>
    <mergeCell ref="A17:F19"/>
    <mergeCell ref="G17:L18"/>
    <mergeCell ref="A4:L4"/>
    <mergeCell ref="A29:F31"/>
    <mergeCell ref="G29:L31"/>
    <mergeCell ref="G16:L16"/>
    <mergeCell ref="G25:L27"/>
    <mergeCell ref="A12:L13"/>
    <mergeCell ref="A11:L11"/>
    <mergeCell ref="A36:L36"/>
    <mergeCell ref="A21:L22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6" customWidth="1" min="10" max="10"/>
    <col width="4" customWidth="1" min="11" max="11"/>
    <col width="4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HYPERLINK("#'Start'!A1", "← BACK")</f>
        <v/>
      </c>
      <c r="B2" s="15" t="n"/>
      <c r="C2" s="15" t="n"/>
      <c r="D2" s="22" t="inlineStr">
        <is>
          <t>PER-PROPERTY</t>
        </is>
      </c>
      <c r="J2" s="23">
        <f>HYPERLINK("#'Stress Test'!A1", "NEXT →")</f>
        <v/>
      </c>
      <c r="K2" s="24" t="n"/>
      <c r="L2" s="24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5" t="inlineStr">
        <is>
          <t>Yellow = edit; gray = calculated. NOI = Revenue - OpEx (no mortgage). Debt service = mortgage + HELOC + other annual debt.</t>
        </is>
      </c>
    </row>
    <row r="7" ht="36" customHeight="1">
      <c r="A7" s="26" t="inlineStr">
        <is>
          <t>Property</t>
        </is>
      </c>
      <c r="B7" s="26" t="inlineStr">
        <is>
          <t>Annual Gross Revenue</t>
        </is>
      </c>
      <c r="C7" s="26" t="inlineStr">
        <is>
          <t>Operating Expenses</t>
        </is>
      </c>
      <c r="D7" s="26" t="inlineStr">
        <is>
          <t>NOI</t>
        </is>
      </c>
      <c r="E7" s="26" t="inlineStr">
        <is>
          <t>Mortgage P&amp;I (monthly)</t>
        </is>
      </c>
      <c r="F7" s="26" t="inlineStr">
        <is>
          <t>Annual Debt Service</t>
        </is>
      </c>
      <c r="G7" s="26" t="inlineStr">
        <is>
          <t>Other Annual Debt</t>
        </is>
      </c>
      <c r="H7" s="26" t="inlineStr">
        <is>
          <t>Total Debt Service</t>
        </is>
      </c>
      <c r="I7" s="26" t="inlineStr">
        <is>
          <t>DSCR</t>
        </is>
      </c>
      <c r="J7" s="26" t="inlineStr">
        <is>
          <t>Status</t>
        </is>
      </c>
    </row>
    <row r="8" ht="22" customHeight="1">
      <c r="A8" s="27" t="inlineStr">
        <is>
          <t>Smokies Ridge Cabin</t>
        </is>
      </c>
      <c r="B8" s="28" t="n">
        <v>90000</v>
      </c>
      <c r="C8" s="28" t="n">
        <v>28000</v>
      </c>
      <c r="D8" s="29">
        <f>IF(A8="","",B8-C8)</f>
        <v/>
      </c>
      <c r="E8" s="30" t="n">
        <v>3640</v>
      </c>
      <c r="F8" s="29">
        <f>IF(A8="","",E8*12)</f>
        <v/>
      </c>
      <c r="G8" s="28" t="n">
        <v>0</v>
      </c>
      <c r="H8" s="29">
        <f>IF(A8="","",F8+G8)</f>
        <v/>
      </c>
      <c r="I8" s="31">
        <f>IFERROR(IF(A8="","",D8/H8),"")</f>
        <v/>
      </c>
      <c r="J8" s="32">
        <f>IF(A8="","",IF(I8&gt;=Settings!$B$7,"Qualifies",IF(I8&gt;=Settings!$B$9,"Marginal","Negative")))</f>
        <v/>
      </c>
    </row>
    <row r="9" ht="22" customHeight="1">
      <c r="A9" s="27" t="inlineStr">
        <is>
          <t>Lakehouse A</t>
        </is>
      </c>
      <c r="B9" s="28" t="n">
        <v>78000</v>
      </c>
      <c r="C9" s="28" t="n">
        <v>25000</v>
      </c>
      <c r="D9" s="29">
        <f>IF(A9="","",B9-C9)</f>
        <v/>
      </c>
      <c r="E9" s="30" t="n">
        <v>3742.94</v>
      </c>
      <c r="F9" s="29">
        <f>IF(A9="","",E9*12)</f>
        <v/>
      </c>
      <c r="G9" s="28" t="n">
        <v>0</v>
      </c>
      <c r="H9" s="29">
        <f>IF(A9="","",F9+G9)</f>
        <v/>
      </c>
      <c r="I9" s="31">
        <f>IFERROR(IF(A9="","",D9/H9),"")</f>
        <v/>
      </c>
      <c r="J9" s="32">
        <f>IF(A9="","",IF(I9&gt;=Settings!$B$7,"Qualifies",IF(I9&gt;=Settings!$B$9,"Marginal","Negative")))</f>
        <v/>
      </c>
    </row>
    <row r="10" ht="22" customHeight="1">
      <c r="A10" s="27" t="inlineStr">
        <is>
          <t>Creek Side</t>
        </is>
      </c>
      <c r="B10" s="28" t="n">
        <v>52000</v>
      </c>
      <c r="C10" s="28" t="n">
        <v>21500</v>
      </c>
      <c r="D10" s="29">
        <f>IF(A10="","",B10-C10)</f>
        <v/>
      </c>
      <c r="E10" s="30" t="n">
        <v>2704.43</v>
      </c>
      <c r="F10" s="29">
        <f>IF(A10="","",E10*12)</f>
        <v/>
      </c>
      <c r="G10" s="28" t="n">
        <v>0</v>
      </c>
      <c r="H10" s="29">
        <f>IF(A10="","",F10+G10)</f>
        <v/>
      </c>
      <c r="I10" s="31">
        <f>IFERROR(IF(A10="","",D10/H10),"")</f>
        <v/>
      </c>
      <c r="J10" s="32">
        <f>IF(A10="","",IF(I10&gt;=Settings!$B$7,"Qualifies",IF(I10&gt;=Settings!$B$9,"Marginal","Negative")))</f>
        <v/>
      </c>
    </row>
    <row r="11" ht="22" customHeight="1">
      <c r="A11" s="27" t="n"/>
      <c r="B11" s="28" t="n"/>
      <c r="C11" s="28" t="n"/>
      <c r="D11" s="29">
        <f>IF(A11="","",B11-C11)</f>
        <v/>
      </c>
      <c r="E11" s="30" t="n"/>
      <c r="F11" s="29">
        <f>IF(A11="","",E11*12)</f>
        <v/>
      </c>
      <c r="G11" s="28" t="n"/>
      <c r="H11" s="29">
        <f>IF(A11="","",F11+G11)</f>
        <v/>
      </c>
      <c r="I11" s="31">
        <f>IFERROR(IF(A11="","",D11/H11),"")</f>
        <v/>
      </c>
      <c r="J11" s="32">
        <f>IF(A11="","",IF(I11&gt;=Settings!$B$7,"Qualifies",IF(I11&gt;=Settings!$B$9,"Marginal","Negative")))</f>
        <v/>
      </c>
    </row>
    <row r="12" ht="22" customHeight="1">
      <c r="A12" s="27" t="n"/>
      <c r="B12" s="28" t="n"/>
      <c r="C12" s="28" t="n"/>
      <c r="D12" s="29">
        <f>IF(A12="","",B12-C12)</f>
        <v/>
      </c>
      <c r="E12" s="30" t="n"/>
      <c r="F12" s="29">
        <f>IF(A12="","",E12*12)</f>
        <v/>
      </c>
      <c r="G12" s="28" t="n"/>
      <c r="H12" s="29">
        <f>IF(A12="","",F12+G12)</f>
        <v/>
      </c>
      <c r="I12" s="31">
        <f>IFERROR(IF(A12="","",D12/H12),"")</f>
        <v/>
      </c>
      <c r="J12" s="32">
        <f>IF(A12="","",IF(I12&gt;=Settings!$B$7,"Qualifies",IF(I12&gt;=Settings!$B$9,"Marginal","Negative")))</f>
        <v/>
      </c>
    </row>
    <row r="13" ht="22" customHeight="1">
      <c r="A13" s="27" t="n"/>
      <c r="B13" s="28" t="n"/>
      <c r="C13" s="28" t="n"/>
      <c r="D13" s="29">
        <f>IF(A13="","",B13-C13)</f>
        <v/>
      </c>
      <c r="E13" s="30" t="n"/>
      <c r="F13" s="29">
        <f>IF(A13="","",E13*12)</f>
        <v/>
      </c>
      <c r="G13" s="28" t="n"/>
      <c r="H13" s="29">
        <f>IF(A13="","",F13+G13)</f>
        <v/>
      </c>
      <c r="I13" s="31">
        <f>IFERROR(IF(A13="","",D13/H13),"")</f>
        <v/>
      </c>
      <c r="J13" s="32">
        <f>IF(A13="","",IF(I13&gt;=Settings!$B$7,"Qualifies",IF(I13&gt;=Settings!$B$9,"Marginal","Negative")))</f>
        <v/>
      </c>
    </row>
    <row r="14" ht="22" customHeight="1">
      <c r="A14" s="27" t="n"/>
      <c r="B14" s="28" t="n"/>
      <c r="C14" s="28" t="n"/>
      <c r="D14" s="29">
        <f>IF(A14="","",B14-C14)</f>
        <v/>
      </c>
      <c r="E14" s="30" t="n"/>
      <c r="F14" s="29">
        <f>IF(A14="","",E14*12)</f>
        <v/>
      </c>
      <c r="G14" s="28" t="n"/>
      <c r="H14" s="29">
        <f>IF(A14="","",F14+G14)</f>
        <v/>
      </c>
      <c r="I14" s="31">
        <f>IFERROR(IF(A14="","",D14/H14),"")</f>
        <v/>
      </c>
      <c r="J14" s="32">
        <f>IF(A14="","",IF(I14&gt;=Settings!$B$7,"Qualifies",IF(I14&gt;=Settings!$B$9,"Marginal","Negative")))</f>
        <v/>
      </c>
    </row>
    <row r="15" ht="22" customHeight="1">
      <c r="A15" s="27" t="n"/>
      <c r="B15" s="28" t="n"/>
      <c r="C15" s="28" t="n"/>
      <c r="D15" s="29">
        <f>IF(A15="","",B15-C15)</f>
        <v/>
      </c>
      <c r="E15" s="30" t="n"/>
      <c r="F15" s="29">
        <f>IF(A15="","",E15*12)</f>
        <v/>
      </c>
      <c r="G15" s="28" t="n"/>
      <c r="H15" s="29">
        <f>IF(A15="","",F15+G15)</f>
        <v/>
      </c>
      <c r="I15" s="31">
        <f>IFERROR(IF(A15="","",D15/H15),"")</f>
        <v/>
      </c>
      <c r="J15" s="32">
        <f>IF(A15="","",IF(I15&gt;=Settings!$B$7,"Qualifies",IF(I15&gt;=Settings!$B$9,"Marginal","Negative")))</f>
        <v/>
      </c>
    </row>
    <row r="16" ht="22" customHeight="1">
      <c r="A16" s="27" t="n"/>
      <c r="B16" s="28" t="n"/>
      <c r="C16" s="28" t="n"/>
      <c r="D16" s="29">
        <f>IF(A16="","",B16-C16)</f>
        <v/>
      </c>
      <c r="E16" s="30" t="n"/>
      <c r="F16" s="29">
        <f>IF(A16="","",E16*12)</f>
        <v/>
      </c>
      <c r="G16" s="28" t="n"/>
      <c r="H16" s="29">
        <f>IF(A16="","",F16+G16)</f>
        <v/>
      </c>
      <c r="I16" s="31">
        <f>IFERROR(IF(A16="","",D16/H16),"")</f>
        <v/>
      </c>
      <c r="J16" s="32">
        <f>IF(A16="","",IF(I16&gt;=Settings!$B$7,"Qualifies",IF(I16&gt;=Settings!$B$9,"Marginal","Negative")))</f>
        <v/>
      </c>
    </row>
    <row r="17" ht="22" customHeight="1">
      <c r="A17" s="27" t="n"/>
      <c r="B17" s="28" t="n"/>
      <c r="C17" s="28" t="n"/>
      <c r="D17" s="29">
        <f>IF(A17="","",B17-C17)</f>
        <v/>
      </c>
      <c r="E17" s="30" t="n"/>
      <c r="F17" s="29">
        <f>IF(A17="","",E17*12)</f>
        <v/>
      </c>
      <c r="G17" s="28" t="n"/>
      <c r="H17" s="29">
        <f>IF(A17="","",F17+G17)</f>
        <v/>
      </c>
      <c r="I17" s="31">
        <f>IFERROR(IF(A17="","",D17/H17),"")</f>
        <v/>
      </c>
      <c r="J17" s="32">
        <f>IF(A17="","",IF(I17&gt;=Settings!$B$7,"Qualifies",IF(I17&gt;=Settings!$B$9,"Marginal","Negative")))</f>
        <v/>
      </c>
    </row>
    <row r="18" ht="28" customHeight="1">
      <c r="A18" s="33" t="inlineStr">
        <is>
          <t>PORTFOLIO TOTALS</t>
        </is>
      </c>
      <c r="B18" s="34">
        <f>SUM(B8:B17)</f>
        <v/>
      </c>
      <c r="C18" s="34">
        <f>SUM(C8:C17)</f>
        <v/>
      </c>
      <c r="D18" s="34">
        <f>SUM(D8:D17)</f>
        <v/>
      </c>
      <c r="E18" s="35" t="inlineStr"/>
      <c r="F18" s="34">
        <f>SUM(F8:F17)</f>
        <v/>
      </c>
      <c r="G18" s="34">
        <f>SUM(G8:G17)</f>
        <v/>
      </c>
      <c r="H18" s="34">
        <f>SUM(H8:H17)</f>
        <v/>
      </c>
      <c r="I18" s="36">
        <f>IFERROR(D18/H18,0)</f>
        <v/>
      </c>
      <c r="J18" s="37">
        <f>IF(I18&gt;=Settings!$B$7,"Qualifies",IF(I18&gt;=Settings!$B$9,"Marginal","Negative"))</f>
        <v/>
      </c>
    </row>
    <row r="20" ht="18" customHeight="1">
      <c r="A20" s="13" t="inlineStr">
        <is>
          <t>Status: Qualifies = DSCR &gt;= 1.20 (DSCR-loan eligible). Marginal = 1.0 - 1.19 (covers debt but won't pass most DSCR-loan UW). Negative = &lt; 1.0 (property is bleeding cash).</t>
        </is>
      </c>
    </row>
    <row r="21" ht="18" customHeight="1"/>
    <row r="23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</row>
    <row r="24" ht="18" customHeight="1">
      <c r="A24" s="20" t="inlineStr">
        <is>
          <t>Questions? hello@thestrledger.com</t>
        </is>
      </c>
    </row>
    <row r="25" ht="18" customHeight="1">
      <c r="A25" s="21" t="inlineStr">
        <is>
          <t>FIN-004 - v1.0 - Per-Property</t>
        </is>
      </c>
    </row>
  </sheetData>
  <mergeCells count="7">
    <mergeCell ref="A24:L24"/>
    <mergeCell ref="A20:L21"/>
    <mergeCell ref="J2:L2"/>
    <mergeCell ref="D2:I2"/>
    <mergeCell ref="A25:L25"/>
    <mergeCell ref="A2:C2"/>
    <mergeCell ref="A4:L4"/>
  </mergeCells>
  <conditionalFormatting sqref="I8:I17">
    <cfRule type="expression" priority="1" dxfId="0">
      <formula>AND($A8&lt;&gt;"",$I8&lt;&gt;"",$I8&lt;Settings!$B$9)</formula>
    </cfRule>
    <cfRule type="expression" priority="2" dxfId="1">
      <formula>AND($A8&lt;&gt;"",$I8&lt;&gt;"",$I8&gt;=Settings!$B$9,$I8&lt;Settings!$B$7)</formula>
    </cfRule>
    <cfRule type="expression" priority="3" dxfId="2">
      <formula>AND($A8&lt;&gt;"",$I8&lt;&gt;"",$I8&gt;=Settings!$B$7)</formula>
    </cfRule>
  </conditionalFormatting>
  <conditionalFormatting sqref="J8:J17">
    <cfRule type="expression" priority="4" dxfId="3">
      <formula>$J8="Negative"</formula>
    </cfRule>
    <cfRule type="expression" priority="5" dxfId="4">
      <formula>$J8="Marginal"</formula>
    </cfRule>
    <cfRule type="expression" priority="6" dxfId="5">
      <formula>$J8="Qualifies"</formula>
    </cfRule>
  </conditionalFormatting>
  <pageMargins left="0.4" right="0.4" top="0.5" bottom="0.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6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9" customWidth="1" min="4" max="4"/>
    <col width="14" customWidth="1" min="5" max="5"/>
    <col width="14" customWidth="1" min="6" max="6"/>
    <col width="9" customWidth="1" min="7" max="7"/>
    <col width="14" customWidth="1" min="8" max="8"/>
    <col width="14" customWidth="1" min="9" max="9"/>
    <col width="9" customWidth="1" min="10" max="10"/>
    <col width="4" customWidth="1" min="11" max="11"/>
    <col width="4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HYPERLINK("#'Per-Property'!A1", "← BACK")</f>
        <v/>
      </c>
      <c r="B2" s="15" t="n"/>
      <c r="C2" s="15" t="n"/>
      <c r="D2" s="22" t="inlineStr">
        <is>
          <t>STRESS TEST</t>
        </is>
      </c>
      <c r="J2" s="23">
        <f>HYPERLINK("#'Refi Eligibility'!A1", "NEXT →")</f>
        <v/>
      </c>
      <c r="K2" s="24" t="n"/>
      <c r="L2" s="24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5" t="inlineStr">
        <is>
          <t>What happens to DSCR if revenue drops? Operating expenses and debt service stay constant. Watch which properties slip below 1.0.</t>
        </is>
      </c>
    </row>
    <row r="6" ht="22" customHeight="1">
      <c r="A6" s="38" t="inlineStr"/>
      <c r="B6" s="39" t="inlineStr">
        <is>
          <t>-10% Revenue</t>
        </is>
      </c>
      <c r="E6" s="39" t="inlineStr">
        <is>
          <t>-20% Revenue</t>
        </is>
      </c>
      <c r="H6" s="39" t="inlineStr">
        <is>
          <t>-30% Revenue</t>
        </is>
      </c>
      <c r="K6" s="38" t="n"/>
      <c r="L6" s="38" t="n"/>
    </row>
    <row r="7" ht="32" customHeight="1">
      <c r="A7" s="26" t="inlineStr">
        <is>
          <t>Property</t>
        </is>
      </c>
      <c r="B7" s="26" t="inlineStr">
        <is>
          <t>Stressed Revenue</t>
        </is>
      </c>
      <c r="C7" s="26" t="inlineStr">
        <is>
          <t>Stressed NOI</t>
        </is>
      </c>
      <c r="D7" s="26" t="inlineStr">
        <is>
          <t>DSCR</t>
        </is>
      </c>
      <c r="E7" s="26" t="inlineStr">
        <is>
          <t>Stressed Revenue</t>
        </is>
      </c>
      <c r="F7" s="26" t="inlineStr">
        <is>
          <t>Stressed NOI</t>
        </is>
      </c>
      <c r="G7" s="26" t="inlineStr">
        <is>
          <t>DSCR</t>
        </is>
      </c>
      <c r="H7" s="26" t="inlineStr">
        <is>
          <t>Stressed Revenue</t>
        </is>
      </c>
      <c r="I7" s="26" t="inlineStr">
        <is>
          <t>Stressed NOI</t>
        </is>
      </c>
      <c r="J7" s="26" t="inlineStr">
        <is>
          <t>DSCR</t>
        </is>
      </c>
    </row>
    <row r="8" ht="22" customHeight="1">
      <c r="A8" s="40">
        <f>IF('Per-Property'!A8="","",'Per-Property'!A8)</f>
        <v/>
      </c>
      <c r="B8" s="29">
        <f>IF(A8="","",'Per-Property'!B8*0.9)</f>
        <v/>
      </c>
      <c r="C8" s="29">
        <f>IF(A8="","",B8-'Per-Property'!C8)</f>
        <v/>
      </c>
      <c r="D8" s="31">
        <f>IFERROR(IF(A8="","",C8/'Per-Property'!H8),"")</f>
        <v/>
      </c>
      <c r="E8" s="29">
        <f>IF(A8="","",'Per-Property'!B8*0.8)</f>
        <v/>
      </c>
      <c r="F8" s="29">
        <f>IF(A8="","",E8-'Per-Property'!C8)</f>
        <v/>
      </c>
      <c r="G8" s="31">
        <f>IFERROR(IF(A8="","",F8/'Per-Property'!H8),"")</f>
        <v/>
      </c>
      <c r="H8" s="29">
        <f>IF(A8="","",'Per-Property'!B8*0.7)</f>
        <v/>
      </c>
      <c r="I8" s="29">
        <f>IF(A8="","",H8-'Per-Property'!C8)</f>
        <v/>
      </c>
      <c r="J8" s="31">
        <f>IFERROR(IF(A8="","",I8/'Per-Property'!H8),"")</f>
        <v/>
      </c>
    </row>
    <row r="9" ht="22" customHeight="1">
      <c r="A9" s="40">
        <f>IF('Per-Property'!A9="","",'Per-Property'!A9)</f>
        <v/>
      </c>
      <c r="B9" s="29">
        <f>IF(A9="","",'Per-Property'!B9*0.9)</f>
        <v/>
      </c>
      <c r="C9" s="29">
        <f>IF(A9="","",B9-'Per-Property'!C9)</f>
        <v/>
      </c>
      <c r="D9" s="31">
        <f>IFERROR(IF(A9="","",C9/'Per-Property'!H9),"")</f>
        <v/>
      </c>
      <c r="E9" s="29">
        <f>IF(A9="","",'Per-Property'!B9*0.8)</f>
        <v/>
      </c>
      <c r="F9" s="29">
        <f>IF(A9="","",E9-'Per-Property'!C9)</f>
        <v/>
      </c>
      <c r="G9" s="31">
        <f>IFERROR(IF(A9="","",F9/'Per-Property'!H9),"")</f>
        <v/>
      </c>
      <c r="H9" s="29">
        <f>IF(A9="","",'Per-Property'!B9*0.7)</f>
        <v/>
      </c>
      <c r="I9" s="29">
        <f>IF(A9="","",H9-'Per-Property'!C9)</f>
        <v/>
      </c>
      <c r="J9" s="31">
        <f>IFERROR(IF(A9="","",I9/'Per-Property'!H9),"")</f>
        <v/>
      </c>
    </row>
    <row r="10" ht="22" customHeight="1">
      <c r="A10" s="40">
        <f>IF('Per-Property'!A10="","",'Per-Property'!A10)</f>
        <v/>
      </c>
      <c r="B10" s="29">
        <f>IF(A10="","",'Per-Property'!B10*0.9)</f>
        <v/>
      </c>
      <c r="C10" s="29">
        <f>IF(A10="","",B10-'Per-Property'!C10)</f>
        <v/>
      </c>
      <c r="D10" s="31">
        <f>IFERROR(IF(A10="","",C10/'Per-Property'!H10),"")</f>
        <v/>
      </c>
      <c r="E10" s="29">
        <f>IF(A10="","",'Per-Property'!B10*0.8)</f>
        <v/>
      </c>
      <c r="F10" s="29">
        <f>IF(A10="","",E10-'Per-Property'!C10)</f>
        <v/>
      </c>
      <c r="G10" s="31">
        <f>IFERROR(IF(A10="","",F10/'Per-Property'!H10),"")</f>
        <v/>
      </c>
      <c r="H10" s="29">
        <f>IF(A10="","",'Per-Property'!B10*0.7)</f>
        <v/>
      </c>
      <c r="I10" s="29">
        <f>IF(A10="","",H10-'Per-Property'!C10)</f>
        <v/>
      </c>
      <c r="J10" s="31">
        <f>IFERROR(IF(A10="","",I10/'Per-Property'!H10),"")</f>
        <v/>
      </c>
    </row>
    <row r="11" ht="22" customHeight="1">
      <c r="A11" s="40">
        <f>IF('Per-Property'!A11="","",'Per-Property'!A11)</f>
        <v/>
      </c>
      <c r="B11" s="29">
        <f>IF(A11="","",'Per-Property'!B11*0.9)</f>
        <v/>
      </c>
      <c r="C11" s="29">
        <f>IF(A11="","",B11-'Per-Property'!C11)</f>
        <v/>
      </c>
      <c r="D11" s="31">
        <f>IFERROR(IF(A11="","",C11/'Per-Property'!H11),"")</f>
        <v/>
      </c>
      <c r="E11" s="29">
        <f>IF(A11="","",'Per-Property'!B11*0.8)</f>
        <v/>
      </c>
      <c r="F11" s="29">
        <f>IF(A11="","",E11-'Per-Property'!C11)</f>
        <v/>
      </c>
      <c r="G11" s="31">
        <f>IFERROR(IF(A11="","",F11/'Per-Property'!H11),"")</f>
        <v/>
      </c>
      <c r="H11" s="29">
        <f>IF(A11="","",'Per-Property'!B11*0.7)</f>
        <v/>
      </c>
      <c r="I11" s="29">
        <f>IF(A11="","",H11-'Per-Property'!C11)</f>
        <v/>
      </c>
      <c r="J11" s="31">
        <f>IFERROR(IF(A11="","",I11/'Per-Property'!H11),"")</f>
        <v/>
      </c>
    </row>
    <row r="12" ht="22" customHeight="1">
      <c r="A12" s="40">
        <f>IF('Per-Property'!A12="","",'Per-Property'!A12)</f>
        <v/>
      </c>
      <c r="B12" s="29">
        <f>IF(A12="","",'Per-Property'!B12*0.9)</f>
        <v/>
      </c>
      <c r="C12" s="29">
        <f>IF(A12="","",B12-'Per-Property'!C12)</f>
        <v/>
      </c>
      <c r="D12" s="31">
        <f>IFERROR(IF(A12="","",C12/'Per-Property'!H12),"")</f>
        <v/>
      </c>
      <c r="E12" s="29">
        <f>IF(A12="","",'Per-Property'!B12*0.8)</f>
        <v/>
      </c>
      <c r="F12" s="29">
        <f>IF(A12="","",E12-'Per-Property'!C12)</f>
        <v/>
      </c>
      <c r="G12" s="31">
        <f>IFERROR(IF(A12="","",F12/'Per-Property'!H12),"")</f>
        <v/>
      </c>
      <c r="H12" s="29">
        <f>IF(A12="","",'Per-Property'!B12*0.7)</f>
        <v/>
      </c>
      <c r="I12" s="29">
        <f>IF(A12="","",H12-'Per-Property'!C12)</f>
        <v/>
      </c>
      <c r="J12" s="31">
        <f>IFERROR(IF(A12="","",I12/'Per-Property'!H12),"")</f>
        <v/>
      </c>
    </row>
    <row r="13" ht="22" customHeight="1">
      <c r="A13" s="40">
        <f>IF('Per-Property'!A13="","",'Per-Property'!A13)</f>
        <v/>
      </c>
      <c r="B13" s="29">
        <f>IF(A13="","",'Per-Property'!B13*0.9)</f>
        <v/>
      </c>
      <c r="C13" s="29">
        <f>IF(A13="","",B13-'Per-Property'!C13)</f>
        <v/>
      </c>
      <c r="D13" s="31">
        <f>IFERROR(IF(A13="","",C13/'Per-Property'!H13),"")</f>
        <v/>
      </c>
      <c r="E13" s="29">
        <f>IF(A13="","",'Per-Property'!B13*0.8)</f>
        <v/>
      </c>
      <c r="F13" s="29">
        <f>IF(A13="","",E13-'Per-Property'!C13)</f>
        <v/>
      </c>
      <c r="G13" s="31">
        <f>IFERROR(IF(A13="","",F13/'Per-Property'!H13),"")</f>
        <v/>
      </c>
      <c r="H13" s="29">
        <f>IF(A13="","",'Per-Property'!B13*0.7)</f>
        <v/>
      </c>
      <c r="I13" s="29">
        <f>IF(A13="","",H13-'Per-Property'!C13)</f>
        <v/>
      </c>
      <c r="J13" s="31">
        <f>IFERROR(IF(A13="","",I13/'Per-Property'!H13),"")</f>
        <v/>
      </c>
    </row>
    <row r="14" ht="22" customHeight="1">
      <c r="A14" s="40">
        <f>IF('Per-Property'!A14="","",'Per-Property'!A14)</f>
        <v/>
      </c>
      <c r="B14" s="29">
        <f>IF(A14="","",'Per-Property'!B14*0.9)</f>
        <v/>
      </c>
      <c r="C14" s="29">
        <f>IF(A14="","",B14-'Per-Property'!C14)</f>
        <v/>
      </c>
      <c r="D14" s="31">
        <f>IFERROR(IF(A14="","",C14/'Per-Property'!H14),"")</f>
        <v/>
      </c>
      <c r="E14" s="29">
        <f>IF(A14="","",'Per-Property'!B14*0.8)</f>
        <v/>
      </c>
      <c r="F14" s="29">
        <f>IF(A14="","",E14-'Per-Property'!C14)</f>
        <v/>
      </c>
      <c r="G14" s="31">
        <f>IFERROR(IF(A14="","",F14/'Per-Property'!H14),"")</f>
        <v/>
      </c>
      <c r="H14" s="29">
        <f>IF(A14="","",'Per-Property'!B14*0.7)</f>
        <v/>
      </c>
      <c r="I14" s="29">
        <f>IF(A14="","",H14-'Per-Property'!C14)</f>
        <v/>
      </c>
      <c r="J14" s="31">
        <f>IFERROR(IF(A14="","",I14/'Per-Property'!H14),"")</f>
        <v/>
      </c>
    </row>
    <row r="15" ht="22" customHeight="1">
      <c r="A15" s="40">
        <f>IF('Per-Property'!A15="","",'Per-Property'!A15)</f>
        <v/>
      </c>
      <c r="B15" s="29">
        <f>IF(A15="","",'Per-Property'!B15*0.9)</f>
        <v/>
      </c>
      <c r="C15" s="29">
        <f>IF(A15="","",B15-'Per-Property'!C15)</f>
        <v/>
      </c>
      <c r="D15" s="31">
        <f>IFERROR(IF(A15="","",C15/'Per-Property'!H15),"")</f>
        <v/>
      </c>
      <c r="E15" s="29">
        <f>IF(A15="","",'Per-Property'!B15*0.8)</f>
        <v/>
      </c>
      <c r="F15" s="29">
        <f>IF(A15="","",E15-'Per-Property'!C15)</f>
        <v/>
      </c>
      <c r="G15" s="31">
        <f>IFERROR(IF(A15="","",F15/'Per-Property'!H15),"")</f>
        <v/>
      </c>
      <c r="H15" s="29">
        <f>IF(A15="","",'Per-Property'!B15*0.7)</f>
        <v/>
      </c>
      <c r="I15" s="29">
        <f>IF(A15="","",H15-'Per-Property'!C15)</f>
        <v/>
      </c>
      <c r="J15" s="31">
        <f>IFERROR(IF(A15="","",I15/'Per-Property'!H15),"")</f>
        <v/>
      </c>
    </row>
    <row r="16" ht="22" customHeight="1">
      <c r="A16" s="40">
        <f>IF('Per-Property'!A16="","",'Per-Property'!A16)</f>
        <v/>
      </c>
      <c r="B16" s="29">
        <f>IF(A16="","",'Per-Property'!B16*0.9)</f>
        <v/>
      </c>
      <c r="C16" s="29">
        <f>IF(A16="","",B16-'Per-Property'!C16)</f>
        <v/>
      </c>
      <c r="D16" s="31">
        <f>IFERROR(IF(A16="","",C16/'Per-Property'!H16),"")</f>
        <v/>
      </c>
      <c r="E16" s="29">
        <f>IF(A16="","",'Per-Property'!B16*0.8)</f>
        <v/>
      </c>
      <c r="F16" s="29">
        <f>IF(A16="","",E16-'Per-Property'!C16)</f>
        <v/>
      </c>
      <c r="G16" s="31">
        <f>IFERROR(IF(A16="","",F16/'Per-Property'!H16),"")</f>
        <v/>
      </c>
      <c r="H16" s="29">
        <f>IF(A16="","",'Per-Property'!B16*0.7)</f>
        <v/>
      </c>
      <c r="I16" s="29">
        <f>IF(A16="","",H16-'Per-Property'!C16)</f>
        <v/>
      </c>
      <c r="J16" s="31">
        <f>IFERROR(IF(A16="","",I16/'Per-Property'!H16),"")</f>
        <v/>
      </c>
    </row>
    <row r="17" ht="22" customHeight="1">
      <c r="A17" s="40">
        <f>IF('Per-Property'!A17="","",'Per-Property'!A17)</f>
        <v/>
      </c>
      <c r="B17" s="29">
        <f>IF(A17="","",'Per-Property'!B17*0.9)</f>
        <v/>
      </c>
      <c r="C17" s="29">
        <f>IF(A17="","",B17-'Per-Property'!C17)</f>
        <v/>
      </c>
      <c r="D17" s="31">
        <f>IFERROR(IF(A17="","",C17/'Per-Property'!H17),"")</f>
        <v/>
      </c>
      <c r="E17" s="29">
        <f>IF(A17="","",'Per-Property'!B17*0.8)</f>
        <v/>
      </c>
      <c r="F17" s="29">
        <f>IF(A17="","",E17-'Per-Property'!C17)</f>
        <v/>
      </c>
      <c r="G17" s="31">
        <f>IFERROR(IF(A17="","",F17/'Per-Property'!H17),"")</f>
        <v/>
      </c>
      <c r="H17" s="29">
        <f>IF(A17="","",'Per-Property'!B17*0.7)</f>
        <v/>
      </c>
      <c r="I17" s="29">
        <f>IF(A17="","",H17-'Per-Property'!C17)</f>
        <v/>
      </c>
      <c r="J17" s="31">
        <f>IFERROR(IF(A17="","",I17/'Per-Property'!H17),"")</f>
        <v/>
      </c>
    </row>
    <row r="19" ht="26" customHeight="1">
      <c r="A19" s="41" t="inlineStr">
        <is>
          <t># AT RISK (DSCR &lt; 1.0)</t>
        </is>
      </c>
      <c r="B19" s="42">
        <f>COUNTIFS(A8:A17,"&lt;&gt;",D8:D17,"&lt;"&amp;Settings!$B$9)&amp;" of "&amp;COUNTIF(A8:A17,"&lt;&gt;")</f>
        <v/>
      </c>
      <c r="E19" s="42">
        <f>COUNTIFS(A8:A17,"&lt;&gt;",G8:G17,"&lt;"&amp;Settings!$B$9)&amp;" of "&amp;COUNTIF(A8:A17,"&lt;&gt;")</f>
        <v/>
      </c>
      <c r="H19" s="42">
        <f>COUNTIFS(A8:A17,"&lt;&gt;",J8:J17,"&lt;"&amp;Settings!$B$9)&amp;" of "&amp;COUNTIF(A8:A17,"&lt;&gt;")</f>
        <v/>
      </c>
      <c r="K19" s="1" t="n"/>
      <c r="L19" s="1" t="n"/>
    </row>
    <row r="21" ht="22" customHeight="1">
      <c r="A21" s="13" t="inlineStr">
        <is>
          <t>Stress test holds operating expenses and debt service constant - real downturns may also reduce OpEx (cleanings, supplies). The pessimism is intentional: a property that survives -30% revenue with no OpEx relief will survive most real-world scenarios.</t>
        </is>
      </c>
    </row>
    <row r="22" ht="22" customHeight="1"/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</row>
    <row r="25" ht="18" customHeight="1">
      <c r="A25" s="20" t="inlineStr">
        <is>
          <t>Questions? hello@thestrledger.com</t>
        </is>
      </c>
    </row>
    <row r="26" ht="18" customHeight="1">
      <c r="A26" s="21" t="inlineStr">
        <is>
          <t>FIN-004 - v1.0 - Stress Test</t>
        </is>
      </c>
    </row>
  </sheetData>
  <mergeCells count="14">
    <mergeCell ref="A26:L26"/>
    <mergeCell ref="J2:L2"/>
    <mergeCell ref="D2:I2"/>
    <mergeCell ref="B19:D19"/>
    <mergeCell ref="E19:G19"/>
    <mergeCell ref="A25:L25"/>
    <mergeCell ref="H19:J19"/>
    <mergeCell ref="A21:L22"/>
    <mergeCell ref="E6:G6"/>
    <mergeCell ref="A19"/>
    <mergeCell ref="B6:D6"/>
    <mergeCell ref="A2:C2"/>
    <mergeCell ref="A4:L4"/>
    <mergeCell ref="H6:J6"/>
  </mergeCells>
  <conditionalFormatting sqref="D8:D17">
    <cfRule type="expression" priority="1" dxfId="0">
      <formula>AND($A8&lt;&gt;"",D8&lt;&gt;"",D8&lt;Settings!$B$9)</formula>
    </cfRule>
    <cfRule type="expression" priority="2" dxfId="1">
      <formula>AND($A8&lt;&gt;"",D8&lt;&gt;"",D8&gt;=Settings!$B$9,D8&lt;Settings!$B$7)</formula>
    </cfRule>
    <cfRule type="expression" priority="3" dxfId="2">
      <formula>AND($A8&lt;&gt;"",D8&lt;&gt;"",D8&gt;=Settings!$B$7)</formula>
    </cfRule>
  </conditionalFormatting>
  <conditionalFormatting sqref="G8:G17">
    <cfRule type="expression" priority="4" dxfId="0">
      <formula>AND($A8&lt;&gt;"",G8&lt;&gt;"",G8&lt;Settings!$B$9)</formula>
    </cfRule>
    <cfRule type="expression" priority="5" dxfId="1">
      <formula>AND($A8&lt;&gt;"",G8&lt;&gt;"",G8&gt;=Settings!$B$9,G8&lt;Settings!$B$7)</formula>
    </cfRule>
    <cfRule type="expression" priority="6" dxfId="2">
      <formula>AND($A8&lt;&gt;"",G8&lt;&gt;"",G8&gt;=Settings!$B$7)</formula>
    </cfRule>
  </conditionalFormatting>
  <conditionalFormatting sqref="J8:J17">
    <cfRule type="expression" priority="7" dxfId="0">
      <formula>AND($A8&lt;&gt;"",J8&lt;&gt;"",J8&lt;Settings!$B$9)</formula>
    </cfRule>
    <cfRule type="expression" priority="8" dxfId="1">
      <formula>AND($A8&lt;&gt;"",J8&lt;&gt;"",J8&gt;=Settings!$B$9,J8&lt;Settings!$B$7)</formula>
    </cfRule>
    <cfRule type="expression" priority="9" dxfId="2">
      <formula>AND($A8&lt;&gt;"",J8&lt;&gt;"",J8&gt;=Settings!$B$7)</formula>
    </cfRule>
  </conditionalFormatting>
  <pageMargins left="0.4" right="0.4" top="0.5" bottom="0.5" header="0.5" footer="0.5"/>
  <pageSetup orientation="landscape" paperSize="1" fitToHeight="1" fitToWidth="1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6" customWidth="1" min="4" max="4"/>
    <col width="12" customWidth="1" min="5" max="5"/>
    <col width="14" customWidth="1" min="6" max="6"/>
    <col width="12" customWidth="1" min="7" max="7"/>
    <col width="12" customWidth="1" min="8" max="8"/>
    <col width="18" customWidth="1" min="9" max="9"/>
    <col width="4" customWidth="1" min="10" max="10"/>
    <col width="4" customWidth="1" min="11" max="11"/>
    <col width="4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HYPERLINK("#'Stress Test'!A1", "← BACK")</f>
        <v/>
      </c>
      <c r="B2" s="15" t="n"/>
      <c r="C2" s="15" t="n"/>
      <c r="D2" s="22" t="inlineStr">
        <is>
          <t>REFI ELIGIBILITY</t>
        </is>
      </c>
      <c r="J2" s="23">
        <f>HYPERLINK("#'Settings'!A1", "NEXT →")</f>
        <v/>
      </c>
      <c r="K2" s="24" t="n"/>
      <c r="L2" s="24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5" t="inlineStr">
        <is>
          <t>DSCR loans typically require DSCR &gt;= 1.20 AND LTV &lt;= 75%. Enter property value + loan balance to see which qualify.</t>
        </is>
      </c>
    </row>
    <row r="7" ht="36" customHeight="1">
      <c r="A7" s="26" t="inlineStr">
        <is>
          <t>Property</t>
        </is>
      </c>
      <c r="B7" s="26" t="inlineStr">
        <is>
          <t>Current DSCR</t>
        </is>
      </c>
      <c r="C7" s="26" t="inlineStr">
        <is>
          <t>Est. Property Value</t>
        </is>
      </c>
      <c r="D7" s="26" t="inlineStr">
        <is>
          <t>Current Loan Balance</t>
        </is>
      </c>
      <c r="E7" s="26" t="inlineStr">
        <is>
          <t>Implied LTV</t>
        </is>
      </c>
      <c r="F7" s="26" t="inlineStr">
        <is>
          <t>Max LTV</t>
        </is>
      </c>
      <c r="G7" s="26" t="inlineStr">
        <is>
          <t>DSCR Pass?</t>
        </is>
      </c>
      <c r="H7" s="26" t="inlineStr">
        <is>
          <t>LTV Pass?</t>
        </is>
      </c>
      <c r="I7" s="26" t="inlineStr">
        <is>
          <t>DSCR-Loan Eligible</t>
        </is>
      </c>
    </row>
    <row r="8" ht="22" customHeight="1">
      <c r="A8" s="40">
        <f>IF('Per-Property'!A8="","",'Per-Property'!A8)</f>
        <v/>
      </c>
      <c r="B8" s="43">
        <f>IFERROR(IF('Per-Property'!A8="","",'Per-Property'!I8),"")</f>
        <v/>
      </c>
      <c r="C8" s="28" t="n">
        <v>525000</v>
      </c>
      <c r="D8" s="28" t="n">
        <v>360000</v>
      </c>
      <c r="E8" s="44">
        <f>IFERROR(IF(OR(A8="",C8=""),"",D8/C8),"")</f>
        <v/>
      </c>
      <c r="F8" s="45">
        <f>IF(A8="","",Settings!$B$11)</f>
        <v/>
      </c>
      <c r="G8" s="46">
        <f>IF(A8="","",IF(B8&gt;=Settings!$B$7,"Pass","Fail"))</f>
        <v/>
      </c>
      <c r="H8" s="46">
        <f>IF(OR(A8="",E8=""),"",IF(E8&lt;=Settings!$B$11,"Pass","Fail"))</f>
        <v/>
      </c>
      <c r="I8" s="47">
        <f>IF(OR(A8="",E8=""),"",IF(AND(B8&gt;=Settings!$B$7,E8&lt;=Settings!$B$11),"Eligible","Not Eligible"))</f>
        <v/>
      </c>
    </row>
    <row r="9" ht="22" customHeight="1">
      <c r="A9" s="40">
        <f>IF('Per-Property'!A9="","",'Per-Property'!A9)</f>
        <v/>
      </c>
      <c r="B9" s="43">
        <f>IFERROR(IF('Per-Property'!A9="","",'Per-Property'!I9),"")</f>
        <v/>
      </c>
      <c r="C9" s="28" t="n">
        <v>540000</v>
      </c>
      <c r="D9" s="28" t="n">
        <v>405000</v>
      </c>
      <c r="E9" s="44">
        <f>IFERROR(IF(OR(A9="",C9=""),"",D9/C9),"")</f>
        <v/>
      </c>
      <c r="F9" s="45">
        <f>IF(A9="","",Settings!$B$11)</f>
        <v/>
      </c>
      <c r="G9" s="46">
        <f>IF(A9="","",IF(B9&gt;=Settings!$B$7,"Pass","Fail"))</f>
        <v/>
      </c>
      <c r="H9" s="46">
        <f>IF(OR(A9="",E9=""),"",IF(E9&lt;=Settings!$B$11,"Pass","Fail"))</f>
        <v/>
      </c>
      <c r="I9" s="47">
        <f>IF(OR(A9="",E9=""),"",IF(AND(B9&gt;=Settings!$B$7,E9&lt;=Settings!$B$11),"Eligible","Not Eligible"))</f>
        <v/>
      </c>
    </row>
    <row r="10" ht="22" customHeight="1">
      <c r="A10" s="40">
        <f>IF('Per-Property'!A10="","",'Per-Property'!A10)</f>
        <v/>
      </c>
      <c r="B10" s="43">
        <f>IFERROR(IF('Per-Property'!A10="","",'Per-Property'!I10),"")</f>
        <v/>
      </c>
      <c r="C10" s="28" t="n">
        <v>340000</v>
      </c>
      <c r="D10" s="28" t="n">
        <v>272000</v>
      </c>
      <c r="E10" s="44">
        <f>IFERROR(IF(OR(A10="",C10=""),"",D10/C10),"")</f>
        <v/>
      </c>
      <c r="F10" s="45">
        <f>IF(A10="","",Settings!$B$11)</f>
        <v/>
      </c>
      <c r="G10" s="46">
        <f>IF(A10="","",IF(B10&gt;=Settings!$B$7,"Pass","Fail"))</f>
        <v/>
      </c>
      <c r="H10" s="46">
        <f>IF(OR(A10="",E10=""),"",IF(E10&lt;=Settings!$B$11,"Pass","Fail"))</f>
        <v/>
      </c>
      <c r="I10" s="47">
        <f>IF(OR(A10="",E10=""),"",IF(AND(B10&gt;=Settings!$B$7,E10&lt;=Settings!$B$11),"Eligible","Not Eligible"))</f>
        <v/>
      </c>
    </row>
    <row r="11" ht="22" customHeight="1">
      <c r="A11" s="40">
        <f>IF('Per-Property'!A11="","",'Per-Property'!A11)</f>
        <v/>
      </c>
      <c r="B11" s="43">
        <f>IFERROR(IF('Per-Property'!A11="","",'Per-Property'!I11),"")</f>
        <v/>
      </c>
      <c r="C11" s="28" t="n"/>
      <c r="D11" s="28" t="n"/>
      <c r="E11" s="44">
        <f>IFERROR(IF(OR(A11="",C11=""),"",D11/C11),"")</f>
        <v/>
      </c>
      <c r="F11" s="45">
        <f>IF(A11="","",Settings!$B$11)</f>
        <v/>
      </c>
      <c r="G11" s="46">
        <f>IF(A11="","",IF(B11&gt;=Settings!$B$7,"Pass","Fail"))</f>
        <v/>
      </c>
      <c r="H11" s="46">
        <f>IF(OR(A11="",E11=""),"",IF(E11&lt;=Settings!$B$11,"Pass","Fail"))</f>
        <v/>
      </c>
      <c r="I11" s="47">
        <f>IF(OR(A11="",E11=""),"",IF(AND(B11&gt;=Settings!$B$7,E11&lt;=Settings!$B$11),"Eligible","Not Eligible"))</f>
        <v/>
      </c>
    </row>
    <row r="12" ht="22" customHeight="1">
      <c r="A12" s="40">
        <f>IF('Per-Property'!A12="","",'Per-Property'!A12)</f>
        <v/>
      </c>
      <c r="B12" s="43">
        <f>IFERROR(IF('Per-Property'!A12="","",'Per-Property'!I12),"")</f>
        <v/>
      </c>
      <c r="C12" s="28" t="n"/>
      <c r="D12" s="28" t="n"/>
      <c r="E12" s="44">
        <f>IFERROR(IF(OR(A12="",C12=""),"",D12/C12),"")</f>
        <v/>
      </c>
      <c r="F12" s="45">
        <f>IF(A12="","",Settings!$B$11)</f>
        <v/>
      </c>
      <c r="G12" s="46">
        <f>IF(A12="","",IF(B12&gt;=Settings!$B$7,"Pass","Fail"))</f>
        <v/>
      </c>
      <c r="H12" s="46">
        <f>IF(OR(A12="",E12=""),"",IF(E12&lt;=Settings!$B$11,"Pass","Fail"))</f>
        <v/>
      </c>
      <c r="I12" s="47">
        <f>IF(OR(A12="",E12=""),"",IF(AND(B12&gt;=Settings!$B$7,E12&lt;=Settings!$B$11),"Eligible","Not Eligible"))</f>
        <v/>
      </c>
    </row>
    <row r="13" ht="22" customHeight="1">
      <c r="A13" s="40">
        <f>IF('Per-Property'!A13="","",'Per-Property'!A13)</f>
        <v/>
      </c>
      <c r="B13" s="43">
        <f>IFERROR(IF('Per-Property'!A13="","",'Per-Property'!I13),"")</f>
        <v/>
      </c>
      <c r="C13" s="28" t="n"/>
      <c r="D13" s="28" t="n"/>
      <c r="E13" s="44">
        <f>IFERROR(IF(OR(A13="",C13=""),"",D13/C13),"")</f>
        <v/>
      </c>
      <c r="F13" s="45">
        <f>IF(A13="","",Settings!$B$11)</f>
        <v/>
      </c>
      <c r="G13" s="46">
        <f>IF(A13="","",IF(B13&gt;=Settings!$B$7,"Pass","Fail"))</f>
        <v/>
      </c>
      <c r="H13" s="46">
        <f>IF(OR(A13="",E13=""),"",IF(E13&lt;=Settings!$B$11,"Pass","Fail"))</f>
        <v/>
      </c>
      <c r="I13" s="47">
        <f>IF(OR(A13="",E13=""),"",IF(AND(B13&gt;=Settings!$B$7,E13&lt;=Settings!$B$11),"Eligible","Not Eligible"))</f>
        <v/>
      </c>
    </row>
    <row r="14" ht="22" customHeight="1">
      <c r="A14" s="40">
        <f>IF('Per-Property'!A14="","",'Per-Property'!A14)</f>
        <v/>
      </c>
      <c r="B14" s="43">
        <f>IFERROR(IF('Per-Property'!A14="","",'Per-Property'!I14),"")</f>
        <v/>
      </c>
      <c r="C14" s="28" t="n"/>
      <c r="D14" s="28" t="n"/>
      <c r="E14" s="44">
        <f>IFERROR(IF(OR(A14="",C14=""),"",D14/C14),"")</f>
        <v/>
      </c>
      <c r="F14" s="45">
        <f>IF(A14="","",Settings!$B$11)</f>
        <v/>
      </c>
      <c r="G14" s="46">
        <f>IF(A14="","",IF(B14&gt;=Settings!$B$7,"Pass","Fail"))</f>
        <v/>
      </c>
      <c r="H14" s="46">
        <f>IF(OR(A14="",E14=""),"",IF(E14&lt;=Settings!$B$11,"Pass","Fail"))</f>
        <v/>
      </c>
      <c r="I14" s="47">
        <f>IF(OR(A14="",E14=""),"",IF(AND(B14&gt;=Settings!$B$7,E14&lt;=Settings!$B$11),"Eligible","Not Eligible"))</f>
        <v/>
      </c>
    </row>
    <row r="15" ht="22" customHeight="1">
      <c r="A15" s="40">
        <f>IF('Per-Property'!A15="","",'Per-Property'!A15)</f>
        <v/>
      </c>
      <c r="B15" s="43">
        <f>IFERROR(IF('Per-Property'!A15="","",'Per-Property'!I15),"")</f>
        <v/>
      </c>
      <c r="C15" s="28" t="n"/>
      <c r="D15" s="28" t="n"/>
      <c r="E15" s="44">
        <f>IFERROR(IF(OR(A15="",C15=""),"",D15/C15),"")</f>
        <v/>
      </c>
      <c r="F15" s="45">
        <f>IF(A15="","",Settings!$B$11)</f>
        <v/>
      </c>
      <c r="G15" s="46">
        <f>IF(A15="","",IF(B15&gt;=Settings!$B$7,"Pass","Fail"))</f>
        <v/>
      </c>
      <c r="H15" s="46">
        <f>IF(OR(A15="",E15=""),"",IF(E15&lt;=Settings!$B$11,"Pass","Fail"))</f>
        <v/>
      </c>
      <c r="I15" s="47">
        <f>IF(OR(A15="",E15=""),"",IF(AND(B15&gt;=Settings!$B$7,E15&lt;=Settings!$B$11),"Eligible","Not Eligible"))</f>
        <v/>
      </c>
    </row>
    <row r="16" ht="22" customHeight="1">
      <c r="A16" s="40">
        <f>IF('Per-Property'!A16="","",'Per-Property'!A16)</f>
        <v/>
      </c>
      <c r="B16" s="43">
        <f>IFERROR(IF('Per-Property'!A16="","",'Per-Property'!I16),"")</f>
        <v/>
      </c>
      <c r="C16" s="28" t="n"/>
      <c r="D16" s="28" t="n"/>
      <c r="E16" s="44">
        <f>IFERROR(IF(OR(A16="",C16=""),"",D16/C16),"")</f>
        <v/>
      </c>
      <c r="F16" s="45">
        <f>IF(A16="","",Settings!$B$11)</f>
        <v/>
      </c>
      <c r="G16" s="46">
        <f>IF(A16="","",IF(B16&gt;=Settings!$B$7,"Pass","Fail"))</f>
        <v/>
      </c>
      <c r="H16" s="46">
        <f>IF(OR(A16="",E16=""),"",IF(E16&lt;=Settings!$B$11,"Pass","Fail"))</f>
        <v/>
      </c>
      <c r="I16" s="47">
        <f>IF(OR(A16="",E16=""),"",IF(AND(B16&gt;=Settings!$B$7,E16&lt;=Settings!$B$11),"Eligible","Not Eligible"))</f>
        <v/>
      </c>
    </row>
    <row r="17" ht="22" customHeight="1">
      <c r="A17" s="40">
        <f>IF('Per-Property'!A17="","",'Per-Property'!A17)</f>
        <v/>
      </c>
      <c r="B17" s="43">
        <f>IFERROR(IF('Per-Property'!A17="","",'Per-Property'!I17),"")</f>
        <v/>
      </c>
      <c r="C17" s="28" t="n"/>
      <c r="D17" s="28" t="n"/>
      <c r="E17" s="44">
        <f>IFERROR(IF(OR(A17="",C17=""),"",D17/C17),"")</f>
        <v/>
      </c>
      <c r="F17" s="45">
        <f>IF(A17="","",Settings!$B$11)</f>
        <v/>
      </c>
      <c r="G17" s="46">
        <f>IF(A17="","",IF(B17&gt;=Settings!$B$7,"Pass","Fail"))</f>
        <v/>
      </c>
      <c r="H17" s="46">
        <f>IF(OR(A17="",E17=""),"",IF(E17&lt;=Settings!$B$11,"Pass","Fail"))</f>
        <v/>
      </c>
      <c r="I17" s="47">
        <f>IF(OR(A17="",E17=""),"",IF(AND(B17&gt;=Settings!$B$7,E17&lt;=Settings!$B$11),"Eligible","Not Eligible"))</f>
        <v/>
      </c>
    </row>
    <row r="19" ht="26" customHeight="1">
      <c r="A19" s="41" t="inlineStr">
        <is>
          <t># DSCR-LOAN ELIGIBLE</t>
        </is>
      </c>
      <c r="B19" s="1" t="n"/>
      <c r="C19" s="1" t="n"/>
      <c r="D19" s="1" t="n"/>
      <c r="E19" s="1" t="n"/>
      <c r="F19" s="1" t="n"/>
      <c r="G19" s="1" t="n"/>
      <c r="H19" s="1" t="n"/>
      <c r="I19" s="37">
        <f>COUNTIF(I8:I17,"Eligible")&amp;" of "&amp;COUNTIF(A8:A17,"&lt;&gt;")</f>
        <v/>
      </c>
      <c r="J19" s="1" t="n"/>
      <c r="K19" s="1" t="n"/>
      <c r="L19" s="1" t="n"/>
    </row>
    <row r="21" ht="22" customHeight="1">
      <c r="A21" s="13" t="inlineStr">
        <is>
          <t>Lender thresholds vary - many DSCR lenders accept 1.10-1.15 with LTV &lt;= 70% or charge a rate premium. Settings tab lets you adjust the qualify threshold + max LTV to match a specific lender's overlay.</t>
        </is>
      </c>
    </row>
    <row r="22" ht="22" customHeight="1"/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</row>
    <row r="25" ht="18" customHeight="1">
      <c r="A25" s="20" t="inlineStr">
        <is>
          <t>Questions? hello@thestrledger.com</t>
        </is>
      </c>
    </row>
    <row r="26" ht="18" customHeight="1">
      <c r="A26" s="21" t="inlineStr">
        <is>
          <t>FIN-004 - v1.0 - Refi Eligibility</t>
        </is>
      </c>
    </row>
  </sheetData>
  <mergeCells count="7">
    <mergeCell ref="A26:L26"/>
    <mergeCell ref="J2:L2"/>
    <mergeCell ref="D2:I2"/>
    <mergeCell ref="A25:L25"/>
    <mergeCell ref="A21:L22"/>
    <mergeCell ref="A2:C2"/>
    <mergeCell ref="A4:L4"/>
  </mergeCells>
  <conditionalFormatting sqref="G8:G17">
    <cfRule type="expression" priority="1" dxfId="5">
      <formula>$G8="Pass"</formula>
    </cfRule>
    <cfRule type="expression" priority="2" dxfId="3">
      <formula>$G8="Fail"</formula>
    </cfRule>
  </conditionalFormatting>
  <conditionalFormatting sqref="H8:H17">
    <cfRule type="expression" priority="3" dxfId="5">
      <formula>$H8="Pass"</formula>
    </cfRule>
    <cfRule type="expression" priority="4" dxfId="3">
      <formula>$H8="Fail"</formula>
    </cfRule>
  </conditionalFormatting>
  <conditionalFormatting sqref="I8:I17">
    <cfRule type="expression" priority="5" dxfId="2">
      <formula>$I8="Eligible"</formula>
    </cfRule>
    <cfRule type="expression" priority="6" dxfId="0">
      <formula>$I8="Not Eligible"</formula>
    </cfRule>
  </conditionalFormatting>
  <pageMargins left="0.4" right="0.4" top="0.5" bottom="0.5" header="0.5" footer="0.5"/>
  <pageSetup orientation="landscape" paperSize="1" fitToHeight="1" fitToWidth="1"/>
</worksheet>
</file>

<file path=xl/worksheets/sheet5.xml><?xml version="1.0" encoding="utf-8"?>
<worksheet xmlns="http://schemas.openxmlformats.org/spreadsheetml/2006/main">
  <sheetPr>
    <tabColor rgb="002A4867"/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HYPERLINK("#'Refi Eligibility'!A1", "← BACK")</f>
        <v/>
      </c>
      <c r="B2" s="15" t="n"/>
      <c r="C2" s="15" t="n"/>
      <c r="D2" s="22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5" t="inlineStr">
        <is>
          <t>Adjust thresholds and active year. Yellow = edit.</t>
        </is>
      </c>
    </row>
    <row r="5" ht="22" customHeight="1">
      <c r="A5" s="48" t="inlineStr">
        <is>
          <t>Active year:</t>
        </is>
      </c>
      <c r="B5" s="49" t="n">
        <v>2026</v>
      </c>
    </row>
    <row r="7" ht="22" customHeight="1">
      <c r="A7" s="48" t="inlineStr">
        <is>
          <t>DSCR threshold - Qualifies (&gt;=):</t>
        </is>
      </c>
      <c r="B7" s="50" t="n">
        <v>1.2</v>
      </c>
    </row>
    <row r="8" ht="14" customHeight="1">
      <c r="A8" s="51" t="inlineStr">
        <is>
          <t>Most DSCR lenders use 1.20. Some accept 1.10-1.15 with overlay.</t>
        </is>
      </c>
    </row>
    <row r="9" ht="22" customHeight="1">
      <c r="A9" s="48" t="inlineStr">
        <is>
          <t>DSCR threshold - Negative (&lt;):</t>
        </is>
      </c>
      <c r="B9" s="50" t="n">
        <v>1</v>
      </c>
    </row>
    <row r="10" ht="14" customHeight="1">
      <c r="A10" s="51" t="inlineStr">
        <is>
          <t>Below 1.0 means the property doesn't cover its own debt.</t>
        </is>
      </c>
    </row>
    <row r="11" ht="22" customHeight="1">
      <c r="A11" s="48" t="inlineStr">
        <is>
          <t>Max LTV for DSCR-loan refi:</t>
        </is>
      </c>
      <c r="B11" s="52" t="n">
        <v>0.75</v>
      </c>
    </row>
    <row r="12" ht="14" customHeight="1">
      <c r="A12" s="51" t="inlineStr">
        <is>
          <t>Standard cap is 75%. Cash-out refis often capped 70%.</t>
        </is>
      </c>
    </row>
    <row r="13" ht="20" customHeight="1">
      <c r="A13" s="53" t="inlineStr">
        <is>
          <t>PROPERTY LIST</t>
        </is>
      </c>
    </row>
    <row r="14" ht="16" customHeight="1">
      <c r="A14" s="54" t="inlineStr">
        <is>
          <t>(Reference list - edit names directly on the Per-Property tab. These mirror via formula.)</t>
        </is>
      </c>
    </row>
    <row r="15" ht="18" customHeight="1">
      <c r="A15" s="55" t="inlineStr">
        <is>
          <t>Property #1</t>
        </is>
      </c>
      <c r="B15" s="56">
        <f>IF('Per-Property'!A8="","-",'Per-Property'!A8)</f>
        <v/>
      </c>
    </row>
    <row r="16" ht="18" customHeight="1">
      <c r="A16" s="55" t="inlineStr">
        <is>
          <t>Property #2</t>
        </is>
      </c>
      <c r="B16" s="56">
        <f>IF('Per-Property'!A9="","-",'Per-Property'!A9)</f>
        <v/>
      </c>
    </row>
    <row r="17" ht="18" customHeight="1">
      <c r="A17" s="55" t="inlineStr">
        <is>
          <t>Property #3</t>
        </is>
      </c>
      <c r="B17" s="56">
        <f>IF('Per-Property'!A10="","-",'Per-Property'!A10)</f>
        <v/>
      </c>
    </row>
    <row r="18" ht="18" customHeight="1">
      <c r="A18" s="55" t="inlineStr">
        <is>
          <t>Property #4</t>
        </is>
      </c>
      <c r="B18" s="56">
        <f>IF('Per-Property'!A11="","-",'Per-Property'!A11)</f>
        <v/>
      </c>
    </row>
    <row r="19" ht="18" customHeight="1">
      <c r="A19" s="55" t="inlineStr">
        <is>
          <t>Property #5</t>
        </is>
      </c>
      <c r="B19" s="56">
        <f>IF('Per-Property'!A12="","-",'Per-Property'!A12)</f>
        <v/>
      </c>
    </row>
    <row r="20" ht="18" customHeight="1">
      <c r="A20" s="55" t="inlineStr">
        <is>
          <t>Property #6</t>
        </is>
      </c>
      <c r="B20" s="56">
        <f>IF('Per-Property'!A13="","-",'Per-Property'!A13)</f>
        <v/>
      </c>
    </row>
    <row r="21" ht="18" customHeight="1">
      <c r="A21" s="55" t="inlineStr">
        <is>
          <t>Property #7</t>
        </is>
      </c>
      <c r="B21" s="56">
        <f>IF('Per-Property'!A14="","-",'Per-Property'!A14)</f>
        <v/>
      </c>
    </row>
    <row r="22" ht="18" customHeight="1">
      <c r="A22" s="55" t="inlineStr">
        <is>
          <t>Property #8</t>
        </is>
      </c>
      <c r="B22" s="56">
        <f>IF('Per-Property'!A15="","-",'Per-Property'!A15)</f>
        <v/>
      </c>
    </row>
    <row r="23" ht="18" customHeight="1">
      <c r="A23" s="55" t="inlineStr">
        <is>
          <t>Property #9</t>
        </is>
      </c>
      <c r="B23" s="56">
        <f>IF('Per-Property'!A16="","-",'Per-Property'!A16)</f>
        <v/>
      </c>
    </row>
    <row r="24" ht="18" customHeight="1">
      <c r="A24" s="55" t="inlineStr">
        <is>
          <t>Property #10</t>
        </is>
      </c>
      <c r="B24" s="56">
        <f>IF('Per-Property'!A17="","-",'Per-Property'!A17)</f>
        <v/>
      </c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</row>
    <row r="28" ht="18" customHeight="1">
      <c r="A28" s="20" t="inlineStr">
        <is>
          <t>Questions? hello@thestrledger.com</t>
        </is>
      </c>
    </row>
    <row r="29" ht="18" customHeight="1">
      <c r="A29" s="21" t="inlineStr">
        <is>
          <t>FIN-004 - v1.0 - Settings</t>
        </is>
      </c>
    </row>
  </sheetData>
  <mergeCells count="10">
    <mergeCell ref="D2:L2"/>
    <mergeCell ref="A29:L29"/>
    <mergeCell ref="A10:L10"/>
    <mergeCell ref="A12:L12"/>
    <mergeCell ref="A28:L28"/>
    <mergeCell ref="A8:L8"/>
    <mergeCell ref="A13:B13"/>
    <mergeCell ref="A14:B14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DSCR Tracker (DEMO) - The STR Ledger</dc:title>
  <dc:description xmlns:dc="http://purl.org/dc/elements/1.1/">Portfolio Debt Service Coverage Ratio tracker for STR hosts - DSCR loan eligibility, stress testing, refi screening.</dc:description>
  <dcterms:created xmlns:dcterms="http://purl.org/dc/terms/" xmlns:xsi="http://www.w3.org/2001/XMLSchema-instance" xsi:type="dcterms:W3CDTF">2026-05-03T12:26:38Z</dcterms:created>
  <dcterms:modified xmlns:dcterms="http://purl.org/dc/terms/" xmlns:xsi="http://www.w3.org/2001/XMLSchema-instance" xsi:type="dcterms:W3CDTF">2026-05-03T12:26:38Z</dcterms:modified>
</cp:coreProperties>
</file>