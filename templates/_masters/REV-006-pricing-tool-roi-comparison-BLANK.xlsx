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A_B Test Setup" sheetId="2" state="visible" r:id="rId2"/>
    <sheet xmlns:r="http://schemas.openxmlformats.org/officeDocument/2006/relationships" name="Daily Performance" sheetId="3" state="visible" r:id="rId3"/>
    <sheet xmlns:r="http://schemas.openxmlformats.org/officeDocument/2006/relationships" name="ROI Verdict" sheetId="4" state="visible" r:id="rId4"/>
    <sheet xmlns:r="http://schemas.openxmlformats.org/officeDocument/2006/relationships" name="Settings" sheetId="5" state="visible" r:id="rId5"/>
  </sheets>
  <definedNames>
    <definedName name="_xlnm.Print_Area" localSheetId="0">'Start'!$A$1:$L$33</definedName>
    <definedName name="_xlnm.Print_Area" localSheetId="3">'ROI Verdict'!$A$1:$L$31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$&quot;#,##0.00"/>
    <numFmt numFmtId="165" formatCode="yyyy-mm-dd"/>
    <numFmt numFmtId="166" formatCode="&quot;$&quot;#,##0"/>
    <numFmt numFmtId="167" formatCode="0.0%"/>
    <numFmt numFmtId="168" formatCode="&quot;$&quot;#,##0;[Red]&quot;-$&quot;#,##0"/>
    <numFmt numFmtId="169" formatCode="+0.0%;-0.0%"/>
  </numFmts>
  <fonts count="31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0"/>
    </font>
    <font>
      <name val="Georgia"/>
      <i val="1"/>
      <color rgb="00C9A24B"/>
      <sz val="14"/>
    </font>
    <font>
      <name val="Consolas"/>
      <color rgb="00C9A24B"/>
      <sz val="9"/>
    </font>
    <font>
      <name val="Georgia"/>
      <i val="1"/>
      <color rgb="00C9A24B"/>
      <sz val="18"/>
    </font>
    <font>
      <name val="Consolas"/>
      <b val="1"/>
      <color rgb="0012304E"/>
      <sz val="10"/>
    </font>
    <font>
      <name val="Georgia"/>
      <b val="1"/>
      <color rgb="00C9A24B"/>
      <sz val="48"/>
    </font>
    <font>
      <name val="Calibri"/>
      <i val="1"/>
      <color rgb="002B2B2B"/>
      <sz val="12"/>
    </font>
    <font>
      <name val="Georgia"/>
      <b val="1"/>
      <color rgb="0012304E"/>
      <sz val="18"/>
    </font>
    <font>
      <name val="Calibri"/>
      <i val="1"/>
      <color rgb="006B7280"/>
      <sz val="10"/>
    </font>
    <font>
      <name val="Georgia"/>
      <b val="1"/>
      <color rgb="00F6EFE2"/>
      <sz val="13"/>
    </font>
    <font>
      <name val="Georgia"/>
      <b val="1"/>
      <color rgb="0012304E"/>
      <sz val="13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Georgia"/>
      <b val="1"/>
      <color rgb="00F6EFE2"/>
      <sz val="12"/>
    </font>
    <font>
      <name val="Calibri"/>
      <b val="1"/>
      <color rgb="002B2B2B"/>
      <sz val="11"/>
    </font>
    <font>
      <name val="Calibri"/>
      <color rgb="002B2B2B"/>
      <sz val="11"/>
    </font>
    <font>
      <name val="Calibri"/>
      <i val="1"/>
      <color rgb="006B7280"/>
      <sz val="9"/>
    </font>
    <font>
      <name val="Calibri"/>
      <i val="1"/>
      <color rgb="002B2B2B"/>
      <sz val="11"/>
    </font>
    <font>
      <name val="Consolas"/>
      <b val="1"/>
      <color rgb="00F6EFE2"/>
      <sz val="11"/>
    </font>
    <font>
      <name val="Consolas"/>
      <b val="1"/>
      <color rgb="0012304E"/>
      <sz val="11"/>
    </font>
    <font>
      <name val="Consolas"/>
      <b val="1"/>
      <color rgb="00F6EFE2"/>
      <sz val="10"/>
    </font>
    <font>
      <name val="Georgia"/>
      <b val="1"/>
      <color rgb="0012304E"/>
      <sz val="11"/>
    </font>
    <font>
      <name val="Georgia"/>
      <b val="1"/>
      <color rgb="0012304E"/>
      <sz val="12"/>
    </font>
    <font>
      <name val="Georgia"/>
      <b val="1"/>
      <color rgb="00C9A24B"/>
      <sz val="13"/>
    </font>
    <font>
      <name val="Georgia"/>
      <b val="1"/>
      <color rgb="00C9A24B"/>
      <sz val="14"/>
    </font>
    <font>
      <name val="Georgia"/>
      <b val="1"/>
      <color rgb="00F6EFE2"/>
      <sz val="20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FE5D0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DEDED"/>
      </patternFill>
    </fill>
    <fill>
      <patternFill patternType="solid">
        <fgColor rgb="00E2C884"/>
      </patternFill>
    </fill>
  </fills>
  <borders count="6">
    <border>
      <left/>
      <right/>
      <top/>
      <bottom/>
      <diagonal/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5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10" fillId="4" borderId="0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2" fillId="3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2" fillId="5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13" fillId="5" borderId="0" applyAlignment="1" pivotButton="0" quotePrefix="0" xfId="0">
      <alignment horizontal="center" vertical="center" wrapText="1"/>
    </xf>
    <xf numFmtId="0" fontId="0" fillId="0" borderId="4" pivotButton="0" quotePrefix="0" xfId="0"/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6" fillId="2" borderId="0" applyAlignment="1" pivotButton="0" quotePrefix="0" xfId="0">
      <alignment horizontal="right" vertical="center" indent="2"/>
    </xf>
    <xf numFmtId="0" fontId="17" fillId="3" borderId="0" applyAlignment="1" pivotButton="0" quotePrefix="0" xfId="0">
      <alignment horizontal="left" vertical="center" indent="1"/>
    </xf>
    <xf numFmtId="0" fontId="18" fillId="2" borderId="0" applyAlignment="1" pivotButton="0" quotePrefix="0" xfId="0">
      <alignment horizontal="left" vertical="center" indent="2"/>
    </xf>
    <xf numFmtId="0" fontId="19" fillId="0" borderId="0" applyAlignment="1" pivotButton="0" quotePrefix="0" xfId="0">
      <alignment horizontal="right" vertical="center" indent="1"/>
    </xf>
    <xf numFmtId="0" fontId="20" fillId="6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wrapText="1" indent="1"/>
    </xf>
    <xf numFmtId="164" fontId="20" fillId="6" borderId="0" applyAlignment="1" pivotButton="0" quotePrefix="0" xfId="0">
      <alignment horizontal="center" vertical="center"/>
    </xf>
    <xf numFmtId="165" fontId="20" fillId="6" borderId="0" applyAlignment="1" pivotButton="0" quotePrefix="0" xfId="0">
      <alignment horizontal="center" vertical="center"/>
    </xf>
    <xf numFmtId="1" fontId="22" fillId="7" borderId="0" applyAlignment="1" pivotButton="0" quotePrefix="0" xfId="0">
      <alignment horizontal="center" vertical="center"/>
    </xf>
    <xf numFmtId="1" fontId="20" fillId="6" borderId="0" applyAlignment="1" pivotButton="0" quotePrefix="0" xfId="0">
      <alignment horizontal="center" vertical="center"/>
    </xf>
    <xf numFmtId="0" fontId="20" fillId="4" borderId="0" applyAlignment="1" pivotButton="0" quotePrefix="0" xfId="0">
      <alignment horizontal="left" vertical="top" wrapText="1" indent="2"/>
    </xf>
    <xf numFmtId="0" fontId="23" fillId="2" borderId="0" applyAlignment="1" pivotButton="0" quotePrefix="0" xfId="0">
      <alignment horizontal="center" vertical="center"/>
    </xf>
    <xf numFmtId="0" fontId="24" fillId="5" borderId="0" applyAlignment="1" pivotButton="0" quotePrefix="0" xfId="0">
      <alignment horizontal="center" vertical="center"/>
    </xf>
    <xf numFmtId="0" fontId="13" fillId="2" borderId="5" applyAlignment="1" pivotButton="0" quotePrefix="0" xfId="0">
      <alignment horizontal="center" vertical="center"/>
    </xf>
    <xf numFmtId="166" fontId="20" fillId="6" borderId="0" applyAlignment="1" pivotButton="0" quotePrefix="0" xfId="0">
      <alignment horizontal="center" vertical="center"/>
    </xf>
    <xf numFmtId="166" fontId="22" fillId="7" borderId="0" applyAlignment="1" pivotButton="0" quotePrefix="0" xfId="0">
      <alignment horizontal="center" vertical="center"/>
    </xf>
    <xf numFmtId="0" fontId="17" fillId="6" borderId="0" applyAlignment="1" pivotButton="0" quotePrefix="0" xfId="0">
      <alignment horizontal="left" vertical="center" indent="1"/>
    </xf>
    <xf numFmtId="165" fontId="20" fillId="4" borderId="0" applyAlignment="1" pivotButton="0" quotePrefix="0" xfId="0">
      <alignment horizontal="center" vertical="center"/>
    </xf>
    <xf numFmtId="166" fontId="20" fillId="4" borderId="0" applyAlignment="1" pivotButton="0" quotePrefix="0" xfId="0">
      <alignment horizontal="center" vertical="center"/>
    </xf>
    <xf numFmtId="0" fontId="20" fillId="4" borderId="0" applyAlignment="1" pivotButton="0" quotePrefix="0" xfId="0">
      <alignment horizontal="center" vertical="center"/>
    </xf>
    <xf numFmtId="166" fontId="22" fillId="4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left" vertical="center" indent="1"/>
    </xf>
    <xf numFmtId="0" fontId="25" fillId="2" borderId="0" applyAlignment="1" pivotButton="0" quotePrefix="0" xfId="0">
      <alignment horizontal="center" vertical="center"/>
    </xf>
    <xf numFmtId="167" fontId="26" fillId="7" borderId="0" applyAlignment="1" pivotButton="0" quotePrefix="0" xfId="0">
      <alignment horizontal="center" vertical="center"/>
    </xf>
    <xf numFmtId="166" fontId="26" fillId="7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indent="1"/>
    </xf>
    <xf numFmtId="0" fontId="6" fillId="5" borderId="0" applyAlignment="1" pivotButton="0" quotePrefix="0" xfId="0">
      <alignment horizontal="center" vertical="center"/>
    </xf>
    <xf numFmtId="0" fontId="19" fillId="4" borderId="0" applyAlignment="1" pivotButton="0" quotePrefix="0" xfId="0">
      <alignment horizontal="right" vertical="center" indent="1"/>
    </xf>
    <xf numFmtId="167" fontId="22" fillId="7" borderId="0" applyAlignment="1" pivotButton="0" quotePrefix="0" xfId="0">
      <alignment horizontal="center" vertical="center"/>
    </xf>
    <xf numFmtId="0" fontId="27" fillId="4" borderId="0" applyAlignment="1" pivotButton="0" quotePrefix="0" xfId="0">
      <alignment horizontal="right" vertical="center" indent="1"/>
    </xf>
    <xf numFmtId="166" fontId="12" fillId="8" borderId="0" applyAlignment="1" pivotButton="0" quotePrefix="0" xfId="0">
      <alignment horizontal="center" vertical="center"/>
    </xf>
    <xf numFmtId="166" fontId="28" fillId="8" borderId="0" applyAlignment="1" pivotButton="0" quotePrefix="0" xfId="0">
      <alignment horizontal="center" vertical="center"/>
    </xf>
    <xf numFmtId="168" fontId="29" fillId="8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 indent="1"/>
    </xf>
    <xf numFmtId="169" fontId="29" fillId="8" borderId="2" applyAlignment="1" pivotButton="0" quotePrefix="0" xfId="0">
      <alignment horizontal="center" vertical="center"/>
    </xf>
    <xf numFmtId="0" fontId="30" fillId="2" borderId="0" applyAlignment="1" pivotButton="0" quotePrefix="0" xfId="0">
      <alignment horizontal="center" vertical="center"/>
    </xf>
    <xf numFmtId="0" fontId="22" fillId="4" borderId="0" applyAlignment="1" pivotButton="0" quotePrefix="0" xfId="0">
      <alignment horizontal="center" vertical="center" wrapText="1"/>
    </xf>
    <xf numFmtId="0" fontId="20" fillId="6" borderId="0" applyAlignment="1" pivotButton="0" quotePrefix="0" xfId="0">
      <alignment horizontal="left" vertical="center" indent="1"/>
    </xf>
    <xf numFmtId="0" fontId="22" fillId="4" borderId="0" applyAlignment="1" pivotButton="0" quotePrefix="0" xfId="0">
      <alignment horizontal="left" vertical="top" wrapText="1" indent="2"/>
    </xf>
  </cellXfs>
  <cellStyles count="1">
    <cellStyle name="Normal" xfId="0" builtinId="0" hidden="0"/>
  </cellStyles>
  <dxfs count="2">
    <dxf>
      <fill>
        <patternFill patternType="solid">
          <fgColor rgb="00E2C884"/>
        </patternFill>
      </fill>
    </dxf>
    <dxf>
      <font>
        <name val="Georgia"/>
        <b val="1"/>
        <color rgb="00B91C1C"/>
        <sz val="14"/>
      </font>
      <fill>
        <patternFill patternType="solid">
          <fgColor rgb="00EFE5D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3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4" customHeight="1">
      <c r="A4" s="3" t="inlineStr">
        <is>
          <t>Pricing Tool ROI Comparison</t>
        </is>
      </c>
    </row>
    <row r="5" ht="22" customHeight="1">
      <c r="A5" s="4" t="inlineStr">
        <is>
          <t>Did PriceLabs / Wheelhouse / Beyond actually earn its fee?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REV-006 · v1.0 · BLANK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 ht="28" customHeight="1">
      <c r="A11" s="7">
        <f>IF(Settings!B5="","(enter property on Settings tab)",Settings!B5)</f>
        <v/>
      </c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 ht="18" customHeight="1">
      <c r="A13" s="8" t="inlineStr">
        <is>
          <t>ROI OF PAID PRICING</t>
        </is>
      </c>
    </row>
    <row r="14" ht="36" customHeight="1">
      <c r="A14" s="9">
        <f>IFERROR("$"&amp;TEXT('ROI Verdict'!C20,"#,##0")&amp;" / month","—")</f>
        <v/>
      </c>
    </row>
    <row r="15" ht="24" customHeight="1"/>
    <row r="16" ht="22" customHeight="1">
      <c r="A16" s="10">
        <f>IFERROR("= "&amp;TEXT('ROI Verdict'!C21,"+0.0%;-0.0%")&amp;" lift on monthly NET (after tool fee)","")</f>
        <v/>
      </c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</row>
    <row r="18" ht="30" customHeight="1">
      <c r="A18" s="11">
        <f>IF('ROI Verdict'!C20&gt;0, "✅ Tool earned its fee — keep", "🛑 Tool didn't pay for itself — drop")</f>
        <v/>
      </c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 ht="22" customHeight="1">
      <c r="A20" s="12" t="inlineStr">
        <is>
          <t>Note: lift assumes the two periods are otherwise comparable. Run the test for ≥60 days to absorb booking-lead-time noise. Adjust for seasonality if baseline and test span very different demand windows.</t>
        </is>
      </c>
    </row>
    <row r="21" ht="22" customHeight="1"/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4" ht="22" customHeight="1">
      <c r="A24" s="13">
        <f>HYPERLINK("#'A_B Test Setup'!A1", "→  A/B Test Setup")</f>
        <v/>
      </c>
      <c r="B24" s="14" t="n"/>
      <c r="C24" s="14" t="n"/>
      <c r="D24" s="14" t="n"/>
      <c r="E24" s="15">
        <f>HYPERLINK("#'Daily Performance'!A1", "Daily Performance")</f>
        <v/>
      </c>
      <c r="F24" s="16" t="n"/>
      <c r="G24" s="16" t="n"/>
      <c r="H24" s="16" t="n"/>
      <c r="I24" s="17">
        <f>HYPERLINK("#'ROI Verdict'!A1", "ROI Verdict")</f>
        <v/>
      </c>
      <c r="J24" s="18" t="n"/>
      <c r="K24" s="18" t="n"/>
      <c r="L24" s="18" t="n"/>
    </row>
    <row r="25" ht="22" customHeight="1">
      <c r="A25" s="14" t="n"/>
      <c r="B25" s="14" t="n"/>
      <c r="C25" s="14" t="n"/>
      <c r="D25" s="14" t="n"/>
      <c r="E25" s="16" t="n"/>
      <c r="F25" s="16" t="n"/>
      <c r="G25" s="16" t="n"/>
      <c r="H25" s="16" t="n"/>
      <c r="I25" s="18" t="n"/>
      <c r="J25" s="18" t="n"/>
      <c r="K25" s="18" t="n"/>
      <c r="L25" s="18" t="n"/>
    </row>
    <row r="26" ht="22" customHeight="1">
      <c r="A26" s="14" t="n"/>
      <c r="B26" s="14" t="n"/>
      <c r="C26" s="14" t="n"/>
      <c r="D26" s="14" t="n"/>
      <c r="E26" s="16" t="n"/>
      <c r="F26" s="16" t="n"/>
      <c r="G26" s="16" t="n"/>
      <c r="H26" s="16" t="n"/>
      <c r="I26" s="18" t="n"/>
      <c r="J26" s="18" t="n"/>
      <c r="K26" s="18" t="n"/>
      <c r="L26" s="18" t="n"/>
    </row>
    <row r="29" ht="36" customHeight="1">
      <c r="A29" s="19" t="inlineStr">
        <is>
          <t>💡  Pair this with REV-005 Holiday + Event Pricing Calendar — pre-built high-rate dates for your market. thestrledger.com</t>
        </is>
      </c>
    </row>
    <row r="31">
      <c r="A31" s="20" t="n"/>
      <c r="B31" s="20" t="n"/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</row>
    <row r="32" ht="18" customHeight="1">
      <c r="A32" s="21" t="inlineStr">
        <is>
          <t>Questions? hello@thestrledger.com</t>
        </is>
      </c>
    </row>
    <row r="33" ht="18" customHeight="1">
      <c r="A33" s="22" t="inlineStr">
        <is>
          <t>REV-006 · v1.0 · BLANK · Free updates forever</t>
        </is>
      </c>
    </row>
  </sheetData>
  <mergeCells count="16">
    <mergeCell ref="A2:F2"/>
    <mergeCell ref="A16:L16"/>
    <mergeCell ref="A20:L21"/>
    <mergeCell ref="A29:L29"/>
    <mergeCell ref="A7:L7"/>
    <mergeCell ref="A33:L33"/>
    <mergeCell ref="A11:L11"/>
    <mergeCell ref="A5:L5"/>
    <mergeCell ref="A32:L32"/>
    <mergeCell ref="A13:L13"/>
    <mergeCell ref="E24:H26"/>
    <mergeCell ref="A24:D26"/>
    <mergeCell ref="A14:L15"/>
    <mergeCell ref="A18:L18"/>
    <mergeCell ref="I24:L26"/>
    <mergeCell ref="A4:L4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B5725E"/>
    <outlinePr summaryBelow="1" summaryRight="1"/>
    <pageSetUpPr fitToPage="1"/>
  </sheetPr>
  <dimension ref="A1:L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20" customWidth="1" min="3" max="3"/>
    <col width="4" customWidth="1" min="4" max="4"/>
    <col width="50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3">
        <f>HYPERLINK("#'Start'!A1", "← BACK")</f>
        <v/>
      </c>
      <c r="B2" s="14" t="n"/>
      <c r="C2" s="14" t="n"/>
      <c r="D2" s="23" t="inlineStr">
        <is>
          <t>A/B TEST SETUP</t>
        </is>
      </c>
      <c r="J2" s="17">
        <f>HYPERLINK("#'Daily Performance'!A1", "NEXT →")</f>
        <v/>
      </c>
      <c r="K2" s="18" t="n"/>
      <c r="L2" s="18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4" t="inlineStr">
        <is>
          <t>Define your two test periods (matched length, ≥60 days each). Yellow = edit; gray = calculated.</t>
        </is>
      </c>
    </row>
    <row r="5" ht="24" customHeight="1">
      <c r="A5" s="25" t="inlineStr">
        <is>
          <t>TOOL UNDER TEST</t>
        </is>
      </c>
    </row>
    <row r="6" ht="18" customHeight="1">
      <c r="B6" s="26" t="inlineStr">
        <is>
          <t>Tool tested:</t>
        </is>
      </c>
      <c r="C6" s="27" t="n"/>
      <c r="E6" s="28" t="inlineStr">
        <is>
          <t>Dropdown: PriceLabs / Wheelhouse / Beyond / AirDNA / Other</t>
        </is>
      </c>
    </row>
    <row r="7" ht="18" customHeight="1">
      <c r="B7" s="26" t="inlineStr">
        <is>
          <t>Monthly fee ($):</t>
        </is>
      </c>
      <c r="C7" s="29" t="n"/>
      <c r="E7" s="28" t="inlineStr">
        <is>
          <t>What the tool charges per month (flat or per listing)</t>
        </is>
      </c>
    </row>
    <row r="8" ht="18" customHeight="1">
      <c r="B8" s="26" t="inlineStr">
        <is>
          <t>Per-listing fee ($/listing/mo):</t>
        </is>
      </c>
      <c r="C8" s="29" t="n"/>
      <c r="E8" s="28" t="inlineStr">
        <is>
          <t>Some tools charge per listing; some flat. Use the larger.</t>
        </is>
      </c>
    </row>
    <row r="10" ht="24" customHeight="1">
      <c r="A10" s="25" t="inlineStr">
        <is>
          <t>TEST PERIODS</t>
        </is>
      </c>
    </row>
    <row r="11" ht="18" customHeight="1">
      <c r="B11" s="26" t="inlineStr">
        <is>
          <t>Baseline start date:</t>
        </is>
      </c>
      <c r="C11" s="30" t="n"/>
      <c r="E11" s="28" t="inlineStr">
        <is>
          <t>Period without the tool (or before you started using it)</t>
        </is>
      </c>
    </row>
    <row r="12" ht="18" customHeight="1">
      <c r="B12" s="26" t="inlineStr">
        <is>
          <t>Baseline end date:</t>
        </is>
      </c>
      <c r="C12" s="30" t="n"/>
      <c r="E12" s="28" t="inlineStr">
        <is>
          <t>Match length to test period (60 days minimum)</t>
        </is>
      </c>
    </row>
    <row r="13" ht="18" customHeight="1">
      <c r="B13" s="26" t="inlineStr">
        <is>
          <t>Test start date:</t>
        </is>
      </c>
      <c r="C13" s="30" t="n"/>
      <c r="E13" s="28" t="inlineStr">
        <is>
          <t>Period with the tool active</t>
        </is>
      </c>
    </row>
    <row r="14" ht="18" customHeight="1">
      <c r="B14" s="26" t="inlineStr">
        <is>
          <t>Test end date:</t>
        </is>
      </c>
      <c r="C14" s="30" t="n"/>
      <c r="E14" s="28" t="inlineStr">
        <is>
          <t>Match length to baseline (60 days minimum)</t>
        </is>
      </c>
    </row>
    <row r="15" ht="18" customHeight="1">
      <c r="B15" s="26" t="inlineStr">
        <is>
          <t>Baseline length (days):</t>
        </is>
      </c>
      <c r="C15" s="31">
        <f>IFERROR(C12-C11+1,0)</f>
        <v/>
      </c>
      <c r="E15" s="28" t="inlineStr">
        <is>
          <t>Auto-calculated from start/end</t>
        </is>
      </c>
    </row>
    <row r="16" ht="18" customHeight="1">
      <c r="B16" s="26" t="inlineStr">
        <is>
          <t>Test length (days):</t>
        </is>
      </c>
      <c r="C16" s="31">
        <f>IFERROR(C14-C13+1,0)</f>
        <v/>
      </c>
      <c r="E16" s="28" t="inlineStr">
        <is>
          <t>Auto-calculated; should match baseline</t>
        </is>
      </c>
    </row>
    <row r="18" ht="24" customHeight="1">
      <c r="A18" s="25" t="inlineStr">
        <is>
          <t>ASSUMPTIONS</t>
        </is>
      </c>
    </row>
    <row r="19" ht="18" customHeight="1">
      <c r="B19" s="26" t="inlineStr">
        <is>
          <t>Reservation lead time (days, avg):</t>
        </is>
      </c>
      <c r="C19" s="32" t="n"/>
      <c r="E19" s="28" t="inlineStr">
        <is>
          <t>Why the test needs ≥60 days — bookings made before the tool kicked in are still in the test window.</t>
        </is>
      </c>
    </row>
    <row r="20" ht="18" customHeight="1">
      <c r="B20" s="26" t="inlineStr">
        <is>
          <t>Cleaning cost per turnover ($):</t>
        </is>
      </c>
      <c r="C20" s="29" t="n"/>
      <c r="E20" s="28" t="inlineStr">
        <is>
          <t>Used in NET calc on ROI Verdict tab. Charge to guest is separate (pulled from daily ADR rows).</t>
        </is>
      </c>
    </row>
    <row r="22" ht="24" customHeight="1">
      <c r="A22" s="25" t="inlineStr">
        <is>
          <t>SETUP CHECK</t>
        </is>
      </c>
    </row>
    <row r="23" ht="22" customHeight="1">
      <c r="A23" s="33" t="inlineStr">
        <is>
          <t>✓ Use the same property and same season for both periods if you can.
✓ 60 days is the minimum — booking lead time means the first 2-3 weeks of the test still reflect baseline pricing decisions.
✓ If you can't run baseline in real time, look up your historical data on the same calendar dates one year prior.
✓ Don't change anything else (listing photos, minimum stay, cleaning fee) during the test — keep variables isolated.</t>
        </is>
      </c>
    </row>
    <row r="24" ht="22" customHeight="1"/>
    <row r="25" ht="22" customHeight="1"/>
    <row r="26" ht="22" customHeight="1"/>
    <row r="28">
      <c r="A28" s="20" t="n"/>
      <c r="B28" s="20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</row>
    <row r="29" ht="18" customHeight="1">
      <c r="A29" s="21" t="inlineStr">
        <is>
          <t>Questions? hello@thestrledger.com</t>
        </is>
      </c>
    </row>
    <row r="30" ht="18" customHeight="1">
      <c r="A30" s="22" t="inlineStr">
        <is>
          <t>REV-006 · v1.0 · A/B Test Setup</t>
        </is>
      </c>
    </row>
  </sheetData>
  <mergeCells count="22">
    <mergeCell ref="E12:L12"/>
    <mergeCell ref="D2:I2"/>
    <mergeCell ref="E14:L14"/>
    <mergeCell ref="A18:L18"/>
    <mergeCell ref="E8:L8"/>
    <mergeCell ref="A2:C2"/>
    <mergeCell ref="E20:L20"/>
    <mergeCell ref="A5:L5"/>
    <mergeCell ref="A22:L22"/>
    <mergeCell ref="E13:L13"/>
    <mergeCell ref="E19:L19"/>
    <mergeCell ref="A4:L4"/>
    <mergeCell ref="J2:L2"/>
    <mergeCell ref="A10:L10"/>
    <mergeCell ref="A29:L29"/>
    <mergeCell ref="E15:L15"/>
    <mergeCell ref="E6:L6"/>
    <mergeCell ref="E11:L11"/>
    <mergeCell ref="A30:L30"/>
    <mergeCell ref="E7:L7"/>
    <mergeCell ref="E16:L16"/>
    <mergeCell ref="A23:L26"/>
  </mergeCells>
  <dataValidations count="1">
    <dataValidation sqref="C6" showDropDown="0" showInputMessage="0" showErrorMessage="0" allowBlank="1" type="list">
      <formula1>"PriceLabs,Wheelhouse,Beyond,AirDNA Smart Rates,Other"</formula1>
    </dataValidation>
  </dataValidations>
  <pageMargins left="0.5" right="0.5" top="0.5" bottom="0.5" header="0.5" footer="0.5"/>
  <pageSetup orientation="portrait" paperSize="1" fitToHeight="0" fitToWidth="1"/>
</worksheet>
</file>

<file path=xl/worksheets/sheet3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7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2" customWidth="1" min="3" max="3"/>
    <col width="11" customWidth="1" min="4" max="4"/>
    <col width="12" customWidth="1" min="5" max="5"/>
    <col width="32" customWidth="1" min="6" max="6"/>
    <col width="4" customWidth="1" min="7" max="7"/>
    <col width="13" customWidth="1" min="8" max="8"/>
    <col width="12" customWidth="1" min="9" max="9"/>
    <col width="11" customWidth="1" min="10" max="10"/>
    <col width="12" customWidth="1" min="11" max="11"/>
    <col width="32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3">
        <f>HYPERLINK("#'A_B Test Setup'!A1", "← BACK")</f>
        <v/>
      </c>
      <c r="B2" s="14" t="n"/>
      <c r="C2" s="14" t="n"/>
      <c r="D2" s="23" t="inlineStr">
        <is>
          <t>DAILY PERFORMANCE</t>
        </is>
      </c>
      <c r="J2" s="17">
        <f>HYPERLINK("#'ROI Verdict'!A1", "NEXT →")</f>
        <v/>
      </c>
      <c r="K2" s="18" t="n"/>
      <c r="L2" s="18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4" t="inlineStr">
        <is>
          <t>Two 60-row grids — left = baseline (no tool), right = test (tool active). Booked = Y/N. ADR is what guest paid that night. Row 71 = totals.</t>
        </is>
      </c>
    </row>
    <row r="6" ht="22" customHeight="1">
      <c r="B6" s="34" t="inlineStr">
        <is>
          <t>BASELINE  —  no tool</t>
        </is>
      </c>
      <c r="H6" s="35" t="inlineStr">
        <is>
          <t>TEST  —  tool active</t>
        </is>
      </c>
    </row>
    <row r="7" ht="22" customHeight="1">
      <c r="B7" s="36" t="inlineStr">
        <is>
          <t>Date</t>
        </is>
      </c>
      <c r="C7" s="36" t="inlineStr">
        <is>
          <t>Set rate</t>
        </is>
      </c>
      <c r="D7" s="36" t="inlineStr">
        <is>
          <t>Booked Y/N</t>
        </is>
      </c>
      <c r="E7" s="36" t="inlineStr">
        <is>
          <t>ADR</t>
        </is>
      </c>
      <c r="F7" s="36" t="inlineStr">
        <is>
          <t>Notes</t>
        </is>
      </c>
      <c r="H7" s="36" t="inlineStr">
        <is>
          <t>Date</t>
        </is>
      </c>
      <c r="I7" s="36" t="inlineStr">
        <is>
          <t>Set rate</t>
        </is>
      </c>
      <c r="J7" s="36" t="inlineStr">
        <is>
          <t>Booked Y/N</t>
        </is>
      </c>
      <c r="K7" s="36" t="inlineStr">
        <is>
          <t>ADR</t>
        </is>
      </c>
      <c r="L7" s="36" t="inlineStr">
        <is>
          <t>Notes</t>
        </is>
      </c>
    </row>
    <row r="8" ht="16" customHeight="1">
      <c r="B8" s="30" t="n"/>
      <c r="C8" s="37" t="n"/>
      <c r="D8" s="27" t="n"/>
      <c r="E8" s="38">
        <f>IF(D8="Y",C8,"")</f>
        <v/>
      </c>
      <c r="F8" s="39" t="n"/>
      <c r="H8" s="30" t="n"/>
      <c r="I8" s="37" t="n"/>
      <c r="J8" s="27" t="n"/>
      <c r="K8" s="38">
        <f>IF(J8="Y",I8,"")</f>
        <v/>
      </c>
      <c r="L8" s="39" t="n"/>
    </row>
    <row r="9" ht="16" customHeight="1">
      <c r="B9" s="40" t="n"/>
      <c r="C9" s="41" t="n"/>
      <c r="D9" s="42" t="n"/>
      <c r="E9" s="43">
        <f>IF(D9="Y",C9,"")</f>
        <v/>
      </c>
      <c r="F9" s="44" t="n"/>
      <c r="H9" s="40" t="n"/>
      <c r="I9" s="41" t="n"/>
      <c r="J9" s="42" t="n"/>
      <c r="K9" s="43">
        <f>IF(J9="Y",I9,"")</f>
        <v/>
      </c>
      <c r="L9" s="44" t="n"/>
    </row>
    <row r="10" ht="16" customHeight="1">
      <c r="B10" s="30" t="n"/>
      <c r="C10" s="37" t="n"/>
      <c r="D10" s="27" t="n"/>
      <c r="E10" s="38">
        <f>IF(D10="Y",C10,"")</f>
        <v/>
      </c>
      <c r="F10" s="39" t="n"/>
      <c r="H10" s="30" t="n"/>
      <c r="I10" s="37" t="n"/>
      <c r="J10" s="27" t="n"/>
      <c r="K10" s="38">
        <f>IF(J10="Y",I10,"")</f>
        <v/>
      </c>
      <c r="L10" s="39" t="n"/>
    </row>
    <row r="11" ht="16" customHeight="1">
      <c r="B11" s="40" t="n"/>
      <c r="C11" s="41" t="n"/>
      <c r="D11" s="42" t="n"/>
      <c r="E11" s="43">
        <f>IF(D11="Y",C11,"")</f>
        <v/>
      </c>
      <c r="F11" s="44" t="n"/>
      <c r="H11" s="40" t="n"/>
      <c r="I11" s="41" t="n"/>
      <c r="J11" s="42" t="n"/>
      <c r="K11" s="43">
        <f>IF(J11="Y",I11,"")</f>
        <v/>
      </c>
      <c r="L11" s="44" t="n"/>
    </row>
    <row r="12" ht="16" customHeight="1">
      <c r="B12" s="30" t="n"/>
      <c r="C12" s="37" t="n"/>
      <c r="D12" s="27" t="n"/>
      <c r="E12" s="38">
        <f>IF(D12="Y",C12,"")</f>
        <v/>
      </c>
      <c r="F12" s="39" t="n"/>
      <c r="H12" s="30" t="n"/>
      <c r="I12" s="37" t="n"/>
      <c r="J12" s="27" t="n"/>
      <c r="K12" s="38">
        <f>IF(J12="Y",I12,"")</f>
        <v/>
      </c>
      <c r="L12" s="39" t="n"/>
    </row>
    <row r="13" ht="16" customHeight="1">
      <c r="B13" s="40" t="n"/>
      <c r="C13" s="41" t="n"/>
      <c r="D13" s="42" t="n"/>
      <c r="E13" s="43">
        <f>IF(D13="Y",C13,"")</f>
        <v/>
      </c>
      <c r="F13" s="44" t="n"/>
      <c r="H13" s="40" t="n"/>
      <c r="I13" s="41" t="n"/>
      <c r="J13" s="42" t="n"/>
      <c r="K13" s="43">
        <f>IF(J13="Y",I13,"")</f>
        <v/>
      </c>
      <c r="L13" s="44" t="n"/>
    </row>
    <row r="14" ht="16" customHeight="1">
      <c r="B14" s="30" t="n"/>
      <c r="C14" s="37" t="n"/>
      <c r="D14" s="27" t="n"/>
      <c r="E14" s="38">
        <f>IF(D14="Y",C14,"")</f>
        <v/>
      </c>
      <c r="F14" s="39" t="n"/>
      <c r="H14" s="30" t="n"/>
      <c r="I14" s="37" t="n"/>
      <c r="J14" s="27" t="n"/>
      <c r="K14" s="38">
        <f>IF(J14="Y",I14,"")</f>
        <v/>
      </c>
      <c r="L14" s="39" t="n"/>
    </row>
    <row r="15" ht="16" customHeight="1">
      <c r="B15" s="40" t="n"/>
      <c r="C15" s="41" t="n"/>
      <c r="D15" s="42" t="n"/>
      <c r="E15" s="43">
        <f>IF(D15="Y",C15,"")</f>
        <v/>
      </c>
      <c r="F15" s="44" t="n"/>
      <c r="H15" s="40" t="n"/>
      <c r="I15" s="41" t="n"/>
      <c r="J15" s="42" t="n"/>
      <c r="K15" s="43">
        <f>IF(J15="Y",I15,"")</f>
        <v/>
      </c>
      <c r="L15" s="44" t="n"/>
    </row>
    <row r="16" ht="16" customHeight="1">
      <c r="B16" s="30" t="n"/>
      <c r="C16" s="37" t="n"/>
      <c r="D16" s="27" t="n"/>
      <c r="E16" s="38">
        <f>IF(D16="Y",C16,"")</f>
        <v/>
      </c>
      <c r="F16" s="39" t="n"/>
      <c r="H16" s="30" t="n"/>
      <c r="I16" s="37" t="n"/>
      <c r="J16" s="27" t="n"/>
      <c r="K16" s="38">
        <f>IF(J16="Y",I16,"")</f>
        <v/>
      </c>
      <c r="L16" s="39" t="n"/>
    </row>
    <row r="17" ht="16" customHeight="1">
      <c r="B17" s="40" t="n"/>
      <c r="C17" s="41" t="n"/>
      <c r="D17" s="42" t="n"/>
      <c r="E17" s="43">
        <f>IF(D17="Y",C17,"")</f>
        <v/>
      </c>
      <c r="F17" s="44" t="n"/>
      <c r="H17" s="40" t="n"/>
      <c r="I17" s="41" t="n"/>
      <c r="J17" s="42" t="n"/>
      <c r="K17" s="43">
        <f>IF(J17="Y",I17,"")</f>
        <v/>
      </c>
      <c r="L17" s="44" t="n"/>
    </row>
    <row r="18" ht="16" customHeight="1">
      <c r="B18" s="30" t="n"/>
      <c r="C18" s="37" t="n"/>
      <c r="D18" s="27" t="n"/>
      <c r="E18" s="38">
        <f>IF(D18="Y",C18,"")</f>
        <v/>
      </c>
      <c r="F18" s="39" t="n"/>
      <c r="H18" s="30" t="n"/>
      <c r="I18" s="37" t="n"/>
      <c r="J18" s="27" t="n"/>
      <c r="K18" s="38">
        <f>IF(J18="Y",I18,"")</f>
        <v/>
      </c>
      <c r="L18" s="39" t="n"/>
    </row>
    <row r="19" ht="16" customHeight="1">
      <c r="B19" s="40" t="n"/>
      <c r="C19" s="41" t="n"/>
      <c r="D19" s="42" t="n"/>
      <c r="E19" s="43">
        <f>IF(D19="Y",C19,"")</f>
        <v/>
      </c>
      <c r="F19" s="44" t="n"/>
      <c r="H19" s="40" t="n"/>
      <c r="I19" s="41" t="n"/>
      <c r="J19" s="42" t="n"/>
      <c r="K19" s="43">
        <f>IF(J19="Y",I19,"")</f>
        <v/>
      </c>
      <c r="L19" s="44" t="n"/>
    </row>
    <row r="20" ht="16" customHeight="1">
      <c r="B20" s="30" t="n"/>
      <c r="C20" s="37" t="n"/>
      <c r="D20" s="27" t="n"/>
      <c r="E20" s="38">
        <f>IF(D20="Y",C20,"")</f>
        <v/>
      </c>
      <c r="F20" s="39" t="n"/>
      <c r="H20" s="30" t="n"/>
      <c r="I20" s="37" t="n"/>
      <c r="J20" s="27" t="n"/>
      <c r="K20" s="38">
        <f>IF(J20="Y",I20,"")</f>
        <v/>
      </c>
      <c r="L20" s="39" t="n"/>
    </row>
    <row r="21" ht="16" customHeight="1">
      <c r="B21" s="40" t="n"/>
      <c r="C21" s="41" t="n"/>
      <c r="D21" s="42" t="n"/>
      <c r="E21" s="43">
        <f>IF(D21="Y",C21,"")</f>
        <v/>
      </c>
      <c r="F21" s="44" t="n"/>
      <c r="H21" s="40" t="n"/>
      <c r="I21" s="41" t="n"/>
      <c r="J21" s="42" t="n"/>
      <c r="K21" s="43">
        <f>IF(J21="Y",I21,"")</f>
        <v/>
      </c>
      <c r="L21" s="44" t="n"/>
    </row>
    <row r="22" ht="16" customHeight="1">
      <c r="B22" s="30" t="n"/>
      <c r="C22" s="37" t="n"/>
      <c r="D22" s="27" t="n"/>
      <c r="E22" s="38">
        <f>IF(D22="Y",C22,"")</f>
        <v/>
      </c>
      <c r="F22" s="39" t="n"/>
      <c r="H22" s="30" t="n"/>
      <c r="I22" s="37" t="n"/>
      <c r="J22" s="27" t="n"/>
      <c r="K22" s="38">
        <f>IF(J22="Y",I22,"")</f>
        <v/>
      </c>
      <c r="L22" s="39" t="n"/>
    </row>
    <row r="23" ht="16" customHeight="1">
      <c r="B23" s="40" t="n"/>
      <c r="C23" s="41" t="n"/>
      <c r="D23" s="42" t="n"/>
      <c r="E23" s="43">
        <f>IF(D23="Y",C23,"")</f>
        <v/>
      </c>
      <c r="F23" s="44" t="n"/>
      <c r="H23" s="40" t="n"/>
      <c r="I23" s="41" t="n"/>
      <c r="J23" s="42" t="n"/>
      <c r="K23" s="43">
        <f>IF(J23="Y",I23,"")</f>
        <v/>
      </c>
      <c r="L23" s="44" t="n"/>
    </row>
    <row r="24" ht="16" customHeight="1">
      <c r="B24" s="30" t="n"/>
      <c r="C24" s="37" t="n"/>
      <c r="D24" s="27" t="n"/>
      <c r="E24" s="38">
        <f>IF(D24="Y",C24,"")</f>
        <v/>
      </c>
      <c r="F24" s="39" t="n"/>
      <c r="H24" s="30" t="n"/>
      <c r="I24" s="37" t="n"/>
      <c r="J24" s="27" t="n"/>
      <c r="K24" s="38">
        <f>IF(J24="Y",I24,"")</f>
        <v/>
      </c>
      <c r="L24" s="39" t="n"/>
    </row>
    <row r="25" ht="16" customHeight="1">
      <c r="B25" s="40" t="n"/>
      <c r="C25" s="41" t="n"/>
      <c r="D25" s="42" t="n"/>
      <c r="E25" s="43">
        <f>IF(D25="Y",C25,"")</f>
        <v/>
      </c>
      <c r="F25" s="44" t="n"/>
      <c r="H25" s="40" t="n"/>
      <c r="I25" s="41" t="n"/>
      <c r="J25" s="42" t="n"/>
      <c r="K25" s="43">
        <f>IF(J25="Y",I25,"")</f>
        <v/>
      </c>
      <c r="L25" s="44" t="n"/>
    </row>
    <row r="26" ht="16" customHeight="1">
      <c r="B26" s="30" t="n"/>
      <c r="C26" s="37" t="n"/>
      <c r="D26" s="27" t="n"/>
      <c r="E26" s="38">
        <f>IF(D26="Y",C26,"")</f>
        <v/>
      </c>
      <c r="F26" s="39" t="n"/>
      <c r="H26" s="30" t="n"/>
      <c r="I26" s="37" t="n"/>
      <c r="J26" s="27" t="n"/>
      <c r="K26" s="38">
        <f>IF(J26="Y",I26,"")</f>
        <v/>
      </c>
      <c r="L26" s="39" t="n"/>
    </row>
    <row r="27" ht="16" customHeight="1">
      <c r="B27" s="40" t="n"/>
      <c r="C27" s="41" t="n"/>
      <c r="D27" s="42" t="n"/>
      <c r="E27" s="43">
        <f>IF(D27="Y",C27,"")</f>
        <v/>
      </c>
      <c r="F27" s="44" t="n"/>
      <c r="H27" s="40" t="n"/>
      <c r="I27" s="41" t="n"/>
      <c r="J27" s="42" t="n"/>
      <c r="K27" s="43">
        <f>IF(J27="Y",I27,"")</f>
        <v/>
      </c>
      <c r="L27" s="44" t="n"/>
    </row>
    <row r="28" ht="16" customHeight="1">
      <c r="B28" s="30" t="n"/>
      <c r="C28" s="37" t="n"/>
      <c r="D28" s="27" t="n"/>
      <c r="E28" s="38">
        <f>IF(D28="Y",C28,"")</f>
        <v/>
      </c>
      <c r="F28" s="39" t="n"/>
      <c r="H28" s="30" t="n"/>
      <c r="I28" s="37" t="n"/>
      <c r="J28" s="27" t="n"/>
      <c r="K28" s="38">
        <f>IF(J28="Y",I28,"")</f>
        <v/>
      </c>
      <c r="L28" s="39" t="n"/>
    </row>
    <row r="29" ht="16" customHeight="1">
      <c r="B29" s="40" t="n"/>
      <c r="C29" s="41" t="n"/>
      <c r="D29" s="42" t="n"/>
      <c r="E29" s="43">
        <f>IF(D29="Y",C29,"")</f>
        <v/>
      </c>
      <c r="F29" s="44" t="n"/>
      <c r="H29" s="40" t="n"/>
      <c r="I29" s="41" t="n"/>
      <c r="J29" s="42" t="n"/>
      <c r="K29" s="43">
        <f>IF(J29="Y",I29,"")</f>
        <v/>
      </c>
      <c r="L29" s="44" t="n"/>
    </row>
    <row r="30" ht="16" customHeight="1">
      <c r="B30" s="30" t="n"/>
      <c r="C30" s="37" t="n"/>
      <c r="D30" s="27" t="n"/>
      <c r="E30" s="38">
        <f>IF(D30="Y",C30,"")</f>
        <v/>
      </c>
      <c r="F30" s="39" t="n"/>
      <c r="H30" s="30" t="n"/>
      <c r="I30" s="37" t="n"/>
      <c r="J30" s="27" t="n"/>
      <c r="K30" s="38">
        <f>IF(J30="Y",I30,"")</f>
        <v/>
      </c>
      <c r="L30" s="39" t="n"/>
    </row>
    <row r="31" ht="16" customHeight="1">
      <c r="B31" s="40" t="n"/>
      <c r="C31" s="41" t="n"/>
      <c r="D31" s="42" t="n"/>
      <c r="E31" s="43">
        <f>IF(D31="Y",C31,"")</f>
        <v/>
      </c>
      <c r="F31" s="44" t="n"/>
      <c r="H31" s="40" t="n"/>
      <c r="I31" s="41" t="n"/>
      <c r="J31" s="42" t="n"/>
      <c r="K31" s="43">
        <f>IF(J31="Y",I31,"")</f>
        <v/>
      </c>
      <c r="L31" s="44" t="n"/>
    </row>
    <row r="32" ht="16" customHeight="1">
      <c r="B32" s="30" t="n"/>
      <c r="C32" s="37" t="n"/>
      <c r="D32" s="27" t="n"/>
      <c r="E32" s="38">
        <f>IF(D32="Y",C32,"")</f>
        <v/>
      </c>
      <c r="F32" s="39" t="n"/>
      <c r="H32" s="30" t="n"/>
      <c r="I32" s="37" t="n"/>
      <c r="J32" s="27" t="n"/>
      <c r="K32" s="38">
        <f>IF(J32="Y",I32,"")</f>
        <v/>
      </c>
      <c r="L32" s="39" t="n"/>
    </row>
    <row r="33" ht="16" customHeight="1">
      <c r="B33" s="40" t="n"/>
      <c r="C33" s="41" t="n"/>
      <c r="D33" s="42" t="n"/>
      <c r="E33" s="43">
        <f>IF(D33="Y",C33,"")</f>
        <v/>
      </c>
      <c r="F33" s="44" t="n"/>
      <c r="H33" s="40" t="n"/>
      <c r="I33" s="41" t="n"/>
      <c r="J33" s="42" t="n"/>
      <c r="K33" s="43">
        <f>IF(J33="Y",I33,"")</f>
        <v/>
      </c>
      <c r="L33" s="44" t="n"/>
    </row>
    <row r="34" ht="16" customHeight="1">
      <c r="B34" s="30" t="n"/>
      <c r="C34" s="37" t="n"/>
      <c r="D34" s="27" t="n"/>
      <c r="E34" s="38">
        <f>IF(D34="Y",C34,"")</f>
        <v/>
      </c>
      <c r="F34" s="39" t="n"/>
      <c r="H34" s="30" t="n"/>
      <c r="I34" s="37" t="n"/>
      <c r="J34" s="27" t="n"/>
      <c r="K34" s="38">
        <f>IF(J34="Y",I34,"")</f>
        <v/>
      </c>
      <c r="L34" s="39" t="n"/>
    </row>
    <row r="35" ht="16" customHeight="1">
      <c r="B35" s="40" t="n"/>
      <c r="C35" s="41" t="n"/>
      <c r="D35" s="42" t="n"/>
      <c r="E35" s="43">
        <f>IF(D35="Y",C35,"")</f>
        <v/>
      </c>
      <c r="F35" s="44" t="n"/>
      <c r="H35" s="40" t="n"/>
      <c r="I35" s="41" t="n"/>
      <c r="J35" s="42" t="n"/>
      <c r="K35" s="43">
        <f>IF(J35="Y",I35,"")</f>
        <v/>
      </c>
      <c r="L35" s="44" t="n"/>
    </row>
    <row r="36" ht="16" customHeight="1">
      <c r="B36" s="30" t="n"/>
      <c r="C36" s="37" t="n"/>
      <c r="D36" s="27" t="n"/>
      <c r="E36" s="38">
        <f>IF(D36="Y",C36,"")</f>
        <v/>
      </c>
      <c r="F36" s="39" t="n"/>
      <c r="H36" s="30" t="n"/>
      <c r="I36" s="37" t="n"/>
      <c r="J36" s="27" t="n"/>
      <c r="K36" s="38">
        <f>IF(J36="Y",I36,"")</f>
        <v/>
      </c>
      <c r="L36" s="39" t="n"/>
    </row>
    <row r="37" ht="16" customHeight="1">
      <c r="B37" s="40" t="n"/>
      <c r="C37" s="41" t="n"/>
      <c r="D37" s="42" t="n"/>
      <c r="E37" s="43">
        <f>IF(D37="Y",C37,"")</f>
        <v/>
      </c>
      <c r="F37" s="44" t="n"/>
      <c r="H37" s="40" t="n"/>
      <c r="I37" s="41" t="n"/>
      <c r="J37" s="42" t="n"/>
      <c r="K37" s="43">
        <f>IF(J37="Y",I37,"")</f>
        <v/>
      </c>
      <c r="L37" s="44" t="n"/>
    </row>
    <row r="38" ht="16" customHeight="1">
      <c r="B38" s="30" t="n"/>
      <c r="C38" s="37" t="n"/>
      <c r="D38" s="27" t="n"/>
      <c r="E38" s="38">
        <f>IF(D38="Y",C38,"")</f>
        <v/>
      </c>
      <c r="F38" s="39" t="n"/>
      <c r="H38" s="30" t="n"/>
      <c r="I38" s="37" t="n"/>
      <c r="J38" s="27" t="n"/>
      <c r="K38" s="38">
        <f>IF(J38="Y",I38,"")</f>
        <v/>
      </c>
      <c r="L38" s="39" t="n"/>
    </row>
    <row r="39" ht="16" customHeight="1">
      <c r="B39" s="40" t="n"/>
      <c r="C39" s="41" t="n"/>
      <c r="D39" s="42" t="n"/>
      <c r="E39" s="43">
        <f>IF(D39="Y",C39,"")</f>
        <v/>
      </c>
      <c r="F39" s="44" t="n"/>
      <c r="H39" s="40" t="n"/>
      <c r="I39" s="41" t="n"/>
      <c r="J39" s="42" t="n"/>
      <c r="K39" s="43">
        <f>IF(J39="Y",I39,"")</f>
        <v/>
      </c>
      <c r="L39" s="44" t="n"/>
    </row>
    <row r="40" ht="16" customHeight="1">
      <c r="B40" s="30" t="n"/>
      <c r="C40" s="37" t="n"/>
      <c r="D40" s="27" t="n"/>
      <c r="E40" s="38">
        <f>IF(D40="Y",C40,"")</f>
        <v/>
      </c>
      <c r="F40" s="39" t="n"/>
      <c r="H40" s="30" t="n"/>
      <c r="I40" s="37" t="n"/>
      <c r="J40" s="27" t="n"/>
      <c r="K40" s="38">
        <f>IF(J40="Y",I40,"")</f>
        <v/>
      </c>
      <c r="L40" s="39" t="n"/>
    </row>
    <row r="41" ht="16" customHeight="1">
      <c r="B41" s="40" t="n"/>
      <c r="C41" s="41" t="n"/>
      <c r="D41" s="42" t="n"/>
      <c r="E41" s="43">
        <f>IF(D41="Y",C41,"")</f>
        <v/>
      </c>
      <c r="F41" s="44" t="n"/>
      <c r="H41" s="40" t="n"/>
      <c r="I41" s="41" t="n"/>
      <c r="J41" s="42" t="n"/>
      <c r="K41" s="43">
        <f>IF(J41="Y",I41,"")</f>
        <v/>
      </c>
      <c r="L41" s="44" t="n"/>
    </row>
    <row r="42" ht="16" customHeight="1">
      <c r="B42" s="30" t="n"/>
      <c r="C42" s="37" t="n"/>
      <c r="D42" s="27" t="n"/>
      <c r="E42" s="38">
        <f>IF(D42="Y",C42,"")</f>
        <v/>
      </c>
      <c r="F42" s="39" t="n"/>
      <c r="H42" s="30" t="n"/>
      <c r="I42" s="37" t="n"/>
      <c r="J42" s="27" t="n"/>
      <c r="K42" s="38">
        <f>IF(J42="Y",I42,"")</f>
        <v/>
      </c>
      <c r="L42" s="39" t="n"/>
    </row>
    <row r="43" ht="16" customHeight="1">
      <c r="B43" s="40" t="n"/>
      <c r="C43" s="41" t="n"/>
      <c r="D43" s="42" t="n"/>
      <c r="E43" s="43">
        <f>IF(D43="Y",C43,"")</f>
        <v/>
      </c>
      <c r="F43" s="44" t="n"/>
      <c r="H43" s="40" t="n"/>
      <c r="I43" s="41" t="n"/>
      <c r="J43" s="42" t="n"/>
      <c r="K43" s="43">
        <f>IF(J43="Y",I43,"")</f>
        <v/>
      </c>
      <c r="L43" s="44" t="n"/>
    </row>
    <row r="44" ht="16" customHeight="1">
      <c r="B44" s="30" t="n"/>
      <c r="C44" s="37" t="n"/>
      <c r="D44" s="27" t="n"/>
      <c r="E44" s="38">
        <f>IF(D44="Y",C44,"")</f>
        <v/>
      </c>
      <c r="F44" s="39" t="n"/>
      <c r="H44" s="30" t="n"/>
      <c r="I44" s="37" t="n"/>
      <c r="J44" s="27" t="n"/>
      <c r="K44" s="38">
        <f>IF(J44="Y",I44,"")</f>
        <v/>
      </c>
      <c r="L44" s="39" t="n"/>
    </row>
    <row r="45" ht="16" customHeight="1">
      <c r="B45" s="40" t="n"/>
      <c r="C45" s="41" t="n"/>
      <c r="D45" s="42" t="n"/>
      <c r="E45" s="43">
        <f>IF(D45="Y",C45,"")</f>
        <v/>
      </c>
      <c r="F45" s="44" t="n"/>
      <c r="H45" s="40" t="n"/>
      <c r="I45" s="41" t="n"/>
      <c r="J45" s="42" t="n"/>
      <c r="K45" s="43">
        <f>IF(J45="Y",I45,"")</f>
        <v/>
      </c>
      <c r="L45" s="44" t="n"/>
    </row>
    <row r="46" ht="16" customHeight="1">
      <c r="B46" s="30" t="n"/>
      <c r="C46" s="37" t="n"/>
      <c r="D46" s="27" t="n"/>
      <c r="E46" s="38">
        <f>IF(D46="Y",C46,"")</f>
        <v/>
      </c>
      <c r="F46" s="39" t="n"/>
      <c r="H46" s="30" t="n"/>
      <c r="I46" s="37" t="n"/>
      <c r="J46" s="27" t="n"/>
      <c r="K46" s="38">
        <f>IF(J46="Y",I46,"")</f>
        <v/>
      </c>
      <c r="L46" s="39" t="n"/>
    </row>
    <row r="47" ht="16" customHeight="1">
      <c r="B47" s="40" t="n"/>
      <c r="C47" s="41" t="n"/>
      <c r="D47" s="42" t="n"/>
      <c r="E47" s="43">
        <f>IF(D47="Y",C47,"")</f>
        <v/>
      </c>
      <c r="F47" s="44" t="n"/>
      <c r="H47" s="40" t="n"/>
      <c r="I47" s="41" t="n"/>
      <c r="J47" s="42" t="n"/>
      <c r="K47" s="43">
        <f>IF(J47="Y",I47,"")</f>
        <v/>
      </c>
      <c r="L47" s="44" t="n"/>
    </row>
    <row r="48" ht="16" customHeight="1">
      <c r="B48" s="30" t="n"/>
      <c r="C48" s="37" t="n"/>
      <c r="D48" s="27" t="n"/>
      <c r="E48" s="38">
        <f>IF(D48="Y",C48,"")</f>
        <v/>
      </c>
      <c r="F48" s="39" t="n"/>
      <c r="H48" s="30" t="n"/>
      <c r="I48" s="37" t="n"/>
      <c r="J48" s="27" t="n"/>
      <c r="K48" s="38">
        <f>IF(J48="Y",I48,"")</f>
        <v/>
      </c>
      <c r="L48" s="39" t="n"/>
    </row>
    <row r="49" ht="16" customHeight="1">
      <c r="B49" s="40" t="n"/>
      <c r="C49" s="41" t="n"/>
      <c r="D49" s="42" t="n"/>
      <c r="E49" s="43">
        <f>IF(D49="Y",C49,"")</f>
        <v/>
      </c>
      <c r="F49" s="44" t="n"/>
      <c r="H49" s="40" t="n"/>
      <c r="I49" s="41" t="n"/>
      <c r="J49" s="42" t="n"/>
      <c r="K49" s="43">
        <f>IF(J49="Y",I49,"")</f>
        <v/>
      </c>
      <c r="L49" s="44" t="n"/>
    </row>
    <row r="50" ht="16" customHeight="1">
      <c r="B50" s="30" t="n"/>
      <c r="C50" s="37" t="n"/>
      <c r="D50" s="27" t="n"/>
      <c r="E50" s="38">
        <f>IF(D50="Y",C50,"")</f>
        <v/>
      </c>
      <c r="F50" s="39" t="n"/>
      <c r="H50" s="30" t="n"/>
      <c r="I50" s="37" t="n"/>
      <c r="J50" s="27" t="n"/>
      <c r="K50" s="38">
        <f>IF(J50="Y",I50,"")</f>
        <v/>
      </c>
      <c r="L50" s="39" t="n"/>
    </row>
    <row r="51" ht="16" customHeight="1">
      <c r="B51" s="40" t="n"/>
      <c r="C51" s="41" t="n"/>
      <c r="D51" s="42" t="n"/>
      <c r="E51" s="43">
        <f>IF(D51="Y",C51,"")</f>
        <v/>
      </c>
      <c r="F51" s="44" t="n"/>
      <c r="H51" s="40" t="n"/>
      <c r="I51" s="41" t="n"/>
      <c r="J51" s="42" t="n"/>
      <c r="K51" s="43">
        <f>IF(J51="Y",I51,"")</f>
        <v/>
      </c>
      <c r="L51" s="44" t="n"/>
    </row>
    <row r="52" ht="16" customHeight="1">
      <c r="B52" s="30" t="n"/>
      <c r="C52" s="37" t="n"/>
      <c r="D52" s="27" t="n"/>
      <c r="E52" s="38">
        <f>IF(D52="Y",C52,"")</f>
        <v/>
      </c>
      <c r="F52" s="39" t="n"/>
      <c r="H52" s="30" t="n"/>
      <c r="I52" s="37" t="n"/>
      <c r="J52" s="27" t="n"/>
      <c r="K52" s="38">
        <f>IF(J52="Y",I52,"")</f>
        <v/>
      </c>
      <c r="L52" s="39" t="n"/>
    </row>
    <row r="53" ht="16" customHeight="1">
      <c r="B53" s="40" t="n"/>
      <c r="C53" s="41" t="n"/>
      <c r="D53" s="42" t="n"/>
      <c r="E53" s="43">
        <f>IF(D53="Y",C53,"")</f>
        <v/>
      </c>
      <c r="F53" s="44" t="n"/>
      <c r="H53" s="40" t="n"/>
      <c r="I53" s="41" t="n"/>
      <c r="J53" s="42" t="n"/>
      <c r="K53" s="43">
        <f>IF(J53="Y",I53,"")</f>
        <v/>
      </c>
      <c r="L53" s="44" t="n"/>
    </row>
    <row r="54" ht="16" customHeight="1">
      <c r="B54" s="30" t="n"/>
      <c r="C54" s="37" t="n"/>
      <c r="D54" s="27" t="n"/>
      <c r="E54" s="38">
        <f>IF(D54="Y",C54,"")</f>
        <v/>
      </c>
      <c r="F54" s="39" t="n"/>
      <c r="H54" s="30" t="n"/>
      <c r="I54" s="37" t="n"/>
      <c r="J54" s="27" t="n"/>
      <c r="K54" s="38">
        <f>IF(J54="Y",I54,"")</f>
        <v/>
      </c>
      <c r="L54" s="39" t="n"/>
    </row>
    <row r="55" ht="16" customHeight="1">
      <c r="B55" s="40" t="n"/>
      <c r="C55" s="41" t="n"/>
      <c r="D55" s="42" t="n"/>
      <c r="E55" s="43">
        <f>IF(D55="Y",C55,"")</f>
        <v/>
      </c>
      <c r="F55" s="44" t="n"/>
      <c r="H55" s="40" t="n"/>
      <c r="I55" s="41" t="n"/>
      <c r="J55" s="42" t="n"/>
      <c r="K55" s="43">
        <f>IF(J55="Y",I55,"")</f>
        <v/>
      </c>
      <c r="L55" s="44" t="n"/>
    </row>
    <row r="56" ht="16" customHeight="1">
      <c r="B56" s="30" t="n"/>
      <c r="C56" s="37" t="n"/>
      <c r="D56" s="27" t="n"/>
      <c r="E56" s="38">
        <f>IF(D56="Y",C56,"")</f>
        <v/>
      </c>
      <c r="F56" s="39" t="n"/>
      <c r="H56" s="30" t="n"/>
      <c r="I56" s="37" t="n"/>
      <c r="J56" s="27" t="n"/>
      <c r="K56" s="38">
        <f>IF(J56="Y",I56,"")</f>
        <v/>
      </c>
      <c r="L56" s="39" t="n"/>
    </row>
    <row r="57" ht="16" customHeight="1">
      <c r="B57" s="40" t="n"/>
      <c r="C57" s="41" t="n"/>
      <c r="D57" s="42" t="n"/>
      <c r="E57" s="43">
        <f>IF(D57="Y",C57,"")</f>
        <v/>
      </c>
      <c r="F57" s="44" t="n"/>
      <c r="H57" s="40" t="n"/>
      <c r="I57" s="41" t="n"/>
      <c r="J57" s="42" t="n"/>
      <c r="K57" s="43">
        <f>IF(J57="Y",I57,"")</f>
        <v/>
      </c>
      <c r="L57" s="44" t="n"/>
    </row>
    <row r="58" ht="16" customHeight="1">
      <c r="B58" s="30" t="n"/>
      <c r="C58" s="37" t="n"/>
      <c r="D58" s="27" t="n"/>
      <c r="E58" s="38">
        <f>IF(D58="Y",C58,"")</f>
        <v/>
      </c>
      <c r="F58" s="39" t="n"/>
      <c r="H58" s="30" t="n"/>
      <c r="I58" s="37" t="n"/>
      <c r="J58" s="27" t="n"/>
      <c r="K58" s="38">
        <f>IF(J58="Y",I58,"")</f>
        <v/>
      </c>
      <c r="L58" s="39" t="n"/>
    </row>
    <row r="59" ht="16" customHeight="1">
      <c r="B59" s="40" t="n"/>
      <c r="C59" s="41" t="n"/>
      <c r="D59" s="42" t="n"/>
      <c r="E59" s="43">
        <f>IF(D59="Y",C59,"")</f>
        <v/>
      </c>
      <c r="F59" s="44" t="n"/>
      <c r="H59" s="40" t="n"/>
      <c r="I59" s="41" t="n"/>
      <c r="J59" s="42" t="n"/>
      <c r="K59" s="43">
        <f>IF(J59="Y",I59,"")</f>
        <v/>
      </c>
      <c r="L59" s="44" t="n"/>
    </row>
    <row r="60" ht="16" customHeight="1">
      <c r="B60" s="30" t="n"/>
      <c r="C60" s="37" t="n"/>
      <c r="D60" s="27" t="n"/>
      <c r="E60" s="38">
        <f>IF(D60="Y",C60,"")</f>
        <v/>
      </c>
      <c r="F60" s="39" t="n"/>
      <c r="H60" s="30" t="n"/>
      <c r="I60" s="37" t="n"/>
      <c r="J60" s="27" t="n"/>
      <c r="K60" s="38">
        <f>IF(J60="Y",I60,"")</f>
        <v/>
      </c>
      <c r="L60" s="39" t="n"/>
    </row>
    <row r="61" ht="16" customHeight="1">
      <c r="B61" s="40" t="n"/>
      <c r="C61" s="41" t="n"/>
      <c r="D61" s="42" t="n"/>
      <c r="E61" s="43">
        <f>IF(D61="Y",C61,"")</f>
        <v/>
      </c>
      <c r="F61" s="44" t="n"/>
      <c r="H61" s="40" t="n"/>
      <c r="I61" s="41" t="n"/>
      <c r="J61" s="42" t="n"/>
      <c r="K61" s="43">
        <f>IF(J61="Y",I61,"")</f>
        <v/>
      </c>
      <c r="L61" s="44" t="n"/>
    </row>
    <row r="62" ht="16" customHeight="1">
      <c r="B62" s="30" t="n"/>
      <c r="C62" s="37" t="n"/>
      <c r="D62" s="27" t="n"/>
      <c r="E62" s="38">
        <f>IF(D62="Y",C62,"")</f>
        <v/>
      </c>
      <c r="F62" s="39" t="n"/>
      <c r="H62" s="30" t="n"/>
      <c r="I62" s="37" t="n"/>
      <c r="J62" s="27" t="n"/>
      <c r="K62" s="38">
        <f>IF(J62="Y",I62,"")</f>
        <v/>
      </c>
      <c r="L62" s="39" t="n"/>
    </row>
    <row r="63" ht="16" customHeight="1">
      <c r="B63" s="40" t="n"/>
      <c r="C63" s="41" t="n"/>
      <c r="D63" s="42" t="n"/>
      <c r="E63" s="43">
        <f>IF(D63="Y",C63,"")</f>
        <v/>
      </c>
      <c r="F63" s="44" t="n"/>
      <c r="H63" s="40" t="n"/>
      <c r="I63" s="41" t="n"/>
      <c r="J63" s="42" t="n"/>
      <c r="K63" s="43">
        <f>IF(J63="Y",I63,"")</f>
        <v/>
      </c>
      <c r="L63" s="44" t="n"/>
    </row>
    <row r="64" ht="16" customHeight="1">
      <c r="B64" s="30" t="n"/>
      <c r="C64" s="37" t="n"/>
      <c r="D64" s="27" t="n"/>
      <c r="E64" s="38">
        <f>IF(D64="Y",C64,"")</f>
        <v/>
      </c>
      <c r="F64" s="39" t="n"/>
      <c r="H64" s="30" t="n"/>
      <c r="I64" s="37" t="n"/>
      <c r="J64" s="27" t="n"/>
      <c r="K64" s="38">
        <f>IF(J64="Y",I64,"")</f>
        <v/>
      </c>
      <c r="L64" s="39" t="n"/>
    </row>
    <row r="65" ht="16" customHeight="1">
      <c r="B65" s="40" t="n"/>
      <c r="C65" s="41" t="n"/>
      <c r="D65" s="42" t="n"/>
      <c r="E65" s="43">
        <f>IF(D65="Y",C65,"")</f>
        <v/>
      </c>
      <c r="F65" s="44" t="n"/>
      <c r="H65" s="40" t="n"/>
      <c r="I65" s="41" t="n"/>
      <c r="J65" s="42" t="n"/>
      <c r="K65" s="43">
        <f>IF(J65="Y",I65,"")</f>
        <v/>
      </c>
      <c r="L65" s="44" t="n"/>
    </row>
    <row r="66" ht="16" customHeight="1">
      <c r="B66" s="30" t="n"/>
      <c r="C66" s="37" t="n"/>
      <c r="D66" s="27" t="n"/>
      <c r="E66" s="38">
        <f>IF(D66="Y",C66,"")</f>
        <v/>
      </c>
      <c r="F66" s="39" t="n"/>
      <c r="H66" s="30" t="n"/>
      <c r="I66" s="37" t="n"/>
      <c r="J66" s="27" t="n"/>
      <c r="K66" s="38">
        <f>IF(J66="Y",I66,"")</f>
        <v/>
      </c>
      <c r="L66" s="39" t="n"/>
    </row>
    <row r="67" ht="16" customHeight="1">
      <c r="B67" s="40" t="n"/>
      <c r="C67" s="41" t="n"/>
      <c r="D67" s="42" t="n"/>
      <c r="E67" s="43">
        <f>IF(D67="Y",C67,"")</f>
        <v/>
      </c>
      <c r="F67" s="44" t="n"/>
      <c r="H67" s="40" t="n"/>
      <c r="I67" s="41" t="n"/>
      <c r="J67" s="42" t="n"/>
      <c r="K67" s="43">
        <f>IF(J67="Y",I67,"")</f>
        <v/>
      </c>
      <c r="L67" s="44" t="n"/>
    </row>
    <row r="68" ht="8" customHeight="1"/>
    <row r="69" ht="22" customHeight="1">
      <c r="B69" s="45" t="inlineStr">
        <is>
          <t>TOTALS</t>
        </is>
      </c>
      <c r="C69" s="46">
        <f>IFERROR(COUNTIF(D8:D67,"Y")/COUNTA(B8:B67),0)</f>
        <v/>
      </c>
      <c r="D69" s="47">
        <f>IFERROR(AVERAGEIF(D8:D67,"Y",E8:E67),0)</f>
        <v/>
      </c>
      <c r="E69" s="47">
        <f>IFERROR(SUM(E8:E67)/COUNTA(B8:B67),0)</f>
        <v/>
      </c>
      <c r="F69" s="48" t="inlineStr">
        <is>
          <t>← occ / ADR / RevPAR</t>
        </is>
      </c>
      <c r="H69" s="49" t="inlineStr">
        <is>
          <t>TOTALS</t>
        </is>
      </c>
      <c r="I69" s="46">
        <f>IFERROR(COUNTIF(J8:J67,"Y")/COUNTA(H8:H67),0)</f>
        <v/>
      </c>
      <c r="J69" s="47">
        <f>IFERROR(AVERAGEIF(J8:J67,"Y",K8:K67),0)</f>
        <v/>
      </c>
      <c r="K69" s="47">
        <f>IFERROR(SUM(K8:K67)/COUNTA(H8:H67),0)</f>
        <v/>
      </c>
      <c r="L69" s="48" t="inlineStr">
        <is>
          <t>← occ / ADR / RevPAR</t>
        </is>
      </c>
    </row>
    <row r="71">
      <c r="A71" s="20" t="n"/>
      <c r="B71" s="20" t="n"/>
      <c r="C71" s="20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</row>
    <row r="72" ht="18" customHeight="1">
      <c r="A72" s="21" t="inlineStr">
        <is>
          <t>Questions? hello@thestrledger.com</t>
        </is>
      </c>
    </row>
    <row r="73" ht="18" customHeight="1">
      <c r="A73" s="22" t="inlineStr">
        <is>
          <t>REV-006 · v1.0 · Daily Performance</t>
        </is>
      </c>
    </row>
  </sheetData>
  <mergeCells count="8">
    <mergeCell ref="A73:L73"/>
    <mergeCell ref="A72:L72"/>
    <mergeCell ref="J2:L2"/>
    <mergeCell ref="D2:I2"/>
    <mergeCell ref="B6:F6"/>
    <mergeCell ref="H6:L6"/>
    <mergeCell ref="A2:C2"/>
    <mergeCell ref="A4:L4"/>
  </mergeCells>
  <conditionalFormatting sqref="B8:F67">
    <cfRule type="expression" priority="1" dxfId="0" stopIfTrue="0">
      <formula>$D8="Y"</formula>
    </cfRule>
  </conditionalFormatting>
  <conditionalFormatting sqref="H8:L67">
    <cfRule type="expression" priority="2" dxfId="0" stopIfTrue="0">
      <formula>$J8="Y"</formula>
    </cfRule>
  </conditionalFormatting>
  <dataValidations count="2">
    <dataValidation sqref="D8:D67" showDropDown="0" showInputMessage="0" showErrorMessage="0" allowBlank="1" type="list">
      <formula1>"Y,N"</formula1>
    </dataValidation>
    <dataValidation sqref="J8:J67" showDropDown="0" showInputMessage="0" showErrorMessage="0" allowBlank="1" type="list">
      <formula1>"Y,N"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31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8" customWidth="1" min="3" max="3"/>
    <col width="18" customWidth="1" min="4" max="4"/>
    <col width="6" customWidth="1" min="5" max="5"/>
    <col width="30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3">
        <f>HYPERLINK("#'Daily Performance'!A1", "← BACK")</f>
        <v/>
      </c>
      <c r="B2" s="14" t="n"/>
      <c r="C2" s="14" t="n"/>
      <c r="D2" s="23" t="inlineStr">
        <is>
          <t>ROI VERDICT</t>
        </is>
      </c>
      <c r="J2" s="17">
        <f>HYPERLINK("#'Settings'!A1", "NEXT →")</f>
        <v/>
      </c>
      <c r="K2" s="18" t="n"/>
      <c r="L2" s="18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4" t="inlineStr">
        <is>
          <t>Side-by-side: ADR / RevPAR / occupancy / gross / NET (after fees). Lift &gt; 0 means the tool earned its keep.</t>
        </is>
      </c>
    </row>
    <row r="6" ht="24" customHeight="1">
      <c r="B6" s="36" t="inlineStr">
        <is>
          <t>Metric</t>
        </is>
      </c>
      <c r="C6" s="36" t="inlineStr">
        <is>
          <t>Baseline (no tool)</t>
        </is>
      </c>
      <c r="D6" s="36" t="inlineStr">
        <is>
          <t>Test (tool active)</t>
        </is>
      </c>
      <c r="F6" s="36" t="inlineStr">
        <is>
          <t>Notes</t>
        </is>
      </c>
    </row>
    <row r="7" ht="18" customHeight="1">
      <c r="B7" s="50" t="inlineStr">
        <is>
          <t>Occupancy:</t>
        </is>
      </c>
      <c r="C7" s="51">
        <f>IFERROR(COUNTIF('Daily Performance'!D8:D67,"Y")/COUNTA('Daily Performance'!B8:B67),0)</f>
        <v/>
      </c>
      <c r="D7" s="51">
        <f>IFERROR(COUNTIF('Daily Performance'!J8:J67,"Y")/COUNTA('Daily Performance'!H8:H67),0)</f>
        <v/>
      </c>
      <c r="F7" s="48" t="inlineStr">
        <is>
          <t>Booked nights ÷ available nights in the period</t>
        </is>
      </c>
    </row>
    <row r="8" ht="18" customHeight="1">
      <c r="B8" s="50" t="inlineStr">
        <is>
          <t>ADR (avg booked night, $):</t>
        </is>
      </c>
      <c r="C8" s="38">
        <f>IFERROR(AVERAGEIF('Daily Performance'!D8:D67,"Y",'Daily Performance'!E8:E67),0)</f>
        <v/>
      </c>
      <c r="D8" s="38">
        <f>IFERROR(AVERAGEIF('Daily Performance'!J8:J67,"Y",'Daily Performance'!K8:K67),0)</f>
        <v/>
      </c>
      <c r="F8" s="48" t="inlineStr">
        <is>
          <t>Average daily rate on booked nights</t>
        </is>
      </c>
    </row>
    <row r="9" ht="18" customHeight="1">
      <c r="B9" s="50" t="inlineStr">
        <is>
          <t>RevPAR (revenue per available night, $):</t>
        </is>
      </c>
      <c r="C9" s="38">
        <f>IFERROR(SUM('Daily Performance'!E8:E67)/COUNTA('Daily Performance'!B8:B67),0)</f>
        <v/>
      </c>
      <c r="D9" s="38">
        <f>IFERROR(SUM('Daily Performance'!K8:K67)/COUNTA('Daily Performance'!H8:H67),0)</f>
        <v/>
      </c>
      <c r="F9" s="48" t="inlineStr">
        <is>
          <t>Sum of ADR ÷ available nights — true revenue density</t>
        </is>
      </c>
    </row>
    <row r="10" ht="18" customHeight="1">
      <c r="B10" s="50" t="inlineStr">
        <is>
          <t>Booked nights:</t>
        </is>
      </c>
      <c r="C10" s="31">
        <f>COUNTIF('Daily Performance'!D8:D67,"Y")</f>
        <v/>
      </c>
      <c r="D10" s="31">
        <f>COUNTIF('Daily Performance'!J8:J67,"Y")</f>
        <v/>
      </c>
      <c r="F10" s="48" t="inlineStr">
        <is>
          <t>Count of nights where Booked=Y</t>
        </is>
      </c>
    </row>
    <row r="11" ht="18" customHeight="1">
      <c r="B11" s="50" t="inlineStr">
        <is>
          <t>Gross revenue ($):</t>
        </is>
      </c>
      <c r="C11" s="38">
        <f>SUM('Daily Performance'!E8:E67)</f>
        <v/>
      </c>
      <c r="D11" s="38">
        <f>SUM('Daily Performance'!K8:K67)</f>
        <v/>
      </c>
      <c r="F11" s="48" t="inlineStr">
        <is>
          <t>Sum of nightly ADR — gross booking revenue</t>
        </is>
      </c>
    </row>
    <row r="12" ht="18" customHeight="1">
      <c r="B12" s="50" t="inlineStr">
        <is>
          <t>Cleaning costs ($):</t>
        </is>
      </c>
      <c r="C12" s="38">
        <f>COUNTIF('Daily Performance'!D8:D67,"Y")*'A_B Test Setup'!C20</f>
        <v/>
      </c>
      <c r="D12" s="38">
        <f>COUNTIF('Daily Performance'!J8:J67,"Y")*'A_B Test Setup'!C20</f>
        <v/>
      </c>
      <c r="F12" s="48" t="inlineStr">
        <is>
          <t>Booked nights × cleaning per turnover (from Setup tab)</t>
        </is>
      </c>
    </row>
    <row r="13" ht="18" customHeight="1">
      <c r="B13" s="50" t="inlineStr">
        <is>
          <t>Tool fees ($):</t>
        </is>
      </c>
      <c r="C13" s="38">
        <f>0</f>
        <v/>
      </c>
      <c r="D13" s="38">
        <f>IFERROR(('A_B Test Setup'!C16/30)*'A_B Test Setup'!C7,0)</f>
        <v/>
      </c>
      <c r="F13" s="48" t="inlineStr">
        <is>
          <t>(Test length ÷ 30) × monthly fee — pro-rated per period</t>
        </is>
      </c>
    </row>
    <row r="14" ht="22" customHeight="1">
      <c r="B14" s="52" t="inlineStr">
        <is>
          <t>NET revenue ($):</t>
        </is>
      </c>
      <c r="C14" s="53">
        <f>C11-C12-C13</f>
        <v/>
      </c>
      <c r="D14" s="54">
        <f>D11-D12-D13</f>
        <v/>
      </c>
      <c r="F14" s="48" t="inlineStr">
        <is>
          <t>Gross − cleaning − tool fees</t>
        </is>
      </c>
    </row>
    <row r="16" ht="8" customHeight="1"/>
    <row r="17" ht="22" customHeight="1">
      <c r="B17" s="52" t="inlineStr">
        <is>
          <t>Monthly NET equivalent ($):</t>
        </is>
      </c>
      <c r="C17" s="53">
        <f>IFERROR(C14/('A_B Test Setup'!C15/30),0)</f>
        <v/>
      </c>
      <c r="D17" s="54">
        <f>IFERROR(D14/('A_B Test Setup'!C16/30),0)</f>
        <v/>
      </c>
      <c r="F17" s="48" t="inlineStr">
        <is>
          <t>NET normalized to per-month for fair comparison</t>
        </is>
      </c>
    </row>
    <row r="19" ht="24" customHeight="1">
      <c r="A19" s="25" t="inlineStr">
        <is>
          <t>LIFT  —  did the tool pay for itself?</t>
        </is>
      </c>
    </row>
    <row r="20" ht="24" customHeight="1">
      <c r="B20" s="52" t="inlineStr">
        <is>
          <t>Lift $/month:</t>
        </is>
      </c>
      <c r="C20" s="55">
        <f>D17-C17</f>
        <v/>
      </c>
      <c r="D20" s="6" t="n"/>
      <c r="F20" s="56" t="inlineStr">
        <is>
          <t>Test monthly NET − Baseline monthly NET</t>
        </is>
      </c>
    </row>
    <row r="21" ht="22" customHeight="1">
      <c r="B21" s="52" t="inlineStr">
        <is>
          <t>Lift % (vs baseline):</t>
        </is>
      </c>
      <c r="C21" s="57">
        <f>IFERROR((D17-C17)/C17,0)</f>
        <v/>
      </c>
      <c r="D21" s="6" t="n"/>
      <c r="F21" s="56" t="inlineStr">
        <is>
          <t>Lift $ as % of baseline NET</t>
        </is>
      </c>
    </row>
    <row r="23" ht="40" customHeight="1">
      <c r="A23" s="58">
        <f>IF(C20&gt;0, "✅ Tool earned its fee — keep", "🛑 Tool didn't pay for itself — drop")</f>
        <v/>
      </c>
    </row>
    <row r="25" ht="18" customHeight="1">
      <c r="A25" s="59" t="inlineStr">
        <is>
          <t>Decision rule: a +5% lift on a $5,000/month NET = $250/month — easily covers a $20-50/month tool. A flat or negative lift means either the tool isn't suited to your market or the periods weren't comparable (different season, different lead-time exposure). If undecided, run another 60-day window in the opposite season.</t>
        </is>
      </c>
    </row>
    <row r="26" ht="18" customHeight="1"/>
    <row r="27" ht="18" customHeight="1"/>
    <row r="29">
      <c r="A29" s="20" t="n"/>
      <c r="B29" s="20" t="n"/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</row>
    <row r="30" ht="18" customHeight="1">
      <c r="A30" s="21" t="inlineStr">
        <is>
          <t>Questions? hello@thestrledger.com</t>
        </is>
      </c>
    </row>
    <row r="31" ht="18" customHeight="1">
      <c r="A31" s="22" t="inlineStr">
        <is>
          <t>REV-006 · v1.0 · ROI Verdict</t>
        </is>
      </c>
    </row>
  </sheetData>
  <mergeCells count="20">
    <mergeCell ref="D2:I2"/>
    <mergeCell ref="F13:L13"/>
    <mergeCell ref="F9:L9"/>
    <mergeCell ref="A25:L27"/>
    <mergeCell ref="A2:C2"/>
    <mergeCell ref="F14:L14"/>
    <mergeCell ref="A23:L23"/>
    <mergeCell ref="F11:L11"/>
    <mergeCell ref="F10:L10"/>
    <mergeCell ref="A4:L4"/>
    <mergeCell ref="J2:L2"/>
    <mergeCell ref="A19:L19"/>
    <mergeCell ref="F7:L7"/>
    <mergeCell ref="F21:L21"/>
    <mergeCell ref="A31:L31"/>
    <mergeCell ref="F12:L12"/>
    <mergeCell ref="F20:L20"/>
    <mergeCell ref="A30:L30"/>
    <mergeCell ref="F8:L8"/>
    <mergeCell ref="F17:L17"/>
  </mergeCells>
  <conditionalFormatting sqref="C20">
    <cfRule type="cellIs" priority="1" operator="lessThan" dxfId="1">
      <formula>0</formula>
    </cfRule>
  </conditionalFormatting>
  <pageMargins left="0.5" right="0.5" top="0.5" bottom="0.5" header="0.5" footer="0.5"/>
  <pageSetup orientation="landscape" paperSize="1" fitToHeight="1" fitToWidth="1"/>
</worksheet>
</file>

<file path=xl/worksheets/sheet5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17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6" customWidth="1" min="3" max="3"/>
    <col width="50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3">
        <f>HYPERLINK("#'ROI Verdict'!A1", "← BACK")</f>
        <v/>
      </c>
      <c r="B2" s="14" t="n"/>
      <c r="C2" s="14" t="n"/>
      <c r="D2" s="23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4" t="inlineStr">
        <is>
          <t>Property + active year. The Start tab pulls these for the headline.</t>
        </is>
      </c>
    </row>
    <row r="5" ht="22" customHeight="1">
      <c r="A5" s="26" t="inlineStr">
        <is>
          <t>Property:</t>
        </is>
      </c>
      <c r="B5" s="60" t="n"/>
      <c r="D5" s="56" t="inlineStr">
        <is>
          <t>Property nickname — appears on the Start tab headline</t>
        </is>
      </c>
    </row>
    <row r="7" ht="22" customHeight="1">
      <c r="A7" s="26" t="inlineStr">
        <is>
          <t>Active tax year:</t>
        </is>
      </c>
      <c r="B7" s="32" t="n"/>
      <c r="D7" s="56" t="inlineStr">
        <is>
          <t>Year the test ran in — used in archive notes</t>
        </is>
      </c>
    </row>
    <row r="10" ht="18" customHeight="1">
      <c r="A10" s="61" t="inlineStr">
        <is>
          <t>Tip: archive each finished test before starting a new one. Save this file as 'REV-006-2025-PriceLabs-Aug.xlsx' (or similar), then duplicate the BLANK template for the next test. Over time you'll build a comparison library — PriceLabs vs. Wheelhouse vs. Beyond — specific to your property and market.</t>
        </is>
      </c>
    </row>
    <row r="11" ht="18" customHeight="1"/>
    <row r="12" ht="18" customHeight="1"/>
    <row r="13" ht="18" customHeight="1"/>
    <row r="15">
      <c r="A15" s="20" t="n"/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</row>
    <row r="16" ht="18" customHeight="1">
      <c r="A16" s="21" t="inlineStr">
        <is>
          <t>Questions? hello@thestrledger.com</t>
        </is>
      </c>
    </row>
    <row r="17" ht="18" customHeight="1">
      <c r="A17" s="22" t="inlineStr">
        <is>
          <t>REV-006 · v1.0 · Settings</t>
        </is>
      </c>
    </row>
  </sheetData>
  <mergeCells count="6">
    <mergeCell ref="D2:L2"/>
    <mergeCell ref="A16:L16"/>
    <mergeCell ref="A10:L13"/>
    <mergeCell ref="A17:L17"/>
    <mergeCell ref="A2:C2"/>
    <mergeCell ref="A4:L4"/>
  </mergeCells>
  <pageMargins left="0.5" right="0.5" top="0.5" bottom="0.5" header="0.5" footer="0.5"/>
  <pageSetup orientation="portrait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Pricing Tool ROI Comparison — The STR Ledger</dc:title>
  <dc:description xmlns:dc="http://purl.org/dc/elements/1.1/">A/B test framework: did PriceLabs / Wheelhouse / Beyond actually earn their monthly fee? 60-day baseline vs. 60-day test, lift calc, keep/drop verdict.</dc:description>
  <dcterms:created xmlns:dcterms="http://purl.org/dc/terms/" xmlns:xsi="http://www.w3.org/2001/XMLSchema-instance" xsi:type="dcterms:W3CDTF">2026-05-03T12:38:59Z</dcterms:created>
  <dcterms:modified xmlns:dcterms="http://purl.org/dc/terms/" xmlns:xsi="http://www.w3.org/2001/XMLSchema-instance" xsi:type="dcterms:W3CDTF">2026-05-03T12:38:59Z</dcterms:modified>
</cp:coreProperties>
</file>