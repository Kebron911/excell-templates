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Log" sheetId="2" state="visible" r:id="rId2"/>
    <sheet xmlns:r="http://schemas.openxmlformats.org/officeDocument/2006/relationships" name="Summary" sheetId="3" state="visible" r:id="rId3"/>
    <sheet xmlns:r="http://schemas.openxmlformats.org/officeDocument/2006/relationships" name="Settings" sheetId="4" state="visible" r:id="rId4"/>
  </sheets>
  <definedNames>
    <definedName name="_xlnm.Print_Area" localSheetId="0">'Start'!$A$1:$L$48</definedName>
    <definedName name="_xlnm.Print_Titles" localSheetId="1">'Log'!$1:$5</definedName>
    <definedName name="_xlnm.Print_Titles" localSheetId="2">'Summary'!$1:$4</definedName>
    <definedName name="_xlnm.Print_Area" localSheetId="2">'Summary'!$A$1:$N$36</definedName>
  </definedNames>
  <calcPr calcId="124519" fullCalcOnLoad="1"/>
</workbook>
</file>

<file path=xl/styles.xml><?xml version="1.0" encoding="utf-8"?>
<styleSheet xmlns="http://schemas.openxmlformats.org/spreadsheetml/2006/main">
  <numFmts count="3">
    <numFmt numFmtId="164" formatCode="&quot;$&quot;#,##0"/>
    <numFmt numFmtId="165" formatCode="yyyy-mm-dd"/>
    <numFmt numFmtId="166" formatCode="&quot;$&quot;#,##0.00"/>
  </numFmts>
  <fonts count="25">
    <font>
      <name val="Calibri"/>
      <family val="2"/>
      <color theme="1"/>
      <sz val="11"/>
      <scheme val="minor"/>
    </font>
    <font>
      <name val="Georgia"/>
      <color rgb="00F6EFE2"/>
      <sz val="14"/>
    </font>
    <font>
      <name val="Georgia"/>
      <b val="1"/>
      <color rgb="00F6EFE2"/>
      <sz val="36"/>
    </font>
    <font>
      <name val="Georgia"/>
      <i val="1"/>
      <color rgb="00C9A24B"/>
      <sz val="14"/>
    </font>
    <font>
      <name val="Consolas"/>
      <color rgb="00C9A24B"/>
      <sz val="9"/>
    </font>
    <font>
      <name val="Consolas"/>
      <b val="1"/>
      <color rgb="0012304E"/>
      <sz val="10"/>
    </font>
    <font>
      <name val="Calibri"/>
      <color rgb="002B2B2B"/>
      <sz val="11"/>
    </font>
    <font>
      <name val="Georgia"/>
      <b val="1"/>
      <color rgb="00F6EFE2"/>
      <sz val="13"/>
    </font>
    <font>
      <name val="Consolas"/>
      <b val="1"/>
      <color rgb="0012304E"/>
      <sz val="9"/>
    </font>
    <font>
      <name val="Georgia"/>
      <b val="1"/>
      <color rgb="0012304E"/>
      <sz val="32"/>
    </font>
    <font>
      <name val="Calibri"/>
      <color rgb="006B7280"/>
      <sz val="9"/>
    </font>
    <font>
      <name val="Consolas"/>
      <b val="1"/>
      <color rgb="00C9A24B"/>
      <sz val="9"/>
    </font>
    <font>
      <name val="Georgia"/>
      <b val="1"/>
      <color rgb="00C9A24B"/>
      <sz val="32"/>
    </font>
    <font>
      <name val="Georgia"/>
      <b val="1"/>
      <color rgb="0012304E"/>
      <sz val="22"/>
    </font>
    <font>
      <name val="Georgia"/>
      <b val="1"/>
      <color rgb="0012304E"/>
      <sz val="13"/>
    </font>
    <font>
      <name val="Calibri"/>
      <color rgb="0012304E"/>
      <sz val="10"/>
    </font>
    <font>
      <name val="Calibri"/>
      <b val="1"/>
      <color rgb="00FFFFFF"/>
      <sz val="11"/>
    </font>
    <font>
      <name val="Calibri"/>
      <color rgb="006B7280"/>
      <sz val="10"/>
    </font>
    <font>
      <name val="Calibri"/>
      <i val="1"/>
      <color rgb="00C9A24B"/>
      <sz val="10"/>
    </font>
    <font>
      <name val="Consolas"/>
      <b val="1"/>
      <color rgb="00C9A24B"/>
      <sz val="10"/>
    </font>
    <font>
      <name val="Calibri"/>
      <i val="1"/>
      <color rgb="002B2B2B"/>
      <sz val="10"/>
    </font>
    <font>
      <name val="Calibri"/>
      <i val="1"/>
      <color rgb="002B2B2B"/>
      <sz val="11"/>
    </font>
    <font>
      <name val="Calibri"/>
      <b val="1"/>
      <color rgb="002B2B2B"/>
      <sz val="11"/>
    </font>
    <font>
      <name val="Calibri"/>
      <i val="1"/>
      <color rgb="006B7280"/>
      <sz val="10"/>
    </font>
    <font>
      <name val="Georgia"/>
      <b val="1"/>
      <color rgb="0012304E"/>
      <sz val="12"/>
    </font>
  </fonts>
  <fills count="9">
    <fill>
      <patternFill/>
    </fill>
    <fill>
      <patternFill patternType="gray125"/>
    </fill>
    <fill>
      <patternFill patternType="solid">
        <fgColor rgb="0012304E"/>
      </patternFill>
    </fill>
    <fill>
      <patternFill patternType="solid">
        <fgColor rgb="00F6EFE2"/>
      </patternFill>
    </fill>
    <fill>
      <patternFill patternType="solid">
        <fgColor rgb="00E2C884"/>
      </patternFill>
    </fill>
    <fill>
      <patternFill patternType="solid">
        <fgColor rgb="00EFE5D0"/>
      </patternFill>
    </fill>
    <fill>
      <patternFill patternType="solid">
        <fgColor rgb="00C9A24B"/>
      </patternFill>
    </fill>
    <fill>
      <patternFill patternType="solid">
        <fgColor rgb="00FFF7D6"/>
      </patternFill>
    </fill>
    <fill>
      <patternFill patternType="solid">
        <fgColor rgb="00EDEDED"/>
      </patternFill>
    </fill>
  </fills>
  <borders count="15">
    <border>
      <left/>
      <right/>
      <top/>
      <bottom/>
      <diagonal/>
    </border>
    <border>
      <left style="medium">
        <color rgb="00C9A24B"/>
      </left>
      <right style="medium">
        <color rgb="00C9A24B"/>
      </right>
      <top style="medium">
        <color rgb="00C9A24B"/>
      </top>
      <bottom style="medium">
        <color rgb="00C9A24B"/>
      </bottom>
    </border>
    <border>
      <left style="thin">
        <color rgb="00C9A24B"/>
      </left>
      <right/>
      <top style="thin">
        <color rgb="00C9A24B"/>
      </top>
      <bottom/>
    </border>
    <border>
      <left/>
      <right/>
      <top style="thin">
        <color rgb="00C9A24B"/>
      </top>
      <bottom/>
    </border>
    <border>
      <left/>
      <right style="thin">
        <color rgb="00C9A24B"/>
      </right>
      <top style="thin">
        <color rgb="00C9A24B"/>
      </top>
      <bottom/>
    </border>
    <border>
      <left style="thin">
        <color rgb="00C9A24B"/>
      </left>
      <right/>
      <top/>
      <bottom/>
    </border>
    <border>
      <left/>
      <right/>
      <top/>
      <bottom/>
    </border>
    <border>
      <left/>
      <right style="thin">
        <color rgb="00C9A24B"/>
      </right>
      <top/>
      <bottom/>
    </border>
    <border>
      <left style="thin">
        <color rgb="00C9A24B"/>
      </left>
      <right/>
      <top/>
      <bottom style="thin">
        <color rgb="00C9A24B"/>
      </bottom>
    </border>
    <border>
      <left/>
      <right/>
      <top/>
      <bottom style="thin">
        <color rgb="00C9A24B"/>
      </bottom>
    </border>
    <border>
      <left/>
      <right style="thin">
        <color rgb="00C9A24B"/>
      </right>
      <top/>
      <bottom style="thin">
        <color rgb="00C9A24B"/>
      </bottom>
    </border>
    <border>
      <left style="thin">
        <color rgb="00C9A24B"/>
      </left>
      <right style="thin">
        <color rgb="00C9A24B"/>
      </right>
      <top style="thin">
        <color rgb="00C9A24B"/>
      </top>
      <bottom style="thin">
        <color rgb="00C9A24B"/>
      </bottom>
    </border>
    <border>
      <left style="medium">
        <color rgb="0012304E"/>
      </left>
      <right style="medium">
        <color rgb="0012304E"/>
      </right>
      <top style="medium">
        <color rgb="0012304E"/>
      </top>
      <bottom style="medium">
        <color rgb="0012304E"/>
      </bottom>
    </border>
    <border>
      <top style="thin">
        <color rgb="00C9A24B"/>
      </top>
    </border>
    <border>
      <left style="thin">
        <color rgb="0012304E"/>
      </left>
      <right style="thin">
        <color rgb="0012304E"/>
      </right>
      <top style="thin">
        <color rgb="0012304E"/>
      </top>
      <bottom style="thin">
        <color rgb="0012304E"/>
      </bottom>
    </border>
  </borders>
  <cellStyleXfs count="1">
    <xf numFmtId="0" fontId="0" fillId="0" borderId="0"/>
  </cellStyleXfs>
  <cellXfs count="53">
    <xf numFmtId="0" fontId="0" fillId="0" borderId="0" pivotButton="0" quotePrefix="0" xfId="0"/>
    <xf numFmtId="0" fontId="0" fillId="2"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5" fillId="4" borderId="0" applyAlignment="1" pivotButton="0" quotePrefix="0" xfId="0">
      <alignment horizontal="left" vertical="center" indent="2"/>
    </xf>
    <xf numFmtId="0" fontId="6" fillId="3" borderId="0" applyAlignment="1" pivotButton="0" quotePrefix="0" xfId="0">
      <alignment horizontal="left" vertical="center" wrapText="1" indent="2"/>
    </xf>
    <xf numFmtId="0" fontId="0" fillId="3" borderId="0" pivotButton="0" quotePrefix="0" xfId="0"/>
    <xf numFmtId="0" fontId="6" fillId="5" borderId="0" applyAlignment="1" pivotButton="0" quotePrefix="0" xfId="0">
      <alignment horizontal="left" vertical="center" wrapText="1" indent="2"/>
    </xf>
    <xf numFmtId="0" fontId="0" fillId="5" borderId="0" pivotButton="0" quotePrefix="0" xfId="0"/>
    <xf numFmtId="0" fontId="7" fillId="2" borderId="1" applyAlignment="1" pivotButton="0" quotePrefix="0" xfId="0">
      <alignment horizontal="center" vertical="center" wrapText="1"/>
    </xf>
    <xf numFmtId="0" fontId="0" fillId="0" borderId="1" pivotButton="0" quotePrefix="0" xfId="0"/>
    <xf numFmtId="0" fontId="8" fillId="3" borderId="2" applyAlignment="1" pivotButton="0" quotePrefix="0" xfId="0">
      <alignment horizontal="center"/>
    </xf>
    <xf numFmtId="0" fontId="0" fillId="0" borderId="3" pivotButton="0" quotePrefix="0" xfId="0"/>
    <xf numFmtId="0" fontId="0" fillId="0" borderId="4" pivotButton="0" quotePrefix="0" xfId="0"/>
    <xf numFmtId="0" fontId="11" fillId="3" borderId="2" applyAlignment="1" pivotButton="0" quotePrefix="0" xfId="0">
      <alignment horizontal="center"/>
    </xf>
    <xf numFmtId="1" fontId="9" fillId="3" borderId="5" applyAlignment="1" pivotButton="0" quotePrefix="0" xfId="0">
      <alignment horizontal="center" vertical="center"/>
    </xf>
    <xf numFmtId="0" fontId="0" fillId="0" borderId="6" pivotButton="0" quotePrefix="0" xfId="0"/>
    <xf numFmtId="0" fontId="0" fillId="0" borderId="7" pivotButton="0" quotePrefix="0" xfId="0"/>
    <xf numFmtId="164" fontId="12" fillId="3" borderId="5" applyAlignment="1" pivotButton="0" quotePrefix="0" xfId="0">
      <alignment horizontal="center" vertical="center"/>
    </xf>
    <xf numFmtId="0" fontId="13" fillId="3" borderId="5" applyAlignment="1" pivotButton="0" quotePrefix="0" xfId="0">
      <alignment horizontal="center" vertical="center"/>
    </xf>
    <xf numFmtId="0" fontId="0" fillId="0" borderId="5" pivotButton="0" quotePrefix="0" xfId="0"/>
    <xf numFmtId="0" fontId="10" fillId="3" borderId="8" applyAlignment="1" pivotButton="0" quotePrefix="0" xfId="0">
      <alignment horizontal="center"/>
    </xf>
    <xf numFmtId="0" fontId="0" fillId="0" borderId="9" pivotButton="0" quotePrefix="0" xfId="0"/>
    <xf numFmtId="0" fontId="0" fillId="0" borderId="10" pivotButton="0" quotePrefix="0" xfId="0"/>
    <xf numFmtId="0" fontId="14" fillId="3" borderId="11" applyAlignment="1" pivotButton="0" quotePrefix="0" xfId="0">
      <alignment horizontal="center" vertical="center" wrapText="1"/>
    </xf>
    <xf numFmtId="0" fontId="0" fillId="0" borderId="11" pivotButton="0" quotePrefix="0" xfId="0"/>
    <xf numFmtId="0" fontId="14" fillId="6" borderId="12" applyAlignment="1" pivotButton="0" quotePrefix="0" xfId="0">
      <alignment horizontal="center" vertical="center" wrapText="1"/>
    </xf>
    <xf numFmtId="0" fontId="0" fillId="0" borderId="12" pivotButton="0" quotePrefix="0" xfId="0"/>
    <xf numFmtId="0" fontId="15" fillId="4" borderId="0" applyAlignment="1" pivotButton="0" quotePrefix="0" xfId="0">
      <alignment horizontal="center" vertical="center" wrapText="1"/>
    </xf>
    <xf numFmtId="0" fontId="16" fillId="6" borderId="0" applyAlignment="1" pivotButton="0" quotePrefix="0" xfId="0">
      <alignment horizontal="center" vertical="center" wrapText="1"/>
    </xf>
    <xf numFmtId="0" fontId="0" fillId="0" borderId="13" pivotButton="0" quotePrefix="0" xfId="0"/>
    <xf numFmtId="0" fontId="17" fillId="0" borderId="0" applyAlignment="1" pivotButton="0" quotePrefix="0" xfId="0">
      <alignment horizontal="center" vertical="center"/>
    </xf>
    <xf numFmtId="0" fontId="18" fillId="0" borderId="0" applyAlignment="1" pivotButton="0" quotePrefix="0" xfId="0">
      <alignment horizontal="center" vertical="center"/>
    </xf>
    <xf numFmtId="0" fontId="19" fillId="2" borderId="0" applyAlignment="1" pivotButton="0" quotePrefix="0" xfId="0">
      <alignment horizontal="right" vertical="center" indent="2"/>
    </xf>
    <xf numFmtId="0" fontId="20" fillId="3" borderId="0" applyAlignment="1" pivotButton="0" quotePrefix="0" xfId="0">
      <alignment horizontal="left" vertical="center" indent="1"/>
    </xf>
    <xf numFmtId="0" fontId="16" fillId="2" borderId="14" applyAlignment="1" pivotButton="0" quotePrefix="0" xfId="0">
      <alignment horizontal="center" vertical="center"/>
    </xf>
    <xf numFmtId="165" fontId="6" fillId="7" borderId="0" applyAlignment="1" pivotButton="0" quotePrefix="0" xfId="0">
      <alignment horizontal="left" vertical="center"/>
    </xf>
    <xf numFmtId="0" fontId="6" fillId="7" borderId="0" applyAlignment="1" pivotButton="0" quotePrefix="0" xfId="0">
      <alignment horizontal="left" vertical="center"/>
    </xf>
    <xf numFmtId="2" fontId="6" fillId="7" borderId="0" applyAlignment="1" pivotButton="0" quotePrefix="0" xfId="0">
      <alignment horizontal="left" vertical="center"/>
    </xf>
    <xf numFmtId="166" fontId="6" fillId="7" borderId="0" applyAlignment="1" pivotButton="0" quotePrefix="0" xfId="0">
      <alignment horizontal="left" vertical="center"/>
    </xf>
    <xf numFmtId="166" fontId="21" fillId="8" borderId="0" applyAlignment="1" pivotButton="0" quotePrefix="0" xfId="0">
      <alignment horizontal="right" vertical="center"/>
    </xf>
    <xf numFmtId="1" fontId="6" fillId="7" borderId="0" applyAlignment="1" pivotButton="0" quotePrefix="0" xfId="0">
      <alignment horizontal="left" vertical="center"/>
    </xf>
    <xf numFmtId="166" fontId="0" fillId="0" borderId="0" pivotButton="0" quotePrefix="0" xfId="0"/>
    <xf numFmtId="0" fontId="22" fillId="0" borderId="0" applyAlignment="1" pivotButton="0" quotePrefix="0" xfId="0">
      <alignment horizontal="right" vertical="center"/>
    </xf>
    <xf numFmtId="1" fontId="21" fillId="8" borderId="0" applyAlignment="1" pivotButton="0" quotePrefix="0" xfId="0">
      <alignment horizontal="right" vertical="center"/>
    </xf>
    <xf numFmtId="0" fontId="21" fillId="8" borderId="0" applyAlignment="1" pivotButton="0" quotePrefix="0" xfId="0">
      <alignment horizontal="right" vertical="center"/>
    </xf>
    <xf numFmtId="0" fontId="14" fillId="0" borderId="0" pivotButton="0" quotePrefix="0" xfId="0"/>
    <xf numFmtId="0" fontId="6" fillId="0" borderId="0" pivotButton="0" quotePrefix="0" xfId="0"/>
    <xf numFmtId="0" fontId="23" fillId="0" borderId="0" applyAlignment="1" pivotButton="0" quotePrefix="0" xfId="0">
      <alignment horizontal="left" vertical="center" wrapText="1" indent="1"/>
    </xf>
    <xf numFmtId="0" fontId="24" fillId="0" borderId="0" pivotButton="0" quotePrefix="0" xfId="0"/>
    <xf numFmtId="0" fontId="23" fillId="0" borderId="0" applyAlignment="1" pivotButton="0" quotePrefix="0" xfId="0">
      <alignment horizontal="left" vertical="center" wrapText="1"/>
    </xf>
  </cellXfs>
  <cellStyles count="1">
    <cellStyle name="Normal" xfId="0" builtinId="0" hidden="0"/>
  </cellStyles>
  <dxfs count="1">
    <dxf>
      <fill>
        <patternFill patternType="solid">
          <fgColor rgb="00FFE5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 by Month</a:t>
            </a:r>
          </a:p>
        </rich>
      </tx>
    </title>
    <plotArea>
      <barChart>
        <barDir val="col"/>
        <grouping val="clustered"/>
        <ser>
          <idx val="0"/>
          <order val="0"/>
          <tx>
            <strRef>
              <f>'Summary'!C22</f>
            </strRef>
          </tx>
          <spPr>
            <a:solidFill xmlns:a="http://schemas.openxmlformats.org/drawingml/2006/main">
              <a:srgbClr val="12304E"/>
            </a:solidFill>
            <a:ln xmlns:a="http://schemas.openxmlformats.org/drawingml/2006/main" w="4500">
              <a:solidFill>
                <a:srgbClr val="0A1F35"/>
              </a:solidFill>
              <a:prstDash val="solid"/>
            </a:ln>
          </spPr>
          <cat>
            <numRef>
              <f>'Summary'!$A$23:$A$34</f>
            </numRef>
          </cat>
          <val>
            <numRef>
              <f>'Summary'!$C$23:$C$34</f>
            </numRef>
          </val>
        </ser>
        <gapWidth val="150"/>
        <axId val="10"/>
        <axId val="100"/>
      </barChart>
      <catAx>
        <axId val="10"/>
        <scaling>
          <orientation val="minMax"/>
        </scaling>
        <delete val="0"/>
        <axPos val="l"/>
        <title>
          <tx>
            <rich>
              <a:bodyPr xmlns:a="http://schemas.openxmlformats.org/drawingml/2006/main"/>
              <a:p xmlns:a="http://schemas.openxmlformats.org/drawingml/2006/main">
                <a:pPr>
                  <a:defRPr/>
                </a:pPr>
                <a:r>
                  <a:t>Month</a:t>
                </a:r>
              </a:p>
            </rich>
          </tx>
        </title>
        <majorTickMark val="none"/>
        <minorTickMark val="none"/>
        <tickLblPos val="low"/>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Total $</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11</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2304E"/>
    <outlinePr summaryBelow="1" summaryRight="1"/>
    <pageSetUpPr fitToPage="1"/>
  </sheetPr>
  <dimension ref="A1:L48"/>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n"/>
      <c r="B1" s="1" t="n"/>
      <c r="C1" s="1" t="n"/>
      <c r="D1" s="1" t="n"/>
      <c r="E1" s="1" t="n"/>
      <c r="F1" s="1" t="n"/>
      <c r="G1" s="1" t="n"/>
      <c r="H1" s="1" t="n"/>
      <c r="I1" s="1" t="n"/>
      <c r="J1" s="1" t="n"/>
      <c r="K1" s="1" t="n"/>
      <c r="L1" s="1" t="n"/>
    </row>
    <row r="2" ht="22" customHeight="1">
      <c r="A2" s="2" t="inlineStr">
        <is>
          <t>The STR Ledger</t>
        </is>
      </c>
      <c r="G2" s="1" t="n"/>
      <c r="H2" s="1" t="n"/>
      <c r="I2" s="1" t="n"/>
      <c r="J2" s="1" t="n"/>
      <c r="K2" s="1" t="n"/>
      <c r="L2" s="1" t="n"/>
    </row>
    <row r="3" ht="22" customHeight="1">
      <c r="A3" s="1" t="n"/>
      <c r="B3" s="1" t="n"/>
      <c r="C3" s="1" t="n"/>
      <c r="D3" s="1" t="n"/>
      <c r="E3" s="1" t="n"/>
      <c r="F3" s="1" t="n"/>
      <c r="G3" s="1" t="n"/>
      <c r="H3" s="1" t="n"/>
      <c r="I3" s="1" t="n"/>
      <c r="J3" s="1" t="n"/>
      <c r="K3" s="1" t="n"/>
      <c r="L3" s="1" t="n"/>
    </row>
    <row r="4" ht="48" customHeight="1">
      <c r="A4" s="3" t="inlineStr">
        <is>
          <t>Cleaning Cost per Turnover</t>
        </is>
      </c>
    </row>
    <row r="5" ht="22" customHeight="1">
      <c r="A5" s="4" t="inlineStr">
        <is>
          <t>Price the cleaning fee like you mean it.</t>
        </is>
      </c>
    </row>
    <row r="6" ht="22" customHeight="1">
      <c r="A6" s="1" t="n"/>
      <c r="B6" s="1" t="n"/>
      <c r="C6" s="1" t="n"/>
      <c r="D6" s="1" t="n"/>
      <c r="E6" s="1" t="n"/>
      <c r="F6" s="1" t="n"/>
      <c r="G6" s="1" t="n"/>
      <c r="H6" s="1" t="n"/>
      <c r="I6" s="1" t="n"/>
      <c r="J6" s="1" t="n"/>
      <c r="K6" s="1" t="n"/>
      <c r="L6" s="1" t="n"/>
    </row>
    <row r="7" ht="22" customHeight="1">
      <c r="A7" s="5" t="inlineStr">
        <is>
          <t>OPS-004 · v2.2 · DEMO</t>
        </is>
      </c>
    </row>
    <row r="8" ht="22" customHeight="1">
      <c r="A8" s="1" t="n"/>
      <c r="B8" s="1" t="n"/>
      <c r="C8" s="1" t="n"/>
      <c r="D8" s="1" t="n"/>
      <c r="E8" s="1" t="n"/>
      <c r="F8" s="1" t="n"/>
      <c r="G8" s="1" t="n"/>
      <c r="H8" s="1" t="n"/>
      <c r="I8" s="1" t="n"/>
      <c r="J8" s="1" t="n"/>
      <c r="K8" s="1" t="n"/>
      <c r="L8" s="1" t="n"/>
    </row>
    <row r="10" ht="20" customHeight="1">
      <c r="A10" s="6" t="inlineStr">
        <is>
          <t>WHAT THIS DOES</t>
        </is>
      </c>
    </row>
    <row r="11">
      <c r="A11" s="7" t="inlineStr">
        <is>
          <t>Logs every turnover with hours, supplies, and flat fees so you see the real cost per turnover and per night of stay. The Summary tab rolls cost up by property and by month — feed those numbers into your cleaning-fee pricing each season so you stop subsidizing guests with thin margins.</t>
        </is>
      </c>
    </row>
    <row r="12"/>
    <row r="13"/>
    <row r="14"/>
    <row r="15"/>
    <row r="16">
      <c r="A16" s="8" t="n"/>
      <c r="B16" s="8" t="n"/>
      <c r="C16" s="8" t="n"/>
      <c r="D16" s="8" t="n"/>
      <c r="E16" s="8" t="n"/>
      <c r="F16" s="8" t="n"/>
      <c r="G16" s="8" t="n"/>
      <c r="H16" s="8" t="n"/>
      <c r="I16" s="8" t="n"/>
      <c r="J16" s="8" t="n"/>
      <c r="K16" s="8" t="n"/>
      <c r="L16" s="8" t="n"/>
    </row>
    <row r="18" ht="20" customHeight="1">
      <c r="A18" s="6" t="inlineStr">
        <is>
          <t>HOW TO USE</t>
        </is>
      </c>
    </row>
    <row r="19" ht="22" customHeight="1">
      <c r="A19" s="9" t="inlineStr">
        <is>
          <t>① Click the navy button below to open the Log — one row per turnover event.</t>
        </is>
      </c>
    </row>
    <row r="20" ht="22" customHeight="1">
      <c r="A20" s="9" t="inlineStr">
        <is>
          <t>② Use Hours + Hourly Rate for hourly cleaners, OR Flat Fee for contracted services.</t>
        </is>
      </c>
    </row>
    <row r="21" ht="22" customHeight="1">
      <c r="A21" s="9" t="inlineStr">
        <is>
          <t>③ Total $ auto-calculates as (Hours × Rate) + Flat Fee + Supplies.</t>
        </is>
      </c>
    </row>
    <row r="22" ht="22" customHeight="1">
      <c r="A22" s="9" t="inlineStr">
        <is>
          <t>④ Enter Nights of stay just ended — gets you $ per night, the number Airbnb pricing cares about.</t>
        </is>
      </c>
    </row>
    <row r="23" ht="22" customHeight="1">
      <c r="A23" s="9" t="inlineStr">
        <is>
          <t>⑤ Visit the Summary tab monthly to see per-property and per-month rollups.</t>
        </is>
      </c>
    </row>
    <row r="24">
      <c r="A24" s="10" t="n"/>
      <c r="B24" s="10" t="n"/>
      <c r="C24" s="10" t="n"/>
      <c r="D24" s="10" t="n"/>
      <c r="E24" s="10" t="n"/>
      <c r="F24" s="10" t="n"/>
      <c r="G24" s="10" t="n"/>
      <c r="H24" s="10" t="n"/>
      <c r="I24" s="10" t="n"/>
      <c r="J24" s="10" t="n"/>
      <c r="K24" s="10" t="n"/>
      <c r="L24" s="10" t="n"/>
    </row>
    <row r="25">
      <c r="A25" s="10" t="n"/>
      <c r="B25" s="10" t="n"/>
      <c r="C25" s="10" t="n"/>
      <c r="D25" s="10" t="n"/>
      <c r="E25" s="10" t="n"/>
      <c r="F25" s="10" t="n"/>
      <c r="G25" s="10" t="n"/>
      <c r="H25" s="10" t="n"/>
      <c r="I25" s="10" t="n"/>
      <c r="J25" s="10" t="n"/>
      <c r="K25" s="10" t="n"/>
      <c r="L25" s="10" t="n"/>
    </row>
    <row r="26" ht="22" customHeight="1">
      <c r="A26" s="11">
        <f>HYPERLINK("#'Log'!A6", "→  ADD A NEW TURNOVER  (OPEN LOG)")</f>
        <v/>
      </c>
      <c r="B26" s="12" t="n"/>
      <c r="C26" s="12" t="n"/>
      <c r="D26" s="12" t="n"/>
      <c r="E26" s="12" t="n"/>
      <c r="F26" s="12" t="n"/>
      <c r="G26" s="12" t="n"/>
      <c r="H26" s="12" t="n"/>
      <c r="I26" s="12" t="n"/>
      <c r="J26" s="12" t="n"/>
      <c r="K26" s="12" t="n"/>
      <c r="L26" s="12" t="n"/>
    </row>
    <row r="27" ht="22" customHeight="1">
      <c r="A27" s="12" t="n"/>
      <c r="B27" s="12" t="n"/>
      <c r="C27" s="12" t="n"/>
      <c r="D27" s="12" t="n"/>
      <c r="E27" s="12" t="n"/>
      <c r="F27" s="12" t="n"/>
      <c r="G27" s="12" t="n"/>
      <c r="H27" s="12" t="n"/>
      <c r="I27" s="12" t="n"/>
      <c r="J27" s="12" t="n"/>
      <c r="K27" s="12" t="n"/>
      <c r="L27" s="12" t="n"/>
    </row>
    <row r="28" ht="22" customHeight="1">
      <c r="A28" s="12" t="n"/>
      <c r="B28" s="12" t="n"/>
      <c r="C28" s="12" t="n"/>
      <c r="D28" s="12" t="n"/>
      <c r="E28" s="12" t="n"/>
      <c r="F28" s="12" t="n"/>
      <c r="G28" s="12" t="n"/>
      <c r="H28" s="12" t="n"/>
      <c r="I28" s="12" t="n"/>
      <c r="J28" s="12" t="n"/>
      <c r="K28" s="12" t="n"/>
      <c r="L28" s="12" t="n"/>
    </row>
    <row r="29" ht="22" customHeight="1">
      <c r="A29" s="12" t="n"/>
      <c r="B29" s="12" t="n"/>
      <c r="C29" s="12" t="n"/>
      <c r="D29" s="12" t="n"/>
      <c r="E29" s="12" t="n"/>
      <c r="F29" s="12" t="n"/>
      <c r="G29" s="12" t="n"/>
      <c r="H29" s="12" t="n"/>
      <c r="I29" s="12" t="n"/>
      <c r="J29" s="12" t="n"/>
      <c r="K29" s="12" t="n"/>
      <c r="L29" s="12" t="n"/>
    </row>
    <row r="31">
      <c r="A31" s="8" t="n"/>
      <c r="B31" s="8" t="n"/>
      <c r="C31" s="8" t="n"/>
      <c r="D31" s="8" t="n"/>
      <c r="E31" s="8" t="n"/>
      <c r="F31" s="8" t="n"/>
      <c r="G31" s="8" t="n"/>
      <c r="H31" s="8" t="n"/>
      <c r="I31" s="8" t="n"/>
      <c r="J31" s="8" t="n"/>
      <c r="K31" s="8" t="n"/>
      <c r="L31" s="8" t="n"/>
    </row>
    <row r="32">
      <c r="A32" s="13" t="inlineStr">
        <is>
          <t>TURNOVERS YTD</t>
        </is>
      </c>
      <c r="B32" s="14" t="n"/>
      <c r="C32" s="14" t="n"/>
      <c r="D32" s="15" t="n"/>
      <c r="E32" s="16" t="inlineStr">
        <is>
          <t>AVG $/TURNOVER</t>
        </is>
      </c>
      <c r="F32" s="14" t="n"/>
      <c r="G32" s="14" t="n"/>
      <c r="H32" s="15" t="n"/>
      <c r="I32" s="13" t="inlineStr">
        <is>
          <t>LAST ENTRY</t>
        </is>
      </c>
      <c r="J32" s="14" t="n"/>
      <c r="K32" s="14" t="n"/>
      <c r="L32" s="15" t="n"/>
    </row>
    <row r="33">
      <c r="A33" s="17">
        <f>'Summary'!B6</f>
        <v/>
      </c>
      <c r="B33" s="18" t="n"/>
      <c r="C33" s="18" t="n"/>
      <c r="D33" s="19" t="n"/>
      <c r="E33" s="20">
        <f>'Summary'!B8</f>
        <v/>
      </c>
      <c r="F33" s="18" t="n"/>
      <c r="G33" s="18" t="n"/>
      <c r="H33" s="19" t="n"/>
      <c r="I33" s="21">
        <f>IFERROR(TEXT(MAX('Log'!A6:A305),"yyyy-mm-dd"),"—")</f>
        <v/>
      </c>
      <c r="J33" s="18" t="n"/>
      <c r="K33" s="18" t="n"/>
      <c r="L33" s="19" t="n"/>
    </row>
    <row r="34">
      <c r="A34" s="22" t="n"/>
      <c r="B34" s="18" t="n"/>
      <c r="C34" s="18" t="n"/>
      <c r="D34" s="19" t="n"/>
      <c r="E34" s="22" t="n"/>
      <c r="F34" s="18" t="n"/>
      <c r="G34" s="18" t="n"/>
      <c r="H34" s="19" t="n"/>
      <c r="I34" s="22" t="n"/>
      <c r="J34" s="18" t="n"/>
      <c r="K34" s="18" t="n"/>
      <c r="L34" s="19" t="n"/>
    </row>
    <row r="35">
      <c r="A35" s="23" t="inlineStr">
        <is>
          <t>events logged this year</t>
        </is>
      </c>
      <c r="B35" s="24" t="n"/>
      <c r="C35" s="24" t="n"/>
      <c r="D35" s="25" t="n"/>
      <c r="E35" s="23" t="inlineStr">
        <is>
          <t>true cost per event</t>
        </is>
      </c>
      <c r="F35" s="24" t="n"/>
      <c r="G35" s="24" t="n"/>
      <c r="H35" s="25" t="n"/>
      <c r="I35" s="23" t="inlineStr">
        <is>
          <t>most recent turnover date</t>
        </is>
      </c>
      <c r="J35" s="24" t="n"/>
      <c r="K35" s="24" t="n"/>
      <c r="L35" s="25" t="n"/>
    </row>
    <row r="36">
      <c r="A36" s="8" t="n"/>
      <c r="B36" s="8" t="n"/>
      <c r="C36" s="8" t="n"/>
      <c r="D36" s="8" t="n"/>
      <c r="E36" s="8" t="n"/>
      <c r="F36" s="8" t="n"/>
      <c r="G36" s="8" t="n"/>
      <c r="H36" s="8" t="n"/>
      <c r="I36" s="8" t="n"/>
      <c r="J36" s="8" t="n"/>
      <c r="K36" s="8" t="n"/>
      <c r="L36" s="8" t="n"/>
    </row>
    <row r="37">
      <c r="A37" s="8" t="n"/>
      <c r="B37" s="8" t="n"/>
      <c r="C37" s="8" t="n"/>
      <c r="D37" s="8" t="n"/>
      <c r="E37" s="8" t="n"/>
      <c r="F37" s="8" t="n"/>
      <c r="G37" s="8" t="n"/>
      <c r="H37" s="8" t="n"/>
      <c r="I37" s="8" t="n"/>
      <c r="J37" s="8" t="n"/>
      <c r="K37" s="8" t="n"/>
      <c r="L37" s="8" t="n"/>
    </row>
    <row r="39" ht="22" customHeight="1">
      <c r="A39" s="26">
        <f>HYPERLINK("#'Summary'!A1", "Summary")</f>
        <v/>
      </c>
      <c r="B39" s="27" t="n"/>
      <c r="C39" s="27" t="n"/>
      <c r="D39" s="27" t="n"/>
      <c r="E39" s="28">
        <f>HYPERLINK("#'Summary'!A1", "📄 Print Packet")</f>
        <v/>
      </c>
      <c r="F39" s="29" t="n"/>
      <c r="G39" s="29" t="n"/>
      <c r="H39" s="29" t="n"/>
      <c r="I39" s="26">
        <f>HYPERLINK("#'Settings'!A1", "Settings")</f>
        <v/>
      </c>
      <c r="J39" s="27" t="n"/>
      <c r="K39" s="27" t="n"/>
      <c r="L39" s="27" t="n"/>
    </row>
    <row r="40" ht="22" customHeight="1">
      <c r="A40" s="27" t="n"/>
      <c r="B40" s="27" t="n"/>
      <c r="C40" s="27" t="n"/>
      <c r="D40" s="27" t="n"/>
      <c r="E40" s="29" t="n"/>
      <c r="F40" s="29" t="n"/>
      <c r="G40" s="29" t="n"/>
      <c r="H40" s="29" t="n"/>
      <c r="I40" s="27" t="n"/>
      <c r="J40" s="27" t="n"/>
      <c r="K40" s="27" t="n"/>
      <c r="L40" s="27" t="n"/>
    </row>
    <row r="42" ht="36" customHeight="1">
      <c r="A42" s="30" t="inlineStr">
        <is>
          <t>📄 TAX TIME: print the Summary tab (File → Print → 'Print Active Sheets'). 📅 YEAR END: copy YTD totals into Settings → Year-end Archive before Jan 1.</t>
        </is>
      </c>
    </row>
    <row r="44" ht="30" customHeight="1">
      <c r="A44" s="31" t="inlineStr">
        <is>
          <t>💡 Upgrade to the Full version at thestrledger.com/upgrade — multi-property, depreciation, multi-LLC support.</t>
        </is>
      </c>
    </row>
    <row r="46">
      <c r="A46" s="32" t="n"/>
      <c r="B46" s="32" t="n"/>
      <c r="C46" s="32" t="n"/>
      <c r="D46" s="32" t="n"/>
      <c r="E46" s="32" t="n"/>
      <c r="F46" s="32" t="n"/>
      <c r="G46" s="32" t="n"/>
      <c r="H46" s="32" t="n"/>
      <c r="I46" s="32" t="n"/>
      <c r="J46" s="32" t="n"/>
      <c r="K46" s="32" t="n"/>
      <c r="L46" s="32" t="n"/>
    </row>
    <row r="47" ht="18" customHeight="1">
      <c r="A47" s="33" t="inlineStr">
        <is>
          <t>Questions? hello@thestrledger.com</t>
        </is>
      </c>
    </row>
    <row r="48" ht="18" customHeight="1">
      <c r="A48" s="34" t="inlineStr">
        <is>
          <t>OPS-004 · v2.2 · Free updates forever</t>
        </is>
      </c>
    </row>
  </sheetData>
  <mergeCells count="28">
    <mergeCell ref="A7:L7"/>
    <mergeCell ref="A11:L15"/>
    <mergeCell ref="E39:H40"/>
    <mergeCell ref="A35:D35"/>
    <mergeCell ref="E33:H34"/>
    <mergeCell ref="I35:L35"/>
    <mergeCell ref="A18:L18"/>
    <mergeCell ref="E32:H32"/>
    <mergeCell ref="A21:L21"/>
    <mergeCell ref="A2:F2"/>
    <mergeCell ref="A42:L42"/>
    <mergeCell ref="A47:L47"/>
    <mergeCell ref="A5:L5"/>
    <mergeCell ref="A23:L23"/>
    <mergeCell ref="A22:L22"/>
    <mergeCell ref="I33:L34"/>
    <mergeCell ref="A4:L4"/>
    <mergeCell ref="A20:L20"/>
    <mergeCell ref="A10:L10"/>
    <mergeCell ref="A19:L19"/>
    <mergeCell ref="A33:D34"/>
    <mergeCell ref="I39:L40"/>
    <mergeCell ref="E35:H35"/>
    <mergeCell ref="I32:L32"/>
    <mergeCell ref="A48:L48"/>
    <mergeCell ref="A39:D40"/>
    <mergeCell ref="A26:L29"/>
    <mergeCell ref="A32:D32"/>
  </mergeCells>
  <pageMargins left="0.5" right="0.5" top="0.5" bottom="0.5" header="0.5" footer="0.5"/>
  <pageSetup orientation="portrait" paperSize="1" fitToHeight="1" fitToWidth="1"/>
</worksheet>
</file>

<file path=xl/worksheets/sheet2.xml><?xml version="1.0" encoding="utf-8"?>
<worksheet xmlns="http://schemas.openxmlformats.org/spreadsheetml/2006/main">
  <sheetPr>
    <tabColor rgb="00F6EFE2"/>
    <outlinePr summaryBelow="1" summaryRight="1"/>
    <pageSetUpPr fitToPage="1"/>
  </sheetPr>
  <dimension ref="A1:L305"/>
  <sheetViews>
    <sheetView workbookViewId="0">
      <pane ySplit="5" topLeftCell="A6" activePane="bottomLeft" state="frozen"/>
      <selection pane="bottomLeft" activeCell="A1" sqref="A1"/>
    </sheetView>
  </sheetViews>
  <sheetFormatPr baseColWidth="8" defaultRowHeight="15"/>
  <cols>
    <col width="11" customWidth="1" min="1" max="1"/>
    <col width="16" customWidth="1" min="2" max="2"/>
    <col width="16" customWidth="1" min="3" max="3"/>
    <col width="12" customWidth="1" min="4" max="4"/>
    <col width="8" customWidth="1" min="5" max="5"/>
    <col width="10" customWidth="1" min="6" max="6"/>
    <col width="10" customWidth="1" min="7" max="7"/>
    <col width="11" customWidth="1" min="8" max="8"/>
    <col width="11" customWidth="1" min="9" max="9"/>
    <col width="10" customWidth="1" min="10" max="10"/>
    <col width="11" customWidth="1" min="11" max="11"/>
    <col width="22" customWidth="1" min="12" max="12"/>
  </cols>
  <sheetData>
    <row r="1" ht="8" customHeight="1">
      <c r="A1" s="1" t="n"/>
      <c r="B1" s="1" t="n"/>
      <c r="C1" s="1" t="n"/>
      <c r="D1" s="1" t="n"/>
      <c r="E1" s="1" t="n"/>
      <c r="F1" s="1" t="n"/>
      <c r="G1" s="1" t="n"/>
      <c r="H1" s="1" t="n"/>
      <c r="I1" s="1" t="n"/>
      <c r="J1" s="1" t="n"/>
      <c r="K1" s="1" t="n"/>
      <c r="L1" s="1" t="n"/>
    </row>
    <row r="2" ht="28" customHeight="1">
      <c r="A2" s="11">
        <f>HYPERLINK("#'Start'!A1", "← BACK")</f>
        <v/>
      </c>
      <c r="B2" s="12" t="n"/>
      <c r="C2" s="12" t="n"/>
      <c r="D2" s="35" t="inlineStr">
        <is>
          <t>CLEANING LOG</t>
        </is>
      </c>
      <c r="J2" s="28">
        <f>HYPERLINK("#'Summary'!A1", "NEXT →")</f>
        <v/>
      </c>
      <c r="K2" s="29" t="n"/>
      <c r="L2" s="29" t="n"/>
    </row>
    <row r="3" ht="6" customHeight="1">
      <c r="A3" s="1" t="n"/>
      <c r="B3" s="1" t="n"/>
      <c r="C3" s="1" t="n"/>
      <c r="D3" s="1" t="n"/>
      <c r="E3" s="1" t="n"/>
      <c r="F3" s="1" t="n"/>
      <c r="G3" s="1" t="n"/>
      <c r="H3" s="1" t="n"/>
      <c r="I3" s="1" t="n"/>
      <c r="J3" s="1" t="n"/>
      <c r="K3" s="1" t="n"/>
      <c r="L3" s="1" t="n"/>
    </row>
    <row r="4" ht="18" customHeight="1">
      <c r="A4" s="36" t="inlineStr">
        <is>
          <t>One row per turnover — Hours×Rate or Flat Fee, plus supplies</t>
        </is>
      </c>
    </row>
    <row r="5" ht="20" customHeight="1">
      <c r="A5" s="37" t="inlineStr">
        <is>
          <t>Date</t>
        </is>
      </c>
      <c r="B5" s="37" t="inlineStr">
        <is>
          <t>Property</t>
        </is>
      </c>
      <c r="C5" s="37" t="inlineStr">
        <is>
          <t>Cleaner</t>
        </is>
      </c>
      <c r="D5" s="37" t="inlineStr">
        <is>
          <t>Booking ID</t>
        </is>
      </c>
      <c r="E5" s="37" t="inlineStr">
        <is>
          <t>Hours</t>
        </is>
      </c>
      <c r="F5" s="37" t="inlineStr">
        <is>
          <t>Hourly Rate</t>
        </is>
      </c>
      <c r="G5" s="37" t="inlineStr">
        <is>
          <t>Flat Fee</t>
        </is>
      </c>
      <c r="H5" s="37" t="inlineStr">
        <is>
          <t>Supplies $</t>
        </is>
      </c>
      <c r="I5" s="37" t="inlineStr">
        <is>
          <t>Total $</t>
        </is>
      </c>
      <c r="J5" s="37" t="inlineStr">
        <is>
          <t>Nights of stay</t>
        </is>
      </c>
      <c r="K5" s="37" t="inlineStr">
        <is>
          <t>$ per night</t>
        </is>
      </c>
      <c r="L5" s="37" t="inlineStr">
        <is>
          <t>Notes</t>
        </is>
      </c>
    </row>
    <row r="6" ht="16" customHeight="1">
      <c r="A6" s="38" t="n">
        <v>46026</v>
      </c>
      <c r="B6" s="39" t="inlineStr">
        <is>
          <t>Smokies Ridge</t>
        </is>
      </c>
      <c r="C6" s="39" t="inlineStr">
        <is>
          <t>Jamie M.</t>
        </is>
      </c>
      <c r="D6" s="39" t="inlineStr">
        <is>
          <t>ABNB-1041</t>
        </is>
      </c>
      <c r="E6" s="40" t="n">
        <v>2.5</v>
      </c>
      <c r="F6" s="41" t="n">
        <v>35</v>
      </c>
      <c r="G6" s="41" t="n"/>
      <c r="H6" s="41" t="n">
        <v>18.5</v>
      </c>
      <c r="I6" s="42">
        <f>IF(AND(E6="",F6="",G6="",H6=""),"",IFERROR(E6*F6,0)+IFERROR(G6,0)+IFERROR(H6,0))</f>
        <v/>
      </c>
      <c r="J6" s="43" t="n">
        <v>3</v>
      </c>
      <c r="K6" s="42">
        <f>IF(OR(J6="",J6=0,I6=""),"",I6/J6)</f>
        <v/>
      </c>
      <c r="L6" s="39" t="inlineStr">
        <is>
          <t>Standard turn</t>
        </is>
      </c>
    </row>
    <row r="7" ht="16" customHeight="1">
      <c r="A7" s="38" t="n">
        <v>46030</v>
      </c>
      <c r="B7" s="39" t="inlineStr">
        <is>
          <t>Creek Side</t>
        </is>
      </c>
      <c r="C7" s="39" t="inlineStr">
        <is>
          <t>Carla R.</t>
        </is>
      </c>
      <c r="D7" s="39" t="inlineStr">
        <is>
          <t>ABNB-1042</t>
        </is>
      </c>
      <c r="E7" s="40" t="n">
        <v>3</v>
      </c>
      <c r="F7" s="41" t="n">
        <v>35</v>
      </c>
      <c r="G7" s="41" t="n"/>
      <c r="H7" s="41" t="n">
        <v>24</v>
      </c>
      <c r="I7" s="42">
        <f>IF(AND(E7="",F7="",G7="",H7=""),"",IFERROR(E7*F7,0)+IFERROR(G7,0)+IFERROR(H7,0))</f>
        <v/>
      </c>
      <c r="J7" s="43" t="n">
        <v>4</v>
      </c>
      <c r="K7" s="42">
        <f>IF(OR(J7="",J7=0,I7=""),"",I7/J7)</f>
        <v/>
      </c>
      <c r="L7" s="39" t="inlineStr">
        <is>
          <t>Hot tub deep clean</t>
        </is>
      </c>
    </row>
    <row r="8" ht="16" customHeight="1">
      <c r="A8" s="38" t="n">
        <v>46034</v>
      </c>
      <c r="B8" s="39" t="inlineStr">
        <is>
          <t>Smokies Ridge</t>
        </is>
      </c>
      <c r="C8" s="39" t="inlineStr">
        <is>
          <t>Jamie M.</t>
        </is>
      </c>
      <c r="D8" s="39" t="inlineStr">
        <is>
          <t>VRBO-2210</t>
        </is>
      </c>
      <c r="E8" s="40" t="n">
        <v>2</v>
      </c>
      <c r="F8" s="41" t="n">
        <v>35</v>
      </c>
      <c r="G8" s="41" t="n"/>
      <c r="H8" s="41" t="n">
        <v>12.75</v>
      </c>
      <c r="I8" s="42">
        <f>IF(AND(E8="",F8="",G8="",H8=""),"",IFERROR(E8*F8,0)+IFERROR(G8,0)+IFERROR(H8,0))</f>
        <v/>
      </c>
      <c r="J8" s="43" t="n">
        <v>2</v>
      </c>
      <c r="K8" s="42">
        <f>IF(OR(J8="",J8=0,I8=""),"",I8/J8)</f>
        <v/>
      </c>
      <c r="L8" s="39" t="n"/>
    </row>
    <row r="9" ht="16" customHeight="1">
      <c r="A9" s="38" t="n">
        <v>46037</v>
      </c>
      <c r="B9" s="39" t="inlineStr">
        <is>
          <t>Lakehouse A</t>
        </is>
      </c>
      <c r="C9" s="39" t="inlineStr">
        <is>
          <t>BrightHome Co.</t>
        </is>
      </c>
      <c r="D9" s="39" t="inlineStr">
        <is>
          <t>ABNB-1051</t>
        </is>
      </c>
      <c r="E9" s="40" t="n"/>
      <c r="F9" s="41" t="n"/>
      <c r="G9" s="41" t="n">
        <v>120</v>
      </c>
      <c r="H9" s="41" t="n"/>
      <c r="I9" s="42">
        <f>IF(AND(E9="",F9="",G9="",H9=""),"",IFERROR(E9*F9,0)+IFERROR(G9,0)+IFERROR(H9,0))</f>
        <v/>
      </c>
      <c r="J9" s="43" t="n">
        <v>5</v>
      </c>
      <c r="K9" s="42">
        <f>IF(OR(J9="",J9=0,I9=""),"",I9/J9)</f>
        <v/>
      </c>
      <c r="L9" s="39" t="inlineStr">
        <is>
          <t>Flat-fee contract</t>
        </is>
      </c>
    </row>
    <row r="10" ht="16" customHeight="1">
      <c r="A10" s="38" t="n">
        <v>46041</v>
      </c>
      <c r="B10" s="39" t="inlineStr">
        <is>
          <t>Creek Side</t>
        </is>
      </c>
      <c r="C10" s="39" t="inlineStr">
        <is>
          <t>Carla R.</t>
        </is>
      </c>
      <c r="D10" s="39" t="inlineStr">
        <is>
          <t>ABNB-1059</t>
        </is>
      </c>
      <c r="E10" s="40" t="n">
        <v>3.5</v>
      </c>
      <c r="F10" s="41" t="n">
        <v>35</v>
      </c>
      <c r="G10" s="41" t="n"/>
      <c r="H10" s="41" t="n">
        <v>32</v>
      </c>
      <c r="I10" s="42">
        <f>IF(AND(E10="",F10="",G10="",H10=""),"",IFERROR(E10*F10,0)+IFERROR(G10,0)+IFERROR(H10,0))</f>
        <v/>
      </c>
      <c r="J10" s="43" t="n">
        <v>5</v>
      </c>
      <c r="K10" s="42">
        <f>IF(OR(J10="",J10=0,I10=""),"",I10/J10)</f>
        <v/>
      </c>
      <c r="L10" s="39" t="inlineStr">
        <is>
          <t>Pet hair extra</t>
        </is>
      </c>
    </row>
    <row r="11" ht="16" customHeight="1">
      <c r="A11" s="38" t="n">
        <v>46044</v>
      </c>
      <c r="B11" s="39" t="inlineStr">
        <is>
          <t>Smokies Ridge</t>
        </is>
      </c>
      <c r="C11" s="39" t="inlineStr">
        <is>
          <t>Jamie M.</t>
        </is>
      </c>
      <c r="D11" s="39" t="inlineStr">
        <is>
          <t>VRBO-2231</t>
        </is>
      </c>
      <c r="E11" s="40" t="n">
        <v>2.5</v>
      </c>
      <c r="F11" s="41" t="n">
        <v>35</v>
      </c>
      <c r="G11" s="41" t="n"/>
      <c r="H11" s="41" t="n">
        <v>15.5</v>
      </c>
      <c r="I11" s="42">
        <f>IF(AND(E11="",F11="",G11="",H11=""),"",IFERROR(E11*F11,0)+IFERROR(G11,0)+IFERROR(H11,0))</f>
        <v/>
      </c>
      <c r="J11" s="43" t="n">
        <v>3</v>
      </c>
      <c r="K11" s="42">
        <f>IF(OR(J11="",J11=0,I11=""),"",I11/J11)</f>
        <v/>
      </c>
      <c r="L11" s="39" t="n"/>
    </row>
    <row r="12" ht="16" customHeight="1">
      <c r="A12" s="38" t="n">
        <v>46049</v>
      </c>
      <c r="B12" s="39" t="inlineStr">
        <is>
          <t>Lakehouse A</t>
        </is>
      </c>
      <c r="C12" s="39" t="inlineStr">
        <is>
          <t>BrightHome Co.</t>
        </is>
      </c>
      <c r="D12" s="39" t="inlineStr">
        <is>
          <t>ABNB-1064</t>
        </is>
      </c>
      <c r="E12" s="40" t="n"/>
      <c r="F12" s="41" t="n"/>
      <c r="G12" s="41" t="n">
        <v>120</v>
      </c>
      <c r="H12" s="41" t="n">
        <v>9.25</v>
      </c>
      <c r="I12" s="42">
        <f>IF(AND(E12="",F12="",G12="",H12=""),"",IFERROR(E12*F12,0)+IFERROR(G12,0)+IFERROR(H12,0))</f>
        <v/>
      </c>
      <c r="J12" s="43" t="n">
        <v>4</v>
      </c>
      <c r="K12" s="42">
        <f>IF(OR(J12="",J12=0,I12=""),"",I12/J12)</f>
        <v/>
      </c>
      <c r="L12" s="39" t="n"/>
    </row>
    <row r="13" ht="16" customHeight="1">
      <c r="A13" s="38" t="n">
        <v>46055</v>
      </c>
      <c r="B13" s="39" t="inlineStr">
        <is>
          <t>Creek Side</t>
        </is>
      </c>
      <c r="C13" s="39" t="inlineStr">
        <is>
          <t>Pete H.</t>
        </is>
      </c>
      <c r="D13" s="39" t="inlineStr">
        <is>
          <t>ABNB-1071</t>
        </is>
      </c>
      <c r="E13" s="40" t="n">
        <v>2.5</v>
      </c>
      <c r="F13" s="41" t="n">
        <v>40</v>
      </c>
      <c r="G13" s="41" t="n"/>
      <c r="H13" s="41" t="n">
        <v>18</v>
      </c>
      <c r="I13" s="42">
        <f>IF(AND(E13="",F13="",G13="",H13=""),"",IFERROR(E13*F13,0)+IFERROR(G13,0)+IFERROR(H13,0))</f>
        <v/>
      </c>
      <c r="J13" s="43" t="n">
        <v>3</v>
      </c>
      <c r="K13" s="42">
        <f>IF(OR(J13="",J13=0,I13=""),"",I13/J13)</f>
        <v/>
      </c>
      <c r="L13" s="39" t="inlineStr">
        <is>
          <t>Carla unavailable</t>
        </is>
      </c>
    </row>
    <row r="14" ht="16" customHeight="1">
      <c r="A14" s="38" t="n">
        <v>46058</v>
      </c>
      <c r="B14" s="39" t="inlineStr">
        <is>
          <t>Smokies Ridge</t>
        </is>
      </c>
      <c r="C14" s="39" t="inlineStr">
        <is>
          <t>Jamie M.</t>
        </is>
      </c>
      <c r="D14" s="39" t="inlineStr">
        <is>
          <t>VRBO-2255</t>
        </is>
      </c>
      <c r="E14" s="40" t="n">
        <v>2</v>
      </c>
      <c r="F14" s="41" t="n">
        <v>35</v>
      </c>
      <c r="G14" s="41" t="n"/>
      <c r="H14" s="41" t="n">
        <v>14.25</v>
      </c>
      <c r="I14" s="42">
        <f>IF(AND(E14="",F14="",G14="",H14=""),"",IFERROR(E14*F14,0)+IFERROR(G14,0)+IFERROR(H14,0))</f>
        <v/>
      </c>
      <c r="J14" s="43" t="n">
        <v>2</v>
      </c>
      <c r="K14" s="42">
        <f>IF(OR(J14="",J14=0,I14=""),"",I14/J14)</f>
        <v/>
      </c>
      <c r="L14" s="39" t="n"/>
    </row>
    <row r="15" ht="16" customHeight="1">
      <c r="A15" s="38" t="n">
        <v>46062</v>
      </c>
      <c r="B15" s="39" t="inlineStr">
        <is>
          <t>Lakehouse A</t>
        </is>
      </c>
      <c r="C15" s="39" t="inlineStr">
        <is>
          <t>BrightHome Co.</t>
        </is>
      </c>
      <c r="D15" s="39" t="inlineStr">
        <is>
          <t>ABNB-1080</t>
        </is>
      </c>
      <c r="E15" s="40" t="n"/>
      <c r="F15" s="41" t="n"/>
      <c r="G15" s="41" t="n">
        <v>130</v>
      </c>
      <c r="H15" s="41" t="n"/>
      <c r="I15" s="42">
        <f>IF(AND(E15="",F15="",G15="",H15=""),"",IFERROR(E15*F15,0)+IFERROR(G15,0)+IFERROR(H15,0))</f>
        <v/>
      </c>
      <c r="J15" s="43" t="n">
        <v>6</v>
      </c>
      <c r="K15" s="42">
        <f>IF(OR(J15="",J15=0,I15=""),"",I15/J15)</f>
        <v/>
      </c>
      <c r="L15" s="39" t="inlineStr">
        <is>
          <t>Rate bump</t>
        </is>
      </c>
    </row>
    <row r="16" ht="16" customHeight="1">
      <c r="A16" s="38" t="n">
        <v>46066</v>
      </c>
      <c r="B16" s="39" t="inlineStr">
        <is>
          <t>Creek Side</t>
        </is>
      </c>
      <c r="C16" s="39" t="inlineStr">
        <is>
          <t>Carla R.</t>
        </is>
      </c>
      <c r="D16" s="39" t="inlineStr">
        <is>
          <t>ABNB-1085</t>
        </is>
      </c>
      <c r="E16" s="40" t="n">
        <v>3</v>
      </c>
      <c r="F16" s="41" t="n">
        <v>35</v>
      </c>
      <c r="G16" s="41" t="n"/>
      <c r="H16" s="41" t="n">
        <v>22.5</v>
      </c>
      <c r="I16" s="42">
        <f>IF(AND(E16="",F16="",G16="",H16=""),"",IFERROR(E16*F16,0)+IFERROR(G16,0)+IFERROR(H16,0))</f>
        <v/>
      </c>
      <c r="J16" s="43" t="n">
        <v>4</v>
      </c>
      <c r="K16" s="42">
        <f>IF(OR(J16="",J16=0,I16=""),"",I16/J16)</f>
        <v/>
      </c>
      <c r="L16" s="39" t="n"/>
    </row>
    <row r="17" ht="16" customHeight="1">
      <c r="A17" s="38" t="n">
        <v>46069</v>
      </c>
      <c r="B17" s="39" t="inlineStr">
        <is>
          <t>Smokies Ridge</t>
        </is>
      </c>
      <c r="C17" s="39" t="inlineStr">
        <is>
          <t>Jamie M.</t>
        </is>
      </c>
      <c r="D17" s="39" t="inlineStr">
        <is>
          <t>ABNB-1089</t>
        </is>
      </c>
      <c r="E17" s="40" t="n">
        <v>2.5</v>
      </c>
      <c r="F17" s="41" t="n">
        <v>35</v>
      </c>
      <c r="G17" s="41" t="n"/>
      <c r="H17" s="41" t="n">
        <v>19.75</v>
      </c>
      <c r="I17" s="42">
        <f>IF(AND(E17="",F17="",G17="",H17=""),"",IFERROR(E17*F17,0)+IFERROR(G17,0)+IFERROR(H17,0))</f>
        <v/>
      </c>
      <c r="J17" s="43" t="n">
        <v>3</v>
      </c>
      <c r="K17" s="42">
        <f>IF(OR(J17="",J17=0,I17=""),"",I17/J17)</f>
        <v/>
      </c>
      <c r="L17" s="39" t="inlineStr">
        <is>
          <t>Valentine's quick turn</t>
        </is>
      </c>
    </row>
    <row r="18" ht="16" customHeight="1">
      <c r="A18" s="38" t="n">
        <v>46073</v>
      </c>
      <c r="B18" s="39" t="inlineStr">
        <is>
          <t>Lakehouse A</t>
        </is>
      </c>
      <c r="C18" s="39" t="inlineStr">
        <is>
          <t>BrightHome Co.</t>
        </is>
      </c>
      <c r="D18" s="39" t="inlineStr">
        <is>
          <t>VRBO-2280</t>
        </is>
      </c>
      <c r="E18" s="40" t="n"/>
      <c r="F18" s="41" t="n"/>
      <c r="G18" s="41" t="n">
        <v>120</v>
      </c>
      <c r="H18" s="41" t="n"/>
      <c r="I18" s="42">
        <f>IF(AND(E18="",F18="",G18="",H18=""),"",IFERROR(E18*F18,0)+IFERROR(G18,0)+IFERROR(H18,0))</f>
        <v/>
      </c>
      <c r="J18" s="43" t="n">
        <v>4</v>
      </c>
      <c r="K18" s="42">
        <f>IF(OR(J18="",J18=0,I18=""),"",I18/J18)</f>
        <v/>
      </c>
      <c r="L18" s="39" t="n"/>
    </row>
    <row r="19" ht="16" customHeight="1">
      <c r="A19" s="38" t="n">
        <v>46077</v>
      </c>
      <c r="B19" s="39" t="inlineStr">
        <is>
          <t>Creek Side</t>
        </is>
      </c>
      <c r="C19" s="39" t="inlineStr">
        <is>
          <t>Carla R.</t>
        </is>
      </c>
      <c r="D19" s="39" t="inlineStr">
        <is>
          <t>ABNB-1099</t>
        </is>
      </c>
      <c r="E19" s="40" t="n">
        <v>3.5</v>
      </c>
      <c r="F19" s="41" t="n">
        <v>35</v>
      </c>
      <c r="G19" s="41" t="n"/>
      <c r="H19" s="41" t="n">
        <v>28</v>
      </c>
      <c r="I19" s="42">
        <f>IF(AND(E19="",F19="",G19="",H19=""),"",IFERROR(E19*F19,0)+IFERROR(G19,0)+IFERROR(H19,0))</f>
        <v/>
      </c>
      <c r="J19" s="43" t="n">
        <v>5</v>
      </c>
      <c r="K19" s="42">
        <f>IF(OR(J19="",J19=0,I19=""),"",I19/J19)</f>
        <v/>
      </c>
      <c r="L19" s="39" t="inlineStr">
        <is>
          <t>Stained linens replaced</t>
        </is>
      </c>
    </row>
    <row r="20" ht="16" customHeight="1">
      <c r="A20" s="38" t="n">
        <v>46081</v>
      </c>
      <c r="B20" s="39" t="inlineStr">
        <is>
          <t>Smokies Ridge</t>
        </is>
      </c>
      <c r="C20" s="39" t="inlineStr">
        <is>
          <t>Jamie M.</t>
        </is>
      </c>
      <c r="D20" s="39" t="inlineStr">
        <is>
          <t>ABNB-1104</t>
        </is>
      </c>
      <c r="E20" s="40" t="n">
        <v>2</v>
      </c>
      <c r="F20" s="41" t="n">
        <v>35</v>
      </c>
      <c r="G20" s="41" t="n"/>
      <c r="H20" s="41" t="n">
        <v>11.5</v>
      </c>
      <c r="I20" s="42">
        <f>IF(AND(E20="",F20="",G20="",H20=""),"",IFERROR(E20*F20,0)+IFERROR(G20,0)+IFERROR(H20,0))</f>
        <v/>
      </c>
      <c r="J20" s="43" t="n">
        <v>2</v>
      </c>
      <c r="K20" s="42">
        <f>IF(OR(J20="",J20=0,I20=""),"",I20/J20)</f>
        <v/>
      </c>
      <c r="L20" s="39" t="n"/>
    </row>
    <row r="21" ht="16" customHeight="1">
      <c r="A21" s="38" t="n">
        <v>46085</v>
      </c>
      <c r="B21" s="39" t="inlineStr">
        <is>
          <t>Lakehouse A</t>
        </is>
      </c>
      <c r="C21" s="39" t="inlineStr">
        <is>
          <t>BrightHome Co.</t>
        </is>
      </c>
      <c r="D21" s="39" t="inlineStr">
        <is>
          <t>ABNB-1110</t>
        </is>
      </c>
      <c r="E21" s="40" t="n"/>
      <c r="F21" s="41" t="n"/>
      <c r="G21" s="41" t="n">
        <v>120</v>
      </c>
      <c r="H21" s="41" t="n">
        <v>16</v>
      </c>
      <c r="I21" s="42">
        <f>IF(AND(E21="",F21="",G21="",H21=""),"",IFERROR(E21*F21,0)+IFERROR(G21,0)+IFERROR(H21,0))</f>
        <v/>
      </c>
      <c r="J21" s="43" t="n">
        <v>5</v>
      </c>
      <c r="K21" s="42">
        <f>IF(OR(J21="",J21=0,I21=""),"",I21/J21)</f>
        <v/>
      </c>
      <c r="L21" s="39" t="inlineStr">
        <is>
          <t>Extra supplies bill</t>
        </is>
      </c>
    </row>
    <row r="22" ht="16" customHeight="1">
      <c r="A22" s="38" t="n">
        <v>46089</v>
      </c>
      <c r="B22" s="39" t="inlineStr">
        <is>
          <t>Creek Side</t>
        </is>
      </c>
      <c r="C22" s="39" t="inlineStr">
        <is>
          <t>Pete H.</t>
        </is>
      </c>
      <c r="D22" s="39" t="inlineStr">
        <is>
          <t>VRBO-2305</t>
        </is>
      </c>
      <c r="E22" s="40" t="n">
        <v>2.5</v>
      </c>
      <c r="F22" s="41" t="n">
        <v>40</v>
      </c>
      <c r="G22" s="41" t="n"/>
      <c r="H22" s="41" t="n">
        <v>18</v>
      </c>
      <c r="I22" s="42">
        <f>IF(AND(E22="",F22="",G22="",H22=""),"",IFERROR(E22*F22,0)+IFERROR(G22,0)+IFERROR(H22,0))</f>
        <v/>
      </c>
      <c r="J22" s="43" t="n">
        <v>3</v>
      </c>
      <c r="K22" s="42">
        <f>IF(OR(J22="",J22=0,I22=""),"",I22/J22)</f>
        <v/>
      </c>
      <c r="L22" s="39" t="n"/>
    </row>
    <row r="23" ht="16" customHeight="1">
      <c r="A23" s="38" t="n">
        <v>46093</v>
      </c>
      <c r="B23" s="39" t="inlineStr">
        <is>
          <t>Smokies Ridge</t>
        </is>
      </c>
      <c r="C23" s="39" t="inlineStr">
        <is>
          <t>Jamie M.</t>
        </is>
      </c>
      <c r="D23" s="39" t="inlineStr">
        <is>
          <t>ABNB-1119</t>
        </is>
      </c>
      <c r="E23" s="40" t="n">
        <v>2.5</v>
      </c>
      <c r="F23" s="41" t="n">
        <v>35</v>
      </c>
      <c r="G23" s="41" t="n"/>
      <c r="H23" s="41" t="n">
        <v>16.5</v>
      </c>
      <c r="I23" s="42">
        <f>IF(AND(E23="",F23="",G23="",H23=""),"",IFERROR(E23*F23,0)+IFERROR(G23,0)+IFERROR(H23,0))</f>
        <v/>
      </c>
      <c r="J23" s="43" t="n">
        <v>3</v>
      </c>
      <c r="K23" s="42">
        <f>IF(OR(J23="",J23=0,I23=""),"",I23/J23)</f>
        <v/>
      </c>
      <c r="L23" s="39" t="n"/>
    </row>
    <row r="24" ht="16" customHeight="1">
      <c r="A24" s="38" t="n">
        <v>46098</v>
      </c>
      <c r="B24" s="39" t="inlineStr">
        <is>
          <t>Lakehouse A</t>
        </is>
      </c>
      <c r="C24" s="39" t="inlineStr">
        <is>
          <t>BrightHome Co.</t>
        </is>
      </c>
      <c r="D24" s="39" t="inlineStr">
        <is>
          <t>ABNB-1128</t>
        </is>
      </c>
      <c r="E24" s="40" t="n"/>
      <c r="F24" s="41" t="n"/>
      <c r="G24" s="41" t="n">
        <v>130</v>
      </c>
      <c r="H24" s="41" t="n"/>
      <c r="I24" s="42">
        <f>IF(AND(E24="",F24="",G24="",H24=""),"",IFERROR(E24*F24,0)+IFERROR(G24,0)+IFERROR(H24,0))</f>
        <v/>
      </c>
      <c r="J24" s="43" t="n">
        <v>7</v>
      </c>
      <c r="K24" s="42">
        <f>IF(OR(J24="",J24=0,I24=""),"",I24/J24)</f>
        <v/>
      </c>
      <c r="L24" s="39" t="inlineStr">
        <is>
          <t>Long stay turn</t>
        </is>
      </c>
    </row>
    <row r="25" ht="16" customHeight="1">
      <c r="A25" s="38" t="n">
        <v>46103</v>
      </c>
      <c r="B25" s="39" t="inlineStr">
        <is>
          <t>Creek Side</t>
        </is>
      </c>
      <c r="C25" s="39" t="inlineStr">
        <is>
          <t>Carla R.</t>
        </is>
      </c>
      <c r="D25" s="39" t="inlineStr">
        <is>
          <t>ABNB-1135</t>
        </is>
      </c>
      <c r="E25" s="40" t="n">
        <v>3</v>
      </c>
      <c r="F25" s="41" t="n">
        <v>35</v>
      </c>
      <c r="G25" s="41" t="n"/>
      <c r="H25" s="41" t="n">
        <v>21</v>
      </c>
      <c r="I25" s="42">
        <f>IF(AND(E25="",F25="",G25="",H25=""),"",IFERROR(E25*F25,0)+IFERROR(G25,0)+IFERROR(H25,0))</f>
        <v/>
      </c>
      <c r="J25" s="43" t="n">
        <v>4</v>
      </c>
      <c r="K25" s="42">
        <f>IF(OR(J25="",J25=0,I25=""),"",I25/J25)</f>
        <v/>
      </c>
      <c r="L25" s="39" t="n"/>
    </row>
    <row r="26">
      <c r="A26" s="38" t="n"/>
      <c r="B26" s="39" t="n"/>
      <c r="C26" s="39" t="n"/>
      <c r="D26" s="39" t="n"/>
      <c r="E26" s="40" t="n"/>
      <c r="F26" s="41" t="n"/>
      <c r="G26" s="41" t="n"/>
      <c r="H26" s="41" t="n"/>
      <c r="I26" s="44">
        <f>IF(AND(E26="",F26="",G26="",H26=""),"",IFERROR(E26*F26,0)+IFERROR(G26,0)+IFERROR(H26,0))</f>
        <v/>
      </c>
      <c r="J26" s="43" t="n"/>
      <c r="K26" s="44">
        <f>IF(OR(J26="",J26=0,I26=""),"",I26/J26)</f>
        <v/>
      </c>
      <c r="L26" s="39" t="n"/>
    </row>
    <row r="27">
      <c r="A27" s="38" t="n"/>
      <c r="B27" s="39" t="n"/>
      <c r="C27" s="39" t="n"/>
      <c r="D27" s="39" t="n"/>
      <c r="E27" s="40" t="n"/>
      <c r="F27" s="41" t="n"/>
      <c r="G27" s="41" t="n"/>
      <c r="H27" s="41" t="n"/>
      <c r="I27" s="44">
        <f>IF(AND(E27="",F27="",G27="",H27=""),"",IFERROR(E27*F27,0)+IFERROR(G27,0)+IFERROR(H27,0))</f>
        <v/>
      </c>
      <c r="J27" s="43" t="n"/>
      <c r="K27" s="44">
        <f>IF(OR(J27="",J27=0,I27=""),"",I27/J27)</f>
        <v/>
      </c>
      <c r="L27" s="39" t="n"/>
    </row>
    <row r="28">
      <c r="A28" s="38" t="n"/>
      <c r="B28" s="39" t="n"/>
      <c r="C28" s="39" t="n"/>
      <c r="D28" s="39" t="n"/>
      <c r="E28" s="40" t="n"/>
      <c r="F28" s="41" t="n"/>
      <c r="G28" s="41" t="n"/>
      <c r="H28" s="41" t="n"/>
      <c r="I28" s="44">
        <f>IF(AND(E28="",F28="",G28="",H28=""),"",IFERROR(E28*F28,0)+IFERROR(G28,0)+IFERROR(H28,0))</f>
        <v/>
      </c>
      <c r="J28" s="43" t="n"/>
      <c r="K28" s="44">
        <f>IF(OR(J28="",J28=0,I28=""),"",I28/J28)</f>
        <v/>
      </c>
      <c r="L28" s="39" t="n"/>
    </row>
    <row r="29">
      <c r="A29" s="38" t="n"/>
      <c r="B29" s="39" t="n"/>
      <c r="C29" s="39" t="n"/>
      <c r="D29" s="39" t="n"/>
      <c r="E29" s="40" t="n"/>
      <c r="F29" s="41" t="n"/>
      <c r="G29" s="41" t="n"/>
      <c r="H29" s="41" t="n"/>
      <c r="I29" s="44">
        <f>IF(AND(E29="",F29="",G29="",H29=""),"",IFERROR(E29*F29,0)+IFERROR(G29,0)+IFERROR(H29,0))</f>
        <v/>
      </c>
      <c r="J29" s="43" t="n"/>
      <c r="K29" s="44">
        <f>IF(OR(J29="",J29=0,I29=""),"",I29/J29)</f>
        <v/>
      </c>
      <c r="L29" s="39" t="n"/>
    </row>
    <row r="30">
      <c r="A30" s="38" t="n"/>
      <c r="B30" s="39" t="n"/>
      <c r="C30" s="39" t="n"/>
      <c r="D30" s="39" t="n"/>
      <c r="E30" s="40" t="n"/>
      <c r="F30" s="41" t="n"/>
      <c r="G30" s="41" t="n"/>
      <c r="H30" s="41" t="n"/>
      <c r="I30" s="44">
        <f>IF(AND(E30="",F30="",G30="",H30=""),"",IFERROR(E30*F30,0)+IFERROR(G30,0)+IFERROR(H30,0))</f>
        <v/>
      </c>
      <c r="J30" s="43" t="n"/>
      <c r="K30" s="44">
        <f>IF(OR(J30="",J30=0,I30=""),"",I30/J30)</f>
        <v/>
      </c>
      <c r="L30" s="39" t="n"/>
    </row>
    <row r="31">
      <c r="A31" s="38" t="n"/>
      <c r="B31" s="39" t="n"/>
      <c r="C31" s="39" t="n"/>
      <c r="D31" s="39" t="n"/>
      <c r="E31" s="40" t="n"/>
      <c r="F31" s="41" t="n"/>
      <c r="G31" s="41" t="n"/>
      <c r="H31" s="41" t="n"/>
      <c r="I31" s="44">
        <f>IF(AND(E31="",F31="",G31="",H31=""),"",IFERROR(E31*F31,0)+IFERROR(G31,0)+IFERROR(H31,0))</f>
        <v/>
      </c>
      <c r="J31" s="43" t="n"/>
      <c r="K31" s="44">
        <f>IF(OR(J31="",J31=0,I31=""),"",I31/J31)</f>
        <v/>
      </c>
      <c r="L31" s="39" t="n"/>
    </row>
    <row r="32">
      <c r="A32" s="38" t="n"/>
      <c r="B32" s="39" t="n"/>
      <c r="C32" s="39" t="n"/>
      <c r="D32" s="39" t="n"/>
      <c r="E32" s="40" t="n"/>
      <c r="F32" s="41" t="n"/>
      <c r="G32" s="41" t="n"/>
      <c r="H32" s="41" t="n"/>
      <c r="I32" s="44">
        <f>IF(AND(E32="",F32="",G32="",H32=""),"",IFERROR(E32*F32,0)+IFERROR(G32,0)+IFERROR(H32,0))</f>
        <v/>
      </c>
      <c r="J32" s="43" t="n"/>
      <c r="K32" s="44">
        <f>IF(OR(J32="",J32=0,I32=""),"",I32/J32)</f>
        <v/>
      </c>
      <c r="L32" s="39" t="n"/>
    </row>
    <row r="33">
      <c r="A33" s="38" t="n"/>
      <c r="B33" s="39" t="n"/>
      <c r="C33" s="39" t="n"/>
      <c r="D33" s="39" t="n"/>
      <c r="E33" s="40" t="n"/>
      <c r="F33" s="41" t="n"/>
      <c r="G33" s="41" t="n"/>
      <c r="H33" s="41" t="n"/>
      <c r="I33" s="44">
        <f>IF(AND(E33="",F33="",G33="",H33=""),"",IFERROR(E33*F33,0)+IFERROR(G33,0)+IFERROR(H33,0))</f>
        <v/>
      </c>
      <c r="J33" s="43" t="n"/>
      <c r="K33" s="44">
        <f>IF(OR(J33="",J33=0,I33=""),"",I33/J33)</f>
        <v/>
      </c>
      <c r="L33" s="39" t="n"/>
    </row>
    <row r="34">
      <c r="A34" s="38" t="n"/>
      <c r="B34" s="39" t="n"/>
      <c r="C34" s="39" t="n"/>
      <c r="D34" s="39" t="n"/>
      <c r="E34" s="40" t="n"/>
      <c r="F34" s="41" t="n"/>
      <c r="G34" s="41" t="n"/>
      <c r="H34" s="41" t="n"/>
      <c r="I34" s="44">
        <f>IF(AND(E34="",F34="",G34="",H34=""),"",IFERROR(E34*F34,0)+IFERROR(G34,0)+IFERROR(H34,0))</f>
        <v/>
      </c>
      <c r="J34" s="43" t="n"/>
      <c r="K34" s="44">
        <f>IF(OR(J34="",J34=0,I34=""),"",I34/J34)</f>
        <v/>
      </c>
      <c r="L34" s="39" t="n"/>
    </row>
    <row r="35">
      <c r="A35" s="38" t="n"/>
      <c r="B35" s="39" t="n"/>
      <c r="C35" s="39" t="n"/>
      <c r="D35" s="39" t="n"/>
      <c r="E35" s="40" t="n"/>
      <c r="F35" s="41" t="n"/>
      <c r="G35" s="41" t="n"/>
      <c r="H35" s="41" t="n"/>
      <c r="I35" s="44">
        <f>IF(AND(E35="",F35="",G35="",H35=""),"",IFERROR(E35*F35,0)+IFERROR(G35,0)+IFERROR(H35,0))</f>
        <v/>
      </c>
      <c r="J35" s="43" t="n"/>
      <c r="K35" s="44">
        <f>IF(OR(J35="",J35=0,I35=""),"",I35/J35)</f>
        <v/>
      </c>
      <c r="L35" s="39" t="n"/>
    </row>
    <row r="36">
      <c r="A36" s="38" t="n"/>
      <c r="B36" s="39" t="n"/>
      <c r="C36" s="39" t="n"/>
      <c r="D36" s="39" t="n"/>
      <c r="E36" s="40" t="n"/>
      <c r="F36" s="41" t="n"/>
      <c r="G36" s="41" t="n"/>
      <c r="H36" s="41" t="n"/>
      <c r="I36" s="44">
        <f>IF(AND(E36="",F36="",G36="",H36=""),"",IFERROR(E36*F36,0)+IFERROR(G36,0)+IFERROR(H36,0))</f>
        <v/>
      </c>
      <c r="J36" s="43" t="n"/>
      <c r="K36" s="44">
        <f>IF(OR(J36="",J36=0,I36=""),"",I36/J36)</f>
        <v/>
      </c>
      <c r="L36" s="39" t="n"/>
    </row>
    <row r="37">
      <c r="A37" s="38" t="n"/>
      <c r="B37" s="39" t="n"/>
      <c r="C37" s="39" t="n"/>
      <c r="D37" s="39" t="n"/>
      <c r="E37" s="40" t="n"/>
      <c r="F37" s="41" t="n"/>
      <c r="G37" s="41" t="n"/>
      <c r="H37" s="41" t="n"/>
      <c r="I37" s="44">
        <f>IF(AND(E37="",F37="",G37="",H37=""),"",IFERROR(E37*F37,0)+IFERROR(G37,0)+IFERROR(H37,0))</f>
        <v/>
      </c>
      <c r="J37" s="43" t="n"/>
      <c r="K37" s="44">
        <f>IF(OR(J37="",J37=0,I37=""),"",I37/J37)</f>
        <v/>
      </c>
      <c r="L37" s="39" t="n"/>
    </row>
    <row r="38">
      <c r="A38" s="38" t="n"/>
      <c r="B38" s="39" t="n"/>
      <c r="C38" s="39" t="n"/>
      <c r="D38" s="39" t="n"/>
      <c r="E38" s="40" t="n"/>
      <c r="F38" s="41" t="n"/>
      <c r="G38" s="41" t="n"/>
      <c r="H38" s="41" t="n"/>
      <c r="I38" s="44">
        <f>IF(AND(E38="",F38="",G38="",H38=""),"",IFERROR(E38*F38,0)+IFERROR(G38,0)+IFERROR(H38,0))</f>
        <v/>
      </c>
      <c r="J38" s="43" t="n"/>
      <c r="K38" s="44">
        <f>IF(OR(J38="",J38=0,I38=""),"",I38/J38)</f>
        <v/>
      </c>
      <c r="L38" s="39" t="n"/>
    </row>
    <row r="39">
      <c r="A39" s="38" t="n"/>
      <c r="B39" s="39" t="n"/>
      <c r="C39" s="39" t="n"/>
      <c r="D39" s="39" t="n"/>
      <c r="E39" s="40" t="n"/>
      <c r="F39" s="41" t="n"/>
      <c r="G39" s="41" t="n"/>
      <c r="H39" s="41" t="n"/>
      <c r="I39" s="44">
        <f>IF(AND(E39="",F39="",G39="",H39=""),"",IFERROR(E39*F39,0)+IFERROR(G39,0)+IFERROR(H39,0))</f>
        <v/>
      </c>
      <c r="J39" s="43" t="n"/>
      <c r="K39" s="44">
        <f>IF(OR(J39="",J39=0,I39=""),"",I39/J39)</f>
        <v/>
      </c>
      <c r="L39" s="39" t="n"/>
    </row>
    <row r="40">
      <c r="A40" s="38" t="n"/>
      <c r="B40" s="39" t="n"/>
      <c r="C40" s="39" t="n"/>
      <c r="D40" s="39" t="n"/>
      <c r="E40" s="40" t="n"/>
      <c r="F40" s="41" t="n"/>
      <c r="G40" s="41" t="n"/>
      <c r="H40" s="41" t="n"/>
      <c r="I40" s="44">
        <f>IF(AND(E40="",F40="",G40="",H40=""),"",IFERROR(E40*F40,0)+IFERROR(G40,0)+IFERROR(H40,0))</f>
        <v/>
      </c>
      <c r="J40" s="43" t="n"/>
      <c r="K40" s="44">
        <f>IF(OR(J40="",J40=0,I40=""),"",I40/J40)</f>
        <v/>
      </c>
      <c r="L40" s="39" t="n"/>
    </row>
    <row r="41">
      <c r="A41" s="38" t="n"/>
      <c r="B41" s="39" t="n"/>
      <c r="C41" s="39" t="n"/>
      <c r="D41" s="39" t="n"/>
      <c r="E41" s="40" t="n"/>
      <c r="F41" s="41" t="n"/>
      <c r="G41" s="41" t="n"/>
      <c r="H41" s="41" t="n"/>
      <c r="I41" s="44">
        <f>IF(AND(E41="",F41="",G41="",H41=""),"",IFERROR(E41*F41,0)+IFERROR(G41,0)+IFERROR(H41,0))</f>
        <v/>
      </c>
      <c r="J41" s="43" t="n"/>
      <c r="K41" s="44">
        <f>IF(OR(J41="",J41=0,I41=""),"",I41/J41)</f>
        <v/>
      </c>
      <c r="L41" s="39" t="n"/>
    </row>
    <row r="42">
      <c r="A42" s="38" t="n"/>
      <c r="B42" s="39" t="n"/>
      <c r="C42" s="39" t="n"/>
      <c r="D42" s="39" t="n"/>
      <c r="E42" s="40" t="n"/>
      <c r="F42" s="41" t="n"/>
      <c r="G42" s="41" t="n"/>
      <c r="H42" s="41" t="n"/>
      <c r="I42" s="44">
        <f>IF(AND(E42="",F42="",G42="",H42=""),"",IFERROR(E42*F42,0)+IFERROR(G42,0)+IFERROR(H42,0))</f>
        <v/>
      </c>
      <c r="J42" s="43" t="n"/>
      <c r="K42" s="44">
        <f>IF(OR(J42="",J42=0,I42=""),"",I42/J42)</f>
        <v/>
      </c>
      <c r="L42" s="39" t="n"/>
    </row>
    <row r="43">
      <c r="A43" s="38" t="n"/>
      <c r="B43" s="39" t="n"/>
      <c r="C43" s="39" t="n"/>
      <c r="D43" s="39" t="n"/>
      <c r="E43" s="40" t="n"/>
      <c r="F43" s="41" t="n"/>
      <c r="G43" s="41" t="n"/>
      <c r="H43" s="41" t="n"/>
      <c r="I43" s="44">
        <f>IF(AND(E43="",F43="",G43="",H43=""),"",IFERROR(E43*F43,0)+IFERROR(G43,0)+IFERROR(H43,0))</f>
        <v/>
      </c>
      <c r="J43" s="43" t="n"/>
      <c r="K43" s="44">
        <f>IF(OR(J43="",J43=0,I43=""),"",I43/J43)</f>
        <v/>
      </c>
      <c r="L43" s="39" t="n"/>
    </row>
    <row r="44">
      <c r="A44" s="38" t="n"/>
      <c r="B44" s="39" t="n"/>
      <c r="C44" s="39" t="n"/>
      <c r="D44" s="39" t="n"/>
      <c r="E44" s="40" t="n"/>
      <c r="F44" s="41" t="n"/>
      <c r="G44" s="41" t="n"/>
      <c r="H44" s="41" t="n"/>
      <c r="I44" s="44">
        <f>IF(AND(E44="",F44="",G44="",H44=""),"",IFERROR(E44*F44,0)+IFERROR(G44,0)+IFERROR(H44,0))</f>
        <v/>
      </c>
      <c r="J44" s="43" t="n"/>
      <c r="K44" s="44">
        <f>IF(OR(J44="",J44=0,I44=""),"",I44/J44)</f>
        <v/>
      </c>
      <c r="L44" s="39" t="n"/>
    </row>
    <row r="45">
      <c r="A45" s="38" t="n"/>
      <c r="B45" s="39" t="n"/>
      <c r="C45" s="39" t="n"/>
      <c r="D45" s="39" t="n"/>
      <c r="E45" s="40" t="n"/>
      <c r="F45" s="41" t="n"/>
      <c r="G45" s="41" t="n"/>
      <c r="H45" s="41" t="n"/>
      <c r="I45" s="44">
        <f>IF(AND(E45="",F45="",G45="",H45=""),"",IFERROR(E45*F45,0)+IFERROR(G45,0)+IFERROR(H45,0))</f>
        <v/>
      </c>
      <c r="J45" s="43" t="n"/>
      <c r="K45" s="44">
        <f>IF(OR(J45="",J45=0,I45=""),"",I45/J45)</f>
        <v/>
      </c>
      <c r="L45" s="39" t="n"/>
    </row>
    <row r="46">
      <c r="A46" s="38" t="n"/>
      <c r="B46" s="39" t="n"/>
      <c r="C46" s="39" t="n"/>
      <c r="D46" s="39" t="n"/>
      <c r="E46" s="40" t="n"/>
      <c r="F46" s="41" t="n"/>
      <c r="G46" s="41" t="n"/>
      <c r="H46" s="41" t="n"/>
      <c r="I46" s="44">
        <f>IF(AND(E46="",F46="",G46="",H46=""),"",IFERROR(E46*F46,0)+IFERROR(G46,0)+IFERROR(H46,0))</f>
        <v/>
      </c>
      <c r="J46" s="43" t="n"/>
      <c r="K46" s="44">
        <f>IF(OR(J46="",J46=0,I46=""),"",I46/J46)</f>
        <v/>
      </c>
      <c r="L46" s="39" t="n"/>
    </row>
    <row r="47">
      <c r="A47" s="38" t="n"/>
      <c r="B47" s="39" t="n"/>
      <c r="C47" s="39" t="n"/>
      <c r="D47" s="39" t="n"/>
      <c r="E47" s="40" t="n"/>
      <c r="F47" s="41" t="n"/>
      <c r="G47" s="41" t="n"/>
      <c r="H47" s="41" t="n"/>
      <c r="I47" s="44">
        <f>IF(AND(E47="",F47="",G47="",H47=""),"",IFERROR(E47*F47,0)+IFERROR(G47,0)+IFERROR(H47,0))</f>
        <v/>
      </c>
      <c r="J47" s="43" t="n"/>
      <c r="K47" s="44">
        <f>IF(OR(J47="",J47=0,I47=""),"",I47/J47)</f>
        <v/>
      </c>
      <c r="L47" s="39" t="n"/>
    </row>
    <row r="48">
      <c r="A48" s="38" t="n"/>
      <c r="B48" s="39" t="n"/>
      <c r="C48" s="39" t="n"/>
      <c r="D48" s="39" t="n"/>
      <c r="E48" s="40" t="n"/>
      <c r="F48" s="41" t="n"/>
      <c r="G48" s="41" t="n"/>
      <c r="H48" s="41" t="n"/>
      <c r="I48" s="44">
        <f>IF(AND(E48="",F48="",G48="",H48=""),"",IFERROR(E48*F48,0)+IFERROR(G48,0)+IFERROR(H48,0))</f>
        <v/>
      </c>
      <c r="J48" s="43" t="n"/>
      <c r="K48" s="44">
        <f>IF(OR(J48="",J48=0,I48=""),"",I48/J48)</f>
        <v/>
      </c>
      <c r="L48" s="39" t="n"/>
    </row>
    <row r="49">
      <c r="A49" s="38" t="n"/>
      <c r="B49" s="39" t="n"/>
      <c r="C49" s="39" t="n"/>
      <c r="D49" s="39" t="n"/>
      <c r="E49" s="40" t="n"/>
      <c r="F49" s="41" t="n"/>
      <c r="G49" s="41" t="n"/>
      <c r="H49" s="41" t="n"/>
      <c r="I49" s="44">
        <f>IF(AND(E49="",F49="",G49="",H49=""),"",IFERROR(E49*F49,0)+IFERROR(G49,0)+IFERROR(H49,0))</f>
        <v/>
      </c>
      <c r="J49" s="43" t="n"/>
      <c r="K49" s="44">
        <f>IF(OR(J49="",J49=0,I49=""),"",I49/J49)</f>
        <v/>
      </c>
      <c r="L49" s="39" t="n"/>
    </row>
    <row r="50">
      <c r="A50" s="38" t="n"/>
      <c r="B50" s="39" t="n"/>
      <c r="C50" s="39" t="n"/>
      <c r="D50" s="39" t="n"/>
      <c r="E50" s="40" t="n"/>
      <c r="F50" s="41" t="n"/>
      <c r="G50" s="41" t="n"/>
      <c r="H50" s="41" t="n"/>
      <c r="I50" s="44">
        <f>IF(AND(E50="",F50="",G50="",H50=""),"",IFERROR(E50*F50,0)+IFERROR(G50,0)+IFERROR(H50,0))</f>
        <v/>
      </c>
      <c r="J50" s="43" t="n"/>
      <c r="K50" s="44">
        <f>IF(OR(J50="",J50=0,I50=""),"",I50/J50)</f>
        <v/>
      </c>
      <c r="L50" s="39" t="n"/>
    </row>
    <row r="51">
      <c r="A51" s="38" t="n"/>
      <c r="B51" s="39" t="n"/>
      <c r="C51" s="39" t="n"/>
      <c r="D51" s="39" t="n"/>
      <c r="E51" s="40" t="n"/>
      <c r="F51" s="41" t="n"/>
      <c r="G51" s="41" t="n"/>
      <c r="H51" s="41" t="n"/>
      <c r="I51" s="44">
        <f>IF(AND(E51="",F51="",G51="",H51=""),"",IFERROR(E51*F51,0)+IFERROR(G51,0)+IFERROR(H51,0))</f>
        <v/>
      </c>
      <c r="J51" s="43" t="n"/>
      <c r="K51" s="44">
        <f>IF(OR(J51="",J51=0,I51=""),"",I51/J51)</f>
        <v/>
      </c>
      <c r="L51" s="39" t="n"/>
    </row>
    <row r="52">
      <c r="A52" s="38" t="n"/>
      <c r="B52" s="39" t="n"/>
      <c r="C52" s="39" t="n"/>
      <c r="D52" s="39" t="n"/>
      <c r="E52" s="40" t="n"/>
      <c r="F52" s="41" t="n"/>
      <c r="G52" s="41" t="n"/>
      <c r="H52" s="41" t="n"/>
      <c r="I52" s="44">
        <f>IF(AND(E52="",F52="",G52="",H52=""),"",IFERROR(E52*F52,0)+IFERROR(G52,0)+IFERROR(H52,0))</f>
        <v/>
      </c>
      <c r="J52" s="43" t="n"/>
      <c r="K52" s="44">
        <f>IF(OR(J52="",J52=0,I52=""),"",I52/J52)</f>
        <v/>
      </c>
      <c r="L52" s="39" t="n"/>
    </row>
    <row r="53">
      <c r="A53" s="38" t="n"/>
      <c r="B53" s="39" t="n"/>
      <c r="C53" s="39" t="n"/>
      <c r="D53" s="39" t="n"/>
      <c r="E53" s="40" t="n"/>
      <c r="F53" s="41" t="n"/>
      <c r="G53" s="41" t="n"/>
      <c r="H53" s="41" t="n"/>
      <c r="I53" s="44">
        <f>IF(AND(E53="",F53="",G53="",H53=""),"",IFERROR(E53*F53,0)+IFERROR(G53,0)+IFERROR(H53,0))</f>
        <v/>
      </c>
      <c r="J53" s="43" t="n"/>
      <c r="K53" s="44">
        <f>IF(OR(J53="",J53=0,I53=""),"",I53/J53)</f>
        <v/>
      </c>
      <c r="L53" s="39" t="n"/>
    </row>
    <row r="54">
      <c r="A54" s="38" t="n"/>
      <c r="B54" s="39" t="n"/>
      <c r="C54" s="39" t="n"/>
      <c r="D54" s="39" t="n"/>
      <c r="E54" s="40" t="n"/>
      <c r="F54" s="41" t="n"/>
      <c r="G54" s="41" t="n"/>
      <c r="H54" s="41" t="n"/>
      <c r="I54" s="44">
        <f>IF(AND(E54="",F54="",G54="",H54=""),"",IFERROR(E54*F54,0)+IFERROR(G54,0)+IFERROR(H54,0))</f>
        <v/>
      </c>
      <c r="J54" s="43" t="n"/>
      <c r="K54" s="44">
        <f>IF(OR(J54="",J54=0,I54=""),"",I54/J54)</f>
        <v/>
      </c>
      <c r="L54" s="39" t="n"/>
    </row>
    <row r="55">
      <c r="A55" s="38" t="n"/>
      <c r="B55" s="39" t="n"/>
      <c r="C55" s="39" t="n"/>
      <c r="D55" s="39" t="n"/>
      <c r="E55" s="40" t="n"/>
      <c r="F55" s="41" t="n"/>
      <c r="G55" s="41" t="n"/>
      <c r="H55" s="41" t="n"/>
      <c r="I55" s="44">
        <f>IF(AND(E55="",F55="",G55="",H55=""),"",IFERROR(E55*F55,0)+IFERROR(G55,0)+IFERROR(H55,0))</f>
        <v/>
      </c>
      <c r="J55" s="43" t="n"/>
      <c r="K55" s="44">
        <f>IF(OR(J55="",J55=0,I55=""),"",I55/J55)</f>
        <v/>
      </c>
      <c r="L55" s="39" t="n"/>
    </row>
    <row r="56">
      <c r="A56" s="38" t="n"/>
      <c r="B56" s="39" t="n"/>
      <c r="C56" s="39" t="n"/>
      <c r="D56" s="39" t="n"/>
      <c r="E56" s="40" t="n"/>
      <c r="F56" s="41" t="n"/>
      <c r="G56" s="41" t="n"/>
      <c r="H56" s="41" t="n"/>
      <c r="I56" s="44">
        <f>IF(AND(E56="",F56="",G56="",H56=""),"",IFERROR(E56*F56,0)+IFERROR(G56,0)+IFERROR(H56,0))</f>
        <v/>
      </c>
      <c r="J56" s="43" t="n"/>
      <c r="K56" s="44">
        <f>IF(OR(J56="",J56=0,I56=""),"",I56/J56)</f>
        <v/>
      </c>
      <c r="L56" s="39" t="n"/>
    </row>
    <row r="57">
      <c r="A57" s="38" t="n"/>
      <c r="B57" s="39" t="n"/>
      <c r="C57" s="39" t="n"/>
      <c r="D57" s="39" t="n"/>
      <c r="E57" s="40" t="n"/>
      <c r="F57" s="41" t="n"/>
      <c r="G57" s="41" t="n"/>
      <c r="H57" s="41" t="n"/>
      <c r="I57" s="44">
        <f>IF(AND(E57="",F57="",G57="",H57=""),"",IFERROR(E57*F57,0)+IFERROR(G57,0)+IFERROR(H57,0))</f>
        <v/>
      </c>
      <c r="J57" s="43" t="n"/>
      <c r="K57" s="44">
        <f>IF(OR(J57="",J57=0,I57=""),"",I57/J57)</f>
        <v/>
      </c>
      <c r="L57" s="39" t="n"/>
    </row>
    <row r="58">
      <c r="A58" s="38" t="n"/>
      <c r="B58" s="39" t="n"/>
      <c r="C58" s="39" t="n"/>
      <c r="D58" s="39" t="n"/>
      <c r="E58" s="40" t="n"/>
      <c r="F58" s="41" t="n"/>
      <c r="G58" s="41" t="n"/>
      <c r="H58" s="41" t="n"/>
      <c r="I58" s="44">
        <f>IF(AND(E58="",F58="",G58="",H58=""),"",IFERROR(E58*F58,0)+IFERROR(G58,0)+IFERROR(H58,0))</f>
        <v/>
      </c>
      <c r="J58" s="43" t="n"/>
      <c r="K58" s="44">
        <f>IF(OR(J58="",J58=0,I58=""),"",I58/J58)</f>
        <v/>
      </c>
      <c r="L58" s="39" t="n"/>
    </row>
    <row r="59">
      <c r="A59" s="38" t="n"/>
      <c r="B59" s="39" t="n"/>
      <c r="C59" s="39" t="n"/>
      <c r="D59" s="39" t="n"/>
      <c r="E59" s="40" t="n"/>
      <c r="F59" s="41" t="n"/>
      <c r="G59" s="41" t="n"/>
      <c r="H59" s="41" t="n"/>
      <c r="I59" s="44">
        <f>IF(AND(E59="",F59="",G59="",H59=""),"",IFERROR(E59*F59,0)+IFERROR(G59,0)+IFERROR(H59,0))</f>
        <v/>
      </c>
      <c r="J59" s="43" t="n"/>
      <c r="K59" s="44">
        <f>IF(OR(J59="",J59=0,I59=""),"",I59/J59)</f>
        <v/>
      </c>
      <c r="L59" s="39" t="n"/>
    </row>
    <row r="60">
      <c r="A60" s="38" t="n"/>
      <c r="B60" s="39" t="n"/>
      <c r="C60" s="39" t="n"/>
      <c r="D60" s="39" t="n"/>
      <c r="E60" s="40" t="n"/>
      <c r="F60" s="41" t="n"/>
      <c r="G60" s="41" t="n"/>
      <c r="H60" s="41" t="n"/>
      <c r="I60" s="44">
        <f>IF(AND(E60="",F60="",G60="",H60=""),"",IFERROR(E60*F60,0)+IFERROR(G60,0)+IFERROR(H60,0))</f>
        <v/>
      </c>
      <c r="J60" s="43" t="n"/>
      <c r="K60" s="44">
        <f>IF(OR(J60="",J60=0,I60=""),"",I60/J60)</f>
        <v/>
      </c>
      <c r="L60" s="39" t="n"/>
    </row>
    <row r="61">
      <c r="A61" s="38" t="n"/>
      <c r="B61" s="39" t="n"/>
      <c r="C61" s="39" t="n"/>
      <c r="D61" s="39" t="n"/>
      <c r="E61" s="40" t="n"/>
      <c r="F61" s="41" t="n"/>
      <c r="G61" s="41" t="n"/>
      <c r="H61" s="41" t="n"/>
      <c r="I61" s="44">
        <f>IF(AND(E61="",F61="",G61="",H61=""),"",IFERROR(E61*F61,0)+IFERROR(G61,0)+IFERROR(H61,0))</f>
        <v/>
      </c>
      <c r="J61" s="43" t="n"/>
      <c r="K61" s="44">
        <f>IF(OR(J61="",J61=0,I61=""),"",I61/J61)</f>
        <v/>
      </c>
      <c r="L61" s="39" t="n"/>
    </row>
    <row r="62">
      <c r="A62" s="38" t="n"/>
      <c r="B62" s="39" t="n"/>
      <c r="C62" s="39" t="n"/>
      <c r="D62" s="39" t="n"/>
      <c r="E62" s="40" t="n"/>
      <c r="F62" s="41" t="n"/>
      <c r="G62" s="41" t="n"/>
      <c r="H62" s="41" t="n"/>
      <c r="I62" s="44">
        <f>IF(AND(E62="",F62="",G62="",H62=""),"",IFERROR(E62*F62,0)+IFERROR(G62,0)+IFERROR(H62,0))</f>
        <v/>
      </c>
      <c r="J62" s="43" t="n"/>
      <c r="K62" s="44">
        <f>IF(OR(J62="",J62=0,I62=""),"",I62/J62)</f>
        <v/>
      </c>
      <c r="L62" s="39" t="n"/>
    </row>
    <row r="63">
      <c r="A63" s="38" t="n"/>
      <c r="B63" s="39" t="n"/>
      <c r="C63" s="39" t="n"/>
      <c r="D63" s="39" t="n"/>
      <c r="E63" s="40" t="n"/>
      <c r="F63" s="41" t="n"/>
      <c r="G63" s="41" t="n"/>
      <c r="H63" s="41" t="n"/>
      <c r="I63" s="44">
        <f>IF(AND(E63="",F63="",G63="",H63=""),"",IFERROR(E63*F63,0)+IFERROR(G63,0)+IFERROR(H63,0))</f>
        <v/>
      </c>
      <c r="J63" s="43" t="n"/>
      <c r="K63" s="44">
        <f>IF(OR(J63="",J63=0,I63=""),"",I63/J63)</f>
        <v/>
      </c>
      <c r="L63" s="39" t="n"/>
    </row>
    <row r="64">
      <c r="A64" s="38" t="n"/>
      <c r="B64" s="39" t="n"/>
      <c r="C64" s="39" t="n"/>
      <c r="D64" s="39" t="n"/>
      <c r="E64" s="40" t="n"/>
      <c r="F64" s="41" t="n"/>
      <c r="G64" s="41" t="n"/>
      <c r="H64" s="41" t="n"/>
      <c r="I64" s="44">
        <f>IF(AND(E64="",F64="",G64="",H64=""),"",IFERROR(E64*F64,0)+IFERROR(G64,0)+IFERROR(H64,0))</f>
        <v/>
      </c>
      <c r="J64" s="43" t="n"/>
      <c r="K64" s="44">
        <f>IF(OR(J64="",J64=0,I64=""),"",I64/J64)</f>
        <v/>
      </c>
      <c r="L64" s="39" t="n"/>
    </row>
    <row r="65">
      <c r="A65" s="38" t="n"/>
      <c r="B65" s="39" t="n"/>
      <c r="C65" s="39" t="n"/>
      <c r="D65" s="39" t="n"/>
      <c r="E65" s="40" t="n"/>
      <c r="F65" s="41" t="n"/>
      <c r="G65" s="41" t="n"/>
      <c r="H65" s="41" t="n"/>
      <c r="I65" s="44">
        <f>IF(AND(E65="",F65="",G65="",H65=""),"",IFERROR(E65*F65,0)+IFERROR(G65,0)+IFERROR(H65,0))</f>
        <v/>
      </c>
      <c r="J65" s="43" t="n"/>
      <c r="K65" s="44">
        <f>IF(OR(J65="",J65=0,I65=""),"",I65/J65)</f>
        <v/>
      </c>
      <c r="L65" s="39" t="n"/>
    </row>
    <row r="66">
      <c r="A66" s="38" t="n"/>
      <c r="B66" s="39" t="n"/>
      <c r="C66" s="39" t="n"/>
      <c r="D66" s="39" t="n"/>
      <c r="E66" s="40" t="n"/>
      <c r="F66" s="41" t="n"/>
      <c r="G66" s="41" t="n"/>
      <c r="H66" s="41" t="n"/>
      <c r="I66" s="44">
        <f>IF(AND(E66="",F66="",G66="",H66=""),"",IFERROR(E66*F66,0)+IFERROR(G66,0)+IFERROR(H66,0))</f>
        <v/>
      </c>
      <c r="J66" s="43" t="n"/>
      <c r="K66" s="44">
        <f>IF(OR(J66="",J66=0,I66=""),"",I66/J66)</f>
        <v/>
      </c>
      <c r="L66" s="39" t="n"/>
    </row>
    <row r="67">
      <c r="A67" s="38" t="n"/>
      <c r="B67" s="39" t="n"/>
      <c r="C67" s="39" t="n"/>
      <c r="D67" s="39" t="n"/>
      <c r="E67" s="40" t="n"/>
      <c r="F67" s="41" t="n"/>
      <c r="G67" s="41" t="n"/>
      <c r="H67" s="41" t="n"/>
      <c r="I67" s="44">
        <f>IF(AND(E67="",F67="",G67="",H67=""),"",IFERROR(E67*F67,0)+IFERROR(G67,0)+IFERROR(H67,0))</f>
        <v/>
      </c>
      <c r="J67" s="43" t="n"/>
      <c r="K67" s="44">
        <f>IF(OR(J67="",J67=0,I67=""),"",I67/J67)</f>
        <v/>
      </c>
      <c r="L67" s="39" t="n"/>
    </row>
    <row r="68">
      <c r="A68" s="38" t="n"/>
      <c r="B68" s="39" t="n"/>
      <c r="C68" s="39" t="n"/>
      <c r="D68" s="39" t="n"/>
      <c r="E68" s="40" t="n"/>
      <c r="F68" s="41" t="n"/>
      <c r="G68" s="41" t="n"/>
      <c r="H68" s="41" t="n"/>
      <c r="I68" s="44">
        <f>IF(AND(E68="",F68="",G68="",H68=""),"",IFERROR(E68*F68,0)+IFERROR(G68,0)+IFERROR(H68,0))</f>
        <v/>
      </c>
      <c r="J68" s="43" t="n"/>
      <c r="K68" s="44">
        <f>IF(OR(J68="",J68=0,I68=""),"",I68/J68)</f>
        <v/>
      </c>
      <c r="L68" s="39" t="n"/>
    </row>
    <row r="69">
      <c r="A69" s="38" t="n"/>
      <c r="B69" s="39" t="n"/>
      <c r="C69" s="39" t="n"/>
      <c r="D69" s="39" t="n"/>
      <c r="E69" s="40" t="n"/>
      <c r="F69" s="41" t="n"/>
      <c r="G69" s="41" t="n"/>
      <c r="H69" s="41" t="n"/>
      <c r="I69" s="44">
        <f>IF(AND(E69="",F69="",G69="",H69=""),"",IFERROR(E69*F69,0)+IFERROR(G69,0)+IFERROR(H69,0))</f>
        <v/>
      </c>
      <c r="J69" s="43" t="n"/>
      <c r="K69" s="44">
        <f>IF(OR(J69="",J69=0,I69=""),"",I69/J69)</f>
        <v/>
      </c>
      <c r="L69" s="39" t="n"/>
    </row>
    <row r="70">
      <c r="A70" s="38" t="n"/>
      <c r="B70" s="39" t="n"/>
      <c r="C70" s="39" t="n"/>
      <c r="D70" s="39" t="n"/>
      <c r="E70" s="40" t="n"/>
      <c r="F70" s="41" t="n"/>
      <c r="G70" s="41" t="n"/>
      <c r="H70" s="41" t="n"/>
      <c r="I70" s="44">
        <f>IF(AND(E70="",F70="",G70="",H70=""),"",IFERROR(E70*F70,0)+IFERROR(G70,0)+IFERROR(H70,0))</f>
        <v/>
      </c>
      <c r="J70" s="43" t="n"/>
      <c r="K70" s="44">
        <f>IF(OR(J70="",J70=0,I70=""),"",I70/J70)</f>
        <v/>
      </c>
      <c r="L70" s="39" t="n"/>
    </row>
    <row r="71">
      <c r="A71" s="38" t="n"/>
      <c r="B71" s="39" t="n"/>
      <c r="C71" s="39" t="n"/>
      <c r="D71" s="39" t="n"/>
      <c r="E71" s="40" t="n"/>
      <c r="F71" s="41" t="n"/>
      <c r="G71" s="41" t="n"/>
      <c r="H71" s="41" t="n"/>
      <c r="I71" s="44">
        <f>IF(AND(E71="",F71="",G71="",H71=""),"",IFERROR(E71*F71,0)+IFERROR(G71,0)+IFERROR(H71,0))</f>
        <v/>
      </c>
      <c r="J71" s="43" t="n"/>
      <c r="K71" s="44">
        <f>IF(OR(J71="",J71=0,I71=""),"",I71/J71)</f>
        <v/>
      </c>
      <c r="L71" s="39" t="n"/>
    </row>
    <row r="72">
      <c r="A72" s="38" t="n"/>
      <c r="B72" s="39" t="n"/>
      <c r="C72" s="39" t="n"/>
      <c r="D72" s="39" t="n"/>
      <c r="E72" s="40" t="n"/>
      <c r="F72" s="41" t="n"/>
      <c r="G72" s="41" t="n"/>
      <c r="H72" s="41" t="n"/>
      <c r="I72" s="44">
        <f>IF(AND(E72="",F72="",G72="",H72=""),"",IFERROR(E72*F72,0)+IFERROR(G72,0)+IFERROR(H72,0))</f>
        <v/>
      </c>
      <c r="J72" s="43" t="n"/>
      <c r="K72" s="44">
        <f>IF(OR(J72="",J72=0,I72=""),"",I72/J72)</f>
        <v/>
      </c>
      <c r="L72" s="39" t="n"/>
    </row>
    <row r="73">
      <c r="A73" s="38" t="n"/>
      <c r="B73" s="39" t="n"/>
      <c r="C73" s="39" t="n"/>
      <c r="D73" s="39" t="n"/>
      <c r="E73" s="40" t="n"/>
      <c r="F73" s="41" t="n"/>
      <c r="G73" s="41" t="n"/>
      <c r="H73" s="41" t="n"/>
      <c r="I73" s="44">
        <f>IF(AND(E73="",F73="",G73="",H73=""),"",IFERROR(E73*F73,0)+IFERROR(G73,0)+IFERROR(H73,0))</f>
        <v/>
      </c>
      <c r="J73" s="43" t="n"/>
      <c r="K73" s="44">
        <f>IF(OR(J73="",J73=0,I73=""),"",I73/J73)</f>
        <v/>
      </c>
      <c r="L73" s="39" t="n"/>
    </row>
    <row r="74">
      <c r="A74" s="38" t="n"/>
      <c r="B74" s="39" t="n"/>
      <c r="C74" s="39" t="n"/>
      <c r="D74" s="39" t="n"/>
      <c r="E74" s="40" t="n"/>
      <c r="F74" s="41" t="n"/>
      <c r="G74" s="41" t="n"/>
      <c r="H74" s="41" t="n"/>
      <c r="I74" s="44">
        <f>IF(AND(E74="",F74="",G74="",H74=""),"",IFERROR(E74*F74,0)+IFERROR(G74,0)+IFERROR(H74,0))</f>
        <v/>
      </c>
      <c r="J74" s="43" t="n"/>
      <c r="K74" s="44">
        <f>IF(OR(J74="",J74=0,I74=""),"",I74/J74)</f>
        <v/>
      </c>
      <c r="L74" s="39" t="n"/>
    </row>
    <row r="75">
      <c r="A75" s="38" t="n"/>
      <c r="B75" s="39" t="n"/>
      <c r="C75" s="39" t="n"/>
      <c r="D75" s="39" t="n"/>
      <c r="E75" s="40" t="n"/>
      <c r="F75" s="41" t="n"/>
      <c r="G75" s="41" t="n"/>
      <c r="H75" s="41" t="n"/>
      <c r="I75" s="44">
        <f>IF(AND(E75="",F75="",G75="",H75=""),"",IFERROR(E75*F75,0)+IFERROR(G75,0)+IFERROR(H75,0))</f>
        <v/>
      </c>
      <c r="J75" s="43" t="n"/>
      <c r="K75" s="44">
        <f>IF(OR(J75="",J75=0,I75=""),"",I75/J75)</f>
        <v/>
      </c>
      <c r="L75" s="39" t="n"/>
    </row>
    <row r="76">
      <c r="A76" s="38" t="n"/>
      <c r="B76" s="39" t="n"/>
      <c r="C76" s="39" t="n"/>
      <c r="D76" s="39" t="n"/>
      <c r="E76" s="40" t="n"/>
      <c r="F76" s="41" t="n"/>
      <c r="G76" s="41" t="n"/>
      <c r="H76" s="41" t="n"/>
      <c r="I76" s="44">
        <f>IF(AND(E76="",F76="",G76="",H76=""),"",IFERROR(E76*F76,0)+IFERROR(G76,0)+IFERROR(H76,0))</f>
        <v/>
      </c>
      <c r="J76" s="43" t="n"/>
      <c r="K76" s="44">
        <f>IF(OR(J76="",J76=0,I76=""),"",I76/J76)</f>
        <v/>
      </c>
      <c r="L76" s="39" t="n"/>
    </row>
    <row r="77">
      <c r="A77" s="38" t="n"/>
      <c r="B77" s="39" t="n"/>
      <c r="C77" s="39" t="n"/>
      <c r="D77" s="39" t="n"/>
      <c r="E77" s="40" t="n"/>
      <c r="F77" s="41" t="n"/>
      <c r="G77" s="41" t="n"/>
      <c r="H77" s="41" t="n"/>
      <c r="I77" s="44">
        <f>IF(AND(E77="",F77="",G77="",H77=""),"",IFERROR(E77*F77,0)+IFERROR(G77,0)+IFERROR(H77,0))</f>
        <v/>
      </c>
      <c r="J77" s="43" t="n"/>
      <c r="K77" s="44">
        <f>IF(OR(J77="",J77=0,I77=""),"",I77/J77)</f>
        <v/>
      </c>
      <c r="L77" s="39" t="n"/>
    </row>
    <row r="78">
      <c r="A78" s="38" t="n"/>
      <c r="B78" s="39" t="n"/>
      <c r="C78" s="39" t="n"/>
      <c r="D78" s="39" t="n"/>
      <c r="E78" s="40" t="n"/>
      <c r="F78" s="41" t="n"/>
      <c r="G78" s="41" t="n"/>
      <c r="H78" s="41" t="n"/>
      <c r="I78" s="44">
        <f>IF(AND(E78="",F78="",G78="",H78=""),"",IFERROR(E78*F78,0)+IFERROR(G78,0)+IFERROR(H78,0))</f>
        <v/>
      </c>
      <c r="J78" s="43" t="n"/>
      <c r="K78" s="44">
        <f>IF(OR(J78="",J78=0,I78=""),"",I78/J78)</f>
        <v/>
      </c>
      <c r="L78" s="39" t="n"/>
    </row>
    <row r="79">
      <c r="A79" s="38" t="n"/>
      <c r="B79" s="39" t="n"/>
      <c r="C79" s="39" t="n"/>
      <c r="D79" s="39" t="n"/>
      <c r="E79" s="40" t="n"/>
      <c r="F79" s="41" t="n"/>
      <c r="G79" s="41" t="n"/>
      <c r="H79" s="41" t="n"/>
      <c r="I79" s="44">
        <f>IF(AND(E79="",F79="",G79="",H79=""),"",IFERROR(E79*F79,0)+IFERROR(G79,0)+IFERROR(H79,0))</f>
        <v/>
      </c>
      <c r="J79" s="43" t="n"/>
      <c r="K79" s="44">
        <f>IF(OR(J79="",J79=0,I79=""),"",I79/J79)</f>
        <v/>
      </c>
      <c r="L79" s="39" t="n"/>
    </row>
    <row r="80">
      <c r="A80" s="38" t="n"/>
      <c r="B80" s="39" t="n"/>
      <c r="C80" s="39" t="n"/>
      <c r="D80" s="39" t="n"/>
      <c r="E80" s="40" t="n"/>
      <c r="F80" s="41" t="n"/>
      <c r="G80" s="41" t="n"/>
      <c r="H80" s="41" t="n"/>
      <c r="I80" s="44">
        <f>IF(AND(E80="",F80="",G80="",H80=""),"",IFERROR(E80*F80,0)+IFERROR(G80,0)+IFERROR(H80,0))</f>
        <v/>
      </c>
      <c r="J80" s="43" t="n"/>
      <c r="K80" s="44">
        <f>IF(OR(J80="",J80=0,I80=""),"",I80/J80)</f>
        <v/>
      </c>
      <c r="L80" s="39" t="n"/>
    </row>
    <row r="81">
      <c r="A81" s="38" t="n"/>
      <c r="B81" s="39" t="n"/>
      <c r="C81" s="39" t="n"/>
      <c r="D81" s="39" t="n"/>
      <c r="E81" s="40" t="n"/>
      <c r="F81" s="41" t="n"/>
      <c r="G81" s="41" t="n"/>
      <c r="H81" s="41" t="n"/>
      <c r="I81" s="44">
        <f>IF(AND(E81="",F81="",G81="",H81=""),"",IFERROR(E81*F81,0)+IFERROR(G81,0)+IFERROR(H81,0))</f>
        <v/>
      </c>
      <c r="J81" s="43" t="n"/>
      <c r="K81" s="44">
        <f>IF(OR(J81="",J81=0,I81=""),"",I81/J81)</f>
        <v/>
      </c>
      <c r="L81" s="39" t="n"/>
    </row>
    <row r="82">
      <c r="A82" s="38" t="n"/>
      <c r="B82" s="39" t="n"/>
      <c r="C82" s="39" t="n"/>
      <c r="D82" s="39" t="n"/>
      <c r="E82" s="40" t="n"/>
      <c r="F82" s="41" t="n"/>
      <c r="G82" s="41" t="n"/>
      <c r="H82" s="41" t="n"/>
      <c r="I82" s="44">
        <f>IF(AND(E82="",F82="",G82="",H82=""),"",IFERROR(E82*F82,0)+IFERROR(G82,0)+IFERROR(H82,0))</f>
        <v/>
      </c>
      <c r="J82" s="43" t="n"/>
      <c r="K82" s="44">
        <f>IF(OR(J82="",J82=0,I82=""),"",I82/J82)</f>
        <v/>
      </c>
      <c r="L82" s="39" t="n"/>
    </row>
    <row r="83">
      <c r="A83" s="38" t="n"/>
      <c r="B83" s="39" t="n"/>
      <c r="C83" s="39" t="n"/>
      <c r="D83" s="39" t="n"/>
      <c r="E83" s="40" t="n"/>
      <c r="F83" s="41" t="n"/>
      <c r="G83" s="41" t="n"/>
      <c r="H83" s="41" t="n"/>
      <c r="I83" s="44">
        <f>IF(AND(E83="",F83="",G83="",H83=""),"",IFERROR(E83*F83,0)+IFERROR(G83,0)+IFERROR(H83,0))</f>
        <v/>
      </c>
      <c r="J83" s="43" t="n"/>
      <c r="K83" s="44">
        <f>IF(OR(J83="",J83=0,I83=""),"",I83/J83)</f>
        <v/>
      </c>
      <c r="L83" s="39" t="n"/>
    </row>
    <row r="84">
      <c r="A84" s="38" t="n"/>
      <c r="B84" s="39" t="n"/>
      <c r="C84" s="39" t="n"/>
      <c r="D84" s="39" t="n"/>
      <c r="E84" s="40" t="n"/>
      <c r="F84" s="41" t="n"/>
      <c r="G84" s="41" t="n"/>
      <c r="H84" s="41" t="n"/>
      <c r="I84" s="44">
        <f>IF(AND(E84="",F84="",G84="",H84=""),"",IFERROR(E84*F84,0)+IFERROR(G84,0)+IFERROR(H84,0))</f>
        <v/>
      </c>
      <c r="J84" s="43" t="n"/>
      <c r="K84" s="44">
        <f>IF(OR(J84="",J84=0,I84=""),"",I84/J84)</f>
        <v/>
      </c>
      <c r="L84" s="39" t="n"/>
    </row>
    <row r="85">
      <c r="A85" s="38" t="n"/>
      <c r="B85" s="39" t="n"/>
      <c r="C85" s="39" t="n"/>
      <c r="D85" s="39" t="n"/>
      <c r="E85" s="40" t="n"/>
      <c r="F85" s="41" t="n"/>
      <c r="G85" s="41" t="n"/>
      <c r="H85" s="41" t="n"/>
      <c r="I85" s="44">
        <f>IF(AND(E85="",F85="",G85="",H85=""),"",IFERROR(E85*F85,0)+IFERROR(G85,0)+IFERROR(H85,0))</f>
        <v/>
      </c>
      <c r="J85" s="43" t="n"/>
      <c r="K85" s="44">
        <f>IF(OR(J85="",J85=0,I85=""),"",I85/J85)</f>
        <v/>
      </c>
      <c r="L85" s="39" t="n"/>
    </row>
    <row r="86">
      <c r="A86" s="38" t="n"/>
      <c r="B86" s="39" t="n"/>
      <c r="C86" s="39" t="n"/>
      <c r="D86" s="39" t="n"/>
      <c r="E86" s="40" t="n"/>
      <c r="F86" s="41" t="n"/>
      <c r="G86" s="41" t="n"/>
      <c r="H86" s="41" t="n"/>
      <c r="I86" s="44">
        <f>IF(AND(E86="",F86="",G86="",H86=""),"",IFERROR(E86*F86,0)+IFERROR(G86,0)+IFERROR(H86,0))</f>
        <v/>
      </c>
      <c r="J86" s="43" t="n"/>
      <c r="K86" s="44">
        <f>IF(OR(J86="",J86=0,I86=""),"",I86/J86)</f>
        <v/>
      </c>
      <c r="L86" s="39" t="n"/>
    </row>
    <row r="87">
      <c r="A87" s="38" t="n"/>
      <c r="B87" s="39" t="n"/>
      <c r="C87" s="39" t="n"/>
      <c r="D87" s="39" t="n"/>
      <c r="E87" s="40" t="n"/>
      <c r="F87" s="41" t="n"/>
      <c r="G87" s="41" t="n"/>
      <c r="H87" s="41" t="n"/>
      <c r="I87" s="44">
        <f>IF(AND(E87="",F87="",G87="",H87=""),"",IFERROR(E87*F87,0)+IFERROR(G87,0)+IFERROR(H87,0))</f>
        <v/>
      </c>
      <c r="J87" s="43" t="n"/>
      <c r="K87" s="44">
        <f>IF(OR(J87="",J87=0,I87=""),"",I87/J87)</f>
        <v/>
      </c>
      <c r="L87" s="39" t="n"/>
    </row>
    <row r="88">
      <c r="A88" s="38" t="n"/>
      <c r="B88" s="39" t="n"/>
      <c r="C88" s="39" t="n"/>
      <c r="D88" s="39" t="n"/>
      <c r="E88" s="40" t="n"/>
      <c r="F88" s="41" t="n"/>
      <c r="G88" s="41" t="n"/>
      <c r="H88" s="41" t="n"/>
      <c r="I88" s="44">
        <f>IF(AND(E88="",F88="",G88="",H88=""),"",IFERROR(E88*F88,0)+IFERROR(G88,0)+IFERROR(H88,0))</f>
        <v/>
      </c>
      <c r="J88" s="43" t="n"/>
      <c r="K88" s="44">
        <f>IF(OR(J88="",J88=0,I88=""),"",I88/J88)</f>
        <v/>
      </c>
      <c r="L88" s="39" t="n"/>
    </row>
    <row r="89">
      <c r="A89" s="38" t="n"/>
      <c r="B89" s="39" t="n"/>
      <c r="C89" s="39" t="n"/>
      <c r="D89" s="39" t="n"/>
      <c r="E89" s="40" t="n"/>
      <c r="F89" s="41" t="n"/>
      <c r="G89" s="41" t="n"/>
      <c r="H89" s="41" t="n"/>
      <c r="I89" s="44">
        <f>IF(AND(E89="",F89="",G89="",H89=""),"",IFERROR(E89*F89,0)+IFERROR(G89,0)+IFERROR(H89,0))</f>
        <v/>
      </c>
      <c r="J89" s="43" t="n"/>
      <c r="K89" s="44">
        <f>IF(OR(J89="",J89=0,I89=""),"",I89/J89)</f>
        <v/>
      </c>
      <c r="L89" s="39" t="n"/>
    </row>
    <row r="90">
      <c r="A90" s="38" t="n"/>
      <c r="B90" s="39" t="n"/>
      <c r="C90" s="39" t="n"/>
      <c r="D90" s="39" t="n"/>
      <c r="E90" s="40" t="n"/>
      <c r="F90" s="41" t="n"/>
      <c r="G90" s="41" t="n"/>
      <c r="H90" s="41" t="n"/>
      <c r="I90" s="44">
        <f>IF(AND(E90="",F90="",G90="",H90=""),"",IFERROR(E90*F90,0)+IFERROR(G90,0)+IFERROR(H90,0))</f>
        <v/>
      </c>
      <c r="J90" s="43" t="n"/>
      <c r="K90" s="44">
        <f>IF(OR(J90="",J90=0,I90=""),"",I90/J90)</f>
        <v/>
      </c>
      <c r="L90" s="39" t="n"/>
    </row>
    <row r="91">
      <c r="A91" s="38" t="n"/>
      <c r="B91" s="39" t="n"/>
      <c r="C91" s="39" t="n"/>
      <c r="D91" s="39" t="n"/>
      <c r="E91" s="40" t="n"/>
      <c r="F91" s="41" t="n"/>
      <c r="G91" s="41" t="n"/>
      <c r="H91" s="41" t="n"/>
      <c r="I91" s="44">
        <f>IF(AND(E91="",F91="",G91="",H91=""),"",IFERROR(E91*F91,0)+IFERROR(G91,0)+IFERROR(H91,0))</f>
        <v/>
      </c>
      <c r="J91" s="43" t="n"/>
      <c r="K91" s="44">
        <f>IF(OR(J91="",J91=0,I91=""),"",I91/J91)</f>
        <v/>
      </c>
      <c r="L91" s="39" t="n"/>
    </row>
    <row r="92">
      <c r="A92" s="38" t="n"/>
      <c r="B92" s="39" t="n"/>
      <c r="C92" s="39" t="n"/>
      <c r="D92" s="39" t="n"/>
      <c r="E92" s="40" t="n"/>
      <c r="F92" s="41" t="n"/>
      <c r="G92" s="41" t="n"/>
      <c r="H92" s="41" t="n"/>
      <c r="I92" s="44">
        <f>IF(AND(E92="",F92="",G92="",H92=""),"",IFERROR(E92*F92,0)+IFERROR(G92,0)+IFERROR(H92,0))</f>
        <v/>
      </c>
      <c r="J92" s="43" t="n"/>
      <c r="K92" s="44">
        <f>IF(OR(J92="",J92=0,I92=""),"",I92/J92)</f>
        <v/>
      </c>
      <c r="L92" s="39" t="n"/>
    </row>
    <row r="93">
      <c r="A93" s="38" t="n"/>
      <c r="B93" s="39" t="n"/>
      <c r="C93" s="39" t="n"/>
      <c r="D93" s="39" t="n"/>
      <c r="E93" s="40" t="n"/>
      <c r="F93" s="41" t="n"/>
      <c r="G93" s="41" t="n"/>
      <c r="H93" s="41" t="n"/>
      <c r="I93" s="44">
        <f>IF(AND(E93="",F93="",G93="",H93=""),"",IFERROR(E93*F93,0)+IFERROR(G93,0)+IFERROR(H93,0))</f>
        <v/>
      </c>
      <c r="J93" s="43" t="n"/>
      <c r="K93" s="44">
        <f>IF(OR(J93="",J93=0,I93=""),"",I93/J93)</f>
        <v/>
      </c>
      <c r="L93" s="39" t="n"/>
    </row>
    <row r="94">
      <c r="A94" s="38" t="n"/>
      <c r="B94" s="39" t="n"/>
      <c r="C94" s="39" t="n"/>
      <c r="D94" s="39" t="n"/>
      <c r="E94" s="40" t="n"/>
      <c r="F94" s="41" t="n"/>
      <c r="G94" s="41" t="n"/>
      <c r="H94" s="41" t="n"/>
      <c r="I94" s="44">
        <f>IF(AND(E94="",F94="",G94="",H94=""),"",IFERROR(E94*F94,0)+IFERROR(G94,0)+IFERROR(H94,0))</f>
        <v/>
      </c>
      <c r="J94" s="43" t="n"/>
      <c r="K94" s="44">
        <f>IF(OR(J94="",J94=0,I94=""),"",I94/J94)</f>
        <v/>
      </c>
      <c r="L94" s="39" t="n"/>
    </row>
    <row r="95">
      <c r="A95" s="38" t="n"/>
      <c r="B95" s="39" t="n"/>
      <c r="C95" s="39" t="n"/>
      <c r="D95" s="39" t="n"/>
      <c r="E95" s="40" t="n"/>
      <c r="F95" s="41" t="n"/>
      <c r="G95" s="41" t="n"/>
      <c r="H95" s="41" t="n"/>
      <c r="I95" s="44">
        <f>IF(AND(E95="",F95="",G95="",H95=""),"",IFERROR(E95*F95,0)+IFERROR(G95,0)+IFERROR(H95,0))</f>
        <v/>
      </c>
      <c r="J95" s="43" t="n"/>
      <c r="K95" s="44">
        <f>IF(OR(J95="",J95=0,I95=""),"",I95/J95)</f>
        <v/>
      </c>
      <c r="L95" s="39" t="n"/>
    </row>
    <row r="96">
      <c r="A96" s="38" t="n"/>
      <c r="B96" s="39" t="n"/>
      <c r="C96" s="39" t="n"/>
      <c r="D96" s="39" t="n"/>
      <c r="E96" s="40" t="n"/>
      <c r="F96" s="41" t="n"/>
      <c r="G96" s="41" t="n"/>
      <c r="H96" s="41" t="n"/>
      <c r="I96" s="44">
        <f>IF(AND(E96="",F96="",G96="",H96=""),"",IFERROR(E96*F96,0)+IFERROR(G96,0)+IFERROR(H96,0))</f>
        <v/>
      </c>
      <c r="J96" s="43" t="n"/>
      <c r="K96" s="44">
        <f>IF(OR(J96="",J96=0,I96=""),"",I96/J96)</f>
        <v/>
      </c>
      <c r="L96" s="39" t="n"/>
    </row>
    <row r="97">
      <c r="A97" s="38" t="n"/>
      <c r="B97" s="39" t="n"/>
      <c r="C97" s="39" t="n"/>
      <c r="D97" s="39" t="n"/>
      <c r="E97" s="40" t="n"/>
      <c r="F97" s="41" t="n"/>
      <c r="G97" s="41" t="n"/>
      <c r="H97" s="41" t="n"/>
      <c r="I97" s="44">
        <f>IF(AND(E97="",F97="",G97="",H97=""),"",IFERROR(E97*F97,0)+IFERROR(G97,0)+IFERROR(H97,0))</f>
        <v/>
      </c>
      <c r="J97" s="43" t="n"/>
      <c r="K97" s="44">
        <f>IF(OR(J97="",J97=0,I97=""),"",I97/J97)</f>
        <v/>
      </c>
      <c r="L97" s="39" t="n"/>
    </row>
    <row r="98">
      <c r="A98" s="38" t="n"/>
      <c r="B98" s="39" t="n"/>
      <c r="C98" s="39" t="n"/>
      <c r="D98" s="39" t="n"/>
      <c r="E98" s="40" t="n"/>
      <c r="F98" s="41" t="n"/>
      <c r="G98" s="41" t="n"/>
      <c r="H98" s="41" t="n"/>
      <c r="I98" s="44">
        <f>IF(AND(E98="",F98="",G98="",H98=""),"",IFERROR(E98*F98,0)+IFERROR(G98,0)+IFERROR(H98,0))</f>
        <v/>
      </c>
      <c r="J98" s="43" t="n"/>
      <c r="K98" s="44">
        <f>IF(OR(J98="",J98=0,I98=""),"",I98/J98)</f>
        <v/>
      </c>
      <c r="L98" s="39" t="n"/>
    </row>
    <row r="99">
      <c r="A99" s="38" t="n"/>
      <c r="B99" s="39" t="n"/>
      <c r="C99" s="39" t="n"/>
      <c r="D99" s="39" t="n"/>
      <c r="E99" s="40" t="n"/>
      <c r="F99" s="41" t="n"/>
      <c r="G99" s="41" t="n"/>
      <c r="H99" s="41" t="n"/>
      <c r="I99" s="44">
        <f>IF(AND(E99="",F99="",G99="",H99=""),"",IFERROR(E99*F99,0)+IFERROR(G99,0)+IFERROR(H99,0))</f>
        <v/>
      </c>
      <c r="J99" s="43" t="n"/>
      <c r="K99" s="44">
        <f>IF(OR(J99="",J99=0,I99=""),"",I99/J99)</f>
        <v/>
      </c>
      <c r="L99" s="39" t="n"/>
    </row>
    <row r="100">
      <c r="A100" s="38" t="n"/>
      <c r="B100" s="39" t="n"/>
      <c r="C100" s="39" t="n"/>
      <c r="D100" s="39" t="n"/>
      <c r="E100" s="40" t="n"/>
      <c r="F100" s="41" t="n"/>
      <c r="G100" s="41" t="n"/>
      <c r="H100" s="41" t="n"/>
      <c r="I100" s="44">
        <f>IF(AND(E100="",F100="",G100="",H100=""),"",IFERROR(E100*F100,0)+IFERROR(G100,0)+IFERROR(H100,0))</f>
        <v/>
      </c>
      <c r="J100" s="43" t="n"/>
      <c r="K100" s="44">
        <f>IF(OR(J100="",J100=0,I100=""),"",I100/J100)</f>
        <v/>
      </c>
      <c r="L100" s="39" t="n"/>
    </row>
    <row r="101">
      <c r="A101" s="38" t="n"/>
      <c r="B101" s="39" t="n"/>
      <c r="C101" s="39" t="n"/>
      <c r="D101" s="39" t="n"/>
      <c r="E101" s="40" t="n"/>
      <c r="F101" s="41" t="n"/>
      <c r="G101" s="41" t="n"/>
      <c r="H101" s="41" t="n"/>
      <c r="I101" s="44">
        <f>IF(AND(E101="",F101="",G101="",H101=""),"",IFERROR(E101*F101,0)+IFERROR(G101,0)+IFERROR(H101,0))</f>
        <v/>
      </c>
      <c r="J101" s="43" t="n"/>
      <c r="K101" s="44">
        <f>IF(OR(J101="",J101=0,I101=""),"",I101/J101)</f>
        <v/>
      </c>
      <c r="L101" s="39" t="n"/>
    </row>
    <row r="102">
      <c r="A102" s="38" t="n"/>
      <c r="B102" s="39" t="n"/>
      <c r="C102" s="39" t="n"/>
      <c r="D102" s="39" t="n"/>
      <c r="E102" s="40" t="n"/>
      <c r="F102" s="41" t="n"/>
      <c r="G102" s="41" t="n"/>
      <c r="H102" s="41" t="n"/>
      <c r="I102" s="44">
        <f>IF(AND(E102="",F102="",G102="",H102=""),"",IFERROR(E102*F102,0)+IFERROR(G102,0)+IFERROR(H102,0))</f>
        <v/>
      </c>
      <c r="J102" s="43" t="n"/>
      <c r="K102" s="44">
        <f>IF(OR(J102="",J102=0,I102=""),"",I102/J102)</f>
        <v/>
      </c>
      <c r="L102" s="39" t="n"/>
    </row>
    <row r="103">
      <c r="A103" s="38" t="n"/>
      <c r="B103" s="39" t="n"/>
      <c r="C103" s="39" t="n"/>
      <c r="D103" s="39" t="n"/>
      <c r="E103" s="40" t="n"/>
      <c r="F103" s="41" t="n"/>
      <c r="G103" s="41" t="n"/>
      <c r="H103" s="41" t="n"/>
      <c r="I103" s="44">
        <f>IF(AND(E103="",F103="",G103="",H103=""),"",IFERROR(E103*F103,0)+IFERROR(G103,0)+IFERROR(H103,0))</f>
        <v/>
      </c>
      <c r="J103" s="43" t="n"/>
      <c r="K103" s="44">
        <f>IF(OR(J103="",J103=0,I103=""),"",I103/J103)</f>
        <v/>
      </c>
      <c r="L103" s="39" t="n"/>
    </row>
    <row r="104">
      <c r="A104" s="38" t="n"/>
      <c r="B104" s="39" t="n"/>
      <c r="C104" s="39" t="n"/>
      <c r="D104" s="39" t="n"/>
      <c r="E104" s="40" t="n"/>
      <c r="F104" s="41" t="n"/>
      <c r="G104" s="41" t="n"/>
      <c r="H104" s="41" t="n"/>
      <c r="I104" s="44">
        <f>IF(AND(E104="",F104="",G104="",H104=""),"",IFERROR(E104*F104,0)+IFERROR(G104,0)+IFERROR(H104,0))</f>
        <v/>
      </c>
      <c r="J104" s="43" t="n"/>
      <c r="K104" s="44">
        <f>IF(OR(J104="",J104=0,I104=""),"",I104/J104)</f>
        <v/>
      </c>
      <c r="L104" s="39" t="n"/>
    </row>
    <row r="105">
      <c r="A105" s="38" t="n"/>
      <c r="B105" s="39" t="n"/>
      <c r="C105" s="39" t="n"/>
      <c r="D105" s="39" t="n"/>
      <c r="E105" s="40" t="n"/>
      <c r="F105" s="41" t="n"/>
      <c r="G105" s="41" t="n"/>
      <c r="H105" s="41" t="n"/>
      <c r="I105" s="44">
        <f>IF(AND(E105="",F105="",G105="",H105=""),"",IFERROR(E105*F105,0)+IFERROR(G105,0)+IFERROR(H105,0))</f>
        <v/>
      </c>
      <c r="J105" s="43" t="n"/>
      <c r="K105" s="44">
        <f>IF(OR(J105="",J105=0,I105=""),"",I105/J105)</f>
        <v/>
      </c>
      <c r="L105" s="39" t="n"/>
    </row>
    <row r="106">
      <c r="A106" s="38" t="n"/>
      <c r="B106" s="39" t="n"/>
      <c r="C106" s="39" t="n"/>
      <c r="D106" s="39" t="n"/>
      <c r="E106" s="40" t="n"/>
      <c r="F106" s="41" t="n"/>
      <c r="G106" s="41" t="n"/>
      <c r="H106" s="41" t="n"/>
      <c r="I106" s="44">
        <f>IF(AND(E106="",F106="",G106="",H106=""),"",IFERROR(E106*F106,0)+IFERROR(G106,0)+IFERROR(H106,0))</f>
        <v/>
      </c>
      <c r="J106" s="43" t="n"/>
      <c r="K106" s="44">
        <f>IF(OR(J106="",J106=0,I106=""),"",I106/J106)</f>
        <v/>
      </c>
      <c r="L106" s="39" t="n"/>
    </row>
    <row r="107">
      <c r="A107" s="38" t="n"/>
      <c r="B107" s="39" t="n"/>
      <c r="C107" s="39" t="n"/>
      <c r="D107" s="39" t="n"/>
      <c r="E107" s="40" t="n"/>
      <c r="F107" s="41" t="n"/>
      <c r="G107" s="41" t="n"/>
      <c r="H107" s="41" t="n"/>
      <c r="I107" s="44">
        <f>IF(AND(E107="",F107="",G107="",H107=""),"",IFERROR(E107*F107,0)+IFERROR(G107,0)+IFERROR(H107,0))</f>
        <v/>
      </c>
      <c r="J107" s="43" t="n"/>
      <c r="K107" s="44">
        <f>IF(OR(J107="",J107=0,I107=""),"",I107/J107)</f>
        <v/>
      </c>
      <c r="L107" s="39" t="n"/>
    </row>
    <row r="108">
      <c r="A108" s="38" t="n"/>
      <c r="B108" s="39" t="n"/>
      <c r="C108" s="39" t="n"/>
      <c r="D108" s="39" t="n"/>
      <c r="E108" s="40" t="n"/>
      <c r="F108" s="41" t="n"/>
      <c r="G108" s="41" t="n"/>
      <c r="H108" s="41" t="n"/>
      <c r="I108" s="44">
        <f>IF(AND(E108="",F108="",G108="",H108=""),"",IFERROR(E108*F108,0)+IFERROR(G108,0)+IFERROR(H108,0))</f>
        <v/>
      </c>
      <c r="J108" s="43" t="n"/>
      <c r="K108" s="44">
        <f>IF(OR(J108="",J108=0,I108=""),"",I108/J108)</f>
        <v/>
      </c>
      <c r="L108" s="39" t="n"/>
    </row>
    <row r="109">
      <c r="A109" s="38" t="n"/>
      <c r="B109" s="39" t="n"/>
      <c r="C109" s="39" t="n"/>
      <c r="D109" s="39" t="n"/>
      <c r="E109" s="40" t="n"/>
      <c r="F109" s="41" t="n"/>
      <c r="G109" s="41" t="n"/>
      <c r="H109" s="41" t="n"/>
      <c r="I109" s="44">
        <f>IF(AND(E109="",F109="",G109="",H109=""),"",IFERROR(E109*F109,0)+IFERROR(G109,0)+IFERROR(H109,0))</f>
        <v/>
      </c>
      <c r="J109" s="43" t="n"/>
      <c r="K109" s="44">
        <f>IF(OR(J109="",J109=0,I109=""),"",I109/J109)</f>
        <v/>
      </c>
      <c r="L109" s="39" t="n"/>
    </row>
    <row r="110">
      <c r="A110" s="38" t="n"/>
      <c r="B110" s="39" t="n"/>
      <c r="C110" s="39" t="n"/>
      <c r="D110" s="39" t="n"/>
      <c r="E110" s="40" t="n"/>
      <c r="F110" s="41" t="n"/>
      <c r="G110" s="41" t="n"/>
      <c r="H110" s="41" t="n"/>
      <c r="I110" s="44">
        <f>IF(AND(E110="",F110="",G110="",H110=""),"",IFERROR(E110*F110,0)+IFERROR(G110,0)+IFERROR(H110,0))</f>
        <v/>
      </c>
      <c r="J110" s="43" t="n"/>
      <c r="K110" s="44">
        <f>IF(OR(J110="",J110=0,I110=""),"",I110/J110)</f>
        <v/>
      </c>
      <c r="L110" s="39" t="n"/>
    </row>
    <row r="111">
      <c r="A111" s="38" t="n"/>
      <c r="B111" s="39" t="n"/>
      <c r="C111" s="39" t="n"/>
      <c r="D111" s="39" t="n"/>
      <c r="E111" s="40" t="n"/>
      <c r="F111" s="41" t="n"/>
      <c r="G111" s="41" t="n"/>
      <c r="H111" s="41" t="n"/>
      <c r="I111" s="44">
        <f>IF(AND(E111="",F111="",G111="",H111=""),"",IFERROR(E111*F111,0)+IFERROR(G111,0)+IFERROR(H111,0))</f>
        <v/>
      </c>
      <c r="J111" s="43" t="n"/>
      <c r="K111" s="44">
        <f>IF(OR(J111="",J111=0,I111=""),"",I111/J111)</f>
        <v/>
      </c>
      <c r="L111" s="39" t="n"/>
    </row>
    <row r="112">
      <c r="A112" s="38" t="n"/>
      <c r="B112" s="39" t="n"/>
      <c r="C112" s="39" t="n"/>
      <c r="D112" s="39" t="n"/>
      <c r="E112" s="40" t="n"/>
      <c r="F112" s="41" t="n"/>
      <c r="G112" s="41" t="n"/>
      <c r="H112" s="41" t="n"/>
      <c r="I112" s="44">
        <f>IF(AND(E112="",F112="",G112="",H112=""),"",IFERROR(E112*F112,0)+IFERROR(G112,0)+IFERROR(H112,0))</f>
        <v/>
      </c>
      <c r="J112" s="43" t="n"/>
      <c r="K112" s="44">
        <f>IF(OR(J112="",J112=0,I112=""),"",I112/J112)</f>
        <v/>
      </c>
      <c r="L112" s="39" t="n"/>
    </row>
    <row r="113">
      <c r="A113" s="38" t="n"/>
      <c r="B113" s="39" t="n"/>
      <c r="C113" s="39" t="n"/>
      <c r="D113" s="39" t="n"/>
      <c r="E113" s="40" t="n"/>
      <c r="F113" s="41" t="n"/>
      <c r="G113" s="41" t="n"/>
      <c r="H113" s="41" t="n"/>
      <c r="I113" s="44">
        <f>IF(AND(E113="",F113="",G113="",H113=""),"",IFERROR(E113*F113,0)+IFERROR(G113,0)+IFERROR(H113,0))</f>
        <v/>
      </c>
      <c r="J113" s="43" t="n"/>
      <c r="K113" s="44">
        <f>IF(OR(J113="",J113=0,I113=""),"",I113/J113)</f>
        <v/>
      </c>
      <c r="L113" s="39" t="n"/>
    </row>
    <row r="114">
      <c r="A114" s="38" t="n"/>
      <c r="B114" s="39" t="n"/>
      <c r="C114" s="39" t="n"/>
      <c r="D114" s="39" t="n"/>
      <c r="E114" s="40" t="n"/>
      <c r="F114" s="41" t="n"/>
      <c r="G114" s="41" t="n"/>
      <c r="H114" s="41" t="n"/>
      <c r="I114" s="44">
        <f>IF(AND(E114="",F114="",G114="",H114=""),"",IFERROR(E114*F114,0)+IFERROR(G114,0)+IFERROR(H114,0))</f>
        <v/>
      </c>
      <c r="J114" s="43" t="n"/>
      <c r="K114" s="44">
        <f>IF(OR(J114="",J114=0,I114=""),"",I114/J114)</f>
        <v/>
      </c>
      <c r="L114" s="39" t="n"/>
    </row>
    <row r="115">
      <c r="A115" s="38" t="n"/>
      <c r="B115" s="39" t="n"/>
      <c r="C115" s="39" t="n"/>
      <c r="D115" s="39" t="n"/>
      <c r="E115" s="40" t="n"/>
      <c r="F115" s="41" t="n"/>
      <c r="G115" s="41" t="n"/>
      <c r="H115" s="41" t="n"/>
      <c r="I115" s="44">
        <f>IF(AND(E115="",F115="",G115="",H115=""),"",IFERROR(E115*F115,0)+IFERROR(G115,0)+IFERROR(H115,0))</f>
        <v/>
      </c>
      <c r="J115" s="43" t="n"/>
      <c r="K115" s="44">
        <f>IF(OR(J115="",J115=0,I115=""),"",I115/J115)</f>
        <v/>
      </c>
      <c r="L115" s="39" t="n"/>
    </row>
    <row r="116">
      <c r="A116" s="38" t="n"/>
      <c r="B116" s="39" t="n"/>
      <c r="C116" s="39" t="n"/>
      <c r="D116" s="39" t="n"/>
      <c r="E116" s="40" t="n"/>
      <c r="F116" s="41" t="n"/>
      <c r="G116" s="41" t="n"/>
      <c r="H116" s="41" t="n"/>
      <c r="I116" s="44">
        <f>IF(AND(E116="",F116="",G116="",H116=""),"",IFERROR(E116*F116,0)+IFERROR(G116,0)+IFERROR(H116,0))</f>
        <v/>
      </c>
      <c r="J116" s="43" t="n"/>
      <c r="K116" s="44">
        <f>IF(OR(J116="",J116=0,I116=""),"",I116/J116)</f>
        <v/>
      </c>
      <c r="L116" s="39" t="n"/>
    </row>
    <row r="117">
      <c r="A117" s="38" t="n"/>
      <c r="B117" s="39" t="n"/>
      <c r="C117" s="39" t="n"/>
      <c r="D117" s="39" t="n"/>
      <c r="E117" s="40" t="n"/>
      <c r="F117" s="41" t="n"/>
      <c r="G117" s="41" t="n"/>
      <c r="H117" s="41" t="n"/>
      <c r="I117" s="44">
        <f>IF(AND(E117="",F117="",G117="",H117=""),"",IFERROR(E117*F117,0)+IFERROR(G117,0)+IFERROR(H117,0))</f>
        <v/>
      </c>
      <c r="J117" s="43" t="n"/>
      <c r="K117" s="44">
        <f>IF(OR(J117="",J117=0,I117=""),"",I117/J117)</f>
        <v/>
      </c>
      <c r="L117" s="39" t="n"/>
    </row>
    <row r="118">
      <c r="A118" s="38" t="n"/>
      <c r="B118" s="39" t="n"/>
      <c r="C118" s="39" t="n"/>
      <c r="D118" s="39" t="n"/>
      <c r="E118" s="40" t="n"/>
      <c r="F118" s="41" t="n"/>
      <c r="G118" s="41" t="n"/>
      <c r="H118" s="41" t="n"/>
      <c r="I118" s="44">
        <f>IF(AND(E118="",F118="",G118="",H118=""),"",IFERROR(E118*F118,0)+IFERROR(G118,0)+IFERROR(H118,0))</f>
        <v/>
      </c>
      <c r="J118" s="43" t="n"/>
      <c r="K118" s="44">
        <f>IF(OR(J118="",J118=0,I118=""),"",I118/J118)</f>
        <v/>
      </c>
      <c r="L118" s="39" t="n"/>
    </row>
    <row r="119">
      <c r="A119" s="38" t="n"/>
      <c r="B119" s="39" t="n"/>
      <c r="C119" s="39" t="n"/>
      <c r="D119" s="39" t="n"/>
      <c r="E119" s="40" t="n"/>
      <c r="F119" s="41" t="n"/>
      <c r="G119" s="41" t="n"/>
      <c r="H119" s="41" t="n"/>
      <c r="I119" s="44">
        <f>IF(AND(E119="",F119="",G119="",H119=""),"",IFERROR(E119*F119,0)+IFERROR(G119,0)+IFERROR(H119,0))</f>
        <v/>
      </c>
      <c r="J119" s="43" t="n"/>
      <c r="K119" s="44">
        <f>IF(OR(J119="",J119=0,I119=""),"",I119/J119)</f>
        <v/>
      </c>
      <c r="L119" s="39" t="n"/>
    </row>
    <row r="120">
      <c r="A120" s="38" t="n"/>
      <c r="B120" s="39" t="n"/>
      <c r="C120" s="39" t="n"/>
      <c r="D120" s="39" t="n"/>
      <c r="E120" s="40" t="n"/>
      <c r="F120" s="41" t="n"/>
      <c r="G120" s="41" t="n"/>
      <c r="H120" s="41" t="n"/>
      <c r="I120" s="44">
        <f>IF(AND(E120="",F120="",G120="",H120=""),"",IFERROR(E120*F120,0)+IFERROR(G120,0)+IFERROR(H120,0))</f>
        <v/>
      </c>
      <c r="J120" s="43" t="n"/>
      <c r="K120" s="44">
        <f>IF(OR(J120="",J120=0,I120=""),"",I120/J120)</f>
        <v/>
      </c>
      <c r="L120" s="39" t="n"/>
    </row>
    <row r="121">
      <c r="A121" s="38" t="n"/>
      <c r="B121" s="39" t="n"/>
      <c r="C121" s="39" t="n"/>
      <c r="D121" s="39" t="n"/>
      <c r="E121" s="40" t="n"/>
      <c r="F121" s="41" t="n"/>
      <c r="G121" s="41" t="n"/>
      <c r="H121" s="41" t="n"/>
      <c r="I121" s="44">
        <f>IF(AND(E121="",F121="",G121="",H121=""),"",IFERROR(E121*F121,0)+IFERROR(G121,0)+IFERROR(H121,0))</f>
        <v/>
      </c>
      <c r="J121" s="43" t="n"/>
      <c r="K121" s="44">
        <f>IF(OR(J121="",J121=0,I121=""),"",I121/J121)</f>
        <v/>
      </c>
      <c r="L121" s="39" t="n"/>
    </row>
    <row r="122">
      <c r="A122" s="38" t="n"/>
      <c r="B122" s="39" t="n"/>
      <c r="C122" s="39" t="n"/>
      <c r="D122" s="39" t="n"/>
      <c r="E122" s="40" t="n"/>
      <c r="F122" s="41" t="n"/>
      <c r="G122" s="41" t="n"/>
      <c r="H122" s="41" t="n"/>
      <c r="I122" s="44">
        <f>IF(AND(E122="",F122="",G122="",H122=""),"",IFERROR(E122*F122,0)+IFERROR(G122,0)+IFERROR(H122,0))</f>
        <v/>
      </c>
      <c r="J122" s="43" t="n"/>
      <c r="K122" s="44">
        <f>IF(OR(J122="",J122=0,I122=""),"",I122/J122)</f>
        <v/>
      </c>
      <c r="L122" s="39" t="n"/>
    </row>
    <row r="123">
      <c r="A123" s="38" t="n"/>
      <c r="B123" s="39" t="n"/>
      <c r="C123" s="39" t="n"/>
      <c r="D123" s="39" t="n"/>
      <c r="E123" s="40" t="n"/>
      <c r="F123" s="41" t="n"/>
      <c r="G123" s="41" t="n"/>
      <c r="H123" s="41" t="n"/>
      <c r="I123" s="44">
        <f>IF(AND(E123="",F123="",G123="",H123=""),"",IFERROR(E123*F123,0)+IFERROR(G123,0)+IFERROR(H123,0))</f>
        <v/>
      </c>
      <c r="J123" s="43" t="n"/>
      <c r="K123" s="44">
        <f>IF(OR(J123="",J123=0,I123=""),"",I123/J123)</f>
        <v/>
      </c>
      <c r="L123" s="39" t="n"/>
    </row>
    <row r="124">
      <c r="A124" s="38" t="n"/>
      <c r="B124" s="39" t="n"/>
      <c r="C124" s="39" t="n"/>
      <c r="D124" s="39" t="n"/>
      <c r="E124" s="40" t="n"/>
      <c r="F124" s="41" t="n"/>
      <c r="G124" s="41" t="n"/>
      <c r="H124" s="41" t="n"/>
      <c r="I124" s="44">
        <f>IF(AND(E124="",F124="",G124="",H124=""),"",IFERROR(E124*F124,0)+IFERROR(G124,0)+IFERROR(H124,0))</f>
        <v/>
      </c>
      <c r="J124" s="43" t="n"/>
      <c r="K124" s="44">
        <f>IF(OR(J124="",J124=0,I124=""),"",I124/J124)</f>
        <v/>
      </c>
      <c r="L124" s="39" t="n"/>
    </row>
    <row r="125">
      <c r="A125" s="38" t="n"/>
      <c r="B125" s="39" t="n"/>
      <c r="C125" s="39" t="n"/>
      <c r="D125" s="39" t="n"/>
      <c r="E125" s="40" t="n"/>
      <c r="F125" s="41" t="n"/>
      <c r="G125" s="41" t="n"/>
      <c r="H125" s="41" t="n"/>
      <c r="I125" s="44">
        <f>IF(AND(E125="",F125="",G125="",H125=""),"",IFERROR(E125*F125,0)+IFERROR(G125,0)+IFERROR(H125,0))</f>
        <v/>
      </c>
      <c r="J125" s="43" t="n"/>
      <c r="K125" s="44">
        <f>IF(OR(J125="",J125=0,I125=""),"",I125/J125)</f>
        <v/>
      </c>
      <c r="L125" s="39" t="n"/>
    </row>
    <row r="126">
      <c r="A126" s="38" t="n"/>
      <c r="B126" s="39" t="n"/>
      <c r="C126" s="39" t="n"/>
      <c r="D126" s="39" t="n"/>
      <c r="E126" s="40" t="n"/>
      <c r="F126" s="41" t="n"/>
      <c r="G126" s="41" t="n"/>
      <c r="H126" s="41" t="n"/>
      <c r="I126" s="44">
        <f>IF(AND(E126="",F126="",G126="",H126=""),"",IFERROR(E126*F126,0)+IFERROR(G126,0)+IFERROR(H126,0))</f>
        <v/>
      </c>
      <c r="J126" s="43" t="n"/>
      <c r="K126" s="44">
        <f>IF(OR(J126="",J126=0,I126=""),"",I126/J126)</f>
        <v/>
      </c>
      <c r="L126" s="39" t="n"/>
    </row>
    <row r="127">
      <c r="A127" s="38" t="n"/>
      <c r="B127" s="39" t="n"/>
      <c r="C127" s="39" t="n"/>
      <c r="D127" s="39" t="n"/>
      <c r="E127" s="40" t="n"/>
      <c r="F127" s="41" t="n"/>
      <c r="G127" s="41" t="n"/>
      <c r="H127" s="41" t="n"/>
      <c r="I127" s="44">
        <f>IF(AND(E127="",F127="",G127="",H127=""),"",IFERROR(E127*F127,0)+IFERROR(G127,0)+IFERROR(H127,0))</f>
        <v/>
      </c>
      <c r="J127" s="43" t="n"/>
      <c r="K127" s="44">
        <f>IF(OR(J127="",J127=0,I127=""),"",I127/J127)</f>
        <v/>
      </c>
      <c r="L127" s="39" t="n"/>
    </row>
    <row r="128">
      <c r="A128" s="38" t="n"/>
      <c r="B128" s="39" t="n"/>
      <c r="C128" s="39" t="n"/>
      <c r="D128" s="39" t="n"/>
      <c r="E128" s="40" t="n"/>
      <c r="F128" s="41" t="n"/>
      <c r="G128" s="41" t="n"/>
      <c r="H128" s="41" t="n"/>
      <c r="I128" s="44">
        <f>IF(AND(E128="",F128="",G128="",H128=""),"",IFERROR(E128*F128,0)+IFERROR(G128,0)+IFERROR(H128,0))</f>
        <v/>
      </c>
      <c r="J128" s="43" t="n"/>
      <c r="K128" s="44">
        <f>IF(OR(J128="",J128=0,I128=""),"",I128/J128)</f>
        <v/>
      </c>
      <c r="L128" s="39" t="n"/>
    </row>
    <row r="129">
      <c r="A129" s="38" t="n"/>
      <c r="B129" s="39" t="n"/>
      <c r="C129" s="39" t="n"/>
      <c r="D129" s="39" t="n"/>
      <c r="E129" s="40" t="n"/>
      <c r="F129" s="41" t="n"/>
      <c r="G129" s="41" t="n"/>
      <c r="H129" s="41" t="n"/>
      <c r="I129" s="44">
        <f>IF(AND(E129="",F129="",G129="",H129=""),"",IFERROR(E129*F129,0)+IFERROR(G129,0)+IFERROR(H129,0))</f>
        <v/>
      </c>
      <c r="J129" s="43" t="n"/>
      <c r="K129" s="44">
        <f>IF(OR(J129="",J129=0,I129=""),"",I129/J129)</f>
        <v/>
      </c>
      <c r="L129" s="39" t="n"/>
    </row>
    <row r="130">
      <c r="A130" s="38" t="n"/>
      <c r="B130" s="39" t="n"/>
      <c r="C130" s="39" t="n"/>
      <c r="D130" s="39" t="n"/>
      <c r="E130" s="40" t="n"/>
      <c r="F130" s="41" t="n"/>
      <c r="G130" s="41" t="n"/>
      <c r="H130" s="41" t="n"/>
      <c r="I130" s="44">
        <f>IF(AND(E130="",F130="",G130="",H130=""),"",IFERROR(E130*F130,0)+IFERROR(G130,0)+IFERROR(H130,0))</f>
        <v/>
      </c>
      <c r="J130" s="43" t="n"/>
      <c r="K130" s="44">
        <f>IF(OR(J130="",J130=0,I130=""),"",I130/J130)</f>
        <v/>
      </c>
      <c r="L130" s="39" t="n"/>
    </row>
    <row r="131">
      <c r="A131" s="38" t="n"/>
      <c r="B131" s="39" t="n"/>
      <c r="C131" s="39" t="n"/>
      <c r="D131" s="39" t="n"/>
      <c r="E131" s="40" t="n"/>
      <c r="F131" s="41" t="n"/>
      <c r="G131" s="41" t="n"/>
      <c r="H131" s="41" t="n"/>
      <c r="I131" s="44">
        <f>IF(AND(E131="",F131="",G131="",H131=""),"",IFERROR(E131*F131,0)+IFERROR(G131,0)+IFERROR(H131,0))</f>
        <v/>
      </c>
      <c r="J131" s="43" t="n"/>
      <c r="K131" s="44">
        <f>IF(OR(J131="",J131=0,I131=""),"",I131/J131)</f>
        <v/>
      </c>
      <c r="L131" s="39" t="n"/>
    </row>
    <row r="132">
      <c r="A132" s="38" t="n"/>
      <c r="B132" s="39" t="n"/>
      <c r="C132" s="39" t="n"/>
      <c r="D132" s="39" t="n"/>
      <c r="E132" s="40" t="n"/>
      <c r="F132" s="41" t="n"/>
      <c r="G132" s="41" t="n"/>
      <c r="H132" s="41" t="n"/>
      <c r="I132" s="44">
        <f>IF(AND(E132="",F132="",G132="",H132=""),"",IFERROR(E132*F132,0)+IFERROR(G132,0)+IFERROR(H132,0))</f>
        <v/>
      </c>
      <c r="J132" s="43" t="n"/>
      <c r="K132" s="44">
        <f>IF(OR(J132="",J132=0,I132=""),"",I132/J132)</f>
        <v/>
      </c>
      <c r="L132" s="39" t="n"/>
    </row>
    <row r="133">
      <c r="A133" s="38" t="n"/>
      <c r="B133" s="39" t="n"/>
      <c r="C133" s="39" t="n"/>
      <c r="D133" s="39" t="n"/>
      <c r="E133" s="40" t="n"/>
      <c r="F133" s="41" t="n"/>
      <c r="G133" s="41" t="n"/>
      <c r="H133" s="41" t="n"/>
      <c r="I133" s="44">
        <f>IF(AND(E133="",F133="",G133="",H133=""),"",IFERROR(E133*F133,0)+IFERROR(G133,0)+IFERROR(H133,0))</f>
        <v/>
      </c>
      <c r="J133" s="43" t="n"/>
      <c r="K133" s="44">
        <f>IF(OR(J133="",J133=0,I133=""),"",I133/J133)</f>
        <v/>
      </c>
      <c r="L133" s="39" t="n"/>
    </row>
    <row r="134">
      <c r="A134" s="38" t="n"/>
      <c r="B134" s="39" t="n"/>
      <c r="C134" s="39" t="n"/>
      <c r="D134" s="39" t="n"/>
      <c r="E134" s="40" t="n"/>
      <c r="F134" s="41" t="n"/>
      <c r="G134" s="41" t="n"/>
      <c r="H134" s="41" t="n"/>
      <c r="I134" s="44">
        <f>IF(AND(E134="",F134="",G134="",H134=""),"",IFERROR(E134*F134,0)+IFERROR(G134,0)+IFERROR(H134,0))</f>
        <v/>
      </c>
      <c r="J134" s="43" t="n"/>
      <c r="K134" s="44">
        <f>IF(OR(J134="",J134=0,I134=""),"",I134/J134)</f>
        <v/>
      </c>
      <c r="L134" s="39" t="n"/>
    </row>
    <row r="135">
      <c r="A135" s="38" t="n"/>
      <c r="B135" s="39" t="n"/>
      <c r="C135" s="39" t="n"/>
      <c r="D135" s="39" t="n"/>
      <c r="E135" s="40" t="n"/>
      <c r="F135" s="41" t="n"/>
      <c r="G135" s="41" t="n"/>
      <c r="H135" s="41" t="n"/>
      <c r="I135" s="44">
        <f>IF(AND(E135="",F135="",G135="",H135=""),"",IFERROR(E135*F135,0)+IFERROR(G135,0)+IFERROR(H135,0))</f>
        <v/>
      </c>
      <c r="J135" s="43" t="n"/>
      <c r="K135" s="44">
        <f>IF(OR(J135="",J135=0,I135=""),"",I135/J135)</f>
        <v/>
      </c>
      <c r="L135" s="39" t="n"/>
    </row>
    <row r="136">
      <c r="A136" s="38" t="n"/>
      <c r="B136" s="39" t="n"/>
      <c r="C136" s="39" t="n"/>
      <c r="D136" s="39" t="n"/>
      <c r="E136" s="40" t="n"/>
      <c r="F136" s="41" t="n"/>
      <c r="G136" s="41" t="n"/>
      <c r="H136" s="41" t="n"/>
      <c r="I136" s="44">
        <f>IF(AND(E136="",F136="",G136="",H136=""),"",IFERROR(E136*F136,0)+IFERROR(G136,0)+IFERROR(H136,0))</f>
        <v/>
      </c>
      <c r="J136" s="43" t="n"/>
      <c r="K136" s="44">
        <f>IF(OR(J136="",J136=0,I136=""),"",I136/J136)</f>
        <v/>
      </c>
      <c r="L136" s="39" t="n"/>
    </row>
    <row r="137">
      <c r="A137" s="38" t="n"/>
      <c r="B137" s="39" t="n"/>
      <c r="C137" s="39" t="n"/>
      <c r="D137" s="39" t="n"/>
      <c r="E137" s="40" t="n"/>
      <c r="F137" s="41" t="n"/>
      <c r="G137" s="41" t="n"/>
      <c r="H137" s="41" t="n"/>
      <c r="I137" s="44">
        <f>IF(AND(E137="",F137="",G137="",H137=""),"",IFERROR(E137*F137,0)+IFERROR(G137,0)+IFERROR(H137,0))</f>
        <v/>
      </c>
      <c r="J137" s="43" t="n"/>
      <c r="K137" s="44">
        <f>IF(OR(J137="",J137=0,I137=""),"",I137/J137)</f>
        <v/>
      </c>
      <c r="L137" s="39" t="n"/>
    </row>
    <row r="138">
      <c r="A138" s="38" t="n"/>
      <c r="B138" s="39" t="n"/>
      <c r="C138" s="39" t="n"/>
      <c r="D138" s="39" t="n"/>
      <c r="E138" s="40" t="n"/>
      <c r="F138" s="41" t="n"/>
      <c r="G138" s="41" t="n"/>
      <c r="H138" s="41" t="n"/>
      <c r="I138" s="44">
        <f>IF(AND(E138="",F138="",G138="",H138=""),"",IFERROR(E138*F138,0)+IFERROR(G138,0)+IFERROR(H138,0))</f>
        <v/>
      </c>
      <c r="J138" s="43" t="n"/>
      <c r="K138" s="44">
        <f>IF(OR(J138="",J138=0,I138=""),"",I138/J138)</f>
        <v/>
      </c>
      <c r="L138" s="39" t="n"/>
    </row>
    <row r="139">
      <c r="A139" s="38" t="n"/>
      <c r="B139" s="39" t="n"/>
      <c r="C139" s="39" t="n"/>
      <c r="D139" s="39" t="n"/>
      <c r="E139" s="40" t="n"/>
      <c r="F139" s="41" t="n"/>
      <c r="G139" s="41" t="n"/>
      <c r="H139" s="41" t="n"/>
      <c r="I139" s="44">
        <f>IF(AND(E139="",F139="",G139="",H139=""),"",IFERROR(E139*F139,0)+IFERROR(G139,0)+IFERROR(H139,0))</f>
        <v/>
      </c>
      <c r="J139" s="43" t="n"/>
      <c r="K139" s="44">
        <f>IF(OR(J139="",J139=0,I139=""),"",I139/J139)</f>
        <v/>
      </c>
      <c r="L139" s="39" t="n"/>
    </row>
    <row r="140">
      <c r="A140" s="38" t="n"/>
      <c r="B140" s="39" t="n"/>
      <c r="C140" s="39" t="n"/>
      <c r="D140" s="39" t="n"/>
      <c r="E140" s="40" t="n"/>
      <c r="F140" s="41" t="n"/>
      <c r="G140" s="41" t="n"/>
      <c r="H140" s="41" t="n"/>
      <c r="I140" s="44">
        <f>IF(AND(E140="",F140="",G140="",H140=""),"",IFERROR(E140*F140,0)+IFERROR(G140,0)+IFERROR(H140,0))</f>
        <v/>
      </c>
      <c r="J140" s="43" t="n"/>
      <c r="K140" s="44">
        <f>IF(OR(J140="",J140=0,I140=""),"",I140/J140)</f>
        <v/>
      </c>
      <c r="L140" s="39" t="n"/>
    </row>
    <row r="141">
      <c r="A141" s="38" t="n"/>
      <c r="B141" s="39" t="n"/>
      <c r="C141" s="39" t="n"/>
      <c r="D141" s="39" t="n"/>
      <c r="E141" s="40" t="n"/>
      <c r="F141" s="41" t="n"/>
      <c r="G141" s="41" t="n"/>
      <c r="H141" s="41" t="n"/>
      <c r="I141" s="44">
        <f>IF(AND(E141="",F141="",G141="",H141=""),"",IFERROR(E141*F141,0)+IFERROR(G141,0)+IFERROR(H141,0))</f>
        <v/>
      </c>
      <c r="J141" s="43" t="n"/>
      <c r="K141" s="44">
        <f>IF(OR(J141="",J141=0,I141=""),"",I141/J141)</f>
        <v/>
      </c>
      <c r="L141" s="39" t="n"/>
    </row>
    <row r="142">
      <c r="A142" s="38" t="n"/>
      <c r="B142" s="39" t="n"/>
      <c r="C142" s="39" t="n"/>
      <c r="D142" s="39" t="n"/>
      <c r="E142" s="40" t="n"/>
      <c r="F142" s="41" t="n"/>
      <c r="G142" s="41" t="n"/>
      <c r="H142" s="41" t="n"/>
      <c r="I142" s="44">
        <f>IF(AND(E142="",F142="",G142="",H142=""),"",IFERROR(E142*F142,0)+IFERROR(G142,0)+IFERROR(H142,0))</f>
        <v/>
      </c>
      <c r="J142" s="43" t="n"/>
      <c r="K142" s="44">
        <f>IF(OR(J142="",J142=0,I142=""),"",I142/J142)</f>
        <v/>
      </c>
      <c r="L142" s="39" t="n"/>
    </row>
    <row r="143">
      <c r="A143" s="38" t="n"/>
      <c r="B143" s="39" t="n"/>
      <c r="C143" s="39" t="n"/>
      <c r="D143" s="39" t="n"/>
      <c r="E143" s="40" t="n"/>
      <c r="F143" s="41" t="n"/>
      <c r="G143" s="41" t="n"/>
      <c r="H143" s="41" t="n"/>
      <c r="I143" s="44">
        <f>IF(AND(E143="",F143="",G143="",H143=""),"",IFERROR(E143*F143,0)+IFERROR(G143,0)+IFERROR(H143,0))</f>
        <v/>
      </c>
      <c r="J143" s="43" t="n"/>
      <c r="K143" s="44">
        <f>IF(OR(J143="",J143=0,I143=""),"",I143/J143)</f>
        <v/>
      </c>
      <c r="L143" s="39" t="n"/>
    </row>
    <row r="144">
      <c r="A144" s="38" t="n"/>
      <c r="B144" s="39" t="n"/>
      <c r="C144" s="39" t="n"/>
      <c r="D144" s="39" t="n"/>
      <c r="E144" s="40" t="n"/>
      <c r="F144" s="41" t="n"/>
      <c r="G144" s="41" t="n"/>
      <c r="H144" s="41" t="n"/>
      <c r="I144" s="44">
        <f>IF(AND(E144="",F144="",G144="",H144=""),"",IFERROR(E144*F144,0)+IFERROR(G144,0)+IFERROR(H144,0))</f>
        <v/>
      </c>
      <c r="J144" s="43" t="n"/>
      <c r="K144" s="44">
        <f>IF(OR(J144="",J144=0,I144=""),"",I144/J144)</f>
        <v/>
      </c>
      <c r="L144" s="39" t="n"/>
    </row>
    <row r="145">
      <c r="A145" s="38" t="n"/>
      <c r="B145" s="39" t="n"/>
      <c r="C145" s="39" t="n"/>
      <c r="D145" s="39" t="n"/>
      <c r="E145" s="40" t="n"/>
      <c r="F145" s="41" t="n"/>
      <c r="G145" s="41" t="n"/>
      <c r="H145" s="41" t="n"/>
      <c r="I145" s="44">
        <f>IF(AND(E145="",F145="",G145="",H145=""),"",IFERROR(E145*F145,0)+IFERROR(G145,0)+IFERROR(H145,0))</f>
        <v/>
      </c>
      <c r="J145" s="43" t="n"/>
      <c r="K145" s="44">
        <f>IF(OR(J145="",J145=0,I145=""),"",I145/J145)</f>
        <v/>
      </c>
      <c r="L145" s="39" t="n"/>
    </row>
    <row r="146">
      <c r="A146" s="38" t="n"/>
      <c r="B146" s="39" t="n"/>
      <c r="C146" s="39" t="n"/>
      <c r="D146" s="39" t="n"/>
      <c r="E146" s="40" t="n"/>
      <c r="F146" s="41" t="n"/>
      <c r="G146" s="41" t="n"/>
      <c r="H146" s="41" t="n"/>
      <c r="I146" s="44">
        <f>IF(AND(E146="",F146="",G146="",H146=""),"",IFERROR(E146*F146,0)+IFERROR(G146,0)+IFERROR(H146,0))</f>
        <v/>
      </c>
      <c r="J146" s="43" t="n"/>
      <c r="K146" s="44">
        <f>IF(OR(J146="",J146=0,I146=""),"",I146/J146)</f>
        <v/>
      </c>
      <c r="L146" s="39" t="n"/>
    </row>
    <row r="147">
      <c r="A147" s="38" t="n"/>
      <c r="B147" s="39" t="n"/>
      <c r="C147" s="39" t="n"/>
      <c r="D147" s="39" t="n"/>
      <c r="E147" s="40" t="n"/>
      <c r="F147" s="41" t="n"/>
      <c r="G147" s="41" t="n"/>
      <c r="H147" s="41" t="n"/>
      <c r="I147" s="44">
        <f>IF(AND(E147="",F147="",G147="",H147=""),"",IFERROR(E147*F147,0)+IFERROR(G147,0)+IFERROR(H147,0))</f>
        <v/>
      </c>
      <c r="J147" s="43" t="n"/>
      <c r="K147" s="44">
        <f>IF(OR(J147="",J147=0,I147=""),"",I147/J147)</f>
        <v/>
      </c>
      <c r="L147" s="39" t="n"/>
    </row>
    <row r="148">
      <c r="A148" s="38" t="n"/>
      <c r="B148" s="39" t="n"/>
      <c r="C148" s="39" t="n"/>
      <c r="D148" s="39" t="n"/>
      <c r="E148" s="40" t="n"/>
      <c r="F148" s="41" t="n"/>
      <c r="G148" s="41" t="n"/>
      <c r="H148" s="41" t="n"/>
      <c r="I148" s="44">
        <f>IF(AND(E148="",F148="",G148="",H148=""),"",IFERROR(E148*F148,0)+IFERROR(G148,0)+IFERROR(H148,0))</f>
        <v/>
      </c>
      <c r="J148" s="43" t="n"/>
      <c r="K148" s="44">
        <f>IF(OR(J148="",J148=0,I148=""),"",I148/J148)</f>
        <v/>
      </c>
      <c r="L148" s="39" t="n"/>
    </row>
    <row r="149">
      <c r="A149" s="38" t="n"/>
      <c r="B149" s="39" t="n"/>
      <c r="C149" s="39" t="n"/>
      <c r="D149" s="39" t="n"/>
      <c r="E149" s="40" t="n"/>
      <c r="F149" s="41" t="n"/>
      <c r="G149" s="41" t="n"/>
      <c r="H149" s="41" t="n"/>
      <c r="I149" s="44">
        <f>IF(AND(E149="",F149="",G149="",H149=""),"",IFERROR(E149*F149,0)+IFERROR(G149,0)+IFERROR(H149,0))</f>
        <v/>
      </c>
      <c r="J149" s="43" t="n"/>
      <c r="K149" s="44">
        <f>IF(OR(J149="",J149=0,I149=""),"",I149/J149)</f>
        <v/>
      </c>
      <c r="L149" s="39" t="n"/>
    </row>
    <row r="150">
      <c r="A150" s="38" t="n"/>
      <c r="B150" s="39" t="n"/>
      <c r="C150" s="39" t="n"/>
      <c r="D150" s="39" t="n"/>
      <c r="E150" s="40" t="n"/>
      <c r="F150" s="41" t="n"/>
      <c r="G150" s="41" t="n"/>
      <c r="H150" s="41" t="n"/>
      <c r="I150" s="44">
        <f>IF(AND(E150="",F150="",G150="",H150=""),"",IFERROR(E150*F150,0)+IFERROR(G150,0)+IFERROR(H150,0))</f>
        <v/>
      </c>
      <c r="J150" s="43" t="n"/>
      <c r="K150" s="44">
        <f>IF(OR(J150="",J150=0,I150=""),"",I150/J150)</f>
        <v/>
      </c>
      <c r="L150" s="39" t="n"/>
    </row>
    <row r="151">
      <c r="A151" s="38" t="n"/>
      <c r="B151" s="39" t="n"/>
      <c r="C151" s="39" t="n"/>
      <c r="D151" s="39" t="n"/>
      <c r="E151" s="40" t="n"/>
      <c r="F151" s="41" t="n"/>
      <c r="G151" s="41" t="n"/>
      <c r="H151" s="41" t="n"/>
      <c r="I151" s="44">
        <f>IF(AND(E151="",F151="",G151="",H151=""),"",IFERROR(E151*F151,0)+IFERROR(G151,0)+IFERROR(H151,0))</f>
        <v/>
      </c>
      <c r="J151" s="43" t="n"/>
      <c r="K151" s="44">
        <f>IF(OR(J151="",J151=0,I151=""),"",I151/J151)</f>
        <v/>
      </c>
      <c r="L151" s="39" t="n"/>
    </row>
    <row r="152">
      <c r="A152" s="38" t="n"/>
      <c r="B152" s="39" t="n"/>
      <c r="C152" s="39" t="n"/>
      <c r="D152" s="39" t="n"/>
      <c r="E152" s="40" t="n"/>
      <c r="F152" s="41" t="n"/>
      <c r="G152" s="41" t="n"/>
      <c r="H152" s="41" t="n"/>
      <c r="I152" s="44">
        <f>IF(AND(E152="",F152="",G152="",H152=""),"",IFERROR(E152*F152,0)+IFERROR(G152,0)+IFERROR(H152,0))</f>
        <v/>
      </c>
      <c r="J152" s="43" t="n"/>
      <c r="K152" s="44">
        <f>IF(OR(J152="",J152=0,I152=""),"",I152/J152)</f>
        <v/>
      </c>
      <c r="L152" s="39" t="n"/>
    </row>
    <row r="153">
      <c r="A153" s="38" t="n"/>
      <c r="B153" s="39" t="n"/>
      <c r="C153" s="39" t="n"/>
      <c r="D153" s="39" t="n"/>
      <c r="E153" s="40" t="n"/>
      <c r="F153" s="41" t="n"/>
      <c r="G153" s="41" t="n"/>
      <c r="H153" s="41" t="n"/>
      <c r="I153" s="44">
        <f>IF(AND(E153="",F153="",G153="",H153=""),"",IFERROR(E153*F153,0)+IFERROR(G153,0)+IFERROR(H153,0))</f>
        <v/>
      </c>
      <c r="J153" s="43" t="n"/>
      <c r="K153" s="44">
        <f>IF(OR(J153="",J153=0,I153=""),"",I153/J153)</f>
        <v/>
      </c>
      <c r="L153" s="39" t="n"/>
    </row>
    <row r="154">
      <c r="A154" s="38" t="n"/>
      <c r="B154" s="39" t="n"/>
      <c r="C154" s="39" t="n"/>
      <c r="D154" s="39" t="n"/>
      <c r="E154" s="40" t="n"/>
      <c r="F154" s="41" t="n"/>
      <c r="G154" s="41" t="n"/>
      <c r="H154" s="41" t="n"/>
      <c r="I154" s="44">
        <f>IF(AND(E154="",F154="",G154="",H154=""),"",IFERROR(E154*F154,0)+IFERROR(G154,0)+IFERROR(H154,0))</f>
        <v/>
      </c>
      <c r="J154" s="43" t="n"/>
      <c r="K154" s="44">
        <f>IF(OR(J154="",J154=0,I154=""),"",I154/J154)</f>
        <v/>
      </c>
      <c r="L154" s="39" t="n"/>
    </row>
    <row r="155">
      <c r="A155" s="38" t="n"/>
      <c r="B155" s="39" t="n"/>
      <c r="C155" s="39" t="n"/>
      <c r="D155" s="39" t="n"/>
      <c r="E155" s="40" t="n"/>
      <c r="F155" s="41" t="n"/>
      <c r="G155" s="41" t="n"/>
      <c r="H155" s="41" t="n"/>
      <c r="I155" s="44">
        <f>IF(AND(E155="",F155="",G155="",H155=""),"",IFERROR(E155*F155,0)+IFERROR(G155,0)+IFERROR(H155,0))</f>
        <v/>
      </c>
      <c r="J155" s="43" t="n"/>
      <c r="K155" s="44">
        <f>IF(OR(J155="",J155=0,I155=""),"",I155/J155)</f>
        <v/>
      </c>
      <c r="L155" s="39" t="n"/>
    </row>
    <row r="156">
      <c r="A156" s="38" t="n"/>
      <c r="B156" s="39" t="n"/>
      <c r="C156" s="39" t="n"/>
      <c r="D156" s="39" t="n"/>
      <c r="E156" s="40" t="n"/>
      <c r="F156" s="41" t="n"/>
      <c r="G156" s="41" t="n"/>
      <c r="H156" s="41" t="n"/>
      <c r="I156" s="44">
        <f>IF(AND(E156="",F156="",G156="",H156=""),"",IFERROR(E156*F156,0)+IFERROR(G156,0)+IFERROR(H156,0))</f>
        <v/>
      </c>
      <c r="J156" s="43" t="n"/>
      <c r="K156" s="44">
        <f>IF(OR(J156="",J156=0,I156=""),"",I156/J156)</f>
        <v/>
      </c>
      <c r="L156" s="39" t="n"/>
    </row>
    <row r="157">
      <c r="A157" s="38" t="n"/>
      <c r="B157" s="39" t="n"/>
      <c r="C157" s="39" t="n"/>
      <c r="D157" s="39" t="n"/>
      <c r="E157" s="40" t="n"/>
      <c r="F157" s="41" t="n"/>
      <c r="G157" s="41" t="n"/>
      <c r="H157" s="41" t="n"/>
      <c r="I157" s="44">
        <f>IF(AND(E157="",F157="",G157="",H157=""),"",IFERROR(E157*F157,0)+IFERROR(G157,0)+IFERROR(H157,0))</f>
        <v/>
      </c>
      <c r="J157" s="43" t="n"/>
      <c r="K157" s="44">
        <f>IF(OR(J157="",J157=0,I157=""),"",I157/J157)</f>
        <v/>
      </c>
      <c r="L157" s="39" t="n"/>
    </row>
    <row r="158">
      <c r="A158" s="38" t="n"/>
      <c r="B158" s="39" t="n"/>
      <c r="C158" s="39" t="n"/>
      <c r="D158" s="39" t="n"/>
      <c r="E158" s="40" t="n"/>
      <c r="F158" s="41" t="n"/>
      <c r="G158" s="41" t="n"/>
      <c r="H158" s="41" t="n"/>
      <c r="I158" s="44">
        <f>IF(AND(E158="",F158="",G158="",H158=""),"",IFERROR(E158*F158,0)+IFERROR(G158,0)+IFERROR(H158,0))</f>
        <v/>
      </c>
      <c r="J158" s="43" t="n"/>
      <c r="K158" s="44">
        <f>IF(OR(J158="",J158=0,I158=""),"",I158/J158)</f>
        <v/>
      </c>
      <c r="L158" s="39" t="n"/>
    </row>
    <row r="159">
      <c r="A159" s="38" t="n"/>
      <c r="B159" s="39" t="n"/>
      <c r="C159" s="39" t="n"/>
      <c r="D159" s="39" t="n"/>
      <c r="E159" s="40" t="n"/>
      <c r="F159" s="41" t="n"/>
      <c r="G159" s="41" t="n"/>
      <c r="H159" s="41" t="n"/>
      <c r="I159" s="44">
        <f>IF(AND(E159="",F159="",G159="",H159=""),"",IFERROR(E159*F159,0)+IFERROR(G159,0)+IFERROR(H159,0))</f>
        <v/>
      </c>
      <c r="J159" s="43" t="n"/>
      <c r="K159" s="44">
        <f>IF(OR(J159="",J159=0,I159=""),"",I159/J159)</f>
        <v/>
      </c>
      <c r="L159" s="39" t="n"/>
    </row>
    <row r="160">
      <c r="A160" s="38" t="n"/>
      <c r="B160" s="39" t="n"/>
      <c r="C160" s="39" t="n"/>
      <c r="D160" s="39" t="n"/>
      <c r="E160" s="40" t="n"/>
      <c r="F160" s="41" t="n"/>
      <c r="G160" s="41" t="n"/>
      <c r="H160" s="41" t="n"/>
      <c r="I160" s="44">
        <f>IF(AND(E160="",F160="",G160="",H160=""),"",IFERROR(E160*F160,0)+IFERROR(G160,0)+IFERROR(H160,0))</f>
        <v/>
      </c>
      <c r="J160" s="43" t="n"/>
      <c r="K160" s="44">
        <f>IF(OR(J160="",J160=0,I160=""),"",I160/J160)</f>
        <v/>
      </c>
      <c r="L160" s="39" t="n"/>
    </row>
    <row r="161">
      <c r="A161" s="38" t="n"/>
      <c r="B161" s="39" t="n"/>
      <c r="C161" s="39" t="n"/>
      <c r="D161" s="39" t="n"/>
      <c r="E161" s="40" t="n"/>
      <c r="F161" s="41" t="n"/>
      <c r="G161" s="41" t="n"/>
      <c r="H161" s="41" t="n"/>
      <c r="I161" s="44">
        <f>IF(AND(E161="",F161="",G161="",H161=""),"",IFERROR(E161*F161,0)+IFERROR(G161,0)+IFERROR(H161,0))</f>
        <v/>
      </c>
      <c r="J161" s="43" t="n"/>
      <c r="K161" s="44">
        <f>IF(OR(J161="",J161=0,I161=""),"",I161/J161)</f>
        <v/>
      </c>
      <c r="L161" s="39" t="n"/>
    </row>
    <row r="162">
      <c r="A162" s="38" t="n"/>
      <c r="B162" s="39" t="n"/>
      <c r="C162" s="39" t="n"/>
      <c r="D162" s="39" t="n"/>
      <c r="E162" s="40" t="n"/>
      <c r="F162" s="41" t="n"/>
      <c r="G162" s="41" t="n"/>
      <c r="H162" s="41" t="n"/>
      <c r="I162" s="44">
        <f>IF(AND(E162="",F162="",G162="",H162=""),"",IFERROR(E162*F162,0)+IFERROR(G162,0)+IFERROR(H162,0))</f>
        <v/>
      </c>
      <c r="J162" s="43" t="n"/>
      <c r="K162" s="44">
        <f>IF(OR(J162="",J162=0,I162=""),"",I162/J162)</f>
        <v/>
      </c>
      <c r="L162" s="39" t="n"/>
    </row>
    <row r="163">
      <c r="A163" s="38" t="n"/>
      <c r="B163" s="39" t="n"/>
      <c r="C163" s="39" t="n"/>
      <c r="D163" s="39" t="n"/>
      <c r="E163" s="40" t="n"/>
      <c r="F163" s="41" t="n"/>
      <c r="G163" s="41" t="n"/>
      <c r="H163" s="41" t="n"/>
      <c r="I163" s="44">
        <f>IF(AND(E163="",F163="",G163="",H163=""),"",IFERROR(E163*F163,0)+IFERROR(G163,0)+IFERROR(H163,0))</f>
        <v/>
      </c>
      <c r="J163" s="43" t="n"/>
      <c r="K163" s="44">
        <f>IF(OR(J163="",J163=0,I163=""),"",I163/J163)</f>
        <v/>
      </c>
      <c r="L163" s="39" t="n"/>
    </row>
    <row r="164">
      <c r="A164" s="38" t="n"/>
      <c r="B164" s="39" t="n"/>
      <c r="C164" s="39" t="n"/>
      <c r="D164" s="39" t="n"/>
      <c r="E164" s="40" t="n"/>
      <c r="F164" s="41" t="n"/>
      <c r="G164" s="41" t="n"/>
      <c r="H164" s="41" t="n"/>
      <c r="I164" s="44">
        <f>IF(AND(E164="",F164="",G164="",H164=""),"",IFERROR(E164*F164,0)+IFERROR(G164,0)+IFERROR(H164,0))</f>
        <v/>
      </c>
      <c r="J164" s="43" t="n"/>
      <c r="K164" s="44">
        <f>IF(OR(J164="",J164=0,I164=""),"",I164/J164)</f>
        <v/>
      </c>
      <c r="L164" s="39" t="n"/>
    </row>
    <row r="165">
      <c r="A165" s="38" t="n"/>
      <c r="B165" s="39" t="n"/>
      <c r="C165" s="39" t="n"/>
      <c r="D165" s="39" t="n"/>
      <c r="E165" s="40" t="n"/>
      <c r="F165" s="41" t="n"/>
      <c r="G165" s="41" t="n"/>
      <c r="H165" s="41" t="n"/>
      <c r="I165" s="44">
        <f>IF(AND(E165="",F165="",G165="",H165=""),"",IFERROR(E165*F165,0)+IFERROR(G165,0)+IFERROR(H165,0))</f>
        <v/>
      </c>
      <c r="J165" s="43" t="n"/>
      <c r="K165" s="44">
        <f>IF(OR(J165="",J165=0,I165=""),"",I165/J165)</f>
        <v/>
      </c>
      <c r="L165" s="39" t="n"/>
    </row>
    <row r="166">
      <c r="A166" s="38" t="n"/>
      <c r="B166" s="39" t="n"/>
      <c r="C166" s="39" t="n"/>
      <c r="D166" s="39" t="n"/>
      <c r="E166" s="40" t="n"/>
      <c r="F166" s="41" t="n"/>
      <c r="G166" s="41" t="n"/>
      <c r="H166" s="41" t="n"/>
      <c r="I166" s="44">
        <f>IF(AND(E166="",F166="",G166="",H166=""),"",IFERROR(E166*F166,0)+IFERROR(G166,0)+IFERROR(H166,0))</f>
        <v/>
      </c>
      <c r="J166" s="43" t="n"/>
      <c r="K166" s="44">
        <f>IF(OR(J166="",J166=0,I166=""),"",I166/J166)</f>
        <v/>
      </c>
      <c r="L166" s="39" t="n"/>
    </row>
    <row r="167">
      <c r="A167" s="38" t="n"/>
      <c r="B167" s="39" t="n"/>
      <c r="C167" s="39" t="n"/>
      <c r="D167" s="39" t="n"/>
      <c r="E167" s="40" t="n"/>
      <c r="F167" s="41" t="n"/>
      <c r="G167" s="41" t="n"/>
      <c r="H167" s="41" t="n"/>
      <c r="I167" s="44">
        <f>IF(AND(E167="",F167="",G167="",H167=""),"",IFERROR(E167*F167,0)+IFERROR(G167,0)+IFERROR(H167,0))</f>
        <v/>
      </c>
      <c r="J167" s="43" t="n"/>
      <c r="K167" s="44">
        <f>IF(OR(J167="",J167=0,I167=""),"",I167/J167)</f>
        <v/>
      </c>
      <c r="L167" s="39" t="n"/>
    </row>
    <row r="168">
      <c r="A168" s="38" t="n"/>
      <c r="B168" s="39" t="n"/>
      <c r="C168" s="39" t="n"/>
      <c r="D168" s="39" t="n"/>
      <c r="E168" s="40" t="n"/>
      <c r="F168" s="41" t="n"/>
      <c r="G168" s="41" t="n"/>
      <c r="H168" s="41" t="n"/>
      <c r="I168" s="44">
        <f>IF(AND(E168="",F168="",G168="",H168=""),"",IFERROR(E168*F168,0)+IFERROR(G168,0)+IFERROR(H168,0))</f>
        <v/>
      </c>
      <c r="J168" s="43" t="n"/>
      <c r="K168" s="44">
        <f>IF(OR(J168="",J168=0,I168=""),"",I168/J168)</f>
        <v/>
      </c>
      <c r="L168" s="39" t="n"/>
    </row>
    <row r="169">
      <c r="A169" s="38" t="n"/>
      <c r="B169" s="39" t="n"/>
      <c r="C169" s="39" t="n"/>
      <c r="D169" s="39" t="n"/>
      <c r="E169" s="40" t="n"/>
      <c r="F169" s="41" t="n"/>
      <c r="G169" s="41" t="n"/>
      <c r="H169" s="41" t="n"/>
      <c r="I169" s="44">
        <f>IF(AND(E169="",F169="",G169="",H169=""),"",IFERROR(E169*F169,0)+IFERROR(G169,0)+IFERROR(H169,0))</f>
        <v/>
      </c>
      <c r="J169" s="43" t="n"/>
      <c r="K169" s="44">
        <f>IF(OR(J169="",J169=0,I169=""),"",I169/J169)</f>
        <v/>
      </c>
      <c r="L169" s="39" t="n"/>
    </row>
    <row r="170">
      <c r="A170" s="38" t="n"/>
      <c r="B170" s="39" t="n"/>
      <c r="C170" s="39" t="n"/>
      <c r="D170" s="39" t="n"/>
      <c r="E170" s="40" t="n"/>
      <c r="F170" s="41" t="n"/>
      <c r="G170" s="41" t="n"/>
      <c r="H170" s="41" t="n"/>
      <c r="I170" s="44">
        <f>IF(AND(E170="",F170="",G170="",H170=""),"",IFERROR(E170*F170,0)+IFERROR(G170,0)+IFERROR(H170,0))</f>
        <v/>
      </c>
      <c r="J170" s="43" t="n"/>
      <c r="K170" s="44">
        <f>IF(OR(J170="",J170=0,I170=""),"",I170/J170)</f>
        <v/>
      </c>
      <c r="L170" s="39" t="n"/>
    </row>
    <row r="171">
      <c r="A171" s="38" t="n"/>
      <c r="B171" s="39" t="n"/>
      <c r="C171" s="39" t="n"/>
      <c r="D171" s="39" t="n"/>
      <c r="E171" s="40" t="n"/>
      <c r="F171" s="41" t="n"/>
      <c r="G171" s="41" t="n"/>
      <c r="H171" s="41" t="n"/>
      <c r="I171" s="44">
        <f>IF(AND(E171="",F171="",G171="",H171=""),"",IFERROR(E171*F171,0)+IFERROR(G171,0)+IFERROR(H171,0))</f>
        <v/>
      </c>
      <c r="J171" s="43" t="n"/>
      <c r="K171" s="44">
        <f>IF(OR(J171="",J171=0,I171=""),"",I171/J171)</f>
        <v/>
      </c>
      <c r="L171" s="39" t="n"/>
    </row>
    <row r="172">
      <c r="A172" s="38" t="n"/>
      <c r="B172" s="39" t="n"/>
      <c r="C172" s="39" t="n"/>
      <c r="D172" s="39" t="n"/>
      <c r="E172" s="40" t="n"/>
      <c r="F172" s="41" t="n"/>
      <c r="G172" s="41" t="n"/>
      <c r="H172" s="41" t="n"/>
      <c r="I172" s="44">
        <f>IF(AND(E172="",F172="",G172="",H172=""),"",IFERROR(E172*F172,0)+IFERROR(G172,0)+IFERROR(H172,0))</f>
        <v/>
      </c>
      <c r="J172" s="43" t="n"/>
      <c r="K172" s="44">
        <f>IF(OR(J172="",J172=0,I172=""),"",I172/J172)</f>
        <v/>
      </c>
      <c r="L172" s="39" t="n"/>
    </row>
    <row r="173">
      <c r="A173" s="38" t="n"/>
      <c r="B173" s="39" t="n"/>
      <c r="C173" s="39" t="n"/>
      <c r="D173" s="39" t="n"/>
      <c r="E173" s="40" t="n"/>
      <c r="F173" s="41" t="n"/>
      <c r="G173" s="41" t="n"/>
      <c r="H173" s="41" t="n"/>
      <c r="I173" s="44">
        <f>IF(AND(E173="",F173="",G173="",H173=""),"",IFERROR(E173*F173,0)+IFERROR(G173,0)+IFERROR(H173,0))</f>
        <v/>
      </c>
      <c r="J173" s="43" t="n"/>
      <c r="K173" s="44">
        <f>IF(OR(J173="",J173=0,I173=""),"",I173/J173)</f>
        <v/>
      </c>
      <c r="L173" s="39" t="n"/>
    </row>
    <row r="174">
      <c r="A174" s="38" t="n"/>
      <c r="B174" s="39" t="n"/>
      <c r="C174" s="39" t="n"/>
      <c r="D174" s="39" t="n"/>
      <c r="E174" s="40" t="n"/>
      <c r="F174" s="41" t="n"/>
      <c r="G174" s="41" t="n"/>
      <c r="H174" s="41" t="n"/>
      <c r="I174" s="44">
        <f>IF(AND(E174="",F174="",G174="",H174=""),"",IFERROR(E174*F174,0)+IFERROR(G174,0)+IFERROR(H174,0))</f>
        <v/>
      </c>
      <c r="J174" s="43" t="n"/>
      <c r="K174" s="44">
        <f>IF(OR(J174="",J174=0,I174=""),"",I174/J174)</f>
        <v/>
      </c>
      <c r="L174" s="39" t="n"/>
    </row>
    <row r="175">
      <c r="A175" s="38" t="n"/>
      <c r="B175" s="39" t="n"/>
      <c r="C175" s="39" t="n"/>
      <c r="D175" s="39" t="n"/>
      <c r="E175" s="40" t="n"/>
      <c r="F175" s="41" t="n"/>
      <c r="G175" s="41" t="n"/>
      <c r="H175" s="41" t="n"/>
      <c r="I175" s="44">
        <f>IF(AND(E175="",F175="",G175="",H175=""),"",IFERROR(E175*F175,0)+IFERROR(G175,0)+IFERROR(H175,0))</f>
        <v/>
      </c>
      <c r="J175" s="43" t="n"/>
      <c r="K175" s="44">
        <f>IF(OR(J175="",J175=0,I175=""),"",I175/J175)</f>
        <v/>
      </c>
      <c r="L175" s="39" t="n"/>
    </row>
    <row r="176">
      <c r="A176" s="38" t="n"/>
      <c r="B176" s="39" t="n"/>
      <c r="C176" s="39" t="n"/>
      <c r="D176" s="39" t="n"/>
      <c r="E176" s="40" t="n"/>
      <c r="F176" s="41" t="n"/>
      <c r="G176" s="41" t="n"/>
      <c r="H176" s="41" t="n"/>
      <c r="I176" s="44">
        <f>IF(AND(E176="",F176="",G176="",H176=""),"",IFERROR(E176*F176,0)+IFERROR(G176,0)+IFERROR(H176,0))</f>
        <v/>
      </c>
      <c r="J176" s="43" t="n"/>
      <c r="K176" s="44">
        <f>IF(OR(J176="",J176=0,I176=""),"",I176/J176)</f>
        <v/>
      </c>
      <c r="L176" s="39" t="n"/>
    </row>
    <row r="177">
      <c r="A177" s="38" t="n"/>
      <c r="B177" s="39" t="n"/>
      <c r="C177" s="39" t="n"/>
      <c r="D177" s="39" t="n"/>
      <c r="E177" s="40" t="n"/>
      <c r="F177" s="41" t="n"/>
      <c r="G177" s="41" t="n"/>
      <c r="H177" s="41" t="n"/>
      <c r="I177" s="44">
        <f>IF(AND(E177="",F177="",G177="",H177=""),"",IFERROR(E177*F177,0)+IFERROR(G177,0)+IFERROR(H177,0))</f>
        <v/>
      </c>
      <c r="J177" s="43" t="n"/>
      <c r="K177" s="44">
        <f>IF(OR(J177="",J177=0,I177=""),"",I177/J177)</f>
        <v/>
      </c>
      <c r="L177" s="39" t="n"/>
    </row>
    <row r="178">
      <c r="A178" s="38" t="n"/>
      <c r="B178" s="39" t="n"/>
      <c r="C178" s="39" t="n"/>
      <c r="D178" s="39" t="n"/>
      <c r="E178" s="40" t="n"/>
      <c r="F178" s="41" t="n"/>
      <c r="G178" s="41" t="n"/>
      <c r="H178" s="41" t="n"/>
      <c r="I178" s="44">
        <f>IF(AND(E178="",F178="",G178="",H178=""),"",IFERROR(E178*F178,0)+IFERROR(G178,0)+IFERROR(H178,0))</f>
        <v/>
      </c>
      <c r="J178" s="43" t="n"/>
      <c r="K178" s="44">
        <f>IF(OR(J178="",J178=0,I178=""),"",I178/J178)</f>
        <v/>
      </c>
      <c r="L178" s="39" t="n"/>
    </row>
    <row r="179">
      <c r="A179" s="38" t="n"/>
      <c r="B179" s="39" t="n"/>
      <c r="C179" s="39" t="n"/>
      <c r="D179" s="39" t="n"/>
      <c r="E179" s="40" t="n"/>
      <c r="F179" s="41" t="n"/>
      <c r="G179" s="41" t="n"/>
      <c r="H179" s="41" t="n"/>
      <c r="I179" s="44">
        <f>IF(AND(E179="",F179="",G179="",H179=""),"",IFERROR(E179*F179,0)+IFERROR(G179,0)+IFERROR(H179,0))</f>
        <v/>
      </c>
      <c r="J179" s="43" t="n"/>
      <c r="K179" s="44">
        <f>IF(OR(J179="",J179=0,I179=""),"",I179/J179)</f>
        <v/>
      </c>
      <c r="L179" s="39" t="n"/>
    </row>
    <row r="180">
      <c r="A180" s="38" t="n"/>
      <c r="B180" s="39" t="n"/>
      <c r="C180" s="39" t="n"/>
      <c r="D180" s="39" t="n"/>
      <c r="E180" s="40" t="n"/>
      <c r="F180" s="41" t="n"/>
      <c r="G180" s="41" t="n"/>
      <c r="H180" s="41" t="n"/>
      <c r="I180" s="44">
        <f>IF(AND(E180="",F180="",G180="",H180=""),"",IFERROR(E180*F180,0)+IFERROR(G180,0)+IFERROR(H180,0))</f>
        <v/>
      </c>
      <c r="J180" s="43" t="n"/>
      <c r="K180" s="44">
        <f>IF(OR(J180="",J180=0,I180=""),"",I180/J180)</f>
        <v/>
      </c>
      <c r="L180" s="39" t="n"/>
    </row>
    <row r="181">
      <c r="A181" s="38" t="n"/>
      <c r="B181" s="39" t="n"/>
      <c r="C181" s="39" t="n"/>
      <c r="D181" s="39" t="n"/>
      <c r="E181" s="40" t="n"/>
      <c r="F181" s="41" t="n"/>
      <c r="G181" s="41" t="n"/>
      <c r="H181" s="41" t="n"/>
      <c r="I181" s="44">
        <f>IF(AND(E181="",F181="",G181="",H181=""),"",IFERROR(E181*F181,0)+IFERROR(G181,0)+IFERROR(H181,0))</f>
        <v/>
      </c>
      <c r="J181" s="43" t="n"/>
      <c r="K181" s="44">
        <f>IF(OR(J181="",J181=0,I181=""),"",I181/J181)</f>
        <v/>
      </c>
      <c r="L181" s="39" t="n"/>
    </row>
    <row r="182">
      <c r="A182" s="38" t="n"/>
      <c r="B182" s="39" t="n"/>
      <c r="C182" s="39" t="n"/>
      <c r="D182" s="39" t="n"/>
      <c r="E182" s="40" t="n"/>
      <c r="F182" s="41" t="n"/>
      <c r="G182" s="41" t="n"/>
      <c r="H182" s="41" t="n"/>
      <c r="I182" s="44">
        <f>IF(AND(E182="",F182="",G182="",H182=""),"",IFERROR(E182*F182,0)+IFERROR(G182,0)+IFERROR(H182,0))</f>
        <v/>
      </c>
      <c r="J182" s="43" t="n"/>
      <c r="K182" s="44">
        <f>IF(OR(J182="",J182=0,I182=""),"",I182/J182)</f>
        <v/>
      </c>
      <c r="L182" s="39" t="n"/>
    </row>
    <row r="183">
      <c r="A183" s="38" t="n"/>
      <c r="B183" s="39" t="n"/>
      <c r="C183" s="39" t="n"/>
      <c r="D183" s="39" t="n"/>
      <c r="E183" s="40" t="n"/>
      <c r="F183" s="41" t="n"/>
      <c r="G183" s="41" t="n"/>
      <c r="H183" s="41" t="n"/>
      <c r="I183" s="44">
        <f>IF(AND(E183="",F183="",G183="",H183=""),"",IFERROR(E183*F183,0)+IFERROR(G183,0)+IFERROR(H183,0))</f>
        <v/>
      </c>
      <c r="J183" s="43" t="n"/>
      <c r="K183" s="44">
        <f>IF(OR(J183="",J183=0,I183=""),"",I183/J183)</f>
        <v/>
      </c>
      <c r="L183" s="39" t="n"/>
    </row>
    <row r="184">
      <c r="A184" s="38" t="n"/>
      <c r="B184" s="39" t="n"/>
      <c r="C184" s="39" t="n"/>
      <c r="D184" s="39" t="n"/>
      <c r="E184" s="40" t="n"/>
      <c r="F184" s="41" t="n"/>
      <c r="G184" s="41" t="n"/>
      <c r="H184" s="41" t="n"/>
      <c r="I184" s="44">
        <f>IF(AND(E184="",F184="",G184="",H184=""),"",IFERROR(E184*F184,0)+IFERROR(G184,0)+IFERROR(H184,0))</f>
        <v/>
      </c>
      <c r="J184" s="43" t="n"/>
      <c r="K184" s="44">
        <f>IF(OR(J184="",J184=0,I184=""),"",I184/J184)</f>
        <v/>
      </c>
      <c r="L184" s="39" t="n"/>
    </row>
    <row r="185">
      <c r="A185" s="38" t="n"/>
      <c r="B185" s="39" t="n"/>
      <c r="C185" s="39" t="n"/>
      <c r="D185" s="39" t="n"/>
      <c r="E185" s="40" t="n"/>
      <c r="F185" s="41" t="n"/>
      <c r="G185" s="41" t="n"/>
      <c r="H185" s="41" t="n"/>
      <c r="I185" s="44">
        <f>IF(AND(E185="",F185="",G185="",H185=""),"",IFERROR(E185*F185,0)+IFERROR(G185,0)+IFERROR(H185,0))</f>
        <v/>
      </c>
      <c r="J185" s="43" t="n"/>
      <c r="K185" s="44">
        <f>IF(OR(J185="",J185=0,I185=""),"",I185/J185)</f>
        <v/>
      </c>
      <c r="L185" s="39" t="n"/>
    </row>
    <row r="186">
      <c r="A186" s="38" t="n"/>
      <c r="B186" s="39" t="n"/>
      <c r="C186" s="39" t="n"/>
      <c r="D186" s="39" t="n"/>
      <c r="E186" s="40" t="n"/>
      <c r="F186" s="41" t="n"/>
      <c r="G186" s="41" t="n"/>
      <c r="H186" s="41" t="n"/>
      <c r="I186" s="44">
        <f>IF(AND(E186="",F186="",G186="",H186=""),"",IFERROR(E186*F186,0)+IFERROR(G186,0)+IFERROR(H186,0))</f>
        <v/>
      </c>
      <c r="J186" s="43" t="n"/>
      <c r="K186" s="44">
        <f>IF(OR(J186="",J186=0,I186=""),"",I186/J186)</f>
        <v/>
      </c>
      <c r="L186" s="39" t="n"/>
    </row>
    <row r="187">
      <c r="A187" s="38" t="n"/>
      <c r="B187" s="39" t="n"/>
      <c r="C187" s="39" t="n"/>
      <c r="D187" s="39" t="n"/>
      <c r="E187" s="40" t="n"/>
      <c r="F187" s="41" t="n"/>
      <c r="G187" s="41" t="n"/>
      <c r="H187" s="41" t="n"/>
      <c r="I187" s="44">
        <f>IF(AND(E187="",F187="",G187="",H187=""),"",IFERROR(E187*F187,0)+IFERROR(G187,0)+IFERROR(H187,0))</f>
        <v/>
      </c>
      <c r="J187" s="43" t="n"/>
      <c r="K187" s="44">
        <f>IF(OR(J187="",J187=0,I187=""),"",I187/J187)</f>
        <v/>
      </c>
      <c r="L187" s="39" t="n"/>
    </row>
    <row r="188">
      <c r="A188" s="38" t="n"/>
      <c r="B188" s="39" t="n"/>
      <c r="C188" s="39" t="n"/>
      <c r="D188" s="39" t="n"/>
      <c r="E188" s="40" t="n"/>
      <c r="F188" s="41" t="n"/>
      <c r="G188" s="41" t="n"/>
      <c r="H188" s="41" t="n"/>
      <c r="I188" s="44">
        <f>IF(AND(E188="",F188="",G188="",H188=""),"",IFERROR(E188*F188,0)+IFERROR(G188,0)+IFERROR(H188,0))</f>
        <v/>
      </c>
      <c r="J188" s="43" t="n"/>
      <c r="K188" s="44">
        <f>IF(OR(J188="",J188=0,I188=""),"",I188/J188)</f>
        <v/>
      </c>
      <c r="L188" s="39" t="n"/>
    </row>
    <row r="189">
      <c r="A189" s="38" t="n"/>
      <c r="B189" s="39" t="n"/>
      <c r="C189" s="39" t="n"/>
      <c r="D189" s="39" t="n"/>
      <c r="E189" s="40" t="n"/>
      <c r="F189" s="41" t="n"/>
      <c r="G189" s="41" t="n"/>
      <c r="H189" s="41" t="n"/>
      <c r="I189" s="44">
        <f>IF(AND(E189="",F189="",G189="",H189=""),"",IFERROR(E189*F189,0)+IFERROR(G189,0)+IFERROR(H189,0))</f>
        <v/>
      </c>
      <c r="J189" s="43" t="n"/>
      <c r="K189" s="44">
        <f>IF(OR(J189="",J189=0,I189=""),"",I189/J189)</f>
        <v/>
      </c>
      <c r="L189" s="39" t="n"/>
    </row>
    <row r="190">
      <c r="A190" s="38" t="n"/>
      <c r="B190" s="39" t="n"/>
      <c r="C190" s="39" t="n"/>
      <c r="D190" s="39" t="n"/>
      <c r="E190" s="40" t="n"/>
      <c r="F190" s="41" t="n"/>
      <c r="G190" s="41" t="n"/>
      <c r="H190" s="41" t="n"/>
      <c r="I190" s="44">
        <f>IF(AND(E190="",F190="",G190="",H190=""),"",IFERROR(E190*F190,0)+IFERROR(G190,0)+IFERROR(H190,0))</f>
        <v/>
      </c>
      <c r="J190" s="43" t="n"/>
      <c r="K190" s="44">
        <f>IF(OR(J190="",J190=0,I190=""),"",I190/J190)</f>
        <v/>
      </c>
      <c r="L190" s="39" t="n"/>
    </row>
    <row r="191">
      <c r="A191" s="38" t="n"/>
      <c r="B191" s="39" t="n"/>
      <c r="C191" s="39" t="n"/>
      <c r="D191" s="39" t="n"/>
      <c r="E191" s="40" t="n"/>
      <c r="F191" s="41" t="n"/>
      <c r="G191" s="41" t="n"/>
      <c r="H191" s="41" t="n"/>
      <c r="I191" s="44">
        <f>IF(AND(E191="",F191="",G191="",H191=""),"",IFERROR(E191*F191,0)+IFERROR(G191,0)+IFERROR(H191,0))</f>
        <v/>
      </c>
      <c r="J191" s="43" t="n"/>
      <c r="K191" s="44">
        <f>IF(OR(J191="",J191=0,I191=""),"",I191/J191)</f>
        <v/>
      </c>
      <c r="L191" s="39" t="n"/>
    </row>
    <row r="192">
      <c r="A192" s="38" t="n"/>
      <c r="B192" s="39" t="n"/>
      <c r="C192" s="39" t="n"/>
      <c r="D192" s="39" t="n"/>
      <c r="E192" s="40" t="n"/>
      <c r="F192" s="41" t="n"/>
      <c r="G192" s="41" t="n"/>
      <c r="H192" s="41" t="n"/>
      <c r="I192" s="44">
        <f>IF(AND(E192="",F192="",G192="",H192=""),"",IFERROR(E192*F192,0)+IFERROR(G192,0)+IFERROR(H192,0))</f>
        <v/>
      </c>
      <c r="J192" s="43" t="n"/>
      <c r="K192" s="44">
        <f>IF(OR(J192="",J192=0,I192=""),"",I192/J192)</f>
        <v/>
      </c>
      <c r="L192" s="39" t="n"/>
    </row>
    <row r="193">
      <c r="A193" s="38" t="n"/>
      <c r="B193" s="39" t="n"/>
      <c r="C193" s="39" t="n"/>
      <c r="D193" s="39" t="n"/>
      <c r="E193" s="40" t="n"/>
      <c r="F193" s="41" t="n"/>
      <c r="G193" s="41" t="n"/>
      <c r="H193" s="41" t="n"/>
      <c r="I193" s="44">
        <f>IF(AND(E193="",F193="",G193="",H193=""),"",IFERROR(E193*F193,0)+IFERROR(G193,0)+IFERROR(H193,0))</f>
        <v/>
      </c>
      <c r="J193" s="43" t="n"/>
      <c r="K193" s="44">
        <f>IF(OR(J193="",J193=0,I193=""),"",I193/J193)</f>
        <v/>
      </c>
      <c r="L193" s="39" t="n"/>
    </row>
    <row r="194">
      <c r="A194" s="38" t="n"/>
      <c r="B194" s="39" t="n"/>
      <c r="C194" s="39" t="n"/>
      <c r="D194" s="39" t="n"/>
      <c r="E194" s="40" t="n"/>
      <c r="F194" s="41" t="n"/>
      <c r="G194" s="41" t="n"/>
      <c r="H194" s="41" t="n"/>
      <c r="I194" s="44">
        <f>IF(AND(E194="",F194="",G194="",H194=""),"",IFERROR(E194*F194,0)+IFERROR(G194,0)+IFERROR(H194,0))</f>
        <v/>
      </c>
      <c r="J194" s="43" t="n"/>
      <c r="K194" s="44">
        <f>IF(OR(J194="",J194=0,I194=""),"",I194/J194)</f>
        <v/>
      </c>
      <c r="L194" s="39" t="n"/>
    </row>
    <row r="195">
      <c r="A195" s="38" t="n"/>
      <c r="B195" s="39" t="n"/>
      <c r="C195" s="39" t="n"/>
      <c r="D195" s="39" t="n"/>
      <c r="E195" s="40" t="n"/>
      <c r="F195" s="41" t="n"/>
      <c r="G195" s="41" t="n"/>
      <c r="H195" s="41" t="n"/>
      <c r="I195" s="44">
        <f>IF(AND(E195="",F195="",G195="",H195=""),"",IFERROR(E195*F195,0)+IFERROR(G195,0)+IFERROR(H195,0))</f>
        <v/>
      </c>
      <c r="J195" s="43" t="n"/>
      <c r="K195" s="44">
        <f>IF(OR(J195="",J195=0,I195=""),"",I195/J195)</f>
        <v/>
      </c>
      <c r="L195" s="39" t="n"/>
    </row>
    <row r="196">
      <c r="A196" s="38" t="n"/>
      <c r="B196" s="39" t="n"/>
      <c r="C196" s="39" t="n"/>
      <c r="D196" s="39" t="n"/>
      <c r="E196" s="40" t="n"/>
      <c r="F196" s="41" t="n"/>
      <c r="G196" s="41" t="n"/>
      <c r="H196" s="41" t="n"/>
      <c r="I196" s="44">
        <f>IF(AND(E196="",F196="",G196="",H196=""),"",IFERROR(E196*F196,0)+IFERROR(G196,0)+IFERROR(H196,0))</f>
        <v/>
      </c>
      <c r="J196" s="43" t="n"/>
      <c r="K196" s="44">
        <f>IF(OR(J196="",J196=0,I196=""),"",I196/J196)</f>
        <v/>
      </c>
      <c r="L196" s="39" t="n"/>
    </row>
    <row r="197">
      <c r="A197" s="38" t="n"/>
      <c r="B197" s="39" t="n"/>
      <c r="C197" s="39" t="n"/>
      <c r="D197" s="39" t="n"/>
      <c r="E197" s="40" t="n"/>
      <c r="F197" s="41" t="n"/>
      <c r="G197" s="41" t="n"/>
      <c r="H197" s="41" t="n"/>
      <c r="I197" s="44">
        <f>IF(AND(E197="",F197="",G197="",H197=""),"",IFERROR(E197*F197,0)+IFERROR(G197,0)+IFERROR(H197,0))</f>
        <v/>
      </c>
      <c r="J197" s="43" t="n"/>
      <c r="K197" s="44">
        <f>IF(OR(J197="",J197=0,I197=""),"",I197/J197)</f>
        <v/>
      </c>
      <c r="L197" s="39" t="n"/>
    </row>
    <row r="198">
      <c r="A198" s="38" t="n"/>
      <c r="B198" s="39" t="n"/>
      <c r="C198" s="39" t="n"/>
      <c r="D198" s="39" t="n"/>
      <c r="E198" s="40" t="n"/>
      <c r="F198" s="41" t="n"/>
      <c r="G198" s="41" t="n"/>
      <c r="H198" s="41" t="n"/>
      <c r="I198" s="44">
        <f>IF(AND(E198="",F198="",G198="",H198=""),"",IFERROR(E198*F198,0)+IFERROR(G198,0)+IFERROR(H198,0))</f>
        <v/>
      </c>
      <c r="J198" s="43" t="n"/>
      <c r="K198" s="44">
        <f>IF(OR(J198="",J198=0,I198=""),"",I198/J198)</f>
        <v/>
      </c>
      <c r="L198" s="39" t="n"/>
    </row>
    <row r="199">
      <c r="A199" s="38" t="n"/>
      <c r="B199" s="39" t="n"/>
      <c r="C199" s="39" t="n"/>
      <c r="D199" s="39" t="n"/>
      <c r="E199" s="40" t="n"/>
      <c r="F199" s="41" t="n"/>
      <c r="G199" s="41" t="n"/>
      <c r="H199" s="41" t="n"/>
      <c r="I199" s="44">
        <f>IF(AND(E199="",F199="",G199="",H199=""),"",IFERROR(E199*F199,0)+IFERROR(G199,0)+IFERROR(H199,0))</f>
        <v/>
      </c>
      <c r="J199" s="43" t="n"/>
      <c r="K199" s="44">
        <f>IF(OR(J199="",J199=0,I199=""),"",I199/J199)</f>
        <v/>
      </c>
      <c r="L199" s="39" t="n"/>
    </row>
    <row r="200">
      <c r="A200" s="38" t="n"/>
      <c r="B200" s="39" t="n"/>
      <c r="C200" s="39" t="n"/>
      <c r="D200" s="39" t="n"/>
      <c r="E200" s="40" t="n"/>
      <c r="F200" s="41" t="n"/>
      <c r="G200" s="41" t="n"/>
      <c r="H200" s="41" t="n"/>
      <c r="I200" s="44">
        <f>IF(AND(E200="",F200="",G200="",H200=""),"",IFERROR(E200*F200,0)+IFERROR(G200,0)+IFERROR(H200,0))</f>
        <v/>
      </c>
      <c r="J200" s="43" t="n"/>
      <c r="K200" s="44">
        <f>IF(OR(J200="",J200=0,I200=""),"",I200/J200)</f>
        <v/>
      </c>
      <c r="L200" s="39" t="n"/>
    </row>
    <row r="201">
      <c r="A201" s="38" t="n"/>
      <c r="B201" s="39" t="n"/>
      <c r="C201" s="39" t="n"/>
      <c r="D201" s="39" t="n"/>
      <c r="E201" s="40" t="n"/>
      <c r="F201" s="41" t="n"/>
      <c r="G201" s="41" t="n"/>
      <c r="H201" s="41" t="n"/>
      <c r="I201" s="44">
        <f>IF(AND(E201="",F201="",G201="",H201=""),"",IFERROR(E201*F201,0)+IFERROR(G201,0)+IFERROR(H201,0))</f>
        <v/>
      </c>
      <c r="J201" s="43" t="n"/>
      <c r="K201" s="44">
        <f>IF(OR(J201="",J201=0,I201=""),"",I201/J201)</f>
        <v/>
      </c>
      <c r="L201" s="39" t="n"/>
    </row>
    <row r="202">
      <c r="A202" s="38" t="n"/>
      <c r="B202" s="39" t="n"/>
      <c r="C202" s="39" t="n"/>
      <c r="D202" s="39" t="n"/>
      <c r="E202" s="40" t="n"/>
      <c r="F202" s="41" t="n"/>
      <c r="G202" s="41" t="n"/>
      <c r="H202" s="41" t="n"/>
      <c r="I202" s="44">
        <f>IF(AND(E202="",F202="",G202="",H202=""),"",IFERROR(E202*F202,0)+IFERROR(G202,0)+IFERROR(H202,0))</f>
        <v/>
      </c>
      <c r="J202" s="43" t="n"/>
      <c r="K202" s="44">
        <f>IF(OR(J202="",J202=0,I202=""),"",I202/J202)</f>
        <v/>
      </c>
      <c r="L202" s="39" t="n"/>
    </row>
    <row r="203">
      <c r="A203" s="38" t="n"/>
      <c r="B203" s="39" t="n"/>
      <c r="C203" s="39" t="n"/>
      <c r="D203" s="39" t="n"/>
      <c r="E203" s="40" t="n"/>
      <c r="F203" s="41" t="n"/>
      <c r="G203" s="41" t="n"/>
      <c r="H203" s="41" t="n"/>
      <c r="I203" s="44">
        <f>IF(AND(E203="",F203="",G203="",H203=""),"",IFERROR(E203*F203,0)+IFERROR(G203,0)+IFERROR(H203,0))</f>
        <v/>
      </c>
      <c r="J203" s="43" t="n"/>
      <c r="K203" s="44">
        <f>IF(OR(J203="",J203=0,I203=""),"",I203/J203)</f>
        <v/>
      </c>
      <c r="L203" s="39" t="n"/>
    </row>
    <row r="204">
      <c r="A204" s="38" t="n"/>
      <c r="B204" s="39" t="n"/>
      <c r="C204" s="39" t="n"/>
      <c r="D204" s="39" t="n"/>
      <c r="E204" s="40" t="n"/>
      <c r="F204" s="41" t="n"/>
      <c r="G204" s="41" t="n"/>
      <c r="H204" s="41" t="n"/>
      <c r="I204" s="44">
        <f>IF(AND(E204="",F204="",G204="",H204=""),"",IFERROR(E204*F204,0)+IFERROR(G204,0)+IFERROR(H204,0))</f>
        <v/>
      </c>
      <c r="J204" s="43" t="n"/>
      <c r="K204" s="44">
        <f>IF(OR(J204="",J204=0,I204=""),"",I204/J204)</f>
        <v/>
      </c>
      <c r="L204" s="39" t="n"/>
    </row>
    <row r="205">
      <c r="A205" s="38" t="n"/>
      <c r="B205" s="39" t="n"/>
      <c r="C205" s="39" t="n"/>
      <c r="D205" s="39" t="n"/>
      <c r="E205" s="40" t="n"/>
      <c r="F205" s="41" t="n"/>
      <c r="G205" s="41" t="n"/>
      <c r="H205" s="41" t="n"/>
      <c r="I205" s="44">
        <f>IF(AND(E205="",F205="",G205="",H205=""),"",IFERROR(E205*F205,0)+IFERROR(G205,0)+IFERROR(H205,0))</f>
        <v/>
      </c>
      <c r="J205" s="43" t="n"/>
      <c r="K205" s="44">
        <f>IF(OR(J205="",J205=0,I205=""),"",I205/J205)</f>
        <v/>
      </c>
      <c r="L205" s="39" t="n"/>
    </row>
    <row r="206">
      <c r="A206" s="38" t="n"/>
      <c r="B206" s="39" t="n"/>
      <c r="C206" s="39" t="n"/>
      <c r="D206" s="39" t="n"/>
      <c r="E206" s="40" t="n"/>
      <c r="F206" s="41" t="n"/>
      <c r="G206" s="41" t="n"/>
      <c r="H206" s="41" t="n"/>
      <c r="I206" s="44">
        <f>IF(AND(E206="",F206="",G206="",H206=""),"",IFERROR(E206*F206,0)+IFERROR(G206,0)+IFERROR(H206,0))</f>
        <v/>
      </c>
      <c r="J206" s="43" t="n"/>
      <c r="K206" s="44">
        <f>IF(OR(J206="",J206=0,I206=""),"",I206/J206)</f>
        <v/>
      </c>
      <c r="L206" s="39" t="n"/>
    </row>
    <row r="207">
      <c r="A207" s="38" t="n"/>
      <c r="B207" s="39" t="n"/>
      <c r="C207" s="39" t="n"/>
      <c r="D207" s="39" t="n"/>
      <c r="E207" s="40" t="n"/>
      <c r="F207" s="41" t="n"/>
      <c r="G207" s="41" t="n"/>
      <c r="H207" s="41" t="n"/>
      <c r="I207" s="44">
        <f>IF(AND(E207="",F207="",G207="",H207=""),"",IFERROR(E207*F207,0)+IFERROR(G207,0)+IFERROR(H207,0))</f>
        <v/>
      </c>
      <c r="J207" s="43" t="n"/>
      <c r="K207" s="44">
        <f>IF(OR(J207="",J207=0,I207=""),"",I207/J207)</f>
        <v/>
      </c>
      <c r="L207" s="39" t="n"/>
    </row>
    <row r="208">
      <c r="A208" s="38" t="n"/>
      <c r="B208" s="39" t="n"/>
      <c r="C208" s="39" t="n"/>
      <c r="D208" s="39" t="n"/>
      <c r="E208" s="40" t="n"/>
      <c r="F208" s="41" t="n"/>
      <c r="G208" s="41" t="n"/>
      <c r="H208" s="41" t="n"/>
      <c r="I208" s="44">
        <f>IF(AND(E208="",F208="",G208="",H208=""),"",IFERROR(E208*F208,0)+IFERROR(G208,0)+IFERROR(H208,0))</f>
        <v/>
      </c>
      <c r="J208" s="43" t="n"/>
      <c r="K208" s="44">
        <f>IF(OR(J208="",J208=0,I208=""),"",I208/J208)</f>
        <v/>
      </c>
      <c r="L208" s="39" t="n"/>
    </row>
    <row r="209">
      <c r="A209" s="38" t="n"/>
      <c r="B209" s="39" t="n"/>
      <c r="C209" s="39" t="n"/>
      <c r="D209" s="39" t="n"/>
      <c r="E209" s="40" t="n"/>
      <c r="F209" s="41" t="n"/>
      <c r="G209" s="41" t="n"/>
      <c r="H209" s="41" t="n"/>
      <c r="I209" s="44">
        <f>IF(AND(E209="",F209="",G209="",H209=""),"",IFERROR(E209*F209,0)+IFERROR(G209,0)+IFERROR(H209,0))</f>
        <v/>
      </c>
      <c r="J209" s="43" t="n"/>
      <c r="K209" s="44">
        <f>IF(OR(J209="",J209=0,I209=""),"",I209/J209)</f>
        <v/>
      </c>
      <c r="L209" s="39" t="n"/>
    </row>
    <row r="210">
      <c r="A210" s="38" t="n"/>
      <c r="B210" s="39" t="n"/>
      <c r="C210" s="39" t="n"/>
      <c r="D210" s="39" t="n"/>
      <c r="E210" s="40" t="n"/>
      <c r="F210" s="41" t="n"/>
      <c r="G210" s="41" t="n"/>
      <c r="H210" s="41" t="n"/>
      <c r="I210" s="44">
        <f>IF(AND(E210="",F210="",G210="",H210=""),"",IFERROR(E210*F210,0)+IFERROR(G210,0)+IFERROR(H210,0))</f>
        <v/>
      </c>
      <c r="J210" s="43" t="n"/>
      <c r="K210" s="44">
        <f>IF(OR(J210="",J210=0,I210=""),"",I210/J210)</f>
        <v/>
      </c>
      <c r="L210" s="39" t="n"/>
    </row>
    <row r="211">
      <c r="A211" s="38" t="n"/>
      <c r="B211" s="39" t="n"/>
      <c r="C211" s="39" t="n"/>
      <c r="D211" s="39" t="n"/>
      <c r="E211" s="40" t="n"/>
      <c r="F211" s="41" t="n"/>
      <c r="G211" s="41" t="n"/>
      <c r="H211" s="41" t="n"/>
      <c r="I211" s="44">
        <f>IF(AND(E211="",F211="",G211="",H211=""),"",IFERROR(E211*F211,0)+IFERROR(G211,0)+IFERROR(H211,0))</f>
        <v/>
      </c>
      <c r="J211" s="43" t="n"/>
      <c r="K211" s="44">
        <f>IF(OR(J211="",J211=0,I211=""),"",I211/J211)</f>
        <v/>
      </c>
      <c r="L211" s="39" t="n"/>
    </row>
    <row r="212">
      <c r="A212" s="38" t="n"/>
      <c r="B212" s="39" t="n"/>
      <c r="C212" s="39" t="n"/>
      <c r="D212" s="39" t="n"/>
      <c r="E212" s="40" t="n"/>
      <c r="F212" s="41" t="n"/>
      <c r="G212" s="41" t="n"/>
      <c r="H212" s="41" t="n"/>
      <c r="I212" s="44">
        <f>IF(AND(E212="",F212="",G212="",H212=""),"",IFERROR(E212*F212,0)+IFERROR(G212,0)+IFERROR(H212,0))</f>
        <v/>
      </c>
      <c r="J212" s="43" t="n"/>
      <c r="K212" s="44">
        <f>IF(OR(J212="",J212=0,I212=""),"",I212/J212)</f>
        <v/>
      </c>
      <c r="L212" s="39" t="n"/>
    </row>
    <row r="213">
      <c r="A213" s="38" t="n"/>
      <c r="B213" s="39" t="n"/>
      <c r="C213" s="39" t="n"/>
      <c r="D213" s="39" t="n"/>
      <c r="E213" s="40" t="n"/>
      <c r="F213" s="41" t="n"/>
      <c r="G213" s="41" t="n"/>
      <c r="H213" s="41" t="n"/>
      <c r="I213" s="44">
        <f>IF(AND(E213="",F213="",G213="",H213=""),"",IFERROR(E213*F213,0)+IFERROR(G213,0)+IFERROR(H213,0))</f>
        <v/>
      </c>
      <c r="J213" s="43" t="n"/>
      <c r="K213" s="44">
        <f>IF(OR(J213="",J213=0,I213=""),"",I213/J213)</f>
        <v/>
      </c>
      <c r="L213" s="39" t="n"/>
    </row>
    <row r="214">
      <c r="A214" s="38" t="n"/>
      <c r="B214" s="39" t="n"/>
      <c r="C214" s="39" t="n"/>
      <c r="D214" s="39" t="n"/>
      <c r="E214" s="40" t="n"/>
      <c r="F214" s="41" t="n"/>
      <c r="G214" s="41" t="n"/>
      <c r="H214" s="41" t="n"/>
      <c r="I214" s="44">
        <f>IF(AND(E214="",F214="",G214="",H214=""),"",IFERROR(E214*F214,0)+IFERROR(G214,0)+IFERROR(H214,0))</f>
        <v/>
      </c>
      <c r="J214" s="43" t="n"/>
      <c r="K214" s="44">
        <f>IF(OR(J214="",J214=0,I214=""),"",I214/J214)</f>
        <v/>
      </c>
      <c r="L214" s="39" t="n"/>
    </row>
    <row r="215">
      <c r="A215" s="38" t="n"/>
      <c r="B215" s="39" t="n"/>
      <c r="C215" s="39" t="n"/>
      <c r="D215" s="39" t="n"/>
      <c r="E215" s="40" t="n"/>
      <c r="F215" s="41" t="n"/>
      <c r="G215" s="41" t="n"/>
      <c r="H215" s="41" t="n"/>
      <c r="I215" s="44">
        <f>IF(AND(E215="",F215="",G215="",H215=""),"",IFERROR(E215*F215,0)+IFERROR(G215,0)+IFERROR(H215,0))</f>
        <v/>
      </c>
      <c r="J215" s="43" t="n"/>
      <c r="K215" s="44">
        <f>IF(OR(J215="",J215=0,I215=""),"",I215/J215)</f>
        <v/>
      </c>
      <c r="L215" s="39" t="n"/>
    </row>
    <row r="216">
      <c r="A216" s="38" t="n"/>
      <c r="B216" s="39" t="n"/>
      <c r="C216" s="39" t="n"/>
      <c r="D216" s="39" t="n"/>
      <c r="E216" s="40" t="n"/>
      <c r="F216" s="41" t="n"/>
      <c r="G216" s="41" t="n"/>
      <c r="H216" s="41" t="n"/>
      <c r="I216" s="44">
        <f>IF(AND(E216="",F216="",G216="",H216=""),"",IFERROR(E216*F216,0)+IFERROR(G216,0)+IFERROR(H216,0))</f>
        <v/>
      </c>
      <c r="J216" s="43" t="n"/>
      <c r="K216" s="44">
        <f>IF(OR(J216="",J216=0,I216=""),"",I216/J216)</f>
        <v/>
      </c>
      <c r="L216" s="39" t="n"/>
    </row>
    <row r="217">
      <c r="A217" s="38" t="n"/>
      <c r="B217" s="39" t="n"/>
      <c r="C217" s="39" t="n"/>
      <c r="D217" s="39" t="n"/>
      <c r="E217" s="40" t="n"/>
      <c r="F217" s="41" t="n"/>
      <c r="G217" s="41" t="n"/>
      <c r="H217" s="41" t="n"/>
      <c r="I217" s="44">
        <f>IF(AND(E217="",F217="",G217="",H217=""),"",IFERROR(E217*F217,0)+IFERROR(G217,0)+IFERROR(H217,0))</f>
        <v/>
      </c>
      <c r="J217" s="43" t="n"/>
      <c r="K217" s="44">
        <f>IF(OR(J217="",J217=0,I217=""),"",I217/J217)</f>
        <v/>
      </c>
      <c r="L217" s="39" t="n"/>
    </row>
    <row r="218">
      <c r="A218" s="38" t="n"/>
      <c r="B218" s="39" t="n"/>
      <c r="C218" s="39" t="n"/>
      <c r="D218" s="39" t="n"/>
      <c r="E218" s="40" t="n"/>
      <c r="F218" s="41" t="n"/>
      <c r="G218" s="41" t="n"/>
      <c r="H218" s="41" t="n"/>
      <c r="I218" s="44">
        <f>IF(AND(E218="",F218="",G218="",H218=""),"",IFERROR(E218*F218,0)+IFERROR(G218,0)+IFERROR(H218,0))</f>
        <v/>
      </c>
      <c r="J218" s="43" t="n"/>
      <c r="K218" s="44">
        <f>IF(OR(J218="",J218=0,I218=""),"",I218/J218)</f>
        <v/>
      </c>
      <c r="L218" s="39" t="n"/>
    </row>
    <row r="219">
      <c r="A219" s="38" t="n"/>
      <c r="B219" s="39" t="n"/>
      <c r="C219" s="39" t="n"/>
      <c r="D219" s="39" t="n"/>
      <c r="E219" s="40" t="n"/>
      <c r="F219" s="41" t="n"/>
      <c r="G219" s="41" t="n"/>
      <c r="H219" s="41" t="n"/>
      <c r="I219" s="44">
        <f>IF(AND(E219="",F219="",G219="",H219=""),"",IFERROR(E219*F219,0)+IFERROR(G219,0)+IFERROR(H219,0))</f>
        <v/>
      </c>
      <c r="J219" s="43" t="n"/>
      <c r="K219" s="44">
        <f>IF(OR(J219="",J219=0,I219=""),"",I219/J219)</f>
        <v/>
      </c>
      <c r="L219" s="39" t="n"/>
    </row>
    <row r="220">
      <c r="A220" s="38" t="n"/>
      <c r="B220" s="39" t="n"/>
      <c r="C220" s="39" t="n"/>
      <c r="D220" s="39" t="n"/>
      <c r="E220" s="40" t="n"/>
      <c r="F220" s="41" t="n"/>
      <c r="G220" s="41" t="n"/>
      <c r="H220" s="41" t="n"/>
      <c r="I220" s="44">
        <f>IF(AND(E220="",F220="",G220="",H220=""),"",IFERROR(E220*F220,0)+IFERROR(G220,0)+IFERROR(H220,0))</f>
        <v/>
      </c>
      <c r="J220" s="43" t="n"/>
      <c r="K220" s="44">
        <f>IF(OR(J220="",J220=0,I220=""),"",I220/J220)</f>
        <v/>
      </c>
      <c r="L220" s="39" t="n"/>
    </row>
    <row r="221">
      <c r="A221" s="38" t="n"/>
      <c r="B221" s="39" t="n"/>
      <c r="C221" s="39" t="n"/>
      <c r="D221" s="39" t="n"/>
      <c r="E221" s="40" t="n"/>
      <c r="F221" s="41" t="n"/>
      <c r="G221" s="41" t="n"/>
      <c r="H221" s="41" t="n"/>
      <c r="I221" s="44">
        <f>IF(AND(E221="",F221="",G221="",H221=""),"",IFERROR(E221*F221,0)+IFERROR(G221,0)+IFERROR(H221,0))</f>
        <v/>
      </c>
      <c r="J221" s="43" t="n"/>
      <c r="K221" s="44">
        <f>IF(OR(J221="",J221=0,I221=""),"",I221/J221)</f>
        <v/>
      </c>
      <c r="L221" s="39" t="n"/>
    </row>
    <row r="222">
      <c r="A222" s="38" t="n"/>
      <c r="B222" s="39" t="n"/>
      <c r="C222" s="39" t="n"/>
      <c r="D222" s="39" t="n"/>
      <c r="E222" s="40" t="n"/>
      <c r="F222" s="41" t="n"/>
      <c r="G222" s="41" t="n"/>
      <c r="H222" s="41" t="n"/>
      <c r="I222" s="44">
        <f>IF(AND(E222="",F222="",G222="",H222=""),"",IFERROR(E222*F222,0)+IFERROR(G222,0)+IFERROR(H222,0))</f>
        <v/>
      </c>
      <c r="J222" s="43" t="n"/>
      <c r="K222" s="44">
        <f>IF(OR(J222="",J222=0,I222=""),"",I222/J222)</f>
        <v/>
      </c>
      <c r="L222" s="39" t="n"/>
    </row>
    <row r="223">
      <c r="A223" s="38" t="n"/>
      <c r="B223" s="39" t="n"/>
      <c r="C223" s="39" t="n"/>
      <c r="D223" s="39" t="n"/>
      <c r="E223" s="40" t="n"/>
      <c r="F223" s="41" t="n"/>
      <c r="G223" s="41" t="n"/>
      <c r="H223" s="41" t="n"/>
      <c r="I223" s="44">
        <f>IF(AND(E223="",F223="",G223="",H223=""),"",IFERROR(E223*F223,0)+IFERROR(G223,0)+IFERROR(H223,0))</f>
        <v/>
      </c>
      <c r="J223" s="43" t="n"/>
      <c r="K223" s="44">
        <f>IF(OR(J223="",J223=0,I223=""),"",I223/J223)</f>
        <v/>
      </c>
      <c r="L223" s="39" t="n"/>
    </row>
    <row r="224">
      <c r="A224" s="38" t="n"/>
      <c r="B224" s="39" t="n"/>
      <c r="C224" s="39" t="n"/>
      <c r="D224" s="39" t="n"/>
      <c r="E224" s="40" t="n"/>
      <c r="F224" s="41" t="n"/>
      <c r="G224" s="41" t="n"/>
      <c r="H224" s="41" t="n"/>
      <c r="I224" s="44">
        <f>IF(AND(E224="",F224="",G224="",H224=""),"",IFERROR(E224*F224,0)+IFERROR(G224,0)+IFERROR(H224,0))</f>
        <v/>
      </c>
      <c r="J224" s="43" t="n"/>
      <c r="K224" s="44">
        <f>IF(OR(J224="",J224=0,I224=""),"",I224/J224)</f>
        <v/>
      </c>
      <c r="L224" s="39" t="n"/>
    </row>
    <row r="225">
      <c r="A225" s="38" t="n"/>
      <c r="B225" s="39" t="n"/>
      <c r="C225" s="39" t="n"/>
      <c r="D225" s="39" t="n"/>
      <c r="E225" s="40" t="n"/>
      <c r="F225" s="41" t="n"/>
      <c r="G225" s="41" t="n"/>
      <c r="H225" s="41" t="n"/>
      <c r="I225" s="44">
        <f>IF(AND(E225="",F225="",G225="",H225=""),"",IFERROR(E225*F225,0)+IFERROR(G225,0)+IFERROR(H225,0))</f>
        <v/>
      </c>
      <c r="J225" s="43" t="n"/>
      <c r="K225" s="44">
        <f>IF(OR(J225="",J225=0,I225=""),"",I225/J225)</f>
        <v/>
      </c>
      <c r="L225" s="39" t="n"/>
    </row>
    <row r="226">
      <c r="A226" s="38" t="n"/>
      <c r="B226" s="39" t="n"/>
      <c r="C226" s="39" t="n"/>
      <c r="D226" s="39" t="n"/>
      <c r="E226" s="40" t="n"/>
      <c r="F226" s="41" t="n"/>
      <c r="G226" s="41" t="n"/>
      <c r="H226" s="41" t="n"/>
      <c r="I226" s="44">
        <f>IF(AND(E226="",F226="",G226="",H226=""),"",IFERROR(E226*F226,0)+IFERROR(G226,0)+IFERROR(H226,0))</f>
        <v/>
      </c>
      <c r="J226" s="43" t="n"/>
      <c r="K226" s="44">
        <f>IF(OR(J226="",J226=0,I226=""),"",I226/J226)</f>
        <v/>
      </c>
      <c r="L226" s="39" t="n"/>
    </row>
    <row r="227">
      <c r="A227" s="38" t="n"/>
      <c r="B227" s="39" t="n"/>
      <c r="C227" s="39" t="n"/>
      <c r="D227" s="39" t="n"/>
      <c r="E227" s="40" t="n"/>
      <c r="F227" s="41" t="n"/>
      <c r="G227" s="41" t="n"/>
      <c r="H227" s="41" t="n"/>
      <c r="I227" s="44">
        <f>IF(AND(E227="",F227="",G227="",H227=""),"",IFERROR(E227*F227,0)+IFERROR(G227,0)+IFERROR(H227,0))</f>
        <v/>
      </c>
      <c r="J227" s="43" t="n"/>
      <c r="K227" s="44">
        <f>IF(OR(J227="",J227=0,I227=""),"",I227/J227)</f>
        <v/>
      </c>
      <c r="L227" s="39" t="n"/>
    </row>
    <row r="228">
      <c r="A228" s="38" t="n"/>
      <c r="B228" s="39" t="n"/>
      <c r="C228" s="39" t="n"/>
      <c r="D228" s="39" t="n"/>
      <c r="E228" s="40" t="n"/>
      <c r="F228" s="41" t="n"/>
      <c r="G228" s="41" t="n"/>
      <c r="H228" s="41" t="n"/>
      <c r="I228" s="44">
        <f>IF(AND(E228="",F228="",G228="",H228=""),"",IFERROR(E228*F228,0)+IFERROR(G228,0)+IFERROR(H228,0))</f>
        <v/>
      </c>
      <c r="J228" s="43" t="n"/>
      <c r="K228" s="44">
        <f>IF(OR(J228="",J228=0,I228=""),"",I228/J228)</f>
        <v/>
      </c>
      <c r="L228" s="39" t="n"/>
    </row>
    <row r="229">
      <c r="A229" s="38" t="n"/>
      <c r="B229" s="39" t="n"/>
      <c r="C229" s="39" t="n"/>
      <c r="D229" s="39" t="n"/>
      <c r="E229" s="40" t="n"/>
      <c r="F229" s="41" t="n"/>
      <c r="G229" s="41" t="n"/>
      <c r="H229" s="41" t="n"/>
      <c r="I229" s="44">
        <f>IF(AND(E229="",F229="",G229="",H229=""),"",IFERROR(E229*F229,0)+IFERROR(G229,0)+IFERROR(H229,0))</f>
        <v/>
      </c>
      <c r="J229" s="43" t="n"/>
      <c r="K229" s="44">
        <f>IF(OR(J229="",J229=0,I229=""),"",I229/J229)</f>
        <v/>
      </c>
      <c r="L229" s="39" t="n"/>
    </row>
    <row r="230">
      <c r="A230" s="38" t="n"/>
      <c r="B230" s="39" t="n"/>
      <c r="C230" s="39" t="n"/>
      <c r="D230" s="39" t="n"/>
      <c r="E230" s="40" t="n"/>
      <c r="F230" s="41" t="n"/>
      <c r="G230" s="41" t="n"/>
      <c r="H230" s="41" t="n"/>
      <c r="I230" s="44">
        <f>IF(AND(E230="",F230="",G230="",H230=""),"",IFERROR(E230*F230,0)+IFERROR(G230,0)+IFERROR(H230,0))</f>
        <v/>
      </c>
      <c r="J230" s="43" t="n"/>
      <c r="K230" s="44">
        <f>IF(OR(J230="",J230=0,I230=""),"",I230/J230)</f>
        <v/>
      </c>
      <c r="L230" s="39" t="n"/>
    </row>
    <row r="231">
      <c r="A231" s="38" t="n"/>
      <c r="B231" s="39" t="n"/>
      <c r="C231" s="39" t="n"/>
      <c r="D231" s="39" t="n"/>
      <c r="E231" s="40" t="n"/>
      <c r="F231" s="41" t="n"/>
      <c r="G231" s="41" t="n"/>
      <c r="H231" s="41" t="n"/>
      <c r="I231" s="44">
        <f>IF(AND(E231="",F231="",G231="",H231=""),"",IFERROR(E231*F231,0)+IFERROR(G231,0)+IFERROR(H231,0))</f>
        <v/>
      </c>
      <c r="J231" s="43" t="n"/>
      <c r="K231" s="44">
        <f>IF(OR(J231="",J231=0,I231=""),"",I231/J231)</f>
        <v/>
      </c>
      <c r="L231" s="39" t="n"/>
    </row>
    <row r="232">
      <c r="A232" s="38" t="n"/>
      <c r="B232" s="39" t="n"/>
      <c r="C232" s="39" t="n"/>
      <c r="D232" s="39" t="n"/>
      <c r="E232" s="40" t="n"/>
      <c r="F232" s="41" t="n"/>
      <c r="G232" s="41" t="n"/>
      <c r="H232" s="41" t="n"/>
      <c r="I232" s="44">
        <f>IF(AND(E232="",F232="",G232="",H232=""),"",IFERROR(E232*F232,0)+IFERROR(G232,0)+IFERROR(H232,0))</f>
        <v/>
      </c>
      <c r="J232" s="43" t="n"/>
      <c r="K232" s="44">
        <f>IF(OR(J232="",J232=0,I232=""),"",I232/J232)</f>
        <v/>
      </c>
      <c r="L232" s="39" t="n"/>
    </row>
    <row r="233">
      <c r="A233" s="38" t="n"/>
      <c r="B233" s="39" t="n"/>
      <c r="C233" s="39" t="n"/>
      <c r="D233" s="39" t="n"/>
      <c r="E233" s="40" t="n"/>
      <c r="F233" s="41" t="n"/>
      <c r="G233" s="41" t="n"/>
      <c r="H233" s="41" t="n"/>
      <c r="I233" s="44">
        <f>IF(AND(E233="",F233="",G233="",H233=""),"",IFERROR(E233*F233,0)+IFERROR(G233,0)+IFERROR(H233,0))</f>
        <v/>
      </c>
      <c r="J233" s="43" t="n"/>
      <c r="K233" s="44">
        <f>IF(OR(J233="",J233=0,I233=""),"",I233/J233)</f>
        <v/>
      </c>
      <c r="L233" s="39" t="n"/>
    </row>
    <row r="234">
      <c r="A234" s="38" t="n"/>
      <c r="B234" s="39" t="n"/>
      <c r="C234" s="39" t="n"/>
      <c r="D234" s="39" t="n"/>
      <c r="E234" s="40" t="n"/>
      <c r="F234" s="41" t="n"/>
      <c r="G234" s="41" t="n"/>
      <c r="H234" s="41" t="n"/>
      <c r="I234" s="44">
        <f>IF(AND(E234="",F234="",G234="",H234=""),"",IFERROR(E234*F234,0)+IFERROR(G234,0)+IFERROR(H234,0))</f>
        <v/>
      </c>
      <c r="J234" s="43" t="n"/>
      <c r="K234" s="44">
        <f>IF(OR(J234="",J234=0,I234=""),"",I234/J234)</f>
        <v/>
      </c>
      <c r="L234" s="39" t="n"/>
    </row>
    <row r="235">
      <c r="A235" s="38" t="n"/>
      <c r="B235" s="39" t="n"/>
      <c r="C235" s="39" t="n"/>
      <c r="D235" s="39" t="n"/>
      <c r="E235" s="40" t="n"/>
      <c r="F235" s="41" t="n"/>
      <c r="G235" s="41" t="n"/>
      <c r="H235" s="41" t="n"/>
      <c r="I235" s="44">
        <f>IF(AND(E235="",F235="",G235="",H235=""),"",IFERROR(E235*F235,0)+IFERROR(G235,0)+IFERROR(H235,0))</f>
        <v/>
      </c>
      <c r="J235" s="43" t="n"/>
      <c r="K235" s="44">
        <f>IF(OR(J235="",J235=0,I235=""),"",I235/J235)</f>
        <v/>
      </c>
      <c r="L235" s="39" t="n"/>
    </row>
    <row r="236">
      <c r="A236" s="38" t="n"/>
      <c r="B236" s="39" t="n"/>
      <c r="C236" s="39" t="n"/>
      <c r="D236" s="39" t="n"/>
      <c r="E236" s="40" t="n"/>
      <c r="F236" s="41" t="n"/>
      <c r="G236" s="41" t="n"/>
      <c r="H236" s="41" t="n"/>
      <c r="I236" s="44">
        <f>IF(AND(E236="",F236="",G236="",H236=""),"",IFERROR(E236*F236,0)+IFERROR(G236,0)+IFERROR(H236,0))</f>
        <v/>
      </c>
      <c r="J236" s="43" t="n"/>
      <c r="K236" s="44">
        <f>IF(OR(J236="",J236=0,I236=""),"",I236/J236)</f>
        <v/>
      </c>
      <c r="L236" s="39" t="n"/>
    </row>
    <row r="237">
      <c r="A237" s="38" t="n"/>
      <c r="B237" s="39" t="n"/>
      <c r="C237" s="39" t="n"/>
      <c r="D237" s="39" t="n"/>
      <c r="E237" s="40" t="n"/>
      <c r="F237" s="41" t="n"/>
      <c r="G237" s="41" t="n"/>
      <c r="H237" s="41" t="n"/>
      <c r="I237" s="44">
        <f>IF(AND(E237="",F237="",G237="",H237=""),"",IFERROR(E237*F237,0)+IFERROR(G237,0)+IFERROR(H237,0))</f>
        <v/>
      </c>
      <c r="J237" s="43" t="n"/>
      <c r="K237" s="44">
        <f>IF(OR(J237="",J237=0,I237=""),"",I237/J237)</f>
        <v/>
      </c>
      <c r="L237" s="39" t="n"/>
    </row>
    <row r="238">
      <c r="A238" s="38" t="n"/>
      <c r="B238" s="39" t="n"/>
      <c r="C238" s="39" t="n"/>
      <c r="D238" s="39" t="n"/>
      <c r="E238" s="40" t="n"/>
      <c r="F238" s="41" t="n"/>
      <c r="G238" s="41" t="n"/>
      <c r="H238" s="41" t="n"/>
      <c r="I238" s="44">
        <f>IF(AND(E238="",F238="",G238="",H238=""),"",IFERROR(E238*F238,0)+IFERROR(G238,0)+IFERROR(H238,0))</f>
        <v/>
      </c>
      <c r="J238" s="43" t="n"/>
      <c r="K238" s="44">
        <f>IF(OR(J238="",J238=0,I238=""),"",I238/J238)</f>
        <v/>
      </c>
      <c r="L238" s="39" t="n"/>
    </row>
    <row r="239">
      <c r="A239" s="38" t="n"/>
      <c r="B239" s="39" t="n"/>
      <c r="C239" s="39" t="n"/>
      <c r="D239" s="39" t="n"/>
      <c r="E239" s="40" t="n"/>
      <c r="F239" s="41" t="n"/>
      <c r="G239" s="41" t="n"/>
      <c r="H239" s="41" t="n"/>
      <c r="I239" s="44">
        <f>IF(AND(E239="",F239="",G239="",H239=""),"",IFERROR(E239*F239,0)+IFERROR(G239,0)+IFERROR(H239,0))</f>
        <v/>
      </c>
      <c r="J239" s="43" t="n"/>
      <c r="K239" s="44">
        <f>IF(OR(J239="",J239=0,I239=""),"",I239/J239)</f>
        <v/>
      </c>
      <c r="L239" s="39" t="n"/>
    </row>
    <row r="240">
      <c r="A240" s="38" t="n"/>
      <c r="B240" s="39" t="n"/>
      <c r="C240" s="39" t="n"/>
      <c r="D240" s="39" t="n"/>
      <c r="E240" s="40" t="n"/>
      <c r="F240" s="41" t="n"/>
      <c r="G240" s="41" t="n"/>
      <c r="H240" s="41" t="n"/>
      <c r="I240" s="44">
        <f>IF(AND(E240="",F240="",G240="",H240=""),"",IFERROR(E240*F240,0)+IFERROR(G240,0)+IFERROR(H240,0))</f>
        <v/>
      </c>
      <c r="J240" s="43" t="n"/>
      <c r="K240" s="44">
        <f>IF(OR(J240="",J240=0,I240=""),"",I240/J240)</f>
        <v/>
      </c>
      <c r="L240" s="39" t="n"/>
    </row>
    <row r="241">
      <c r="A241" s="38" t="n"/>
      <c r="B241" s="39" t="n"/>
      <c r="C241" s="39" t="n"/>
      <c r="D241" s="39" t="n"/>
      <c r="E241" s="40" t="n"/>
      <c r="F241" s="41" t="n"/>
      <c r="G241" s="41" t="n"/>
      <c r="H241" s="41" t="n"/>
      <c r="I241" s="44">
        <f>IF(AND(E241="",F241="",G241="",H241=""),"",IFERROR(E241*F241,0)+IFERROR(G241,0)+IFERROR(H241,0))</f>
        <v/>
      </c>
      <c r="J241" s="43" t="n"/>
      <c r="K241" s="44">
        <f>IF(OR(J241="",J241=0,I241=""),"",I241/J241)</f>
        <v/>
      </c>
      <c r="L241" s="39" t="n"/>
    </row>
    <row r="242">
      <c r="A242" s="38" t="n"/>
      <c r="B242" s="39" t="n"/>
      <c r="C242" s="39" t="n"/>
      <c r="D242" s="39" t="n"/>
      <c r="E242" s="40" t="n"/>
      <c r="F242" s="41" t="n"/>
      <c r="G242" s="41" t="n"/>
      <c r="H242" s="41" t="n"/>
      <c r="I242" s="44">
        <f>IF(AND(E242="",F242="",G242="",H242=""),"",IFERROR(E242*F242,0)+IFERROR(G242,0)+IFERROR(H242,0))</f>
        <v/>
      </c>
      <c r="J242" s="43" t="n"/>
      <c r="K242" s="44">
        <f>IF(OR(J242="",J242=0,I242=""),"",I242/J242)</f>
        <v/>
      </c>
      <c r="L242" s="39" t="n"/>
    </row>
    <row r="243">
      <c r="A243" s="38" t="n"/>
      <c r="B243" s="39" t="n"/>
      <c r="C243" s="39" t="n"/>
      <c r="D243" s="39" t="n"/>
      <c r="E243" s="40" t="n"/>
      <c r="F243" s="41" t="n"/>
      <c r="G243" s="41" t="n"/>
      <c r="H243" s="41" t="n"/>
      <c r="I243" s="44">
        <f>IF(AND(E243="",F243="",G243="",H243=""),"",IFERROR(E243*F243,0)+IFERROR(G243,0)+IFERROR(H243,0))</f>
        <v/>
      </c>
      <c r="J243" s="43" t="n"/>
      <c r="K243" s="44">
        <f>IF(OR(J243="",J243=0,I243=""),"",I243/J243)</f>
        <v/>
      </c>
      <c r="L243" s="39" t="n"/>
    </row>
    <row r="244">
      <c r="A244" s="38" t="n"/>
      <c r="B244" s="39" t="n"/>
      <c r="C244" s="39" t="n"/>
      <c r="D244" s="39" t="n"/>
      <c r="E244" s="40" t="n"/>
      <c r="F244" s="41" t="n"/>
      <c r="G244" s="41" t="n"/>
      <c r="H244" s="41" t="n"/>
      <c r="I244" s="44">
        <f>IF(AND(E244="",F244="",G244="",H244=""),"",IFERROR(E244*F244,0)+IFERROR(G244,0)+IFERROR(H244,0))</f>
        <v/>
      </c>
      <c r="J244" s="43" t="n"/>
      <c r="K244" s="44">
        <f>IF(OR(J244="",J244=0,I244=""),"",I244/J244)</f>
        <v/>
      </c>
      <c r="L244" s="39" t="n"/>
    </row>
    <row r="245">
      <c r="A245" s="38" t="n"/>
      <c r="B245" s="39" t="n"/>
      <c r="C245" s="39" t="n"/>
      <c r="D245" s="39" t="n"/>
      <c r="E245" s="40" t="n"/>
      <c r="F245" s="41" t="n"/>
      <c r="G245" s="41" t="n"/>
      <c r="H245" s="41" t="n"/>
      <c r="I245" s="44">
        <f>IF(AND(E245="",F245="",G245="",H245=""),"",IFERROR(E245*F245,0)+IFERROR(G245,0)+IFERROR(H245,0))</f>
        <v/>
      </c>
      <c r="J245" s="43" t="n"/>
      <c r="K245" s="44">
        <f>IF(OR(J245="",J245=0,I245=""),"",I245/J245)</f>
        <v/>
      </c>
      <c r="L245" s="39" t="n"/>
    </row>
    <row r="246">
      <c r="A246" s="38" t="n"/>
      <c r="B246" s="39" t="n"/>
      <c r="C246" s="39" t="n"/>
      <c r="D246" s="39" t="n"/>
      <c r="E246" s="40" t="n"/>
      <c r="F246" s="41" t="n"/>
      <c r="G246" s="41" t="n"/>
      <c r="H246" s="41" t="n"/>
      <c r="I246" s="44">
        <f>IF(AND(E246="",F246="",G246="",H246=""),"",IFERROR(E246*F246,0)+IFERROR(G246,0)+IFERROR(H246,0))</f>
        <v/>
      </c>
      <c r="J246" s="43" t="n"/>
      <c r="K246" s="44">
        <f>IF(OR(J246="",J246=0,I246=""),"",I246/J246)</f>
        <v/>
      </c>
      <c r="L246" s="39" t="n"/>
    </row>
    <row r="247">
      <c r="A247" s="38" t="n"/>
      <c r="B247" s="39" t="n"/>
      <c r="C247" s="39" t="n"/>
      <c r="D247" s="39" t="n"/>
      <c r="E247" s="40" t="n"/>
      <c r="F247" s="41" t="n"/>
      <c r="G247" s="41" t="n"/>
      <c r="H247" s="41" t="n"/>
      <c r="I247" s="44">
        <f>IF(AND(E247="",F247="",G247="",H247=""),"",IFERROR(E247*F247,0)+IFERROR(G247,0)+IFERROR(H247,0))</f>
        <v/>
      </c>
      <c r="J247" s="43" t="n"/>
      <c r="K247" s="44">
        <f>IF(OR(J247="",J247=0,I247=""),"",I247/J247)</f>
        <v/>
      </c>
      <c r="L247" s="39" t="n"/>
    </row>
    <row r="248">
      <c r="A248" s="38" t="n"/>
      <c r="B248" s="39" t="n"/>
      <c r="C248" s="39" t="n"/>
      <c r="D248" s="39" t="n"/>
      <c r="E248" s="40" t="n"/>
      <c r="F248" s="41" t="n"/>
      <c r="G248" s="41" t="n"/>
      <c r="H248" s="41" t="n"/>
      <c r="I248" s="44">
        <f>IF(AND(E248="",F248="",G248="",H248=""),"",IFERROR(E248*F248,0)+IFERROR(G248,0)+IFERROR(H248,0))</f>
        <v/>
      </c>
      <c r="J248" s="43" t="n"/>
      <c r="K248" s="44">
        <f>IF(OR(J248="",J248=0,I248=""),"",I248/J248)</f>
        <v/>
      </c>
      <c r="L248" s="39" t="n"/>
    </row>
    <row r="249">
      <c r="A249" s="38" t="n"/>
      <c r="B249" s="39" t="n"/>
      <c r="C249" s="39" t="n"/>
      <c r="D249" s="39" t="n"/>
      <c r="E249" s="40" t="n"/>
      <c r="F249" s="41" t="n"/>
      <c r="G249" s="41" t="n"/>
      <c r="H249" s="41" t="n"/>
      <c r="I249" s="44">
        <f>IF(AND(E249="",F249="",G249="",H249=""),"",IFERROR(E249*F249,0)+IFERROR(G249,0)+IFERROR(H249,0))</f>
        <v/>
      </c>
      <c r="J249" s="43" t="n"/>
      <c r="K249" s="44">
        <f>IF(OR(J249="",J249=0,I249=""),"",I249/J249)</f>
        <v/>
      </c>
      <c r="L249" s="39" t="n"/>
    </row>
    <row r="250">
      <c r="A250" s="38" t="n"/>
      <c r="B250" s="39" t="n"/>
      <c r="C250" s="39" t="n"/>
      <c r="D250" s="39" t="n"/>
      <c r="E250" s="40" t="n"/>
      <c r="F250" s="41" t="n"/>
      <c r="G250" s="41" t="n"/>
      <c r="H250" s="41" t="n"/>
      <c r="I250" s="44">
        <f>IF(AND(E250="",F250="",G250="",H250=""),"",IFERROR(E250*F250,0)+IFERROR(G250,0)+IFERROR(H250,0))</f>
        <v/>
      </c>
      <c r="J250" s="43" t="n"/>
      <c r="K250" s="44">
        <f>IF(OR(J250="",J250=0,I250=""),"",I250/J250)</f>
        <v/>
      </c>
      <c r="L250" s="39" t="n"/>
    </row>
    <row r="251">
      <c r="A251" s="38" t="n"/>
      <c r="B251" s="39" t="n"/>
      <c r="C251" s="39" t="n"/>
      <c r="D251" s="39" t="n"/>
      <c r="E251" s="40" t="n"/>
      <c r="F251" s="41" t="n"/>
      <c r="G251" s="41" t="n"/>
      <c r="H251" s="41" t="n"/>
      <c r="I251" s="44">
        <f>IF(AND(E251="",F251="",G251="",H251=""),"",IFERROR(E251*F251,0)+IFERROR(G251,0)+IFERROR(H251,0))</f>
        <v/>
      </c>
      <c r="J251" s="43" t="n"/>
      <c r="K251" s="44">
        <f>IF(OR(J251="",J251=0,I251=""),"",I251/J251)</f>
        <v/>
      </c>
      <c r="L251" s="39" t="n"/>
    </row>
    <row r="252">
      <c r="A252" s="38" t="n"/>
      <c r="B252" s="39" t="n"/>
      <c r="C252" s="39" t="n"/>
      <c r="D252" s="39" t="n"/>
      <c r="E252" s="40" t="n"/>
      <c r="F252" s="41" t="n"/>
      <c r="G252" s="41" t="n"/>
      <c r="H252" s="41" t="n"/>
      <c r="I252" s="44">
        <f>IF(AND(E252="",F252="",G252="",H252=""),"",IFERROR(E252*F252,0)+IFERROR(G252,0)+IFERROR(H252,0))</f>
        <v/>
      </c>
      <c r="J252" s="43" t="n"/>
      <c r="K252" s="44">
        <f>IF(OR(J252="",J252=0,I252=""),"",I252/J252)</f>
        <v/>
      </c>
      <c r="L252" s="39" t="n"/>
    </row>
    <row r="253">
      <c r="A253" s="38" t="n"/>
      <c r="B253" s="39" t="n"/>
      <c r="C253" s="39" t="n"/>
      <c r="D253" s="39" t="n"/>
      <c r="E253" s="40" t="n"/>
      <c r="F253" s="41" t="n"/>
      <c r="G253" s="41" t="n"/>
      <c r="H253" s="41" t="n"/>
      <c r="I253" s="44">
        <f>IF(AND(E253="",F253="",G253="",H253=""),"",IFERROR(E253*F253,0)+IFERROR(G253,0)+IFERROR(H253,0))</f>
        <v/>
      </c>
      <c r="J253" s="43" t="n"/>
      <c r="K253" s="44">
        <f>IF(OR(J253="",J253=0,I253=""),"",I253/J253)</f>
        <v/>
      </c>
      <c r="L253" s="39" t="n"/>
    </row>
    <row r="254">
      <c r="A254" s="38" t="n"/>
      <c r="B254" s="39" t="n"/>
      <c r="C254" s="39" t="n"/>
      <c r="D254" s="39" t="n"/>
      <c r="E254" s="40" t="n"/>
      <c r="F254" s="41" t="n"/>
      <c r="G254" s="41" t="n"/>
      <c r="H254" s="41" t="n"/>
      <c r="I254" s="44">
        <f>IF(AND(E254="",F254="",G254="",H254=""),"",IFERROR(E254*F254,0)+IFERROR(G254,0)+IFERROR(H254,0))</f>
        <v/>
      </c>
      <c r="J254" s="43" t="n"/>
      <c r="K254" s="44">
        <f>IF(OR(J254="",J254=0,I254=""),"",I254/J254)</f>
        <v/>
      </c>
      <c r="L254" s="39" t="n"/>
    </row>
    <row r="255">
      <c r="A255" s="38" t="n"/>
      <c r="B255" s="39" t="n"/>
      <c r="C255" s="39" t="n"/>
      <c r="D255" s="39" t="n"/>
      <c r="E255" s="40" t="n"/>
      <c r="F255" s="41" t="n"/>
      <c r="G255" s="41" t="n"/>
      <c r="H255" s="41" t="n"/>
      <c r="I255" s="44">
        <f>IF(AND(E255="",F255="",G255="",H255=""),"",IFERROR(E255*F255,0)+IFERROR(G255,0)+IFERROR(H255,0))</f>
        <v/>
      </c>
      <c r="J255" s="43" t="n"/>
      <c r="K255" s="44">
        <f>IF(OR(J255="",J255=0,I255=""),"",I255/J255)</f>
        <v/>
      </c>
      <c r="L255" s="39" t="n"/>
    </row>
    <row r="256">
      <c r="A256" s="38" t="n"/>
      <c r="B256" s="39" t="n"/>
      <c r="C256" s="39" t="n"/>
      <c r="D256" s="39" t="n"/>
      <c r="E256" s="40" t="n"/>
      <c r="F256" s="41" t="n"/>
      <c r="G256" s="41" t="n"/>
      <c r="H256" s="41" t="n"/>
      <c r="I256" s="44">
        <f>IF(AND(E256="",F256="",G256="",H256=""),"",IFERROR(E256*F256,0)+IFERROR(G256,0)+IFERROR(H256,0))</f>
        <v/>
      </c>
      <c r="J256" s="43" t="n"/>
      <c r="K256" s="44">
        <f>IF(OR(J256="",J256=0,I256=""),"",I256/J256)</f>
        <v/>
      </c>
      <c r="L256" s="39" t="n"/>
    </row>
    <row r="257">
      <c r="A257" s="38" t="n"/>
      <c r="B257" s="39" t="n"/>
      <c r="C257" s="39" t="n"/>
      <c r="D257" s="39" t="n"/>
      <c r="E257" s="40" t="n"/>
      <c r="F257" s="41" t="n"/>
      <c r="G257" s="41" t="n"/>
      <c r="H257" s="41" t="n"/>
      <c r="I257" s="44">
        <f>IF(AND(E257="",F257="",G257="",H257=""),"",IFERROR(E257*F257,0)+IFERROR(G257,0)+IFERROR(H257,0))</f>
        <v/>
      </c>
      <c r="J257" s="43" t="n"/>
      <c r="K257" s="44">
        <f>IF(OR(J257="",J257=0,I257=""),"",I257/J257)</f>
        <v/>
      </c>
      <c r="L257" s="39" t="n"/>
    </row>
    <row r="258">
      <c r="A258" s="38" t="n"/>
      <c r="B258" s="39" t="n"/>
      <c r="C258" s="39" t="n"/>
      <c r="D258" s="39" t="n"/>
      <c r="E258" s="40" t="n"/>
      <c r="F258" s="41" t="n"/>
      <c r="G258" s="41" t="n"/>
      <c r="H258" s="41" t="n"/>
      <c r="I258" s="44">
        <f>IF(AND(E258="",F258="",G258="",H258=""),"",IFERROR(E258*F258,0)+IFERROR(G258,0)+IFERROR(H258,0))</f>
        <v/>
      </c>
      <c r="J258" s="43" t="n"/>
      <c r="K258" s="44">
        <f>IF(OR(J258="",J258=0,I258=""),"",I258/J258)</f>
        <v/>
      </c>
      <c r="L258" s="39" t="n"/>
    </row>
    <row r="259">
      <c r="A259" s="38" t="n"/>
      <c r="B259" s="39" t="n"/>
      <c r="C259" s="39" t="n"/>
      <c r="D259" s="39" t="n"/>
      <c r="E259" s="40" t="n"/>
      <c r="F259" s="41" t="n"/>
      <c r="G259" s="41" t="n"/>
      <c r="H259" s="41" t="n"/>
      <c r="I259" s="44">
        <f>IF(AND(E259="",F259="",G259="",H259=""),"",IFERROR(E259*F259,0)+IFERROR(G259,0)+IFERROR(H259,0))</f>
        <v/>
      </c>
      <c r="J259" s="43" t="n"/>
      <c r="K259" s="44">
        <f>IF(OR(J259="",J259=0,I259=""),"",I259/J259)</f>
        <v/>
      </c>
      <c r="L259" s="39" t="n"/>
    </row>
    <row r="260">
      <c r="A260" s="38" t="n"/>
      <c r="B260" s="39" t="n"/>
      <c r="C260" s="39" t="n"/>
      <c r="D260" s="39" t="n"/>
      <c r="E260" s="40" t="n"/>
      <c r="F260" s="41" t="n"/>
      <c r="G260" s="41" t="n"/>
      <c r="H260" s="41" t="n"/>
      <c r="I260" s="44">
        <f>IF(AND(E260="",F260="",G260="",H260=""),"",IFERROR(E260*F260,0)+IFERROR(G260,0)+IFERROR(H260,0))</f>
        <v/>
      </c>
      <c r="J260" s="43" t="n"/>
      <c r="K260" s="44">
        <f>IF(OR(J260="",J260=0,I260=""),"",I260/J260)</f>
        <v/>
      </c>
      <c r="L260" s="39" t="n"/>
    </row>
    <row r="261">
      <c r="A261" s="38" t="n"/>
      <c r="B261" s="39" t="n"/>
      <c r="C261" s="39" t="n"/>
      <c r="D261" s="39" t="n"/>
      <c r="E261" s="40" t="n"/>
      <c r="F261" s="41" t="n"/>
      <c r="G261" s="41" t="n"/>
      <c r="H261" s="41" t="n"/>
      <c r="I261" s="44">
        <f>IF(AND(E261="",F261="",G261="",H261=""),"",IFERROR(E261*F261,0)+IFERROR(G261,0)+IFERROR(H261,0))</f>
        <v/>
      </c>
      <c r="J261" s="43" t="n"/>
      <c r="K261" s="44">
        <f>IF(OR(J261="",J261=0,I261=""),"",I261/J261)</f>
        <v/>
      </c>
      <c r="L261" s="39" t="n"/>
    </row>
    <row r="262">
      <c r="A262" s="38" t="n"/>
      <c r="B262" s="39" t="n"/>
      <c r="C262" s="39" t="n"/>
      <c r="D262" s="39" t="n"/>
      <c r="E262" s="40" t="n"/>
      <c r="F262" s="41" t="n"/>
      <c r="G262" s="41" t="n"/>
      <c r="H262" s="41" t="n"/>
      <c r="I262" s="44">
        <f>IF(AND(E262="",F262="",G262="",H262=""),"",IFERROR(E262*F262,0)+IFERROR(G262,0)+IFERROR(H262,0))</f>
        <v/>
      </c>
      <c r="J262" s="43" t="n"/>
      <c r="K262" s="44">
        <f>IF(OR(J262="",J262=0,I262=""),"",I262/J262)</f>
        <v/>
      </c>
      <c r="L262" s="39" t="n"/>
    </row>
    <row r="263">
      <c r="A263" s="38" t="n"/>
      <c r="B263" s="39" t="n"/>
      <c r="C263" s="39" t="n"/>
      <c r="D263" s="39" t="n"/>
      <c r="E263" s="40" t="n"/>
      <c r="F263" s="41" t="n"/>
      <c r="G263" s="41" t="n"/>
      <c r="H263" s="41" t="n"/>
      <c r="I263" s="44">
        <f>IF(AND(E263="",F263="",G263="",H263=""),"",IFERROR(E263*F263,0)+IFERROR(G263,0)+IFERROR(H263,0))</f>
        <v/>
      </c>
      <c r="J263" s="43" t="n"/>
      <c r="K263" s="44">
        <f>IF(OR(J263="",J263=0,I263=""),"",I263/J263)</f>
        <v/>
      </c>
      <c r="L263" s="39" t="n"/>
    </row>
    <row r="264">
      <c r="A264" s="38" t="n"/>
      <c r="B264" s="39" t="n"/>
      <c r="C264" s="39" t="n"/>
      <c r="D264" s="39" t="n"/>
      <c r="E264" s="40" t="n"/>
      <c r="F264" s="41" t="n"/>
      <c r="G264" s="41" t="n"/>
      <c r="H264" s="41" t="n"/>
      <c r="I264" s="44">
        <f>IF(AND(E264="",F264="",G264="",H264=""),"",IFERROR(E264*F264,0)+IFERROR(G264,0)+IFERROR(H264,0))</f>
        <v/>
      </c>
      <c r="J264" s="43" t="n"/>
      <c r="K264" s="44">
        <f>IF(OR(J264="",J264=0,I264=""),"",I264/J264)</f>
        <v/>
      </c>
      <c r="L264" s="39" t="n"/>
    </row>
    <row r="265">
      <c r="A265" s="38" t="n"/>
      <c r="B265" s="39" t="n"/>
      <c r="C265" s="39" t="n"/>
      <c r="D265" s="39" t="n"/>
      <c r="E265" s="40" t="n"/>
      <c r="F265" s="41" t="n"/>
      <c r="G265" s="41" t="n"/>
      <c r="H265" s="41" t="n"/>
      <c r="I265" s="44">
        <f>IF(AND(E265="",F265="",G265="",H265=""),"",IFERROR(E265*F265,0)+IFERROR(G265,0)+IFERROR(H265,0))</f>
        <v/>
      </c>
      <c r="J265" s="43" t="n"/>
      <c r="K265" s="44">
        <f>IF(OR(J265="",J265=0,I265=""),"",I265/J265)</f>
        <v/>
      </c>
      <c r="L265" s="39" t="n"/>
    </row>
    <row r="266">
      <c r="A266" s="38" t="n"/>
      <c r="B266" s="39" t="n"/>
      <c r="C266" s="39" t="n"/>
      <c r="D266" s="39" t="n"/>
      <c r="E266" s="40" t="n"/>
      <c r="F266" s="41" t="n"/>
      <c r="G266" s="41" t="n"/>
      <c r="H266" s="41" t="n"/>
      <c r="I266" s="44">
        <f>IF(AND(E266="",F266="",G266="",H266=""),"",IFERROR(E266*F266,0)+IFERROR(G266,0)+IFERROR(H266,0))</f>
        <v/>
      </c>
      <c r="J266" s="43" t="n"/>
      <c r="K266" s="44">
        <f>IF(OR(J266="",J266=0,I266=""),"",I266/J266)</f>
        <v/>
      </c>
      <c r="L266" s="39" t="n"/>
    </row>
    <row r="267">
      <c r="A267" s="38" t="n"/>
      <c r="B267" s="39" t="n"/>
      <c r="C267" s="39" t="n"/>
      <c r="D267" s="39" t="n"/>
      <c r="E267" s="40" t="n"/>
      <c r="F267" s="41" t="n"/>
      <c r="G267" s="41" t="n"/>
      <c r="H267" s="41" t="n"/>
      <c r="I267" s="44">
        <f>IF(AND(E267="",F267="",G267="",H267=""),"",IFERROR(E267*F267,0)+IFERROR(G267,0)+IFERROR(H267,0))</f>
        <v/>
      </c>
      <c r="J267" s="43" t="n"/>
      <c r="K267" s="44">
        <f>IF(OR(J267="",J267=0,I267=""),"",I267/J267)</f>
        <v/>
      </c>
      <c r="L267" s="39" t="n"/>
    </row>
    <row r="268">
      <c r="A268" s="38" t="n"/>
      <c r="B268" s="39" t="n"/>
      <c r="C268" s="39" t="n"/>
      <c r="D268" s="39" t="n"/>
      <c r="E268" s="40" t="n"/>
      <c r="F268" s="41" t="n"/>
      <c r="G268" s="41" t="n"/>
      <c r="H268" s="41" t="n"/>
      <c r="I268" s="44">
        <f>IF(AND(E268="",F268="",G268="",H268=""),"",IFERROR(E268*F268,0)+IFERROR(G268,0)+IFERROR(H268,0))</f>
        <v/>
      </c>
      <c r="J268" s="43" t="n"/>
      <c r="K268" s="44">
        <f>IF(OR(J268="",J268=0,I268=""),"",I268/J268)</f>
        <v/>
      </c>
      <c r="L268" s="39" t="n"/>
    </row>
    <row r="269">
      <c r="A269" s="38" t="n"/>
      <c r="B269" s="39" t="n"/>
      <c r="C269" s="39" t="n"/>
      <c r="D269" s="39" t="n"/>
      <c r="E269" s="40" t="n"/>
      <c r="F269" s="41" t="n"/>
      <c r="G269" s="41" t="n"/>
      <c r="H269" s="41" t="n"/>
      <c r="I269" s="44">
        <f>IF(AND(E269="",F269="",G269="",H269=""),"",IFERROR(E269*F269,0)+IFERROR(G269,0)+IFERROR(H269,0))</f>
        <v/>
      </c>
      <c r="J269" s="43" t="n"/>
      <c r="K269" s="44">
        <f>IF(OR(J269="",J269=0,I269=""),"",I269/J269)</f>
        <v/>
      </c>
      <c r="L269" s="39" t="n"/>
    </row>
    <row r="270">
      <c r="A270" s="38" t="n"/>
      <c r="B270" s="39" t="n"/>
      <c r="C270" s="39" t="n"/>
      <c r="D270" s="39" t="n"/>
      <c r="E270" s="40" t="n"/>
      <c r="F270" s="41" t="n"/>
      <c r="G270" s="41" t="n"/>
      <c r="H270" s="41" t="n"/>
      <c r="I270" s="44">
        <f>IF(AND(E270="",F270="",G270="",H270=""),"",IFERROR(E270*F270,0)+IFERROR(G270,0)+IFERROR(H270,0))</f>
        <v/>
      </c>
      <c r="J270" s="43" t="n"/>
      <c r="K270" s="44">
        <f>IF(OR(J270="",J270=0,I270=""),"",I270/J270)</f>
        <v/>
      </c>
      <c r="L270" s="39" t="n"/>
    </row>
    <row r="271">
      <c r="A271" s="38" t="n"/>
      <c r="B271" s="39" t="n"/>
      <c r="C271" s="39" t="n"/>
      <c r="D271" s="39" t="n"/>
      <c r="E271" s="40" t="n"/>
      <c r="F271" s="41" t="n"/>
      <c r="G271" s="41" t="n"/>
      <c r="H271" s="41" t="n"/>
      <c r="I271" s="44">
        <f>IF(AND(E271="",F271="",G271="",H271=""),"",IFERROR(E271*F271,0)+IFERROR(G271,0)+IFERROR(H271,0))</f>
        <v/>
      </c>
      <c r="J271" s="43" t="n"/>
      <c r="K271" s="44">
        <f>IF(OR(J271="",J271=0,I271=""),"",I271/J271)</f>
        <v/>
      </c>
      <c r="L271" s="39" t="n"/>
    </row>
    <row r="272">
      <c r="A272" s="38" t="n"/>
      <c r="B272" s="39" t="n"/>
      <c r="C272" s="39" t="n"/>
      <c r="D272" s="39" t="n"/>
      <c r="E272" s="40" t="n"/>
      <c r="F272" s="41" t="n"/>
      <c r="G272" s="41" t="n"/>
      <c r="H272" s="41" t="n"/>
      <c r="I272" s="44">
        <f>IF(AND(E272="",F272="",G272="",H272=""),"",IFERROR(E272*F272,0)+IFERROR(G272,0)+IFERROR(H272,0))</f>
        <v/>
      </c>
      <c r="J272" s="43" t="n"/>
      <c r="K272" s="44">
        <f>IF(OR(J272="",J272=0,I272=""),"",I272/J272)</f>
        <v/>
      </c>
      <c r="L272" s="39" t="n"/>
    </row>
    <row r="273">
      <c r="A273" s="38" t="n"/>
      <c r="B273" s="39" t="n"/>
      <c r="C273" s="39" t="n"/>
      <c r="D273" s="39" t="n"/>
      <c r="E273" s="40" t="n"/>
      <c r="F273" s="41" t="n"/>
      <c r="G273" s="41" t="n"/>
      <c r="H273" s="41" t="n"/>
      <c r="I273" s="44">
        <f>IF(AND(E273="",F273="",G273="",H273=""),"",IFERROR(E273*F273,0)+IFERROR(G273,0)+IFERROR(H273,0))</f>
        <v/>
      </c>
      <c r="J273" s="43" t="n"/>
      <c r="K273" s="44">
        <f>IF(OR(J273="",J273=0,I273=""),"",I273/J273)</f>
        <v/>
      </c>
      <c r="L273" s="39" t="n"/>
    </row>
    <row r="274">
      <c r="A274" s="38" t="n"/>
      <c r="B274" s="39" t="n"/>
      <c r="C274" s="39" t="n"/>
      <c r="D274" s="39" t="n"/>
      <c r="E274" s="40" t="n"/>
      <c r="F274" s="41" t="n"/>
      <c r="G274" s="41" t="n"/>
      <c r="H274" s="41" t="n"/>
      <c r="I274" s="44">
        <f>IF(AND(E274="",F274="",G274="",H274=""),"",IFERROR(E274*F274,0)+IFERROR(G274,0)+IFERROR(H274,0))</f>
        <v/>
      </c>
      <c r="J274" s="43" t="n"/>
      <c r="K274" s="44">
        <f>IF(OR(J274="",J274=0,I274=""),"",I274/J274)</f>
        <v/>
      </c>
      <c r="L274" s="39" t="n"/>
    </row>
    <row r="275">
      <c r="A275" s="38" t="n"/>
      <c r="B275" s="39" t="n"/>
      <c r="C275" s="39" t="n"/>
      <c r="D275" s="39" t="n"/>
      <c r="E275" s="40" t="n"/>
      <c r="F275" s="41" t="n"/>
      <c r="G275" s="41" t="n"/>
      <c r="H275" s="41" t="n"/>
      <c r="I275" s="44">
        <f>IF(AND(E275="",F275="",G275="",H275=""),"",IFERROR(E275*F275,0)+IFERROR(G275,0)+IFERROR(H275,0))</f>
        <v/>
      </c>
      <c r="J275" s="43" t="n"/>
      <c r="K275" s="44">
        <f>IF(OR(J275="",J275=0,I275=""),"",I275/J275)</f>
        <v/>
      </c>
      <c r="L275" s="39" t="n"/>
    </row>
    <row r="276">
      <c r="A276" s="38" t="n"/>
      <c r="B276" s="39" t="n"/>
      <c r="C276" s="39" t="n"/>
      <c r="D276" s="39" t="n"/>
      <c r="E276" s="40" t="n"/>
      <c r="F276" s="41" t="n"/>
      <c r="G276" s="41" t="n"/>
      <c r="H276" s="41" t="n"/>
      <c r="I276" s="44">
        <f>IF(AND(E276="",F276="",G276="",H276=""),"",IFERROR(E276*F276,0)+IFERROR(G276,0)+IFERROR(H276,0))</f>
        <v/>
      </c>
      <c r="J276" s="43" t="n"/>
      <c r="K276" s="44">
        <f>IF(OR(J276="",J276=0,I276=""),"",I276/J276)</f>
        <v/>
      </c>
      <c r="L276" s="39" t="n"/>
    </row>
    <row r="277">
      <c r="A277" s="38" t="n"/>
      <c r="B277" s="39" t="n"/>
      <c r="C277" s="39" t="n"/>
      <c r="D277" s="39" t="n"/>
      <c r="E277" s="40" t="n"/>
      <c r="F277" s="41" t="n"/>
      <c r="G277" s="41" t="n"/>
      <c r="H277" s="41" t="n"/>
      <c r="I277" s="44">
        <f>IF(AND(E277="",F277="",G277="",H277=""),"",IFERROR(E277*F277,0)+IFERROR(G277,0)+IFERROR(H277,0))</f>
        <v/>
      </c>
      <c r="J277" s="43" t="n"/>
      <c r="K277" s="44">
        <f>IF(OR(J277="",J277=0,I277=""),"",I277/J277)</f>
        <v/>
      </c>
      <c r="L277" s="39" t="n"/>
    </row>
    <row r="278">
      <c r="A278" s="38" t="n"/>
      <c r="B278" s="39" t="n"/>
      <c r="C278" s="39" t="n"/>
      <c r="D278" s="39" t="n"/>
      <c r="E278" s="40" t="n"/>
      <c r="F278" s="41" t="n"/>
      <c r="G278" s="41" t="n"/>
      <c r="H278" s="41" t="n"/>
      <c r="I278" s="44">
        <f>IF(AND(E278="",F278="",G278="",H278=""),"",IFERROR(E278*F278,0)+IFERROR(G278,0)+IFERROR(H278,0))</f>
        <v/>
      </c>
      <c r="J278" s="43" t="n"/>
      <c r="K278" s="44">
        <f>IF(OR(J278="",J278=0,I278=""),"",I278/J278)</f>
        <v/>
      </c>
      <c r="L278" s="39" t="n"/>
    </row>
    <row r="279">
      <c r="A279" s="38" t="n"/>
      <c r="B279" s="39" t="n"/>
      <c r="C279" s="39" t="n"/>
      <c r="D279" s="39" t="n"/>
      <c r="E279" s="40" t="n"/>
      <c r="F279" s="41" t="n"/>
      <c r="G279" s="41" t="n"/>
      <c r="H279" s="41" t="n"/>
      <c r="I279" s="44">
        <f>IF(AND(E279="",F279="",G279="",H279=""),"",IFERROR(E279*F279,0)+IFERROR(G279,0)+IFERROR(H279,0))</f>
        <v/>
      </c>
      <c r="J279" s="43" t="n"/>
      <c r="K279" s="44">
        <f>IF(OR(J279="",J279=0,I279=""),"",I279/J279)</f>
        <v/>
      </c>
      <c r="L279" s="39" t="n"/>
    </row>
    <row r="280">
      <c r="A280" s="38" t="n"/>
      <c r="B280" s="39" t="n"/>
      <c r="C280" s="39" t="n"/>
      <c r="D280" s="39" t="n"/>
      <c r="E280" s="40" t="n"/>
      <c r="F280" s="41" t="n"/>
      <c r="G280" s="41" t="n"/>
      <c r="H280" s="41" t="n"/>
      <c r="I280" s="44">
        <f>IF(AND(E280="",F280="",G280="",H280=""),"",IFERROR(E280*F280,0)+IFERROR(G280,0)+IFERROR(H280,0))</f>
        <v/>
      </c>
      <c r="J280" s="43" t="n"/>
      <c r="K280" s="44">
        <f>IF(OR(J280="",J280=0,I280=""),"",I280/J280)</f>
        <v/>
      </c>
      <c r="L280" s="39" t="n"/>
    </row>
    <row r="281">
      <c r="A281" s="38" t="n"/>
      <c r="B281" s="39" t="n"/>
      <c r="C281" s="39" t="n"/>
      <c r="D281" s="39" t="n"/>
      <c r="E281" s="40" t="n"/>
      <c r="F281" s="41" t="n"/>
      <c r="G281" s="41" t="n"/>
      <c r="H281" s="41" t="n"/>
      <c r="I281" s="44">
        <f>IF(AND(E281="",F281="",G281="",H281=""),"",IFERROR(E281*F281,0)+IFERROR(G281,0)+IFERROR(H281,0))</f>
        <v/>
      </c>
      <c r="J281" s="43" t="n"/>
      <c r="K281" s="44">
        <f>IF(OR(J281="",J281=0,I281=""),"",I281/J281)</f>
        <v/>
      </c>
      <c r="L281" s="39" t="n"/>
    </row>
    <row r="282">
      <c r="A282" s="38" t="n"/>
      <c r="B282" s="39" t="n"/>
      <c r="C282" s="39" t="n"/>
      <c r="D282" s="39" t="n"/>
      <c r="E282" s="40" t="n"/>
      <c r="F282" s="41" t="n"/>
      <c r="G282" s="41" t="n"/>
      <c r="H282" s="41" t="n"/>
      <c r="I282" s="44">
        <f>IF(AND(E282="",F282="",G282="",H282=""),"",IFERROR(E282*F282,0)+IFERROR(G282,0)+IFERROR(H282,0))</f>
        <v/>
      </c>
      <c r="J282" s="43" t="n"/>
      <c r="K282" s="44">
        <f>IF(OR(J282="",J282=0,I282=""),"",I282/J282)</f>
        <v/>
      </c>
      <c r="L282" s="39" t="n"/>
    </row>
    <row r="283">
      <c r="A283" s="38" t="n"/>
      <c r="B283" s="39" t="n"/>
      <c r="C283" s="39" t="n"/>
      <c r="D283" s="39" t="n"/>
      <c r="E283" s="40" t="n"/>
      <c r="F283" s="41" t="n"/>
      <c r="G283" s="41" t="n"/>
      <c r="H283" s="41" t="n"/>
      <c r="I283" s="44">
        <f>IF(AND(E283="",F283="",G283="",H283=""),"",IFERROR(E283*F283,0)+IFERROR(G283,0)+IFERROR(H283,0))</f>
        <v/>
      </c>
      <c r="J283" s="43" t="n"/>
      <c r="K283" s="44">
        <f>IF(OR(J283="",J283=0,I283=""),"",I283/J283)</f>
        <v/>
      </c>
      <c r="L283" s="39" t="n"/>
    </row>
    <row r="284">
      <c r="A284" s="38" t="n"/>
      <c r="B284" s="39" t="n"/>
      <c r="C284" s="39" t="n"/>
      <c r="D284" s="39" t="n"/>
      <c r="E284" s="40" t="n"/>
      <c r="F284" s="41" t="n"/>
      <c r="G284" s="41" t="n"/>
      <c r="H284" s="41" t="n"/>
      <c r="I284" s="44">
        <f>IF(AND(E284="",F284="",G284="",H284=""),"",IFERROR(E284*F284,0)+IFERROR(G284,0)+IFERROR(H284,0))</f>
        <v/>
      </c>
      <c r="J284" s="43" t="n"/>
      <c r="K284" s="44">
        <f>IF(OR(J284="",J284=0,I284=""),"",I284/J284)</f>
        <v/>
      </c>
      <c r="L284" s="39" t="n"/>
    </row>
    <row r="285">
      <c r="A285" s="38" t="n"/>
      <c r="B285" s="39" t="n"/>
      <c r="C285" s="39" t="n"/>
      <c r="D285" s="39" t="n"/>
      <c r="E285" s="40" t="n"/>
      <c r="F285" s="41" t="n"/>
      <c r="G285" s="41" t="n"/>
      <c r="H285" s="41" t="n"/>
      <c r="I285" s="44">
        <f>IF(AND(E285="",F285="",G285="",H285=""),"",IFERROR(E285*F285,0)+IFERROR(G285,0)+IFERROR(H285,0))</f>
        <v/>
      </c>
      <c r="J285" s="43" t="n"/>
      <c r="K285" s="44">
        <f>IF(OR(J285="",J285=0,I285=""),"",I285/J285)</f>
        <v/>
      </c>
      <c r="L285" s="39" t="n"/>
    </row>
    <row r="286">
      <c r="A286" s="38" t="n"/>
      <c r="B286" s="39" t="n"/>
      <c r="C286" s="39" t="n"/>
      <c r="D286" s="39" t="n"/>
      <c r="E286" s="40" t="n"/>
      <c r="F286" s="41" t="n"/>
      <c r="G286" s="41" t="n"/>
      <c r="H286" s="41" t="n"/>
      <c r="I286" s="44">
        <f>IF(AND(E286="",F286="",G286="",H286=""),"",IFERROR(E286*F286,0)+IFERROR(G286,0)+IFERROR(H286,0))</f>
        <v/>
      </c>
      <c r="J286" s="43" t="n"/>
      <c r="K286" s="44">
        <f>IF(OR(J286="",J286=0,I286=""),"",I286/J286)</f>
        <v/>
      </c>
      <c r="L286" s="39" t="n"/>
    </row>
    <row r="287">
      <c r="A287" s="38" t="n"/>
      <c r="B287" s="39" t="n"/>
      <c r="C287" s="39" t="n"/>
      <c r="D287" s="39" t="n"/>
      <c r="E287" s="40" t="n"/>
      <c r="F287" s="41" t="n"/>
      <c r="G287" s="41" t="n"/>
      <c r="H287" s="41" t="n"/>
      <c r="I287" s="44">
        <f>IF(AND(E287="",F287="",G287="",H287=""),"",IFERROR(E287*F287,0)+IFERROR(G287,0)+IFERROR(H287,0))</f>
        <v/>
      </c>
      <c r="J287" s="43" t="n"/>
      <c r="K287" s="44">
        <f>IF(OR(J287="",J287=0,I287=""),"",I287/J287)</f>
        <v/>
      </c>
      <c r="L287" s="39" t="n"/>
    </row>
    <row r="288">
      <c r="A288" s="38" t="n"/>
      <c r="B288" s="39" t="n"/>
      <c r="C288" s="39" t="n"/>
      <c r="D288" s="39" t="n"/>
      <c r="E288" s="40" t="n"/>
      <c r="F288" s="41" t="n"/>
      <c r="G288" s="41" t="n"/>
      <c r="H288" s="41" t="n"/>
      <c r="I288" s="44">
        <f>IF(AND(E288="",F288="",G288="",H288=""),"",IFERROR(E288*F288,0)+IFERROR(G288,0)+IFERROR(H288,0))</f>
        <v/>
      </c>
      <c r="J288" s="43" t="n"/>
      <c r="K288" s="44">
        <f>IF(OR(J288="",J288=0,I288=""),"",I288/J288)</f>
        <v/>
      </c>
      <c r="L288" s="39" t="n"/>
    </row>
    <row r="289">
      <c r="A289" s="38" t="n"/>
      <c r="B289" s="39" t="n"/>
      <c r="C289" s="39" t="n"/>
      <c r="D289" s="39" t="n"/>
      <c r="E289" s="40" t="n"/>
      <c r="F289" s="41" t="n"/>
      <c r="G289" s="41" t="n"/>
      <c r="H289" s="41" t="n"/>
      <c r="I289" s="44">
        <f>IF(AND(E289="",F289="",G289="",H289=""),"",IFERROR(E289*F289,0)+IFERROR(G289,0)+IFERROR(H289,0))</f>
        <v/>
      </c>
      <c r="J289" s="43" t="n"/>
      <c r="K289" s="44">
        <f>IF(OR(J289="",J289=0,I289=""),"",I289/J289)</f>
        <v/>
      </c>
      <c r="L289" s="39" t="n"/>
    </row>
    <row r="290">
      <c r="A290" s="38" t="n"/>
      <c r="B290" s="39" t="n"/>
      <c r="C290" s="39" t="n"/>
      <c r="D290" s="39" t="n"/>
      <c r="E290" s="40" t="n"/>
      <c r="F290" s="41" t="n"/>
      <c r="G290" s="41" t="n"/>
      <c r="H290" s="41" t="n"/>
      <c r="I290" s="44">
        <f>IF(AND(E290="",F290="",G290="",H290=""),"",IFERROR(E290*F290,0)+IFERROR(G290,0)+IFERROR(H290,0))</f>
        <v/>
      </c>
      <c r="J290" s="43" t="n"/>
      <c r="K290" s="44">
        <f>IF(OR(J290="",J290=0,I290=""),"",I290/J290)</f>
        <v/>
      </c>
      <c r="L290" s="39" t="n"/>
    </row>
    <row r="291">
      <c r="A291" s="38" t="n"/>
      <c r="B291" s="39" t="n"/>
      <c r="C291" s="39" t="n"/>
      <c r="D291" s="39" t="n"/>
      <c r="E291" s="40" t="n"/>
      <c r="F291" s="41" t="n"/>
      <c r="G291" s="41" t="n"/>
      <c r="H291" s="41" t="n"/>
      <c r="I291" s="44">
        <f>IF(AND(E291="",F291="",G291="",H291=""),"",IFERROR(E291*F291,0)+IFERROR(G291,0)+IFERROR(H291,0))</f>
        <v/>
      </c>
      <c r="J291" s="43" t="n"/>
      <c r="K291" s="44">
        <f>IF(OR(J291="",J291=0,I291=""),"",I291/J291)</f>
        <v/>
      </c>
      <c r="L291" s="39" t="n"/>
    </row>
    <row r="292">
      <c r="A292" s="38" t="n"/>
      <c r="B292" s="39" t="n"/>
      <c r="C292" s="39" t="n"/>
      <c r="D292" s="39" t="n"/>
      <c r="E292" s="40" t="n"/>
      <c r="F292" s="41" t="n"/>
      <c r="G292" s="41" t="n"/>
      <c r="H292" s="41" t="n"/>
      <c r="I292" s="44">
        <f>IF(AND(E292="",F292="",G292="",H292=""),"",IFERROR(E292*F292,0)+IFERROR(G292,0)+IFERROR(H292,0))</f>
        <v/>
      </c>
      <c r="J292" s="43" t="n"/>
      <c r="K292" s="44">
        <f>IF(OR(J292="",J292=0,I292=""),"",I292/J292)</f>
        <v/>
      </c>
      <c r="L292" s="39" t="n"/>
    </row>
    <row r="293">
      <c r="A293" s="38" t="n"/>
      <c r="B293" s="39" t="n"/>
      <c r="C293" s="39" t="n"/>
      <c r="D293" s="39" t="n"/>
      <c r="E293" s="40" t="n"/>
      <c r="F293" s="41" t="n"/>
      <c r="G293" s="41" t="n"/>
      <c r="H293" s="41" t="n"/>
      <c r="I293" s="44">
        <f>IF(AND(E293="",F293="",G293="",H293=""),"",IFERROR(E293*F293,0)+IFERROR(G293,0)+IFERROR(H293,0))</f>
        <v/>
      </c>
      <c r="J293" s="43" t="n"/>
      <c r="K293" s="44">
        <f>IF(OR(J293="",J293=0,I293=""),"",I293/J293)</f>
        <v/>
      </c>
      <c r="L293" s="39" t="n"/>
    </row>
    <row r="294">
      <c r="A294" s="38" t="n"/>
      <c r="B294" s="39" t="n"/>
      <c r="C294" s="39" t="n"/>
      <c r="D294" s="39" t="n"/>
      <c r="E294" s="40" t="n"/>
      <c r="F294" s="41" t="n"/>
      <c r="G294" s="41" t="n"/>
      <c r="H294" s="41" t="n"/>
      <c r="I294" s="44">
        <f>IF(AND(E294="",F294="",G294="",H294=""),"",IFERROR(E294*F294,0)+IFERROR(G294,0)+IFERROR(H294,0))</f>
        <v/>
      </c>
      <c r="J294" s="43" t="n"/>
      <c r="K294" s="44">
        <f>IF(OR(J294="",J294=0,I294=""),"",I294/J294)</f>
        <v/>
      </c>
      <c r="L294" s="39" t="n"/>
    </row>
    <row r="295">
      <c r="A295" s="38" t="n"/>
      <c r="B295" s="39" t="n"/>
      <c r="C295" s="39" t="n"/>
      <c r="D295" s="39" t="n"/>
      <c r="E295" s="40" t="n"/>
      <c r="F295" s="41" t="n"/>
      <c r="G295" s="41" t="n"/>
      <c r="H295" s="41" t="n"/>
      <c r="I295" s="44">
        <f>IF(AND(E295="",F295="",G295="",H295=""),"",IFERROR(E295*F295,0)+IFERROR(G295,0)+IFERROR(H295,0))</f>
        <v/>
      </c>
      <c r="J295" s="43" t="n"/>
      <c r="K295" s="44">
        <f>IF(OR(J295="",J295=0,I295=""),"",I295/J295)</f>
        <v/>
      </c>
      <c r="L295" s="39" t="n"/>
    </row>
    <row r="296">
      <c r="A296" s="38" t="n"/>
      <c r="B296" s="39" t="n"/>
      <c r="C296" s="39" t="n"/>
      <c r="D296" s="39" t="n"/>
      <c r="E296" s="40" t="n"/>
      <c r="F296" s="41" t="n"/>
      <c r="G296" s="41" t="n"/>
      <c r="H296" s="41" t="n"/>
      <c r="I296" s="44">
        <f>IF(AND(E296="",F296="",G296="",H296=""),"",IFERROR(E296*F296,0)+IFERROR(G296,0)+IFERROR(H296,0))</f>
        <v/>
      </c>
      <c r="J296" s="43" t="n"/>
      <c r="K296" s="44">
        <f>IF(OR(J296="",J296=0,I296=""),"",I296/J296)</f>
        <v/>
      </c>
      <c r="L296" s="39" t="n"/>
    </row>
    <row r="297">
      <c r="A297" s="38" t="n"/>
      <c r="B297" s="39" t="n"/>
      <c r="C297" s="39" t="n"/>
      <c r="D297" s="39" t="n"/>
      <c r="E297" s="40" t="n"/>
      <c r="F297" s="41" t="n"/>
      <c r="G297" s="41" t="n"/>
      <c r="H297" s="41" t="n"/>
      <c r="I297" s="44">
        <f>IF(AND(E297="",F297="",G297="",H297=""),"",IFERROR(E297*F297,0)+IFERROR(G297,0)+IFERROR(H297,0))</f>
        <v/>
      </c>
      <c r="J297" s="43" t="n"/>
      <c r="K297" s="44">
        <f>IF(OR(J297="",J297=0,I297=""),"",I297/J297)</f>
        <v/>
      </c>
      <c r="L297" s="39" t="n"/>
    </row>
    <row r="298">
      <c r="A298" s="38" t="n"/>
      <c r="B298" s="39" t="n"/>
      <c r="C298" s="39" t="n"/>
      <c r="D298" s="39" t="n"/>
      <c r="E298" s="40" t="n"/>
      <c r="F298" s="41" t="n"/>
      <c r="G298" s="41" t="n"/>
      <c r="H298" s="41" t="n"/>
      <c r="I298" s="44">
        <f>IF(AND(E298="",F298="",G298="",H298=""),"",IFERROR(E298*F298,0)+IFERROR(G298,0)+IFERROR(H298,0))</f>
        <v/>
      </c>
      <c r="J298" s="43" t="n"/>
      <c r="K298" s="44">
        <f>IF(OR(J298="",J298=0,I298=""),"",I298/J298)</f>
        <v/>
      </c>
      <c r="L298" s="39" t="n"/>
    </row>
    <row r="299">
      <c r="A299" s="38" t="n"/>
      <c r="B299" s="39" t="n"/>
      <c r="C299" s="39" t="n"/>
      <c r="D299" s="39" t="n"/>
      <c r="E299" s="40" t="n"/>
      <c r="F299" s="41" t="n"/>
      <c r="G299" s="41" t="n"/>
      <c r="H299" s="41" t="n"/>
      <c r="I299" s="44">
        <f>IF(AND(E299="",F299="",G299="",H299=""),"",IFERROR(E299*F299,0)+IFERROR(G299,0)+IFERROR(H299,0))</f>
        <v/>
      </c>
      <c r="J299" s="43" t="n"/>
      <c r="K299" s="44">
        <f>IF(OR(J299="",J299=0,I299=""),"",I299/J299)</f>
        <v/>
      </c>
      <c r="L299" s="39" t="n"/>
    </row>
    <row r="300">
      <c r="A300" s="38" t="n"/>
      <c r="B300" s="39" t="n"/>
      <c r="C300" s="39" t="n"/>
      <c r="D300" s="39" t="n"/>
      <c r="E300" s="40" t="n"/>
      <c r="F300" s="41" t="n"/>
      <c r="G300" s="41" t="n"/>
      <c r="H300" s="41" t="n"/>
      <c r="I300" s="44">
        <f>IF(AND(E300="",F300="",G300="",H300=""),"",IFERROR(E300*F300,0)+IFERROR(G300,0)+IFERROR(H300,0))</f>
        <v/>
      </c>
      <c r="J300" s="43" t="n"/>
      <c r="K300" s="44">
        <f>IF(OR(J300="",J300=0,I300=""),"",I300/J300)</f>
        <v/>
      </c>
      <c r="L300" s="39" t="n"/>
    </row>
    <row r="301">
      <c r="A301" s="38" t="n"/>
      <c r="B301" s="39" t="n"/>
      <c r="C301" s="39" t="n"/>
      <c r="D301" s="39" t="n"/>
      <c r="E301" s="40" t="n"/>
      <c r="F301" s="41" t="n"/>
      <c r="G301" s="41" t="n"/>
      <c r="H301" s="41" t="n"/>
      <c r="I301" s="44">
        <f>IF(AND(E301="",F301="",G301="",H301=""),"",IFERROR(E301*F301,0)+IFERROR(G301,0)+IFERROR(H301,0))</f>
        <v/>
      </c>
      <c r="J301" s="43" t="n"/>
      <c r="K301" s="44">
        <f>IF(OR(J301="",J301=0,I301=""),"",I301/J301)</f>
        <v/>
      </c>
      <c r="L301" s="39" t="n"/>
    </row>
    <row r="302">
      <c r="A302" s="38" t="n"/>
      <c r="B302" s="39" t="n"/>
      <c r="C302" s="39" t="n"/>
      <c r="D302" s="39" t="n"/>
      <c r="E302" s="40" t="n"/>
      <c r="F302" s="41" t="n"/>
      <c r="G302" s="41" t="n"/>
      <c r="H302" s="41" t="n"/>
      <c r="I302" s="44">
        <f>IF(AND(E302="",F302="",G302="",H302=""),"",IFERROR(E302*F302,0)+IFERROR(G302,0)+IFERROR(H302,0))</f>
        <v/>
      </c>
      <c r="J302" s="43" t="n"/>
      <c r="K302" s="44">
        <f>IF(OR(J302="",J302=0,I302=""),"",I302/J302)</f>
        <v/>
      </c>
      <c r="L302" s="39" t="n"/>
    </row>
    <row r="303">
      <c r="A303" s="38" t="n"/>
      <c r="B303" s="39" t="n"/>
      <c r="C303" s="39" t="n"/>
      <c r="D303" s="39" t="n"/>
      <c r="E303" s="40" t="n"/>
      <c r="F303" s="41" t="n"/>
      <c r="G303" s="41" t="n"/>
      <c r="H303" s="41" t="n"/>
      <c r="I303" s="44">
        <f>IF(AND(E303="",F303="",G303="",H303=""),"",IFERROR(E303*F303,0)+IFERROR(G303,0)+IFERROR(H303,0))</f>
        <v/>
      </c>
      <c r="J303" s="43" t="n"/>
      <c r="K303" s="44">
        <f>IF(OR(J303="",J303=0,I303=""),"",I303/J303)</f>
        <v/>
      </c>
      <c r="L303" s="39" t="n"/>
    </row>
    <row r="304">
      <c r="A304" s="38" t="n"/>
      <c r="B304" s="39" t="n"/>
      <c r="C304" s="39" t="n"/>
      <c r="D304" s="39" t="n"/>
      <c r="E304" s="40" t="n"/>
      <c r="F304" s="41" t="n"/>
      <c r="G304" s="41" t="n"/>
      <c r="H304" s="41" t="n"/>
      <c r="I304" s="44">
        <f>IF(AND(E304="",F304="",G304="",H304=""),"",IFERROR(E304*F304,0)+IFERROR(G304,0)+IFERROR(H304,0))</f>
        <v/>
      </c>
      <c r="J304" s="43" t="n"/>
      <c r="K304" s="44">
        <f>IF(OR(J304="",J304=0,I304=""),"",I304/J304)</f>
        <v/>
      </c>
      <c r="L304" s="39" t="n"/>
    </row>
    <row r="305">
      <c r="A305" s="38" t="n"/>
      <c r="B305" s="39" t="n"/>
      <c r="C305" s="39" t="n"/>
      <c r="D305" s="39" t="n"/>
      <c r="E305" s="40" t="n"/>
      <c r="F305" s="41" t="n"/>
      <c r="G305" s="41" t="n"/>
      <c r="H305" s="41" t="n"/>
      <c r="I305" s="44">
        <f>IF(AND(E305="",F305="",G305="",H305=""),"",IFERROR(E305*F305,0)+IFERROR(G305,0)+IFERROR(H305,0))</f>
        <v/>
      </c>
      <c r="J305" s="43" t="n"/>
      <c r="K305" s="44">
        <f>IF(OR(J305="",J305=0,I305=""),"",I305/J305)</f>
        <v/>
      </c>
      <c r="L305" s="39" t="n"/>
    </row>
  </sheetData>
  <mergeCells count="4">
    <mergeCell ref="J2:L2"/>
    <mergeCell ref="D2:I2"/>
    <mergeCell ref="A2:C2"/>
    <mergeCell ref="A4:L4"/>
  </mergeCells>
  <conditionalFormatting sqref="I6:I305">
    <cfRule type="expression" priority="1" dxfId="0">
      <formula>AND(I6&lt;&gt;"",I6&gt;150)</formula>
    </cfRule>
  </conditionalFormatting>
  <dataValidations count="2">
    <dataValidation sqref="B6:B305" showDropDown="0" showInputMessage="0" showErrorMessage="0" allowBlank="1" type="list">
      <formula1>=Settings!$B$9:$B$18</formula1>
    </dataValidation>
    <dataValidation sqref="C6:C305" showDropDown="0" showInputMessage="0" showErrorMessage="0" allowBlank="1" type="list">
      <formula1>=Settings!$B$20:$B$29</formula1>
    </dataValidation>
  </dataValidations>
  <pageMargins left="0.4" right="0.4" top="0.5" bottom="0.5" header="0.5" footer="0.5"/>
  <pageSetup orientation="landscape" paperSize="1" fitToHeight="0" fitToWidth="1"/>
</worksheet>
</file>

<file path=xl/worksheets/sheet3.xml><?xml version="1.0" encoding="utf-8"?>
<worksheet xmlns="http://schemas.openxmlformats.org/spreadsheetml/2006/main">
  <sheetPr>
    <tabColor rgb="00C9A24B"/>
    <outlinePr summaryBelow="1" summaryRight="1"/>
    <pageSetUpPr fitToPage="1"/>
  </sheetPr>
  <dimension ref="A1:L34"/>
  <sheetViews>
    <sheetView workbookViewId="0">
      <selection activeCell="A1" sqref="A1"/>
    </sheetView>
  </sheetViews>
  <sheetFormatPr baseColWidth="8" defaultRowHeight="15"/>
  <cols>
    <col width="26" customWidth="1" min="1" max="1"/>
    <col width="14" customWidth="1" min="2" max="2"/>
    <col width="16" customWidth="1" min="3" max="3"/>
    <col width="14" customWidth="1" min="4" max="4"/>
    <col width="14" customWidth="1" min="5" max="5"/>
  </cols>
  <sheetData>
    <row r="1" ht="8" customHeight="1">
      <c r="A1" s="1" t="n"/>
      <c r="B1" s="1" t="n"/>
      <c r="C1" s="1" t="n"/>
      <c r="D1" s="1" t="n"/>
      <c r="E1" s="1" t="n"/>
      <c r="F1" s="1" t="n"/>
      <c r="G1" s="1" t="n"/>
      <c r="H1" s="1" t="n"/>
      <c r="I1" s="1" t="n"/>
      <c r="J1" s="1" t="n"/>
      <c r="K1" s="1" t="n"/>
      <c r="L1" s="1" t="n"/>
    </row>
    <row r="2" ht="28" customHeight="1">
      <c r="A2" s="11">
        <f>HYPERLINK("#'Log'!A1", "← BACK")</f>
        <v/>
      </c>
      <c r="B2" s="12" t="n"/>
      <c r="C2" s="12" t="n"/>
      <c r="D2" s="35" t="inlineStr">
        <is>
          <t>SUMMARY · FOR YOUR CPA</t>
        </is>
      </c>
      <c r="J2" s="28">
        <f>HYPERLINK("#'Settings'!A1", "NEXT →")</f>
        <v/>
      </c>
      <c r="K2" s="29" t="n"/>
      <c r="L2" s="29" t="n"/>
    </row>
    <row r="3" ht="6" customHeight="1">
      <c r="A3" s="1" t="n"/>
      <c r="B3" s="1" t="n"/>
      <c r="C3" s="1" t="n"/>
      <c r="D3" s="1" t="n"/>
      <c r="E3" s="1" t="n"/>
      <c r="F3" s="1" t="n"/>
      <c r="G3" s="1" t="n"/>
      <c r="H3" s="1" t="n"/>
      <c r="I3" s="1" t="n"/>
      <c r="J3" s="1" t="n"/>
      <c r="K3" s="1" t="n"/>
      <c r="L3" s="1" t="n"/>
    </row>
    <row r="4" ht="18" customHeight="1">
      <c r="A4" s="36" t="inlineStr">
        <is>
          <t>📄 FOR YOUR CPA — print this tab. Per-property and per-month rollups.</t>
        </is>
      </c>
    </row>
    <row r="6" ht="18" customHeight="1">
      <c r="A6" s="45" t="inlineStr">
        <is>
          <t>YTD Turnovers:</t>
        </is>
      </c>
      <c r="B6" s="46">
        <f>COUNTIFS('Log'!$A$6:$A$305,"&gt;="&amp;DATE(Settings!$B$5,1,1),'Log'!$A$6:$A$305,"&lt;"&amp;DATE(Settings!$B$5+1,1,1))</f>
        <v/>
      </c>
    </row>
    <row r="7" ht="18" customHeight="1">
      <c r="A7" s="45" t="inlineStr">
        <is>
          <t>YTD Total Spent:</t>
        </is>
      </c>
      <c r="B7" s="42">
        <f>SUMIFS('Log'!$I$6:$I$305,'Log'!$A$6:$A$305,"&gt;="&amp;DATE(Settings!$B$5,1,1),'Log'!$A$6:$A$305,"&lt;"&amp;DATE(Settings!$B$5+1,1,1))</f>
        <v/>
      </c>
    </row>
    <row r="8" ht="18" customHeight="1">
      <c r="A8" s="45" t="inlineStr">
        <is>
          <t>Avg $/Turnover:</t>
        </is>
      </c>
      <c r="B8" s="42">
        <f>IFERROR(B7/B6,0)</f>
        <v/>
      </c>
    </row>
    <row r="9" ht="18" customHeight="1">
      <c r="A9" s="45" t="inlineStr">
        <is>
          <t>Avg $/Night:</t>
        </is>
      </c>
      <c r="B9" s="42">
        <f>IFERROR(SUMIFS('Log'!$I$6:$I$305,'Log'!$A$6:$A$305,"&gt;="&amp;DATE(Settings!$B$5,1,1),'Log'!$A$6:$A$305,"&lt;"&amp;DATE(Settings!$B$5+1,1,1)) / SUMIFS('Log'!$J$6:$J$305,'Log'!$A$6:$A$305,"&gt;="&amp;DATE(Settings!$B$5,1,1),'Log'!$A$6:$A$305,"&lt;"&amp;DATE(Settings!$B$5+1,1,1)),0)</f>
        <v/>
      </c>
    </row>
    <row r="10" ht="18" customHeight="1">
      <c r="A10" s="45" t="inlineStr">
        <is>
          <t>Most Expensive Month:</t>
        </is>
      </c>
      <c r="B10" s="47">
        <f>IFERROR(INDEX(A23:A34,MATCH(MAX(C23:C34),C23:C34,0)),"—")</f>
        <v/>
      </c>
    </row>
    <row r="11" ht="8" customHeight="1"/>
    <row r="12" ht="22" customHeight="1">
      <c r="A12" s="48" t="inlineStr">
        <is>
          <t>By Property</t>
        </is>
      </c>
    </row>
    <row r="13" ht="18" customHeight="1">
      <c r="A13" s="37" t="inlineStr">
        <is>
          <t>Property</t>
        </is>
      </c>
      <c r="B13" s="37" t="inlineStr">
        <is>
          <t>Turnovers</t>
        </is>
      </c>
      <c r="C13" s="37" t="inlineStr">
        <is>
          <t>Total $</t>
        </is>
      </c>
      <c r="D13" s="37" t="inlineStr">
        <is>
          <t>Avg $/Turn</t>
        </is>
      </c>
    </row>
    <row r="14" ht="16" customHeight="1">
      <c r="A14" s="49" t="inlineStr">
        <is>
          <t>Smokies Ridge</t>
        </is>
      </c>
      <c r="B14" s="46">
        <f>COUNTIFS('Log'!$B$6:$B$305,A14,'Log'!$A$6:$A$305,"&gt;="&amp;DATE(Settings!$B$5,1,1),'Log'!$A$6:$A$305,"&lt;"&amp;DATE(Settings!$B$5+1,1,1))</f>
        <v/>
      </c>
      <c r="C14" s="42">
        <f>SUMIFS('Log'!$I$6:$I$305,'Log'!$B$6:$B$305,A14,'Log'!$A$6:$A$305,"&gt;="&amp;DATE(Settings!$B$5,1,1),'Log'!$A$6:$A$305,"&lt;"&amp;DATE(Settings!$B$5+1,1,1))</f>
        <v/>
      </c>
      <c r="D14" s="42">
        <f>IFERROR(C14/B14,0)</f>
        <v/>
      </c>
    </row>
    <row r="15" ht="16" customHeight="1">
      <c r="A15" s="49" t="inlineStr">
        <is>
          <t>Creek Side</t>
        </is>
      </c>
      <c r="B15" s="46">
        <f>COUNTIFS('Log'!$B$6:$B$305,A15,'Log'!$A$6:$A$305,"&gt;="&amp;DATE(Settings!$B$5,1,1),'Log'!$A$6:$A$305,"&lt;"&amp;DATE(Settings!$B$5+1,1,1))</f>
        <v/>
      </c>
      <c r="C15" s="42">
        <f>SUMIFS('Log'!$I$6:$I$305,'Log'!$B$6:$B$305,A15,'Log'!$A$6:$A$305,"&gt;="&amp;DATE(Settings!$B$5,1,1),'Log'!$A$6:$A$305,"&lt;"&amp;DATE(Settings!$B$5+1,1,1))</f>
        <v/>
      </c>
      <c r="D15" s="42">
        <f>IFERROR(C15/B15,0)</f>
        <v/>
      </c>
    </row>
    <row r="16" ht="16" customHeight="1">
      <c r="A16" s="49" t="inlineStr">
        <is>
          <t>Lakehouse A</t>
        </is>
      </c>
      <c r="B16" s="46">
        <f>COUNTIFS('Log'!$B$6:$B$305,A16,'Log'!$A$6:$A$305,"&gt;="&amp;DATE(Settings!$B$5,1,1),'Log'!$A$6:$A$305,"&lt;"&amp;DATE(Settings!$B$5+1,1,1))</f>
        <v/>
      </c>
      <c r="C16" s="42">
        <f>SUMIFS('Log'!$I$6:$I$305,'Log'!$B$6:$B$305,A16,'Log'!$A$6:$A$305,"&gt;="&amp;DATE(Settings!$B$5,1,1),'Log'!$A$6:$A$305,"&lt;"&amp;DATE(Settings!$B$5+1,1,1))</f>
        <v/>
      </c>
      <c r="D16" s="42">
        <f>IFERROR(C16/B16,0)</f>
        <v/>
      </c>
    </row>
    <row r="17" ht="8" customHeight="1"/>
    <row r="21" ht="22" customHeight="1">
      <c r="A21" s="48" t="inlineStr">
        <is>
          <t>By Month</t>
        </is>
      </c>
    </row>
    <row r="22" ht="18" customHeight="1">
      <c r="A22" s="37" t="inlineStr">
        <is>
          <t>Month</t>
        </is>
      </c>
      <c r="B22" s="37" t="inlineStr">
        <is>
          <t>Turnovers</t>
        </is>
      </c>
      <c r="C22" s="37" t="inlineStr">
        <is>
          <t>Total $</t>
        </is>
      </c>
      <c r="D22" s="37" t="inlineStr">
        <is>
          <t>Avg $/Turn</t>
        </is>
      </c>
    </row>
    <row r="23" ht="16" customHeight="1">
      <c r="A23" s="49" t="inlineStr">
        <is>
          <t>Jan</t>
        </is>
      </c>
      <c r="B23" s="46">
        <f>COUNTIFS('Log'!$A$6:$A$305,"&gt;="&amp;DATE(Settings!$B$5,1,1),'Log'!$A$6:$A$305,"&lt;"&amp;DATE(Settings!$B$5,2,1))</f>
        <v/>
      </c>
      <c r="C23" s="42">
        <f>SUMIFS('Log'!$I$6:$I$305,'Log'!$A$6:$A$305,"&gt;="&amp;DATE(Settings!$B$5,1,1),'Log'!$A$6:$A$305,"&lt;"&amp;DATE(Settings!$B$5,2,1))</f>
        <v/>
      </c>
      <c r="D23" s="42">
        <f>IFERROR(C23/B23,0)</f>
        <v/>
      </c>
    </row>
    <row r="24" ht="16" customHeight="1">
      <c r="A24" s="49" t="inlineStr">
        <is>
          <t>Feb</t>
        </is>
      </c>
      <c r="B24" s="46">
        <f>COUNTIFS('Log'!$A$6:$A$305,"&gt;="&amp;DATE(Settings!$B$5,2,1),'Log'!$A$6:$A$305,"&lt;"&amp;DATE(Settings!$B$5,3,1))</f>
        <v/>
      </c>
      <c r="C24" s="42">
        <f>SUMIFS('Log'!$I$6:$I$305,'Log'!$A$6:$A$305,"&gt;="&amp;DATE(Settings!$B$5,2,1),'Log'!$A$6:$A$305,"&lt;"&amp;DATE(Settings!$B$5,3,1))</f>
        <v/>
      </c>
      <c r="D24" s="42">
        <f>IFERROR(C24/B24,0)</f>
        <v/>
      </c>
    </row>
    <row r="25" ht="16" customHeight="1">
      <c r="A25" s="49" t="inlineStr">
        <is>
          <t>Mar</t>
        </is>
      </c>
      <c r="B25" s="46">
        <f>COUNTIFS('Log'!$A$6:$A$305,"&gt;="&amp;DATE(Settings!$B$5,3,1),'Log'!$A$6:$A$305,"&lt;"&amp;DATE(Settings!$B$5,4,1))</f>
        <v/>
      </c>
      <c r="C25" s="42">
        <f>SUMIFS('Log'!$I$6:$I$305,'Log'!$A$6:$A$305,"&gt;="&amp;DATE(Settings!$B$5,3,1),'Log'!$A$6:$A$305,"&lt;"&amp;DATE(Settings!$B$5,4,1))</f>
        <v/>
      </c>
      <c r="D25" s="42">
        <f>IFERROR(C25/B25,0)</f>
        <v/>
      </c>
    </row>
    <row r="26" ht="16" customHeight="1">
      <c r="A26" s="49" t="inlineStr">
        <is>
          <t>Apr</t>
        </is>
      </c>
      <c r="B26" s="46">
        <f>COUNTIFS('Log'!$A$6:$A$305,"&gt;="&amp;DATE(Settings!$B$5,4,1),'Log'!$A$6:$A$305,"&lt;"&amp;DATE(Settings!$B$5,5,1))</f>
        <v/>
      </c>
      <c r="C26" s="42">
        <f>SUMIFS('Log'!$I$6:$I$305,'Log'!$A$6:$A$305,"&gt;="&amp;DATE(Settings!$B$5,4,1),'Log'!$A$6:$A$305,"&lt;"&amp;DATE(Settings!$B$5,5,1))</f>
        <v/>
      </c>
      <c r="D26" s="42">
        <f>IFERROR(C26/B26,0)</f>
        <v/>
      </c>
    </row>
    <row r="27" ht="16" customHeight="1">
      <c r="A27" s="49" t="inlineStr">
        <is>
          <t>May</t>
        </is>
      </c>
      <c r="B27" s="46">
        <f>COUNTIFS('Log'!$A$6:$A$305,"&gt;="&amp;DATE(Settings!$B$5,5,1),'Log'!$A$6:$A$305,"&lt;"&amp;DATE(Settings!$B$5,6,1))</f>
        <v/>
      </c>
      <c r="C27" s="42">
        <f>SUMIFS('Log'!$I$6:$I$305,'Log'!$A$6:$A$305,"&gt;="&amp;DATE(Settings!$B$5,5,1),'Log'!$A$6:$A$305,"&lt;"&amp;DATE(Settings!$B$5,6,1))</f>
        <v/>
      </c>
      <c r="D27" s="42">
        <f>IFERROR(C27/B27,0)</f>
        <v/>
      </c>
    </row>
    <row r="28" ht="16" customHeight="1">
      <c r="A28" s="49" t="inlineStr">
        <is>
          <t>Jun</t>
        </is>
      </c>
      <c r="B28" s="46">
        <f>COUNTIFS('Log'!$A$6:$A$305,"&gt;="&amp;DATE(Settings!$B$5,6,1),'Log'!$A$6:$A$305,"&lt;"&amp;DATE(Settings!$B$5,7,1))</f>
        <v/>
      </c>
      <c r="C28" s="42">
        <f>SUMIFS('Log'!$I$6:$I$305,'Log'!$A$6:$A$305,"&gt;="&amp;DATE(Settings!$B$5,6,1),'Log'!$A$6:$A$305,"&lt;"&amp;DATE(Settings!$B$5,7,1))</f>
        <v/>
      </c>
      <c r="D28" s="42">
        <f>IFERROR(C28/B28,0)</f>
        <v/>
      </c>
    </row>
    <row r="29" ht="16" customHeight="1">
      <c r="A29" s="49" t="inlineStr">
        <is>
          <t>Jul</t>
        </is>
      </c>
      <c r="B29" s="46">
        <f>COUNTIFS('Log'!$A$6:$A$305,"&gt;="&amp;DATE(Settings!$B$5,7,1),'Log'!$A$6:$A$305,"&lt;"&amp;DATE(Settings!$B$5,8,1))</f>
        <v/>
      </c>
      <c r="C29" s="42">
        <f>SUMIFS('Log'!$I$6:$I$305,'Log'!$A$6:$A$305,"&gt;="&amp;DATE(Settings!$B$5,7,1),'Log'!$A$6:$A$305,"&lt;"&amp;DATE(Settings!$B$5,8,1))</f>
        <v/>
      </c>
      <c r="D29" s="42">
        <f>IFERROR(C29/B29,0)</f>
        <v/>
      </c>
    </row>
    <row r="30" ht="16" customHeight="1">
      <c r="A30" s="49" t="inlineStr">
        <is>
          <t>Aug</t>
        </is>
      </c>
      <c r="B30" s="46">
        <f>COUNTIFS('Log'!$A$6:$A$305,"&gt;="&amp;DATE(Settings!$B$5,8,1),'Log'!$A$6:$A$305,"&lt;"&amp;DATE(Settings!$B$5,9,1))</f>
        <v/>
      </c>
      <c r="C30" s="42">
        <f>SUMIFS('Log'!$I$6:$I$305,'Log'!$A$6:$A$305,"&gt;="&amp;DATE(Settings!$B$5,8,1),'Log'!$A$6:$A$305,"&lt;"&amp;DATE(Settings!$B$5,9,1))</f>
        <v/>
      </c>
      <c r="D30" s="42">
        <f>IFERROR(C30/B30,0)</f>
        <v/>
      </c>
    </row>
    <row r="31" ht="16" customHeight="1">
      <c r="A31" s="49" t="inlineStr">
        <is>
          <t>Sep</t>
        </is>
      </c>
      <c r="B31" s="46">
        <f>COUNTIFS('Log'!$A$6:$A$305,"&gt;="&amp;DATE(Settings!$B$5,9,1),'Log'!$A$6:$A$305,"&lt;"&amp;DATE(Settings!$B$5,10,1))</f>
        <v/>
      </c>
      <c r="C31" s="42">
        <f>SUMIFS('Log'!$I$6:$I$305,'Log'!$A$6:$A$305,"&gt;="&amp;DATE(Settings!$B$5,9,1),'Log'!$A$6:$A$305,"&lt;"&amp;DATE(Settings!$B$5,10,1))</f>
        <v/>
      </c>
      <c r="D31" s="42">
        <f>IFERROR(C31/B31,0)</f>
        <v/>
      </c>
    </row>
    <row r="32" ht="16" customHeight="1">
      <c r="A32" s="49" t="inlineStr">
        <is>
          <t>Oct</t>
        </is>
      </c>
      <c r="B32" s="46">
        <f>COUNTIFS('Log'!$A$6:$A$305,"&gt;="&amp;DATE(Settings!$B$5,10,1),'Log'!$A$6:$A$305,"&lt;"&amp;DATE(Settings!$B$5,11,1))</f>
        <v/>
      </c>
      <c r="C32" s="42">
        <f>SUMIFS('Log'!$I$6:$I$305,'Log'!$A$6:$A$305,"&gt;="&amp;DATE(Settings!$B$5,10,1),'Log'!$A$6:$A$305,"&lt;"&amp;DATE(Settings!$B$5,11,1))</f>
        <v/>
      </c>
      <c r="D32" s="42">
        <f>IFERROR(C32/B32,0)</f>
        <v/>
      </c>
    </row>
    <row r="33" ht="16" customHeight="1">
      <c r="A33" s="49" t="inlineStr">
        <is>
          <t>Nov</t>
        </is>
      </c>
      <c r="B33" s="46">
        <f>COUNTIFS('Log'!$A$6:$A$305,"&gt;="&amp;DATE(Settings!$B$5,11,1),'Log'!$A$6:$A$305,"&lt;"&amp;DATE(Settings!$B$5,12,1))</f>
        <v/>
      </c>
      <c r="C33" s="42">
        <f>SUMIFS('Log'!$I$6:$I$305,'Log'!$A$6:$A$305,"&gt;="&amp;DATE(Settings!$B$5,11,1),'Log'!$A$6:$A$305,"&lt;"&amp;DATE(Settings!$B$5,12,1))</f>
        <v/>
      </c>
      <c r="D33" s="42">
        <f>IFERROR(C33/B33,0)</f>
        <v/>
      </c>
    </row>
    <row r="34" ht="16" customHeight="1">
      <c r="A34" s="49" t="inlineStr">
        <is>
          <t>Dec</t>
        </is>
      </c>
      <c r="B34" s="46">
        <f>COUNTIFS('Log'!$A$6:$A$305,"&gt;="&amp;DATE(Settings!$B$5,12,1),'Log'!$A$6:$A$305,"&lt;"&amp;DATE(Settings!$B$5+1,1,1))</f>
        <v/>
      </c>
      <c r="C34" s="42">
        <f>SUMIFS('Log'!$I$6:$I$305,'Log'!$A$6:$A$305,"&gt;="&amp;DATE(Settings!$B$5,12,1),'Log'!$A$6:$A$305,"&lt;"&amp;DATE(Settings!$B$5+1,1,1))</f>
        <v/>
      </c>
      <c r="D34" s="42">
        <f>IFERROR(C34/B34,0)</f>
        <v/>
      </c>
    </row>
  </sheetData>
  <mergeCells count="4">
    <mergeCell ref="J2:L2"/>
    <mergeCell ref="D2:I2"/>
    <mergeCell ref="A2:C2"/>
    <mergeCell ref="A4:L4"/>
  </mergeCells>
  <pageMargins left="0.5" right="0.5" top="0.5" bottom="0.5" header="0.5" footer="0.5"/>
  <pageSetup orientation="landscape" paperSize="1" fitToHeight="1" fitToWidth="1"/>
  <drawing xmlns:r="http://schemas.openxmlformats.org/officeDocument/2006/relationships" r:id="rId1"/>
</worksheet>
</file>

<file path=xl/worksheets/sheet4.xml><?xml version="1.0" encoding="utf-8"?>
<worksheet xmlns="http://schemas.openxmlformats.org/spreadsheetml/2006/main">
  <sheetPr>
    <tabColor rgb="00F6EFE2"/>
    <outlinePr summaryBelow="1" summaryRight="1"/>
    <pageSetUpPr/>
  </sheetPr>
  <dimension ref="A1:L47"/>
  <sheetViews>
    <sheetView workbookViewId="0">
      <selection activeCell="A1" sqref="A1"/>
    </sheetView>
  </sheetViews>
  <sheetFormatPr baseColWidth="8" defaultRowHeight="15"/>
  <cols>
    <col width="30" customWidth="1" min="1" max="1"/>
    <col width="22" customWidth="1" min="2" max="2"/>
    <col width="14" customWidth="1" min="3" max="3"/>
    <col width="14" customWidth="1" min="4" max="4"/>
    <col width="14" customWidth="1" min="5" max="5"/>
    <col width="14" customWidth="1" min="6" max="6"/>
  </cols>
  <sheetData>
    <row r="1" ht="8" customHeight="1">
      <c r="A1" s="1" t="n"/>
      <c r="B1" s="1" t="n"/>
      <c r="C1" s="1" t="n"/>
      <c r="D1" s="1" t="n"/>
      <c r="E1" s="1" t="n"/>
      <c r="F1" s="1" t="n"/>
      <c r="G1" s="1" t="n"/>
      <c r="H1" s="1" t="n"/>
      <c r="I1" s="1" t="n"/>
      <c r="J1" s="1" t="n"/>
      <c r="K1" s="1" t="n"/>
      <c r="L1" s="1" t="n"/>
    </row>
    <row r="2" ht="28" customHeight="1">
      <c r="A2" s="11">
        <f>HYPERLINK("#'Summary'!A1", "← BACK")</f>
        <v/>
      </c>
      <c r="B2" s="12" t="n"/>
      <c r="C2" s="12" t="n"/>
      <c r="D2" s="35" t="inlineStr">
        <is>
          <t>SETTINGS</t>
        </is>
      </c>
    </row>
    <row r="3" ht="6" customHeight="1">
      <c r="A3" s="1" t="n"/>
      <c r="B3" s="1" t="n"/>
      <c r="C3" s="1" t="n"/>
      <c r="D3" s="1" t="n"/>
      <c r="E3" s="1" t="n"/>
      <c r="F3" s="1" t="n"/>
      <c r="G3" s="1" t="n"/>
      <c r="H3" s="1" t="n"/>
      <c r="I3" s="1" t="n"/>
      <c r="J3" s="1" t="n"/>
      <c r="K3" s="1" t="n"/>
      <c r="L3" s="1" t="n"/>
    </row>
    <row r="4" ht="18" customHeight="1">
      <c r="A4" s="36" t="inlineStr">
        <is>
          <t>Active tax year · default rate · property/cleaner rosters · year-end archive</t>
        </is>
      </c>
    </row>
    <row r="5" ht="20" customHeight="1">
      <c r="A5" s="45" t="inlineStr">
        <is>
          <t>Active tax year:</t>
        </is>
      </c>
      <c r="B5" s="43" t="n">
        <v>2026</v>
      </c>
    </row>
    <row r="6" ht="22" customHeight="1">
      <c r="A6" s="50" t="inlineStr">
        <is>
          <t>Drives all date-filtered SUMIFS on the Summary tab. Bump this each January so historical years stay archived but separate.</t>
        </is>
      </c>
    </row>
    <row r="7" ht="18" customHeight="1">
      <c r="A7" s="45" t="inlineStr">
        <is>
          <t>Default hourly rate:</t>
        </is>
      </c>
      <c r="B7" s="41" t="n">
        <v>35</v>
      </c>
    </row>
    <row r="8" ht="20" customHeight="1">
      <c r="A8" s="51" t="inlineStr">
        <is>
          <t>Property roster (up to 10):</t>
        </is>
      </c>
    </row>
    <row r="9" ht="16" customHeight="1">
      <c r="B9" s="39" t="inlineStr">
        <is>
          <t>Smokies Ridge</t>
        </is>
      </c>
    </row>
    <row r="10" ht="16" customHeight="1">
      <c r="B10" s="39" t="inlineStr">
        <is>
          <t>Creek Side</t>
        </is>
      </c>
    </row>
    <row r="11" ht="16" customHeight="1">
      <c r="B11" s="39" t="inlineStr">
        <is>
          <t>Lakehouse A</t>
        </is>
      </c>
    </row>
    <row r="12" ht="16" customHeight="1">
      <c r="B12" s="39" t="n"/>
    </row>
    <row r="13" ht="16" customHeight="1">
      <c r="B13" s="39" t="n"/>
    </row>
    <row r="14" ht="16" customHeight="1">
      <c r="B14" s="39" t="n"/>
    </row>
    <row r="15" ht="16" customHeight="1">
      <c r="B15" s="39" t="n"/>
    </row>
    <row r="16" ht="16" customHeight="1">
      <c r="B16" s="39" t="n"/>
    </row>
    <row r="17" ht="16" customHeight="1">
      <c r="B17" s="39" t="n"/>
    </row>
    <row r="18" ht="16" customHeight="1">
      <c r="B18" s="39" t="n"/>
    </row>
    <row r="19" ht="20" customHeight="1">
      <c r="A19" s="51" t="inlineStr">
        <is>
          <t>Cleaner roster (up to 10):</t>
        </is>
      </c>
    </row>
    <row r="20" ht="16" customHeight="1">
      <c r="B20" s="39" t="inlineStr">
        <is>
          <t>Jamie M.</t>
        </is>
      </c>
    </row>
    <row r="21" ht="16" customHeight="1">
      <c r="B21" s="39" t="inlineStr">
        <is>
          <t>Carla R.</t>
        </is>
      </c>
    </row>
    <row r="22" ht="16" customHeight="1">
      <c r="B22" s="39" t="inlineStr">
        <is>
          <t>Pete H.</t>
        </is>
      </c>
    </row>
    <row r="23" ht="16" customHeight="1">
      <c r="B23" s="39" t="inlineStr">
        <is>
          <t>BrightHome Co.</t>
        </is>
      </c>
    </row>
    <row r="24" ht="16" customHeight="1">
      <c r="B24" s="39" t="n"/>
    </row>
    <row r="25" ht="16" customHeight="1">
      <c r="B25" s="39" t="n"/>
    </row>
    <row r="26" ht="16" customHeight="1">
      <c r="B26" s="39" t="n"/>
    </row>
    <row r="27" ht="16" customHeight="1">
      <c r="B27" s="39" t="n"/>
    </row>
    <row r="28" ht="16" customHeight="1">
      <c r="B28" s="39" t="n"/>
    </row>
    <row r="29" ht="16" customHeight="1">
      <c r="B29" s="39" t="n"/>
    </row>
    <row r="37" ht="10" customHeight="1"/>
    <row r="38" ht="22" customHeight="1">
      <c r="A38" s="48" t="inlineStr">
        <is>
          <t>Year-end Archive</t>
        </is>
      </c>
    </row>
    <row r="39" ht="24" customHeight="1">
      <c r="A39" s="52" t="inlineStr">
        <is>
          <t>Each January, copy YTD totals into the row for the closing year, then clear the Log for the new year.</t>
        </is>
      </c>
    </row>
    <row r="40" ht="18" customHeight="1">
      <c r="A40" s="37" t="inlineStr">
        <is>
          <t>Year</t>
        </is>
      </c>
      <c r="B40" s="37" t="inlineStr">
        <is>
          <t>Turnovers</t>
        </is>
      </c>
      <c r="C40" s="37" t="inlineStr">
        <is>
          <t>Total $</t>
        </is>
      </c>
      <c r="D40" s="37" t="inlineStr">
        <is>
          <t>Avg $/Turn</t>
        </is>
      </c>
      <c r="E40" s="37" t="inlineStr">
        <is>
          <t>Avg $/Night</t>
        </is>
      </c>
    </row>
    <row r="41" ht="16" customHeight="1">
      <c r="A41" s="49" t="n">
        <v>2024</v>
      </c>
      <c r="B41" s="43" t="n"/>
      <c r="C41" s="41" t="n"/>
      <c r="D41" s="41" t="n"/>
      <c r="E41" s="41" t="n"/>
    </row>
    <row r="42" ht="16" customHeight="1">
      <c r="A42" s="49" t="n">
        <v>2025</v>
      </c>
      <c r="B42" s="43" t="n"/>
      <c r="C42" s="41" t="n"/>
      <c r="D42" s="41" t="n"/>
      <c r="E42" s="41" t="n"/>
    </row>
    <row r="43" ht="16" customHeight="1">
      <c r="A43" s="49" t="n">
        <v>2026</v>
      </c>
      <c r="B43" s="43" t="n"/>
      <c r="C43" s="41" t="n"/>
      <c r="D43" s="41" t="n"/>
      <c r="E43" s="41" t="n"/>
    </row>
    <row r="44" ht="16" customHeight="1">
      <c r="A44" s="49" t="n">
        <v>2027</v>
      </c>
      <c r="B44" s="43" t="n"/>
      <c r="C44" s="41" t="n"/>
      <c r="D44" s="41" t="n"/>
      <c r="E44" s="41" t="n"/>
    </row>
    <row r="45" ht="16" customHeight="1">
      <c r="A45" s="49" t="n">
        <v>2028</v>
      </c>
      <c r="B45" s="43" t="n"/>
      <c r="C45" s="41" t="n"/>
      <c r="D45" s="41" t="n"/>
      <c r="E45" s="41" t="n"/>
    </row>
    <row r="46" ht="16" customHeight="1">
      <c r="A46" s="49" t="n">
        <v>2029</v>
      </c>
      <c r="B46" s="43" t="n"/>
      <c r="C46" s="41" t="n"/>
      <c r="D46" s="41" t="n"/>
      <c r="E46" s="41" t="n"/>
    </row>
    <row r="47" ht="16" customHeight="1">
      <c r="A47" s="49" t="n">
        <v>2030</v>
      </c>
      <c r="B47" s="43" t="n"/>
      <c r="C47" s="41" t="n"/>
      <c r="D47" s="41" t="n"/>
      <c r="E47" s="41" t="n"/>
    </row>
  </sheetData>
  <mergeCells count="5">
    <mergeCell ref="D2:L2"/>
    <mergeCell ref="A6:F6"/>
    <mergeCell ref="A39:F39"/>
    <mergeCell ref="A2:C2"/>
    <mergeCell ref="A4:L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STR Ledger</dc:creator>
  <dc:title xmlns:dc="http://purl.org/dc/elements/1.1/">Cleaning Cost per Turnover (DEMO) — The STR Ledger</dc:title>
  <dc:description xmlns:dc="http://purl.org/dc/elements/1.1/">Track turnover cleaning cost — true cost per turnover and per night to inform cleaning-fee pricing.</dc:description>
  <dcterms:created xmlns:dcterms="http://purl.org/dc/terms/" xmlns:xsi="http://www.w3.org/2001/XMLSchema-instance" xsi:type="dcterms:W3CDTF">2026-05-03T12:25:25Z</dcterms:created>
  <dcterms:modified xmlns:dcterms="http://purl.org/dc/terms/" xmlns:xsi="http://www.w3.org/2001/XMLSchema-instance" xsi:type="dcterms:W3CDTF">2026-05-03T12:25:25Z</dcterms:modified>
</cp:coreProperties>
</file>