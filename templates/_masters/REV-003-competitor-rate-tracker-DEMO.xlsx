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Comp Set" sheetId="2" state="visible" r:id="rId2"/>
    <sheet xmlns:r="http://schemas.openxmlformats.org/officeDocument/2006/relationships" name="Weekly Snapshots" sheetId="3" state="visible" r:id="rId3"/>
    <sheet xmlns:r="http://schemas.openxmlformats.org/officeDocument/2006/relationships" name="Position Trend" sheetId="4" state="visible" r:id="rId4"/>
    <sheet xmlns:r="http://schemas.openxmlformats.org/officeDocument/2006/relationships" name="Settings" sheetId="5" state="visible" r:id="rId5"/>
  </sheets>
  <definedNames>
    <definedName name="_xlnm.Print_Area" localSheetId="0">'Start'!$A$1:$L$46</definedName>
    <definedName name="_xlnm.Print_Area" localSheetId="1">'Comp Set'!$A$1:$I$22</definedName>
    <definedName name="_xlnm.Print_Titles" localSheetId="2">'Weekly Snapshots'!$1:$6</definedName>
    <definedName name="_xlnm.Print_Area" localSheetId="2">'Weekly Snapshots'!$A$1:$O$62</definedName>
    <definedName name="_xlnm.Print_Area" localSheetId="3">'Position Trend'!$A$1:$L$36</definedName>
    <definedName name="_xlnm.Print_Area" localSheetId="4">'Settings'!$A$1:$L$21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+0%;-0%;0%"/>
    <numFmt numFmtId="166" formatCode="0.0"/>
    <numFmt numFmtId="167" formatCode="yyyy-mm-dd"/>
  </numFmts>
  <fonts count="27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6"/>
    </font>
    <font>
      <name val="Georgia"/>
      <i val="1"/>
      <color rgb="00C9A24B"/>
      <sz val="14"/>
    </font>
    <font>
      <name val="Georgia"/>
      <b val="1"/>
      <color rgb="00C9A24B"/>
      <sz val="16"/>
    </font>
    <font>
      <name val="Consolas"/>
      <color rgb="00C9A24B"/>
      <sz val="9"/>
    </font>
    <font>
      <name val="Consolas"/>
      <b val="1"/>
      <color rgb="0012304E"/>
      <sz val="10"/>
    </font>
    <font>
      <name val="Calibri"/>
      <color rgb="002B2B2B"/>
      <sz val="11"/>
    </font>
    <font>
      <name val="Georgia"/>
      <b val="1"/>
      <color rgb="00F6EFE2"/>
      <sz val="13"/>
    </font>
    <font>
      <name val="Consolas"/>
      <b val="1"/>
      <color rgb="0012304E"/>
      <sz val="9"/>
    </font>
    <font>
      <name val="Georgia"/>
      <b val="1"/>
      <color rgb="0012304E"/>
      <sz val="28"/>
    </font>
    <font>
      <name val="Calibri"/>
      <color rgb="006B7280"/>
      <sz val="9"/>
    </font>
    <font>
      <name val="Consolas"/>
      <b val="1"/>
      <color rgb="00B5725E"/>
      <sz val="9"/>
    </font>
    <font>
      <name val="Georgia"/>
      <b val="1"/>
      <color rgb="00B5725E"/>
      <sz val="28"/>
    </font>
    <font>
      <name val="Consolas"/>
      <b val="1"/>
      <color rgb="00C9A24B"/>
      <sz val="9"/>
    </font>
    <font>
      <name val="Georgia"/>
      <b val="1"/>
      <color rgb="00C9A24B"/>
      <sz val="28"/>
    </font>
    <font>
      <name val="Georgia"/>
      <b val="1"/>
      <color rgb="0012304E"/>
      <sz val="13"/>
    </font>
    <font>
      <name val="Calibri"/>
      <i val="1"/>
      <color rgb="00B91C1C"/>
      <sz val="10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10"/>
    </font>
    <font>
      <name val="Calibri"/>
      <i val="1"/>
      <color rgb="002B2B2B"/>
      <sz val="10"/>
    </font>
    <font>
      <name val="Calibri"/>
      <i val="1"/>
      <color rgb="006B7280"/>
      <sz val="10"/>
    </font>
    <font>
      <name val="Calibri"/>
      <i val="1"/>
      <color rgb="002B2B2B"/>
      <sz val="11"/>
    </font>
    <font>
      <name val="Calibri"/>
      <b val="1"/>
      <color rgb="002B2B2B"/>
      <sz val="11"/>
    </font>
    <font>
      <name val="Georgia"/>
      <b val="1"/>
      <color rgb="00C9A24B"/>
      <sz val="18"/>
    </font>
  </fonts>
  <fills count="9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E2C884"/>
      </patternFill>
    </fill>
    <fill>
      <patternFill patternType="solid">
        <fgColor rgb="00EFE5D0"/>
      </patternFill>
    </fill>
    <fill>
      <patternFill patternType="solid">
        <fgColor rgb="00C9A24B"/>
      </patternFill>
    </fill>
    <fill>
      <patternFill patternType="solid">
        <fgColor rgb="00FFF7D6"/>
      </patternFill>
    </fill>
    <fill>
      <patternFill patternType="solid">
        <fgColor rgb="00EDEDED"/>
      </patternFill>
    </fill>
  </fills>
  <borders count="15">
    <border>
      <left/>
      <right/>
      <top/>
      <bottom/>
      <diagonal/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left style="thin">
        <color rgb="00C9A24B"/>
      </left>
      <right/>
      <top style="thin">
        <color rgb="00C9A24B"/>
      </top>
      <bottom/>
    </border>
    <border>
      <left/>
      <right/>
      <top style="thin">
        <color rgb="00C9A24B"/>
      </top>
      <bottom/>
    </border>
    <border>
      <left/>
      <right style="thin">
        <color rgb="00C9A24B"/>
      </right>
      <top style="thin">
        <color rgb="00C9A24B"/>
      </top>
      <bottom/>
    </border>
    <border>
      <left style="thin">
        <color rgb="00C9A24B"/>
      </left>
      <right/>
      <top/>
      <bottom/>
    </border>
    <border>
      <left/>
      <right/>
      <top/>
      <bottom/>
    </border>
    <border>
      <left/>
      <right style="thin">
        <color rgb="00C9A24B"/>
      </right>
      <top/>
      <bottom/>
    </border>
    <border>
      <left style="thin">
        <color rgb="00C9A24B"/>
      </left>
      <right/>
      <top/>
      <bottom style="thin">
        <color rgb="00C9A24B"/>
      </bottom>
    </border>
    <border>
      <left/>
      <right/>
      <top/>
      <bottom style="thin">
        <color rgb="00C9A24B"/>
      </bottom>
    </border>
    <border>
      <left/>
      <right style="thin">
        <color rgb="00C9A24B"/>
      </right>
      <top/>
      <bottom style="thin">
        <color rgb="00C9A24B"/>
      </bottom>
    </border>
    <border>
      <left style="thin">
        <color rgb="00C9A24B"/>
      </left>
      <right style="thin">
        <color rgb="00C9A24B"/>
      </right>
      <top style="thin">
        <color rgb="00C9A24B"/>
      </top>
      <bottom style="thin">
        <color rgb="00C9A24B"/>
      </bottom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top style="thin">
        <color rgb="00C9A24B"/>
      </top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 indent="2"/>
    </xf>
    <xf numFmtId="0" fontId="7" fillId="3" borderId="0" applyAlignment="1" pivotButton="0" quotePrefix="0" xfId="0">
      <alignment horizontal="left" vertical="center" wrapText="1" indent="2"/>
    </xf>
    <xf numFmtId="0" fontId="0" fillId="3" borderId="0" pivotButton="0" quotePrefix="0" xfId="0"/>
    <xf numFmtId="0" fontId="7" fillId="5" borderId="0" applyAlignment="1" pivotButton="0" quotePrefix="0" xfId="0">
      <alignment horizontal="left" vertical="center" wrapText="1" indent="2"/>
    </xf>
    <xf numFmtId="0" fontId="8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9" fillId="3" borderId="2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12" fillId="3" borderId="2" applyAlignment="1" pivotButton="0" quotePrefix="0" xfId="0">
      <alignment horizontal="center"/>
    </xf>
    <xf numFmtId="0" fontId="14" fillId="3" borderId="2" applyAlignment="1" pivotButton="0" quotePrefix="0" xfId="0">
      <alignment horizontal="center"/>
    </xf>
    <xf numFmtId="164" fontId="10" fillId="3" borderId="5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164" fontId="13" fillId="3" borderId="5" applyAlignment="1" pivotButton="0" quotePrefix="0" xfId="0">
      <alignment horizontal="center" vertical="center"/>
    </xf>
    <xf numFmtId="165" fontId="15" fillId="3" borderId="5" applyAlignment="1" pivotButton="0" quotePrefix="0" xfId="0">
      <alignment horizontal="center" vertical="center"/>
    </xf>
    <xf numFmtId="0" fontId="0" fillId="0" borderId="5" pivotButton="0" quotePrefix="0" xfId="0"/>
    <xf numFmtId="0" fontId="11" fillId="3" borderId="8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16" fillId="3" borderId="11" applyAlignment="1" pivotButton="0" quotePrefix="0" xfId="0">
      <alignment horizontal="center" vertical="center" wrapText="1"/>
    </xf>
    <xf numFmtId="0" fontId="0" fillId="0" borderId="11" pivotButton="0" quotePrefix="0" xfId="0"/>
    <xf numFmtId="0" fontId="16" fillId="6" borderId="12" applyAlignment="1" pivotButton="0" quotePrefix="0" xfId="0">
      <alignment horizontal="center" vertical="center" wrapText="1"/>
    </xf>
    <xf numFmtId="0" fontId="0" fillId="0" borderId="12" pivotButton="0" quotePrefix="0" xfId="0"/>
    <xf numFmtId="0" fontId="17" fillId="0" borderId="0" applyAlignment="1" pivotButton="0" quotePrefix="0" xfId="0">
      <alignment horizontal="center" vertical="center" wrapText="1"/>
    </xf>
    <xf numFmtId="0" fontId="18" fillId="6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1" fillId="2" borderId="0" applyAlignment="1" pivotButton="0" quotePrefix="0" xfId="0">
      <alignment horizontal="right" vertical="center" indent="2"/>
    </xf>
    <xf numFmtId="0" fontId="22" fillId="3" borderId="0" applyAlignment="1" pivotButton="0" quotePrefix="0" xfId="0">
      <alignment horizontal="left" vertical="center" indent="1"/>
    </xf>
    <xf numFmtId="0" fontId="18" fillId="2" borderId="14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left" vertical="center"/>
    </xf>
    <xf numFmtId="1" fontId="7" fillId="7" borderId="0" applyAlignment="1" pivotButton="0" quotePrefix="0" xfId="0">
      <alignment horizontal="left" vertical="center"/>
    </xf>
    <xf numFmtId="166" fontId="7" fillId="7" borderId="0" applyAlignment="1" pivotButton="0" quotePrefix="0" xfId="0">
      <alignment horizontal="left" vertical="center"/>
    </xf>
    <xf numFmtId="0" fontId="23" fillId="0" borderId="0" applyAlignment="1" pivotButton="0" quotePrefix="0" xfId="0">
      <alignment horizontal="left" vertical="center" wrapText="1" indent="1"/>
    </xf>
    <xf numFmtId="0" fontId="19" fillId="0" borderId="0" applyAlignment="1" pivotButton="0" quotePrefix="0" xfId="0">
      <alignment horizontal="left" vertical="center" indent="1"/>
    </xf>
    <xf numFmtId="164" fontId="7" fillId="7" borderId="0" applyAlignment="1" pivotButton="0" quotePrefix="0" xfId="0">
      <alignment horizontal="left" vertical="center"/>
    </xf>
    <xf numFmtId="164" fontId="24" fillId="8" borderId="0" applyAlignment="1" pivotButton="0" quotePrefix="0" xfId="0">
      <alignment horizontal="right" vertical="center"/>
    </xf>
    <xf numFmtId="165" fontId="24" fillId="8" borderId="0" applyAlignment="1" pivotButton="0" quotePrefix="0" xfId="0">
      <alignment horizontal="right" vertical="center"/>
    </xf>
    <xf numFmtId="0" fontId="25" fillId="0" borderId="2" applyAlignment="1" pivotButton="0" quotePrefix="0" xfId="0">
      <alignment horizontal="right" vertical="center"/>
    </xf>
    <xf numFmtId="0" fontId="23" fillId="0" borderId="8" applyAlignment="1" pivotButton="0" quotePrefix="0" xfId="0">
      <alignment horizontal="right" vertical="center"/>
    </xf>
    <xf numFmtId="165" fontId="26" fillId="8" borderId="10" applyAlignment="1" pivotButton="0" quotePrefix="0" xfId="0">
      <alignment horizontal="center" vertical="center"/>
    </xf>
    <xf numFmtId="0" fontId="25" fillId="0" borderId="0" applyAlignment="1" pivotButton="0" quotePrefix="0" xfId="0">
      <alignment horizontal="right" vertical="center"/>
    </xf>
    <xf numFmtId="167" fontId="7" fillId="7" borderId="0" applyAlignment="1" pivotButton="0" quotePrefix="0" xfId="0">
      <alignment horizontal="left" vertical="center"/>
    </xf>
    <xf numFmtId="0" fontId="16" fillId="0" borderId="0" pivotButton="0" quotePrefix="0" xfId="0"/>
    <xf numFmtId="0" fontId="7" fillId="0" borderId="0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My rate vs comp avg</a:t>
            </a:r>
          </a:p>
        </rich>
      </tx>
    </title>
    <plotArea>
      <lineChart>
        <grouping val="standard"/>
        <ser>
          <idx val="0"/>
          <order val="0"/>
          <tx>
            <strRef>
              <f>'Weekly Snapshots'!C6</f>
            </strRef>
          </tx>
          <spPr>
            <a:solidFill xmlns:a="http://schemas.openxmlformats.org/drawingml/2006/main">
              <a:srgbClr val="12304E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'Weekly Snapshots'!$A$7:$A$58</f>
            </numRef>
          </cat>
          <val>
            <numRef>
              <f>'Weekly Snapshots'!$C$7:$C$58</f>
            </numRef>
          </val>
        </ser>
        <ser>
          <idx val="1"/>
          <order val="1"/>
          <tx>
            <strRef>
              <f>'Weekly Snapshots'!N6</f>
            </strRef>
          </tx>
          <spPr>
            <a:solidFill xmlns:a="http://schemas.openxmlformats.org/drawingml/2006/main">
              <a:srgbClr val="C9A24B"/>
            </a:solidFill>
            <a:ln xmlns:a="http://schemas.openxmlformats.org/drawingml/2006/main" w="4500">
              <a:solidFill>
                <a:srgbClr val="0A1F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'Weekly Snapshots'!$A$7:$A$58</f>
            </numRef>
          </cat>
          <val>
            <numRef>
              <f>'Weekly Snapshots'!$N$7:$N$58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Week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Nightly rate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10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4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8" customHeight="1">
      <c r="A4" s="3" t="inlineStr">
        <is>
          <t>Competitor Rate Tracker</t>
        </is>
      </c>
    </row>
    <row r="5" ht="22" customHeight="1">
      <c r="A5" s="4" t="inlineStr">
        <is>
          <t>Know where your nightly rate sits — without paying $20/mo.</t>
        </is>
      </c>
    </row>
    <row r="6" ht="32" customHeight="1">
      <c r="A6" s="5">
        <f>IF(COUNT('Weekly Snapshots'!N7:N58)=0,"📊  Add comp rates this week to see your verdict.",IF('Position Trend'!B7&lt;-0.05,"⚠  You're "&amp;TEXT(ABS('Position Trend'!B7),"0%")&amp;" below comp avg (trailing 4 weeks) — room to lift.",IF('Position Trend'!B7&gt;0.05,"💰  You're "&amp;TEXT('Position Trend'!B7,"0%")&amp;" above comp avg (trailing 4 weeks) — protect occupancy.","✅  Within 5% of comp avg (trailing 4 weeks) — priced in line.")))</f>
        <v/>
      </c>
    </row>
    <row r="7" ht="22" customHeight="1">
      <c r="A7" s="6" t="inlineStr">
        <is>
          <t>REV-003 · v2.2 · DEMO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10" ht="20" customHeight="1">
      <c r="A10" s="7" t="inlineStr">
        <is>
          <t>WHAT THIS DOES</t>
        </is>
      </c>
    </row>
    <row r="11">
      <c r="A11" s="8" t="inlineStr">
        <is>
          <t>Pick 6-10 comp listings on Airbnb/VRBO. Each Monday, snapshot their nightly rate for the next 4 weekends and type the numbers into the Weekly Snapshots tab. The workbook tracks how your rate is moving relative to the comp set average — so you can lift before holiday weekends and hold steady when comps drop. No scraping, no subscription, no API.</t>
        </is>
      </c>
    </row>
    <row r="12"/>
    <row r="13"/>
    <row r="14"/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</row>
    <row r="17" ht="20" customHeight="1">
      <c r="A17" s="7" t="inlineStr">
        <is>
          <t>HOW TO USE</t>
        </is>
      </c>
    </row>
    <row r="18" ht="18" customHeight="1">
      <c r="A18" s="10" t="inlineStr">
        <is>
          <t>① Comp Set: pick 6-10 lookalike listings (same BR/BA, area, capacity).</t>
        </is>
      </c>
    </row>
    <row r="19" ht="18" customHeight="1">
      <c r="A19" s="10" t="inlineStr">
        <is>
          <t>② Weekly Snapshots: each Monday, type comp nightly rates and your own.</t>
        </is>
      </c>
    </row>
    <row r="20" ht="18" customHeight="1">
      <c r="A20" s="10" t="inlineStr">
        <is>
          <t>③ Position Trend: watch your position % vs the comp average across weeks.</t>
        </is>
      </c>
    </row>
    <row r="21" ht="18" customHeight="1">
      <c r="A21" s="10" t="inlineStr">
        <is>
          <t>④ Lift before holiday weekends when comps move; hold when they drop.</t>
        </is>
      </c>
    </row>
    <row r="22" ht="18" customHeight="1">
      <c r="A22" s="10" t="inlineStr">
        <is>
          <t>⑤ Settings: bump 'Active year' each January and clear last year's data.</t>
        </is>
      </c>
    </row>
    <row r="23" ht="18" customHeight="1">
      <c r="A23" s="10" t="inlineStr">
        <is>
          <t>⑥ No automated scraping — manual snapshots only (Airbnb/VRBO ToS).</t>
        </is>
      </c>
    </row>
    <row r="25" ht="22" customHeight="1">
      <c r="A25" s="11">
        <f>HYPERLINK("#'Weekly Snapshots'!A1", "→  OPEN WEEKLY SNAPSHOTS")</f>
        <v/>
      </c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</row>
    <row r="26" ht="22" customHeight="1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</row>
    <row r="27" ht="22" customHeight="1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</row>
    <row r="28" ht="22" customHeight="1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</row>
    <row r="30">
      <c r="A30" s="13" t="inlineStr">
        <is>
          <t>MY AVG RATE</t>
        </is>
      </c>
      <c r="B30" s="14" t="n"/>
      <c r="C30" s="14" t="n"/>
      <c r="D30" s="15" t="n"/>
      <c r="E30" s="16" t="inlineStr">
        <is>
          <t>COMP SET AVG</t>
        </is>
      </c>
      <c r="F30" s="14" t="n"/>
      <c r="G30" s="14" t="n"/>
      <c r="H30" s="15" t="n"/>
      <c r="I30" s="17" t="inlineStr">
        <is>
          <t>MY POSITION</t>
        </is>
      </c>
      <c r="J30" s="14" t="n"/>
      <c r="K30" s="14" t="n"/>
      <c r="L30" s="15" t="n"/>
    </row>
    <row r="31">
      <c r="A31" s="18">
        <f>IFERROR(AVERAGE('Weekly Snapshots'!C7:C58),0)</f>
        <v/>
      </c>
      <c r="B31" s="19" t="n"/>
      <c r="C31" s="19" t="n"/>
      <c r="D31" s="20" t="n"/>
      <c r="E31" s="21">
        <f>IFERROR(AVERAGE('Weekly Snapshots'!N7:N58),0)</f>
        <v/>
      </c>
      <c r="F31" s="19" t="n"/>
      <c r="G31" s="19" t="n"/>
      <c r="H31" s="20" t="n"/>
      <c r="I31" s="22">
        <f>IFERROR(AVERAGE('Weekly Snapshots'!C7:C58)/AVERAGE('Weekly Snapshots'!N7:N58)-1,0)</f>
        <v/>
      </c>
      <c r="J31" s="19" t="n"/>
      <c r="K31" s="19" t="n"/>
      <c r="L31" s="20" t="n"/>
    </row>
    <row r="32">
      <c r="A32" s="23" t="n"/>
      <c r="B32" s="19" t="n"/>
      <c r="C32" s="19" t="n"/>
      <c r="D32" s="20" t="n"/>
      <c r="E32" s="23" t="n"/>
      <c r="F32" s="19" t="n"/>
      <c r="G32" s="19" t="n"/>
      <c r="H32" s="20" t="n"/>
      <c r="I32" s="23" t="n"/>
      <c r="J32" s="19" t="n"/>
      <c r="K32" s="19" t="n"/>
      <c r="L32" s="20" t="n"/>
    </row>
    <row r="33">
      <c r="A33" s="23" t="n"/>
      <c r="B33" s="19" t="n"/>
      <c r="C33" s="19" t="n"/>
      <c r="D33" s="20" t="n"/>
      <c r="E33" s="23" t="n"/>
      <c r="F33" s="19" t="n"/>
      <c r="G33" s="19" t="n"/>
      <c r="H33" s="20" t="n"/>
      <c r="I33" s="23" t="n"/>
      <c r="J33" s="19" t="n"/>
      <c r="K33" s="19" t="n"/>
      <c r="L33" s="20" t="n"/>
    </row>
    <row r="34">
      <c r="A34" s="24" t="inlineStr">
        <is>
          <t>logged weeks only</t>
        </is>
      </c>
      <c r="B34" s="25" t="n"/>
      <c r="C34" s="25" t="n"/>
      <c r="D34" s="26" t="n"/>
      <c r="E34" s="24" t="inlineStr">
        <is>
          <t>active comps only</t>
        </is>
      </c>
      <c r="F34" s="25" t="n"/>
      <c r="G34" s="25" t="n"/>
      <c r="H34" s="26" t="n"/>
      <c r="I34" s="24" t="inlineStr">
        <is>
          <t>vs comp set, all weeks</t>
        </is>
      </c>
      <c r="J34" s="25" t="n"/>
      <c r="K34" s="25" t="n"/>
      <c r="L34" s="26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7" ht="22" customHeight="1">
      <c r="A37" s="27">
        <f>HYPERLINK("#'Comp Set'!A1", "Comp Set")</f>
        <v/>
      </c>
      <c r="B37" s="28" t="n"/>
      <c r="C37" s="28" t="n"/>
      <c r="D37" s="27">
        <f>HYPERLINK("#'Weekly Snapshots'!A1", "Weekly Snapshots")</f>
        <v/>
      </c>
      <c r="E37" s="28" t="n"/>
      <c r="F37" s="28" t="n"/>
      <c r="G37" s="29">
        <f>HYPERLINK("#'Position Trend'!A1", "📈 Position Trend")</f>
        <v/>
      </c>
      <c r="H37" s="30" t="n"/>
      <c r="I37" s="30" t="n"/>
      <c r="J37" s="27">
        <f>HYPERLINK("#'Settings'!A1", "Settings")</f>
        <v/>
      </c>
      <c r="K37" s="28" t="n"/>
      <c r="L37" s="28" t="n"/>
    </row>
    <row r="38" ht="22" customHeight="1">
      <c r="A38" s="28" t="n"/>
      <c r="B38" s="28" t="n"/>
      <c r="C38" s="28" t="n"/>
      <c r="D38" s="28" t="n"/>
      <c r="E38" s="28" t="n"/>
      <c r="F38" s="28" t="n"/>
      <c r="G38" s="30" t="n"/>
      <c r="H38" s="30" t="n"/>
      <c r="I38" s="30" t="n"/>
      <c r="J38" s="28" t="n"/>
      <c r="K38" s="28" t="n"/>
      <c r="L38" s="28" t="n"/>
    </row>
    <row r="40" ht="28" customHeight="1">
      <c r="A40" s="31" t="inlineStr">
        <is>
          <t>⚠ No automated scraping. This is a manual snapshot tool — typing rates weekly keeps you within Airbnb/VRBO ToS and forces a human read of the market each Monday.</t>
        </is>
      </c>
    </row>
    <row r="42" ht="30" customHeight="1">
      <c r="A42" s="32" t="inlineStr">
        <is>
          <t>💡 Upgrade to the Full version at thestrledger.com/upgrade — multi-property, depreciation, multi-LLC support.</t>
        </is>
      </c>
    </row>
    <row r="44">
      <c r="A44" s="33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</row>
    <row r="45" ht="18" customHeight="1">
      <c r="A45" s="34" t="inlineStr">
        <is>
          <t>Questions? hello@thestrledger.com</t>
        </is>
      </c>
    </row>
    <row r="46" ht="18" customHeight="1">
      <c r="A46" s="35" t="inlineStr">
        <is>
          <t>REV-003 · v2.2 · Free updates forever</t>
        </is>
      </c>
    </row>
  </sheetData>
  <mergeCells count="31">
    <mergeCell ref="A7:L7"/>
    <mergeCell ref="A46:L46"/>
    <mergeCell ref="A18:L18"/>
    <mergeCell ref="A21:L21"/>
    <mergeCell ref="A2:F2"/>
    <mergeCell ref="I31:L33"/>
    <mergeCell ref="A34:D34"/>
    <mergeCell ref="A5:L5"/>
    <mergeCell ref="A23:L23"/>
    <mergeCell ref="A30:D30"/>
    <mergeCell ref="I34:L34"/>
    <mergeCell ref="I30:L30"/>
    <mergeCell ref="A22:L22"/>
    <mergeCell ref="A17:L17"/>
    <mergeCell ref="A31:D33"/>
    <mergeCell ref="A4:L4"/>
    <mergeCell ref="A20:L20"/>
    <mergeCell ref="J37:L38"/>
    <mergeCell ref="A11:L14"/>
    <mergeCell ref="A10:L10"/>
    <mergeCell ref="A19:L19"/>
    <mergeCell ref="A25:L28"/>
    <mergeCell ref="A40:L40"/>
    <mergeCell ref="A37:C38"/>
    <mergeCell ref="G37:I38"/>
    <mergeCell ref="E34:H34"/>
    <mergeCell ref="A45:L45"/>
    <mergeCell ref="E30:H30"/>
    <mergeCell ref="A6:L6"/>
    <mergeCell ref="D37:F38"/>
    <mergeCell ref="E31:H33"/>
  </mergeCells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L22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36" customWidth="1" min="4" max="4"/>
    <col width="10" customWidth="1" min="5" max="5"/>
    <col width="8" customWidth="1" min="6" max="6"/>
    <col width="10" customWidth="1" min="7" max="7"/>
    <col width="32" customWidth="1" min="8" max="8"/>
    <col width="12" customWidth="1" min="9" max="9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1">
        <f>HYPERLINK("#'Start'!A1", "← BACK")</f>
        <v/>
      </c>
      <c r="B2" s="12" t="n"/>
      <c r="C2" s="12" t="n"/>
      <c r="D2" s="36" t="inlineStr">
        <is>
          <t>COMP SET</t>
        </is>
      </c>
      <c r="J2" s="29">
        <f>HYPERLINK("#'Weekly Snapshots'!A1", "NEXT →")</f>
        <v/>
      </c>
      <c r="K2" s="30" t="n"/>
      <c r="L2" s="30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7" t="inlineStr">
        <is>
          <t>Pick 6-10 lookalike listings — same BR/BA, area, sleeps, vibe</t>
        </is>
      </c>
    </row>
    <row r="6" ht="22" customHeight="1">
      <c r="A6" s="38" t="inlineStr">
        <is>
          <t>Comp #</t>
        </is>
      </c>
      <c r="B6" s="38" t="inlineStr">
        <is>
          <t>Listing name</t>
        </is>
      </c>
      <c r="C6" s="38" t="inlineStr">
        <is>
          <t>Platform</t>
        </is>
      </c>
      <c r="D6" s="38" t="inlineStr">
        <is>
          <t>Listing URL</t>
        </is>
      </c>
      <c r="E6" s="38" t="inlineStr">
        <is>
          <t>BR/BA</t>
        </is>
      </c>
      <c r="F6" s="38" t="inlineStr">
        <is>
          <t>Sleeps</t>
        </is>
      </c>
      <c r="G6" s="38" t="inlineStr">
        <is>
          <t>Dist (mi)</t>
        </is>
      </c>
      <c r="H6" s="38" t="inlineStr">
        <is>
          <t>Note</t>
        </is>
      </c>
      <c r="I6" s="38" t="inlineStr">
        <is>
          <t>Active?</t>
        </is>
      </c>
    </row>
    <row r="7" ht="18" customHeight="1">
      <c r="A7" s="39" t="inlineStr">
        <is>
          <t>Comp 1</t>
        </is>
      </c>
      <c r="B7" s="40" t="inlineStr">
        <is>
          <t>Smokies Lookout Cabin</t>
        </is>
      </c>
      <c r="C7" s="40" t="inlineStr">
        <is>
          <t>Airbnb</t>
        </is>
      </c>
      <c r="D7" s="40" t="inlineStr">
        <is>
          <t>https://airbnb.com/h/smokies-lookout</t>
        </is>
      </c>
      <c r="E7" s="40" t="inlineStr">
        <is>
          <t>3BR/2BA</t>
        </is>
      </c>
      <c r="F7" s="41" t="n">
        <v>8</v>
      </c>
      <c r="G7" s="42" t="n">
        <v>1.2</v>
      </c>
      <c r="H7" s="40" t="inlineStr">
        <is>
          <t>Newer hot tub, mountain view</t>
        </is>
      </c>
      <c r="I7" s="40" t="inlineStr">
        <is>
          <t>Y</t>
        </is>
      </c>
    </row>
    <row r="8" ht="18" customHeight="1">
      <c r="A8" s="39" t="inlineStr">
        <is>
          <t>Comp 2</t>
        </is>
      </c>
      <c r="B8" s="40" t="inlineStr">
        <is>
          <t>Pigeon Forge Pines</t>
        </is>
      </c>
      <c r="C8" s="40" t="inlineStr">
        <is>
          <t>VRBO</t>
        </is>
      </c>
      <c r="D8" s="40" t="inlineStr">
        <is>
          <t>https://vrbo.com/h/pigeon-pines</t>
        </is>
      </c>
      <c r="E8" s="40" t="inlineStr">
        <is>
          <t>3BR/3BA</t>
        </is>
      </c>
      <c r="F8" s="41" t="n">
        <v>8</v>
      </c>
      <c r="G8" s="42" t="n">
        <v>2.4</v>
      </c>
      <c r="H8" s="40" t="inlineStr">
        <is>
          <t>Pool table, theater room</t>
        </is>
      </c>
      <c r="I8" s="40" t="inlineStr">
        <is>
          <t>Y</t>
        </is>
      </c>
    </row>
    <row r="9" ht="18" customHeight="1">
      <c r="A9" s="39" t="inlineStr">
        <is>
          <t>Comp 3</t>
        </is>
      </c>
      <c r="B9" s="40" t="inlineStr">
        <is>
          <t>Gatlinburg Hideaway</t>
        </is>
      </c>
      <c r="C9" s="40" t="inlineStr">
        <is>
          <t>Airbnb</t>
        </is>
      </c>
      <c r="D9" s="40" t="inlineStr">
        <is>
          <t>https://airbnb.com/h/gat-hideaway</t>
        </is>
      </c>
      <c r="E9" s="40" t="inlineStr">
        <is>
          <t>2BR/2BA</t>
        </is>
      </c>
      <c r="F9" s="41" t="n">
        <v>6</v>
      </c>
      <c r="G9" s="42" t="n">
        <v>0.8</v>
      </c>
      <c r="H9" s="40" t="inlineStr">
        <is>
          <t>Walk to downtown</t>
        </is>
      </c>
      <c r="I9" s="40" t="inlineStr">
        <is>
          <t>Y</t>
        </is>
      </c>
    </row>
    <row r="10" ht="18" customHeight="1">
      <c r="A10" s="39" t="inlineStr">
        <is>
          <t>Comp 4</t>
        </is>
      </c>
      <c r="B10" s="40" t="inlineStr">
        <is>
          <t>Wears Valley Retreat</t>
        </is>
      </c>
      <c r="C10" s="40" t="inlineStr">
        <is>
          <t>Airbnb</t>
        </is>
      </c>
      <c r="D10" s="40" t="inlineStr">
        <is>
          <t>https://airbnb.com/h/wears-retreat</t>
        </is>
      </c>
      <c r="E10" s="40" t="inlineStr">
        <is>
          <t>3BR/2BA</t>
        </is>
      </c>
      <c r="F10" s="41" t="n">
        <v>8</v>
      </c>
      <c r="G10" s="42" t="n">
        <v>3.1</v>
      </c>
      <c r="H10" s="40" t="inlineStr">
        <is>
          <t>Quiet road, fire pit</t>
        </is>
      </c>
      <c r="I10" s="40" t="inlineStr">
        <is>
          <t>Y</t>
        </is>
      </c>
    </row>
    <row r="11" ht="18" customHeight="1">
      <c r="A11" s="39" t="inlineStr">
        <is>
          <t>Comp 5</t>
        </is>
      </c>
      <c r="B11" s="40" t="inlineStr">
        <is>
          <t>Bear Cove Lodge</t>
        </is>
      </c>
      <c r="C11" s="40" t="inlineStr">
        <is>
          <t>VRBO</t>
        </is>
      </c>
      <c r="D11" s="40" t="inlineStr">
        <is>
          <t>https://vrbo.com/h/bear-cove</t>
        </is>
      </c>
      <c r="E11" s="40" t="inlineStr">
        <is>
          <t>4BR/3BA</t>
        </is>
      </c>
      <c r="F11" s="41" t="n">
        <v>10</v>
      </c>
      <c r="G11" s="42" t="n">
        <v>1.7</v>
      </c>
      <c r="H11" s="40" t="inlineStr">
        <is>
          <t>Pet-friendly, larger sleeps</t>
        </is>
      </c>
      <c r="I11" s="40" t="inlineStr">
        <is>
          <t>Y</t>
        </is>
      </c>
    </row>
    <row r="12" ht="18" customHeight="1">
      <c r="A12" s="39" t="inlineStr">
        <is>
          <t>Comp 6</t>
        </is>
      </c>
      <c r="B12" s="40" t="inlineStr">
        <is>
          <t>Smoky Ridge Sunrise</t>
        </is>
      </c>
      <c r="C12" s="40" t="inlineStr">
        <is>
          <t>Airbnb</t>
        </is>
      </c>
      <c r="D12" s="40" t="inlineStr">
        <is>
          <t>https://airbnb.com/h/smoky-sunrise</t>
        </is>
      </c>
      <c r="E12" s="40" t="inlineStr">
        <is>
          <t>3BR/2BA</t>
        </is>
      </c>
      <c r="F12" s="41" t="n">
        <v>8</v>
      </c>
      <c r="G12" s="42" t="n">
        <v>2</v>
      </c>
      <c r="H12" s="40" t="inlineStr">
        <is>
          <t>Recently renovated, gas grill</t>
        </is>
      </c>
      <c r="I12" s="40" t="inlineStr">
        <is>
          <t>Y</t>
        </is>
      </c>
    </row>
    <row r="13" ht="18" customHeight="1">
      <c r="A13" s="39" t="inlineStr">
        <is>
          <t>Comp 7</t>
        </is>
      </c>
      <c r="B13" s="40" t="n"/>
      <c r="C13" s="40" t="n"/>
      <c r="D13" s="40" t="n"/>
      <c r="E13" s="40" t="n"/>
      <c r="F13" s="41" t="n"/>
      <c r="G13" s="42" t="n"/>
      <c r="H13" s="40" t="n"/>
      <c r="I13" s="40" t="n"/>
    </row>
    <row r="14" ht="18" customHeight="1">
      <c r="A14" s="39" t="inlineStr">
        <is>
          <t>Comp 8</t>
        </is>
      </c>
      <c r="B14" s="40" t="n"/>
      <c r="C14" s="40" t="n"/>
      <c r="D14" s="40" t="n"/>
      <c r="E14" s="40" t="n"/>
      <c r="F14" s="41" t="n"/>
      <c r="G14" s="42" t="n"/>
      <c r="H14" s="40" t="n"/>
      <c r="I14" s="40" t="n"/>
    </row>
    <row r="15" ht="18" customHeight="1">
      <c r="A15" s="39" t="inlineStr">
        <is>
          <t>Comp 9</t>
        </is>
      </c>
      <c r="B15" s="40" t="n"/>
      <c r="C15" s="40" t="n"/>
      <c r="D15" s="40" t="n"/>
      <c r="E15" s="40" t="n"/>
      <c r="F15" s="41" t="n"/>
      <c r="G15" s="42" t="n"/>
      <c r="H15" s="40" t="n"/>
      <c r="I15" s="40" t="n"/>
    </row>
    <row r="16" ht="18" customHeight="1">
      <c r="A16" s="39" t="inlineStr">
        <is>
          <t>Comp 10</t>
        </is>
      </c>
      <c r="B16" s="40" t="n"/>
      <c r="C16" s="40" t="n"/>
      <c r="D16" s="40" t="n"/>
      <c r="E16" s="40" t="n"/>
      <c r="F16" s="41" t="n"/>
      <c r="G16" s="42" t="n"/>
      <c r="H16" s="40" t="n"/>
      <c r="I16" s="40" t="n"/>
    </row>
    <row r="18" ht="28" customHeight="1">
      <c r="A18" s="43" t="inlineStr">
        <is>
          <t>Tip: anonymized names are fine ("Comp A", "Pines #1"). The URL is for your own reference — paste a screenshot folder link if Airbnb listing URLs change between snapshots.</t>
        </is>
      </c>
    </row>
    <row r="20">
      <c r="A20" s="33" t="n"/>
      <c r="B20" s="33" t="n"/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</row>
    <row r="21" ht="18" customHeight="1">
      <c r="A21" s="34" t="inlineStr">
        <is>
          <t>Questions? hello@thestrledger.com</t>
        </is>
      </c>
    </row>
    <row r="22" ht="18" customHeight="1">
      <c r="A22" s="35" t="inlineStr">
        <is>
          <t>REV-003 · v2.2</t>
        </is>
      </c>
    </row>
  </sheetData>
  <mergeCells count="7">
    <mergeCell ref="J2:L2"/>
    <mergeCell ref="D2:I2"/>
    <mergeCell ref="A18:I18"/>
    <mergeCell ref="A22:L22"/>
    <mergeCell ref="A21:L21"/>
    <mergeCell ref="A2:C2"/>
    <mergeCell ref="A4:L4"/>
  </mergeCells>
  <dataValidations count="2">
    <dataValidation sqref="C7:C16" showDropDown="0" showInputMessage="0" showErrorMessage="0" allowBlank="1" type="list">
      <formula1>"Airbnb,VRBO,Booking.com,Direct,Other"</formula1>
    </dataValidation>
    <dataValidation sqref="I7:I16" showDropDown="0" showInputMessage="0" showErrorMessage="0" allowBlank="1" type="list">
      <formula1>"Y,N"</formula1>
    </dataValidation>
  </dataValidations>
  <pageMargins left="0.5" right="0.5" top="0.5" bottom="0.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O62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2" customWidth="1" min="14" max="14"/>
    <col width="13" customWidth="1" min="15" max="15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1">
        <f>HYPERLINK("#'Comp Set'!A1", "← BACK")</f>
        <v/>
      </c>
      <c r="B2" s="12" t="n"/>
      <c r="C2" s="12" t="n"/>
      <c r="D2" s="36" t="inlineStr">
        <is>
          <t>WEEKLY SNAPSHOTS</t>
        </is>
      </c>
      <c r="J2" s="29">
        <f>HYPERLINK("#'Position Trend'!A1", "NEXT →")</f>
        <v/>
      </c>
      <c r="K2" s="30" t="n"/>
      <c r="L2" s="30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7" t="inlineStr">
        <is>
          <t>Each Monday, type comp rates for the upcoming weekend. Comp avg + position % auto-fill.</t>
        </is>
      </c>
    </row>
    <row r="6" ht="24" customHeight="1">
      <c r="A6" s="38" t="inlineStr">
        <is>
          <t>Week</t>
        </is>
      </c>
      <c r="B6" s="38" t="inlineStr">
        <is>
          <t>Date span</t>
        </is>
      </c>
      <c r="C6" s="38" t="inlineStr">
        <is>
          <t>My rate</t>
        </is>
      </c>
      <c r="D6" s="38" t="inlineStr">
        <is>
          <t>Comp 1</t>
        </is>
      </c>
      <c r="E6" s="38" t="inlineStr">
        <is>
          <t>Comp 2</t>
        </is>
      </c>
      <c r="F6" s="38" t="inlineStr">
        <is>
          <t>Comp 3</t>
        </is>
      </c>
      <c r="G6" s="38" t="inlineStr">
        <is>
          <t>Comp 4</t>
        </is>
      </c>
      <c r="H6" s="38" t="inlineStr">
        <is>
          <t>Comp 5</t>
        </is>
      </c>
      <c r="I6" s="38" t="inlineStr">
        <is>
          <t>Comp 6</t>
        </is>
      </c>
      <c r="J6" s="38" t="inlineStr">
        <is>
          <t>Comp 7</t>
        </is>
      </c>
      <c r="K6" s="38" t="inlineStr">
        <is>
          <t>Comp 8</t>
        </is>
      </c>
      <c r="L6" s="38" t="inlineStr">
        <is>
          <t>Comp 9</t>
        </is>
      </c>
      <c r="M6" s="38" t="inlineStr">
        <is>
          <t>Comp 10</t>
        </is>
      </c>
      <c r="N6" s="38" t="inlineStr">
        <is>
          <t>Comp avg</t>
        </is>
      </c>
      <c r="O6" s="38" t="inlineStr">
        <is>
          <t>Position %</t>
        </is>
      </c>
    </row>
    <row r="7" ht="18" customHeight="1">
      <c r="A7" s="39" t="n">
        <v>1</v>
      </c>
      <c r="B7" s="44" t="inlineStr">
        <is>
          <t>Jan 05 – Jan 11</t>
        </is>
      </c>
      <c r="C7" s="45" t="n">
        <v>245</v>
      </c>
      <c r="D7" s="45" t="n">
        <v>275</v>
      </c>
      <c r="E7" s="45" t="n">
        <v>290</v>
      </c>
      <c r="F7" s="45" t="n">
        <v>260</v>
      </c>
      <c r="G7" s="45" t="n">
        <v>270</v>
      </c>
      <c r="H7" s="45" t="n">
        <v>310</v>
      </c>
      <c r="I7" s="45" t="n">
        <v>285</v>
      </c>
      <c r="J7" s="45" t="n"/>
      <c r="K7" s="45" t="n"/>
      <c r="L7" s="45" t="n"/>
      <c r="M7" s="45" t="n"/>
      <c r="N7" s="46">
        <f>IFERROR(AVERAGE(D7:M7),"")</f>
        <v/>
      </c>
      <c r="O7" s="47">
        <f>IFERROR(IF(N7="","",C7/N7-1),"")</f>
        <v/>
      </c>
    </row>
    <row r="8" ht="18" customHeight="1">
      <c r="A8" s="39" t="n">
        <v>2</v>
      </c>
      <c r="B8" s="44" t="inlineStr">
        <is>
          <t>Jan 12 – Jan 18</t>
        </is>
      </c>
      <c r="C8" s="45" t="n">
        <v>240</v>
      </c>
      <c r="D8" s="45" t="n">
        <v>270</v>
      </c>
      <c r="E8" s="45" t="n">
        <v>285</v>
      </c>
      <c r="F8" s="45" t="n">
        <v>255</v>
      </c>
      <c r="G8" s="45" t="n">
        <v>265</v>
      </c>
      <c r="H8" s="45" t="n">
        <v>305</v>
      </c>
      <c r="I8" s="45" t="n">
        <v>280</v>
      </c>
      <c r="J8" s="45" t="n"/>
      <c r="K8" s="45" t="n"/>
      <c r="L8" s="45" t="n"/>
      <c r="M8" s="45" t="n"/>
      <c r="N8" s="46">
        <f>IFERROR(AVERAGE(D8:M8),"")</f>
        <v/>
      </c>
      <c r="O8" s="47">
        <f>IFERROR(IF(N8="","",C8/N8-1),"")</f>
        <v/>
      </c>
    </row>
    <row r="9" ht="18" customHeight="1">
      <c r="A9" s="39" t="n">
        <v>3</v>
      </c>
      <c r="B9" s="44" t="inlineStr">
        <is>
          <t>Jan 19 – Jan 25</t>
        </is>
      </c>
      <c r="C9" s="45" t="n">
        <v>235</v>
      </c>
      <c r="D9" s="45" t="n">
        <v>265</v>
      </c>
      <c r="E9" s="45" t="n">
        <v>280</v>
      </c>
      <c r="F9" s="45" t="n">
        <v>250</v>
      </c>
      <c r="G9" s="45" t="n">
        <v>260</v>
      </c>
      <c r="H9" s="45" t="n">
        <v>300</v>
      </c>
      <c r="I9" s="45" t="n">
        <v>275</v>
      </c>
      <c r="J9" s="45" t="n"/>
      <c r="K9" s="45" t="n"/>
      <c r="L9" s="45" t="n"/>
      <c r="M9" s="45" t="n"/>
      <c r="N9" s="46">
        <f>IFERROR(AVERAGE(D9:M9),"")</f>
        <v/>
      </c>
      <c r="O9" s="47">
        <f>IFERROR(IF(N9="","",C9/N9-1),"")</f>
        <v/>
      </c>
    </row>
    <row r="10" ht="18" customHeight="1">
      <c r="A10" s="39" t="n">
        <v>4</v>
      </c>
      <c r="B10" s="44" t="inlineStr">
        <is>
          <t>Jan 26 – Feb 01</t>
        </is>
      </c>
      <c r="C10" s="45" t="n">
        <v>250</v>
      </c>
      <c r="D10" s="45" t="n">
        <v>275</v>
      </c>
      <c r="E10" s="45" t="n">
        <v>290</v>
      </c>
      <c r="F10" s="45" t="n">
        <v>260</v>
      </c>
      <c r="G10" s="45" t="n">
        <v>270</v>
      </c>
      <c r="H10" s="45" t="n">
        <v>310</v>
      </c>
      <c r="I10" s="45" t="n">
        <v>285</v>
      </c>
      <c r="J10" s="45" t="n"/>
      <c r="K10" s="45" t="n"/>
      <c r="L10" s="45" t="n"/>
      <c r="M10" s="45" t="n"/>
      <c r="N10" s="46">
        <f>IFERROR(AVERAGE(D10:M10),"")</f>
        <v/>
      </c>
      <c r="O10" s="47">
        <f>IFERROR(IF(N10="","",C10/N10-1),"")</f>
        <v/>
      </c>
    </row>
    <row r="11" ht="18" customHeight="1">
      <c r="A11" s="39" t="n">
        <v>5</v>
      </c>
      <c r="B11" s="44" t="inlineStr">
        <is>
          <t>Feb 02 – Feb 08</t>
        </is>
      </c>
      <c r="C11" s="45" t="n">
        <v>260</v>
      </c>
      <c r="D11" s="45" t="n">
        <v>285</v>
      </c>
      <c r="E11" s="45" t="n">
        <v>300</v>
      </c>
      <c r="F11" s="45" t="n">
        <v>270</v>
      </c>
      <c r="G11" s="45" t="n">
        <v>280</v>
      </c>
      <c r="H11" s="45" t="n">
        <v>320</v>
      </c>
      <c r="I11" s="45" t="n">
        <v>295</v>
      </c>
      <c r="J11" s="45" t="n"/>
      <c r="K11" s="45" t="n"/>
      <c r="L11" s="45" t="n"/>
      <c r="M11" s="45" t="n"/>
      <c r="N11" s="46">
        <f>IFERROR(AVERAGE(D11:M11),"")</f>
        <v/>
      </c>
      <c r="O11" s="47">
        <f>IFERROR(IF(N11="","",C11/N11-1),"")</f>
        <v/>
      </c>
    </row>
    <row r="12" ht="18" customHeight="1">
      <c r="A12" s="39" t="n">
        <v>6</v>
      </c>
      <c r="B12" s="44" t="inlineStr">
        <is>
          <t>Feb 09 – Feb 15</t>
        </is>
      </c>
      <c r="C12" s="45" t="n">
        <v>280</v>
      </c>
      <c r="D12" s="45" t="n">
        <v>320</v>
      </c>
      <c r="E12" s="45" t="n">
        <v>340</v>
      </c>
      <c r="F12" s="45" t="n">
        <v>295</v>
      </c>
      <c r="G12" s="45" t="n">
        <v>305</v>
      </c>
      <c r="H12" s="45" t="n">
        <v>360</v>
      </c>
      <c r="I12" s="45" t="n">
        <v>330</v>
      </c>
      <c r="J12" s="45" t="n"/>
      <c r="K12" s="45" t="n"/>
      <c r="L12" s="45" t="n"/>
      <c r="M12" s="45" t="n"/>
      <c r="N12" s="46">
        <f>IFERROR(AVERAGE(D12:M12),"")</f>
        <v/>
      </c>
      <c r="O12" s="47">
        <f>IFERROR(IF(N12="","",C12/N12-1),"")</f>
        <v/>
      </c>
    </row>
    <row r="13" ht="18" customHeight="1">
      <c r="A13" s="39" t="n">
        <v>7</v>
      </c>
      <c r="B13" s="44" t="inlineStr">
        <is>
          <t>Feb 16 – Feb 22</t>
        </is>
      </c>
      <c r="C13" s="45" t="n">
        <v>270</v>
      </c>
      <c r="D13" s="45" t="n">
        <v>305</v>
      </c>
      <c r="E13" s="45" t="n">
        <v>320</v>
      </c>
      <c r="F13" s="45" t="n">
        <v>285</v>
      </c>
      <c r="G13" s="45" t="n">
        <v>295</v>
      </c>
      <c r="H13" s="45" t="n">
        <v>340</v>
      </c>
      <c r="I13" s="45" t="n">
        <v>315</v>
      </c>
      <c r="J13" s="45" t="n"/>
      <c r="K13" s="45" t="n"/>
      <c r="L13" s="45" t="n"/>
      <c r="M13" s="45" t="n"/>
      <c r="N13" s="46">
        <f>IFERROR(AVERAGE(D13:M13),"")</f>
        <v/>
      </c>
      <c r="O13" s="47">
        <f>IFERROR(IF(N13="","",C13/N13-1),"")</f>
        <v/>
      </c>
    </row>
    <row r="14" ht="18" customHeight="1">
      <c r="A14" s="39" t="n">
        <v>8</v>
      </c>
      <c r="B14" s="44" t="inlineStr">
        <is>
          <t>Feb 23 – Mar 01</t>
        </is>
      </c>
      <c r="C14" s="45" t="n">
        <v>255</v>
      </c>
      <c r="D14" s="45" t="n">
        <v>285</v>
      </c>
      <c r="E14" s="45" t="n">
        <v>300</v>
      </c>
      <c r="F14" s="45" t="n">
        <v>270</v>
      </c>
      <c r="G14" s="45" t="n">
        <v>280</v>
      </c>
      <c r="H14" s="45" t="n">
        <v>320</v>
      </c>
      <c r="I14" s="45" t="n">
        <v>295</v>
      </c>
      <c r="J14" s="45" t="n"/>
      <c r="K14" s="45" t="n"/>
      <c r="L14" s="45" t="n"/>
      <c r="M14" s="45" t="n"/>
      <c r="N14" s="46">
        <f>IFERROR(AVERAGE(D14:M14),"")</f>
        <v/>
      </c>
      <c r="O14" s="47">
        <f>IFERROR(IF(N14="","",C14/N14-1),"")</f>
        <v/>
      </c>
    </row>
    <row r="15" ht="18" customHeight="1">
      <c r="A15" s="39" t="n">
        <v>9</v>
      </c>
      <c r="B15" s="44" t="inlineStr">
        <is>
          <t>Mar 02 – Mar 08</t>
        </is>
      </c>
      <c r="C15" s="45" t="n">
        <v>250</v>
      </c>
      <c r="D15" s="45" t="n">
        <v>280</v>
      </c>
      <c r="E15" s="45" t="n">
        <v>295</v>
      </c>
      <c r="F15" s="45" t="n">
        <v>265</v>
      </c>
      <c r="G15" s="45" t="n">
        <v>275</v>
      </c>
      <c r="H15" s="45" t="n">
        <v>315</v>
      </c>
      <c r="I15" s="45" t="n">
        <v>290</v>
      </c>
      <c r="J15" s="45" t="n"/>
      <c r="K15" s="45" t="n"/>
      <c r="L15" s="45" t="n"/>
      <c r="M15" s="45" t="n"/>
      <c r="N15" s="46">
        <f>IFERROR(AVERAGE(D15:M15),"")</f>
        <v/>
      </c>
      <c r="O15" s="47">
        <f>IFERROR(IF(N15="","",C15/N15-1),"")</f>
        <v/>
      </c>
    </row>
    <row r="16" ht="18" customHeight="1">
      <c r="A16" s="39" t="n">
        <v>10</v>
      </c>
      <c r="B16" s="44" t="inlineStr">
        <is>
          <t>Mar 09 – Mar 15</t>
        </is>
      </c>
      <c r="C16" s="45" t="n">
        <v>255</v>
      </c>
      <c r="D16" s="45" t="n">
        <v>285</v>
      </c>
      <c r="E16" s="45" t="n">
        <v>305</v>
      </c>
      <c r="F16" s="45" t="n">
        <v>270</v>
      </c>
      <c r="G16" s="45" t="n">
        <v>280</v>
      </c>
      <c r="H16" s="45" t="n">
        <v>320</v>
      </c>
      <c r="I16" s="45" t="n">
        <v>295</v>
      </c>
      <c r="J16" s="45" t="n"/>
      <c r="K16" s="45" t="n"/>
      <c r="L16" s="45" t="n"/>
      <c r="M16" s="45" t="n"/>
      <c r="N16" s="46">
        <f>IFERROR(AVERAGE(D16:M16),"")</f>
        <v/>
      </c>
      <c r="O16" s="47">
        <f>IFERROR(IF(N16="","",C16/N16-1),"")</f>
        <v/>
      </c>
    </row>
    <row r="17" ht="18" customHeight="1">
      <c r="A17" s="39" t="n">
        <v>11</v>
      </c>
      <c r="B17" s="44" t="inlineStr">
        <is>
          <t>Mar 16 – Mar 22</t>
        </is>
      </c>
      <c r="C17" s="45" t="n">
        <v>265</v>
      </c>
      <c r="D17" s="45" t="n">
        <v>295</v>
      </c>
      <c r="E17" s="45" t="n">
        <v>315</v>
      </c>
      <c r="F17" s="45" t="n">
        <v>280</v>
      </c>
      <c r="G17" s="45" t="n">
        <v>290</v>
      </c>
      <c r="H17" s="45" t="n">
        <v>335</v>
      </c>
      <c r="I17" s="45" t="n">
        <v>305</v>
      </c>
      <c r="J17" s="45" t="n"/>
      <c r="K17" s="45" t="n"/>
      <c r="L17" s="45" t="n"/>
      <c r="M17" s="45" t="n"/>
      <c r="N17" s="46">
        <f>IFERROR(AVERAGE(D17:M17),"")</f>
        <v/>
      </c>
      <c r="O17" s="47">
        <f>IFERROR(IF(N17="","",C17/N17-1),"")</f>
        <v/>
      </c>
    </row>
    <row r="18" ht="18" customHeight="1">
      <c r="A18" s="39" t="n">
        <v>12</v>
      </c>
      <c r="B18" s="44" t="inlineStr">
        <is>
          <t>Mar 23 – Mar 29</t>
        </is>
      </c>
      <c r="C18" s="45" t="n">
        <v>260</v>
      </c>
      <c r="D18" s="45" t="n">
        <v>290</v>
      </c>
      <c r="E18" s="45" t="n">
        <v>310</v>
      </c>
      <c r="F18" s="45" t="n">
        <v>275</v>
      </c>
      <c r="G18" s="45" t="n">
        <v>285</v>
      </c>
      <c r="H18" s="45" t="n">
        <v>330</v>
      </c>
      <c r="I18" s="45" t="n">
        <v>300</v>
      </c>
      <c r="J18" s="45" t="n"/>
      <c r="K18" s="45" t="n"/>
      <c r="L18" s="45" t="n"/>
      <c r="M18" s="45" t="n"/>
      <c r="N18" s="46">
        <f>IFERROR(AVERAGE(D18:M18),"")</f>
        <v/>
      </c>
      <c r="O18" s="47">
        <f>IFERROR(IF(N18="","",C18/N18-1),"")</f>
        <v/>
      </c>
    </row>
    <row r="19" ht="18" customHeight="1">
      <c r="A19" s="39" t="n">
        <v>13</v>
      </c>
      <c r="B19" s="44" t="inlineStr">
        <is>
          <t>Mar 30 – Apr 05</t>
        </is>
      </c>
      <c r="C19" s="45" t="n"/>
      <c r="D19" s="45" t="n"/>
      <c r="E19" s="45" t="n"/>
      <c r="F19" s="45" t="n"/>
      <c r="G19" s="45" t="n"/>
      <c r="H19" s="45" t="n"/>
      <c r="I19" s="45" t="n"/>
      <c r="J19" s="45" t="n"/>
      <c r="K19" s="45" t="n"/>
      <c r="L19" s="45" t="n"/>
      <c r="M19" s="45" t="n"/>
      <c r="N19" s="46">
        <f>IFERROR(AVERAGE(D19:M19),"")</f>
        <v/>
      </c>
      <c r="O19" s="47">
        <f>IFERROR(IF(N19="","",C19/N19-1),"")</f>
        <v/>
      </c>
    </row>
    <row r="20" ht="18" customHeight="1">
      <c r="A20" s="39" t="n">
        <v>14</v>
      </c>
      <c r="B20" s="44" t="inlineStr">
        <is>
          <t>Apr 06 – Apr 12</t>
        </is>
      </c>
      <c r="C20" s="45" t="n"/>
      <c r="D20" s="45" t="n"/>
      <c r="E20" s="45" t="n"/>
      <c r="F20" s="45" t="n"/>
      <c r="G20" s="45" t="n"/>
      <c r="H20" s="45" t="n"/>
      <c r="I20" s="45" t="n"/>
      <c r="J20" s="45" t="n"/>
      <c r="K20" s="45" t="n"/>
      <c r="L20" s="45" t="n"/>
      <c r="M20" s="45" t="n"/>
      <c r="N20" s="46">
        <f>IFERROR(AVERAGE(D20:M20),"")</f>
        <v/>
      </c>
      <c r="O20" s="47">
        <f>IFERROR(IF(N20="","",C20/N20-1),"")</f>
        <v/>
      </c>
    </row>
    <row r="21" ht="18" customHeight="1">
      <c r="A21" s="39" t="n">
        <v>15</v>
      </c>
      <c r="B21" s="44" t="inlineStr">
        <is>
          <t>Apr 13 – Apr 19</t>
        </is>
      </c>
      <c r="C21" s="45" t="n"/>
      <c r="D21" s="45" t="n"/>
      <c r="E21" s="45" t="n"/>
      <c r="F21" s="45" t="n"/>
      <c r="G21" s="45" t="n"/>
      <c r="H21" s="45" t="n"/>
      <c r="I21" s="45" t="n"/>
      <c r="J21" s="45" t="n"/>
      <c r="K21" s="45" t="n"/>
      <c r="L21" s="45" t="n"/>
      <c r="M21" s="45" t="n"/>
      <c r="N21" s="46">
        <f>IFERROR(AVERAGE(D21:M21),"")</f>
        <v/>
      </c>
      <c r="O21" s="47">
        <f>IFERROR(IF(N21="","",C21/N21-1),"")</f>
        <v/>
      </c>
    </row>
    <row r="22" ht="18" customHeight="1">
      <c r="A22" s="39" t="n">
        <v>16</v>
      </c>
      <c r="B22" s="44" t="inlineStr">
        <is>
          <t>Apr 20 – Apr 26</t>
        </is>
      </c>
      <c r="C22" s="45" t="n"/>
      <c r="D22" s="45" t="n"/>
      <c r="E22" s="45" t="n"/>
      <c r="F22" s="45" t="n"/>
      <c r="G22" s="45" t="n"/>
      <c r="H22" s="45" t="n"/>
      <c r="I22" s="45" t="n"/>
      <c r="J22" s="45" t="n"/>
      <c r="K22" s="45" t="n"/>
      <c r="L22" s="45" t="n"/>
      <c r="M22" s="45" t="n"/>
      <c r="N22" s="46">
        <f>IFERROR(AVERAGE(D22:M22),"")</f>
        <v/>
      </c>
      <c r="O22" s="47">
        <f>IFERROR(IF(N22="","",C22/N22-1),"")</f>
        <v/>
      </c>
    </row>
    <row r="23" ht="18" customHeight="1">
      <c r="A23" s="39" t="n">
        <v>17</v>
      </c>
      <c r="B23" s="44" t="inlineStr">
        <is>
          <t>Apr 27 – May 03</t>
        </is>
      </c>
      <c r="C23" s="45" t="n"/>
      <c r="D23" s="45" t="n"/>
      <c r="E23" s="45" t="n"/>
      <c r="F23" s="45" t="n"/>
      <c r="G23" s="45" t="n"/>
      <c r="H23" s="45" t="n"/>
      <c r="I23" s="45" t="n"/>
      <c r="J23" s="45" t="n"/>
      <c r="K23" s="45" t="n"/>
      <c r="L23" s="45" t="n"/>
      <c r="M23" s="45" t="n"/>
      <c r="N23" s="46">
        <f>IFERROR(AVERAGE(D23:M23),"")</f>
        <v/>
      </c>
      <c r="O23" s="47">
        <f>IFERROR(IF(N23="","",C23/N23-1),"")</f>
        <v/>
      </c>
    </row>
    <row r="24" ht="18" customHeight="1">
      <c r="A24" s="39" t="n">
        <v>18</v>
      </c>
      <c r="B24" s="44" t="inlineStr">
        <is>
          <t>May 04 – May 10</t>
        </is>
      </c>
      <c r="C24" s="45" t="n"/>
      <c r="D24" s="45" t="n"/>
      <c r="E24" s="45" t="n"/>
      <c r="F24" s="45" t="n"/>
      <c r="G24" s="45" t="n"/>
      <c r="H24" s="45" t="n"/>
      <c r="I24" s="45" t="n"/>
      <c r="J24" s="45" t="n"/>
      <c r="K24" s="45" t="n"/>
      <c r="L24" s="45" t="n"/>
      <c r="M24" s="45" t="n"/>
      <c r="N24" s="46">
        <f>IFERROR(AVERAGE(D24:M24),"")</f>
        <v/>
      </c>
      <c r="O24" s="47">
        <f>IFERROR(IF(N24="","",C24/N24-1),"")</f>
        <v/>
      </c>
    </row>
    <row r="25" ht="18" customHeight="1">
      <c r="A25" s="39" t="n">
        <v>19</v>
      </c>
      <c r="B25" s="44" t="inlineStr">
        <is>
          <t>May 11 – May 17</t>
        </is>
      </c>
      <c r="C25" s="45" t="n"/>
      <c r="D25" s="45" t="n"/>
      <c r="E25" s="45" t="n"/>
      <c r="F25" s="45" t="n"/>
      <c r="G25" s="45" t="n"/>
      <c r="H25" s="45" t="n"/>
      <c r="I25" s="45" t="n"/>
      <c r="J25" s="45" t="n"/>
      <c r="K25" s="45" t="n"/>
      <c r="L25" s="45" t="n"/>
      <c r="M25" s="45" t="n"/>
      <c r="N25" s="46">
        <f>IFERROR(AVERAGE(D25:M25),"")</f>
        <v/>
      </c>
      <c r="O25" s="47">
        <f>IFERROR(IF(N25="","",C25/N25-1),"")</f>
        <v/>
      </c>
    </row>
    <row r="26" ht="18" customHeight="1">
      <c r="A26" s="39" t="n">
        <v>20</v>
      </c>
      <c r="B26" s="44" t="inlineStr">
        <is>
          <t>May 18 – May 24</t>
        </is>
      </c>
      <c r="C26" s="45" t="n"/>
      <c r="D26" s="45" t="n"/>
      <c r="E26" s="45" t="n"/>
      <c r="F26" s="45" t="n"/>
      <c r="G26" s="45" t="n"/>
      <c r="H26" s="45" t="n"/>
      <c r="I26" s="45" t="n"/>
      <c r="J26" s="45" t="n"/>
      <c r="K26" s="45" t="n"/>
      <c r="L26" s="45" t="n"/>
      <c r="M26" s="45" t="n"/>
      <c r="N26" s="46">
        <f>IFERROR(AVERAGE(D26:M26),"")</f>
        <v/>
      </c>
      <c r="O26" s="47">
        <f>IFERROR(IF(N26="","",C26/N26-1),"")</f>
        <v/>
      </c>
    </row>
    <row r="27" ht="18" customHeight="1">
      <c r="A27" s="39" t="n">
        <v>21</v>
      </c>
      <c r="B27" s="44" t="inlineStr">
        <is>
          <t>May 25 – May 31</t>
        </is>
      </c>
      <c r="C27" s="45" t="n"/>
      <c r="D27" s="45" t="n"/>
      <c r="E27" s="45" t="n"/>
      <c r="F27" s="45" t="n"/>
      <c r="G27" s="45" t="n"/>
      <c r="H27" s="45" t="n"/>
      <c r="I27" s="45" t="n"/>
      <c r="J27" s="45" t="n"/>
      <c r="K27" s="45" t="n"/>
      <c r="L27" s="45" t="n"/>
      <c r="M27" s="45" t="n"/>
      <c r="N27" s="46">
        <f>IFERROR(AVERAGE(D27:M27),"")</f>
        <v/>
      </c>
      <c r="O27" s="47">
        <f>IFERROR(IF(N27="","",C27/N27-1),"")</f>
        <v/>
      </c>
    </row>
    <row r="28" ht="18" customHeight="1">
      <c r="A28" s="39" t="n">
        <v>22</v>
      </c>
      <c r="B28" s="44" t="inlineStr">
        <is>
          <t>Jun 01 – Jun 07</t>
        </is>
      </c>
      <c r="C28" s="45" t="n"/>
      <c r="D28" s="45" t="n"/>
      <c r="E28" s="45" t="n"/>
      <c r="F28" s="45" t="n"/>
      <c r="G28" s="45" t="n"/>
      <c r="H28" s="45" t="n"/>
      <c r="I28" s="45" t="n"/>
      <c r="J28" s="45" t="n"/>
      <c r="K28" s="45" t="n"/>
      <c r="L28" s="45" t="n"/>
      <c r="M28" s="45" t="n"/>
      <c r="N28" s="46">
        <f>IFERROR(AVERAGE(D28:M28),"")</f>
        <v/>
      </c>
      <c r="O28" s="47">
        <f>IFERROR(IF(N28="","",C28/N28-1),"")</f>
        <v/>
      </c>
    </row>
    <row r="29" ht="18" customHeight="1">
      <c r="A29" s="39" t="n">
        <v>23</v>
      </c>
      <c r="B29" s="44" t="inlineStr">
        <is>
          <t>Jun 08 – Jun 14</t>
        </is>
      </c>
      <c r="C29" s="45" t="n"/>
      <c r="D29" s="45" t="n"/>
      <c r="E29" s="45" t="n"/>
      <c r="F29" s="45" t="n"/>
      <c r="G29" s="45" t="n"/>
      <c r="H29" s="45" t="n"/>
      <c r="I29" s="45" t="n"/>
      <c r="J29" s="45" t="n"/>
      <c r="K29" s="45" t="n"/>
      <c r="L29" s="45" t="n"/>
      <c r="M29" s="45" t="n"/>
      <c r="N29" s="46">
        <f>IFERROR(AVERAGE(D29:M29),"")</f>
        <v/>
      </c>
      <c r="O29" s="47">
        <f>IFERROR(IF(N29="","",C29/N29-1),"")</f>
        <v/>
      </c>
    </row>
    <row r="30" ht="18" customHeight="1">
      <c r="A30" s="39" t="n">
        <v>24</v>
      </c>
      <c r="B30" s="44" t="inlineStr">
        <is>
          <t>Jun 15 – Jun 21</t>
        </is>
      </c>
      <c r="C30" s="45" t="n"/>
      <c r="D30" s="45" t="n"/>
      <c r="E30" s="45" t="n"/>
      <c r="F30" s="45" t="n"/>
      <c r="G30" s="45" t="n"/>
      <c r="H30" s="45" t="n"/>
      <c r="I30" s="45" t="n"/>
      <c r="J30" s="45" t="n"/>
      <c r="K30" s="45" t="n"/>
      <c r="L30" s="45" t="n"/>
      <c r="M30" s="45" t="n"/>
      <c r="N30" s="46">
        <f>IFERROR(AVERAGE(D30:M30),"")</f>
        <v/>
      </c>
      <c r="O30" s="47">
        <f>IFERROR(IF(N30="","",C30/N30-1),"")</f>
        <v/>
      </c>
    </row>
    <row r="31" ht="18" customHeight="1">
      <c r="A31" s="39" t="n">
        <v>25</v>
      </c>
      <c r="B31" s="44" t="inlineStr">
        <is>
          <t>Jun 22 – Jun 28</t>
        </is>
      </c>
      <c r="C31" s="45" t="n"/>
      <c r="D31" s="45" t="n"/>
      <c r="E31" s="45" t="n"/>
      <c r="F31" s="45" t="n"/>
      <c r="G31" s="45" t="n"/>
      <c r="H31" s="45" t="n"/>
      <c r="I31" s="45" t="n"/>
      <c r="J31" s="45" t="n"/>
      <c r="K31" s="45" t="n"/>
      <c r="L31" s="45" t="n"/>
      <c r="M31" s="45" t="n"/>
      <c r="N31" s="46">
        <f>IFERROR(AVERAGE(D31:M31),"")</f>
        <v/>
      </c>
      <c r="O31" s="47">
        <f>IFERROR(IF(N31="","",C31/N31-1),"")</f>
        <v/>
      </c>
    </row>
    <row r="32" ht="18" customHeight="1">
      <c r="A32" s="39" t="n">
        <v>26</v>
      </c>
      <c r="B32" s="44" t="inlineStr">
        <is>
          <t>Jun 29 – Jul 05</t>
        </is>
      </c>
      <c r="C32" s="45" t="n"/>
      <c r="D32" s="45" t="n"/>
      <c r="E32" s="45" t="n"/>
      <c r="F32" s="45" t="n"/>
      <c r="G32" s="45" t="n"/>
      <c r="H32" s="45" t="n"/>
      <c r="I32" s="45" t="n"/>
      <c r="J32" s="45" t="n"/>
      <c r="K32" s="45" t="n"/>
      <c r="L32" s="45" t="n"/>
      <c r="M32" s="45" t="n"/>
      <c r="N32" s="46">
        <f>IFERROR(AVERAGE(D32:M32),"")</f>
        <v/>
      </c>
      <c r="O32" s="47">
        <f>IFERROR(IF(N32="","",C32/N32-1),"")</f>
        <v/>
      </c>
    </row>
    <row r="33" ht="18" customHeight="1">
      <c r="A33" s="39" t="n">
        <v>27</v>
      </c>
      <c r="B33" s="44" t="inlineStr">
        <is>
          <t>Jul 06 – Jul 12</t>
        </is>
      </c>
      <c r="C33" s="45" t="n"/>
      <c r="D33" s="45" t="n"/>
      <c r="E33" s="45" t="n"/>
      <c r="F33" s="45" t="n"/>
      <c r="G33" s="45" t="n"/>
      <c r="H33" s="45" t="n"/>
      <c r="I33" s="45" t="n"/>
      <c r="J33" s="45" t="n"/>
      <c r="K33" s="45" t="n"/>
      <c r="L33" s="45" t="n"/>
      <c r="M33" s="45" t="n"/>
      <c r="N33" s="46">
        <f>IFERROR(AVERAGE(D33:M33),"")</f>
        <v/>
      </c>
      <c r="O33" s="47">
        <f>IFERROR(IF(N33="","",C33/N33-1),"")</f>
        <v/>
      </c>
    </row>
    <row r="34" ht="18" customHeight="1">
      <c r="A34" s="39" t="n">
        <v>28</v>
      </c>
      <c r="B34" s="44" t="inlineStr">
        <is>
          <t>Jul 13 – Jul 19</t>
        </is>
      </c>
      <c r="C34" s="45" t="n"/>
      <c r="D34" s="45" t="n"/>
      <c r="E34" s="45" t="n"/>
      <c r="F34" s="45" t="n"/>
      <c r="G34" s="45" t="n"/>
      <c r="H34" s="45" t="n"/>
      <c r="I34" s="45" t="n"/>
      <c r="J34" s="45" t="n"/>
      <c r="K34" s="45" t="n"/>
      <c r="L34" s="45" t="n"/>
      <c r="M34" s="45" t="n"/>
      <c r="N34" s="46">
        <f>IFERROR(AVERAGE(D34:M34),"")</f>
        <v/>
      </c>
      <c r="O34" s="47">
        <f>IFERROR(IF(N34="","",C34/N34-1),"")</f>
        <v/>
      </c>
    </row>
    <row r="35" ht="18" customHeight="1">
      <c r="A35" s="39" t="n">
        <v>29</v>
      </c>
      <c r="B35" s="44" t="inlineStr">
        <is>
          <t>Jul 20 – Jul 26</t>
        </is>
      </c>
      <c r="C35" s="45" t="n"/>
      <c r="D35" s="45" t="n"/>
      <c r="E35" s="45" t="n"/>
      <c r="F35" s="45" t="n"/>
      <c r="G35" s="45" t="n"/>
      <c r="H35" s="45" t="n"/>
      <c r="I35" s="45" t="n"/>
      <c r="J35" s="45" t="n"/>
      <c r="K35" s="45" t="n"/>
      <c r="L35" s="45" t="n"/>
      <c r="M35" s="45" t="n"/>
      <c r="N35" s="46">
        <f>IFERROR(AVERAGE(D35:M35),"")</f>
        <v/>
      </c>
      <c r="O35" s="47">
        <f>IFERROR(IF(N35="","",C35/N35-1),"")</f>
        <v/>
      </c>
    </row>
    <row r="36" ht="18" customHeight="1">
      <c r="A36" s="39" t="n">
        <v>30</v>
      </c>
      <c r="B36" s="44" t="inlineStr">
        <is>
          <t>Jul 27 – Aug 02</t>
        </is>
      </c>
      <c r="C36" s="45" t="n"/>
      <c r="D36" s="45" t="n"/>
      <c r="E36" s="45" t="n"/>
      <c r="F36" s="45" t="n"/>
      <c r="G36" s="45" t="n"/>
      <c r="H36" s="45" t="n"/>
      <c r="I36" s="45" t="n"/>
      <c r="J36" s="45" t="n"/>
      <c r="K36" s="45" t="n"/>
      <c r="L36" s="45" t="n"/>
      <c r="M36" s="45" t="n"/>
      <c r="N36" s="46">
        <f>IFERROR(AVERAGE(D36:M36),"")</f>
        <v/>
      </c>
      <c r="O36" s="47">
        <f>IFERROR(IF(N36="","",C36/N36-1),"")</f>
        <v/>
      </c>
    </row>
    <row r="37" ht="18" customHeight="1">
      <c r="A37" s="39" t="n">
        <v>31</v>
      </c>
      <c r="B37" s="44" t="inlineStr">
        <is>
          <t>Aug 03 – Aug 09</t>
        </is>
      </c>
      <c r="C37" s="45" t="n"/>
      <c r="D37" s="45" t="n"/>
      <c r="E37" s="45" t="n"/>
      <c r="F37" s="45" t="n"/>
      <c r="G37" s="45" t="n"/>
      <c r="H37" s="45" t="n"/>
      <c r="I37" s="45" t="n"/>
      <c r="J37" s="45" t="n"/>
      <c r="K37" s="45" t="n"/>
      <c r="L37" s="45" t="n"/>
      <c r="M37" s="45" t="n"/>
      <c r="N37" s="46">
        <f>IFERROR(AVERAGE(D37:M37),"")</f>
        <v/>
      </c>
      <c r="O37" s="47">
        <f>IFERROR(IF(N37="","",C37/N37-1),"")</f>
        <v/>
      </c>
    </row>
    <row r="38" ht="18" customHeight="1">
      <c r="A38" s="39" t="n">
        <v>32</v>
      </c>
      <c r="B38" s="44" t="inlineStr">
        <is>
          <t>Aug 10 – Aug 16</t>
        </is>
      </c>
      <c r="C38" s="45" t="n"/>
      <c r="D38" s="45" t="n"/>
      <c r="E38" s="45" t="n"/>
      <c r="F38" s="45" t="n"/>
      <c r="G38" s="45" t="n"/>
      <c r="H38" s="45" t="n"/>
      <c r="I38" s="45" t="n"/>
      <c r="J38" s="45" t="n"/>
      <c r="K38" s="45" t="n"/>
      <c r="L38" s="45" t="n"/>
      <c r="M38" s="45" t="n"/>
      <c r="N38" s="46">
        <f>IFERROR(AVERAGE(D38:M38),"")</f>
        <v/>
      </c>
      <c r="O38" s="47">
        <f>IFERROR(IF(N38="","",C38/N38-1),"")</f>
        <v/>
      </c>
    </row>
    <row r="39" ht="18" customHeight="1">
      <c r="A39" s="39" t="n">
        <v>33</v>
      </c>
      <c r="B39" s="44" t="inlineStr">
        <is>
          <t>Aug 17 – Aug 23</t>
        </is>
      </c>
      <c r="C39" s="45" t="n"/>
      <c r="D39" s="45" t="n"/>
      <c r="E39" s="45" t="n"/>
      <c r="F39" s="45" t="n"/>
      <c r="G39" s="45" t="n"/>
      <c r="H39" s="45" t="n"/>
      <c r="I39" s="45" t="n"/>
      <c r="J39" s="45" t="n"/>
      <c r="K39" s="45" t="n"/>
      <c r="L39" s="45" t="n"/>
      <c r="M39" s="45" t="n"/>
      <c r="N39" s="46">
        <f>IFERROR(AVERAGE(D39:M39),"")</f>
        <v/>
      </c>
      <c r="O39" s="47">
        <f>IFERROR(IF(N39="","",C39/N39-1),"")</f>
        <v/>
      </c>
    </row>
    <row r="40" ht="18" customHeight="1">
      <c r="A40" s="39" t="n">
        <v>34</v>
      </c>
      <c r="B40" s="44" t="inlineStr">
        <is>
          <t>Aug 24 – Aug 30</t>
        </is>
      </c>
      <c r="C40" s="45" t="n"/>
      <c r="D40" s="45" t="n"/>
      <c r="E40" s="45" t="n"/>
      <c r="F40" s="45" t="n"/>
      <c r="G40" s="45" t="n"/>
      <c r="H40" s="45" t="n"/>
      <c r="I40" s="45" t="n"/>
      <c r="J40" s="45" t="n"/>
      <c r="K40" s="45" t="n"/>
      <c r="L40" s="45" t="n"/>
      <c r="M40" s="45" t="n"/>
      <c r="N40" s="46">
        <f>IFERROR(AVERAGE(D40:M40),"")</f>
        <v/>
      </c>
      <c r="O40" s="47">
        <f>IFERROR(IF(N40="","",C40/N40-1),"")</f>
        <v/>
      </c>
    </row>
    <row r="41" ht="18" customHeight="1">
      <c r="A41" s="39" t="n">
        <v>35</v>
      </c>
      <c r="B41" s="44" t="inlineStr">
        <is>
          <t>Aug 31 – Sep 06</t>
        </is>
      </c>
      <c r="C41" s="45" t="n"/>
      <c r="D41" s="45" t="n"/>
      <c r="E41" s="45" t="n"/>
      <c r="F41" s="45" t="n"/>
      <c r="G41" s="45" t="n"/>
      <c r="H41" s="45" t="n"/>
      <c r="I41" s="45" t="n"/>
      <c r="J41" s="45" t="n"/>
      <c r="K41" s="45" t="n"/>
      <c r="L41" s="45" t="n"/>
      <c r="M41" s="45" t="n"/>
      <c r="N41" s="46">
        <f>IFERROR(AVERAGE(D41:M41),"")</f>
        <v/>
      </c>
      <c r="O41" s="47">
        <f>IFERROR(IF(N41="","",C41/N41-1),"")</f>
        <v/>
      </c>
    </row>
    <row r="42" ht="18" customHeight="1">
      <c r="A42" s="39" t="n">
        <v>36</v>
      </c>
      <c r="B42" s="44" t="inlineStr">
        <is>
          <t>Sep 07 – Sep 13</t>
        </is>
      </c>
      <c r="C42" s="45" t="n"/>
      <c r="D42" s="45" t="n"/>
      <c r="E42" s="45" t="n"/>
      <c r="F42" s="45" t="n"/>
      <c r="G42" s="45" t="n"/>
      <c r="H42" s="45" t="n"/>
      <c r="I42" s="45" t="n"/>
      <c r="J42" s="45" t="n"/>
      <c r="K42" s="45" t="n"/>
      <c r="L42" s="45" t="n"/>
      <c r="M42" s="45" t="n"/>
      <c r="N42" s="46">
        <f>IFERROR(AVERAGE(D42:M42),"")</f>
        <v/>
      </c>
      <c r="O42" s="47">
        <f>IFERROR(IF(N42="","",C42/N42-1),"")</f>
        <v/>
      </c>
    </row>
    <row r="43" ht="18" customHeight="1">
      <c r="A43" s="39" t="n">
        <v>37</v>
      </c>
      <c r="B43" s="44" t="inlineStr">
        <is>
          <t>Sep 14 – Sep 20</t>
        </is>
      </c>
      <c r="C43" s="45" t="n"/>
      <c r="D43" s="45" t="n"/>
      <c r="E43" s="45" t="n"/>
      <c r="F43" s="45" t="n"/>
      <c r="G43" s="45" t="n"/>
      <c r="H43" s="45" t="n"/>
      <c r="I43" s="45" t="n"/>
      <c r="J43" s="45" t="n"/>
      <c r="K43" s="45" t="n"/>
      <c r="L43" s="45" t="n"/>
      <c r="M43" s="45" t="n"/>
      <c r="N43" s="46">
        <f>IFERROR(AVERAGE(D43:M43),"")</f>
        <v/>
      </c>
      <c r="O43" s="47">
        <f>IFERROR(IF(N43="","",C43/N43-1),"")</f>
        <v/>
      </c>
    </row>
    <row r="44" ht="18" customHeight="1">
      <c r="A44" s="39" t="n">
        <v>38</v>
      </c>
      <c r="B44" s="44" t="inlineStr">
        <is>
          <t>Sep 21 – Sep 27</t>
        </is>
      </c>
      <c r="C44" s="45" t="n"/>
      <c r="D44" s="45" t="n"/>
      <c r="E44" s="45" t="n"/>
      <c r="F44" s="45" t="n"/>
      <c r="G44" s="45" t="n"/>
      <c r="H44" s="45" t="n"/>
      <c r="I44" s="45" t="n"/>
      <c r="J44" s="45" t="n"/>
      <c r="K44" s="45" t="n"/>
      <c r="L44" s="45" t="n"/>
      <c r="M44" s="45" t="n"/>
      <c r="N44" s="46">
        <f>IFERROR(AVERAGE(D44:M44),"")</f>
        <v/>
      </c>
      <c r="O44" s="47">
        <f>IFERROR(IF(N44="","",C44/N44-1),"")</f>
        <v/>
      </c>
    </row>
    <row r="45" ht="18" customHeight="1">
      <c r="A45" s="39" t="n">
        <v>39</v>
      </c>
      <c r="B45" s="44" t="inlineStr">
        <is>
          <t>Sep 28 – Oct 04</t>
        </is>
      </c>
      <c r="C45" s="45" t="n"/>
      <c r="D45" s="45" t="n"/>
      <c r="E45" s="45" t="n"/>
      <c r="F45" s="45" t="n"/>
      <c r="G45" s="45" t="n"/>
      <c r="H45" s="45" t="n"/>
      <c r="I45" s="45" t="n"/>
      <c r="J45" s="45" t="n"/>
      <c r="K45" s="45" t="n"/>
      <c r="L45" s="45" t="n"/>
      <c r="M45" s="45" t="n"/>
      <c r="N45" s="46">
        <f>IFERROR(AVERAGE(D45:M45),"")</f>
        <v/>
      </c>
      <c r="O45" s="47">
        <f>IFERROR(IF(N45="","",C45/N45-1),"")</f>
        <v/>
      </c>
    </row>
    <row r="46" ht="18" customHeight="1">
      <c r="A46" s="39" t="n">
        <v>40</v>
      </c>
      <c r="B46" s="44" t="inlineStr">
        <is>
          <t>Oct 05 – Oct 11</t>
        </is>
      </c>
      <c r="C46" s="45" t="n"/>
      <c r="D46" s="45" t="n"/>
      <c r="E46" s="45" t="n"/>
      <c r="F46" s="45" t="n"/>
      <c r="G46" s="45" t="n"/>
      <c r="H46" s="45" t="n"/>
      <c r="I46" s="45" t="n"/>
      <c r="J46" s="45" t="n"/>
      <c r="K46" s="45" t="n"/>
      <c r="L46" s="45" t="n"/>
      <c r="M46" s="45" t="n"/>
      <c r="N46" s="46">
        <f>IFERROR(AVERAGE(D46:M46),"")</f>
        <v/>
      </c>
      <c r="O46" s="47">
        <f>IFERROR(IF(N46="","",C46/N46-1),"")</f>
        <v/>
      </c>
    </row>
    <row r="47" ht="18" customHeight="1">
      <c r="A47" s="39" t="n">
        <v>41</v>
      </c>
      <c r="B47" s="44" t="inlineStr">
        <is>
          <t>Oct 12 – Oct 18</t>
        </is>
      </c>
      <c r="C47" s="45" t="n"/>
      <c r="D47" s="45" t="n"/>
      <c r="E47" s="45" t="n"/>
      <c r="F47" s="45" t="n"/>
      <c r="G47" s="45" t="n"/>
      <c r="H47" s="45" t="n"/>
      <c r="I47" s="45" t="n"/>
      <c r="J47" s="45" t="n"/>
      <c r="K47" s="45" t="n"/>
      <c r="L47" s="45" t="n"/>
      <c r="M47" s="45" t="n"/>
      <c r="N47" s="46">
        <f>IFERROR(AVERAGE(D47:M47),"")</f>
        <v/>
      </c>
      <c r="O47" s="47">
        <f>IFERROR(IF(N47="","",C47/N47-1),"")</f>
        <v/>
      </c>
    </row>
    <row r="48" ht="18" customHeight="1">
      <c r="A48" s="39" t="n">
        <v>42</v>
      </c>
      <c r="B48" s="44" t="inlineStr">
        <is>
          <t>Oct 19 – Oct 25</t>
        </is>
      </c>
      <c r="C48" s="45" t="n"/>
      <c r="D48" s="45" t="n"/>
      <c r="E48" s="45" t="n"/>
      <c r="F48" s="45" t="n"/>
      <c r="G48" s="45" t="n"/>
      <c r="H48" s="45" t="n"/>
      <c r="I48" s="45" t="n"/>
      <c r="J48" s="45" t="n"/>
      <c r="K48" s="45" t="n"/>
      <c r="L48" s="45" t="n"/>
      <c r="M48" s="45" t="n"/>
      <c r="N48" s="46">
        <f>IFERROR(AVERAGE(D48:M48),"")</f>
        <v/>
      </c>
      <c r="O48" s="47">
        <f>IFERROR(IF(N48="","",C48/N48-1),"")</f>
        <v/>
      </c>
    </row>
    <row r="49" ht="18" customHeight="1">
      <c r="A49" s="39" t="n">
        <v>43</v>
      </c>
      <c r="B49" s="44" t="inlineStr">
        <is>
          <t>Oct 26 – Nov 01</t>
        </is>
      </c>
      <c r="C49" s="45" t="n"/>
      <c r="D49" s="45" t="n"/>
      <c r="E49" s="45" t="n"/>
      <c r="F49" s="45" t="n"/>
      <c r="G49" s="45" t="n"/>
      <c r="H49" s="45" t="n"/>
      <c r="I49" s="45" t="n"/>
      <c r="J49" s="45" t="n"/>
      <c r="K49" s="45" t="n"/>
      <c r="L49" s="45" t="n"/>
      <c r="M49" s="45" t="n"/>
      <c r="N49" s="46">
        <f>IFERROR(AVERAGE(D49:M49),"")</f>
        <v/>
      </c>
      <c r="O49" s="47">
        <f>IFERROR(IF(N49="","",C49/N49-1),"")</f>
        <v/>
      </c>
    </row>
    <row r="50" ht="18" customHeight="1">
      <c r="A50" s="39" t="n">
        <v>44</v>
      </c>
      <c r="B50" s="44" t="inlineStr">
        <is>
          <t>Nov 02 – Nov 08</t>
        </is>
      </c>
      <c r="C50" s="45" t="n"/>
      <c r="D50" s="45" t="n"/>
      <c r="E50" s="45" t="n"/>
      <c r="F50" s="45" t="n"/>
      <c r="G50" s="45" t="n"/>
      <c r="H50" s="45" t="n"/>
      <c r="I50" s="45" t="n"/>
      <c r="J50" s="45" t="n"/>
      <c r="K50" s="45" t="n"/>
      <c r="L50" s="45" t="n"/>
      <c r="M50" s="45" t="n"/>
      <c r="N50" s="46">
        <f>IFERROR(AVERAGE(D50:M50),"")</f>
        <v/>
      </c>
      <c r="O50" s="47">
        <f>IFERROR(IF(N50="","",C50/N50-1),"")</f>
        <v/>
      </c>
    </row>
    <row r="51" ht="18" customHeight="1">
      <c r="A51" s="39" t="n">
        <v>45</v>
      </c>
      <c r="B51" s="44" t="inlineStr">
        <is>
          <t>Nov 09 – Nov 15</t>
        </is>
      </c>
      <c r="C51" s="45" t="n"/>
      <c r="D51" s="45" t="n"/>
      <c r="E51" s="45" t="n"/>
      <c r="F51" s="45" t="n"/>
      <c r="G51" s="45" t="n"/>
      <c r="H51" s="45" t="n"/>
      <c r="I51" s="45" t="n"/>
      <c r="J51" s="45" t="n"/>
      <c r="K51" s="45" t="n"/>
      <c r="L51" s="45" t="n"/>
      <c r="M51" s="45" t="n"/>
      <c r="N51" s="46">
        <f>IFERROR(AVERAGE(D51:M51),"")</f>
        <v/>
      </c>
      <c r="O51" s="47">
        <f>IFERROR(IF(N51="","",C51/N51-1),"")</f>
        <v/>
      </c>
    </row>
    <row r="52" ht="18" customHeight="1">
      <c r="A52" s="39" t="n">
        <v>46</v>
      </c>
      <c r="B52" s="44" t="inlineStr">
        <is>
          <t>Nov 16 – Nov 22</t>
        </is>
      </c>
      <c r="C52" s="45" t="n"/>
      <c r="D52" s="45" t="n"/>
      <c r="E52" s="45" t="n"/>
      <c r="F52" s="45" t="n"/>
      <c r="G52" s="45" t="n"/>
      <c r="H52" s="45" t="n"/>
      <c r="I52" s="45" t="n"/>
      <c r="J52" s="45" t="n"/>
      <c r="K52" s="45" t="n"/>
      <c r="L52" s="45" t="n"/>
      <c r="M52" s="45" t="n"/>
      <c r="N52" s="46">
        <f>IFERROR(AVERAGE(D52:M52),"")</f>
        <v/>
      </c>
      <c r="O52" s="47">
        <f>IFERROR(IF(N52="","",C52/N52-1),"")</f>
        <v/>
      </c>
    </row>
    <row r="53" ht="18" customHeight="1">
      <c r="A53" s="39" t="n">
        <v>47</v>
      </c>
      <c r="B53" s="44" t="inlineStr">
        <is>
          <t>Nov 23 – Nov 29</t>
        </is>
      </c>
      <c r="C53" s="45" t="n"/>
      <c r="D53" s="45" t="n"/>
      <c r="E53" s="45" t="n"/>
      <c r="F53" s="45" t="n"/>
      <c r="G53" s="45" t="n"/>
      <c r="H53" s="45" t="n"/>
      <c r="I53" s="45" t="n"/>
      <c r="J53" s="45" t="n"/>
      <c r="K53" s="45" t="n"/>
      <c r="L53" s="45" t="n"/>
      <c r="M53" s="45" t="n"/>
      <c r="N53" s="46">
        <f>IFERROR(AVERAGE(D53:M53),"")</f>
        <v/>
      </c>
      <c r="O53" s="47">
        <f>IFERROR(IF(N53="","",C53/N53-1),"")</f>
        <v/>
      </c>
    </row>
    <row r="54" ht="18" customHeight="1">
      <c r="A54" s="39" t="n">
        <v>48</v>
      </c>
      <c r="B54" s="44" t="inlineStr">
        <is>
          <t>Nov 30 – Dec 06</t>
        </is>
      </c>
      <c r="C54" s="45" t="n"/>
      <c r="D54" s="45" t="n"/>
      <c r="E54" s="45" t="n"/>
      <c r="F54" s="45" t="n"/>
      <c r="G54" s="45" t="n"/>
      <c r="H54" s="45" t="n"/>
      <c r="I54" s="45" t="n"/>
      <c r="J54" s="45" t="n"/>
      <c r="K54" s="45" t="n"/>
      <c r="L54" s="45" t="n"/>
      <c r="M54" s="45" t="n"/>
      <c r="N54" s="46">
        <f>IFERROR(AVERAGE(D54:M54),"")</f>
        <v/>
      </c>
      <c r="O54" s="47">
        <f>IFERROR(IF(N54="","",C54/N54-1),"")</f>
        <v/>
      </c>
    </row>
    <row r="55" ht="18" customHeight="1">
      <c r="A55" s="39" t="n">
        <v>49</v>
      </c>
      <c r="B55" s="44" t="inlineStr">
        <is>
          <t>Dec 07 – Dec 13</t>
        </is>
      </c>
      <c r="C55" s="45" t="n"/>
      <c r="D55" s="45" t="n"/>
      <c r="E55" s="45" t="n"/>
      <c r="F55" s="45" t="n"/>
      <c r="G55" s="45" t="n"/>
      <c r="H55" s="45" t="n"/>
      <c r="I55" s="45" t="n"/>
      <c r="J55" s="45" t="n"/>
      <c r="K55" s="45" t="n"/>
      <c r="L55" s="45" t="n"/>
      <c r="M55" s="45" t="n"/>
      <c r="N55" s="46">
        <f>IFERROR(AVERAGE(D55:M55),"")</f>
        <v/>
      </c>
      <c r="O55" s="47">
        <f>IFERROR(IF(N55="","",C55/N55-1),"")</f>
        <v/>
      </c>
    </row>
    <row r="56" ht="18" customHeight="1">
      <c r="A56" s="39" t="n">
        <v>50</v>
      </c>
      <c r="B56" s="44" t="inlineStr">
        <is>
          <t>Dec 14 – Dec 20</t>
        </is>
      </c>
      <c r="C56" s="45" t="n"/>
      <c r="D56" s="45" t="n"/>
      <c r="E56" s="45" t="n"/>
      <c r="F56" s="45" t="n"/>
      <c r="G56" s="45" t="n"/>
      <c r="H56" s="45" t="n"/>
      <c r="I56" s="45" t="n"/>
      <c r="J56" s="45" t="n"/>
      <c r="K56" s="45" t="n"/>
      <c r="L56" s="45" t="n"/>
      <c r="M56" s="45" t="n"/>
      <c r="N56" s="46">
        <f>IFERROR(AVERAGE(D56:M56),"")</f>
        <v/>
      </c>
      <c r="O56" s="47">
        <f>IFERROR(IF(N56="","",C56/N56-1),"")</f>
        <v/>
      </c>
    </row>
    <row r="57" ht="18" customHeight="1">
      <c r="A57" s="39" t="n">
        <v>51</v>
      </c>
      <c r="B57" s="44" t="inlineStr">
        <is>
          <t>Dec 21 – Dec 27</t>
        </is>
      </c>
      <c r="C57" s="45" t="n"/>
      <c r="D57" s="45" t="n"/>
      <c r="E57" s="45" t="n"/>
      <c r="F57" s="45" t="n"/>
      <c r="G57" s="45" t="n"/>
      <c r="H57" s="45" t="n"/>
      <c r="I57" s="45" t="n"/>
      <c r="J57" s="45" t="n"/>
      <c r="K57" s="45" t="n"/>
      <c r="L57" s="45" t="n"/>
      <c r="M57" s="45" t="n"/>
      <c r="N57" s="46">
        <f>IFERROR(AVERAGE(D57:M57),"")</f>
        <v/>
      </c>
      <c r="O57" s="47">
        <f>IFERROR(IF(N57="","",C57/N57-1),"")</f>
        <v/>
      </c>
    </row>
    <row r="58" ht="18" customHeight="1">
      <c r="A58" s="39" t="n">
        <v>52</v>
      </c>
      <c r="B58" s="44" t="inlineStr">
        <is>
          <t>Dec 28 – Jan 03</t>
        </is>
      </c>
      <c r="C58" s="45" t="n"/>
      <c r="D58" s="45" t="n"/>
      <c r="E58" s="45" t="n"/>
      <c r="F58" s="45" t="n"/>
      <c r="G58" s="45" t="n"/>
      <c r="H58" s="45" t="n"/>
      <c r="I58" s="45" t="n"/>
      <c r="J58" s="45" t="n"/>
      <c r="K58" s="45" t="n"/>
      <c r="L58" s="45" t="n"/>
      <c r="M58" s="45" t="n"/>
      <c r="N58" s="46">
        <f>IFERROR(AVERAGE(D58:M58),"")</f>
        <v/>
      </c>
      <c r="O58" s="47">
        <f>IFERROR(IF(N58="","",C58/N58-1),"")</f>
        <v/>
      </c>
    </row>
    <row r="60">
      <c r="A60" s="33" t="n"/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</row>
    <row r="61" ht="18" customHeight="1">
      <c r="A61" s="34" t="inlineStr">
        <is>
          <t>Questions? hello@thestrledger.com</t>
        </is>
      </c>
    </row>
    <row r="62" ht="18" customHeight="1">
      <c r="A62" s="35" t="inlineStr">
        <is>
          <t>REV-003 · v2.2</t>
        </is>
      </c>
    </row>
  </sheetData>
  <mergeCells count="6">
    <mergeCell ref="J2:L2"/>
    <mergeCell ref="D2:I2"/>
    <mergeCell ref="A61:L61"/>
    <mergeCell ref="A4:O4"/>
    <mergeCell ref="A2:C2"/>
    <mergeCell ref="A62:L62"/>
  </mergeCells>
  <pageMargins left="0.4" right="0.4" top="0.5" bottom="0.5" header="0.5" footer="0.5"/>
  <pageSetup orientation="landscape" paperSize="1" fitToWidth="1"/>
</worksheet>
</file>

<file path=xl/worksheets/sheet4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L36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1">
        <f>HYPERLINK("#'Weekly Snapshots'!A1", "← BACK")</f>
        <v/>
      </c>
      <c r="B2" s="12" t="n"/>
      <c r="C2" s="12" t="n"/>
      <c r="D2" s="36" t="inlineStr">
        <is>
          <t>POSITION TREND</t>
        </is>
      </c>
      <c r="J2" s="29">
        <f>HYPERLINK("#'Settings'!A1", "NEXT →")</f>
        <v/>
      </c>
      <c r="K2" s="30" t="n"/>
      <c r="L2" s="30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7" t="inlineStr">
        <is>
          <t>Trailing-4-week position vs comp avg, plus full-year line</t>
        </is>
      </c>
    </row>
    <row r="6" ht="18" customHeight="1">
      <c r="A6" s="48" t="inlineStr">
        <is>
          <t>Trailing 4-week position vs comp avg:</t>
        </is>
      </c>
      <c r="B6" s="15" t="n"/>
    </row>
    <row r="7" ht="22" customHeight="1">
      <c r="A7" s="49" t="inlineStr">
        <is>
          <t>(my last-4-week avg) / (comp last-4-week avg) − 1:</t>
        </is>
      </c>
      <c r="B7" s="50">
        <f>IFERROR(AVERAGE(OFFSET('Weekly Snapshots'!C58,-3,0,4,1))/AVERAGE(OFFSET('Weekly Snapshots'!N58,-3,0,4,1))-1,0)</f>
        <v/>
      </c>
    </row>
    <row r="9" ht="28" customHeight="1">
      <c r="A9" s="43" t="inlineStr">
        <is>
          <t>Read it like this: −5% means you’re priced 5% below the comp average for the trailing 4 weeks — typically a lift opportunity if occupancy is full.</t>
        </is>
      </c>
    </row>
    <row r="34">
      <c r="A34" s="33" t="n"/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</row>
    <row r="35" ht="18" customHeight="1">
      <c r="A35" s="34" t="inlineStr">
        <is>
          <t>Questions? hello@thestrledger.com</t>
        </is>
      </c>
    </row>
    <row r="36" ht="18" customHeight="1">
      <c r="A36" s="35" t="inlineStr">
        <is>
          <t>REV-003 · v2.2</t>
        </is>
      </c>
    </row>
  </sheetData>
  <mergeCells count="7">
    <mergeCell ref="J2:L2"/>
    <mergeCell ref="D2:I2"/>
    <mergeCell ref="A9:G9"/>
    <mergeCell ref="A35:L35"/>
    <mergeCell ref="A36:L36"/>
    <mergeCell ref="A2:C2"/>
    <mergeCell ref="A4:L4"/>
  </mergeCells>
  <pageMargins left="0.5" right="0.5" top="0.5" bottom="0.5" header="0.5" footer="0.5"/>
  <pageSetup orientation="landscape" paperSize="1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L21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1">
        <f>HYPERLINK("#'Position Trend'!A1", "← BACK")</f>
        <v/>
      </c>
      <c r="B2" s="12" t="n"/>
      <c r="C2" s="12" t="n"/>
      <c r="D2" s="36" t="inlineStr">
        <is>
          <t>SETTINGS</t>
        </is>
      </c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7" t="inlineStr">
        <is>
          <t>Property name · active year · snapshot day</t>
        </is>
      </c>
    </row>
    <row r="5" ht="18" customHeight="1">
      <c r="A5" s="51" t="inlineStr">
        <is>
          <t>My property:</t>
        </is>
      </c>
      <c r="B5" s="40" t="inlineStr">
        <is>
          <t>Smokies Ridge Cabin</t>
        </is>
      </c>
    </row>
    <row r="6" ht="6" customHeight="1"/>
    <row r="7" ht="18" customHeight="1">
      <c r="A7" s="51" t="inlineStr">
        <is>
          <t>Active year:</t>
        </is>
      </c>
      <c r="B7" s="41" t="n">
        <v>2026</v>
      </c>
    </row>
    <row r="8" ht="18" customHeight="1">
      <c r="A8" s="43" t="inlineStr">
        <is>
          <t>Bump each January, then clear last year’s snapshot rows.</t>
        </is>
      </c>
    </row>
    <row r="9" ht="18" customHeight="1">
      <c r="A9" s="51" t="inlineStr">
        <is>
          <t>Snapshot day:</t>
        </is>
      </c>
      <c r="B9" s="40" t="inlineStr">
        <is>
          <t>Monday</t>
        </is>
      </c>
    </row>
    <row r="10" ht="18" customHeight="1">
      <c r="A10" s="51" t="inlineStr">
        <is>
          <t>Last snapshot date:</t>
        </is>
      </c>
      <c r="B10" s="52" t="n">
        <v>46104</v>
      </c>
    </row>
    <row r="11" ht="8" customHeight="1"/>
    <row r="12" ht="22" customHeight="1">
      <c r="A12" s="53" t="inlineStr">
        <is>
          <t>Notes</t>
        </is>
      </c>
    </row>
    <row r="13">
      <c r="A13" s="54" t="inlineStr">
        <is>
          <t>• Pick a single weekday and stick to it — same-day comparisons matter more than total volume.
• If a comp listing disappears, swap it on the Comp Set tab; the matrix column carries forward.
• The Position Trend chart reads weeks 1–52 — logged weeks appear on the line, blank weeks gap.
• Year roll-over: copy this workbook to a new file, clear C7:M58 on Weekly Snapshots, bump Active year above.</t>
        </is>
      </c>
    </row>
    <row r="14"/>
    <row r="15"/>
    <row r="16"/>
    <row r="17"/>
    <row r="19">
      <c r="A19" s="33" t="n"/>
      <c r="B19" s="33" t="n"/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</row>
    <row r="20" ht="18" customHeight="1">
      <c r="A20" s="34" t="inlineStr">
        <is>
          <t>Questions? hello@thestrledger.com</t>
        </is>
      </c>
    </row>
    <row r="21" ht="18" customHeight="1">
      <c r="A21" s="35" t="inlineStr">
        <is>
          <t>REV-003 · v2.2</t>
        </is>
      </c>
    </row>
  </sheetData>
  <mergeCells count="7">
    <mergeCell ref="A20:L20"/>
    <mergeCell ref="D2:L2"/>
    <mergeCell ref="A21:L21"/>
    <mergeCell ref="A13:B17"/>
    <mergeCell ref="A8:B8"/>
    <mergeCell ref="A2:C2"/>
    <mergeCell ref="A4:L4"/>
  </mergeCells>
  <dataValidations count="1">
    <dataValidation sqref="B9" showDropDown="0" showInputMessage="0" showErrorMessage="0" allowBlank="1" type="list">
      <formula1>"Monday,Tuesday,Wednesday,Thursday,Friday,Saturday,Sunday"</formula1>
    </dataValidation>
  </dataValidations>
  <pageMargins left="0.5" right="0.5" top="0.5" bottom="0.5" header="0.5" footer="0.5"/>
  <pageSetup orientation="portrait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Competitor Rate Tracker (DEMO) — The STR Ledger</dc:title>
  <dc:description xmlns:dc="http://purl.org/dc/elements/1.1/">Manual weekly rate-snapshot tool for STR hosts — my rate vs comp set average across 52 weeks, with position-trend line chart (v2.2).</dc:description>
  <dcterms:created xmlns:dcterms="http://purl.org/dc/terms/" xmlns:xsi="http://www.w3.org/2001/XMLSchema-instance" xsi:type="dcterms:W3CDTF">2026-05-03T12:37:37Z</dcterms:created>
  <dcterms:modified xmlns:dcterms="http://purl.org/dc/terms/" xmlns:xsi="http://www.w3.org/2001/XMLSchema-instance" xsi:type="dcterms:W3CDTF">2026-05-03T12:37:37Z</dcterms:modified>
</cp:coreProperties>
</file>